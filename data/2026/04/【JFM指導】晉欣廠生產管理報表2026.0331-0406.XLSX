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5733724\Documents\GitHub\jinxin-halfproduct\data\2026\04\"/>
    </mc:Choice>
  </mc:AlternateContent>
  <xr:revisionPtr revIDLastSave="0" documentId="13_ncr:1_{C73BD20A-FAB9-44BA-AAA8-81DD8F9D6EFA}" xr6:coauthVersionLast="47" xr6:coauthVersionMax="47" xr10:uidLastSave="{00000000-0000-0000-0000-000000000000}"/>
  <bookViews>
    <workbookView xWindow="-120" yWindow="-120" windowWidth="29040" windowHeight="15840" tabRatio="924" firstSheet="2" activeTab="2" xr2:uid="{00000000-000D-0000-FFFF-FFFF00000000}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48" l="1"/>
  <c r="L39" i="48"/>
  <c r="L38" i="48"/>
  <c r="L37" i="48"/>
  <c r="L36" i="48"/>
  <c r="L35" i="48"/>
  <c r="L34" i="48"/>
  <c r="L33" i="48"/>
  <c r="L32" i="48"/>
  <c r="L31" i="48"/>
  <c r="L30" i="48"/>
  <c r="L29" i="48"/>
  <c r="L28" i="48"/>
  <c r="L27" i="48"/>
  <c r="L26" i="48"/>
  <c r="L25" i="48"/>
  <c r="L24" i="48"/>
  <c r="H40" i="48"/>
  <c r="H39" i="48"/>
  <c r="H38" i="48"/>
  <c r="H37" i="48"/>
  <c r="H36" i="48"/>
  <c r="H35" i="48"/>
  <c r="H34" i="48"/>
  <c r="H33" i="48"/>
  <c r="H32" i="48"/>
  <c r="H31" i="48"/>
  <c r="H30" i="48"/>
  <c r="H29" i="48"/>
  <c r="H28" i="48"/>
  <c r="H27" i="48"/>
  <c r="H26" i="48"/>
  <c r="H25" i="48"/>
  <c r="H24" i="48"/>
  <c r="F40" i="48"/>
  <c r="F39" i="48"/>
  <c r="F38" i="48"/>
  <c r="F37" i="48"/>
  <c r="F36" i="48"/>
  <c r="F35" i="48"/>
  <c r="F34" i="48"/>
  <c r="F33" i="48"/>
  <c r="F32" i="48"/>
  <c r="F31" i="48"/>
  <c r="F30" i="48"/>
  <c r="F29" i="48"/>
  <c r="F28" i="48"/>
  <c r="F27" i="48"/>
  <c r="F26" i="48"/>
  <c r="F25" i="48"/>
  <c r="D40" i="48"/>
  <c r="D39" i="48"/>
  <c r="D38" i="48"/>
  <c r="D37" i="48"/>
  <c r="D36" i="48"/>
  <c r="D35" i="48"/>
  <c r="D34" i="48"/>
  <c r="D33" i="48"/>
  <c r="D32" i="48"/>
  <c r="D31" i="48"/>
  <c r="D30" i="48"/>
  <c r="D29" i="48"/>
  <c r="D28" i="48"/>
  <c r="D27" i="48"/>
  <c r="D26" i="48"/>
  <c r="D25" i="48"/>
  <c r="D24" i="48"/>
  <c r="D23" i="48"/>
  <c r="S21" i="37" l="1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Y7" i="37"/>
  <c r="X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D7" i="37"/>
  <c r="AC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I7" i="37"/>
  <c r="AH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N7" i="37"/>
  <c r="AM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S7" i="37"/>
  <c r="AR7" i="37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X7" i="37"/>
  <c r="AW7" i="37"/>
  <c r="AZ121" i="37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54" i="37"/>
  <c r="AZ53" i="37"/>
  <c r="AZ52" i="37"/>
  <c r="AZ51" i="37"/>
  <c r="AZ50" i="37"/>
  <c r="AZ49" i="37"/>
  <c r="AZ48" i="37"/>
  <c r="BA47" i="37"/>
  <c r="AZ4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T7" i="36"/>
  <c r="S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Y7" i="36"/>
  <c r="X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D7" i="36"/>
  <c r="AC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I7" i="36"/>
  <c r="AH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N7" i="36"/>
  <c r="AM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S7" i="36"/>
  <c r="AR7" i="36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X7" i="36"/>
  <c r="AW7" i="36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AZ51" i="36"/>
  <c r="AZ50" i="36"/>
  <c r="AZ49" i="36"/>
  <c r="AZ48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T7" i="34"/>
  <c r="S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Y7" i="34"/>
  <c r="X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D7" i="34"/>
  <c r="AC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I7" i="34"/>
  <c r="AH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N7" i="34"/>
  <c r="AM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S7" i="34"/>
  <c r="AR7" i="34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X7" i="34"/>
  <c r="AW7" i="34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101" i="34"/>
  <c r="AZ100" i="34"/>
  <c r="AZ99" i="34"/>
  <c r="AZ98" i="34"/>
  <c r="AZ97" i="34"/>
  <c r="AZ96" i="34"/>
  <c r="AZ95" i="34"/>
  <c r="AZ94" i="34"/>
  <c r="AZ93" i="34"/>
  <c r="AZ92" i="34"/>
  <c r="AZ91" i="34"/>
  <c r="AZ90" i="34"/>
  <c r="AZ89" i="34"/>
  <c r="AZ88" i="34"/>
  <c r="BA87" i="34"/>
  <c r="AZ8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T7" i="33"/>
  <c r="S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Y7" i="33"/>
  <c r="X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D7" i="33"/>
  <c r="AC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I7" i="33"/>
  <c r="AH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N7" i="33"/>
  <c r="AM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S7" i="33"/>
  <c r="AR7" i="33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X7" i="33"/>
  <c r="AW7" i="33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T7" i="31"/>
  <c r="S7" i="31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Y7" i="31"/>
  <c r="X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D7" i="31"/>
  <c r="AC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I7" i="31"/>
  <c r="AH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N7" i="31"/>
  <c r="AM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S7" i="31"/>
  <c r="AR7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X7" i="31"/>
  <c r="AW7" i="31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101" i="32"/>
  <c r="AZ100" i="32"/>
  <c r="AZ99" i="32"/>
  <c r="AZ98" i="32"/>
  <c r="AZ97" i="32"/>
  <c r="AZ96" i="32"/>
  <c r="AZ95" i="32"/>
  <c r="AZ94" i="32"/>
  <c r="AZ93" i="32"/>
  <c r="AZ92" i="32"/>
  <c r="AZ91" i="32"/>
  <c r="AZ90" i="32"/>
  <c r="AZ89" i="32"/>
  <c r="AZ88" i="32"/>
  <c r="BA87" i="32"/>
  <c r="AZ8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T7" i="32"/>
  <c r="S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Y7" i="32"/>
  <c r="X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D7" i="32"/>
  <c r="AC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I7" i="32"/>
  <c r="AH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N7" i="32"/>
  <c r="AM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S7" i="32"/>
  <c r="AR7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X7" i="32"/>
  <c r="AW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L107" i="35" s="1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L107" i="36" s="1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L107" i="37" s="1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00" i="35"/>
  <c r="J100" i="35"/>
  <c r="I100" i="35"/>
  <c r="K99" i="35"/>
  <c r="J99" i="35"/>
  <c r="I99" i="35"/>
  <c r="K98" i="35"/>
  <c r="J98" i="35"/>
  <c r="I98" i="35"/>
  <c r="K97" i="35"/>
  <c r="J97" i="35"/>
  <c r="I97" i="35"/>
  <c r="K96" i="35"/>
  <c r="J96" i="35"/>
  <c r="I96" i="35"/>
  <c r="K95" i="35"/>
  <c r="J95" i="35"/>
  <c r="I95" i="35"/>
  <c r="K94" i="35"/>
  <c r="J94" i="35"/>
  <c r="I94" i="35"/>
  <c r="K93" i="35"/>
  <c r="J93" i="35"/>
  <c r="I93" i="35"/>
  <c r="K92" i="35"/>
  <c r="J92" i="35"/>
  <c r="I92" i="35"/>
  <c r="K91" i="35"/>
  <c r="J91" i="35"/>
  <c r="I91" i="35"/>
  <c r="K90" i="35"/>
  <c r="L87" i="35" s="1"/>
  <c r="J90" i="35"/>
  <c r="I90" i="35"/>
  <c r="K89" i="35"/>
  <c r="J89" i="35"/>
  <c r="I89" i="35"/>
  <c r="K88" i="35"/>
  <c r="J88" i="35"/>
  <c r="I88" i="35"/>
  <c r="K87" i="35"/>
  <c r="J87" i="35"/>
  <c r="I87" i="35"/>
  <c r="K100" i="36"/>
  <c r="J100" i="36"/>
  <c r="I100" i="36"/>
  <c r="K99" i="36"/>
  <c r="J99" i="36"/>
  <c r="I99" i="36"/>
  <c r="K98" i="36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L87" i="36" s="1"/>
  <c r="J88" i="36"/>
  <c r="I88" i="36"/>
  <c r="K87" i="36"/>
  <c r="J87" i="36"/>
  <c r="I87" i="36"/>
  <c r="K100" i="37"/>
  <c r="J100" i="37"/>
  <c r="I100" i="37"/>
  <c r="K99" i="37"/>
  <c r="J99" i="37"/>
  <c r="I99" i="37"/>
  <c r="K98" i="37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K100" i="34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K80" i="35"/>
  <c r="J80" i="35"/>
  <c r="I80" i="35"/>
  <c r="K79" i="35"/>
  <c r="J79" i="35"/>
  <c r="I79" i="35"/>
  <c r="K78" i="35"/>
  <c r="J78" i="35"/>
  <c r="I78" i="35"/>
  <c r="K77" i="35"/>
  <c r="J77" i="35"/>
  <c r="I77" i="35"/>
  <c r="K76" i="35"/>
  <c r="J76" i="35"/>
  <c r="I76" i="35"/>
  <c r="K75" i="35"/>
  <c r="J75" i="35"/>
  <c r="I75" i="35"/>
  <c r="K74" i="35"/>
  <c r="J74" i="35"/>
  <c r="I74" i="35"/>
  <c r="K73" i="35"/>
  <c r="J73" i="35"/>
  <c r="I73" i="35"/>
  <c r="K72" i="35"/>
  <c r="J72" i="35"/>
  <c r="I72" i="35"/>
  <c r="K71" i="35"/>
  <c r="J71" i="35"/>
  <c r="I71" i="35"/>
  <c r="K70" i="35"/>
  <c r="L67" i="35" s="1"/>
  <c r="J70" i="35"/>
  <c r="I70" i="35"/>
  <c r="K69" i="35"/>
  <c r="J69" i="35"/>
  <c r="I69" i="35"/>
  <c r="K68" i="35"/>
  <c r="J68" i="35"/>
  <c r="I68" i="35"/>
  <c r="K67" i="35"/>
  <c r="J67" i="35"/>
  <c r="I67" i="35"/>
  <c r="K80" i="36"/>
  <c r="J80" i="36"/>
  <c r="I80" i="36"/>
  <c r="K79" i="36"/>
  <c r="J79" i="36"/>
  <c r="I79" i="36"/>
  <c r="K78" i="36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L67" i="36" s="1"/>
  <c r="J68" i="36"/>
  <c r="I68" i="36"/>
  <c r="K67" i="36"/>
  <c r="J67" i="36"/>
  <c r="I67" i="36"/>
  <c r="K80" i="37"/>
  <c r="J80" i="37"/>
  <c r="I80" i="37"/>
  <c r="K79" i="37"/>
  <c r="J79" i="37"/>
  <c r="I79" i="37"/>
  <c r="K78" i="37"/>
  <c r="J78" i="37"/>
  <c r="I78" i="37"/>
  <c r="K77" i="37"/>
  <c r="J77" i="37"/>
  <c r="I77" i="37"/>
  <c r="K76" i="37"/>
  <c r="J76" i="37"/>
  <c r="I76" i="37"/>
  <c r="K75" i="37"/>
  <c r="J75" i="37"/>
  <c r="I75" i="37"/>
  <c r="K74" i="37"/>
  <c r="L67" i="37" s="1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K80" i="34"/>
  <c r="J80" i="34"/>
  <c r="I80" i="34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K60" i="35"/>
  <c r="J60" i="35"/>
  <c r="I60" i="35"/>
  <c r="K59" i="35"/>
  <c r="J59" i="35"/>
  <c r="I59" i="35"/>
  <c r="K58" i="35"/>
  <c r="J58" i="35"/>
  <c r="I58" i="35"/>
  <c r="K57" i="35"/>
  <c r="J57" i="35"/>
  <c r="I57" i="35"/>
  <c r="K56" i="35"/>
  <c r="J56" i="35"/>
  <c r="I56" i="35"/>
  <c r="K55" i="35"/>
  <c r="J55" i="35"/>
  <c r="I55" i="35"/>
  <c r="K54" i="35"/>
  <c r="J54" i="35"/>
  <c r="I54" i="35"/>
  <c r="K53" i="35"/>
  <c r="J53" i="35"/>
  <c r="I53" i="35"/>
  <c r="K52" i="35"/>
  <c r="J52" i="35"/>
  <c r="I52" i="35"/>
  <c r="K51" i="35"/>
  <c r="J51" i="35"/>
  <c r="I51" i="35"/>
  <c r="K50" i="35"/>
  <c r="L47" i="35" s="1"/>
  <c r="J50" i="35"/>
  <c r="I50" i="35"/>
  <c r="K49" i="35"/>
  <c r="J49" i="35"/>
  <c r="I49" i="35"/>
  <c r="K48" i="35"/>
  <c r="J48" i="35"/>
  <c r="I48" i="35"/>
  <c r="K47" i="35"/>
  <c r="J47" i="35"/>
  <c r="I47" i="35"/>
  <c r="K60" i="36"/>
  <c r="J60" i="36"/>
  <c r="I60" i="36"/>
  <c r="K59" i="36"/>
  <c r="J59" i="36"/>
  <c r="I59" i="36"/>
  <c r="K58" i="36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K60" i="37"/>
  <c r="J60" i="37"/>
  <c r="I60" i="37"/>
  <c r="K59" i="37"/>
  <c r="J59" i="37"/>
  <c r="I59" i="37"/>
  <c r="K58" i="37"/>
  <c r="J58" i="37"/>
  <c r="I58" i="37"/>
  <c r="K57" i="37"/>
  <c r="J57" i="37"/>
  <c r="I57" i="37"/>
  <c r="K56" i="37"/>
  <c r="J56" i="37"/>
  <c r="I56" i="37"/>
  <c r="K55" i="37"/>
  <c r="J55" i="37"/>
  <c r="I55" i="37"/>
  <c r="K54" i="37"/>
  <c r="J54" i="37"/>
  <c r="I54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L47" i="37" s="1"/>
  <c r="J48" i="37"/>
  <c r="I48" i="37"/>
  <c r="K47" i="37"/>
  <c r="J47" i="37"/>
  <c r="I47" i="37"/>
  <c r="K60" i="34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K40" i="35"/>
  <c r="J40" i="35"/>
  <c r="I40" i="35"/>
  <c r="K39" i="35"/>
  <c r="J39" i="35"/>
  <c r="I39" i="35"/>
  <c r="K38" i="35"/>
  <c r="J38" i="35"/>
  <c r="I38" i="35"/>
  <c r="K37" i="35"/>
  <c r="J37" i="35"/>
  <c r="I37" i="35"/>
  <c r="K36" i="35"/>
  <c r="J36" i="35"/>
  <c r="I36" i="35"/>
  <c r="K35" i="35"/>
  <c r="J35" i="35"/>
  <c r="I35" i="35"/>
  <c r="K34" i="35"/>
  <c r="J34" i="35"/>
  <c r="I34" i="35"/>
  <c r="K33" i="35"/>
  <c r="J33" i="35"/>
  <c r="I33" i="35"/>
  <c r="K32" i="35"/>
  <c r="J32" i="35"/>
  <c r="I32" i="35"/>
  <c r="K31" i="35"/>
  <c r="J31" i="35"/>
  <c r="I31" i="35"/>
  <c r="K30" i="35"/>
  <c r="L27" i="35" s="1"/>
  <c r="J30" i="35"/>
  <c r="I30" i="35"/>
  <c r="K29" i="35"/>
  <c r="J29" i="35"/>
  <c r="I29" i="35"/>
  <c r="K28" i="35"/>
  <c r="J28" i="35"/>
  <c r="I28" i="35"/>
  <c r="K27" i="35"/>
  <c r="J27" i="35"/>
  <c r="I27" i="35"/>
  <c r="K40" i="36"/>
  <c r="J40" i="36"/>
  <c r="I40" i="36"/>
  <c r="K39" i="36"/>
  <c r="J39" i="36"/>
  <c r="I39" i="36"/>
  <c r="K38" i="36"/>
  <c r="J38" i="36"/>
  <c r="I38" i="36"/>
  <c r="K37" i="36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L27" i="36" s="1"/>
  <c r="J28" i="36"/>
  <c r="I28" i="36"/>
  <c r="K27" i="36"/>
  <c r="J27" i="36"/>
  <c r="I27" i="36"/>
  <c r="K40" i="37"/>
  <c r="J40" i="37"/>
  <c r="I40" i="37"/>
  <c r="K39" i="37"/>
  <c r="J39" i="37"/>
  <c r="I39" i="37"/>
  <c r="K38" i="37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K40" i="34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K20" i="35"/>
  <c r="J20" i="35"/>
  <c r="I20" i="35"/>
  <c r="K19" i="35"/>
  <c r="J19" i="35"/>
  <c r="I19" i="35"/>
  <c r="K18" i="35"/>
  <c r="J18" i="35"/>
  <c r="I18" i="35"/>
  <c r="K17" i="35"/>
  <c r="J17" i="35"/>
  <c r="I17" i="35"/>
  <c r="K16" i="35"/>
  <c r="J16" i="35"/>
  <c r="I16" i="35"/>
  <c r="K15" i="35"/>
  <c r="J15" i="35"/>
  <c r="I15" i="35"/>
  <c r="K14" i="35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K7" i="35"/>
  <c r="J7" i="35"/>
  <c r="I7" i="35"/>
  <c r="K20" i="36"/>
  <c r="J20" i="36"/>
  <c r="I20" i="36"/>
  <c r="K19" i="36"/>
  <c r="J19" i="36"/>
  <c r="I19" i="36"/>
  <c r="K18" i="36"/>
  <c r="J18" i="36"/>
  <c r="I18" i="36"/>
  <c r="K17" i="36"/>
  <c r="J17" i="36"/>
  <c r="I17" i="36"/>
  <c r="K16" i="36"/>
  <c r="J16" i="36"/>
  <c r="I16" i="36"/>
  <c r="K15" i="36"/>
  <c r="J15" i="36"/>
  <c r="I15" i="36"/>
  <c r="K14" i="36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J8" i="36"/>
  <c r="I8" i="36"/>
  <c r="K7" i="36"/>
  <c r="J7" i="36"/>
  <c r="I7" i="36"/>
  <c r="K20" i="37"/>
  <c r="J20" i="37"/>
  <c r="I20" i="37"/>
  <c r="K19" i="37"/>
  <c r="J19" i="37"/>
  <c r="I19" i="37"/>
  <c r="K18" i="37"/>
  <c r="J18" i="37"/>
  <c r="I18" i="37"/>
  <c r="K17" i="37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J7" i="37"/>
  <c r="I7" i="37"/>
  <c r="K20" i="34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K7" i="34"/>
  <c r="J7" i="34"/>
  <c r="I7" i="34"/>
  <c r="K120" i="31"/>
  <c r="J120" i="31"/>
  <c r="I120" i="31"/>
  <c r="K119" i="31"/>
  <c r="J119" i="31"/>
  <c r="I119" i="31"/>
  <c r="K118" i="31"/>
  <c r="J118" i="31"/>
  <c r="I118" i="31"/>
  <c r="K117" i="31"/>
  <c r="J117" i="31"/>
  <c r="I117" i="31"/>
  <c r="K116" i="31"/>
  <c r="J116" i="31"/>
  <c r="I116" i="31"/>
  <c r="K115" i="31"/>
  <c r="J115" i="31"/>
  <c r="I115" i="31"/>
  <c r="K114" i="31"/>
  <c r="J114" i="31"/>
  <c r="I114" i="31"/>
  <c r="K113" i="31"/>
  <c r="J113" i="31"/>
  <c r="I113" i="31"/>
  <c r="K112" i="31"/>
  <c r="J112" i="31"/>
  <c r="I112" i="31"/>
  <c r="K111" i="31"/>
  <c r="J111" i="31"/>
  <c r="I111" i="31"/>
  <c r="K110" i="31"/>
  <c r="J110" i="31"/>
  <c r="I110" i="31"/>
  <c r="K109" i="31"/>
  <c r="J109" i="31"/>
  <c r="I109" i="31"/>
  <c r="K108" i="31"/>
  <c r="J108" i="31"/>
  <c r="I108" i="31"/>
  <c r="K107" i="31"/>
  <c r="J107" i="31"/>
  <c r="I107" i="31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K80" i="31"/>
  <c r="J80" i="31"/>
  <c r="I80" i="31"/>
  <c r="K79" i="31"/>
  <c r="J79" i="31"/>
  <c r="I79" i="31"/>
  <c r="K78" i="31"/>
  <c r="J78" i="31"/>
  <c r="I78" i="31"/>
  <c r="K77" i="31"/>
  <c r="J77" i="31"/>
  <c r="I77" i="31"/>
  <c r="K76" i="31"/>
  <c r="J76" i="31"/>
  <c r="I76" i="31"/>
  <c r="K75" i="31"/>
  <c r="J75" i="31"/>
  <c r="I75" i="31"/>
  <c r="K74" i="31"/>
  <c r="J74" i="31"/>
  <c r="I74" i="31"/>
  <c r="K73" i="31"/>
  <c r="J73" i="31"/>
  <c r="I73" i="31"/>
  <c r="K72" i="31"/>
  <c r="J72" i="31"/>
  <c r="I72" i="31"/>
  <c r="K71" i="31"/>
  <c r="J71" i="31"/>
  <c r="I71" i="31"/>
  <c r="K70" i="31"/>
  <c r="J70" i="31"/>
  <c r="I70" i="31"/>
  <c r="K69" i="31"/>
  <c r="J69" i="31"/>
  <c r="I69" i="31"/>
  <c r="K68" i="31"/>
  <c r="J68" i="31"/>
  <c r="I68" i="31"/>
  <c r="K67" i="31"/>
  <c r="J67" i="31"/>
  <c r="I67" i="31"/>
  <c r="K60" i="31"/>
  <c r="J60" i="31"/>
  <c r="I60" i="31"/>
  <c r="K59" i="31"/>
  <c r="J59" i="31"/>
  <c r="I59" i="31"/>
  <c r="K58" i="31"/>
  <c r="J58" i="31"/>
  <c r="I58" i="31"/>
  <c r="K57" i="31"/>
  <c r="J57" i="31"/>
  <c r="I57" i="31"/>
  <c r="K56" i="31"/>
  <c r="J56" i="31"/>
  <c r="I56" i="31"/>
  <c r="K55" i="31"/>
  <c r="J55" i="31"/>
  <c r="I55" i="31"/>
  <c r="K54" i="31"/>
  <c r="J54" i="31"/>
  <c r="I54" i="31"/>
  <c r="K53" i="31"/>
  <c r="J53" i="31"/>
  <c r="I53" i="31"/>
  <c r="K52" i="31"/>
  <c r="J52" i="31"/>
  <c r="I52" i="31"/>
  <c r="K51" i="31"/>
  <c r="J51" i="31"/>
  <c r="I51" i="31"/>
  <c r="K50" i="31"/>
  <c r="J50" i="31"/>
  <c r="I50" i="31"/>
  <c r="K49" i="31"/>
  <c r="J49" i="31"/>
  <c r="I49" i="31"/>
  <c r="K48" i="31"/>
  <c r="J48" i="31"/>
  <c r="I48" i="31"/>
  <c r="K47" i="31"/>
  <c r="J47" i="31"/>
  <c r="I47" i="31"/>
  <c r="K40" i="31"/>
  <c r="J40" i="31"/>
  <c r="I40" i="31"/>
  <c r="K39" i="31"/>
  <c r="J39" i="31"/>
  <c r="I39" i="31"/>
  <c r="K38" i="31"/>
  <c r="J38" i="31"/>
  <c r="I38" i="31"/>
  <c r="K37" i="31"/>
  <c r="J37" i="31"/>
  <c r="I37" i="31"/>
  <c r="K36" i="31"/>
  <c r="J36" i="31"/>
  <c r="I36" i="31"/>
  <c r="K35" i="31"/>
  <c r="J35" i="31"/>
  <c r="I35" i="31"/>
  <c r="K34" i="31"/>
  <c r="J34" i="31"/>
  <c r="I34" i="31"/>
  <c r="K33" i="31"/>
  <c r="J33" i="31"/>
  <c r="I33" i="31"/>
  <c r="K32" i="31"/>
  <c r="J32" i="31"/>
  <c r="I32" i="31"/>
  <c r="K31" i="31"/>
  <c r="J31" i="31"/>
  <c r="I31" i="31"/>
  <c r="K30" i="31"/>
  <c r="J30" i="31"/>
  <c r="I30" i="31"/>
  <c r="K29" i="31"/>
  <c r="J29" i="31"/>
  <c r="I29" i="31"/>
  <c r="K28" i="31"/>
  <c r="J28" i="31"/>
  <c r="I28" i="31"/>
  <c r="K27" i="31"/>
  <c r="J27" i="31"/>
  <c r="I27" i="31"/>
  <c r="K20" i="31"/>
  <c r="J20" i="31"/>
  <c r="I20" i="31"/>
  <c r="K19" i="31"/>
  <c r="J19" i="31"/>
  <c r="I19" i="31"/>
  <c r="K18" i="31"/>
  <c r="J18" i="31"/>
  <c r="I18" i="31"/>
  <c r="K17" i="31"/>
  <c r="J17" i="31"/>
  <c r="I17" i="31"/>
  <c r="K16" i="31"/>
  <c r="J16" i="31"/>
  <c r="I16" i="31"/>
  <c r="K15" i="31"/>
  <c r="J15" i="31"/>
  <c r="I15" i="31"/>
  <c r="K14" i="31"/>
  <c r="J14" i="31"/>
  <c r="I14" i="31"/>
  <c r="K13" i="31"/>
  <c r="J13" i="31"/>
  <c r="I13" i="31"/>
  <c r="K12" i="31"/>
  <c r="J12" i="31"/>
  <c r="I12" i="31"/>
  <c r="K11" i="31"/>
  <c r="J11" i="31"/>
  <c r="I11" i="31"/>
  <c r="K10" i="31"/>
  <c r="J10" i="31"/>
  <c r="I10" i="31"/>
  <c r="K9" i="31"/>
  <c r="J9" i="31"/>
  <c r="I9" i="31"/>
  <c r="K8" i="31"/>
  <c r="J8" i="31"/>
  <c r="I8" i="31"/>
  <c r="K7" i="31"/>
  <c r="J7" i="31"/>
  <c r="I7" i="31"/>
  <c r="K120" i="32"/>
  <c r="J120" i="32"/>
  <c r="I120" i="32"/>
  <c r="K119" i="32"/>
  <c r="J119" i="32"/>
  <c r="I119" i="32"/>
  <c r="K118" i="32"/>
  <c r="J118" i="32"/>
  <c r="I118" i="32"/>
  <c r="K117" i="32"/>
  <c r="J117" i="32"/>
  <c r="I117" i="32"/>
  <c r="K116" i="32"/>
  <c r="J116" i="32"/>
  <c r="I116" i="32"/>
  <c r="K115" i="32"/>
  <c r="J115" i="32"/>
  <c r="I115" i="32"/>
  <c r="K114" i="32"/>
  <c r="J114" i="32"/>
  <c r="I114" i="32"/>
  <c r="K113" i="32"/>
  <c r="J113" i="32"/>
  <c r="I113" i="32"/>
  <c r="K112" i="32"/>
  <c r="J112" i="32"/>
  <c r="I112" i="32"/>
  <c r="K111" i="32"/>
  <c r="J111" i="32"/>
  <c r="I111" i="32"/>
  <c r="K110" i="32"/>
  <c r="J110" i="32"/>
  <c r="I110" i="32"/>
  <c r="K109" i="32"/>
  <c r="J109" i="32"/>
  <c r="I109" i="32"/>
  <c r="K108" i="32"/>
  <c r="L107" i="32" s="1"/>
  <c r="J108" i="32"/>
  <c r="I108" i="32"/>
  <c r="K107" i="32"/>
  <c r="J107" i="32"/>
  <c r="I107" i="32"/>
  <c r="K100" i="32"/>
  <c r="J100" i="32"/>
  <c r="I100" i="32"/>
  <c r="K99" i="32"/>
  <c r="J99" i="32"/>
  <c r="I99" i="32"/>
  <c r="K98" i="32"/>
  <c r="J98" i="32"/>
  <c r="I98" i="32"/>
  <c r="K97" i="32"/>
  <c r="J97" i="32"/>
  <c r="I97" i="32"/>
  <c r="K96" i="32"/>
  <c r="J96" i="32"/>
  <c r="I96" i="32"/>
  <c r="K95" i="32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K80" i="32"/>
  <c r="J80" i="32"/>
  <c r="I80" i="32"/>
  <c r="K79" i="32"/>
  <c r="J79" i="32"/>
  <c r="I79" i="32"/>
  <c r="K78" i="32"/>
  <c r="J78" i="32"/>
  <c r="I78" i="32"/>
  <c r="K77" i="32"/>
  <c r="J77" i="32"/>
  <c r="I77" i="32"/>
  <c r="K76" i="32"/>
  <c r="J76" i="32"/>
  <c r="I76" i="32"/>
  <c r="K75" i="32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L67" i="32" s="1"/>
  <c r="J70" i="32"/>
  <c r="I70" i="32"/>
  <c r="K69" i="32"/>
  <c r="J69" i="32"/>
  <c r="I69" i="32"/>
  <c r="K68" i="32"/>
  <c r="J68" i="32"/>
  <c r="I68" i="32"/>
  <c r="K67" i="32"/>
  <c r="J67" i="32"/>
  <c r="I67" i="32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L47" i="32" s="1"/>
  <c r="J48" i="32"/>
  <c r="I48" i="32"/>
  <c r="K47" i="32"/>
  <c r="J47" i="32"/>
  <c r="I47" i="32"/>
  <c r="K40" i="32"/>
  <c r="J40" i="32"/>
  <c r="I40" i="32"/>
  <c r="K39" i="32"/>
  <c r="J39" i="32"/>
  <c r="I39" i="32"/>
  <c r="K38" i="32"/>
  <c r="J38" i="32"/>
  <c r="I38" i="32"/>
  <c r="K37" i="32"/>
  <c r="J37" i="32"/>
  <c r="I37" i="32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L27" i="32" s="1"/>
  <c r="J28" i="32"/>
  <c r="I28" i="32"/>
  <c r="K27" i="32"/>
  <c r="J27" i="32"/>
  <c r="I27" i="32"/>
  <c r="K20" i="32"/>
  <c r="J20" i="32"/>
  <c r="I20" i="32"/>
  <c r="K19" i="32"/>
  <c r="J19" i="32"/>
  <c r="I19" i="32"/>
  <c r="K18" i="32"/>
  <c r="J18" i="32"/>
  <c r="I18" i="32"/>
  <c r="K17" i="32"/>
  <c r="J17" i="32"/>
  <c r="I17" i="32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K7" i="32"/>
  <c r="J7" i="32"/>
  <c r="I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101" i="30"/>
  <c r="J101" i="30"/>
  <c r="I101" i="30"/>
  <c r="K100" i="30"/>
  <c r="J100" i="30"/>
  <c r="I100" i="30"/>
  <c r="K99" i="30"/>
  <c r="J99" i="30"/>
  <c r="I99" i="30"/>
  <c r="K98" i="30"/>
  <c r="J98" i="30"/>
  <c r="I98" i="30"/>
  <c r="K97" i="30"/>
  <c r="J97" i="30"/>
  <c r="I97" i="30"/>
  <c r="K96" i="30"/>
  <c r="J96" i="30"/>
  <c r="I96" i="30"/>
  <c r="K95" i="30"/>
  <c r="J95" i="30"/>
  <c r="I95" i="30"/>
  <c r="K94" i="30"/>
  <c r="J94" i="30"/>
  <c r="I94" i="30"/>
  <c r="K93" i="30"/>
  <c r="J93" i="30"/>
  <c r="I93" i="30"/>
  <c r="K92" i="30"/>
  <c r="J92" i="30"/>
  <c r="I92" i="30"/>
  <c r="K91" i="30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K81" i="30"/>
  <c r="J81" i="30"/>
  <c r="I81" i="30"/>
  <c r="K80" i="30"/>
  <c r="J80" i="30"/>
  <c r="I80" i="30"/>
  <c r="K79" i="30"/>
  <c r="J79" i="30"/>
  <c r="I79" i="30"/>
  <c r="K78" i="30"/>
  <c r="J78" i="30"/>
  <c r="I78" i="30"/>
  <c r="K77" i="30"/>
  <c r="J77" i="30"/>
  <c r="I77" i="30"/>
  <c r="K76" i="30"/>
  <c r="J76" i="30"/>
  <c r="I76" i="30"/>
  <c r="K75" i="30"/>
  <c r="J75" i="30"/>
  <c r="I75" i="30"/>
  <c r="K74" i="30"/>
  <c r="J74" i="30"/>
  <c r="I74" i="30"/>
  <c r="K73" i="30"/>
  <c r="J73" i="30"/>
  <c r="I73" i="30"/>
  <c r="K72" i="30"/>
  <c r="J72" i="30"/>
  <c r="I72" i="30"/>
  <c r="K71" i="30"/>
  <c r="J71" i="30"/>
  <c r="I71" i="30"/>
  <c r="K70" i="30"/>
  <c r="J70" i="30"/>
  <c r="I70" i="30"/>
  <c r="K69" i="30"/>
  <c r="J69" i="30"/>
  <c r="I69" i="30"/>
  <c r="K68" i="30"/>
  <c r="J68" i="30"/>
  <c r="I68" i="30"/>
  <c r="K67" i="30"/>
  <c r="J67" i="30"/>
  <c r="I67" i="30"/>
  <c r="K61" i="30"/>
  <c r="J61" i="30"/>
  <c r="I61" i="30"/>
  <c r="K60" i="30"/>
  <c r="J60" i="30"/>
  <c r="I60" i="30"/>
  <c r="K59" i="30"/>
  <c r="J59" i="30"/>
  <c r="I59" i="30"/>
  <c r="K58" i="30"/>
  <c r="J58" i="30"/>
  <c r="I58" i="30"/>
  <c r="K57" i="30"/>
  <c r="J57" i="30"/>
  <c r="I57" i="30"/>
  <c r="K56" i="30"/>
  <c r="J56" i="30"/>
  <c r="I56" i="30"/>
  <c r="K55" i="30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K41" i="30"/>
  <c r="J41" i="30"/>
  <c r="I41" i="30"/>
  <c r="K40" i="30"/>
  <c r="J40" i="30"/>
  <c r="I40" i="30"/>
  <c r="K39" i="30"/>
  <c r="J39" i="30"/>
  <c r="I39" i="30"/>
  <c r="K38" i="30"/>
  <c r="J38" i="30"/>
  <c r="I38" i="30"/>
  <c r="K37" i="30"/>
  <c r="J37" i="30"/>
  <c r="I37" i="30"/>
  <c r="K36" i="30"/>
  <c r="J36" i="30"/>
  <c r="I36" i="30"/>
  <c r="K35" i="30"/>
  <c r="J35" i="30"/>
  <c r="I35" i="30"/>
  <c r="K34" i="30"/>
  <c r="J34" i="30"/>
  <c r="I34" i="30"/>
  <c r="K33" i="30"/>
  <c r="J33" i="30"/>
  <c r="I33" i="30"/>
  <c r="K32" i="30"/>
  <c r="J32" i="30"/>
  <c r="I32" i="30"/>
  <c r="K31" i="30"/>
  <c r="J31" i="30"/>
  <c r="I31" i="30"/>
  <c r="K30" i="30"/>
  <c r="J30" i="30"/>
  <c r="I30" i="30"/>
  <c r="K29" i="30"/>
  <c r="J29" i="30"/>
  <c r="I29" i="30"/>
  <c r="K28" i="30"/>
  <c r="J28" i="30"/>
  <c r="I28" i="30"/>
  <c r="K27" i="30"/>
  <c r="J27" i="30"/>
  <c r="I2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" i="30"/>
  <c r="J21" i="30"/>
  <c r="I21" i="30"/>
  <c r="K20" i="30"/>
  <c r="J20" i="30"/>
  <c r="I20" i="30"/>
  <c r="K19" i="30"/>
  <c r="J19" i="30"/>
  <c r="I19" i="30"/>
  <c r="K18" i="30"/>
  <c r="J18" i="30"/>
  <c r="I18" i="30"/>
  <c r="K17" i="30"/>
  <c r="J17" i="30"/>
  <c r="I17" i="30"/>
  <c r="K16" i="30"/>
  <c r="J16" i="30"/>
  <c r="I16" i="30"/>
  <c r="K15" i="30"/>
  <c r="J15" i="30"/>
  <c r="I15" i="30"/>
  <c r="K14" i="30"/>
  <c r="J14" i="30"/>
  <c r="I14" i="30"/>
  <c r="K13" i="30"/>
  <c r="J13" i="30"/>
  <c r="I13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K156" i="8"/>
  <c r="J156" i="8"/>
  <c r="I156" i="8"/>
  <c r="K155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7" i="33"/>
  <c r="J7" i="33"/>
  <c r="I7" i="33"/>
  <c r="K36" i="8"/>
  <c r="M36" i="8" s="1"/>
  <c r="J36" i="8"/>
  <c r="I36" i="8"/>
  <c r="K35" i="8"/>
  <c r="M35" i="8" s="1"/>
  <c r="J35" i="8"/>
  <c r="I35" i="8"/>
  <c r="K34" i="8"/>
  <c r="M34" i="8" s="1"/>
  <c r="J34" i="8"/>
  <c r="I34" i="8"/>
  <c r="K33" i="8"/>
  <c r="M33" i="8" s="1"/>
  <c r="J33" i="8"/>
  <c r="I33" i="8"/>
  <c r="K32" i="8"/>
  <c r="M32" i="8" s="1"/>
  <c r="J32" i="8"/>
  <c r="I32" i="8"/>
  <c r="K31" i="8"/>
  <c r="M31" i="8" s="1"/>
  <c r="J31" i="8"/>
  <c r="I31" i="8"/>
  <c r="K30" i="8"/>
  <c r="M30" i="8" s="1"/>
  <c r="J30" i="8"/>
  <c r="I30" i="8"/>
  <c r="K29" i="8"/>
  <c r="M29" i="8" s="1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L27" i="37"/>
  <c r="L87" i="37"/>
  <c r="L47" i="36"/>
  <c r="L7" i="36"/>
  <c r="B35" i="39" s="1"/>
  <c r="L7" i="35"/>
  <c r="B34" i="39" s="1"/>
  <c r="L87" i="32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I8" i="39"/>
  <c r="V35" i="5"/>
  <c r="I11" i="39" s="1"/>
  <c r="S35" i="5"/>
  <c r="P35" i="5"/>
  <c r="I9" i="39" s="1"/>
  <c r="M35" i="5"/>
  <c r="G35" i="5"/>
  <c r="I6" i="39" s="1"/>
  <c r="I35" i="5"/>
  <c r="U35" i="3"/>
  <c r="S35" i="3"/>
  <c r="B10" i="39" s="1"/>
  <c r="O35" i="3"/>
  <c r="M35" i="3"/>
  <c r="J35" i="3"/>
  <c r="B7" i="39" s="1"/>
  <c r="G35" i="3"/>
  <c r="B6" i="39" s="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AW53" i="30"/>
  <c r="AR53" i="30"/>
  <c r="AM53" i="30"/>
  <c r="AH53" i="30"/>
  <c r="AC53" i="30"/>
  <c r="X53" i="30"/>
  <c r="AW52" i="30"/>
  <c r="AR52" i="30"/>
  <c r="AM52" i="30"/>
  <c r="AH52" i="30"/>
  <c r="AC52" i="30"/>
  <c r="X52" i="30"/>
  <c r="AW51" i="30"/>
  <c r="AR51" i="30"/>
  <c r="AM51" i="30"/>
  <c r="AH51" i="30"/>
  <c r="AC51" i="30"/>
  <c r="X51" i="30"/>
  <c r="AW50" i="30"/>
  <c r="AR50" i="30"/>
  <c r="AM50" i="30"/>
  <c r="AH50" i="30"/>
  <c r="AC50" i="30"/>
  <c r="X50" i="30"/>
  <c r="AW49" i="30"/>
  <c r="AR49" i="30"/>
  <c r="AM49" i="30"/>
  <c r="AH49" i="30"/>
  <c r="AC49" i="30"/>
  <c r="X49" i="30"/>
  <c r="AW48" i="30"/>
  <c r="AR48" i="30"/>
  <c r="AM48" i="30"/>
  <c r="AH48" i="30"/>
  <c r="AC48" i="30"/>
  <c r="X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AW61" i="32"/>
  <c r="AR61" i="32"/>
  <c r="AM61" i="32"/>
  <c r="AH61" i="32"/>
  <c r="AC61" i="32"/>
  <c r="X61" i="32"/>
  <c r="AW60" i="32"/>
  <c r="AR60" i="32"/>
  <c r="AM60" i="32"/>
  <c r="AH60" i="32"/>
  <c r="AC60" i="32"/>
  <c r="X60" i="32"/>
  <c r="AW59" i="32"/>
  <c r="AR59" i="32"/>
  <c r="AM59" i="32"/>
  <c r="AH59" i="32"/>
  <c r="AC59" i="32"/>
  <c r="X59" i="32"/>
  <c r="AW58" i="32"/>
  <c r="AR58" i="32"/>
  <c r="AM58" i="32"/>
  <c r="AH58" i="32"/>
  <c r="AC58" i="32"/>
  <c r="X58" i="32"/>
  <c r="AW57" i="32"/>
  <c r="AR57" i="32"/>
  <c r="AM57" i="32"/>
  <c r="AH57" i="32"/>
  <c r="AC57" i="32"/>
  <c r="X57" i="32"/>
  <c r="AW56" i="32"/>
  <c r="AR56" i="32"/>
  <c r="AM56" i="32"/>
  <c r="AH56" i="32"/>
  <c r="AC56" i="32"/>
  <c r="X56" i="32"/>
  <c r="AW55" i="32"/>
  <c r="AR55" i="32"/>
  <c r="AM55" i="32"/>
  <c r="AH55" i="32"/>
  <c r="AC55" i="32"/>
  <c r="X55" i="32"/>
  <c r="AW54" i="32"/>
  <c r="AR54" i="32"/>
  <c r="AM54" i="32"/>
  <c r="AH54" i="32"/>
  <c r="AC54" i="32"/>
  <c r="X54" i="32"/>
  <c r="AW53" i="32"/>
  <c r="AR53" i="32"/>
  <c r="AM53" i="32"/>
  <c r="AH53" i="32"/>
  <c r="AC53" i="32"/>
  <c r="X53" i="32"/>
  <c r="AW52" i="32"/>
  <c r="AR52" i="32"/>
  <c r="AM52" i="32"/>
  <c r="AH52" i="32"/>
  <c r="AC52" i="32"/>
  <c r="X52" i="32"/>
  <c r="AW51" i="32"/>
  <c r="AR51" i="32"/>
  <c r="AM51" i="32"/>
  <c r="AH51" i="32"/>
  <c r="AC51" i="32"/>
  <c r="X51" i="32"/>
  <c r="AW50" i="32"/>
  <c r="AR50" i="32"/>
  <c r="AM50" i="32"/>
  <c r="AH50" i="32"/>
  <c r="AC50" i="32"/>
  <c r="X50" i="32"/>
  <c r="AW49" i="32"/>
  <c r="AR49" i="32"/>
  <c r="AM49" i="32"/>
  <c r="AH49" i="32"/>
  <c r="AC49" i="32"/>
  <c r="X49" i="32"/>
  <c r="AW48" i="32"/>
  <c r="AR48" i="32"/>
  <c r="AM48" i="32"/>
  <c r="AH48" i="32"/>
  <c r="AC48" i="32"/>
  <c r="X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AW61" i="34"/>
  <c r="AR61" i="34"/>
  <c r="AM61" i="34"/>
  <c r="AH61" i="34"/>
  <c r="AC61" i="34"/>
  <c r="X61" i="34"/>
  <c r="AW60" i="34"/>
  <c r="AR60" i="34"/>
  <c r="AM60" i="34"/>
  <c r="AH60" i="34"/>
  <c r="AC60" i="34"/>
  <c r="X60" i="34"/>
  <c r="AW59" i="34"/>
  <c r="AR59" i="34"/>
  <c r="AM59" i="34"/>
  <c r="AH59" i="34"/>
  <c r="AC59" i="34"/>
  <c r="X59" i="34"/>
  <c r="AW58" i="34"/>
  <c r="AR58" i="34"/>
  <c r="AM58" i="34"/>
  <c r="AH58" i="34"/>
  <c r="AC58" i="34"/>
  <c r="X58" i="34"/>
  <c r="AW57" i="34"/>
  <c r="AR57" i="34"/>
  <c r="AM57" i="34"/>
  <c r="AH57" i="34"/>
  <c r="AC57" i="34"/>
  <c r="X57" i="34"/>
  <c r="AW56" i="34"/>
  <c r="AR56" i="34"/>
  <c r="AM56" i="34"/>
  <c r="AH56" i="34"/>
  <c r="AC56" i="34"/>
  <c r="X56" i="34"/>
  <c r="AW55" i="34"/>
  <c r="AR55" i="34"/>
  <c r="AM55" i="34"/>
  <c r="AH55" i="34"/>
  <c r="AC55" i="34"/>
  <c r="X55" i="34"/>
  <c r="AW54" i="34"/>
  <c r="AR54" i="34"/>
  <c r="AM54" i="34"/>
  <c r="AH54" i="34"/>
  <c r="AC54" i="34"/>
  <c r="X54" i="34"/>
  <c r="AW53" i="34"/>
  <c r="AR53" i="34"/>
  <c r="AM53" i="34"/>
  <c r="AH53" i="34"/>
  <c r="AC53" i="34"/>
  <c r="X53" i="34"/>
  <c r="AW52" i="34"/>
  <c r="AR52" i="34"/>
  <c r="AM52" i="34"/>
  <c r="AH52" i="34"/>
  <c r="AC52" i="34"/>
  <c r="X52" i="34"/>
  <c r="AW51" i="34"/>
  <c r="AR51" i="34"/>
  <c r="AM51" i="34"/>
  <c r="AH51" i="34"/>
  <c r="AC51" i="34"/>
  <c r="X51" i="34"/>
  <c r="AW50" i="34"/>
  <c r="AR50" i="34"/>
  <c r="AM50" i="34"/>
  <c r="AH50" i="34"/>
  <c r="AC50" i="34"/>
  <c r="X50" i="34"/>
  <c r="AW49" i="34"/>
  <c r="AR49" i="34"/>
  <c r="AM49" i="34"/>
  <c r="AH49" i="34"/>
  <c r="AC49" i="34"/>
  <c r="X49" i="34"/>
  <c r="AW48" i="34"/>
  <c r="AR48" i="34"/>
  <c r="AM48" i="34"/>
  <c r="AH48" i="34"/>
  <c r="AC48" i="34"/>
  <c r="X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AW61" i="35"/>
  <c r="AR61" i="35"/>
  <c r="AM61" i="35"/>
  <c r="AH61" i="35"/>
  <c r="AC61" i="35"/>
  <c r="X61" i="35"/>
  <c r="AW60" i="35"/>
  <c r="AR60" i="35"/>
  <c r="AM60" i="35"/>
  <c r="AH60" i="35"/>
  <c r="AC60" i="35"/>
  <c r="X60" i="35"/>
  <c r="AW59" i="35"/>
  <c r="AR59" i="35"/>
  <c r="AM59" i="35"/>
  <c r="AH59" i="35"/>
  <c r="AC59" i="35"/>
  <c r="X59" i="35"/>
  <c r="AW58" i="35"/>
  <c r="AR58" i="35"/>
  <c r="AM58" i="35"/>
  <c r="AH58" i="35"/>
  <c r="AC58" i="35"/>
  <c r="X58" i="35"/>
  <c r="AW57" i="35"/>
  <c r="AR57" i="35"/>
  <c r="AM57" i="35"/>
  <c r="AH57" i="35"/>
  <c r="AC57" i="35"/>
  <c r="X57" i="35"/>
  <c r="AW56" i="35"/>
  <c r="AR56" i="35"/>
  <c r="AM56" i="35"/>
  <c r="AH56" i="35"/>
  <c r="AC56" i="35"/>
  <c r="X56" i="35"/>
  <c r="AW55" i="35"/>
  <c r="AR55" i="35"/>
  <c r="AM55" i="35"/>
  <c r="AH55" i="35"/>
  <c r="AC55" i="35"/>
  <c r="X55" i="35"/>
  <c r="AW54" i="35"/>
  <c r="AR54" i="35"/>
  <c r="AM54" i="35"/>
  <c r="AH54" i="35"/>
  <c r="AC54" i="35"/>
  <c r="X54" i="35"/>
  <c r="AW53" i="35"/>
  <c r="AR53" i="35"/>
  <c r="AM53" i="35"/>
  <c r="AH53" i="35"/>
  <c r="AC53" i="35"/>
  <c r="X53" i="35"/>
  <c r="AW52" i="35"/>
  <c r="AR52" i="35"/>
  <c r="AM52" i="35"/>
  <c r="AH52" i="35"/>
  <c r="AC52" i="35"/>
  <c r="X52" i="35"/>
  <c r="AW51" i="35"/>
  <c r="AR51" i="35"/>
  <c r="AM51" i="35"/>
  <c r="AH51" i="35"/>
  <c r="AC51" i="35"/>
  <c r="X51" i="35"/>
  <c r="AW50" i="35"/>
  <c r="AR50" i="35"/>
  <c r="AM50" i="35"/>
  <c r="AH50" i="35"/>
  <c r="AC50" i="35"/>
  <c r="X50" i="35"/>
  <c r="AW49" i="35"/>
  <c r="AR49" i="35"/>
  <c r="AM49" i="35"/>
  <c r="AH49" i="35"/>
  <c r="AC49" i="35"/>
  <c r="X49" i="35"/>
  <c r="AW48" i="35"/>
  <c r="AR48" i="35"/>
  <c r="AM48" i="35"/>
  <c r="AH48" i="35"/>
  <c r="AC48" i="35"/>
  <c r="X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AW51" i="36"/>
  <c r="AR51" i="36"/>
  <c r="AM51" i="36"/>
  <c r="AH51" i="36"/>
  <c r="AC51" i="36"/>
  <c r="X51" i="36"/>
  <c r="AW50" i="36"/>
  <c r="AR50" i="36"/>
  <c r="AM50" i="36"/>
  <c r="AH50" i="36"/>
  <c r="AC50" i="36"/>
  <c r="X50" i="36"/>
  <c r="AW49" i="36"/>
  <c r="AR49" i="36"/>
  <c r="AM49" i="36"/>
  <c r="AH49" i="36"/>
  <c r="AC49" i="36"/>
  <c r="X49" i="36"/>
  <c r="AW48" i="36"/>
  <c r="AR48" i="36"/>
  <c r="AM48" i="36"/>
  <c r="AH48" i="36"/>
  <c r="AC48" i="36"/>
  <c r="X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AW54" i="37"/>
  <c r="AR54" i="37"/>
  <c r="AM54" i="37"/>
  <c r="AH54" i="37"/>
  <c r="AC54" i="37"/>
  <c r="X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AW51" i="37"/>
  <c r="AR51" i="37"/>
  <c r="AM51" i="37"/>
  <c r="AH51" i="37"/>
  <c r="AC51" i="37"/>
  <c r="X51" i="37"/>
  <c r="AW50" i="37"/>
  <c r="AR50" i="37"/>
  <c r="AM50" i="37"/>
  <c r="AH50" i="37"/>
  <c r="AC50" i="37"/>
  <c r="X50" i="37"/>
  <c r="AW49" i="37"/>
  <c r="AR49" i="37"/>
  <c r="AM49" i="37"/>
  <c r="AH49" i="37"/>
  <c r="AC49" i="37"/>
  <c r="X49" i="37"/>
  <c r="AW48" i="37"/>
  <c r="AR48" i="37"/>
  <c r="AM48" i="37"/>
  <c r="AH48" i="37"/>
  <c r="AC48" i="37"/>
  <c r="X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AW41" i="30"/>
  <c r="AR41" i="30"/>
  <c r="AM41" i="30"/>
  <c r="AH41" i="30"/>
  <c r="AC41" i="30"/>
  <c r="X41" i="30"/>
  <c r="AW40" i="30"/>
  <c r="AR40" i="30"/>
  <c r="AM40" i="30"/>
  <c r="AH40" i="30"/>
  <c r="AC40" i="30"/>
  <c r="X40" i="30"/>
  <c r="AW39" i="30"/>
  <c r="AR39" i="30"/>
  <c r="AM39" i="30"/>
  <c r="AH39" i="30"/>
  <c r="AC39" i="30"/>
  <c r="X39" i="30"/>
  <c r="AW38" i="30"/>
  <c r="AR38" i="30"/>
  <c r="AM38" i="30"/>
  <c r="AH38" i="30"/>
  <c r="AC38" i="30"/>
  <c r="X38" i="30"/>
  <c r="AW37" i="30"/>
  <c r="AR37" i="30"/>
  <c r="AM37" i="30"/>
  <c r="AH37" i="30"/>
  <c r="AC37" i="30"/>
  <c r="X37" i="30"/>
  <c r="AW36" i="30"/>
  <c r="AR36" i="30"/>
  <c r="AM36" i="30"/>
  <c r="AH36" i="30"/>
  <c r="AC36" i="30"/>
  <c r="X36" i="30"/>
  <c r="AW35" i="30"/>
  <c r="AR35" i="30"/>
  <c r="AM35" i="30"/>
  <c r="AH35" i="30"/>
  <c r="AC35" i="30"/>
  <c r="X35" i="30"/>
  <c r="AW34" i="30"/>
  <c r="AR34" i="30"/>
  <c r="AM34" i="30"/>
  <c r="AH34" i="30"/>
  <c r="AC34" i="30"/>
  <c r="X34" i="30"/>
  <c r="AW33" i="30"/>
  <c r="AR33" i="30"/>
  <c r="AM33" i="30"/>
  <c r="AH33" i="30"/>
  <c r="AC33" i="30"/>
  <c r="X33" i="30"/>
  <c r="AW32" i="30"/>
  <c r="AR32" i="30"/>
  <c r="AM32" i="30"/>
  <c r="AH32" i="30"/>
  <c r="AC32" i="30"/>
  <c r="X32" i="30"/>
  <c r="AW31" i="30"/>
  <c r="AR31" i="30"/>
  <c r="AM31" i="30"/>
  <c r="AH31" i="30"/>
  <c r="AC31" i="30"/>
  <c r="X31" i="30"/>
  <c r="AW30" i="30"/>
  <c r="AR30" i="30"/>
  <c r="AM30" i="30"/>
  <c r="AH30" i="30"/>
  <c r="AC30" i="30"/>
  <c r="X30" i="30"/>
  <c r="AW29" i="30"/>
  <c r="AR29" i="30"/>
  <c r="AM29" i="30"/>
  <c r="AH29" i="30"/>
  <c r="AC29" i="30"/>
  <c r="X29" i="30"/>
  <c r="AW28" i="30"/>
  <c r="AR28" i="30"/>
  <c r="AM28" i="30"/>
  <c r="AH28" i="30"/>
  <c r="AC28" i="30"/>
  <c r="X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AW41" i="32"/>
  <c r="AR41" i="32"/>
  <c r="AM41" i="32"/>
  <c r="AH41" i="32"/>
  <c r="AC41" i="32"/>
  <c r="X41" i="32"/>
  <c r="AW40" i="32"/>
  <c r="AR40" i="32"/>
  <c r="AM40" i="32"/>
  <c r="AH40" i="32"/>
  <c r="AC40" i="32"/>
  <c r="X40" i="32"/>
  <c r="AW39" i="32"/>
  <c r="AR39" i="32"/>
  <c r="AM39" i="32"/>
  <c r="AH39" i="32"/>
  <c r="AC39" i="32"/>
  <c r="X39" i="32"/>
  <c r="AW38" i="32"/>
  <c r="AR38" i="32"/>
  <c r="AM38" i="32"/>
  <c r="AH38" i="32"/>
  <c r="AC38" i="32"/>
  <c r="X38" i="32"/>
  <c r="AW37" i="32"/>
  <c r="AR37" i="32"/>
  <c r="AM37" i="32"/>
  <c r="AH37" i="32"/>
  <c r="AC37" i="32"/>
  <c r="X37" i="32"/>
  <c r="AW36" i="32"/>
  <c r="AR36" i="32"/>
  <c r="AM36" i="32"/>
  <c r="AH36" i="32"/>
  <c r="AC36" i="32"/>
  <c r="X36" i="32"/>
  <c r="AW35" i="32"/>
  <c r="AR35" i="32"/>
  <c r="AM35" i="32"/>
  <c r="AH35" i="32"/>
  <c r="AC35" i="32"/>
  <c r="X35" i="32"/>
  <c r="AW34" i="32"/>
  <c r="AR34" i="32"/>
  <c r="AM34" i="32"/>
  <c r="AH34" i="32"/>
  <c r="AC34" i="32"/>
  <c r="X34" i="32"/>
  <c r="AW33" i="32"/>
  <c r="AR33" i="32"/>
  <c r="AM33" i="32"/>
  <c r="AH33" i="32"/>
  <c r="AC33" i="32"/>
  <c r="X33" i="32"/>
  <c r="AW32" i="32"/>
  <c r="AR32" i="32"/>
  <c r="AM32" i="32"/>
  <c r="AH32" i="32"/>
  <c r="AC32" i="32"/>
  <c r="X32" i="32"/>
  <c r="AW31" i="32"/>
  <c r="AR31" i="32"/>
  <c r="AM31" i="32"/>
  <c r="AH31" i="32"/>
  <c r="AC31" i="32"/>
  <c r="X31" i="32"/>
  <c r="AW30" i="32"/>
  <c r="AR30" i="32"/>
  <c r="AM30" i="32"/>
  <c r="AH30" i="32"/>
  <c r="AC30" i="32"/>
  <c r="X30" i="32"/>
  <c r="AW29" i="32"/>
  <c r="AR29" i="32"/>
  <c r="AM29" i="32"/>
  <c r="AH29" i="32"/>
  <c r="AC29" i="32"/>
  <c r="X29" i="32"/>
  <c r="AW28" i="32"/>
  <c r="AR28" i="32"/>
  <c r="AM28" i="32"/>
  <c r="AH28" i="32"/>
  <c r="AC28" i="32"/>
  <c r="X28" i="32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AW41" i="31"/>
  <c r="AR41" i="31"/>
  <c r="AM41" i="31"/>
  <c r="AH41" i="31"/>
  <c r="AC41" i="31"/>
  <c r="X41" i="31"/>
  <c r="AW40" i="31"/>
  <c r="AR40" i="31"/>
  <c r="AM40" i="31"/>
  <c r="AH40" i="31"/>
  <c r="AC40" i="31"/>
  <c r="X40" i="31"/>
  <c r="AW39" i="31"/>
  <c r="AR39" i="31"/>
  <c r="AM39" i="31"/>
  <c r="AH39" i="31"/>
  <c r="AC39" i="31"/>
  <c r="X39" i="31"/>
  <c r="AW38" i="31"/>
  <c r="AR38" i="31"/>
  <c r="AM38" i="31"/>
  <c r="AH38" i="31"/>
  <c r="AC38" i="31"/>
  <c r="X38" i="31"/>
  <c r="AW37" i="31"/>
  <c r="AR37" i="31"/>
  <c r="AM37" i="31"/>
  <c r="AH37" i="31"/>
  <c r="AC37" i="31"/>
  <c r="X37" i="31"/>
  <c r="AW36" i="31"/>
  <c r="AR36" i="31"/>
  <c r="AM36" i="31"/>
  <c r="AH36" i="31"/>
  <c r="AC36" i="31"/>
  <c r="X36" i="31"/>
  <c r="AW35" i="31"/>
  <c r="AR35" i="31"/>
  <c r="AM35" i="31"/>
  <c r="AH35" i="31"/>
  <c r="AC35" i="31"/>
  <c r="X35" i="31"/>
  <c r="AW34" i="31"/>
  <c r="AR34" i="31"/>
  <c r="AM34" i="31"/>
  <c r="AH34" i="31"/>
  <c r="AC34" i="31"/>
  <c r="X34" i="31"/>
  <c r="AW33" i="31"/>
  <c r="AR33" i="31"/>
  <c r="AM33" i="31"/>
  <c r="AH33" i="31"/>
  <c r="AC33" i="31"/>
  <c r="X33" i="31"/>
  <c r="AW32" i="31"/>
  <c r="AR32" i="31"/>
  <c r="AM32" i="31"/>
  <c r="AH32" i="31"/>
  <c r="AC32" i="31"/>
  <c r="X32" i="31"/>
  <c r="AW31" i="31"/>
  <c r="AR31" i="31"/>
  <c r="AM31" i="31"/>
  <c r="AH31" i="31"/>
  <c r="AC31" i="31"/>
  <c r="X31" i="31"/>
  <c r="AW30" i="31"/>
  <c r="AR30" i="31"/>
  <c r="AM30" i="31"/>
  <c r="AH30" i="31"/>
  <c r="AC30" i="31"/>
  <c r="X30" i="31"/>
  <c r="AW29" i="31"/>
  <c r="AR29" i="31"/>
  <c r="AM29" i="31"/>
  <c r="AH29" i="31"/>
  <c r="AC29" i="31"/>
  <c r="X29" i="31"/>
  <c r="AW28" i="31"/>
  <c r="AR28" i="31"/>
  <c r="AM28" i="31"/>
  <c r="AH28" i="31"/>
  <c r="AC28" i="31"/>
  <c r="X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AW41" i="34"/>
  <c r="AR41" i="34"/>
  <c r="AM41" i="34"/>
  <c r="AH41" i="34"/>
  <c r="AC41" i="34"/>
  <c r="X41" i="34"/>
  <c r="AW40" i="34"/>
  <c r="AR40" i="34"/>
  <c r="AM40" i="34"/>
  <c r="AH40" i="34"/>
  <c r="AC40" i="34"/>
  <c r="X40" i="34"/>
  <c r="AW39" i="34"/>
  <c r="AR39" i="34"/>
  <c r="AM39" i="34"/>
  <c r="AH39" i="34"/>
  <c r="AC39" i="34"/>
  <c r="X39" i="34"/>
  <c r="AW38" i="34"/>
  <c r="AR38" i="34"/>
  <c r="AM38" i="34"/>
  <c r="AH38" i="34"/>
  <c r="AC38" i="34"/>
  <c r="X38" i="34"/>
  <c r="AW37" i="34"/>
  <c r="AR37" i="34"/>
  <c r="AM37" i="34"/>
  <c r="AH37" i="34"/>
  <c r="AC37" i="34"/>
  <c r="X37" i="34"/>
  <c r="AW36" i="34"/>
  <c r="AR36" i="34"/>
  <c r="AM36" i="34"/>
  <c r="AH36" i="34"/>
  <c r="AC36" i="34"/>
  <c r="X36" i="34"/>
  <c r="AW35" i="34"/>
  <c r="AR35" i="34"/>
  <c r="AM35" i="34"/>
  <c r="AH35" i="34"/>
  <c r="AC35" i="34"/>
  <c r="X35" i="34"/>
  <c r="AW34" i="34"/>
  <c r="AR34" i="34"/>
  <c r="AM34" i="34"/>
  <c r="AH34" i="34"/>
  <c r="AC34" i="34"/>
  <c r="X34" i="34"/>
  <c r="AW33" i="34"/>
  <c r="AR33" i="34"/>
  <c r="AM33" i="34"/>
  <c r="AH33" i="34"/>
  <c r="AC33" i="34"/>
  <c r="X33" i="34"/>
  <c r="AW32" i="34"/>
  <c r="AR32" i="34"/>
  <c r="AM32" i="34"/>
  <c r="AH32" i="34"/>
  <c r="AC32" i="34"/>
  <c r="X32" i="34"/>
  <c r="AW31" i="34"/>
  <c r="AR31" i="34"/>
  <c r="AM31" i="34"/>
  <c r="AH31" i="34"/>
  <c r="AC31" i="34"/>
  <c r="X31" i="34"/>
  <c r="AW30" i="34"/>
  <c r="AR30" i="34"/>
  <c r="AM30" i="34"/>
  <c r="AH30" i="34"/>
  <c r="AC30" i="34"/>
  <c r="X30" i="34"/>
  <c r="AW29" i="34"/>
  <c r="AR29" i="34"/>
  <c r="AM29" i="34"/>
  <c r="AH29" i="34"/>
  <c r="AC29" i="34"/>
  <c r="X29" i="34"/>
  <c r="AW28" i="34"/>
  <c r="AR28" i="34"/>
  <c r="AM28" i="34"/>
  <c r="AH28" i="34"/>
  <c r="AC28" i="34"/>
  <c r="X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AW41" i="35"/>
  <c r="AR41" i="35"/>
  <c r="AM41" i="35"/>
  <c r="AH41" i="35"/>
  <c r="AC41" i="35"/>
  <c r="X41" i="35"/>
  <c r="AW40" i="35"/>
  <c r="AR40" i="35"/>
  <c r="AM40" i="35"/>
  <c r="AH40" i="35"/>
  <c r="AC40" i="35"/>
  <c r="X40" i="35"/>
  <c r="AW39" i="35"/>
  <c r="AR39" i="35"/>
  <c r="AM39" i="35"/>
  <c r="AH39" i="35"/>
  <c r="AC39" i="35"/>
  <c r="X39" i="35"/>
  <c r="AW38" i="35"/>
  <c r="AR38" i="35"/>
  <c r="AM38" i="35"/>
  <c r="AH38" i="35"/>
  <c r="AC38" i="35"/>
  <c r="X38" i="35"/>
  <c r="AW37" i="35"/>
  <c r="AR37" i="35"/>
  <c r="AM37" i="35"/>
  <c r="AH37" i="35"/>
  <c r="AC37" i="35"/>
  <c r="X37" i="35"/>
  <c r="AW36" i="35"/>
  <c r="AR36" i="35"/>
  <c r="AM36" i="35"/>
  <c r="AH36" i="35"/>
  <c r="AC36" i="35"/>
  <c r="X36" i="35"/>
  <c r="AW35" i="35"/>
  <c r="AR35" i="35"/>
  <c r="AM35" i="35"/>
  <c r="AH35" i="35"/>
  <c r="AC35" i="35"/>
  <c r="X35" i="35"/>
  <c r="AW34" i="35"/>
  <c r="AR34" i="35"/>
  <c r="AM34" i="35"/>
  <c r="AH34" i="35"/>
  <c r="AC34" i="35"/>
  <c r="X34" i="35"/>
  <c r="AW33" i="35"/>
  <c r="AR33" i="35"/>
  <c r="AM33" i="35"/>
  <c r="AH33" i="35"/>
  <c r="AC33" i="35"/>
  <c r="X33" i="35"/>
  <c r="AW32" i="35"/>
  <c r="AR32" i="35"/>
  <c r="AM32" i="35"/>
  <c r="AH32" i="35"/>
  <c r="AC32" i="35"/>
  <c r="X32" i="35"/>
  <c r="AW31" i="35"/>
  <c r="AR31" i="35"/>
  <c r="AM31" i="35"/>
  <c r="AH31" i="35"/>
  <c r="AC31" i="35"/>
  <c r="X31" i="35"/>
  <c r="AW30" i="35"/>
  <c r="AR30" i="35"/>
  <c r="AM30" i="35"/>
  <c r="AH30" i="35"/>
  <c r="AC30" i="35"/>
  <c r="X30" i="35"/>
  <c r="AW29" i="35"/>
  <c r="AR29" i="35"/>
  <c r="AM29" i="35"/>
  <c r="AH29" i="35"/>
  <c r="AC29" i="35"/>
  <c r="X29" i="35"/>
  <c r="AW28" i="35"/>
  <c r="AR28" i="35"/>
  <c r="AM28" i="35"/>
  <c r="AH28" i="35"/>
  <c r="AC28" i="35"/>
  <c r="X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AW41" i="36"/>
  <c r="AR41" i="36"/>
  <c r="AM41" i="36"/>
  <c r="AH41" i="36"/>
  <c r="AC41" i="36"/>
  <c r="X41" i="36"/>
  <c r="AW40" i="36"/>
  <c r="AR40" i="36"/>
  <c r="AM40" i="36"/>
  <c r="AH40" i="36"/>
  <c r="AC40" i="36"/>
  <c r="X40" i="36"/>
  <c r="AW39" i="36"/>
  <c r="AR39" i="36"/>
  <c r="AM39" i="36"/>
  <c r="AH39" i="36"/>
  <c r="AC39" i="36"/>
  <c r="X39" i="36"/>
  <c r="AW38" i="36"/>
  <c r="AR38" i="36"/>
  <c r="AM38" i="36"/>
  <c r="AH38" i="36"/>
  <c r="AC38" i="36"/>
  <c r="X38" i="36"/>
  <c r="AW37" i="36"/>
  <c r="AR37" i="36"/>
  <c r="AM37" i="36"/>
  <c r="AH37" i="36"/>
  <c r="AC37" i="36"/>
  <c r="X37" i="36"/>
  <c r="AW36" i="36"/>
  <c r="AR36" i="36"/>
  <c r="AM36" i="36"/>
  <c r="AH36" i="36"/>
  <c r="AC36" i="36"/>
  <c r="X36" i="36"/>
  <c r="AW35" i="36"/>
  <c r="AR35" i="36"/>
  <c r="AM35" i="36"/>
  <c r="AH35" i="36"/>
  <c r="AC35" i="36"/>
  <c r="X35" i="36"/>
  <c r="AW34" i="36"/>
  <c r="AR34" i="36"/>
  <c r="AM34" i="36"/>
  <c r="AH34" i="36"/>
  <c r="AC34" i="36"/>
  <c r="X34" i="36"/>
  <c r="AW33" i="36"/>
  <c r="AR33" i="36"/>
  <c r="AM33" i="36"/>
  <c r="AH33" i="36"/>
  <c r="AC33" i="36"/>
  <c r="X33" i="36"/>
  <c r="AW32" i="36"/>
  <c r="AR32" i="36"/>
  <c r="AM32" i="36"/>
  <c r="AH32" i="36"/>
  <c r="AC32" i="36"/>
  <c r="X32" i="36"/>
  <c r="AW31" i="36"/>
  <c r="AR31" i="36"/>
  <c r="AM31" i="36"/>
  <c r="AH31" i="36"/>
  <c r="AC31" i="36"/>
  <c r="X31" i="36"/>
  <c r="AW30" i="36"/>
  <c r="AR30" i="36"/>
  <c r="AM30" i="36"/>
  <c r="AH30" i="36"/>
  <c r="AC30" i="36"/>
  <c r="X30" i="36"/>
  <c r="AW29" i="36"/>
  <c r="AR29" i="36"/>
  <c r="AM29" i="36"/>
  <c r="AH29" i="36"/>
  <c r="AC29" i="36"/>
  <c r="X29" i="36"/>
  <c r="AW28" i="36"/>
  <c r="AR28" i="36"/>
  <c r="AM28" i="36"/>
  <c r="AH28" i="36"/>
  <c r="AC28" i="36"/>
  <c r="X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AW41" i="37"/>
  <c r="AR41" i="37"/>
  <c r="AM41" i="37"/>
  <c r="AH41" i="37"/>
  <c r="AC41" i="37"/>
  <c r="X41" i="37"/>
  <c r="AW40" i="37"/>
  <c r="AR40" i="37"/>
  <c r="AM40" i="37"/>
  <c r="AH40" i="37"/>
  <c r="AC40" i="37"/>
  <c r="X40" i="37"/>
  <c r="AW39" i="37"/>
  <c r="AR39" i="37"/>
  <c r="AM39" i="37"/>
  <c r="AH39" i="37"/>
  <c r="AC39" i="37"/>
  <c r="X39" i="37"/>
  <c r="AW38" i="37"/>
  <c r="AR38" i="37"/>
  <c r="AM38" i="37"/>
  <c r="AH38" i="37"/>
  <c r="AC38" i="37"/>
  <c r="X38" i="37"/>
  <c r="AW37" i="37"/>
  <c r="AR37" i="37"/>
  <c r="AM37" i="37"/>
  <c r="AH37" i="37"/>
  <c r="AC37" i="37"/>
  <c r="X37" i="37"/>
  <c r="AW36" i="37"/>
  <c r="AR36" i="37"/>
  <c r="AM36" i="37"/>
  <c r="AH36" i="37"/>
  <c r="AC36" i="37"/>
  <c r="X36" i="37"/>
  <c r="AW35" i="37"/>
  <c r="AR35" i="37"/>
  <c r="AM35" i="37"/>
  <c r="AH35" i="37"/>
  <c r="AC35" i="37"/>
  <c r="X35" i="37"/>
  <c r="AW34" i="37"/>
  <c r="AR34" i="37"/>
  <c r="AM34" i="37"/>
  <c r="AH34" i="37"/>
  <c r="AC34" i="37"/>
  <c r="X34" i="37"/>
  <c r="AW33" i="37"/>
  <c r="AR33" i="37"/>
  <c r="AM33" i="37"/>
  <c r="AH33" i="37"/>
  <c r="AC33" i="37"/>
  <c r="X33" i="37"/>
  <c r="AW32" i="37"/>
  <c r="AR32" i="37"/>
  <c r="AM32" i="37"/>
  <c r="AH32" i="37"/>
  <c r="AC32" i="37"/>
  <c r="X32" i="37"/>
  <c r="AW31" i="37"/>
  <c r="AR31" i="37"/>
  <c r="AM31" i="37"/>
  <c r="AH31" i="37"/>
  <c r="AC31" i="37"/>
  <c r="X31" i="37"/>
  <c r="AW30" i="37"/>
  <c r="AR30" i="37"/>
  <c r="AM30" i="37"/>
  <c r="AH30" i="37"/>
  <c r="AC30" i="37"/>
  <c r="X30" i="37"/>
  <c r="AW29" i="37"/>
  <c r="AR29" i="37"/>
  <c r="AM29" i="37"/>
  <c r="AH29" i="37"/>
  <c r="AC29" i="37"/>
  <c r="X29" i="37"/>
  <c r="AW28" i="37"/>
  <c r="AR28" i="37"/>
  <c r="AM28" i="37"/>
  <c r="AH28" i="37"/>
  <c r="AC28" i="37"/>
  <c r="X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AW81" i="32"/>
  <c r="AR81" i="32"/>
  <c r="AM81" i="32"/>
  <c r="AH81" i="32"/>
  <c r="AC81" i="32"/>
  <c r="X81" i="32"/>
  <c r="AW80" i="32"/>
  <c r="AR80" i="32"/>
  <c r="AM80" i="32"/>
  <c r="AH80" i="32"/>
  <c r="AC80" i="32"/>
  <c r="X80" i="32"/>
  <c r="AW79" i="32"/>
  <c r="AR79" i="32"/>
  <c r="AM79" i="32"/>
  <c r="AH79" i="32"/>
  <c r="AC79" i="32"/>
  <c r="X79" i="32"/>
  <c r="AW78" i="32"/>
  <c r="AR78" i="32"/>
  <c r="AM78" i="32"/>
  <c r="AH78" i="32"/>
  <c r="AC78" i="32"/>
  <c r="X78" i="32"/>
  <c r="AW77" i="32"/>
  <c r="AR77" i="32"/>
  <c r="AM77" i="32"/>
  <c r="AH77" i="32"/>
  <c r="AC77" i="32"/>
  <c r="X77" i="32"/>
  <c r="AW76" i="32"/>
  <c r="AR76" i="32"/>
  <c r="AM76" i="32"/>
  <c r="AH76" i="32"/>
  <c r="AC76" i="32"/>
  <c r="X76" i="32"/>
  <c r="AW75" i="32"/>
  <c r="AR75" i="32"/>
  <c r="AM75" i="32"/>
  <c r="AH75" i="32"/>
  <c r="AC75" i="32"/>
  <c r="X75" i="32"/>
  <c r="AW74" i="32"/>
  <c r="AR74" i="32"/>
  <c r="AM74" i="32"/>
  <c r="AH74" i="32"/>
  <c r="AC74" i="32"/>
  <c r="X74" i="32"/>
  <c r="AW73" i="32"/>
  <c r="AR73" i="32"/>
  <c r="AM73" i="32"/>
  <c r="AH73" i="32"/>
  <c r="AC73" i="32"/>
  <c r="X73" i="32"/>
  <c r="AW72" i="32"/>
  <c r="AR72" i="32"/>
  <c r="AM72" i="32"/>
  <c r="AH72" i="32"/>
  <c r="AC72" i="32"/>
  <c r="X72" i="32"/>
  <c r="AW71" i="32"/>
  <c r="AR71" i="32"/>
  <c r="AM71" i="32"/>
  <c r="AH71" i="32"/>
  <c r="AC71" i="32"/>
  <c r="X71" i="32"/>
  <c r="AW70" i="32"/>
  <c r="AR70" i="32"/>
  <c r="AM70" i="32"/>
  <c r="AH70" i="32"/>
  <c r="AC70" i="32"/>
  <c r="X70" i="32"/>
  <c r="AW69" i="32"/>
  <c r="AR69" i="32"/>
  <c r="AM69" i="32"/>
  <c r="AH69" i="32"/>
  <c r="AC69" i="32"/>
  <c r="X69" i="32"/>
  <c r="AW68" i="32"/>
  <c r="AR68" i="32"/>
  <c r="AM68" i="32"/>
  <c r="AH68" i="32"/>
  <c r="AC68" i="32"/>
  <c r="X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AW81" i="31"/>
  <c r="AR81" i="31"/>
  <c r="AM81" i="31"/>
  <c r="AH81" i="31"/>
  <c r="AC81" i="31"/>
  <c r="X81" i="31"/>
  <c r="AW80" i="31"/>
  <c r="AR80" i="31"/>
  <c r="AM80" i="31"/>
  <c r="AH80" i="31"/>
  <c r="AC80" i="31"/>
  <c r="X80" i="31"/>
  <c r="AW79" i="31"/>
  <c r="AR79" i="31"/>
  <c r="AM79" i="31"/>
  <c r="AH79" i="31"/>
  <c r="AC79" i="31"/>
  <c r="X79" i="31"/>
  <c r="AW78" i="31"/>
  <c r="AR78" i="31"/>
  <c r="AM78" i="31"/>
  <c r="AH78" i="31"/>
  <c r="AC78" i="31"/>
  <c r="X78" i="31"/>
  <c r="AW77" i="31"/>
  <c r="AR77" i="31"/>
  <c r="AM77" i="31"/>
  <c r="AH77" i="31"/>
  <c r="AC77" i="31"/>
  <c r="X77" i="31"/>
  <c r="AW76" i="31"/>
  <c r="AR76" i="31"/>
  <c r="AM76" i="31"/>
  <c r="AH76" i="31"/>
  <c r="AC76" i="31"/>
  <c r="X76" i="31"/>
  <c r="AW75" i="31"/>
  <c r="AR75" i="31"/>
  <c r="AM75" i="31"/>
  <c r="AH75" i="31"/>
  <c r="AC75" i="31"/>
  <c r="X75" i="31"/>
  <c r="AW74" i="31"/>
  <c r="AR74" i="31"/>
  <c r="AM74" i="31"/>
  <c r="AH74" i="31"/>
  <c r="AC74" i="31"/>
  <c r="X74" i="31"/>
  <c r="AW73" i="31"/>
  <c r="AR73" i="31"/>
  <c r="AM73" i="31"/>
  <c r="AH73" i="31"/>
  <c r="AC73" i="31"/>
  <c r="X73" i="31"/>
  <c r="AW72" i="31"/>
  <c r="AR72" i="31"/>
  <c r="AM72" i="31"/>
  <c r="AH72" i="31"/>
  <c r="AC72" i="31"/>
  <c r="X72" i="31"/>
  <c r="AW71" i="31"/>
  <c r="AR71" i="31"/>
  <c r="AM71" i="31"/>
  <c r="AH71" i="31"/>
  <c r="AC71" i="31"/>
  <c r="X71" i="31"/>
  <c r="AW70" i="31"/>
  <c r="AR70" i="31"/>
  <c r="AM70" i="31"/>
  <c r="AH70" i="31"/>
  <c r="AC70" i="31"/>
  <c r="X70" i="31"/>
  <c r="AW69" i="31"/>
  <c r="AR69" i="31"/>
  <c r="AM69" i="31"/>
  <c r="AH69" i="31"/>
  <c r="AC69" i="31"/>
  <c r="X69" i="31"/>
  <c r="AW68" i="31"/>
  <c r="AR68" i="31"/>
  <c r="AM68" i="31"/>
  <c r="AH68" i="31"/>
  <c r="AC68" i="31"/>
  <c r="X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AW81" i="34"/>
  <c r="AR81" i="34"/>
  <c r="AM81" i="34"/>
  <c r="AH81" i="34"/>
  <c r="AC81" i="34"/>
  <c r="X81" i="34"/>
  <c r="AW80" i="34"/>
  <c r="AR80" i="34"/>
  <c r="AM80" i="34"/>
  <c r="AH80" i="34"/>
  <c r="AC80" i="34"/>
  <c r="X80" i="34"/>
  <c r="AW79" i="34"/>
  <c r="AR79" i="34"/>
  <c r="AM79" i="34"/>
  <c r="AH79" i="34"/>
  <c r="AC79" i="34"/>
  <c r="X79" i="34"/>
  <c r="AW78" i="34"/>
  <c r="AR78" i="34"/>
  <c r="AM78" i="34"/>
  <c r="AH78" i="34"/>
  <c r="AC78" i="34"/>
  <c r="X78" i="34"/>
  <c r="AW77" i="34"/>
  <c r="AR77" i="34"/>
  <c r="AM77" i="34"/>
  <c r="AH77" i="34"/>
  <c r="AC77" i="34"/>
  <c r="X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AW73" i="34"/>
  <c r="AR73" i="34"/>
  <c r="AM73" i="34"/>
  <c r="AH73" i="34"/>
  <c r="AC73" i="34"/>
  <c r="X73" i="34"/>
  <c r="AW72" i="34"/>
  <c r="AR72" i="34"/>
  <c r="AM72" i="34"/>
  <c r="AH72" i="34"/>
  <c r="AC72" i="34"/>
  <c r="X72" i="34"/>
  <c r="AW71" i="34"/>
  <c r="AR71" i="34"/>
  <c r="AM71" i="34"/>
  <c r="AH71" i="34"/>
  <c r="AC71" i="34"/>
  <c r="X71" i="34"/>
  <c r="AW70" i="34"/>
  <c r="AR70" i="34"/>
  <c r="AM70" i="34"/>
  <c r="AH70" i="34"/>
  <c r="AC70" i="34"/>
  <c r="X70" i="34"/>
  <c r="AW69" i="34"/>
  <c r="AR69" i="34"/>
  <c r="AM69" i="34"/>
  <c r="AH69" i="34"/>
  <c r="AC69" i="34"/>
  <c r="X69" i="34"/>
  <c r="AW68" i="34"/>
  <c r="AR68" i="34"/>
  <c r="AM68" i="34"/>
  <c r="AH68" i="34"/>
  <c r="AC68" i="34"/>
  <c r="X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AW81" i="35"/>
  <c r="AR81" i="35"/>
  <c r="AM81" i="35"/>
  <c r="AH81" i="35"/>
  <c r="AC81" i="35"/>
  <c r="X81" i="35"/>
  <c r="AW80" i="35"/>
  <c r="AR80" i="35"/>
  <c r="AM80" i="35"/>
  <c r="AH80" i="35"/>
  <c r="AC80" i="35"/>
  <c r="X80" i="35"/>
  <c r="AW79" i="35"/>
  <c r="AR79" i="35"/>
  <c r="AM79" i="35"/>
  <c r="AH79" i="35"/>
  <c r="AC79" i="35"/>
  <c r="X79" i="35"/>
  <c r="AW78" i="35"/>
  <c r="AR78" i="35"/>
  <c r="AM78" i="35"/>
  <c r="AH78" i="35"/>
  <c r="AC78" i="35"/>
  <c r="X78" i="35"/>
  <c r="AW77" i="35"/>
  <c r="AR77" i="35"/>
  <c r="AM77" i="35"/>
  <c r="AH77" i="35"/>
  <c r="AC77" i="35"/>
  <c r="X77" i="35"/>
  <c r="AW76" i="35"/>
  <c r="AR76" i="35"/>
  <c r="AM76" i="35"/>
  <c r="AH76" i="35"/>
  <c r="AC76" i="35"/>
  <c r="X76" i="35"/>
  <c r="AW75" i="35"/>
  <c r="AR75" i="35"/>
  <c r="AM75" i="35"/>
  <c r="AH75" i="35"/>
  <c r="AC75" i="35"/>
  <c r="X75" i="35"/>
  <c r="AW74" i="35"/>
  <c r="AR74" i="35"/>
  <c r="AM74" i="35"/>
  <c r="AH74" i="35"/>
  <c r="AC74" i="35"/>
  <c r="X74" i="35"/>
  <c r="AW73" i="35"/>
  <c r="AR73" i="35"/>
  <c r="AM73" i="35"/>
  <c r="AH73" i="35"/>
  <c r="AC73" i="35"/>
  <c r="X73" i="35"/>
  <c r="AW72" i="35"/>
  <c r="AR72" i="35"/>
  <c r="AM72" i="35"/>
  <c r="AH72" i="35"/>
  <c r="AC72" i="35"/>
  <c r="X72" i="35"/>
  <c r="AW71" i="35"/>
  <c r="AR71" i="35"/>
  <c r="AM71" i="35"/>
  <c r="AH71" i="35"/>
  <c r="AC71" i="35"/>
  <c r="X71" i="35"/>
  <c r="AW70" i="35"/>
  <c r="AR70" i="35"/>
  <c r="AM70" i="35"/>
  <c r="AH70" i="35"/>
  <c r="AC70" i="35"/>
  <c r="X70" i="35"/>
  <c r="AW69" i="35"/>
  <c r="AR69" i="35"/>
  <c r="AM69" i="35"/>
  <c r="AH69" i="35"/>
  <c r="AC69" i="35"/>
  <c r="X69" i="35"/>
  <c r="AW68" i="35"/>
  <c r="AR68" i="35"/>
  <c r="AM68" i="35"/>
  <c r="AH68" i="35"/>
  <c r="AC68" i="35"/>
  <c r="X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AW81" i="36"/>
  <c r="AR81" i="36"/>
  <c r="AM81" i="36"/>
  <c r="AH81" i="36"/>
  <c r="AC81" i="36"/>
  <c r="X81" i="36"/>
  <c r="AW80" i="36"/>
  <c r="AR80" i="36"/>
  <c r="AM80" i="36"/>
  <c r="AH80" i="36"/>
  <c r="AC80" i="36"/>
  <c r="X80" i="36"/>
  <c r="AW79" i="36"/>
  <c r="AR79" i="36"/>
  <c r="AM79" i="36"/>
  <c r="AH79" i="36"/>
  <c r="AC79" i="36"/>
  <c r="X79" i="36"/>
  <c r="AW78" i="36"/>
  <c r="AR78" i="36"/>
  <c r="AM78" i="36"/>
  <c r="AH78" i="36"/>
  <c r="AC78" i="36"/>
  <c r="X78" i="36"/>
  <c r="AW77" i="36"/>
  <c r="AR77" i="36"/>
  <c r="AM77" i="36"/>
  <c r="AH77" i="36"/>
  <c r="AC77" i="36"/>
  <c r="X77" i="36"/>
  <c r="AW76" i="36"/>
  <c r="AR76" i="36"/>
  <c r="AM76" i="36"/>
  <c r="AH76" i="36"/>
  <c r="AC76" i="36"/>
  <c r="X76" i="36"/>
  <c r="AW75" i="36"/>
  <c r="AR75" i="36"/>
  <c r="AM75" i="36"/>
  <c r="AH75" i="36"/>
  <c r="AC75" i="36"/>
  <c r="X75" i="36"/>
  <c r="AW74" i="36"/>
  <c r="AR74" i="36"/>
  <c r="AM74" i="36"/>
  <c r="AH74" i="36"/>
  <c r="AC74" i="36"/>
  <c r="X74" i="36"/>
  <c r="AW73" i="36"/>
  <c r="AR73" i="36"/>
  <c r="AM73" i="36"/>
  <c r="AH73" i="36"/>
  <c r="AC73" i="36"/>
  <c r="X73" i="36"/>
  <c r="AW72" i="36"/>
  <c r="AR72" i="36"/>
  <c r="AM72" i="36"/>
  <c r="AH72" i="36"/>
  <c r="AC72" i="36"/>
  <c r="X72" i="36"/>
  <c r="AW71" i="36"/>
  <c r="AR71" i="36"/>
  <c r="AM71" i="36"/>
  <c r="AH71" i="36"/>
  <c r="AC71" i="36"/>
  <c r="X71" i="36"/>
  <c r="AW70" i="36"/>
  <c r="AR70" i="36"/>
  <c r="AM70" i="36"/>
  <c r="AH70" i="36"/>
  <c r="AC70" i="36"/>
  <c r="X70" i="36"/>
  <c r="AW69" i="36"/>
  <c r="AR69" i="36"/>
  <c r="AM69" i="36"/>
  <c r="AH69" i="36"/>
  <c r="AC69" i="36"/>
  <c r="X69" i="36"/>
  <c r="AW68" i="36"/>
  <c r="AR68" i="36"/>
  <c r="AM68" i="36"/>
  <c r="AH68" i="36"/>
  <c r="AC68" i="36"/>
  <c r="X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AW81" i="37"/>
  <c r="AR81" i="37"/>
  <c r="AM81" i="37"/>
  <c r="AH81" i="37"/>
  <c r="AC81" i="37"/>
  <c r="X81" i="37"/>
  <c r="AW80" i="37"/>
  <c r="AR80" i="37"/>
  <c r="AM80" i="37"/>
  <c r="AH80" i="37"/>
  <c r="AC80" i="37"/>
  <c r="X80" i="37"/>
  <c r="AW79" i="37"/>
  <c r="AR79" i="37"/>
  <c r="AM79" i="37"/>
  <c r="AH79" i="37"/>
  <c r="AC79" i="37"/>
  <c r="X79" i="37"/>
  <c r="AW78" i="37"/>
  <c r="AR78" i="37"/>
  <c r="AM78" i="37"/>
  <c r="AH78" i="37"/>
  <c r="AC78" i="37"/>
  <c r="X78" i="37"/>
  <c r="AW77" i="37"/>
  <c r="AR77" i="37"/>
  <c r="AM77" i="37"/>
  <c r="AH77" i="37"/>
  <c r="AC77" i="37"/>
  <c r="X77" i="37"/>
  <c r="AW76" i="37"/>
  <c r="AR76" i="37"/>
  <c r="AM76" i="37"/>
  <c r="AH76" i="37"/>
  <c r="AC76" i="37"/>
  <c r="X76" i="37"/>
  <c r="AW75" i="37"/>
  <c r="AR75" i="37"/>
  <c r="AM75" i="37"/>
  <c r="AH75" i="37"/>
  <c r="AC75" i="37"/>
  <c r="X75" i="37"/>
  <c r="AW74" i="37"/>
  <c r="AR74" i="37"/>
  <c r="AM74" i="37"/>
  <c r="AH74" i="37"/>
  <c r="AC74" i="37"/>
  <c r="X74" i="37"/>
  <c r="AW73" i="37"/>
  <c r="AR73" i="37"/>
  <c r="AM73" i="37"/>
  <c r="AH73" i="37"/>
  <c r="AC73" i="37"/>
  <c r="X73" i="37"/>
  <c r="AW72" i="37"/>
  <c r="AR72" i="37"/>
  <c r="AM72" i="37"/>
  <c r="AH72" i="37"/>
  <c r="AC72" i="37"/>
  <c r="X72" i="37"/>
  <c r="AW71" i="37"/>
  <c r="AR71" i="37"/>
  <c r="AM71" i="37"/>
  <c r="AH71" i="37"/>
  <c r="AC71" i="37"/>
  <c r="X71" i="37"/>
  <c r="AW70" i="37"/>
  <c r="AR70" i="37"/>
  <c r="AM70" i="37"/>
  <c r="AH70" i="37"/>
  <c r="AC70" i="37"/>
  <c r="X70" i="37"/>
  <c r="AW69" i="37"/>
  <c r="AR69" i="37"/>
  <c r="AM69" i="37"/>
  <c r="AH69" i="37"/>
  <c r="AC69" i="37"/>
  <c r="X69" i="37"/>
  <c r="AW68" i="37"/>
  <c r="AR68" i="37"/>
  <c r="AM68" i="37"/>
  <c r="AH68" i="37"/>
  <c r="AC68" i="37"/>
  <c r="X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AW81" i="30"/>
  <c r="AR81" i="30"/>
  <c r="AM81" i="30"/>
  <c r="AH81" i="30"/>
  <c r="AC81" i="30"/>
  <c r="X81" i="30"/>
  <c r="AW80" i="30"/>
  <c r="AR80" i="30"/>
  <c r="AM80" i="30"/>
  <c r="AH80" i="30"/>
  <c r="AC80" i="30"/>
  <c r="X80" i="30"/>
  <c r="AW79" i="30"/>
  <c r="AR79" i="30"/>
  <c r="AM79" i="30"/>
  <c r="AH79" i="30"/>
  <c r="AC79" i="30"/>
  <c r="X79" i="30"/>
  <c r="AW78" i="30"/>
  <c r="AR78" i="30"/>
  <c r="AM78" i="30"/>
  <c r="AH78" i="30"/>
  <c r="AC78" i="30"/>
  <c r="X78" i="30"/>
  <c r="AW77" i="30"/>
  <c r="AR77" i="30"/>
  <c r="AM77" i="30"/>
  <c r="AH77" i="30"/>
  <c r="AC77" i="30"/>
  <c r="X77" i="30"/>
  <c r="AW76" i="30"/>
  <c r="AR76" i="30"/>
  <c r="AM76" i="30"/>
  <c r="AH76" i="30"/>
  <c r="AC76" i="30"/>
  <c r="X76" i="30"/>
  <c r="AW75" i="30"/>
  <c r="AR75" i="30"/>
  <c r="AM75" i="30"/>
  <c r="AH75" i="30"/>
  <c r="AC75" i="30"/>
  <c r="X75" i="30"/>
  <c r="AW74" i="30"/>
  <c r="AR74" i="30"/>
  <c r="AM74" i="30"/>
  <c r="AH74" i="30"/>
  <c r="AC74" i="30"/>
  <c r="X74" i="30"/>
  <c r="AW73" i="30"/>
  <c r="AR73" i="30"/>
  <c r="AM73" i="30"/>
  <c r="AH73" i="30"/>
  <c r="AC73" i="30"/>
  <c r="X73" i="30"/>
  <c r="AW72" i="30"/>
  <c r="AR72" i="30"/>
  <c r="AM72" i="30"/>
  <c r="AH72" i="30"/>
  <c r="AC72" i="30"/>
  <c r="X72" i="30"/>
  <c r="AW71" i="30"/>
  <c r="AR71" i="30"/>
  <c r="AM71" i="30"/>
  <c r="AH71" i="30"/>
  <c r="AC71" i="30"/>
  <c r="X71" i="30"/>
  <c r="AW70" i="30"/>
  <c r="AR70" i="30"/>
  <c r="AM70" i="30"/>
  <c r="AH70" i="30"/>
  <c r="AC70" i="30"/>
  <c r="X70" i="30"/>
  <c r="AW69" i="30"/>
  <c r="AR69" i="30"/>
  <c r="AM69" i="30"/>
  <c r="AH69" i="30"/>
  <c r="AC69" i="30"/>
  <c r="X69" i="30"/>
  <c r="AW68" i="30"/>
  <c r="AR68" i="30"/>
  <c r="AM68" i="30"/>
  <c r="AH68" i="30"/>
  <c r="AC68" i="30"/>
  <c r="X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AW21" i="30"/>
  <c r="AR21" i="30"/>
  <c r="AM21" i="30"/>
  <c r="AH21" i="30"/>
  <c r="AC21" i="30"/>
  <c r="X21" i="30"/>
  <c r="AW20" i="30"/>
  <c r="AR20" i="30"/>
  <c r="AM20" i="30"/>
  <c r="AH20" i="30"/>
  <c r="AC20" i="30"/>
  <c r="X20" i="30"/>
  <c r="AW19" i="30"/>
  <c r="AR19" i="30"/>
  <c r="AM19" i="30"/>
  <c r="AH19" i="30"/>
  <c r="AC19" i="30"/>
  <c r="X19" i="30"/>
  <c r="AW18" i="30"/>
  <c r="AR18" i="30"/>
  <c r="AM18" i="30"/>
  <c r="AH18" i="30"/>
  <c r="AC18" i="30"/>
  <c r="X18" i="30"/>
  <c r="AW17" i="30"/>
  <c r="AR17" i="30"/>
  <c r="AM17" i="30"/>
  <c r="AH17" i="30"/>
  <c r="AC17" i="30"/>
  <c r="X17" i="30"/>
  <c r="AW16" i="30"/>
  <c r="AR16" i="30"/>
  <c r="AM16" i="30"/>
  <c r="AH16" i="30"/>
  <c r="AC16" i="30"/>
  <c r="X16" i="30"/>
  <c r="AW15" i="30"/>
  <c r="AR15" i="30"/>
  <c r="AM15" i="30"/>
  <c r="AH15" i="30"/>
  <c r="AC15" i="30"/>
  <c r="X15" i="30"/>
  <c r="AW14" i="30"/>
  <c r="AR14" i="30"/>
  <c r="AM14" i="30"/>
  <c r="AH14" i="30"/>
  <c r="AC14" i="30"/>
  <c r="X14" i="30"/>
  <c r="AW13" i="30"/>
  <c r="AR13" i="30"/>
  <c r="AM13" i="30"/>
  <c r="AH13" i="30"/>
  <c r="AC13" i="30"/>
  <c r="X13" i="30"/>
  <c r="AW12" i="30"/>
  <c r="AR12" i="30"/>
  <c r="AM12" i="30"/>
  <c r="AH12" i="30"/>
  <c r="AC12" i="30"/>
  <c r="X12" i="30"/>
  <c r="AW11" i="30"/>
  <c r="AR11" i="30"/>
  <c r="AM11" i="30"/>
  <c r="AH11" i="30"/>
  <c r="AC11" i="30"/>
  <c r="X11" i="30"/>
  <c r="AW10" i="30"/>
  <c r="AR10" i="30"/>
  <c r="AM10" i="30"/>
  <c r="AH10" i="30"/>
  <c r="AC10" i="30"/>
  <c r="X10" i="30"/>
  <c r="AW9" i="30"/>
  <c r="AR9" i="30"/>
  <c r="AM9" i="30"/>
  <c r="AH9" i="30"/>
  <c r="AC9" i="30"/>
  <c r="X9" i="30"/>
  <c r="AW8" i="30"/>
  <c r="AR8" i="30"/>
  <c r="AM8" i="30"/>
  <c r="AH8" i="30"/>
  <c r="AC8" i="30"/>
  <c r="X8" i="30"/>
  <c r="AX7" i="30"/>
  <c r="AW7" i="30"/>
  <c r="AS7" i="30"/>
  <c r="AR7" i="30"/>
  <c r="AN7" i="30"/>
  <c r="AM7" i="30"/>
  <c r="AI7" i="30"/>
  <c r="AH7" i="30"/>
  <c r="AD7" i="30"/>
  <c r="AC7" i="30"/>
  <c r="Y7" i="30"/>
  <c r="X7" i="30"/>
  <c r="L7" i="32" l="1"/>
  <c r="B30" i="39" s="1"/>
  <c r="L42" i="8"/>
  <c r="M7" i="8"/>
  <c r="L7" i="37"/>
  <c r="B36" i="39" s="1"/>
  <c r="B8" i="39"/>
  <c r="P35" i="3"/>
  <c r="B9" i="39" s="1"/>
  <c r="L7" i="30"/>
  <c r="B29" i="39" s="1"/>
  <c r="M11" i="8"/>
  <c r="M15" i="8"/>
  <c r="M19" i="8"/>
  <c r="M23" i="8"/>
  <c r="M27" i="8"/>
  <c r="M10" i="8"/>
  <c r="M14" i="8"/>
  <c r="M18" i="8"/>
  <c r="M22" i="8"/>
  <c r="M26" i="8"/>
  <c r="M9" i="8"/>
  <c r="M13" i="8"/>
  <c r="M17" i="8"/>
  <c r="M21" i="8"/>
  <c r="M25" i="8"/>
  <c r="M8" i="8"/>
  <c r="M12" i="8"/>
  <c r="M16" i="8"/>
  <c r="M20" i="8"/>
  <c r="M24" i="8"/>
  <c r="M28" i="8"/>
  <c r="V35" i="3"/>
  <c r="B11" i="39" s="1"/>
  <c r="H67" i="30"/>
  <c r="S81" i="30"/>
  <c r="S80" i="30"/>
  <c r="S79" i="30"/>
  <c r="S78" i="30"/>
  <c r="S77" i="30"/>
  <c r="S76" i="30"/>
  <c r="S75" i="30"/>
  <c r="S74" i="30"/>
  <c r="S73" i="30"/>
  <c r="S72" i="30"/>
  <c r="S71" i="30"/>
  <c r="S70" i="30"/>
  <c r="S69" i="30"/>
  <c r="S68" i="30"/>
  <c r="T67" i="30"/>
  <c r="S67" i="30"/>
  <c r="L23" i="48" l="1"/>
  <c r="L22" i="48"/>
  <c r="L21" i="48"/>
  <c r="L20" i="48" l="1"/>
  <c r="L19" i="48"/>
  <c r="L18" i="48"/>
  <c r="H23" i="48"/>
  <c r="H22" i="48"/>
  <c r="H21" i="48"/>
  <c r="H20" i="48"/>
  <c r="H19" i="48"/>
  <c r="F24" i="48"/>
  <c r="F23" i="48"/>
  <c r="F22" i="48"/>
  <c r="F21" i="48"/>
  <c r="F20" i="48"/>
  <c r="D22" i="48"/>
  <c r="D21" i="48"/>
  <c r="D20" i="48"/>
  <c r="L17" i="48" l="1"/>
  <c r="L16" i="48"/>
  <c r="L15" i="48"/>
  <c r="L14" i="48"/>
  <c r="L13" i="48"/>
  <c r="L12" i="48"/>
  <c r="L11" i="48"/>
  <c r="H18" i="48"/>
  <c r="H17" i="48"/>
  <c r="H16" i="48"/>
  <c r="H15" i="48"/>
  <c r="H14" i="48"/>
  <c r="H13" i="48"/>
  <c r="H12" i="48"/>
  <c r="F19" i="48"/>
  <c r="F18" i="48"/>
  <c r="F17" i="48"/>
  <c r="F16" i="48"/>
  <c r="F15" i="48"/>
  <c r="F14" i="48"/>
  <c r="F13" i="48"/>
  <c r="F12" i="48"/>
  <c r="D19" i="48"/>
  <c r="D18" i="48"/>
  <c r="D17" i="48"/>
  <c r="D16" i="48"/>
  <c r="D15" i="48"/>
  <c r="D14" i="48"/>
  <c r="D13" i="48"/>
  <c r="L10" i="48" l="1"/>
  <c r="L9" i="48"/>
  <c r="L8" i="48"/>
  <c r="L7" i="48"/>
  <c r="L6" i="48"/>
  <c r="L5" i="48"/>
  <c r="J12" i="48"/>
  <c r="J11" i="48"/>
  <c r="J10" i="48"/>
  <c r="J9" i="48"/>
  <c r="J8" i="48"/>
  <c r="J7" i="48"/>
  <c r="J6" i="48"/>
  <c r="J5" i="48"/>
  <c r="H11" i="48"/>
  <c r="H10" i="48"/>
  <c r="H9" i="48"/>
  <c r="H8" i="48"/>
  <c r="H7" i="48"/>
  <c r="H6" i="48"/>
  <c r="H5" i="48"/>
  <c r="F11" i="48"/>
  <c r="F10" i="48"/>
  <c r="F9" i="48"/>
  <c r="F8" i="48"/>
  <c r="F7" i="48"/>
  <c r="F6" i="48"/>
  <c r="D12" i="48"/>
  <c r="D11" i="48"/>
  <c r="D10" i="48"/>
  <c r="D9" i="48"/>
  <c r="D8" i="48"/>
  <c r="D7" i="48"/>
  <c r="D6" i="48"/>
  <c r="O34" i="48" l="1"/>
  <c r="N34" i="48"/>
  <c r="M34" i="48"/>
  <c r="L4" i="48"/>
  <c r="F5" i="48"/>
  <c r="D5" i="48"/>
  <c r="J4" i="48"/>
  <c r="H4" i="48"/>
  <c r="F4" i="48"/>
  <c r="D4" i="48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4"/>
  <c r="Z2" i="34" s="1"/>
  <c r="AE2" i="34" s="1"/>
  <c r="AJ2" i="34" s="1"/>
  <c r="AO2" i="34" s="1"/>
  <c r="AT2" i="34" s="1"/>
  <c r="U2" i="35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0"/>
  <c r="Z2" i="30" s="1"/>
  <c r="AE2" i="30" s="1"/>
  <c r="AJ2" i="30" s="1"/>
  <c r="AO2" i="30" s="1"/>
  <c r="AT2" i="30" s="1"/>
  <c r="U2" i="33"/>
  <c r="Z2" i="33" s="1"/>
  <c r="AE2" i="33" s="1"/>
  <c r="AJ2" i="33" s="1"/>
  <c r="AO2" i="33" s="1"/>
  <c r="AT2" i="33" s="1"/>
  <c r="P37" i="8"/>
  <c r="U2" i="8"/>
  <c r="Z2" i="8" s="1"/>
  <c r="AE2" i="8" s="1"/>
  <c r="AJ2" i="8" s="1"/>
  <c r="AO2" i="8" s="1"/>
  <c r="AC8" i="6" l="1"/>
  <c r="S8" i="6"/>
  <c r="M8" i="6"/>
  <c r="AC7" i="6"/>
  <c r="S7" i="6"/>
  <c r="M7" i="6"/>
  <c r="AC8" i="7"/>
  <c r="S8" i="7"/>
  <c r="M8" i="7"/>
  <c r="AC7" i="7"/>
  <c r="S7" i="7"/>
  <c r="M7" i="7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M70" i="30" l="1"/>
  <c r="M69" i="30"/>
  <c r="M75" i="30"/>
  <c r="M67" i="30"/>
  <c r="M73" i="30"/>
  <c r="M81" i="30"/>
  <c r="M79" i="30"/>
  <c r="M77" i="30"/>
  <c r="M78" i="30"/>
  <c r="M80" i="30"/>
  <c r="M72" i="30"/>
  <c r="M74" i="30"/>
  <c r="M76" i="30"/>
  <c r="M71" i="30"/>
  <c r="M68" i="30"/>
  <c r="L67" i="30"/>
  <c r="V28" i="5" l="1"/>
  <c r="V21" i="5"/>
  <c r="V14" i="5"/>
  <c r="V7" i="5"/>
  <c r="V6" i="5"/>
  <c r="S28" i="5"/>
  <c r="S21" i="5"/>
  <c r="S14" i="5"/>
  <c r="S7" i="5"/>
  <c r="S6" i="5"/>
  <c r="P28" i="5"/>
  <c r="P21" i="5"/>
  <c r="P14" i="5"/>
  <c r="P7" i="5"/>
  <c r="P6" i="5"/>
  <c r="M28" i="5"/>
  <c r="M21" i="5"/>
  <c r="M14" i="5"/>
  <c r="M7" i="5"/>
  <c r="M6" i="5"/>
  <c r="G28" i="5"/>
  <c r="G21" i="5"/>
  <c r="G14" i="5"/>
  <c r="G7" i="5"/>
  <c r="G6" i="5"/>
  <c r="O27" i="48" l="1"/>
  <c r="N27" i="48"/>
  <c r="M27" i="48"/>
  <c r="O20" i="48"/>
  <c r="N20" i="48"/>
  <c r="M20" i="48"/>
  <c r="O13" i="48"/>
  <c r="N13" i="48"/>
  <c r="M13" i="48"/>
  <c r="O6" i="48"/>
  <c r="N6" i="48"/>
  <c r="M6" i="48"/>
  <c r="O4" i="48"/>
  <c r="N4" i="48"/>
  <c r="M4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A40" i="48" s="1"/>
  <c r="AW36" i="8" l="1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H7" i="8"/>
  <c r="U5" i="3"/>
  <c r="S28" i="3"/>
  <c r="S21" i="3"/>
  <c r="S14" i="3"/>
  <c r="S7" i="3"/>
  <c r="S6" i="3"/>
  <c r="M28" i="3"/>
  <c r="M21" i="3"/>
  <c r="M14" i="3"/>
  <c r="M7" i="3"/>
  <c r="M6" i="3"/>
  <c r="G6" i="3"/>
  <c r="J6" i="3"/>
  <c r="J28" i="3"/>
  <c r="J21" i="3"/>
  <c r="J14" i="3"/>
  <c r="J7" i="3"/>
  <c r="G28" i="3"/>
  <c r="G21" i="3"/>
  <c r="G14" i="3"/>
  <c r="G7" i="3"/>
  <c r="P28" i="3" l="1"/>
  <c r="V28" i="3"/>
  <c r="P14" i="3"/>
  <c r="V14" i="3"/>
  <c r="V6" i="3"/>
  <c r="P6" i="3"/>
  <c r="P21" i="3"/>
  <c r="V21" i="3"/>
  <c r="P7" i="3"/>
  <c r="V7" i="3"/>
  <c r="L7" i="8"/>
  <c r="B28" i="39" s="1"/>
  <c r="AW121" i="30" l="1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AW112" i="30"/>
  <c r="AR112" i="30"/>
  <c r="AM112" i="30"/>
  <c r="AH112" i="30"/>
  <c r="AC112" i="30"/>
  <c r="X112" i="30"/>
  <c r="S112" i="30"/>
  <c r="AW111" i="30"/>
  <c r="AR111" i="30"/>
  <c r="AM111" i="30"/>
  <c r="AH111" i="30"/>
  <c r="AC111" i="30"/>
  <c r="X111" i="30"/>
  <c r="S111" i="30"/>
  <c r="AW110" i="30"/>
  <c r="AR110" i="30"/>
  <c r="AM110" i="30"/>
  <c r="AH110" i="30"/>
  <c r="AC110" i="30"/>
  <c r="X110" i="30"/>
  <c r="S110" i="30"/>
  <c r="AW109" i="30"/>
  <c r="AR109" i="30"/>
  <c r="AM109" i="30"/>
  <c r="AH109" i="30"/>
  <c r="AC109" i="30"/>
  <c r="X109" i="30"/>
  <c r="S109" i="30"/>
  <c r="AW108" i="30"/>
  <c r="AR108" i="30"/>
  <c r="AM108" i="30"/>
  <c r="AH108" i="30"/>
  <c r="AC108" i="30"/>
  <c r="X108" i="30"/>
  <c r="S108" i="30"/>
  <c r="AW107" i="30"/>
  <c r="AR107" i="30"/>
  <c r="AM107" i="30"/>
  <c r="AH107" i="30"/>
  <c r="AC107" i="30"/>
  <c r="X107" i="30"/>
  <c r="S107" i="30"/>
  <c r="S61" i="32" l="1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T47" i="32"/>
  <c r="S47" i="32"/>
  <c r="S53" i="30"/>
  <c r="S52" i="30"/>
  <c r="S51" i="30"/>
  <c r="S50" i="30"/>
  <c r="S49" i="30"/>
  <c r="S48" i="30"/>
  <c r="T47" i="30"/>
  <c r="S47" i="30"/>
  <c r="S61" i="34" l="1"/>
  <c r="S60" i="34"/>
  <c r="S59" i="34"/>
  <c r="S58" i="34"/>
  <c r="S57" i="34"/>
  <c r="S56" i="34"/>
  <c r="S55" i="34"/>
  <c r="S54" i="34"/>
  <c r="S53" i="34"/>
  <c r="S52" i="34"/>
  <c r="S51" i="34"/>
  <c r="S50" i="34"/>
  <c r="S49" i="34"/>
  <c r="S48" i="34"/>
  <c r="T47" i="34"/>
  <c r="S47" i="34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T47" i="35"/>
  <c r="S47" i="35"/>
  <c r="S51" i="36"/>
  <c r="S50" i="36"/>
  <c r="S49" i="36"/>
  <c r="S48" i="36"/>
  <c r="T47" i="36"/>
  <c r="S47" i="36"/>
  <c r="S54" i="37"/>
  <c r="S53" i="37"/>
  <c r="S52" i="37"/>
  <c r="S51" i="37"/>
  <c r="S50" i="37"/>
  <c r="S49" i="37"/>
  <c r="S48" i="37"/>
  <c r="T47" i="37"/>
  <c r="S47" i="37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K42" i="48" l="1"/>
  <c r="K41" i="48"/>
  <c r="I42" i="48"/>
  <c r="I41" i="48"/>
  <c r="G42" i="48"/>
  <c r="G41" i="48"/>
  <c r="E41" i="48"/>
  <c r="E42" i="48"/>
  <c r="B42" i="48"/>
  <c r="C42" i="48"/>
  <c r="C41" i="48"/>
  <c r="B41" i="48"/>
  <c r="S41" i="32" l="1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L27" i="30" l="1"/>
  <c r="M27" i="30"/>
  <c r="M28" i="30"/>
  <c r="M30" i="30"/>
  <c r="M29" i="30"/>
  <c r="M32" i="30"/>
  <c r="H27" i="30"/>
  <c r="M34" i="30"/>
  <c r="M35" i="30"/>
  <c r="M36" i="30"/>
  <c r="M37" i="30"/>
  <c r="M38" i="30"/>
  <c r="M39" i="30"/>
  <c r="M40" i="30"/>
  <c r="M41" i="30"/>
  <c r="M31" i="30"/>
  <c r="M33" i="30"/>
  <c r="H7" i="35" l="1"/>
  <c r="H7" i="36"/>
  <c r="H7" i="37"/>
  <c r="H7" i="34"/>
  <c r="H7" i="33"/>
  <c r="H7" i="32"/>
  <c r="M21" i="37" l="1"/>
  <c r="M12" i="37"/>
  <c r="M11" i="37"/>
  <c r="M10" i="37"/>
  <c r="M14" i="37"/>
  <c r="M9" i="37"/>
  <c r="M13" i="37"/>
  <c r="M18" i="37"/>
  <c r="M7" i="37"/>
  <c r="M15" i="37"/>
  <c r="M19" i="37"/>
  <c r="M8" i="37"/>
  <c r="M16" i="37"/>
  <c r="M20" i="37"/>
  <c r="M17" i="37"/>
  <c r="M9" i="36"/>
  <c r="M8" i="36"/>
  <c r="M11" i="36"/>
  <c r="M10" i="36"/>
  <c r="M14" i="36"/>
  <c r="M18" i="36"/>
  <c r="M15" i="36"/>
  <c r="M19" i="36"/>
  <c r="M12" i="36"/>
  <c r="M16" i="36"/>
  <c r="M20" i="36"/>
  <c r="M7" i="36"/>
  <c r="M13" i="36"/>
  <c r="M17" i="36"/>
  <c r="M21" i="36"/>
  <c r="M11" i="35"/>
  <c r="M9" i="35"/>
  <c r="M8" i="35"/>
  <c r="M12" i="35"/>
  <c r="M15" i="35"/>
  <c r="M10" i="35"/>
  <c r="M14" i="35"/>
  <c r="M13" i="35"/>
  <c r="M18" i="35"/>
  <c r="M7" i="35"/>
  <c r="M19" i="35"/>
  <c r="M16" i="35"/>
  <c r="M20" i="35"/>
  <c r="M17" i="35"/>
  <c r="M21" i="35"/>
  <c r="L7" i="34"/>
  <c r="B33" i="39" s="1"/>
  <c r="M8" i="34"/>
  <c r="M12" i="34"/>
  <c r="M16" i="34"/>
  <c r="M11" i="34"/>
  <c r="M15" i="34"/>
  <c r="M10" i="34"/>
  <c r="M14" i="34"/>
  <c r="M9" i="34"/>
  <c r="M13" i="34"/>
  <c r="M7" i="34"/>
  <c r="M20" i="34"/>
  <c r="M17" i="34"/>
  <c r="M21" i="34"/>
  <c r="M18" i="34"/>
  <c r="M19" i="34"/>
  <c r="M8" i="32"/>
  <c r="M12" i="32"/>
  <c r="M16" i="32"/>
  <c r="M11" i="32"/>
  <c r="M15" i="32"/>
  <c r="M10" i="32"/>
  <c r="M14" i="32"/>
  <c r="M9" i="32"/>
  <c r="M13" i="32"/>
  <c r="M17" i="32"/>
  <c r="M18" i="32"/>
  <c r="M7" i="32"/>
  <c r="M19" i="32"/>
  <c r="M20" i="32"/>
  <c r="M21" i="32"/>
  <c r="M35" i="33"/>
  <c r="M11" i="33"/>
  <c r="M15" i="33"/>
  <c r="M19" i="33"/>
  <c r="M23" i="33"/>
  <c r="M27" i="33"/>
  <c r="M10" i="33"/>
  <c r="M14" i="33"/>
  <c r="M18" i="33"/>
  <c r="M22" i="33"/>
  <c r="M26" i="33"/>
  <c r="M30" i="33"/>
  <c r="M9" i="33"/>
  <c r="M13" i="33"/>
  <c r="M17" i="33"/>
  <c r="M21" i="33"/>
  <c r="M25" i="33"/>
  <c r="M29" i="33"/>
  <c r="M8" i="33"/>
  <c r="M12" i="33"/>
  <c r="M16" i="33"/>
  <c r="M20" i="33"/>
  <c r="M24" i="33"/>
  <c r="M28" i="33"/>
  <c r="M33" i="33"/>
  <c r="M34" i="33"/>
  <c r="M7" i="33"/>
  <c r="M31" i="33"/>
  <c r="L7" i="33"/>
  <c r="B32" i="39" s="1"/>
  <c r="M32" i="33"/>
  <c r="M36" i="33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T7" i="30"/>
  <c r="H7" i="30"/>
  <c r="M21" i="30" l="1"/>
  <c r="M10" i="30"/>
  <c r="M14" i="30"/>
  <c r="M18" i="30"/>
  <c r="M7" i="30"/>
  <c r="M11" i="30"/>
  <c r="M15" i="30"/>
  <c r="M19" i="30"/>
  <c r="M8" i="30"/>
  <c r="M12" i="30"/>
  <c r="M16" i="30"/>
  <c r="M20" i="30"/>
  <c r="M9" i="30"/>
  <c r="M13" i="30"/>
  <c r="M17" i="30"/>
  <c r="D6" i="3"/>
  <c r="D7" i="3" s="1"/>
  <c r="D8" i="3" s="1"/>
  <c r="D9" i="3" s="1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F42" i="48" l="1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AW113" i="37"/>
  <c r="AR113" i="37"/>
  <c r="AM113" i="37"/>
  <c r="AH113" i="37"/>
  <c r="AC113" i="37"/>
  <c r="X113" i="37"/>
  <c r="S113" i="37"/>
  <c r="AW112" i="37"/>
  <c r="AR112" i="37"/>
  <c r="AM112" i="37"/>
  <c r="AH112" i="37"/>
  <c r="AC112" i="37"/>
  <c r="X112" i="37"/>
  <c r="S112" i="37"/>
  <c r="AW111" i="37"/>
  <c r="AR111" i="37"/>
  <c r="AM111" i="37"/>
  <c r="AH111" i="37"/>
  <c r="AC111" i="37"/>
  <c r="X111" i="37"/>
  <c r="S111" i="37"/>
  <c r="AW110" i="37"/>
  <c r="AR110" i="37"/>
  <c r="AM110" i="37"/>
  <c r="AH110" i="37"/>
  <c r="AC110" i="37"/>
  <c r="X110" i="37"/>
  <c r="S110" i="37"/>
  <c r="AW109" i="37"/>
  <c r="AR109" i="37"/>
  <c r="AM109" i="37"/>
  <c r="AH109" i="37"/>
  <c r="AC109" i="37"/>
  <c r="X109" i="37"/>
  <c r="S109" i="37"/>
  <c r="AW108" i="37"/>
  <c r="AR108" i="37"/>
  <c r="AM108" i="37"/>
  <c r="AH108" i="37"/>
  <c r="AC108" i="37"/>
  <c r="X108" i="37"/>
  <c r="S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AW110" i="36"/>
  <c r="AR110" i="36"/>
  <c r="AM110" i="36"/>
  <c r="AH110" i="36"/>
  <c r="AC110" i="36"/>
  <c r="X110" i="36"/>
  <c r="S110" i="36"/>
  <c r="AW109" i="36"/>
  <c r="AR109" i="36"/>
  <c r="AM109" i="36"/>
  <c r="AH109" i="36"/>
  <c r="AC109" i="36"/>
  <c r="X109" i="36"/>
  <c r="S109" i="36"/>
  <c r="AW108" i="36"/>
  <c r="AR108" i="36"/>
  <c r="AM108" i="36"/>
  <c r="AH108" i="36"/>
  <c r="AC108" i="36"/>
  <c r="X108" i="36"/>
  <c r="S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AW114" i="35"/>
  <c r="AR114" i="35"/>
  <c r="AM114" i="35"/>
  <c r="AH114" i="35"/>
  <c r="AC114" i="35"/>
  <c r="X114" i="35"/>
  <c r="S114" i="35"/>
  <c r="AW113" i="35"/>
  <c r="AR113" i="35"/>
  <c r="AM113" i="35"/>
  <c r="AH113" i="35"/>
  <c r="AC113" i="35"/>
  <c r="X113" i="35"/>
  <c r="S113" i="35"/>
  <c r="AW112" i="35"/>
  <c r="AR112" i="35"/>
  <c r="AM112" i="35"/>
  <c r="AH112" i="35"/>
  <c r="AC112" i="35"/>
  <c r="X112" i="35"/>
  <c r="S112" i="35"/>
  <c r="AW111" i="35"/>
  <c r="AR111" i="35"/>
  <c r="AM111" i="35"/>
  <c r="AH111" i="35"/>
  <c r="AC111" i="35"/>
  <c r="X111" i="35"/>
  <c r="S111" i="35"/>
  <c r="AW110" i="35"/>
  <c r="AR110" i="35"/>
  <c r="AM110" i="35"/>
  <c r="AH110" i="35"/>
  <c r="AC110" i="35"/>
  <c r="X110" i="35"/>
  <c r="S110" i="35"/>
  <c r="AW109" i="35"/>
  <c r="AR109" i="35"/>
  <c r="AM109" i="35"/>
  <c r="AH109" i="35"/>
  <c r="AC109" i="35"/>
  <c r="X109" i="35"/>
  <c r="S109" i="35"/>
  <c r="AW108" i="35"/>
  <c r="AR108" i="35"/>
  <c r="AM108" i="35"/>
  <c r="AH108" i="35"/>
  <c r="AC108" i="35"/>
  <c r="X108" i="35"/>
  <c r="S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AW116" i="32"/>
  <c r="AR116" i="32"/>
  <c r="AM116" i="32"/>
  <c r="AH116" i="32"/>
  <c r="AC116" i="32"/>
  <c r="X116" i="32"/>
  <c r="S116" i="32"/>
  <c r="AW115" i="32"/>
  <c r="AR115" i="32"/>
  <c r="AM115" i="32"/>
  <c r="AH115" i="32"/>
  <c r="AC115" i="32"/>
  <c r="X115" i="32"/>
  <c r="S115" i="32"/>
  <c r="AW114" i="32"/>
  <c r="AR114" i="32"/>
  <c r="AM114" i="32"/>
  <c r="AH114" i="32"/>
  <c r="AC114" i="32"/>
  <c r="X114" i="32"/>
  <c r="S114" i="32"/>
  <c r="AW113" i="32"/>
  <c r="AR113" i="32"/>
  <c r="AM113" i="32"/>
  <c r="AH113" i="32"/>
  <c r="AC113" i="32"/>
  <c r="X113" i="32"/>
  <c r="S113" i="32"/>
  <c r="AW112" i="32"/>
  <c r="AR112" i="32"/>
  <c r="AM112" i="32"/>
  <c r="AH112" i="32"/>
  <c r="AC112" i="32"/>
  <c r="X112" i="32"/>
  <c r="S112" i="32"/>
  <c r="AW111" i="32"/>
  <c r="AR111" i="32"/>
  <c r="AM111" i="32"/>
  <c r="AH111" i="32"/>
  <c r="AC111" i="32"/>
  <c r="X111" i="32"/>
  <c r="S111" i="32"/>
  <c r="AW110" i="32"/>
  <c r="AR110" i="32"/>
  <c r="AM110" i="32"/>
  <c r="AH110" i="32"/>
  <c r="AC110" i="32"/>
  <c r="X110" i="32"/>
  <c r="S110" i="32"/>
  <c r="AW109" i="32"/>
  <c r="AR109" i="32"/>
  <c r="AM109" i="32"/>
  <c r="AH109" i="32"/>
  <c r="AC109" i="32"/>
  <c r="X109" i="32"/>
  <c r="S109" i="32"/>
  <c r="AW108" i="32"/>
  <c r="AR108" i="32"/>
  <c r="AM108" i="32"/>
  <c r="AH108" i="32"/>
  <c r="AC108" i="32"/>
  <c r="X108" i="32"/>
  <c r="S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H107" i="32"/>
  <c r="M113" i="30"/>
  <c r="M112" i="30"/>
  <c r="M111" i="30"/>
  <c r="M110" i="30"/>
  <c r="M109" i="30"/>
  <c r="M108" i="30"/>
  <c r="AX107" i="30"/>
  <c r="AS107" i="30"/>
  <c r="AN107" i="30"/>
  <c r="AI107" i="30"/>
  <c r="AD107" i="30"/>
  <c r="Y107" i="30"/>
  <c r="T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AW201" i="8"/>
  <c r="AR201" i="8"/>
  <c r="AM201" i="8"/>
  <c r="AH201" i="8"/>
  <c r="AC201" i="8"/>
  <c r="X201" i="8"/>
  <c r="S201" i="8"/>
  <c r="AW200" i="8"/>
  <c r="AR200" i="8"/>
  <c r="AM200" i="8"/>
  <c r="AH200" i="8"/>
  <c r="AC200" i="8"/>
  <c r="X200" i="8"/>
  <c r="S200" i="8"/>
  <c r="AW199" i="8"/>
  <c r="AR199" i="8"/>
  <c r="AM199" i="8"/>
  <c r="AH199" i="8"/>
  <c r="AC199" i="8"/>
  <c r="X199" i="8"/>
  <c r="S199" i="8"/>
  <c r="AW198" i="8"/>
  <c r="AR198" i="8"/>
  <c r="AM198" i="8"/>
  <c r="AH198" i="8"/>
  <c r="AC198" i="8"/>
  <c r="X198" i="8"/>
  <c r="S198" i="8"/>
  <c r="AW197" i="8"/>
  <c r="AR197" i="8"/>
  <c r="AM197" i="8"/>
  <c r="AH197" i="8"/>
  <c r="AC197" i="8"/>
  <c r="X197" i="8"/>
  <c r="S197" i="8"/>
  <c r="AW196" i="8"/>
  <c r="AR196" i="8"/>
  <c r="AM196" i="8"/>
  <c r="AH196" i="8"/>
  <c r="AC196" i="8"/>
  <c r="X196" i="8"/>
  <c r="S196" i="8"/>
  <c r="AW195" i="8"/>
  <c r="AR195" i="8"/>
  <c r="AM195" i="8"/>
  <c r="AH195" i="8"/>
  <c r="AC195" i="8"/>
  <c r="X195" i="8"/>
  <c r="S195" i="8"/>
  <c r="AW194" i="8"/>
  <c r="AR194" i="8"/>
  <c r="AM194" i="8"/>
  <c r="AH194" i="8"/>
  <c r="AC194" i="8"/>
  <c r="X194" i="8"/>
  <c r="S194" i="8"/>
  <c r="AW193" i="8"/>
  <c r="AR193" i="8"/>
  <c r="AM193" i="8"/>
  <c r="AH193" i="8"/>
  <c r="AC193" i="8"/>
  <c r="X193" i="8"/>
  <c r="S193" i="8"/>
  <c r="AW192" i="8"/>
  <c r="AR192" i="8"/>
  <c r="AM192" i="8"/>
  <c r="AH192" i="8"/>
  <c r="AC192" i="8"/>
  <c r="X192" i="8"/>
  <c r="S192" i="8"/>
  <c r="AW191" i="8"/>
  <c r="AR191" i="8"/>
  <c r="AM191" i="8"/>
  <c r="AH191" i="8"/>
  <c r="AC191" i="8"/>
  <c r="X191" i="8"/>
  <c r="S191" i="8"/>
  <c r="AW190" i="8"/>
  <c r="AR190" i="8"/>
  <c r="AM190" i="8"/>
  <c r="AH190" i="8"/>
  <c r="AC190" i="8"/>
  <c r="X190" i="8"/>
  <c r="S190" i="8"/>
  <c r="AW189" i="8"/>
  <c r="AR189" i="8"/>
  <c r="AM189" i="8"/>
  <c r="AH189" i="8"/>
  <c r="AC189" i="8"/>
  <c r="X189" i="8"/>
  <c r="S189" i="8"/>
  <c r="AW188" i="8"/>
  <c r="AR188" i="8"/>
  <c r="AM188" i="8"/>
  <c r="AH188" i="8"/>
  <c r="AC188" i="8"/>
  <c r="X188" i="8"/>
  <c r="S188" i="8"/>
  <c r="AW187" i="8"/>
  <c r="AR187" i="8"/>
  <c r="AM187" i="8"/>
  <c r="AH187" i="8"/>
  <c r="AC187" i="8"/>
  <c r="X187" i="8"/>
  <c r="S187" i="8"/>
  <c r="AW186" i="8"/>
  <c r="AR186" i="8"/>
  <c r="AM186" i="8"/>
  <c r="AH186" i="8"/>
  <c r="AC186" i="8"/>
  <c r="X186" i="8"/>
  <c r="S186" i="8"/>
  <c r="AW185" i="8"/>
  <c r="AR185" i="8"/>
  <c r="AM185" i="8"/>
  <c r="AH185" i="8"/>
  <c r="AC185" i="8"/>
  <c r="X185" i="8"/>
  <c r="S185" i="8"/>
  <c r="AW184" i="8"/>
  <c r="AR184" i="8"/>
  <c r="AM184" i="8"/>
  <c r="AH184" i="8"/>
  <c r="AC184" i="8"/>
  <c r="X184" i="8"/>
  <c r="S184" i="8"/>
  <c r="AW183" i="8"/>
  <c r="AR183" i="8"/>
  <c r="AM183" i="8"/>
  <c r="AH183" i="8"/>
  <c r="AC183" i="8"/>
  <c r="X183" i="8"/>
  <c r="S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AX87" i="31"/>
  <c r="AW87" i="31"/>
  <c r="AS87" i="31"/>
  <c r="AR87" i="31"/>
  <c r="AN87" i="31"/>
  <c r="AM87" i="31"/>
  <c r="AI87" i="31"/>
  <c r="AH87" i="31"/>
  <c r="AD87" i="31"/>
  <c r="AC87" i="31"/>
  <c r="Y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W71" i="8"/>
  <c r="AR71" i="8"/>
  <c r="AM71" i="8"/>
  <c r="AH71" i="8"/>
  <c r="AC71" i="8"/>
  <c r="X71" i="8"/>
  <c r="AW70" i="8"/>
  <c r="AR70" i="8"/>
  <c r="AM70" i="8"/>
  <c r="AH70" i="8"/>
  <c r="AC70" i="8"/>
  <c r="X70" i="8"/>
  <c r="AW69" i="8"/>
  <c r="AR69" i="8"/>
  <c r="AM69" i="8"/>
  <c r="AH69" i="8"/>
  <c r="AC69" i="8"/>
  <c r="X69" i="8"/>
  <c r="AW68" i="8"/>
  <c r="AR68" i="8"/>
  <c r="AM68" i="8"/>
  <c r="AH68" i="8"/>
  <c r="AC68" i="8"/>
  <c r="X68" i="8"/>
  <c r="AW67" i="8"/>
  <c r="AR67" i="8"/>
  <c r="AM67" i="8"/>
  <c r="AH67" i="8"/>
  <c r="AC67" i="8"/>
  <c r="X67" i="8"/>
  <c r="AW66" i="8"/>
  <c r="AR66" i="8"/>
  <c r="AM66" i="8"/>
  <c r="AH66" i="8"/>
  <c r="AC66" i="8"/>
  <c r="X66" i="8"/>
  <c r="AW65" i="8"/>
  <c r="AR65" i="8"/>
  <c r="AM65" i="8"/>
  <c r="AH65" i="8"/>
  <c r="AC65" i="8"/>
  <c r="X65" i="8"/>
  <c r="AW64" i="8"/>
  <c r="AR64" i="8"/>
  <c r="AM64" i="8"/>
  <c r="AH64" i="8"/>
  <c r="AC64" i="8"/>
  <c r="X64" i="8"/>
  <c r="AW63" i="8"/>
  <c r="AR63" i="8"/>
  <c r="AM63" i="8"/>
  <c r="AH63" i="8"/>
  <c r="AC63" i="8"/>
  <c r="X63" i="8"/>
  <c r="AW62" i="8"/>
  <c r="AR62" i="8"/>
  <c r="AM62" i="8"/>
  <c r="AH62" i="8"/>
  <c r="AC62" i="8"/>
  <c r="X62" i="8"/>
  <c r="AW61" i="8"/>
  <c r="AR61" i="8"/>
  <c r="AM61" i="8"/>
  <c r="AH61" i="8"/>
  <c r="AC61" i="8"/>
  <c r="X61" i="8"/>
  <c r="AW60" i="8"/>
  <c r="AR60" i="8"/>
  <c r="AM60" i="8"/>
  <c r="AH60" i="8"/>
  <c r="AC60" i="8"/>
  <c r="X60" i="8"/>
  <c r="AW59" i="8"/>
  <c r="AR59" i="8"/>
  <c r="AM59" i="8"/>
  <c r="AH59" i="8"/>
  <c r="AC59" i="8"/>
  <c r="X59" i="8"/>
  <c r="AW58" i="8"/>
  <c r="AR58" i="8"/>
  <c r="AM58" i="8"/>
  <c r="AH58" i="8"/>
  <c r="AC58" i="8"/>
  <c r="X58" i="8"/>
  <c r="AW57" i="8"/>
  <c r="AR57" i="8"/>
  <c r="AM57" i="8"/>
  <c r="AH57" i="8"/>
  <c r="AC57" i="8"/>
  <c r="X57" i="8"/>
  <c r="AW56" i="8"/>
  <c r="AR56" i="8"/>
  <c r="AM56" i="8"/>
  <c r="AH56" i="8"/>
  <c r="AC56" i="8"/>
  <c r="X56" i="8"/>
  <c r="AW55" i="8"/>
  <c r="AR55" i="8"/>
  <c r="AM55" i="8"/>
  <c r="AH55" i="8"/>
  <c r="AC55" i="8"/>
  <c r="X55" i="8"/>
  <c r="AW54" i="8"/>
  <c r="AR54" i="8"/>
  <c r="AM54" i="8"/>
  <c r="AH54" i="8"/>
  <c r="AC54" i="8"/>
  <c r="X54" i="8"/>
  <c r="AW53" i="8"/>
  <c r="AR53" i="8"/>
  <c r="AM53" i="8"/>
  <c r="AH53" i="8"/>
  <c r="AC53" i="8"/>
  <c r="X53" i="8"/>
  <c r="AW52" i="8"/>
  <c r="AR52" i="8"/>
  <c r="AM52" i="8"/>
  <c r="AH52" i="8"/>
  <c r="AC52" i="8"/>
  <c r="X52" i="8"/>
  <c r="AW51" i="8"/>
  <c r="AR51" i="8"/>
  <c r="AM51" i="8"/>
  <c r="AH51" i="8"/>
  <c r="AC51" i="8"/>
  <c r="X51" i="8"/>
  <c r="AW50" i="8"/>
  <c r="AR50" i="8"/>
  <c r="AM50" i="8"/>
  <c r="AH50" i="8"/>
  <c r="AC50" i="8"/>
  <c r="X50" i="8"/>
  <c r="AW49" i="8"/>
  <c r="AR49" i="8"/>
  <c r="AM49" i="8"/>
  <c r="AH49" i="8"/>
  <c r="AC49" i="8"/>
  <c r="X49" i="8"/>
  <c r="AW48" i="8"/>
  <c r="AR48" i="8"/>
  <c r="AM48" i="8"/>
  <c r="AH48" i="8"/>
  <c r="AC48" i="8"/>
  <c r="X48" i="8"/>
  <c r="AW47" i="8"/>
  <c r="AR47" i="8"/>
  <c r="AM47" i="8"/>
  <c r="AH47" i="8"/>
  <c r="AC47" i="8"/>
  <c r="X47" i="8"/>
  <c r="AW46" i="8"/>
  <c r="AR46" i="8"/>
  <c r="AM46" i="8"/>
  <c r="AH46" i="8"/>
  <c r="AC46" i="8"/>
  <c r="X46" i="8"/>
  <c r="AW45" i="8"/>
  <c r="AR45" i="8"/>
  <c r="AM45" i="8"/>
  <c r="AH45" i="8"/>
  <c r="AC45" i="8"/>
  <c r="X45" i="8"/>
  <c r="AW44" i="8"/>
  <c r="AR44" i="8"/>
  <c r="AM44" i="8"/>
  <c r="AH44" i="8"/>
  <c r="AC44" i="8"/>
  <c r="X44" i="8"/>
  <c r="AW43" i="8"/>
  <c r="AR43" i="8"/>
  <c r="AM43" i="8"/>
  <c r="AH43" i="8"/>
  <c r="AC43" i="8"/>
  <c r="X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AC43" i="6" l="1"/>
  <c r="S43" i="6"/>
  <c r="M43" i="6"/>
  <c r="AK46" i="6"/>
  <c r="AI46" i="6"/>
  <c r="AG46" i="6"/>
  <c r="AE46" i="6"/>
  <c r="AA46" i="6"/>
  <c r="Y46" i="6"/>
  <c r="W46" i="6"/>
  <c r="U46" i="6"/>
  <c r="Q46" i="6"/>
  <c r="O46" i="6"/>
  <c r="K46" i="6"/>
  <c r="I46" i="6"/>
  <c r="F43" i="6" l="1"/>
  <c r="AJ43" i="6" s="1"/>
  <c r="AK46" i="7"/>
  <c r="AI46" i="7"/>
  <c r="AG46" i="7"/>
  <c r="AE46" i="7"/>
  <c r="AA46" i="7"/>
  <c r="Y46" i="7"/>
  <c r="W46" i="7"/>
  <c r="U46" i="7"/>
  <c r="Q46" i="7"/>
  <c r="O46" i="7"/>
  <c r="K46" i="7"/>
  <c r="I46" i="7"/>
  <c r="W10" i="5"/>
  <c r="T10" i="5"/>
  <c r="Q10" i="5"/>
  <c r="N10" i="5"/>
  <c r="I5" i="5"/>
  <c r="H10" i="5"/>
  <c r="T10" i="3"/>
  <c r="N10" i="3"/>
  <c r="K10" i="3"/>
  <c r="H10" i="3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AH43" i="6" l="1"/>
  <c r="Z43" i="6"/>
  <c r="L43" i="6"/>
  <c r="V43" i="6"/>
  <c r="T43" i="6"/>
  <c r="AL43" i="6"/>
  <c r="AB43" i="6"/>
  <c r="P43" i="6"/>
  <c r="N43" i="6"/>
  <c r="AD43" i="6"/>
  <c r="R43" i="6"/>
  <c r="J43" i="6"/>
  <c r="AF43" i="6"/>
  <c r="X43" i="6"/>
  <c r="F7" i="7"/>
  <c r="F7" i="6"/>
  <c r="AF7" i="6" l="1"/>
  <c r="Z7" i="6"/>
  <c r="AL7" i="6"/>
  <c r="AD7" i="6"/>
  <c r="X7" i="6"/>
  <c r="R7" i="6"/>
  <c r="L7" i="6"/>
  <c r="AJ7" i="6"/>
  <c r="V7" i="6"/>
  <c r="P7" i="6"/>
  <c r="J7" i="6"/>
  <c r="AH7" i="6"/>
  <c r="AB7" i="6"/>
  <c r="T7" i="6"/>
  <c r="N7" i="6"/>
  <c r="AF7" i="7"/>
  <c r="Z7" i="7"/>
  <c r="AL7" i="7"/>
  <c r="AD7" i="7"/>
  <c r="X7" i="7"/>
  <c r="R7" i="7"/>
  <c r="L7" i="7"/>
  <c r="AJ7" i="7"/>
  <c r="V7" i="7"/>
  <c r="P7" i="7"/>
  <c r="J7" i="7"/>
  <c r="AH7" i="7"/>
  <c r="AB7" i="7"/>
  <c r="T7" i="7"/>
  <c r="N7" i="7"/>
  <c r="B8" i="13" l="1"/>
  <c r="AI8" i="47" l="1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H7" i="31" l="1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B10" i="13"/>
  <c r="B7" i="13"/>
  <c r="B6" i="13"/>
  <c r="M8" i="31" l="1"/>
  <c r="M20" i="31"/>
  <c r="L7" i="31"/>
  <c r="B31" i="39" s="1"/>
  <c r="M9" i="31"/>
  <c r="M13" i="31"/>
  <c r="M17" i="31"/>
  <c r="M21" i="31"/>
  <c r="M10" i="31"/>
  <c r="M14" i="31"/>
  <c r="M18" i="31"/>
  <c r="M7" i="31"/>
  <c r="M11" i="31"/>
  <c r="M15" i="31"/>
  <c r="M19" i="31"/>
  <c r="M12" i="31"/>
  <c r="M16" i="31"/>
  <c r="F41" i="48" l="1"/>
  <c r="H41" i="48"/>
  <c r="J41" i="48"/>
  <c r="D41" i="48"/>
  <c r="L41" i="48"/>
  <c r="J42" i="48"/>
  <c r="H42" i="48"/>
  <c r="L42" i="48"/>
  <c r="D42" i="48"/>
  <c r="S69" i="34" l="1"/>
  <c r="S67" i="34"/>
  <c r="S68" i="34"/>
  <c r="S70" i="34"/>
  <c r="S71" i="34"/>
  <c r="S72" i="34"/>
  <c r="S73" i="34"/>
  <c r="S74" i="34"/>
  <c r="S75" i="34"/>
  <c r="S76" i="34"/>
  <c r="H128" i="37" l="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AA7" i="47" l="1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E10" i="39" l="1"/>
  <c r="E8" i="39"/>
  <c r="E7" i="39"/>
  <c r="E6" i="39"/>
  <c r="K11" i="39"/>
  <c r="K9" i="39"/>
  <c r="K8" i="39"/>
  <c r="K6" i="39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Q10" i="3" l="1"/>
  <c r="W10" i="3"/>
  <c r="AT2" i="8"/>
  <c r="E9" i="39" l="1"/>
  <c r="B9" i="13"/>
  <c r="E11" i="39"/>
  <c r="B11" i="13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AM119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AH115" i="34" l="1"/>
  <c r="AM119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I39" i="5"/>
  <c r="I38" i="5"/>
  <c r="I37" i="5"/>
  <c r="I36" i="5"/>
  <c r="J35" i="5" s="1"/>
  <c r="I7" i="39" s="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AX107" i="34"/>
  <c r="AS107" i="34"/>
  <c r="AN107" i="34"/>
  <c r="AI107" i="34"/>
  <c r="AD107" i="34"/>
  <c r="Y107" i="34"/>
  <c r="T107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AX182" i="33"/>
  <c r="AS182" i="33"/>
  <c r="AN182" i="33"/>
  <c r="AI182" i="33"/>
  <c r="AD182" i="33"/>
  <c r="Y182" i="33"/>
  <c r="T182" i="33"/>
  <c r="M182" i="33"/>
  <c r="H182" i="33"/>
  <c r="H128" i="31"/>
  <c r="M108" i="31"/>
  <c r="AX107" i="31"/>
  <c r="AS107" i="31"/>
  <c r="AN107" i="31"/>
  <c r="AI107" i="31"/>
  <c r="AD107" i="31"/>
  <c r="Y107" i="31"/>
  <c r="T107" i="31"/>
  <c r="M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4" i="5"/>
  <c r="I33" i="5"/>
  <c r="I32" i="5"/>
  <c r="I31" i="5"/>
  <c r="I30" i="5"/>
  <c r="I29" i="5"/>
  <c r="I28" i="5"/>
  <c r="J28" i="5" l="1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S101" i="37"/>
  <c r="S100" i="37"/>
  <c r="S99" i="37"/>
  <c r="S98" i="37"/>
  <c r="S97" i="37"/>
  <c r="S96" i="37"/>
  <c r="S95" i="37"/>
  <c r="S94" i="37"/>
  <c r="S93" i="37"/>
  <c r="S92" i="37"/>
  <c r="S91" i="37"/>
  <c r="S90" i="37"/>
  <c r="S89" i="37"/>
  <c r="S88" i="37"/>
  <c r="T87" i="37"/>
  <c r="S87" i="37"/>
  <c r="H87" i="37"/>
  <c r="S81" i="37"/>
  <c r="S80" i="37"/>
  <c r="S79" i="37"/>
  <c r="S78" i="37"/>
  <c r="S77" i="37"/>
  <c r="S76" i="37"/>
  <c r="S75" i="37"/>
  <c r="S74" i="37"/>
  <c r="S73" i="37"/>
  <c r="S72" i="37"/>
  <c r="S71" i="37"/>
  <c r="S70" i="37"/>
  <c r="S69" i="37"/>
  <c r="S68" i="37"/>
  <c r="T67" i="37"/>
  <c r="S67" i="37"/>
  <c r="H67" i="37"/>
  <c r="H47" i="37"/>
  <c r="S41" i="37"/>
  <c r="S40" i="37"/>
  <c r="S39" i="37"/>
  <c r="S38" i="37"/>
  <c r="S37" i="37"/>
  <c r="S36" i="37"/>
  <c r="S35" i="37"/>
  <c r="S34" i="37"/>
  <c r="S33" i="37"/>
  <c r="S32" i="37"/>
  <c r="J133" i="37"/>
  <c r="I133" i="37"/>
  <c r="S31" i="37"/>
  <c r="J132" i="37"/>
  <c r="I132" i="37"/>
  <c r="S30" i="37"/>
  <c r="K131" i="37"/>
  <c r="J131" i="37"/>
  <c r="I131" i="37"/>
  <c r="S29" i="37"/>
  <c r="K130" i="37"/>
  <c r="J130" i="37"/>
  <c r="I130" i="37"/>
  <c r="S28" i="37"/>
  <c r="J129" i="37"/>
  <c r="I129" i="37"/>
  <c r="T27" i="37"/>
  <c r="S27" i="37"/>
  <c r="J128" i="37"/>
  <c r="I128" i="37"/>
  <c r="H27" i="37"/>
  <c r="S101" i="36"/>
  <c r="S100" i="36"/>
  <c r="S99" i="36"/>
  <c r="S98" i="36"/>
  <c r="S97" i="36"/>
  <c r="S96" i="36"/>
  <c r="S95" i="36"/>
  <c r="S94" i="36"/>
  <c r="S93" i="36"/>
  <c r="S92" i="36"/>
  <c r="S91" i="36"/>
  <c r="S90" i="36"/>
  <c r="S89" i="36"/>
  <c r="S88" i="36"/>
  <c r="T87" i="36"/>
  <c r="S87" i="36"/>
  <c r="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S69" i="36"/>
  <c r="S68" i="36"/>
  <c r="T67" i="36"/>
  <c r="S67" i="36"/>
  <c r="H67" i="36"/>
  <c r="H47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K132" i="36"/>
  <c r="J132" i="36"/>
  <c r="I132" i="36"/>
  <c r="S29" i="36"/>
  <c r="K131" i="36"/>
  <c r="J131" i="36"/>
  <c r="I131" i="36"/>
  <c r="S28" i="36"/>
  <c r="J129" i="36"/>
  <c r="I129" i="36"/>
  <c r="T27" i="36"/>
  <c r="S27" i="36"/>
  <c r="J128" i="36"/>
  <c r="I128" i="36"/>
  <c r="H27" i="36"/>
  <c r="S101" i="35"/>
  <c r="S100" i="35"/>
  <c r="S99" i="35"/>
  <c r="S98" i="35"/>
  <c r="S97" i="35"/>
  <c r="S96" i="35"/>
  <c r="S95" i="35"/>
  <c r="S94" i="35"/>
  <c r="S93" i="35"/>
  <c r="S92" i="35"/>
  <c r="S91" i="35"/>
  <c r="S90" i="35"/>
  <c r="S89" i="35"/>
  <c r="S88" i="35"/>
  <c r="T87" i="35"/>
  <c r="S87" i="35"/>
  <c r="H87" i="35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T67" i="35"/>
  <c r="S67" i="35"/>
  <c r="H67" i="35"/>
  <c r="H47" i="35"/>
  <c r="S41" i="35"/>
  <c r="S40" i="35"/>
  <c r="S39" i="35"/>
  <c r="S38" i="35"/>
  <c r="S37" i="35"/>
  <c r="S36" i="35"/>
  <c r="S35" i="35"/>
  <c r="S34" i="35"/>
  <c r="S33" i="35"/>
  <c r="K135" i="35"/>
  <c r="J135" i="35"/>
  <c r="I135" i="35"/>
  <c r="S32" i="35"/>
  <c r="J134" i="35"/>
  <c r="I134" i="35"/>
  <c r="S31" i="35"/>
  <c r="J133" i="35"/>
  <c r="I133" i="35"/>
  <c r="S30" i="35"/>
  <c r="K132" i="35"/>
  <c r="J132" i="35"/>
  <c r="I132" i="35"/>
  <c r="S29" i="35"/>
  <c r="K130" i="35"/>
  <c r="J130" i="35"/>
  <c r="I130" i="35"/>
  <c r="S28" i="35"/>
  <c r="J129" i="35"/>
  <c r="I129" i="35"/>
  <c r="T27" i="35"/>
  <c r="S27" i="35"/>
  <c r="J128" i="35"/>
  <c r="I128" i="35"/>
  <c r="H27" i="35"/>
  <c r="S101" i="34"/>
  <c r="S100" i="34"/>
  <c r="S99" i="34"/>
  <c r="S98" i="34"/>
  <c r="S97" i="34"/>
  <c r="S96" i="34"/>
  <c r="S95" i="34"/>
  <c r="S94" i="34"/>
  <c r="S93" i="34"/>
  <c r="S92" i="34"/>
  <c r="S91" i="34"/>
  <c r="S90" i="34"/>
  <c r="S89" i="34"/>
  <c r="S88" i="34"/>
  <c r="T87" i="34"/>
  <c r="S87" i="34"/>
  <c r="H87" i="34"/>
  <c r="S81" i="34"/>
  <c r="S80" i="34"/>
  <c r="S79" i="34"/>
  <c r="S78" i="34"/>
  <c r="S77" i="34"/>
  <c r="T67" i="34"/>
  <c r="H67" i="34"/>
  <c r="H47" i="34"/>
  <c r="S41" i="34"/>
  <c r="S40" i="34"/>
  <c r="S39" i="34"/>
  <c r="S38" i="34"/>
  <c r="S37" i="34"/>
  <c r="S36" i="34"/>
  <c r="S35" i="34"/>
  <c r="S34" i="34"/>
  <c r="S33" i="34"/>
  <c r="J134" i="34"/>
  <c r="I134" i="34"/>
  <c r="S32" i="34"/>
  <c r="K133" i="34"/>
  <c r="J133" i="34"/>
  <c r="I133" i="34"/>
  <c r="S31" i="34"/>
  <c r="J132" i="34"/>
  <c r="I132" i="34"/>
  <c r="S30" i="34"/>
  <c r="K131" i="34"/>
  <c r="J131" i="34"/>
  <c r="I131" i="34"/>
  <c r="S29" i="34"/>
  <c r="J130" i="34"/>
  <c r="I130" i="34"/>
  <c r="S28" i="34"/>
  <c r="K129" i="34"/>
  <c r="J129" i="34"/>
  <c r="I129" i="34"/>
  <c r="T27" i="34"/>
  <c r="S27" i="34"/>
  <c r="J128" i="34"/>
  <c r="I128" i="34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AW169" i="33"/>
  <c r="AR169" i="33"/>
  <c r="AM169" i="33"/>
  <c r="AH169" i="33"/>
  <c r="AC169" i="33"/>
  <c r="X169" i="33"/>
  <c r="S169" i="33"/>
  <c r="AW168" i="33"/>
  <c r="AR168" i="33"/>
  <c r="AM168" i="33"/>
  <c r="AH168" i="33"/>
  <c r="AC168" i="33"/>
  <c r="X168" i="33"/>
  <c r="S168" i="33"/>
  <c r="AW167" i="33"/>
  <c r="AR167" i="33"/>
  <c r="AM167" i="33"/>
  <c r="AH167" i="33"/>
  <c r="AC167" i="33"/>
  <c r="X167" i="33"/>
  <c r="S167" i="33"/>
  <c r="AW166" i="33"/>
  <c r="AR166" i="33"/>
  <c r="AM166" i="33"/>
  <c r="AH166" i="33"/>
  <c r="AC166" i="33"/>
  <c r="X166" i="33"/>
  <c r="S166" i="33"/>
  <c r="AW165" i="33"/>
  <c r="AR165" i="33"/>
  <c r="AM165" i="33"/>
  <c r="AH165" i="33"/>
  <c r="AC165" i="33"/>
  <c r="X165" i="33"/>
  <c r="S165" i="33"/>
  <c r="AW164" i="33"/>
  <c r="AR164" i="33"/>
  <c r="AM164" i="33"/>
  <c r="AH164" i="33"/>
  <c r="AC164" i="33"/>
  <c r="X164" i="33"/>
  <c r="S164" i="33"/>
  <c r="AW163" i="33"/>
  <c r="AR163" i="33"/>
  <c r="AM163" i="33"/>
  <c r="AH163" i="33"/>
  <c r="AC163" i="33"/>
  <c r="X163" i="33"/>
  <c r="S163" i="33"/>
  <c r="AW162" i="33"/>
  <c r="AR162" i="33"/>
  <c r="AM162" i="33"/>
  <c r="AH162" i="33"/>
  <c r="AC162" i="33"/>
  <c r="X162" i="33"/>
  <c r="S162" i="33"/>
  <c r="AW161" i="33"/>
  <c r="AR161" i="33"/>
  <c r="AM161" i="33"/>
  <c r="AH161" i="33"/>
  <c r="AC161" i="33"/>
  <c r="X161" i="33"/>
  <c r="S161" i="33"/>
  <c r="AW160" i="33"/>
  <c r="AR160" i="33"/>
  <c r="AM160" i="33"/>
  <c r="AH160" i="33"/>
  <c r="AC160" i="33"/>
  <c r="X160" i="33"/>
  <c r="S160" i="33"/>
  <c r="AW159" i="33"/>
  <c r="AR159" i="33"/>
  <c r="AM159" i="33"/>
  <c r="AH159" i="33"/>
  <c r="AC159" i="33"/>
  <c r="X159" i="33"/>
  <c r="S159" i="33"/>
  <c r="AW158" i="33"/>
  <c r="AR158" i="33"/>
  <c r="AM158" i="33"/>
  <c r="AH158" i="33"/>
  <c r="AC158" i="33"/>
  <c r="X158" i="33"/>
  <c r="S158" i="33"/>
  <c r="AW157" i="33"/>
  <c r="AR157" i="33"/>
  <c r="AM157" i="33"/>
  <c r="AH157" i="33"/>
  <c r="AC157" i="33"/>
  <c r="X157" i="33"/>
  <c r="S157" i="33"/>
  <c r="AW156" i="33"/>
  <c r="AR156" i="33"/>
  <c r="AM156" i="33"/>
  <c r="AH156" i="33"/>
  <c r="AC156" i="33"/>
  <c r="X156" i="33"/>
  <c r="S156" i="33"/>
  <c r="AW155" i="33"/>
  <c r="AR155" i="33"/>
  <c r="AM155" i="33"/>
  <c r="AH155" i="33"/>
  <c r="AC155" i="33"/>
  <c r="X155" i="33"/>
  <c r="S155" i="33"/>
  <c r="AW154" i="33"/>
  <c r="AR154" i="33"/>
  <c r="AM154" i="33"/>
  <c r="AH154" i="33"/>
  <c r="AC154" i="33"/>
  <c r="X154" i="33"/>
  <c r="S154" i="33"/>
  <c r="AW153" i="33"/>
  <c r="AR153" i="33"/>
  <c r="AM153" i="33"/>
  <c r="AH153" i="33"/>
  <c r="AC153" i="33"/>
  <c r="X153" i="33"/>
  <c r="S153" i="33"/>
  <c r="AW152" i="33"/>
  <c r="AR152" i="33"/>
  <c r="AM152" i="33"/>
  <c r="AH152" i="33"/>
  <c r="AC152" i="33"/>
  <c r="X152" i="33"/>
  <c r="S152" i="33"/>
  <c r="AW151" i="33"/>
  <c r="AR151" i="33"/>
  <c r="AM151" i="33"/>
  <c r="AH151" i="33"/>
  <c r="AC151" i="33"/>
  <c r="X151" i="33"/>
  <c r="S151" i="33"/>
  <c r="AW150" i="33"/>
  <c r="AR150" i="33"/>
  <c r="AM150" i="33"/>
  <c r="AH150" i="33"/>
  <c r="AC150" i="33"/>
  <c r="X150" i="33"/>
  <c r="S150" i="33"/>
  <c r="AW149" i="33"/>
  <c r="AR149" i="33"/>
  <c r="AM149" i="33"/>
  <c r="AH149" i="33"/>
  <c r="AC149" i="33"/>
  <c r="X149" i="33"/>
  <c r="S149" i="33"/>
  <c r="AW148" i="33"/>
  <c r="AR148" i="33"/>
  <c r="AM148" i="33"/>
  <c r="AH148" i="33"/>
  <c r="AC148" i="33"/>
  <c r="X148" i="33"/>
  <c r="S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AW133" i="33"/>
  <c r="AR133" i="33"/>
  <c r="AM133" i="33"/>
  <c r="AH133" i="33"/>
  <c r="AC133" i="33"/>
  <c r="X133" i="33"/>
  <c r="S133" i="33"/>
  <c r="AW132" i="33"/>
  <c r="AR132" i="33"/>
  <c r="AM132" i="33"/>
  <c r="AH132" i="33"/>
  <c r="AC132" i="33"/>
  <c r="X132" i="33"/>
  <c r="S132" i="33"/>
  <c r="AW131" i="33"/>
  <c r="AR131" i="33"/>
  <c r="AM131" i="33"/>
  <c r="AH131" i="33"/>
  <c r="AC131" i="33"/>
  <c r="X131" i="33"/>
  <c r="S131" i="33"/>
  <c r="AW130" i="33"/>
  <c r="AR130" i="33"/>
  <c r="AM130" i="33"/>
  <c r="AH130" i="33"/>
  <c r="AC130" i="33"/>
  <c r="X130" i="33"/>
  <c r="S130" i="33"/>
  <c r="AW129" i="33"/>
  <c r="AR129" i="33"/>
  <c r="AM129" i="33"/>
  <c r="AH129" i="33"/>
  <c r="AC129" i="33"/>
  <c r="X129" i="33"/>
  <c r="S129" i="33"/>
  <c r="AW128" i="33"/>
  <c r="AR128" i="33"/>
  <c r="AM128" i="33"/>
  <c r="AH128" i="33"/>
  <c r="AC128" i="33"/>
  <c r="X128" i="33"/>
  <c r="S128" i="33"/>
  <c r="AW127" i="33"/>
  <c r="AR127" i="33"/>
  <c r="AM127" i="33"/>
  <c r="AH127" i="33"/>
  <c r="AC127" i="33"/>
  <c r="X127" i="33"/>
  <c r="S127" i="33"/>
  <c r="AW126" i="33"/>
  <c r="AR126" i="33"/>
  <c r="AM126" i="33"/>
  <c r="AH126" i="33"/>
  <c r="AC126" i="33"/>
  <c r="X126" i="33"/>
  <c r="S126" i="33"/>
  <c r="AW125" i="33"/>
  <c r="AR125" i="33"/>
  <c r="AM125" i="33"/>
  <c r="AH125" i="33"/>
  <c r="AC125" i="33"/>
  <c r="X125" i="33"/>
  <c r="S125" i="33"/>
  <c r="AW124" i="33"/>
  <c r="AR124" i="33"/>
  <c r="AM124" i="33"/>
  <c r="AH124" i="33"/>
  <c r="AC124" i="33"/>
  <c r="X124" i="33"/>
  <c r="S124" i="33"/>
  <c r="AW123" i="33"/>
  <c r="AR123" i="33"/>
  <c r="AM123" i="33"/>
  <c r="AH123" i="33"/>
  <c r="AC123" i="33"/>
  <c r="X123" i="33"/>
  <c r="S123" i="33"/>
  <c r="AW122" i="33"/>
  <c r="AR122" i="33"/>
  <c r="AM122" i="33"/>
  <c r="AH122" i="33"/>
  <c r="AC122" i="33"/>
  <c r="X122" i="33"/>
  <c r="S122" i="33"/>
  <c r="AW121" i="33"/>
  <c r="AR121" i="33"/>
  <c r="AM121" i="33"/>
  <c r="AH121" i="33"/>
  <c r="AC121" i="33"/>
  <c r="X121" i="33"/>
  <c r="S121" i="33"/>
  <c r="AW120" i="33"/>
  <c r="AR120" i="33"/>
  <c r="AM120" i="33"/>
  <c r="AH120" i="33"/>
  <c r="AC120" i="33"/>
  <c r="X120" i="33"/>
  <c r="S120" i="33"/>
  <c r="AW119" i="33"/>
  <c r="AR119" i="33"/>
  <c r="AM119" i="33"/>
  <c r="AH119" i="33"/>
  <c r="AC119" i="33"/>
  <c r="X119" i="33"/>
  <c r="S119" i="33"/>
  <c r="AW118" i="33"/>
  <c r="AR118" i="33"/>
  <c r="AM118" i="33"/>
  <c r="AH118" i="33"/>
  <c r="AC118" i="33"/>
  <c r="X118" i="33"/>
  <c r="S118" i="33"/>
  <c r="AW117" i="33"/>
  <c r="AR117" i="33"/>
  <c r="AM117" i="33"/>
  <c r="AH117" i="33"/>
  <c r="AC117" i="33"/>
  <c r="X117" i="33"/>
  <c r="S117" i="33"/>
  <c r="AW116" i="33"/>
  <c r="AR116" i="33"/>
  <c r="AM116" i="33"/>
  <c r="AH116" i="33"/>
  <c r="AC116" i="33"/>
  <c r="X116" i="33"/>
  <c r="S116" i="33"/>
  <c r="AW115" i="33"/>
  <c r="AR115" i="33"/>
  <c r="AM115" i="33"/>
  <c r="AH115" i="33"/>
  <c r="AC115" i="33"/>
  <c r="X115" i="33"/>
  <c r="S115" i="33"/>
  <c r="AW114" i="33"/>
  <c r="AR114" i="33"/>
  <c r="AM114" i="33"/>
  <c r="AH114" i="33"/>
  <c r="AC114" i="33"/>
  <c r="X114" i="33"/>
  <c r="S114" i="33"/>
  <c r="AW113" i="33"/>
  <c r="AR113" i="33"/>
  <c r="AM113" i="33"/>
  <c r="AH113" i="33"/>
  <c r="AC113" i="33"/>
  <c r="X113" i="33"/>
  <c r="S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AW98" i="33"/>
  <c r="AR98" i="33"/>
  <c r="AM98" i="33"/>
  <c r="AH98" i="33"/>
  <c r="AC98" i="33"/>
  <c r="X98" i="33"/>
  <c r="S98" i="33"/>
  <c r="AW97" i="33"/>
  <c r="AR97" i="33"/>
  <c r="AM97" i="33"/>
  <c r="AH97" i="33"/>
  <c r="AC97" i="33"/>
  <c r="X97" i="33"/>
  <c r="S97" i="33"/>
  <c r="AW96" i="33"/>
  <c r="AR96" i="33"/>
  <c r="AM96" i="33"/>
  <c r="AH96" i="33"/>
  <c r="AC96" i="33"/>
  <c r="X96" i="33"/>
  <c r="S96" i="33"/>
  <c r="AW95" i="33"/>
  <c r="AR95" i="33"/>
  <c r="AM95" i="33"/>
  <c r="AH95" i="33"/>
  <c r="AC95" i="33"/>
  <c r="X95" i="33"/>
  <c r="S95" i="33"/>
  <c r="AW94" i="33"/>
  <c r="AR94" i="33"/>
  <c r="AM94" i="33"/>
  <c r="AH94" i="33"/>
  <c r="AC94" i="33"/>
  <c r="X94" i="33"/>
  <c r="S94" i="33"/>
  <c r="AW93" i="33"/>
  <c r="AR93" i="33"/>
  <c r="AM93" i="33"/>
  <c r="AH93" i="33"/>
  <c r="AC93" i="33"/>
  <c r="X93" i="33"/>
  <c r="S93" i="33"/>
  <c r="AW92" i="33"/>
  <c r="AR92" i="33"/>
  <c r="AM92" i="33"/>
  <c r="AH92" i="33"/>
  <c r="AC92" i="33"/>
  <c r="X92" i="33"/>
  <c r="S92" i="33"/>
  <c r="AW91" i="33"/>
  <c r="AR91" i="33"/>
  <c r="AM91" i="33"/>
  <c r="AH91" i="33"/>
  <c r="AC91" i="33"/>
  <c r="X91" i="33"/>
  <c r="S91" i="33"/>
  <c r="AW90" i="33"/>
  <c r="AR90" i="33"/>
  <c r="AM90" i="33"/>
  <c r="AH90" i="33"/>
  <c r="AC90" i="33"/>
  <c r="X90" i="33"/>
  <c r="S90" i="33"/>
  <c r="AW89" i="33"/>
  <c r="AR89" i="33"/>
  <c r="AM89" i="33"/>
  <c r="AH89" i="33"/>
  <c r="AC89" i="33"/>
  <c r="X89" i="33"/>
  <c r="S89" i="33"/>
  <c r="AW88" i="33"/>
  <c r="AR88" i="33"/>
  <c r="AM88" i="33"/>
  <c r="AH88" i="33"/>
  <c r="AC88" i="33"/>
  <c r="X88" i="33"/>
  <c r="S88" i="33"/>
  <c r="AW87" i="33"/>
  <c r="AR87" i="33"/>
  <c r="AM87" i="33"/>
  <c r="AH87" i="33"/>
  <c r="AC87" i="33"/>
  <c r="X87" i="33"/>
  <c r="S87" i="33"/>
  <c r="AW86" i="33"/>
  <c r="AR86" i="33"/>
  <c r="AM86" i="33"/>
  <c r="AH86" i="33"/>
  <c r="AC86" i="33"/>
  <c r="X86" i="33"/>
  <c r="S86" i="33"/>
  <c r="AW85" i="33"/>
  <c r="AR85" i="33"/>
  <c r="AM85" i="33"/>
  <c r="AH85" i="33"/>
  <c r="AC85" i="33"/>
  <c r="X85" i="33"/>
  <c r="S85" i="33"/>
  <c r="AW84" i="33"/>
  <c r="AR84" i="33"/>
  <c r="AM84" i="33"/>
  <c r="AH84" i="33"/>
  <c r="AC84" i="33"/>
  <c r="X84" i="33"/>
  <c r="S84" i="33"/>
  <c r="AW83" i="33"/>
  <c r="AR83" i="33"/>
  <c r="AM83" i="33"/>
  <c r="AH83" i="33"/>
  <c r="AC83" i="33"/>
  <c r="X83" i="33"/>
  <c r="S83" i="33"/>
  <c r="AW82" i="33"/>
  <c r="AR82" i="33"/>
  <c r="AM82" i="33"/>
  <c r="AH82" i="33"/>
  <c r="AC82" i="33"/>
  <c r="X82" i="33"/>
  <c r="S82" i="33"/>
  <c r="AW81" i="33"/>
  <c r="AR81" i="33"/>
  <c r="AM81" i="33"/>
  <c r="AH81" i="33"/>
  <c r="AC81" i="33"/>
  <c r="X81" i="33"/>
  <c r="S81" i="33"/>
  <c r="AW80" i="33"/>
  <c r="AR80" i="33"/>
  <c r="AM80" i="33"/>
  <c r="AH80" i="33"/>
  <c r="AC80" i="33"/>
  <c r="X80" i="33"/>
  <c r="S80" i="33"/>
  <c r="AW79" i="33"/>
  <c r="AR79" i="33"/>
  <c r="AM79" i="33"/>
  <c r="AH79" i="33"/>
  <c r="AC79" i="33"/>
  <c r="X79" i="33"/>
  <c r="S79" i="33"/>
  <c r="AW78" i="33"/>
  <c r="AR78" i="33"/>
  <c r="AM78" i="33"/>
  <c r="AH78" i="33"/>
  <c r="AC78" i="33"/>
  <c r="X78" i="33"/>
  <c r="S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AW64" i="33"/>
  <c r="AR64" i="33"/>
  <c r="AM64" i="33"/>
  <c r="AH64" i="33"/>
  <c r="AC64" i="33"/>
  <c r="X64" i="33"/>
  <c r="S64" i="33"/>
  <c r="AW63" i="33"/>
  <c r="AR63" i="33"/>
  <c r="AM63" i="33"/>
  <c r="AH63" i="33"/>
  <c r="AC63" i="33"/>
  <c r="X63" i="33"/>
  <c r="S63" i="33"/>
  <c r="K239" i="33"/>
  <c r="I239" i="33"/>
  <c r="AW62" i="33"/>
  <c r="AR62" i="33"/>
  <c r="AM62" i="33"/>
  <c r="AH62" i="33"/>
  <c r="AC62" i="33"/>
  <c r="X62" i="33"/>
  <c r="S62" i="33"/>
  <c r="AW61" i="33"/>
  <c r="AR61" i="33"/>
  <c r="AM61" i="33"/>
  <c r="AH61" i="33"/>
  <c r="AC61" i="33"/>
  <c r="X61" i="33"/>
  <c r="S61" i="33"/>
  <c r="AW60" i="33"/>
  <c r="AR60" i="33"/>
  <c r="AM60" i="33"/>
  <c r="AH60" i="33"/>
  <c r="AC60" i="33"/>
  <c r="X60" i="33"/>
  <c r="S60" i="33"/>
  <c r="AW59" i="33"/>
  <c r="AR59" i="33"/>
  <c r="AM59" i="33"/>
  <c r="AH59" i="33"/>
  <c r="AC59" i="33"/>
  <c r="X59" i="33"/>
  <c r="S59" i="33"/>
  <c r="AW58" i="33"/>
  <c r="AR58" i="33"/>
  <c r="AM58" i="33"/>
  <c r="AH58" i="33"/>
  <c r="AC58" i="33"/>
  <c r="X58" i="33"/>
  <c r="S58" i="33"/>
  <c r="AW57" i="33"/>
  <c r="AR57" i="33"/>
  <c r="AM57" i="33"/>
  <c r="AH57" i="33"/>
  <c r="AC57" i="33"/>
  <c r="X57" i="33"/>
  <c r="S57" i="33"/>
  <c r="AW56" i="33"/>
  <c r="AR56" i="33"/>
  <c r="AM56" i="33"/>
  <c r="AH56" i="33"/>
  <c r="AC56" i="33"/>
  <c r="X56" i="33"/>
  <c r="S56" i="33"/>
  <c r="AW55" i="33"/>
  <c r="AR55" i="33"/>
  <c r="AM55" i="33"/>
  <c r="AH55" i="33"/>
  <c r="AC55" i="33"/>
  <c r="X55" i="33"/>
  <c r="S55" i="33"/>
  <c r="AW54" i="33"/>
  <c r="AR54" i="33"/>
  <c r="AM54" i="33"/>
  <c r="AH54" i="33"/>
  <c r="AC54" i="33"/>
  <c r="X54" i="33"/>
  <c r="S54" i="33"/>
  <c r="AW53" i="33"/>
  <c r="AR53" i="33"/>
  <c r="AM53" i="33"/>
  <c r="AH53" i="33"/>
  <c r="AC53" i="33"/>
  <c r="X53" i="33"/>
  <c r="S53" i="33"/>
  <c r="AW52" i="33"/>
  <c r="AR52" i="33"/>
  <c r="AM52" i="33"/>
  <c r="AH52" i="33"/>
  <c r="AC52" i="33"/>
  <c r="X52" i="33"/>
  <c r="S52" i="33"/>
  <c r="AW51" i="33"/>
  <c r="AR51" i="33"/>
  <c r="AM51" i="33"/>
  <c r="AH51" i="33"/>
  <c r="AC51" i="33"/>
  <c r="X51" i="33"/>
  <c r="S51" i="33"/>
  <c r="K227" i="33"/>
  <c r="I227" i="33"/>
  <c r="AW50" i="33"/>
  <c r="AR50" i="33"/>
  <c r="AM50" i="33"/>
  <c r="AH50" i="33"/>
  <c r="AC50" i="33"/>
  <c r="X50" i="33"/>
  <c r="S50" i="33"/>
  <c r="AW49" i="33"/>
  <c r="AR49" i="33"/>
  <c r="AM49" i="33"/>
  <c r="AH49" i="33"/>
  <c r="AC49" i="33"/>
  <c r="X49" i="33"/>
  <c r="S49" i="33"/>
  <c r="AW48" i="33"/>
  <c r="AR48" i="33"/>
  <c r="AM48" i="33"/>
  <c r="AH48" i="33"/>
  <c r="AC48" i="33"/>
  <c r="X48" i="33"/>
  <c r="S48" i="33"/>
  <c r="AW47" i="33"/>
  <c r="AR47" i="33"/>
  <c r="AM47" i="33"/>
  <c r="AH47" i="33"/>
  <c r="AC47" i="33"/>
  <c r="X47" i="33"/>
  <c r="S47" i="33"/>
  <c r="AW46" i="33"/>
  <c r="AR46" i="33"/>
  <c r="AM46" i="33"/>
  <c r="AH46" i="33"/>
  <c r="AC46" i="33"/>
  <c r="X46" i="33"/>
  <c r="S46" i="33"/>
  <c r="AW45" i="33"/>
  <c r="AR45" i="33"/>
  <c r="AM45" i="33"/>
  <c r="AH45" i="33"/>
  <c r="AC45" i="33"/>
  <c r="X45" i="33"/>
  <c r="S45" i="33"/>
  <c r="AW44" i="33"/>
  <c r="AR44" i="33"/>
  <c r="AM44" i="33"/>
  <c r="AH44" i="33"/>
  <c r="AC44" i="33"/>
  <c r="X44" i="33"/>
  <c r="S44" i="33"/>
  <c r="AW43" i="33"/>
  <c r="AR43" i="33"/>
  <c r="AM43" i="33"/>
  <c r="AH43" i="33"/>
  <c r="AC43" i="33"/>
  <c r="X43" i="33"/>
  <c r="S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H8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M67" i="31"/>
  <c r="H67" i="31"/>
  <c r="S61" i="31"/>
  <c r="H47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M27" i="31"/>
  <c r="H27" i="31"/>
  <c r="S101" i="32"/>
  <c r="S100" i="32"/>
  <c r="S99" i="32"/>
  <c r="S98" i="32"/>
  <c r="S97" i="32"/>
  <c r="S96" i="32"/>
  <c r="S95" i="32"/>
  <c r="S94" i="32"/>
  <c r="S93" i="32"/>
  <c r="S92" i="32"/>
  <c r="S91" i="32"/>
  <c r="S90" i="32"/>
  <c r="S89" i="32"/>
  <c r="S88" i="32"/>
  <c r="T87" i="32"/>
  <c r="S87" i="32"/>
  <c r="H87" i="32"/>
  <c r="S81" i="32"/>
  <c r="S80" i="32"/>
  <c r="S79" i="32"/>
  <c r="S78" i="32"/>
  <c r="S77" i="32"/>
  <c r="S76" i="32"/>
  <c r="S75" i="32"/>
  <c r="S74" i="32"/>
  <c r="S73" i="32"/>
  <c r="S72" i="32"/>
  <c r="S71" i="32"/>
  <c r="S70" i="32"/>
  <c r="S69" i="32"/>
  <c r="S68" i="32"/>
  <c r="T67" i="32"/>
  <c r="S67" i="32"/>
  <c r="H67" i="32"/>
  <c r="H4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T87" i="30"/>
  <c r="S87" i="30"/>
  <c r="H87" i="30"/>
  <c r="H47" i="30"/>
  <c r="K134" i="30"/>
  <c r="J134" i="30"/>
  <c r="I134" i="30"/>
  <c r="K133" i="30"/>
  <c r="J133" i="30"/>
  <c r="J131" i="30"/>
  <c r="K129" i="30"/>
  <c r="J129" i="30"/>
  <c r="I129" i="30"/>
  <c r="J128" i="30"/>
  <c r="I128" i="30"/>
  <c r="S176" i="8"/>
  <c r="S175" i="8"/>
  <c r="S174" i="8"/>
  <c r="S173" i="8"/>
  <c r="S172" i="8"/>
  <c r="S171" i="8"/>
  <c r="S170" i="8"/>
  <c r="S169" i="8"/>
  <c r="S168" i="8"/>
  <c r="S167" i="8"/>
  <c r="S166" i="8"/>
  <c r="S165" i="8"/>
  <c r="S164" i="8"/>
  <c r="S163" i="8"/>
  <c r="S162" i="8"/>
  <c r="S161" i="8"/>
  <c r="S160" i="8"/>
  <c r="S159" i="8"/>
  <c r="S158" i="8"/>
  <c r="S157" i="8"/>
  <c r="S156" i="8"/>
  <c r="S155" i="8"/>
  <c r="S154" i="8"/>
  <c r="S153" i="8"/>
  <c r="S152" i="8"/>
  <c r="S151" i="8"/>
  <c r="S150" i="8"/>
  <c r="S149" i="8"/>
  <c r="S148" i="8"/>
  <c r="T147" i="8"/>
  <c r="S147" i="8"/>
  <c r="H147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S129" i="8"/>
  <c r="S128" i="8"/>
  <c r="S127" i="8"/>
  <c r="S126" i="8"/>
  <c r="S125" i="8"/>
  <c r="S124" i="8"/>
  <c r="S123" i="8"/>
  <c r="S122" i="8"/>
  <c r="S121" i="8"/>
  <c r="S120" i="8"/>
  <c r="S119" i="8"/>
  <c r="S118" i="8"/>
  <c r="S117" i="8"/>
  <c r="S116" i="8"/>
  <c r="S115" i="8"/>
  <c r="S114" i="8"/>
  <c r="S113" i="8"/>
  <c r="T112" i="8"/>
  <c r="S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236" i="8"/>
  <c r="S59" i="8"/>
  <c r="K235" i="8"/>
  <c r="J235" i="8"/>
  <c r="I235" i="8"/>
  <c r="S58" i="8"/>
  <c r="J234" i="8"/>
  <c r="S57" i="8"/>
  <c r="K233" i="8"/>
  <c r="S56" i="8"/>
  <c r="K232" i="8"/>
  <c r="I232" i="8"/>
  <c r="S55" i="8"/>
  <c r="S54" i="8"/>
  <c r="S53" i="8"/>
  <c r="K229" i="8"/>
  <c r="I229" i="8"/>
  <c r="S52" i="8"/>
  <c r="S51" i="8"/>
  <c r="S50" i="8"/>
  <c r="K226" i="8"/>
  <c r="I226" i="8"/>
  <c r="S49" i="8"/>
  <c r="K225" i="8"/>
  <c r="J225" i="8"/>
  <c r="I225" i="8"/>
  <c r="S48" i="8"/>
  <c r="J224" i="8"/>
  <c r="I224" i="8"/>
  <c r="S47" i="8"/>
  <c r="K223" i="8"/>
  <c r="I223" i="8"/>
  <c r="S46" i="8"/>
  <c r="S45" i="8"/>
  <c r="S44" i="8"/>
  <c r="K220" i="8"/>
  <c r="I220" i="8"/>
  <c r="S43" i="8"/>
  <c r="T42" i="8"/>
  <c r="S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S45" i="6"/>
  <c r="M45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AC27" i="6"/>
  <c r="S27" i="6"/>
  <c r="AC26" i="6"/>
  <c r="S26" i="6"/>
  <c r="AC25" i="6"/>
  <c r="S25" i="6"/>
  <c r="AC24" i="6"/>
  <c r="S24" i="6"/>
  <c r="AC23" i="6"/>
  <c r="S23" i="6"/>
  <c r="AC22" i="6"/>
  <c r="S22" i="6"/>
  <c r="AC21" i="6"/>
  <c r="S21" i="6"/>
  <c r="AC20" i="6"/>
  <c r="S20" i="6"/>
  <c r="AC19" i="6"/>
  <c r="S19" i="6"/>
  <c r="AC18" i="6"/>
  <c r="S18" i="6"/>
  <c r="AC17" i="6"/>
  <c r="S17" i="6"/>
  <c r="AC16" i="6"/>
  <c r="S16" i="6"/>
  <c r="AC15" i="6"/>
  <c r="S15" i="6"/>
  <c r="F14" i="6"/>
  <c r="F13" i="6"/>
  <c r="F12" i="6"/>
  <c r="F11" i="6"/>
  <c r="F10" i="6"/>
  <c r="F9" i="6"/>
  <c r="F8" i="6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J6" i="5" s="1"/>
  <c r="U41" i="3"/>
  <c r="O41" i="3"/>
  <c r="U40" i="3"/>
  <c r="O40" i="3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E11" i="1" l="1"/>
  <c r="J7" i="5"/>
  <c r="X48" i="1"/>
  <c r="V48" i="1" s="1"/>
  <c r="X34" i="1"/>
  <c r="V34" i="1" s="1"/>
  <c r="X42" i="1"/>
  <c r="V42" i="1" s="1"/>
  <c r="G8" i="6"/>
  <c r="AJ8" i="6"/>
  <c r="V8" i="6"/>
  <c r="P8" i="6"/>
  <c r="J8" i="6"/>
  <c r="AH8" i="6"/>
  <c r="AB8" i="6"/>
  <c r="T8" i="6"/>
  <c r="N8" i="6"/>
  <c r="AF8" i="6"/>
  <c r="Z8" i="6"/>
  <c r="AL8" i="6"/>
  <c r="AD8" i="6"/>
  <c r="X8" i="6"/>
  <c r="R8" i="6"/>
  <c r="L8" i="6"/>
  <c r="J21" i="5"/>
  <c r="M121" i="37"/>
  <c r="J14" i="5"/>
  <c r="D9" i="39"/>
  <c r="AZ36" i="8"/>
  <c r="AB12" i="6"/>
  <c r="R12" i="6"/>
  <c r="R9" i="6"/>
  <c r="AB9" i="6"/>
  <c r="R13" i="6"/>
  <c r="AB13" i="6"/>
  <c r="R10" i="6"/>
  <c r="AB10" i="6"/>
  <c r="R14" i="6"/>
  <c r="AB14" i="6"/>
  <c r="AB11" i="6"/>
  <c r="R11" i="6"/>
  <c r="AC46" i="6"/>
  <c r="AC47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F23" i="6"/>
  <c r="S46" i="6"/>
  <c r="S47" i="6" s="1"/>
  <c r="H16" i="13" s="1"/>
  <c r="M46" i="6"/>
  <c r="M47" i="6" s="1"/>
  <c r="F26" i="6"/>
  <c r="Z26" i="6" s="1"/>
  <c r="F20" i="6"/>
  <c r="V20" i="6" s="1"/>
  <c r="K10" i="5"/>
  <c r="K7" i="39" s="1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M70" i="32"/>
  <c r="M76" i="32"/>
  <c r="M69" i="32"/>
  <c r="M75" i="32"/>
  <c r="M72" i="32"/>
  <c r="M68" i="32"/>
  <c r="M74" i="32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AH31" i="7" s="1"/>
  <c r="F28" i="6"/>
  <c r="T28" i="6" s="1"/>
  <c r="F31" i="6"/>
  <c r="U14" i="1"/>
  <c r="F35" i="6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F45" i="6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K128" i="32"/>
  <c r="K132" i="32"/>
  <c r="K222" i="33"/>
  <c r="K226" i="33"/>
  <c r="K230" i="33"/>
  <c r="K234" i="33"/>
  <c r="K238" i="33"/>
  <c r="I241" i="33"/>
  <c r="I137" i="32"/>
  <c r="J241" i="33"/>
  <c r="F19" i="7"/>
  <c r="I131" i="32"/>
  <c r="F45" i="7"/>
  <c r="AH45" i="7" s="1"/>
  <c r="F18" i="6"/>
  <c r="F24" i="6"/>
  <c r="F27" i="6"/>
  <c r="F41" i="6"/>
  <c r="M135" i="8"/>
  <c r="M138" i="8"/>
  <c r="M141" i="8"/>
  <c r="L47" i="30"/>
  <c r="J129" i="32"/>
  <c r="J133" i="32"/>
  <c r="J137" i="32"/>
  <c r="J219" i="33"/>
  <c r="J223" i="33"/>
  <c r="J231" i="33"/>
  <c r="M53" i="37"/>
  <c r="H21" i="13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AH27" i="7" s="1"/>
  <c r="F16" i="6"/>
  <c r="F19" i="6"/>
  <c r="B17" i="13"/>
  <c r="C17" i="13" s="1"/>
  <c r="E17" i="13" s="1"/>
  <c r="F15" i="7"/>
  <c r="F10" i="7"/>
  <c r="F14" i="7"/>
  <c r="F8" i="7"/>
  <c r="F12" i="7"/>
  <c r="F16" i="7"/>
  <c r="F20" i="7"/>
  <c r="N20" i="7" s="1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F26" i="7"/>
  <c r="F30" i="7"/>
  <c r="F34" i="7"/>
  <c r="AD34" i="7" s="1"/>
  <c r="AC46" i="7"/>
  <c r="B19" i="13" s="1"/>
  <c r="C19" i="13" s="1"/>
  <c r="E19" i="13" s="1"/>
  <c r="F44" i="7"/>
  <c r="N44" i="7" s="1"/>
  <c r="AJ20" i="6"/>
  <c r="H23" i="13"/>
  <c r="F22" i="6"/>
  <c r="F32" i="6"/>
  <c r="F21" i="6"/>
  <c r="T23" i="6"/>
  <c r="AF23" i="6"/>
  <c r="AL23" i="6"/>
  <c r="X23" i="6"/>
  <c r="P23" i="6"/>
  <c r="AJ23" i="6"/>
  <c r="F25" i="6"/>
  <c r="F15" i="6"/>
  <c r="G9" i="6" s="1"/>
  <c r="J23" i="6"/>
  <c r="F30" i="6"/>
  <c r="F17" i="6"/>
  <c r="N45" i="6"/>
  <c r="AH45" i="6"/>
  <c r="F34" i="6"/>
  <c r="F44" i="6"/>
  <c r="J45" i="6"/>
  <c r="P45" i="6"/>
  <c r="V45" i="6"/>
  <c r="AJ45" i="6"/>
  <c r="F29" i="6"/>
  <c r="F33" i="6"/>
  <c r="L45" i="6"/>
  <c r="X45" i="6"/>
  <c r="AD45" i="6"/>
  <c r="AL45" i="6"/>
  <c r="Z45" i="6"/>
  <c r="L27" i="34"/>
  <c r="M34" i="35"/>
  <c r="M35" i="35"/>
  <c r="M36" i="35"/>
  <c r="M37" i="35"/>
  <c r="M38" i="35"/>
  <c r="M39" i="35"/>
  <c r="M40" i="35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M52" i="36"/>
  <c r="M53" i="36"/>
  <c r="M54" i="36"/>
  <c r="M55" i="36"/>
  <c r="M56" i="36"/>
  <c r="M57" i="36"/>
  <c r="M58" i="36"/>
  <c r="M59" i="36"/>
  <c r="M60" i="36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M73" i="37"/>
  <c r="M74" i="37"/>
  <c r="M75" i="37"/>
  <c r="M76" i="37"/>
  <c r="M77" i="37"/>
  <c r="M78" i="37"/>
  <c r="M79" i="37"/>
  <c r="M80" i="37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D10" i="39"/>
  <c r="I11" i="13"/>
  <c r="K11" i="13" s="1"/>
  <c r="F39" i="6"/>
  <c r="F38" i="6"/>
  <c r="F42" i="6"/>
  <c r="F40" i="6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47" i="6"/>
  <c r="F37" i="6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N40" i="6" l="1"/>
  <c r="AB40" i="6"/>
  <c r="R40" i="6"/>
  <c r="R42" i="6"/>
  <c r="AB42" i="6"/>
  <c r="AB44" i="6"/>
  <c r="R44" i="6"/>
  <c r="AJ41" i="6"/>
  <c r="AB41" i="6"/>
  <c r="R41" i="6"/>
  <c r="AF45" i="6"/>
  <c r="AB45" i="6"/>
  <c r="R45" i="6"/>
  <c r="AD20" i="6"/>
  <c r="G8" i="7"/>
  <c r="AJ8" i="7"/>
  <c r="V8" i="7"/>
  <c r="P8" i="7"/>
  <c r="J8" i="7"/>
  <c r="AH8" i="7"/>
  <c r="AB8" i="7"/>
  <c r="T8" i="7"/>
  <c r="N8" i="7"/>
  <c r="AF8" i="7"/>
  <c r="Z8" i="7"/>
  <c r="AL8" i="7"/>
  <c r="AD8" i="7"/>
  <c r="X8" i="7"/>
  <c r="R8" i="7"/>
  <c r="L8" i="7"/>
  <c r="G30" i="6"/>
  <c r="AD30" i="7"/>
  <c r="G30" i="7"/>
  <c r="AD23" i="6"/>
  <c r="G23" i="6"/>
  <c r="AH23" i="7"/>
  <c r="G23" i="7"/>
  <c r="G16" i="6"/>
  <c r="G16" i="7"/>
  <c r="G9" i="7"/>
  <c r="V26" i="6"/>
  <c r="AH16" i="6"/>
  <c r="AB16" i="6"/>
  <c r="R16" i="6"/>
  <c r="AB15" i="6"/>
  <c r="R15" i="6"/>
  <c r="N17" i="6"/>
  <c r="R17" i="6"/>
  <c r="AB17" i="6"/>
  <c r="L18" i="6"/>
  <c r="R18" i="6"/>
  <c r="AB18" i="6"/>
  <c r="C1" i="30"/>
  <c r="AH39" i="6"/>
  <c r="R39" i="6"/>
  <c r="AB39" i="6"/>
  <c r="N38" i="6"/>
  <c r="R38" i="6"/>
  <c r="AB38" i="6"/>
  <c r="AB34" i="6"/>
  <c r="R34" i="6"/>
  <c r="AF36" i="6"/>
  <c r="AB36" i="6"/>
  <c r="R36" i="6"/>
  <c r="AL37" i="6"/>
  <c r="AB37" i="6"/>
  <c r="R37" i="6"/>
  <c r="N33" i="6"/>
  <c r="R33" i="6"/>
  <c r="AB33" i="6"/>
  <c r="AF35" i="6"/>
  <c r="AB35" i="6"/>
  <c r="R35" i="6"/>
  <c r="AD33" i="7"/>
  <c r="D11" i="39"/>
  <c r="AD26" i="7"/>
  <c r="L26" i="6"/>
  <c r="AF28" i="6"/>
  <c r="AD26" i="6"/>
  <c r="AF26" i="6"/>
  <c r="L28" i="6"/>
  <c r="J26" i="6"/>
  <c r="AB30" i="6"/>
  <c r="R30" i="6"/>
  <c r="AH28" i="6"/>
  <c r="AB28" i="6"/>
  <c r="R28" i="6"/>
  <c r="AH26" i="6"/>
  <c r="AB26" i="6"/>
  <c r="R26" i="6"/>
  <c r="N29" i="6"/>
  <c r="AB29" i="6"/>
  <c r="R29" i="6"/>
  <c r="N32" i="6"/>
  <c r="AB32" i="6"/>
  <c r="R32" i="6"/>
  <c r="AD27" i="6"/>
  <c r="AB27" i="6"/>
  <c r="R27" i="6"/>
  <c r="AF31" i="6"/>
  <c r="AB31" i="6"/>
  <c r="R31" i="6"/>
  <c r="L23" i="6"/>
  <c r="Z23" i="6"/>
  <c r="N23" i="6"/>
  <c r="T20" i="6"/>
  <c r="AF20" i="6"/>
  <c r="V23" i="6"/>
  <c r="N25" i="6"/>
  <c r="R25" i="6"/>
  <c r="AB25" i="6"/>
  <c r="L22" i="6"/>
  <c r="R22" i="6"/>
  <c r="AB22" i="6"/>
  <c r="R19" i="6"/>
  <c r="AB19" i="6"/>
  <c r="N21" i="6"/>
  <c r="R21" i="6"/>
  <c r="AB21" i="6"/>
  <c r="AH20" i="6"/>
  <c r="AB20" i="6"/>
  <c r="R20" i="6"/>
  <c r="AH23" i="6"/>
  <c r="R23" i="6"/>
  <c r="AB23" i="6"/>
  <c r="V24" i="6"/>
  <c r="AB24" i="6"/>
  <c r="R24" i="6"/>
  <c r="AL20" i="6"/>
  <c r="N20" i="6"/>
  <c r="P20" i="6"/>
  <c r="AH19" i="6"/>
  <c r="AB19" i="7"/>
  <c r="AL28" i="6"/>
  <c r="T45" i="6"/>
  <c r="N35" i="6"/>
  <c r="J27" i="6"/>
  <c r="P26" i="6"/>
  <c r="X26" i="6"/>
  <c r="N26" i="6"/>
  <c r="T26" i="6"/>
  <c r="AJ26" i="6"/>
  <c r="AL26" i="6"/>
  <c r="V23" i="7"/>
  <c r="Z20" i="6"/>
  <c r="L20" i="6"/>
  <c r="X20" i="6"/>
  <c r="J20" i="6"/>
  <c r="H12" i="6"/>
  <c r="AF46" i="6" s="1"/>
  <c r="H12" i="7"/>
  <c r="AH46" i="7" s="1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AZ18" i="30"/>
  <c r="P27" i="6"/>
  <c r="X36" i="6"/>
  <c r="J36" i="6"/>
  <c r="R45" i="7"/>
  <c r="AF41" i="6"/>
  <c r="AZ14" i="30"/>
  <c r="L27" i="6"/>
  <c r="L45" i="7"/>
  <c r="Z45" i="7"/>
  <c r="Z41" i="6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AZ17" i="30"/>
  <c r="AZ15" i="30"/>
  <c r="N43" i="7"/>
  <c r="M140" i="30"/>
  <c r="M133" i="30"/>
  <c r="T24" i="6"/>
  <c r="Z24" i="6"/>
  <c r="N18" i="6"/>
  <c r="T27" i="6"/>
  <c r="AD32" i="6"/>
  <c r="V27" i="7"/>
  <c r="AL33" i="7"/>
  <c r="AZ19" i="30"/>
  <c r="AB43" i="7"/>
  <c r="M134" i="30"/>
  <c r="T39" i="7"/>
  <c r="M138" i="30"/>
  <c r="M131" i="30"/>
  <c r="AF18" i="6"/>
  <c r="Z27" i="7"/>
  <c r="X45" i="7"/>
  <c r="AZ8" i="30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2" i="6"/>
  <c r="T18" i="6"/>
  <c r="N24" i="6"/>
  <c r="AL45" i="7"/>
  <c r="N45" i="7"/>
  <c r="AZ20" i="30"/>
  <c r="AZ9" i="30"/>
  <c r="AZ21" i="30"/>
  <c r="X39" i="7"/>
  <c r="AZ11" i="30"/>
  <c r="AD36" i="6"/>
  <c r="M128" i="30"/>
  <c r="M135" i="30"/>
  <c r="V18" i="6"/>
  <c r="J24" i="6"/>
  <c r="AF45" i="7"/>
  <c r="AZ10" i="30"/>
  <c r="AZ12" i="30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AZ7" i="30"/>
  <c r="AZ13" i="30"/>
  <c r="AZ16" i="30"/>
  <c r="P107" i="33"/>
  <c r="U72" i="33"/>
  <c r="Z72" i="33" s="1"/>
  <c r="AE72" i="33" s="1"/>
  <c r="AJ72" i="33" s="1"/>
  <c r="AO72" i="33" s="1"/>
  <c r="AT72" i="33" s="1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AL22" i="7"/>
  <c r="X22" i="7"/>
  <c r="R22" i="7"/>
  <c r="L22" i="7"/>
  <c r="AH22" i="7"/>
  <c r="AB22" i="7"/>
  <c r="P22" i="7"/>
  <c r="Z22" i="7"/>
  <c r="AJ22" i="7"/>
  <c r="V22" i="7"/>
  <c r="J22" i="7"/>
  <c r="AF22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AJ29" i="6"/>
  <c r="V29" i="6"/>
  <c r="P29" i="6"/>
  <c r="J29" i="6"/>
  <c r="AH29" i="6"/>
  <c r="T29" i="6"/>
  <c r="AF29" i="6"/>
  <c r="Z29" i="6"/>
  <c r="AL29" i="6"/>
  <c r="X29" i="6"/>
  <c r="L29" i="6"/>
  <c r="AD29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<sst xmlns="http://schemas.openxmlformats.org/spreadsheetml/2006/main" count="7591" uniqueCount="911">
  <si>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</si>
  <si>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</si>
  <si>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</si>
  <si>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</si>
  <si>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</si>
  <si>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</si>
  <si>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</si>
  <si>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</si>
  <si>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</si>
  <si>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</si>
  <si>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</si>
  <si>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</si>
  <si>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</si>
  <si>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</si>
  <si>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</si>
  <si>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</si>
  <si>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</si>
  <si>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</si>
  <si>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</si>
  <si>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</si>
  <si>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</si>
  <si>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</si>
  <si>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</si>
  <si>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</si>
  <si>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</si>
  <si>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</si>
  <si>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</si>
  <si>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</si>
  <si>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</si>
  <si>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</si>
  <si>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</si>
  <si>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</si>
  <si>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</si>
  <si>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</si>
  <si>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</si>
  <si>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</si>
  <si>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</si>
  <si>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</si>
  <si>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</si>
  <si>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</si>
  <si>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</si>
  <si>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</si>
  <si>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</si>
  <si>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</si>
  <si>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</si>
  <si>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</si>
  <si>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</si>
  <si>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</si>
  <si>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</si>
  <si>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</si>
  <si>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</si>
  <si>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</si>
  <si>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</si>
  <si>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</si>
  <si>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</si>
  <si>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</si>
  <si>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</si>
  <si>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</si>
  <si>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</si>
  <si>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</si>
  <si>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</si>
  <si>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</si>
  <si>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</si>
  <si>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</si>
  <si>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</si>
  <si>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</si>
  <si>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</si>
  <si>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</si>
  <si>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</si>
  <si>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</si>
  <si>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</si>
  <si>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</si>
  <si>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</si>
  <si>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</si>
  <si>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</si>
  <si>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</si>
  <si>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</si>
  <si>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</si>
  <si>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</si>
  <si>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</si>
  <si>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</si>
  <si>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</si>
  <si>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</si>
  <si>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</si>
  <si>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</si>
  <si>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</si>
  <si>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</si>
  <si>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</si>
  <si>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</si>
  <si>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</si>
  <si>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</si>
  <si>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</si>
  <si>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</si>
  <si>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</si>
  <si>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</si>
  <si>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</si>
  <si>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</si>
  <si>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</si>
  <si>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</si>
  <si>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</si>
  <si>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</si>
  <si>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</si>
  <si>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</si>
  <si>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</si>
  <si>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</si>
  <si>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</si>
  <si>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</si>
  <si>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</si>
  <si>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</si>
  <si>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</si>
  <si>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</si>
  <si>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</si>
  <si>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</si>
  <si>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</si>
  <si>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</si>
  <si>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</si>
  <si>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</si>
  <si>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</si>
  <si>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</si>
  <si>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</si>
  <si>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</si>
  <si>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</si>
  <si>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</si>
  <si>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</si>
  <si>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</si>
  <si>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</si>
  <si>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</si>
  <si>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</si>
  <si>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</si>
  <si>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</si>
  <si>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</si>
  <si>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</si>
  <si>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</si>
  <si>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</si>
  <si>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</si>
  <si>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</si>
  <si>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</si>
  <si>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</si>
  <si>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</si>
  <si>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</si>
  <si>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</si>
  <si>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</si>
  <si>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</si>
  <si>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</si>
  <si>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</si>
  <si>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</si>
  <si>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</si>
  <si>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</si>
  <si>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</si>
  <si>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</si>
  <si>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</si>
  <si>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</si>
  <si>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</si>
  <si>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</si>
  <si>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</si>
  <si>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</si>
  <si>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</si>
  <si>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</si>
  <si>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</si>
  <si>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</si>
  <si>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</si>
  <si>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</si>
  <si>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</si>
  <si>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</si>
  <si>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</si>
  <si>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</si>
  <si>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</si>
  <si>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</si>
  <si>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</si>
  <si>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</si>
  <si>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</si>
  <si>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</si>
  <si>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</si>
  <si>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</si>
  <si>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</si>
  <si>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</si>
  <si>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</si>
  <si>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</si>
  <si>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</si>
  <si>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</si>
  <si>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</si>
  <si>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</si>
  <si>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</si>
  <si>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</si>
  <si>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</si>
  <si>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</si>
  <si>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</si>
  <si>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</si>
  <si>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</si>
  <si>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</si>
  <si>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</si>
  <si>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</si>
  <si>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</si>
  <si>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</si>
  <si>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</si>
  <si>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</si>
  <si>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</si>
  <si>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</si>
  <si>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</si>
  <si>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</si>
  <si>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</si>
  <si>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</si>
  <si>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</si>
  <si>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</si>
  <si>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</si>
  <si>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</si>
  <si>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</si>
  <si>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</si>
  <si>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</si>
  <si>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</si>
  <si>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</si>
  <si>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</si>
  <si>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</si>
  <si>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</si>
  <si>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</si>
  <si>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</si>
  <si>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</si>
  <si>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</si>
  <si>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</si>
  <si>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</si>
  <si>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</si>
  <si>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</si>
  <si>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</si>
  <si>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</si>
  <si>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</si>
  <si>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</si>
  <si>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</si>
  <si>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</si>
  <si>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</si>
  <si>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</si>
  <si>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</si>
  <si>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</si>
  <si>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</si>
  <si>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</si>
  <si>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</si>
  <si>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</si>
  <si>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</si>
  <si>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</si>
  <si>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</si>
  <si>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</si>
  <si>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</si>
  <si>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</si>
  <si>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</si>
  <si>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</si>
  <si>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</si>
  <si>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</si>
  <si>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</si>
  <si>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</si>
  <si>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</si>
  <si>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</si>
  <si>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</si>
  <si>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</si>
  <si>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</si>
  <si>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</si>
  <si>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</si>
  <si>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</si>
  <si>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</si>
  <si>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</si>
  <si>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</si>
  <si>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</si>
  <si>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</si>
  <si>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</si>
  <si>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</si>
  <si>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</si>
  <si>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</si>
  <si>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</si>
  <si>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</si>
  <si>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</si>
  <si>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</si>
  <si>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</si>
  <si>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</si>
  <si>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</si>
  <si>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</si>
  <si>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</si>
  <si>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</si>
  <si>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</si>
  <si>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</si>
  <si>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</si>
  <si>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</si>
  <si>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</si>
  <si>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</si>
  <si>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</si>
  <si>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</si>
  <si>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</si>
  <si>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</si>
  <si>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</si>
  <si>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</si>
  <si>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</si>
  <si>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</si>
  <si>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</si>
  <si>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</si>
  <si>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</si>
  <si>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</si>
  <si>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</si>
  <si>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</si>
  <si>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</si>
  <si>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</si>
  <si>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</si>
  <si>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</si>
  <si>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</si>
  <si>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</si>
  <si>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</si>
  <si>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</si>
  <si>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</si>
  <si>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</si>
  <si>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</si>
  <si>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</si>
  <si>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</si>
  <si>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</si>
  <si>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</si>
  <si>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</si>
  <si>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</si>
  <si>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</si>
  <si>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</si>
  <si>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</si>
  <si>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</si>
  <si>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</si>
  <si>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</si>
  <si>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</si>
  <si>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</si>
  <si>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</si>
  <si>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</si>
  <si>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</si>
  <si>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</si>
  <si>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</si>
  <si>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</si>
  <si>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</si>
  <si>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</si>
  <si>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</si>
  <si>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</si>
  <si>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</si>
  <si>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</si>
  <si>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</si>
  <si>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</si>
  <si>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</si>
  <si>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</si>
  <si>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</si>
  <si>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</si>
  <si>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</si>
  <si>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</si>
  <si>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</si>
  <si>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</si>
  <si>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</si>
  <si>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</si>
  <si>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</si>
  <si>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</si>
  <si>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</si>
  <si>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</si>
  <si>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</si>
  <si>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</si>
  <si>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</si>
  <si>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</si>
  <si>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</si>
  <si>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</si>
  <si>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</si>
  <si>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</si>
  <si>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</si>
  <si>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</si>
  <si>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</si>
  <si>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</si>
  <si>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鮪魚飯糰</t>
  </si>
  <si>
    <t>壹號醬炙烤牛飯糰</t>
  </si>
  <si>
    <t>明太子龍蝦風味沙拉飯糰</t>
  </si>
  <si>
    <t>鹽蔥燒肉飯糰</t>
  </si>
  <si>
    <t>雞肉飯飯糰</t>
  </si>
  <si>
    <t>二配油蔥G絲飯糰</t>
  </si>
  <si>
    <t>海饌雙手卷</t>
  </si>
  <si>
    <t>優質池上飯</t>
  </si>
  <si>
    <t>二配哞哞培根奶香海陸焗飯</t>
  </si>
  <si>
    <t>鐵板滑蛋炸豬排丼</t>
  </si>
  <si>
    <t>二配川味麻婆燒豆腐燴飯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</si>
  <si>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</si>
  <si>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</si>
  <si>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</si>
  <si>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</si>
  <si>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</si>
  <si>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</si>
  <si>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</si>
  <si>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</si>
  <si>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</si>
  <si>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</si>
  <si>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</si>
  <si>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</si>
  <si>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</si>
  <si>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</si>
  <si>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</si>
  <si>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大口日式塔塔醬蝦排飯糰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</si>
  <si>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</si>
  <si>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</si>
  <si>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</si>
  <si>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</si>
  <si>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累計</t>
    <phoneticPr fontId="11" type="noConversion"/>
  </si>
  <si>
    <t>製程不穩</t>
  </si>
  <si>
    <t>切烤雞胸肉</t>
  </si>
  <si>
    <t>粉絲煲湯凍</t>
  </si>
  <si>
    <t>準備課</t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</si>
  <si>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</si>
  <si>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</si>
  <si>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</si>
  <si>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</si>
  <si>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</si>
  <si>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</si>
  <si>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</si>
  <si>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</si>
  <si>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</si>
  <si>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</si>
  <si>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</si>
  <si>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</si>
  <si>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</si>
  <si>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</si>
  <si>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</si>
  <si>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</si>
  <si>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</si>
  <si>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</si>
  <si>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</si>
  <si>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</si>
  <si>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</si>
  <si>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</si>
  <si>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</si>
  <si>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</si>
  <si>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</si>
  <si>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</si>
  <si>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</si>
  <si>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</si>
  <si>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</si>
  <si>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</si>
  <si>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</si>
  <si>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</si>
  <si>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</si>
  <si>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</si>
  <si>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</si>
  <si>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</si>
  <si>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</si>
  <si>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</si>
  <si>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</si>
  <si>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</si>
  <si>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</si>
  <si>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</si>
  <si>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</si>
  <si>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</si>
  <si>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</si>
  <si>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</si>
  <si>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</si>
  <si>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</si>
  <si>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</si>
  <si>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</si>
  <si>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</si>
  <si>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</si>
  <si>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</si>
  <si>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</si>
  <si>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</si>
  <si>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</si>
  <si>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</si>
  <si>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</si>
  <si>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</si>
  <si>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</si>
  <si>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</si>
  <si>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</si>
  <si>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▼3</t>
    <phoneticPr fontId="8"/>
  </si>
  <si>
    <t>▼5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</si>
  <si>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</si>
  <si>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</si>
  <si>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</si>
  <si>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</si>
  <si>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</si>
  <si>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</si>
  <si>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</si>
  <si>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</si>
  <si>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</si>
  <si>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</si>
  <si>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</si>
  <si>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</si>
  <si>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</si>
  <si>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</si>
  <si>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</si>
  <si>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</si>
  <si>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</si>
  <si>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</si>
  <si>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</si>
  <si>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</si>
  <si>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</si>
  <si>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</si>
  <si>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</si>
  <si>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</si>
  <si>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</si>
  <si>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</si>
  <si>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</si>
  <si>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</si>
  <si>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</si>
  <si>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</si>
  <si>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</si>
  <si>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</si>
  <si>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</si>
  <si>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</si>
  <si>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</si>
  <si>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</si>
  <si>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</si>
  <si>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</si>
  <si>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</si>
  <si>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</si>
  <si>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</si>
  <si>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</si>
  <si>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</si>
  <si>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</si>
  <si>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</si>
  <si>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</si>
  <si>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</si>
  <si>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</si>
  <si>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</si>
  <si>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</si>
  <si>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</si>
  <si>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</si>
  <si>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</si>
  <si>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</si>
  <si>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</si>
  <si>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</si>
  <si>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</si>
  <si>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</si>
  <si>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</si>
  <si>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</si>
  <si>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</si>
  <si>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</si>
  <si>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</si>
  <si>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</si>
  <si>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</si>
  <si>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</si>
  <si>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</si>
  <si>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</si>
  <si>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</si>
  <si>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</si>
  <si>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</si>
  <si>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</si>
  <si>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</si>
  <si>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</si>
  <si>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</si>
  <si>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</si>
  <si>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</si>
  <si>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</si>
  <si>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</si>
  <si>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</si>
  <si>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</si>
  <si>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</si>
  <si>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</si>
  <si>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</si>
  <si>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</si>
  <si>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</si>
  <si>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</si>
  <si>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</si>
  <si>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</si>
  <si>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</si>
  <si>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</si>
  <si>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</si>
  <si>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</si>
  <si>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</si>
  <si>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</si>
  <si>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</si>
  <si>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</si>
  <si>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</si>
  <si>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</si>
  <si>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</si>
  <si>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</si>
  <si>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</si>
  <si>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</si>
  <si>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</si>
  <si>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</si>
  <si>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</si>
  <si>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</si>
  <si>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</si>
  <si>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</si>
  <si>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</si>
  <si>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</si>
  <si>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</si>
  <si>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</si>
  <si>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</si>
  <si>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</si>
  <si>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</si>
  <si>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</si>
  <si>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</si>
  <si>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</si>
  <si>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</si>
  <si>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海陸雙拼肉肉餐盒</t>
  </si>
  <si>
    <t>經典鮪魚沙拉細卷</t>
  </si>
  <si>
    <t>取樣不穩</t>
  </si>
  <si>
    <t>蔬活腿排補力餐盒</t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</si>
  <si>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</si>
  <si>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</si>
  <si>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</si>
  <si>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</si>
  <si>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</si>
  <si>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</si>
  <si>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</si>
  <si>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</si>
  <si>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</si>
  <si>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</si>
  <si>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</si>
  <si>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</si>
  <si>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</si>
  <si>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</si>
  <si>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</si>
  <si>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</si>
  <si>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</si>
  <si>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</si>
  <si>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</si>
  <si>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</si>
  <si>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</si>
  <si>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</si>
  <si>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</si>
  <si>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</si>
  <si>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</si>
  <si>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</si>
  <si>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</si>
  <si>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</si>
  <si>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</si>
  <si>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</si>
  <si>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</si>
  <si>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</si>
  <si>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</si>
  <si>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</si>
  <si>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</si>
  <si>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</si>
  <si>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</si>
  <si>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</si>
  <si>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</si>
  <si>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</si>
  <si>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</si>
  <si>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</si>
  <si>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</si>
  <si>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</si>
  <si>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</si>
  <si>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</si>
  <si>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</si>
  <si>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</si>
  <si>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</si>
  <si>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</si>
  <si>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</si>
  <si>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</si>
  <si>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</si>
  <si>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</si>
  <si>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</si>
  <si>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</si>
  <si>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t>雙鬆細卷</t>
  </si>
  <si>
    <t>蕃茄起司手工千層麵(區2)</t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</si>
  <si>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</si>
  <si>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兩粒飯糰(鮪魚.焦糖鮭魚)</t>
  </si>
  <si>
    <t>二配泰式綠咖哩雞</t>
  </si>
  <si>
    <t>香腸腿排雙拼便當</t>
  </si>
  <si>
    <t>日式蕎麥沾麵</t>
  </si>
  <si>
    <t>晉欣廠半成品管理日別總表</t>
    <phoneticPr fontId="11" type="noConversion"/>
  </si>
  <si>
    <t>日期</t>
    <phoneticPr fontId="89" type="noConversion"/>
  </si>
  <si>
    <t>營業額</t>
    <phoneticPr fontId="11" type="noConversion"/>
  </si>
  <si>
    <t>報廢額</t>
    <phoneticPr fontId="89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</si>
  <si>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</si>
  <si>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89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</si>
  <si>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</si>
  <si>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</si>
  <si>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</si>
  <si>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</si>
  <si>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</si>
  <si>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</si>
  <si>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</si>
  <si>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89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</si>
  <si>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9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</si>
  <si>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</si>
  <si>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</si>
  <si>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</si>
  <si>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89" type="noConversion"/>
  </si>
  <si>
    <t>合計</t>
    <phoneticPr fontId="89" type="noConversion"/>
  </si>
  <si>
    <t>二配金咖哩濃厚辛口咖哩飯</t>
  </si>
  <si>
    <t>二配厚香料咖哩雞排飯</t>
  </si>
  <si>
    <t>川燙青花菜</t>
  </si>
  <si>
    <t>二配起司控培根白醬焗烤飯</t>
  </si>
  <si>
    <t>確認備料量是否正確，調整出料率</t>
  </si>
  <si>
    <t>生產前及生產中確認設定及實際出料狀況</t>
  </si>
  <si>
    <t>回饋研發，後續開發列入考量，設定放料量範圍。</t>
  </si>
  <si>
    <t>蒜炒紅K高麗菜(111年)</t>
  </si>
  <si>
    <t>增加線上抽秤頻率，維持人員放料手感</t>
  </si>
  <si>
    <t>大口起司熔岩白醬炸魚飯糰</t>
  </si>
  <si>
    <t>愛恨椒芝麵</t>
  </si>
  <si>
    <t>二配蒙古風味烤肉飯</t>
  </si>
  <si>
    <t>二配炒蒙古烤肉蔬菜</t>
  </si>
  <si>
    <t>二配大飯糰滷肉飯加蛋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</si>
  <si>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</si>
  <si>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</si>
  <si>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</si>
  <si>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</si>
  <si>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</si>
  <si>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</si>
  <si>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</si>
  <si>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</si>
  <si>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</si>
  <si>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</si>
  <si>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</si>
  <si>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</si>
  <si>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</si>
  <si>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</si>
  <si>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</si>
  <si>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</si>
  <si>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</si>
  <si>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</si>
  <si>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</si>
  <si>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</si>
  <si>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</si>
  <si>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</si>
  <si>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</si>
  <si>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</si>
  <si>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</si>
  <si>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</si>
  <si>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</si>
  <si>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</si>
  <si>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</si>
  <si>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</si>
  <si>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</si>
  <si>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</si>
  <si>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</si>
  <si>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</si>
  <si>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</si>
  <si>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</si>
  <si>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</si>
  <si>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</si>
  <si>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</si>
  <si>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</si>
  <si>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</si>
  <si>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</si>
  <si>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</si>
  <si>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</si>
  <si>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</si>
  <si>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</si>
  <si>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</si>
  <si>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</si>
  <si>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</si>
  <si>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</si>
  <si>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</si>
  <si>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</si>
  <si>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</si>
  <si>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</si>
  <si>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</si>
  <si>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</si>
  <si>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</si>
  <si>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</si>
  <si>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</si>
  <si>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</si>
  <si>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</si>
  <si>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明太子奶油炸飯糰</t>
  </si>
  <si>
    <t>明太子泡菜牛飯卷</t>
  </si>
  <si>
    <t>壹號醬雞豚雙拼</t>
  </si>
  <si>
    <t>好多蒜燒豚飯</t>
  </si>
  <si>
    <t>二配歐姆蛋(111年版)</t>
  </si>
  <si>
    <t>單價高</t>
  </si>
  <si>
    <t>烤飯糰1</t>
    <phoneticPr fontId="11" type="noConversion"/>
  </si>
  <si>
    <t>烤飯糰2</t>
    <phoneticPr fontId="11" type="noConversion"/>
  </si>
  <si>
    <t>二配雞肉香料咖哩</t>
  </si>
  <si>
    <t>二配川燙醃嫩化淨零碳排牛肉片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</si>
  <si>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</si>
  <si>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</si>
  <si>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</si>
  <si>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</si>
  <si>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</si>
  <si>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</si>
  <si>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</si>
  <si>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</si>
  <si>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</si>
  <si>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</si>
  <si>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</si>
  <si>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</si>
  <si>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</si>
  <si>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</si>
  <si>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排名</t>
    <phoneticPr fontId="11" type="noConversion"/>
  </si>
  <si>
    <t>半成品結凍強度影響擠醬機出料量</t>
  </si>
  <si>
    <t>菜梗、葉差異及均勻度，影響人員放料手感</t>
  </si>
  <si>
    <t>好吃雞肉便當</t>
  </si>
  <si>
    <t>媽媽煮藝-鹹酥雞</t>
  </si>
  <si>
    <t>二配炒解凍11N培根片</t>
  </si>
  <si>
    <t>蟹味可樂餅風炸飯糰</t>
  </si>
  <si>
    <t>二配北海道秋鮭親子飯糰</t>
  </si>
  <si>
    <t>二配解凍-醬油漬鮭魚卵</t>
  </si>
  <si>
    <t>贅沢鮭魚肚飯糰</t>
  </si>
  <si>
    <t>熟成紅鮭飯糰</t>
  </si>
  <si>
    <t>碳烤燒肉飯飯糰(區)</t>
  </si>
  <si>
    <t>二配芝麻香鬆飯糰</t>
  </si>
  <si>
    <t>二配三杯醬爆菇菇飯糰</t>
  </si>
  <si>
    <t>二配大飯糰韓式蒜烤豬五花</t>
  </si>
  <si>
    <t>鮭魚奶油醬油飯糰</t>
  </si>
  <si>
    <t>二配大飯糰鮪魚昆布</t>
  </si>
  <si>
    <t>煙燻培根飯糰(區)</t>
  </si>
  <si>
    <t>長野稻荷壽司</t>
  </si>
  <si>
    <t>雙饗雙手卷</t>
  </si>
  <si>
    <t>日式鮪魚美乃滋脆卷</t>
  </si>
  <si>
    <t>大口歐風焙煎咖哩漢堡排飯糰</t>
  </si>
  <si>
    <t>二配香辣醬蒜味香腸蛋炒飯</t>
  </si>
  <si>
    <t>二配粗飽系雞排炒飯</t>
  </si>
  <si>
    <t>二配里肌豬排可可咖哩歐姆蛋飯</t>
  </si>
  <si>
    <t>二配黃金雞排蘑菇白醬歐姆蛋飯</t>
  </si>
  <si>
    <t>二配美味蟹煲</t>
  </si>
  <si>
    <t>二配失控起司薯餅焗飯</t>
  </si>
  <si>
    <t>二配鮭魚蛋炒飯</t>
  </si>
  <si>
    <t>二配鐵板豆腐燴蛋蓋飯</t>
  </si>
  <si>
    <t>日式中濃醬炭火漢堡排飯</t>
  </si>
  <si>
    <t>辣腐乳麻醬拌麵</t>
  </si>
  <si>
    <t>賣相要求</t>
  </si>
  <si>
    <t>確認糖鹽度判定範圍，以中線作為判定標準</t>
  </si>
  <si>
    <t>糖鹽度在設定範圍內，但偏低，導致產出量多</t>
  </si>
  <si>
    <t>媽媽煮藝-香滷牛肚絲</t>
  </si>
  <si>
    <t>二配蒸海鮮醬(料)</t>
  </si>
  <si>
    <t>蒸-醬香雞肉絲CL(全)</t>
  </si>
  <si>
    <t>1.農產品原物料大小重量差異，造成放料差。2.原物料個體重量差異造成放料重量的差異，有多一個超用，少一個不足重的狀況。未降低因半成品不足的補單工時而有提高展開量。</t>
  </si>
  <si>
    <t>1.反應研發單位半成品狀況。2.協調研發單位下次有同類型商品放料量設定使用範圍值。</t>
  </si>
  <si>
    <t>二配112年拌鹽烤豬肉片</t>
  </si>
  <si>
    <t>二配鮮蝦旬彩炊飯飯糰</t>
  </si>
  <si>
    <t>銀鮭美乃滋脆卷</t>
  </si>
  <si>
    <t>壹號醬壽喜燒牛丼</t>
  </si>
  <si>
    <t>二配燴蛋飯-炒肉燥</t>
  </si>
  <si>
    <t>煮辣腐乳醬</t>
  </si>
  <si>
    <t>炒壽喜燒牛五花</t>
  </si>
  <si>
    <t>二配鹽蔥燒肉飯糰</t>
  </si>
  <si>
    <t>煮愛恨椒麻湯凍</t>
  </si>
  <si>
    <t>二配煮鐵板豆腐</t>
  </si>
  <si>
    <t>炒蒜香高麗菜</t>
  </si>
  <si>
    <t>二配蒸-全熟雞肉絲CL(升)</t>
  </si>
  <si>
    <t>二配雞肉飯飯糰</t>
  </si>
  <si>
    <t>原物料的大小、長短差異導致取樣易有不穩定的狀況</t>
  </si>
  <si>
    <t>原物料的大小長短、油花分布不同導致相同賣相的需求下用量不一樣。</t>
  </si>
  <si>
    <t>二配炒綠咖哩腿肉片</t>
  </si>
  <si>
    <t>小黃瓜絲</t>
  </si>
  <si>
    <t>韓式泡菜豬肉豆腐丼飯</t>
  </si>
  <si>
    <t>炒韓式燒肉(115年)</t>
  </si>
  <si>
    <t>解凍-醬油漬鮭魚卵</t>
  </si>
  <si>
    <t>冰杓放料，冰杓滿度差異</t>
  </si>
  <si>
    <t>確認輔助工具型號，使用前先攪拌均勻。生產前及生產中確認設定及實際出料狀況</t>
  </si>
  <si>
    <t>半成品糾結，影響放料手感</t>
  </si>
  <si>
    <t>生產前先行將半成品撥散</t>
  </si>
  <si>
    <t>二配溏心蛋五目飯糰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</si>
  <si>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</si>
  <si>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</si>
  <si>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</si>
  <si>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</si>
  <si>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</si>
  <si>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W5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</si>
  <si>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原因別分析(3/31-4/6)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</si>
  <si>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</si>
  <si>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</si>
  <si>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</si>
  <si>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</si>
  <si>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</si>
  <si>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</si>
  <si>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</si>
  <si>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</si>
  <si>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</si>
  <si>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</si>
  <si>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</si>
  <si>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炙燒焦糖培根</t>
  </si>
  <si>
    <t>炒豆酥</t>
  </si>
  <si>
    <t>二配蒸蛤蜊-肉</t>
  </si>
  <si>
    <t>煮蟹味薯泥</t>
  </si>
  <si>
    <t>製程不穩</t>
    <phoneticPr fontId="11" type="noConversion"/>
  </si>
  <si>
    <t>確認備料量是否正確，調整出料率</t>
    <phoneticPr fontId="11" type="noConversion"/>
  </si>
  <si>
    <t>炒紅K碎蛋</t>
  </si>
  <si>
    <t>香檸奶油魚排蔬滿盒</t>
  </si>
  <si>
    <t>蒜香奶油檸檬醬</t>
  </si>
  <si>
    <t>二配鼎泰豐-麻婆豆腐燴汁(113年)</t>
  </si>
  <si>
    <t>增加放料抽秤頻率</t>
    <phoneticPr fontId="11" type="noConversion"/>
  </si>
  <si>
    <t>清洗青蔥絲</t>
  </si>
  <si>
    <t>烤照燒雞腿丁</t>
  </si>
  <si>
    <t>製程報廢</t>
    <phoneticPr fontId="11" type="noConversion"/>
  </si>
  <si>
    <t>其他原因</t>
    <phoneticPr fontId="11" type="noConversion"/>
  </si>
  <si>
    <t>單價高</t>
    <phoneticPr fontId="11" type="noConversion"/>
  </si>
  <si>
    <t>超用率</t>
    <phoneticPr fontId="8"/>
  </si>
  <si>
    <t>煮愛恨芝麻醬</t>
  </si>
  <si>
    <t>餐盒用-三色高麗菜</t>
  </si>
  <si>
    <t>二配蒸果香甘口咖哩腿丁</t>
  </si>
  <si>
    <t>賣相設定</t>
    <phoneticPr fontId="11" type="noConversion"/>
  </si>
  <si>
    <t>二配解凍-伊藤忠銀鮭碎肉</t>
  </si>
  <si>
    <t>解凍-紅鮭</t>
  </si>
  <si>
    <t>二配泰式椰香綠咖哩醬</t>
  </si>
  <si>
    <t>冰杓放料，冰杓滿度差異、半成品均勻度影響放料量</t>
    <phoneticPr fontId="11" type="noConversion"/>
  </si>
  <si>
    <t>半成品使用前先攪拌均勻。生產前及生產中確認設定及實際放料狀況</t>
    <phoneticPr fontId="11" type="noConversion"/>
  </si>
  <si>
    <t>冰杓放料，冰杓滿度及半成品均勻度差異</t>
    <phoneticPr fontId="11" type="noConversion"/>
  </si>
  <si>
    <t>確認輔助工具型號，使用前先攪拌均勻。生產前及生產中確認設定及實際放料狀況</t>
    <phoneticPr fontId="11" type="noConversion"/>
  </si>
  <si>
    <t>煮奶油薯泥</t>
  </si>
  <si>
    <t>調理加熱製程時間長短，造成最終出料量差異</t>
    <phoneticPr fontId="11" type="noConversion"/>
  </si>
  <si>
    <t>反應調理課級，確認加熱製程，確認達中心溫度後是否過度加熱</t>
    <phoneticPr fontId="11" type="noConversion"/>
  </si>
  <si>
    <t>調理加熱製程時間長短，造成最終出料量差異</t>
  </si>
  <si>
    <t>反應調理課級，確認加熱製程，確認達中心溫度後是否過度加熱</t>
  </si>
  <si>
    <t>炒黑胡椒豆芽</t>
  </si>
  <si>
    <t>抓料量不穩定</t>
    <phoneticPr fontId="11" type="noConversion"/>
  </si>
  <si>
    <t>備料異常</t>
  </si>
  <si>
    <t>反應調理課級，連續抽秤備料量是Z否</t>
  </si>
  <si>
    <t>原物料的大小、長短差異導致取樣有不穩定的狀況</t>
    <phoneticPr fontId="11" type="noConversion"/>
  </si>
  <si>
    <t>原物料的大小、長短差異導致取樣有不穩定的狀況</t>
  </si>
  <si>
    <t>冰杓放料，冰杓滿度差異、半成品均勻度影響放料量</t>
  </si>
  <si>
    <t>半成品使用前先攪拌均勻。生產前及生產中確認設定及實際放料狀況</t>
  </si>
  <si>
    <t/>
  </si>
  <si>
    <t>雙倍德腸飯卷</t>
  </si>
  <si>
    <t>Q彈燕麥飯</t>
  </si>
  <si>
    <t>▲</t>
    <phoneticPr fontId="11" type="noConversion"/>
  </si>
  <si>
    <r>
      <rPr>
        <sz val="11"/>
        <color theme="1"/>
        <rFont val="細明體"/>
        <family val="3"/>
        <charset val="136"/>
      </rPr>
      <t>飯糰前五名皆為</t>
    </r>
    <r>
      <rPr>
        <sz val="11"/>
        <color theme="1"/>
        <rFont val="Meiryo UI"/>
        <family val="2"/>
      </rPr>
      <t>GKK</t>
    </r>
    <r>
      <rPr>
        <sz val="11"/>
        <color theme="1"/>
        <rFont val="細明體"/>
        <family val="3"/>
        <charset val="136"/>
      </rPr>
      <t>生產的單餡飯糰，產能及人時生產性差異小。對比上週差異小。</t>
    </r>
    <phoneticPr fontId="11" type="noConversion"/>
  </si>
  <si>
    <t>▼</t>
    <phoneticPr fontId="11" type="noConversion"/>
  </si>
  <si>
    <t>－</t>
    <phoneticPr fontId="11" type="noConversion"/>
  </si>
  <si>
    <t>訂單量下降</t>
    <phoneticPr fontId="11" type="noConversion"/>
  </si>
  <si>
    <t>對比上週差異小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</si>
  <si>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</si>
  <si>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</si>
  <si>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</si>
  <si>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</si>
  <si>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</si>
  <si>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對比上週差異小，主要差異在人員順手度。</t>
    <phoneticPr fontId="11" type="noConversion"/>
  </si>
  <si>
    <t>雙倍德腸飯卷</t>
    <phoneticPr fontId="11" type="noConversion"/>
  </si>
  <si>
    <r>
      <t>Q</t>
    </r>
    <r>
      <rPr>
        <sz val="10"/>
        <color rgb="FF000000"/>
        <rFont val="Arial"/>
        <family val="3"/>
        <charset val="136"/>
        <scheme val="minor"/>
      </rPr>
      <t>彈燕麥飯</t>
    </r>
    <phoneticPr fontId="11" type="noConversion"/>
  </si>
  <si>
    <r>
      <t>Q彈燕麥飯</t>
    </r>
    <r>
      <rPr>
        <sz val="11"/>
        <color theme="1"/>
        <rFont val="細明體"/>
        <family val="3"/>
        <charset val="136"/>
      </rPr>
      <t>為</t>
    </r>
    <r>
      <rPr>
        <sz val="11"/>
        <color theme="1"/>
        <rFont val="Meiryo UI"/>
        <family val="2"/>
      </rPr>
      <t>3/31</t>
    </r>
    <r>
      <rPr>
        <sz val="11"/>
        <color theme="1"/>
        <rFont val="細明體"/>
        <family val="3"/>
        <charset val="136"/>
      </rPr>
      <t>上市新品，與優質池上飯相同，使用八爪機生產，產能與人時生產性高且相近。</t>
    </r>
    <phoneticPr fontId="11" type="noConversion"/>
  </si>
  <si>
    <t>優質池上飯</t>
    <phoneticPr fontId="11" type="noConversion"/>
  </si>
  <si>
    <t>當週更換組別生產，人員順手度稍微低，產能與人時生產性對比上週稍微下降。</t>
    <phoneticPr fontId="11" type="noConversion"/>
  </si>
  <si>
    <t>品項皆為八爪機作業，產能平均，產能及人時生產性差異小。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</si>
</sst>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0"/>
      <name val="Meiryo UI"/>
      <family val="2"/>
      <charset val="128"/>
    </font>
    <font>
      <sz val="8"/>
      <color theme="1"/>
      <name val="細明體"/>
      <family val="3"/>
      <charset val="136"/>
    </font>
  </fonts>
  <fills count="1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5" fillId="0" borderId="0"/>
    <xf numFmtId="9" fontId="95" fillId="0" borderId="0" applyFont="0" applyFill="0" applyBorder="0" applyAlignment="0" applyProtection="0"/>
    <xf numFmtId="0" fontId="96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7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196" fontId="97" fillId="0" borderId="0"/>
    <xf numFmtId="0" fontId="7" fillId="0" borderId="0"/>
    <xf numFmtId="0" fontId="95" fillId="0" borderId="0">
      <alignment vertical="center"/>
    </xf>
    <xf numFmtId="0" fontId="98" fillId="0" borderId="0"/>
    <xf numFmtId="42" fontId="96" fillId="0" borderId="0" applyFon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0" fontId="100" fillId="0" borderId="0">
      <alignment vertical="top"/>
    </xf>
    <xf numFmtId="0" fontId="7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101" fillId="0" borderId="0"/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" fillId="0" borderId="0">
      <alignment vertical="center"/>
    </xf>
    <xf numFmtId="0" fontId="95" fillId="0" borderId="0"/>
    <xf numFmtId="0" fontId="95" fillId="0" borderId="0"/>
    <xf numFmtId="0" fontId="101" fillId="0" borderId="0"/>
    <xf numFmtId="0" fontId="1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98" fillId="0" borderId="0"/>
    <xf numFmtId="0" fontId="95" fillId="0" borderId="0"/>
    <xf numFmtId="0" fontId="1" fillId="0" borderId="0">
      <alignment vertical="center"/>
    </xf>
    <xf numFmtId="0" fontId="98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95" fillId="0" borderId="0"/>
    <xf numFmtId="0" fontId="98" fillId="0" borderId="0">
      <alignment vertical="center"/>
    </xf>
    <xf numFmtId="0" fontId="98" fillId="0" borderId="0">
      <alignment vertical="center"/>
    </xf>
    <xf numFmtId="0" fontId="1" fillId="0" borderId="0">
      <alignment vertical="center"/>
    </xf>
    <xf numFmtId="0" fontId="95" fillId="0" borderId="0"/>
    <xf numFmtId="0" fontId="98" fillId="0" borderId="0">
      <alignment vertical="center"/>
    </xf>
    <xf numFmtId="0" fontId="95" fillId="0" borderId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8" fillId="0" borderId="0" applyFont="0" applyFill="0" applyBorder="0" applyAlignment="0" applyProtection="0">
      <alignment vertical="center"/>
    </xf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95" fillId="0" borderId="0" applyFont="0" applyFill="0" applyBorder="0" applyAlignment="0" applyProtection="0"/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102" fillId="0" borderId="0" applyFont="0" applyFill="0" applyBorder="0" applyAlignment="0" applyProtection="0">
      <alignment vertical="center"/>
    </xf>
    <xf numFmtId="9" fontId="9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102" fillId="0" borderId="0" applyFont="0" applyFill="0" applyBorder="0" applyAlignment="0" applyProtection="0">
      <alignment vertical="center"/>
    </xf>
    <xf numFmtId="9" fontId="102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44" fontId="101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26">
    <xf numFmtId="0" fontId="0" fillId="0" borderId="0" xfId="0"/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/>
    <xf numFmtId="0" fontId="12" fillId="0" borderId="0" xfId="0" applyFont="1"/>
    <xf numFmtId="0" fontId="16" fillId="0" borderId="0" xfId="0" applyFont="1" applyAlignment="1">
      <alignment horizontal="left" vertical="center"/>
    </xf>
    <xf numFmtId="0" fontId="24" fillId="0" borderId="0" xfId="0" applyFo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76" fontId="25" fillId="0" borderId="0" xfId="0" applyNumberFormat="1" applyFont="1" applyAlignment="1">
      <alignment horizontal="center" vertical="center"/>
    </xf>
    <xf numFmtId="179" fontId="24" fillId="0" borderId="0" xfId="0" applyNumberFormat="1" applyFont="1" applyAlignment="1">
      <alignment horizontal="center"/>
    </xf>
    <xf numFmtId="176" fontId="24" fillId="0" borderId="0" xfId="0" applyNumberFormat="1" applyFont="1"/>
    <xf numFmtId="177" fontId="24" fillId="0" borderId="0" xfId="0" applyNumberFormat="1" applyFont="1"/>
    <xf numFmtId="178" fontId="24" fillId="0" borderId="0" xfId="0" applyNumberFormat="1" applyFont="1"/>
    <xf numFmtId="10" fontId="24" fillId="0" borderId="0" xfId="0" applyNumberFormat="1" applyFo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/>
    <xf numFmtId="180" fontId="12" fillId="0" borderId="0" xfId="0" applyNumberFormat="1" applyFont="1"/>
    <xf numFmtId="176" fontId="15" fillId="0" borderId="0" xfId="0" applyNumberFormat="1" applyFont="1" applyAlignment="1">
      <alignment horizontal="center" vertical="center"/>
    </xf>
    <xf numFmtId="180" fontId="15" fillId="0" borderId="0" xfId="0" applyNumberFormat="1" applyFont="1" applyAlignment="1">
      <alignment horizontal="center" vertical="center"/>
    </xf>
    <xf numFmtId="182" fontId="24" fillId="0" borderId="0" xfId="0" applyNumberFormat="1" applyFont="1"/>
    <xf numFmtId="182" fontId="25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 applyAlignment="1">
      <alignment horizontal="center" vertical="center"/>
    </xf>
    <xf numFmtId="10" fontId="24" fillId="0" borderId="22" xfId="0" applyNumberFormat="1" applyFont="1" applyBorder="1"/>
    <xf numFmtId="182" fontId="24" fillId="0" borderId="0" xfId="0" applyNumberFormat="1" applyFont="1" applyAlignment="1">
      <alignment horizontal="center"/>
    </xf>
    <xf numFmtId="0" fontId="27" fillId="0" borderId="0" xfId="0" applyFont="1"/>
    <xf numFmtId="177" fontId="24" fillId="0" borderId="0" xfId="0" applyNumberFormat="1" applyFont="1" applyAlignment="1">
      <alignment horizontal="center"/>
    </xf>
    <xf numFmtId="177" fontId="15" fillId="0" borderId="22" xfId="0" applyNumberFormat="1" applyFont="1" applyBorder="1" applyAlignment="1">
      <alignment horizontal="center" vertical="center"/>
    </xf>
    <xf numFmtId="177" fontId="24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6" fillId="0" borderId="0" xfId="0" applyFont="1" applyAlignment="1">
      <alignment shrinkToFit="1"/>
    </xf>
    <xf numFmtId="0" fontId="44" fillId="0" borderId="0" xfId="0" applyFont="1" applyAlignment="1">
      <alignment shrinkToFit="1"/>
    </xf>
    <xf numFmtId="0" fontId="24" fillId="0" borderId="22" xfId="0" applyFont="1" applyBorder="1" applyAlignment="1">
      <alignment shrinkToFit="1"/>
    </xf>
    <xf numFmtId="0" fontId="24" fillId="0" borderId="0" xfId="0" applyFont="1" applyAlignment="1">
      <alignment horizontal="center" shrinkToFit="1"/>
    </xf>
    <xf numFmtId="0" fontId="26" fillId="0" borderId="0" xfId="0" applyFont="1" applyAlignment="1">
      <alignment horizontal="center" shrinkToFit="1"/>
    </xf>
    <xf numFmtId="0" fontId="24" fillId="0" borderId="0" xfId="0" applyFont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4" fontId="26" fillId="0" borderId="22" xfId="0" applyNumberFormat="1" applyFont="1" applyBorder="1" applyAlignment="1">
      <alignment shrinkToFit="1"/>
    </xf>
    <xf numFmtId="0" fontId="26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4" fillId="0" borderId="0" xfId="0" applyNumberFormat="1" applyFont="1" applyAlignment="1">
      <alignment shrinkToFit="1"/>
    </xf>
    <xf numFmtId="0" fontId="45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horizontal="center" shrinkToFit="1"/>
    </xf>
    <xf numFmtId="3" fontId="26" fillId="0" borderId="22" xfId="0" applyNumberFormat="1" applyFont="1" applyBorder="1" applyAlignment="1">
      <alignment shrinkToFit="1"/>
    </xf>
    <xf numFmtId="10" fontId="26" fillId="0" borderId="22" xfId="0" applyNumberFormat="1" applyFont="1" applyBorder="1" applyAlignment="1">
      <alignment shrinkToFit="1"/>
    </xf>
    <xf numFmtId="4" fontId="26" fillId="0" borderId="22" xfId="0" applyNumberFormat="1" applyFont="1" applyBorder="1" applyAlignment="1">
      <alignment horizontal="right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right" shrinkToFit="1"/>
    </xf>
    <xf numFmtId="0" fontId="9" fillId="0" borderId="0" xfId="0" applyFont="1" applyAlignment="1">
      <alignment shrinkToFit="1"/>
    </xf>
    <xf numFmtId="0" fontId="24" fillId="4" borderId="0" xfId="0" applyFont="1" applyFill="1" applyAlignment="1">
      <alignment horizontal="center" vertical="center" shrinkToFit="1"/>
    </xf>
    <xf numFmtId="0" fontId="24" fillId="4" borderId="0" xfId="0" applyFont="1" applyFill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Border="1" applyAlignment="1">
      <alignment horizontal="center" shrinkToFit="1"/>
    </xf>
    <xf numFmtId="3" fontId="34" fillId="0" borderId="6" xfId="11" applyNumberFormat="1" applyFont="1" applyBorder="1" applyAlignment="1">
      <alignment shrinkToFit="1"/>
    </xf>
    <xf numFmtId="10" fontId="34" fillId="0" borderId="6" xfId="11" applyNumberFormat="1" applyFont="1" applyBorder="1" applyAlignment="1">
      <alignment shrinkToFit="1"/>
    </xf>
    <xf numFmtId="3" fontId="26" fillId="0" borderId="22" xfId="11" applyNumberFormat="1" applyFont="1" applyBorder="1" applyAlignment="1">
      <alignment shrinkToFit="1"/>
    </xf>
    <xf numFmtId="10" fontId="26" fillId="0" borderId="22" xfId="11" applyNumberFormat="1" applyFont="1" applyBorder="1" applyAlignment="1">
      <alignment shrinkToFit="1"/>
    </xf>
    <xf numFmtId="0" fontId="44" fillId="0" borderId="1" xfId="11" applyFont="1" applyBorder="1" applyAlignment="1">
      <alignment horizontal="center" shrinkToFit="1"/>
    </xf>
    <xf numFmtId="3" fontId="34" fillId="0" borderId="1" xfId="11" applyNumberFormat="1" applyFont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3" fillId="0" borderId="32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/>
    <xf numFmtId="0" fontId="26" fillId="0" borderId="22" xfId="11" applyFont="1" applyBorder="1" applyAlignment="1">
      <alignment horizontal="center" vertical="center" shrinkToFit="1"/>
    </xf>
    <xf numFmtId="0" fontId="69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183" fontId="0" fillId="0" borderId="0" xfId="0" applyNumberForma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ill="1" applyBorder="1" applyAlignment="1">
      <alignment horizontal="center" vertical="center"/>
    </xf>
    <xf numFmtId="186" fontId="73" fillId="0" borderId="22" xfId="0" applyNumberFormat="1" applyFont="1" applyBorder="1"/>
    <xf numFmtId="186" fontId="24" fillId="0" borderId="0" xfId="0" applyNumberFormat="1" applyFont="1"/>
    <xf numFmtId="180" fontId="24" fillId="9" borderId="0" xfId="0" applyNumberFormat="1" applyFont="1" applyFill="1"/>
    <xf numFmtId="187" fontId="24" fillId="9" borderId="0" xfId="0" applyNumberFormat="1" applyFont="1" applyFill="1"/>
    <xf numFmtId="177" fontId="24" fillId="9" borderId="0" xfId="0" applyNumberFormat="1" applyFont="1" applyFill="1"/>
    <xf numFmtId="186" fontId="24" fillId="9" borderId="0" xfId="0" applyNumberFormat="1" applyFont="1" applyFill="1"/>
    <xf numFmtId="185" fontId="24" fillId="9" borderId="0" xfId="0" applyNumberFormat="1" applyFont="1" applyFill="1"/>
    <xf numFmtId="186" fontId="73" fillId="9" borderId="22" xfId="0" applyNumberFormat="1" applyFont="1" applyFill="1" applyBorder="1"/>
    <xf numFmtId="177" fontId="24" fillId="9" borderId="22" xfId="0" applyNumberFormat="1" applyFont="1" applyFill="1" applyBorder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/>
    <xf numFmtId="189" fontId="26" fillId="0" borderId="22" xfId="0" applyNumberFormat="1" applyFont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Border="1" applyAlignment="1">
      <alignment horizontal="center" vertical="center" shrinkToFit="1"/>
    </xf>
    <xf numFmtId="0" fontId="44" fillId="0" borderId="49" xfId="11" applyFont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Border="1" applyAlignment="1">
      <alignment shrinkToFit="1"/>
    </xf>
    <xf numFmtId="0" fontId="44" fillId="0" borderId="50" xfId="11" applyFont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51" xfId="11" applyFont="1" applyBorder="1" applyAlignment="1">
      <alignment shrinkToFit="1"/>
    </xf>
    <xf numFmtId="0" fontId="24" fillId="0" borderId="52" xfId="11" applyFont="1" applyBorder="1" applyAlignment="1">
      <alignment shrinkToFit="1"/>
    </xf>
    <xf numFmtId="0" fontId="44" fillId="0" borderId="53" xfId="11" applyFont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Border="1" applyAlignment="1">
      <alignment shrinkToFit="1"/>
    </xf>
    <xf numFmtId="10" fontId="26" fillId="0" borderId="55" xfId="11" applyNumberFormat="1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/>
    <xf numFmtId="177" fontId="74" fillId="11" borderId="0" xfId="0" applyNumberFormat="1" applyFont="1" applyFill="1"/>
    <xf numFmtId="177" fontId="74" fillId="0" borderId="0" xfId="0" applyNumberFormat="1" applyFont="1"/>
    <xf numFmtId="10" fontId="79" fillId="11" borderId="22" xfId="0" applyNumberFormat="1" applyFont="1" applyFill="1" applyBorder="1"/>
    <xf numFmtId="177" fontId="79" fillId="0" borderId="0" xfId="0" applyNumberFormat="1" applyFont="1"/>
    <xf numFmtId="10" fontId="79" fillId="0" borderId="0" xfId="0" applyNumberFormat="1" applyFont="1"/>
    <xf numFmtId="3" fontId="79" fillId="0" borderId="0" xfId="0" applyNumberFormat="1" applyFont="1"/>
    <xf numFmtId="186" fontId="73" fillId="11" borderId="22" xfId="0" applyNumberFormat="1" applyFont="1" applyFill="1" applyBorder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Border="1" applyAlignment="1">
      <alignment shrinkToFit="1"/>
    </xf>
    <xf numFmtId="3" fontId="26" fillId="0" borderId="22" xfId="0" applyNumberFormat="1" applyFont="1" applyBorder="1" applyAlignment="1">
      <alignment horizontal="right" shrinkToFit="1"/>
    </xf>
    <xf numFmtId="0" fontId="31" fillId="0" borderId="22" xfId="0" applyFont="1" applyBorder="1" applyAlignment="1">
      <alignment horizontal="center" vertical="center"/>
    </xf>
    <xf numFmtId="180" fontId="24" fillId="10" borderId="0" xfId="0" applyNumberFormat="1" applyFont="1" applyFill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Alignment="1">
      <alignment horizontal="right" vertical="center" shrinkToFit="1"/>
    </xf>
    <xf numFmtId="185" fontId="24" fillId="10" borderId="0" xfId="0" applyNumberFormat="1" applyFont="1" applyFill="1"/>
    <xf numFmtId="189" fontId="24" fillId="10" borderId="0" xfId="0" applyNumberFormat="1" applyFont="1" applyFill="1"/>
    <xf numFmtId="191" fontId="24" fillId="0" borderId="0" xfId="0" applyNumberFormat="1" applyFont="1" applyAlignment="1">
      <alignment shrinkToFit="1"/>
    </xf>
    <xf numFmtId="187" fontId="24" fillId="0" borderId="0" xfId="0" applyNumberFormat="1" applyFont="1"/>
    <xf numFmtId="189" fontId="24" fillId="0" borderId="0" xfId="0" applyNumberFormat="1" applyFont="1"/>
    <xf numFmtId="179" fontId="63" fillId="0" borderId="0" xfId="0" applyNumberFormat="1" applyFont="1" applyAlignment="1">
      <alignment horizontal="center"/>
    </xf>
    <xf numFmtId="176" fontId="45" fillId="0" borderId="0" xfId="0" applyNumberFormat="1" applyFont="1" applyAlignment="1">
      <alignment horizontal="center" vertical="center"/>
    </xf>
    <xf numFmtId="183" fontId="5" fillId="3" borderId="1" xfId="0" applyNumberFormat="1" applyFont="1" applyFill="1" applyBorder="1" applyAlignment="1">
      <alignment shrinkToFit="1"/>
    </xf>
    <xf numFmtId="177" fontId="24" fillId="0" borderId="0" xfId="0" applyNumberFormat="1" applyFont="1" applyAlignment="1">
      <alignment horizontal="right"/>
    </xf>
    <xf numFmtId="183" fontId="26" fillId="12" borderId="22" xfId="0" applyNumberFormat="1" applyFont="1" applyFill="1" applyBorder="1" applyAlignment="1">
      <alignment shrinkToFit="1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184" fontId="63" fillId="14" borderId="0" xfId="11" applyNumberFormat="1" applyFont="1" applyFill="1" applyAlignment="1">
      <alignment shrinkToFit="1"/>
    </xf>
    <xf numFmtId="186" fontId="74" fillId="0" borderId="34" xfId="0" applyNumberFormat="1" applyFont="1" applyBorder="1" applyAlignment="1">
      <alignment vertical="center"/>
    </xf>
    <xf numFmtId="10" fontId="24" fillId="0" borderId="0" xfId="0" applyNumberFormat="1" applyFont="1" applyAlignment="1">
      <alignment vertical="center"/>
    </xf>
    <xf numFmtId="187" fontId="24" fillId="0" borderId="0" xfId="0" applyNumberFormat="1" applyFont="1" applyAlignment="1">
      <alignment vertical="center"/>
    </xf>
    <xf numFmtId="177" fontId="24" fillId="0" borderId="0" xfId="0" applyNumberFormat="1" applyFont="1" applyAlignment="1">
      <alignment vertical="center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Alignment="1">
      <alignment horizontal="center" vertical="center" shrinkToFit="1"/>
    </xf>
    <xf numFmtId="0" fontId="22" fillId="0" borderId="0" xfId="11" applyAlignment="1">
      <alignment shrinkToFit="1"/>
    </xf>
    <xf numFmtId="0" fontId="22" fillId="0" borderId="0" xfId="11" applyAlignment="1">
      <alignment wrapText="1" shrinkToFit="1"/>
    </xf>
    <xf numFmtId="0" fontId="22" fillId="0" borderId="0" xfId="1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1" fillId="15" borderId="22" xfId="15" applyFont="1" applyFill="1" applyBorder="1" applyAlignment="1">
      <alignment horizontal="center" vertical="center"/>
    </xf>
    <xf numFmtId="194" fontId="92" fillId="8" borderId="22" xfId="15" applyNumberFormat="1" applyFont="1" applyFill="1" applyBorder="1" applyAlignment="1">
      <alignment horizontal="center" vertical="center"/>
    </xf>
    <xf numFmtId="189" fontId="92" fillId="0" borderId="22" xfId="15" applyNumberFormat="1" applyFont="1" applyBorder="1" applyAlignment="1">
      <alignment horizontal="center" vertical="center"/>
    </xf>
    <xf numFmtId="194" fontId="92" fillId="8" borderId="22" xfId="18" applyNumberFormat="1" applyFont="1" applyFill="1" applyBorder="1" applyAlignment="1">
      <alignment horizontal="center" vertical="center"/>
    </xf>
    <xf numFmtId="189" fontId="92" fillId="0" borderId="22" xfId="3" applyNumberFormat="1" applyFont="1" applyBorder="1" applyAlignment="1">
      <alignment horizontal="center" vertical="center"/>
    </xf>
    <xf numFmtId="10" fontId="92" fillId="0" borderId="22" xfId="3" applyNumberFormat="1" applyFont="1" applyBorder="1" applyAlignment="1">
      <alignment horizontal="center" vertical="center"/>
    </xf>
    <xf numFmtId="194" fontId="92" fillId="8" borderId="22" xfId="3" applyNumberFormat="1" applyFont="1" applyFill="1" applyBorder="1" applyAlignment="1">
      <alignment horizontal="center" vertical="center"/>
    </xf>
    <xf numFmtId="195" fontId="92" fillId="8" borderId="22" xfId="15" applyNumberFormat="1" applyFont="1" applyFill="1" applyBorder="1" applyAlignment="1">
      <alignment horizontal="center" vertical="center"/>
    </xf>
    <xf numFmtId="10" fontId="92" fillId="0" borderId="22" xfId="15" applyNumberFormat="1" applyFont="1" applyBorder="1" applyAlignment="1">
      <alignment horizontal="center" vertical="center"/>
    </xf>
    <xf numFmtId="193" fontId="93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>
      <alignment vertical="center"/>
    </xf>
    <xf numFmtId="189" fontId="94" fillId="0" borderId="22" xfId="20" applyNumberFormat="1" applyFont="1" applyBorder="1" applyAlignment="1">
      <alignment horizontal="center" vertical="center"/>
    </xf>
    <xf numFmtId="10" fontId="92" fillId="0" borderId="22" xfId="20" applyNumberFormat="1" applyFont="1" applyBorder="1" applyAlignment="1">
      <alignment horizontal="center" vertical="center"/>
    </xf>
    <xf numFmtId="0" fontId="92" fillId="0" borderId="0" xfId="15" applyFont="1">
      <alignment vertical="center"/>
    </xf>
    <xf numFmtId="1" fontId="22" fillId="0" borderId="22" xfId="0" applyNumberFormat="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2" fillId="8" borderId="22" xfId="4" applyNumberFormat="1" applyFont="1" applyFill="1" applyBorder="1" applyAlignment="1">
      <alignment horizontal="center" vertical="center"/>
    </xf>
    <xf numFmtId="194" fontId="92" fillId="8" borderId="22" xfId="6" applyNumberFormat="1" applyFont="1" applyFill="1" applyBorder="1" applyAlignment="1">
      <alignment horizontal="center" vertical="center"/>
    </xf>
    <xf numFmtId="195" fontId="92" fillId="8" borderId="22" xfId="4" applyNumberFormat="1" applyFont="1" applyFill="1" applyBorder="1" applyAlignment="1">
      <alignment horizontal="center" vertical="center"/>
    </xf>
    <xf numFmtId="10" fontId="92" fillId="0" borderId="22" xfId="4" applyNumberFormat="1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55" fillId="0" borderId="0" xfId="0" applyFont="1"/>
    <xf numFmtId="177" fontId="55" fillId="0" borderId="0" xfId="0" applyNumberFormat="1" applyFont="1"/>
    <xf numFmtId="177" fontId="55" fillId="0" borderId="0" xfId="0" applyNumberFormat="1" applyFont="1" applyAlignment="1">
      <alignment horizontal="right"/>
    </xf>
    <xf numFmtId="177" fontId="55" fillId="9" borderId="22" xfId="0" applyNumberFormat="1" applyFont="1" applyFill="1" applyBorder="1"/>
    <xf numFmtId="10" fontId="55" fillId="0" borderId="22" xfId="0" applyNumberFormat="1" applyFont="1" applyBorder="1"/>
    <xf numFmtId="177" fontId="55" fillId="0" borderId="22" xfId="0" applyNumberFormat="1" applyFont="1" applyBorder="1"/>
    <xf numFmtId="0" fontId="88" fillId="15" borderId="22" xfId="15" applyFont="1" applyFill="1" applyBorder="1" applyAlignment="1">
      <alignment horizontal="center" vertical="center" wrapText="1"/>
    </xf>
    <xf numFmtId="0" fontId="24" fillId="0" borderId="37" xfId="0" applyFont="1" applyBorder="1" applyAlignment="1">
      <alignment vertical="center"/>
    </xf>
    <xf numFmtId="177" fontId="24" fillId="0" borderId="34" xfId="0" applyNumberFormat="1" applyFont="1" applyBorder="1" applyAlignment="1">
      <alignment vertical="center"/>
    </xf>
    <xf numFmtId="194" fontId="92" fillId="8" borderId="22" xfId="20" applyNumberFormat="1" applyFont="1" applyFill="1" applyBorder="1" applyAlignment="1">
      <alignment horizontal="center" vertical="center"/>
    </xf>
    <xf numFmtId="189" fontId="92" fillId="0" borderId="54" xfId="3" applyNumberFormat="1" applyFont="1" applyBorder="1" applyAlignment="1">
      <alignment horizontal="center" vertical="center"/>
    </xf>
    <xf numFmtId="10" fontId="92" fillId="0" borderId="54" xfId="3" applyNumberFormat="1" applyFont="1" applyBorder="1" applyAlignment="1">
      <alignment horizontal="center" vertical="center"/>
    </xf>
    <xf numFmtId="194" fontId="92" fillId="8" borderId="54" xfId="3" applyNumberFormat="1" applyFont="1" applyFill="1" applyBorder="1" applyAlignment="1">
      <alignment horizontal="center" vertical="center"/>
    </xf>
    <xf numFmtId="189" fontId="92" fillId="0" borderId="22" xfId="4" applyNumberFormat="1" applyFont="1" applyBorder="1" applyAlignment="1">
      <alignment horizontal="center" vertical="center"/>
    </xf>
    <xf numFmtId="194" fontId="92" fillId="8" borderId="54" xfId="4" applyNumberFormat="1" applyFont="1" applyFill="1" applyBorder="1" applyAlignment="1">
      <alignment horizontal="center" vertical="center"/>
    </xf>
    <xf numFmtId="189" fontId="92" fillId="0" borderId="54" xfId="4" applyNumberFormat="1" applyFont="1" applyBorder="1" applyAlignment="1">
      <alignment horizontal="center" vertical="center"/>
    </xf>
    <xf numFmtId="194" fontId="92" fillId="8" borderId="54" xfId="6" applyNumberFormat="1" applyFont="1" applyFill="1" applyBorder="1" applyAlignment="1">
      <alignment horizontal="center" vertical="center"/>
    </xf>
    <xf numFmtId="195" fontId="92" fillId="8" borderId="54" xfId="4" applyNumberFormat="1" applyFont="1" applyFill="1" applyBorder="1" applyAlignment="1">
      <alignment horizontal="center" vertical="center"/>
    </xf>
    <xf numFmtId="10" fontId="92" fillId="0" borderId="54" xfId="4" applyNumberFormat="1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44" fillId="2" borderId="22" xfId="0" applyFont="1" applyFill="1" applyBorder="1" applyAlignment="1">
      <alignment horizontal="center" vertical="center" shrinkToFit="1"/>
    </xf>
    <xf numFmtId="0" fontId="31" fillId="4" borderId="22" xfId="0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179" fontId="55" fillId="0" borderId="0" xfId="0" applyNumberFormat="1" applyFont="1" applyAlignment="1">
      <alignment horizontal="center"/>
    </xf>
    <xf numFmtId="0" fontId="0" fillId="0" borderId="27" xfId="0" applyBorder="1" applyAlignment="1">
      <alignment horizontal="left" vertical="center"/>
    </xf>
    <xf numFmtId="1" fontId="26" fillId="0" borderId="22" xfId="0" applyNumberFormat="1" applyFont="1" applyBorder="1" applyAlignment="1">
      <alignment shrinkToFit="1"/>
    </xf>
    <xf numFmtId="0" fontId="31" fillId="0" borderId="27" xfId="0" applyFont="1" applyBorder="1" applyAlignment="1">
      <alignment vertical="center"/>
    </xf>
    <xf numFmtId="0" fontId="31" fillId="0" borderId="27" xfId="0" applyFont="1" applyBorder="1" applyAlignment="1">
      <alignment horizontal="left" vertical="center"/>
    </xf>
    <xf numFmtId="179" fontId="108" fillId="0" borderId="0" xfId="0" applyNumberFormat="1" applyFont="1" applyAlignment="1">
      <alignment horizontal="center"/>
    </xf>
    <xf numFmtId="179" fontId="109" fillId="0" borderId="0" xfId="0" applyNumberFormat="1" applyFont="1" applyAlignment="1">
      <alignment horizontal="center"/>
    </xf>
    <xf numFmtId="194" fontId="92" fillId="0" borderId="29" xfId="15" applyNumberFormat="1" applyFont="1" applyBorder="1" applyAlignment="1">
      <alignment horizontal="right" vertical="center"/>
    </xf>
    <xf numFmtId="194" fontId="35" fillId="0" borderId="29" xfId="15" applyNumberFormat="1" applyFont="1" applyBorder="1" applyAlignment="1">
      <alignment horizontal="right" vertical="center"/>
    </xf>
    <xf numFmtId="194" fontId="92" fillId="0" borderId="30" xfId="15" applyNumberFormat="1" applyFont="1" applyBorder="1" applyAlignment="1">
      <alignment horizontal="right" vertical="center"/>
    </xf>
    <xf numFmtId="194" fontId="35" fillId="0" borderId="30" xfId="15" applyNumberFormat="1" applyFont="1" applyBorder="1" applyAlignment="1">
      <alignment horizontal="right" vertical="center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183" fontId="34" fillId="0" borderId="22" xfId="13" applyNumberFormat="1" applyFont="1" applyFill="1" applyBorder="1" applyAlignment="1">
      <alignment horizontal="center" vertical="center"/>
    </xf>
    <xf numFmtId="0" fontId="22" fillId="0" borderId="27" xfId="0" applyFont="1" applyBorder="1" applyAlignment="1">
      <alignment vertical="center"/>
    </xf>
    <xf numFmtId="0" fontId="41" fillId="0" borderId="0" xfId="0" applyFont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6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19" xfId="0" applyFont="1" applyBorder="1" applyAlignment="1">
      <alignment shrinkToFit="1"/>
    </xf>
    <xf numFmtId="0" fontId="10" fillId="2" borderId="3" xfId="0" applyFont="1" applyFill="1" applyBorder="1" applyAlignment="1">
      <alignment shrinkToFit="1"/>
    </xf>
    <xf numFmtId="10" fontId="2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178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81" fontId="13" fillId="0" borderId="0" xfId="0" applyNumberFormat="1" applyFont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182" fontId="26" fillId="0" borderId="22" xfId="0" applyNumberFormat="1" applyFont="1" applyBorder="1" applyAlignment="1">
      <alignment horizontal="center" vertical="center" shrinkToFit="1"/>
    </xf>
    <xf numFmtId="0" fontId="16" fillId="0" borderId="22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182" fontId="25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/>
    </xf>
    <xf numFmtId="177" fontId="16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/>
    </xf>
    <xf numFmtId="177" fontId="20" fillId="0" borderId="22" xfId="0" applyNumberFormat="1" applyFont="1" applyBorder="1" applyAlignment="1">
      <alignment horizontal="center" vertical="center" shrinkToFit="1"/>
    </xf>
    <xf numFmtId="177" fontId="26" fillId="0" borderId="22" xfId="0" applyNumberFormat="1" applyFont="1" applyBorder="1" applyAlignment="1">
      <alignment horizontal="center" vertical="center" shrinkToFit="1"/>
    </xf>
    <xf numFmtId="177" fontId="21" fillId="0" borderId="22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1" fillId="0" borderId="22" xfId="0" applyFont="1" applyBorder="1" applyAlignment="1">
      <alignment horizontal="center" vertical="center"/>
    </xf>
    <xf numFmtId="1" fontId="31" fillId="0" borderId="22" xfId="0" applyNumberFormat="1" applyFon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183" fontId="0" fillId="0" borderId="23" xfId="0" applyNumberFormat="1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30" xfId="0" applyNumberFormat="1" applyBorder="1" applyAlignment="1">
      <alignment horizontal="center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33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" fontId="31" fillId="0" borderId="31" xfId="0" applyNumberFormat="1" applyFont="1" applyBorder="1" applyAlignment="1">
      <alignment horizontal="center" vertical="center"/>
    </xf>
    <xf numFmtId="1" fontId="31" fillId="0" borderId="33" xfId="0" applyNumberFormat="1" applyFont="1" applyBorder="1" applyAlignment="1">
      <alignment horizontal="center" vertical="center"/>
    </xf>
    <xf numFmtId="1" fontId="31" fillId="0" borderId="35" xfId="0" applyNumberFormat="1" applyFont="1" applyBorder="1" applyAlignment="1">
      <alignment horizontal="center" vertical="center"/>
    </xf>
    <xf numFmtId="1" fontId="31" fillId="0" borderId="23" xfId="0" applyNumberFormat="1" applyFont="1" applyBorder="1" applyAlignment="1">
      <alignment horizontal="center" vertical="center"/>
    </xf>
    <xf numFmtId="1" fontId="31" fillId="0" borderId="29" xfId="0" applyNumberFormat="1" applyFont="1" applyBorder="1" applyAlignment="1">
      <alignment horizontal="center" vertical="center"/>
    </xf>
    <xf numFmtId="1" fontId="31" fillId="0" borderId="30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79" fontId="70" fillId="5" borderId="27" xfId="0" applyNumberFormat="1" applyFont="1" applyFill="1" applyBorder="1" applyAlignment="1">
      <alignment horizontal="center" vertical="center"/>
    </xf>
    <xf numFmtId="179" fontId="70" fillId="5" borderId="28" xfId="0" applyNumberFormat="1" applyFont="1" applyFill="1" applyBorder="1" applyAlignment="1">
      <alignment horizontal="center" vertical="center"/>
    </xf>
    <xf numFmtId="179" fontId="70" fillId="5" borderId="25" xfId="0" applyNumberFormat="1" applyFont="1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Alignment="1">
      <alignment horizontal="left" vertical="center" shrinkToFit="1"/>
    </xf>
    <xf numFmtId="0" fontId="54" fillId="0" borderId="0" xfId="0" applyFont="1" applyAlignment="1">
      <alignment horizontal="left" vertical="center" shrinkToFit="1"/>
    </xf>
    <xf numFmtId="0" fontId="20" fillId="0" borderId="22" xfId="0" applyFont="1" applyBorder="1" applyAlignment="1">
      <alignment horizontal="center" vertical="center" shrinkToFit="1"/>
    </xf>
    <xf numFmtId="0" fontId="26" fillId="0" borderId="31" xfId="0" applyFont="1" applyBorder="1" applyAlignment="1">
      <alignment horizontal="center" vertical="center" wrapText="1" shrinkToFit="1"/>
    </xf>
    <xf numFmtId="0" fontId="26" fillId="0" borderId="32" xfId="0" applyFont="1" applyBorder="1" applyAlignment="1">
      <alignment horizontal="center" vertical="center" wrapText="1" shrinkToFit="1"/>
    </xf>
    <xf numFmtId="0" fontId="26" fillId="0" borderId="33" xfId="0" applyFont="1" applyBorder="1" applyAlignment="1">
      <alignment horizontal="center" vertical="center" wrapText="1" shrinkToFit="1"/>
    </xf>
    <xf numFmtId="0" fontId="26" fillId="0" borderId="34" xfId="0" applyFont="1" applyBorder="1" applyAlignment="1">
      <alignment horizontal="center" vertical="center" wrapText="1" shrinkToFit="1"/>
    </xf>
    <xf numFmtId="0" fontId="26" fillId="0" borderId="35" xfId="0" applyFont="1" applyBorder="1" applyAlignment="1">
      <alignment horizontal="center" vertical="center" wrapText="1" shrinkToFit="1"/>
    </xf>
    <xf numFmtId="0" fontId="26" fillId="0" borderId="36" xfId="0" applyFont="1" applyBorder="1" applyAlignment="1">
      <alignment horizontal="center" vertical="center" wrapText="1" shrinkToFit="1"/>
    </xf>
    <xf numFmtId="0" fontId="26" fillId="0" borderId="31" xfId="0" applyFont="1" applyBorder="1" applyAlignment="1">
      <alignment horizontal="center" vertical="center" shrinkToFit="1"/>
    </xf>
    <xf numFmtId="0" fontId="26" fillId="0" borderId="32" xfId="0" applyFont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 shrinkToFit="1"/>
    </xf>
    <xf numFmtId="0" fontId="26" fillId="0" borderId="36" xfId="0" applyFont="1" applyBorder="1" applyAlignment="1">
      <alignment horizontal="center" vertical="center" shrinkToFit="1"/>
    </xf>
    <xf numFmtId="0" fontId="110" fillId="0" borderId="31" xfId="0" applyFont="1" applyBorder="1" applyAlignment="1">
      <alignment horizontal="center" vertical="center" wrapText="1" shrinkToFit="1"/>
    </xf>
    <xf numFmtId="0" fontId="110" fillId="0" borderId="32" xfId="0" applyFont="1" applyBorder="1" applyAlignment="1">
      <alignment horizontal="center" vertical="center" wrapText="1" shrinkToFit="1"/>
    </xf>
    <xf numFmtId="0" fontId="110" fillId="0" borderId="35" xfId="0" applyFont="1" applyBorder="1" applyAlignment="1">
      <alignment horizontal="center" vertical="center" wrapText="1" shrinkToFit="1"/>
    </xf>
    <xf numFmtId="0" fontId="110" fillId="0" borderId="36" xfId="0" applyFont="1" applyBorder="1" applyAlignment="1">
      <alignment horizontal="center" vertical="center" wrapText="1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26" fillId="0" borderId="22" xfId="0" applyFont="1" applyBorder="1" applyAlignment="1">
      <alignment horizontal="center" shrinkToFit="1"/>
    </xf>
    <xf numFmtId="0" fontId="20" fillId="0" borderId="27" xfId="0" applyFont="1" applyBorder="1" applyAlignment="1">
      <alignment horizontal="center" vertical="center" shrinkToFit="1"/>
    </xf>
    <xf numFmtId="0" fontId="55" fillId="0" borderId="25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35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3" xfId="0" applyFont="1" applyBorder="1" applyAlignment="1">
      <alignment horizontal="center" vertical="center" shrinkToFit="1"/>
    </xf>
    <xf numFmtId="0" fontId="44" fillId="0" borderId="34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20" fillId="0" borderId="33" xfId="0" applyFont="1" applyBorder="1" applyAlignment="1">
      <alignment horizontal="center" vertical="center" shrinkToFit="1"/>
    </xf>
    <xf numFmtId="0" fontId="20" fillId="0" borderId="34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3" xfId="0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26" fillId="0" borderId="27" xfId="0" applyFont="1" applyBorder="1" applyAlignment="1">
      <alignment vertical="center" shrinkToFit="1"/>
    </xf>
    <xf numFmtId="0" fontId="26" fillId="0" borderId="25" xfId="0" applyFont="1" applyBorder="1" applyAlignment="1">
      <alignment vertical="center" shrinkToFit="1"/>
    </xf>
    <xf numFmtId="0" fontId="26" fillId="0" borderId="33" xfId="0" applyFont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0" fillId="0" borderId="31" xfId="0" applyFont="1" applyBorder="1" applyAlignment="1">
      <alignment horizontal="center" vertical="center" wrapText="1" shrinkToFit="1"/>
    </xf>
    <xf numFmtId="0" fontId="20" fillId="0" borderId="32" xfId="0" applyFont="1" applyBorder="1" applyAlignment="1">
      <alignment horizontal="center" vertical="center" wrapText="1" shrinkToFit="1"/>
    </xf>
    <xf numFmtId="0" fontId="20" fillId="0" borderId="33" xfId="0" applyFont="1" applyBorder="1" applyAlignment="1">
      <alignment horizontal="center" vertical="center" wrapText="1" shrinkToFit="1"/>
    </xf>
    <xf numFmtId="0" fontId="20" fillId="0" borderId="34" xfId="0" applyFont="1" applyBorder="1" applyAlignment="1">
      <alignment horizontal="center" vertical="center" wrapText="1" shrinkToFit="1"/>
    </xf>
    <xf numFmtId="0" fontId="20" fillId="0" borderId="35" xfId="0" applyFont="1" applyBorder="1" applyAlignment="1">
      <alignment horizontal="center" vertical="center" wrapText="1" shrinkToFit="1"/>
    </xf>
    <xf numFmtId="0" fontId="20" fillId="0" borderId="36" xfId="0" applyFont="1" applyBorder="1" applyAlignment="1">
      <alignment horizontal="center" vertical="center" wrapText="1" shrinkToFit="1"/>
    </xf>
    <xf numFmtId="0" fontId="41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5" fillId="0" borderId="22" xfId="11" applyFont="1" applyBorder="1" applyAlignment="1">
      <alignment horizontal="center" vertical="center"/>
    </xf>
    <xf numFmtId="0" fontId="26" fillId="0" borderId="22" xfId="11" applyFont="1" applyBorder="1" applyAlignment="1">
      <alignment horizontal="center" vertical="center" shrinkToFit="1"/>
    </xf>
    <xf numFmtId="0" fontId="26" fillId="0" borderId="37" xfId="11" applyFont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4" fillId="0" borderId="22" xfId="11" applyFont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60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vertical="center" shrinkToFit="1"/>
    </xf>
    <xf numFmtId="0" fontId="24" fillId="0" borderId="25" xfId="11" applyFont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Border="1" applyAlignment="1">
      <alignment horizontal="center" vertical="center"/>
    </xf>
    <xf numFmtId="0" fontId="26" fillId="0" borderId="52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vertical="center" shrinkToFit="1"/>
    </xf>
    <xf numFmtId="0" fontId="60" fillId="0" borderId="48" xfId="1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62" fillId="0" borderId="22" xfId="0" applyFont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wrapText="1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2" borderId="0" xfId="0" applyFont="1" applyFill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0" borderId="22" xfId="11" applyFont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Alignment="1">
      <alignment horizontal="center" vertical="center" shrinkToFit="1"/>
    </xf>
    <xf numFmtId="0" fontId="26" fillId="0" borderId="0" xfId="0" applyFont="1" applyAlignment="1">
      <alignment horizontal="center" shrinkToFit="1"/>
    </xf>
    <xf numFmtId="0" fontId="26" fillId="0" borderId="38" xfId="0" applyFont="1" applyBorder="1" applyAlignment="1">
      <alignment horizont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6" fillId="5" borderId="22" xfId="15" applyFont="1" applyFill="1" applyBorder="1" applyAlignment="1">
      <alignment horizont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7" fillId="5" borderId="22" xfId="15" applyFont="1" applyFill="1" applyBorder="1" applyAlignment="1">
      <alignment horizontal="center" vertical="center"/>
    </xf>
    <xf numFmtId="0" fontId="88" fillId="15" borderId="22" xfId="15" applyFont="1" applyFill="1" applyBorder="1" applyAlignment="1">
      <alignment horizontal="center" vertical="center" wrapText="1"/>
    </xf>
    <xf numFmtId="0" fontId="91" fillId="15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7">
    <cellStyle name="??_x000c_鞜_x0007__x000d_槉U_x0001_??_x0007__x0001__x0001_" xfId="25" xr:uid="{00000000-0005-0000-0000-000000000000}"/>
    <cellStyle name="_98-春節暫停營業明細-ToDC" xfId="26" xr:uid="{00000000-0005-0000-0000-000001000000}"/>
    <cellStyle name="_98-春節暫停營業明細-ToDC_1-晉欣鮮食廠-2012年春節作業體制" xfId="27" xr:uid="{00000000-0005-0000-0000-000002000000}"/>
    <cellStyle name="_excel報告書" xfId="28" xr:uid="{00000000-0005-0000-0000-000003000000}"/>
    <cellStyle name="_excel報告書_1-晉欣鮮食廠-2012年春節作業體制" xfId="29" xr:uid="{00000000-0005-0000-0000-000004000000}"/>
    <cellStyle name="_excel報告書_96年月餅預購競賽獎勵案" xfId="30" xr:uid="{00000000-0005-0000-0000-000005000000}"/>
    <cellStyle name="_excel報告書_96年月餅預購競賽獎勵案_1-晉欣鮮食廠-2012年春節作業體制" xfId="31" xr:uid="{00000000-0005-0000-0000-000006000000}"/>
    <cellStyle name="_excel報告書_96年月餅預購競賽獎勵案_97年春節保全回收報告書" xfId="32" xr:uid="{00000000-0005-0000-0000-000007000000}"/>
    <cellStyle name="_excel報告書_96年月餅預購競賽獎勵案_97年春節保全回收報告書_1-晉欣鮮食廠-2012年春節作業體制" xfId="33" xr:uid="{00000000-0005-0000-0000-000008000000}"/>
    <cellStyle name="_excel報告書_96年月餅預購競賽獎勵案_97年春節保全回收報告書_Book1" xfId="34" xr:uid="{00000000-0005-0000-0000-000009000000}"/>
    <cellStyle name="_excel報告書_96年月餅預購競賽獎勵案_97年春節保全回收報告書_Book1_1-晉欣鮮食廠-2012年春節作業體制" xfId="35" xr:uid="{00000000-0005-0000-0000-00000A000000}"/>
    <cellStyle name="_excel報告書_96年月餅預購競賽獎勵案_97年春節保全回收報告書_春節作業手冊-981217" xfId="36" xr:uid="{00000000-0005-0000-0000-00000B000000}"/>
    <cellStyle name="_excel報告書_96年月餅預購競賽獎勵案_97年春節保全回收報告書_春節作業手冊-981217_1-晉欣鮮食廠-2012年春節作業體制" xfId="37" xr:uid="{00000000-0005-0000-0000-00000C000000}"/>
    <cellStyle name="_excel報告書_96年月餅預購競賽獎勵案_97年營業競賽提案報告書" xfId="38" xr:uid="{00000000-0005-0000-0000-00000D000000}"/>
    <cellStyle name="_excel報告書_96年月餅預購競賽獎勵案_97年營業競賽提案報告書_1-晉欣鮮食廠-2012年春節作業體制" xfId="39" xr:uid="{00000000-0005-0000-0000-00000E000000}"/>
    <cellStyle name="_excel報告書_96年月餅預購競賽獎勵案_97年營業競賽提案報告書_97年春節保全回收報告書" xfId="40" xr:uid="{00000000-0005-0000-0000-00000F000000}"/>
    <cellStyle name="_excel報告書_96年月餅預購競賽獎勵案_97年營業競賽提案報告書_97年春節保全回收報告書_1-晉欣鮮食廠-2012年春節作業體制" xfId="41" xr:uid="{00000000-0005-0000-0000-000010000000}"/>
    <cellStyle name="_excel報告書_96年月餅預購競賽獎勵案_97年營業競賽提案報告書_97年春節保全回收報告書_Book1" xfId="42" xr:uid="{00000000-0005-0000-0000-000011000000}"/>
    <cellStyle name="_excel報告書_96年月餅預購競賽獎勵案_97年營業競賽提案報告書_97年春節保全回收報告書_Book1_1-晉欣鮮食廠-2012年春節作業體制" xfId="43" xr:uid="{00000000-0005-0000-0000-000012000000}"/>
    <cellStyle name="_excel報告書_96年月餅預購競賽獎勵案_97年營業競賽提案報告書_97年春節保全回收報告書_春節作業手冊-981217" xfId="44" xr:uid="{00000000-0005-0000-0000-000013000000}"/>
    <cellStyle name="_excel報告書_96年月餅預購競賽獎勵案_97年營業競賽提案報告書_97年春節保全回收報告書_春節作業手冊-981217_1-晉欣鮮食廠-2012年春節作業體制" xfId="45" xr:uid="{00000000-0005-0000-0000-000014000000}"/>
    <cellStyle name="_excel報告書_96年月餅預購競賽獎勵案_97年營業競賽提案報告書_97年營業競賽提案報告書" xfId="46" xr:uid="{00000000-0005-0000-0000-000015000000}"/>
    <cellStyle name="_excel報告書_96年月餅預購競賽獎勵案_97年營業競賽提案報告書_97年營業競賽提案報告書_1-晉欣鮮食廠-2012年春節作業體制" xfId="47" xr:uid="{00000000-0005-0000-0000-000016000000}"/>
    <cellStyle name="_excel報告書_96年月餅預購競賽獎勵案_97年營業競賽提案報告書_97年營業競賽提案報告書_97年春節保全回收報告書" xfId="48" xr:uid="{00000000-0005-0000-0000-000017000000}"/>
    <cellStyle name="_excel報告書_96年月餅預購競賽獎勵案_97年營業競賽提案報告書_97年營業競賽提案報告書_97年春節保全回收報告書_1-晉欣鮮食廠-2012年春節作業體制" xfId="49" xr:uid="{00000000-0005-0000-0000-000018000000}"/>
    <cellStyle name="_excel報告書_96年月餅預購競賽獎勵案_97年營業競賽提案報告書_97年營業競賽提案報告書_97年春節保全回收報告書_Book1" xfId="50" xr:uid="{00000000-0005-0000-0000-000019000000}"/>
    <cellStyle name="_excel報告書_96年月餅預購競賽獎勵案_97年營業競賽提案報告書_97年營業競賽提案報告書_97年春節保全回收報告書_Book1_1-晉欣鮮食廠-2012年春節作業體制" xfId="51" xr:uid="{00000000-0005-0000-0000-00001A000000}"/>
    <cellStyle name="_excel報告書_96年月餅預購競賽獎勵案_97年營業競賽提案報告書_97年營業競賽提案報告書_97年春節保全回收報告書_春節作業手冊-981217" xfId="52" xr:uid="{00000000-0005-0000-0000-00001B000000}"/>
    <cellStyle name="_excel報告書_96年月餅預購競賽獎勵案_97年營業競賽提案報告書_97年營業競賽提案報告書_97年春節保全回收報告書_春節作業手冊-981217_1-晉欣鮮食廠-2012年春節作業體制" xfId="53" xr:uid="{00000000-0005-0000-0000-00001C000000}"/>
    <cellStyle name="_excel報告書_96年月餅預購競賽獎勵案_97年營業競賽提案報告書_97年營業競賽提案報告書_97年營業競賽提案報告書" xfId="54" xr:uid="{00000000-0005-0000-0000-00001D000000}"/>
    <cellStyle name="_excel報告書_96年月餅預購競賽獎勵案_97年營業競賽提案報告書_97年營業競賽提案報告書_97年營業競賽提案報告書_1-晉欣鮮食廠-2012年春節作業體制" xfId="55" xr:uid="{00000000-0005-0000-0000-00001E000000}"/>
    <cellStyle name="_excel報告書_96年月餅預購競賽獎勵案_97年營業競賽提案報告書_97年營業競賽提案報告書_97年營業競賽提案報告書_97年春節保全回收報告書" xfId="56" xr:uid="{00000000-0005-0000-0000-00001F000000}"/>
    <cellStyle name="_excel報告書_96年月餅預購競賽獎勵案_97年營業競賽提案報告書_97年營業競賽提案報告書_97年營業競賽提案報告書_97年春節保全回收報告書_1-晉欣鮮食廠-2012年春節作業體制" xfId="57" xr:uid="{00000000-0005-0000-0000-000020000000}"/>
    <cellStyle name="_excel報告書_96年月餅預購競賽獎勵案_97年營業競賽提案報告書_97年營業競賽提案報告書_97年營業競賽提案報告書_97年春節保全回收報告書_Book1" xfId="58" xr:uid="{00000000-0005-0000-0000-000021000000}"/>
    <cellStyle name="_excel報告書_96年月餅預購競賽獎勵案_97年營業競賽提案報告書_97年營業競賽提案報告書_97年營業競賽提案報告書_97年春節保全回收報告書_Book1_1-晉欣鮮食廠-2012年春節作業體制" xfId="59" xr:uid="{00000000-0005-0000-0000-000022000000}"/>
    <cellStyle name="_excel報告書_96年月餅預購競賽獎勵案_97年營業競賽提案報告書_97年營業競賽提案報告書_97年營業競賽提案報告書_97年春節保全回收報告書_春節作業手冊-981217" xfId="60" xr:uid="{00000000-0005-0000-0000-000023000000}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 xr:uid="{00000000-0005-0000-0000-000024000000}"/>
    <cellStyle name="_excel報告書_96年月餅預購競賽獎勵案_97年營業競賽提案報告書_97年營業競賽提案報告書_97年營業競賽提案報告書_Book1" xfId="62" xr:uid="{00000000-0005-0000-0000-000025000000}"/>
    <cellStyle name="_excel報告書_96年月餅預購競賽獎勵案_97年營業競賽提案報告書_97年營業競賽提案報告書_97年營業競賽提案報告書_Book1_1-晉欣鮮食廠-2012年春節作業體制" xfId="63" xr:uid="{00000000-0005-0000-0000-000026000000}"/>
    <cellStyle name="_excel報告書_96年月餅預購競賽獎勵案_97年營業競賽提案報告書_97年營業競賽提案報告書_97年營業競賽提案報告書_春節作業手冊-981217" xfId="64" xr:uid="{00000000-0005-0000-0000-000027000000}"/>
    <cellStyle name="_excel報告書_96年月餅預購競賽獎勵案_97年營業競賽提案報告書_97年營業競賽提案報告書_97年營業競賽提案報告書_春節作業手冊-981217_1-晉欣鮮食廠-2012年春節作業體制" xfId="65" xr:uid="{00000000-0005-0000-0000-000028000000}"/>
    <cellStyle name="_excel報告書_96年月餅預購競賽獎勵案_97年營業競賽提案報告書_97年營業競賽提案報告書_Book1" xfId="66" xr:uid="{00000000-0005-0000-0000-000029000000}"/>
    <cellStyle name="_excel報告書_96年月餅預購競賽獎勵案_97年營業競賽提案報告書_97年營業競賽提案報告書_Book1_1-晉欣鮮食廠-2012年春節作業體制" xfId="67" xr:uid="{00000000-0005-0000-0000-00002A000000}"/>
    <cellStyle name="_excel報告書_96年月餅預購競賽獎勵案_97年營業競賽提案報告書_97年營業競賽提案報告書_春節作業手冊-981217" xfId="68" xr:uid="{00000000-0005-0000-0000-00002B000000}"/>
    <cellStyle name="_excel報告書_96年月餅預購競賽獎勵案_97年營業競賽提案報告書_97年營業競賽提案報告書_春節作業手冊-981217_1-晉欣鮮食廠-2012年春節作業體制" xfId="69" xr:uid="{00000000-0005-0000-0000-00002C000000}"/>
    <cellStyle name="_excel報告書_96年月餅預購競賽獎勵案_97年營業競賽提案報告書_Book1" xfId="70" xr:uid="{00000000-0005-0000-0000-00002D000000}"/>
    <cellStyle name="_excel報告書_96年月餅預購競賽獎勵案_97年營業競賽提案報告書_Book1_1-晉欣鮮食廠-2012年春節作業體制" xfId="71" xr:uid="{00000000-0005-0000-0000-00002E000000}"/>
    <cellStyle name="_excel報告書_96年月餅預購競賽獎勵案_97年營業競賽提案報告書_春節作業手冊-981217" xfId="72" xr:uid="{00000000-0005-0000-0000-00002F000000}"/>
    <cellStyle name="_excel報告書_96年月餅預購競賽獎勵案_97年營業競賽提案報告書_春節作業手冊-981217_1-晉欣鮮食廠-2012年春節作業體制" xfId="73" xr:uid="{00000000-0005-0000-0000-000030000000}"/>
    <cellStyle name="_excel報告書_96年月餅預購競賽獎勵案_Book1" xfId="74" xr:uid="{00000000-0005-0000-0000-000031000000}"/>
    <cellStyle name="_excel報告書_96年月餅預購競賽獎勵案_Book1_1-晉欣鮮食廠-2012年春節作業體制" xfId="75" xr:uid="{00000000-0005-0000-0000-000032000000}"/>
    <cellStyle name="_excel報告書_96年月餅預購競賽獎勵案_春節作業手冊-981217" xfId="76" xr:uid="{00000000-0005-0000-0000-000033000000}"/>
    <cellStyle name="_excel報告書_96年月餅預購競賽獎勵案_春節作業手冊-981217_1-晉欣鮮食廠-2012年春節作業體制" xfId="77" xr:uid="{00000000-0005-0000-0000-000034000000}"/>
    <cellStyle name="_excel報告書_97年春節保全回收報告書" xfId="78" xr:uid="{00000000-0005-0000-0000-000035000000}"/>
    <cellStyle name="_excel報告書_97年春節保全回收報告書_1-晉欣鮮食廠-2012年春節作業體制" xfId="79" xr:uid="{00000000-0005-0000-0000-000036000000}"/>
    <cellStyle name="_excel報告書_97年春節保全回收報告書_Book1" xfId="80" xr:uid="{00000000-0005-0000-0000-000037000000}"/>
    <cellStyle name="_excel報告書_97年春節保全回收報告書_Book1_1-晉欣鮮食廠-2012年春節作業體制" xfId="81" xr:uid="{00000000-0005-0000-0000-000038000000}"/>
    <cellStyle name="_excel報告書_97年春節保全回收報告書_春節作業手冊-981217" xfId="82" xr:uid="{00000000-0005-0000-0000-000039000000}"/>
    <cellStyle name="_excel報告書_97年春節保全回收報告書_春節作業手冊-981217_1-晉欣鮮食廠-2012年春節作業體制" xfId="83" xr:uid="{00000000-0005-0000-0000-00003A000000}"/>
    <cellStyle name="_excel報告書_97年營業競賽提案報告書" xfId="84" xr:uid="{00000000-0005-0000-0000-00003B000000}"/>
    <cellStyle name="_excel報告書_97年營業競賽提案報告書_1-晉欣鮮食廠-2012年春節作業體制" xfId="85" xr:uid="{00000000-0005-0000-0000-00003C000000}"/>
    <cellStyle name="_excel報告書_97年營業競賽提案報告書_97年春節保全回收報告書" xfId="86" xr:uid="{00000000-0005-0000-0000-00003D000000}"/>
    <cellStyle name="_excel報告書_97年營業競賽提案報告書_97年春節保全回收報告書_1-晉欣鮮食廠-2012年春節作業體制" xfId="87" xr:uid="{00000000-0005-0000-0000-00003E000000}"/>
    <cellStyle name="_excel報告書_97年營業競賽提案報告書_97年春節保全回收報告書_Book1" xfId="88" xr:uid="{00000000-0005-0000-0000-00003F000000}"/>
    <cellStyle name="_excel報告書_97年營業競賽提案報告書_97年春節保全回收報告書_Book1_1-晉欣鮮食廠-2012年春節作業體制" xfId="89" xr:uid="{00000000-0005-0000-0000-000040000000}"/>
    <cellStyle name="_excel報告書_97年營業競賽提案報告書_97年春節保全回收報告書_春節作業手冊-981217" xfId="90" xr:uid="{00000000-0005-0000-0000-000041000000}"/>
    <cellStyle name="_excel報告書_97年營業競賽提案報告書_97年春節保全回收報告書_春節作業手冊-981217_1-晉欣鮮食廠-2012年春節作業體制" xfId="91" xr:uid="{00000000-0005-0000-0000-000042000000}"/>
    <cellStyle name="_excel報告書_97年營業競賽提案報告書_97年營業競賽提案報告書" xfId="92" xr:uid="{00000000-0005-0000-0000-000043000000}"/>
    <cellStyle name="_excel報告書_97年營業競賽提案報告書_97年營業競賽提案報告書_1-晉欣鮮食廠-2012年春節作業體制" xfId="93" xr:uid="{00000000-0005-0000-0000-000044000000}"/>
    <cellStyle name="_excel報告書_97年營業競賽提案報告書_97年營業競賽提案報告書_97年春節保全回收報告書" xfId="94" xr:uid="{00000000-0005-0000-0000-000045000000}"/>
    <cellStyle name="_excel報告書_97年營業競賽提案報告書_97年營業競賽提案報告書_97年春節保全回收報告書_1-晉欣鮮食廠-2012年春節作業體制" xfId="95" xr:uid="{00000000-0005-0000-0000-000046000000}"/>
    <cellStyle name="_excel報告書_97年營業競賽提案報告書_97年營業競賽提案報告書_97年春節保全回收報告書_Book1" xfId="96" xr:uid="{00000000-0005-0000-0000-000047000000}"/>
    <cellStyle name="_excel報告書_97年營業競賽提案報告書_97年營業競賽提案報告書_97年春節保全回收報告書_Book1_1-晉欣鮮食廠-2012年春節作業體制" xfId="97" xr:uid="{00000000-0005-0000-0000-000048000000}"/>
    <cellStyle name="_excel報告書_97年營業競賽提案報告書_97年營業競賽提案報告書_97年春節保全回收報告書_春節作業手冊-981217" xfId="98" xr:uid="{00000000-0005-0000-0000-000049000000}"/>
    <cellStyle name="_excel報告書_97年營業競賽提案報告書_97年營業競賽提案報告書_97年春節保全回收報告書_春節作業手冊-981217_1-晉欣鮮食廠-2012年春節作業體制" xfId="99" xr:uid="{00000000-0005-0000-0000-00004A000000}"/>
    <cellStyle name="_excel報告書_97年營業競賽提案報告書_97年營業競賽提案報告書_97年營業競賽提案報告書" xfId="100" xr:uid="{00000000-0005-0000-0000-00004B000000}"/>
    <cellStyle name="_excel報告書_97年營業競賽提案報告書_97年營業競賽提案報告書_97年營業競賽提案報告書_1-晉欣鮮食廠-2012年春節作業體制" xfId="101" xr:uid="{00000000-0005-0000-0000-00004C000000}"/>
    <cellStyle name="_excel報告書_97年營業競賽提案報告書_97年營業競賽提案報告書_97年營業競賽提案報告書_97年春節保全回收報告書" xfId="102" xr:uid="{00000000-0005-0000-0000-00004D000000}"/>
    <cellStyle name="_excel報告書_97年營業競賽提案報告書_97年營業競賽提案報告書_97年營業競賽提案報告書_97年春節保全回收報告書_1-晉欣鮮食廠-2012年春節作業體制" xfId="103" xr:uid="{00000000-0005-0000-0000-00004E000000}"/>
    <cellStyle name="_excel報告書_97年營業競賽提案報告書_97年營業競賽提案報告書_97年營業競賽提案報告書_97年春節保全回收報告書_Book1" xfId="104" xr:uid="{00000000-0005-0000-0000-00004F000000}"/>
    <cellStyle name="_excel報告書_97年營業競賽提案報告書_97年營業競賽提案報告書_97年營業競賽提案報告書_97年春節保全回收報告書_Book1_1-晉欣鮮食廠-2012年春節作業體制" xfId="105" xr:uid="{00000000-0005-0000-0000-000050000000}"/>
    <cellStyle name="_excel報告書_97年營業競賽提案報告書_97年營業競賽提案報告書_97年營業競賽提案報告書_97年春節保全回收報告書_春節作業手冊-981217" xfId="106" xr:uid="{00000000-0005-0000-0000-000051000000}"/>
    <cellStyle name="_excel報告書_97年營業競賽提案報告書_97年營業競賽提案報告書_97年營業競賽提案報告書_97年春節保全回收報告書_春節作業手冊-981217_1-晉欣鮮食廠-2012年春節作業體制" xfId="107" xr:uid="{00000000-0005-0000-0000-000052000000}"/>
    <cellStyle name="_excel報告書_97年營業競賽提案報告書_97年營業競賽提案報告書_97年營業競賽提案報告書_Book1" xfId="108" xr:uid="{00000000-0005-0000-0000-000053000000}"/>
    <cellStyle name="_excel報告書_97年營業競賽提案報告書_97年營業競賽提案報告書_97年營業競賽提案報告書_Book1_1-晉欣鮮食廠-2012年春節作業體制" xfId="109" xr:uid="{00000000-0005-0000-0000-000054000000}"/>
    <cellStyle name="_excel報告書_97年營業競賽提案報告書_97年營業競賽提案報告書_97年營業競賽提案報告書_春節作業手冊-981217" xfId="110" xr:uid="{00000000-0005-0000-0000-000055000000}"/>
    <cellStyle name="_excel報告書_97年營業競賽提案報告書_97年營業競賽提案報告書_97年營業競賽提案報告書_春節作業手冊-981217_1-晉欣鮮食廠-2012年春節作業體制" xfId="111" xr:uid="{00000000-0005-0000-0000-000056000000}"/>
    <cellStyle name="_excel報告書_97年營業競賽提案報告書_97年營業競賽提案報告書_Book1" xfId="112" xr:uid="{00000000-0005-0000-0000-000057000000}"/>
    <cellStyle name="_excel報告書_97年營業競賽提案報告書_97年營業競賽提案報告書_Book1_1-晉欣鮮食廠-2012年春節作業體制" xfId="113" xr:uid="{00000000-0005-0000-0000-000058000000}"/>
    <cellStyle name="_excel報告書_97年營業競賽提案報告書_97年營業競賽提案報告書_春節作業手冊-981217" xfId="114" xr:uid="{00000000-0005-0000-0000-000059000000}"/>
    <cellStyle name="_excel報告書_97年營業競賽提案報告書_97年營業競賽提案報告書_春節作業手冊-981217_1-晉欣鮮食廠-2012年春節作業體制" xfId="115" xr:uid="{00000000-0005-0000-0000-00005A000000}"/>
    <cellStyle name="_excel報告書_97年營業競賽提案報告書_Book1" xfId="116" xr:uid="{00000000-0005-0000-0000-00005B000000}"/>
    <cellStyle name="_excel報告書_97年營業競賽提案報告書_Book1_1-晉欣鮮食廠-2012年春節作業體制" xfId="117" xr:uid="{00000000-0005-0000-0000-00005C000000}"/>
    <cellStyle name="_excel報告書_97年營業競賽提案報告書_春節作業手冊-981217" xfId="118" xr:uid="{00000000-0005-0000-0000-00005D000000}"/>
    <cellStyle name="_excel報告書_97年營業競賽提案報告書_春節作業手冊-981217_1-晉欣鮮食廠-2012年春節作業體制" xfId="119" xr:uid="{00000000-0005-0000-0000-00005E000000}"/>
    <cellStyle name="_excel報告書_Book1" xfId="120" xr:uid="{00000000-0005-0000-0000-00005F000000}"/>
    <cellStyle name="_excel報告書_Book1_1-晉欣鮮食廠-2012年春節作業體制" xfId="121" xr:uid="{00000000-0005-0000-0000-000060000000}"/>
    <cellStyle name="_excel報告書_春節作業手冊-981217" xfId="122" xr:uid="{00000000-0005-0000-0000-000061000000}"/>
    <cellStyle name="_excel報告書_春節作業手冊-981217_1-晉欣鮮食廠-2012年春節作業體制" xfId="123" xr:uid="{00000000-0005-0000-0000-000062000000}"/>
    <cellStyle name="_日翊98年春節作業-To毓琦" xfId="124" xr:uid="{00000000-0005-0000-0000-000063000000}"/>
    <cellStyle name="_封閉型商圈日商" xfId="125" xr:uid="{00000000-0005-0000-0000-000064000000}"/>
    <cellStyle name="_封閉型商圈日商_1-晉欣鮮食廠-2012年春節作業體制" xfId="126" xr:uid="{00000000-0005-0000-0000-000065000000}"/>
    <cellStyle name="_封閉型商圈日商_97年春節保全回收報告書" xfId="127" xr:uid="{00000000-0005-0000-0000-000066000000}"/>
    <cellStyle name="_封閉型商圈日商_97年春節保全回收報告書_1-晉欣鮮食廠-2012年春節作業體制" xfId="128" xr:uid="{00000000-0005-0000-0000-000067000000}"/>
    <cellStyle name="_封閉型商圈日商_97年春節保全回收報告書_Book1" xfId="129" xr:uid="{00000000-0005-0000-0000-000068000000}"/>
    <cellStyle name="_封閉型商圈日商_97年春節保全回收報告書_Book1_1-晉欣鮮食廠-2012年春節作業體制" xfId="130" xr:uid="{00000000-0005-0000-0000-000069000000}"/>
    <cellStyle name="_封閉型商圈日商_97年春節保全回收報告書_春節作業手冊-981217" xfId="131" xr:uid="{00000000-0005-0000-0000-00006A000000}"/>
    <cellStyle name="_封閉型商圈日商_97年春節保全回收報告書_春節作業手冊-981217_1-晉欣鮮食廠-2012年春節作業體制" xfId="132" xr:uid="{00000000-0005-0000-0000-00006B000000}"/>
    <cellStyle name="_封閉型商圈日商_97年營業競賽提案報告書" xfId="133" xr:uid="{00000000-0005-0000-0000-00006C000000}"/>
    <cellStyle name="_封閉型商圈日商_97年營業競賽提案報告書_1-晉欣鮮食廠-2012年春節作業體制" xfId="134" xr:uid="{00000000-0005-0000-0000-00006D000000}"/>
    <cellStyle name="_封閉型商圈日商_97年營業競賽提案報告書_97年春節保全回收報告書" xfId="135" xr:uid="{00000000-0005-0000-0000-00006E000000}"/>
    <cellStyle name="_封閉型商圈日商_97年營業競賽提案報告書_97年春節保全回收報告書_1-晉欣鮮食廠-2012年春節作業體制" xfId="136" xr:uid="{00000000-0005-0000-0000-00006F000000}"/>
    <cellStyle name="_封閉型商圈日商_97年營業競賽提案報告書_97年春節保全回收報告書_Book1" xfId="137" xr:uid="{00000000-0005-0000-0000-000070000000}"/>
    <cellStyle name="_封閉型商圈日商_97年營業競賽提案報告書_97年春節保全回收報告書_Book1_1-晉欣鮮食廠-2012年春節作業體制" xfId="138" xr:uid="{00000000-0005-0000-0000-000071000000}"/>
    <cellStyle name="_封閉型商圈日商_97年營業競賽提案報告書_97年春節保全回收報告書_春節作業手冊-981217" xfId="139" xr:uid="{00000000-0005-0000-0000-000072000000}"/>
    <cellStyle name="_封閉型商圈日商_97年營業競賽提案報告書_97年春節保全回收報告書_春節作業手冊-981217_1-晉欣鮮食廠-2012年春節作業體制" xfId="140" xr:uid="{00000000-0005-0000-0000-000073000000}"/>
    <cellStyle name="_封閉型商圈日商_97年營業競賽提案報告書_97年營業競賽提案報告書" xfId="141" xr:uid="{00000000-0005-0000-0000-000074000000}"/>
    <cellStyle name="_封閉型商圈日商_97年營業競賽提案報告書_97年營業競賽提案報告書_1-晉欣鮮食廠-2012年春節作業體制" xfId="142" xr:uid="{00000000-0005-0000-0000-000075000000}"/>
    <cellStyle name="_封閉型商圈日商_97年營業競賽提案報告書_97年營業競賽提案報告書_97年春節保全回收報告書" xfId="143" xr:uid="{00000000-0005-0000-0000-000076000000}"/>
    <cellStyle name="_封閉型商圈日商_97年營業競賽提案報告書_97年營業競賽提案報告書_97年春節保全回收報告書_1-晉欣鮮食廠-2012年春節作業體制" xfId="144" xr:uid="{00000000-0005-0000-0000-000077000000}"/>
    <cellStyle name="_封閉型商圈日商_97年營業競賽提案報告書_97年營業競賽提案報告書_97年春節保全回收報告書_Book1" xfId="145" xr:uid="{00000000-0005-0000-0000-000078000000}"/>
    <cellStyle name="_封閉型商圈日商_97年營業競賽提案報告書_97年營業競賽提案報告書_97年春節保全回收報告書_Book1_1-晉欣鮮食廠-2012年春節作業體制" xfId="146" xr:uid="{00000000-0005-0000-0000-000079000000}"/>
    <cellStyle name="_封閉型商圈日商_97年營業競賽提案報告書_97年營業競賽提案報告書_97年春節保全回收報告書_春節作業手冊-981217" xfId="147" xr:uid="{00000000-0005-0000-0000-00007A000000}"/>
    <cellStyle name="_封閉型商圈日商_97年營業競賽提案報告書_97年營業競賽提案報告書_97年春節保全回收報告書_春節作業手冊-981217_1-晉欣鮮食廠-2012年春節作業體制" xfId="148" xr:uid="{00000000-0005-0000-0000-00007B000000}"/>
    <cellStyle name="_封閉型商圈日商_97年營業競賽提案報告書_97年營業競賽提案報告書_97年營業競賽提案報告書" xfId="149" xr:uid="{00000000-0005-0000-0000-00007C000000}"/>
    <cellStyle name="_封閉型商圈日商_97年營業競賽提案報告書_97年營業競賽提案報告書_97年營業競賽提案報告書_1-晉欣鮮食廠-2012年春節作業體制" xfId="150" xr:uid="{00000000-0005-0000-0000-00007D000000}"/>
    <cellStyle name="_封閉型商圈日商_97年營業競賽提案報告書_97年營業競賽提案報告書_97年營業競賽提案報告書_97年春節保全回收報告書" xfId="151" xr:uid="{00000000-0005-0000-0000-00007E000000}"/>
    <cellStyle name="_封閉型商圈日商_97年營業競賽提案報告書_97年營業競賽提案報告書_97年營業競賽提案報告書_97年春節保全回收報告書_1-晉欣鮮食廠-2012年春節作業體制" xfId="152" xr:uid="{00000000-0005-0000-0000-00007F000000}"/>
    <cellStyle name="_封閉型商圈日商_97年營業競賽提案報告書_97年營業競賽提案報告書_97年營業競賽提案報告書_97年春節保全回收報告書_Book1" xfId="153" xr:uid="{00000000-0005-0000-0000-000080000000}"/>
    <cellStyle name="_封閉型商圈日商_97年營業競賽提案報告書_97年營業競賽提案報告書_97年營業競賽提案報告書_97年春節保全回收報告書_Book1_1-晉欣鮮食廠-2012年春節作業體制" xfId="154" xr:uid="{00000000-0005-0000-0000-000081000000}"/>
    <cellStyle name="_封閉型商圈日商_97年營業競賽提案報告書_97年營業競賽提案報告書_97年營業競賽提案報告書_97年春節保全回收報告書_春節作業手冊-981217" xfId="155" xr:uid="{00000000-0005-0000-0000-000082000000}"/>
    <cellStyle name="_封閉型商圈日商_97年營業競賽提案報告書_97年營業競賽提案報告書_97年營業競賽提案報告書_97年春節保全回收報告書_春節作業手冊-981217_1-晉欣鮮食廠-2012年春節作業體制" xfId="156" xr:uid="{00000000-0005-0000-0000-000083000000}"/>
    <cellStyle name="_封閉型商圈日商_97年營業競賽提案報告書_97年營業競賽提案報告書_97年營業競賽提案報告書_Book1" xfId="157" xr:uid="{00000000-0005-0000-0000-000084000000}"/>
    <cellStyle name="_封閉型商圈日商_97年營業競賽提案報告書_97年營業競賽提案報告書_97年營業競賽提案報告書_Book1_1-晉欣鮮食廠-2012年春節作業體制" xfId="158" xr:uid="{00000000-0005-0000-0000-000085000000}"/>
    <cellStyle name="_封閉型商圈日商_97年營業競賽提案報告書_97年營業競賽提案報告書_97年營業競賽提案報告書_春節作業手冊-981217" xfId="159" xr:uid="{00000000-0005-0000-0000-000086000000}"/>
    <cellStyle name="_封閉型商圈日商_97年營業競賽提案報告書_97年營業競賽提案報告書_97年營業競賽提案報告書_春節作業手冊-981217_1-晉欣鮮食廠-2012年春節作業體制" xfId="160" xr:uid="{00000000-0005-0000-0000-000087000000}"/>
    <cellStyle name="_封閉型商圈日商_97年營業競賽提案報告書_97年營業競賽提案報告書_Book1" xfId="161" xr:uid="{00000000-0005-0000-0000-000088000000}"/>
    <cellStyle name="_封閉型商圈日商_97年營業競賽提案報告書_97年營業競賽提案報告書_Book1_1-晉欣鮮食廠-2012年春節作業體制" xfId="162" xr:uid="{00000000-0005-0000-0000-000089000000}"/>
    <cellStyle name="_封閉型商圈日商_97年營業競賽提案報告書_97年營業競賽提案報告書_春節作業手冊-981217" xfId="163" xr:uid="{00000000-0005-0000-0000-00008A000000}"/>
    <cellStyle name="_封閉型商圈日商_97年營業競賽提案報告書_97年營業競賽提案報告書_春節作業手冊-981217_1-晉欣鮮食廠-2012年春節作業體制" xfId="164" xr:uid="{00000000-0005-0000-0000-00008B000000}"/>
    <cellStyle name="_封閉型商圈日商_97年營業競賽提案報告書_Book1" xfId="165" xr:uid="{00000000-0005-0000-0000-00008C000000}"/>
    <cellStyle name="_封閉型商圈日商_97年營業競賽提案報告書_Book1_1-晉欣鮮食廠-2012年春節作業體制" xfId="166" xr:uid="{00000000-0005-0000-0000-00008D000000}"/>
    <cellStyle name="_封閉型商圈日商_97年營業競賽提案報告書_春節作業手冊-981217" xfId="167" xr:uid="{00000000-0005-0000-0000-00008E000000}"/>
    <cellStyle name="_封閉型商圈日商_97年營業競賽提案報告書_春節作業手冊-981217_1-晉欣鮮食廠-2012年春節作業體制" xfId="168" xr:uid="{00000000-0005-0000-0000-00008F000000}"/>
    <cellStyle name="_封閉型商圈日商_Book1" xfId="169" xr:uid="{00000000-0005-0000-0000-000090000000}"/>
    <cellStyle name="_封閉型商圈日商_Book1_1-晉欣鮮食廠-2012年春節作業體制" xfId="170" xr:uid="{00000000-0005-0000-0000-000091000000}"/>
    <cellStyle name="_封閉型商圈日商_春節作業手冊-981217" xfId="171" xr:uid="{00000000-0005-0000-0000-000092000000}"/>
    <cellStyle name="_封閉型商圈日商_春節作業手冊-981217_1-晉欣鮮食廠-2012年春節作業體制" xfId="172" xr:uid="{00000000-0005-0000-0000-000093000000}"/>
    <cellStyle name="_封閉型商圈日商-1" xfId="173" xr:uid="{00000000-0005-0000-0000-000094000000}"/>
    <cellStyle name="_封閉型商圈日商-1_1-晉欣鮮食廠-2012年春節作業體制" xfId="174" xr:uid="{00000000-0005-0000-0000-000095000000}"/>
    <cellStyle name="_封閉型商圈日商-1_97年春節保全回收報告書" xfId="175" xr:uid="{00000000-0005-0000-0000-000096000000}"/>
    <cellStyle name="_封閉型商圈日商-1_97年春節保全回收報告書_1-晉欣鮮食廠-2012年春節作業體制" xfId="176" xr:uid="{00000000-0005-0000-0000-000097000000}"/>
    <cellStyle name="_封閉型商圈日商-1_97年春節保全回收報告書_Book1" xfId="177" xr:uid="{00000000-0005-0000-0000-000098000000}"/>
    <cellStyle name="_封閉型商圈日商-1_97年春節保全回收報告書_Book1_1-晉欣鮮食廠-2012年春節作業體制" xfId="178" xr:uid="{00000000-0005-0000-0000-000099000000}"/>
    <cellStyle name="_封閉型商圈日商-1_97年春節保全回收報告書_春節作業手冊-981217" xfId="179" xr:uid="{00000000-0005-0000-0000-00009A000000}"/>
    <cellStyle name="_封閉型商圈日商-1_97年春節保全回收報告書_春節作業手冊-981217_1-晉欣鮮食廠-2012年春節作業體制" xfId="180" xr:uid="{00000000-0005-0000-0000-00009B000000}"/>
    <cellStyle name="_封閉型商圈日商-1_97年營業競賽提案報告書" xfId="181" xr:uid="{00000000-0005-0000-0000-00009C000000}"/>
    <cellStyle name="_封閉型商圈日商-1_97年營業競賽提案報告書_1-晉欣鮮食廠-2012年春節作業體制" xfId="182" xr:uid="{00000000-0005-0000-0000-00009D000000}"/>
    <cellStyle name="_封閉型商圈日商-1_97年營業競賽提案報告書_97年春節保全回收報告書" xfId="183" xr:uid="{00000000-0005-0000-0000-00009E000000}"/>
    <cellStyle name="_封閉型商圈日商-1_97年營業競賽提案報告書_97年春節保全回收報告書_1-晉欣鮮食廠-2012年春節作業體制" xfId="184" xr:uid="{00000000-0005-0000-0000-00009F000000}"/>
    <cellStyle name="_封閉型商圈日商-1_97年營業競賽提案報告書_97年春節保全回收報告書_Book1" xfId="185" xr:uid="{00000000-0005-0000-0000-0000A0000000}"/>
    <cellStyle name="_封閉型商圈日商-1_97年營業競賽提案報告書_97年春節保全回收報告書_Book1_1-晉欣鮮食廠-2012年春節作業體制" xfId="186" xr:uid="{00000000-0005-0000-0000-0000A1000000}"/>
    <cellStyle name="_封閉型商圈日商-1_97年營業競賽提案報告書_97年春節保全回收報告書_春節作業手冊-981217" xfId="187" xr:uid="{00000000-0005-0000-0000-0000A2000000}"/>
    <cellStyle name="_封閉型商圈日商-1_97年營業競賽提案報告書_97年春節保全回收報告書_春節作業手冊-981217_1-晉欣鮮食廠-2012年春節作業體制" xfId="188" xr:uid="{00000000-0005-0000-0000-0000A3000000}"/>
    <cellStyle name="_封閉型商圈日商-1_97年營業競賽提案報告書_97年營業競賽提案報告書" xfId="189" xr:uid="{00000000-0005-0000-0000-0000A4000000}"/>
    <cellStyle name="_封閉型商圈日商-1_97年營業競賽提案報告書_97年營業競賽提案報告書_1-晉欣鮮食廠-2012年春節作業體制" xfId="190" xr:uid="{00000000-0005-0000-0000-0000A5000000}"/>
    <cellStyle name="_封閉型商圈日商-1_97年營業競賽提案報告書_97年營業競賽提案報告書_97年春節保全回收報告書" xfId="191" xr:uid="{00000000-0005-0000-0000-0000A6000000}"/>
    <cellStyle name="_封閉型商圈日商-1_97年營業競賽提案報告書_97年營業競賽提案報告書_97年春節保全回收報告書_1-晉欣鮮食廠-2012年春節作業體制" xfId="192" xr:uid="{00000000-0005-0000-0000-0000A7000000}"/>
    <cellStyle name="_封閉型商圈日商-1_97年營業競賽提案報告書_97年營業競賽提案報告書_97年春節保全回收報告書_Book1" xfId="193" xr:uid="{00000000-0005-0000-0000-0000A8000000}"/>
    <cellStyle name="_封閉型商圈日商-1_97年營業競賽提案報告書_97年營業競賽提案報告書_97年春節保全回收報告書_Book1_1-晉欣鮮食廠-2012年春節作業體制" xfId="194" xr:uid="{00000000-0005-0000-0000-0000A9000000}"/>
    <cellStyle name="_封閉型商圈日商-1_97年營業競賽提案報告書_97年營業競賽提案報告書_97年春節保全回收報告書_春節作業手冊-981217" xfId="195" xr:uid="{00000000-0005-0000-0000-0000AA000000}"/>
    <cellStyle name="_封閉型商圈日商-1_97年營業競賽提案報告書_97年營業競賽提案報告書_97年春節保全回收報告書_春節作業手冊-981217_1-晉欣鮮食廠-2012年春節作業體制" xfId="196" xr:uid="{00000000-0005-0000-0000-0000AB000000}"/>
    <cellStyle name="_封閉型商圈日商-1_97年營業競賽提案報告書_97年營業競賽提案報告書_97年營業競賽提案報告書" xfId="197" xr:uid="{00000000-0005-0000-0000-0000AC000000}"/>
    <cellStyle name="_封閉型商圈日商-1_97年營業競賽提案報告書_97年營業競賽提案報告書_97年營業競賽提案報告書_1-晉欣鮮食廠-2012年春節作業體制" xfId="198" xr:uid="{00000000-0005-0000-0000-0000AD000000}"/>
    <cellStyle name="_封閉型商圈日商-1_97年營業競賽提案報告書_97年營業競賽提案報告書_97年營業競賽提案報告書_97年春節保全回收報告書" xfId="199" xr:uid="{00000000-0005-0000-0000-0000AE000000}"/>
    <cellStyle name="_封閉型商圈日商-1_97年營業競賽提案報告書_97年營業競賽提案報告書_97年營業競賽提案報告書_97年春節保全回收報告書_1-晉欣鮮食廠-2012年春節作業體制" xfId="200" xr:uid="{00000000-0005-0000-0000-0000AF000000}"/>
    <cellStyle name="_封閉型商圈日商-1_97年營業競賽提案報告書_97年營業競賽提案報告書_97年營業競賽提案報告書_97年春節保全回收報告書_Book1" xfId="201" xr:uid="{00000000-0005-0000-0000-0000B0000000}"/>
    <cellStyle name="_封閉型商圈日商-1_97年營業競賽提案報告書_97年營業競賽提案報告書_97年營業競賽提案報告書_97年春節保全回收報告書_Book1_1-晉欣鮮食廠-2012年春節作業體制" xfId="202" xr:uid="{00000000-0005-0000-0000-0000B1000000}"/>
    <cellStyle name="_封閉型商圈日商-1_97年營業競賽提案報告書_97年營業競賽提案報告書_97年營業競賽提案報告書_97年春節保全回收報告書_春節作業手冊-981217" xfId="203" xr:uid="{00000000-0005-0000-0000-0000B2000000}"/>
    <cellStyle name="_封閉型商圈日商-1_97年營業競賽提案報告書_97年營業競賽提案報告書_97年營業競賽提案報告書_97年春節保全回收報告書_春節作業手冊-981217_1-晉欣鮮食廠-2012年春節作業體制" xfId="204" xr:uid="{00000000-0005-0000-0000-0000B3000000}"/>
    <cellStyle name="_封閉型商圈日商-1_97年營業競賽提案報告書_97年營業競賽提案報告書_97年營業競賽提案報告書_Book1" xfId="205" xr:uid="{00000000-0005-0000-0000-0000B4000000}"/>
    <cellStyle name="_封閉型商圈日商-1_97年營業競賽提案報告書_97年營業競賽提案報告書_97年營業競賽提案報告書_Book1_1-晉欣鮮食廠-2012年春節作業體制" xfId="206" xr:uid="{00000000-0005-0000-0000-0000B5000000}"/>
    <cellStyle name="_封閉型商圈日商-1_97年營業競賽提案報告書_97年營業競賽提案報告書_97年營業競賽提案報告書_春節作業手冊-981217" xfId="207" xr:uid="{00000000-0005-0000-0000-0000B6000000}"/>
    <cellStyle name="_封閉型商圈日商-1_97年營業競賽提案報告書_97年營業競賽提案報告書_97年營業競賽提案報告書_春節作業手冊-981217_1-晉欣鮮食廠-2012年春節作業體制" xfId="208" xr:uid="{00000000-0005-0000-0000-0000B7000000}"/>
    <cellStyle name="_封閉型商圈日商-1_97年營業競賽提案報告書_97年營業競賽提案報告書_Book1" xfId="209" xr:uid="{00000000-0005-0000-0000-0000B8000000}"/>
    <cellStyle name="_封閉型商圈日商-1_97年營業競賽提案報告書_97年營業競賽提案報告書_Book1_1-晉欣鮮食廠-2012年春節作業體制" xfId="210" xr:uid="{00000000-0005-0000-0000-0000B9000000}"/>
    <cellStyle name="_封閉型商圈日商-1_97年營業競賽提案報告書_97年營業競賽提案報告書_春節作業手冊-981217" xfId="211" xr:uid="{00000000-0005-0000-0000-0000BA000000}"/>
    <cellStyle name="_封閉型商圈日商-1_97年營業競賽提案報告書_97年營業競賽提案報告書_春節作業手冊-981217_1-晉欣鮮食廠-2012年春節作業體制" xfId="212" xr:uid="{00000000-0005-0000-0000-0000BB000000}"/>
    <cellStyle name="_封閉型商圈日商-1_97年營業競賽提案報告書_Book1" xfId="213" xr:uid="{00000000-0005-0000-0000-0000BC000000}"/>
    <cellStyle name="_封閉型商圈日商-1_97年營業競賽提案報告書_Book1_1-晉欣鮮食廠-2012年春節作業體制" xfId="214" xr:uid="{00000000-0005-0000-0000-0000BD000000}"/>
    <cellStyle name="_封閉型商圈日商-1_97年營業競賽提案報告書_春節作業手冊-981217" xfId="215" xr:uid="{00000000-0005-0000-0000-0000BE000000}"/>
    <cellStyle name="_封閉型商圈日商-1_97年營業競賽提案報告書_春節作業手冊-981217_1-晉欣鮮食廠-2012年春節作業體制" xfId="216" xr:uid="{00000000-0005-0000-0000-0000BF000000}"/>
    <cellStyle name="_封閉型商圈日商-1_Book1" xfId="217" xr:uid="{00000000-0005-0000-0000-0000C0000000}"/>
    <cellStyle name="_封閉型商圈日商-1_Book1_1-晉欣鮮食廠-2012年春節作業體制" xfId="218" xr:uid="{00000000-0005-0000-0000-0000C1000000}"/>
    <cellStyle name="_封閉型商圈日商-1_春節作業手冊-981217" xfId="219" xr:uid="{00000000-0005-0000-0000-0000C2000000}"/>
    <cellStyle name="_封閉型商圈日商-1_春節作業手冊-981217_1-晉欣鮮食廠-2012年春節作業體制" xfId="220" xr:uid="{00000000-0005-0000-0000-0000C3000000}"/>
    <cellStyle name="_封閉型商圈店舖明細" xfId="221" xr:uid="{00000000-0005-0000-0000-0000C4000000}"/>
    <cellStyle name="_封閉型商圈店舖明細_1-晉欣鮮食廠-2012年春節作業體制" xfId="222" xr:uid="{00000000-0005-0000-0000-0000C5000000}"/>
    <cellStyle name="_封閉型商圈店舖明細_97年春節保全回收報告書" xfId="223" xr:uid="{00000000-0005-0000-0000-0000C6000000}"/>
    <cellStyle name="_封閉型商圈店舖明細_97年春節保全回收報告書_1-晉欣鮮食廠-2012年春節作業體制" xfId="224" xr:uid="{00000000-0005-0000-0000-0000C7000000}"/>
    <cellStyle name="_封閉型商圈店舖明細_97年春節保全回收報告書_Book1" xfId="225" xr:uid="{00000000-0005-0000-0000-0000C8000000}"/>
    <cellStyle name="_封閉型商圈店舖明細_97年春節保全回收報告書_Book1_1-晉欣鮮食廠-2012年春節作業體制" xfId="226" xr:uid="{00000000-0005-0000-0000-0000C9000000}"/>
    <cellStyle name="_封閉型商圈店舖明細_97年春節保全回收報告書_春節作業手冊-981217" xfId="227" xr:uid="{00000000-0005-0000-0000-0000CA000000}"/>
    <cellStyle name="_封閉型商圈店舖明細_97年春節保全回收報告書_春節作業手冊-981217_1-晉欣鮮食廠-2012年春節作業體制" xfId="228" xr:uid="{00000000-0005-0000-0000-0000CB000000}"/>
    <cellStyle name="_封閉型商圈店舖明細_97年營業競賽提案報告書" xfId="229" xr:uid="{00000000-0005-0000-0000-0000CC000000}"/>
    <cellStyle name="_封閉型商圈店舖明細_97年營業競賽提案報告書_1-晉欣鮮食廠-2012年春節作業體制" xfId="230" xr:uid="{00000000-0005-0000-0000-0000CD000000}"/>
    <cellStyle name="_封閉型商圈店舖明細_97年營業競賽提案報告書_97年春節保全回收報告書" xfId="231" xr:uid="{00000000-0005-0000-0000-0000CE000000}"/>
    <cellStyle name="_封閉型商圈店舖明細_97年營業競賽提案報告書_97年春節保全回收報告書_1-晉欣鮮食廠-2012年春節作業體制" xfId="232" xr:uid="{00000000-0005-0000-0000-0000CF000000}"/>
    <cellStyle name="_封閉型商圈店舖明細_97年營業競賽提案報告書_97年春節保全回收報告書_Book1" xfId="233" xr:uid="{00000000-0005-0000-0000-0000D0000000}"/>
    <cellStyle name="_封閉型商圈店舖明細_97年營業競賽提案報告書_97年春節保全回收報告書_Book1_1-晉欣鮮食廠-2012年春節作業體制" xfId="234" xr:uid="{00000000-0005-0000-0000-0000D1000000}"/>
    <cellStyle name="_封閉型商圈店舖明細_97年營業競賽提案報告書_97年春節保全回收報告書_春節作業手冊-981217" xfId="235" xr:uid="{00000000-0005-0000-0000-0000D2000000}"/>
    <cellStyle name="_封閉型商圈店舖明細_97年營業競賽提案報告書_97年春節保全回收報告書_春節作業手冊-981217_1-晉欣鮮食廠-2012年春節作業體制" xfId="236" xr:uid="{00000000-0005-0000-0000-0000D3000000}"/>
    <cellStyle name="_封閉型商圈店舖明細_97年營業競賽提案報告書_97年營業競賽提案報告書" xfId="237" xr:uid="{00000000-0005-0000-0000-0000D4000000}"/>
    <cellStyle name="_封閉型商圈店舖明細_97年營業競賽提案報告書_97年營業競賽提案報告書_1-晉欣鮮食廠-2012年春節作業體制" xfId="238" xr:uid="{00000000-0005-0000-0000-0000D5000000}"/>
    <cellStyle name="_封閉型商圈店舖明細_97年營業競賽提案報告書_97年營業競賽提案報告書_97年春節保全回收報告書" xfId="239" xr:uid="{00000000-0005-0000-0000-0000D6000000}"/>
    <cellStyle name="_封閉型商圈店舖明細_97年營業競賽提案報告書_97年營業競賽提案報告書_97年春節保全回收報告書_1-晉欣鮮食廠-2012年春節作業體制" xfId="240" xr:uid="{00000000-0005-0000-0000-0000D7000000}"/>
    <cellStyle name="_封閉型商圈店舖明細_97年營業競賽提案報告書_97年營業競賽提案報告書_97年春節保全回收報告書_Book1" xfId="241" xr:uid="{00000000-0005-0000-0000-0000D8000000}"/>
    <cellStyle name="_封閉型商圈店舖明細_97年營業競賽提案報告書_97年營業競賽提案報告書_97年春節保全回收報告書_Book1_1-晉欣鮮食廠-2012年春節作業體制" xfId="242" xr:uid="{00000000-0005-0000-0000-0000D9000000}"/>
    <cellStyle name="_封閉型商圈店舖明細_97年營業競賽提案報告書_97年營業競賽提案報告書_97年春節保全回收報告書_春節作業手冊-981217" xfId="243" xr:uid="{00000000-0005-0000-0000-0000DA000000}"/>
    <cellStyle name="_封閉型商圈店舖明細_97年營業競賽提案報告書_97年營業競賽提案報告書_97年春節保全回收報告書_春節作業手冊-981217_1-晉欣鮮食廠-2012年春節作業體制" xfId="244" xr:uid="{00000000-0005-0000-0000-0000DB000000}"/>
    <cellStyle name="_封閉型商圈店舖明細_97年營業競賽提案報告書_97年營業競賽提案報告書_97年營業競賽提案報告書" xfId="245" xr:uid="{00000000-0005-0000-0000-0000DC000000}"/>
    <cellStyle name="_封閉型商圈店舖明細_97年營業競賽提案報告書_97年營業競賽提案報告書_97年營業競賽提案報告書_1-晉欣鮮食廠-2012年春節作業體制" xfId="246" xr:uid="{00000000-0005-0000-0000-0000DD000000}"/>
    <cellStyle name="_封閉型商圈店舖明細_97年營業競賽提案報告書_97年營業競賽提案報告書_97年營業競賽提案報告書_97年春節保全回收報告書" xfId="247" xr:uid="{00000000-0005-0000-0000-0000DE000000}"/>
    <cellStyle name="_封閉型商圈店舖明細_97年營業競賽提案報告書_97年營業競賽提案報告書_97年營業競賽提案報告書_97年春節保全回收報告書_1-晉欣鮮食廠-2012年春節作業體制" xfId="248" xr:uid="{00000000-0005-0000-0000-0000DF000000}"/>
    <cellStyle name="_封閉型商圈店舖明細_97年營業競賽提案報告書_97年營業競賽提案報告書_97年營業競賽提案報告書_97年春節保全回收報告書_Book1" xfId="249" xr:uid="{00000000-0005-0000-0000-0000E0000000}"/>
    <cellStyle name="_封閉型商圈店舖明細_97年營業競賽提案報告書_97年營業競賽提案報告書_97年營業競賽提案報告書_97年春節保全回收報告書_Book1_1-晉欣鮮食廠-2012年春節作業體制" xfId="250" xr:uid="{00000000-0005-0000-0000-0000E1000000}"/>
    <cellStyle name="_封閉型商圈店舖明細_97年營業競賽提案報告書_97年營業競賽提案報告書_97年營業競賽提案報告書_97年春節保全回收報告書_春節作業手冊-981217" xfId="251" xr:uid="{00000000-0005-0000-0000-0000E2000000}"/>
    <cellStyle name="_封閉型商圈店舖明細_97年營業競賽提案報告書_97年營業競賽提案報告書_97年營業競賽提案報告書_97年春節保全回收報告書_春節作業手冊-981217_1-晉欣鮮食廠-2012年春節作業體制" xfId="252" xr:uid="{00000000-0005-0000-0000-0000E3000000}"/>
    <cellStyle name="_封閉型商圈店舖明細_97年營業競賽提案報告書_97年營業競賽提案報告書_97年營業競賽提案報告書_Book1" xfId="253" xr:uid="{00000000-0005-0000-0000-0000E4000000}"/>
    <cellStyle name="_封閉型商圈店舖明細_97年營業競賽提案報告書_97年營業競賽提案報告書_97年營業競賽提案報告書_Book1_1-晉欣鮮食廠-2012年春節作業體制" xfId="254" xr:uid="{00000000-0005-0000-0000-0000E5000000}"/>
    <cellStyle name="_封閉型商圈店舖明細_97年營業競賽提案報告書_97年營業競賽提案報告書_97年營業競賽提案報告書_春節作業手冊-981217" xfId="255" xr:uid="{00000000-0005-0000-0000-0000E6000000}"/>
    <cellStyle name="_封閉型商圈店舖明細_97年營業競賽提案報告書_97年營業競賽提案報告書_97年營業競賽提案報告書_春節作業手冊-981217_1-晉欣鮮食廠-2012年春節作業體制" xfId="256" xr:uid="{00000000-0005-0000-0000-0000E7000000}"/>
    <cellStyle name="_封閉型商圈店舖明細_97年營業競賽提案報告書_97年營業競賽提案報告書_Book1" xfId="257" xr:uid="{00000000-0005-0000-0000-0000E8000000}"/>
    <cellStyle name="_封閉型商圈店舖明細_97年營業競賽提案報告書_97年營業競賽提案報告書_Book1_1-晉欣鮮食廠-2012年春節作業體制" xfId="258" xr:uid="{00000000-0005-0000-0000-0000E9000000}"/>
    <cellStyle name="_封閉型商圈店舖明細_97年營業競賽提案報告書_97年營業競賽提案報告書_春節作業手冊-981217" xfId="259" xr:uid="{00000000-0005-0000-0000-0000EA000000}"/>
    <cellStyle name="_封閉型商圈店舖明細_97年營業競賽提案報告書_97年營業競賽提案報告書_春節作業手冊-981217_1-晉欣鮮食廠-2012年春節作業體制" xfId="260" xr:uid="{00000000-0005-0000-0000-0000EB000000}"/>
    <cellStyle name="_封閉型商圈店舖明細_97年營業競賽提案報告書_Book1" xfId="261" xr:uid="{00000000-0005-0000-0000-0000EC000000}"/>
    <cellStyle name="_封閉型商圈店舖明細_97年營業競賽提案報告書_Book1_1-晉欣鮮食廠-2012年春節作業體制" xfId="262" xr:uid="{00000000-0005-0000-0000-0000ED000000}"/>
    <cellStyle name="_封閉型商圈店舖明細_97年營業競賽提案報告書_春節作業手冊-981217" xfId="263" xr:uid="{00000000-0005-0000-0000-0000EE000000}"/>
    <cellStyle name="_封閉型商圈店舖明細_97年營業競賽提案報告書_春節作業手冊-981217_1-晉欣鮮食廠-2012年春節作業體制" xfId="264" xr:uid="{00000000-0005-0000-0000-0000EF000000}"/>
    <cellStyle name="_封閉型商圈店舖明細_Book1" xfId="265" xr:uid="{00000000-0005-0000-0000-0000F0000000}"/>
    <cellStyle name="_封閉型商圈店舖明細_Book1_1-晉欣鮮食廠-2012年春節作業體制" xfId="266" xr:uid="{00000000-0005-0000-0000-0000F1000000}"/>
    <cellStyle name="_封閉型商圈店舖明細_春節作業手冊-981217" xfId="267" xr:uid="{00000000-0005-0000-0000-0000F2000000}"/>
    <cellStyle name="_封閉型商圈店舖明細_春節作業手冊-981217_1-晉欣鮮食廠-2012年春節作業體制" xfId="268" xr:uid="{00000000-0005-0000-0000-0000F3000000}"/>
    <cellStyle name="_封閉型商圈建議台整品項" xfId="269" xr:uid="{00000000-0005-0000-0000-0000F4000000}"/>
    <cellStyle name="_封閉型商圈建議台整品項_1-晉欣鮮食廠-2012年春節作業體制" xfId="270" xr:uid="{00000000-0005-0000-0000-0000F5000000}"/>
    <cellStyle name="_封閉型商圈建議台整品項_97年春節保全回收報告書" xfId="271" xr:uid="{00000000-0005-0000-0000-0000F6000000}"/>
    <cellStyle name="_封閉型商圈建議台整品項_97年春節保全回收報告書_1-晉欣鮮食廠-2012年春節作業體制" xfId="272" xr:uid="{00000000-0005-0000-0000-0000F7000000}"/>
    <cellStyle name="_封閉型商圈建議台整品項_97年春節保全回收報告書_Book1" xfId="273" xr:uid="{00000000-0005-0000-0000-0000F8000000}"/>
    <cellStyle name="_封閉型商圈建議台整品項_97年春節保全回收報告書_Book1_1-晉欣鮮食廠-2012年春節作業體制" xfId="274" xr:uid="{00000000-0005-0000-0000-0000F9000000}"/>
    <cellStyle name="_封閉型商圈建議台整品項_97年春節保全回收報告書_春節作業手冊-981217" xfId="275" xr:uid="{00000000-0005-0000-0000-0000FA000000}"/>
    <cellStyle name="_封閉型商圈建議台整品項_97年春節保全回收報告書_春節作業手冊-981217_1-晉欣鮮食廠-2012年春節作業體制" xfId="276" xr:uid="{00000000-0005-0000-0000-0000FB000000}"/>
    <cellStyle name="_封閉型商圈建議台整品項_97年營業競賽提案報告書" xfId="277" xr:uid="{00000000-0005-0000-0000-0000FC000000}"/>
    <cellStyle name="_封閉型商圈建議台整品項_97年營業競賽提案報告書_1-晉欣鮮食廠-2012年春節作業體制" xfId="278" xr:uid="{00000000-0005-0000-0000-0000FD000000}"/>
    <cellStyle name="_封閉型商圈建議台整品項_97年營業競賽提案報告書_97年春節保全回收報告書" xfId="279" xr:uid="{00000000-0005-0000-0000-0000FE000000}"/>
    <cellStyle name="_封閉型商圈建議台整品項_97年營業競賽提案報告書_97年春節保全回收報告書_1-晉欣鮮食廠-2012年春節作業體制" xfId="280" xr:uid="{00000000-0005-0000-0000-0000FF000000}"/>
    <cellStyle name="_封閉型商圈建議台整品項_97年營業競賽提案報告書_97年春節保全回收報告書_Book1" xfId="281" xr:uid="{00000000-0005-0000-0000-000000010000}"/>
    <cellStyle name="_封閉型商圈建議台整品項_97年營業競賽提案報告書_97年春節保全回收報告書_Book1_1-晉欣鮮食廠-2012年春節作業體制" xfId="282" xr:uid="{00000000-0005-0000-0000-000001010000}"/>
    <cellStyle name="_封閉型商圈建議台整品項_97年營業競賽提案報告書_97年春節保全回收報告書_春節作業手冊-981217" xfId="283" xr:uid="{00000000-0005-0000-0000-000002010000}"/>
    <cellStyle name="_封閉型商圈建議台整品項_97年營業競賽提案報告書_97年春節保全回收報告書_春節作業手冊-981217_1-晉欣鮮食廠-2012年春節作業體制" xfId="284" xr:uid="{00000000-0005-0000-0000-000003010000}"/>
    <cellStyle name="_封閉型商圈建議台整品項_97年營業競賽提案報告書_97年營業競賽提案報告書" xfId="285" xr:uid="{00000000-0005-0000-0000-000004010000}"/>
    <cellStyle name="_封閉型商圈建議台整品項_97年營業競賽提案報告書_97年營業競賽提案報告書_1-晉欣鮮食廠-2012年春節作業體制" xfId="286" xr:uid="{00000000-0005-0000-0000-000005010000}"/>
    <cellStyle name="_封閉型商圈建議台整品項_97年營業競賽提案報告書_97年營業競賽提案報告書_97年春節保全回收報告書" xfId="287" xr:uid="{00000000-0005-0000-0000-000006010000}"/>
    <cellStyle name="_封閉型商圈建議台整品項_97年營業競賽提案報告書_97年營業競賽提案報告書_97年春節保全回收報告書_1-晉欣鮮食廠-2012年春節作業體制" xfId="288" xr:uid="{00000000-0005-0000-0000-000007010000}"/>
    <cellStyle name="_封閉型商圈建議台整品項_97年營業競賽提案報告書_97年營業競賽提案報告書_97年春節保全回收報告書_Book1" xfId="289" xr:uid="{00000000-0005-0000-0000-000008010000}"/>
    <cellStyle name="_封閉型商圈建議台整品項_97年營業競賽提案報告書_97年營業競賽提案報告書_97年春節保全回收報告書_Book1_1-晉欣鮮食廠-2012年春節作業體制" xfId="290" xr:uid="{00000000-0005-0000-0000-000009010000}"/>
    <cellStyle name="_封閉型商圈建議台整品項_97年營業競賽提案報告書_97年營業競賽提案報告書_97年春節保全回收報告書_春節作業手冊-981217" xfId="291" xr:uid="{00000000-0005-0000-0000-00000A010000}"/>
    <cellStyle name="_封閉型商圈建議台整品項_97年營業競賽提案報告書_97年營業競賽提案報告書_97年春節保全回收報告書_春節作業手冊-981217_1-晉欣鮮食廠-2012年春節作業體制" xfId="292" xr:uid="{00000000-0005-0000-0000-00000B010000}"/>
    <cellStyle name="_封閉型商圈建議台整品項_97年營業競賽提案報告書_97年營業競賽提案報告書_97年營業競賽提案報告書" xfId="293" xr:uid="{00000000-0005-0000-0000-00000C010000}"/>
    <cellStyle name="_封閉型商圈建議台整品項_97年營業競賽提案報告書_97年營業競賽提案報告書_97年營業競賽提案報告書_1-晉欣鮮食廠-2012年春節作業體制" xfId="294" xr:uid="{00000000-0005-0000-0000-00000D010000}"/>
    <cellStyle name="_封閉型商圈建議台整品項_97年營業競賽提案報告書_97年營業競賽提案報告書_97年營業競賽提案報告書_97年春節保全回收報告書" xfId="295" xr:uid="{00000000-0005-0000-0000-00000E010000}"/>
    <cellStyle name="_封閉型商圈建議台整品項_97年營業競賽提案報告書_97年營業競賽提案報告書_97年營業競賽提案報告書_97年春節保全回收報告書_1-晉欣鮮食廠-2012年春節作業體制" xfId="296" xr:uid="{00000000-0005-0000-0000-00000F010000}"/>
    <cellStyle name="_封閉型商圈建議台整品項_97年營業競賽提案報告書_97年營業競賽提案報告書_97年營業競賽提案報告書_97年春節保全回收報告書_Book1" xfId="297" xr:uid="{00000000-0005-0000-0000-000010010000}"/>
    <cellStyle name="_封閉型商圈建議台整品項_97年營業競賽提案報告書_97年營業競賽提案報告書_97年營業競賽提案報告書_97年春節保全回收報告書_Book1_1-晉欣鮮食廠-2012年春節作業體制" xfId="298" xr:uid="{00000000-0005-0000-0000-000011010000}"/>
    <cellStyle name="_封閉型商圈建議台整品項_97年營業競賽提案報告書_97年營業競賽提案報告書_97年營業競賽提案報告書_97年春節保全回收報告書_春節作業手冊-981217" xfId="299" xr:uid="{00000000-0005-0000-0000-000012010000}"/>
    <cellStyle name="_封閉型商圈建議台整品項_97年營業競賽提案報告書_97年營業競賽提案報告書_97年營業競賽提案報告書_97年春節保全回收報告書_春節作業手冊-981217_1-晉欣鮮食廠-2012年春節作業體制" xfId="300" xr:uid="{00000000-0005-0000-0000-000013010000}"/>
    <cellStyle name="_封閉型商圈建議台整品項_97年營業競賽提案報告書_97年營業競賽提案報告書_97年營業競賽提案報告書_Book1" xfId="301" xr:uid="{00000000-0005-0000-0000-000014010000}"/>
    <cellStyle name="_封閉型商圈建議台整品項_97年營業競賽提案報告書_97年營業競賽提案報告書_97年營業競賽提案報告書_Book1_1-晉欣鮮食廠-2012年春節作業體制" xfId="302" xr:uid="{00000000-0005-0000-0000-000015010000}"/>
    <cellStyle name="_封閉型商圈建議台整品項_97年營業競賽提案報告書_97年營業競賽提案報告書_97年營業競賽提案報告書_春節作業手冊-981217" xfId="303" xr:uid="{00000000-0005-0000-0000-000016010000}"/>
    <cellStyle name="_封閉型商圈建議台整品項_97年營業競賽提案報告書_97年營業競賽提案報告書_97年營業競賽提案報告書_春節作業手冊-981217_1-晉欣鮮食廠-2012年春節作業體制" xfId="304" xr:uid="{00000000-0005-0000-0000-000017010000}"/>
    <cellStyle name="_封閉型商圈建議台整品項_97年營業競賽提案報告書_97年營業競賽提案報告書_Book1" xfId="305" xr:uid="{00000000-0005-0000-0000-000018010000}"/>
    <cellStyle name="_封閉型商圈建議台整品項_97年營業競賽提案報告書_97年營業競賽提案報告書_Book1_1-晉欣鮮食廠-2012年春節作業體制" xfId="306" xr:uid="{00000000-0005-0000-0000-000019010000}"/>
    <cellStyle name="_封閉型商圈建議台整品項_97年營業競賽提案報告書_97年營業競賽提案報告書_春節作業手冊-981217" xfId="307" xr:uid="{00000000-0005-0000-0000-00001A010000}"/>
    <cellStyle name="_封閉型商圈建議台整品項_97年營業競賽提案報告書_97年營業競賽提案報告書_春節作業手冊-981217_1-晉欣鮮食廠-2012年春節作業體制" xfId="308" xr:uid="{00000000-0005-0000-0000-00001B010000}"/>
    <cellStyle name="_封閉型商圈建議台整品項_97年營業競賽提案報告書_Book1" xfId="309" xr:uid="{00000000-0005-0000-0000-00001C010000}"/>
    <cellStyle name="_封閉型商圈建議台整品項_97年營業競賽提案報告書_Book1_1-晉欣鮮食廠-2012年春節作業體制" xfId="310" xr:uid="{00000000-0005-0000-0000-00001D010000}"/>
    <cellStyle name="_封閉型商圈建議台整品項_97年營業競賽提案報告書_春節作業手冊-981217" xfId="311" xr:uid="{00000000-0005-0000-0000-00001E010000}"/>
    <cellStyle name="_封閉型商圈建議台整品項_97年營業競賽提案報告書_春節作業手冊-981217_1-晉欣鮮食廠-2012年春節作業體制" xfId="312" xr:uid="{00000000-0005-0000-0000-00001F010000}"/>
    <cellStyle name="_封閉型商圈建議台整品項_Book1" xfId="313" xr:uid="{00000000-0005-0000-0000-000020010000}"/>
    <cellStyle name="_封閉型商圈建議台整品項_Book1_1-晉欣鮮食廠-2012年春節作業體制" xfId="314" xr:uid="{00000000-0005-0000-0000-000021010000}"/>
    <cellStyle name="_封閉型商圈建議台整品項_春節作業手冊-981217" xfId="315" xr:uid="{00000000-0005-0000-0000-000022010000}"/>
    <cellStyle name="_封閉型商圈建議台整品項_春節作業手冊-981217_1-晉欣鮮食廠-2012年春節作業體制" xfId="316" xr:uid="{00000000-0005-0000-0000-000023010000}"/>
    <cellStyle name="_樂清9507租賃用品申請" xfId="317" xr:uid="{00000000-0005-0000-0000-000024010000}"/>
    <cellStyle name="_樂清9507租賃用品申請_1-晉欣鮮食廠-2012年春節作業體制" xfId="318" xr:uid="{00000000-0005-0000-0000-000025010000}"/>
    <cellStyle name="_樂清9507租賃用品申請_96年月餅預購競賽獎勵案" xfId="319" xr:uid="{00000000-0005-0000-0000-000026010000}"/>
    <cellStyle name="_樂清9507租賃用品申請_96年月餅預購競賽獎勵案_1-晉欣鮮食廠-2012年春節作業體制" xfId="320" xr:uid="{00000000-0005-0000-0000-000027010000}"/>
    <cellStyle name="_樂清9507租賃用品申請_96年月餅預購競賽獎勵案_96年月餅預購競賽獎勵案" xfId="321" xr:uid="{00000000-0005-0000-0000-000028010000}"/>
    <cellStyle name="_樂清9507租賃用品申請_96年月餅預購競賽獎勵案_96年月餅預購競賽獎勵案_1-晉欣鮮食廠-2012年春節作業體制" xfId="322" xr:uid="{00000000-0005-0000-0000-000029010000}"/>
    <cellStyle name="_樂清9507租賃用品申請_96年月餅預購競賽獎勵案_96年月餅預購競賽獎勵案_97年春節保全回收報告書" xfId="323" xr:uid="{00000000-0005-0000-0000-00002A010000}"/>
    <cellStyle name="_樂清9507租賃用品申請_96年月餅預購競賽獎勵案_96年月餅預購競賽獎勵案_97年春節保全回收報告書_1-晉欣鮮食廠-2012年春節作業體制" xfId="324" xr:uid="{00000000-0005-0000-0000-00002B010000}"/>
    <cellStyle name="_樂清9507租賃用品申請_96年月餅預購競賽獎勵案_96年月餅預購競賽獎勵案_97年春節保全回收報告書_Book1" xfId="325" xr:uid="{00000000-0005-0000-0000-00002C010000}"/>
    <cellStyle name="_樂清9507租賃用品申請_96年月餅預購競賽獎勵案_96年月餅預購競賽獎勵案_97年春節保全回收報告書_Book1_1-晉欣鮮食廠-2012年春節作業體制" xfId="326" xr:uid="{00000000-0005-0000-0000-00002D010000}"/>
    <cellStyle name="_樂清9507租賃用品申請_96年月餅預購競賽獎勵案_96年月餅預購競賽獎勵案_97年春節保全回收報告書_春節作業手冊-981217" xfId="327" xr:uid="{00000000-0005-0000-0000-00002E010000}"/>
    <cellStyle name="_樂清9507租賃用品申請_96年月餅預購競賽獎勵案_96年月餅預購競賽獎勵案_97年春節保全回收報告書_春節作業手冊-981217_1-晉欣鮮食廠-2012年春節作業體制" xfId="328" xr:uid="{00000000-0005-0000-0000-00002F010000}"/>
    <cellStyle name="_樂清9507租賃用品申請_96年月餅預購競賽獎勵案_96年月餅預購競賽獎勵案_97年營業競賽提案報告書" xfId="329" xr:uid="{00000000-0005-0000-0000-000030010000}"/>
    <cellStyle name="_樂清9507租賃用品申請_96年月餅預購競賽獎勵案_96年月餅預購競賽獎勵案_97年營業競賽提案報告書_1-晉欣鮮食廠-2012年春節作業體制" xfId="330" xr:uid="{00000000-0005-0000-0000-000031010000}"/>
    <cellStyle name="_樂清9507租賃用品申請_96年月餅預購競賽獎勵案_96年月餅預購競賽獎勵案_97年營業競賽提案報告書_97年春節保全回收報告書" xfId="331" xr:uid="{00000000-0005-0000-0000-000032010000}"/>
    <cellStyle name="_樂清9507租賃用品申請_96年月餅預購競賽獎勵案_96年月餅預購競賽獎勵案_97年營業競賽提案報告書_97年春節保全回收報告書_1-晉欣鮮食廠-2012年春節作業體制" xfId="332" xr:uid="{00000000-0005-0000-0000-000033010000}"/>
    <cellStyle name="_樂清9507租賃用品申請_96年月餅預購競賽獎勵案_96年月餅預購競賽獎勵案_97年營業競賽提案報告書_97年春節保全回收報告書_Book1" xfId="333" xr:uid="{00000000-0005-0000-0000-000034010000}"/>
    <cellStyle name="_樂清9507租賃用品申請_96年月餅預購競賽獎勵案_96年月餅預購競賽獎勵案_97年營業競賽提案報告書_97年春節保全回收報告書_Book1_1-晉欣鮮食廠-2012年春節作業體制" xfId="334" xr:uid="{00000000-0005-0000-0000-000035010000}"/>
    <cellStyle name="_樂清9507租賃用品申請_96年月餅預購競賽獎勵案_96年月餅預購競賽獎勵案_97年營業競賽提案報告書_97年春節保全回收報告書_春節作業手冊-981217" xfId="335" xr:uid="{00000000-0005-0000-0000-000036010000}"/>
    <cellStyle name="_樂清9507租賃用品申請_96年月餅預購競賽獎勵案_96年月餅預購競賽獎勵案_97年營業競賽提案報告書_97年春節保全回收報告書_春節作業手冊-981217_1-晉欣鮮食廠-2012年春節作業體制" xfId="336" xr:uid="{00000000-0005-0000-0000-000037010000}"/>
    <cellStyle name="_樂清9507租賃用品申請_96年月餅預購競賽獎勵案_96年月餅預購競賽獎勵案_97年營業競賽提案報告書_97年營業競賽提案報告書" xfId="337" xr:uid="{00000000-0005-0000-0000-000038010000}"/>
    <cellStyle name="_樂清9507租賃用品申請_96年月餅預購競賽獎勵案_96年月餅預購競賽獎勵案_97年營業競賽提案報告書_97年營業競賽提案報告書_1-晉欣鮮食廠-2012年春節作業體制" xfId="338" xr:uid="{00000000-0005-0000-0000-000039010000}"/>
    <cellStyle name="_樂清9507租賃用品申請_96年月餅預購競賽獎勵案_96年月餅預購競賽獎勵案_97年營業競賽提案報告書_97年營業競賽提案報告書_97年春節保全回收報告書" xfId="339" xr:uid="{00000000-0005-0000-0000-00003A010000}"/>
    <cellStyle name="_樂清9507租賃用品申請_96年月餅預購競賽獎勵案_96年月餅預購競賽獎勵案_97年營業競賽提案報告書_97年營業競賽提案報告書_97年春節保全回收報告書_1-晉欣鮮食廠-2012年春節作業體制" xfId="340" xr:uid="{00000000-0005-0000-0000-00003B010000}"/>
    <cellStyle name="_樂清9507租賃用品申請_96年月餅預購競賽獎勵案_96年月餅預購競賽獎勵案_97年營業競賽提案報告書_97年營業競賽提案報告書_97年春節保全回收報告書_Book1" xfId="341" xr:uid="{00000000-0005-0000-0000-00003C010000}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 xr:uid="{00000000-0005-0000-0000-00003D010000}"/>
    <cellStyle name="_樂清9507租賃用品申請_96年月餅預購競賽獎勵案_96年月餅預購競賽獎勵案_97年營業競賽提案報告書_97年營業競賽提案報告書_97年春節保全回收報告書_春節作業手冊-981217" xfId="343" xr:uid="{00000000-0005-0000-0000-00003E010000}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 xr:uid="{00000000-0005-0000-0000-00003F010000}"/>
    <cellStyle name="_樂清9507租賃用品申請_96年月餅預購競賽獎勵案_96年月餅預購競賽獎勵案_97年營業競賽提案報告書_97年營業競賽提案報告書_97年營業競賽提案報告書" xfId="345" xr:uid="{00000000-0005-0000-0000-000040010000}"/>
    <cellStyle name="_樂清9507租賃用品申請_96年月餅預購競賽獎勵案_96年月餅預購競賽獎勵案_97年營業競賽提案報告書_97年營業競賽提案報告書_97年營業競賽提案報告書_1-晉欣鮮食廠-2012年春節作業體制" xfId="346" xr:uid="{00000000-0005-0000-0000-000041010000}"/>
    <cellStyle name="_樂清9507租賃用品申請_96年月餅預購競賽獎勵案_96年月餅預購競賽獎勵案_97年營業競賽提案報告書_97年營業競賽提案報告書_97年營業競賽提案報告書_97年春節保全回收報告書" xfId="347" xr:uid="{00000000-0005-0000-0000-000042010000}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 xr:uid="{00000000-0005-0000-0000-000043010000}"/>
    <cellStyle name="_樂清9507租賃用品申請_96年月餅預購競賽獎勵案_96年月餅預購競賽獎勵案_97年營業競賽提案報告書_97年營業競賽提案報告書_97年營業競賽提案報告書_97年春節保全回收報告書_Book1" xfId="349" xr:uid="{00000000-0005-0000-0000-000044010000}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 xr:uid="{00000000-0005-0000-0000-000045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 xr:uid="{00000000-0005-0000-0000-000046010000}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 xr:uid="{00000000-0005-0000-0000-000047010000}"/>
    <cellStyle name="_樂清9507租賃用品申請_96年月餅預購競賽獎勵案_96年月餅預購競賽獎勵案_97年營業競賽提案報告書_97年營業競賽提案報告書_97年營業競賽提案報告書_Book1" xfId="353" xr:uid="{00000000-0005-0000-0000-000048010000}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 xr:uid="{00000000-0005-0000-0000-000049010000}"/>
    <cellStyle name="_樂清9507租賃用品申請_96年月餅預購競賽獎勵案_96年月餅預購競賽獎勵案_97年營業競賽提案報告書_97年營業競賽提案報告書_97年營業競賽提案報告書_春節作業手冊-981217" xfId="355" xr:uid="{00000000-0005-0000-0000-00004A010000}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 xr:uid="{00000000-0005-0000-0000-00004B010000}"/>
    <cellStyle name="_樂清9507租賃用品申請_96年月餅預購競賽獎勵案_96年月餅預購競賽獎勵案_97年營業競賽提案報告書_97年營業競賽提案報告書_Book1" xfId="357" xr:uid="{00000000-0005-0000-0000-00004C010000}"/>
    <cellStyle name="_樂清9507租賃用品申請_96年月餅預購競賽獎勵案_96年月餅預購競賽獎勵案_97年營業競賽提案報告書_97年營業競賽提案報告書_Book1_1-晉欣鮮食廠-2012年春節作業體制" xfId="358" xr:uid="{00000000-0005-0000-0000-00004D010000}"/>
    <cellStyle name="_樂清9507租賃用品申請_96年月餅預購競賽獎勵案_96年月餅預購競賽獎勵案_97年營業競賽提案報告書_97年營業競賽提案報告書_春節作業手冊-981217" xfId="359" xr:uid="{00000000-0005-0000-0000-00004E010000}"/>
    <cellStyle name="_樂清9507租賃用品申請_96年月餅預購競賽獎勵案_96年月餅預購競賽獎勵案_97年營業競賽提案報告書_97年營業競賽提案報告書_春節作業手冊-981217_1-晉欣鮮食廠-2012年春節作業體制" xfId="360" xr:uid="{00000000-0005-0000-0000-00004F010000}"/>
    <cellStyle name="_樂清9507租賃用品申請_96年月餅預購競賽獎勵案_96年月餅預購競賽獎勵案_97年營業競賽提案報告書_Book1" xfId="361" xr:uid="{00000000-0005-0000-0000-000050010000}"/>
    <cellStyle name="_樂清9507租賃用品申請_96年月餅預購競賽獎勵案_96年月餅預購競賽獎勵案_97年營業競賽提案報告書_Book1_1-晉欣鮮食廠-2012年春節作業體制" xfId="362" xr:uid="{00000000-0005-0000-0000-000051010000}"/>
    <cellStyle name="_樂清9507租賃用品申請_96年月餅預購競賽獎勵案_96年月餅預購競賽獎勵案_97年營業競賽提案報告書_春節作業手冊-981217" xfId="363" xr:uid="{00000000-0005-0000-0000-000052010000}"/>
    <cellStyle name="_樂清9507租賃用品申請_96年月餅預購競賽獎勵案_96年月餅預購競賽獎勵案_97年營業競賽提案報告書_春節作業手冊-981217_1-晉欣鮮食廠-2012年春節作業體制" xfId="364" xr:uid="{00000000-0005-0000-0000-000053010000}"/>
    <cellStyle name="_樂清9507租賃用品申請_96年月餅預購競賽獎勵案_96年月餅預購競賽獎勵案_Book1" xfId="365" xr:uid="{00000000-0005-0000-0000-000054010000}"/>
    <cellStyle name="_樂清9507租賃用品申請_96年月餅預購競賽獎勵案_96年月餅預購競賽獎勵案_Book1_1-晉欣鮮食廠-2012年春節作業體制" xfId="366" xr:uid="{00000000-0005-0000-0000-000055010000}"/>
    <cellStyle name="_樂清9507租賃用品申請_96年月餅預購競賽獎勵案_96年月餅預購競賽獎勵案_春節作業手冊-981217" xfId="367" xr:uid="{00000000-0005-0000-0000-000056010000}"/>
    <cellStyle name="_樂清9507租賃用品申請_96年月餅預購競賽獎勵案_96年月餅預購競賽獎勵案_春節作業手冊-981217_1-晉欣鮮食廠-2012年春節作業體制" xfId="368" xr:uid="{00000000-0005-0000-0000-000057010000}"/>
    <cellStyle name="_樂清9507租賃用品申請_96年月餅預購競賽獎勵案_97年春節保全回收報告書" xfId="369" xr:uid="{00000000-0005-0000-0000-000058010000}"/>
    <cellStyle name="_樂清9507租賃用品申請_96年月餅預購競賽獎勵案_97年春節保全回收報告書_1-晉欣鮮食廠-2012年春節作業體制" xfId="370" xr:uid="{00000000-0005-0000-0000-000059010000}"/>
    <cellStyle name="_樂清9507租賃用品申請_96年月餅預購競賽獎勵案_97年春節保全回收報告書_Book1" xfId="371" xr:uid="{00000000-0005-0000-0000-00005A010000}"/>
    <cellStyle name="_樂清9507租賃用品申請_96年月餅預購競賽獎勵案_97年春節保全回收報告書_Book1_1-晉欣鮮食廠-2012年春節作業體制" xfId="372" xr:uid="{00000000-0005-0000-0000-00005B010000}"/>
    <cellStyle name="_樂清9507租賃用品申請_96年月餅預購競賽獎勵案_97年春節保全回收報告書_春節作業手冊-981217" xfId="373" xr:uid="{00000000-0005-0000-0000-00005C010000}"/>
    <cellStyle name="_樂清9507租賃用品申請_96年月餅預購競賽獎勵案_97年春節保全回收報告書_春節作業手冊-981217_1-晉欣鮮食廠-2012年春節作業體制" xfId="374" xr:uid="{00000000-0005-0000-0000-00005D010000}"/>
    <cellStyle name="_樂清9507租賃用品申請_96年月餅預購競賽獎勵案_97年營業競賽提案報告書" xfId="375" xr:uid="{00000000-0005-0000-0000-00005E010000}"/>
    <cellStyle name="_樂清9507租賃用品申請_96年月餅預購競賽獎勵案_97年營業競賽提案報告書_1-晉欣鮮食廠-2012年春節作業體制" xfId="376" xr:uid="{00000000-0005-0000-0000-00005F010000}"/>
    <cellStyle name="_樂清9507租賃用品申請_96年月餅預購競賽獎勵案_97年營業競賽提案報告書_97年春節保全回收報告書" xfId="377" xr:uid="{00000000-0005-0000-0000-000060010000}"/>
    <cellStyle name="_樂清9507租賃用品申請_96年月餅預購競賽獎勵案_97年營業競賽提案報告書_97年春節保全回收報告書_1-晉欣鮮食廠-2012年春節作業體制" xfId="378" xr:uid="{00000000-0005-0000-0000-000061010000}"/>
    <cellStyle name="_樂清9507租賃用品申請_96年月餅預購競賽獎勵案_97年營業競賽提案報告書_97年春節保全回收報告書_Book1" xfId="379" xr:uid="{00000000-0005-0000-0000-000062010000}"/>
    <cellStyle name="_樂清9507租賃用品申請_96年月餅預購競賽獎勵案_97年營業競賽提案報告書_97年春節保全回收報告書_Book1_1-晉欣鮮食廠-2012年春節作業體制" xfId="380" xr:uid="{00000000-0005-0000-0000-000063010000}"/>
    <cellStyle name="_樂清9507租賃用品申請_96年月餅預購競賽獎勵案_97年營業競賽提案報告書_97年春節保全回收報告書_春節作業手冊-981217" xfId="381" xr:uid="{00000000-0005-0000-0000-000064010000}"/>
    <cellStyle name="_樂清9507租賃用品申請_96年月餅預購競賽獎勵案_97年營業競賽提案報告書_97年春節保全回收報告書_春節作業手冊-981217_1-晉欣鮮食廠-2012年春節作業體制" xfId="382" xr:uid="{00000000-0005-0000-0000-000065010000}"/>
    <cellStyle name="_樂清9507租賃用品申請_96年月餅預購競賽獎勵案_97年營業競賽提案報告書_97年營業競賽提案報告書" xfId="383" xr:uid="{00000000-0005-0000-0000-000066010000}"/>
    <cellStyle name="_樂清9507租賃用品申請_96年月餅預購競賽獎勵案_97年營業競賽提案報告書_97年營業競賽提案報告書_1-晉欣鮮食廠-2012年春節作業體制" xfId="384" xr:uid="{00000000-0005-0000-0000-000067010000}"/>
    <cellStyle name="_樂清9507租賃用品申請_96年月餅預購競賽獎勵案_97年營業競賽提案報告書_97年營業競賽提案報告書_97年春節保全回收報告書" xfId="385" xr:uid="{00000000-0005-0000-0000-000068010000}"/>
    <cellStyle name="_樂清9507租賃用品申請_96年月餅預購競賽獎勵案_97年營業競賽提案報告書_97年營業競賽提案報告書_97年春節保全回收報告書_1-晉欣鮮食廠-2012年春節作業體制" xfId="386" xr:uid="{00000000-0005-0000-0000-000069010000}"/>
    <cellStyle name="_樂清9507租賃用品申請_96年月餅預購競賽獎勵案_97年營業競賽提案報告書_97年營業競賽提案報告書_97年春節保全回收報告書_Book1" xfId="387" xr:uid="{00000000-0005-0000-0000-00006A010000}"/>
    <cellStyle name="_樂清9507租賃用品申請_96年月餅預購競賽獎勵案_97年營業競賽提案報告書_97年營業競賽提案報告書_97年春節保全回收報告書_Book1_1-晉欣鮮食廠-2012年春節作業體制" xfId="388" xr:uid="{00000000-0005-0000-0000-00006B010000}"/>
    <cellStyle name="_樂清9507租賃用品申請_96年月餅預購競賽獎勵案_97年營業競賽提案報告書_97年營業競賽提案報告書_97年春節保全回收報告書_春節作業手冊-981217" xfId="389" xr:uid="{00000000-0005-0000-0000-00006C010000}"/>
    <cellStyle name="_樂清9507租賃用品申請_96年月餅預購競賽獎勵案_97年營業競賽提案報告書_97年營業競賽提案報告書_97年春節保全回收報告書_春節作業手冊-981217_1-晉欣鮮食廠-2012年春節作業體制" xfId="390" xr:uid="{00000000-0005-0000-0000-00006D010000}"/>
    <cellStyle name="_樂清9507租賃用品申請_96年月餅預購競賽獎勵案_97年營業競賽提案報告書_97年營業競賽提案報告書_97年營業競賽提案報告書" xfId="391" xr:uid="{00000000-0005-0000-0000-00006E010000}"/>
    <cellStyle name="_樂清9507租賃用品申請_96年月餅預購競賽獎勵案_97年營業競賽提案報告書_97年營業競賽提案報告書_97年營業競賽提案報告書_1-晉欣鮮食廠-2012年春節作業體制" xfId="392" xr:uid="{00000000-0005-0000-0000-00006F010000}"/>
    <cellStyle name="_樂清9507租賃用品申請_96年月餅預購競賽獎勵案_97年營業競賽提案報告書_97年營業競賽提案報告書_97年營業競賽提案報告書_97年春節保全回收報告書" xfId="393" xr:uid="{00000000-0005-0000-0000-000070010000}"/>
    <cellStyle name="_樂清9507租賃用品申請_96年月餅預購競賽獎勵案_97年營業競賽提案報告書_97年營業競賽提案報告書_97年營業競賽提案報告書_97年春節保全回收報告書_1-晉欣鮮食廠-2012年春節作業體制" xfId="394" xr:uid="{00000000-0005-0000-0000-000071010000}"/>
    <cellStyle name="_樂清9507租賃用品申請_96年月餅預購競賽獎勵案_97年營業競賽提案報告書_97年營業競賽提案報告書_97年營業競賽提案報告書_97年春節保全回收報告書_Book1" xfId="395" xr:uid="{00000000-0005-0000-0000-000072010000}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 xr:uid="{00000000-0005-0000-0000-000073010000}"/>
    <cellStyle name="_樂清9507租賃用品申請_96年月餅預購競賽獎勵案_97年營業競賽提案報告書_97年營業競賽提案報告書_97年營業競賽提案報告書_97年春節保全回收報告書_春節作業手冊-981217" xfId="397" xr:uid="{00000000-0005-0000-0000-000074010000}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 xr:uid="{00000000-0005-0000-0000-000075010000}"/>
    <cellStyle name="_樂清9507租賃用品申請_96年月餅預購競賽獎勵案_97年營業競賽提案報告書_97年營業競賽提案報告書_97年營業競賽提案報告書_Book1" xfId="399" xr:uid="{00000000-0005-0000-0000-000076010000}"/>
    <cellStyle name="_樂清9507租賃用品申請_96年月餅預購競賽獎勵案_97年營業競賽提案報告書_97年營業競賽提案報告書_97年營業競賽提案報告書_Book1_1-晉欣鮮食廠-2012年春節作業體制" xfId="400" xr:uid="{00000000-0005-0000-0000-000077010000}"/>
    <cellStyle name="_樂清9507租賃用品申請_96年月餅預購競賽獎勵案_97年營業競賽提案報告書_97年營業競賽提案報告書_97年營業競賽提案報告書_春節作業手冊-981217" xfId="401" xr:uid="{00000000-0005-0000-0000-000078010000}"/>
    <cellStyle name="_樂清9507租賃用品申請_96年月餅預購競賽獎勵案_97年營業競賽提案報告書_97年營業競賽提案報告書_97年營業競賽提案報告書_春節作業手冊-981217_1-晉欣鮮食廠-2012年春節作業體制" xfId="402" xr:uid="{00000000-0005-0000-0000-000079010000}"/>
    <cellStyle name="_樂清9507租賃用品申請_96年月餅預購競賽獎勵案_97年營業競賽提案報告書_97年營業競賽提案報告書_Book1" xfId="403" xr:uid="{00000000-0005-0000-0000-00007A010000}"/>
    <cellStyle name="_樂清9507租賃用品申請_96年月餅預購競賽獎勵案_97年營業競賽提案報告書_97年營業競賽提案報告書_Book1_1-晉欣鮮食廠-2012年春節作業體制" xfId="404" xr:uid="{00000000-0005-0000-0000-00007B010000}"/>
    <cellStyle name="_樂清9507租賃用品申請_96年月餅預購競賽獎勵案_97年營業競賽提案報告書_97年營業競賽提案報告書_春節作業手冊-981217" xfId="405" xr:uid="{00000000-0005-0000-0000-00007C010000}"/>
    <cellStyle name="_樂清9507租賃用品申請_96年月餅預購競賽獎勵案_97年營業競賽提案報告書_97年營業競賽提案報告書_春節作業手冊-981217_1-晉欣鮮食廠-2012年春節作業體制" xfId="406" xr:uid="{00000000-0005-0000-0000-00007D010000}"/>
    <cellStyle name="_樂清9507租賃用品申請_96年月餅預購競賽獎勵案_97年營業競賽提案報告書_Book1" xfId="407" xr:uid="{00000000-0005-0000-0000-00007E010000}"/>
    <cellStyle name="_樂清9507租賃用品申請_96年月餅預購競賽獎勵案_97年營業競賽提案報告書_Book1_1-晉欣鮮食廠-2012年春節作業體制" xfId="408" xr:uid="{00000000-0005-0000-0000-00007F010000}"/>
    <cellStyle name="_樂清9507租賃用品申請_96年月餅預購競賽獎勵案_97年營業競賽提案報告書_春節作業手冊-981217" xfId="409" xr:uid="{00000000-0005-0000-0000-000080010000}"/>
    <cellStyle name="_樂清9507租賃用品申請_96年月餅預購競賽獎勵案_97年營業競賽提案報告書_春節作業手冊-981217_1-晉欣鮮食廠-2012年春節作業體制" xfId="410" xr:uid="{00000000-0005-0000-0000-000081010000}"/>
    <cellStyle name="_樂清9507租賃用品申請_96年月餅預購競賽獎勵案_Book1" xfId="411" xr:uid="{00000000-0005-0000-0000-000082010000}"/>
    <cellStyle name="_樂清9507租賃用品申請_96年月餅預購競賽獎勵案_Book1_1-晉欣鮮食廠-2012年春節作業體制" xfId="412" xr:uid="{00000000-0005-0000-0000-000083010000}"/>
    <cellStyle name="_樂清9507租賃用品申請_96年月餅預購競賽獎勵案_春節作業手冊-981217" xfId="413" xr:uid="{00000000-0005-0000-0000-000084010000}"/>
    <cellStyle name="_樂清9507租賃用品申請_96年月餅預購競賽獎勵案_春節作業手冊-981217_1-晉欣鮮食廠-2012年春節作業體制" xfId="414" xr:uid="{00000000-0005-0000-0000-000085010000}"/>
    <cellStyle name="_樂清9507租賃用品申請_97年春節保全回收報告書" xfId="415" xr:uid="{00000000-0005-0000-0000-000086010000}"/>
    <cellStyle name="_樂清9507租賃用品申請_97年春節保全回收報告書_1-晉欣鮮食廠-2012年春節作業體制" xfId="416" xr:uid="{00000000-0005-0000-0000-000087010000}"/>
    <cellStyle name="_樂清9507租賃用品申請_97年春節保全回收報告書_Book1" xfId="417" xr:uid="{00000000-0005-0000-0000-000088010000}"/>
    <cellStyle name="_樂清9507租賃用品申請_97年春節保全回收報告書_Book1_1-晉欣鮮食廠-2012年春節作業體制" xfId="418" xr:uid="{00000000-0005-0000-0000-000089010000}"/>
    <cellStyle name="_樂清9507租賃用品申請_97年春節保全回收報告書_春節作業手冊-981217" xfId="419" xr:uid="{00000000-0005-0000-0000-00008A010000}"/>
    <cellStyle name="_樂清9507租賃用品申請_97年春節保全回收報告書_春節作業手冊-981217_1-晉欣鮮食廠-2012年春節作業體制" xfId="420" xr:uid="{00000000-0005-0000-0000-00008B010000}"/>
    <cellStyle name="_樂清9507租賃用品申請_97年營業競賽提案報告書" xfId="421" xr:uid="{00000000-0005-0000-0000-00008C010000}"/>
    <cellStyle name="_樂清9507租賃用品申請_97年營業競賽提案報告書_1-晉欣鮮食廠-2012年春節作業體制" xfId="422" xr:uid="{00000000-0005-0000-0000-00008D010000}"/>
    <cellStyle name="_樂清9507租賃用品申請_97年營業競賽提案報告書_97年春節保全回收報告書" xfId="423" xr:uid="{00000000-0005-0000-0000-00008E010000}"/>
    <cellStyle name="_樂清9507租賃用品申請_97年營業競賽提案報告書_97年春節保全回收報告書_1-晉欣鮮食廠-2012年春節作業體制" xfId="424" xr:uid="{00000000-0005-0000-0000-00008F010000}"/>
    <cellStyle name="_樂清9507租賃用品申請_97年營業競賽提案報告書_97年春節保全回收報告書_Book1" xfId="425" xr:uid="{00000000-0005-0000-0000-000090010000}"/>
    <cellStyle name="_樂清9507租賃用品申請_97年營業競賽提案報告書_97年春節保全回收報告書_Book1_1-晉欣鮮食廠-2012年春節作業體制" xfId="426" xr:uid="{00000000-0005-0000-0000-000091010000}"/>
    <cellStyle name="_樂清9507租賃用品申請_97年營業競賽提案報告書_97年春節保全回收報告書_春節作業手冊-981217" xfId="427" xr:uid="{00000000-0005-0000-0000-000092010000}"/>
    <cellStyle name="_樂清9507租賃用品申請_97年營業競賽提案報告書_97年春節保全回收報告書_春節作業手冊-981217_1-晉欣鮮食廠-2012年春節作業體制" xfId="428" xr:uid="{00000000-0005-0000-0000-000093010000}"/>
    <cellStyle name="_樂清9507租賃用品申請_97年營業競賽提案報告書_97年營業競賽提案報告書" xfId="429" xr:uid="{00000000-0005-0000-0000-000094010000}"/>
    <cellStyle name="_樂清9507租賃用品申請_97年營業競賽提案報告書_97年營業競賽提案報告書_1-晉欣鮮食廠-2012年春節作業體制" xfId="430" xr:uid="{00000000-0005-0000-0000-000095010000}"/>
    <cellStyle name="_樂清9507租賃用品申請_97年營業競賽提案報告書_97年營業競賽提案報告書_97年春節保全回收報告書" xfId="431" xr:uid="{00000000-0005-0000-0000-000096010000}"/>
    <cellStyle name="_樂清9507租賃用品申請_97年營業競賽提案報告書_97年營業競賽提案報告書_97年春節保全回收報告書_1-晉欣鮮食廠-2012年春節作業體制" xfId="432" xr:uid="{00000000-0005-0000-0000-000097010000}"/>
    <cellStyle name="_樂清9507租賃用品申請_97年營業競賽提案報告書_97年營業競賽提案報告書_97年春節保全回收報告書_Book1" xfId="433" xr:uid="{00000000-0005-0000-0000-000098010000}"/>
    <cellStyle name="_樂清9507租賃用品申請_97年營業競賽提案報告書_97年營業競賽提案報告書_97年春節保全回收報告書_Book1_1-晉欣鮮食廠-2012年春節作業體制" xfId="434" xr:uid="{00000000-0005-0000-0000-000099010000}"/>
    <cellStyle name="_樂清9507租賃用品申請_97年營業競賽提案報告書_97年營業競賽提案報告書_97年春節保全回收報告書_春節作業手冊-981217" xfId="435" xr:uid="{00000000-0005-0000-0000-00009A010000}"/>
    <cellStyle name="_樂清9507租賃用品申請_97年營業競賽提案報告書_97年營業競賽提案報告書_97年春節保全回收報告書_春節作業手冊-981217_1-晉欣鮮食廠-2012年春節作業體制" xfId="436" xr:uid="{00000000-0005-0000-0000-00009B010000}"/>
    <cellStyle name="_樂清9507租賃用品申請_97年營業競賽提案報告書_97年營業競賽提案報告書_97年營業競賽提案報告書" xfId="437" xr:uid="{00000000-0005-0000-0000-00009C010000}"/>
    <cellStyle name="_樂清9507租賃用品申請_97年營業競賽提案報告書_97年營業競賽提案報告書_97年營業競賽提案報告書_1-晉欣鮮食廠-2012年春節作業體制" xfId="438" xr:uid="{00000000-0005-0000-0000-00009D010000}"/>
    <cellStyle name="_樂清9507租賃用品申請_97年營業競賽提案報告書_97年營業競賽提案報告書_97年營業競賽提案報告書_97年春節保全回收報告書" xfId="439" xr:uid="{00000000-0005-0000-0000-00009E010000}"/>
    <cellStyle name="_樂清9507租賃用品申請_97年營業競賽提案報告書_97年營業競賽提案報告書_97年營業競賽提案報告書_97年春節保全回收報告書_1-晉欣鮮食廠-2012年春節作業體制" xfId="440" xr:uid="{00000000-0005-0000-0000-00009F010000}"/>
    <cellStyle name="_樂清9507租賃用品申請_97年營業競賽提案報告書_97年營業競賽提案報告書_97年營業競賽提案報告書_97年春節保全回收報告書_Book1" xfId="441" xr:uid="{00000000-0005-0000-0000-0000A0010000}"/>
    <cellStyle name="_樂清9507租賃用品申請_97年營業競賽提案報告書_97年營業競賽提案報告書_97年營業競賽提案報告書_97年春節保全回收報告書_Book1_1-晉欣鮮食廠-2012年春節作業體制" xfId="442" xr:uid="{00000000-0005-0000-0000-0000A1010000}"/>
    <cellStyle name="_樂清9507租賃用品申請_97年營業競賽提案報告書_97年營業競賽提案報告書_97年營業競賽提案報告書_97年春節保全回收報告書_春節作業手冊-981217" xfId="443" xr:uid="{00000000-0005-0000-0000-0000A2010000}"/>
    <cellStyle name="_樂清9507租賃用品申請_97年營業競賽提案報告書_97年營業競賽提案報告書_97年營業競賽提案報告書_97年春節保全回收報告書_春節作業手冊-981217_1-晉欣鮮食廠-2012年春節作業體制" xfId="444" xr:uid="{00000000-0005-0000-0000-0000A3010000}"/>
    <cellStyle name="_樂清9507租賃用品申請_97年營業競賽提案報告書_97年營業競賽提案報告書_97年營業競賽提案報告書_Book1" xfId="445" xr:uid="{00000000-0005-0000-0000-0000A4010000}"/>
    <cellStyle name="_樂清9507租賃用品申請_97年營業競賽提案報告書_97年營業競賽提案報告書_97年營業競賽提案報告書_Book1_1-晉欣鮮食廠-2012年春節作業體制" xfId="446" xr:uid="{00000000-0005-0000-0000-0000A5010000}"/>
    <cellStyle name="_樂清9507租賃用品申請_97年營業競賽提案報告書_97年營業競賽提案報告書_97年營業競賽提案報告書_春節作業手冊-981217" xfId="447" xr:uid="{00000000-0005-0000-0000-0000A6010000}"/>
    <cellStyle name="_樂清9507租賃用品申請_97年營業競賽提案報告書_97年營業競賽提案報告書_97年營業競賽提案報告書_春節作業手冊-981217_1-晉欣鮮食廠-2012年春節作業體制" xfId="448" xr:uid="{00000000-0005-0000-0000-0000A7010000}"/>
    <cellStyle name="_樂清9507租賃用品申請_97年營業競賽提案報告書_97年營業競賽提案報告書_Book1" xfId="449" xr:uid="{00000000-0005-0000-0000-0000A8010000}"/>
    <cellStyle name="_樂清9507租賃用品申請_97年營業競賽提案報告書_97年營業競賽提案報告書_Book1_1-晉欣鮮食廠-2012年春節作業體制" xfId="450" xr:uid="{00000000-0005-0000-0000-0000A9010000}"/>
    <cellStyle name="_樂清9507租賃用品申請_97年營業競賽提案報告書_97年營業競賽提案報告書_春節作業手冊-981217" xfId="451" xr:uid="{00000000-0005-0000-0000-0000AA010000}"/>
    <cellStyle name="_樂清9507租賃用品申請_97年營業競賽提案報告書_97年營業競賽提案報告書_春節作業手冊-981217_1-晉欣鮮食廠-2012年春節作業體制" xfId="452" xr:uid="{00000000-0005-0000-0000-0000AB010000}"/>
    <cellStyle name="_樂清9507租賃用品申請_97年營業競賽提案報告書_Book1" xfId="453" xr:uid="{00000000-0005-0000-0000-0000AC010000}"/>
    <cellStyle name="_樂清9507租賃用品申請_97年營業競賽提案報告書_Book1_1-晉欣鮮食廠-2012年春節作業體制" xfId="454" xr:uid="{00000000-0005-0000-0000-0000AD010000}"/>
    <cellStyle name="_樂清9507租賃用品申請_97年營業競賽提案報告書_春節作業手冊-981217" xfId="455" xr:uid="{00000000-0005-0000-0000-0000AE010000}"/>
    <cellStyle name="_樂清9507租賃用品申請_97年營業競賽提案報告書_春節作業手冊-981217_1-晉欣鮮食廠-2012年春節作業體制" xfId="456" xr:uid="{00000000-0005-0000-0000-0000AF010000}"/>
    <cellStyle name="_樂清9507租賃用品申請_Book1" xfId="457" xr:uid="{00000000-0005-0000-0000-0000B0010000}"/>
    <cellStyle name="_樂清9507租賃用品申請_Book1_1-晉欣鮮食廠-2012年春節作業體制" xfId="458" xr:uid="{00000000-0005-0000-0000-0000B1010000}"/>
    <cellStyle name="_樂清9507租賃用品申請_春節作業手冊-981217" xfId="459" xr:uid="{00000000-0005-0000-0000-0000B2010000}"/>
    <cellStyle name="_樂清9507租賃用品申請_春節作業手冊-981217_1-晉欣鮮食廠-2012年春節作業體制" xfId="460" xr:uid="{00000000-0005-0000-0000-0000B3010000}"/>
    <cellStyle name="Normal - Style1" xfId="461" xr:uid="{00000000-0005-0000-0000-0000B4010000}"/>
    <cellStyle name="Normal_Co-wide Monthly" xfId="462" xr:uid="{00000000-0005-0000-0000-0000B5010000}"/>
    <cellStyle name="一般" xfId="0" builtinId="0"/>
    <cellStyle name="一般 10" xfId="469" xr:uid="{00000000-0005-0000-0000-0000B7010000}"/>
    <cellStyle name="一般 10 2" xfId="470" xr:uid="{00000000-0005-0000-0000-0000B8010000}"/>
    <cellStyle name="一般 11" xfId="471" xr:uid="{00000000-0005-0000-0000-0000B9010000}"/>
    <cellStyle name="一般 12" xfId="472" xr:uid="{00000000-0005-0000-0000-0000BA010000}"/>
    <cellStyle name="一般 13" xfId="473" xr:uid="{00000000-0005-0000-0000-0000BB010000}"/>
    <cellStyle name="一般 14" xfId="474" xr:uid="{00000000-0005-0000-0000-0000BC010000}"/>
    <cellStyle name="一般 15" xfId="475" xr:uid="{00000000-0005-0000-0000-0000BD010000}"/>
    <cellStyle name="一般 15 2" xfId="476" xr:uid="{00000000-0005-0000-0000-0000BE010000}"/>
    <cellStyle name="一般 16" xfId="477" xr:uid="{00000000-0005-0000-0000-0000BF010000}"/>
    <cellStyle name="一般 17" xfId="478" xr:uid="{00000000-0005-0000-0000-0000C0010000}"/>
    <cellStyle name="一般 18" xfId="479" xr:uid="{00000000-0005-0000-0000-0000C1010000}"/>
    <cellStyle name="一般 19" xfId="480" xr:uid="{00000000-0005-0000-0000-0000C2010000}"/>
    <cellStyle name="一般 2" xfId="1" xr:uid="{00000000-0005-0000-0000-0000C3010000}"/>
    <cellStyle name="一般 2 2" xfId="481" xr:uid="{00000000-0005-0000-0000-0000C4010000}"/>
    <cellStyle name="一般 2 2 2" xfId="9" xr:uid="{00000000-0005-0000-0000-0000C5010000}"/>
    <cellStyle name="一般 2 2 2 2" xfId="482" xr:uid="{00000000-0005-0000-0000-0000C6010000}"/>
    <cellStyle name="一般 2 2 3" xfId="483" xr:uid="{00000000-0005-0000-0000-0000C7010000}"/>
    <cellStyle name="一般 2 2 30 2 2 30 2" xfId="4" xr:uid="{00000000-0005-0000-0000-0000C8010000}"/>
    <cellStyle name="一般 2 2 30 2 2 30 2 2" xfId="12" xr:uid="{00000000-0005-0000-0000-0000C9010000}"/>
    <cellStyle name="一般 2 2 30 2 2 30 2 2 2" xfId="15" xr:uid="{00000000-0005-0000-0000-0000CA010000}"/>
    <cellStyle name="一般 2 2 30 2 2 30 2 2 3" xfId="16" xr:uid="{00000000-0005-0000-0000-0000CB010000}"/>
    <cellStyle name="一般 2 2 30 2 2 30 2 2 4" xfId="17" xr:uid="{00000000-0005-0000-0000-0000CC010000}"/>
    <cellStyle name="一般 2 2 30 2 3 2" xfId="6" xr:uid="{00000000-0005-0000-0000-0000CD010000}"/>
    <cellStyle name="一般 2 2 30 2 3 2 2 2" xfId="18" xr:uid="{00000000-0005-0000-0000-0000CE010000}"/>
    <cellStyle name="一般 2 2 30 3 30" xfId="7" xr:uid="{00000000-0005-0000-0000-0000CF010000}"/>
    <cellStyle name="一般 2 3" xfId="484" xr:uid="{00000000-0005-0000-0000-0000D0010000}"/>
    <cellStyle name="一般 2 4" xfId="485" xr:uid="{00000000-0005-0000-0000-0000D1010000}"/>
    <cellStyle name="一般 2 5" xfId="486" xr:uid="{00000000-0005-0000-0000-0000D2010000}"/>
    <cellStyle name="一般 2 6" xfId="487" xr:uid="{00000000-0005-0000-0000-0000D3010000}"/>
    <cellStyle name="一般 2 7" xfId="488" xr:uid="{00000000-0005-0000-0000-0000D4010000}"/>
    <cellStyle name="一般 2 8" xfId="489" xr:uid="{00000000-0005-0000-0000-0000D5010000}"/>
    <cellStyle name="一般 2 9" xfId="23" xr:uid="{00000000-0005-0000-0000-0000D6010000}"/>
    <cellStyle name="一般 20" xfId="490" xr:uid="{00000000-0005-0000-0000-0000D7010000}"/>
    <cellStyle name="一般 21" xfId="491" xr:uid="{00000000-0005-0000-0000-0000D8010000}"/>
    <cellStyle name="一般 22" xfId="492" xr:uid="{00000000-0005-0000-0000-0000D9010000}"/>
    <cellStyle name="一般 23" xfId="493" xr:uid="{00000000-0005-0000-0000-0000DA010000}"/>
    <cellStyle name="一般 24" xfId="21" xr:uid="{00000000-0005-0000-0000-0000DB010000}"/>
    <cellStyle name="一般 3" xfId="11" xr:uid="{00000000-0005-0000-0000-0000DC010000}"/>
    <cellStyle name="一般 3 2" xfId="494" xr:uid="{00000000-0005-0000-0000-0000DD010000}"/>
    <cellStyle name="一般 3 2 2" xfId="495" xr:uid="{00000000-0005-0000-0000-0000DE010000}"/>
    <cellStyle name="一般 3 3" xfId="496" xr:uid="{00000000-0005-0000-0000-0000DF010000}"/>
    <cellStyle name="一般 3 4" xfId="497" xr:uid="{00000000-0005-0000-0000-0000E0010000}"/>
    <cellStyle name="一般 3 5" xfId="498" xr:uid="{00000000-0005-0000-0000-0000E1010000}"/>
    <cellStyle name="一般 3 5 2" xfId="499" xr:uid="{00000000-0005-0000-0000-0000E2010000}"/>
    <cellStyle name="一般 3 6" xfId="500" xr:uid="{00000000-0005-0000-0000-0000E3010000}"/>
    <cellStyle name="一般 3 7" xfId="501" xr:uid="{00000000-0005-0000-0000-0000E4010000}"/>
    <cellStyle name="一般 3 8" xfId="463" xr:uid="{00000000-0005-0000-0000-0000E5010000}"/>
    <cellStyle name="一般 4" xfId="5" xr:uid="{00000000-0005-0000-0000-0000E6010000}"/>
    <cellStyle name="一般 4 2" xfId="502" xr:uid="{00000000-0005-0000-0000-0000E7010000}"/>
    <cellStyle name="一般 4 3" xfId="503" xr:uid="{00000000-0005-0000-0000-0000E8010000}"/>
    <cellStyle name="一般 4 4" xfId="464" xr:uid="{00000000-0005-0000-0000-0000E9010000}"/>
    <cellStyle name="一般 5" xfId="504" xr:uid="{00000000-0005-0000-0000-0000EA010000}"/>
    <cellStyle name="一般 5 2" xfId="505" xr:uid="{00000000-0005-0000-0000-0000EB010000}"/>
    <cellStyle name="一般 6" xfId="506" xr:uid="{00000000-0005-0000-0000-0000EC010000}"/>
    <cellStyle name="一般 6 2" xfId="507" xr:uid="{00000000-0005-0000-0000-0000ED010000}"/>
    <cellStyle name="一般 7" xfId="508" xr:uid="{00000000-0005-0000-0000-0000EE010000}"/>
    <cellStyle name="一般 8" xfId="509" xr:uid="{00000000-0005-0000-0000-0000EF010000}"/>
    <cellStyle name="一般 8 2" xfId="510" xr:uid="{00000000-0005-0000-0000-0000F0010000}"/>
    <cellStyle name="一般 9" xfId="511" xr:uid="{00000000-0005-0000-0000-0000F1010000}"/>
    <cellStyle name="一般 9 2" xfId="512" xr:uid="{00000000-0005-0000-0000-0000F2010000}"/>
    <cellStyle name="千分位" xfId="14" builtinId="3"/>
    <cellStyle name="千分位 2" xfId="2" xr:uid="{00000000-0005-0000-0000-0000F4010000}"/>
    <cellStyle name="千分位 2 2" xfId="514" xr:uid="{00000000-0005-0000-0000-0000F5010000}"/>
    <cellStyle name="千分位 2 3" xfId="515" xr:uid="{00000000-0005-0000-0000-0000F6010000}"/>
    <cellStyle name="千分位 2 4" xfId="516" xr:uid="{00000000-0005-0000-0000-0000F7010000}"/>
    <cellStyle name="千分位 2 5" xfId="517" xr:uid="{00000000-0005-0000-0000-0000F8010000}"/>
    <cellStyle name="千分位 2 6" xfId="518" xr:uid="{00000000-0005-0000-0000-0000F9010000}"/>
    <cellStyle name="千分位 2 7" xfId="519" xr:uid="{00000000-0005-0000-0000-0000FA010000}"/>
    <cellStyle name="千分位 2 8" xfId="513" xr:uid="{00000000-0005-0000-0000-0000FB010000}"/>
    <cellStyle name="千分位 3" xfId="19" xr:uid="{00000000-0005-0000-0000-0000FC010000}"/>
    <cellStyle name="千分位 3 2" xfId="520" xr:uid="{00000000-0005-0000-0000-0000FD010000}"/>
    <cellStyle name="千分位 4" xfId="521" xr:uid="{00000000-0005-0000-0000-0000FE010000}"/>
    <cellStyle name="千分位 5" xfId="522" xr:uid="{00000000-0005-0000-0000-0000FF010000}"/>
    <cellStyle name="千分位 5 2" xfId="523" xr:uid="{00000000-0005-0000-0000-000000020000}"/>
    <cellStyle name="千分位 6" xfId="524" xr:uid="{00000000-0005-0000-0000-000001020000}"/>
    <cellStyle name="千分位 7" xfId="525" xr:uid="{00000000-0005-0000-0000-000002020000}"/>
    <cellStyle name="千分位 8" xfId="526" xr:uid="{00000000-0005-0000-0000-000003020000}"/>
    <cellStyle name="千分位 9" xfId="576" xr:uid="{00000000-0005-0000-0000-000004020000}"/>
    <cellStyle name="好_1001024-晉欣重要管制流程 (3)" xfId="527" xr:uid="{00000000-0005-0000-0000-000005020000}"/>
    <cellStyle name="好_Sheet1" xfId="528" xr:uid="{00000000-0005-0000-0000-000006020000}"/>
    <cellStyle name="好_工作日報表---" xfId="529" xr:uid="{00000000-0005-0000-0000-000007020000}"/>
    <cellStyle name="好_晉欣重要管制流程-油炸作業" xfId="530" xr:uid="{00000000-0005-0000-0000-000008020000}"/>
    <cellStyle name="好_晉欣重要管制流程-原物料驗收" xfId="531" xr:uid="{00000000-0005-0000-0000-000009020000}"/>
    <cellStyle name="好_晉欣重要管制流程-烤箱作業" xfId="532" xr:uid="{00000000-0005-0000-0000-00000A020000}"/>
    <cellStyle name="好_晉欣重要管制流程-理貨作業" xfId="533" xr:uid="{00000000-0005-0000-0000-00000B020000}"/>
    <cellStyle name="好_晉欣重要管制流程-煮麵作業" xfId="534" xr:uid="{00000000-0005-0000-0000-00000C020000}"/>
    <cellStyle name="好_晉欣重要管制流程-飯糰機操作&amp;丼飯作業&amp;三明治&amp;標籤&amp;炊飯&amp;美生菜" xfId="535" xr:uid="{00000000-0005-0000-0000-00000D020000}"/>
    <cellStyle name="好_晉欣重要管制流程-準備室作業" xfId="536" xr:uid="{00000000-0005-0000-0000-00000E020000}"/>
    <cellStyle name="好_晉欣重要管制流程-補料作業" xfId="537" xr:uid="{00000000-0005-0000-0000-00000F020000}"/>
    <cellStyle name="好_配料相關一、二--------" xfId="538" xr:uid="{00000000-0005-0000-0000-000010020000}"/>
    <cellStyle name="百分比 2" xfId="8" xr:uid="{00000000-0005-0000-0000-000011020000}"/>
    <cellStyle name="百分比 2 2" xfId="10" xr:uid="{00000000-0005-0000-0000-000012020000}"/>
    <cellStyle name="百分比 2 2 2" xfId="20" xr:uid="{00000000-0005-0000-0000-000013020000}"/>
    <cellStyle name="百分比 2 2 2 2" xfId="540" xr:uid="{00000000-0005-0000-0000-000014020000}"/>
    <cellStyle name="百分比 2 2 3" xfId="539" xr:uid="{00000000-0005-0000-0000-000015020000}"/>
    <cellStyle name="百分比 2 3" xfId="541" xr:uid="{00000000-0005-0000-0000-000016020000}"/>
    <cellStyle name="百分比 2 4" xfId="542" xr:uid="{00000000-0005-0000-0000-000017020000}"/>
    <cellStyle name="百分比 2 5" xfId="24" xr:uid="{00000000-0005-0000-0000-000018020000}"/>
    <cellStyle name="百分比 3" xfId="3" xr:uid="{00000000-0005-0000-0000-000019020000}"/>
    <cellStyle name="百分比 3 2" xfId="544" xr:uid="{00000000-0005-0000-0000-00001A020000}"/>
    <cellStyle name="百分比 3 3" xfId="545" xr:uid="{00000000-0005-0000-0000-00001B020000}"/>
    <cellStyle name="百分比 3 4" xfId="543" xr:uid="{00000000-0005-0000-0000-00001C020000}"/>
    <cellStyle name="百分比 4" xfId="13" xr:uid="{00000000-0005-0000-0000-00001D020000}"/>
    <cellStyle name="百分比 4 2" xfId="547" xr:uid="{00000000-0005-0000-0000-00001E020000}"/>
    <cellStyle name="百分比 4 2 2" xfId="548" xr:uid="{00000000-0005-0000-0000-00001F020000}"/>
    <cellStyle name="百分比 4 2 2 2" xfId="549" xr:uid="{00000000-0005-0000-0000-000020020000}"/>
    <cellStyle name="百分比 4 2 3" xfId="550" xr:uid="{00000000-0005-0000-0000-000021020000}"/>
    <cellStyle name="百分比 4 3" xfId="551" xr:uid="{00000000-0005-0000-0000-000022020000}"/>
    <cellStyle name="百分比 4 3 2" xfId="552" xr:uid="{00000000-0005-0000-0000-000023020000}"/>
    <cellStyle name="百分比 4 3 2 2" xfId="553" xr:uid="{00000000-0005-0000-0000-000024020000}"/>
    <cellStyle name="百分比 4 3 2 2 2" xfId="554" xr:uid="{00000000-0005-0000-0000-000025020000}"/>
    <cellStyle name="百分比 4 3 2 2 2 2" xfId="555" xr:uid="{00000000-0005-0000-0000-000026020000}"/>
    <cellStyle name="百分比 4 3 2 2 2 2 2" xfId="556" xr:uid="{00000000-0005-0000-0000-000027020000}"/>
    <cellStyle name="百分比 4 4" xfId="557" xr:uid="{00000000-0005-0000-0000-000028020000}"/>
    <cellStyle name="百分比 4 5" xfId="546" xr:uid="{00000000-0005-0000-0000-000029020000}"/>
    <cellStyle name="百分比 5" xfId="558" xr:uid="{00000000-0005-0000-0000-00002A020000}"/>
    <cellStyle name="百分比 5 2" xfId="559" xr:uid="{00000000-0005-0000-0000-00002B020000}"/>
    <cellStyle name="百分比 5 3" xfId="560" xr:uid="{00000000-0005-0000-0000-00002C020000}"/>
    <cellStyle name="百分比 6" xfId="561" xr:uid="{00000000-0005-0000-0000-00002D020000}"/>
    <cellStyle name="百分比 7" xfId="22" xr:uid="{00000000-0005-0000-0000-00002E020000}"/>
    <cellStyle name="貨幣 2" xfId="562" xr:uid="{00000000-0005-0000-0000-00002F020000}"/>
    <cellStyle name="貨幣[0]_ AUDIT" xfId="465" xr:uid="{00000000-0005-0000-0000-000030020000}"/>
    <cellStyle name="超連結 2" xfId="466" xr:uid="{00000000-0005-0000-0000-000031020000}"/>
    <cellStyle name="標準 2_關所SOP" xfId="563" xr:uid="{00000000-0005-0000-0000-000032020000}"/>
    <cellStyle name="樣式 1" xfId="467" xr:uid="{00000000-0005-0000-0000-000033020000}"/>
    <cellStyle name="樣式 2" xfId="468" xr:uid="{00000000-0005-0000-0000-000034020000}"/>
    <cellStyle name="壞_1001024-晉欣重要管制流程 (3)" xfId="564" xr:uid="{00000000-0005-0000-0000-000035020000}"/>
    <cellStyle name="壞_Sheet1" xfId="565" xr:uid="{00000000-0005-0000-0000-000036020000}"/>
    <cellStyle name="壞_工作日報表---" xfId="566" xr:uid="{00000000-0005-0000-0000-000037020000}"/>
    <cellStyle name="壞_晉欣重要管制流程-油炸作業" xfId="567" xr:uid="{00000000-0005-0000-0000-000038020000}"/>
    <cellStyle name="壞_晉欣重要管制流程-原物料驗收" xfId="568" xr:uid="{00000000-0005-0000-0000-000039020000}"/>
    <cellStyle name="壞_晉欣重要管制流程-烤箱作業" xfId="569" xr:uid="{00000000-0005-0000-0000-00003A020000}"/>
    <cellStyle name="壞_晉欣重要管制流程-理貨作業" xfId="570" xr:uid="{00000000-0005-0000-0000-00003B020000}"/>
    <cellStyle name="壞_晉欣重要管制流程-煮麵作業" xfId="571" xr:uid="{00000000-0005-0000-0000-00003C020000}"/>
    <cellStyle name="壞_晉欣重要管制流程-飯糰機操作&amp;丼飯作業&amp;三明治&amp;標籤&amp;炊飯&amp;美生菜" xfId="572" xr:uid="{00000000-0005-0000-0000-00003D020000}"/>
    <cellStyle name="壞_晉欣重要管制流程-準備室作業" xfId="573" xr:uid="{00000000-0005-0000-0000-00003E020000}"/>
    <cellStyle name="壞_晉欣重要管制流程-補料作業" xfId="574" xr:uid="{00000000-0005-0000-0000-00003F020000}"/>
    <cellStyle name="壞_配料相關一、二--------" xfId="575" xr:uid="{00000000-0005-0000-0000-000040020000}"/>
  </cellStyles>
  <dxfs count="5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49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49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49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49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49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49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37</v>
      </c>
      <c r="H15" s="4"/>
      <c r="I15" s="4"/>
      <c r="J15" s="16">
        <f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40</v>
      </c>
      <c r="H18" s="4"/>
      <c r="I18" s="4"/>
      <c r="J18" s="16">
        <f>H18-I18</f>
        <v>0</v>
      </c>
      <c r="K18" s="17"/>
      <c r="M18" s="49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404" t="s">
        <v>12</v>
      </c>
      <c r="D21" s="402"/>
      <c r="E21" s="403"/>
      <c r="F21" s="49" t="s">
        <v>46</v>
      </c>
      <c r="G21" s="49" t="s">
        <v>48</v>
      </c>
      <c r="H21" s="49" t="s">
        <v>49</v>
      </c>
      <c r="I21" s="8" t="s">
        <v>13</v>
      </c>
      <c r="J21" s="417" t="s">
        <v>51</v>
      </c>
      <c r="K21" s="403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406" t="s">
        <v>14</v>
      </c>
      <c r="D22" s="402"/>
      <c r="E22" s="403"/>
      <c r="F22" s="4">
        <v>3</v>
      </c>
      <c r="G22" s="4">
        <v>3000</v>
      </c>
      <c r="H22" s="4">
        <v>1000</v>
      </c>
      <c r="I22" s="4">
        <v>10</v>
      </c>
      <c r="J22" s="405" t="s">
        <v>76</v>
      </c>
      <c r="K22" s="403"/>
      <c r="M22" s="52" t="s">
        <v>26</v>
      </c>
      <c r="N22" s="57" t="s">
        <v>47</v>
      </c>
      <c r="O22" s="412" t="s">
        <v>12</v>
      </c>
      <c r="P22" s="402"/>
      <c r="Q22" s="403"/>
      <c r="R22" s="418" t="s">
        <v>53</v>
      </c>
      <c r="S22" s="402"/>
      <c r="T22" s="403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417" t="s">
        <v>51</v>
      </c>
      <c r="AA22" s="403"/>
    </row>
    <row r="23" spans="1:27" ht="15.75" customHeight="1">
      <c r="A23" s="23"/>
      <c r="B23" s="6">
        <v>2</v>
      </c>
      <c r="C23" s="401"/>
      <c r="D23" s="402"/>
      <c r="E23" s="403"/>
      <c r="F23" s="4"/>
      <c r="G23" s="4"/>
      <c r="H23" s="4"/>
      <c r="I23" s="4"/>
      <c r="J23" s="401"/>
      <c r="K23" s="403"/>
      <c r="M23" s="56" t="s">
        <v>42</v>
      </c>
      <c r="N23" s="24">
        <v>1</v>
      </c>
      <c r="O23" s="405" t="s">
        <v>82</v>
      </c>
      <c r="P23" s="402"/>
      <c r="Q23" s="403"/>
      <c r="R23" s="405" t="s">
        <v>85</v>
      </c>
      <c r="S23" s="402"/>
      <c r="T23" s="403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405" t="s">
        <v>86</v>
      </c>
      <c r="AA23" s="403"/>
    </row>
    <row r="24" spans="1:27" ht="15.75" customHeight="1">
      <c r="A24" s="23"/>
      <c r="B24" s="6">
        <v>3</v>
      </c>
      <c r="C24" s="401"/>
      <c r="D24" s="402"/>
      <c r="E24" s="403"/>
      <c r="F24" s="4"/>
      <c r="G24" s="4"/>
      <c r="H24" s="4"/>
      <c r="I24" s="4"/>
      <c r="J24" s="401"/>
      <c r="K24" s="403"/>
      <c r="M24" s="25"/>
      <c r="N24" s="24">
        <v>2</v>
      </c>
      <c r="O24" s="406"/>
      <c r="P24" s="402"/>
      <c r="Q24" s="403"/>
      <c r="R24" s="406"/>
      <c r="S24" s="402"/>
      <c r="T24" s="403"/>
      <c r="U24" s="4"/>
      <c r="V24" s="14"/>
      <c r="W24" s="4"/>
      <c r="X24" s="16">
        <f>W24*U24</f>
        <v>0</v>
      </c>
      <c r="Y24" s="4"/>
      <c r="Z24" s="406"/>
      <c r="AA24" s="403"/>
    </row>
    <row r="25" spans="1:27" ht="15.75" customHeight="1">
      <c r="A25" s="23"/>
      <c r="B25" s="6">
        <v>4</v>
      </c>
      <c r="C25" s="401"/>
      <c r="D25" s="402"/>
      <c r="E25" s="403"/>
      <c r="F25" s="4"/>
      <c r="G25" s="4"/>
      <c r="H25" s="4"/>
      <c r="I25" s="4"/>
      <c r="J25" s="401"/>
      <c r="K25" s="403"/>
      <c r="M25" s="25"/>
      <c r="N25" s="24">
        <v>3</v>
      </c>
      <c r="O25" s="406"/>
      <c r="P25" s="402"/>
      <c r="Q25" s="403"/>
      <c r="R25" s="406"/>
      <c r="S25" s="402"/>
      <c r="T25" s="403"/>
      <c r="U25" s="4"/>
      <c r="V25" s="14"/>
      <c r="W25" s="4"/>
      <c r="X25" s="16">
        <f>W25*U25</f>
        <v>0</v>
      </c>
      <c r="Y25" s="4"/>
      <c r="Z25" s="406"/>
      <c r="AA25" s="403"/>
    </row>
    <row r="26" spans="1:27" ht="15.75" customHeight="1">
      <c r="A26" s="23"/>
      <c r="B26" s="26">
        <v>5</v>
      </c>
      <c r="C26" s="415"/>
      <c r="D26" s="411"/>
      <c r="E26" s="408"/>
      <c r="F26" s="27"/>
      <c r="G26" s="27"/>
      <c r="H26" s="27"/>
      <c r="I26" s="27"/>
      <c r="J26" s="415"/>
      <c r="K26" s="408"/>
      <c r="M26" s="25"/>
      <c r="N26" s="24">
        <v>4</v>
      </c>
      <c r="O26" s="406"/>
      <c r="P26" s="402"/>
      <c r="Q26" s="403"/>
      <c r="R26" s="406"/>
      <c r="S26" s="402"/>
      <c r="T26" s="403"/>
      <c r="U26" s="4"/>
      <c r="V26" s="14"/>
      <c r="W26" s="4"/>
      <c r="X26" s="16">
        <f>W26*U26</f>
        <v>0</v>
      </c>
      <c r="Y26" s="4"/>
      <c r="Z26" s="406"/>
      <c r="AA26" s="403"/>
    </row>
    <row r="27" spans="1:27" ht="15.75" customHeight="1">
      <c r="A27" s="23"/>
      <c r="B27" s="69" t="s">
        <v>101</v>
      </c>
      <c r="C27" s="409" t="s">
        <v>75</v>
      </c>
      <c r="D27" s="416"/>
      <c r="E27" s="410"/>
      <c r="F27" s="28">
        <v>4</v>
      </c>
      <c r="G27" s="28">
        <v>2800</v>
      </c>
      <c r="H27" s="28">
        <v>700</v>
      </c>
      <c r="I27" s="28" t="s">
        <v>15</v>
      </c>
      <c r="J27" s="409" t="s">
        <v>77</v>
      </c>
      <c r="K27" s="410"/>
      <c r="M27" s="25"/>
      <c r="N27" s="29">
        <v>5</v>
      </c>
      <c r="O27" s="407"/>
      <c r="P27" s="411"/>
      <c r="Q27" s="408"/>
      <c r="R27" s="407"/>
      <c r="S27" s="411"/>
      <c r="T27" s="408"/>
      <c r="U27" s="27"/>
      <c r="V27" s="30"/>
      <c r="W27" s="27"/>
      <c r="X27" s="31">
        <f>W27*U27</f>
        <v>0</v>
      </c>
      <c r="Y27" s="4"/>
      <c r="Z27" s="407"/>
      <c r="AA27" s="408"/>
    </row>
    <row r="28" spans="1:27" ht="15.75" customHeight="1">
      <c r="A28" s="23"/>
      <c r="B28" s="70" t="s">
        <v>102</v>
      </c>
      <c r="C28" s="401"/>
      <c r="D28" s="402"/>
      <c r="E28" s="403"/>
      <c r="F28" s="4"/>
      <c r="G28" s="4"/>
      <c r="H28" s="4"/>
      <c r="I28" s="4"/>
      <c r="J28" s="401"/>
      <c r="K28" s="403"/>
      <c r="M28" s="32"/>
      <c r="N28" s="55"/>
      <c r="O28" s="413"/>
      <c r="P28" s="402"/>
      <c r="Q28" s="402"/>
      <c r="R28" s="413"/>
      <c r="S28" s="402"/>
      <c r="T28" s="402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413"/>
      <c r="AA28" s="403"/>
    </row>
    <row r="29" spans="1:27" ht="15.75" customHeight="1">
      <c r="A29" s="23"/>
      <c r="B29" s="70" t="s">
        <v>100</v>
      </c>
      <c r="C29" s="401"/>
      <c r="D29" s="402"/>
      <c r="E29" s="403"/>
      <c r="F29" s="4"/>
      <c r="G29" s="4"/>
      <c r="H29" s="4"/>
      <c r="I29" s="4"/>
      <c r="J29" s="401"/>
      <c r="K29" s="403"/>
      <c r="M29" s="56" t="s">
        <v>43</v>
      </c>
      <c r="N29" s="24">
        <v>1</v>
      </c>
      <c r="O29" s="426" t="s">
        <v>16</v>
      </c>
      <c r="P29" s="422"/>
      <c r="Q29" s="423"/>
      <c r="R29" s="421" t="s">
        <v>87</v>
      </c>
      <c r="S29" s="422"/>
      <c r="T29" s="423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421" t="s">
        <v>88</v>
      </c>
      <c r="AA29" s="423"/>
    </row>
    <row r="30" spans="1:27" ht="15.75" customHeight="1">
      <c r="A30" s="23"/>
      <c r="B30" s="70" t="s">
        <v>99</v>
      </c>
      <c r="C30" s="401"/>
      <c r="D30" s="402"/>
      <c r="E30" s="403"/>
      <c r="F30" s="4"/>
      <c r="G30" s="4"/>
      <c r="H30" s="4"/>
      <c r="I30" s="4"/>
      <c r="J30" s="401"/>
      <c r="K30" s="403"/>
      <c r="M30" s="25"/>
      <c r="N30" s="24">
        <v>2</v>
      </c>
      <c r="O30" s="406"/>
      <c r="P30" s="402"/>
      <c r="Q30" s="403"/>
      <c r="R30" s="406"/>
      <c r="S30" s="402"/>
      <c r="T30" s="403"/>
      <c r="U30" s="4"/>
      <c r="V30" s="14"/>
      <c r="W30" s="4"/>
      <c r="X30" s="16">
        <f>W30*U30</f>
        <v>0</v>
      </c>
      <c r="Y30" s="4"/>
      <c r="Z30" s="406"/>
      <c r="AA30" s="403"/>
    </row>
    <row r="31" spans="1:27" ht="15.75" customHeight="1">
      <c r="A31" s="20"/>
      <c r="B31" s="70" t="s">
        <v>103</v>
      </c>
      <c r="C31" s="401"/>
      <c r="D31" s="402"/>
      <c r="E31" s="403"/>
      <c r="F31" s="4"/>
      <c r="G31" s="4"/>
      <c r="H31" s="4"/>
      <c r="I31" s="4"/>
      <c r="J31" s="401"/>
      <c r="K31" s="403"/>
      <c r="M31" s="25"/>
      <c r="N31" s="24">
        <v>3</v>
      </c>
      <c r="O31" s="406"/>
      <c r="P31" s="402"/>
      <c r="Q31" s="403"/>
      <c r="R31" s="406"/>
      <c r="S31" s="402"/>
      <c r="T31" s="403"/>
      <c r="U31" s="4"/>
      <c r="V31" s="14"/>
      <c r="W31" s="4"/>
      <c r="X31" s="16">
        <f>W31*U31</f>
        <v>0</v>
      </c>
      <c r="Y31" s="4"/>
      <c r="Z31" s="406"/>
      <c r="AA31" s="403"/>
    </row>
    <row r="32" spans="1:27" ht="15.75" customHeight="1">
      <c r="A32" s="67"/>
      <c r="M32" s="25"/>
      <c r="N32" s="24">
        <v>4</v>
      </c>
      <c r="O32" s="406"/>
      <c r="P32" s="402"/>
      <c r="Q32" s="403"/>
      <c r="R32" s="406"/>
      <c r="S32" s="402"/>
      <c r="T32" s="403"/>
      <c r="U32" s="4"/>
      <c r="V32" s="14"/>
      <c r="W32" s="4"/>
      <c r="X32" s="16">
        <f>W32*U32</f>
        <v>0</v>
      </c>
      <c r="Y32" s="4"/>
      <c r="Z32" s="406"/>
      <c r="AA32" s="403"/>
    </row>
    <row r="33" spans="1:27" ht="15.75" customHeight="1">
      <c r="A33" s="18"/>
      <c r="B33" s="49" t="s">
        <v>47</v>
      </c>
      <c r="C33" s="404" t="s">
        <v>12</v>
      </c>
      <c r="D33" s="402"/>
      <c r="E33" s="403"/>
      <c r="F33" s="49" t="s">
        <v>46</v>
      </c>
      <c r="G33" s="49" t="s">
        <v>48</v>
      </c>
      <c r="H33" s="49" t="s">
        <v>49</v>
      </c>
      <c r="I33" s="8" t="s">
        <v>13</v>
      </c>
      <c r="J33" s="417" t="s">
        <v>51</v>
      </c>
      <c r="K33" s="403"/>
      <c r="M33" s="25"/>
      <c r="N33" s="29">
        <v>5</v>
      </c>
      <c r="O33" s="406"/>
      <c r="P33" s="402"/>
      <c r="Q33" s="403"/>
      <c r="R33" s="406"/>
      <c r="S33" s="402"/>
      <c r="T33" s="403"/>
      <c r="U33" s="27"/>
      <c r="V33" s="30"/>
      <c r="W33" s="27"/>
      <c r="X33" s="31">
        <f>W33*U33</f>
        <v>0</v>
      </c>
      <c r="Y33" s="4"/>
      <c r="Z33" s="406"/>
      <c r="AA33" s="403"/>
    </row>
    <row r="34" spans="1:27" ht="15.75" customHeight="1">
      <c r="A34" s="52" t="s">
        <v>35</v>
      </c>
      <c r="B34" s="6">
        <v>1</v>
      </c>
      <c r="C34" s="405" t="s">
        <v>79</v>
      </c>
      <c r="D34" s="402"/>
      <c r="E34" s="403"/>
      <c r="F34" s="4">
        <v>3</v>
      </c>
      <c r="G34" s="4">
        <v>2500</v>
      </c>
      <c r="H34" s="4">
        <v>833.33</v>
      </c>
      <c r="I34" s="4">
        <v>20</v>
      </c>
      <c r="J34" s="405" t="s">
        <v>78</v>
      </c>
      <c r="K34" s="403"/>
      <c r="M34" s="68"/>
      <c r="N34" s="45"/>
      <c r="O34" s="413"/>
      <c r="P34" s="402"/>
      <c r="Q34" s="402"/>
      <c r="R34" s="413"/>
      <c r="S34" s="402"/>
      <c r="T34" s="402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413"/>
      <c r="AA34" s="403"/>
    </row>
    <row r="35" spans="1:27" ht="15.75" customHeight="1">
      <c r="A35" s="23"/>
      <c r="B35" s="6">
        <v>2</v>
      </c>
      <c r="C35" s="406"/>
      <c r="D35" s="402"/>
      <c r="E35" s="403"/>
      <c r="F35" s="4"/>
      <c r="G35" s="4"/>
      <c r="H35" s="4"/>
      <c r="I35" s="4"/>
      <c r="J35" s="406"/>
      <c r="K35" s="403"/>
      <c r="M35" s="1"/>
      <c r="N35" s="1"/>
      <c r="O35" s="424"/>
      <c r="P35" s="425"/>
      <c r="Q35" s="425"/>
      <c r="R35" s="424"/>
      <c r="S35" s="425"/>
      <c r="T35" s="425"/>
      <c r="U35" s="1"/>
      <c r="V35" s="38"/>
      <c r="W35" s="1"/>
      <c r="X35" s="1"/>
      <c r="Y35" s="424"/>
      <c r="Z35" s="425"/>
      <c r="AA35" s="425"/>
    </row>
    <row r="36" spans="1:27" ht="15.75" customHeight="1">
      <c r="A36" s="23"/>
      <c r="B36" s="6">
        <v>3</v>
      </c>
      <c r="C36" s="406"/>
      <c r="D36" s="402"/>
      <c r="E36" s="403"/>
      <c r="F36" s="4"/>
      <c r="G36" s="4"/>
      <c r="H36" s="4"/>
      <c r="I36" s="4"/>
      <c r="J36" s="406"/>
      <c r="K36" s="403"/>
      <c r="M36" s="52" t="s">
        <v>27</v>
      </c>
      <c r="N36" s="57" t="s">
        <v>47</v>
      </c>
      <c r="O36" s="412" t="s">
        <v>12</v>
      </c>
      <c r="P36" s="413"/>
      <c r="Q36" s="414"/>
      <c r="R36" s="418" t="s">
        <v>53</v>
      </c>
      <c r="S36" s="419"/>
      <c r="T36" s="420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417" t="s">
        <v>51</v>
      </c>
      <c r="AA36" s="427"/>
    </row>
    <row r="37" spans="1:27" ht="15.75" customHeight="1">
      <c r="A37" s="23"/>
      <c r="B37" s="6">
        <v>4</v>
      </c>
      <c r="C37" s="406"/>
      <c r="D37" s="402"/>
      <c r="E37" s="403"/>
      <c r="F37" s="4"/>
      <c r="G37" s="4"/>
      <c r="H37" s="4"/>
      <c r="I37" s="4"/>
      <c r="J37" s="406"/>
      <c r="K37" s="403"/>
      <c r="M37" s="56" t="s">
        <v>42</v>
      </c>
      <c r="N37" s="24">
        <v>1</v>
      </c>
      <c r="O37" s="405" t="s">
        <v>89</v>
      </c>
      <c r="P37" s="402"/>
      <c r="Q37" s="403"/>
      <c r="R37" s="405" t="s">
        <v>90</v>
      </c>
      <c r="S37" s="402"/>
      <c r="T37" s="403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405" t="s">
        <v>91</v>
      </c>
      <c r="AA37" s="403"/>
    </row>
    <row r="38" spans="1:27" ht="15.75" customHeight="1">
      <c r="A38" s="23"/>
      <c r="B38" s="26">
        <v>5</v>
      </c>
      <c r="C38" s="407"/>
      <c r="D38" s="411"/>
      <c r="E38" s="408"/>
      <c r="F38" s="27"/>
      <c r="G38" s="27"/>
      <c r="H38" s="27"/>
      <c r="I38" s="27"/>
      <c r="J38" s="407"/>
      <c r="K38" s="408"/>
      <c r="M38" s="25"/>
      <c r="N38" s="24">
        <v>2</v>
      </c>
      <c r="O38" s="406"/>
      <c r="P38" s="402"/>
      <c r="Q38" s="403"/>
      <c r="R38" s="406"/>
      <c r="S38" s="402"/>
      <c r="T38" s="403"/>
      <c r="U38" s="4"/>
      <c r="V38" s="14"/>
      <c r="W38" s="4"/>
      <c r="X38" s="16">
        <f>W38*U38</f>
        <v>0</v>
      </c>
      <c r="Y38" s="4"/>
      <c r="Z38" s="406"/>
      <c r="AA38" s="403"/>
    </row>
    <row r="39" spans="1:27" ht="14">
      <c r="A39" s="23"/>
      <c r="B39" s="69" t="s">
        <v>101</v>
      </c>
      <c r="C39" s="409" t="s">
        <v>80</v>
      </c>
      <c r="D39" s="416"/>
      <c r="E39" s="410"/>
      <c r="F39" s="28">
        <v>7</v>
      </c>
      <c r="G39" s="28">
        <v>2200</v>
      </c>
      <c r="H39" s="28">
        <v>314.29000000000002</v>
      </c>
      <c r="I39" s="28">
        <v>-15</v>
      </c>
      <c r="J39" s="409" t="s">
        <v>81</v>
      </c>
      <c r="K39" s="410"/>
      <c r="M39" s="25"/>
      <c r="N39" s="24">
        <v>3</v>
      </c>
      <c r="O39" s="406"/>
      <c r="P39" s="402"/>
      <c r="Q39" s="403"/>
      <c r="R39" s="406"/>
      <c r="S39" s="402"/>
      <c r="T39" s="403"/>
      <c r="U39" s="4"/>
      <c r="V39" s="14"/>
      <c r="W39" s="4"/>
      <c r="X39" s="16">
        <f>W39*U39</f>
        <v>0</v>
      </c>
      <c r="Y39" s="4"/>
      <c r="Z39" s="406"/>
      <c r="AA39" s="403"/>
    </row>
    <row r="40" spans="1:27" ht="14">
      <c r="A40" s="23"/>
      <c r="B40" s="70" t="s">
        <v>102</v>
      </c>
      <c r="C40" s="406"/>
      <c r="D40" s="402"/>
      <c r="E40" s="403"/>
      <c r="F40" s="4"/>
      <c r="G40" s="4"/>
      <c r="H40" s="4"/>
      <c r="I40" s="4"/>
      <c r="J40" s="406"/>
      <c r="K40" s="403"/>
      <c r="M40" s="25"/>
      <c r="N40" s="24">
        <v>4</v>
      </c>
      <c r="O40" s="406"/>
      <c r="P40" s="402"/>
      <c r="Q40" s="403"/>
      <c r="R40" s="406"/>
      <c r="S40" s="402"/>
      <c r="T40" s="403"/>
      <c r="U40" s="4"/>
      <c r="V40" s="14"/>
      <c r="W40" s="4"/>
      <c r="X40" s="16">
        <f>W40*U40</f>
        <v>0</v>
      </c>
      <c r="Y40" s="4"/>
      <c r="Z40" s="406"/>
      <c r="AA40" s="403"/>
    </row>
    <row r="41" spans="1:27" ht="14">
      <c r="A41" s="23"/>
      <c r="B41" s="70" t="s">
        <v>100</v>
      </c>
      <c r="C41" s="406"/>
      <c r="D41" s="402"/>
      <c r="E41" s="403"/>
      <c r="F41" s="4"/>
      <c r="G41" s="4"/>
      <c r="H41" s="4"/>
      <c r="I41" s="4"/>
      <c r="J41" s="406"/>
      <c r="K41" s="403"/>
      <c r="M41" s="25"/>
      <c r="N41" s="29">
        <v>5</v>
      </c>
      <c r="O41" s="407"/>
      <c r="P41" s="411"/>
      <c r="Q41" s="408"/>
      <c r="R41" s="407"/>
      <c r="S41" s="411"/>
      <c r="T41" s="408"/>
      <c r="U41" s="27"/>
      <c r="V41" s="30"/>
      <c r="W41" s="27"/>
      <c r="X41" s="31">
        <f>W41*U41</f>
        <v>0</v>
      </c>
      <c r="Y41" s="4"/>
      <c r="Z41" s="406"/>
      <c r="AA41" s="403"/>
    </row>
    <row r="42" spans="1:27" ht="14">
      <c r="A42" s="23"/>
      <c r="B42" s="70" t="s">
        <v>99</v>
      </c>
      <c r="C42" s="406"/>
      <c r="D42" s="402"/>
      <c r="E42" s="403"/>
      <c r="F42" s="4"/>
      <c r="G42" s="4"/>
      <c r="H42" s="4"/>
      <c r="I42" s="4"/>
      <c r="J42" s="406"/>
      <c r="K42" s="403"/>
      <c r="M42" s="32"/>
      <c r="N42" s="54"/>
      <c r="O42" s="413"/>
      <c r="P42" s="402"/>
      <c r="Q42" s="402"/>
      <c r="R42" s="413"/>
      <c r="S42" s="402"/>
      <c r="T42" s="402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413"/>
      <c r="AA42" s="403"/>
    </row>
    <row r="43" spans="1:27" ht="14">
      <c r="A43" s="20"/>
      <c r="B43" s="70" t="s">
        <v>103</v>
      </c>
      <c r="C43" s="406"/>
      <c r="D43" s="402"/>
      <c r="E43" s="403"/>
      <c r="F43" s="4"/>
      <c r="G43" s="4"/>
      <c r="H43" s="4"/>
      <c r="I43" s="4"/>
      <c r="J43" s="406"/>
      <c r="K43" s="403"/>
      <c r="M43" s="56" t="s">
        <v>43</v>
      </c>
      <c r="N43" s="24">
        <v>1</v>
      </c>
      <c r="O43" s="405" t="s">
        <v>89</v>
      </c>
      <c r="P43" s="402"/>
      <c r="Q43" s="403"/>
      <c r="R43" s="421" t="s">
        <v>93</v>
      </c>
      <c r="S43" s="422"/>
      <c r="T43" s="423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405" t="s">
        <v>92</v>
      </c>
      <c r="AA43" s="403"/>
    </row>
    <row r="44" spans="1:27" ht="14">
      <c r="A44" s="67"/>
      <c r="M44" s="25"/>
      <c r="N44" s="24">
        <v>2</v>
      </c>
      <c r="O44" s="406"/>
      <c r="P44" s="402"/>
      <c r="Q44" s="403"/>
      <c r="R44" s="406"/>
      <c r="S44" s="402"/>
      <c r="T44" s="403"/>
      <c r="U44" s="4"/>
      <c r="V44" s="14"/>
      <c r="W44" s="4"/>
      <c r="X44" s="37">
        <f>W44*U44</f>
        <v>0</v>
      </c>
      <c r="Y44" s="4"/>
      <c r="Z44" s="406"/>
      <c r="AA44" s="403"/>
    </row>
    <row r="45" spans="1:27" ht="14">
      <c r="A45" s="18"/>
      <c r="B45" s="49" t="s">
        <v>47</v>
      </c>
      <c r="C45" s="404" t="s">
        <v>12</v>
      </c>
      <c r="D45" s="402"/>
      <c r="E45" s="403"/>
      <c r="F45" s="49" t="s">
        <v>46</v>
      </c>
      <c r="G45" s="49" t="s">
        <v>48</v>
      </c>
      <c r="H45" s="49" t="s">
        <v>49</v>
      </c>
      <c r="I45" s="8" t="s">
        <v>13</v>
      </c>
      <c r="J45" s="417" t="s">
        <v>51</v>
      </c>
      <c r="K45" s="403"/>
      <c r="M45" s="25"/>
      <c r="N45" s="24">
        <v>3</v>
      </c>
      <c r="O45" s="406"/>
      <c r="P45" s="402"/>
      <c r="Q45" s="403"/>
      <c r="R45" s="406"/>
      <c r="S45" s="402"/>
      <c r="T45" s="403"/>
      <c r="U45" s="4"/>
      <c r="V45" s="14"/>
      <c r="W45" s="4"/>
      <c r="X45" s="37">
        <f>W45*U45</f>
        <v>0</v>
      </c>
      <c r="Y45" s="4"/>
      <c r="Z45" s="406"/>
      <c r="AA45" s="403"/>
    </row>
    <row r="46" spans="1:27" ht="14">
      <c r="A46" s="52" t="s">
        <v>36</v>
      </c>
      <c r="B46" s="6">
        <v>1</v>
      </c>
      <c r="C46" s="405" t="s">
        <v>82</v>
      </c>
      <c r="D46" s="402"/>
      <c r="E46" s="403"/>
      <c r="F46" s="4">
        <v>15</v>
      </c>
      <c r="G46" s="4">
        <v>1200</v>
      </c>
      <c r="H46" s="4">
        <v>80</v>
      </c>
      <c r="I46" s="4">
        <v>5</v>
      </c>
      <c r="J46" s="405" t="s">
        <v>83</v>
      </c>
      <c r="K46" s="403"/>
      <c r="M46" s="25"/>
      <c r="N46" s="24">
        <v>4</v>
      </c>
      <c r="O46" s="406"/>
      <c r="P46" s="402"/>
      <c r="Q46" s="403"/>
      <c r="R46" s="406"/>
      <c r="S46" s="402"/>
      <c r="T46" s="403"/>
      <c r="U46" s="4"/>
      <c r="V46" s="14"/>
      <c r="W46" s="4"/>
      <c r="X46" s="37">
        <f>W46*U46</f>
        <v>0</v>
      </c>
      <c r="Y46" s="4"/>
      <c r="Z46" s="406"/>
      <c r="AA46" s="403"/>
    </row>
    <row r="47" spans="1:27" ht="14">
      <c r="A47" s="23"/>
      <c r="B47" s="6">
        <v>2</v>
      </c>
      <c r="C47" s="406"/>
      <c r="D47" s="402"/>
      <c r="E47" s="403"/>
      <c r="F47" s="4"/>
      <c r="G47" s="4"/>
      <c r="H47" s="4"/>
      <c r="I47" s="4"/>
      <c r="J47" s="406"/>
      <c r="K47" s="403"/>
      <c r="M47" s="25"/>
      <c r="N47" s="29">
        <v>5</v>
      </c>
      <c r="O47" s="406"/>
      <c r="P47" s="402"/>
      <c r="Q47" s="403"/>
      <c r="R47" s="406"/>
      <c r="S47" s="402"/>
      <c r="T47" s="403"/>
      <c r="U47" s="27"/>
      <c r="V47" s="30"/>
      <c r="W47" s="27"/>
      <c r="X47" s="40">
        <f>W47*U47</f>
        <v>0</v>
      </c>
      <c r="Y47" s="4"/>
      <c r="Z47" s="406"/>
      <c r="AA47" s="403"/>
    </row>
    <row r="48" spans="1:27" ht="14">
      <c r="A48" s="23"/>
      <c r="B48" s="6">
        <v>3</v>
      </c>
      <c r="C48" s="406"/>
      <c r="D48" s="402"/>
      <c r="E48" s="403"/>
      <c r="F48" s="4"/>
      <c r="G48" s="4"/>
      <c r="H48" s="4"/>
      <c r="I48" s="4"/>
      <c r="J48" s="406"/>
      <c r="K48" s="403"/>
      <c r="M48" s="68"/>
      <c r="N48" s="45"/>
      <c r="O48" s="413"/>
      <c r="P48" s="402"/>
      <c r="Q48" s="402"/>
      <c r="R48" s="413"/>
      <c r="S48" s="402"/>
      <c r="T48" s="402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413"/>
      <c r="AA48" s="403"/>
    </row>
    <row r="49" spans="1:27" ht="14">
      <c r="A49" s="23"/>
      <c r="B49" s="6">
        <v>4</v>
      </c>
      <c r="C49" s="406"/>
      <c r="D49" s="402"/>
      <c r="E49" s="403"/>
      <c r="F49" s="4"/>
      <c r="G49" s="4"/>
      <c r="H49" s="4"/>
      <c r="I49" s="4"/>
      <c r="J49" s="406"/>
      <c r="K49" s="40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407"/>
      <c r="D50" s="411"/>
      <c r="E50" s="408"/>
      <c r="F50" s="27"/>
      <c r="G50" s="27"/>
      <c r="H50" s="27"/>
      <c r="I50" s="27"/>
      <c r="J50" s="407"/>
      <c r="K50" s="408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101</v>
      </c>
      <c r="C51" s="409" t="s">
        <v>89</v>
      </c>
      <c r="D51" s="416"/>
      <c r="E51" s="410"/>
      <c r="F51" s="28">
        <v>18</v>
      </c>
      <c r="G51" s="28">
        <v>800</v>
      </c>
      <c r="H51" s="28">
        <v>44.44</v>
      </c>
      <c r="I51" s="28">
        <v>-15</v>
      </c>
      <c r="J51" s="409" t="s">
        <v>84</v>
      </c>
      <c r="K51" s="410"/>
      <c r="M51" s="8"/>
      <c r="N51" s="8" t="s">
        <v>18</v>
      </c>
      <c r="O51" s="412" t="s">
        <v>12</v>
      </c>
      <c r="P51" s="413"/>
      <c r="Q51" s="414"/>
      <c r="R51" s="418" t="s">
        <v>53</v>
      </c>
      <c r="S51" s="419"/>
      <c r="T51" s="420"/>
      <c r="U51" s="57" t="s">
        <v>54</v>
      </c>
      <c r="V51" s="39" t="s">
        <v>19</v>
      </c>
      <c r="W51" s="57" t="s">
        <v>57</v>
      </c>
      <c r="X51" s="8" t="s">
        <v>2</v>
      </c>
      <c r="Y51" s="412" t="s">
        <v>50</v>
      </c>
      <c r="Z51" s="413"/>
      <c r="AA51" s="414"/>
    </row>
    <row r="52" spans="1:27" ht="14">
      <c r="A52" s="23"/>
      <c r="B52" s="70" t="s">
        <v>102</v>
      </c>
      <c r="C52" s="406"/>
      <c r="D52" s="402"/>
      <c r="E52" s="403"/>
      <c r="F52" s="4"/>
      <c r="G52" s="4"/>
      <c r="H52" s="4"/>
      <c r="I52" s="4"/>
      <c r="J52" s="406"/>
      <c r="K52" s="403"/>
      <c r="M52" s="56" t="s">
        <v>42</v>
      </c>
      <c r="N52" s="24">
        <v>1</v>
      </c>
      <c r="O52" s="405" t="s">
        <v>89</v>
      </c>
      <c r="P52" s="402"/>
      <c r="Q52" s="403"/>
      <c r="R52" s="421" t="s">
        <v>93</v>
      </c>
      <c r="S52" s="422"/>
      <c r="T52" s="423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405" t="s">
        <v>97</v>
      </c>
      <c r="Z52" s="402"/>
      <c r="AA52" s="403"/>
    </row>
    <row r="53" spans="1:27" ht="14">
      <c r="A53" s="23"/>
      <c r="B53" s="70" t="s">
        <v>100</v>
      </c>
      <c r="C53" s="406"/>
      <c r="D53" s="402"/>
      <c r="E53" s="403"/>
      <c r="F53" s="4"/>
      <c r="G53" s="4"/>
      <c r="H53" s="4"/>
      <c r="I53" s="4"/>
      <c r="J53" s="406"/>
      <c r="K53" s="403"/>
      <c r="M53" s="25"/>
      <c r="N53" s="29">
        <v>2</v>
      </c>
      <c r="O53" s="407"/>
      <c r="P53" s="411"/>
      <c r="Q53" s="408"/>
      <c r="R53" s="407"/>
      <c r="S53" s="411"/>
      <c r="T53" s="408"/>
      <c r="U53" s="27"/>
      <c r="V53" s="30"/>
      <c r="W53" s="30"/>
      <c r="X53" s="41">
        <f>W53-V53</f>
        <v>0</v>
      </c>
      <c r="Y53" s="407"/>
      <c r="Z53" s="411"/>
      <c r="AA53" s="408"/>
    </row>
    <row r="54" spans="1:27" ht="14">
      <c r="A54" s="23"/>
      <c r="B54" s="70" t="s">
        <v>99</v>
      </c>
      <c r="C54" s="406"/>
      <c r="D54" s="402"/>
      <c r="E54" s="403"/>
      <c r="F54" s="4"/>
      <c r="G54" s="4"/>
      <c r="H54" s="4"/>
      <c r="I54" s="4"/>
      <c r="J54" s="406"/>
      <c r="K54" s="403"/>
      <c r="M54" s="56" t="s">
        <v>43</v>
      </c>
      <c r="N54" s="42">
        <v>1</v>
      </c>
      <c r="O54" s="409" t="s">
        <v>94</v>
      </c>
      <c r="P54" s="416"/>
      <c r="Q54" s="410"/>
      <c r="R54" s="409" t="s">
        <v>95</v>
      </c>
      <c r="S54" s="416"/>
      <c r="T54" s="410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409" t="s">
        <v>96</v>
      </c>
      <c r="Z54" s="416"/>
      <c r="AA54" s="410"/>
    </row>
    <row r="55" spans="1:27" ht="14">
      <c r="A55" s="20"/>
      <c r="B55" s="70" t="s">
        <v>103</v>
      </c>
      <c r="C55" s="406"/>
      <c r="D55" s="402"/>
      <c r="E55" s="403"/>
      <c r="F55" s="4"/>
      <c r="G55" s="4"/>
      <c r="H55" s="4"/>
      <c r="I55" s="4"/>
      <c r="J55" s="406"/>
      <c r="K55" s="403"/>
      <c r="M55" s="22"/>
      <c r="N55" s="24">
        <v>2</v>
      </c>
      <c r="O55" s="406"/>
      <c r="P55" s="402"/>
      <c r="Q55" s="403"/>
      <c r="R55" s="406"/>
      <c r="S55" s="402"/>
      <c r="T55" s="403"/>
      <c r="U55" s="4"/>
      <c r="V55" s="14"/>
      <c r="W55" s="14"/>
      <c r="X55" s="13">
        <f>W55-V55</f>
        <v>0</v>
      </c>
      <c r="Y55" s="406"/>
      <c r="Z55" s="402"/>
      <c r="AA55" s="403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4296875" defaultRowHeight="15.75" customHeight="1"/>
  <cols>
    <col min="1" max="1" width="27.453125" style="115" bestFit="1" customWidth="1"/>
    <col min="2" max="2" width="12.54296875" style="115" customWidth="1"/>
    <col min="3" max="4" width="12.54296875" style="115"/>
    <col min="5" max="5" width="16.453125" style="115" customWidth="1"/>
    <col min="6" max="6" width="2.453125" style="115" customWidth="1"/>
    <col min="7" max="7" width="24.81640625" style="115" bestFit="1" customWidth="1"/>
    <col min="8" max="10" width="12.54296875" style="115"/>
    <col min="11" max="11" width="16.453125" style="115" customWidth="1"/>
    <col min="12" max="12" width="12.54296875" style="116"/>
    <col min="13" max="16384" width="12.54296875" style="115"/>
  </cols>
  <sheetData>
    <row r="1" spans="1:12" ht="15.75" customHeight="1">
      <c r="A1" s="399" t="s">
        <v>390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15"/>
    </row>
    <row r="2" spans="1:12" s="116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</row>
    <row r="3" spans="1:12" ht="21.65" customHeight="1">
      <c r="A3" s="130" t="s">
        <v>325</v>
      </c>
      <c r="B3" s="131">
        <v>10</v>
      </c>
      <c r="C3" s="130" t="s">
        <v>20</v>
      </c>
      <c r="D3" s="400" t="s">
        <v>389</v>
      </c>
      <c r="E3" s="400"/>
      <c r="F3" s="116"/>
      <c r="G3" s="125"/>
      <c r="H3" s="116"/>
      <c r="I3" s="116"/>
      <c r="J3" s="116"/>
      <c r="K3" s="116"/>
    </row>
    <row r="4" spans="1:12" ht="15.75" customHeight="1">
      <c r="A4" s="126" t="s">
        <v>195</v>
      </c>
      <c r="E4" s="118" t="s">
        <v>23</v>
      </c>
      <c r="G4" s="127" t="s">
        <v>125</v>
      </c>
      <c r="L4" s="115"/>
    </row>
    <row r="5" spans="1:12" s="120" customFormat="1" ht="15.75" customHeight="1">
      <c r="A5" s="137" t="s">
        <v>197</v>
      </c>
      <c r="B5" s="132" t="s">
        <v>22</v>
      </c>
      <c r="C5" s="132" t="s">
        <v>1</v>
      </c>
      <c r="D5" s="132" t="s">
        <v>2</v>
      </c>
      <c r="E5" s="132" t="s">
        <v>3</v>
      </c>
      <c r="G5" s="137" t="s">
        <v>197</v>
      </c>
      <c r="H5" s="132" t="s">
        <v>69</v>
      </c>
      <c r="I5" s="132" t="s">
        <v>22</v>
      </c>
      <c r="J5" s="132" t="s">
        <v>67</v>
      </c>
      <c r="K5" s="132" t="s">
        <v>3</v>
      </c>
      <c r="L5" s="121" t="s">
        <v>60</v>
      </c>
    </row>
    <row r="6" spans="1:12" ht="18" customHeight="1">
      <c r="A6" s="123" t="s">
        <v>24</v>
      </c>
      <c r="B6" s="133">
        <f>'（１）收支狀況'!H10/1000</f>
        <v>236658.24100000001</v>
      </c>
      <c r="C6" s="265">
        <v>224463.48699999999</v>
      </c>
      <c r="D6" s="133">
        <f t="shared" ref="D6:D11" si="0">B6-C6</f>
        <v>12194.754000000015</v>
      </c>
      <c r="E6" s="133">
        <f t="shared" ref="E6:E11" si="1">B6</f>
        <v>236658.24100000001</v>
      </c>
      <c r="G6" s="123" t="s">
        <v>198</v>
      </c>
      <c r="H6" s="268">
        <v>266</v>
      </c>
      <c r="I6" s="135">
        <f>'（２）ＫＰＩ達成進度'!H6</f>
        <v>0</v>
      </c>
      <c r="J6" s="271">
        <v>330.21457859125206</v>
      </c>
      <c r="K6" s="135">
        <f t="shared" ref="K6:K11" si="2">I6</f>
        <v>0</v>
      </c>
      <c r="L6" s="117" t="s">
        <v>194</v>
      </c>
    </row>
    <row r="7" spans="1:12" ht="18" customHeight="1">
      <c r="A7" s="123" t="s">
        <v>25</v>
      </c>
      <c r="B7" s="133">
        <f>'（１）收支狀況'!K10</f>
        <v>7295467</v>
      </c>
      <c r="C7" s="265">
        <v>6964636</v>
      </c>
      <c r="D7" s="133">
        <f t="shared" si="0"/>
        <v>330831</v>
      </c>
      <c r="E7" s="133">
        <f t="shared" si="1"/>
        <v>7295467</v>
      </c>
      <c r="G7" s="123" t="s">
        <v>199</v>
      </c>
      <c r="H7" s="231">
        <v>0.8</v>
      </c>
      <c r="I7" s="134">
        <f>'（２）ＫＰＩ達成進度'!K6</f>
        <v>0</v>
      </c>
      <c r="J7" s="266">
        <v>0.90222562456626254</v>
      </c>
      <c r="K7" s="134">
        <f t="shared" si="2"/>
        <v>0</v>
      </c>
      <c r="L7" s="117" t="s">
        <v>4</v>
      </c>
    </row>
    <row r="8" spans="1:12" ht="18" customHeight="1">
      <c r="A8" s="123" t="s">
        <v>5</v>
      </c>
      <c r="B8" s="133">
        <f>'（１）收支狀況'!N10/1000</f>
        <v>157257.76699999999</v>
      </c>
      <c r="C8" s="265">
        <v>150244.29199999999</v>
      </c>
      <c r="D8" s="133">
        <f>B8-C8</f>
        <v>7013.4750000000058</v>
      </c>
      <c r="E8" s="133">
        <f t="shared" si="1"/>
        <v>157257.76699999999</v>
      </c>
      <c r="G8" s="123" t="s">
        <v>200</v>
      </c>
      <c r="H8" s="226">
        <v>2.5000000000000001E-3</v>
      </c>
      <c r="I8" s="226">
        <f>'（２）ＫＰＩ達成進度'!N6</f>
        <v>0</v>
      </c>
      <c r="J8" s="272">
        <v>2.4646256819628254E-3</v>
      </c>
      <c r="K8" s="226">
        <f t="shared" si="2"/>
        <v>0</v>
      </c>
      <c r="L8" s="117" t="s">
        <v>55</v>
      </c>
    </row>
    <row r="9" spans="1:12" ht="18" customHeight="1">
      <c r="A9" s="123" t="s">
        <v>6</v>
      </c>
      <c r="B9" s="134">
        <f>'（１）收支狀況'!Q10</f>
        <v>0.66449309491825392</v>
      </c>
      <c r="C9" s="266">
        <v>0.66934847180735457</v>
      </c>
      <c r="D9" s="134">
        <f t="shared" si="0"/>
        <v>-4.8553768891006488E-3</v>
      </c>
      <c r="E9" s="134">
        <f t="shared" si="1"/>
        <v>0.66449309491825392</v>
      </c>
      <c r="G9" s="123" t="s">
        <v>201</v>
      </c>
      <c r="H9" s="226">
        <v>2.5999999999999999E-3</v>
      </c>
      <c r="I9" s="226">
        <f>'（２）ＫＰＩ達成進度'!Q6</f>
        <v>0</v>
      </c>
      <c r="J9" s="272">
        <v>2.3405370745029669E-3</v>
      </c>
      <c r="K9" s="226">
        <f t="shared" si="2"/>
        <v>0</v>
      </c>
      <c r="L9" s="117" t="s">
        <v>98</v>
      </c>
    </row>
    <row r="10" spans="1:12" ht="18" customHeight="1">
      <c r="A10" s="123" t="s">
        <v>64</v>
      </c>
      <c r="B10" s="133">
        <f>'（１）收支狀況'!T10/1000</f>
        <v>31813.903183870982</v>
      </c>
      <c r="C10" s="265">
        <v>32105.786706827967</v>
      </c>
      <c r="D10" s="133">
        <f t="shared" si="0"/>
        <v>-291.88352295698496</v>
      </c>
      <c r="E10" s="133">
        <f t="shared" si="1"/>
        <v>31813.903183870982</v>
      </c>
      <c r="G10" s="123" t="s">
        <v>202</v>
      </c>
      <c r="H10" s="228">
        <v>0.8</v>
      </c>
      <c r="I10" s="228">
        <f>'（２）ＫＰＩ達成進度'!T6</f>
        <v>0</v>
      </c>
      <c r="J10" s="273">
        <v>0.91666666666666707</v>
      </c>
      <c r="K10" s="228">
        <f t="shared" si="2"/>
        <v>0</v>
      </c>
      <c r="L10" s="117" t="s">
        <v>7</v>
      </c>
    </row>
    <row r="11" spans="1:12" ht="18" customHeight="1">
      <c r="A11" s="123" t="s">
        <v>65</v>
      </c>
      <c r="B11" s="134">
        <f>'（１）收支狀況'!W10</f>
        <v>0.13442972891812791</v>
      </c>
      <c r="C11" s="266">
        <v>0.14303344894053066</v>
      </c>
      <c r="D11" s="134">
        <f t="shared" si="0"/>
        <v>-8.6037200224027555E-3</v>
      </c>
      <c r="E11" s="134">
        <f t="shared" si="1"/>
        <v>0.13442972891812791</v>
      </c>
      <c r="G11" s="123" t="s">
        <v>203</v>
      </c>
      <c r="H11" s="228">
        <v>1</v>
      </c>
      <c r="I11" s="134">
        <f>'（２）ＫＰＩ達成進度'!W6</f>
        <v>0</v>
      </c>
      <c r="J11" s="266">
        <v>0.84941935483870945</v>
      </c>
      <c r="K11" s="134">
        <f t="shared" si="2"/>
        <v>0</v>
      </c>
      <c r="L11" s="117" t="s">
        <v>62</v>
      </c>
    </row>
    <row r="12" spans="1:12" ht="9.65" customHeight="1">
      <c r="L12" s="115"/>
    </row>
    <row r="13" spans="1:12" ht="15.75" customHeight="1">
      <c r="A13" s="126" t="s">
        <v>32</v>
      </c>
      <c r="G13" s="126" t="s">
        <v>147</v>
      </c>
      <c r="L13" s="115"/>
    </row>
    <row r="14" spans="1:12" s="122" customFormat="1" ht="13.5">
      <c r="A14" s="136"/>
      <c r="B14" s="136" t="s">
        <v>22</v>
      </c>
      <c r="C14" s="136" t="s">
        <v>66</v>
      </c>
      <c r="D14" s="136" t="s">
        <v>67</v>
      </c>
      <c r="E14" s="136" t="s">
        <v>68</v>
      </c>
      <c r="G14" s="136"/>
      <c r="H14" s="136" t="s">
        <v>22</v>
      </c>
      <c r="I14" s="136" t="s">
        <v>66</v>
      </c>
      <c r="J14" s="136" t="s">
        <v>67</v>
      </c>
      <c r="K14" s="136" t="s">
        <v>68</v>
      </c>
    </row>
    <row r="15" spans="1:12" ht="18" customHeight="1">
      <c r="A15" s="123" t="s">
        <v>227</v>
      </c>
      <c r="B15" s="133">
        <f>'（３）業績構成比'!M46/1000</f>
        <v>45542.453422892773</v>
      </c>
      <c r="C15" s="134">
        <f>IFERROR(B15/$B$6,"")</f>
        <v>0.19243975291311649</v>
      </c>
      <c r="D15" s="266">
        <v>0.19061185820038584</v>
      </c>
      <c r="E15" s="134">
        <f>IFERROR(C15-D15,"")</f>
        <v>1.8278947127306489E-3</v>
      </c>
      <c r="G15" s="123" t="s">
        <v>232</v>
      </c>
      <c r="H15" s="133">
        <f>'（４）訂單數量構成比'!M46</f>
        <v>2532380</v>
      </c>
      <c r="I15" s="134">
        <f t="shared" ref="I15:I23" si="3">IFERROR(H15/$B$7,"")</f>
        <v>0.34711691520227561</v>
      </c>
      <c r="J15" s="266">
        <v>0.33067557299476957</v>
      </c>
      <c r="K15" s="134">
        <f t="shared" ref="K15:K23" si="4">IFERROR(I15-J15,"")</f>
        <v>1.6441342207506038E-2</v>
      </c>
      <c r="L15" s="115"/>
    </row>
    <row r="16" spans="1:12" ht="18" customHeight="1">
      <c r="A16" s="123" t="s">
        <v>222</v>
      </c>
      <c r="B16" s="133">
        <f>'（３）業績構成比'!S46/1000</f>
        <v>8950.734821592454</v>
      </c>
      <c r="C16" s="134">
        <f t="shared" ref="C16:C23" si="5">IFERROR(B16/$B$6,"")</f>
        <v>3.782135278184736E-2</v>
      </c>
      <c r="D16" s="266">
        <v>4.2789233591899609E-2</v>
      </c>
      <c r="E16" s="134">
        <f t="shared" ref="E16:E23" si="6">IFERROR(C16-D16,"")</f>
        <v>-4.9678808100522484E-3</v>
      </c>
      <c r="G16" s="123" t="s">
        <v>251</v>
      </c>
      <c r="H16" s="133">
        <f>'（４）訂單數量構成比'!S47</f>
        <v>377367</v>
      </c>
      <c r="I16" s="134">
        <f t="shared" si="3"/>
        <v>5.1726229451795204E-2</v>
      </c>
      <c r="J16" s="266">
        <v>6.1681041191528174E-2</v>
      </c>
      <c r="K16" s="134">
        <f t="shared" si="4"/>
        <v>-9.9548117397329702E-3</v>
      </c>
      <c r="L16" s="115"/>
    </row>
    <row r="17" spans="1:18" ht="18" customHeight="1">
      <c r="A17" s="123" t="s">
        <v>218</v>
      </c>
      <c r="B17" s="133">
        <f>'（３）業績構成比'!U46/1000</f>
        <v>39985.360689070083</v>
      </c>
      <c r="C17" s="134">
        <f t="shared" si="5"/>
        <v>0.16895824341511134</v>
      </c>
      <c r="D17" s="266">
        <v>8.6938303169141445E-2</v>
      </c>
      <c r="E17" s="134">
        <f t="shared" si="6"/>
        <v>8.2019940245969897E-2</v>
      </c>
      <c r="G17" s="123" t="s">
        <v>233</v>
      </c>
      <c r="H17" s="133">
        <f>'（４）訂單數量構成比'!U46</f>
        <v>1212329</v>
      </c>
      <c r="I17" s="134">
        <f t="shared" si="3"/>
        <v>0.16617565400542555</v>
      </c>
      <c r="J17" s="266">
        <v>8.2530228428305513E-2</v>
      </c>
      <c r="K17" s="134">
        <f t="shared" si="4"/>
        <v>8.3645425577120042E-2</v>
      </c>
      <c r="L17" s="115"/>
    </row>
    <row r="18" spans="1:18" ht="18" customHeight="1">
      <c r="A18" s="123" t="s">
        <v>220</v>
      </c>
      <c r="B18" s="133">
        <f>'（３）業績構成比'!W46/1000</f>
        <v>2524.8574765903177</v>
      </c>
      <c r="C18" s="134">
        <f t="shared" si="5"/>
        <v>1.0668791696927712E-2</v>
      </c>
      <c r="D18" s="266">
        <v>1.4659145993880142E-2</v>
      </c>
      <c r="E18" s="134">
        <f t="shared" si="6"/>
        <v>-3.9903542969524294E-3</v>
      </c>
      <c r="G18" s="123" t="s">
        <v>219</v>
      </c>
      <c r="H18" s="133">
        <f>'（４）訂單數量構成比'!W46</f>
        <v>73344</v>
      </c>
      <c r="I18" s="134">
        <f t="shared" si="3"/>
        <v>1.0053366014814404E-2</v>
      </c>
      <c r="J18" s="266">
        <v>1.6773740939224964E-2</v>
      </c>
      <c r="K18" s="134">
        <f t="shared" si="4"/>
        <v>-6.7203749244105597E-3</v>
      </c>
      <c r="L18" s="115"/>
    </row>
    <row r="19" spans="1:18" ht="18" customHeight="1">
      <c r="A19" s="123" t="s">
        <v>224</v>
      </c>
      <c r="B19" s="133">
        <f>'（３）業績構成比'!AC46/1000</f>
        <v>73478.831666594968</v>
      </c>
      <c r="C19" s="134">
        <f t="shared" si="5"/>
        <v>0.31048499032237364</v>
      </c>
      <c r="D19" s="266">
        <v>0.24409177848792188</v>
      </c>
      <c r="E19" s="134">
        <f t="shared" si="6"/>
        <v>6.6393211834451765E-2</v>
      </c>
      <c r="G19" s="123" t="s">
        <v>223</v>
      </c>
      <c r="H19" s="133">
        <f>'（４）訂單數量構成比'!AC46</f>
        <v>1837522</v>
      </c>
      <c r="I19" s="134">
        <f t="shared" si="3"/>
        <v>0.25187174446817456</v>
      </c>
      <c r="J19" s="266">
        <v>0.19673059726308739</v>
      </c>
      <c r="K19" s="134">
        <f t="shared" si="4"/>
        <v>5.5141147205087171E-2</v>
      </c>
      <c r="L19" s="115"/>
    </row>
    <row r="20" spans="1:18" ht="18" customHeight="1">
      <c r="A20" s="123" t="s">
        <v>226</v>
      </c>
      <c r="B20" s="133">
        <f>'（３）業績構成比'!AE46/1000</f>
        <v>46028.325251401278</v>
      </c>
      <c r="C20" s="134">
        <f t="shared" si="5"/>
        <v>0.19449280556176057</v>
      </c>
      <c r="D20" s="266">
        <v>0.1397972381723295</v>
      </c>
      <c r="E20" s="134">
        <f t="shared" si="6"/>
        <v>5.4695567389431071E-2</v>
      </c>
      <c r="G20" s="123" t="s">
        <v>225</v>
      </c>
      <c r="H20" s="133">
        <f>'（４）訂單數量構成比'!AE46</f>
        <v>823192</v>
      </c>
      <c r="I20" s="134">
        <f t="shared" si="3"/>
        <v>0.1128360939745187</v>
      </c>
      <c r="J20" s="266">
        <v>7.9797709456746913E-2</v>
      </c>
      <c r="K20" s="134">
        <f t="shared" si="4"/>
        <v>3.3038384517771788E-2</v>
      </c>
      <c r="L20" s="115"/>
    </row>
    <row r="21" spans="1:18" ht="18" customHeight="1">
      <c r="A21" s="123" t="s">
        <v>228</v>
      </c>
      <c r="B21" s="133">
        <f>'（３）業績構成比'!AG46/1000</f>
        <v>9032.4507591356505</v>
      </c>
      <c r="C21" s="134">
        <f>IFERROR(B21/$B$6,"")</f>
        <v>3.8166643684027259E-2</v>
      </c>
      <c r="D21" s="266">
        <v>0.13619626613806221</v>
      </c>
      <c r="E21" s="134">
        <f>IFERROR(C21-D21,"")</f>
        <v>-9.8029622454034959E-2</v>
      </c>
      <c r="G21" s="123" t="s">
        <v>234</v>
      </c>
      <c r="H21" s="133">
        <f>'（４）訂單數量構成比'!AG46</f>
        <v>219989</v>
      </c>
      <c r="I21" s="134">
        <f>IFERROR(H21/$B$7,"")</f>
        <v>3.015420397350848E-2</v>
      </c>
      <c r="J21" s="266">
        <v>9.0009011239065476E-2</v>
      </c>
      <c r="K21" s="134">
        <f>IFERROR(I21-J21,"")</f>
        <v>-5.9854807265556996E-2</v>
      </c>
      <c r="L21" s="115"/>
    </row>
    <row r="22" spans="1:18" ht="18" customHeight="1">
      <c r="A22" s="123" t="s">
        <v>229</v>
      </c>
      <c r="B22" s="133">
        <f>'（３）業績構成比'!AI46/1000</f>
        <v>30696.281150646297</v>
      </c>
      <c r="C22" s="134">
        <f t="shared" si="5"/>
        <v>0.12970721417069223</v>
      </c>
      <c r="D22" s="266">
        <v>6.8175373790099608E-2</v>
      </c>
      <c r="E22" s="134">
        <f t="shared" si="6"/>
        <v>6.1531840380592617E-2</v>
      </c>
      <c r="G22" s="123" t="s">
        <v>235</v>
      </c>
      <c r="H22" s="133">
        <f>'（４）訂單數量構成比'!AI46</f>
        <v>827969</v>
      </c>
      <c r="I22" s="134">
        <f t="shared" si="3"/>
        <v>0.11349088413394236</v>
      </c>
      <c r="J22" s="266">
        <v>5.972113976954431E-2</v>
      </c>
      <c r="K22" s="134">
        <f t="shared" si="4"/>
        <v>5.3769744364398048E-2</v>
      </c>
      <c r="L22" s="115"/>
    </row>
    <row r="23" spans="1:18" ht="18" customHeight="1">
      <c r="A23" s="123" t="s">
        <v>231</v>
      </c>
      <c r="B23" s="133">
        <f>'（３）業績構成比'!AK46/1000</f>
        <v>21360.097328754437</v>
      </c>
      <c r="C23" s="134">
        <f t="shared" si="5"/>
        <v>9.0257145656526858E-2</v>
      </c>
      <c r="D23" s="266">
        <v>7.674080245627983E-2</v>
      </c>
      <c r="E23" s="134">
        <f t="shared" si="6"/>
        <v>1.3516343200247027E-2</v>
      </c>
      <c r="G23" s="123" t="s">
        <v>230</v>
      </c>
      <c r="H23" s="133">
        <f>'（４）訂單數量構成比'!AK46</f>
        <v>743401</v>
      </c>
      <c r="I23" s="134">
        <f t="shared" si="3"/>
        <v>0.10189902853374568</v>
      </c>
      <c r="J23" s="266">
        <v>8.2080958717727678E-2</v>
      </c>
      <c r="K23" s="134">
        <f t="shared" si="4"/>
        <v>1.9818069816017997E-2</v>
      </c>
      <c r="L23" s="115"/>
    </row>
    <row r="24" spans="1:18" ht="15.75" customHeight="1">
      <c r="C24" s="128">
        <f>SUM(C15:C23)</f>
        <v>1.1729969402023834</v>
      </c>
      <c r="D24" s="128">
        <f>SUM(D15:D23)</f>
        <v>1.0000000000000002</v>
      </c>
      <c r="I24" s="128">
        <f>SUM(I15:I23)</f>
        <v>1.1853241197582005</v>
      </c>
      <c r="J24" s="128">
        <f>SUM(J15:J23)</f>
        <v>1</v>
      </c>
      <c r="L24" s="115"/>
    </row>
    <row r="25" spans="1:18" ht="9.65" customHeight="1">
      <c r="A25" s="129"/>
      <c r="L25" s="115"/>
    </row>
    <row r="26" spans="1:18" ht="15.75" customHeight="1">
      <c r="A26" s="126" t="s">
        <v>196</v>
      </c>
      <c r="L26" s="115"/>
    </row>
    <row r="27" spans="1:18" ht="15.75" customHeight="1">
      <c r="A27" s="123" t="s">
        <v>186</v>
      </c>
      <c r="B27" s="123" t="s">
        <v>22</v>
      </c>
      <c r="C27" s="123" t="s">
        <v>1</v>
      </c>
      <c r="D27" s="123" t="s">
        <v>2</v>
      </c>
      <c r="E27" s="123" t="s">
        <v>3</v>
      </c>
      <c r="L27" s="115"/>
      <c r="M27" s="120" t="s">
        <v>461</v>
      </c>
      <c r="N27" s="120" t="s">
        <v>462</v>
      </c>
      <c r="O27" s="120" t="s">
        <v>463</v>
      </c>
      <c r="P27" s="120" t="s">
        <v>464</v>
      </c>
      <c r="Q27" s="120" t="s">
        <v>465</v>
      </c>
    </row>
    <row r="28" spans="1:18" ht="18" customHeight="1">
      <c r="A28" s="123" t="s">
        <v>232</v>
      </c>
      <c r="B28" s="267">
        <f>'（５-1）品群別人時生產性（18℃-飯糰）'!$C$1</f>
        <v>745.73597135820273</v>
      </c>
      <c r="C28" s="284">
        <v>756.20246993670457</v>
      </c>
      <c r="D28" s="221">
        <f t="shared" ref="D28:D36" si="7">B28-C28</f>
        <v>-10.466498578501842</v>
      </c>
      <c r="E28" s="267">
        <f>R28</f>
        <v>731.63175314308114</v>
      </c>
      <c r="G28" s="138"/>
      <c r="H28" s="138"/>
      <c r="I28" s="138"/>
      <c r="L28" s="115"/>
      <c r="M28" s="267">
        <v>717.52753492795955</v>
      </c>
      <c r="N28" s="267">
        <f>B28</f>
        <v>745.73597135820273</v>
      </c>
      <c r="O28" s="267"/>
      <c r="P28" s="267"/>
      <c r="Q28" s="267"/>
      <c r="R28" s="274">
        <f>AVERAGE(M28:Q28)</f>
        <v>731.63175314308114</v>
      </c>
    </row>
    <row r="29" spans="1:18" ht="18" customHeight="1">
      <c r="A29" s="123" t="s">
        <v>221</v>
      </c>
      <c r="B29" s="267">
        <f>'（５-2）品群別人時生產性（18-壽司手卷)'!$C$1</f>
        <v>170.93067830417365</v>
      </c>
      <c r="C29" s="284">
        <v>198.82982221081653</v>
      </c>
      <c r="D29" s="221">
        <f t="shared" si="7"/>
        <v>-27.899143906642877</v>
      </c>
      <c r="E29" s="267">
        <f t="shared" ref="E29:E36" si="8">R29</f>
        <v>184.28169759524087</v>
      </c>
      <c r="G29" s="139"/>
      <c r="H29" s="139"/>
      <c r="I29" s="139"/>
      <c r="L29" s="115"/>
      <c r="M29" s="267">
        <v>197.63271688630809</v>
      </c>
      <c r="N29" s="267">
        <f t="shared" ref="N29:N36" si="9">B29</f>
        <v>170.93067830417365</v>
      </c>
      <c r="O29" s="267"/>
      <c r="P29" s="267"/>
      <c r="Q29" s="267"/>
      <c r="R29" s="274">
        <f t="shared" ref="R29:R36" si="10">AVERAGE(M29:Q29)</f>
        <v>184.28169759524087</v>
      </c>
    </row>
    <row r="30" spans="1:18" ht="18" customHeight="1">
      <c r="A30" s="123" t="s">
        <v>233</v>
      </c>
      <c r="B30" s="267">
        <f>'（５-3）品群別人時生產性（4℃-飯糰)'!$C$1</f>
        <v>259.9408513255695</v>
      </c>
      <c r="C30" s="284">
        <v>253.36933201602551</v>
      </c>
      <c r="D30" s="221">
        <f t="shared" si="7"/>
        <v>6.5715193095439872</v>
      </c>
      <c r="E30" s="267">
        <f t="shared" si="8"/>
        <v>250.19971135193637</v>
      </c>
      <c r="L30" s="115"/>
      <c r="M30" s="267">
        <v>240.45857137830325</v>
      </c>
      <c r="N30" s="267">
        <f t="shared" si="9"/>
        <v>259.9408513255695</v>
      </c>
      <c r="O30" s="267"/>
      <c r="P30" s="267"/>
      <c r="Q30" s="267"/>
      <c r="R30" s="274">
        <f t="shared" si="10"/>
        <v>250.19971135193637</v>
      </c>
    </row>
    <row r="31" spans="1:18" ht="18" customHeight="1">
      <c r="A31" s="123" t="s">
        <v>219</v>
      </c>
      <c r="B31" s="267">
        <f>'（５-4）品群別人時生產性（4℃-壽司手卷)'!$C$1</f>
        <v>112.2247752247752</v>
      </c>
      <c r="C31" s="284">
        <v>112.99131142028241</v>
      </c>
      <c r="D31" s="221">
        <f t="shared" si="7"/>
        <v>-0.7665361955072143</v>
      </c>
      <c r="E31" s="267">
        <f t="shared" si="8"/>
        <v>109.5449490664564</v>
      </c>
      <c r="L31" s="115"/>
      <c r="M31" s="267">
        <v>106.86512290813759</v>
      </c>
      <c r="N31" s="267">
        <f t="shared" si="9"/>
        <v>112.2247752247752</v>
      </c>
      <c r="O31" s="267"/>
      <c r="P31" s="267"/>
      <c r="Q31" s="267"/>
      <c r="R31" s="274">
        <f t="shared" si="10"/>
        <v>109.5449490664564</v>
      </c>
    </row>
    <row r="32" spans="1:18" ht="18" customHeight="1">
      <c r="A32" s="123" t="s">
        <v>223</v>
      </c>
      <c r="B32" s="267">
        <f>'（５-5）品群別人時生產性(主食) '!$C$1</f>
        <v>87.362432734179066</v>
      </c>
      <c r="C32" s="284">
        <v>85.495684450909806</v>
      </c>
      <c r="D32" s="221">
        <f t="shared" si="7"/>
        <v>1.8667482832692599</v>
      </c>
      <c r="E32" s="267">
        <f t="shared" si="8"/>
        <v>88.336430569456184</v>
      </c>
      <c r="L32" s="115"/>
      <c r="M32" s="267">
        <v>89.310428404733287</v>
      </c>
      <c r="N32" s="267">
        <f t="shared" si="9"/>
        <v>87.362432734179066</v>
      </c>
      <c r="O32" s="267"/>
      <c r="P32" s="267"/>
      <c r="Q32" s="267"/>
      <c r="R32" s="274">
        <f t="shared" si="10"/>
        <v>88.336430569456184</v>
      </c>
    </row>
    <row r="33" spans="1:18" ht="18" customHeight="1">
      <c r="A33" s="123" t="s">
        <v>225</v>
      </c>
      <c r="B33" s="267">
        <f>'（５-6）品群別人時生產性(便當)'!$C$1</f>
        <v>72.684044900052385</v>
      </c>
      <c r="C33" s="284">
        <v>66.943613625537381</v>
      </c>
      <c r="D33" s="221">
        <f t="shared" si="7"/>
        <v>5.7404312745150037</v>
      </c>
      <c r="E33" s="267">
        <f t="shared" si="8"/>
        <v>69.178393679666073</v>
      </c>
      <c r="L33" s="115"/>
      <c r="M33" s="267">
        <v>65.67274245927976</v>
      </c>
      <c r="N33" s="267">
        <f t="shared" si="9"/>
        <v>72.684044900052385</v>
      </c>
      <c r="O33" s="267"/>
      <c r="P33" s="267"/>
      <c r="Q33" s="267"/>
      <c r="R33" s="274">
        <f t="shared" si="10"/>
        <v>69.178393679666073</v>
      </c>
    </row>
    <row r="34" spans="1:18" ht="18" customHeight="1">
      <c r="A34" s="123" t="s">
        <v>234</v>
      </c>
      <c r="B34" s="267">
        <f>'（５-7）品群別人時生產性(熱食義麵) '!$C$1</f>
        <v>86.416426295417338</v>
      </c>
      <c r="C34" s="284">
        <v>80.555861357885718</v>
      </c>
      <c r="D34" s="221">
        <f t="shared" si="7"/>
        <v>5.8605649375316204</v>
      </c>
      <c r="E34" s="267">
        <f t="shared" si="8"/>
        <v>80.947497658685052</v>
      </c>
      <c r="L34" s="115"/>
      <c r="M34" s="267">
        <v>75.478569021952779</v>
      </c>
      <c r="N34" s="267">
        <f t="shared" si="9"/>
        <v>86.416426295417338</v>
      </c>
      <c r="O34" s="267"/>
      <c r="P34" s="267"/>
      <c r="Q34" s="267"/>
      <c r="R34" s="274">
        <f t="shared" si="10"/>
        <v>80.947497658685052</v>
      </c>
    </row>
    <row r="35" spans="1:18" ht="18" customHeight="1">
      <c r="A35" s="123" t="s">
        <v>235</v>
      </c>
      <c r="B35" s="267">
        <f>'（５-8）品群別人時生產性(季節調理麵) '!$C$1</f>
        <v>123.5962842751391</v>
      </c>
      <c r="C35" s="284">
        <v>121.13262609451999</v>
      </c>
      <c r="D35" s="221">
        <f t="shared" si="7"/>
        <v>2.463658180619106</v>
      </c>
      <c r="E35" s="267">
        <f t="shared" si="8"/>
        <v>119.05092815087106</v>
      </c>
      <c r="L35" s="115"/>
      <c r="M35" s="267">
        <v>114.50557202660302</v>
      </c>
      <c r="N35" s="267">
        <f t="shared" si="9"/>
        <v>123.5962842751391</v>
      </c>
      <c r="O35" s="267"/>
      <c r="P35" s="267"/>
      <c r="Q35" s="267"/>
      <c r="R35" s="274">
        <f t="shared" si="10"/>
        <v>119.05092815087106</v>
      </c>
    </row>
    <row r="36" spans="1:18" ht="18" customHeight="1">
      <c r="A36" s="119" t="s">
        <v>230</v>
      </c>
      <c r="B36" s="267">
        <f>'（５-9）品群別人時生產性(微波小吃)'!$C$1</f>
        <v>178.48613962015105</v>
      </c>
      <c r="C36" s="284">
        <v>115.3662253913358</v>
      </c>
      <c r="D36" s="221">
        <f t="shared" si="7"/>
        <v>63.119914228815247</v>
      </c>
      <c r="E36" s="267">
        <f t="shared" si="8"/>
        <v>139.06724083100841</v>
      </c>
      <c r="L36" s="115"/>
      <c r="M36" s="267">
        <v>99.648342041865732</v>
      </c>
      <c r="N36" s="267">
        <f t="shared" si="9"/>
        <v>178.48613962015105</v>
      </c>
      <c r="O36" s="267"/>
      <c r="P36" s="267"/>
      <c r="Q36" s="267"/>
      <c r="R36" s="274">
        <f t="shared" si="10"/>
        <v>139.06724083100841</v>
      </c>
    </row>
    <row r="37" spans="1:18" ht="15.75" customHeight="1">
      <c r="L37" s="115"/>
    </row>
    <row r="38" spans="1:18" ht="15.75" customHeight="1">
      <c r="L38" s="115"/>
    </row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R38"/>
  <sheetViews>
    <sheetView tabSelected="1" zoomScale="85" zoomScaleNormal="85" zoomScaleSheetLayoutView="100" workbookViewId="0">
      <selection activeCell="I6" sqref="I6"/>
    </sheetView>
  </sheetViews>
  <sheetFormatPr defaultColWidth="12.54296875" defaultRowHeight="15.75" customHeight="1"/>
  <cols>
    <col min="1" max="1" width="27.453125" style="115" bestFit="1" customWidth="1"/>
    <col min="2" max="2" width="12.54296875" style="115" customWidth="1"/>
    <col min="3" max="4" width="12.54296875" style="115"/>
    <col min="5" max="5" width="16.453125" style="115" customWidth="1"/>
    <col min="6" max="6" width="2.453125" style="115" customWidth="1"/>
    <col min="7" max="7" width="24.81640625" style="115" bestFit="1" customWidth="1"/>
    <col min="8" max="10" width="12.54296875" style="115"/>
    <col min="11" max="11" width="16.453125" style="115" customWidth="1"/>
    <col min="12" max="12" width="12.54296875" style="116"/>
    <col min="13" max="16384" width="12.54296875" style="115"/>
  </cols>
  <sheetData>
    <row r="1" spans="1:18" ht="15.75" customHeight="1">
      <c r="A1" s="399" t="s">
        <v>390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115"/>
    </row>
    <row r="2" spans="1:18" s="116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</row>
    <row r="3" spans="1:18" ht="21.65" customHeight="1">
      <c r="A3" s="130" t="s">
        <v>325</v>
      </c>
      <c r="B3" s="131">
        <v>3</v>
      </c>
      <c r="C3" s="194" t="s">
        <v>326</v>
      </c>
      <c r="D3" s="131" t="s">
        <v>836</v>
      </c>
      <c r="E3" s="130" t="s">
        <v>20</v>
      </c>
      <c r="F3" s="400" t="s">
        <v>389</v>
      </c>
      <c r="G3" s="400"/>
      <c r="H3" s="116"/>
      <c r="I3" s="125"/>
      <c r="J3" s="116"/>
      <c r="K3" s="116"/>
      <c r="M3" s="116"/>
      <c r="N3" s="116"/>
    </row>
    <row r="4" spans="1:18" ht="15.75" customHeight="1">
      <c r="A4" s="126" t="s">
        <v>195</v>
      </c>
      <c r="E4" s="118" t="s">
        <v>23</v>
      </c>
      <c r="G4" s="127" t="s">
        <v>125</v>
      </c>
      <c r="L4" s="115"/>
    </row>
    <row r="5" spans="1:18" s="120" customFormat="1" ht="15.75" customHeight="1">
      <c r="A5" s="137" t="s">
        <v>197</v>
      </c>
      <c r="B5" s="137" t="s">
        <v>328</v>
      </c>
      <c r="C5" s="137" t="s">
        <v>330</v>
      </c>
      <c r="D5" s="132" t="s">
        <v>2</v>
      </c>
      <c r="E5" s="132" t="s">
        <v>3</v>
      </c>
      <c r="G5" s="137" t="s">
        <v>197</v>
      </c>
      <c r="H5" s="132" t="s">
        <v>69</v>
      </c>
      <c r="I5" s="132" t="s">
        <v>327</v>
      </c>
      <c r="J5" s="132" t="s">
        <v>329</v>
      </c>
      <c r="K5" s="132" t="s">
        <v>3</v>
      </c>
      <c r="L5" s="121" t="s">
        <v>60</v>
      </c>
    </row>
    <row r="6" spans="1:18" ht="18" customHeight="1">
      <c r="A6" s="123" t="s">
        <v>24</v>
      </c>
      <c r="B6" s="201">
        <f>'（１）收支狀況'!G35/1000</f>
        <v>52952.468000000001</v>
      </c>
      <c r="C6" s="232">
        <v>53987.945</v>
      </c>
      <c r="D6" s="133">
        <f t="shared" ref="D6:D11" si="0">B6-C6</f>
        <v>-1035.476999999999</v>
      </c>
      <c r="E6" s="213">
        <f>'（１）收支狀況'!H10/1000</f>
        <v>236658.24100000001</v>
      </c>
      <c r="G6" s="123" t="s">
        <v>198</v>
      </c>
      <c r="H6" s="215">
        <v>366</v>
      </c>
      <c r="I6" s="237">
        <f>'（２）ＫＰＩ達成進度'!G35</f>
        <v>353.4982274622389</v>
      </c>
      <c r="J6" s="238">
        <v>352.42857142857144</v>
      </c>
      <c r="K6" s="239">
        <f>'（２）ＫＰＩ達成進度'!H10</f>
        <v>353.52737301471819</v>
      </c>
      <c r="L6" s="117" t="s">
        <v>194</v>
      </c>
    </row>
    <row r="7" spans="1:18" ht="18" customHeight="1">
      <c r="A7" s="123" t="s">
        <v>25</v>
      </c>
      <c r="B7" s="201">
        <f>'（１）收支狀況'!J35</f>
        <v>1615819</v>
      </c>
      <c r="C7" s="232">
        <v>1653343</v>
      </c>
      <c r="D7" s="133">
        <f t="shared" si="0"/>
        <v>-37524</v>
      </c>
      <c r="E7" s="213">
        <f>'（１）收支狀況'!K10</f>
        <v>7295467</v>
      </c>
      <c r="G7" s="123" t="s">
        <v>199</v>
      </c>
      <c r="H7" s="230">
        <v>0.8</v>
      </c>
      <c r="I7" s="228">
        <f>'（２）ＫＰＩ達成進度'!J35</f>
        <v>0.97453067666063475</v>
      </c>
      <c r="J7" s="235">
        <v>0.96291959406713501</v>
      </c>
      <c r="K7" s="231">
        <f>'（２）ＫＰＩ達成進度'!K10</f>
        <v>0.96592178419321906</v>
      </c>
      <c r="L7" s="117" t="s">
        <v>4</v>
      </c>
    </row>
    <row r="8" spans="1:18" ht="18" customHeight="1">
      <c r="A8" s="123" t="s">
        <v>5</v>
      </c>
      <c r="B8" s="201">
        <f>'（１）收支狀況'!M35/1000</f>
        <v>35685.182000000001</v>
      </c>
      <c r="C8" s="232">
        <v>35939.784</v>
      </c>
      <c r="D8" s="133">
        <f>B8-C8</f>
        <v>-254.60199999999895</v>
      </c>
      <c r="E8" s="213">
        <f>'（１）收支狀況'!N10/1000</f>
        <v>157257.76699999999</v>
      </c>
      <c r="G8" s="123" t="s">
        <v>200</v>
      </c>
      <c r="H8" s="214">
        <v>2.5000000000000001E-3</v>
      </c>
      <c r="I8" s="226">
        <f>'（２）ＫＰＩ達成進度'!M35</f>
        <v>2.4406423971189708E-3</v>
      </c>
      <c r="J8" s="234">
        <v>2.4324215294255877E-3</v>
      </c>
      <c r="K8" s="226">
        <f>'（２）ＫＰＩ達成進度'!N10</f>
        <v>2.4375052217987885E-3</v>
      </c>
      <c r="L8" s="117" t="s">
        <v>55</v>
      </c>
    </row>
    <row r="9" spans="1:18" ht="18" customHeight="1">
      <c r="A9" s="123" t="s">
        <v>6</v>
      </c>
      <c r="B9" s="202">
        <f>'（１）收支狀況'!P35</f>
        <v>0.67390970332109923</v>
      </c>
      <c r="C9" s="233">
        <v>0.66570016695393763</v>
      </c>
      <c r="D9" s="134">
        <f t="shared" si="0"/>
        <v>8.2095363671615962E-3</v>
      </c>
      <c r="E9" s="134">
        <f>'（１）收支狀況'!Q10</f>
        <v>0.66449309491825392</v>
      </c>
      <c r="G9" s="123" t="s">
        <v>201</v>
      </c>
      <c r="H9" s="214">
        <v>2.5999999999999999E-3</v>
      </c>
      <c r="I9" s="226">
        <f>'（２）ＫＰＩ達成進度'!P35</f>
        <v>1.8040732967180742E-3</v>
      </c>
      <c r="J9" s="234">
        <v>1.7959060333082029E-3</v>
      </c>
      <c r="K9" s="226">
        <f>'（２）ＫＰＩ達成進度'!Q10</f>
        <v>1.8458044939002739E-3</v>
      </c>
      <c r="L9" s="117" t="s">
        <v>98</v>
      </c>
    </row>
    <row r="10" spans="1:18" ht="18" customHeight="1">
      <c r="A10" s="123" t="s">
        <v>64</v>
      </c>
      <c r="B10" s="201">
        <f>'（１）收支狀況'!S35/1000</f>
        <v>6795.2118593189998</v>
      </c>
      <c r="C10" s="232">
        <v>7192.4927059139818</v>
      </c>
      <c r="D10" s="133">
        <f t="shared" si="0"/>
        <v>-397.28084659498199</v>
      </c>
      <c r="E10" s="213">
        <f>'（１）收支狀況'!T10/1000</f>
        <v>31813.903183870982</v>
      </c>
      <c r="G10" s="123" t="s">
        <v>202</v>
      </c>
      <c r="H10" s="227">
        <v>0.8</v>
      </c>
      <c r="I10" s="228">
        <v>0.91349999999999998</v>
      </c>
      <c r="J10" s="235">
        <v>0.91279999999999994</v>
      </c>
      <c r="K10" s="228">
        <v>0.91700000000000004</v>
      </c>
      <c r="L10" s="117" t="s">
        <v>7</v>
      </c>
    </row>
    <row r="11" spans="1:18" ht="18" customHeight="1">
      <c r="A11" s="123" t="s">
        <v>65</v>
      </c>
      <c r="B11" s="202">
        <f>'（１）收支狀況'!V35</f>
        <v>0.12832663171278438</v>
      </c>
      <c r="C11" s="233">
        <v>0.13322405040447421</v>
      </c>
      <c r="D11" s="134">
        <f t="shared" si="0"/>
        <v>-4.897418691689831E-3</v>
      </c>
      <c r="E11" s="134">
        <f>'（１）收支狀況'!W10</f>
        <v>0.13442972891812791</v>
      </c>
      <c r="G11" s="123" t="s">
        <v>203</v>
      </c>
      <c r="H11" s="227">
        <v>1</v>
      </c>
      <c r="I11" s="228">
        <f>'（２）ＫＰＩ達成進度'!V35</f>
        <v>0.22542857142857145</v>
      </c>
      <c r="J11" s="235">
        <v>0.20914285714285713</v>
      </c>
      <c r="K11" s="228">
        <f>'（２）ＫＰＩ達成進度'!W10</f>
        <v>0.18509677419354842</v>
      </c>
      <c r="L11" s="117" t="s">
        <v>62</v>
      </c>
    </row>
    <row r="12" spans="1:18" ht="9.65" customHeight="1">
      <c r="L12" s="115"/>
    </row>
    <row r="13" spans="1:18" ht="15.75" customHeight="1">
      <c r="A13" s="126" t="s">
        <v>32</v>
      </c>
      <c r="G13" s="126" t="s">
        <v>147</v>
      </c>
      <c r="L13" s="115"/>
    </row>
    <row r="14" spans="1:18" s="122" customFormat="1" ht="13.5">
      <c r="A14" s="136"/>
      <c r="B14" s="195" t="s">
        <v>328</v>
      </c>
      <c r="C14" s="136" t="s">
        <v>66</v>
      </c>
      <c r="D14" s="195" t="s">
        <v>331</v>
      </c>
      <c r="E14" s="136" t="s">
        <v>68</v>
      </c>
      <c r="G14" s="136"/>
      <c r="H14" s="195" t="s">
        <v>328</v>
      </c>
      <c r="I14" s="136" t="s">
        <v>66</v>
      </c>
      <c r="J14" s="195" t="s">
        <v>331</v>
      </c>
      <c r="K14" s="136" t="s">
        <v>68</v>
      </c>
      <c r="M14" s="115"/>
      <c r="N14" s="115"/>
      <c r="O14" s="115"/>
      <c r="P14" s="115"/>
      <c r="Q14" s="115"/>
      <c r="R14" s="115"/>
    </row>
    <row r="15" spans="1:18" ht="18" customHeight="1">
      <c r="A15" s="123" t="s">
        <v>335</v>
      </c>
      <c r="B15" s="216">
        <f>SUM('（３）業績構成比'!I37:I43,'（３）業績構成比'!K37:K43)/1000</f>
        <v>8239.235330471909</v>
      </c>
      <c r="C15" s="134">
        <f>IFERROR(B15/$B$6,"")</f>
        <v>0.15559681430659492</v>
      </c>
      <c r="D15" s="233">
        <v>0.16375649804797493</v>
      </c>
      <c r="E15" s="134">
        <f>IFERROR(C15-D15,"")</f>
        <v>-8.1596837413800138E-3</v>
      </c>
      <c r="G15" s="123" t="s">
        <v>335</v>
      </c>
      <c r="H15" s="216">
        <f>SUM(,'（４）訂單數量構成比'!I37:I43,'（４）訂單數量構成比'!K37:K43)</f>
        <v>442207</v>
      </c>
      <c r="I15" s="134">
        <f t="shared" ref="I15:I23" si="1">IFERROR(H15/$B$7,"")</f>
        <v>0.27367359834238858</v>
      </c>
      <c r="J15" s="233">
        <v>0.28776122075092708</v>
      </c>
      <c r="K15" s="134">
        <f t="shared" ref="K15:K23" si="2">IFERROR(I15-J15,"")</f>
        <v>-1.4087622408538503E-2</v>
      </c>
      <c r="L15" s="115"/>
    </row>
    <row r="16" spans="1:18" ht="18" customHeight="1">
      <c r="A16" s="123" t="s">
        <v>222</v>
      </c>
      <c r="B16" s="216">
        <f>SUM('（３）業績構成比'!O37:O43,'（３）業績構成比'!Q37:Q43)/1000</f>
        <v>1783.0711227626202</v>
      </c>
      <c r="C16" s="134">
        <f t="shared" ref="C16:C23" si="3">IFERROR(B16/$B$6,"")</f>
        <v>3.367305038100623E-2</v>
      </c>
      <c r="D16" s="233">
        <v>3.1817313301468302E-2</v>
      </c>
      <c r="E16" s="134">
        <f t="shared" ref="E16:E23" si="4">IFERROR(C16-D16,"")</f>
        <v>1.855737079537928E-3</v>
      </c>
      <c r="G16" s="123" t="s">
        <v>251</v>
      </c>
      <c r="H16" s="216">
        <f>SUM('（４）訂單數量構成比'!O37:O43,'（４）訂單數量構成比'!Q37:Q43)</f>
        <v>74376</v>
      </c>
      <c r="I16" s="134">
        <f t="shared" si="1"/>
        <v>4.602990805282027E-2</v>
      </c>
      <c r="J16" s="233">
        <v>4.2817491591279004E-2</v>
      </c>
      <c r="K16" s="134">
        <f t="shared" si="2"/>
        <v>3.2124164615412662E-3</v>
      </c>
      <c r="L16" s="115"/>
    </row>
    <row r="17" spans="1:11" s="115" customFormat="1" ht="18" customHeight="1">
      <c r="A17" s="123" t="s">
        <v>218</v>
      </c>
      <c r="B17" s="216">
        <f>SUM('（３）業績構成比'!U37:U43)/1000</f>
        <v>6744.5401322369726</v>
      </c>
      <c r="C17" s="134">
        <f t="shared" si="3"/>
        <v>0.12736970318809263</v>
      </c>
      <c r="D17" s="233">
        <v>0.1377683603510339</v>
      </c>
      <c r="E17" s="134">
        <f t="shared" si="4"/>
        <v>-1.0398657162941277E-2</v>
      </c>
      <c r="G17" s="123" t="s">
        <v>233</v>
      </c>
      <c r="H17" s="216">
        <f>SUM('（４）訂單數量構成比'!U37:U43)</f>
        <v>204111</v>
      </c>
      <c r="I17" s="134">
        <f t="shared" si="1"/>
        <v>0.12632046039810152</v>
      </c>
      <c r="J17" s="233">
        <v>0.13666432192231134</v>
      </c>
      <c r="K17" s="134">
        <f t="shared" si="2"/>
        <v>-1.0343861524209824E-2</v>
      </c>
    </row>
    <row r="18" spans="1:11" s="115" customFormat="1" ht="18" customHeight="1">
      <c r="A18" s="123" t="s">
        <v>220</v>
      </c>
      <c r="B18" s="216">
        <f>SUM('（３）業績構成比'!W37:W43)/1000</f>
        <v>415.91064543623952</v>
      </c>
      <c r="C18" s="134">
        <f t="shared" si="3"/>
        <v>7.8544147448658952E-3</v>
      </c>
      <c r="D18" s="233">
        <v>8.2158135320312513E-3</v>
      </c>
      <c r="E18" s="134">
        <f t="shared" si="4"/>
        <v>-3.6139878716535609E-4</v>
      </c>
      <c r="G18" s="123" t="s">
        <v>219</v>
      </c>
      <c r="H18" s="216">
        <f>SUM('（４）訂單數量構成比'!W37:W43)</f>
        <v>12150</v>
      </c>
      <c r="I18" s="134">
        <f t="shared" si="1"/>
        <v>7.5194065671959544E-3</v>
      </c>
      <c r="J18" s="233">
        <v>7.8374541761751793E-3</v>
      </c>
      <c r="K18" s="134">
        <f t="shared" si="2"/>
        <v>-3.1804760897922481E-4</v>
      </c>
    </row>
    <row r="19" spans="1:11" s="115" customFormat="1" ht="18" customHeight="1">
      <c r="A19" s="123" t="s">
        <v>224</v>
      </c>
      <c r="B19" s="216">
        <f>SUM('（３）業績構成比'!Y37:Y43,'（３）業績構成比'!AA37:AA43)/1000</f>
        <v>13457.237935619763</v>
      </c>
      <c r="C19" s="134">
        <f t="shared" si="3"/>
        <v>0.25413806842052694</v>
      </c>
      <c r="D19" s="233">
        <v>0.2699645844369013</v>
      </c>
      <c r="E19" s="134">
        <f t="shared" si="4"/>
        <v>-1.5826516016374359E-2</v>
      </c>
      <c r="G19" s="123" t="s">
        <v>223</v>
      </c>
      <c r="H19" s="216">
        <f>SUM('（４）訂單數量構成比'!Y37:Y43,'（４）訂單數量構成比'!AA37:AA43)</f>
        <v>328555</v>
      </c>
      <c r="I19" s="134">
        <f t="shared" si="1"/>
        <v>0.20333651231975858</v>
      </c>
      <c r="J19" s="233">
        <v>0.2154967239102836</v>
      </c>
      <c r="K19" s="134">
        <f t="shared" si="2"/>
        <v>-1.2160211590525022E-2</v>
      </c>
    </row>
    <row r="20" spans="1:11" s="115" customFormat="1" ht="18" customHeight="1">
      <c r="A20" s="123" t="s">
        <v>226</v>
      </c>
      <c r="B20" s="216">
        <f>SUM('（３）業績構成比'!AE37:AE43)/1000</f>
        <v>8959.8727244039837</v>
      </c>
      <c r="C20" s="134">
        <f t="shared" si="3"/>
        <v>0.16920595135252212</v>
      </c>
      <c r="D20" s="233">
        <v>0.16044646109892524</v>
      </c>
      <c r="E20" s="134">
        <f t="shared" si="4"/>
        <v>8.7594902535968744E-3</v>
      </c>
      <c r="G20" s="123" t="s">
        <v>225</v>
      </c>
      <c r="H20" s="216">
        <f>SUM('（４）訂單數量構成比'!AE37:AE43)</f>
        <v>156154</v>
      </c>
      <c r="I20" s="134">
        <f t="shared" si="1"/>
        <v>9.664077474024009E-2</v>
      </c>
      <c r="J20" s="233">
        <v>9.4610132319790874E-2</v>
      </c>
      <c r="K20" s="134">
        <f t="shared" si="2"/>
        <v>2.0306424204492163E-3</v>
      </c>
    </row>
    <row r="21" spans="1:11" s="115" customFormat="1" ht="18" customHeight="1">
      <c r="A21" s="123" t="s">
        <v>228</v>
      </c>
      <c r="B21" s="216">
        <f>SUM('（３）業績構成比'!AG37:AG43)/1000</f>
        <v>2163.2493218286781</v>
      </c>
      <c r="C21" s="134">
        <f t="shared" si="3"/>
        <v>4.0852662841487919E-2</v>
      </c>
      <c r="D21" s="233">
        <v>2.4343040939337819E-2</v>
      </c>
      <c r="E21" s="134">
        <f t="shared" si="4"/>
        <v>1.65096219021501E-2</v>
      </c>
      <c r="G21" s="123" t="s">
        <v>234</v>
      </c>
      <c r="H21" s="216">
        <f>SUM('（４）訂單數量構成比'!AG37:AG43)</f>
        <v>48488</v>
      </c>
      <c r="I21" s="134">
        <f t="shared" si="1"/>
        <v>3.0008311574501848E-2</v>
      </c>
      <c r="J21" s="233">
        <v>1.9699481595772929E-2</v>
      </c>
      <c r="K21" s="134">
        <f t="shared" si="2"/>
        <v>1.0308829978728919E-2</v>
      </c>
    </row>
    <row r="22" spans="1:11" s="115" customFormat="1" ht="18" customHeight="1">
      <c r="A22" s="123" t="s">
        <v>229</v>
      </c>
      <c r="B22" s="216">
        <f>SUM('（３）業績構成比'!AI37:AI43)/1000</f>
        <v>6951.7253839072364</v>
      </c>
      <c r="C22" s="134">
        <f t="shared" si="3"/>
        <v>0.1312823678757945</v>
      </c>
      <c r="D22" s="233">
        <v>0.12774847031234449</v>
      </c>
      <c r="E22" s="134">
        <f t="shared" si="4"/>
        <v>3.5338975634500169E-3</v>
      </c>
      <c r="G22" s="123" t="s">
        <v>235</v>
      </c>
      <c r="H22" s="216">
        <f>SUM('（４）訂單數量構成比'!AI37:AI43)</f>
        <v>188237</v>
      </c>
      <c r="I22" s="134">
        <f t="shared" si="1"/>
        <v>0.11649634024603003</v>
      </c>
      <c r="J22" s="233">
        <v>0.11302191983151712</v>
      </c>
      <c r="K22" s="134">
        <f t="shared" si="2"/>
        <v>3.4744204145129159E-3</v>
      </c>
    </row>
    <row r="23" spans="1:11" s="115" customFormat="1" ht="18" customHeight="1">
      <c r="A23" s="123" t="s">
        <v>231</v>
      </c>
      <c r="B23" s="216">
        <f>SUM('（３）業績構成比'!AK37:AK43)/1000</f>
        <v>4237.6254033325949</v>
      </c>
      <c r="C23" s="134">
        <f t="shared" si="3"/>
        <v>8.0026966889108833E-2</v>
      </c>
      <c r="D23" s="233">
        <v>7.5939457979982791E-2</v>
      </c>
      <c r="E23" s="134">
        <f t="shared" si="4"/>
        <v>4.0875089091260419E-3</v>
      </c>
      <c r="G23" s="123" t="s">
        <v>230</v>
      </c>
      <c r="H23" s="216">
        <f>SUM('（４）訂單數量構成比'!AK37:AK43)</f>
        <v>161541</v>
      </c>
      <c r="I23" s="134">
        <f t="shared" si="1"/>
        <v>9.9974687758963107E-2</v>
      </c>
      <c r="J23" s="233">
        <v>8.2091253901942912E-2</v>
      </c>
      <c r="K23" s="134">
        <f t="shared" si="2"/>
        <v>1.7883433857020195E-2</v>
      </c>
    </row>
    <row r="24" spans="1:11" s="115" customFormat="1" ht="15.75" customHeight="1">
      <c r="C24" s="128">
        <f>SUM(C15:C23)</f>
        <v>1.0000000000000002</v>
      </c>
      <c r="D24" s="128">
        <f>SUM(D15:D23)</f>
        <v>1</v>
      </c>
      <c r="I24" s="128">
        <f>SUM(I15:I23)</f>
        <v>1</v>
      </c>
      <c r="J24" s="128">
        <f>SUM(J15:J23)</f>
        <v>1</v>
      </c>
    </row>
    <row r="25" spans="1:11" s="115" customFormat="1" ht="9.65" customHeight="1">
      <c r="A25" s="129"/>
    </row>
    <row r="26" spans="1:11" s="115" customFormat="1" ht="15.75" customHeight="1">
      <c r="A26" s="126" t="s">
        <v>523</v>
      </c>
    </row>
    <row r="27" spans="1:11" s="115" customFormat="1" ht="15.75" customHeight="1">
      <c r="A27" s="123" t="s">
        <v>186</v>
      </c>
      <c r="B27" s="196" t="s">
        <v>328</v>
      </c>
      <c r="C27" s="196" t="s">
        <v>330</v>
      </c>
      <c r="D27" s="123" t="s">
        <v>2</v>
      </c>
      <c r="E27" s="123" t="s">
        <v>391</v>
      </c>
    </row>
    <row r="28" spans="1:11" s="115" customFormat="1" ht="18" customHeight="1">
      <c r="A28" s="123" t="s">
        <v>335</v>
      </c>
      <c r="B28" s="220">
        <f>'（５-1）品群別人時生產性（18℃-飯糰）'!L7</f>
        <v>745.73597135820273</v>
      </c>
      <c r="C28" s="236">
        <v>771.40194693476019</v>
      </c>
      <c r="D28" s="221">
        <f t="shared" ref="D28:D36" si="5">B28-C28</f>
        <v>-25.665975576557457</v>
      </c>
      <c r="E28" s="124">
        <f>'（５-1）品群別人時生產性（18℃-飯糰）'!C1</f>
        <v>745.73597135820273</v>
      </c>
      <c r="H28" s="138"/>
      <c r="I28" s="138"/>
      <c r="J28" s="138"/>
    </row>
    <row r="29" spans="1:11" s="115" customFormat="1" ht="18" customHeight="1">
      <c r="A29" s="123" t="s">
        <v>221</v>
      </c>
      <c r="B29" s="220">
        <f>'（５-2）品群別人時生產性（18-壽司手卷)'!L7</f>
        <v>170.93067830417365</v>
      </c>
      <c r="C29" s="236">
        <v>169.75774657447468</v>
      </c>
      <c r="D29" s="221">
        <f t="shared" si="5"/>
        <v>1.1729317296989734</v>
      </c>
      <c r="E29" s="124">
        <f>'（５-2）品群別人時生產性（18-壽司手卷)'!C1</f>
        <v>170.93067830417365</v>
      </c>
      <c r="H29" s="139"/>
      <c r="I29" s="140"/>
      <c r="J29" s="1"/>
    </row>
    <row r="30" spans="1:11" s="115" customFormat="1" ht="18" customHeight="1">
      <c r="A30" s="123" t="s">
        <v>233</v>
      </c>
      <c r="B30" s="220">
        <f>'（５-3）品群別人時生產性（4℃-飯糰)'!L7</f>
        <v>259.9408513255695</v>
      </c>
      <c r="C30" s="236">
        <v>257.2117736027966</v>
      </c>
      <c r="D30" s="221">
        <f t="shared" si="5"/>
        <v>2.7290777227728995</v>
      </c>
      <c r="E30" s="124">
        <f>'（５-3）品群別人時生產性（4℃-飯糰)'!C1</f>
        <v>259.9408513255695</v>
      </c>
    </row>
    <row r="31" spans="1:11" s="115" customFormat="1" ht="18" customHeight="1">
      <c r="A31" s="123" t="s">
        <v>219</v>
      </c>
      <c r="B31" s="220">
        <f>'（５-4）品群別人時生產性（4℃-壽司手卷)'!L7</f>
        <v>112.2247752247752</v>
      </c>
      <c r="C31" s="236">
        <v>112.12612003381241</v>
      </c>
      <c r="D31" s="221">
        <f t="shared" si="5"/>
        <v>9.8655190962787742E-2</v>
      </c>
      <c r="E31" s="124">
        <f>'（５-4）品群別人時生產性（4℃-壽司手卷)'!C1</f>
        <v>112.2247752247752</v>
      </c>
    </row>
    <row r="32" spans="1:11" s="115" customFormat="1" ht="18" customHeight="1">
      <c r="A32" s="123" t="s">
        <v>223</v>
      </c>
      <c r="B32" s="220">
        <f>'（５-5）品群別人時生產性(主食) '!L7</f>
        <v>87.362432734179066</v>
      </c>
      <c r="C32" s="236">
        <v>85.208547542647864</v>
      </c>
      <c r="D32" s="221">
        <f t="shared" si="5"/>
        <v>2.1538851915312023</v>
      </c>
      <c r="E32" s="124">
        <f>'（５-5）品群別人時生產性(主食) '!C1</f>
        <v>87.362432734179066</v>
      </c>
    </row>
    <row r="33" spans="1:5" s="115" customFormat="1" ht="18" customHeight="1">
      <c r="A33" s="123" t="s">
        <v>225</v>
      </c>
      <c r="B33" s="220">
        <f>'（５-6）品群別人時生產性(便當)'!L7</f>
        <v>72.684044900052385</v>
      </c>
      <c r="C33" s="236">
        <v>73.196198538088169</v>
      </c>
      <c r="D33" s="221">
        <f t="shared" si="5"/>
        <v>-0.51215363803578384</v>
      </c>
      <c r="E33" s="124">
        <f>'（５-6）品群別人時生產性(便當)'!C1</f>
        <v>72.684044900052385</v>
      </c>
    </row>
    <row r="34" spans="1:5" s="115" customFormat="1" ht="18" customHeight="1">
      <c r="A34" s="123" t="s">
        <v>234</v>
      </c>
      <c r="B34" s="220">
        <f>'（５-7）品群別人時生產性(熱食義麵) '!L7</f>
        <v>86.416426295417338</v>
      </c>
      <c r="C34" s="236">
        <v>86.680429402838385</v>
      </c>
      <c r="D34" s="221">
        <f t="shared" si="5"/>
        <v>-0.26400310742104693</v>
      </c>
      <c r="E34" s="124">
        <f>'（５-7）品群別人時生產性(熱食義麵) '!C1</f>
        <v>86.416426295417338</v>
      </c>
    </row>
    <row r="35" spans="1:5" s="115" customFormat="1" ht="18" customHeight="1">
      <c r="A35" s="123" t="s">
        <v>235</v>
      </c>
      <c r="B35" s="220">
        <f>'（５-8）品群別人時生產性(季節調理麵) '!L7</f>
        <v>123.5962842751391</v>
      </c>
      <c r="C35" s="236">
        <v>125.35811484347285</v>
      </c>
      <c r="D35" s="221">
        <f t="shared" si="5"/>
        <v>-1.7618305683337496</v>
      </c>
      <c r="E35" s="124">
        <f>'（５-8）品群別人時生產性(季節調理麵) '!C1</f>
        <v>123.5962842751391</v>
      </c>
    </row>
    <row r="36" spans="1:5" s="115" customFormat="1" ht="18" customHeight="1">
      <c r="A36" s="119" t="s">
        <v>230</v>
      </c>
      <c r="B36" s="220">
        <f>'（５-9）品群別人時生產性(微波小吃)'!L7</f>
        <v>178.48613962015105</v>
      </c>
      <c r="C36" s="236">
        <v>180.7266915728141</v>
      </c>
      <c r="D36" s="221">
        <f t="shared" si="5"/>
        <v>-2.2405519526630542</v>
      </c>
      <c r="E36" s="124">
        <f>'（５-9）品群別人時生產性(微波小吃)'!C1</f>
        <v>178.48613962015105</v>
      </c>
    </row>
    <row r="37" spans="1:5" s="115" customFormat="1" ht="15.75" customHeight="1">
      <c r="D37" s="277"/>
    </row>
    <row r="38" spans="1:5" s="115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B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P45" sqref="P45"/>
    </sheetView>
  </sheetViews>
  <sheetFormatPr defaultColWidth="8.81640625" defaultRowHeight="13.5"/>
  <cols>
    <col min="1" max="1" width="8.81640625" style="75"/>
    <col min="2" max="2" width="12.54296875" style="80" customWidth="1"/>
    <col min="3" max="3" width="8.81640625" style="75"/>
    <col min="4" max="4" width="17.453125" style="78" customWidth="1"/>
    <col min="5" max="5" width="4.453125" style="78" customWidth="1"/>
    <col min="6" max="8" width="19.54296875" style="83" customWidth="1"/>
    <col min="9" max="13" width="19.54296875" style="84" customWidth="1"/>
    <col min="14" max="14" width="19.54296875" style="85" customWidth="1"/>
    <col min="15" max="17" width="19.54296875" style="86" customWidth="1"/>
    <col min="18" max="20" width="19.54296875" style="85" customWidth="1"/>
    <col min="21" max="21" width="19.54296875" style="86" customWidth="1"/>
    <col min="22" max="23" width="19.54296875" style="75" customWidth="1"/>
    <col min="24" max="16384" width="8.81640625" style="75"/>
  </cols>
  <sheetData>
    <row r="2" spans="2:23" ht="38.15" customHeight="1">
      <c r="B2" s="429" t="s">
        <v>121</v>
      </c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  <c r="O2" s="429"/>
      <c r="P2" s="429"/>
      <c r="Q2" s="429"/>
      <c r="R2" s="429"/>
      <c r="S2" s="429"/>
      <c r="T2" s="429"/>
      <c r="U2" s="429"/>
      <c r="V2" s="429"/>
      <c r="W2" s="429"/>
    </row>
    <row r="3" spans="2:23" s="78" customFormat="1" ht="23.5" customHeight="1">
      <c r="B3" s="79"/>
      <c r="C3" s="433" t="s">
        <v>116</v>
      </c>
      <c r="D3" s="434" t="s">
        <v>105</v>
      </c>
      <c r="E3" s="434"/>
      <c r="F3" s="432" t="s">
        <v>356</v>
      </c>
      <c r="G3" s="432"/>
      <c r="H3" s="432"/>
      <c r="I3" s="430" t="s">
        <v>119</v>
      </c>
      <c r="J3" s="430"/>
      <c r="K3" s="430"/>
      <c r="L3" s="431" t="s">
        <v>120</v>
      </c>
      <c r="M3" s="431"/>
      <c r="N3" s="431"/>
      <c r="O3" s="428" t="s">
        <v>122</v>
      </c>
      <c r="P3" s="428"/>
      <c r="Q3" s="428"/>
      <c r="R3" s="435" t="s">
        <v>123</v>
      </c>
      <c r="S3" s="435"/>
      <c r="T3" s="435"/>
      <c r="U3" s="428" t="s">
        <v>124</v>
      </c>
      <c r="V3" s="428"/>
      <c r="W3" s="428"/>
    </row>
    <row r="4" spans="2:23" s="78" customFormat="1" ht="23.5" customHeight="1">
      <c r="B4" s="79"/>
      <c r="C4" s="433"/>
      <c r="D4" s="434"/>
      <c r="E4" s="434"/>
      <c r="F4" s="76" t="s">
        <v>115</v>
      </c>
      <c r="G4" s="76" t="s">
        <v>117</v>
      </c>
      <c r="H4" s="76" t="s">
        <v>118</v>
      </c>
      <c r="I4" s="88" t="s">
        <v>115</v>
      </c>
      <c r="J4" s="88" t="s">
        <v>117</v>
      </c>
      <c r="K4" s="88" t="s">
        <v>118</v>
      </c>
      <c r="L4" s="87" t="s">
        <v>115</v>
      </c>
      <c r="M4" s="87" t="s">
        <v>117</v>
      </c>
      <c r="N4" s="87" t="s">
        <v>118</v>
      </c>
      <c r="O4" s="81" t="s">
        <v>115</v>
      </c>
      <c r="P4" s="81" t="s">
        <v>117</v>
      </c>
      <c r="Q4" s="281" t="s">
        <v>531</v>
      </c>
      <c r="R4" s="81" t="s">
        <v>115</v>
      </c>
      <c r="S4" s="81" t="s">
        <v>117</v>
      </c>
      <c r="T4" s="81" t="s">
        <v>118</v>
      </c>
      <c r="U4" s="81" t="s">
        <v>115</v>
      </c>
      <c r="V4" s="81" t="s">
        <v>117</v>
      </c>
      <c r="W4" s="281" t="s">
        <v>531</v>
      </c>
    </row>
    <row r="5" spans="2:23">
      <c r="B5" s="79"/>
      <c r="C5" s="79"/>
      <c r="D5" s="82">
        <v>46082</v>
      </c>
      <c r="E5" s="82" t="s">
        <v>530</v>
      </c>
      <c r="F5" s="207">
        <v>7873403</v>
      </c>
      <c r="H5" s="294"/>
      <c r="I5" s="208">
        <v>243291</v>
      </c>
      <c r="K5" s="295"/>
      <c r="L5" s="207">
        <v>5037611</v>
      </c>
      <c r="M5" s="278"/>
      <c r="N5" s="294"/>
      <c r="O5" s="86">
        <f t="shared" ref="O5:O39" si="0">L5/F5</f>
        <v>0.63982638764966049</v>
      </c>
      <c r="P5" s="279"/>
      <c r="Q5" s="293"/>
      <c r="R5" s="207">
        <v>1000883.2898924736</v>
      </c>
      <c r="S5" s="278"/>
      <c r="T5" s="294"/>
      <c r="U5" s="86">
        <f t="shared" ref="U5:U41" si="1">R5/F5</f>
        <v>0.12712207032873507</v>
      </c>
      <c r="V5" s="279"/>
      <c r="W5" s="293"/>
    </row>
    <row r="6" spans="2:23">
      <c r="B6" s="79"/>
      <c r="C6" s="79"/>
      <c r="D6" s="82">
        <f t="shared" ref="D6:D9" si="2">D5+1</f>
        <v>46083</v>
      </c>
      <c r="E6" s="383" t="s">
        <v>524</v>
      </c>
      <c r="F6" s="207">
        <v>7734716</v>
      </c>
      <c r="G6" s="278">
        <f>SUM(F5:F6)</f>
        <v>15608119</v>
      </c>
      <c r="H6" s="294"/>
      <c r="I6" s="208">
        <v>238748</v>
      </c>
      <c r="J6" s="84">
        <f>SUM(I5:I6)</f>
        <v>482039</v>
      </c>
      <c r="K6" s="295"/>
      <c r="L6" s="207">
        <v>5120706</v>
      </c>
      <c r="M6" s="278">
        <f>SUM(L5:L6)</f>
        <v>10158317</v>
      </c>
      <c r="N6" s="294"/>
      <c r="O6" s="86">
        <f t="shared" si="0"/>
        <v>0.66204189009654657</v>
      </c>
      <c r="P6" s="86">
        <f>M6/G6</f>
        <v>0.65083544019622097</v>
      </c>
      <c r="Q6" s="293"/>
      <c r="R6" s="207">
        <v>1026858.3432258059</v>
      </c>
      <c r="S6" s="278">
        <f>SUM(R5:R6)</f>
        <v>2027741.6331182795</v>
      </c>
      <c r="T6" s="294"/>
      <c r="U6" s="86">
        <f t="shared" si="1"/>
        <v>0.13275966993821181</v>
      </c>
      <c r="V6" s="86">
        <f>S6/G6</f>
        <v>0.12991582349662245</v>
      </c>
      <c r="W6" s="293"/>
    </row>
    <row r="7" spans="2:23" ht="16.5" customHeight="1">
      <c r="B7" s="79"/>
      <c r="C7" s="79"/>
      <c r="D7" s="280">
        <f t="shared" si="2"/>
        <v>46084</v>
      </c>
      <c r="E7" s="280" t="s">
        <v>525</v>
      </c>
      <c r="F7" s="207">
        <v>8673470</v>
      </c>
      <c r="G7" s="278">
        <f>SUM(F7:F13)</f>
        <v>53050901</v>
      </c>
      <c r="I7" s="208">
        <v>261918</v>
      </c>
      <c r="J7" s="84">
        <f>SUM(I7:I13)</f>
        <v>1631684</v>
      </c>
      <c r="L7" s="207">
        <v>5797408</v>
      </c>
      <c r="M7" s="278">
        <f>SUM(L7:L13)</f>
        <v>34865375</v>
      </c>
      <c r="O7" s="86">
        <f t="shared" si="0"/>
        <v>0.66840699281832994</v>
      </c>
      <c r="P7" s="86">
        <f>M7/G7</f>
        <v>0.65720608590606222</v>
      </c>
      <c r="R7" s="209">
        <v>1055166.9365591402</v>
      </c>
      <c r="S7" s="278">
        <f>SUM(R7:R13)</f>
        <v>7154992.3925806489</v>
      </c>
      <c r="U7" s="86">
        <f t="shared" si="1"/>
        <v>0.12165453233355741</v>
      </c>
      <c r="V7" s="86">
        <f>S7/G7</f>
        <v>0.13487032751018968</v>
      </c>
    </row>
    <row r="8" spans="2:23" ht="16.5" customHeight="1">
      <c r="B8" s="79"/>
      <c r="C8" s="79"/>
      <c r="D8" s="388">
        <f t="shared" si="2"/>
        <v>46085</v>
      </c>
      <c r="E8" s="388" t="s">
        <v>526</v>
      </c>
      <c r="F8" s="207">
        <v>7833391</v>
      </c>
      <c r="G8" s="278"/>
      <c r="H8" s="294"/>
      <c r="I8" s="208">
        <v>240647</v>
      </c>
      <c r="K8" s="295"/>
      <c r="L8" s="207">
        <v>5353308</v>
      </c>
      <c r="M8" s="278"/>
      <c r="N8" s="294"/>
      <c r="O8" s="86">
        <f t="shared" si="0"/>
        <v>0.68339599031887976</v>
      </c>
      <c r="P8" s="279"/>
      <c r="Q8" s="293"/>
      <c r="R8" s="209">
        <v>1007074.5498924733</v>
      </c>
      <c r="S8" s="278"/>
      <c r="T8" s="294"/>
      <c r="U8" s="86">
        <f t="shared" si="1"/>
        <v>0.12856176206351416</v>
      </c>
      <c r="V8" s="279"/>
      <c r="W8" s="293"/>
    </row>
    <row r="9" spans="2:23" ht="16.5" customHeight="1">
      <c r="B9" s="79"/>
      <c r="C9" s="79"/>
      <c r="D9" s="388">
        <f t="shared" si="2"/>
        <v>46086</v>
      </c>
      <c r="E9" s="388" t="s">
        <v>527</v>
      </c>
      <c r="F9" s="207">
        <v>7120934</v>
      </c>
      <c r="G9" s="278"/>
      <c r="H9" s="294"/>
      <c r="I9" s="208">
        <v>221012</v>
      </c>
      <c r="K9" s="295"/>
      <c r="L9" s="207">
        <v>4889169</v>
      </c>
      <c r="M9" s="278"/>
      <c r="N9" s="294"/>
      <c r="O9" s="86">
        <f t="shared" si="0"/>
        <v>0.68659097247636336</v>
      </c>
      <c r="P9" s="279"/>
      <c r="Q9" s="293"/>
      <c r="R9" s="209">
        <v>948918.00655914005</v>
      </c>
      <c r="S9" s="278"/>
      <c r="T9" s="294"/>
      <c r="U9" s="86">
        <f t="shared" si="1"/>
        <v>0.13325752022966933</v>
      </c>
      <c r="V9" s="279"/>
      <c r="W9" s="293"/>
    </row>
    <row r="10" spans="2:23" ht="16.5" customHeight="1">
      <c r="B10" s="79"/>
      <c r="C10" s="79"/>
      <c r="D10" s="388">
        <f t="shared" ref="D10:D34" si="3">D9+1</f>
        <v>46087</v>
      </c>
      <c r="E10" s="388" t="s">
        <v>528</v>
      </c>
      <c r="F10" s="207">
        <v>6319241</v>
      </c>
      <c r="H10" s="294">
        <f>SUM(F5:F35)</f>
        <v>236658241</v>
      </c>
      <c r="I10" s="208">
        <v>197754</v>
      </c>
      <c r="K10" s="295">
        <f>SUM(I5:I35)</f>
        <v>7295467</v>
      </c>
      <c r="L10" s="207">
        <v>4207688</v>
      </c>
      <c r="M10" s="278"/>
      <c r="N10" s="294">
        <f>SUM(L5:L35)</f>
        <v>157257767</v>
      </c>
      <c r="O10" s="86">
        <f t="shared" si="0"/>
        <v>0.66585338334144872</v>
      </c>
      <c r="P10" s="279"/>
      <c r="Q10" s="293">
        <f>N10/H10</f>
        <v>0.66449309491825392</v>
      </c>
      <c r="R10" s="209">
        <v>1011727.0898924738</v>
      </c>
      <c r="S10" s="278"/>
      <c r="T10" s="294">
        <f>SUM(R5:R35)</f>
        <v>31813903.183870982</v>
      </c>
      <c r="U10" s="86">
        <f t="shared" si="1"/>
        <v>0.16010262781439635</v>
      </c>
      <c r="V10" s="279"/>
      <c r="W10" s="293">
        <f>T10/H10</f>
        <v>0.13442972891812791</v>
      </c>
    </row>
    <row r="11" spans="2:23" ht="16.5" customHeight="1">
      <c r="B11" s="79"/>
      <c r="C11" s="79"/>
      <c r="D11" s="388">
        <f t="shared" si="3"/>
        <v>46088</v>
      </c>
      <c r="E11" s="388" t="s">
        <v>529</v>
      </c>
      <c r="F11" s="207">
        <v>6868140</v>
      </c>
      <c r="G11" s="278"/>
      <c r="H11" s="294"/>
      <c r="I11" s="208">
        <v>212051</v>
      </c>
      <c r="K11" s="295"/>
      <c r="L11" s="207">
        <v>4659781</v>
      </c>
      <c r="M11" s="278"/>
      <c r="N11" s="294"/>
      <c r="O11" s="86">
        <f t="shared" si="0"/>
        <v>0.67846331029944063</v>
      </c>
      <c r="P11" s="279"/>
      <c r="Q11" s="293"/>
      <c r="R11" s="209">
        <v>1003978.1098924733</v>
      </c>
      <c r="S11" s="278"/>
      <c r="T11" s="294"/>
      <c r="U11" s="86">
        <f t="shared" si="1"/>
        <v>0.14617903972436108</v>
      </c>
      <c r="V11" s="279"/>
      <c r="W11" s="293"/>
    </row>
    <row r="12" spans="2:23" ht="16.5" customHeight="1">
      <c r="B12" s="79"/>
      <c r="C12" s="79"/>
      <c r="D12" s="388">
        <f t="shared" si="3"/>
        <v>46089</v>
      </c>
      <c r="E12" s="388" t="s">
        <v>530</v>
      </c>
      <c r="F12" s="207">
        <v>8317813</v>
      </c>
      <c r="G12" s="278"/>
      <c r="H12" s="294"/>
      <c r="I12" s="208">
        <v>253425</v>
      </c>
      <c r="K12" s="295"/>
      <c r="L12" s="207">
        <v>4675809</v>
      </c>
      <c r="M12" s="278"/>
      <c r="N12" s="294"/>
      <c r="O12" s="86">
        <f t="shared" si="0"/>
        <v>0.56214403954501024</v>
      </c>
      <c r="P12" s="279"/>
      <c r="Q12" s="293"/>
      <c r="R12" s="209">
        <v>1065750.8332258069</v>
      </c>
      <c r="S12" s="278"/>
      <c r="T12" s="294"/>
      <c r="U12" s="86">
        <f t="shared" si="1"/>
        <v>0.12812873206283995</v>
      </c>
      <c r="V12" s="279"/>
      <c r="W12" s="293"/>
    </row>
    <row r="13" spans="2:23" ht="16.5" customHeight="1">
      <c r="B13" s="79"/>
      <c r="C13" s="79"/>
      <c r="D13" s="388">
        <f t="shared" si="3"/>
        <v>46090</v>
      </c>
      <c r="E13" s="388" t="s">
        <v>524</v>
      </c>
      <c r="F13" s="207">
        <v>7917912</v>
      </c>
      <c r="H13" s="294"/>
      <c r="I13" s="208">
        <v>244877</v>
      </c>
      <c r="K13" s="295"/>
      <c r="L13" s="207">
        <v>5282212</v>
      </c>
      <c r="M13" s="278"/>
      <c r="N13" s="294"/>
      <c r="O13" s="86">
        <f t="shared" si="0"/>
        <v>0.66712183717121387</v>
      </c>
      <c r="P13" s="279"/>
      <c r="Q13" s="293"/>
      <c r="R13" s="207">
        <v>1062376.8665591404</v>
      </c>
      <c r="S13" s="278"/>
      <c r="T13" s="294"/>
      <c r="U13" s="86">
        <f t="shared" si="1"/>
        <v>0.13417386636263959</v>
      </c>
      <c r="V13" s="279"/>
      <c r="W13" s="293"/>
    </row>
    <row r="14" spans="2:23" ht="16.5" customHeight="1">
      <c r="B14" s="79"/>
      <c r="C14" s="79"/>
      <c r="D14" s="383">
        <f t="shared" si="3"/>
        <v>46091</v>
      </c>
      <c r="E14" s="383" t="s">
        <v>525</v>
      </c>
      <c r="F14" s="207">
        <v>7857997</v>
      </c>
      <c r="G14" s="278">
        <f>SUM(F14:F20)</f>
        <v>51759222</v>
      </c>
      <c r="H14" s="294"/>
      <c r="I14" s="208">
        <v>243272</v>
      </c>
      <c r="J14" s="84">
        <f>SUM(I14:I20)</f>
        <v>1610229</v>
      </c>
      <c r="K14" s="295"/>
      <c r="L14" s="207">
        <v>5168969</v>
      </c>
      <c r="M14" s="278">
        <f>SUM(L14:L20)</f>
        <v>34647122</v>
      </c>
      <c r="N14" s="294"/>
      <c r="O14" s="86">
        <f t="shared" si="0"/>
        <v>0.65779727327460169</v>
      </c>
      <c r="P14" s="86">
        <f>M14/G14</f>
        <v>0.66939031657005976</v>
      </c>
      <c r="Q14" s="293"/>
      <c r="R14" s="207">
        <v>1046078.5565591401</v>
      </c>
      <c r="S14" s="278">
        <f>SUM(R14:R20)</f>
        <v>7174328.3825806472</v>
      </c>
      <c r="T14" s="294"/>
      <c r="U14" s="86">
        <f t="shared" si="1"/>
        <v>0.13312279917632192</v>
      </c>
      <c r="V14" s="86">
        <f>S14/G14</f>
        <v>0.13860966423685131</v>
      </c>
      <c r="W14" s="293"/>
    </row>
    <row r="15" spans="2:23" ht="16.5" customHeight="1">
      <c r="B15" s="79"/>
      <c r="C15" s="79"/>
      <c r="D15" s="389">
        <f t="shared" si="3"/>
        <v>46092</v>
      </c>
      <c r="E15" s="389" t="s">
        <v>526</v>
      </c>
      <c r="F15" s="207">
        <v>7290922</v>
      </c>
      <c r="G15" s="278"/>
      <c r="H15" s="294"/>
      <c r="I15" s="208">
        <v>228563</v>
      </c>
      <c r="K15" s="295"/>
      <c r="L15" s="207">
        <v>5177817</v>
      </c>
      <c r="M15" s="278"/>
      <c r="N15" s="294"/>
      <c r="O15" s="86">
        <f t="shared" si="0"/>
        <v>0.71017314408246313</v>
      </c>
      <c r="P15" s="279"/>
      <c r="Q15" s="293"/>
      <c r="R15" s="207">
        <v>1042680.0732258057</v>
      </c>
      <c r="S15" s="278"/>
      <c r="T15" s="294"/>
      <c r="U15" s="86">
        <f t="shared" si="1"/>
        <v>0.1430107294010011</v>
      </c>
      <c r="V15" s="279"/>
      <c r="W15" s="293"/>
    </row>
    <row r="16" spans="2:23" ht="16.5" customHeight="1">
      <c r="B16" s="79"/>
      <c r="C16" s="79"/>
      <c r="D16" s="389">
        <f t="shared" si="3"/>
        <v>46093</v>
      </c>
      <c r="E16" s="389" t="s">
        <v>527</v>
      </c>
      <c r="F16" s="207">
        <v>6613915</v>
      </c>
      <c r="G16" s="278"/>
      <c r="H16" s="294"/>
      <c r="I16" s="208">
        <v>210660</v>
      </c>
      <c r="K16" s="295"/>
      <c r="L16" s="207">
        <v>4522109</v>
      </c>
      <c r="M16" s="278"/>
      <c r="N16" s="294"/>
      <c r="O16" s="86">
        <f t="shared" si="0"/>
        <v>0.68372650691761239</v>
      </c>
      <c r="P16" s="279"/>
      <c r="Q16" s="293"/>
      <c r="R16" s="207">
        <v>994405.52322580665</v>
      </c>
      <c r="S16" s="278"/>
      <c r="T16" s="294"/>
      <c r="U16" s="86">
        <f t="shared" si="1"/>
        <v>0.1503505145176203</v>
      </c>
      <c r="V16" s="279"/>
      <c r="W16" s="293"/>
    </row>
    <row r="17" spans="2:23" ht="16.5" customHeight="1">
      <c r="B17" s="79"/>
      <c r="C17" s="79"/>
      <c r="D17" s="389">
        <f t="shared" si="3"/>
        <v>46094</v>
      </c>
      <c r="E17" s="389" t="s">
        <v>528</v>
      </c>
      <c r="F17" s="207">
        <v>6674345</v>
      </c>
      <c r="H17" s="294"/>
      <c r="I17" s="208">
        <v>206085</v>
      </c>
      <c r="K17" s="295"/>
      <c r="L17" s="207">
        <v>4470791</v>
      </c>
      <c r="M17" s="278"/>
      <c r="N17" s="294"/>
      <c r="O17" s="86">
        <f t="shared" si="0"/>
        <v>0.66984715354090929</v>
      </c>
      <c r="P17" s="279"/>
      <c r="Q17" s="293"/>
      <c r="R17" s="207">
        <v>984052.31989247352</v>
      </c>
      <c r="S17" s="278"/>
      <c r="T17" s="294"/>
      <c r="U17" s="86">
        <f t="shared" si="1"/>
        <v>0.14743803622564813</v>
      </c>
      <c r="V17" s="279"/>
      <c r="W17" s="293"/>
    </row>
    <row r="18" spans="2:23" ht="16.5" customHeight="1">
      <c r="B18" s="79"/>
      <c r="C18" s="79"/>
      <c r="D18" s="389">
        <f t="shared" si="3"/>
        <v>46095</v>
      </c>
      <c r="E18" s="389" t="s">
        <v>529</v>
      </c>
      <c r="F18" s="207">
        <v>6969421</v>
      </c>
      <c r="G18" s="278"/>
      <c r="H18" s="294"/>
      <c r="I18" s="208">
        <v>214713</v>
      </c>
      <c r="K18" s="295"/>
      <c r="L18" s="207">
        <v>4702467</v>
      </c>
      <c r="M18" s="278"/>
      <c r="N18" s="294"/>
      <c r="O18" s="86">
        <f t="shared" si="0"/>
        <v>0.67472850327164913</v>
      </c>
      <c r="P18" s="279"/>
      <c r="Q18" s="293"/>
      <c r="R18" s="207">
        <v>1003431.909892473</v>
      </c>
      <c r="S18" s="278"/>
      <c r="T18" s="294"/>
      <c r="U18" s="86">
        <f t="shared" si="1"/>
        <v>0.14397636617051446</v>
      </c>
      <c r="V18" s="279"/>
      <c r="W18" s="293"/>
    </row>
    <row r="19" spans="2:23" ht="16.5" customHeight="1">
      <c r="B19" s="79"/>
      <c r="C19" s="79"/>
      <c r="D19" s="389">
        <f t="shared" si="3"/>
        <v>46096</v>
      </c>
      <c r="E19" s="389" t="s">
        <v>530</v>
      </c>
      <c r="F19" s="207">
        <v>8390696</v>
      </c>
      <c r="G19" s="278"/>
      <c r="H19" s="294"/>
      <c r="I19" s="208">
        <v>258354</v>
      </c>
      <c r="K19" s="295"/>
      <c r="L19" s="207">
        <v>5321667</v>
      </c>
      <c r="M19" s="278"/>
      <c r="N19" s="294"/>
      <c r="O19" s="86">
        <f t="shared" si="0"/>
        <v>0.63423427567868029</v>
      </c>
      <c r="P19" s="279"/>
      <c r="Q19" s="293"/>
      <c r="R19" s="207">
        <v>1053516.7432258069</v>
      </c>
      <c r="S19" s="278"/>
      <c r="T19" s="294"/>
      <c r="U19" s="86">
        <f t="shared" si="1"/>
        <v>0.1255577300412036</v>
      </c>
      <c r="V19" s="279"/>
      <c r="W19" s="293"/>
    </row>
    <row r="20" spans="2:23" ht="16.5" customHeight="1">
      <c r="B20" s="79"/>
      <c r="C20" s="79"/>
      <c r="D20" s="389">
        <f t="shared" si="3"/>
        <v>46097</v>
      </c>
      <c r="E20" s="389" t="s">
        <v>524</v>
      </c>
      <c r="F20" s="207">
        <v>7961926</v>
      </c>
      <c r="H20" s="294"/>
      <c r="I20" s="208">
        <v>248582</v>
      </c>
      <c r="K20" s="295"/>
      <c r="L20" s="207">
        <v>5283302</v>
      </c>
      <c r="M20" s="278"/>
      <c r="N20" s="294"/>
      <c r="O20" s="86">
        <f t="shared" si="0"/>
        <v>0.66357084956579604</v>
      </c>
      <c r="P20" s="279"/>
      <c r="Q20" s="293"/>
      <c r="R20" s="207">
        <v>1050163.2565591405</v>
      </c>
      <c r="S20" s="278"/>
      <c r="T20" s="294"/>
      <c r="U20" s="86">
        <f t="shared" si="1"/>
        <v>0.13189814330843322</v>
      </c>
      <c r="V20" s="279"/>
      <c r="W20" s="293"/>
    </row>
    <row r="21" spans="2:23" ht="16.5" customHeight="1">
      <c r="B21" s="79"/>
      <c r="C21" s="79"/>
      <c r="D21" s="280">
        <f t="shared" si="3"/>
        <v>46098</v>
      </c>
      <c r="E21" s="280" t="s">
        <v>525</v>
      </c>
      <c r="F21" s="207">
        <v>8375991</v>
      </c>
      <c r="G21" s="278">
        <f>SUM(F21:F27)</f>
        <v>53723391</v>
      </c>
      <c r="H21" s="294"/>
      <c r="I21" s="208">
        <v>256722</v>
      </c>
      <c r="J21" s="84">
        <f>SUM(I21:I27)</f>
        <v>1654379</v>
      </c>
      <c r="K21" s="295"/>
      <c r="L21" s="207">
        <v>5571122</v>
      </c>
      <c r="M21" s="278">
        <f>SUM(L21:L27)</f>
        <v>35956388</v>
      </c>
      <c r="N21" s="294"/>
      <c r="O21" s="86">
        <f t="shared" si="0"/>
        <v>0.66512989328665706</v>
      </c>
      <c r="P21" s="86">
        <f>M21/G21</f>
        <v>0.66928738731328408</v>
      </c>
      <c r="Q21" s="293"/>
      <c r="R21" s="207">
        <v>1053474.5132258069</v>
      </c>
      <c r="S21" s="278">
        <f>SUM(R21:R27)</f>
        <v>7250541.349247314</v>
      </c>
      <c r="T21" s="294"/>
      <c r="U21" s="86">
        <f t="shared" si="1"/>
        <v>0.12577311905251651</v>
      </c>
      <c r="V21" s="86">
        <f>S21/G21</f>
        <v>0.13496060494854678</v>
      </c>
      <c r="W21" s="293"/>
    </row>
    <row r="22" spans="2:23" ht="16.5" customHeight="1">
      <c r="B22" s="79"/>
      <c r="C22" s="79"/>
      <c r="D22" s="388">
        <f t="shared" si="3"/>
        <v>46099</v>
      </c>
      <c r="E22" s="388" t="s">
        <v>526</v>
      </c>
      <c r="F22" s="207">
        <v>7820204</v>
      </c>
      <c r="G22" s="278"/>
      <c r="H22" s="294"/>
      <c r="I22" s="208">
        <v>243285</v>
      </c>
      <c r="K22" s="295"/>
      <c r="L22" s="207">
        <v>5387405</v>
      </c>
      <c r="M22" s="278"/>
      <c r="N22" s="294"/>
      <c r="O22" s="86">
        <f t="shared" si="0"/>
        <v>0.68890849906217277</v>
      </c>
      <c r="P22" s="279"/>
      <c r="Q22" s="293"/>
      <c r="R22" s="207">
        <v>1036147.8032258068</v>
      </c>
      <c r="S22" s="278"/>
      <c r="T22" s="294"/>
      <c r="U22" s="86">
        <f t="shared" si="1"/>
        <v>0.13249626265834072</v>
      </c>
      <c r="V22" s="279"/>
      <c r="W22" s="293"/>
    </row>
    <row r="23" spans="2:23" ht="16.5" customHeight="1">
      <c r="B23" s="79"/>
      <c r="C23" s="79"/>
      <c r="D23" s="388">
        <f t="shared" si="3"/>
        <v>46100</v>
      </c>
      <c r="E23" s="388" t="s">
        <v>527</v>
      </c>
      <c r="F23" s="207">
        <v>7245796</v>
      </c>
      <c r="G23" s="278"/>
      <c r="H23" s="294"/>
      <c r="I23" s="208">
        <v>227839</v>
      </c>
      <c r="K23" s="295"/>
      <c r="L23" s="207">
        <v>4854787</v>
      </c>
      <c r="M23" s="278"/>
      <c r="N23" s="294"/>
      <c r="O23" s="86">
        <f t="shared" si="0"/>
        <v>0.67001430898689396</v>
      </c>
      <c r="P23" s="279"/>
      <c r="Q23" s="293"/>
      <c r="R23" s="207">
        <v>1014079.6832258069</v>
      </c>
      <c r="S23" s="278"/>
      <c r="T23" s="294"/>
      <c r="U23" s="86">
        <f t="shared" si="1"/>
        <v>0.13995421389531348</v>
      </c>
      <c r="V23" s="279"/>
      <c r="W23" s="293"/>
    </row>
    <row r="24" spans="2:23" ht="16.5" customHeight="1">
      <c r="B24" s="79"/>
      <c r="C24" s="79"/>
      <c r="D24" s="388">
        <f t="shared" si="3"/>
        <v>46101</v>
      </c>
      <c r="E24" s="388" t="s">
        <v>528</v>
      </c>
      <c r="F24" s="207">
        <v>6666905</v>
      </c>
      <c r="H24" s="294"/>
      <c r="I24" s="208">
        <v>205172</v>
      </c>
      <c r="K24" s="295"/>
      <c r="L24" s="207">
        <v>4435723</v>
      </c>
      <c r="M24" s="278"/>
      <c r="N24" s="294"/>
      <c r="O24" s="86">
        <f t="shared" si="0"/>
        <v>0.66533466428575183</v>
      </c>
      <c r="P24" s="279"/>
      <c r="Q24" s="293"/>
      <c r="R24" s="207">
        <v>1022964.1498924734</v>
      </c>
      <c r="S24" s="278"/>
      <c r="T24" s="294"/>
      <c r="U24" s="86">
        <f t="shared" si="1"/>
        <v>0.15343913703472201</v>
      </c>
      <c r="V24" s="279"/>
      <c r="W24" s="293"/>
    </row>
    <row r="25" spans="2:23" ht="16.5" customHeight="1">
      <c r="B25" s="79"/>
      <c r="C25" s="79"/>
      <c r="D25" s="388">
        <f t="shared" si="3"/>
        <v>46102</v>
      </c>
      <c r="E25" s="388" t="s">
        <v>529</v>
      </c>
      <c r="F25" s="207">
        <v>7035053</v>
      </c>
      <c r="G25" s="278"/>
      <c r="H25" s="294"/>
      <c r="I25" s="208">
        <v>215989</v>
      </c>
      <c r="K25" s="295"/>
      <c r="L25" s="207">
        <v>4686878</v>
      </c>
      <c r="M25" s="278"/>
      <c r="N25" s="294"/>
      <c r="O25" s="86">
        <f t="shared" si="0"/>
        <v>0.66621786644677727</v>
      </c>
      <c r="P25" s="279"/>
      <c r="Q25" s="293"/>
      <c r="R25" s="207">
        <v>1024530.9365591396</v>
      </c>
      <c r="S25" s="278"/>
      <c r="T25" s="294"/>
      <c r="U25" s="86">
        <f t="shared" si="1"/>
        <v>0.14563229822989815</v>
      </c>
      <c r="V25" s="279"/>
      <c r="W25" s="293"/>
    </row>
    <row r="26" spans="2:23" ht="16.5" customHeight="1">
      <c r="B26" s="79"/>
      <c r="C26" s="79"/>
      <c r="D26" s="388">
        <f t="shared" si="3"/>
        <v>46103</v>
      </c>
      <c r="E26" s="388" t="s">
        <v>530</v>
      </c>
      <c r="F26" s="207">
        <v>8486244</v>
      </c>
      <c r="G26" s="278"/>
      <c r="H26" s="294"/>
      <c r="I26" s="208">
        <v>257635</v>
      </c>
      <c r="K26" s="295"/>
      <c r="L26" s="207">
        <v>5495349</v>
      </c>
      <c r="M26" s="278"/>
      <c r="N26" s="294"/>
      <c r="O26" s="86">
        <f t="shared" si="0"/>
        <v>0.64755962708590509</v>
      </c>
      <c r="P26" s="279"/>
      <c r="Q26" s="293"/>
      <c r="R26" s="207">
        <v>1049580.2265591403</v>
      </c>
      <c r="S26" s="278"/>
      <c r="T26" s="294"/>
      <c r="U26" s="86">
        <f t="shared" si="1"/>
        <v>0.12368018484492553</v>
      </c>
      <c r="V26" s="279"/>
      <c r="W26" s="293"/>
    </row>
    <row r="27" spans="2:23">
      <c r="B27" s="79"/>
      <c r="C27" s="79"/>
      <c r="D27" s="388">
        <f t="shared" si="3"/>
        <v>46104</v>
      </c>
      <c r="E27" s="388" t="s">
        <v>524</v>
      </c>
      <c r="F27" s="207">
        <v>8093198</v>
      </c>
      <c r="H27" s="294"/>
      <c r="I27" s="208">
        <v>247737</v>
      </c>
      <c r="K27" s="295"/>
      <c r="L27" s="207">
        <v>5525124</v>
      </c>
      <c r="M27" s="278"/>
      <c r="N27" s="294"/>
      <c r="O27" s="86">
        <f t="shared" si="0"/>
        <v>0.68268736289412413</v>
      </c>
      <c r="P27" s="279"/>
      <c r="Q27" s="293"/>
      <c r="R27" s="207">
        <v>1049764.0365591401</v>
      </c>
      <c r="S27" s="278"/>
      <c r="T27" s="294"/>
      <c r="U27" s="86">
        <f t="shared" si="1"/>
        <v>0.12970942222828852</v>
      </c>
      <c r="V27" s="279"/>
      <c r="W27" s="293"/>
    </row>
    <row r="28" spans="2:23">
      <c r="B28" s="79"/>
      <c r="C28" s="79"/>
      <c r="D28" s="383">
        <f t="shared" si="3"/>
        <v>46105</v>
      </c>
      <c r="E28" s="383" t="s">
        <v>525</v>
      </c>
      <c r="F28" s="207">
        <v>8093142</v>
      </c>
      <c r="G28" s="278">
        <f>SUM(F28:F34)</f>
        <v>53987945</v>
      </c>
      <c r="H28" s="294"/>
      <c r="I28" s="208">
        <v>247432</v>
      </c>
      <c r="J28" s="84">
        <f>SUM(I28:I34)</f>
        <v>1653343</v>
      </c>
      <c r="K28" s="295"/>
      <c r="L28" s="207">
        <v>5503649</v>
      </c>
      <c r="M28" s="278">
        <f>SUM(L28:L34)</f>
        <v>35939784</v>
      </c>
      <c r="N28" s="294"/>
      <c r="O28" s="86">
        <f t="shared" si="0"/>
        <v>0.68003860552551776</v>
      </c>
      <c r="P28" s="86">
        <f>M28/G28</f>
        <v>0.66570016695393763</v>
      </c>
      <c r="Q28" s="293"/>
      <c r="R28" s="207">
        <v>1035419.8165591405</v>
      </c>
      <c r="S28" s="278">
        <f>SUM(R28:R34)</f>
        <v>7192492.7059139814</v>
      </c>
      <c r="T28" s="294"/>
      <c r="U28" s="86">
        <f t="shared" si="1"/>
        <v>0.12793792776144797</v>
      </c>
      <c r="V28" s="86">
        <f>S28/G28</f>
        <v>0.13322405040447421</v>
      </c>
      <c r="W28" s="293"/>
    </row>
    <row r="29" spans="2:23">
      <c r="B29" s="79"/>
      <c r="C29" s="79"/>
      <c r="D29" s="389">
        <f t="shared" si="3"/>
        <v>46106</v>
      </c>
      <c r="E29" s="389" t="s">
        <v>526</v>
      </c>
      <c r="F29" s="207">
        <v>7691347</v>
      </c>
      <c r="G29" s="278"/>
      <c r="H29" s="294"/>
      <c r="I29" s="208">
        <v>237565</v>
      </c>
      <c r="K29" s="295"/>
      <c r="L29" s="207">
        <v>5083094</v>
      </c>
      <c r="M29" s="278"/>
      <c r="N29" s="294"/>
      <c r="O29" s="86">
        <f t="shared" si="0"/>
        <v>0.66088475789741385</v>
      </c>
      <c r="P29" s="279"/>
      <c r="Q29" s="293"/>
      <c r="R29" s="207">
        <v>1024120.2065591401</v>
      </c>
      <c r="S29" s="278"/>
      <c r="T29" s="294"/>
      <c r="U29" s="86">
        <f t="shared" si="1"/>
        <v>0.13315225623796978</v>
      </c>
      <c r="V29" s="279"/>
      <c r="W29" s="293"/>
    </row>
    <row r="30" spans="2:23">
      <c r="B30" s="79"/>
      <c r="C30" s="79"/>
      <c r="D30" s="389">
        <f t="shared" si="3"/>
        <v>46107</v>
      </c>
      <c r="E30" s="389" t="s">
        <v>527</v>
      </c>
      <c r="F30" s="207">
        <v>7180490</v>
      </c>
      <c r="G30" s="278"/>
      <c r="H30" s="294"/>
      <c r="I30" s="208">
        <v>223124</v>
      </c>
      <c r="K30" s="295"/>
      <c r="L30" s="207">
        <v>4921648</v>
      </c>
      <c r="M30" s="278"/>
      <c r="N30" s="294"/>
      <c r="O30" s="86">
        <f t="shared" si="0"/>
        <v>0.68541951872365259</v>
      </c>
      <c r="P30" s="279"/>
      <c r="Q30" s="293"/>
      <c r="R30" s="207">
        <v>1016204.2098924734</v>
      </c>
      <c r="S30" s="278"/>
      <c r="T30" s="294"/>
      <c r="U30" s="86">
        <f t="shared" si="1"/>
        <v>0.14152296150993504</v>
      </c>
      <c r="V30" s="279"/>
      <c r="W30" s="293"/>
    </row>
    <row r="31" spans="2:23">
      <c r="B31" s="79"/>
      <c r="C31" s="79"/>
      <c r="D31" s="389">
        <f t="shared" si="3"/>
        <v>46108</v>
      </c>
      <c r="E31" s="389" t="s">
        <v>528</v>
      </c>
      <c r="F31" s="207">
        <v>7065299</v>
      </c>
      <c r="H31" s="294"/>
      <c r="I31" s="208">
        <v>216121</v>
      </c>
      <c r="K31" s="295"/>
      <c r="L31" s="207">
        <v>4737756</v>
      </c>
      <c r="M31" s="278"/>
      <c r="N31" s="294"/>
      <c r="O31" s="86">
        <f t="shared" si="0"/>
        <v>0.67056694982052423</v>
      </c>
      <c r="P31" s="279"/>
      <c r="Q31" s="293"/>
      <c r="R31" s="207">
        <v>1010474.8732258066</v>
      </c>
      <c r="S31" s="278"/>
      <c r="T31" s="294"/>
      <c r="U31" s="86">
        <f t="shared" si="1"/>
        <v>0.1430194069954869</v>
      </c>
      <c r="V31" s="279"/>
      <c r="W31" s="293"/>
    </row>
    <row r="32" spans="2:23">
      <c r="B32" s="79"/>
      <c r="C32" s="79"/>
      <c r="D32" s="389">
        <f t="shared" si="3"/>
        <v>46109</v>
      </c>
      <c r="E32" s="389" t="s">
        <v>529</v>
      </c>
      <c r="F32" s="207">
        <v>7298371</v>
      </c>
      <c r="G32" s="278"/>
      <c r="H32" s="294"/>
      <c r="I32" s="208">
        <v>221930</v>
      </c>
      <c r="K32" s="295"/>
      <c r="L32" s="207">
        <v>4837965</v>
      </c>
      <c r="M32" s="278"/>
      <c r="N32" s="294"/>
      <c r="O32" s="86">
        <f t="shared" si="0"/>
        <v>0.66288285426980897</v>
      </c>
      <c r="P32" s="279"/>
      <c r="Q32" s="293"/>
      <c r="R32" s="207">
        <v>1018851.82655914</v>
      </c>
      <c r="S32" s="278"/>
      <c r="T32" s="294"/>
      <c r="U32" s="86">
        <f t="shared" si="1"/>
        <v>0.13959989517649074</v>
      </c>
      <c r="V32" s="86"/>
      <c r="W32" s="293"/>
    </row>
    <row r="33" spans="2:23">
      <c r="B33" s="79"/>
      <c r="C33" s="79"/>
      <c r="D33" s="389">
        <f t="shared" si="3"/>
        <v>46110</v>
      </c>
      <c r="E33" s="389" t="s">
        <v>530</v>
      </c>
      <c r="F33" s="207">
        <v>8464560</v>
      </c>
      <c r="G33" s="278"/>
      <c r="H33" s="294"/>
      <c r="I33" s="208">
        <v>256372</v>
      </c>
      <c r="K33" s="295"/>
      <c r="L33" s="207">
        <v>5382179</v>
      </c>
      <c r="M33" s="278"/>
      <c r="N33" s="294"/>
      <c r="O33" s="86">
        <f t="shared" si="0"/>
        <v>0.63584864422958787</v>
      </c>
      <c r="Q33" s="293"/>
      <c r="R33" s="207">
        <v>1033967.3665591402</v>
      </c>
      <c r="S33" s="278"/>
      <c r="T33" s="294"/>
      <c r="U33" s="86">
        <f t="shared" si="1"/>
        <v>0.12215252376486671</v>
      </c>
      <c r="V33" s="86"/>
      <c r="W33" s="293"/>
    </row>
    <row r="34" spans="2:23">
      <c r="B34" s="79"/>
      <c r="C34" s="79"/>
      <c r="D34" s="389">
        <f t="shared" si="3"/>
        <v>46111</v>
      </c>
      <c r="E34" s="389" t="s">
        <v>524</v>
      </c>
      <c r="F34" s="207">
        <v>8194736</v>
      </c>
      <c r="H34" s="294"/>
      <c r="I34" s="208">
        <v>250799</v>
      </c>
      <c r="K34" s="295"/>
      <c r="L34" s="207">
        <v>5473493</v>
      </c>
      <c r="M34" s="278"/>
      <c r="N34" s="294"/>
      <c r="O34" s="86">
        <f t="shared" si="0"/>
        <v>0.66792792348649177</v>
      </c>
      <c r="Q34" s="293"/>
      <c r="R34" s="207">
        <v>1053454.4065591409</v>
      </c>
      <c r="S34" s="278"/>
      <c r="T34" s="294"/>
      <c r="U34" s="86">
        <f t="shared" si="1"/>
        <v>0.12855257406207363</v>
      </c>
      <c r="V34" s="86"/>
      <c r="W34" s="293"/>
    </row>
    <row r="35" spans="2:23">
      <c r="B35" s="79"/>
      <c r="D35" s="280">
        <f>D34+1</f>
        <v>46112</v>
      </c>
      <c r="E35" s="280" t="s">
        <v>525</v>
      </c>
      <c r="F35" s="207">
        <v>8528663</v>
      </c>
      <c r="G35" s="278">
        <f>SUM(F35:F41)</f>
        <v>52952468</v>
      </c>
      <c r="I35" s="208">
        <v>263793</v>
      </c>
      <c r="J35" s="84">
        <f>SUM(I35:I41)</f>
        <v>1615819</v>
      </c>
      <c r="L35" s="207">
        <v>5690781</v>
      </c>
      <c r="M35" s="278">
        <f>SUM(L35:L41)</f>
        <v>35685182</v>
      </c>
      <c r="N35" s="83"/>
      <c r="O35" s="86">
        <f t="shared" si="0"/>
        <v>0.66725358945475977</v>
      </c>
      <c r="P35" s="86">
        <f>M35/G35</f>
        <v>0.67390970332109923</v>
      </c>
      <c r="Q35" s="83"/>
      <c r="R35" s="207">
        <v>1013806.7204301081</v>
      </c>
      <c r="S35" s="278">
        <f>SUM(R35:R41)</f>
        <v>6795211.8593189996</v>
      </c>
      <c r="T35" s="83"/>
      <c r="U35" s="86">
        <f t="shared" si="1"/>
        <v>0.11887053345056642</v>
      </c>
      <c r="V35" s="86">
        <f>S35/G35</f>
        <v>0.12832663171278438</v>
      </c>
      <c r="W35" s="83"/>
    </row>
    <row r="36" spans="2:23">
      <c r="B36" s="79"/>
      <c r="C36" s="79"/>
      <c r="D36" s="280">
        <f t="shared" ref="D36:D41" si="4">D35+1</f>
        <v>46113</v>
      </c>
      <c r="E36" s="388" t="s">
        <v>526</v>
      </c>
      <c r="F36" s="207">
        <v>7706722</v>
      </c>
      <c r="G36" s="278"/>
      <c r="H36" s="294"/>
      <c r="I36" s="208">
        <v>240873</v>
      </c>
      <c r="K36" s="295"/>
      <c r="L36" s="207">
        <v>5517765</v>
      </c>
      <c r="M36" s="278"/>
      <c r="N36" s="294"/>
      <c r="O36" s="86">
        <f t="shared" si="0"/>
        <v>0.71596782652858115</v>
      </c>
      <c r="Q36" s="293"/>
      <c r="R36" s="207">
        <v>948789.58138888935</v>
      </c>
      <c r="S36" s="278"/>
      <c r="T36" s="294"/>
      <c r="U36" s="86">
        <f t="shared" si="1"/>
        <v>0.12311195102001725</v>
      </c>
      <c r="V36" s="86"/>
      <c r="W36" s="293"/>
    </row>
    <row r="37" spans="2:23">
      <c r="B37" s="79"/>
      <c r="D37" s="280">
        <f t="shared" si="4"/>
        <v>46114</v>
      </c>
      <c r="E37" s="388" t="s">
        <v>527</v>
      </c>
      <c r="F37" s="207">
        <v>7008581</v>
      </c>
      <c r="G37" s="278"/>
      <c r="I37" s="208">
        <v>219733</v>
      </c>
      <c r="L37" s="207">
        <v>4996114</v>
      </c>
      <c r="M37" s="278"/>
      <c r="N37" s="83"/>
      <c r="O37" s="86">
        <f t="shared" si="0"/>
        <v>0.71285671093763492</v>
      </c>
      <c r="Q37" s="83"/>
      <c r="R37" s="207">
        <v>978257.04069444456</v>
      </c>
      <c r="S37" s="278"/>
      <c r="T37" s="83"/>
      <c r="U37" s="86">
        <f t="shared" si="1"/>
        <v>0.1395799007951031</v>
      </c>
      <c r="V37" s="86"/>
      <c r="W37" s="83"/>
    </row>
    <row r="38" spans="2:23">
      <c r="B38" s="79"/>
      <c r="D38" s="280">
        <f t="shared" si="4"/>
        <v>46115</v>
      </c>
      <c r="E38" s="388" t="s">
        <v>528</v>
      </c>
      <c r="F38" s="207">
        <v>6828155</v>
      </c>
      <c r="G38" s="278"/>
      <c r="I38" s="208">
        <v>208291</v>
      </c>
      <c r="L38" s="207">
        <v>4613397</v>
      </c>
      <c r="M38" s="278"/>
      <c r="N38" s="83"/>
      <c r="O38" s="86">
        <f t="shared" si="0"/>
        <v>0.67564327406158764</v>
      </c>
      <c r="Q38" s="83"/>
      <c r="R38" s="207">
        <v>959333.95513888961</v>
      </c>
      <c r="S38" s="278"/>
      <c r="T38" s="83"/>
      <c r="U38" s="86">
        <f t="shared" si="1"/>
        <v>0.14049680406184242</v>
      </c>
      <c r="V38" s="86"/>
      <c r="W38" s="83"/>
    </row>
    <row r="39" spans="2:23">
      <c r="B39" s="79"/>
      <c r="D39" s="280">
        <f t="shared" si="4"/>
        <v>46116</v>
      </c>
      <c r="E39" s="388" t="s">
        <v>529</v>
      </c>
      <c r="F39" s="207">
        <v>6946481</v>
      </c>
      <c r="G39" s="278"/>
      <c r="I39" s="208">
        <v>206015</v>
      </c>
      <c r="L39" s="207">
        <v>4661730</v>
      </c>
      <c r="M39" s="278"/>
      <c r="N39" s="83"/>
      <c r="O39" s="86">
        <f t="shared" si="0"/>
        <v>0.67109231278398374</v>
      </c>
      <c r="Q39" s="83"/>
      <c r="R39" s="207">
        <v>965308.54361111135</v>
      </c>
      <c r="S39" s="278"/>
      <c r="T39" s="83"/>
      <c r="U39" s="86">
        <f t="shared" si="1"/>
        <v>0.13896367723615904</v>
      </c>
      <c r="V39" s="86"/>
      <c r="W39" s="83"/>
    </row>
    <row r="40" spans="2:23">
      <c r="B40" s="79"/>
      <c r="D40" s="280">
        <f t="shared" si="4"/>
        <v>46117</v>
      </c>
      <c r="E40" s="388" t="s">
        <v>530</v>
      </c>
      <c r="F40" s="207">
        <v>7261197</v>
      </c>
      <c r="G40" s="278"/>
      <c r="I40" s="208">
        <v>218068</v>
      </c>
      <c r="L40" s="207">
        <v>4769113</v>
      </c>
      <c r="M40" s="278"/>
      <c r="N40" s="83"/>
      <c r="O40" s="86">
        <f>L40/F40</f>
        <v>0.65679432743664712</v>
      </c>
      <c r="Q40" s="83"/>
      <c r="R40" s="207">
        <v>986660.05000000016</v>
      </c>
      <c r="S40" s="278"/>
      <c r="T40" s="83"/>
      <c r="U40" s="86">
        <f t="shared" si="1"/>
        <v>0.13588118460358536</v>
      </c>
      <c r="V40" s="86"/>
      <c r="W40" s="83"/>
    </row>
    <row r="41" spans="2:23">
      <c r="B41" s="79"/>
      <c r="D41" s="280">
        <f t="shared" si="4"/>
        <v>46118</v>
      </c>
      <c r="E41" s="388" t="s">
        <v>524</v>
      </c>
      <c r="F41" s="207">
        <v>8672669</v>
      </c>
      <c r="G41" s="278"/>
      <c r="I41" s="208">
        <v>259046</v>
      </c>
      <c r="L41" s="207">
        <v>5436282</v>
      </c>
      <c r="M41" s="278"/>
      <c r="N41" s="83"/>
      <c r="O41" s="86">
        <f>L41/F41</f>
        <v>0.62682918026734336</v>
      </c>
      <c r="Q41" s="83"/>
      <c r="R41" s="209">
        <v>943055.96805555688</v>
      </c>
      <c r="S41" s="278"/>
      <c r="T41" s="83"/>
      <c r="U41" s="86">
        <f t="shared" si="1"/>
        <v>0.10873884014892726</v>
      </c>
      <c r="V41" s="86"/>
      <c r="W41" s="83"/>
    </row>
    <row r="42" spans="2:23">
      <c r="B42" s="79"/>
      <c r="D42" s="82"/>
      <c r="E42" s="82"/>
      <c r="G42" s="278"/>
      <c r="M42" s="278"/>
      <c r="N42" s="83"/>
      <c r="Q42" s="83"/>
      <c r="S42" s="278"/>
      <c r="T42" s="83"/>
      <c r="V42" s="86"/>
      <c r="W42" s="83"/>
    </row>
    <row r="43" spans="2:23">
      <c r="B43" s="79"/>
      <c r="D43" s="82"/>
      <c r="E43" s="82"/>
      <c r="G43" s="278"/>
      <c r="M43" s="278"/>
      <c r="N43" s="83"/>
      <c r="Q43" s="83"/>
      <c r="S43" s="278"/>
      <c r="T43" s="83"/>
      <c r="V43" s="86"/>
      <c r="W43" s="83"/>
    </row>
    <row r="44" spans="2:23">
      <c r="B44" s="79"/>
      <c r="D44" s="82"/>
      <c r="E44" s="82"/>
      <c r="G44" s="278"/>
      <c r="M44" s="278"/>
      <c r="N44" s="83"/>
      <c r="Q44" s="83"/>
      <c r="S44" s="278"/>
      <c r="T44" s="83"/>
      <c r="V44" s="86"/>
      <c r="W44" s="83"/>
    </row>
    <row r="45" spans="2:23">
      <c r="B45" s="79"/>
      <c r="M45" s="83"/>
      <c r="S45" s="83"/>
    </row>
    <row r="46" spans="2:23">
      <c r="B46" s="79"/>
      <c r="M46" s="83"/>
    </row>
    <row r="47" spans="2:23">
      <c r="B47" s="79"/>
      <c r="M47" s="83"/>
    </row>
    <row r="48" spans="2:23">
      <c r="B48" s="79"/>
      <c r="M48" s="83"/>
    </row>
    <row r="49" spans="2:13">
      <c r="B49" s="79"/>
      <c r="M49" s="83"/>
    </row>
    <row r="50" spans="2:13">
      <c r="B50" s="79"/>
      <c r="M50" s="83"/>
    </row>
    <row r="51" spans="2:13">
      <c r="M51" s="83"/>
    </row>
    <row r="52" spans="2:13">
      <c r="M52" s="83"/>
    </row>
    <row r="53" spans="2:13">
      <c r="M53" s="83"/>
    </row>
    <row r="54" spans="2:13">
      <c r="M54" s="83"/>
    </row>
    <row r="55" spans="2:13">
      <c r="M55" s="83"/>
    </row>
    <row r="56" spans="2:13">
      <c r="M56" s="83"/>
    </row>
    <row r="57" spans="2:13">
      <c r="M57" s="83"/>
    </row>
    <row r="58" spans="2:13">
      <c r="M58" s="83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B1:W50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G7" sqref="G7"/>
    </sheetView>
  </sheetViews>
  <sheetFormatPr defaultColWidth="8.81640625" defaultRowHeight="13.5"/>
  <cols>
    <col min="1" max="1" width="4.453125" style="73" customWidth="1"/>
    <col min="2" max="2" width="12.54296875" style="80" customWidth="1"/>
    <col min="3" max="3" width="8.81640625" style="75"/>
    <col min="4" max="4" width="17.453125" style="78" customWidth="1"/>
    <col min="5" max="5" width="4.453125" style="78" customWidth="1"/>
    <col min="6" max="8" width="25.54296875" style="90" customWidth="1"/>
    <col min="9" max="11" width="15" style="72" customWidth="1"/>
    <col min="12" max="17" width="14.54296875" style="72" customWidth="1"/>
    <col min="18" max="21" width="14.1796875" style="72" customWidth="1"/>
    <col min="22" max="23" width="14.1796875" style="73" customWidth="1"/>
    <col min="24" max="16384" width="8.81640625" style="73"/>
  </cols>
  <sheetData>
    <row r="1" spans="2:23">
      <c r="B1" s="80" t="s">
        <v>334</v>
      </c>
      <c r="C1" s="75">
        <v>366</v>
      </c>
    </row>
    <row r="2" spans="2:23" ht="38.15" customHeight="1">
      <c r="B2" s="429" t="s">
        <v>126</v>
      </c>
      <c r="C2" s="436"/>
      <c r="D2" s="436"/>
      <c r="E2" s="436"/>
      <c r="F2" s="436"/>
      <c r="G2" s="436"/>
      <c r="H2" s="436"/>
      <c r="I2" s="436"/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</row>
    <row r="3" spans="2:23" s="71" customFormat="1" ht="23.5" customHeight="1">
      <c r="B3" s="79"/>
      <c r="C3" s="433" t="s">
        <v>116</v>
      </c>
      <c r="D3" s="434" t="s">
        <v>105</v>
      </c>
      <c r="E3" s="434"/>
      <c r="F3" s="437" t="s">
        <v>107</v>
      </c>
      <c r="G3" s="437"/>
      <c r="H3" s="437"/>
      <c r="I3" s="439" t="s">
        <v>108</v>
      </c>
      <c r="J3" s="439"/>
      <c r="K3" s="439"/>
      <c r="L3" s="438" t="s">
        <v>324</v>
      </c>
      <c r="M3" s="438"/>
      <c r="N3" s="438"/>
      <c r="O3" s="438" t="s">
        <v>106</v>
      </c>
      <c r="P3" s="438"/>
      <c r="Q3" s="438"/>
      <c r="R3" s="438" t="s">
        <v>109</v>
      </c>
      <c r="S3" s="438"/>
      <c r="T3" s="438"/>
      <c r="U3" s="438" t="s">
        <v>110</v>
      </c>
      <c r="V3" s="438"/>
      <c r="W3" s="438"/>
    </row>
    <row r="4" spans="2:23" ht="15">
      <c r="B4" s="79"/>
      <c r="C4" s="433"/>
      <c r="D4" s="434"/>
      <c r="E4" s="434"/>
      <c r="F4" s="81" t="s">
        <v>115</v>
      </c>
      <c r="G4" s="92" t="s">
        <v>127</v>
      </c>
      <c r="H4" s="92" t="s">
        <v>128</v>
      </c>
      <c r="I4" s="81" t="s">
        <v>115</v>
      </c>
      <c r="J4" s="91" t="s">
        <v>127</v>
      </c>
      <c r="K4" s="91" t="s">
        <v>128</v>
      </c>
      <c r="L4" s="81" t="s">
        <v>115</v>
      </c>
      <c r="M4" s="91" t="s">
        <v>127</v>
      </c>
      <c r="N4" s="91" t="s">
        <v>128</v>
      </c>
      <c r="O4" s="81" t="s">
        <v>115</v>
      </c>
      <c r="P4" s="91" t="s">
        <v>127</v>
      </c>
      <c r="Q4" s="91" t="s">
        <v>128</v>
      </c>
      <c r="R4" s="81" t="s">
        <v>115</v>
      </c>
      <c r="S4" s="91" t="s">
        <v>127</v>
      </c>
      <c r="T4" s="91" t="s">
        <v>128</v>
      </c>
      <c r="U4" s="81" t="s">
        <v>115</v>
      </c>
      <c r="V4" s="91" t="s">
        <v>127</v>
      </c>
      <c r="W4" s="91" t="s">
        <v>128</v>
      </c>
    </row>
    <row r="5" spans="2:23" ht="14.5" customHeight="1">
      <c r="B5" s="79"/>
      <c r="C5" s="79"/>
      <c r="D5" s="82">
        <v>46082</v>
      </c>
      <c r="E5" s="82" t="s">
        <v>530</v>
      </c>
      <c r="F5" s="206">
        <v>359.80916068260569</v>
      </c>
      <c r="G5" s="89"/>
      <c r="H5" s="89"/>
      <c r="I5" s="86">
        <f>F5/$C$1</f>
        <v>0.98308513847706469</v>
      </c>
      <c r="J5" s="192"/>
      <c r="K5" s="192"/>
      <c r="L5" s="225">
        <v>2.4201733354687928E-3</v>
      </c>
      <c r="M5" s="279"/>
      <c r="N5" s="279"/>
      <c r="O5" s="225">
        <v>1.6691286685492409E-3</v>
      </c>
      <c r="P5" s="279"/>
      <c r="Q5" s="279"/>
      <c r="R5" s="210">
        <v>0.91700000000000004</v>
      </c>
      <c r="S5" s="192"/>
      <c r="T5" s="279"/>
      <c r="U5" s="210">
        <v>0.15</v>
      </c>
      <c r="V5" s="192"/>
      <c r="W5" s="279"/>
    </row>
    <row r="6" spans="2:23" ht="14.5" customHeight="1">
      <c r="B6" s="79"/>
      <c r="C6" s="79"/>
      <c r="D6" s="82">
        <f t="shared" ref="D6:D34" si="0">D5+1</f>
        <v>46083</v>
      </c>
      <c r="E6" s="383" t="s">
        <v>524</v>
      </c>
      <c r="F6" s="206">
        <v>351.58803260348827</v>
      </c>
      <c r="G6" s="90">
        <f>AVERAGE(F5:F6)</f>
        <v>355.69859664304698</v>
      </c>
      <c r="H6" s="89"/>
      <c r="I6" s="86">
        <f>F6/$C$1</f>
        <v>0.96062303990024123</v>
      </c>
      <c r="J6" s="192">
        <f>AVERAGE(I5:I6)</f>
        <v>0.9718540891886529</v>
      </c>
      <c r="K6" s="192"/>
      <c r="L6" s="225">
        <v>2.4499124486547907E-3</v>
      </c>
      <c r="M6" s="279">
        <f>AVERAGE(L5:L6)</f>
        <v>2.4350428920617917E-3</v>
      </c>
      <c r="N6" s="279"/>
      <c r="O6" s="225">
        <v>1.9438430964752661E-3</v>
      </c>
      <c r="P6" s="279">
        <f>AVERAGE(O5:O6)</f>
        <v>1.8064858825122534E-3</v>
      </c>
      <c r="Q6" s="279"/>
      <c r="R6" s="210">
        <v>0.91700000000000004</v>
      </c>
      <c r="S6" s="192">
        <f>AVERAGE(R5:R6)</f>
        <v>0.91700000000000004</v>
      </c>
      <c r="T6" s="279"/>
      <c r="U6" s="210">
        <v>0.15</v>
      </c>
      <c r="V6" s="192">
        <f>AVERAGE(U5:U6)</f>
        <v>0.15</v>
      </c>
      <c r="W6" s="279"/>
    </row>
    <row r="7" spans="2:23" ht="14.5" customHeight="1">
      <c r="B7" s="79"/>
      <c r="C7" s="79"/>
      <c r="D7" s="280">
        <f t="shared" si="0"/>
        <v>46084</v>
      </c>
      <c r="E7" s="280" t="s">
        <v>525</v>
      </c>
      <c r="F7" s="206">
        <v>354.35193936548563</v>
      </c>
      <c r="G7" s="89">
        <f>AVERAGE(F7:F13)</f>
        <v>353.64767096168481</v>
      </c>
      <c r="I7" s="86">
        <f t="shared" ref="I7:I40" si="1">F7/$C$1</f>
        <v>0.96817469771990605</v>
      </c>
      <c r="J7" s="192">
        <f>AVERAGE(I7:I13)</f>
        <v>0.96625046710842832</v>
      </c>
      <c r="L7" s="225">
        <v>2.457493944176898E-3</v>
      </c>
      <c r="M7" s="279">
        <f>AVERAGE(L7:L13)</f>
        <v>2.4468439247250606E-3</v>
      </c>
      <c r="O7" s="225">
        <v>1.8232610477698084E-3</v>
      </c>
      <c r="P7" s="279">
        <f>AVERAGE(O7:O13)</f>
        <v>1.9402115417733029E-3</v>
      </c>
      <c r="R7" s="210">
        <v>0.91700000000000004</v>
      </c>
      <c r="S7" s="192">
        <f>AVERAGE(R7:R13)</f>
        <v>0.91699999999999993</v>
      </c>
      <c r="U7" s="210">
        <v>0.152</v>
      </c>
      <c r="V7" s="192">
        <f>AVERAGE(U7:U13)</f>
        <v>0.16057142857142859</v>
      </c>
    </row>
    <row r="8" spans="2:23" ht="14.5" customHeight="1">
      <c r="B8" s="79"/>
      <c r="C8" s="79"/>
      <c r="D8" s="388">
        <f t="shared" si="0"/>
        <v>46085</v>
      </c>
      <c r="E8" s="388" t="s">
        <v>526</v>
      </c>
      <c r="F8" s="206">
        <v>350.63524768390965</v>
      </c>
      <c r="G8" s="89"/>
      <c r="H8" s="89"/>
      <c r="I8" s="86">
        <f t="shared" si="1"/>
        <v>0.95801980241505369</v>
      </c>
      <c r="J8" s="192"/>
      <c r="K8" s="192"/>
      <c r="L8" s="225">
        <v>2.4520670549957229E-3</v>
      </c>
      <c r="M8" s="279"/>
      <c r="N8" s="279"/>
      <c r="O8" s="225">
        <v>1.8578161105452288E-3</v>
      </c>
      <c r="P8" s="279"/>
      <c r="Q8" s="279"/>
      <c r="R8" s="210">
        <v>0.91700000000000004</v>
      </c>
      <c r="S8" s="192"/>
      <c r="T8" s="279"/>
      <c r="U8" s="210">
        <v>0.156</v>
      </c>
      <c r="V8" s="192"/>
      <c r="W8" s="279"/>
    </row>
    <row r="9" spans="2:23" ht="14.5" customHeight="1">
      <c r="B9" s="79"/>
      <c r="C9" s="79"/>
      <c r="D9" s="388">
        <f t="shared" si="0"/>
        <v>46086</v>
      </c>
      <c r="E9" s="388" t="s">
        <v>527</v>
      </c>
      <c r="F9" s="206">
        <v>357.43895993814249</v>
      </c>
      <c r="G9" s="89"/>
      <c r="H9" s="89"/>
      <c r="I9" s="86">
        <f t="shared" si="1"/>
        <v>0.97660918015885922</v>
      </c>
      <c r="J9" s="192"/>
      <c r="K9" s="192"/>
      <c r="L9" s="225">
        <v>2.459087529809994E-3</v>
      </c>
      <c r="M9" s="279"/>
      <c r="N9" s="279"/>
      <c r="O9" s="225">
        <v>2.0575952536563322E-3</v>
      </c>
      <c r="P9" s="279"/>
      <c r="Q9" s="279"/>
      <c r="R9" s="210">
        <v>0.91700000000000004</v>
      </c>
      <c r="S9" s="192"/>
      <c r="T9" s="279"/>
      <c r="U9" s="210">
        <v>0.158</v>
      </c>
      <c r="V9" s="192"/>
      <c r="W9" s="279"/>
    </row>
    <row r="10" spans="2:23" ht="14.5" customHeight="1">
      <c r="B10" s="79"/>
      <c r="C10" s="79"/>
      <c r="D10" s="388">
        <f t="shared" si="0"/>
        <v>46087</v>
      </c>
      <c r="E10" s="388" t="s">
        <v>528</v>
      </c>
      <c r="F10" s="206">
        <v>352.16773145320383</v>
      </c>
      <c r="G10" s="89"/>
      <c r="H10" s="89">
        <f>AVERAGE(F5:F35)</f>
        <v>353.52737301471819</v>
      </c>
      <c r="I10" s="86">
        <f t="shared" si="1"/>
        <v>0.9622069165388083</v>
      </c>
      <c r="J10" s="192"/>
      <c r="K10" s="192">
        <f>AVERAGE(I5:I35)</f>
        <v>0.96592178419321906</v>
      </c>
      <c r="L10" s="225">
        <v>2.4188031442383667E-3</v>
      </c>
      <c r="M10" s="279"/>
      <c r="N10" s="279">
        <f>AVERAGE(L5:L35)</f>
        <v>2.4375052217987885E-3</v>
      </c>
      <c r="O10" s="225">
        <v>2.0654379220542466E-3</v>
      </c>
      <c r="P10" s="279"/>
      <c r="Q10" s="279">
        <f>AVERAGE(O5:O35)</f>
        <v>1.8458044939002739E-3</v>
      </c>
      <c r="R10" s="210">
        <v>0.91700000000000004</v>
      </c>
      <c r="S10" s="192"/>
      <c r="T10" s="192">
        <f>AVERAGE(R5:R35)</f>
        <v>0.9170000000000007</v>
      </c>
      <c r="U10" s="210">
        <v>0.16200000000000001</v>
      </c>
      <c r="V10" s="192"/>
      <c r="W10" s="192">
        <f>AVERAGE(U5:U35)</f>
        <v>0.18509677419354842</v>
      </c>
    </row>
    <row r="11" spans="2:23" ht="14.5" customHeight="1">
      <c r="B11" s="79"/>
      <c r="C11" s="79"/>
      <c r="D11" s="388">
        <f t="shared" si="0"/>
        <v>46088</v>
      </c>
      <c r="E11" s="388" t="s">
        <v>529</v>
      </c>
      <c r="F11" s="206">
        <v>354.59411988855641</v>
      </c>
      <c r="G11" s="89"/>
      <c r="H11" s="89"/>
      <c r="I11" s="86">
        <f t="shared" si="1"/>
        <v>0.9688363931381323</v>
      </c>
      <c r="J11" s="192"/>
      <c r="K11" s="192"/>
      <c r="L11" s="225">
        <v>2.4578706898811032E-3</v>
      </c>
      <c r="M11" s="279"/>
      <c r="N11" s="279"/>
      <c r="O11" s="225">
        <v>1.9299257149679534E-3</v>
      </c>
      <c r="P11" s="279"/>
      <c r="Q11" s="279"/>
      <c r="R11" s="210">
        <v>0.91700000000000004</v>
      </c>
      <c r="S11" s="192"/>
      <c r="T11" s="279"/>
      <c r="U11" s="210">
        <v>0.16200000000000001</v>
      </c>
      <c r="V11" s="192"/>
      <c r="W11" s="279"/>
    </row>
    <row r="12" spans="2:23" ht="14.5" customHeight="1">
      <c r="B12" s="79"/>
      <c r="C12" s="79"/>
      <c r="D12" s="388">
        <f t="shared" si="0"/>
        <v>46089</v>
      </c>
      <c r="E12" s="388" t="s">
        <v>530</v>
      </c>
      <c r="F12" s="206">
        <v>350.0942764294648</v>
      </c>
      <c r="G12" s="89"/>
      <c r="H12" s="89"/>
      <c r="I12" s="86">
        <f t="shared" si="1"/>
        <v>0.95654173887831917</v>
      </c>
      <c r="J12" s="192"/>
      <c r="K12" s="192"/>
      <c r="L12" s="225">
        <v>2.4409060410470877E-3</v>
      </c>
      <c r="M12" s="279"/>
      <c r="N12" s="279"/>
      <c r="O12" s="225">
        <v>1.8686402303105395E-3</v>
      </c>
      <c r="P12" s="279"/>
      <c r="Q12" s="279"/>
      <c r="R12" s="210">
        <v>0.91700000000000004</v>
      </c>
      <c r="S12" s="192"/>
      <c r="T12" s="279"/>
      <c r="U12" s="210">
        <v>0.16400000000000001</v>
      </c>
      <c r="V12" s="192"/>
      <c r="W12" s="279"/>
    </row>
    <row r="13" spans="2:23" ht="14.5" customHeight="1">
      <c r="B13" s="79"/>
      <c r="C13" s="79"/>
      <c r="D13" s="388">
        <f t="shared" si="0"/>
        <v>46090</v>
      </c>
      <c r="E13" s="388" t="s">
        <v>524</v>
      </c>
      <c r="F13" s="206">
        <v>356.25142197303063</v>
      </c>
      <c r="H13" s="89"/>
      <c r="I13" s="86">
        <f t="shared" si="1"/>
        <v>0.97336454090991975</v>
      </c>
      <c r="J13" s="192"/>
      <c r="K13" s="192"/>
      <c r="L13" s="225">
        <v>2.4416790689262523E-3</v>
      </c>
      <c r="M13" s="279"/>
      <c r="N13" s="279"/>
      <c r="O13" s="225">
        <v>1.9788045131090117E-3</v>
      </c>
      <c r="P13" s="279"/>
      <c r="Q13" s="279"/>
      <c r="R13" s="210">
        <v>0.91700000000000004</v>
      </c>
      <c r="S13" s="192"/>
      <c r="T13" s="279"/>
      <c r="U13" s="210">
        <v>0.17</v>
      </c>
      <c r="V13" s="192"/>
      <c r="W13" s="279"/>
    </row>
    <row r="14" spans="2:23" ht="14.5" customHeight="1">
      <c r="B14" s="79"/>
      <c r="C14" s="79"/>
      <c r="D14" s="383">
        <f t="shared" si="0"/>
        <v>46091</v>
      </c>
      <c r="E14" s="383" t="s">
        <v>525</v>
      </c>
      <c r="F14" s="206">
        <v>354.02711646334507</v>
      </c>
      <c r="G14" s="89">
        <f>AVERAGE(F14:F20)</f>
        <v>354.78082481278506</v>
      </c>
      <c r="H14" s="89"/>
      <c r="I14" s="86">
        <f t="shared" si="1"/>
        <v>0.96728720345176245</v>
      </c>
      <c r="J14" s="192">
        <f>AVERAGE(I14:I20)</f>
        <v>0.96934651588192644</v>
      </c>
      <c r="K14" s="192"/>
      <c r="L14" s="225">
        <v>2.4502427272497049E-3</v>
      </c>
      <c r="M14" s="279">
        <f>AVERAGE(L14:L20)</f>
        <v>2.434336863132098E-3</v>
      </c>
      <c r="N14" s="279"/>
      <c r="O14" s="225">
        <v>1.7293210979846391E-3</v>
      </c>
      <c r="P14" s="279">
        <f>AVERAGE(O14:O20)</f>
        <v>1.9233860180714098E-3</v>
      </c>
      <c r="Q14" s="279"/>
      <c r="R14" s="210">
        <v>0.91700000000000004</v>
      </c>
      <c r="S14" s="192">
        <f>AVERAGE(R14:R20)</f>
        <v>0.91699999999999993</v>
      </c>
      <c r="T14" s="279"/>
      <c r="U14" s="210">
        <v>0.17199999999999999</v>
      </c>
      <c r="V14" s="192">
        <f>AVERAGE(U14:U20)</f>
        <v>0.18057142857142855</v>
      </c>
      <c r="W14" s="279"/>
    </row>
    <row r="15" spans="2:23" ht="14.5" customHeight="1">
      <c r="B15" s="79"/>
      <c r="C15" s="79"/>
      <c r="D15" s="389">
        <f t="shared" si="0"/>
        <v>46092</v>
      </c>
      <c r="E15" s="389" t="s">
        <v>526</v>
      </c>
      <c r="F15" s="206">
        <v>354.99957831695207</v>
      </c>
      <c r="G15" s="89"/>
      <c r="H15" s="89"/>
      <c r="I15" s="86">
        <f t="shared" si="1"/>
        <v>0.96994420305178164</v>
      </c>
      <c r="J15" s="192"/>
      <c r="K15" s="192"/>
      <c r="L15" s="225">
        <v>2.4348086565732017E-3</v>
      </c>
      <c r="M15" s="279"/>
      <c r="N15" s="279"/>
      <c r="O15" s="225">
        <v>1.9414554153781923E-3</v>
      </c>
      <c r="P15" s="279"/>
      <c r="Q15" s="279"/>
      <c r="R15" s="210">
        <v>0.91700000000000004</v>
      </c>
      <c r="S15" s="192"/>
      <c r="T15" s="279"/>
      <c r="U15" s="210">
        <v>0.17399999999999999</v>
      </c>
      <c r="V15" s="192"/>
      <c r="W15" s="279"/>
    </row>
    <row r="16" spans="2:23" ht="14.5" customHeight="1">
      <c r="B16" s="79"/>
      <c r="C16" s="79"/>
      <c r="D16" s="389">
        <f t="shared" si="0"/>
        <v>46093</v>
      </c>
      <c r="E16" s="389" t="s">
        <v>527</v>
      </c>
      <c r="F16" s="206">
        <v>350.06856801435481</v>
      </c>
      <c r="G16" s="89"/>
      <c r="H16" s="89"/>
      <c r="I16" s="86">
        <f t="shared" si="1"/>
        <v>0.95647149730698033</v>
      </c>
      <c r="J16" s="192"/>
      <c r="K16" s="192"/>
      <c r="L16" s="225">
        <v>2.4289698310304866E-3</v>
      </c>
      <c r="M16" s="279"/>
      <c r="N16" s="279"/>
      <c r="O16" s="225">
        <v>1.9678208746256943E-3</v>
      </c>
      <c r="P16" s="279"/>
      <c r="Q16" s="279"/>
      <c r="R16" s="210">
        <v>0.91700000000000004</v>
      </c>
      <c r="S16" s="192"/>
      <c r="T16" s="279"/>
      <c r="U16" s="210">
        <v>0.17799999999999999</v>
      </c>
      <c r="V16" s="192"/>
      <c r="W16" s="279"/>
    </row>
    <row r="17" spans="2:23" ht="14.5" customHeight="1">
      <c r="B17" s="79"/>
      <c r="C17" s="79"/>
      <c r="D17" s="389">
        <f t="shared" si="0"/>
        <v>46094</v>
      </c>
      <c r="E17" s="389" t="s">
        <v>528</v>
      </c>
      <c r="F17" s="206">
        <v>350.42427768051726</v>
      </c>
      <c r="G17" s="89"/>
      <c r="H17" s="89"/>
      <c r="I17" s="86">
        <f t="shared" si="1"/>
        <v>0.9574433816407576</v>
      </c>
      <c r="J17" s="192"/>
      <c r="K17" s="192"/>
      <c r="L17" s="225">
        <v>2.4179151662073206E-3</v>
      </c>
      <c r="M17" s="279"/>
      <c r="N17" s="279"/>
      <c r="O17" s="225">
        <v>1.9861124949339596E-3</v>
      </c>
      <c r="P17" s="279"/>
      <c r="Q17" s="279"/>
      <c r="R17" s="210">
        <v>0.91700000000000004</v>
      </c>
      <c r="S17" s="192"/>
      <c r="T17" s="279"/>
      <c r="U17" s="210">
        <v>0.18</v>
      </c>
      <c r="V17" s="192"/>
      <c r="W17" s="279"/>
    </row>
    <row r="18" spans="2:23" ht="14.5" customHeight="1">
      <c r="B18" s="79"/>
      <c r="C18" s="79"/>
      <c r="D18" s="389">
        <f t="shared" si="0"/>
        <v>46095</v>
      </c>
      <c r="E18" s="389" t="s">
        <v>529</v>
      </c>
      <c r="F18" s="206">
        <v>360.09655950346672</v>
      </c>
      <c r="G18" s="89"/>
      <c r="H18" s="89"/>
      <c r="I18" s="86">
        <f t="shared" si="1"/>
        <v>0.98387038115701286</v>
      </c>
      <c r="J18" s="192"/>
      <c r="K18" s="192"/>
      <c r="L18" s="225">
        <v>2.4187088138311634E-3</v>
      </c>
      <c r="M18" s="279"/>
      <c r="N18" s="279"/>
      <c r="O18" s="225">
        <v>1.9939963448900562E-3</v>
      </c>
      <c r="P18" s="279"/>
      <c r="Q18" s="279"/>
      <c r="R18" s="210">
        <v>0.91700000000000004</v>
      </c>
      <c r="S18" s="192"/>
      <c r="T18" s="279"/>
      <c r="U18" s="210">
        <v>0.186</v>
      </c>
      <c r="V18" s="192"/>
      <c r="W18" s="279"/>
    </row>
    <row r="19" spans="2:23" ht="14.5" customHeight="1">
      <c r="B19" s="79"/>
      <c r="C19" s="79"/>
      <c r="D19" s="389">
        <f t="shared" si="0"/>
        <v>46096</v>
      </c>
      <c r="E19" s="389" t="s">
        <v>530</v>
      </c>
      <c r="F19" s="206">
        <v>359.77194189564955</v>
      </c>
      <c r="G19" s="89"/>
      <c r="H19" s="89"/>
      <c r="I19" s="86">
        <f t="shared" si="1"/>
        <v>0.98298344780232116</v>
      </c>
      <c r="J19" s="192"/>
      <c r="K19" s="192"/>
      <c r="L19" s="225">
        <v>2.4382959411233585E-3</v>
      </c>
      <c r="M19" s="279"/>
      <c r="N19" s="279"/>
      <c r="O19" s="225">
        <v>1.8924532601347968E-3</v>
      </c>
      <c r="P19" s="279"/>
      <c r="Q19" s="279"/>
      <c r="R19" s="210">
        <v>0.91700000000000004</v>
      </c>
      <c r="S19" s="192"/>
      <c r="T19" s="279"/>
      <c r="U19" s="210">
        <v>0.186</v>
      </c>
      <c r="V19" s="192"/>
      <c r="W19" s="279"/>
    </row>
    <row r="20" spans="2:23" ht="14.5" customHeight="1">
      <c r="B20" s="79"/>
      <c r="C20" s="79"/>
      <c r="D20" s="389">
        <f t="shared" si="0"/>
        <v>46097</v>
      </c>
      <c r="E20" s="389" t="s">
        <v>524</v>
      </c>
      <c r="F20" s="206">
        <v>354.0777318152098</v>
      </c>
      <c r="G20" s="89"/>
      <c r="H20" s="89"/>
      <c r="I20" s="86">
        <f t="shared" si="1"/>
        <v>0.96742549676286826</v>
      </c>
      <c r="J20" s="192"/>
      <c r="K20" s="192"/>
      <c r="L20" s="225">
        <v>2.4514169059094496E-3</v>
      </c>
      <c r="M20" s="279"/>
      <c r="N20" s="279"/>
      <c r="O20" s="225">
        <v>1.9525426385525312E-3</v>
      </c>
      <c r="P20" s="279"/>
      <c r="Q20" s="279"/>
      <c r="R20" s="210">
        <v>0.91700000000000004</v>
      </c>
      <c r="S20" s="192"/>
      <c r="T20" s="279"/>
      <c r="U20" s="210">
        <v>0.188</v>
      </c>
      <c r="V20" s="192"/>
      <c r="W20" s="279"/>
    </row>
    <row r="21" spans="2:23" ht="14.5" customHeight="1">
      <c r="B21" s="79"/>
      <c r="C21" s="79"/>
      <c r="D21" s="280">
        <f t="shared" si="0"/>
        <v>46098</v>
      </c>
      <c r="E21" s="280" t="s">
        <v>525</v>
      </c>
      <c r="F21" s="206">
        <v>360.35449391020614</v>
      </c>
      <c r="G21" s="89">
        <f>AVERAGE(F21:F27)</f>
        <v>353.25079176317871</v>
      </c>
      <c r="H21" s="89"/>
      <c r="I21" s="86">
        <f t="shared" si="1"/>
        <v>0.98457511997324088</v>
      </c>
      <c r="J21" s="192">
        <f>AVERAGE(I21:I27)</f>
        <v>0.96516609771360318</v>
      </c>
      <c r="K21" s="192"/>
      <c r="L21" s="225">
        <v>2.4385174243859624E-3</v>
      </c>
      <c r="M21" s="279">
        <f>AVERAGE(L21:L27)</f>
        <v>2.4370159061873307E-3</v>
      </c>
      <c r="N21" s="279"/>
      <c r="O21" s="225">
        <v>1.6772586388989349E-3</v>
      </c>
      <c r="P21" s="279">
        <f>AVERAGE(O21:O27)</f>
        <v>1.7473969781600096E-3</v>
      </c>
      <c r="Q21" s="279"/>
      <c r="R21" s="210">
        <v>0.91700000000000004</v>
      </c>
      <c r="S21" s="192">
        <f>AVERAGE(R21:R27)</f>
        <v>0.91699999999999993</v>
      </c>
      <c r="T21" s="279"/>
      <c r="U21" s="210">
        <v>0.188</v>
      </c>
      <c r="V21" s="192">
        <f>AVERAGE(U21:U27)</f>
        <v>0.1957142857142857</v>
      </c>
      <c r="W21" s="279"/>
    </row>
    <row r="22" spans="2:23" ht="14.5" customHeight="1">
      <c r="B22" s="79"/>
      <c r="C22" s="79"/>
      <c r="D22" s="388">
        <f t="shared" si="0"/>
        <v>46099</v>
      </c>
      <c r="E22" s="388" t="s">
        <v>526</v>
      </c>
      <c r="F22" s="206">
        <v>354.59495674877013</v>
      </c>
      <c r="G22" s="89"/>
      <c r="H22" s="89"/>
      <c r="I22" s="86">
        <f t="shared" si="1"/>
        <v>0.96883867964144843</v>
      </c>
      <c r="J22" s="192"/>
      <c r="K22" s="192"/>
      <c r="L22" s="225">
        <v>2.4317779945382499E-3</v>
      </c>
      <c r="M22" s="279"/>
      <c r="N22" s="279"/>
      <c r="O22" s="225">
        <v>1.6650741735378381E-3</v>
      </c>
      <c r="P22" s="279"/>
      <c r="Q22" s="279"/>
      <c r="R22" s="210">
        <v>0.91700000000000004</v>
      </c>
      <c r="S22" s="192"/>
      <c r="T22" s="279"/>
      <c r="U22" s="210">
        <v>0.192</v>
      </c>
      <c r="V22" s="192"/>
      <c r="W22" s="279"/>
    </row>
    <row r="23" spans="2:23" ht="14.5" customHeight="1">
      <c r="B23" s="79"/>
      <c r="C23" s="79"/>
      <c r="D23" s="388">
        <f t="shared" si="0"/>
        <v>46100</v>
      </c>
      <c r="E23" s="388" t="s">
        <v>527</v>
      </c>
      <c r="F23" s="206">
        <v>355.6308428506299</v>
      </c>
      <c r="G23" s="89"/>
      <c r="H23" s="89"/>
      <c r="I23" s="86">
        <f t="shared" si="1"/>
        <v>0.97166896953724013</v>
      </c>
      <c r="J23" s="192"/>
      <c r="K23" s="192"/>
      <c r="L23" s="225">
        <v>2.4469361268244371E-3</v>
      </c>
      <c r="M23" s="279"/>
      <c r="N23" s="279"/>
      <c r="O23" s="225">
        <v>1.7606241065130058E-3</v>
      </c>
      <c r="P23" s="279"/>
      <c r="Q23" s="279"/>
      <c r="R23" s="210">
        <v>0.91700000000000004</v>
      </c>
      <c r="S23" s="192"/>
      <c r="T23" s="279"/>
      <c r="U23" s="210">
        <v>0.19400000000000001</v>
      </c>
      <c r="V23" s="192"/>
      <c r="W23" s="279"/>
    </row>
    <row r="24" spans="2:23" ht="14.5" customHeight="1">
      <c r="B24" s="79"/>
      <c r="C24" s="79"/>
      <c r="D24" s="388">
        <f t="shared" si="0"/>
        <v>46101</v>
      </c>
      <c r="E24" s="388" t="s">
        <v>528</v>
      </c>
      <c r="F24" s="206">
        <v>347.35015749785435</v>
      </c>
      <c r="G24" s="89"/>
      <c r="H24" s="89"/>
      <c r="I24" s="86">
        <f t="shared" si="1"/>
        <v>0.94904414616900101</v>
      </c>
      <c r="J24" s="192"/>
      <c r="K24" s="192"/>
      <c r="L24" s="225">
        <v>2.4300631252432725E-3</v>
      </c>
      <c r="M24" s="279"/>
      <c r="N24" s="279"/>
      <c r="O24" s="225">
        <v>1.9330369514694789E-3</v>
      </c>
      <c r="P24" s="279"/>
      <c r="Q24" s="279"/>
      <c r="R24" s="210">
        <v>0.91700000000000004</v>
      </c>
      <c r="S24" s="192"/>
      <c r="T24" s="279"/>
      <c r="U24" s="210">
        <v>0.19600000000000001</v>
      </c>
      <c r="V24" s="192"/>
      <c r="W24" s="279"/>
    </row>
    <row r="25" spans="2:23" ht="14.5" customHeight="1">
      <c r="B25" s="79"/>
      <c r="C25" s="79"/>
      <c r="D25" s="388">
        <f t="shared" si="0"/>
        <v>46102</v>
      </c>
      <c r="E25" s="388" t="s">
        <v>529</v>
      </c>
      <c r="F25" s="206">
        <v>353.05214537169405</v>
      </c>
      <c r="G25" s="89"/>
      <c r="H25" s="89"/>
      <c r="I25" s="86">
        <f t="shared" si="1"/>
        <v>0.96462334801009308</v>
      </c>
      <c r="J25" s="192"/>
      <c r="K25" s="192"/>
      <c r="L25" s="225">
        <v>2.4488799160432765E-3</v>
      </c>
      <c r="M25" s="279"/>
      <c r="N25" s="279"/>
      <c r="O25" s="225">
        <v>1.7466717211078685E-3</v>
      </c>
      <c r="P25" s="279"/>
      <c r="Q25" s="279"/>
      <c r="R25" s="210">
        <v>0.91700000000000004</v>
      </c>
      <c r="S25" s="192"/>
      <c r="T25" s="279"/>
      <c r="U25" s="210">
        <v>0.19800000000000001</v>
      </c>
      <c r="V25" s="192"/>
      <c r="W25" s="279"/>
    </row>
    <row r="26" spans="2:23" ht="14.5" customHeight="1">
      <c r="B26" s="79"/>
      <c r="C26" s="79"/>
      <c r="D26" s="388">
        <f t="shared" si="0"/>
        <v>46103</v>
      </c>
      <c r="E26" s="388" t="s">
        <v>530</v>
      </c>
      <c r="F26" s="206">
        <v>355.79757069326604</v>
      </c>
      <c r="G26" s="89"/>
      <c r="H26" s="89"/>
      <c r="I26" s="86">
        <f t="shared" si="1"/>
        <v>0.97212451009089085</v>
      </c>
      <c r="J26" s="192"/>
      <c r="K26" s="192"/>
      <c r="L26" s="225">
        <v>2.4406557247234465E-3</v>
      </c>
      <c r="M26" s="279"/>
      <c r="N26" s="279"/>
      <c r="O26" s="225">
        <v>1.7711059771151085E-3</v>
      </c>
      <c r="P26" s="279"/>
      <c r="Q26" s="279"/>
      <c r="R26" s="210">
        <v>0.91700000000000004</v>
      </c>
      <c r="S26" s="192"/>
      <c r="T26" s="279"/>
      <c r="U26" s="210">
        <v>0.2</v>
      </c>
      <c r="V26" s="192"/>
      <c r="W26" s="279"/>
    </row>
    <row r="27" spans="2:23" ht="14.5" customHeight="1">
      <c r="B27" s="79"/>
      <c r="C27" s="79"/>
      <c r="D27" s="388">
        <f t="shared" si="0"/>
        <v>46104</v>
      </c>
      <c r="E27" s="388" t="s">
        <v>524</v>
      </c>
      <c r="F27" s="206">
        <v>345.97537526983029</v>
      </c>
      <c r="G27" s="89"/>
      <c r="H27" s="89"/>
      <c r="I27" s="86">
        <f t="shared" si="1"/>
        <v>0.94528791057330686</v>
      </c>
      <c r="J27" s="192"/>
      <c r="K27" s="192"/>
      <c r="L27" s="225">
        <v>2.4222810315526694E-3</v>
      </c>
      <c r="M27" s="279"/>
      <c r="N27" s="279"/>
      <c r="O27" s="225">
        <v>1.678007278477833E-3</v>
      </c>
      <c r="P27" s="279"/>
      <c r="Q27" s="279"/>
      <c r="R27" s="210">
        <v>0.91700000000000004</v>
      </c>
      <c r="S27" s="192"/>
      <c r="T27" s="279"/>
      <c r="U27" s="210">
        <v>0.20200000000000001</v>
      </c>
      <c r="V27" s="192"/>
      <c r="W27" s="279"/>
    </row>
    <row r="28" spans="2:23" ht="14.5" customHeight="1">
      <c r="B28" s="79"/>
      <c r="C28" s="79"/>
      <c r="D28" s="383">
        <f t="shared" si="0"/>
        <v>46105</v>
      </c>
      <c r="E28" s="383" t="s">
        <v>525</v>
      </c>
      <c r="F28" s="206">
        <v>345.3</v>
      </c>
      <c r="G28" s="89">
        <f>AVERAGE(F28:F34)</f>
        <v>352.42857142857144</v>
      </c>
      <c r="H28" s="89"/>
      <c r="I28" s="86">
        <f t="shared" si="1"/>
        <v>0.94344262295081971</v>
      </c>
      <c r="J28" s="192">
        <f>AVERAGE(I28:I34)</f>
        <v>0.96291959406713501</v>
      </c>
      <c r="K28" s="192"/>
      <c r="L28" s="225">
        <v>2.4313177749754051E-3</v>
      </c>
      <c r="M28" s="279">
        <f>AVERAGE(L28:L34)</f>
        <v>2.4324215294255877E-3</v>
      </c>
      <c r="N28" s="279"/>
      <c r="O28" s="225">
        <v>1.9328923816471428E-3</v>
      </c>
      <c r="P28" s="279">
        <f>AVERAGE(O28:O34)</f>
        <v>1.7959060333082029E-3</v>
      </c>
      <c r="Q28" s="279"/>
      <c r="R28" s="210">
        <v>0.91700000000000004</v>
      </c>
      <c r="S28" s="192">
        <f>AVERAGE(R28:R34)</f>
        <v>0.91699999999999993</v>
      </c>
      <c r="T28" s="279"/>
      <c r="U28" s="210">
        <v>0.20399999999999999</v>
      </c>
      <c r="V28" s="192">
        <f>AVERAGE(U28:U34)</f>
        <v>0.20914285714285713</v>
      </c>
      <c r="W28" s="279"/>
    </row>
    <row r="29" spans="2:23" ht="14.5" customHeight="1">
      <c r="B29" s="79"/>
      <c r="C29" s="79"/>
      <c r="D29" s="389">
        <f t="shared" si="0"/>
        <v>46106</v>
      </c>
      <c r="E29" s="389" t="s">
        <v>526</v>
      </c>
      <c r="F29" s="206">
        <v>351.7</v>
      </c>
      <c r="G29" s="89"/>
      <c r="H29" s="89"/>
      <c r="I29" s="86">
        <f t="shared" si="1"/>
        <v>0.96092896174863385</v>
      </c>
      <c r="J29" s="192"/>
      <c r="K29" s="192"/>
      <c r="L29" s="225">
        <v>2.4290933694709133E-3</v>
      </c>
      <c r="M29" s="279"/>
      <c r="N29" s="279"/>
      <c r="O29" s="225">
        <v>1.7250866571159628E-3</v>
      </c>
      <c r="P29" s="279"/>
      <c r="Q29" s="279"/>
      <c r="R29" s="210">
        <v>0.91700000000000004</v>
      </c>
      <c r="S29" s="192"/>
      <c r="T29" s="279"/>
      <c r="U29" s="210">
        <v>0.20599999999999999</v>
      </c>
      <c r="V29" s="192"/>
      <c r="W29" s="279"/>
    </row>
    <row r="30" spans="2:23" ht="14.5" customHeight="1">
      <c r="B30" s="79"/>
      <c r="C30" s="79"/>
      <c r="D30" s="389">
        <f t="shared" si="0"/>
        <v>46107</v>
      </c>
      <c r="E30" s="389" t="s">
        <v>527</v>
      </c>
      <c r="F30" s="206">
        <v>354.9</v>
      </c>
      <c r="G30" s="89"/>
      <c r="H30" s="89"/>
      <c r="I30" s="86">
        <f t="shared" si="1"/>
        <v>0.96967213114754092</v>
      </c>
      <c r="J30" s="192"/>
      <c r="K30" s="192"/>
      <c r="L30" s="225">
        <v>2.4527574023499787E-3</v>
      </c>
      <c r="M30" s="279"/>
      <c r="N30" s="279"/>
      <c r="O30" s="225">
        <v>1.8271179605339517E-3</v>
      </c>
      <c r="P30" s="279"/>
      <c r="Q30" s="279"/>
      <c r="R30" s="210">
        <v>0.91700000000000004</v>
      </c>
      <c r="S30" s="192"/>
      <c r="T30" s="279"/>
      <c r="U30" s="210">
        <v>0.20799999999999999</v>
      </c>
      <c r="V30" s="192"/>
      <c r="W30" s="279"/>
    </row>
    <row r="31" spans="2:23" ht="14.5" customHeight="1">
      <c r="B31" s="79"/>
      <c r="C31" s="79"/>
      <c r="D31" s="389">
        <f t="shared" si="0"/>
        <v>46108</v>
      </c>
      <c r="E31" s="389" t="s">
        <v>528</v>
      </c>
      <c r="F31" s="206">
        <v>357.5</v>
      </c>
      <c r="G31" s="89"/>
      <c r="H31" s="89"/>
      <c r="I31" s="86">
        <f t="shared" si="1"/>
        <v>0.97677595628415304</v>
      </c>
      <c r="J31" s="192"/>
      <c r="K31" s="192"/>
      <c r="L31" s="225">
        <v>2.4338672715761922E-3</v>
      </c>
      <c r="M31" s="279"/>
      <c r="N31" s="279"/>
      <c r="O31" s="225">
        <v>1.8104587391666869E-3</v>
      </c>
      <c r="P31" s="279"/>
      <c r="Q31" s="279"/>
      <c r="R31" s="210">
        <v>0.91700000000000004</v>
      </c>
      <c r="S31" s="192"/>
      <c r="T31" s="279"/>
      <c r="U31" s="210">
        <v>0.21</v>
      </c>
      <c r="V31" s="192"/>
      <c r="W31" s="279"/>
    </row>
    <row r="32" spans="2:23" ht="14.5" customHeight="1">
      <c r="B32" s="79"/>
      <c r="C32" s="79"/>
      <c r="D32" s="389">
        <f t="shared" si="0"/>
        <v>46109</v>
      </c>
      <c r="E32" s="389" t="s">
        <v>529</v>
      </c>
      <c r="F32" s="206">
        <v>348.6</v>
      </c>
      <c r="G32" s="89"/>
      <c r="H32" s="89"/>
      <c r="I32" s="86">
        <f t="shared" si="1"/>
        <v>0.95245901639344266</v>
      </c>
      <c r="J32" s="192"/>
      <c r="K32" s="192"/>
      <c r="L32" s="225">
        <v>2.4202661114377439E-3</v>
      </c>
      <c r="M32" s="279"/>
      <c r="N32" s="279"/>
      <c r="O32" s="225">
        <v>1.7978718093318155E-3</v>
      </c>
      <c r="P32" s="279"/>
      <c r="Q32" s="279"/>
      <c r="R32" s="210">
        <v>0.91700000000000004</v>
      </c>
      <c r="S32" s="192"/>
      <c r="T32" s="279"/>
      <c r="U32" s="210">
        <v>0.21</v>
      </c>
      <c r="V32" s="192"/>
      <c r="W32" s="279"/>
    </row>
    <row r="33" spans="2:23" ht="14.5" customHeight="1">
      <c r="B33" s="79"/>
      <c r="C33" s="79"/>
      <c r="D33" s="389">
        <f t="shared" si="0"/>
        <v>46110</v>
      </c>
      <c r="E33" s="389" t="s">
        <v>530</v>
      </c>
      <c r="F33" s="206">
        <v>355.5</v>
      </c>
      <c r="G33" s="89"/>
      <c r="H33" s="89"/>
      <c r="I33" s="86">
        <f t="shared" si="1"/>
        <v>0.97131147540983609</v>
      </c>
      <c r="J33" s="192"/>
      <c r="K33" s="192"/>
      <c r="L33" s="225">
        <v>2.4366299016133149E-3</v>
      </c>
      <c r="M33" s="279"/>
      <c r="N33" s="279"/>
      <c r="O33" s="225">
        <v>1.6738356198782937E-3</v>
      </c>
      <c r="P33" s="279"/>
      <c r="Q33" s="279"/>
      <c r="R33" s="210">
        <v>0.91700000000000004</v>
      </c>
      <c r="S33" s="192"/>
      <c r="T33" s="279"/>
      <c r="U33" s="210">
        <v>0.21199999999999999</v>
      </c>
      <c r="V33" s="192"/>
      <c r="W33" s="279"/>
    </row>
    <row r="34" spans="2:23" ht="14.5" customHeight="1">
      <c r="B34" s="79"/>
      <c r="C34" s="79"/>
      <c r="D34" s="389">
        <f t="shared" si="0"/>
        <v>46111</v>
      </c>
      <c r="E34" s="389" t="s">
        <v>524</v>
      </c>
      <c r="F34" s="206">
        <v>353.5</v>
      </c>
      <c r="G34" s="89"/>
      <c r="H34" s="89"/>
      <c r="I34" s="86">
        <f t="shared" si="1"/>
        <v>0.96584699453551914</v>
      </c>
      <c r="J34" s="192"/>
      <c r="K34" s="192"/>
      <c r="L34" s="225">
        <v>2.4230188745555685E-3</v>
      </c>
      <c r="M34" s="279"/>
      <c r="N34" s="279"/>
      <c r="O34" s="225">
        <v>1.804079065483567E-3</v>
      </c>
      <c r="P34" s="279"/>
      <c r="Q34" s="279"/>
      <c r="R34" s="210">
        <v>0.91700000000000004</v>
      </c>
      <c r="S34" s="192"/>
      <c r="T34" s="279"/>
      <c r="U34" s="210">
        <v>0.214</v>
      </c>
      <c r="V34" s="192"/>
      <c r="W34" s="279"/>
    </row>
    <row r="35" spans="2:23">
      <c r="B35" s="79"/>
      <c r="D35" s="280">
        <f>D34+1</f>
        <v>46112</v>
      </c>
      <c r="E35" s="280" t="s">
        <v>525</v>
      </c>
      <c r="F35" s="206">
        <v>349.19635740662915</v>
      </c>
      <c r="G35" s="89">
        <f>AVERAGE(F35:F41)</f>
        <v>353.4982274622389</v>
      </c>
      <c r="I35" s="86">
        <f t="shared" si="1"/>
        <v>0.95408840821483376</v>
      </c>
      <c r="J35" s="192">
        <f>AVERAGE(I35:I41)</f>
        <v>0.97453067666063475</v>
      </c>
      <c r="L35" s="225">
        <v>2.4382485273483079E-3</v>
      </c>
      <c r="M35" s="279">
        <f>AVERAGE(L35:L41)</f>
        <v>2.4406423971189708E-3</v>
      </c>
      <c r="O35" s="225">
        <v>1.7586635466934975E-3</v>
      </c>
      <c r="P35" s="279">
        <f>AVERAGE(O35:O41)</f>
        <v>1.8040732967180742E-3</v>
      </c>
      <c r="R35" s="210">
        <v>0.91700000000000004</v>
      </c>
      <c r="S35" s="192">
        <f>AVERAGE(R35:R41)</f>
        <v>0.91699999999999993</v>
      </c>
      <c r="U35" s="210">
        <v>0.216</v>
      </c>
      <c r="V35" s="192">
        <f>AVERAGE(U35:U41)</f>
        <v>0.22542857142857145</v>
      </c>
    </row>
    <row r="36" spans="2:23">
      <c r="B36" s="79"/>
      <c r="C36" s="79"/>
      <c r="D36" s="280">
        <f t="shared" ref="D36:D41" si="2">D35+1</f>
        <v>46113</v>
      </c>
      <c r="E36" s="388" t="s">
        <v>526</v>
      </c>
      <c r="F36" s="206">
        <v>363.46149845097142</v>
      </c>
      <c r="G36" s="89"/>
      <c r="H36" s="89"/>
      <c r="I36" s="86">
        <f t="shared" si="1"/>
        <v>0.99306420341795465</v>
      </c>
      <c r="J36" s="192"/>
      <c r="K36" s="192"/>
      <c r="L36" s="225">
        <v>2.4438405848816137E-3</v>
      </c>
      <c r="M36" s="192"/>
      <c r="N36" s="279"/>
      <c r="O36" s="225">
        <v>1.7162690131939282E-3</v>
      </c>
      <c r="P36" s="192"/>
      <c r="Q36" s="279"/>
      <c r="R36" s="210">
        <v>0.91700000000000004</v>
      </c>
      <c r="S36" s="192"/>
      <c r="T36" s="192"/>
      <c r="U36" s="210">
        <v>0.22</v>
      </c>
      <c r="V36" s="192"/>
      <c r="W36" s="192"/>
    </row>
    <row r="37" spans="2:23">
      <c r="B37" s="79"/>
      <c r="D37" s="280">
        <f t="shared" si="2"/>
        <v>46114</v>
      </c>
      <c r="E37" s="388" t="s">
        <v>527</v>
      </c>
      <c r="F37" s="206">
        <v>356.08261363571057</v>
      </c>
      <c r="G37" s="89"/>
      <c r="H37" s="89"/>
      <c r="I37" s="86">
        <f t="shared" si="1"/>
        <v>0.97290331594456436</v>
      </c>
      <c r="J37" s="192"/>
      <c r="K37" s="83"/>
      <c r="L37" s="225">
        <v>2.4211748426678668E-3</v>
      </c>
      <c r="M37" s="192"/>
      <c r="N37" s="86"/>
      <c r="O37" s="225">
        <v>2.0147929713968953E-3</v>
      </c>
      <c r="P37" s="192"/>
      <c r="Q37" s="86"/>
      <c r="R37" s="210">
        <v>0.91700000000000004</v>
      </c>
      <c r="S37" s="192"/>
      <c r="T37" s="192"/>
      <c r="U37" s="210">
        <v>0.224</v>
      </c>
      <c r="V37" s="192"/>
      <c r="W37" s="192"/>
    </row>
    <row r="38" spans="2:23">
      <c r="B38" s="79"/>
      <c r="D38" s="280">
        <f t="shared" si="2"/>
        <v>46115</v>
      </c>
      <c r="E38" s="388" t="s">
        <v>528</v>
      </c>
      <c r="F38" s="206">
        <v>357.47133598269164</v>
      </c>
      <c r="G38" s="89"/>
      <c r="H38" s="89"/>
      <c r="I38" s="86">
        <f t="shared" si="1"/>
        <v>0.97669763929697173</v>
      </c>
      <c r="J38" s="192"/>
      <c r="K38" s="83"/>
      <c r="L38" s="225">
        <v>2.4401906517939327E-3</v>
      </c>
      <c r="M38" s="192"/>
      <c r="N38" s="86"/>
      <c r="O38" s="225">
        <v>1.9703956250524328E-3</v>
      </c>
      <c r="P38" s="192"/>
      <c r="Q38" s="86"/>
      <c r="R38" s="210">
        <v>0.91700000000000004</v>
      </c>
      <c r="S38" s="192"/>
      <c r="T38" s="192"/>
      <c r="U38" s="210">
        <v>0.22600000000000001</v>
      </c>
      <c r="V38" s="192"/>
      <c r="W38" s="192"/>
    </row>
    <row r="39" spans="2:23">
      <c r="B39" s="79"/>
      <c r="D39" s="280">
        <f t="shared" si="2"/>
        <v>46116</v>
      </c>
      <c r="E39" s="388" t="s">
        <v>529</v>
      </c>
      <c r="F39" s="206">
        <v>358.65604958077785</v>
      </c>
      <c r="G39" s="89"/>
      <c r="H39" s="89"/>
      <c r="I39" s="86">
        <f t="shared" si="1"/>
        <v>0.97993456169611437</v>
      </c>
      <c r="J39" s="192"/>
      <c r="K39" s="83"/>
      <c r="L39" s="225">
        <v>2.4577912183161516E-3</v>
      </c>
      <c r="M39" s="192"/>
      <c r="N39" s="86"/>
      <c r="O39" s="225">
        <v>1.7291779275045492E-3</v>
      </c>
      <c r="P39" s="192"/>
      <c r="Q39" s="86"/>
      <c r="R39" s="210">
        <v>0.91700000000000004</v>
      </c>
      <c r="S39" s="192"/>
      <c r="T39" s="192"/>
      <c r="U39" s="210">
        <v>0.23</v>
      </c>
      <c r="V39" s="192"/>
      <c r="W39" s="192"/>
    </row>
    <row r="40" spans="2:23">
      <c r="B40" s="79"/>
      <c r="D40" s="280">
        <f t="shared" si="2"/>
        <v>46117</v>
      </c>
      <c r="E40" s="388" t="s">
        <v>530</v>
      </c>
      <c r="F40" s="206">
        <v>355.20151088997295</v>
      </c>
      <c r="G40" s="89"/>
      <c r="H40" s="89"/>
      <c r="I40" s="86">
        <f t="shared" si="1"/>
        <v>0.97049593139336876</v>
      </c>
      <c r="J40" s="192"/>
      <c r="K40" s="83"/>
      <c r="L40" s="225">
        <v>2.4377523430365545E-3</v>
      </c>
      <c r="M40" s="192"/>
      <c r="N40" s="86"/>
      <c r="O40" s="225">
        <v>1.7235559651966549E-3</v>
      </c>
      <c r="P40" s="192"/>
      <c r="Q40" s="86"/>
      <c r="R40" s="210">
        <v>0.91700000000000004</v>
      </c>
      <c r="S40" s="192"/>
      <c r="T40" s="192"/>
      <c r="U40" s="210">
        <v>0.23</v>
      </c>
      <c r="V40" s="192"/>
      <c r="W40" s="192"/>
    </row>
    <row r="41" spans="2:23">
      <c r="B41" s="79"/>
      <c r="D41" s="280">
        <f t="shared" si="2"/>
        <v>46118</v>
      </c>
      <c r="E41" s="388" t="s">
        <v>524</v>
      </c>
      <c r="F41" s="206">
        <v>334.41822628891919</v>
      </c>
      <c r="L41" s="225">
        <v>2.4454986117883664E-3</v>
      </c>
      <c r="O41" s="225">
        <v>1.7156580279885619E-3</v>
      </c>
      <c r="R41" s="210">
        <v>0.91700000000000004</v>
      </c>
      <c r="U41" s="210">
        <v>0.23200000000000001</v>
      </c>
    </row>
    <row r="42" spans="2:23">
      <c r="B42" s="79"/>
      <c r="D42" s="82"/>
      <c r="E42" s="82"/>
      <c r="F42" s="270"/>
      <c r="G42" s="89"/>
      <c r="H42" s="89"/>
      <c r="I42" s="86"/>
      <c r="J42" s="192"/>
      <c r="K42" s="83"/>
      <c r="L42" s="276"/>
      <c r="M42" s="86"/>
      <c r="N42" s="86"/>
      <c r="O42" s="276"/>
      <c r="P42" s="86"/>
      <c r="Q42" s="86"/>
      <c r="R42" s="275"/>
      <c r="S42" s="192"/>
      <c r="T42" s="192"/>
      <c r="U42" s="275"/>
      <c r="V42" s="192"/>
      <c r="W42" s="192"/>
    </row>
    <row r="43" spans="2:23">
      <c r="B43" s="79"/>
      <c r="D43" s="82"/>
      <c r="E43" s="82"/>
      <c r="F43" s="270"/>
      <c r="G43" s="89"/>
      <c r="H43" s="89"/>
      <c r="I43" s="86"/>
      <c r="J43" s="192"/>
      <c r="K43" s="83"/>
      <c r="L43" s="276"/>
      <c r="M43" s="86"/>
      <c r="N43" s="86"/>
      <c r="O43" s="276"/>
      <c r="P43" s="86"/>
      <c r="Q43" s="86"/>
      <c r="R43" s="275"/>
      <c r="S43" s="192"/>
      <c r="T43" s="192"/>
      <c r="U43" s="275"/>
      <c r="V43" s="192"/>
      <c r="W43" s="192"/>
    </row>
    <row r="44" spans="2:23">
      <c r="B44" s="79"/>
      <c r="D44" s="82"/>
      <c r="E44" s="82"/>
      <c r="F44" s="270"/>
      <c r="G44" s="89"/>
      <c r="H44" s="89"/>
      <c r="I44" s="86"/>
      <c r="J44" s="192"/>
      <c r="K44" s="83"/>
      <c r="L44" s="276"/>
      <c r="M44" s="86"/>
      <c r="N44" s="86"/>
      <c r="O44" s="276"/>
      <c r="P44" s="86"/>
      <c r="Q44" s="86"/>
      <c r="R44" s="275"/>
      <c r="S44" s="192"/>
      <c r="T44" s="192"/>
      <c r="U44" s="275"/>
      <c r="V44" s="192"/>
      <c r="W44" s="192"/>
    </row>
    <row r="45" spans="2:23">
      <c r="B45" s="79"/>
    </row>
    <row r="46" spans="2:23">
      <c r="B46" s="79"/>
    </row>
    <row r="47" spans="2:23">
      <c r="B47" s="79"/>
    </row>
    <row r="48" spans="2:23">
      <c r="B48" s="79"/>
    </row>
    <row r="49" spans="2:2">
      <c r="B49" s="79"/>
    </row>
    <row r="50" spans="2:2">
      <c r="B50" s="79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S49" sqref="S49"/>
    </sheetView>
  </sheetViews>
  <sheetFormatPr defaultColWidth="8.81640625" defaultRowHeight="16"/>
  <cols>
    <col min="1" max="1" width="0" style="75" hidden="1" customWidth="1"/>
    <col min="2" max="2" width="13.1796875" style="75" hidden="1" customWidth="1"/>
    <col min="3" max="3" width="0" style="98" hidden="1" customWidth="1"/>
    <col min="4" max="4" width="11" style="98" bestFit="1" customWidth="1"/>
    <col min="5" max="5" width="8.54296875" style="78" customWidth="1"/>
    <col min="6" max="8" width="17.453125" style="97" customWidth="1"/>
    <col min="9" max="9" width="10.54296875" style="93" customWidth="1"/>
    <col min="10" max="10" width="10.54296875" style="86" customWidth="1"/>
    <col min="11" max="11" width="10.54296875" style="93" customWidth="1"/>
    <col min="12" max="14" width="10.54296875" style="86" customWidth="1"/>
    <col min="15" max="15" width="10.54296875" style="93" customWidth="1"/>
    <col min="16" max="16" width="10.54296875" style="86" customWidth="1"/>
    <col min="17" max="17" width="10.54296875" style="93" customWidth="1"/>
    <col min="18" max="18" width="10.54296875" style="86" customWidth="1"/>
    <col min="19" max="19" width="10.54296875" style="93" customWidth="1"/>
    <col min="20" max="20" width="10.54296875" style="86" customWidth="1"/>
    <col min="21" max="21" width="10.54296875" style="93" customWidth="1"/>
    <col min="22" max="22" width="10.54296875" style="86" customWidth="1"/>
    <col min="23" max="23" width="10.54296875" style="93" customWidth="1"/>
    <col min="24" max="24" width="10.54296875" style="86" customWidth="1"/>
    <col min="25" max="25" width="10.54296875" style="93" customWidth="1"/>
    <col min="26" max="26" width="10.54296875" style="86" customWidth="1"/>
    <col min="27" max="27" width="10.54296875" style="93" customWidth="1"/>
    <col min="28" max="28" width="10.54296875" style="86" customWidth="1"/>
    <col min="29" max="29" width="10.54296875" style="93" customWidth="1"/>
    <col min="30" max="30" width="10.54296875" style="86" customWidth="1"/>
    <col min="31" max="31" width="10.54296875" style="93" customWidth="1"/>
    <col min="32" max="32" width="10.54296875" style="86" customWidth="1"/>
    <col min="33" max="33" width="10.453125" style="93" customWidth="1"/>
    <col min="34" max="34" width="10.453125" style="86" customWidth="1"/>
    <col min="35" max="35" width="10.453125" style="93" customWidth="1"/>
    <col min="36" max="36" width="10.453125" style="86" customWidth="1"/>
    <col min="37" max="37" width="10.453125" style="93" customWidth="1"/>
    <col min="38" max="38" width="10.453125" style="86" customWidth="1"/>
    <col min="39" max="16384" width="8.81640625" style="75"/>
  </cols>
  <sheetData>
    <row r="2" spans="1:38" ht="38.15" customHeight="1">
      <c r="A2" s="74"/>
      <c r="B2" s="429" t="s">
        <v>319</v>
      </c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  <c r="O2" s="429"/>
      <c r="P2" s="429"/>
      <c r="Q2" s="429"/>
      <c r="R2" s="429"/>
      <c r="S2" s="429"/>
      <c r="T2" s="429"/>
      <c r="U2" s="429"/>
      <c r="V2" s="429"/>
      <c r="W2" s="429"/>
      <c r="X2" s="429"/>
      <c r="Y2" s="429"/>
      <c r="Z2" s="429"/>
      <c r="AA2" s="429"/>
      <c r="AB2" s="429"/>
      <c r="AC2" s="429"/>
      <c r="AD2" s="429"/>
      <c r="AE2" s="429"/>
      <c r="AF2" s="429"/>
      <c r="AG2" s="429"/>
      <c r="AH2" s="429"/>
      <c r="AI2" s="429"/>
      <c r="AJ2" s="429"/>
      <c r="AK2" s="429"/>
      <c r="AL2" s="429"/>
    </row>
    <row r="3" spans="1:38" ht="25.4" customHeight="1">
      <c r="B3" s="79"/>
      <c r="C3" s="441" t="s">
        <v>139</v>
      </c>
      <c r="D3" s="442" t="s">
        <v>105</v>
      </c>
      <c r="E3" s="442"/>
      <c r="F3" s="443" t="s">
        <v>357</v>
      </c>
      <c r="G3" s="443"/>
      <c r="H3" s="443"/>
      <c r="I3" s="444" t="s">
        <v>111</v>
      </c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444"/>
      <c r="X3" s="444"/>
      <c r="Y3" s="444"/>
      <c r="Z3" s="444"/>
      <c r="AA3" s="444"/>
      <c r="AB3" s="444"/>
      <c r="AC3" s="444"/>
      <c r="AD3" s="444"/>
      <c r="AE3" s="444"/>
      <c r="AF3" s="444"/>
      <c r="AG3" s="444"/>
      <c r="AH3" s="444"/>
      <c r="AI3" s="444"/>
      <c r="AJ3" s="444"/>
      <c r="AK3" s="444"/>
      <c r="AL3" s="444"/>
    </row>
    <row r="4" spans="1:38" ht="25.4" customHeight="1">
      <c r="B4" s="79"/>
      <c r="C4" s="441"/>
      <c r="D4" s="442"/>
      <c r="E4" s="442"/>
      <c r="F4" s="443"/>
      <c r="G4" s="443"/>
      <c r="H4" s="443"/>
      <c r="I4" s="440" t="s">
        <v>140</v>
      </c>
      <c r="J4" s="440"/>
      <c r="K4" s="440"/>
      <c r="L4" s="440"/>
      <c r="M4" s="440"/>
      <c r="N4" s="440"/>
      <c r="O4" s="440" t="s">
        <v>141</v>
      </c>
      <c r="P4" s="440"/>
      <c r="Q4" s="440"/>
      <c r="R4" s="440"/>
      <c r="S4" s="440"/>
      <c r="T4" s="440"/>
      <c r="U4" s="440" t="s">
        <v>343</v>
      </c>
      <c r="V4" s="440"/>
      <c r="W4" s="440" t="s">
        <v>143</v>
      </c>
      <c r="X4" s="440"/>
      <c r="Y4" s="440" t="s">
        <v>134</v>
      </c>
      <c r="Z4" s="440"/>
      <c r="AA4" s="440"/>
      <c r="AB4" s="440"/>
      <c r="AC4" s="440"/>
      <c r="AD4" s="440"/>
      <c r="AE4" s="440" t="s">
        <v>132</v>
      </c>
      <c r="AF4" s="440"/>
      <c r="AG4" s="440" t="s">
        <v>144</v>
      </c>
      <c r="AH4" s="440"/>
      <c r="AI4" s="440" t="s">
        <v>145</v>
      </c>
      <c r="AJ4" s="440"/>
      <c r="AK4" s="440" t="s">
        <v>138</v>
      </c>
      <c r="AL4" s="440"/>
    </row>
    <row r="5" spans="1:38" ht="25.4" customHeight="1">
      <c r="B5" s="79"/>
      <c r="C5" s="441"/>
      <c r="D5" s="442"/>
      <c r="E5" s="442"/>
      <c r="F5" s="446" t="s">
        <v>115</v>
      </c>
      <c r="G5" s="446" t="s">
        <v>117</v>
      </c>
      <c r="H5" s="446" t="s">
        <v>118</v>
      </c>
      <c r="I5" s="440" t="s">
        <v>129</v>
      </c>
      <c r="J5" s="440"/>
      <c r="K5" s="440" t="s">
        <v>130</v>
      </c>
      <c r="L5" s="440"/>
      <c r="M5" s="445" t="s">
        <v>146</v>
      </c>
      <c r="N5" s="440"/>
      <c r="O5" s="440" t="s">
        <v>129</v>
      </c>
      <c r="P5" s="440"/>
      <c r="Q5" s="440" t="s">
        <v>130</v>
      </c>
      <c r="R5" s="440"/>
      <c r="S5" s="445" t="s">
        <v>146</v>
      </c>
      <c r="T5" s="440"/>
      <c r="U5" s="440" t="s">
        <v>129</v>
      </c>
      <c r="V5" s="440"/>
      <c r="W5" s="440" t="s">
        <v>129</v>
      </c>
      <c r="X5" s="440"/>
      <c r="Y5" s="440" t="s">
        <v>129</v>
      </c>
      <c r="Z5" s="440"/>
      <c r="AA5" s="440" t="s">
        <v>130</v>
      </c>
      <c r="AB5" s="440"/>
      <c r="AC5" s="445" t="s">
        <v>146</v>
      </c>
      <c r="AD5" s="440"/>
      <c r="AE5" s="440" t="s">
        <v>129</v>
      </c>
      <c r="AF5" s="440"/>
      <c r="AG5" s="440" t="s">
        <v>129</v>
      </c>
      <c r="AH5" s="440"/>
      <c r="AI5" s="440" t="s">
        <v>129</v>
      </c>
      <c r="AJ5" s="440"/>
      <c r="AK5" s="440" t="s">
        <v>129</v>
      </c>
      <c r="AL5" s="440"/>
    </row>
    <row r="6" spans="1:38" s="78" customFormat="1" ht="23.5" customHeight="1">
      <c r="B6" s="79"/>
      <c r="C6" s="441"/>
      <c r="D6" s="442"/>
      <c r="E6" s="442"/>
      <c r="F6" s="446"/>
      <c r="G6" s="446"/>
      <c r="H6" s="446"/>
      <c r="I6" s="94" t="s">
        <v>112</v>
      </c>
      <c r="J6" s="95" t="s">
        <v>113</v>
      </c>
      <c r="K6" s="94" t="s">
        <v>112</v>
      </c>
      <c r="L6" s="95" t="s">
        <v>113</v>
      </c>
      <c r="M6" s="94" t="s">
        <v>112</v>
      </c>
      <c r="N6" s="95" t="s">
        <v>113</v>
      </c>
      <c r="O6" s="94" t="s">
        <v>112</v>
      </c>
      <c r="P6" s="95" t="s">
        <v>113</v>
      </c>
      <c r="Q6" s="94" t="s">
        <v>112</v>
      </c>
      <c r="R6" s="95" t="s">
        <v>113</v>
      </c>
      <c r="S6" s="94" t="s">
        <v>112</v>
      </c>
      <c r="T6" s="95" t="s">
        <v>113</v>
      </c>
      <c r="U6" s="94" t="s">
        <v>112</v>
      </c>
      <c r="V6" s="95" t="s">
        <v>113</v>
      </c>
      <c r="W6" s="94" t="s">
        <v>112</v>
      </c>
      <c r="X6" s="95" t="s">
        <v>113</v>
      </c>
      <c r="Y6" s="94" t="s">
        <v>112</v>
      </c>
      <c r="Z6" s="95" t="s">
        <v>113</v>
      </c>
      <c r="AA6" s="94" t="s">
        <v>112</v>
      </c>
      <c r="AB6" s="95" t="s">
        <v>113</v>
      </c>
      <c r="AC6" s="94" t="s">
        <v>112</v>
      </c>
      <c r="AD6" s="95" t="s">
        <v>113</v>
      </c>
      <c r="AE6" s="94" t="s">
        <v>112</v>
      </c>
      <c r="AF6" s="95" t="s">
        <v>113</v>
      </c>
      <c r="AG6" s="94" t="s">
        <v>112</v>
      </c>
      <c r="AH6" s="95" t="s">
        <v>113</v>
      </c>
      <c r="AI6" s="94" t="s">
        <v>112</v>
      </c>
      <c r="AJ6" s="95" t="s">
        <v>113</v>
      </c>
      <c r="AK6" s="94" t="s">
        <v>112</v>
      </c>
      <c r="AL6" s="95" t="s">
        <v>113</v>
      </c>
    </row>
    <row r="7" spans="1:38" ht="13.5">
      <c r="B7" s="79"/>
      <c r="C7" s="75"/>
      <c r="D7" s="82">
        <v>46082</v>
      </c>
      <c r="E7" s="82" t="s">
        <v>530</v>
      </c>
      <c r="F7" s="205">
        <f t="shared" ref="F7" si="0">SUM(M7,S7,U7,W7,AC7,AE7,AG7,AI7,AK7)</f>
        <v>7873403.0000000009</v>
      </c>
      <c r="G7" s="278"/>
      <c r="I7" s="211">
        <v>581077.02022937452</v>
      </c>
      <c r="J7" s="96">
        <f t="shared" ref="J7:J8" si="1">I7/F7</f>
        <v>7.3802524807808578E-2</v>
      </c>
      <c r="K7" s="211">
        <v>761671.41180765233</v>
      </c>
      <c r="L7" s="96">
        <f t="shared" ref="L7:L8" si="2">K7/F7</f>
        <v>9.6739797493873014E-2</v>
      </c>
      <c r="M7" s="204">
        <f t="shared" ref="M7:M8" si="3">SUM(I7+K7)</f>
        <v>1342748.4320370269</v>
      </c>
      <c r="N7" s="96">
        <f t="shared" ref="N7:N8" si="4">M7/F7</f>
        <v>0.17054232230168159</v>
      </c>
      <c r="O7" s="211">
        <v>128878.24916162419</v>
      </c>
      <c r="P7" s="96">
        <f t="shared" ref="P7:P8" si="5">O7/F7</f>
        <v>1.6368811448064347E-2</v>
      </c>
      <c r="Q7" s="211">
        <v>99823.619415771827</v>
      </c>
      <c r="R7" s="96">
        <f t="shared" ref="R7:R8" si="6">Q7/$F7</f>
        <v>1.2678586300710356E-2</v>
      </c>
      <c r="S7" s="204">
        <f t="shared" ref="S7:S8" si="7">SUM(O7+Q7)</f>
        <v>228701.86857739603</v>
      </c>
      <c r="T7" s="96">
        <f t="shared" ref="T7:T8" si="8">S7/F7</f>
        <v>2.9047397748774705E-2</v>
      </c>
      <c r="U7" s="211">
        <v>1347015.3900154359</v>
      </c>
      <c r="V7" s="96">
        <f t="shared" ref="V7:V8" si="9">U7/F7</f>
        <v>0.17108426813862262</v>
      </c>
      <c r="W7" s="211">
        <v>78782.755408236248</v>
      </c>
      <c r="X7" s="96">
        <f t="shared" ref="X7:X8" si="10">W7/F7</f>
        <v>1.0006188608437322E-2</v>
      </c>
      <c r="Y7" s="211">
        <v>591977.98210719263</v>
      </c>
      <c r="Z7" s="96">
        <f t="shared" ref="Z7:Z8" si="11">Y7/F7</f>
        <v>7.5187054709023857E-2</v>
      </c>
      <c r="AA7" s="211">
        <v>1319225.1506001712</v>
      </c>
      <c r="AB7" s="96">
        <f t="shared" ref="AB7:AB8" si="12">AA7/$F7</f>
        <v>0.16755463306021184</v>
      </c>
      <c r="AC7" s="204">
        <f t="shared" ref="AC7:AC8" si="13">SUM(Y7+AA7)</f>
        <v>1911203.1327073639</v>
      </c>
      <c r="AD7" s="96">
        <f t="shared" ref="AD7:AD8" si="14">AC7/F7</f>
        <v>0.24274168776923571</v>
      </c>
      <c r="AE7" s="211">
        <v>1463964.178362913</v>
      </c>
      <c r="AF7" s="96">
        <f t="shared" ref="AF7:AF8" si="15">AE7/F7</f>
        <v>0.18593792015509847</v>
      </c>
      <c r="AG7" s="211">
        <v>171278.17978358612</v>
      </c>
      <c r="AH7" s="96">
        <f t="shared" ref="AH7:AH8" si="16">AG7/F7</f>
        <v>2.1754021708730788E-2</v>
      </c>
      <c r="AI7" s="211">
        <v>804735.61987731699</v>
      </c>
      <c r="AJ7" s="96">
        <f t="shared" ref="AJ7:AJ8" si="17">AI7/F7</f>
        <v>0.10220937755597127</v>
      </c>
      <c r="AK7" s="211">
        <v>524973.44323072582</v>
      </c>
      <c r="AL7" s="96">
        <f t="shared" ref="AL7:AL8" si="18">AK7/F7</f>
        <v>6.6676816013447521E-2</v>
      </c>
    </row>
    <row r="8" spans="1:38" ht="13.5">
      <c r="B8" s="79"/>
      <c r="C8" s="363"/>
      <c r="D8" s="82">
        <f t="shared" ref="D8:D36" si="19">D7+1</f>
        <v>46083</v>
      </c>
      <c r="E8" s="383" t="s">
        <v>524</v>
      </c>
      <c r="F8" s="205">
        <f>SUM(M8,S8,U8,W8,AC8,AE8,AG8,AI8,AK8)</f>
        <v>7734716</v>
      </c>
      <c r="G8" s="278">
        <f>SUM(F7:F8)</f>
        <v>15608119</v>
      </c>
      <c r="I8" s="211">
        <v>555949.32947180723</v>
      </c>
      <c r="J8" s="96">
        <f t="shared" si="1"/>
        <v>7.187714836224203E-2</v>
      </c>
      <c r="K8" s="211">
        <v>821456.18609971215</v>
      </c>
      <c r="L8" s="96">
        <f t="shared" si="2"/>
        <v>0.1062037941793483</v>
      </c>
      <c r="M8" s="204">
        <f t="shared" si="3"/>
        <v>1377405.5155715193</v>
      </c>
      <c r="N8" s="96">
        <f t="shared" si="4"/>
        <v>0.17808094254159032</v>
      </c>
      <c r="O8" s="211">
        <v>120636.15440372005</v>
      </c>
      <c r="P8" s="96">
        <f t="shared" si="5"/>
        <v>1.5596714139694341E-2</v>
      </c>
      <c r="Q8" s="211">
        <v>98531.538444398495</v>
      </c>
      <c r="R8" s="96">
        <f t="shared" si="6"/>
        <v>1.2738869590609209E-2</v>
      </c>
      <c r="S8" s="204">
        <f t="shared" si="7"/>
        <v>219167.69284811855</v>
      </c>
      <c r="T8" s="96">
        <f t="shared" si="8"/>
        <v>2.8335583730303548E-2</v>
      </c>
      <c r="U8" s="211">
        <v>1225116.8598559932</v>
      </c>
      <c r="V8" s="96">
        <f t="shared" si="9"/>
        <v>0.15839196421122548</v>
      </c>
      <c r="W8" s="211">
        <v>86893.491830765139</v>
      </c>
      <c r="X8" s="96">
        <f t="shared" si="10"/>
        <v>1.1234218791066813E-2</v>
      </c>
      <c r="Y8" s="211">
        <v>566172.94450137648</v>
      </c>
      <c r="Z8" s="96">
        <f t="shared" si="11"/>
        <v>7.3198931221440638E-2</v>
      </c>
      <c r="AA8" s="211">
        <v>1606149.4447851323</v>
      </c>
      <c r="AB8" s="96">
        <f t="shared" si="12"/>
        <v>0.20765461133739524</v>
      </c>
      <c r="AC8" s="204">
        <f t="shared" si="13"/>
        <v>2172322.3892865088</v>
      </c>
      <c r="AD8" s="96">
        <f t="shared" si="14"/>
        <v>0.28085354255883588</v>
      </c>
      <c r="AE8" s="211">
        <v>1294036.7748332473</v>
      </c>
      <c r="AF8" s="96">
        <f t="shared" si="15"/>
        <v>0.16730242905275997</v>
      </c>
      <c r="AG8" s="211">
        <v>166950.26531185745</v>
      </c>
      <c r="AH8" s="96">
        <f t="shared" si="16"/>
        <v>2.1584537210138997E-2</v>
      </c>
      <c r="AI8" s="211">
        <v>661556.40495269338</v>
      </c>
      <c r="AJ8" s="96">
        <f t="shared" si="17"/>
        <v>8.553079453113642E-2</v>
      </c>
      <c r="AK8" s="211">
        <v>531266.60550929571</v>
      </c>
      <c r="AL8" s="96">
        <f t="shared" si="18"/>
        <v>6.8685987372942417E-2</v>
      </c>
    </row>
    <row r="9" spans="1:38" ht="13.5">
      <c r="B9" s="79"/>
      <c r="C9" s="79"/>
      <c r="D9" s="280">
        <f t="shared" si="19"/>
        <v>46084</v>
      </c>
      <c r="E9" s="280" t="s">
        <v>525</v>
      </c>
      <c r="F9" s="205">
        <f t="shared" ref="F9:F45" si="20">SUM(M9,S9,U9,W9,AC9,AE9,AG9,AI9,AK9)</f>
        <v>8673469.9999999981</v>
      </c>
      <c r="G9" s="278">
        <f>SUM(F9:F15)</f>
        <v>53050900.999999993</v>
      </c>
      <c r="I9" s="211">
        <v>599048.48849725793</v>
      </c>
      <c r="J9" s="96">
        <f t="shared" ref="J9:J13" si="21">I9/F9</f>
        <v>6.906676203379479E-2</v>
      </c>
      <c r="K9" s="211">
        <v>807362.48109584197</v>
      </c>
      <c r="L9" s="96">
        <f t="shared" ref="L9:L13" si="22">K9/F9</f>
        <v>9.3084138308640277E-2</v>
      </c>
      <c r="M9" s="204">
        <f t="shared" ref="M9:M13" si="23">SUM(I9+K9)</f>
        <v>1406410.9695930998</v>
      </c>
      <c r="N9" s="96">
        <f t="shared" ref="N9:N13" si="24">M9/F9</f>
        <v>0.16215090034243504</v>
      </c>
      <c r="O9" s="211">
        <v>173855.49876054292</v>
      </c>
      <c r="P9" s="96">
        <f t="shared" ref="P9:P13" si="25">O9/F9</f>
        <v>2.0044514912779195E-2</v>
      </c>
      <c r="Q9" s="211">
        <v>101899.05385789051</v>
      </c>
      <c r="R9" s="96">
        <f t="shared" ref="R9:R14" si="26">Q9/$F9</f>
        <v>1.1748360674319567E-2</v>
      </c>
      <c r="S9" s="204">
        <f t="shared" ref="S9:S14" si="27">SUM(O9+Q9)</f>
        <v>275754.55261843343</v>
      </c>
      <c r="T9" s="96">
        <f t="shared" ref="T9:T13" si="28">S9/F9</f>
        <v>3.1792875587098764E-2</v>
      </c>
      <c r="U9" s="211">
        <v>1138944.8523112326</v>
      </c>
      <c r="V9" s="96">
        <f t="shared" ref="V9:V13" si="29">U9/F9</f>
        <v>0.13131363252668574</v>
      </c>
      <c r="W9" s="211">
        <v>85999.317990531345</v>
      </c>
      <c r="X9" s="96">
        <f t="shared" ref="X9:X13" si="30">W9/F9</f>
        <v>9.9152147860696316E-3</v>
      </c>
      <c r="Y9" s="211">
        <v>1049906.9457011053</v>
      </c>
      <c r="Z9" s="96">
        <f t="shared" ref="Z9:Z13" si="31">Y9/F9</f>
        <v>0.12104808637155666</v>
      </c>
      <c r="AA9" s="211">
        <v>1527770.9003060122</v>
      </c>
      <c r="AB9" s="96">
        <f t="shared" ref="AB9:AB14" si="32">AA9/$F9</f>
        <v>0.17614298548401189</v>
      </c>
      <c r="AC9" s="204">
        <f t="shared" ref="AC9:AC13" si="33">SUM(Y9+AA9)</f>
        <v>2577677.8460071175</v>
      </c>
      <c r="AD9" s="96">
        <f t="shared" ref="AD9:AD13" si="34">AC9/F9</f>
        <v>0.29719107185556853</v>
      </c>
      <c r="AE9" s="211">
        <v>1461909.8207019519</v>
      </c>
      <c r="AF9" s="96">
        <f t="shared" ref="AF9:AF13" si="35">AE9/F9</f>
        <v>0.16854959095978336</v>
      </c>
      <c r="AG9" s="211">
        <v>489805.47826294811</v>
      </c>
      <c r="AH9" s="96">
        <f t="shared" ref="AH9:AH13" si="36">AG9/F9</f>
        <v>5.6471686448785571E-2</v>
      </c>
      <c r="AI9" s="211">
        <v>714624.81751432107</v>
      </c>
      <c r="AJ9" s="96">
        <f t="shared" ref="AJ9:AJ13" si="37">AI9/F9</f>
        <v>8.2392031968095955E-2</v>
      </c>
      <c r="AK9" s="211">
        <v>522342.34500036342</v>
      </c>
      <c r="AL9" s="96">
        <f t="shared" ref="AL9:AL13" si="38">AK9/F9</f>
        <v>6.0222995525477524E-2</v>
      </c>
    </row>
    <row r="10" spans="1:38" ht="13.5">
      <c r="B10" s="79"/>
      <c r="C10" s="79"/>
      <c r="D10" s="388">
        <f t="shared" si="19"/>
        <v>46085</v>
      </c>
      <c r="E10" s="388" t="s">
        <v>526</v>
      </c>
      <c r="F10" s="205">
        <f t="shared" si="20"/>
        <v>7833391</v>
      </c>
      <c r="G10" s="278"/>
      <c r="H10" s="292"/>
      <c r="I10" s="211">
        <v>574500.59363147698</v>
      </c>
      <c r="J10" s="96">
        <f t="shared" si="21"/>
        <v>7.3339961407706697E-2</v>
      </c>
      <c r="K10" s="211">
        <v>791606.92655001755</v>
      </c>
      <c r="L10" s="96">
        <f t="shared" si="22"/>
        <v>0.1010554594491731</v>
      </c>
      <c r="M10" s="204">
        <f t="shared" si="23"/>
        <v>1366107.5201814945</v>
      </c>
      <c r="N10" s="96">
        <f t="shared" si="24"/>
        <v>0.17439542085687981</v>
      </c>
      <c r="O10" s="211">
        <v>161906.77587211499</v>
      </c>
      <c r="P10" s="96">
        <f t="shared" si="25"/>
        <v>2.0668797953799955E-2</v>
      </c>
      <c r="Q10" s="211">
        <v>104167.97226051525</v>
      </c>
      <c r="R10" s="96">
        <f t="shared" si="26"/>
        <v>1.3297941116499259E-2</v>
      </c>
      <c r="S10" s="204">
        <f t="shared" si="27"/>
        <v>266074.74813263025</v>
      </c>
      <c r="T10" s="96">
        <f t="shared" si="28"/>
        <v>3.3966739070299214E-2</v>
      </c>
      <c r="U10" s="211">
        <v>1103700.907123541</v>
      </c>
      <c r="V10" s="96">
        <f t="shared" si="29"/>
        <v>0.14089695090204754</v>
      </c>
      <c r="W10" s="211">
        <v>89672.202546484841</v>
      </c>
      <c r="X10" s="96">
        <f t="shared" si="30"/>
        <v>1.144743094612344E-2</v>
      </c>
      <c r="Y10" s="211">
        <v>742604.48224355641</v>
      </c>
      <c r="Z10" s="96">
        <f t="shared" si="31"/>
        <v>9.479987431286864E-2</v>
      </c>
      <c r="AA10" s="211">
        <v>1415014.9878923649</v>
      </c>
      <c r="AB10" s="96">
        <f t="shared" si="32"/>
        <v>0.18063888141066428</v>
      </c>
      <c r="AC10" s="204">
        <f t="shared" si="33"/>
        <v>2157619.4701359211</v>
      </c>
      <c r="AD10" s="96">
        <f t="shared" si="34"/>
        <v>0.27543875572353288</v>
      </c>
      <c r="AE10" s="211">
        <v>1245887.6697718054</v>
      </c>
      <c r="AF10" s="96">
        <f t="shared" si="35"/>
        <v>0.15904831889175522</v>
      </c>
      <c r="AG10" s="211">
        <v>333441.73953444569</v>
      </c>
      <c r="AH10" s="96">
        <f t="shared" si="36"/>
        <v>4.2566717215372717E-2</v>
      </c>
      <c r="AI10" s="211">
        <v>771766.93345524441</v>
      </c>
      <c r="AJ10" s="96">
        <f t="shared" si="37"/>
        <v>9.8522713018569408E-2</v>
      </c>
      <c r="AK10" s="211">
        <v>499119.80911843292</v>
      </c>
      <c r="AL10" s="96">
        <f t="shared" si="38"/>
        <v>6.3716953375419785E-2</v>
      </c>
    </row>
    <row r="11" spans="1:38" ht="13.5">
      <c r="B11" s="79"/>
      <c r="C11" s="79"/>
      <c r="D11" s="388">
        <f t="shared" si="19"/>
        <v>46086</v>
      </c>
      <c r="E11" s="388" t="s">
        <v>527</v>
      </c>
      <c r="F11" s="205">
        <f t="shared" si="20"/>
        <v>7120933.9999999981</v>
      </c>
      <c r="G11" s="278"/>
      <c r="H11" s="292"/>
      <c r="I11" s="211">
        <v>577258.23451066879</v>
      </c>
      <c r="J11" s="96">
        <f t="shared" si="21"/>
        <v>8.1064960651323112E-2</v>
      </c>
      <c r="K11" s="211">
        <v>380319.43557948014</v>
      </c>
      <c r="L11" s="96">
        <f t="shared" si="22"/>
        <v>5.3408644930493701E-2</v>
      </c>
      <c r="M11" s="204">
        <f t="shared" si="23"/>
        <v>957577.67009014892</v>
      </c>
      <c r="N11" s="96">
        <f t="shared" si="24"/>
        <v>0.13447360558181681</v>
      </c>
      <c r="O11" s="211">
        <v>156972.85470918118</v>
      </c>
      <c r="P11" s="96">
        <f t="shared" si="25"/>
        <v>2.2043857548627921E-2</v>
      </c>
      <c r="Q11" s="211">
        <v>103803.96147077481</v>
      </c>
      <c r="R11" s="96">
        <f t="shared" si="26"/>
        <v>1.4577295825347466E-2</v>
      </c>
      <c r="S11" s="204">
        <f t="shared" si="27"/>
        <v>260776.81617995599</v>
      </c>
      <c r="T11" s="96">
        <f t="shared" si="28"/>
        <v>3.6621153373975389E-2</v>
      </c>
      <c r="U11" s="211">
        <v>1092275.607590416</v>
      </c>
      <c r="V11" s="96">
        <f t="shared" si="29"/>
        <v>0.15338937386449816</v>
      </c>
      <c r="W11" s="211">
        <v>93297.763491465186</v>
      </c>
      <c r="X11" s="96">
        <f t="shared" si="30"/>
        <v>1.3101899763635671E-2</v>
      </c>
      <c r="Y11" s="211">
        <v>774871.93017307064</v>
      </c>
      <c r="Z11" s="96">
        <f t="shared" si="31"/>
        <v>0.10881605280614465</v>
      </c>
      <c r="AA11" s="211">
        <v>1231694.6968580561</v>
      </c>
      <c r="AB11" s="96">
        <f t="shared" si="32"/>
        <v>0.17296813828888968</v>
      </c>
      <c r="AC11" s="204">
        <f t="shared" si="33"/>
        <v>2006566.6270311268</v>
      </c>
      <c r="AD11" s="96">
        <f t="shared" si="34"/>
        <v>0.28178419109503433</v>
      </c>
      <c r="AE11" s="211">
        <v>1227772.3323042481</v>
      </c>
      <c r="AF11" s="96">
        <f t="shared" si="35"/>
        <v>0.17241731664754209</v>
      </c>
      <c r="AG11" s="211">
        <v>328809.91364091216</v>
      </c>
      <c r="AH11" s="96">
        <f t="shared" si="36"/>
        <v>4.6175110405588964E-2</v>
      </c>
      <c r="AI11" s="211">
        <v>629918.61034464196</v>
      </c>
      <c r="AJ11" s="96">
        <f t="shared" si="37"/>
        <v>8.8460110758594612E-2</v>
      </c>
      <c r="AK11" s="211">
        <v>523938.65932708321</v>
      </c>
      <c r="AL11" s="96">
        <f t="shared" si="38"/>
        <v>7.3577238509313997E-2</v>
      </c>
    </row>
    <row r="12" spans="1:38" ht="13.5">
      <c r="B12" s="79"/>
      <c r="C12" s="79"/>
      <c r="D12" s="388">
        <f t="shared" si="19"/>
        <v>46087</v>
      </c>
      <c r="E12" s="388" t="s">
        <v>528</v>
      </c>
      <c r="F12" s="205">
        <f t="shared" si="20"/>
        <v>6319241</v>
      </c>
      <c r="G12" s="278"/>
      <c r="H12" s="292">
        <f>SUM(F7:F37)</f>
        <v>236658241</v>
      </c>
      <c r="I12" s="211">
        <v>489690.28595399106</v>
      </c>
      <c r="J12" s="96">
        <f t="shared" si="21"/>
        <v>7.7491946573012657E-2</v>
      </c>
      <c r="K12" s="211">
        <v>685379.2668516062</v>
      </c>
      <c r="L12" s="96">
        <f t="shared" si="22"/>
        <v>0.10845911191733409</v>
      </c>
      <c r="M12" s="204">
        <f t="shared" si="23"/>
        <v>1175069.5528055972</v>
      </c>
      <c r="N12" s="96">
        <f t="shared" si="24"/>
        <v>0.18595105849034674</v>
      </c>
      <c r="O12" s="211">
        <v>127828.57294226866</v>
      </c>
      <c r="P12" s="96">
        <f t="shared" si="25"/>
        <v>2.0228469359258282E-2</v>
      </c>
      <c r="Q12" s="211">
        <v>80895.614115522068</v>
      </c>
      <c r="R12" s="96">
        <f t="shared" si="26"/>
        <v>1.2801476334819652E-2</v>
      </c>
      <c r="S12" s="204">
        <f t="shared" si="27"/>
        <v>208724.18705779072</v>
      </c>
      <c r="T12" s="96">
        <f t="shared" si="28"/>
        <v>3.3029945694077932E-2</v>
      </c>
      <c r="U12" s="211">
        <v>954950.41584585793</v>
      </c>
      <c r="V12" s="96">
        <f t="shared" si="29"/>
        <v>0.15111789783707535</v>
      </c>
      <c r="W12" s="211">
        <v>64510.228285708472</v>
      </c>
      <c r="X12" s="96">
        <f t="shared" si="30"/>
        <v>1.0208540596205852E-2</v>
      </c>
      <c r="Y12" s="211">
        <v>615058.356888982</v>
      </c>
      <c r="Z12" s="96">
        <f t="shared" si="31"/>
        <v>9.7331049233441491E-2</v>
      </c>
      <c r="AA12" s="211">
        <v>1233662.2966318505</v>
      </c>
      <c r="AB12" s="96">
        <f t="shared" si="32"/>
        <v>0.19522317579466436</v>
      </c>
      <c r="AC12" s="204">
        <f t="shared" si="33"/>
        <v>1848720.6535208325</v>
      </c>
      <c r="AD12" s="96">
        <f t="shared" si="34"/>
        <v>0.29255422502810585</v>
      </c>
      <c r="AE12" s="211">
        <v>955746.50489904091</v>
      </c>
      <c r="AF12" s="96">
        <f t="shared" si="35"/>
        <v>0.15124387642424794</v>
      </c>
      <c r="AG12" s="211">
        <v>204746.63282820967</v>
      </c>
      <c r="AH12" s="96">
        <f t="shared" si="36"/>
        <v>3.2400510255616091E-2</v>
      </c>
      <c r="AI12" s="211">
        <v>467834.97331038362</v>
      </c>
      <c r="AJ12" s="96">
        <f t="shared" si="37"/>
        <v>7.4033412131359388E-2</v>
      </c>
      <c r="AK12" s="211">
        <v>438937.85144657869</v>
      </c>
      <c r="AL12" s="96">
        <f t="shared" si="38"/>
        <v>6.9460533542964845E-2</v>
      </c>
    </row>
    <row r="13" spans="1:38" ht="13.5">
      <c r="B13" s="79"/>
      <c r="C13" s="79"/>
      <c r="D13" s="388">
        <f t="shared" si="19"/>
        <v>46088</v>
      </c>
      <c r="E13" s="388" t="s">
        <v>529</v>
      </c>
      <c r="F13" s="205">
        <f t="shared" si="20"/>
        <v>6868139.9999999981</v>
      </c>
      <c r="G13" s="278"/>
      <c r="H13" s="292"/>
      <c r="I13" s="211">
        <v>472783.93360303727</v>
      </c>
      <c r="J13" s="96">
        <f t="shared" si="21"/>
        <v>6.8837259229287323E-2</v>
      </c>
      <c r="K13" s="211">
        <v>749082.40974737646</v>
      </c>
      <c r="L13" s="96">
        <f t="shared" si="22"/>
        <v>0.10906626972475469</v>
      </c>
      <c r="M13" s="204">
        <f t="shared" si="23"/>
        <v>1221866.3433504137</v>
      </c>
      <c r="N13" s="96">
        <f t="shared" si="24"/>
        <v>0.17790352895404202</v>
      </c>
      <c r="O13" s="211">
        <v>125687.95222780659</v>
      </c>
      <c r="P13" s="96">
        <f t="shared" si="25"/>
        <v>1.8300144176997938E-2</v>
      </c>
      <c r="Q13" s="211">
        <v>76531.951754382739</v>
      </c>
      <c r="R13" s="96">
        <f t="shared" si="26"/>
        <v>1.1143038982079976E-2</v>
      </c>
      <c r="S13" s="204">
        <f t="shared" si="27"/>
        <v>202219.90398218931</v>
      </c>
      <c r="T13" s="96">
        <f t="shared" si="28"/>
        <v>2.9443183159077912E-2</v>
      </c>
      <c r="U13" s="211">
        <v>1051216.4498875891</v>
      </c>
      <c r="V13" s="96">
        <f t="shared" si="29"/>
        <v>0.15305693388422328</v>
      </c>
      <c r="W13" s="211">
        <v>68649.44770136624</v>
      </c>
      <c r="X13" s="96">
        <f t="shared" si="30"/>
        <v>9.9953477508271903E-3</v>
      </c>
      <c r="Y13" s="211">
        <v>693542.66225563677</v>
      </c>
      <c r="Z13" s="96">
        <f t="shared" si="31"/>
        <v>0.10097969206446533</v>
      </c>
      <c r="AA13" s="211">
        <v>1309634.6895607375</v>
      </c>
      <c r="AB13" s="96">
        <f t="shared" si="32"/>
        <v>0.19068258503186275</v>
      </c>
      <c r="AC13" s="204">
        <f t="shared" si="33"/>
        <v>2003177.3518163743</v>
      </c>
      <c r="AD13" s="96">
        <f t="shared" si="34"/>
        <v>0.29166227709632808</v>
      </c>
      <c r="AE13" s="211">
        <v>1082427.9927879472</v>
      </c>
      <c r="AF13" s="96">
        <f t="shared" si="35"/>
        <v>0.15760132914995145</v>
      </c>
      <c r="AG13" s="211">
        <v>248575.96137494352</v>
      </c>
      <c r="AH13" s="96">
        <f t="shared" si="36"/>
        <v>3.619261712413311E-2</v>
      </c>
      <c r="AI13" s="211">
        <v>505763.27934672171</v>
      </c>
      <c r="AJ13" s="96">
        <f t="shared" si="37"/>
        <v>7.3639046284251899E-2</v>
      </c>
      <c r="AK13" s="211">
        <v>484243.26975245384</v>
      </c>
      <c r="AL13" s="96">
        <f t="shared" si="38"/>
        <v>7.0505736597165164E-2</v>
      </c>
    </row>
    <row r="14" spans="1:38" ht="13.5">
      <c r="B14" s="79"/>
      <c r="C14" s="79"/>
      <c r="D14" s="388">
        <f t="shared" si="19"/>
        <v>46089</v>
      </c>
      <c r="E14" s="388" t="s">
        <v>530</v>
      </c>
      <c r="F14" s="205">
        <f t="shared" si="20"/>
        <v>8317812.9999999991</v>
      </c>
      <c r="G14" s="278"/>
      <c r="H14" s="292"/>
      <c r="I14" s="211">
        <v>608951.64733929129</v>
      </c>
      <c r="J14" s="96">
        <f>I14/F14</f>
        <v>7.3210547933608427E-2</v>
      </c>
      <c r="K14" s="211">
        <v>803243.20910682983</v>
      </c>
      <c r="L14" s="96">
        <f>K14/F14</f>
        <v>9.6569039134064436E-2</v>
      </c>
      <c r="M14" s="204">
        <f>SUM(I14+K14)</f>
        <v>1412194.8564461211</v>
      </c>
      <c r="N14" s="96">
        <f>M14/F14</f>
        <v>0.16977958706767288</v>
      </c>
      <c r="O14" s="211">
        <v>168147.7320932188</v>
      </c>
      <c r="P14" s="96">
        <f>O14/F14</f>
        <v>2.0215377779377684E-2</v>
      </c>
      <c r="Q14" s="211">
        <v>95145.066383164871</v>
      </c>
      <c r="R14" s="96">
        <f t="shared" si="26"/>
        <v>1.1438711880534568E-2</v>
      </c>
      <c r="S14" s="204">
        <f t="shared" si="27"/>
        <v>263292.79847638367</v>
      </c>
      <c r="T14" s="96">
        <f>S14/F14</f>
        <v>3.1654089659912253E-2</v>
      </c>
      <c r="U14" s="211">
        <v>1265231.9747126724</v>
      </c>
      <c r="V14" s="96">
        <f>U14/F14</f>
        <v>0.15211113482746877</v>
      </c>
      <c r="W14" s="211">
        <v>64403.775714438358</v>
      </c>
      <c r="X14" s="96">
        <f>W14/F14</f>
        <v>7.7428737234701431E-3</v>
      </c>
      <c r="Y14" s="211">
        <v>863927.60431761364</v>
      </c>
      <c r="Z14" s="96">
        <f>Y14/F14</f>
        <v>0.10386475439128215</v>
      </c>
      <c r="AA14" s="211">
        <v>1447241.6613516193</v>
      </c>
      <c r="AB14" s="96">
        <f t="shared" si="32"/>
        <v>0.17399305098006165</v>
      </c>
      <c r="AC14" s="204">
        <f>SUM(Y14+AA14)</f>
        <v>2311169.2656692332</v>
      </c>
      <c r="AD14" s="96">
        <f>AC14/F14</f>
        <v>0.2778578053713438</v>
      </c>
      <c r="AE14" s="211">
        <v>1440614.0462457032</v>
      </c>
      <c r="AF14" s="96">
        <f>AE14/F14</f>
        <v>0.17319625317925558</v>
      </c>
      <c r="AG14" s="211">
        <v>362695.10994929302</v>
      </c>
      <c r="AH14" s="96">
        <f>AG14/F14</f>
        <v>4.3604624190191947E-2</v>
      </c>
      <c r="AI14" s="211">
        <v>684369.00390873605</v>
      </c>
      <c r="AJ14" s="96">
        <f>AI14/F14</f>
        <v>8.2277517408570755E-2</v>
      </c>
      <c r="AK14" s="211">
        <v>513842.16887741839</v>
      </c>
      <c r="AL14" s="96">
        <f>AK14/F14</f>
        <v>6.1776114572113898E-2</v>
      </c>
    </row>
    <row r="15" spans="1:38" ht="13.5">
      <c r="B15" s="79"/>
      <c r="C15" s="79"/>
      <c r="D15" s="388">
        <f t="shared" si="19"/>
        <v>46090</v>
      </c>
      <c r="E15" s="388" t="s">
        <v>524</v>
      </c>
      <c r="F15" s="205">
        <f t="shared" si="20"/>
        <v>7917912.0000000009</v>
      </c>
      <c r="G15" s="278"/>
      <c r="H15" s="292"/>
      <c r="I15" s="211">
        <v>582501.40192617313</v>
      </c>
      <c r="J15" s="96">
        <f t="shared" ref="J15" si="39">I15/F15</f>
        <v>7.3567551890722338E-2</v>
      </c>
      <c r="K15" s="211">
        <v>793317.77464415669</v>
      </c>
      <c r="L15" s="96">
        <f t="shared" ref="L15" si="40">K15/F15</f>
        <v>0.10019280015288837</v>
      </c>
      <c r="M15" s="204">
        <f t="shared" ref="M15" si="41">SUM(I15+K15)</f>
        <v>1375819.1765703298</v>
      </c>
      <c r="N15" s="96">
        <f t="shared" ref="N15" si="42">M15/F15</f>
        <v>0.17376035204361071</v>
      </c>
      <c r="O15" s="211">
        <v>153311.00462881909</v>
      </c>
      <c r="P15" s="96">
        <f t="shared" ref="P15" si="43">O15/F15</f>
        <v>1.9362554752922118E-2</v>
      </c>
      <c r="Q15" s="211">
        <v>95472.577244691172</v>
      </c>
      <c r="R15" s="96">
        <f t="shared" ref="R15" si="44">Q15/$F15</f>
        <v>1.2057797212786801E-2</v>
      </c>
      <c r="S15" s="204">
        <f t="shared" ref="S15" si="45">SUM(O15+Q15)</f>
        <v>248783.58187351027</v>
      </c>
      <c r="T15" s="96">
        <f t="shared" ref="T15" si="46">S15/F15</f>
        <v>3.1420351965708922E-2</v>
      </c>
      <c r="U15" s="211">
        <v>1240969.737785073</v>
      </c>
      <c r="V15" s="96">
        <f t="shared" ref="V15" si="47">U15/F15</f>
        <v>0.15672941777896407</v>
      </c>
      <c r="W15" s="211">
        <v>77649.439176638305</v>
      </c>
      <c r="X15" s="96">
        <f t="shared" ref="X15" si="48">W15/F15</f>
        <v>9.8068075493436008E-3</v>
      </c>
      <c r="Y15" s="211">
        <v>725764.36329733266</v>
      </c>
      <c r="Z15" s="96">
        <f t="shared" ref="Z15" si="49">Y15/F15</f>
        <v>9.1661079751496677E-2</v>
      </c>
      <c r="AA15" s="211">
        <v>1436661.7524740177</v>
      </c>
      <c r="AB15" s="96">
        <f t="shared" ref="AB15" si="50">AA15/$F15</f>
        <v>0.18144452129223179</v>
      </c>
      <c r="AC15" s="204">
        <f t="shared" ref="AC15" si="51">SUM(Y15+AA15)</f>
        <v>2162426.1157713505</v>
      </c>
      <c r="AD15" s="96">
        <f t="shared" ref="AD15" si="52">AC15/F15</f>
        <v>0.2731056010437285</v>
      </c>
      <c r="AE15" s="211">
        <v>1244898.1881059313</v>
      </c>
      <c r="AF15" s="96">
        <f t="shared" ref="AF15" si="53">AE15/F15</f>
        <v>0.15722556503607657</v>
      </c>
      <c r="AG15" s="211">
        <v>258228.1508626134</v>
      </c>
      <c r="AH15" s="96">
        <f t="shared" ref="AH15" si="54">AG15/F15</f>
        <v>3.2613162518428267E-2</v>
      </c>
      <c r="AI15" s="211">
        <v>756710.68145780347</v>
      </c>
      <c r="AJ15" s="96">
        <f t="shared" ref="AJ15" si="55">AI15/F15</f>
        <v>9.5569473550325315E-2</v>
      </c>
      <c r="AK15" s="211">
        <v>552426.92839675013</v>
      </c>
      <c r="AL15" s="96">
        <f t="shared" ref="AL15" si="56">AK15/F15</f>
        <v>6.9769268513814001E-2</v>
      </c>
    </row>
    <row r="16" spans="1:38" ht="13.5">
      <c r="B16" s="79"/>
      <c r="C16" s="79"/>
      <c r="D16" s="383">
        <f t="shared" si="19"/>
        <v>46091</v>
      </c>
      <c r="E16" s="383" t="s">
        <v>525</v>
      </c>
      <c r="F16" s="205">
        <f t="shared" si="20"/>
        <v>7857996.9999999981</v>
      </c>
      <c r="G16" s="278">
        <f>SUM(F16:F22)</f>
        <v>51759222</v>
      </c>
      <c r="H16" s="292"/>
      <c r="I16" s="211">
        <v>581921.17268134118</v>
      </c>
      <c r="J16" s="96">
        <f t="shared" ref="J16:J41" si="57">I16/F16</f>
        <v>7.405464429183943E-2</v>
      </c>
      <c r="K16" s="211">
        <v>768330.07827008783</v>
      </c>
      <c r="L16" s="96">
        <f t="shared" ref="L16:L41" si="58">K16/F16</f>
        <v>9.777683527622727E-2</v>
      </c>
      <c r="M16" s="204">
        <f t="shared" ref="M16:M41" si="59">SUM(I16+K16)</f>
        <v>1350251.2509514289</v>
      </c>
      <c r="N16" s="96">
        <f t="shared" ref="N16:N41" si="60">M16/F16</f>
        <v>0.17183147956806669</v>
      </c>
      <c r="O16" s="211">
        <v>155283.82663170976</v>
      </c>
      <c r="P16" s="96">
        <f t="shared" ref="P16:P41" si="61">O16/F16</f>
        <v>1.9761247889469771E-2</v>
      </c>
      <c r="Q16" s="211">
        <v>93192.438383552246</v>
      </c>
      <c r="R16" s="96">
        <f t="shared" ref="R16:R45" si="62">Q16/$F16</f>
        <v>1.1859566551571891E-2</v>
      </c>
      <c r="S16" s="204">
        <f t="shared" ref="S16:S45" si="63">SUM(O16+Q16)</f>
        <v>248476.265015262</v>
      </c>
      <c r="T16" s="96">
        <f t="shared" ref="T16:T41" si="64">S16/F16</f>
        <v>3.1620814441041666E-2</v>
      </c>
      <c r="U16" s="211">
        <v>1213831.6689155556</v>
      </c>
      <c r="V16" s="96">
        <f t="shared" ref="V16:V41" si="65">U16/F16</f>
        <v>0.15447087456454309</v>
      </c>
      <c r="W16" s="211">
        <v>71083.695737938571</v>
      </c>
      <c r="X16" s="96">
        <f t="shared" ref="X16:X41" si="66">W16/F16</f>
        <v>9.0460324352298165E-3</v>
      </c>
      <c r="Y16" s="211">
        <v>685772.27653293917</v>
      </c>
      <c r="Z16" s="96">
        <f t="shared" ref="Z16:Z41" si="67">Y16/F16</f>
        <v>8.7270620812522501E-2</v>
      </c>
      <c r="AA16" s="211">
        <v>1409025.7959503755</v>
      </c>
      <c r="AB16" s="96">
        <f t="shared" ref="AB16:AB45" si="68">AA16/$F16</f>
        <v>0.17931106310556949</v>
      </c>
      <c r="AC16" s="204">
        <f t="shared" ref="AC16:AC41" si="69">SUM(Y16+AA16)</f>
        <v>2094798.0724833147</v>
      </c>
      <c r="AD16" s="96">
        <f t="shared" ref="AD16:AD41" si="70">AC16/F16</f>
        <v>0.26658168391809201</v>
      </c>
      <c r="AE16" s="211">
        <v>1215337.640557318</v>
      </c>
      <c r="AF16" s="96">
        <f t="shared" ref="AF16:AF41" si="71">AE16/F16</f>
        <v>0.15466252284867482</v>
      </c>
      <c r="AG16" s="211">
        <v>222972.21889130227</v>
      </c>
      <c r="AH16" s="96">
        <f t="shared" ref="AH16:AH41" si="72">AG16/F16</f>
        <v>2.8375197762394451E-2</v>
      </c>
      <c r="AI16" s="211">
        <v>721183.87186021684</v>
      </c>
      <c r="AJ16" s="96">
        <f t="shared" ref="AJ16:AJ41" si="73">AI16/F16</f>
        <v>9.1777061235861629E-2</v>
      </c>
      <c r="AK16" s="211">
        <v>720062.31558766251</v>
      </c>
      <c r="AL16" s="96">
        <f t="shared" ref="AL16:AL41" si="74">AK16/F16</f>
        <v>9.1634333226096001E-2</v>
      </c>
    </row>
    <row r="17" spans="2:38" ht="13.5">
      <c r="B17" s="79"/>
      <c r="C17" s="79"/>
      <c r="D17" s="389">
        <f t="shared" si="19"/>
        <v>46092</v>
      </c>
      <c r="E17" s="389" t="s">
        <v>526</v>
      </c>
      <c r="F17" s="205">
        <f t="shared" si="20"/>
        <v>7290922</v>
      </c>
      <c r="G17" s="278"/>
      <c r="H17" s="292"/>
      <c r="I17" s="211">
        <v>572866.69190728071</v>
      </c>
      <c r="J17" s="96">
        <f t="shared" si="57"/>
        <v>7.8572599172955171E-2</v>
      </c>
      <c r="K17" s="211">
        <v>750820.78837529744</v>
      </c>
      <c r="L17" s="96">
        <f t="shared" si="58"/>
        <v>0.10298022504908123</v>
      </c>
      <c r="M17" s="204">
        <f t="shared" si="59"/>
        <v>1323687.4802825782</v>
      </c>
      <c r="N17" s="96">
        <f t="shared" si="60"/>
        <v>0.18155282422203642</v>
      </c>
      <c r="O17" s="211">
        <v>156644.54935870023</v>
      </c>
      <c r="P17" s="96">
        <f t="shared" si="61"/>
        <v>2.1484875213134941E-2</v>
      </c>
      <c r="Q17" s="211">
        <v>92383.557088619797</v>
      </c>
      <c r="R17" s="96">
        <f t="shared" si="62"/>
        <v>1.2671039011063319E-2</v>
      </c>
      <c r="S17" s="204">
        <f t="shared" si="63"/>
        <v>249028.10644732002</v>
      </c>
      <c r="T17" s="96">
        <f t="shared" si="64"/>
        <v>3.415591422419826E-2</v>
      </c>
      <c r="U17" s="211">
        <v>1154823.7302164126</v>
      </c>
      <c r="V17" s="96">
        <f t="shared" si="65"/>
        <v>0.15839200175456719</v>
      </c>
      <c r="W17" s="211">
        <v>78739.153770925026</v>
      </c>
      <c r="X17" s="96">
        <f t="shared" si="66"/>
        <v>1.0799615435595803E-2</v>
      </c>
      <c r="Y17" s="211">
        <v>653277.01273310313</v>
      </c>
      <c r="Z17" s="96">
        <f t="shared" si="67"/>
        <v>8.9601426641665233E-2</v>
      </c>
      <c r="AA17" s="211">
        <v>1325276.3381375701</v>
      </c>
      <c r="AB17" s="96">
        <f t="shared" si="68"/>
        <v>0.18177074698338153</v>
      </c>
      <c r="AC17" s="204">
        <f t="shared" si="69"/>
        <v>1978553.3508706731</v>
      </c>
      <c r="AD17" s="96">
        <f t="shared" si="70"/>
        <v>0.27137217362504673</v>
      </c>
      <c r="AE17" s="211">
        <v>1126234.6916701857</v>
      </c>
      <c r="AF17" s="96">
        <f t="shared" si="71"/>
        <v>0.15447081887176761</v>
      </c>
      <c r="AG17" s="211">
        <v>216514.68770009998</v>
      </c>
      <c r="AH17" s="96">
        <f t="shared" si="72"/>
        <v>2.9696475658373519E-2</v>
      </c>
      <c r="AI17" s="211">
        <v>472184.60756105202</v>
      </c>
      <c r="AJ17" s="96">
        <f t="shared" si="73"/>
        <v>6.476336018421977E-2</v>
      </c>
      <c r="AK17" s="211">
        <v>691156.19148075348</v>
      </c>
      <c r="AL17" s="96">
        <f t="shared" si="74"/>
        <v>9.479681602419468E-2</v>
      </c>
    </row>
    <row r="18" spans="2:38" ht="13.5">
      <c r="B18" s="79"/>
      <c r="C18" s="79"/>
      <c r="D18" s="389">
        <f t="shared" si="19"/>
        <v>46093</v>
      </c>
      <c r="E18" s="389" t="s">
        <v>527</v>
      </c>
      <c r="F18" s="205">
        <f t="shared" si="20"/>
        <v>6613914.9999999991</v>
      </c>
      <c r="G18" s="278"/>
      <c r="H18" s="292"/>
      <c r="I18" s="211">
        <v>546534.2543926494</v>
      </c>
      <c r="J18" s="96">
        <f t="shared" si="57"/>
        <v>8.2634000345128342E-2</v>
      </c>
      <c r="K18" s="211">
        <v>700831.49603393988</v>
      </c>
      <c r="L18" s="96">
        <f t="shared" si="58"/>
        <v>0.10596318459398707</v>
      </c>
      <c r="M18" s="204">
        <f t="shared" si="59"/>
        <v>1247365.7504265893</v>
      </c>
      <c r="N18" s="96">
        <f t="shared" si="60"/>
        <v>0.1885971849391154</v>
      </c>
      <c r="O18" s="211">
        <v>153601.0331085448</v>
      </c>
      <c r="P18" s="96">
        <f t="shared" si="61"/>
        <v>2.322392003957487E-2</v>
      </c>
      <c r="Q18" s="211">
        <v>91392.69554978302</v>
      </c>
      <c r="R18" s="96">
        <f t="shared" si="62"/>
        <v>1.381824464780437E-2</v>
      </c>
      <c r="S18" s="204">
        <f t="shared" si="63"/>
        <v>244993.72865832783</v>
      </c>
      <c r="T18" s="96">
        <f t="shared" si="64"/>
        <v>3.7042164687379239E-2</v>
      </c>
      <c r="U18" s="211">
        <v>1036747.6310774621</v>
      </c>
      <c r="V18" s="96">
        <f t="shared" si="65"/>
        <v>0.15675248791033181</v>
      </c>
      <c r="W18" s="211">
        <v>78737.404564730372</v>
      </c>
      <c r="X18" s="96">
        <f t="shared" si="66"/>
        <v>1.1904810473786007E-2</v>
      </c>
      <c r="Y18" s="211">
        <v>647595.94521093462</v>
      </c>
      <c r="Z18" s="96">
        <f t="shared" si="67"/>
        <v>9.7914162067540139E-2</v>
      </c>
      <c r="AA18" s="211">
        <v>1116359.5211779443</v>
      </c>
      <c r="AB18" s="96">
        <f t="shared" si="68"/>
        <v>0.16878951743074178</v>
      </c>
      <c r="AC18" s="204">
        <f t="shared" si="69"/>
        <v>1763955.4663888789</v>
      </c>
      <c r="AD18" s="96">
        <f t="shared" si="70"/>
        <v>0.26670367949828189</v>
      </c>
      <c r="AE18" s="211">
        <v>1081950.6379668976</v>
      </c>
      <c r="AF18" s="96">
        <f t="shared" si="71"/>
        <v>0.16358701887866683</v>
      </c>
      <c r="AG18" s="211">
        <v>204531.02818751027</v>
      </c>
      <c r="AH18" s="96">
        <f t="shared" si="72"/>
        <v>3.0924350885596547E-2</v>
      </c>
      <c r="AI18" s="211">
        <v>408090.995047089</v>
      </c>
      <c r="AJ18" s="96">
        <f t="shared" si="73"/>
        <v>6.1701880814478118E-2</v>
      </c>
      <c r="AK18" s="211">
        <v>547542.35768251435</v>
      </c>
      <c r="AL18" s="96">
        <f t="shared" si="74"/>
        <v>8.2786421912364225E-2</v>
      </c>
    </row>
    <row r="19" spans="2:38" ht="13.5">
      <c r="B19" s="79"/>
      <c r="C19" s="79"/>
      <c r="D19" s="389">
        <f t="shared" si="19"/>
        <v>46094</v>
      </c>
      <c r="E19" s="389" t="s">
        <v>528</v>
      </c>
      <c r="F19" s="205">
        <f t="shared" si="20"/>
        <v>6674345</v>
      </c>
      <c r="G19" s="278"/>
      <c r="H19" s="292"/>
      <c r="I19" s="211">
        <v>479394.44797032385</v>
      </c>
      <c r="J19" s="96">
        <f t="shared" si="57"/>
        <v>7.182644109202084E-2</v>
      </c>
      <c r="K19" s="211">
        <v>678660.875894133</v>
      </c>
      <c r="L19" s="96">
        <f t="shared" si="58"/>
        <v>0.1016820191186001</v>
      </c>
      <c r="M19" s="204">
        <f t="shared" si="59"/>
        <v>1158055.3238644567</v>
      </c>
      <c r="N19" s="96">
        <f t="shared" si="60"/>
        <v>0.17350846021062094</v>
      </c>
      <c r="O19" s="211">
        <v>125513.92878937292</v>
      </c>
      <c r="P19" s="96">
        <f t="shared" si="61"/>
        <v>1.8805430164214303E-2</v>
      </c>
      <c r="Q19" s="211">
        <v>75834.254889607269</v>
      </c>
      <c r="R19" s="96">
        <f t="shared" si="62"/>
        <v>1.1362051990061538E-2</v>
      </c>
      <c r="S19" s="204">
        <f t="shared" si="63"/>
        <v>201348.18367898019</v>
      </c>
      <c r="T19" s="96">
        <f t="shared" si="64"/>
        <v>3.0167482154275841E-2</v>
      </c>
      <c r="U19" s="211">
        <v>960857.08509420382</v>
      </c>
      <c r="V19" s="96">
        <f t="shared" si="65"/>
        <v>0.14396275366259967</v>
      </c>
      <c r="W19" s="211">
        <v>57683.705984052824</v>
      </c>
      <c r="X19" s="96">
        <f t="shared" si="66"/>
        <v>8.6426017810066497E-3</v>
      </c>
      <c r="Y19" s="211">
        <v>694129.2766225707</v>
      </c>
      <c r="Z19" s="96">
        <f t="shared" si="67"/>
        <v>0.10399960994263417</v>
      </c>
      <c r="AA19" s="211">
        <v>1286586.2215960876</v>
      </c>
      <c r="AB19" s="96">
        <f t="shared" si="68"/>
        <v>0.19276591509670052</v>
      </c>
      <c r="AC19" s="204">
        <f t="shared" si="69"/>
        <v>1980715.4982186584</v>
      </c>
      <c r="AD19" s="96">
        <f t="shared" si="70"/>
        <v>0.29676552503933468</v>
      </c>
      <c r="AE19" s="211">
        <v>1024835.9067558362</v>
      </c>
      <c r="AF19" s="96">
        <f t="shared" si="71"/>
        <v>0.15354853648647712</v>
      </c>
      <c r="AG19" s="211">
        <v>222775.14191336441</v>
      </c>
      <c r="AH19" s="96">
        <f t="shared" si="72"/>
        <v>3.3377828373175857E-2</v>
      </c>
      <c r="AI19" s="211">
        <v>575967.64987142873</v>
      </c>
      <c r="AJ19" s="96">
        <f t="shared" si="73"/>
        <v>8.6295756343345867E-2</v>
      </c>
      <c r="AK19" s="211">
        <v>492106.50461901957</v>
      </c>
      <c r="AL19" s="96">
        <f t="shared" si="74"/>
        <v>7.3731055949163488E-2</v>
      </c>
    </row>
    <row r="20" spans="2:38" ht="13.5">
      <c r="B20" s="79"/>
      <c r="C20" s="79"/>
      <c r="D20" s="389">
        <f t="shared" si="19"/>
        <v>46095</v>
      </c>
      <c r="E20" s="389" t="s">
        <v>529</v>
      </c>
      <c r="F20" s="205">
        <f t="shared" si="20"/>
        <v>6969421.0000000009</v>
      </c>
      <c r="G20" s="278"/>
      <c r="H20" s="292"/>
      <c r="I20" s="211">
        <v>454834.11514040479</v>
      </c>
      <c r="J20" s="96">
        <f t="shared" si="57"/>
        <v>6.5261391891866583E-2</v>
      </c>
      <c r="K20" s="211">
        <v>731293.24789561902</v>
      </c>
      <c r="L20" s="96">
        <f t="shared" si="58"/>
        <v>0.10492883811949642</v>
      </c>
      <c r="M20" s="204">
        <f t="shared" si="59"/>
        <v>1186127.3630360239</v>
      </c>
      <c r="N20" s="96">
        <f t="shared" si="60"/>
        <v>0.17019023001136302</v>
      </c>
      <c r="O20" s="211">
        <v>115546.27168154981</v>
      </c>
      <c r="P20" s="96">
        <f t="shared" si="61"/>
        <v>1.6579034568517212E-2</v>
      </c>
      <c r="Q20" s="211">
        <v>72147.923082232475</v>
      </c>
      <c r="R20" s="96">
        <f t="shared" si="62"/>
        <v>1.0352068426090556E-2</v>
      </c>
      <c r="S20" s="204">
        <f t="shared" si="63"/>
        <v>187694.19476378229</v>
      </c>
      <c r="T20" s="96">
        <f t="shared" si="64"/>
        <v>2.6931102994607766E-2</v>
      </c>
      <c r="U20" s="211">
        <v>1026656.098418524</v>
      </c>
      <c r="V20" s="96">
        <f t="shared" si="65"/>
        <v>0.14730866429485662</v>
      </c>
      <c r="W20" s="211">
        <v>65744.345534926179</v>
      </c>
      <c r="X20" s="96">
        <f t="shared" si="66"/>
        <v>9.4332578753566713E-3</v>
      </c>
      <c r="Y20" s="211">
        <v>672596.25245691126</v>
      </c>
      <c r="Z20" s="96">
        <f t="shared" si="67"/>
        <v>9.6506761818078018E-2</v>
      </c>
      <c r="AA20" s="211">
        <v>1295880.3729666527</v>
      </c>
      <c r="AB20" s="96">
        <f t="shared" si="68"/>
        <v>0.18593802454560465</v>
      </c>
      <c r="AC20" s="204">
        <f t="shared" si="69"/>
        <v>1968476.6254235641</v>
      </c>
      <c r="AD20" s="96">
        <f t="shared" si="70"/>
        <v>0.2824447863636827</v>
      </c>
      <c r="AE20" s="211">
        <v>1121562.1823136976</v>
      </c>
      <c r="AF20" s="96">
        <f t="shared" si="71"/>
        <v>0.16092616335183332</v>
      </c>
      <c r="AG20" s="211">
        <v>211454.34165633708</v>
      </c>
      <c r="AH20" s="96">
        <f t="shared" si="72"/>
        <v>3.0340302538236254E-2</v>
      </c>
      <c r="AI20" s="211">
        <v>642685.07904209173</v>
      </c>
      <c r="AJ20" s="96">
        <f t="shared" si="73"/>
        <v>9.2214988740397755E-2</v>
      </c>
      <c r="AK20" s="211">
        <v>559020.76981105248</v>
      </c>
      <c r="AL20" s="96">
        <f t="shared" si="74"/>
        <v>8.0210503829665672E-2</v>
      </c>
    </row>
    <row r="21" spans="2:38" ht="13.5">
      <c r="B21" s="79"/>
      <c r="C21" s="79"/>
      <c r="D21" s="389">
        <f t="shared" si="19"/>
        <v>46096</v>
      </c>
      <c r="E21" s="389" t="s">
        <v>530</v>
      </c>
      <c r="F21" s="205">
        <f t="shared" si="20"/>
        <v>8390696</v>
      </c>
      <c r="G21" s="278"/>
      <c r="H21" s="292"/>
      <c r="I21" s="211">
        <v>585099.27246956341</v>
      </c>
      <c r="J21" s="96">
        <f t="shared" si="57"/>
        <v>6.9731911687607728E-2</v>
      </c>
      <c r="K21" s="211">
        <v>793496.30971311731</v>
      </c>
      <c r="L21" s="96">
        <f t="shared" si="58"/>
        <v>9.4568592368632742E-2</v>
      </c>
      <c r="M21" s="204">
        <f t="shared" si="59"/>
        <v>1378595.5821826807</v>
      </c>
      <c r="N21" s="96">
        <f t="shared" si="60"/>
        <v>0.16430050405624047</v>
      </c>
      <c r="O21" s="211">
        <v>155965.4702514605</v>
      </c>
      <c r="P21" s="96">
        <f t="shared" si="61"/>
        <v>1.8587906206047805E-2</v>
      </c>
      <c r="Q21" s="211">
        <v>90628.914666811092</v>
      </c>
      <c r="R21" s="96">
        <f t="shared" si="62"/>
        <v>1.0801120034239244E-2</v>
      </c>
      <c r="S21" s="204">
        <f t="shared" si="63"/>
        <v>246594.38491827159</v>
      </c>
      <c r="T21" s="96">
        <f t="shared" si="64"/>
        <v>2.9389026240287049E-2</v>
      </c>
      <c r="U21" s="211">
        <v>1284564.5723314804</v>
      </c>
      <c r="V21" s="96">
        <f t="shared" si="65"/>
        <v>0.15309392359483415</v>
      </c>
      <c r="W21" s="211">
        <v>62267.222071400822</v>
      </c>
      <c r="X21" s="96">
        <f t="shared" si="66"/>
        <v>7.4209841557125681E-3</v>
      </c>
      <c r="Y21" s="211">
        <v>700459.28540744539</v>
      </c>
      <c r="Z21" s="96">
        <f t="shared" si="67"/>
        <v>8.3480474731469884E-2</v>
      </c>
      <c r="AA21" s="211">
        <v>1460210.2078710233</v>
      </c>
      <c r="AB21" s="96">
        <f t="shared" si="68"/>
        <v>0.17402730451335902</v>
      </c>
      <c r="AC21" s="204">
        <f t="shared" si="69"/>
        <v>2160669.493278469</v>
      </c>
      <c r="AD21" s="96">
        <f t="shared" si="70"/>
        <v>0.25750777924482893</v>
      </c>
      <c r="AE21" s="211">
        <v>1383793.7973742518</v>
      </c>
      <c r="AF21" s="96">
        <f t="shared" si="71"/>
        <v>0.16492002539172576</v>
      </c>
      <c r="AG21" s="211">
        <v>240499.5492638461</v>
      </c>
      <c r="AH21" s="96">
        <f t="shared" si="72"/>
        <v>2.8662646014567337E-2</v>
      </c>
      <c r="AI21" s="211">
        <v>833931.28258353868</v>
      </c>
      <c r="AJ21" s="96">
        <f t="shared" si="73"/>
        <v>9.9387617258870853E-2</v>
      </c>
      <c r="AK21" s="211">
        <v>799780.11599605996</v>
      </c>
      <c r="AL21" s="96">
        <f t="shared" si="74"/>
        <v>9.5317494042932785E-2</v>
      </c>
    </row>
    <row r="22" spans="2:38" ht="13.5">
      <c r="B22" s="79"/>
      <c r="C22" s="79"/>
      <c r="D22" s="389">
        <f t="shared" si="19"/>
        <v>46097</v>
      </c>
      <c r="E22" s="389" t="s">
        <v>524</v>
      </c>
      <c r="F22" s="205">
        <f t="shared" si="20"/>
        <v>7961926</v>
      </c>
      <c r="G22" s="278"/>
      <c r="H22" s="292"/>
      <c r="I22" s="211">
        <v>575143.69982615497</v>
      </c>
      <c r="J22" s="96">
        <f t="shared" si="57"/>
        <v>7.2236755255720153E-2</v>
      </c>
      <c r="K22" s="211">
        <v>788462.30096233333</v>
      </c>
      <c r="L22" s="96">
        <f t="shared" si="58"/>
        <v>9.9029091825562479E-2</v>
      </c>
      <c r="M22" s="204">
        <f t="shared" si="59"/>
        <v>1363606.0007884884</v>
      </c>
      <c r="N22" s="96">
        <f t="shared" si="60"/>
        <v>0.17126584708128265</v>
      </c>
      <c r="O22" s="211">
        <v>146419.31619714474</v>
      </c>
      <c r="P22" s="96">
        <f t="shared" si="61"/>
        <v>1.8389936831508448E-2</v>
      </c>
      <c r="Q22" s="211">
        <v>89955.37297597724</v>
      </c>
      <c r="R22" s="96">
        <f t="shared" si="62"/>
        <v>1.129819254486631E-2</v>
      </c>
      <c r="S22" s="204">
        <f t="shared" si="63"/>
        <v>236374.68917312199</v>
      </c>
      <c r="T22" s="96">
        <f t="shared" si="64"/>
        <v>2.9688129376374762E-2</v>
      </c>
      <c r="U22" s="211">
        <v>1236213.3567824143</v>
      </c>
      <c r="V22" s="96">
        <f t="shared" si="65"/>
        <v>0.15526561748783074</v>
      </c>
      <c r="W22" s="211">
        <v>77175.096493959107</v>
      </c>
      <c r="X22" s="96">
        <f t="shared" si="66"/>
        <v>9.6930185603281305E-3</v>
      </c>
      <c r="Y22" s="211">
        <v>638514.15267559909</v>
      </c>
      <c r="Z22" s="96">
        <f t="shared" si="67"/>
        <v>8.0195941619602987E-2</v>
      </c>
      <c r="AA22" s="211">
        <v>1410409.7386986138</v>
      </c>
      <c r="AB22" s="96">
        <f t="shared" si="68"/>
        <v>0.17714429130572348</v>
      </c>
      <c r="AC22" s="204">
        <f t="shared" si="69"/>
        <v>2048923.8913742129</v>
      </c>
      <c r="AD22" s="96">
        <f t="shared" si="70"/>
        <v>0.25734023292532648</v>
      </c>
      <c r="AE22" s="211">
        <v>1297239.501557206</v>
      </c>
      <c r="AF22" s="96">
        <f t="shared" si="71"/>
        <v>0.16293036402965891</v>
      </c>
      <c r="AG22" s="211">
        <v>245665.91035571948</v>
      </c>
      <c r="AH22" s="96">
        <f t="shared" si="72"/>
        <v>3.0855085861852958E-2</v>
      </c>
      <c r="AI22" s="211">
        <v>816157.97164455277</v>
      </c>
      <c r="AJ22" s="96">
        <f t="shared" si="73"/>
        <v>0.1025076057783698</v>
      </c>
      <c r="AK22" s="211">
        <v>640569.58183032577</v>
      </c>
      <c r="AL22" s="96">
        <f t="shared" si="74"/>
        <v>8.0454098898975673E-2</v>
      </c>
    </row>
    <row r="23" spans="2:38" ht="13.5">
      <c r="B23" s="79"/>
      <c r="C23" s="79"/>
      <c r="D23" s="280">
        <f t="shared" si="19"/>
        <v>46098</v>
      </c>
      <c r="E23" s="280" t="s">
        <v>525</v>
      </c>
      <c r="F23" s="205">
        <f t="shared" si="20"/>
        <v>8375991.0000000009</v>
      </c>
      <c r="G23" s="278">
        <f>SUM(F23:F29)</f>
        <v>53723391</v>
      </c>
      <c r="H23" s="292"/>
      <c r="I23" s="211">
        <v>573888.30384706787</v>
      </c>
      <c r="J23" s="96">
        <f t="shared" si="57"/>
        <v>6.8515869208439675E-2</v>
      </c>
      <c r="K23" s="211">
        <v>839200.63531920465</v>
      </c>
      <c r="L23" s="96">
        <f t="shared" si="58"/>
        <v>0.10019120547278579</v>
      </c>
      <c r="M23" s="204">
        <f t="shared" si="59"/>
        <v>1413088.9391662725</v>
      </c>
      <c r="N23" s="96">
        <f t="shared" si="60"/>
        <v>0.16870707468122548</v>
      </c>
      <c r="O23" s="211">
        <v>214238.48611456243</v>
      </c>
      <c r="P23" s="96">
        <f t="shared" si="61"/>
        <v>2.5577688194096962E-2</v>
      </c>
      <c r="Q23" s="211">
        <v>94150.453417287936</v>
      </c>
      <c r="R23" s="96">
        <f t="shared" si="62"/>
        <v>1.1240515112455102E-2</v>
      </c>
      <c r="S23" s="204">
        <f t="shared" si="63"/>
        <v>308388.9395318504</v>
      </c>
      <c r="T23" s="96">
        <f t="shared" si="64"/>
        <v>3.6818203306552069E-2</v>
      </c>
      <c r="U23" s="211">
        <v>1173191.1018063165</v>
      </c>
      <c r="V23" s="96">
        <f t="shared" si="65"/>
        <v>0.14006594584525178</v>
      </c>
      <c r="W23" s="211">
        <v>69315.851020439179</v>
      </c>
      <c r="X23" s="96">
        <f t="shared" si="66"/>
        <v>8.2755402937323089E-3</v>
      </c>
      <c r="Y23" s="211">
        <v>1086052.8325406869</v>
      </c>
      <c r="Z23" s="96">
        <f t="shared" si="67"/>
        <v>0.12966260739065824</v>
      </c>
      <c r="AA23" s="211">
        <v>1363785.0017977771</v>
      </c>
      <c r="AB23" s="96">
        <f t="shared" si="68"/>
        <v>0.16282073390453464</v>
      </c>
      <c r="AC23" s="204">
        <f t="shared" si="69"/>
        <v>2449837.8343384638</v>
      </c>
      <c r="AD23" s="96">
        <f t="shared" si="70"/>
        <v>0.29248334129519282</v>
      </c>
      <c r="AE23" s="211">
        <v>1404709.5683712712</v>
      </c>
      <c r="AF23" s="96">
        <f t="shared" si="71"/>
        <v>0.16770667117136004</v>
      </c>
      <c r="AG23" s="211">
        <v>213984.57828582852</v>
      </c>
      <c r="AH23" s="96">
        <f t="shared" si="72"/>
        <v>2.5547374428390442E-2</v>
      </c>
      <c r="AI23" s="211">
        <v>795280.26872835797</v>
      </c>
      <c r="AJ23" s="96">
        <f t="shared" si="73"/>
        <v>9.494760306313102E-2</v>
      </c>
      <c r="AK23" s="211">
        <v>548193.91875120054</v>
      </c>
      <c r="AL23" s="96">
        <f t="shared" si="74"/>
        <v>6.5448245915164002E-2</v>
      </c>
    </row>
    <row r="24" spans="2:38" ht="13.5">
      <c r="B24" s="79"/>
      <c r="C24" s="79"/>
      <c r="D24" s="388">
        <f t="shared" si="19"/>
        <v>46099</v>
      </c>
      <c r="E24" s="388" t="s">
        <v>526</v>
      </c>
      <c r="F24" s="205">
        <f t="shared" si="20"/>
        <v>7820204.0000000009</v>
      </c>
      <c r="G24" s="278"/>
      <c r="H24" s="292"/>
      <c r="I24" s="211">
        <v>594223.21942122257</v>
      </c>
      <c r="J24" s="96">
        <f t="shared" si="57"/>
        <v>7.5985641732776082E-2</v>
      </c>
      <c r="K24" s="211">
        <v>788526.65755022375</v>
      </c>
      <c r="L24" s="96">
        <f t="shared" si="58"/>
        <v>0.10083198054043394</v>
      </c>
      <c r="M24" s="204">
        <f t="shared" si="59"/>
        <v>1382749.8769714464</v>
      </c>
      <c r="N24" s="96">
        <f t="shared" si="60"/>
        <v>0.17681762227321005</v>
      </c>
      <c r="O24" s="211">
        <v>195059.10641192499</v>
      </c>
      <c r="P24" s="96">
        <f t="shared" si="61"/>
        <v>2.4942969059621074E-2</v>
      </c>
      <c r="Q24" s="211">
        <v>98815.476769642308</v>
      </c>
      <c r="R24" s="96">
        <f t="shared" si="62"/>
        <v>1.2635920593585832E-2</v>
      </c>
      <c r="S24" s="204">
        <f t="shared" si="63"/>
        <v>293874.58318156732</v>
      </c>
      <c r="T24" s="96">
        <f t="shared" si="64"/>
        <v>3.7578889653206909E-2</v>
      </c>
      <c r="U24" s="211">
        <v>1039762.7270933164</v>
      </c>
      <c r="V24" s="96">
        <f t="shared" si="65"/>
        <v>0.13295851707875092</v>
      </c>
      <c r="W24" s="211">
        <v>76030.431582951147</v>
      </c>
      <c r="X24" s="96">
        <f t="shared" si="66"/>
        <v>9.7223079580725947E-3</v>
      </c>
      <c r="Y24" s="211">
        <v>625643.03034770279</v>
      </c>
      <c r="Z24" s="96">
        <f t="shared" si="67"/>
        <v>8.0003415556384808E-2</v>
      </c>
      <c r="AA24" s="211">
        <v>1290634.6221463294</v>
      </c>
      <c r="AB24" s="96">
        <f t="shared" si="68"/>
        <v>0.16503848520400866</v>
      </c>
      <c r="AC24" s="204">
        <f t="shared" si="69"/>
        <v>1916277.6524940322</v>
      </c>
      <c r="AD24" s="96">
        <f t="shared" si="70"/>
        <v>0.24504190076039345</v>
      </c>
      <c r="AE24" s="211">
        <v>1352786.8173495</v>
      </c>
      <c r="AF24" s="96">
        <f t="shared" si="71"/>
        <v>0.17298612892317131</v>
      </c>
      <c r="AG24" s="211">
        <v>221983.54134988552</v>
      </c>
      <c r="AH24" s="96">
        <f t="shared" si="72"/>
        <v>2.8385901614572395E-2</v>
      </c>
      <c r="AI24" s="211">
        <v>937196.62748815666</v>
      </c>
      <c r="AJ24" s="96">
        <f t="shared" si="73"/>
        <v>0.11984298970821688</v>
      </c>
      <c r="AK24" s="211">
        <v>599541.74248914549</v>
      </c>
      <c r="AL24" s="96">
        <f t="shared" si="74"/>
        <v>7.666574203040552E-2</v>
      </c>
    </row>
    <row r="25" spans="2:38" ht="13.5">
      <c r="B25" s="79"/>
      <c r="C25" s="79"/>
      <c r="D25" s="388">
        <f t="shared" si="19"/>
        <v>46100</v>
      </c>
      <c r="E25" s="388" t="s">
        <v>527</v>
      </c>
      <c r="F25" s="205">
        <f t="shared" si="20"/>
        <v>7245796</v>
      </c>
      <c r="G25" s="278"/>
      <c r="H25" s="292"/>
      <c r="I25" s="211">
        <v>564203.93987684022</v>
      </c>
      <c r="J25" s="96">
        <f t="shared" si="57"/>
        <v>7.7866384849482412E-2</v>
      </c>
      <c r="K25" s="211">
        <v>731759.40552744421</v>
      </c>
      <c r="L25" s="96">
        <f t="shared" si="58"/>
        <v>0.10099089258480975</v>
      </c>
      <c r="M25" s="204">
        <f t="shared" si="59"/>
        <v>1295963.3454042845</v>
      </c>
      <c r="N25" s="96">
        <f t="shared" si="60"/>
        <v>0.17885727743429217</v>
      </c>
      <c r="O25" s="211">
        <v>181121.19273758432</v>
      </c>
      <c r="P25" s="96">
        <f t="shared" si="61"/>
        <v>2.4996728135540155E-2</v>
      </c>
      <c r="Q25" s="211">
        <v>98454.459426209578</v>
      </c>
      <c r="R25" s="96">
        <f t="shared" si="62"/>
        <v>1.3587804490522446E-2</v>
      </c>
      <c r="S25" s="204">
        <f t="shared" si="63"/>
        <v>279575.65216379391</v>
      </c>
      <c r="T25" s="96">
        <f t="shared" si="64"/>
        <v>3.8584532626062602E-2</v>
      </c>
      <c r="U25" s="211">
        <v>1022085.7590190043</v>
      </c>
      <c r="V25" s="96">
        <f t="shared" si="65"/>
        <v>0.14105914091688537</v>
      </c>
      <c r="W25" s="211">
        <v>77780.983077819794</v>
      </c>
      <c r="X25" s="96">
        <f t="shared" si="66"/>
        <v>1.0734636067289197E-2</v>
      </c>
      <c r="Y25" s="211">
        <v>586062.03777873213</v>
      </c>
      <c r="Z25" s="96">
        <f t="shared" si="67"/>
        <v>8.0883044151219843E-2</v>
      </c>
      <c r="AA25" s="211">
        <v>1078789.3733400642</v>
      </c>
      <c r="AB25" s="96">
        <f t="shared" si="68"/>
        <v>0.1488848669407839</v>
      </c>
      <c r="AC25" s="204">
        <f t="shared" si="69"/>
        <v>1664851.4111187963</v>
      </c>
      <c r="AD25" s="96">
        <f t="shared" si="70"/>
        <v>0.22976791109200373</v>
      </c>
      <c r="AE25" s="211">
        <v>1176987.7148383439</v>
      </c>
      <c r="AF25" s="96">
        <f t="shared" si="71"/>
        <v>0.16243732432411068</v>
      </c>
      <c r="AG25" s="211">
        <v>216730.70245599316</v>
      </c>
      <c r="AH25" s="96">
        <f t="shared" si="72"/>
        <v>2.9911234384185418E-2</v>
      </c>
      <c r="AI25" s="211">
        <v>923151.58876265911</v>
      </c>
      <c r="AJ25" s="96">
        <f t="shared" si="73"/>
        <v>0.1274051310253089</v>
      </c>
      <c r="AK25" s="211">
        <v>588668.84315930447</v>
      </c>
      <c r="AL25" s="96">
        <f t="shared" si="74"/>
        <v>8.1242812129861855E-2</v>
      </c>
    </row>
    <row r="26" spans="2:38" ht="13.5">
      <c r="B26" s="79"/>
      <c r="C26" s="79"/>
      <c r="D26" s="388">
        <f t="shared" si="19"/>
        <v>46101</v>
      </c>
      <c r="E26" s="388" t="s">
        <v>528</v>
      </c>
      <c r="F26" s="205">
        <f t="shared" si="20"/>
        <v>6666905.0000000019</v>
      </c>
      <c r="G26" s="278"/>
      <c r="H26" s="292"/>
      <c r="I26" s="211">
        <v>460288.16462641064</v>
      </c>
      <c r="J26" s="96">
        <f t="shared" si="57"/>
        <v>6.9040756486917168E-2</v>
      </c>
      <c r="K26" s="211">
        <v>703500.41014885856</v>
      </c>
      <c r="L26" s="96">
        <f t="shared" si="58"/>
        <v>0.10552128913624213</v>
      </c>
      <c r="M26" s="204">
        <f t="shared" si="59"/>
        <v>1163788.5747752693</v>
      </c>
      <c r="N26" s="96">
        <f t="shared" si="60"/>
        <v>0.1745620456231593</v>
      </c>
      <c r="O26" s="211">
        <v>160039.33126136364</v>
      </c>
      <c r="P26" s="96">
        <f t="shared" si="61"/>
        <v>2.4005041508970593E-2</v>
      </c>
      <c r="Q26" s="211">
        <v>77242.432757036033</v>
      </c>
      <c r="R26" s="96">
        <f t="shared" si="62"/>
        <v>1.1585950715817311E-2</v>
      </c>
      <c r="S26" s="204">
        <f t="shared" si="63"/>
        <v>237281.76401839967</v>
      </c>
      <c r="T26" s="96">
        <f t="shared" si="64"/>
        <v>3.5590992224787905E-2</v>
      </c>
      <c r="U26" s="211">
        <v>895254.82385286014</v>
      </c>
      <c r="V26" s="96">
        <f t="shared" si="65"/>
        <v>0.13428342294555867</v>
      </c>
      <c r="W26" s="211">
        <v>52191.60403572143</v>
      </c>
      <c r="X26" s="96">
        <f t="shared" si="66"/>
        <v>7.8284607378868321E-3</v>
      </c>
      <c r="Y26" s="211">
        <v>690031.76103853842</v>
      </c>
      <c r="Z26" s="96">
        <f t="shared" si="67"/>
        <v>0.10350106399274299</v>
      </c>
      <c r="AA26" s="211">
        <v>1152942.6110574459</v>
      </c>
      <c r="AB26" s="96">
        <f t="shared" si="68"/>
        <v>0.17293520922488703</v>
      </c>
      <c r="AC26" s="204">
        <f t="shared" si="69"/>
        <v>1842974.3720959844</v>
      </c>
      <c r="AD26" s="96">
        <f t="shared" si="70"/>
        <v>0.27643627321763004</v>
      </c>
      <c r="AE26" s="211">
        <v>999757.76763257221</v>
      </c>
      <c r="AF26" s="96">
        <f t="shared" si="71"/>
        <v>0.14995830413551295</v>
      </c>
      <c r="AG26" s="211">
        <v>169241.07301545335</v>
      </c>
      <c r="AH26" s="96">
        <f t="shared" si="72"/>
        <v>2.5385253429507891E-2</v>
      </c>
      <c r="AI26" s="211">
        <v>821127.12743817002</v>
      </c>
      <c r="AJ26" s="96">
        <f t="shared" si="73"/>
        <v>0.12316466597891672</v>
      </c>
      <c r="AK26" s="211">
        <v>485287.89313557051</v>
      </c>
      <c r="AL26" s="96">
        <f t="shared" si="74"/>
        <v>7.2790581707039531E-2</v>
      </c>
    </row>
    <row r="27" spans="2:38" ht="13.5">
      <c r="B27" s="79"/>
      <c r="C27" s="79"/>
      <c r="D27" s="388">
        <f t="shared" si="19"/>
        <v>46102</v>
      </c>
      <c r="E27" s="388" t="s">
        <v>529</v>
      </c>
      <c r="F27" s="205">
        <f t="shared" si="20"/>
        <v>7035053</v>
      </c>
      <c r="G27" s="278"/>
      <c r="H27" s="292"/>
      <c r="I27" s="211">
        <v>442986.70800321444</v>
      </c>
      <c r="J27" s="96">
        <f t="shared" si="57"/>
        <v>6.296849618662638E-2</v>
      </c>
      <c r="K27" s="211">
        <v>757693.46359162685</v>
      </c>
      <c r="L27" s="96">
        <f t="shared" si="58"/>
        <v>0.1077025949330626</v>
      </c>
      <c r="M27" s="204">
        <f t="shared" si="59"/>
        <v>1200680.1715948414</v>
      </c>
      <c r="N27" s="96">
        <f t="shared" si="60"/>
        <v>0.17067109111968901</v>
      </c>
      <c r="O27" s="211">
        <v>151349.61623981551</v>
      </c>
      <c r="P27" s="96">
        <f t="shared" si="61"/>
        <v>2.151364264630494E-2</v>
      </c>
      <c r="Q27" s="211">
        <v>71953.187595270283</v>
      </c>
      <c r="R27" s="96">
        <f t="shared" si="62"/>
        <v>1.0227810308645903E-2</v>
      </c>
      <c r="S27" s="204">
        <f t="shared" si="63"/>
        <v>223302.8038350858</v>
      </c>
      <c r="T27" s="96">
        <f t="shared" si="64"/>
        <v>3.1741452954950844E-2</v>
      </c>
      <c r="U27" s="211">
        <v>970656.90233494935</v>
      </c>
      <c r="V27" s="96">
        <f t="shared" si="65"/>
        <v>0.13797435532254687</v>
      </c>
      <c r="W27" s="211">
        <v>59439.086889517232</v>
      </c>
      <c r="X27" s="96">
        <f t="shared" si="66"/>
        <v>8.4489892101050606E-3</v>
      </c>
      <c r="Y27" s="211">
        <v>760356.56804550847</v>
      </c>
      <c r="Z27" s="96">
        <f t="shared" si="67"/>
        <v>0.10808114282088685</v>
      </c>
      <c r="AA27" s="211">
        <v>1161869.5640483303</v>
      </c>
      <c r="AB27" s="96">
        <f t="shared" si="68"/>
        <v>0.16515434411771032</v>
      </c>
      <c r="AC27" s="204">
        <f t="shared" si="69"/>
        <v>1922226.1320938389</v>
      </c>
      <c r="AD27" s="96">
        <f t="shared" si="70"/>
        <v>0.27323548693859717</v>
      </c>
      <c r="AE27" s="211">
        <v>1091524.4977059471</v>
      </c>
      <c r="AF27" s="96">
        <f t="shared" si="71"/>
        <v>0.15515512075117943</v>
      </c>
      <c r="AG27" s="211">
        <v>179912.00806590854</v>
      </c>
      <c r="AH27" s="96">
        <f t="shared" si="72"/>
        <v>2.5573653541189886E-2</v>
      </c>
      <c r="AI27" s="211">
        <v>858802.00632962922</v>
      </c>
      <c r="AJ27" s="96">
        <f t="shared" si="73"/>
        <v>0.12207470310879381</v>
      </c>
      <c r="AK27" s="211">
        <v>528509.39115028211</v>
      </c>
      <c r="AL27" s="96">
        <f t="shared" si="74"/>
        <v>7.5125147052947872E-2</v>
      </c>
    </row>
    <row r="28" spans="2:38" ht="13.5">
      <c r="B28" s="79"/>
      <c r="C28" s="79"/>
      <c r="D28" s="388">
        <f t="shared" si="19"/>
        <v>46103</v>
      </c>
      <c r="E28" s="388" t="s">
        <v>530</v>
      </c>
      <c r="F28" s="205">
        <f t="shared" si="20"/>
        <v>8486244</v>
      </c>
      <c r="G28" s="278"/>
      <c r="H28" s="292"/>
      <c r="I28" s="211">
        <v>568543.14786380052</v>
      </c>
      <c r="J28" s="96">
        <f t="shared" si="57"/>
        <v>6.6995852094731259E-2</v>
      </c>
      <c r="K28" s="211">
        <v>814347.17238519702</v>
      </c>
      <c r="L28" s="96">
        <f t="shared" si="58"/>
        <v>9.5960848213319933E-2</v>
      </c>
      <c r="M28" s="204">
        <f t="shared" si="59"/>
        <v>1382890.3202489975</v>
      </c>
      <c r="N28" s="96">
        <f t="shared" si="60"/>
        <v>0.16295670030805118</v>
      </c>
      <c r="O28" s="211">
        <v>198524.15207661968</v>
      </c>
      <c r="P28" s="96">
        <f t="shared" si="61"/>
        <v>2.3393641766206542E-2</v>
      </c>
      <c r="Q28" s="211">
        <v>89774.653864969237</v>
      </c>
      <c r="R28" s="96">
        <f t="shared" si="62"/>
        <v>1.057884428788157E-2</v>
      </c>
      <c r="S28" s="204">
        <f t="shared" si="63"/>
        <v>288298.80594158894</v>
      </c>
      <c r="T28" s="96">
        <f t="shared" si="64"/>
        <v>3.3972486054088112E-2</v>
      </c>
      <c r="U28" s="211">
        <v>1206432.1300131006</v>
      </c>
      <c r="V28" s="96">
        <f t="shared" si="65"/>
        <v>0.14216326209959324</v>
      </c>
      <c r="W28" s="211">
        <v>57645.960217022854</v>
      </c>
      <c r="X28" s="96">
        <f t="shared" si="66"/>
        <v>6.7928709352480148E-3</v>
      </c>
      <c r="Y28" s="211">
        <v>969435.37165962148</v>
      </c>
      <c r="Z28" s="96">
        <f t="shared" si="67"/>
        <v>0.11423609451479612</v>
      </c>
      <c r="AA28" s="211">
        <v>1316875.9944444464</v>
      </c>
      <c r="AB28" s="96">
        <f t="shared" si="68"/>
        <v>0.1551777199011066</v>
      </c>
      <c r="AC28" s="204">
        <f t="shared" si="69"/>
        <v>2286311.3661040678</v>
      </c>
      <c r="AD28" s="96">
        <f t="shared" si="70"/>
        <v>0.26941381441590267</v>
      </c>
      <c r="AE28" s="211">
        <v>1397621.5679397427</v>
      </c>
      <c r="AF28" s="96">
        <f t="shared" si="71"/>
        <v>0.16469259756610141</v>
      </c>
      <c r="AG28" s="211">
        <v>213190.40147865325</v>
      </c>
      <c r="AH28" s="96">
        <f t="shared" si="72"/>
        <v>2.5121879771386878E-2</v>
      </c>
      <c r="AI28" s="211">
        <v>1051466.5390518401</v>
      </c>
      <c r="AJ28" s="96">
        <f t="shared" si="73"/>
        <v>0.12390246368733213</v>
      </c>
      <c r="AK28" s="211">
        <v>602386.90900498687</v>
      </c>
      <c r="AL28" s="96">
        <f t="shared" si="74"/>
        <v>7.0983925162296402E-2</v>
      </c>
    </row>
    <row r="29" spans="2:38" ht="13.5">
      <c r="B29" s="79"/>
      <c r="C29" s="79"/>
      <c r="D29" s="388">
        <f t="shared" si="19"/>
        <v>46104</v>
      </c>
      <c r="E29" s="388" t="s">
        <v>524</v>
      </c>
      <c r="F29" s="205">
        <f t="shared" si="20"/>
        <v>8093198.0000000009</v>
      </c>
      <c r="G29" s="278"/>
      <c r="H29" s="292"/>
      <c r="I29" s="211">
        <v>525374.00704756961</v>
      </c>
      <c r="J29" s="96">
        <f t="shared" si="57"/>
        <v>6.4915501517146812E-2</v>
      </c>
      <c r="K29" s="211">
        <v>797665.69106452423</v>
      </c>
      <c r="L29" s="96">
        <f t="shared" si="58"/>
        <v>9.8560011884612747E-2</v>
      </c>
      <c r="M29" s="204">
        <f t="shared" si="59"/>
        <v>1323039.6981120938</v>
      </c>
      <c r="N29" s="96">
        <f t="shared" si="60"/>
        <v>0.16347551340175956</v>
      </c>
      <c r="O29" s="211">
        <v>169484.96252151832</v>
      </c>
      <c r="P29" s="96">
        <f t="shared" si="61"/>
        <v>2.0941655266746014E-2</v>
      </c>
      <c r="Q29" s="211">
        <v>90400.993244513622</v>
      </c>
      <c r="R29" s="96">
        <f t="shared" si="62"/>
        <v>1.116999648896686E-2</v>
      </c>
      <c r="S29" s="204">
        <f t="shared" si="63"/>
        <v>259885.95576603193</v>
      </c>
      <c r="T29" s="96">
        <f t="shared" si="64"/>
        <v>3.2111651755712872E-2</v>
      </c>
      <c r="U29" s="211">
        <v>1162490.1133778968</v>
      </c>
      <c r="V29" s="96">
        <f t="shared" si="65"/>
        <v>0.14363791833313563</v>
      </c>
      <c r="W29" s="211">
        <v>71698.978929481455</v>
      </c>
      <c r="X29" s="96">
        <f t="shared" si="66"/>
        <v>8.859165305171262E-3</v>
      </c>
      <c r="Y29" s="211">
        <v>854730.85026090255</v>
      </c>
      <c r="Z29" s="96">
        <f t="shared" si="67"/>
        <v>0.10561101436797944</v>
      </c>
      <c r="AA29" s="211">
        <v>1273778.8586655795</v>
      </c>
      <c r="AB29" s="96">
        <f t="shared" si="68"/>
        <v>0.1573888169627852</v>
      </c>
      <c r="AC29" s="204">
        <f t="shared" si="69"/>
        <v>2128509.7089264821</v>
      </c>
      <c r="AD29" s="96">
        <f t="shared" si="70"/>
        <v>0.26299983133076466</v>
      </c>
      <c r="AE29" s="211">
        <v>1314678.0096983018</v>
      </c>
      <c r="AF29" s="96">
        <f t="shared" si="71"/>
        <v>0.1624423385784336</v>
      </c>
      <c r="AG29" s="211">
        <v>210984.06777254731</v>
      </c>
      <c r="AH29" s="96">
        <f t="shared" si="72"/>
        <v>2.606930755586942E-2</v>
      </c>
      <c r="AI29" s="211">
        <v>993172.43810543255</v>
      </c>
      <c r="AJ29" s="96">
        <f t="shared" si="73"/>
        <v>0.12271693317097054</v>
      </c>
      <c r="AK29" s="211">
        <v>628739.02931173332</v>
      </c>
      <c r="AL29" s="96">
        <f t="shared" si="74"/>
        <v>7.7687340568182467E-2</v>
      </c>
    </row>
    <row r="30" spans="2:38" ht="13.5">
      <c r="B30" s="79"/>
      <c r="C30" s="79"/>
      <c r="D30" s="383">
        <f t="shared" si="19"/>
        <v>46105</v>
      </c>
      <c r="E30" s="383" t="s">
        <v>525</v>
      </c>
      <c r="F30" s="205">
        <f t="shared" si="20"/>
        <v>8093142.0000000009</v>
      </c>
      <c r="G30" s="278">
        <f>SUM(F30:F36)</f>
        <v>53987945</v>
      </c>
      <c r="H30" s="292"/>
      <c r="I30" s="211">
        <v>519258.98220796674</v>
      </c>
      <c r="J30" s="96">
        <f t="shared" si="57"/>
        <v>6.416036963245754E-2</v>
      </c>
      <c r="K30" s="211">
        <v>783249.09510623233</v>
      </c>
      <c r="L30" s="96">
        <f t="shared" si="58"/>
        <v>9.6779359006209487E-2</v>
      </c>
      <c r="M30" s="204">
        <f t="shared" si="59"/>
        <v>1302508.0773141989</v>
      </c>
      <c r="N30" s="96">
        <f t="shared" si="60"/>
        <v>0.16093972863866701</v>
      </c>
      <c r="O30" s="211">
        <v>176301.16180237458</v>
      </c>
      <c r="P30" s="96">
        <f t="shared" si="61"/>
        <v>2.1784019334193636E-2</v>
      </c>
      <c r="Q30" s="211">
        <v>90445.073284057027</v>
      </c>
      <c r="R30" s="96">
        <f t="shared" si="62"/>
        <v>1.1175520370711031E-2</v>
      </c>
      <c r="S30" s="204">
        <f t="shared" si="63"/>
        <v>266746.23508643161</v>
      </c>
      <c r="T30" s="96">
        <f t="shared" si="64"/>
        <v>3.2959539704904665E-2</v>
      </c>
      <c r="U30" s="211">
        <v>1104936.6420690969</v>
      </c>
      <c r="V30" s="96">
        <f t="shared" si="65"/>
        <v>0.1365275244236536</v>
      </c>
      <c r="W30" s="211">
        <v>65764.879849393852</v>
      </c>
      <c r="X30" s="96">
        <f t="shared" si="66"/>
        <v>8.1260009832267669E-3</v>
      </c>
      <c r="Y30" s="211">
        <v>997609.44429010595</v>
      </c>
      <c r="Z30" s="96">
        <f t="shared" si="67"/>
        <v>0.12326602502342178</v>
      </c>
      <c r="AA30" s="211">
        <v>1262443.0046757145</v>
      </c>
      <c r="AB30" s="96">
        <f t="shared" si="68"/>
        <v>0.15598923195413034</v>
      </c>
      <c r="AC30" s="204">
        <f t="shared" si="69"/>
        <v>2260052.4489658205</v>
      </c>
      <c r="AD30" s="96">
        <f t="shared" si="70"/>
        <v>0.27925525697755216</v>
      </c>
      <c r="AE30" s="211">
        <v>1233931.8500740479</v>
      </c>
      <c r="AF30" s="96">
        <f t="shared" si="71"/>
        <v>0.15246635362063926</v>
      </c>
      <c r="AG30" s="211">
        <v>205345.61041454092</v>
      </c>
      <c r="AH30" s="96">
        <f t="shared" si="72"/>
        <v>2.5372792225138382E-2</v>
      </c>
      <c r="AI30" s="211">
        <v>1047255.0439201561</v>
      </c>
      <c r="AJ30" s="96">
        <f t="shared" si="73"/>
        <v>0.12940030508795669</v>
      </c>
      <c r="AK30" s="211">
        <v>606601.21230631403</v>
      </c>
      <c r="AL30" s="96">
        <f t="shared" si="74"/>
        <v>7.4952498338261453E-2</v>
      </c>
    </row>
    <row r="31" spans="2:38" ht="13.5">
      <c r="B31" s="79"/>
      <c r="C31" s="79"/>
      <c r="D31" s="389">
        <f t="shared" si="19"/>
        <v>46106</v>
      </c>
      <c r="E31" s="389" t="s">
        <v>526</v>
      </c>
      <c r="F31" s="205">
        <f t="shared" si="20"/>
        <v>7691347</v>
      </c>
      <c r="G31" s="278"/>
      <c r="H31" s="292"/>
      <c r="I31" s="211">
        <v>515994.427422215</v>
      </c>
      <c r="J31" s="96">
        <f t="shared" si="57"/>
        <v>6.7087654142013745E-2</v>
      </c>
      <c r="K31" s="211">
        <v>768488.7465351487</v>
      </c>
      <c r="L31" s="96">
        <f t="shared" si="58"/>
        <v>9.9916015560752719E-2</v>
      </c>
      <c r="M31" s="204">
        <f t="shared" si="59"/>
        <v>1284483.1739573637</v>
      </c>
      <c r="N31" s="96">
        <f t="shared" si="60"/>
        <v>0.16700366970276645</v>
      </c>
      <c r="O31" s="211">
        <v>169869.33788467766</v>
      </c>
      <c r="P31" s="96">
        <f t="shared" si="61"/>
        <v>2.2085772217100289E-2</v>
      </c>
      <c r="Q31" s="211">
        <v>90149.228654983555</v>
      </c>
      <c r="R31" s="96">
        <f t="shared" si="62"/>
        <v>1.1720863543795847E-2</v>
      </c>
      <c r="S31" s="204">
        <f t="shared" si="63"/>
        <v>260018.5665396612</v>
      </c>
      <c r="T31" s="96">
        <f t="shared" si="64"/>
        <v>3.3806635760896132E-2</v>
      </c>
      <c r="U31" s="211">
        <v>1015212.0440631913</v>
      </c>
      <c r="V31" s="96">
        <f t="shared" si="65"/>
        <v>0.13199405046517745</v>
      </c>
      <c r="W31" s="211">
        <v>67733.582038160574</v>
      </c>
      <c r="X31" s="96">
        <f t="shared" si="66"/>
        <v>8.8064655044377237E-3</v>
      </c>
      <c r="Y31" s="211">
        <v>853105.7048751727</v>
      </c>
      <c r="Z31" s="96">
        <f t="shared" si="67"/>
        <v>0.11091759413210361</v>
      </c>
      <c r="AA31" s="211">
        <v>1142321.6076387963</v>
      </c>
      <c r="AB31" s="96">
        <f t="shared" si="68"/>
        <v>0.14852035770051675</v>
      </c>
      <c r="AC31" s="204">
        <f t="shared" si="69"/>
        <v>1995427.3125139689</v>
      </c>
      <c r="AD31" s="96">
        <f t="shared" si="70"/>
        <v>0.25943795183262036</v>
      </c>
      <c r="AE31" s="211">
        <v>1205274.9897579353</v>
      </c>
      <c r="AF31" s="96">
        <f t="shared" si="71"/>
        <v>0.15670531959589593</v>
      </c>
      <c r="AG31" s="211">
        <v>196980.87452267876</v>
      </c>
      <c r="AH31" s="96">
        <f t="shared" si="72"/>
        <v>2.5610712209796119E-2</v>
      </c>
      <c r="AI31" s="211">
        <v>1068843.7499295073</v>
      </c>
      <c r="AJ31" s="96">
        <f t="shared" si="73"/>
        <v>0.13896704308484681</v>
      </c>
      <c r="AK31" s="211">
        <v>597372.70667753415</v>
      </c>
      <c r="AL31" s="96">
        <f t="shared" si="74"/>
        <v>7.7668151843563182E-2</v>
      </c>
    </row>
    <row r="32" spans="2:38" ht="13.5">
      <c r="B32" s="79"/>
      <c r="C32" s="79"/>
      <c r="D32" s="389">
        <f t="shared" si="19"/>
        <v>46107</v>
      </c>
      <c r="E32" s="389" t="s">
        <v>527</v>
      </c>
      <c r="F32" s="205">
        <f t="shared" si="20"/>
        <v>7180490</v>
      </c>
      <c r="G32" s="278"/>
      <c r="H32" s="292"/>
      <c r="I32" s="211">
        <v>497639.02279322041</v>
      </c>
      <c r="J32" s="96">
        <f t="shared" si="57"/>
        <v>6.9304326416890827E-2</v>
      </c>
      <c r="K32" s="211">
        <v>713804.63051369262</v>
      </c>
      <c r="L32" s="96">
        <f t="shared" si="58"/>
        <v>9.9408902528057647E-2</v>
      </c>
      <c r="M32" s="204">
        <f t="shared" si="59"/>
        <v>1211443.6533069131</v>
      </c>
      <c r="N32" s="96">
        <f t="shared" si="60"/>
        <v>0.16871322894494847</v>
      </c>
      <c r="O32" s="211">
        <v>171162.64285974039</v>
      </c>
      <c r="P32" s="96">
        <f t="shared" si="61"/>
        <v>2.3837181426301046E-2</v>
      </c>
      <c r="Q32" s="211">
        <v>88761.864062514273</v>
      </c>
      <c r="R32" s="96">
        <f t="shared" si="62"/>
        <v>1.2361532996009224E-2</v>
      </c>
      <c r="S32" s="204">
        <f t="shared" si="63"/>
        <v>259924.50692225466</v>
      </c>
      <c r="T32" s="96">
        <f t="shared" si="64"/>
        <v>3.619871442231027E-2</v>
      </c>
      <c r="U32" s="211">
        <v>997379.56214319309</v>
      </c>
      <c r="V32" s="96">
        <f t="shared" si="65"/>
        <v>0.13890132318869508</v>
      </c>
      <c r="W32" s="211">
        <v>71136.588350316888</v>
      </c>
      <c r="X32" s="96">
        <f t="shared" si="66"/>
        <v>9.9069267348491381E-3</v>
      </c>
      <c r="Y32" s="211">
        <v>823042.5623059785</v>
      </c>
      <c r="Z32" s="96">
        <f t="shared" si="67"/>
        <v>0.11462206093260745</v>
      </c>
      <c r="AA32" s="211">
        <v>1001944.8238722597</v>
      </c>
      <c r="AB32" s="96">
        <f t="shared" si="68"/>
        <v>0.13953711012371853</v>
      </c>
      <c r="AC32" s="204">
        <f t="shared" si="69"/>
        <v>1824987.3861782383</v>
      </c>
      <c r="AD32" s="96">
        <f t="shared" si="70"/>
        <v>0.25415917105632602</v>
      </c>
      <c r="AE32" s="211">
        <v>1157441.4871352057</v>
      </c>
      <c r="AF32" s="96">
        <f t="shared" si="71"/>
        <v>0.16119254913455847</v>
      </c>
      <c r="AG32" s="211">
        <v>194786.65544417157</v>
      </c>
      <c r="AH32" s="96">
        <f t="shared" si="72"/>
        <v>2.712720934701832E-2</v>
      </c>
      <c r="AI32" s="211">
        <v>864672.18815817591</v>
      </c>
      <c r="AJ32" s="96">
        <f t="shared" si="73"/>
        <v>0.12041966330406086</v>
      </c>
      <c r="AK32" s="211">
        <v>598717.97236153216</v>
      </c>
      <c r="AL32" s="96">
        <f t="shared" si="74"/>
        <v>8.33812138672336E-2</v>
      </c>
    </row>
    <row r="33" spans="2:38" ht="13.5">
      <c r="B33" s="79"/>
      <c r="C33" s="79"/>
      <c r="D33" s="389">
        <f t="shared" si="19"/>
        <v>46108</v>
      </c>
      <c r="E33" s="389" t="s">
        <v>528</v>
      </c>
      <c r="F33" s="205">
        <f t="shared" si="20"/>
        <v>7065299</v>
      </c>
      <c r="G33" s="278"/>
      <c r="H33" s="292"/>
      <c r="I33" s="211">
        <v>437001.38427438226</v>
      </c>
      <c r="J33" s="96">
        <f t="shared" si="57"/>
        <v>6.1851789184630725E-2</v>
      </c>
      <c r="K33" s="211">
        <v>697195.22562559927</v>
      </c>
      <c r="L33" s="96">
        <f t="shared" si="58"/>
        <v>9.8678799810963308E-2</v>
      </c>
      <c r="M33" s="204">
        <f t="shared" si="59"/>
        <v>1134196.6098999814</v>
      </c>
      <c r="N33" s="96">
        <f t="shared" si="60"/>
        <v>0.16053058899559403</v>
      </c>
      <c r="O33" s="211">
        <v>142856.92943347889</v>
      </c>
      <c r="P33" s="96">
        <f t="shared" si="61"/>
        <v>2.0219516461154566E-2</v>
      </c>
      <c r="Q33" s="211">
        <v>77730.262515924303</v>
      </c>
      <c r="R33" s="96">
        <f t="shared" si="62"/>
        <v>1.1001694693448119E-2</v>
      </c>
      <c r="S33" s="204">
        <f t="shared" si="63"/>
        <v>220587.1919494032</v>
      </c>
      <c r="T33" s="96">
        <f t="shared" si="64"/>
        <v>3.1221211154602687E-2</v>
      </c>
      <c r="U33" s="211">
        <v>931952.2491307219</v>
      </c>
      <c r="V33" s="96">
        <f t="shared" si="65"/>
        <v>0.13190556395854186</v>
      </c>
      <c r="W33" s="211">
        <v>50260.05198892334</v>
      </c>
      <c r="X33" s="96">
        <f t="shared" si="66"/>
        <v>7.1136482672457795E-3</v>
      </c>
      <c r="Y33" s="211">
        <v>879112.31453928887</v>
      </c>
      <c r="Z33" s="96">
        <f t="shared" si="67"/>
        <v>0.12442676729453189</v>
      </c>
      <c r="AA33" s="211">
        <v>1135267.7941135403</v>
      </c>
      <c r="AB33" s="96">
        <f t="shared" si="68"/>
        <v>0.16068220100997005</v>
      </c>
      <c r="AC33" s="204">
        <f t="shared" si="69"/>
        <v>2014380.1086528292</v>
      </c>
      <c r="AD33" s="96">
        <f t="shared" si="70"/>
        <v>0.28510896830450194</v>
      </c>
      <c r="AE33" s="211">
        <v>1086916.5073716983</v>
      </c>
      <c r="AF33" s="96">
        <f t="shared" si="71"/>
        <v>0.15383871331867177</v>
      </c>
      <c r="AG33" s="211">
        <v>151174.34698563247</v>
      </c>
      <c r="AH33" s="96">
        <f t="shared" si="72"/>
        <v>2.1396737347652586E-2</v>
      </c>
      <c r="AI33" s="211">
        <v>947985.68255463359</v>
      </c>
      <c r="AJ33" s="96">
        <f t="shared" si="73"/>
        <v>0.13417488524613516</v>
      </c>
      <c r="AK33" s="211">
        <v>527846.25146617682</v>
      </c>
      <c r="AL33" s="96">
        <f t="shared" si="74"/>
        <v>7.4709683407054223E-2</v>
      </c>
    </row>
    <row r="34" spans="2:38" ht="13.5">
      <c r="B34" s="79"/>
      <c r="C34" s="79"/>
      <c r="D34" s="389">
        <f t="shared" si="19"/>
        <v>46109</v>
      </c>
      <c r="E34" s="389" t="s">
        <v>529</v>
      </c>
      <c r="F34" s="205">
        <f t="shared" si="20"/>
        <v>7298371.0000000009</v>
      </c>
      <c r="G34" s="278"/>
      <c r="H34" s="292"/>
      <c r="I34" s="211">
        <v>422690.42109980906</v>
      </c>
      <c r="J34" s="96">
        <f t="shared" si="57"/>
        <v>5.7915721343818914E-2</v>
      </c>
      <c r="K34" s="211">
        <v>753938.12329343252</v>
      </c>
      <c r="L34" s="96">
        <f t="shared" si="58"/>
        <v>0.10330224693886245</v>
      </c>
      <c r="M34" s="204">
        <f t="shared" si="59"/>
        <v>1176628.5443932416</v>
      </c>
      <c r="N34" s="96">
        <f t="shared" si="60"/>
        <v>0.16121796828268137</v>
      </c>
      <c r="O34" s="211">
        <v>132881.67455993695</v>
      </c>
      <c r="P34" s="96">
        <f t="shared" si="61"/>
        <v>1.8207032029467524E-2</v>
      </c>
      <c r="Q34" s="211">
        <v>74154.401697951762</v>
      </c>
      <c r="R34" s="96">
        <f t="shared" si="62"/>
        <v>1.0160404520125347E-2</v>
      </c>
      <c r="S34" s="204">
        <f t="shared" si="63"/>
        <v>207036.07625788869</v>
      </c>
      <c r="T34" s="96">
        <f t="shared" si="64"/>
        <v>2.8367436549592871E-2</v>
      </c>
      <c r="U34" s="211">
        <v>1007340.2609105716</v>
      </c>
      <c r="V34" s="96">
        <f t="shared" si="65"/>
        <v>0.13802261640447869</v>
      </c>
      <c r="W34" s="211">
        <v>59498.064481038877</v>
      </c>
      <c r="X34" s="96">
        <f t="shared" si="66"/>
        <v>8.1522389696329321E-3</v>
      </c>
      <c r="Y34" s="211">
        <v>887184.64452868188</v>
      </c>
      <c r="Z34" s="96">
        <f t="shared" si="67"/>
        <v>0.12155926912028475</v>
      </c>
      <c r="AA34" s="211">
        <v>1121615.1785176767</v>
      </c>
      <c r="AB34" s="96">
        <f t="shared" si="68"/>
        <v>0.15368020870926902</v>
      </c>
      <c r="AC34" s="204">
        <f t="shared" si="69"/>
        <v>2008799.8230463585</v>
      </c>
      <c r="AD34" s="96">
        <f t="shared" si="70"/>
        <v>0.27523947782955377</v>
      </c>
      <c r="AE34" s="211">
        <v>1179197.5952562094</v>
      </c>
      <c r="AF34" s="96">
        <f t="shared" si="71"/>
        <v>0.16156997160821357</v>
      </c>
      <c r="AG34" s="211">
        <v>166446.45708901371</v>
      </c>
      <c r="AH34" s="96">
        <f t="shared" si="72"/>
        <v>2.2805973701393596E-2</v>
      </c>
      <c r="AI34" s="211">
        <v>956817.11268298014</v>
      </c>
      <c r="AJ34" s="96">
        <f t="shared" si="73"/>
        <v>0.13110009242925305</v>
      </c>
      <c r="AK34" s="211">
        <v>536607.06588269759</v>
      </c>
      <c r="AL34" s="96">
        <f t="shared" si="74"/>
        <v>7.3524224225200052E-2</v>
      </c>
    </row>
    <row r="35" spans="2:38" ht="13.5">
      <c r="B35" s="79"/>
      <c r="C35" s="79"/>
      <c r="D35" s="389">
        <f t="shared" si="19"/>
        <v>46110</v>
      </c>
      <c r="E35" s="389" t="s">
        <v>530</v>
      </c>
      <c r="F35" s="205">
        <f t="shared" si="20"/>
        <v>8464560</v>
      </c>
      <c r="G35" s="278"/>
      <c r="H35" s="292"/>
      <c r="I35" s="211">
        <v>536023.30384723074</v>
      </c>
      <c r="J35" s="96">
        <f t="shared" si="57"/>
        <v>6.3325595641974389E-2</v>
      </c>
      <c r="K35" s="211">
        <v>804038.20671003894</v>
      </c>
      <c r="L35" s="96">
        <f t="shared" si="58"/>
        <v>9.4988777527720156E-2</v>
      </c>
      <c r="M35" s="204">
        <f t="shared" si="59"/>
        <v>1340061.5105572697</v>
      </c>
      <c r="N35" s="96">
        <f t="shared" si="60"/>
        <v>0.15831437316969454</v>
      </c>
      <c r="O35" s="211">
        <v>168074.23799146913</v>
      </c>
      <c r="P35" s="96">
        <f t="shared" si="61"/>
        <v>1.9856228556649032E-2</v>
      </c>
      <c r="Q35" s="211">
        <v>87506.72506833692</v>
      </c>
      <c r="R35" s="96">
        <f t="shared" si="62"/>
        <v>1.0338012261515888E-2</v>
      </c>
      <c r="S35" s="204">
        <f t="shared" si="63"/>
        <v>255580.96305980603</v>
      </c>
      <c r="T35" s="96">
        <f t="shared" si="64"/>
        <v>3.0194240818164918E-2</v>
      </c>
      <c r="U35" s="211">
        <v>1227261.7118812371</v>
      </c>
      <c r="V35" s="96">
        <f t="shared" si="65"/>
        <v>0.14498824651030143</v>
      </c>
      <c r="W35" s="211">
        <v>57665.71808847045</v>
      </c>
      <c r="X35" s="96">
        <f t="shared" si="66"/>
        <v>6.812606690539195E-3</v>
      </c>
      <c r="Y35" s="211">
        <v>1037510.4387313945</v>
      </c>
      <c r="Z35" s="96">
        <f t="shared" si="67"/>
        <v>0.12257110100600557</v>
      </c>
      <c r="AA35" s="211">
        <v>1254906.048953058</v>
      </c>
      <c r="AB35" s="96">
        <f t="shared" si="68"/>
        <v>0.14825413830760936</v>
      </c>
      <c r="AC35" s="204">
        <f t="shared" si="69"/>
        <v>2292416.4876844524</v>
      </c>
      <c r="AD35" s="96">
        <f t="shared" si="70"/>
        <v>0.27082523931361496</v>
      </c>
      <c r="AE35" s="211">
        <v>1455980.3093838494</v>
      </c>
      <c r="AF35" s="96">
        <f t="shared" si="71"/>
        <v>0.17200897735781298</v>
      </c>
      <c r="AG35" s="211">
        <v>196649.47580830182</v>
      </c>
      <c r="AH35" s="96">
        <f t="shared" si="72"/>
        <v>2.3232096625022663E-2</v>
      </c>
      <c r="AI35" s="211">
        <v>1032635.1006859016</v>
      </c>
      <c r="AJ35" s="96">
        <f t="shared" si="73"/>
        <v>0.12199513036541788</v>
      </c>
      <c r="AK35" s="211">
        <v>606308.72285071167</v>
      </c>
      <c r="AL35" s="96">
        <f t="shared" si="74"/>
        <v>7.1629089149431474E-2</v>
      </c>
    </row>
    <row r="36" spans="2:38" ht="13.5">
      <c r="B36" s="79"/>
      <c r="C36" s="79"/>
      <c r="D36" s="389">
        <f t="shared" si="19"/>
        <v>46111</v>
      </c>
      <c r="E36" s="389" t="s">
        <v>524</v>
      </c>
      <c r="F36" s="205">
        <f t="shared" si="20"/>
        <v>8194735.9999999991</v>
      </c>
      <c r="G36" s="278"/>
      <c r="H36" s="292"/>
      <c r="I36" s="211">
        <v>523108.96282694174</v>
      </c>
      <c r="J36" s="96">
        <f t="shared" si="57"/>
        <v>6.3834754753166162E-2</v>
      </c>
      <c r="K36" s="211">
        <v>868446.27775076812</v>
      </c>
      <c r="L36" s="96">
        <f t="shared" si="58"/>
        <v>0.10597611414824934</v>
      </c>
      <c r="M36" s="204">
        <f t="shared" si="59"/>
        <v>1391555.2405777099</v>
      </c>
      <c r="N36" s="96">
        <f t="shared" si="60"/>
        <v>0.1698108689014155</v>
      </c>
      <c r="O36" s="211">
        <v>158596.73152740378</v>
      </c>
      <c r="P36" s="96">
        <f t="shared" si="61"/>
        <v>1.9353488816162449E-2</v>
      </c>
      <c r="Q36" s="211">
        <v>89261.089224590149</v>
      </c>
      <c r="R36" s="96">
        <f t="shared" si="62"/>
        <v>1.0892491133892557E-2</v>
      </c>
      <c r="S36" s="204">
        <f t="shared" si="63"/>
        <v>247857.82075199392</v>
      </c>
      <c r="T36" s="96">
        <f t="shared" si="64"/>
        <v>3.0245979950055003E-2</v>
      </c>
      <c r="U36" s="211">
        <v>1153748.1911737865</v>
      </c>
      <c r="V36" s="96">
        <f t="shared" si="65"/>
        <v>0.14079138012179851</v>
      </c>
      <c r="W36" s="211">
        <v>71496.004301254885</v>
      </c>
      <c r="X36" s="96">
        <f t="shared" si="66"/>
        <v>8.7246256988943744E-3</v>
      </c>
      <c r="Y36" s="211">
        <v>953719.73500095436</v>
      </c>
      <c r="Z36" s="96">
        <f t="shared" si="67"/>
        <v>0.11638199632068129</v>
      </c>
      <c r="AA36" s="211">
        <v>1225049.8344846631</v>
      </c>
      <c r="AB36" s="96">
        <f t="shared" si="68"/>
        <v>0.14949228803522935</v>
      </c>
      <c r="AC36" s="204">
        <f t="shared" si="69"/>
        <v>2178769.5694856173</v>
      </c>
      <c r="AD36" s="96">
        <f t="shared" si="70"/>
        <v>0.2658742843559106</v>
      </c>
      <c r="AE36" s="211">
        <v>1343431.9782744709</v>
      </c>
      <c r="AF36" s="96">
        <f t="shared" si="71"/>
        <v>0.16393840854354197</v>
      </c>
      <c r="AG36" s="211">
        <v>202847.33510137943</v>
      </c>
      <c r="AH36" s="96">
        <f t="shared" si="72"/>
        <v>2.4753370346693226E-2</v>
      </c>
      <c r="AI36" s="211">
        <v>978668.51112563035</v>
      </c>
      <c r="AJ36" s="96">
        <f t="shared" si="73"/>
        <v>0.11942648440726224</v>
      </c>
      <c r="AK36" s="211">
        <v>626361.34920815553</v>
      </c>
      <c r="AL36" s="96">
        <f t="shared" si="74"/>
        <v>7.6434597674428506E-2</v>
      </c>
    </row>
    <row r="37" spans="2:38" ht="13.5">
      <c r="B37" s="79"/>
      <c r="C37" s="79"/>
      <c r="D37" s="280">
        <f>D36+1</f>
        <v>46112</v>
      </c>
      <c r="E37" s="280" t="s">
        <v>525</v>
      </c>
      <c r="F37" s="205">
        <f t="shared" si="20"/>
        <v>8528663</v>
      </c>
      <c r="G37" s="278"/>
      <c r="H37" s="292"/>
      <c r="I37" s="211">
        <v>528094.35126228305</v>
      </c>
      <c r="J37" s="96">
        <f t="shared" si="57"/>
        <v>6.191994586517055E-2</v>
      </c>
      <c r="K37" s="211">
        <v>858729.56493843545</v>
      </c>
      <c r="L37" s="96">
        <f t="shared" si="58"/>
        <v>0.10068747761969672</v>
      </c>
      <c r="M37" s="204">
        <f t="shared" si="59"/>
        <v>1386823.9162007184</v>
      </c>
      <c r="N37" s="96">
        <f t="shared" si="60"/>
        <v>0.16260742348486726</v>
      </c>
      <c r="O37" s="211">
        <v>161100.09898137671</v>
      </c>
      <c r="P37" s="96">
        <f t="shared" si="61"/>
        <v>1.8889256027747457E-2</v>
      </c>
      <c r="Q37" s="211">
        <v>93023.287190990901</v>
      </c>
      <c r="R37" s="96">
        <f t="shared" si="62"/>
        <v>1.0907135994351155E-2</v>
      </c>
      <c r="S37" s="204">
        <f t="shared" si="63"/>
        <v>254123.38617236761</v>
      </c>
      <c r="T37" s="96">
        <f t="shared" si="64"/>
        <v>2.9796392022098613E-2</v>
      </c>
      <c r="U37" s="211">
        <v>1119289.1912875201</v>
      </c>
      <c r="V37" s="96">
        <f t="shared" si="65"/>
        <v>0.13123852956641857</v>
      </c>
      <c r="W37" s="211">
        <v>68636.463004054691</v>
      </c>
      <c r="X37" s="96">
        <f t="shared" si="66"/>
        <v>8.0477400741540243E-3</v>
      </c>
      <c r="Y37" s="211">
        <v>884596.95206575876</v>
      </c>
      <c r="Z37" s="96">
        <f t="shared" si="67"/>
        <v>0.10372047202073277</v>
      </c>
      <c r="AA37" s="211">
        <v>1189493.2278637062</v>
      </c>
      <c r="AB37" s="96">
        <f t="shared" si="68"/>
        <v>0.13947007026349922</v>
      </c>
      <c r="AC37" s="204">
        <f t="shared" si="69"/>
        <v>2074090.1799294651</v>
      </c>
      <c r="AD37" s="96">
        <f t="shared" si="70"/>
        <v>0.24319054228423201</v>
      </c>
      <c r="AE37" s="211">
        <v>1633050.222109399</v>
      </c>
      <c r="AF37" s="96">
        <f t="shared" si="71"/>
        <v>0.19147786963905117</v>
      </c>
      <c r="AG37" s="211">
        <v>184495.96894037901</v>
      </c>
      <c r="AH37" s="96">
        <f t="shared" si="72"/>
        <v>2.1632460907457476E-2</v>
      </c>
      <c r="AI37" s="211">
        <v>1074995.9540522059</v>
      </c>
      <c r="AJ37" s="96">
        <f t="shared" si="73"/>
        <v>0.12604507342501467</v>
      </c>
      <c r="AK37" s="211">
        <v>733157.71830388927</v>
      </c>
      <c r="AL37" s="96">
        <f t="shared" si="74"/>
        <v>8.5963968596706103E-2</v>
      </c>
    </row>
    <row r="38" spans="2:38" ht="13.5">
      <c r="B38" s="79"/>
      <c r="C38" s="79"/>
      <c r="D38" s="280">
        <f t="shared" ref="D38:D43" si="75">D37+1</f>
        <v>46113</v>
      </c>
      <c r="E38" s="388" t="s">
        <v>526</v>
      </c>
      <c r="F38" s="205">
        <f t="shared" si="20"/>
        <v>7706722.0000000019</v>
      </c>
      <c r="G38" s="278"/>
      <c r="H38" s="292"/>
      <c r="I38" s="211">
        <v>508211.28209429717</v>
      </c>
      <c r="J38" s="96">
        <f t="shared" si="57"/>
        <v>6.5943897041348717E-2</v>
      </c>
      <c r="K38" s="211">
        <v>711524.5637241482</v>
      </c>
      <c r="L38" s="96">
        <f t="shared" si="58"/>
        <v>9.2325188805843519E-2</v>
      </c>
      <c r="M38" s="204">
        <f t="shared" si="59"/>
        <v>1219735.8458184453</v>
      </c>
      <c r="N38" s="96">
        <f t="shared" si="60"/>
        <v>0.15826908584719224</v>
      </c>
      <c r="O38" s="211">
        <v>150820.05884131513</v>
      </c>
      <c r="P38" s="96">
        <f t="shared" si="61"/>
        <v>1.956993632848247E-2</v>
      </c>
      <c r="Q38" s="211">
        <v>168715.45193290678</v>
      </c>
      <c r="R38" s="96">
        <f t="shared" si="62"/>
        <v>2.1891986233953522E-2</v>
      </c>
      <c r="S38" s="204">
        <f t="shared" si="63"/>
        <v>319535.51077422191</v>
      </c>
      <c r="T38" s="96">
        <f t="shared" si="64"/>
        <v>4.1461922562435992E-2</v>
      </c>
      <c r="U38" s="211">
        <v>980045.61642958154</v>
      </c>
      <c r="V38" s="96">
        <f t="shared" si="65"/>
        <v>0.12716763578984441</v>
      </c>
      <c r="W38" s="211">
        <v>63147.078440250203</v>
      </c>
      <c r="X38" s="96">
        <f t="shared" si="66"/>
        <v>8.193766226451427E-3</v>
      </c>
      <c r="Y38" s="211">
        <v>836834.76942319598</v>
      </c>
      <c r="Z38" s="96">
        <f t="shared" si="67"/>
        <v>0.10858504684912675</v>
      </c>
      <c r="AA38" s="211">
        <v>1057575.2030284556</v>
      </c>
      <c r="AB38" s="96">
        <f t="shared" si="68"/>
        <v>0.13722763102502664</v>
      </c>
      <c r="AC38" s="204">
        <f t="shared" si="69"/>
        <v>1894409.9724516515</v>
      </c>
      <c r="AD38" s="96">
        <f t="shared" si="70"/>
        <v>0.24581267787415337</v>
      </c>
      <c r="AE38" s="211">
        <v>1362045.6970322514</v>
      </c>
      <c r="AF38" s="96">
        <f t="shared" si="71"/>
        <v>0.17673476440855801</v>
      </c>
      <c r="AG38" s="211">
        <v>172357.17088303663</v>
      </c>
      <c r="AH38" s="96">
        <f t="shared" si="72"/>
        <v>2.2364524227425953E-2</v>
      </c>
      <c r="AI38" s="211">
        <v>1045807.4467119841</v>
      </c>
      <c r="AJ38" s="96">
        <f t="shared" si="73"/>
        <v>0.13570068398885854</v>
      </c>
      <c r="AK38" s="211">
        <v>649637.66145857843</v>
      </c>
      <c r="AL38" s="96">
        <f t="shared" si="74"/>
        <v>8.4294939075079942E-2</v>
      </c>
    </row>
    <row r="39" spans="2:38" ht="13.5">
      <c r="B39" s="79"/>
      <c r="C39" s="75"/>
      <c r="D39" s="280">
        <f t="shared" si="75"/>
        <v>46114</v>
      </c>
      <c r="E39" s="388" t="s">
        <v>527</v>
      </c>
      <c r="F39" s="205">
        <f t="shared" si="20"/>
        <v>7008580.9999999991</v>
      </c>
      <c r="G39" s="278"/>
      <c r="H39" s="93"/>
      <c r="I39" s="211">
        <v>437785.02877413505</v>
      </c>
      <c r="J39" s="96">
        <f t="shared" si="57"/>
        <v>6.2464146276419594E-2</v>
      </c>
      <c r="K39" s="211">
        <v>663898.1828179179</v>
      </c>
      <c r="L39" s="96">
        <f t="shared" si="58"/>
        <v>9.4726476417682545E-2</v>
      </c>
      <c r="M39" s="204">
        <f t="shared" si="59"/>
        <v>1101683.2115920531</v>
      </c>
      <c r="N39" s="96">
        <f t="shared" si="60"/>
        <v>0.15719062269410217</v>
      </c>
      <c r="O39" s="211">
        <v>125690.00442089015</v>
      </c>
      <c r="P39" s="96">
        <f t="shared" si="61"/>
        <v>1.7933730725362262E-2</v>
      </c>
      <c r="Q39" s="211">
        <v>152153.58421293308</v>
      </c>
      <c r="R39" s="96">
        <f t="shared" si="62"/>
        <v>2.1709613431439703E-2</v>
      </c>
      <c r="S39" s="204">
        <f t="shared" si="63"/>
        <v>277843.58863382321</v>
      </c>
      <c r="T39" s="96">
        <f t="shared" si="64"/>
        <v>3.9643344156801964E-2</v>
      </c>
      <c r="U39" s="211">
        <v>908987.51665638562</v>
      </c>
      <c r="V39" s="96">
        <f t="shared" si="65"/>
        <v>0.12969637030040543</v>
      </c>
      <c r="W39" s="211">
        <v>61165.377818677131</v>
      </c>
      <c r="X39" s="96">
        <f t="shared" si="66"/>
        <v>8.7272128008047765E-3</v>
      </c>
      <c r="Y39" s="211">
        <v>730280.96938126232</v>
      </c>
      <c r="Z39" s="96">
        <f t="shared" si="67"/>
        <v>0.10419812075814811</v>
      </c>
      <c r="AA39" s="211">
        <v>966710.09229144512</v>
      </c>
      <c r="AB39" s="96">
        <f t="shared" si="68"/>
        <v>0.13793235639160698</v>
      </c>
      <c r="AC39" s="204">
        <f t="shared" si="69"/>
        <v>1696991.0616727076</v>
      </c>
      <c r="AD39" s="96">
        <f t="shared" si="70"/>
        <v>0.24213047714975511</v>
      </c>
      <c r="AE39" s="211">
        <v>1223746.9575030864</v>
      </c>
      <c r="AF39" s="96">
        <f t="shared" si="71"/>
        <v>0.17460695075124144</v>
      </c>
      <c r="AG39" s="211">
        <v>134891.55553528428</v>
      </c>
      <c r="AH39" s="96">
        <f t="shared" si="72"/>
        <v>1.924662860217843E-2</v>
      </c>
      <c r="AI39" s="211">
        <v>1020442.2673896964</v>
      </c>
      <c r="AJ39" s="96">
        <f t="shared" si="73"/>
        <v>0.14559898321638812</v>
      </c>
      <c r="AK39" s="211">
        <v>582829.4631982852</v>
      </c>
      <c r="AL39" s="96">
        <f t="shared" si="74"/>
        <v>8.3159410328322567E-2</v>
      </c>
    </row>
    <row r="40" spans="2:38" ht="13.5">
      <c r="B40" s="79"/>
      <c r="C40" s="75"/>
      <c r="D40" s="280">
        <f t="shared" si="75"/>
        <v>46115</v>
      </c>
      <c r="E40" s="388" t="s">
        <v>528</v>
      </c>
      <c r="F40" s="205">
        <f t="shared" si="20"/>
        <v>6828155.0000000009</v>
      </c>
      <c r="G40" s="278"/>
      <c r="H40" s="93"/>
      <c r="I40" s="211">
        <v>425390.98145621491</v>
      </c>
      <c r="J40" s="96">
        <f t="shared" si="57"/>
        <v>6.2299549652316745E-2</v>
      </c>
      <c r="K40" s="211">
        <v>629847.28558710555</v>
      </c>
      <c r="L40" s="96">
        <f t="shared" si="58"/>
        <v>9.2242675449972278E-2</v>
      </c>
      <c r="M40" s="204">
        <f t="shared" si="59"/>
        <v>1055238.2670433205</v>
      </c>
      <c r="N40" s="96">
        <f t="shared" si="60"/>
        <v>0.15454222510228902</v>
      </c>
      <c r="O40" s="211">
        <v>122096.70294205184</v>
      </c>
      <c r="P40" s="96">
        <f t="shared" si="61"/>
        <v>1.7881360769058673E-2</v>
      </c>
      <c r="Q40" s="211">
        <v>135963.33446196871</v>
      </c>
      <c r="R40" s="96">
        <f t="shared" si="62"/>
        <v>1.9912162870053287E-2</v>
      </c>
      <c r="S40" s="204">
        <f t="shared" si="63"/>
        <v>258060.03740402055</v>
      </c>
      <c r="T40" s="96">
        <f t="shared" si="64"/>
        <v>3.779352363911196E-2</v>
      </c>
      <c r="U40" s="211">
        <v>803416.94088735501</v>
      </c>
      <c r="V40" s="96">
        <f t="shared" si="65"/>
        <v>0.11766237598404765</v>
      </c>
      <c r="W40" s="211">
        <v>50207.735030128781</v>
      </c>
      <c r="X40" s="96">
        <f t="shared" si="66"/>
        <v>7.3530455928620215E-3</v>
      </c>
      <c r="Y40" s="211">
        <v>756788.96673269907</v>
      </c>
      <c r="Z40" s="96">
        <f t="shared" si="67"/>
        <v>0.11083359512675078</v>
      </c>
      <c r="AA40" s="211">
        <v>1086098.4139293155</v>
      </c>
      <c r="AB40" s="96">
        <f t="shared" si="68"/>
        <v>0.15906176909125749</v>
      </c>
      <c r="AC40" s="204">
        <f t="shared" si="69"/>
        <v>1842887.3806620147</v>
      </c>
      <c r="AD40" s="96">
        <f t="shared" si="70"/>
        <v>0.2698953642180083</v>
      </c>
      <c r="AE40" s="211">
        <v>1018337.6218503419</v>
      </c>
      <c r="AF40" s="96">
        <f t="shared" si="71"/>
        <v>0.14913803536245762</v>
      </c>
      <c r="AG40" s="211">
        <v>426278.26713679574</v>
      </c>
      <c r="AH40" s="96">
        <f t="shared" si="72"/>
        <v>6.2429494810354431E-2</v>
      </c>
      <c r="AI40" s="211">
        <v>855513.15976666065</v>
      </c>
      <c r="AJ40" s="96">
        <f t="shared" si="73"/>
        <v>0.12529199465546118</v>
      </c>
      <c r="AK40" s="211">
        <v>518215.59021936322</v>
      </c>
      <c r="AL40" s="96">
        <f t="shared" si="74"/>
        <v>7.5893940635407831E-2</v>
      </c>
    </row>
    <row r="41" spans="2:38" ht="13.5">
      <c r="B41" s="79"/>
      <c r="C41" s="75"/>
      <c r="D41" s="280">
        <f t="shared" si="75"/>
        <v>46116</v>
      </c>
      <c r="E41" s="388" t="s">
        <v>529</v>
      </c>
      <c r="F41" s="205">
        <f t="shared" si="20"/>
        <v>6946480.9999999991</v>
      </c>
      <c r="G41" s="278"/>
      <c r="H41" s="93"/>
      <c r="I41" s="211">
        <v>401887.34506476717</v>
      </c>
      <c r="J41" s="96">
        <f t="shared" si="57"/>
        <v>5.7854810956046269E-2</v>
      </c>
      <c r="K41" s="211">
        <v>626066.04330571799</v>
      </c>
      <c r="L41" s="96">
        <f t="shared" si="58"/>
        <v>9.0127079208266472E-2</v>
      </c>
      <c r="M41" s="204">
        <f t="shared" si="59"/>
        <v>1027953.3883704852</v>
      </c>
      <c r="N41" s="96">
        <f t="shared" si="60"/>
        <v>0.14798189016431273</v>
      </c>
      <c r="O41" s="211">
        <v>114028.51082146732</v>
      </c>
      <c r="P41" s="96">
        <f t="shared" si="61"/>
        <v>1.641529154423187E-2</v>
      </c>
      <c r="Q41" s="211">
        <v>111923.94892193367</v>
      </c>
      <c r="R41" s="96">
        <f t="shared" si="62"/>
        <v>1.6112323480325316E-2</v>
      </c>
      <c r="S41" s="204">
        <f t="shared" si="63"/>
        <v>225952.45974340098</v>
      </c>
      <c r="T41" s="96">
        <f t="shared" si="64"/>
        <v>3.2527615024557185E-2</v>
      </c>
      <c r="U41" s="211">
        <v>884196.2742067175</v>
      </c>
      <c r="V41" s="96">
        <f t="shared" si="65"/>
        <v>0.12728693481011719</v>
      </c>
      <c r="W41" s="211">
        <v>58359.136352212372</v>
      </c>
      <c r="X41" s="96">
        <f t="shared" si="66"/>
        <v>8.401251849996046E-3</v>
      </c>
      <c r="Y41" s="211">
        <v>712258.39015219361</v>
      </c>
      <c r="Z41" s="96">
        <f t="shared" si="67"/>
        <v>0.10253513831711246</v>
      </c>
      <c r="AA41" s="211">
        <v>1074264.6083154562</v>
      </c>
      <c r="AB41" s="96">
        <f t="shared" si="68"/>
        <v>0.15464875068620448</v>
      </c>
      <c r="AC41" s="204">
        <f t="shared" si="69"/>
        <v>1786522.9984676498</v>
      </c>
      <c r="AD41" s="96">
        <f t="shared" si="70"/>
        <v>0.25718388900331696</v>
      </c>
      <c r="AE41" s="211">
        <v>1085694.2959585995</v>
      </c>
      <c r="AF41" s="96">
        <f t="shared" si="71"/>
        <v>0.15629414317243503</v>
      </c>
      <c r="AG41" s="211">
        <v>430137.27219565294</v>
      </c>
      <c r="AH41" s="96">
        <f t="shared" si="72"/>
        <v>6.1921607817778959E-2</v>
      </c>
      <c r="AI41" s="211">
        <v>919325.79617643799</v>
      </c>
      <c r="AJ41" s="96">
        <f t="shared" si="73"/>
        <v>0.13234410288841761</v>
      </c>
      <c r="AK41" s="211">
        <v>528339.3785288427</v>
      </c>
      <c r="AL41" s="96">
        <f t="shared" si="74"/>
        <v>7.605856526906829E-2</v>
      </c>
    </row>
    <row r="42" spans="2:38" ht="13.5">
      <c r="B42" s="79"/>
      <c r="C42" s="75"/>
      <c r="D42" s="280">
        <f t="shared" si="75"/>
        <v>46117</v>
      </c>
      <c r="E42" s="388" t="s">
        <v>530</v>
      </c>
      <c r="F42" s="205">
        <f t="shared" si="20"/>
        <v>7261197.0000000009</v>
      </c>
      <c r="G42" s="278"/>
      <c r="H42" s="93"/>
      <c r="I42" s="211">
        <v>410942.64844445285</v>
      </c>
      <c r="J42" s="96">
        <f>I42/F42</f>
        <v>5.6594339534439403E-2</v>
      </c>
      <c r="K42" s="211">
        <v>691236.95925475832</v>
      </c>
      <c r="L42" s="96">
        <f>K42/F42</f>
        <v>9.5196006836718278E-2</v>
      </c>
      <c r="M42" s="204">
        <f>SUM(I42+K42)</f>
        <v>1102179.6076992112</v>
      </c>
      <c r="N42" s="96">
        <f>M42/F42</f>
        <v>0.15179034637115768</v>
      </c>
      <c r="O42" s="211">
        <v>120096.85178370307</v>
      </c>
      <c r="P42" s="96">
        <f>O42/F42</f>
        <v>1.6539539112312068E-2</v>
      </c>
      <c r="Q42" s="211">
        <v>129151.27641452379</v>
      </c>
      <c r="R42" s="96">
        <f t="shared" si="62"/>
        <v>1.7786499445549237E-2</v>
      </c>
      <c r="S42" s="204">
        <f t="shared" si="63"/>
        <v>249248.12819822686</v>
      </c>
      <c r="T42" s="96">
        <f>S42/F42</f>
        <v>3.4326038557861302E-2</v>
      </c>
      <c r="U42" s="211">
        <v>907910.32542218012</v>
      </c>
      <c r="V42" s="96">
        <f>U42/F42</f>
        <v>0.12503590322947855</v>
      </c>
      <c r="W42" s="211">
        <v>49371.834216066352</v>
      </c>
      <c r="X42" s="96">
        <f>W42/F42</f>
        <v>6.7994070696699655E-3</v>
      </c>
      <c r="Y42" s="211">
        <v>748469.44072711747</v>
      </c>
      <c r="Z42" s="96">
        <f>Y42/F42</f>
        <v>0.10307796920082424</v>
      </c>
      <c r="AA42" s="211">
        <v>1182295.9033421488</v>
      </c>
      <c r="AB42" s="96">
        <f t="shared" si="68"/>
        <v>0.16282382964436148</v>
      </c>
      <c r="AC42" s="204">
        <f>SUM(Y42+AA42)</f>
        <v>1930765.3440692662</v>
      </c>
      <c r="AD42" s="96">
        <f>AC42/F42</f>
        <v>0.26590179884518572</v>
      </c>
      <c r="AE42" s="211">
        <v>1197457.8175316961</v>
      </c>
      <c r="AF42" s="96">
        <f>AE42/F42</f>
        <v>0.16491190330350436</v>
      </c>
      <c r="AG42" s="211">
        <v>407178.53242647386</v>
      </c>
      <c r="AH42" s="96">
        <f>AG42/F42</f>
        <v>5.6075951723451908E-2</v>
      </c>
      <c r="AI42" s="211">
        <v>863728.04240777332</v>
      </c>
      <c r="AJ42" s="96">
        <f>AI42/F42</f>
        <v>0.11895119253860943</v>
      </c>
      <c r="AK42" s="211">
        <v>553357.36802910606</v>
      </c>
      <c r="AL42" s="96">
        <f>AK42/F42</f>
        <v>7.6207458361080962E-2</v>
      </c>
    </row>
    <row r="43" spans="2:38" ht="13.5">
      <c r="B43" s="79"/>
      <c r="C43" s="75"/>
      <c r="D43" s="280">
        <f t="shared" si="75"/>
        <v>46118</v>
      </c>
      <c r="E43" s="388" t="s">
        <v>524</v>
      </c>
      <c r="F43" s="205">
        <f t="shared" si="20"/>
        <v>8672669</v>
      </c>
      <c r="G43" s="278"/>
      <c r="H43" s="93"/>
      <c r="I43" s="211">
        <v>509201.12430855038</v>
      </c>
      <c r="J43" s="96">
        <f>I43/F43</f>
        <v>5.8713312396512583E-2</v>
      </c>
      <c r="K43" s="211">
        <v>836419.96943912341</v>
      </c>
      <c r="L43" s="96">
        <f>K43/F43</f>
        <v>9.6443202137556888E-2</v>
      </c>
      <c r="M43" s="204">
        <f>SUM(I43+K43)</f>
        <v>1345621.0937476738</v>
      </c>
      <c r="N43" s="96">
        <f>M43/F43</f>
        <v>0.15515651453406948</v>
      </c>
      <c r="O43" s="211">
        <v>138987.31707253127</v>
      </c>
      <c r="P43" s="96">
        <f>O43/F43</f>
        <v>1.6025898955965144E-2</v>
      </c>
      <c r="Q43" s="211">
        <v>59320.694764027794</v>
      </c>
      <c r="R43" s="96">
        <f t="shared" si="62"/>
        <v>6.8399583523858446E-3</v>
      </c>
      <c r="S43" s="204">
        <f t="shared" si="63"/>
        <v>198308.01183655905</v>
      </c>
      <c r="T43" s="96">
        <f>S43/F43</f>
        <v>2.2865857308350987E-2</v>
      </c>
      <c r="U43" s="211">
        <v>1140694.2673472322</v>
      </c>
      <c r="V43" s="96">
        <f>U43/F43</f>
        <v>0.13152747641438087</v>
      </c>
      <c r="W43" s="211">
        <v>65023.02057484995</v>
      </c>
      <c r="X43" s="96">
        <f>W43/F43</f>
        <v>7.4974636498694866E-3</v>
      </c>
      <c r="Y43" s="211">
        <v>922650.14552391006</v>
      </c>
      <c r="Z43" s="96">
        <f>Y43/F43</f>
        <v>0.10638595172073442</v>
      </c>
      <c r="AA43" s="211">
        <v>1308920.8528431011</v>
      </c>
      <c r="AB43" s="96">
        <f t="shared" si="68"/>
        <v>0.15092480213912246</v>
      </c>
      <c r="AC43" s="204">
        <f>SUM(Y43+AA43)</f>
        <v>2231570.9983670111</v>
      </c>
      <c r="AD43" s="96">
        <f>AC43/F43</f>
        <v>0.25731075385985686</v>
      </c>
      <c r="AE43" s="211">
        <v>1439540.1124186106</v>
      </c>
      <c r="AF43" s="96">
        <f>AE43/F43</f>
        <v>0.16598582425071343</v>
      </c>
      <c r="AG43" s="211">
        <v>407910.55471105559</v>
      </c>
      <c r="AH43" s="96">
        <f>AG43/F43</f>
        <v>4.7034027784417412E-2</v>
      </c>
      <c r="AI43" s="211">
        <v>1171912.7174024782</v>
      </c>
      <c r="AJ43" s="96">
        <f>AI43/F43</f>
        <v>0.13512711224220345</v>
      </c>
      <c r="AK43" s="211">
        <v>672088.22359452967</v>
      </c>
      <c r="AL43" s="96">
        <f>AK43/F43</f>
        <v>7.7494969956138027E-2</v>
      </c>
    </row>
    <row r="44" spans="2:38" ht="13.5">
      <c r="B44" s="79"/>
      <c r="C44" s="75"/>
      <c r="D44" s="82"/>
      <c r="E44" s="82"/>
      <c r="F44" s="205">
        <f t="shared" si="20"/>
        <v>0</v>
      </c>
      <c r="G44" s="205"/>
      <c r="H44" s="93"/>
      <c r="I44" s="211"/>
      <c r="J44" s="96" t="e">
        <f>I44/F44</f>
        <v>#DIV/0!</v>
      </c>
      <c r="K44" s="211"/>
      <c r="L44" s="96" t="e">
        <f>K44/F44</f>
        <v>#DIV/0!</v>
      </c>
      <c r="M44" s="204">
        <f>SUM(I44+K44)</f>
        <v>0</v>
      </c>
      <c r="N44" s="96" t="e">
        <f>M44/F44</f>
        <v>#DIV/0!</v>
      </c>
      <c r="O44" s="211"/>
      <c r="P44" s="96" t="e">
        <f>O44/F44</f>
        <v>#DIV/0!</v>
      </c>
      <c r="Q44" s="211"/>
      <c r="R44" s="96" t="e">
        <f t="shared" si="62"/>
        <v>#DIV/0!</v>
      </c>
      <c r="S44" s="204">
        <f t="shared" si="63"/>
        <v>0</v>
      </c>
      <c r="T44" s="96" t="e">
        <f>S44/F44</f>
        <v>#DIV/0!</v>
      </c>
      <c r="U44" s="211"/>
      <c r="V44" s="96" t="e">
        <f>U44/F44</f>
        <v>#DIV/0!</v>
      </c>
      <c r="W44" s="211"/>
      <c r="X44" s="96" t="e">
        <f>W44/F44</f>
        <v>#DIV/0!</v>
      </c>
      <c r="Y44" s="211"/>
      <c r="Z44" s="96" t="e">
        <f>Y44/F44</f>
        <v>#DIV/0!</v>
      </c>
      <c r="AA44" s="211"/>
      <c r="AB44" s="96" t="e">
        <f t="shared" si="68"/>
        <v>#DIV/0!</v>
      </c>
      <c r="AC44" s="204">
        <f>SUM(Y44+AA44)</f>
        <v>0</v>
      </c>
      <c r="AD44" s="96" t="e">
        <f>AC44/F44</f>
        <v>#DIV/0!</v>
      </c>
      <c r="AE44" s="211"/>
      <c r="AF44" s="96" t="e">
        <f>AE44/F44</f>
        <v>#DIV/0!</v>
      </c>
      <c r="AG44" s="211"/>
      <c r="AH44" s="96" t="e">
        <f>AG44/F44</f>
        <v>#DIV/0!</v>
      </c>
      <c r="AI44" s="211"/>
      <c r="AJ44" s="96" t="e">
        <f>AI44/F44</f>
        <v>#DIV/0!</v>
      </c>
      <c r="AK44" s="211"/>
      <c r="AL44" s="96" t="e">
        <f>AK44/F44</f>
        <v>#DIV/0!</v>
      </c>
    </row>
    <row r="45" spans="2:38" ht="13.5">
      <c r="B45" s="79"/>
      <c r="C45" s="75"/>
      <c r="D45" s="82"/>
      <c r="E45" s="82"/>
      <c r="F45" s="205">
        <f t="shared" si="20"/>
        <v>0</v>
      </c>
      <c r="G45" s="205"/>
      <c r="H45" s="93"/>
      <c r="I45" s="211"/>
      <c r="J45" s="96" t="e">
        <f>I45/F45</f>
        <v>#DIV/0!</v>
      </c>
      <c r="K45" s="211"/>
      <c r="L45" s="96" t="e">
        <f>K45/F45</f>
        <v>#DIV/0!</v>
      </c>
      <c r="M45" s="204">
        <f>SUM(I45+K45)</f>
        <v>0</v>
      </c>
      <c r="N45" s="96" t="e">
        <f>M45/F45</f>
        <v>#DIV/0!</v>
      </c>
      <c r="O45" s="211"/>
      <c r="P45" s="96" t="e">
        <f>O45/F45</f>
        <v>#DIV/0!</v>
      </c>
      <c r="Q45" s="211"/>
      <c r="R45" s="96" t="e">
        <f t="shared" si="62"/>
        <v>#DIV/0!</v>
      </c>
      <c r="S45" s="204">
        <f t="shared" si="63"/>
        <v>0</v>
      </c>
      <c r="T45" s="96" t="e">
        <f>S45/F45</f>
        <v>#DIV/0!</v>
      </c>
      <c r="U45" s="211"/>
      <c r="V45" s="96" t="e">
        <f>U45/F45</f>
        <v>#DIV/0!</v>
      </c>
      <c r="W45" s="211"/>
      <c r="X45" s="96" t="e">
        <f>W45/F45</f>
        <v>#DIV/0!</v>
      </c>
      <c r="Y45" s="211"/>
      <c r="Z45" s="96" t="e">
        <f>Y45/F45</f>
        <v>#DIV/0!</v>
      </c>
      <c r="AA45" s="211"/>
      <c r="AB45" s="96" t="e">
        <f t="shared" si="68"/>
        <v>#DIV/0!</v>
      </c>
      <c r="AC45" s="204">
        <f>SUM(Y45+AA45)</f>
        <v>0</v>
      </c>
      <c r="AD45" s="96" t="e">
        <f>AC45/F45</f>
        <v>#DIV/0!</v>
      </c>
      <c r="AE45" s="211"/>
      <c r="AF45" s="96" t="e">
        <f>AE45/F45</f>
        <v>#DIV/0!</v>
      </c>
      <c r="AG45" s="211"/>
      <c r="AH45" s="96" t="e">
        <f>AG45/F45</f>
        <v>#DIV/0!</v>
      </c>
      <c r="AI45" s="211"/>
      <c r="AJ45" s="96" t="e">
        <f>AI45/F45</f>
        <v>#DIV/0!</v>
      </c>
      <c r="AK45" s="211"/>
      <c r="AL45" s="96" t="e">
        <f>AK45/F45</f>
        <v>#DIV/0!</v>
      </c>
    </row>
    <row r="46" spans="2:38" ht="13.5">
      <c r="B46" s="79"/>
      <c r="C46" s="75"/>
      <c r="D46" s="78"/>
      <c r="F46" s="93"/>
      <c r="G46" s="93"/>
      <c r="H46" s="93"/>
      <c r="I46" s="264">
        <f>SUM(I7:I45)</f>
        <v>19240291.346113384</v>
      </c>
      <c r="J46" s="260">
        <f>I46/$H$12</f>
        <v>8.1299900078752735E-2</v>
      </c>
      <c r="K46" s="264">
        <f>SUM(K7:K45)</f>
        <v>27644910.508816406</v>
      </c>
      <c r="L46" s="260">
        <f>K46/$H$12</f>
        <v>0.11681363975326939</v>
      </c>
      <c r="M46" s="264">
        <f>SUM(M8:M45)</f>
        <v>45542453.422892772</v>
      </c>
      <c r="N46" s="260" t="e">
        <f>M46/$H$8</f>
        <v>#DIV/0!</v>
      </c>
      <c r="O46" s="264">
        <f>SUM(O7:O45)</f>
        <v>5648578.2991035851</v>
      </c>
      <c r="P46" s="260">
        <f>O46/$H$12</f>
        <v>2.3868081987069214E-2</v>
      </c>
      <c r="Q46" s="264">
        <f>SUM(Q7:Q45)</f>
        <v>3530858.3910662667</v>
      </c>
      <c r="R46" s="260">
        <f>Q46/$H$12</f>
        <v>1.4919651122845398E-2</v>
      </c>
      <c r="S46" s="264">
        <f>SUM(S8:S45)</f>
        <v>8950734.8215924539</v>
      </c>
      <c r="T46" s="260" t="e">
        <f>S46/$H$8</f>
        <v>#DIV/0!</v>
      </c>
      <c r="U46" s="264">
        <f>SUM(U7:U45)</f>
        <v>39985360.689070083</v>
      </c>
      <c r="V46" s="260">
        <f>U46/$H$12</f>
        <v>0.16895824341511134</v>
      </c>
      <c r="W46" s="264">
        <f>SUM(W7:W45)</f>
        <v>2524857.4765903177</v>
      </c>
      <c r="X46" s="260">
        <f>W46/$H$12</f>
        <v>1.0668791696927714E-2</v>
      </c>
      <c r="Y46" s="264">
        <f>SUM(Y7:Y45)</f>
        <v>28911648.403074771</v>
      </c>
      <c r="Z46" s="260">
        <f>Y46/$H$12</f>
        <v>0.12216624395122912</v>
      </c>
      <c r="AA46" s="264">
        <f>SUM(AA7:AA45)</f>
        <v>46478386.396227524</v>
      </c>
      <c r="AB46" s="260">
        <f>AA46/$H$12</f>
        <v>0.19639454007531276</v>
      </c>
      <c r="AC46" s="264">
        <f>SUM(AC8:AC45)</f>
        <v>73478831.666594967</v>
      </c>
      <c r="AD46" s="260" t="e">
        <f>AC46/$H$8</f>
        <v>#DIV/0!</v>
      </c>
      <c r="AE46" s="264">
        <f>SUM(AE7:AE45)</f>
        <v>46028325.251401275</v>
      </c>
      <c r="AF46" s="260">
        <f>AE46/$H$12</f>
        <v>0.19449280556176057</v>
      </c>
      <c r="AG46" s="264">
        <f>SUM(AG7:AG45)</f>
        <v>9032450.7591356505</v>
      </c>
      <c r="AH46" s="260">
        <f>AG46/$H$12</f>
        <v>3.8166643684027259E-2</v>
      </c>
      <c r="AI46" s="264">
        <f>SUM(AI7:AI45)</f>
        <v>30696281.150646295</v>
      </c>
      <c r="AJ46" s="260">
        <f>AI46/$H$12</f>
        <v>0.12970721417069223</v>
      </c>
      <c r="AK46" s="264">
        <f>SUM(AK7:AK45)</f>
        <v>21360097.328754436</v>
      </c>
      <c r="AL46" s="260">
        <f>AK46/$H$12</f>
        <v>9.0257145656526858E-2</v>
      </c>
    </row>
    <row r="47" spans="2:38" ht="13.5">
      <c r="B47" s="79"/>
      <c r="C47" s="75"/>
      <c r="D47" s="78"/>
      <c r="F47" s="93"/>
      <c r="G47" s="93"/>
      <c r="H47" s="93"/>
      <c r="I47" s="261"/>
      <c r="J47" s="262"/>
      <c r="K47" s="261"/>
      <c r="L47" s="262"/>
      <c r="M47" s="263">
        <f>M46</f>
        <v>45542453.422892772</v>
      </c>
      <c r="N47" s="262"/>
      <c r="O47" s="261"/>
      <c r="P47" s="262"/>
      <c r="Q47" s="261"/>
      <c r="R47" s="262"/>
      <c r="S47" s="263">
        <f>S46</f>
        <v>8950734.8215924539</v>
      </c>
      <c r="T47" s="262"/>
      <c r="U47" s="263">
        <f>U46</f>
        <v>39985360.689070083</v>
      </c>
      <c r="V47" s="262"/>
      <c r="W47" s="263">
        <f>W46</f>
        <v>2524857.4765903177</v>
      </c>
      <c r="X47" s="262"/>
      <c r="Y47" s="261"/>
      <c r="Z47" s="262"/>
      <c r="AA47" s="261"/>
      <c r="AB47" s="262"/>
      <c r="AC47" s="263">
        <f>AC46</f>
        <v>73478831.666594967</v>
      </c>
      <c r="AD47" s="262"/>
      <c r="AE47" s="263">
        <f>AE46</f>
        <v>46028325.251401275</v>
      </c>
      <c r="AF47" s="262"/>
      <c r="AG47" s="263">
        <f>AG46</f>
        <v>9032450.7591356505</v>
      </c>
      <c r="AH47" s="262"/>
      <c r="AI47" s="263">
        <f>AI46</f>
        <v>30696281.150646295</v>
      </c>
      <c r="AJ47" s="262"/>
      <c r="AK47" s="263">
        <f>AK46</f>
        <v>21360097.328754436</v>
      </c>
      <c r="AL47" s="262"/>
    </row>
    <row r="48" spans="2:38" ht="13.5">
      <c r="B48" s="79"/>
      <c r="C48" s="75"/>
      <c r="D48" s="78"/>
      <c r="F48" s="93"/>
      <c r="G48" s="93"/>
      <c r="H48" s="93"/>
    </row>
    <row r="49" spans="1:46" ht="13.5">
      <c r="B49" s="79"/>
      <c r="C49" s="75"/>
      <c r="D49" s="78"/>
      <c r="F49" s="93"/>
      <c r="G49" s="93"/>
      <c r="H49" s="93"/>
    </row>
    <row r="50" spans="1:46" s="78" customFormat="1" ht="13.5">
      <c r="A50" s="75"/>
      <c r="B50" s="79"/>
      <c r="C50" s="75"/>
      <c r="F50" s="97"/>
      <c r="G50" s="97"/>
      <c r="H50" s="97"/>
      <c r="I50" s="93"/>
      <c r="J50" s="86"/>
      <c r="K50" s="93"/>
      <c r="L50" s="86"/>
      <c r="M50" s="86"/>
      <c r="N50" s="86"/>
      <c r="O50" s="93"/>
      <c r="P50" s="86"/>
      <c r="Q50" s="93"/>
      <c r="R50" s="86"/>
      <c r="S50" s="93"/>
      <c r="T50" s="86"/>
      <c r="U50" s="93"/>
      <c r="V50" s="86"/>
      <c r="W50" s="93"/>
      <c r="X50" s="86"/>
      <c r="Y50" s="93"/>
      <c r="Z50" s="86"/>
      <c r="AA50" s="93"/>
      <c r="AB50" s="86"/>
      <c r="AC50" s="93"/>
      <c r="AD50" s="86"/>
      <c r="AE50" s="93"/>
      <c r="AF50" s="86"/>
      <c r="AG50" s="93"/>
      <c r="AH50" s="86"/>
      <c r="AI50" s="93"/>
      <c r="AJ50" s="86"/>
      <c r="AK50" s="93"/>
      <c r="AL50" s="86"/>
      <c r="AM50" s="75"/>
      <c r="AN50" s="75"/>
      <c r="AO50" s="75"/>
      <c r="AP50" s="75"/>
      <c r="AQ50" s="75"/>
      <c r="AR50" s="75"/>
      <c r="AS50" s="75"/>
      <c r="AT50" s="75"/>
    </row>
    <row r="51" spans="1:46" s="78" customFormat="1" ht="13.5">
      <c r="A51" s="75"/>
      <c r="B51" s="79"/>
      <c r="C51" s="75"/>
      <c r="F51" s="97"/>
      <c r="G51" s="97"/>
      <c r="H51" s="97"/>
      <c r="I51" s="93"/>
      <c r="J51" s="86"/>
      <c r="K51" s="93"/>
      <c r="L51" s="86"/>
      <c r="M51" s="86"/>
      <c r="N51" s="86"/>
      <c r="O51" s="93"/>
      <c r="P51" s="86"/>
      <c r="Q51" s="93"/>
      <c r="R51" s="86"/>
      <c r="S51" s="93"/>
      <c r="T51" s="86"/>
      <c r="U51" s="93"/>
      <c r="V51" s="86"/>
      <c r="W51" s="93"/>
      <c r="X51" s="86"/>
      <c r="Y51" s="93"/>
      <c r="Z51" s="86"/>
      <c r="AA51" s="93"/>
      <c r="AB51" s="86"/>
      <c r="AC51" s="93"/>
      <c r="AD51" s="86"/>
      <c r="AE51" s="93"/>
      <c r="AF51" s="86"/>
      <c r="AG51" s="93"/>
      <c r="AH51" s="86"/>
      <c r="AI51" s="93"/>
      <c r="AJ51" s="86"/>
      <c r="AK51" s="93"/>
      <c r="AL51" s="86"/>
      <c r="AM51" s="75"/>
      <c r="AN51" s="75"/>
      <c r="AO51" s="75"/>
      <c r="AP51" s="75"/>
      <c r="AQ51" s="75"/>
      <c r="AR51" s="75"/>
      <c r="AS51" s="75"/>
      <c r="AT51" s="75"/>
    </row>
    <row r="52" spans="1:46" s="78" customFormat="1" ht="13.5">
      <c r="A52" s="75"/>
      <c r="B52" s="79"/>
      <c r="C52" s="75"/>
      <c r="F52" s="97"/>
      <c r="G52" s="97"/>
      <c r="H52" s="97"/>
      <c r="I52" s="93"/>
      <c r="J52" s="86"/>
      <c r="K52" s="93"/>
      <c r="L52" s="86"/>
      <c r="M52" s="86"/>
      <c r="N52" s="86"/>
      <c r="O52" s="93"/>
      <c r="P52" s="86"/>
      <c r="Q52" s="93"/>
      <c r="R52" s="86"/>
      <c r="S52" s="93"/>
      <c r="T52" s="86"/>
      <c r="U52" s="93"/>
      <c r="V52" s="86"/>
      <c r="W52" s="93"/>
      <c r="X52" s="86"/>
      <c r="Y52" s="93"/>
      <c r="Z52" s="86"/>
      <c r="AA52" s="93"/>
      <c r="AB52" s="86"/>
      <c r="AC52" s="93"/>
      <c r="AD52" s="86"/>
      <c r="AE52" s="93"/>
      <c r="AF52" s="86"/>
      <c r="AG52" s="93"/>
      <c r="AH52" s="86"/>
      <c r="AI52" s="93"/>
      <c r="AJ52" s="86"/>
      <c r="AK52" s="93"/>
      <c r="AL52" s="86"/>
      <c r="AM52" s="75"/>
      <c r="AN52" s="75"/>
      <c r="AO52" s="75"/>
      <c r="AP52" s="75"/>
      <c r="AQ52" s="75"/>
      <c r="AR52" s="75"/>
      <c r="AS52" s="75"/>
      <c r="AT52" s="75"/>
    </row>
    <row r="53" spans="1:46" s="78" customFormat="1" ht="13.5">
      <c r="A53" s="75"/>
      <c r="B53" s="79"/>
      <c r="C53" s="75"/>
      <c r="F53" s="97"/>
      <c r="G53" s="97"/>
      <c r="H53" s="97"/>
      <c r="I53" s="93"/>
      <c r="J53" s="86"/>
      <c r="K53" s="93"/>
      <c r="L53" s="86"/>
      <c r="M53" s="86"/>
      <c r="N53" s="86"/>
      <c r="O53" s="93"/>
      <c r="P53" s="86"/>
      <c r="Q53" s="93"/>
      <c r="R53" s="86"/>
      <c r="S53" s="93"/>
      <c r="T53" s="86"/>
      <c r="U53" s="93"/>
      <c r="V53" s="86"/>
      <c r="W53" s="93"/>
      <c r="X53" s="86"/>
      <c r="Y53" s="93"/>
      <c r="Z53" s="86"/>
      <c r="AA53" s="93"/>
      <c r="AB53" s="86"/>
      <c r="AC53" s="93"/>
      <c r="AD53" s="86"/>
      <c r="AE53" s="93"/>
      <c r="AF53" s="86"/>
      <c r="AG53" s="93"/>
      <c r="AH53" s="86"/>
      <c r="AI53" s="93"/>
      <c r="AJ53" s="86"/>
      <c r="AK53" s="93"/>
      <c r="AL53" s="86"/>
      <c r="AM53" s="75"/>
      <c r="AN53" s="75"/>
      <c r="AO53" s="75"/>
      <c r="AP53" s="75"/>
      <c r="AQ53" s="75"/>
      <c r="AR53" s="75"/>
      <c r="AS53" s="75"/>
      <c r="AT53" s="75"/>
    </row>
    <row r="54" spans="1:46" s="78" customFormat="1" ht="13.5">
      <c r="A54" s="75"/>
      <c r="B54" s="79"/>
      <c r="C54" s="75"/>
      <c r="F54" s="97"/>
      <c r="G54" s="97"/>
      <c r="H54" s="97"/>
      <c r="I54" s="93"/>
      <c r="J54" s="86"/>
      <c r="K54" s="93"/>
      <c r="L54" s="86"/>
      <c r="M54" s="86"/>
      <c r="N54" s="86"/>
      <c r="O54" s="93"/>
      <c r="P54" s="86"/>
      <c r="Q54" s="93"/>
      <c r="R54" s="86"/>
      <c r="S54" s="93"/>
      <c r="T54" s="86"/>
      <c r="U54" s="93"/>
      <c r="V54" s="86"/>
      <c r="W54" s="93"/>
      <c r="X54" s="86"/>
      <c r="Y54" s="93"/>
      <c r="Z54" s="86"/>
      <c r="AA54" s="93"/>
      <c r="AB54" s="86"/>
      <c r="AC54" s="93"/>
      <c r="AD54" s="86"/>
      <c r="AE54" s="93"/>
      <c r="AF54" s="86"/>
      <c r="AG54" s="93"/>
      <c r="AH54" s="86"/>
      <c r="AI54" s="93"/>
      <c r="AJ54" s="86"/>
      <c r="AK54" s="93"/>
      <c r="AL54" s="86"/>
      <c r="AM54" s="75"/>
      <c r="AN54" s="75"/>
      <c r="AO54" s="75"/>
      <c r="AP54" s="75"/>
      <c r="AQ54" s="75"/>
      <c r="AR54" s="75"/>
      <c r="AS54" s="75"/>
      <c r="AT54" s="75"/>
    </row>
    <row r="55" spans="1:46" s="78" customFormat="1" ht="13.5">
      <c r="A55" s="75"/>
      <c r="B55" s="79"/>
      <c r="C55" s="75"/>
      <c r="F55" s="97"/>
      <c r="G55" s="97"/>
      <c r="H55" s="97"/>
      <c r="I55" s="93"/>
      <c r="J55" s="86"/>
      <c r="K55" s="93"/>
      <c r="L55" s="86"/>
      <c r="M55" s="86"/>
      <c r="N55" s="86"/>
      <c r="O55" s="93"/>
      <c r="P55" s="86"/>
      <c r="Q55" s="93"/>
      <c r="R55" s="86"/>
      <c r="S55" s="93"/>
      <c r="T55" s="86"/>
      <c r="U55" s="93"/>
      <c r="V55" s="86"/>
      <c r="W55" s="93"/>
      <c r="X55" s="86"/>
      <c r="Y55" s="93"/>
      <c r="Z55" s="86"/>
      <c r="AA55" s="93"/>
      <c r="AB55" s="86"/>
      <c r="AC55" s="93"/>
      <c r="AD55" s="86"/>
      <c r="AE55" s="93"/>
      <c r="AF55" s="86"/>
      <c r="AG55" s="93"/>
      <c r="AH55" s="86"/>
      <c r="AI55" s="93"/>
      <c r="AJ55" s="86"/>
      <c r="AK55" s="93"/>
      <c r="AL55" s="86"/>
      <c r="AM55" s="75"/>
      <c r="AN55" s="75"/>
      <c r="AO55" s="75"/>
      <c r="AP55" s="75"/>
      <c r="AQ55" s="75"/>
      <c r="AR55" s="75"/>
      <c r="AS55" s="75"/>
      <c r="AT55" s="75"/>
    </row>
    <row r="56" spans="1:46" s="78" customFormat="1" ht="13.5">
      <c r="A56" s="75"/>
      <c r="B56" s="79"/>
      <c r="C56" s="75"/>
      <c r="F56" s="97"/>
      <c r="G56" s="97"/>
      <c r="H56" s="97"/>
      <c r="I56" s="93"/>
      <c r="J56" s="86"/>
      <c r="K56" s="93"/>
      <c r="L56" s="86"/>
      <c r="M56" s="86"/>
      <c r="N56" s="86"/>
      <c r="O56" s="93"/>
      <c r="P56" s="86"/>
      <c r="Q56" s="93"/>
      <c r="R56" s="86"/>
      <c r="S56" s="93"/>
      <c r="T56" s="86"/>
      <c r="U56" s="93"/>
      <c r="V56" s="86"/>
      <c r="W56" s="93"/>
      <c r="X56" s="86"/>
      <c r="Y56" s="93"/>
      <c r="Z56" s="86"/>
      <c r="AA56" s="93"/>
      <c r="AB56" s="86"/>
      <c r="AC56" s="93"/>
      <c r="AD56" s="86"/>
      <c r="AE56" s="93"/>
      <c r="AF56" s="86"/>
      <c r="AG56" s="93"/>
      <c r="AH56" s="86"/>
      <c r="AI56" s="93"/>
      <c r="AJ56" s="86"/>
      <c r="AK56" s="93"/>
      <c r="AL56" s="86"/>
      <c r="AM56" s="75"/>
      <c r="AN56" s="75"/>
      <c r="AO56" s="75"/>
      <c r="AP56" s="75"/>
      <c r="AQ56" s="75"/>
      <c r="AR56" s="75"/>
      <c r="AS56" s="75"/>
      <c r="AT56" s="75"/>
    </row>
    <row r="57" spans="1:46" s="78" customFormat="1" ht="13.5">
      <c r="A57" s="75"/>
      <c r="B57" s="79"/>
      <c r="C57" s="75"/>
      <c r="F57" s="97"/>
      <c r="G57" s="97"/>
      <c r="H57" s="97"/>
      <c r="I57" s="93"/>
      <c r="J57" s="86"/>
      <c r="K57" s="93"/>
      <c r="L57" s="86"/>
      <c r="M57" s="86"/>
      <c r="N57" s="86"/>
      <c r="O57" s="93"/>
      <c r="P57" s="86"/>
      <c r="Q57" s="93"/>
      <c r="R57" s="86"/>
      <c r="S57" s="93"/>
      <c r="T57" s="86"/>
      <c r="U57" s="93"/>
      <c r="V57" s="86"/>
      <c r="W57" s="93"/>
      <c r="X57" s="86"/>
      <c r="Y57" s="93"/>
      <c r="Z57" s="86"/>
      <c r="AA57" s="93"/>
      <c r="AB57" s="86"/>
      <c r="AC57" s="93"/>
      <c r="AD57" s="86"/>
      <c r="AE57" s="93"/>
      <c r="AF57" s="86"/>
      <c r="AG57" s="93"/>
      <c r="AH57" s="86"/>
      <c r="AI57" s="93"/>
      <c r="AJ57" s="86"/>
      <c r="AK57" s="93"/>
      <c r="AL57" s="86"/>
      <c r="AM57" s="75"/>
      <c r="AN57" s="75"/>
      <c r="AO57" s="75"/>
      <c r="AP57" s="75"/>
      <c r="AQ57" s="75"/>
      <c r="AR57" s="75"/>
      <c r="AS57" s="75"/>
      <c r="AT57" s="75"/>
    </row>
    <row r="58" spans="1:46" s="78" customFormat="1" ht="13.5">
      <c r="A58" s="75"/>
      <c r="B58" s="79"/>
      <c r="C58" s="75"/>
      <c r="F58" s="97"/>
      <c r="G58" s="97"/>
      <c r="H58" s="97"/>
      <c r="I58" s="93"/>
      <c r="J58" s="86"/>
      <c r="K58" s="93"/>
      <c r="L58" s="86"/>
      <c r="M58" s="86"/>
      <c r="N58" s="86"/>
      <c r="O58" s="93"/>
      <c r="P58" s="86"/>
      <c r="Q58" s="93"/>
      <c r="R58" s="86"/>
      <c r="S58" s="93"/>
      <c r="T58" s="86"/>
      <c r="U58" s="93"/>
      <c r="V58" s="86"/>
      <c r="W58" s="93"/>
      <c r="X58" s="86"/>
      <c r="Y58" s="93"/>
      <c r="Z58" s="86"/>
      <c r="AA58" s="93"/>
      <c r="AB58" s="86"/>
      <c r="AC58" s="93"/>
      <c r="AD58" s="86"/>
      <c r="AE58" s="93"/>
      <c r="AF58" s="86"/>
      <c r="AG58" s="93"/>
      <c r="AH58" s="86"/>
      <c r="AI58" s="93"/>
      <c r="AJ58" s="86"/>
      <c r="AK58" s="93"/>
      <c r="AL58" s="86"/>
      <c r="AM58" s="75"/>
      <c r="AN58" s="75"/>
      <c r="AO58" s="75"/>
      <c r="AP58" s="75"/>
      <c r="AQ58" s="75"/>
      <c r="AR58" s="75"/>
      <c r="AS58" s="75"/>
      <c r="AT58" s="75"/>
    </row>
    <row r="59" spans="1:46" s="78" customFormat="1" ht="13.5">
      <c r="A59" s="75"/>
      <c r="B59" s="79"/>
      <c r="C59" s="75"/>
      <c r="F59" s="97"/>
      <c r="G59" s="97"/>
      <c r="H59" s="97"/>
      <c r="I59" s="93"/>
      <c r="J59" s="86"/>
      <c r="K59" s="93"/>
      <c r="L59" s="86"/>
      <c r="M59" s="86"/>
      <c r="N59" s="86"/>
      <c r="O59" s="93"/>
      <c r="P59" s="86"/>
      <c r="Q59" s="93"/>
      <c r="R59" s="86"/>
      <c r="S59" s="93"/>
      <c r="T59" s="86"/>
      <c r="U59" s="93"/>
      <c r="V59" s="86"/>
      <c r="W59" s="93"/>
      <c r="X59" s="86"/>
      <c r="Y59" s="93"/>
      <c r="Z59" s="86"/>
      <c r="AA59" s="93"/>
      <c r="AB59" s="86"/>
      <c r="AC59" s="93"/>
      <c r="AD59" s="86"/>
      <c r="AE59" s="93"/>
      <c r="AF59" s="86"/>
      <c r="AG59" s="93"/>
      <c r="AH59" s="86"/>
      <c r="AI59" s="93"/>
      <c r="AJ59" s="86"/>
      <c r="AK59" s="93"/>
      <c r="AL59" s="86"/>
      <c r="AM59" s="75"/>
      <c r="AN59" s="75"/>
      <c r="AO59" s="75"/>
      <c r="AP59" s="75"/>
      <c r="AQ59" s="75"/>
      <c r="AR59" s="75"/>
      <c r="AS59" s="75"/>
      <c r="AT59" s="75"/>
    </row>
    <row r="60" spans="1:46" s="78" customFormat="1" ht="13.5">
      <c r="A60" s="75"/>
      <c r="B60" s="79"/>
      <c r="C60" s="75"/>
      <c r="F60" s="97"/>
      <c r="G60" s="97"/>
      <c r="H60" s="97"/>
      <c r="I60" s="93"/>
      <c r="J60" s="86"/>
      <c r="K60" s="93"/>
      <c r="L60" s="86"/>
      <c r="M60" s="86"/>
      <c r="N60" s="86"/>
      <c r="O60" s="93"/>
      <c r="P60" s="86"/>
      <c r="Q60" s="93"/>
      <c r="R60" s="86"/>
      <c r="S60" s="93"/>
      <c r="T60" s="86"/>
      <c r="U60" s="93"/>
      <c r="V60" s="86"/>
      <c r="W60" s="93"/>
      <c r="X60" s="86"/>
      <c r="Y60" s="93"/>
      <c r="Z60" s="86"/>
      <c r="AA60" s="93"/>
      <c r="AB60" s="86"/>
      <c r="AC60" s="93"/>
      <c r="AD60" s="86"/>
      <c r="AE60" s="93"/>
      <c r="AF60" s="86"/>
      <c r="AG60" s="93"/>
      <c r="AH60" s="86"/>
      <c r="AI60" s="93"/>
      <c r="AJ60" s="86"/>
      <c r="AK60" s="93"/>
      <c r="AL60" s="86"/>
      <c r="AM60" s="75"/>
      <c r="AN60" s="75"/>
      <c r="AO60" s="75"/>
      <c r="AP60" s="75"/>
      <c r="AQ60" s="75"/>
      <c r="AR60" s="75"/>
      <c r="AS60" s="75"/>
      <c r="AT60" s="75"/>
    </row>
    <row r="61" spans="1:46" s="78" customFormat="1" ht="13.5">
      <c r="A61" s="75"/>
      <c r="B61" s="79"/>
      <c r="C61" s="75"/>
      <c r="F61" s="97"/>
      <c r="G61" s="97"/>
      <c r="H61" s="97"/>
      <c r="I61" s="93"/>
      <c r="J61" s="86"/>
      <c r="K61" s="93"/>
      <c r="L61" s="86"/>
      <c r="M61" s="86"/>
      <c r="N61" s="86"/>
      <c r="O61" s="93"/>
      <c r="P61" s="86"/>
      <c r="Q61" s="93"/>
      <c r="R61" s="86"/>
      <c r="S61" s="93"/>
      <c r="T61" s="86"/>
      <c r="U61" s="93"/>
      <c r="V61" s="86"/>
      <c r="W61" s="93"/>
      <c r="X61" s="86"/>
      <c r="Y61" s="93"/>
      <c r="Z61" s="86"/>
      <c r="AA61" s="93"/>
      <c r="AB61" s="86"/>
      <c r="AC61" s="93"/>
      <c r="AD61" s="86"/>
      <c r="AE61" s="93"/>
      <c r="AF61" s="86"/>
      <c r="AG61" s="93"/>
      <c r="AH61" s="86"/>
      <c r="AI61" s="93"/>
      <c r="AJ61" s="86"/>
      <c r="AK61" s="93"/>
      <c r="AL61" s="86"/>
      <c r="AM61" s="75"/>
      <c r="AN61" s="75"/>
      <c r="AO61" s="75"/>
      <c r="AP61" s="75"/>
      <c r="AQ61" s="75"/>
      <c r="AR61" s="75"/>
      <c r="AS61" s="75"/>
      <c r="AT61" s="75"/>
    </row>
    <row r="62" spans="1:46" s="78" customFormat="1" ht="13.5">
      <c r="A62" s="75"/>
      <c r="B62" s="79"/>
      <c r="C62" s="75"/>
      <c r="F62" s="97"/>
      <c r="G62" s="97"/>
      <c r="H62" s="97"/>
      <c r="I62" s="93"/>
      <c r="J62" s="86"/>
      <c r="K62" s="93"/>
      <c r="L62" s="86"/>
      <c r="M62" s="86"/>
      <c r="N62" s="86"/>
      <c r="O62" s="93"/>
      <c r="P62" s="86"/>
      <c r="Q62" s="93"/>
      <c r="R62" s="86"/>
      <c r="S62" s="93"/>
      <c r="T62" s="86"/>
      <c r="U62" s="93"/>
      <c r="V62" s="86"/>
      <c r="W62" s="93"/>
      <c r="X62" s="86"/>
      <c r="Y62" s="93"/>
      <c r="Z62" s="86"/>
      <c r="AA62" s="93"/>
      <c r="AB62" s="86"/>
      <c r="AC62" s="93"/>
      <c r="AD62" s="86"/>
      <c r="AE62" s="93"/>
      <c r="AF62" s="86"/>
      <c r="AG62" s="93"/>
      <c r="AH62" s="86"/>
      <c r="AI62" s="93"/>
      <c r="AJ62" s="86"/>
      <c r="AK62" s="93"/>
      <c r="AL62" s="86"/>
      <c r="AM62" s="75"/>
      <c r="AN62" s="75"/>
      <c r="AO62" s="75"/>
      <c r="AP62" s="75"/>
      <c r="AQ62" s="75"/>
      <c r="AR62" s="75"/>
      <c r="AS62" s="75"/>
      <c r="AT62" s="75"/>
    </row>
    <row r="63" spans="1:46" s="78" customFormat="1" ht="13.5">
      <c r="A63" s="75"/>
      <c r="B63" s="79"/>
      <c r="C63" s="75"/>
      <c r="F63" s="97"/>
      <c r="G63" s="97"/>
      <c r="H63" s="97"/>
      <c r="I63" s="93"/>
      <c r="J63" s="86"/>
      <c r="K63" s="93"/>
      <c r="L63" s="86"/>
      <c r="M63" s="86"/>
      <c r="N63" s="86"/>
      <c r="O63" s="93"/>
      <c r="P63" s="86"/>
      <c r="Q63" s="93"/>
      <c r="R63" s="86"/>
      <c r="S63" s="93"/>
      <c r="T63" s="86"/>
      <c r="U63" s="93"/>
      <c r="V63" s="86"/>
      <c r="W63" s="93"/>
      <c r="X63" s="86"/>
      <c r="Y63" s="93"/>
      <c r="Z63" s="86"/>
      <c r="AA63" s="93"/>
      <c r="AB63" s="86"/>
      <c r="AC63" s="93"/>
      <c r="AD63" s="86"/>
      <c r="AE63" s="93"/>
      <c r="AF63" s="86"/>
      <c r="AG63" s="93"/>
      <c r="AH63" s="86"/>
      <c r="AI63" s="93"/>
      <c r="AJ63" s="86"/>
      <c r="AK63" s="93"/>
      <c r="AL63" s="86"/>
      <c r="AM63" s="75"/>
      <c r="AN63" s="75"/>
      <c r="AO63" s="75"/>
      <c r="AP63" s="75"/>
      <c r="AQ63" s="75"/>
      <c r="AR63" s="75"/>
      <c r="AS63" s="75"/>
      <c r="AT63" s="75"/>
    </row>
    <row r="64" spans="1:46" s="78" customFormat="1" ht="13.5">
      <c r="A64" s="75"/>
      <c r="B64" s="79"/>
      <c r="C64" s="75"/>
      <c r="F64" s="97"/>
      <c r="G64" s="97"/>
      <c r="H64" s="97"/>
      <c r="I64" s="93"/>
      <c r="J64" s="86"/>
      <c r="K64" s="93"/>
      <c r="L64" s="86"/>
      <c r="M64" s="86"/>
      <c r="N64" s="86"/>
      <c r="O64" s="93"/>
      <c r="P64" s="86"/>
      <c r="Q64" s="93"/>
      <c r="R64" s="86"/>
      <c r="S64" s="93"/>
      <c r="T64" s="86"/>
      <c r="U64" s="93"/>
      <c r="V64" s="86"/>
      <c r="W64" s="93"/>
      <c r="X64" s="86"/>
      <c r="Y64" s="93"/>
      <c r="Z64" s="86"/>
      <c r="AA64" s="93"/>
      <c r="AB64" s="86"/>
      <c r="AC64" s="93"/>
      <c r="AD64" s="86"/>
      <c r="AE64" s="93"/>
      <c r="AF64" s="86"/>
      <c r="AG64" s="93"/>
      <c r="AH64" s="86"/>
      <c r="AI64" s="93"/>
      <c r="AJ64" s="86"/>
      <c r="AK64" s="93"/>
      <c r="AL64" s="86"/>
      <c r="AM64" s="75"/>
      <c r="AN64" s="75"/>
      <c r="AO64" s="75"/>
      <c r="AP64" s="75"/>
      <c r="AQ64" s="75"/>
      <c r="AR64" s="75"/>
      <c r="AS64" s="75"/>
      <c r="AT64" s="75"/>
    </row>
    <row r="65" spans="1:46" s="78" customFormat="1" ht="13.5">
      <c r="A65" s="75"/>
      <c r="B65" s="79"/>
      <c r="C65" s="75"/>
      <c r="F65" s="97"/>
      <c r="G65" s="97"/>
      <c r="H65" s="97"/>
      <c r="I65" s="93"/>
      <c r="J65" s="86"/>
      <c r="K65" s="93"/>
      <c r="L65" s="86"/>
      <c r="M65" s="86"/>
      <c r="N65" s="86"/>
      <c r="O65" s="93"/>
      <c r="P65" s="86"/>
      <c r="Q65" s="93"/>
      <c r="R65" s="86"/>
      <c r="S65" s="93"/>
      <c r="T65" s="86"/>
      <c r="U65" s="93"/>
      <c r="V65" s="86"/>
      <c r="W65" s="93"/>
      <c r="X65" s="86"/>
      <c r="Y65" s="93"/>
      <c r="Z65" s="86"/>
      <c r="AA65" s="93"/>
      <c r="AB65" s="86"/>
      <c r="AC65" s="93"/>
      <c r="AD65" s="86"/>
      <c r="AE65" s="93"/>
      <c r="AF65" s="86"/>
      <c r="AG65" s="93"/>
      <c r="AH65" s="86"/>
      <c r="AI65" s="93"/>
      <c r="AJ65" s="86"/>
      <c r="AK65" s="93"/>
      <c r="AL65" s="86"/>
      <c r="AM65" s="75"/>
      <c r="AN65" s="75"/>
      <c r="AO65" s="75"/>
      <c r="AP65" s="75"/>
      <c r="AQ65" s="75"/>
      <c r="AR65" s="75"/>
      <c r="AS65" s="75"/>
      <c r="AT65" s="75"/>
    </row>
    <row r="66" spans="1:46" s="78" customFormat="1" ht="13.5">
      <c r="A66" s="75"/>
      <c r="B66" s="79"/>
      <c r="C66" s="75"/>
      <c r="F66" s="97"/>
      <c r="G66" s="97"/>
      <c r="H66" s="97"/>
      <c r="I66" s="93"/>
      <c r="J66" s="86"/>
      <c r="K66" s="93"/>
      <c r="L66" s="86"/>
      <c r="M66" s="86"/>
      <c r="N66" s="86"/>
      <c r="O66" s="93"/>
      <c r="P66" s="86"/>
      <c r="Q66" s="93"/>
      <c r="R66" s="86"/>
      <c r="S66" s="93"/>
      <c r="T66" s="86"/>
      <c r="U66" s="93"/>
      <c r="V66" s="86"/>
      <c r="W66" s="93"/>
      <c r="X66" s="86"/>
      <c r="Y66" s="93"/>
      <c r="Z66" s="86"/>
      <c r="AA66" s="93"/>
      <c r="AB66" s="86"/>
      <c r="AC66" s="93"/>
      <c r="AD66" s="86"/>
      <c r="AE66" s="93"/>
      <c r="AF66" s="86"/>
      <c r="AG66" s="93"/>
      <c r="AH66" s="86"/>
      <c r="AI66" s="93"/>
      <c r="AJ66" s="86"/>
      <c r="AK66" s="93"/>
      <c r="AL66" s="86"/>
      <c r="AM66" s="75"/>
      <c r="AN66" s="75"/>
      <c r="AO66" s="75"/>
      <c r="AP66" s="75"/>
      <c r="AQ66" s="75"/>
      <c r="AR66" s="75"/>
      <c r="AS66" s="75"/>
      <c r="AT66" s="75"/>
    </row>
    <row r="67" spans="1:46" s="78" customFormat="1" ht="13.5">
      <c r="A67" s="75"/>
      <c r="B67" s="79"/>
      <c r="C67" s="75"/>
      <c r="F67" s="97"/>
      <c r="G67" s="97"/>
      <c r="H67" s="97"/>
      <c r="I67" s="93"/>
      <c r="J67" s="86"/>
      <c r="K67" s="93"/>
      <c r="L67" s="86"/>
      <c r="M67" s="86"/>
      <c r="N67" s="86"/>
      <c r="O67" s="93"/>
      <c r="P67" s="86"/>
      <c r="Q67" s="93"/>
      <c r="R67" s="86"/>
      <c r="S67" s="93"/>
      <c r="T67" s="86"/>
      <c r="U67" s="93"/>
      <c r="V67" s="86"/>
      <c r="W67" s="93"/>
      <c r="X67" s="86"/>
      <c r="Y67" s="93"/>
      <c r="Z67" s="86"/>
      <c r="AA67" s="93"/>
      <c r="AB67" s="86"/>
      <c r="AC67" s="93"/>
      <c r="AD67" s="86"/>
      <c r="AE67" s="93"/>
      <c r="AF67" s="86"/>
      <c r="AG67" s="93"/>
      <c r="AH67" s="86"/>
      <c r="AI67" s="93"/>
      <c r="AJ67" s="86"/>
      <c r="AK67" s="93"/>
      <c r="AL67" s="86"/>
      <c r="AM67" s="75"/>
      <c r="AN67" s="75"/>
      <c r="AO67" s="75"/>
      <c r="AP67" s="75"/>
      <c r="AQ67" s="75"/>
      <c r="AR67" s="75"/>
      <c r="AS67" s="75"/>
      <c r="AT67" s="75"/>
    </row>
    <row r="68" spans="1:46" s="78" customFormat="1" ht="13.5">
      <c r="A68" s="75"/>
      <c r="B68" s="79"/>
      <c r="C68" s="75"/>
      <c r="F68" s="97"/>
      <c r="G68" s="97"/>
      <c r="H68" s="97"/>
      <c r="I68" s="93"/>
      <c r="J68" s="86"/>
      <c r="K68" s="93"/>
      <c r="L68" s="86"/>
      <c r="M68" s="86"/>
      <c r="N68" s="86"/>
      <c r="O68" s="93"/>
      <c r="P68" s="86"/>
      <c r="Q68" s="93"/>
      <c r="R68" s="86"/>
      <c r="S68" s="93"/>
      <c r="T68" s="86"/>
      <c r="U68" s="93"/>
      <c r="V68" s="86"/>
      <c r="W68" s="93"/>
      <c r="X68" s="86"/>
      <c r="Y68" s="93"/>
      <c r="Z68" s="86"/>
      <c r="AA68" s="93"/>
      <c r="AB68" s="86"/>
      <c r="AC68" s="93"/>
      <c r="AD68" s="86"/>
      <c r="AE68" s="93"/>
      <c r="AF68" s="86"/>
      <c r="AG68" s="93"/>
      <c r="AH68" s="86"/>
      <c r="AI68" s="93"/>
      <c r="AJ68" s="86"/>
      <c r="AK68" s="93"/>
      <c r="AL68" s="86"/>
      <c r="AM68" s="75"/>
      <c r="AN68" s="75"/>
      <c r="AO68" s="75"/>
      <c r="AP68" s="75"/>
      <c r="AQ68" s="75"/>
      <c r="AR68" s="75"/>
      <c r="AS68" s="75"/>
      <c r="AT68" s="75"/>
    </row>
    <row r="69" spans="1:46" s="78" customFormat="1" ht="13.5">
      <c r="A69" s="75"/>
      <c r="B69" s="79"/>
      <c r="C69" s="75"/>
      <c r="F69" s="97"/>
      <c r="G69" s="97"/>
      <c r="H69" s="97"/>
      <c r="I69" s="93"/>
      <c r="J69" s="86"/>
      <c r="K69" s="93"/>
      <c r="L69" s="86"/>
      <c r="M69" s="86"/>
      <c r="N69" s="86"/>
      <c r="O69" s="93"/>
      <c r="P69" s="86"/>
      <c r="Q69" s="93"/>
      <c r="R69" s="86"/>
      <c r="S69" s="93"/>
      <c r="T69" s="86"/>
      <c r="U69" s="93"/>
      <c r="V69" s="86"/>
      <c r="W69" s="93"/>
      <c r="X69" s="86"/>
      <c r="Y69" s="93"/>
      <c r="Z69" s="86"/>
      <c r="AA69" s="93"/>
      <c r="AB69" s="86"/>
      <c r="AC69" s="93"/>
      <c r="AD69" s="86"/>
      <c r="AE69" s="93"/>
      <c r="AF69" s="86"/>
      <c r="AG69" s="93"/>
      <c r="AH69" s="86"/>
      <c r="AI69" s="93"/>
      <c r="AJ69" s="86"/>
      <c r="AK69" s="93"/>
      <c r="AL69" s="86"/>
      <c r="AM69" s="75"/>
      <c r="AN69" s="75"/>
      <c r="AO69" s="75"/>
      <c r="AP69" s="75"/>
      <c r="AQ69" s="75"/>
      <c r="AR69" s="75"/>
      <c r="AS69" s="75"/>
      <c r="AT69" s="75"/>
    </row>
    <row r="70" spans="1:46" s="78" customFormat="1" ht="13.5">
      <c r="A70" s="75"/>
      <c r="B70" s="79"/>
      <c r="C70" s="75"/>
      <c r="F70" s="97"/>
      <c r="G70" s="97"/>
      <c r="H70" s="97"/>
      <c r="I70" s="93"/>
      <c r="J70" s="86"/>
      <c r="K70" s="93"/>
      <c r="L70" s="86"/>
      <c r="M70" s="86"/>
      <c r="N70" s="86"/>
      <c r="O70" s="93"/>
      <c r="P70" s="86"/>
      <c r="Q70" s="93"/>
      <c r="R70" s="86"/>
      <c r="S70" s="93"/>
      <c r="T70" s="86"/>
      <c r="U70" s="93"/>
      <c r="V70" s="86"/>
      <c r="W70" s="93"/>
      <c r="X70" s="86"/>
      <c r="Y70" s="93"/>
      <c r="Z70" s="86"/>
      <c r="AA70" s="93"/>
      <c r="AB70" s="86"/>
      <c r="AC70" s="93"/>
      <c r="AD70" s="86"/>
      <c r="AE70" s="93"/>
      <c r="AF70" s="86"/>
      <c r="AG70" s="93"/>
      <c r="AH70" s="86"/>
      <c r="AI70" s="93"/>
      <c r="AJ70" s="86"/>
      <c r="AK70" s="93"/>
      <c r="AL70" s="86"/>
      <c r="AM70" s="75"/>
      <c r="AN70" s="75"/>
      <c r="AO70" s="75"/>
      <c r="AP70" s="75"/>
      <c r="AQ70" s="75"/>
      <c r="AR70" s="75"/>
      <c r="AS70" s="75"/>
      <c r="AT70" s="75"/>
    </row>
    <row r="71" spans="1:46" s="78" customFormat="1" ht="13.5">
      <c r="A71" s="75"/>
      <c r="B71" s="79"/>
      <c r="C71" s="75"/>
      <c r="F71" s="97"/>
      <c r="G71" s="97"/>
      <c r="H71" s="97"/>
      <c r="I71" s="93"/>
      <c r="J71" s="86"/>
      <c r="K71" s="93"/>
      <c r="L71" s="86"/>
      <c r="M71" s="86"/>
      <c r="N71" s="86"/>
      <c r="O71" s="93"/>
      <c r="P71" s="86"/>
      <c r="Q71" s="93"/>
      <c r="R71" s="86"/>
      <c r="S71" s="93"/>
      <c r="T71" s="86"/>
      <c r="U71" s="93"/>
      <c r="V71" s="86"/>
      <c r="W71" s="93"/>
      <c r="X71" s="86"/>
      <c r="Y71" s="93"/>
      <c r="Z71" s="86"/>
      <c r="AA71" s="93"/>
      <c r="AB71" s="86"/>
      <c r="AC71" s="93"/>
      <c r="AD71" s="86"/>
      <c r="AE71" s="93"/>
      <c r="AF71" s="86"/>
      <c r="AG71" s="93"/>
      <c r="AH71" s="86"/>
      <c r="AI71" s="93"/>
      <c r="AJ71" s="86"/>
      <c r="AK71" s="93"/>
      <c r="AL71" s="86"/>
      <c r="AM71" s="75"/>
      <c r="AN71" s="75"/>
      <c r="AO71" s="75"/>
      <c r="AP71" s="75"/>
      <c r="AQ71" s="75"/>
      <c r="AR71" s="75"/>
      <c r="AS71" s="75"/>
      <c r="AT71" s="75"/>
    </row>
    <row r="72" spans="1:46" s="78" customFormat="1" ht="13.5">
      <c r="A72" s="75"/>
      <c r="B72" s="79"/>
      <c r="C72" s="75"/>
      <c r="F72" s="97"/>
      <c r="G72" s="97"/>
      <c r="H72" s="97"/>
      <c r="I72" s="93"/>
      <c r="J72" s="86"/>
      <c r="K72" s="93"/>
      <c r="L72" s="86"/>
      <c r="M72" s="86"/>
      <c r="N72" s="86"/>
      <c r="O72" s="93"/>
      <c r="P72" s="86"/>
      <c r="Q72" s="93"/>
      <c r="R72" s="86"/>
      <c r="S72" s="93"/>
      <c r="T72" s="86"/>
      <c r="U72" s="93"/>
      <c r="V72" s="86"/>
      <c r="W72" s="93"/>
      <c r="X72" s="86"/>
      <c r="Y72" s="93"/>
      <c r="Z72" s="86"/>
      <c r="AA72" s="93"/>
      <c r="AB72" s="86"/>
      <c r="AC72" s="93"/>
      <c r="AD72" s="86"/>
      <c r="AE72" s="93"/>
      <c r="AF72" s="86"/>
      <c r="AG72" s="93"/>
      <c r="AH72" s="86"/>
      <c r="AI72" s="93"/>
      <c r="AJ72" s="86"/>
      <c r="AK72" s="93"/>
      <c r="AL72" s="86"/>
      <c r="AM72" s="75"/>
      <c r="AN72" s="75"/>
      <c r="AO72" s="75"/>
      <c r="AP72" s="75"/>
      <c r="AQ72" s="75"/>
      <c r="AR72" s="75"/>
      <c r="AS72" s="75"/>
      <c r="AT72" s="75"/>
    </row>
    <row r="73" spans="1:46" s="78" customFormat="1" ht="13.5">
      <c r="A73" s="75"/>
      <c r="B73" s="79"/>
      <c r="C73" s="75"/>
      <c r="F73" s="97"/>
      <c r="G73" s="97"/>
      <c r="H73" s="97"/>
      <c r="I73" s="93"/>
      <c r="J73" s="86"/>
      <c r="K73" s="93"/>
      <c r="L73" s="86"/>
      <c r="M73" s="86"/>
      <c r="N73" s="86"/>
      <c r="O73" s="93"/>
      <c r="P73" s="86"/>
      <c r="Q73" s="93"/>
      <c r="R73" s="86"/>
      <c r="S73" s="93"/>
      <c r="T73" s="86"/>
      <c r="U73" s="93"/>
      <c r="V73" s="86"/>
      <c r="W73" s="93"/>
      <c r="X73" s="86"/>
      <c r="Y73" s="93"/>
      <c r="Z73" s="86"/>
      <c r="AA73" s="93"/>
      <c r="AB73" s="86"/>
      <c r="AC73" s="93"/>
      <c r="AD73" s="86"/>
      <c r="AE73" s="93"/>
      <c r="AF73" s="86"/>
      <c r="AG73" s="93"/>
      <c r="AH73" s="86"/>
      <c r="AI73" s="93"/>
      <c r="AJ73" s="86"/>
      <c r="AK73" s="93"/>
      <c r="AL73" s="86"/>
      <c r="AM73" s="75"/>
      <c r="AN73" s="75"/>
      <c r="AO73" s="75"/>
      <c r="AP73" s="75"/>
      <c r="AQ73" s="75"/>
      <c r="AR73" s="75"/>
      <c r="AS73" s="75"/>
      <c r="AT73" s="75"/>
    </row>
    <row r="74" spans="1:46" s="78" customFormat="1" ht="13.5">
      <c r="A74" s="75"/>
      <c r="B74" s="79"/>
      <c r="C74" s="75"/>
      <c r="F74" s="97"/>
      <c r="G74" s="97"/>
      <c r="H74" s="97"/>
      <c r="I74" s="93"/>
      <c r="J74" s="86"/>
      <c r="K74" s="93"/>
      <c r="L74" s="86"/>
      <c r="M74" s="86"/>
      <c r="N74" s="86"/>
      <c r="O74" s="93"/>
      <c r="P74" s="86"/>
      <c r="Q74" s="93"/>
      <c r="R74" s="86"/>
      <c r="S74" s="93"/>
      <c r="T74" s="86"/>
      <c r="U74" s="93"/>
      <c r="V74" s="86"/>
      <c r="W74" s="93"/>
      <c r="X74" s="86"/>
      <c r="Y74" s="93"/>
      <c r="Z74" s="86"/>
      <c r="AA74" s="93"/>
      <c r="AB74" s="86"/>
      <c r="AC74" s="93"/>
      <c r="AD74" s="86"/>
      <c r="AE74" s="93"/>
      <c r="AF74" s="86"/>
      <c r="AG74" s="93"/>
      <c r="AH74" s="86"/>
      <c r="AI74" s="93"/>
      <c r="AJ74" s="86"/>
      <c r="AK74" s="93"/>
      <c r="AL74" s="86"/>
      <c r="AM74" s="75"/>
      <c r="AN74" s="75"/>
      <c r="AO74" s="75"/>
      <c r="AP74" s="75"/>
      <c r="AQ74" s="75"/>
      <c r="AR74" s="75"/>
      <c r="AS74" s="75"/>
      <c r="AT74" s="75"/>
    </row>
    <row r="75" spans="1:46" s="78" customFormat="1" ht="13.5">
      <c r="A75" s="75"/>
      <c r="B75" s="79"/>
      <c r="C75" s="75"/>
      <c r="F75" s="97"/>
      <c r="G75" s="97"/>
      <c r="H75" s="97"/>
      <c r="I75" s="93"/>
      <c r="J75" s="86"/>
      <c r="K75" s="93"/>
      <c r="L75" s="86"/>
      <c r="M75" s="86"/>
      <c r="N75" s="86"/>
      <c r="O75" s="93"/>
      <c r="P75" s="86"/>
      <c r="Q75" s="93"/>
      <c r="R75" s="86"/>
      <c r="S75" s="93"/>
      <c r="T75" s="86"/>
      <c r="U75" s="93"/>
      <c r="V75" s="86"/>
      <c r="W75" s="93"/>
      <c r="X75" s="86"/>
      <c r="Y75" s="93"/>
      <c r="Z75" s="86"/>
      <c r="AA75" s="93"/>
      <c r="AB75" s="86"/>
      <c r="AC75" s="93"/>
      <c r="AD75" s="86"/>
      <c r="AE75" s="93"/>
      <c r="AF75" s="86"/>
      <c r="AG75" s="93"/>
      <c r="AH75" s="86"/>
      <c r="AI75" s="93"/>
      <c r="AJ75" s="86"/>
      <c r="AK75" s="93"/>
      <c r="AL75" s="86"/>
      <c r="AM75" s="75"/>
      <c r="AN75" s="75"/>
      <c r="AO75" s="75"/>
      <c r="AP75" s="75"/>
      <c r="AQ75" s="75"/>
      <c r="AR75" s="75"/>
      <c r="AS75" s="75"/>
      <c r="AT75" s="75"/>
    </row>
    <row r="76" spans="1:46" s="78" customFormat="1" ht="13.5">
      <c r="A76" s="75"/>
      <c r="B76" s="79"/>
      <c r="C76" s="75"/>
      <c r="F76" s="97"/>
      <c r="G76" s="97"/>
      <c r="H76" s="97"/>
      <c r="I76" s="93"/>
      <c r="J76" s="86"/>
      <c r="K76" s="93"/>
      <c r="L76" s="86"/>
      <c r="M76" s="86"/>
      <c r="N76" s="86"/>
      <c r="O76" s="93"/>
      <c r="P76" s="86"/>
      <c r="Q76" s="93"/>
      <c r="R76" s="86"/>
      <c r="S76" s="93"/>
      <c r="T76" s="86"/>
      <c r="U76" s="93"/>
      <c r="V76" s="86"/>
      <c r="W76" s="93"/>
      <c r="X76" s="86"/>
      <c r="Y76" s="93"/>
      <c r="Z76" s="86"/>
      <c r="AA76" s="93"/>
      <c r="AB76" s="86"/>
      <c r="AC76" s="93"/>
      <c r="AD76" s="86"/>
      <c r="AE76" s="93"/>
      <c r="AF76" s="86"/>
      <c r="AG76" s="93"/>
      <c r="AH76" s="86"/>
      <c r="AI76" s="93"/>
      <c r="AJ76" s="86"/>
      <c r="AK76" s="93"/>
      <c r="AL76" s="86"/>
      <c r="AM76" s="75"/>
      <c r="AN76" s="75"/>
      <c r="AO76" s="75"/>
      <c r="AP76" s="75"/>
      <c r="AQ76" s="75"/>
      <c r="AR76" s="75"/>
      <c r="AS76" s="75"/>
      <c r="AT76" s="75"/>
    </row>
    <row r="77" spans="1:46" s="78" customFormat="1" ht="13.5">
      <c r="A77" s="75"/>
      <c r="B77" s="79"/>
      <c r="C77" s="75"/>
      <c r="F77" s="97"/>
      <c r="G77" s="97"/>
      <c r="H77" s="97"/>
      <c r="I77" s="93"/>
      <c r="J77" s="86"/>
      <c r="K77" s="93"/>
      <c r="L77" s="86"/>
      <c r="M77" s="86"/>
      <c r="N77" s="86"/>
      <c r="O77" s="93"/>
      <c r="P77" s="86"/>
      <c r="Q77" s="93"/>
      <c r="R77" s="86"/>
      <c r="S77" s="93"/>
      <c r="T77" s="86"/>
      <c r="U77" s="93"/>
      <c r="V77" s="86"/>
      <c r="W77" s="93"/>
      <c r="X77" s="86"/>
      <c r="Y77" s="93"/>
      <c r="Z77" s="86"/>
      <c r="AA77" s="93"/>
      <c r="AB77" s="86"/>
      <c r="AC77" s="93"/>
      <c r="AD77" s="86"/>
      <c r="AE77" s="93"/>
      <c r="AF77" s="86"/>
      <c r="AG77" s="93"/>
      <c r="AH77" s="86"/>
      <c r="AI77" s="93"/>
      <c r="AJ77" s="86"/>
      <c r="AK77" s="93"/>
      <c r="AL77" s="86"/>
      <c r="AM77" s="75"/>
      <c r="AN77" s="75"/>
      <c r="AO77" s="75"/>
      <c r="AP77" s="75"/>
      <c r="AQ77" s="75"/>
      <c r="AR77" s="75"/>
      <c r="AS77" s="75"/>
      <c r="AT77" s="75"/>
    </row>
    <row r="78" spans="1:46" s="78" customFormat="1" ht="13.5">
      <c r="A78" s="75"/>
      <c r="B78" s="79"/>
      <c r="C78" s="75"/>
      <c r="F78" s="97"/>
      <c r="G78" s="97"/>
      <c r="H78" s="97"/>
      <c r="I78" s="93"/>
      <c r="J78" s="86"/>
      <c r="K78" s="93"/>
      <c r="L78" s="86"/>
      <c r="M78" s="86"/>
      <c r="N78" s="86"/>
      <c r="O78" s="93"/>
      <c r="P78" s="86"/>
      <c r="Q78" s="93"/>
      <c r="R78" s="86"/>
      <c r="S78" s="93"/>
      <c r="T78" s="86"/>
      <c r="U78" s="93"/>
      <c r="V78" s="86"/>
      <c r="W78" s="93"/>
      <c r="X78" s="86"/>
      <c r="Y78" s="93"/>
      <c r="Z78" s="86"/>
      <c r="AA78" s="93"/>
      <c r="AB78" s="86"/>
      <c r="AC78" s="93"/>
      <c r="AD78" s="86"/>
      <c r="AE78" s="93"/>
      <c r="AF78" s="86"/>
      <c r="AG78" s="93"/>
      <c r="AH78" s="86"/>
      <c r="AI78" s="93"/>
      <c r="AJ78" s="86"/>
      <c r="AK78" s="93"/>
      <c r="AL78" s="86"/>
      <c r="AM78" s="75"/>
      <c r="AN78" s="75"/>
      <c r="AO78" s="75"/>
      <c r="AP78" s="75"/>
      <c r="AQ78" s="75"/>
      <c r="AR78" s="75"/>
      <c r="AS78" s="75"/>
      <c r="AT78" s="75"/>
    </row>
    <row r="79" spans="1:46" s="78" customFormat="1" ht="13.5">
      <c r="A79" s="75"/>
      <c r="B79" s="79"/>
      <c r="C79" s="75"/>
      <c r="F79" s="97"/>
      <c r="G79" s="97"/>
      <c r="H79" s="97"/>
      <c r="I79" s="93"/>
      <c r="J79" s="86"/>
      <c r="K79" s="93"/>
      <c r="L79" s="86"/>
      <c r="M79" s="86"/>
      <c r="N79" s="86"/>
      <c r="O79" s="93"/>
      <c r="P79" s="86"/>
      <c r="Q79" s="93"/>
      <c r="R79" s="86"/>
      <c r="S79" s="93"/>
      <c r="T79" s="86"/>
      <c r="U79" s="93"/>
      <c r="V79" s="86"/>
      <c r="W79" s="93"/>
      <c r="X79" s="86"/>
      <c r="Y79" s="93"/>
      <c r="Z79" s="86"/>
      <c r="AA79" s="93"/>
      <c r="AB79" s="86"/>
      <c r="AC79" s="93"/>
      <c r="AD79" s="86"/>
      <c r="AE79" s="93"/>
      <c r="AF79" s="86"/>
      <c r="AG79" s="93"/>
      <c r="AH79" s="86"/>
      <c r="AI79" s="93"/>
      <c r="AJ79" s="86"/>
      <c r="AK79" s="93"/>
      <c r="AL79" s="86"/>
      <c r="AM79" s="75"/>
      <c r="AN79" s="75"/>
      <c r="AO79" s="75"/>
      <c r="AP79" s="75"/>
      <c r="AQ79" s="75"/>
      <c r="AR79" s="75"/>
      <c r="AS79" s="75"/>
      <c r="AT79" s="75"/>
    </row>
    <row r="80" spans="1:46" s="78" customFormat="1" ht="13.5">
      <c r="A80" s="75"/>
      <c r="B80" s="79"/>
      <c r="C80" s="75"/>
      <c r="F80" s="97"/>
      <c r="G80" s="97"/>
      <c r="H80" s="97"/>
      <c r="I80" s="93"/>
      <c r="J80" s="86"/>
      <c r="K80" s="93"/>
      <c r="L80" s="86"/>
      <c r="M80" s="86"/>
      <c r="N80" s="86"/>
      <c r="O80" s="93"/>
      <c r="P80" s="86"/>
      <c r="Q80" s="93"/>
      <c r="R80" s="86"/>
      <c r="S80" s="93"/>
      <c r="T80" s="86"/>
      <c r="U80" s="93"/>
      <c r="V80" s="86"/>
      <c r="W80" s="93"/>
      <c r="X80" s="86"/>
      <c r="Y80" s="93"/>
      <c r="Z80" s="86"/>
      <c r="AA80" s="93"/>
      <c r="AB80" s="86"/>
      <c r="AC80" s="93"/>
      <c r="AD80" s="86"/>
      <c r="AE80" s="93"/>
      <c r="AF80" s="86"/>
      <c r="AG80" s="93"/>
      <c r="AH80" s="86"/>
      <c r="AI80" s="93"/>
      <c r="AJ80" s="86"/>
      <c r="AK80" s="93"/>
      <c r="AL80" s="86"/>
      <c r="AM80" s="75"/>
      <c r="AN80" s="75"/>
      <c r="AO80" s="75"/>
      <c r="AP80" s="75"/>
      <c r="AQ80" s="75"/>
      <c r="AR80" s="75"/>
      <c r="AS80" s="75"/>
      <c r="AT80" s="75"/>
    </row>
    <row r="81" spans="1:46" s="78" customFormat="1" ht="13.5">
      <c r="A81" s="75"/>
      <c r="B81" s="79"/>
      <c r="C81" s="75"/>
      <c r="F81" s="97"/>
      <c r="G81" s="97"/>
      <c r="H81" s="97"/>
      <c r="I81" s="93"/>
      <c r="J81" s="86"/>
      <c r="K81" s="93"/>
      <c r="L81" s="86"/>
      <c r="M81" s="86"/>
      <c r="N81" s="86"/>
      <c r="O81" s="93"/>
      <c r="P81" s="86"/>
      <c r="Q81" s="93"/>
      <c r="R81" s="86"/>
      <c r="S81" s="93"/>
      <c r="T81" s="86"/>
      <c r="U81" s="93"/>
      <c r="V81" s="86"/>
      <c r="W81" s="93"/>
      <c r="X81" s="86"/>
      <c r="Y81" s="93"/>
      <c r="Z81" s="86"/>
      <c r="AA81" s="93"/>
      <c r="AB81" s="86"/>
      <c r="AC81" s="93"/>
      <c r="AD81" s="86"/>
      <c r="AE81" s="93"/>
      <c r="AF81" s="86"/>
      <c r="AG81" s="93"/>
      <c r="AH81" s="86"/>
      <c r="AI81" s="93"/>
      <c r="AJ81" s="86"/>
      <c r="AK81" s="93"/>
      <c r="AL81" s="86"/>
      <c r="AM81" s="75"/>
      <c r="AN81" s="75"/>
      <c r="AO81" s="75"/>
      <c r="AP81" s="75"/>
      <c r="AQ81" s="75"/>
      <c r="AR81" s="75"/>
      <c r="AS81" s="75"/>
      <c r="AT81" s="75"/>
    </row>
    <row r="82" spans="1:46" s="78" customFormat="1" ht="13.5">
      <c r="A82" s="75"/>
      <c r="B82" s="79"/>
      <c r="C82" s="75"/>
      <c r="F82" s="97"/>
      <c r="G82" s="97"/>
      <c r="H82" s="97"/>
      <c r="I82" s="93"/>
      <c r="J82" s="86"/>
      <c r="K82" s="93"/>
      <c r="L82" s="86"/>
      <c r="M82" s="86"/>
      <c r="N82" s="86"/>
      <c r="O82" s="93"/>
      <c r="P82" s="86"/>
      <c r="Q82" s="93"/>
      <c r="R82" s="86"/>
      <c r="S82" s="93"/>
      <c r="T82" s="86"/>
      <c r="U82" s="93"/>
      <c r="V82" s="86"/>
      <c r="W82" s="93"/>
      <c r="X82" s="86"/>
      <c r="Y82" s="93"/>
      <c r="Z82" s="86"/>
      <c r="AA82" s="93"/>
      <c r="AB82" s="86"/>
      <c r="AC82" s="93"/>
      <c r="AD82" s="86"/>
      <c r="AE82" s="93"/>
      <c r="AF82" s="86"/>
      <c r="AG82" s="93"/>
      <c r="AH82" s="86"/>
      <c r="AI82" s="93"/>
      <c r="AJ82" s="86"/>
      <c r="AK82" s="93"/>
      <c r="AL82" s="86"/>
      <c r="AM82" s="75"/>
      <c r="AN82" s="75"/>
      <c r="AO82" s="75"/>
      <c r="AP82" s="75"/>
      <c r="AQ82" s="75"/>
      <c r="AR82" s="75"/>
      <c r="AS82" s="75"/>
      <c r="AT82" s="75"/>
    </row>
    <row r="83" spans="1:46" s="78" customFormat="1" ht="13.5">
      <c r="A83" s="75"/>
      <c r="B83" s="79"/>
      <c r="C83" s="75"/>
      <c r="F83" s="97"/>
      <c r="G83" s="97"/>
      <c r="H83" s="97"/>
      <c r="I83" s="93"/>
      <c r="J83" s="86"/>
      <c r="K83" s="93"/>
      <c r="L83" s="86"/>
      <c r="M83" s="86"/>
      <c r="N83" s="86"/>
      <c r="O83" s="93"/>
      <c r="P83" s="86"/>
      <c r="Q83" s="93"/>
      <c r="R83" s="86"/>
      <c r="S83" s="93"/>
      <c r="T83" s="86"/>
      <c r="U83" s="93"/>
      <c r="V83" s="86"/>
      <c r="W83" s="93"/>
      <c r="X83" s="86"/>
      <c r="Y83" s="93"/>
      <c r="Z83" s="86"/>
      <c r="AA83" s="93"/>
      <c r="AB83" s="86"/>
      <c r="AC83" s="93"/>
      <c r="AD83" s="86"/>
      <c r="AE83" s="93"/>
      <c r="AF83" s="86"/>
      <c r="AG83" s="93"/>
      <c r="AH83" s="86"/>
      <c r="AI83" s="93"/>
      <c r="AJ83" s="86"/>
      <c r="AK83" s="93"/>
      <c r="AL83" s="86"/>
      <c r="AM83" s="75"/>
      <c r="AN83" s="75"/>
      <c r="AO83" s="75"/>
      <c r="AP83" s="75"/>
      <c r="AQ83" s="75"/>
      <c r="AR83" s="75"/>
      <c r="AS83" s="75"/>
      <c r="AT83" s="75"/>
    </row>
    <row r="84" spans="1:46" s="78" customFormat="1" ht="13.5">
      <c r="A84" s="75"/>
      <c r="B84" s="79"/>
      <c r="C84" s="75"/>
      <c r="F84" s="97"/>
      <c r="G84" s="97"/>
      <c r="H84" s="97"/>
      <c r="I84" s="93"/>
      <c r="J84" s="86"/>
      <c r="K84" s="93"/>
      <c r="L84" s="86"/>
      <c r="M84" s="86"/>
      <c r="N84" s="86"/>
      <c r="O84" s="93"/>
      <c r="P84" s="86"/>
      <c r="Q84" s="93"/>
      <c r="R84" s="86"/>
      <c r="S84" s="93"/>
      <c r="T84" s="86"/>
      <c r="U84" s="93"/>
      <c r="V84" s="86"/>
      <c r="W84" s="93"/>
      <c r="X84" s="86"/>
      <c r="Y84" s="93"/>
      <c r="Z84" s="86"/>
      <c r="AA84" s="93"/>
      <c r="AB84" s="86"/>
      <c r="AC84" s="93"/>
      <c r="AD84" s="86"/>
      <c r="AE84" s="93"/>
      <c r="AF84" s="86"/>
      <c r="AG84" s="93"/>
      <c r="AH84" s="86"/>
      <c r="AI84" s="93"/>
      <c r="AJ84" s="86"/>
      <c r="AK84" s="93"/>
      <c r="AL84" s="86"/>
      <c r="AM84" s="75"/>
      <c r="AN84" s="75"/>
      <c r="AO84" s="75"/>
      <c r="AP84" s="75"/>
      <c r="AQ84" s="75"/>
      <c r="AR84" s="75"/>
      <c r="AS84" s="75"/>
      <c r="AT84" s="75"/>
    </row>
    <row r="85" spans="1:46" s="78" customFormat="1" ht="13.5">
      <c r="A85" s="75"/>
      <c r="B85" s="79"/>
      <c r="C85" s="75"/>
      <c r="F85" s="97"/>
      <c r="G85" s="97"/>
      <c r="H85" s="97"/>
      <c r="I85" s="93"/>
      <c r="J85" s="86"/>
      <c r="K85" s="93"/>
      <c r="L85" s="86"/>
      <c r="M85" s="86"/>
      <c r="N85" s="86"/>
      <c r="O85" s="93"/>
      <c r="P85" s="86"/>
      <c r="Q85" s="93"/>
      <c r="R85" s="86"/>
      <c r="S85" s="93"/>
      <c r="T85" s="86"/>
      <c r="U85" s="93"/>
      <c r="V85" s="86"/>
      <c r="W85" s="93"/>
      <c r="X85" s="86"/>
      <c r="Y85" s="93"/>
      <c r="Z85" s="86"/>
      <c r="AA85" s="93"/>
      <c r="AB85" s="86"/>
      <c r="AC85" s="93"/>
      <c r="AD85" s="86"/>
      <c r="AE85" s="93"/>
      <c r="AF85" s="86"/>
      <c r="AG85" s="93"/>
      <c r="AH85" s="86"/>
      <c r="AI85" s="93"/>
      <c r="AJ85" s="86"/>
      <c r="AK85" s="93"/>
      <c r="AL85" s="86"/>
      <c r="AM85" s="75"/>
      <c r="AN85" s="75"/>
      <c r="AO85" s="75"/>
      <c r="AP85" s="75"/>
      <c r="AQ85" s="75"/>
      <c r="AR85" s="75"/>
      <c r="AS85" s="75"/>
      <c r="AT85" s="75"/>
    </row>
    <row r="86" spans="1:46" s="78" customFormat="1" ht="13.5">
      <c r="A86" s="75"/>
      <c r="B86" s="79"/>
      <c r="C86" s="75"/>
      <c r="F86" s="97"/>
      <c r="G86" s="97"/>
      <c r="H86" s="97"/>
      <c r="I86" s="93"/>
      <c r="J86" s="86"/>
      <c r="K86" s="93"/>
      <c r="L86" s="86"/>
      <c r="M86" s="86"/>
      <c r="N86" s="86"/>
      <c r="O86" s="93"/>
      <c r="P86" s="86"/>
      <c r="Q86" s="93"/>
      <c r="R86" s="86"/>
      <c r="S86" s="93"/>
      <c r="T86" s="86"/>
      <c r="U86" s="93"/>
      <c r="V86" s="86"/>
      <c r="W86" s="93"/>
      <c r="X86" s="86"/>
      <c r="Y86" s="93"/>
      <c r="Z86" s="86"/>
      <c r="AA86" s="93"/>
      <c r="AB86" s="86"/>
      <c r="AC86" s="93"/>
      <c r="AD86" s="86"/>
      <c r="AE86" s="93"/>
      <c r="AF86" s="86"/>
      <c r="AG86" s="93"/>
      <c r="AH86" s="86"/>
      <c r="AI86" s="93"/>
      <c r="AJ86" s="86"/>
      <c r="AK86" s="93"/>
      <c r="AL86" s="86"/>
      <c r="AM86" s="75"/>
      <c r="AN86" s="75"/>
      <c r="AO86" s="75"/>
      <c r="AP86" s="75"/>
      <c r="AQ86" s="75"/>
      <c r="AR86" s="75"/>
      <c r="AS86" s="75"/>
      <c r="AT86" s="75"/>
    </row>
    <row r="87" spans="1:46" s="78" customFormat="1" ht="13.5">
      <c r="A87" s="75"/>
      <c r="B87" s="79"/>
      <c r="C87" s="75"/>
      <c r="F87" s="97"/>
      <c r="G87" s="97"/>
      <c r="H87" s="97"/>
      <c r="I87" s="93"/>
      <c r="J87" s="86"/>
      <c r="K87" s="93"/>
      <c r="L87" s="86"/>
      <c r="M87" s="86"/>
      <c r="N87" s="86"/>
      <c r="O87" s="93"/>
      <c r="P87" s="86"/>
      <c r="Q87" s="93"/>
      <c r="R87" s="86"/>
      <c r="S87" s="93"/>
      <c r="T87" s="86"/>
      <c r="U87" s="93"/>
      <c r="V87" s="86"/>
      <c r="W87" s="93"/>
      <c r="X87" s="86"/>
      <c r="Y87" s="93"/>
      <c r="Z87" s="86"/>
      <c r="AA87" s="93"/>
      <c r="AB87" s="86"/>
      <c r="AC87" s="93"/>
      <c r="AD87" s="86"/>
      <c r="AE87" s="93"/>
      <c r="AF87" s="86"/>
      <c r="AG87" s="93"/>
      <c r="AH87" s="86"/>
      <c r="AI87" s="93"/>
      <c r="AJ87" s="86"/>
      <c r="AK87" s="93"/>
      <c r="AL87" s="86"/>
      <c r="AM87" s="75"/>
      <c r="AN87" s="75"/>
      <c r="AO87" s="75"/>
      <c r="AP87" s="75"/>
      <c r="AQ87" s="75"/>
      <c r="AR87" s="75"/>
      <c r="AS87" s="75"/>
      <c r="AT87" s="75"/>
    </row>
    <row r="88" spans="1:46" s="78" customFormat="1" ht="13.5">
      <c r="A88" s="75"/>
      <c r="B88" s="79"/>
      <c r="C88" s="75"/>
      <c r="F88" s="97"/>
      <c r="G88" s="97"/>
      <c r="H88" s="97"/>
      <c r="I88" s="93"/>
      <c r="J88" s="86"/>
      <c r="K88" s="93"/>
      <c r="L88" s="86"/>
      <c r="M88" s="86"/>
      <c r="N88" s="86"/>
      <c r="O88" s="93"/>
      <c r="P88" s="86"/>
      <c r="Q88" s="93"/>
      <c r="R88" s="86"/>
      <c r="S88" s="93"/>
      <c r="T88" s="86"/>
      <c r="U88" s="93"/>
      <c r="V88" s="86"/>
      <c r="W88" s="93"/>
      <c r="X88" s="86"/>
      <c r="Y88" s="93"/>
      <c r="Z88" s="86"/>
      <c r="AA88" s="93"/>
      <c r="AB88" s="86"/>
      <c r="AC88" s="93"/>
      <c r="AD88" s="86"/>
      <c r="AE88" s="93"/>
      <c r="AF88" s="86"/>
      <c r="AG88" s="93"/>
      <c r="AH88" s="86"/>
      <c r="AI88" s="93"/>
      <c r="AJ88" s="86"/>
      <c r="AK88" s="93"/>
      <c r="AL88" s="86"/>
      <c r="AM88" s="75"/>
      <c r="AN88" s="75"/>
      <c r="AO88" s="75"/>
      <c r="AP88" s="75"/>
      <c r="AQ88" s="75"/>
      <c r="AR88" s="75"/>
      <c r="AS88" s="75"/>
      <c r="AT88" s="75"/>
    </row>
    <row r="89" spans="1:46" s="78" customFormat="1" ht="13.5">
      <c r="A89" s="75"/>
      <c r="B89" s="79"/>
      <c r="C89" s="75"/>
      <c r="F89" s="97"/>
      <c r="G89" s="97"/>
      <c r="H89" s="97"/>
      <c r="I89" s="93"/>
      <c r="J89" s="86"/>
      <c r="K89" s="93"/>
      <c r="L89" s="86"/>
      <c r="M89" s="86"/>
      <c r="N89" s="86"/>
      <c r="O89" s="93"/>
      <c r="P89" s="86"/>
      <c r="Q89" s="93"/>
      <c r="R89" s="86"/>
      <c r="S89" s="93"/>
      <c r="T89" s="86"/>
      <c r="U89" s="93"/>
      <c r="V89" s="86"/>
      <c r="W89" s="93"/>
      <c r="X89" s="86"/>
      <c r="Y89" s="93"/>
      <c r="Z89" s="86"/>
      <c r="AA89" s="93"/>
      <c r="AB89" s="86"/>
      <c r="AC89" s="93"/>
      <c r="AD89" s="86"/>
      <c r="AE89" s="93"/>
      <c r="AF89" s="86"/>
      <c r="AG89" s="93"/>
      <c r="AH89" s="86"/>
      <c r="AI89" s="93"/>
      <c r="AJ89" s="86"/>
      <c r="AK89" s="93"/>
      <c r="AL89" s="86"/>
      <c r="AM89" s="75"/>
      <c r="AN89" s="75"/>
      <c r="AO89" s="75"/>
      <c r="AP89" s="75"/>
      <c r="AQ89" s="75"/>
      <c r="AR89" s="75"/>
      <c r="AS89" s="75"/>
      <c r="AT89" s="75"/>
    </row>
    <row r="90" spans="1:46" s="78" customFormat="1" ht="13.5">
      <c r="A90" s="75"/>
      <c r="B90" s="79"/>
      <c r="C90" s="75"/>
      <c r="F90" s="97"/>
      <c r="G90" s="97"/>
      <c r="H90" s="97"/>
      <c r="I90" s="93"/>
      <c r="J90" s="86"/>
      <c r="K90" s="93"/>
      <c r="L90" s="86"/>
      <c r="M90" s="86"/>
      <c r="N90" s="86"/>
      <c r="O90" s="93"/>
      <c r="P90" s="86"/>
      <c r="Q90" s="93"/>
      <c r="R90" s="86"/>
      <c r="S90" s="93"/>
      <c r="T90" s="86"/>
      <c r="U90" s="93"/>
      <c r="V90" s="86"/>
      <c r="W90" s="93"/>
      <c r="X90" s="86"/>
      <c r="Y90" s="93"/>
      <c r="Z90" s="86"/>
      <c r="AA90" s="93"/>
      <c r="AB90" s="86"/>
      <c r="AC90" s="93"/>
      <c r="AD90" s="86"/>
      <c r="AE90" s="93"/>
      <c r="AF90" s="86"/>
      <c r="AG90" s="93"/>
      <c r="AH90" s="86"/>
      <c r="AI90" s="93"/>
      <c r="AJ90" s="86"/>
      <c r="AK90" s="93"/>
      <c r="AL90" s="86"/>
      <c r="AM90" s="75"/>
      <c r="AN90" s="75"/>
      <c r="AO90" s="75"/>
      <c r="AP90" s="75"/>
      <c r="AQ90" s="75"/>
      <c r="AR90" s="75"/>
      <c r="AS90" s="75"/>
      <c r="AT90" s="75"/>
    </row>
    <row r="91" spans="1:46" s="78" customFormat="1" ht="13.5">
      <c r="A91" s="75"/>
      <c r="B91" s="79"/>
      <c r="C91" s="75"/>
      <c r="F91" s="97"/>
      <c r="G91" s="97"/>
      <c r="H91" s="97"/>
      <c r="I91" s="93"/>
      <c r="J91" s="86"/>
      <c r="K91" s="93"/>
      <c r="L91" s="86"/>
      <c r="M91" s="86"/>
      <c r="N91" s="86"/>
      <c r="O91" s="93"/>
      <c r="P91" s="86"/>
      <c r="Q91" s="93"/>
      <c r="R91" s="86"/>
      <c r="S91" s="93"/>
      <c r="T91" s="86"/>
      <c r="U91" s="93"/>
      <c r="V91" s="86"/>
      <c r="W91" s="93"/>
      <c r="X91" s="86"/>
      <c r="Y91" s="93"/>
      <c r="Z91" s="86"/>
      <c r="AA91" s="93"/>
      <c r="AB91" s="86"/>
      <c r="AC91" s="93"/>
      <c r="AD91" s="86"/>
      <c r="AE91" s="93"/>
      <c r="AF91" s="86"/>
      <c r="AG91" s="93"/>
      <c r="AH91" s="86"/>
      <c r="AI91" s="93"/>
      <c r="AJ91" s="86"/>
      <c r="AK91" s="93"/>
      <c r="AL91" s="86"/>
      <c r="AM91" s="75"/>
      <c r="AN91" s="75"/>
      <c r="AO91" s="75"/>
      <c r="AP91" s="75"/>
      <c r="AQ91" s="75"/>
      <c r="AR91" s="75"/>
      <c r="AS91" s="75"/>
      <c r="AT91" s="75"/>
    </row>
    <row r="92" spans="1:46" s="78" customFormat="1" ht="13.5">
      <c r="A92" s="75"/>
      <c r="B92" s="79"/>
      <c r="C92" s="75"/>
      <c r="F92" s="97"/>
      <c r="G92" s="97"/>
      <c r="H92" s="97"/>
      <c r="I92" s="93"/>
      <c r="J92" s="86"/>
      <c r="K92" s="93"/>
      <c r="L92" s="86"/>
      <c r="M92" s="86"/>
      <c r="N92" s="86"/>
      <c r="O92" s="93"/>
      <c r="P92" s="86"/>
      <c r="Q92" s="93"/>
      <c r="R92" s="86"/>
      <c r="S92" s="93"/>
      <c r="T92" s="86"/>
      <c r="U92" s="93"/>
      <c r="V92" s="86"/>
      <c r="W92" s="93"/>
      <c r="X92" s="86"/>
      <c r="Y92" s="93"/>
      <c r="Z92" s="86"/>
      <c r="AA92" s="93"/>
      <c r="AB92" s="86"/>
      <c r="AC92" s="93"/>
      <c r="AD92" s="86"/>
      <c r="AE92" s="93"/>
      <c r="AF92" s="86"/>
      <c r="AG92" s="93"/>
      <c r="AH92" s="86"/>
      <c r="AI92" s="93"/>
      <c r="AJ92" s="86"/>
      <c r="AK92" s="93"/>
      <c r="AL92" s="86"/>
      <c r="AM92" s="75"/>
      <c r="AN92" s="75"/>
      <c r="AO92" s="75"/>
      <c r="AP92" s="75"/>
      <c r="AQ92" s="75"/>
      <c r="AR92" s="75"/>
      <c r="AS92" s="75"/>
      <c r="AT92" s="75"/>
    </row>
    <row r="93" spans="1:46" s="78" customFormat="1" ht="13.5">
      <c r="A93" s="75"/>
      <c r="B93" s="79"/>
      <c r="C93" s="75"/>
      <c r="F93" s="97"/>
      <c r="G93" s="97"/>
      <c r="H93" s="97"/>
      <c r="I93" s="93"/>
      <c r="J93" s="86"/>
      <c r="K93" s="93"/>
      <c r="L93" s="86"/>
      <c r="M93" s="86"/>
      <c r="N93" s="86"/>
      <c r="O93" s="93"/>
      <c r="P93" s="86"/>
      <c r="Q93" s="93"/>
      <c r="R93" s="86"/>
      <c r="S93" s="93"/>
      <c r="T93" s="86"/>
      <c r="U93" s="93"/>
      <c r="V93" s="86"/>
      <c r="W93" s="93"/>
      <c r="X93" s="86"/>
      <c r="Y93" s="93"/>
      <c r="Z93" s="86"/>
      <c r="AA93" s="93"/>
      <c r="AB93" s="86"/>
      <c r="AC93" s="93"/>
      <c r="AD93" s="86"/>
      <c r="AE93" s="93"/>
      <c r="AF93" s="86"/>
      <c r="AG93" s="93"/>
      <c r="AH93" s="86"/>
      <c r="AI93" s="93"/>
      <c r="AJ93" s="86"/>
      <c r="AK93" s="93"/>
      <c r="AL93" s="86"/>
      <c r="AM93" s="75"/>
      <c r="AN93" s="75"/>
      <c r="AO93" s="75"/>
      <c r="AP93" s="75"/>
      <c r="AQ93" s="75"/>
      <c r="AR93" s="75"/>
      <c r="AS93" s="75"/>
      <c r="AT93" s="75"/>
    </row>
    <row r="94" spans="1:46" s="78" customFormat="1" ht="13.5">
      <c r="A94" s="75"/>
      <c r="B94" s="79"/>
      <c r="C94" s="75"/>
      <c r="F94" s="97"/>
      <c r="G94" s="97"/>
      <c r="H94" s="97"/>
      <c r="I94" s="93"/>
      <c r="J94" s="86"/>
      <c r="K94" s="93"/>
      <c r="L94" s="86"/>
      <c r="M94" s="86"/>
      <c r="N94" s="86"/>
      <c r="O94" s="93"/>
      <c r="P94" s="86"/>
      <c r="Q94" s="93"/>
      <c r="R94" s="86"/>
      <c r="S94" s="93"/>
      <c r="T94" s="86"/>
      <c r="U94" s="93"/>
      <c r="V94" s="86"/>
      <c r="W94" s="93"/>
      <c r="X94" s="86"/>
      <c r="Y94" s="93"/>
      <c r="Z94" s="86"/>
      <c r="AA94" s="93"/>
      <c r="AB94" s="86"/>
      <c r="AC94" s="93"/>
      <c r="AD94" s="86"/>
      <c r="AE94" s="93"/>
      <c r="AF94" s="86"/>
      <c r="AG94" s="93"/>
      <c r="AH94" s="86"/>
      <c r="AI94" s="93"/>
      <c r="AJ94" s="86"/>
      <c r="AK94" s="93"/>
      <c r="AL94" s="86"/>
      <c r="AM94" s="75"/>
      <c r="AN94" s="75"/>
      <c r="AO94" s="75"/>
      <c r="AP94" s="75"/>
      <c r="AQ94" s="75"/>
      <c r="AR94" s="75"/>
      <c r="AS94" s="75"/>
      <c r="AT94" s="75"/>
    </row>
    <row r="95" spans="1:46" s="78" customFormat="1" ht="13.5">
      <c r="A95" s="75"/>
      <c r="B95" s="79"/>
      <c r="C95" s="75"/>
      <c r="F95" s="97"/>
      <c r="G95" s="97"/>
      <c r="H95" s="97"/>
      <c r="I95" s="93"/>
      <c r="J95" s="86"/>
      <c r="K95" s="93"/>
      <c r="L95" s="86"/>
      <c r="M95" s="86"/>
      <c r="N95" s="86"/>
      <c r="O95" s="93"/>
      <c r="P95" s="86"/>
      <c r="Q95" s="93"/>
      <c r="R95" s="86"/>
      <c r="S95" s="93"/>
      <c r="T95" s="86"/>
      <c r="U95" s="93"/>
      <c r="V95" s="86"/>
      <c r="W95" s="93"/>
      <c r="X95" s="86"/>
      <c r="Y95" s="93"/>
      <c r="Z95" s="86"/>
      <c r="AA95" s="93"/>
      <c r="AB95" s="86"/>
      <c r="AC95" s="93"/>
      <c r="AD95" s="86"/>
      <c r="AE95" s="93"/>
      <c r="AF95" s="86"/>
      <c r="AG95" s="93"/>
      <c r="AH95" s="86"/>
      <c r="AI95" s="93"/>
      <c r="AJ95" s="86"/>
      <c r="AK95" s="93"/>
      <c r="AL95" s="86"/>
      <c r="AM95" s="75"/>
      <c r="AN95" s="75"/>
      <c r="AO95" s="75"/>
      <c r="AP95" s="75"/>
      <c r="AQ95" s="75"/>
      <c r="AR95" s="75"/>
      <c r="AS95" s="75"/>
      <c r="AT95" s="75"/>
    </row>
    <row r="96" spans="1:46" s="78" customFormat="1" ht="13.5">
      <c r="A96" s="75"/>
      <c r="B96" s="79"/>
      <c r="C96" s="75"/>
      <c r="F96" s="97"/>
      <c r="G96" s="97"/>
      <c r="H96" s="97"/>
      <c r="I96" s="93"/>
      <c r="J96" s="86"/>
      <c r="K96" s="93"/>
      <c r="L96" s="86"/>
      <c r="M96" s="86"/>
      <c r="N96" s="86"/>
      <c r="O96" s="93"/>
      <c r="P96" s="86"/>
      <c r="Q96" s="93"/>
      <c r="R96" s="86"/>
      <c r="S96" s="93"/>
      <c r="T96" s="86"/>
      <c r="U96" s="93"/>
      <c r="V96" s="86"/>
      <c r="W96" s="93"/>
      <c r="X96" s="86"/>
      <c r="Y96" s="93"/>
      <c r="Z96" s="86"/>
      <c r="AA96" s="93"/>
      <c r="AB96" s="86"/>
      <c r="AC96" s="93"/>
      <c r="AD96" s="86"/>
      <c r="AE96" s="93"/>
      <c r="AF96" s="86"/>
      <c r="AG96" s="93"/>
      <c r="AH96" s="86"/>
      <c r="AI96" s="93"/>
      <c r="AJ96" s="86"/>
      <c r="AK96" s="93"/>
      <c r="AL96" s="86"/>
      <c r="AM96" s="75"/>
      <c r="AN96" s="75"/>
      <c r="AO96" s="75"/>
      <c r="AP96" s="75"/>
      <c r="AQ96" s="75"/>
      <c r="AR96" s="75"/>
      <c r="AS96" s="75"/>
      <c r="AT96" s="75"/>
    </row>
    <row r="97" spans="1:46" s="78" customFormat="1" ht="13.5">
      <c r="A97" s="75"/>
      <c r="B97" s="79"/>
      <c r="C97" s="75"/>
      <c r="F97" s="97"/>
      <c r="G97" s="97"/>
      <c r="H97" s="97"/>
      <c r="I97" s="93"/>
      <c r="J97" s="86"/>
      <c r="K97" s="93"/>
      <c r="L97" s="86"/>
      <c r="M97" s="86"/>
      <c r="N97" s="86"/>
      <c r="O97" s="93"/>
      <c r="P97" s="86"/>
      <c r="Q97" s="93"/>
      <c r="R97" s="86"/>
      <c r="S97" s="93"/>
      <c r="T97" s="86"/>
      <c r="U97" s="93"/>
      <c r="V97" s="86"/>
      <c r="W97" s="93"/>
      <c r="X97" s="86"/>
      <c r="Y97" s="93"/>
      <c r="Z97" s="86"/>
      <c r="AA97" s="93"/>
      <c r="AB97" s="86"/>
      <c r="AC97" s="93"/>
      <c r="AD97" s="86"/>
      <c r="AE97" s="93"/>
      <c r="AF97" s="86"/>
      <c r="AG97" s="93"/>
      <c r="AH97" s="86"/>
      <c r="AI97" s="93"/>
      <c r="AJ97" s="86"/>
      <c r="AK97" s="93"/>
      <c r="AL97" s="86"/>
      <c r="AM97" s="75"/>
      <c r="AN97" s="75"/>
      <c r="AO97" s="75"/>
      <c r="AP97" s="75"/>
      <c r="AQ97" s="75"/>
      <c r="AR97" s="75"/>
      <c r="AS97" s="75"/>
      <c r="AT97" s="75"/>
    </row>
    <row r="98" spans="1:46" s="78" customFormat="1" ht="13.5">
      <c r="A98" s="75"/>
      <c r="B98" s="79"/>
      <c r="C98" s="75"/>
      <c r="F98" s="97"/>
      <c r="G98" s="97"/>
      <c r="H98" s="97"/>
      <c r="I98" s="93"/>
      <c r="J98" s="86"/>
      <c r="K98" s="93"/>
      <c r="L98" s="86"/>
      <c r="M98" s="86"/>
      <c r="N98" s="86"/>
      <c r="O98" s="93"/>
      <c r="P98" s="86"/>
      <c r="Q98" s="93"/>
      <c r="R98" s="86"/>
      <c r="S98" s="93"/>
      <c r="T98" s="86"/>
      <c r="U98" s="93"/>
      <c r="V98" s="86"/>
      <c r="W98" s="93"/>
      <c r="X98" s="86"/>
      <c r="Y98" s="93"/>
      <c r="Z98" s="86"/>
      <c r="AA98" s="93"/>
      <c r="AB98" s="86"/>
      <c r="AC98" s="93"/>
      <c r="AD98" s="86"/>
      <c r="AE98" s="93"/>
      <c r="AF98" s="86"/>
      <c r="AG98" s="93"/>
      <c r="AH98" s="86"/>
      <c r="AI98" s="93"/>
      <c r="AJ98" s="86"/>
      <c r="AK98" s="93"/>
      <c r="AL98" s="86"/>
      <c r="AM98" s="75"/>
      <c r="AN98" s="75"/>
      <c r="AO98" s="75"/>
      <c r="AP98" s="75"/>
      <c r="AQ98" s="75"/>
      <c r="AR98" s="75"/>
      <c r="AS98" s="75"/>
      <c r="AT98" s="75"/>
    </row>
    <row r="99" spans="1:46" s="78" customFormat="1" ht="13.5">
      <c r="A99" s="75"/>
      <c r="B99" s="79"/>
      <c r="C99" s="75"/>
      <c r="F99" s="97"/>
      <c r="G99" s="97"/>
      <c r="H99" s="97"/>
      <c r="I99" s="93"/>
      <c r="J99" s="86"/>
      <c r="K99" s="93"/>
      <c r="L99" s="86"/>
      <c r="M99" s="86"/>
      <c r="N99" s="86"/>
      <c r="O99" s="93"/>
      <c r="P99" s="86"/>
      <c r="Q99" s="93"/>
      <c r="R99" s="86"/>
      <c r="S99" s="93"/>
      <c r="T99" s="86"/>
      <c r="U99" s="93"/>
      <c r="V99" s="86"/>
      <c r="W99" s="93"/>
      <c r="X99" s="86"/>
      <c r="Y99" s="93"/>
      <c r="Z99" s="86"/>
      <c r="AA99" s="93"/>
      <c r="AB99" s="86"/>
      <c r="AC99" s="93"/>
      <c r="AD99" s="86"/>
      <c r="AE99" s="93"/>
      <c r="AF99" s="86"/>
      <c r="AG99" s="93"/>
      <c r="AH99" s="86"/>
      <c r="AI99" s="93"/>
      <c r="AJ99" s="86"/>
      <c r="AK99" s="93"/>
      <c r="AL99" s="86"/>
      <c r="AM99" s="75"/>
      <c r="AN99" s="75"/>
      <c r="AO99" s="75"/>
      <c r="AP99" s="75"/>
      <c r="AQ99" s="75"/>
      <c r="AR99" s="75"/>
      <c r="AS99" s="75"/>
      <c r="AT99" s="75"/>
    </row>
    <row r="100" spans="1:46" s="78" customFormat="1" ht="13.5">
      <c r="A100" s="75"/>
      <c r="B100" s="79"/>
      <c r="C100" s="75"/>
      <c r="F100" s="97"/>
      <c r="G100" s="97"/>
      <c r="H100" s="97"/>
      <c r="I100" s="93"/>
      <c r="J100" s="86"/>
      <c r="K100" s="93"/>
      <c r="L100" s="86"/>
      <c r="M100" s="86"/>
      <c r="N100" s="86"/>
      <c r="O100" s="93"/>
      <c r="P100" s="86"/>
      <c r="Q100" s="93"/>
      <c r="R100" s="86"/>
      <c r="S100" s="93"/>
      <c r="T100" s="86"/>
      <c r="U100" s="93"/>
      <c r="V100" s="86"/>
      <c r="W100" s="93"/>
      <c r="X100" s="86"/>
      <c r="Y100" s="93"/>
      <c r="Z100" s="86"/>
      <c r="AA100" s="93"/>
      <c r="AB100" s="86"/>
      <c r="AC100" s="93"/>
      <c r="AD100" s="86"/>
      <c r="AE100" s="93"/>
      <c r="AF100" s="86"/>
      <c r="AG100" s="93"/>
      <c r="AH100" s="86"/>
      <c r="AI100" s="93"/>
      <c r="AJ100" s="86"/>
      <c r="AK100" s="93"/>
      <c r="AL100" s="86"/>
      <c r="AM100" s="75"/>
      <c r="AN100" s="75"/>
      <c r="AO100" s="75"/>
      <c r="AP100" s="75"/>
      <c r="AQ100" s="75"/>
      <c r="AR100" s="75"/>
      <c r="AS100" s="75"/>
      <c r="AT100" s="75"/>
    </row>
    <row r="101" spans="1:46" s="78" customFormat="1" ht="13.5">
      <c r="A101" s="75"/>
      <c r="B101" s="79"/>
      <c r="C101" s="75"/>
      <c r="F101" s="97"/>
      <c r="G101" s="97"/>
      <c r="H101" s="97"/>
      <c r="I101" s="93"/>
      <c r="J101" s="86"/>
      <c r="K101" s="93"/>
      <c r="L101" s="86"/>
      <c r="M101" s="86"/>
      <c r="N101" s="86"/>
      <c r="O101" s="93"/>
      <c r="P101" s="86"/>
      <c r="Q101" s="93"/>
      <c r="R101" s="86"/>
      <c r="S101" s="93"/>
      <c r="T101" s="86"/>
      <c r="U101" s="93"/>
      <c r="V101" s="86"/>
      <c r="W101" s="93"/>
      <c r="X101" s="86"/>
      <c r="Y101" s="93"/>
      <c r="Z101" s="86"/>
      <c r="AA101" s="93"/>
      <c r="AB101" s="86"/>
      <c r="AC101" s="93"/>
      <c r="AD101" s="86"/>
      <c r="AE101" s="93"/>
      <c r="AF101" s="86"/>
      <c r="AG101" s="93"/>
      <c r="AH101" s="86"/>
      <c r="AI101" s="93"/>
      <c r="AJ101" s="86"/>
      <c r="AK101" s="93"/>
      <c r="AL101" s="86"/>
      <c r="AM101" s="75"/>
      <c r="AN101" s="75"/>
      <c r="AO101" s="75"/>
      <c r="AP101" s="75"/>
      <c r="AQ101" s="75"/>
      <c r="AR101" s="75"/>
      <c r="AS101" s="75"/>
      <c r="AT101" s="75"/>
    </row>
    <row r="102" spans="1:46" s="78" customFormat="1" ht="13.5">
      <c r="A102" s="75"/>
      <c r="B102" s="79"/>
      <c r="C102" s="75"/>
      <c r="F102" s="97"/>
      <c r="G102" s="97"/>
      <c r="H102" s="97"/>
      <c r="I102" s="93"/>
      <c r="J102" s="86"/>
      <c r="K102" s="93"/>
      <c r="L102" s="86"/>
      <c r="M102" s="86"/>
      <c r="N102" s="86"/>
      <c r="O102" s="93"/>
      <c r="P102" s="86"/>
      <c r="Q102" s="93"/>
      <c r="R102" s="86"/>
      <c r="S102" s="93"/>
      <c r="T102" s="86"/>
      <c r="U102" s="93"/>
      <c r="V102" s="86"/>
      <c r="W102" s="93"/>
      <c r="X102" s="86"/>
      <c r="Y102" s="93"/>
      <c r="Z102" s="86"/>
      <c r="AA102" s="93"/>
      <c r="AB102" s="86"/>
      <c r="AC102" s="93"/>
      <c r="AD102" s="86"/>
      <c r="AE102" s="93"/>
      <c r="AF102" s="86"/>
      <c r="AG102" s="93"/>
      <c r="AH102" s="86"/>
      <c r="AI102" s="93"/>
      <c r="AJ102" s="86"/>
      <c r="AK102" s="93"/>
      <c r="AL102" s="86"/>
      <c r="AM102" s="75"/>
      <c r="AN102" s="75"/>
      <c r="AO102" s="75"/>
      <c r="AP102" s="75"/>
      <c r="AQ102" s="75"/>
      <c r="AR102" s="75"/>
      <c r="AS102" s="75"/>
      <c r="AT102" s="75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J49" sqref="J49"/>
    </sheetView>
  </sheetViews>
  <sheetFormatPr defaultColWidth="8.81640625" defaultRowHeight="16"/>
  <cols>
    <col min="1" max="1" width="0" style="75" hidden="1" customWidth="1"/>
    <col min="2" max="2" width="13.1796875" style="75" hidden="1" customWidth="1"/>
    <col min="3" max="3" width="0" style="98" hidden="1" customWidth="1"/>
    <col min="4" max="4" width="17" style="98" customWidth="1"/>
    <col min="5" max="5" width="8.54296875" style="78" customWidth="1"/>
    <col min="6" max="8" width="17.453125" style="99" customWidth="1"/>
    <col min="9" max="9" width="10.54296875" style="84" customWidth="1"/>
    <col min="10" max="10" width="10.54296875" style="86" customWidth="1"/>
    <col min="11" max="11" width="10.54296875" style="84" customWidth="1"/>
    <col min="12" max="12" width="10.54296875" style="86" customWidth="1"/>
    <col min="13" max="13" width="10.54296875" style="84" customWidth="1"/>
    <col min="14" max="14" width="10.54296875" style="86" customWidth="1"/>
    <col min="15" max="15" width="10.54296875" style="84" customWidth="1"/>
    <col min="16" max="16" width="10.54296875" style="86" customWidth="1"/>
    <col min="17" max="17" width="10.54296875" style="84" customWidth="1"/>
    <col min="18" max="18" width="10.54296875" style="86" customWidth="1"/>
    <col min="19" max="19" width="10.54296875" style="84" customWidth="1"/>
    <col min="20" max="20" width="10.54296875" style="86" customWidth="1"/>
    <col min="21" max="21" width="10.54296875" style="84" customWidth="1"/>
    <col min="22" max="22" width="10.54296875" style="86" customWidth="1"/>
    <col min="23" max="23" width="10.54296875" style="84" customWidth="1"/>
    <col min="24" max="24" width="10.54296875" style="86" customWidth="1"/>
    <col min="25" max="25" width="10.54296875" style="84" customWidth="1"/>
    <col min="26" max="26" width="10.54296875" style="86" customWidth="1"/>
    <col min="27" max="27" width="10.54296875" style="84" customWidth="1"/>
    <col min="28" max="28" width="10.54296875" style="86" customWidth="1"/>
    <col min="29" max="29" width="10.54296875" style="84" customWidth="1"/>
    <col min="30" max="30" width="10.54296875" style="86" customWidth="1"/>
    <col min="31" max="31" width="10.54296875" style="84" customWidth="1"/>
    <col min="32" max="32" width="10.54296875" style="86" customWidth="1"/>
    <col min="33" max="33" width="10.453125" style="84" customWidth="1"/>
    <col min="34" max="34" width="10.453125" style="86" customWidth="1"/>
    <col min="35" max="35" width="10.453125" style="84" customWidth="1"/>
    <col min="36" max="36" width="10.453125" style="86" customWidth="1"/>
    <col min="37" max="37" width="10.453125" style="84" customWidth="1"/>
    <col min="38" max="38" width="10.453125" style="86" customWidth="1"/>
    <col min="39" max="16384" width="8.81640625" style="75"/>
  </cols>
  <sheetData>
    <row r="2" spans="1:38" ht="38.15" customHeight="1">
      <c r="A2" s="74"/>
      <c r="B2" s="429" t="s">
        <v>320</v>
      </c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  <c r="O2" s="429"/>
      <c r="P2" s="429"/>
      <c r="Q2" s="429"/>
      <c r="R2" s="429"/>
      <c r="S2" s="429"/>
      <c r="T2" s="429"/>
      <c r="U2" s="429"/>
      <c r="V2" s="429"/>
      <c r="W2" s="429"/>
      <c r="X2" s="429"/>
      <c r="Y2" s="429"/>
      <c r="Z2" s="429"/>
      <c r="AA2" s="429"/>
      <c r="AB2" s="429"/>
      <c r="AC2" s="429"/>
      <c r="AD2" s="429"/>
      <c r="AE2" s="429"/>
      <c r="AF2" s="429"/>
      <c r="AG2" s="429"/>
      <c r="AH2" s="429"/>
      <c r="AI2" s="429"/>
      <c r="AJ2" s="429"/>
      <c r="AK2" s="429"/>
      <c r="AL2" s="429"/>
    </row>
    <row r="3" spans="1:38" ht="25.4" customHeight="1">
      <c r="B3" s="79"/>
      <c r="C3" s="441" t="s">
        <v>139</v>
      </c>
      <c r="D3" s="442" t="s">
        <v>105</v>
      </c>
      <c r="E3" s="442"/>
      <c r="F3" s="450" t="s">
        <v>148</v>
      </c>
      <c r="G3" s="451"/>
      <c r="H3" s="451"/>
      <c r="I3" s="448" t="s">
        <v>318</v>
      </c>
      <c r="J3" s="448"/>
      <c r="K3" s="448"/>
      <c r="L3" s="448"/>
      <c r="M3" s="448"/>
      <c r="N3" s="448"/>
      <c r="O3" s="448"/>
      <c r="P3" s="448"/>
      <c r="Q3" s="448"/>
      <c r="R3" s="448"/>
      <c r="S3" s="448"/>
      <c r="T3" s="448"/>
      <c r="U3" s="448"/>
      <c r="V3" s="448"/>
      <c r="W3" s="448"/>
      <c r="X3" s="448"/>
      <c r="Y3" s="448"/>
      <c r="Z3" s="448"/>
      <c r="AA3" s="448"/>
      <c r="AB3" s="448"/>
      <c r="AC3" s="448"/>
      <c r="AD3" s="448"/>
      <c r="AE3" s="448"/>
      <c r="AF3" s="448"/>
      <c r="AG3" s="448"/>
      <c r="AH3" s="448"/>
      <c r="AI3" s="448"/>
      <c r="AJ3" s="448"/>
      <c r="AK3" s="448"/>
      <c r="AL3" s="448"/>
    </row>
    <row r="4" spans="1:38" ht="25.4" customHeight="1">
      <c r="B4" s="79"/>
      <c r="C4" s="441"/>
      <c r="D4" s="442"/>
      <c r="E4" s="442"/>
      <c r="F4" s="451"/>
      <c r="G4" s="451"/>
      <c r="H4" s="451"/>
      <c r="I4" s="449" t="s">
        <v>140</v>
      </c>
      <c r="J4" s="449"/>
      <c r="K4" s="449"/>
      <c r="L4" s="449"/>
      <c r="M4" s="449"/>
      <c r="N4" s="449"/>
      <c r="O4" s="449" t="s">
        <v>141</v>
      </c>
      <c r="P4" s="449"/>
      <c r="Q4" s="449"/>
      <c r="R4" s="449"/>
      <c r="S4" s="449"/>
      <c r="T4" s="449"/>
      <c r="U4" s="449" t="s">
        <v>142</v>
      </c>
      <c r="V4" s="449"/>
      <c r="W4" s="449" t="s">
        <v>143</v>
      </c>
      <c r="X4" s="449"/>
      <c r="Y4" s="449" t="s">
        <v>134</v>
      </c>
      <c r="Z4" s="449"/>
      <c r="AA4" s="449"/>
      <c r="AB4" s="449"/>
      <c r="AC4" s="449"/>
      <c r="AD4" s="449"/>
      <c r="AE4" s="449" t="s">
        <v>132</v>
      </c>
      <c r="AF4" s="449"/>
      <c r="AG4" s="449" t="s">
        <v>144</v>
      </c>
      <c r="AH4" s="449"/>
      <c r="AI4" s="449" t="s">
        <v>145</v>
      </c>
      <c r="AJ4" s="449"/>
      <c r="AK4" s="449" t="s">
        <v>138</v>
      </c>
      <c r="AL4" s="449"/>
    </row>
    <row r="5" spans="1:38" ht="25.4" customHeight="1">
      <c r="B5" s="79"/>
      <c r="C5" s="441"/>
      <c r="D5" s="442"/>
      <c r="E5" s="442"/>
      <c r="F5" s="447" t="s">
        <v>115</v>
      </c>
      <c r="G5" s="447" t="s">
        <v>117</v>
      </c>
      <c r="H5" s="447" t="s">
        <v>118</v>
      </c>
      <c r="I5" s="449" t="s">
        <v>129</v>
      </c>
      <c r="J5" s="449"/>
      <c r="K5" s="449" t="s">
        <v>130</v>
      </c>
      <c r="L5" s="449"/>
      <c r="M5" s="452" t="s">
        <v>146</v>
      </c>
      <c r="N5" s="449"/>
      <c r="O5" s="449" t="s">
        <v>129</v>
      </c>
      <c r="P5" s="449"/>
      <c r="Q5" s="449" t="s">
        <v>130</v>
      </c>
      <c r="R5" s="449"/>
      <c r="S5" s="452" t="s">
        <v>146</v>
      </c>
      <c r="T5" s="449"/>
      <c r="U5" s="449" t="s">
        <v>129</v>
      </c>
      <c r="V5" s="449"/>
      <c r="W5" s="449" t="s">
        <v>129</v>
      </c>
      <c r="X5" s="449"/>
      <c r="Y5" s="449" t="s">
        <v>129</v>
      </c>
      <c r="Z5" s="449"/>
      <c r="AA5" s="449" t="s">
        <v>130</v>
      </c>
      <c r="AB5" s="449"/>
      <c r="AC5" s="452" t="s">
        <v>146</v>
      </c>
      <c r="AD5" s="449"/>
      <c r="AE5" s="449" t="s">
        <v>129</v>
      </c>
      <c r="AF5" s="449"/>
      <c r="AG5" s="449" t="s">
        <v>129</v>
      </c>
      <c r="AH5" s="449"/>
      <c r="AI5" s="449" t="s">
        <v>129</v>
      </c>
      <c r="AJ5" s="449"/>
      <c r="AK5" s="449" t="s">
        <v>129</v>
      </c>
      <c r="AL5" s="449"/>
    </row>
    <row r="6" spans="1:38" s="78" customFormat="1" ht="23.5" customHeight="1">
      <c r="B6" s="79"/>
      <c r="C6" s="441"/>
      <c r="D6" s="442"/>
      <c r="E6" s="442"/>
      <c r="F6" s="447"/>
      <c r="G6" s="447"/>
      <c r="H6" s="447"/>
      <c r="I6" s="100" t="s">
        <v>149</v>
      </c>
      <c r="J6" s="95" t="s">
        <v>113</v>
      </c>
      <c r="K6" s="100" t="s">
        <v>149</v>
      </c>
      <c r="L6" s="95" t="s">
        <v>113</v>
      </c>
      <c r="M6" s="100" t="s">
        <v>149</v>
      </c>
      <c r="N6" s="95" t="s">
        <v>113</v>
      </c>
      <c r="O6" s="100" t="s">
        <v>149</v>
      </c>
      <c r="P6" s="95" t="s">
        <v>113</v>
      </c>
      <c r="Q6" s="100" t="s">
        <v>149</v>
      </c>
      <c r="R6" s="95" t="s">
        <v>113</v>
      </c>
      <c r="S6" s="100" t="s">
        <v>149</v>
      </c>
      <c r="T6" s="95" t="s">
        <v>113</v>
      </c>
      <c r="U6" s="100" t="s">
        <v>149</v>
      </c>
      <c r="V6" s="95" t="s">
        <v>113</v>
      </c>
      <c r="W6" s="100" t="s">
        <v>149</v>
      </c>
      <c r="X6" s="95" t="s">
        <v>113</v>
      </c>
      <c r="Y6" s="100" t="s">
        <v>149</v>
      </c>
      <c r="Z6" s="95" t="s">
        <v>113</v>
      </c>
      <c r="AA6" s="100" t="s">
        <v>149</v>
      </c>
      <c r="AB6" s="95" t="s">
        <v>113</v>
      </c>
      <c r="AC6" s="100" t="s">
        <v>149</v>
      </c>
      <c r="AD6" s="95" t="s">
        <v>113</v>
      </c>
      <c r="AE6" s="100" t="s">
        <v>149</v>
      </c>
      <c r="AF6" s="95" t="s">
        <v>113</v>
      </c>
      <c r="AG6" s="100" t="s">
        <v>149</v>
      </c>
      <c r="AH6" s="95" t="s">
        <v>113</v>
      </c>
      <c r="AI6" s="100" t="s">
        <v>149</v>
      </c>
      <c r="AJ6" s="95" t="s">
        <v>113</v>
      </c>
      <c r="AK6" s="100" t="s">
        <v>149</v>
      </c>
      <c r="AL6" s="95" t="s">
        <v>113</v>
      </c>
    </row>
    <row r="7" spans="1:38" ht="13.5">
      <c r="B7" s="79"/>
      <c r="C7" s="75"/>
      <c r="D7" s="82">
        <v>46082</v>
      </c>
      <c r="E7" s="82" t="s">
        <v>530</v>
      </c>
      <c r="F7" s="84">
        <f t="shared" ref="F7" si="0">SUM(M7,S7,U7,W7,AC7,AE7,AG7,AI7,AK7)</f>
        <v>243291</v>
      </c>
      <c r="G7" s="283"/>
      <c r="H7" s="84"/>
      <c r="I7" s="212">
        <v>30510</v>
      </c>
      <c r="J7" s="96">
        <f t="shared" ref="J7:J8" si="1">I7/F7</f>
        <v>0.12540537874397326</v>
      </c>
      <c r="K7" s="212">
        <v>41020</v>
      </c>
      <c r="L7" s="96">
        <f t="shared" ref="L7:L8" si="2">K7/F7</f>
        <v>0.16860467505990767</v>
      </c>
      <c r="M7" s="101">
        <f t="shared" ref="M7:M8" si="3">SUM(I7+K7)</f>
        <v>71530</v>
      </c>
      <c r="N7" s="96">
        <f t="shared" ref="N7:N8" si="4">M7/F7</f>
        <v>0.29401005380388096</v>
      </c>
      <c r="O7" s="212">
        <v>5288</v>
      </c>
      <c r="P7" s="96">
        <f t="shared" ref="P7:P8" si="5">O7/F7</f>
        <v>2.1735288193973471E-2</v>
      </c>
      <c r="Q7" s="212">
        <v>3473</v>
      </c>
      <c r="R7" s="96">
        <f t="shared" ref="R7:R8" si="6">Q7/F7</f>
        <v>1.4275086213628947E-2</v>
      </c>
      <c r="S7" s="101">
        <f t="shared" ref="S7:S8" si="7">SUM(O7+Q7)</f>
        <v>8761</v>
      </c>
      <c r="T7" s="96">
        <f t="shared" ref="T7:T8" si="8">S7/F7</f>
        <v>3.6010374407602422E-2</v>
      </c>
      <c r="U7" s="212">
        <v>41380</v>
      </c>
      <c r="V7" s="96">
        <f t="shared" ref="V7:V8" si="9">U7/F7</f>
        <v>0.17008438454361238</v>
      </c>
      <c r="W7" s="212">
        <v>2293</v>
      </c>
      <c r="X7" s="96">
        <f t="shared" ref="X7:X8" si="10">W7/F7</f>
        <v>9.4249273503746542E-3</v>
      </c>
      <c r="Y7" s="212">
        <v>23569</v>
      </c>
      <c r="Z7" s="96">
        <f t="shared" ref="Z7:Z8" si="11">Y7/F7</f>
        <v>9.6875757837322385E-2</v>
      </c>
      <c r="AA7" s="212">
        <v>24769</v>
      </c>
      <c r="AB7" s="96">
        <f t="shared" ref="AB7:AB8" si="12">AA7/F7</f>
        <v>0.10180812278300472</v>
      </c>
      <c r="AC7" s="101">
        <f t="shared" ref="AC7:AC8" si="13">SUM(Y7+AA7)</f>
        <v>48338</v>
      </c>
      <c r="AD7" s="96">
        <f t="shared" ref="AD7:AD8" si="14">AC7/F7</f>
        <v>0.1986838806203271</v>
      </c>
      <c r="AE7" s="212">
        <v>26558</v>
      </c>
      <c r="AF7" s="96">
        <f t="shared" ref="AF7:AF8" si="15">AE7/F7</f>
        <v>0.10916145685619279</v>
      </c>
      <c r="AG7" s="212">
        <v>4154</v>
      </c>
      <c r="AH7" s="96">
        <f t="shared" ref="AH7:AH8" si="16">AG7/F7</f>
        <v>1.7074203320303669E-2</v>
      </c>
      <c r="AI7" s="212">
        <v>21805</v>
      </c>
      <c r="AJ7" s="96">
        <f t="shared" ref="AJ7:AJ8" si="17">AI7/F7</f>
        <v>8.9625181367169363E-2</v>
      </c>
      <c r="AK7" s="212">
        <v>18472</v>
      </c>
      <c r="AL7" s="96">
        <f t="shared" ref="AL7:AL8" si="18">AK7/F7</f>
        <v>7.5925537730536688E-2</v>
      </c>
    </row>
    <row r="8" spans="1:38" ht="13.5">
      <c r="B8" s="79"/>
      <c r="C8" s="75"/>
      <c r="D8" s="82">
        <f t="shared" ref="D8:D36" si="19">D7+1</f>
        <v>46083</v>
      </c>
      <c r="E8" s="383" t="s">
        <v>524</v>
      </c>
      <c r="F8" s="84">
        <f>SUM(M8,S8,U8,W8,AC8,AE8,AG8,AI8,AK8)</f>
        <v>238748</v>
      </c>
      <c r="G8" s="283">
        <f>SUM(F7:F8)</f>
        <v>482039</v>
      </c>
      <c r="H8" s="84"/>
      <c r="I8" s="212">
        <v>29254</v>
      </c>
      <c r="J8" s="96">
        <f t="shared" si="1"/>
        <v>0.12253086936853921</v>
      </c>
      <c r="K8" s="212">
        <v>43787</v>
      </c>
      <c r="L8" s="96">
        <f t="shared" si="2"/>
        <v>0.18340258347713909</v>
      </c>
      <c r="M8" s="101">
        <f t="shared" si="3"/>
        <v>73041</v>
      </c>
      <c r="N8" s="96">
        <f t="shared" si="4"/>
        <v>0.3059334528456783</v>
      </c>
      <c r="O8" s="212">
        <v>4932</v>
      </c>
      <c r="P8" s="96">
        <f t="shared" si="5"/>
        <v>2.0657764672374217E-2</v>
      </c>
      <c r="Q8" s="212">
        <v>3435</v>
      </c>
      <c r="R8" s="96">
        <f t="shared" si="6"/>
        <v>1.4387555078995426E-2</v>
      </c>
      <c r="S8" s="101">
        <f t="shared" si="7"/>
        <v>8367</v>
      </c>
      <c r="T8" s="96">
        <f t="shared" si="8"/>
        <v>3.5045319751369645E-2</v>
      </c>
      <c r="U8" s="212">
        <v>37412</v>
      </c>
      <c r="V8" s="96">
        <f t="shared" si="9"/>
        <v>0.15670078911655805</v>
      </c>
      <c r="W8" s="212">
        <v>2539</v>
      </c>
      <c r="X8" s="96">
        <f t="shared" si="10"/>
        <v>1.0634644059845528E-2</v>
      </c>
      <c r="Y8" s="212">
        <v>21847</v>
      </c>
      <c r="Z8" s="96">
        <f t="shared" si="11"/>
        <v>9.1506525709115882E-2</v>
      </c>
      <c r="AA8" s="212">
        <v>31303</v>
      </c>
      <c r="AB8" s="96">
        <f t="shared" si="12"/>
        <v>0.13111314021478715</v>
      </c>
      <c r="AC8" s="101">
        <f t="shared" si="13"/>
        <v>53150</v>
      </c>
      <c r="AD8" s="96">
        <f t="shared" si="14"/>
        <v>0.22261966592390303</v>
      </c>
      <c r="AE8" s="212">
        <v>23606</v>
      </c>
      <c r="AF8" s="96">
        <f t="shared" si="15"/>
        <v>9.8874126694255035E-2</v>
      </c>
      <c r="AG8" s="212">
        <v>4047</v>
      </c>
      <c r="AH8" s="96">
        <f t="shared" si="16"/>
        <v>1.6950927337611204E-2</v>
      </c>
      <c r="AI8" s="212">
        <v>17962</v>
      </c>
      <c r="AJ8" s="96">
        <f t="shared" si="17"/>
        <v>7.5234138087020619E-2</v>
      </c>
      <c r="AK8" s="212">
        <v>18624</v>
      </c>
      <c r="AL8" s="96">
        <f t="shared" si="18"/>
        <v>7.8006936183758604E-2</v>
      </c>
    </row>
    <row r="9" spans="1:38" ht="13.5">
      <c r="B9" s="79"/>
      <c r="C9" s="75"/>
      <c r="D9" s="280">
        <f t="shared" si="19"/>
        <v>46084</v>
      </c>
      <c r="E9" s="280" t="s">
        <v>525</v>
      </c>
      <c r="F9" s="84">
        <f t="shared" ref="F9:F45" si="20">SUM(M9,S9,U9,W9,AC9,AE9,AG9,AI9,AK9)</f>
        <v>261918</v>
      </c>
      <c r="G9" s="283">
        <f>SUM(F9:F15)</f>
        <v>1631684</v>
      </c>
      <c r="I9" s="212">
        <v>32191</v>
      </c>
      <c r="J9" s="96">
        <f t="shared" ref="J9:J13" si="21">I9/F9</f>
        <v>0.1229048786261349</v>
      </c>
      <c r="K9" s="212">
        <v>43002</v>
      </c>
      <c r="L9" s="96">
        <f t="shared" ref="L9:L13" si="22">K9/F9</f>
        <v>0.16418115593430005</v>
      </c>
      <c r="M9" s="101">
        <f t="shared" ref="M9:M13" si="23">SUM(I9+K9)</f>
        <v>75193</v>
      </c>
      <c r="N9" s="96">
        <f t="shared" ref="N9:N13" si="24">M9/F9</f>
        <v>0.28708603456043497</v>
      </c>
      <c r="O9" s="212">
        <v>8107</v>
      </c>
      <c r="P9" s="96">
        <f t="shared" ref="P9:P13" si="25">O9/F9</f>
        <v>3.0952435495078614E-2</v>
      </c>
      <c r="Q9" s="212">
        <v>3551</v>
      </c>
      <c r="R9" s="96">
        <f t="shared" ref="R9:R45" si="26">Q9/F9</f>
        <v>1.3557678357348482E-2</v>
      </c>
      <c r="S9" s="101">
        <f t="shared" ref="S9:S14" si="27">SUM(O9+Q9)</f>
        <v>11658</v>
      </c>
      <c r="T9" s="96">
        <f t="shared" ref="T9:T13" si="28">S9/F9</f>
        <v>4.4510113852427098E-2</v>
      </c>
      <c r="U9" s="212">
        <v>34801</v>
      </c>
      <c r="V9" s="96">
        <f t="shared" ref="V9:V13" si="29">U9/F9</f>
        <v>0.13286982948861858</v>
      </c>
      <c r="W9" s="212">
        <v>2516</v>
      </c>
      <c r="X9" s="96">
        <f t="shared" ref="X9:X13" si="30">W9/F9</f>
        <v>9.6060599118808175E-3</v>
      </c>
      <c r="Y9" s="212">
        <v>30991</v>
      </c>
      <c r="Z9" s="96">
        <f t="shared" ref="Z9:Z13" si="31">Y9/F9</f>
        <v>0.11832329202269412</v>
      </c>
      <c r="AA9" s="212">
        <v>29578</v>
      </c>
      <c r="AB9" s="96">
        <f t="shared" ref="AB9:AB45" si="32">AA9/F9</f>
        <v>0.11292847379714262</v>
      </c>
      <c r="AC9" s="101">
        <f t="shared" ref="AC9:AC13" si="33">SUM(Y9+AA9)</f>
        <v>60569</v>
      </c>
      <c r="AD9" s="96">
        <f t="shared" ref="AD9:AD13" si="34">AC9/F9</f>
        <v>0.23125176581983675</v>
      </c>
      <c r="AE9" s="212">
        <v>26414</v>
      </c>
      <c r="AF9" s="96">
        <f t="shared" ref="AF9:AF13" si="35">AE9/F9</f>
        <v>0.10084835711940378</v>
      </c>
      <c r="AG9" s="212">
        <v>12994</v>
      </c>
      <c r="AH9" s="96">
        <f t="shared" ref="AH9:AH13" si="36">AG9/F9</f>
        <v>4.9610946937591154E-2</v>
      </c>
      <c r="AI9" s="212">
        <v>19396</v>
      </c>
      <c r="AJ9" s="96">
        <f t="shared" ref="AJ9:AJ13" si="37">AI9/F9</f>
        <v>7.4053711466947669E-2</v>
      </c>
      <c r="AK9" s="212">
        <v>18377</v>
      </c>
      <c r="AL9" s="96">
        <f t="shared" ref="AL9:AL13" si="38">AK9/F9</f>
        <v>7.0163180842859219E-2</v>
      </c>
    </row>
    <row r="10" spans="1:38" ht="13.5">
      <c r="B10" s="79"/>
      <c r="C10" s="75"/>
      <c r="D10" s="388">
        <f t="shared" si="19"/>
        <v>46085</v>
      </c>
      <c r="E10" s="388" t="s">
        <v>526</v>
      </c>
      <c r="F10" s="84">
        <f t="shared" si="20"/>
        <v>240647</v>
      </c>
      <c r="G10" s="283"/>
      <c r="H10" s="364"/>
      <c r="I10" s="212">
        <v>30498</v>
      </c>
      <c r="J10" s="96">
        <f t="shared" si="21"/>
        <v>0.12673334801597361</v>
      </c>
      <c r="K10" s="212">
        <v>42133</v>
      </c>
      <c r="L10" s="96">
        <f t="shared" si="22"/>
        <v>0.17508217430510251</v>
      </c>
      <c r="M10" s="101">
        <f t="shared" si="23"/>
        <v>72631</v>
      </c>
      <c r="N10" s="96">
        <f t="shared" si="24"/>
        <v>0.30181552232107611</v>
      </c>
      <c r="O10" s="212">
        <v>7242</v>
      </c>
      <c r="P10" s="96">
        <f t="shared" si="25"/>
        <v>3.0093871936903431E-2</v>
      </c>
      <c r="Q10" s="212">
        <v>3635</v>
      </c>
      <c r="R10" s="96">
        <f t="shared" si="26"/>
        <v>1.5105112467639322E-2</v>
      </c>
      <c r="S10" s="101">
        <f t="shared" si="27"/>
        <v>10877</v>
      </c>
      <c r="T10" s="96">
        <f t="shared" si="28"/>
        <v>4.5198984404542751E-2</v>
      </c>
      <c r="U10" s="212">
        <v>33685</v>
      </c>
      <c r="V10" s="96">
        <f t="shared" si="29"/>
        <v>0.1399768125096095</v>
      </c>
      <c r="W10" s="212">
        <v>2608</v>
      </c>
      <c r="X10" s="96">
        <f t="shared" si="30"/>
        <v>1.08374507058056E-2</v>
      </c>
      <c r="Y10" s="212">
        <v>23785</v>
      </c>
      <c r="Z10" s="96">
        <f t="shared" si="31"/>
        <v>9.8837716655516175E-2</v>
      </c>
      <c r="AA10" s="212">
        <v>27377</v>
      </c>
      <c r="AB10" s="96">
        <f t="shared" si="32"/>
        <v>0.11376414416136499</v>
      </c>
      <c r="AC10" s="101">
        <f t="shared" si="33"/>
        <v>51162</v>
      </c>
      <c r="AD10" s="96">
        <f t="shared" si="34"/>
        <v>0.21260186081688115</v>
      </c>
      <c r="AE10" s="212">
        <v>22427</v>
      </c>
      <c r="AF10" s="96">
        <f t="shared" si="35"/>
        <v>9.3194596234318319E-2</v>
      </c>
      <c r="AG10" s="212">
        <v>8748</v>
      </c>
      <c r="AH10" s="96">
        <f t="shared" si="36"/>
        <v>3.6352001063798843E-2</v>
      </c>
      <c r="AI10" s="212">
        <v>20944</v>
      </c>
      <c r="AJ10" s="96">
        <f t="shared" si="37"/>
        <v>8.7032042784659688E-2</v>
      </c>
      <c r="AK10" s="212">
        <v>17565</v>
      </c>
      <c r="AL10" s="96">
        <f t="shared" si="38"/>
        <v>7.2990729159308029E-2</v>
      </c>
    </row>
    <row r="11" spans="1:38" ht="13.5">
      <c r="B11" s="79"/>
      <c r="C11" s="75"/>
      <c r="D11" s="388">
        <f t="shared" si="19"/>
        <v>46086</v>
      </c>
      <c r="E11" s="388" t="s">
        <v>527</v>
      </c>
      <c r="F11" s="84">
        <f t="shared" si="20"/>
        <v>221012</v>
      </c>
      <c r="G11" s="283"/>
      <c r="H11" s="364"/>
      <c r="I11" s="359">
        <v>29102</v>
      </c>
      <c r="J11" s="360">
        <f t="shared" si="21"/>
        <v>0.1316761080846289</v>
      </c>
      <c r="K11" s="359">
        <v>38579</v>
      </c>
      <c r="L11" s="360">
        <f t="shared" si="22"/>
        <v>0.17455613269867701</v>
      </c>
      <c r="M11" s="361">
        <f t="shared" si="23"/>
        <v>67681</v>
      </c>
      <c r="N11" s="360">
        <f t="shared" si="24"/>
        <v>0.30623224078330591</v>
      </c>
      <c r="O11" s="359">
        <v>6512</v>
      </c>
      <c r="P11" s="360">
        <f t="shared" si="25"/>
        <v>2.9464463468046983E-2</v>
      </c>
      <c r="Q11" s="359">
        <v>3443</v>
      </c>
      <c r="R11" s="360">
        <f t="shared" si="26"/>
        <v>1.5578339637666734E-2</v>
      </c>
      <c r="S11" s="361">
        <f t="shared" si="27"/>
        <v>9955</v>
      </c>
      <c r="T11" s="360">
        <f t="shared" si="28"/>
        <v>4.5042803105713715E-2</v>
      </c>
      <c r="U11" s="359">
        <v>31718</v>
      </c>
      <c r="V11" s="360">
        <f t="shared" si="29"/>
        <v>0.14351256945324237</v>
      </c>
      <c r="W11" s="359">
        <v>2575</v>
      </c>
      <c r="X11" s="360">
        <f t="shared" si="30"/>
        <v>1.165095107957939E-2</v>
      </c>
      <c r="Y11" s="359">
        <v>23781</v>
      </c>
      <c r="Z11" s="360">
        <f t="shared" si="31"/>
        <v>0.10760049228096212</v>
      </c>
      <c r="AA11" s="359">
        <v>22529</v>
      </c>
      <c r="AB11" s="360">
        <f t="shared" si="32"/>
        <v>0.10193564150362876</v>
      </c>
      <c r="AC11" s="361">
        <f t="shared" si="33"/>
        <v>46310</v>
      </c>
      <c r="AD11" s="360">
        <f t="shared" si="34"/>
        <v>0.20953613378459088</v>
      </c>
      <c r="AE11" s="359">
        <v>20996</v>
      </c>
      <c r="AF11" s="360">
        <f t="shared" si="35"/>
        <v>9.499936655023257E-2</v>
      </c>
      <c r="AG11" s="359">
        <v>7982</v>
      </c>
      <c r="AH11" s="360">
        <f t="shared" si="36"/>
        <v>3.6115686026098132E-2</v>
      </c>
      <c r="AI11" s="359">
        <v>16193</v>
      </c>
      <c r="AJ11" s="360">
        <f t="shared" si="37"/>
        <v>7.3267514886069529E-2</v>
      </c>
      <c r="AK11" s="359">
        <v>17602</v>
      </c>
      <c r="AL11" s="360">
        <f t="shared" si="38"/>
        <v>7.9642734331167545E-2</v>
      </c>
    </row>
    <row r="12" spans="1:38" ht="13.5">
      <c r="B12" s="79"/>
      <c r="C12" s="75"/>
      <c r="D12" s="388">
        <f t="shared" si="19"/>
        <v>46087</v>
      </c>
      <c r="E12" s="388" t="s">
        <v>528</v>
      </c>
      <c r="F12" s="84">
        <f t="shared" si="20"/>
        <v>197754</v>
      </c>
      <c r="G12" s="283"/>
      <c r="H12" s="364">
        <f>SUM(F7:F37)</f>
        <v>7295467</v>
      </c>
      <c r="I12" s="212">
        <v>26261</v>
      </c>
      <c r="J12" s="96">
        <f t="shared" si="21"/>
        <v>0.13279630247681462</v>
      </c>
      <c r="K12" s="212">
        <v>36509</v>
      </c>
      <c r="L12" s="96">
        <f t="shared" si="22"/>
        <v>0.18461826309455182</v>
      </c>
      <c r="M12" s="101">
        <f t="shared" si="23"/>
        <v>62770</v>
      </c>
      <c r="N12" s="96">
        <f t="shared" si="24"/>
        <v>0.31741456557136644</v>
      </c>
      <c r="O12" s="212">
        <v>5721</v>
      </c>
      <c r="P12" s="96">
        <f t="shared" si="25"/>
        <v>2.8929882581389E-2</v>
      </c>
      <c r="Q12" s="212">
        <v>2822</v>
      </c>
      <c r="R12" s="96">
        <f t="shared" si="26"/>
        <v>1.4270254963237153E-2</v>
      </c>
      <c r="S12" s="101">
        <f t="shared" si="27"/>
        <v>8543</v>
      </c>
      <c r="T12" s="96">
        <f t="shared" si="28"/>
        <v>4.3200137544626149E-2</v>
      </c>
      <c r="U12" s="212">
        <v>29166</v>
      </c>
      <c r="V12" s="96">
        <f t="shared" si="29"/>
        <v>0.14748627082132346</v>
      </c>
      <c r="W12" s="212">
        <v>1877</v>
      </c>
      <c r="X12" s="96">
        <f t="shared" si="30"/>
        <v>9.4915905620113882E-3</v>
      </c>
      <c r="Y12" s="212">
        <v>21001</v>
      </c>
      <c r="Z12" s="96">
        <f t="shared" si="31"/>
        <v>0.10619759903718762</v>
      </c>
      <c r="AA12" s="212">
        <v>23666</v>
      </c>
      <c r="AB12" s="96">
        <f t="shared" si="32"/>
        <v>0.11967393832741689</v>
      </c>
      <c r="AC12" s="101">
        <f t="shared" si="33"/>
        <v>44667</v>
      </c>
      <c r="AD12" s="96">
        <f t="shared" si="34"/>
        <v>0.2258715373646045</v>
      </c>
      <c r="AE12" s="212">
        <v>17352</v>
      </c>
      <c r="AF12" s="96">
        <f t="shared" si="35"/>
        <v>8.7745380624412145E-2</v>
      </c>
      <c r="AG12" s="212">
        <v>5110</v>
      </c>
      <c r="AH12" s="96">
        <f t="shared" si="36"/>
        <v>2.5840185280702286E-2</v>
      </c>
      <c r="AI12" s="212">
        <v>12659</v>
      </c>
      <c r="AJ12" s="96">
        <f t="shared" si="37"/>
        <v>6.4013875825520594E-2</v>
      </c>
      <c r="AK12" s="212">
        <v>15610</v>
      </c>
      <c r="AL12" s="96">
        <f t="shared" si="38"/>
        <v>7.8936456405433009E-2</v>
      </c>
    </row>
    <row r="13" spans="1:38" ht="13.5">
      <c r="B13" s="79"/>
      <c r="C13" s="75"/>
      <c r="D13" s="388">
        <f t="shared" si="19"/>
        <v>46088</v>
      </c>
      <c r="E13" s="388" t="s">
        <v>529</v>
      </c>
      <c r="F13" s="84">
        <f t="shared" si="20"/>
        <v>212051</v>
      </c>
      <c r="G13" s="283"/>
      <c r="H13" s="364"/>
      <c r="I13" s="212">
        <v>25388</v>
      </c>
      <c r="J13" s="96">
        <f t="shared" si="21"/>
        <v>0.11972591499214812</v>
      </c>
      <c r="K13" s="212">
        <v>40045</v>
      </c>
      <c r="L13" s="96">
        <f t="shared" si="22"/>
        <v>0.18884607948087959</v>
      </c>
      <c r="M13" s="101">
        <f t="shared" si="23"/>
        <v>65433</v>
      </c>
      <c r="N13" s="96">
        <f t="shared" si="24"/>
        <v>0.30857199447302769</v>
      </c>
      <c r="O13" s="212">
        <v>5597</v>
      </c>
      <c r="P13" s="96">
        <f t="shared" si="25"/>
        <v>2.6394593753389515E-2</v>
      </c>
      <c r="Q13" s="212">
        <v>2665</v>
      </c>
      <c r="R13" s="96">
        <f t="shared" si="26"/>
        <v>1.25677313476475E-2</v>
      </c>
      <c r="S13" s="101">
        <f t="shared" si="27"/>
        <v>8262</v>
      </c>
      <c r="T13" s="96">
        <f t="shared" si="28"/>
        <v>3.8962325101037018E-2</v>
      </c>
      <c r="U13" s="212">
        <v>32111</v>
      </c>
      <c r="V13" s="96">
        <f t="shared" si="29"/>
        <v>0.15143055208416842</v>
      </c>
      <c r="W13" s="212">
        <v>2019</v>
      </c>
      <c r="X13" s="96">
        <f t="shared" si="30"/>
        <v>9.5212944055911072E-3</v>
      </c>
      <c r="Y13" s="212">
        <v>22387</v>
      </c>
      <c r="Z13" s="96">
        <f t="shared" si="31"/>
        <v>0.10557365916689852</v>
      </c>
      <c r="AA13" s="212">
        <v>25117</v>
      </c>
      <c r="AB13" s="96">
        <f t="shared" si="32"/>
        <v>0.11844792054741549</v>
      </c>
      <c r="AC13" s="101">
        <f t="shared" si="33"/>
        <v>47504</v>
      </c>
      <c r="AD13" s="96">
        <f t="shared" si="34"/>
        <v>0.22402157971431402</v>
      </c>
      <c r="AE13" s="212">
        <v>19668</v>
      </c>
      <c r="AF13" s="96">
        <f t="shared" si="35"/>
        <v>9.2751272099636406E-2</v>
      </c>
      <c r="AG13" s="212">
        <v>6238</v>
      </c>
      <c r="AH13" s="96">
        <f t="shared" si="36"/>
        <v>2.9417451462148258E-2</v>
      </c>
      <c r="AI13" s="212">
        <v>13710</v>
      </c>
      <c r="AJ13" s="96">
        <f t="shared" si="37"/>
        <v>6.4654257702156562E-2</v>
      </c>
      <c r="AK13" s="212">
        <v>17106</v>
      </c>
      <c r="AL13" s="96">
        <f t="shared" si="38"/>
        <v>8.0669272957920507E-2</v>
      </c>
    </row>
    <row r="14" spans="1:38" ht="13.5">
      <c r="B14" s="79"/>
      <c r="C14" s="75"/>
      <c r="D14" s="388">
        <f t="shared" si="19"/>
        <v>46089</v>
      </c>
      <c r="E14" s="388" t="s">
        <v>530</v>
      </c>
      <c r="F14" s="84">
        <f t="shared" si="20"/>
        <v>253425</v>
      </c>
      <c r="G14" s="283"/>
      <c r="H14" s="364"/>
      <c r="I14" s="212">
        <v>32711</v>
      </c>
      <c r="J14" s="96">
        <f>I14/F14</f>
        <v>0.12907566341126567</v>
      </c>
      <c r="K14" s="212">
        <v>42876</v>
      </c>
      <c r="L14" s="96">
        <f>K14/F14</f>
        <v>0.16918614974844629</v>
      </c>
      <c r="M14" s="101">
        <f>SUM(I14+K14)</f>
        <v>75587</v>
      </c>
      <c r="N14" s="96">
        <f>M14/F14</f>
        <v>0.29826181315971195</v>
      </c>
      <c r="O14" s="212">
        <v>7558</v>
      </c>
      <c r="P14" s="96">
        <f>O14/F14</f>
        <v>2.9823419157541678E-2</v>
      </c>
      <c r="Q14" s="212">
        <v>3312</v>
      </c>
      <c r="R14" s="96">
        <f t="shared" si="26"/>
        <v>1.3068955312222552E-2</v>
      </c>
      <c r="S14" s="101">
        <f t="shared" si="27"/>
        <v>10870</v>
      </c>
      <c r="T14" s="96">
        <f>S14/F14</f>
        <v>4.2892374469764231E-2</v>
      </c>
      <c r="U14" s="212">
        <v>38522</v>
      </c>
      <c r="V14" s="96">
        <f>U14/F14</f>
        <v>0.15200552431685904</v>
      </c>
      <c r="W14" s="212">
        <v>1880</v>
      </c>
      <c r="X14" s="96">
        <f>W14/F14</f>
        <v>7.4183683535562787E-3</v>
      </c>
      <c r="Y14" s="212">
        <v>27093</v>
      </c>
      <c r="Z14" s="96">
        <f>Y14/F14</f>
        <v>0.10690736904409588</v>
      </c>
      <c r="AA14" s="212">
        <v>27748</v>
      </c>
      <c r="AB14" s="96">
        <f t="shared" si="32"/>
        <v>0.10949196014599981</v>
      </c>
      <c r="AC14" s="101">
        <f>SUM(Y14+AA14)</f>
        <v>54841</v>
      </c>
      <c r="AD14" s="96">
        <f>AC14/F14</f>
        <v>0.21639932919009569</v>
      </c>
      <c r="AE14" s="212">
        <v>25896</v>
      </c>
      <c r="AF14" s="96">
        <f>AE14/F14</f>
        <v>0.10218407812962414</v>
      </c>
      <c r="AG14" s="212">
        <v>9235</v>
      </c>
      <c r="AH14" s="96">
        <f>AG14/F14</f>
        <v>3.6440761566538422E-2</v>
      </c>
      <c r="AI14" s="212">
        <v>18522</v>
      </c>
      <c r="AJ14" s="96">
        <f>AI14/F14</f>
        <v>7.3086712044983723E-2</v>
      </c>
      <c r="AK14" s="212">
        <v>18072</v>
      </c>
      <c r="AL14" s="96">
        <f>AK14/F14</f>
        <v>7.1311038768866533E-2</v>
      </c>
    </row>
    <row r="15" spans="1:38" ht="13.5">
      <c r="B15" s="79"/>
      <c r="C15" s="75"/>
      <c r="D15" s="388">
        <f t="shared" si="19"/>
        <v>46090</v>
      </c>
      <c r="E15" s="388" t="s">
        <v>524</v>
      </c>
      <c r="F15" s="84">
        <f t="shared" si="20"/>
        <v>244877</v>
      </c>
      <c r="G15" s="283"/>
      <c r="H15" s="364"/>
      <c r="I15" s="212">
        <v>31274</v>
      </c>
      <c r="J15" s="96">
        <f t="shared" ref="J15" si="39">I15/F15</f>
        <v>0.12771309677919934</v>
      </c>
      <c r="K15" s="212">
        <v>42437</v>
      </c>
      <c r="L15" s="96">
        <f t="shared" ref="L15" si="40">K15/F15</f>
        <v>0.17329924819399126</v>
      </c>
      <c r="M15" s="101">
        <f t="shared" ref="M15" si="41">SUM(I15+K15)</f>
        <v>73711</v>
      </c>
      <c r="N15" s="96">
        <f t="shared" ref="N15" si="42">M15/F15</f>
        <v>0.30101234497319063</v>
      </c>
      <c r="O15" s="212">
        <v>6797</v>
      </c>
      <c r="P15" s="96">
        <f t="shared" ref="P15" si="43">O15/F15</f>
        <v>2.7756792185464538E-2</v>
      </c>
      <c r="Q15" s="212">
        <v>3326</v>
      </c>
      <c r="R15" s="96">
        <f t="shared" si="26"/>
        <v>1.358232908766442E-2</v>
      </c>
      <c r="S15" s="101">
        <f t="shared" ref="S15" si="44">SUM(O15+Q15)</f>
        <v>10123</v>
      </c>
      <c r="T15" s="96">
        <f t="shared" ref="T15" si="45">S15/F15</f>
        <v>4.1339121273128956E-2</v>
      </c>
      <c r="U15" s="212">
        <v>37895</v>
      </c>
      <c r="V15" s="96">
        <f t="shared" ref="V15" si="46">U15/F15</f>
        <v>0.15475116078684401</v>
      </c>
      <c r="W15" s="212">
        <v>2275</v>
      </c>
      <c r="X15" s="96">
        <f t="shared" ref="X15" si="47">W15/F15</f>
        <v>9.2903784348877198E-3</v>
      </c>
      <c r="Y15" s="212">
        <v>24139</v>
      </c>
      <c r="Z15" s="96">
        <f t="shared" ref="Z15" si="48">Y15/F15</f>
        <v>9.8576019797694356E-2</v>
      </c>
      <c r="AA15" s="212">
        <v>27555</v>
      </c>
      <c r="AB15" s="96">
        <f t="shared" si="32"/>
        <v>0.11252588033992576</v>
      </c>
      <c r="AC15" s="101">
        <f t="shared" ref="AC15" si="49">SUM(Y15+AA15)</f>
        <v>51694</v>
      </c>
      <c r="AD15" s="96">
        <f t="shared" ref="AD15" si="50">AC15/F15</f>
        <v>0.21110190013762012</v>
      </c>
      <c r="AE15" s="212">
        <v>22760</v>
      </c>
      <c r="AF15" s="96">
        <f t="shared" ref="AF15" si="51">AE15/F15</f>
        <v>9.2944621177162415E-2</v>
      </c>
      <c r="AG15" s="212">
        <v>6454</v>
      </c>
      <c r="AH15" s="96">
        <f t="shared" ref="AH15" si="52">AG15/F15</f>
        <v>2.6356088975281466E-2</v>
      </c>
      <c r="AI15" s="212">
        <v>20494</v>
      </c>
      <c r="AJ15" s="96">
        <f t="shared" ref="AJ15" si="53">AI15/F15</f>
        <v>8.3690995887731393E-2</v>
      </c>
      <c r="AK15" s="212">
        <v>19471</v>
      </c>
      <c r="AL15" s="96">
        <f t="shared" ref="AL15" si="54">AK15/F15</f>
        <v>7.9513388354153308E-2</v>
      </c>
    </row>
    <row r="16" spans="1:38" ht="13.5">
      <c r="B16" s="79"/>
      <c r="C16" s="75"/>
      <c r="D16" s="383">
        <f t="shared" si="19"/>
        <v>46091</v>
      </c>
      <c r="E16" s="383" t="s">
        <v>525</v>
      </c>
      <c r="F16" s="84">
        <f t="shared" si="20"/>
        <v>243272</v>
      </c>
      <c r="G16" s="283">
        <f>SUM(F16:F22)</f>
        <v>1610229</v>
      </c>
      <c r="H16" s="364"/>
      <c r="I16" s="212">
        <v>31224</v>
      </c>
      <c r="J16" s="96">
        <f t="shared" ref="J16:J41" si="55">I16/F16</f>
        <v>0.12835015949225559</v>
      </c>
      <c r="K16" s="212">
        <v>41085</v>
      </c>
      <c r="L16" s="96">
        <f t="shared" ref="L16:L41" si="56">K16/F16</f>
        <v>0.16888503403597618</v>
      </c>
      <c r="M16" s="101">
        <f t="shared" ref="M16:M41" si="57">SUM(I16+K16)</f>
        <v>72309</v>
      </c>
      <c r="N16" s="96">
        <f t="shared" ref="N16:N41" si="58">M16/F16</f>
        <v>0.2972351935282318</v>
      </c>
      <c r="O16" s="212">
        <v>6977</v>
      </c>
      <c r="P16" s="96">
        <f t="shared" ref="P16:P41" si="59">O16/F16</f>
        <v>2.8679831628794106E-2</v>
      </c>
      <c r="Q16" s="212">
        <v>3243</v>
      </c>
      <c r="R16" s="96">
        <f t="shared" si="26"/>
        <v>1.3330757341576507E-2</v>
      </c>
      <c r="S16" s="101">
        <f t="shared" ref="S16:S45" si="60">SUM(O16+Q16)</f>
        <v>10220</v>
      </c>
      <c r="T16" s="96">
        <f t="shared" ref="T16:T41" si="61">S16/F16</f>
        <v>4.2010588970370612E-2</v>
      </c>
      <c r="U16" s="212">
        <v>36834</v>
      </c>
      <c r="V16" s="96">
        <f t="shared" ref="V16:V41" si="62">U16/F16</f>
        <v>0.15141076654937682</v>
      </c>
      <c r="W16" s="212">
        <v>2077</v>
      </c>
      <c r="X16" s="96">
        <f t="shared" ref="X16:X41" si="63">W16/F16</f>
        <v>8.5377684238218954E-3</v>
      </c>
      <c r="Y16" s="212">
        <v>23718</v>
      </c>
      <c r="Z16" s="96">
        <f t="shared" ref="Z16:Z41" si="64">Y16/F16</f>
        <v>9.7495807162353246E-2</v>
      </c>
      <c r="AA16" s="212">
        <v>27019</v>
      </c>
      <c r="AB16" s="96">
        <f t="shared" si="32"/>
        <v>0.11106498076227432</v>
      </c>
      <c r="AC16" s="101">
        <f t="shared" ref="AC16:AC41" si="65">SUM(Y16+AA16)</f>
        <v>50737</v>
      </c>
      <c r="AD16" s="96">
        <f t="shared" ref="AD16:AD41" si="66">AC16/F16</f>
        <v>0.20856078792462757</v>
      </c>
      <c r="AE16" s="212">
        <v>22112</v>
      </c>
      <c r="AF16" s="96">
        <f t="shared" ref="AF16:AF41" si="67">AE16/F16</f>
        <v>9.0894143181295017E-2</v>
      </c>
      <c r="AG16" s="212">
        <v>5543</v>
      </c>
      <c r="AH16" s="96">
        <f t="shared" ref="AH16:AH41" si="68">AG16/F16</f>
        <v>2.2785195172481832E-2</v>
      </c>
      <c r="AI16" s="212">
        <v>19535</v>
      </c>
      <c r="AJ16" s="96">
        <f t="shared" ref="AJ16:AJ41" si="69">AI16/F16</f>
        <v>8.0301062185537175E-2</v>
      </c>
      <c r="AK16" s="212">
        <v>23905</v>
      </c>
      <c r="AL16" s="96">
        <f t="shared" ref="AL16:AL41" si="70">AK16/F16</f>
        <v>9.8264494064257288E-2</v>
      </c>
    </row>
    <row r="17" spans="2:38" ht="13.5">
      <c r="B17" s="79"/>
      <c r="C17" s="75"/>
      <c r="D17" s="389">
        <f t="shared" si="19"/>
        <v>46092</v>
      </c>
      <c r="E17" s="389" t="s">
        <v>526</v>
      </c>
      <c r="F17" s="84">
        <f t="shared" si="20"/>
        <v>228563</v>
      </c>
      <c r="G17" s="283"/>
      <c r="H17" s="364"/>
      <c r="I17" s="212">
        <v>30676</v>
      </c>
      <c r="J17" s="96">
        <f t="shared" si="55"/>
        <v>0.13421244908405996</v>
      </c>
      <c r="K17" s="212">
        <v>39998</v>
      </c>
      <c r="L17" s="96">
        <f t="shared" si="56"/>
        <v>0.1749977030402996</v>
      </c>
      <c r="M17" s="101">
        <f t="shared" si="57"/>
        <v>70674</v>
      </c>
      <c r="N17" s="96">
        <f t="shared" si="58"/>
        <v>0.30921015212435959</v>
      </c>
      <c r="O17" s="212">
        <v>7013</v>
      </c>
      <c r="P17" s="96">
        <f t="shared" si="59"/>
        <v>3.0683006435862321E-2</v>
      </c>
      <c r="Q17" s="212">
        <v>3211</v>
      </c>
      <c r="R17" s="96">
        <f t="shared" si="26"/>
        <v>1.4048643043712237E-2</v>
      </c>
      <c r="S17" s="101">
        <f t="shared" si="60"/>
        <v>10224</v>
      </c>
      <c r="T17" s="96">
        <f t="shared" si="61"/>
        <v>4.4731649479574559E-2</v>
      </c>
      <c r="U17" s="212">
        <v>35096</v>
      </c>
      <c r="V17" s="96">
        <f t="shared" si="62"/>
        <v>0.1535506621806679</v>
      </c>
      <c r="W17" s="212">
        <v>2272</v>
      </c>
      <c r="X17" s="96">
        <f t="shared" si="63"/>
        <v>9.9403665510165683E-3</v>
      </c>
      <c r="Y17" s="212">
        <v>23019</v>
      </c>
      <c r="Z17" s="96">
        <f t="shared" si="64"/>
        <v>0.10071183874905387</v>
      </c>
      <c r="AA17" s="212">
        <v>25399</v>
      </c>
      <c r="AB17" s="96">
        <f t="shared" si="32"/>
        <v>0.11112472272415046</v>
      </c>
      <c r="AC17" s="101">
        <f t="shared" si="65"/>
        <v>48418</v>
      </c>
      <c r="AD17" s="96">
        <f t="shared" si="66"/>
        <v>0.21183656147320432</v>
      </c>
      <c r="AE17" s="212">
        <v>20391</v>
      </c>
      <c r="AF17" s="96">
        <f t="shared" si="67"/>
        <v>8.9213914763106889E-2</v>
      </c>
      <c r="AG17" s="212">
        <v>5392</v>
      </c>
      <c r="AH17" s="96">
        <f t="shared" si="68"/>
        <v>2.3590869913328052E-2</v>
      </c>
      <c r="AI17" s="212">
        <v>12763</v>
      </c>
      <c r="AJ17" s="96">
        <f t="shared" si="69"/>
        <v>5.584018410678894E-2</v>
      </c>
      <c r="AK17" s="212">
        <v>23333</v>
      </c>
      <c r="AL17" s="96">
        <f t="shared" si="70"/>
        <v>0.10208563940795316</v>
      </c>
    </row>
    <row r="18" spans="2:38" ht="13.5">
      <c r="B18" s="79"/>
      <c r="C18" s="75"/>
      <c r="D18" s="389">
        <f t="shared" si="19"/>
        <v>46093</v>
      </c>
      <c r="E18" s="389" t="s">
        <v>527</v>
      </c>
      <c r="F18" s="84">
        <f t="shared" si="20"/>
        <v>210660</v>
      </c>
      <c r="G18" s="283"/>
      <c r="H18" s="364"/>
      <c r="I18" s="212">
        <v>29307</v>
      </c>
      <c r="J18" s="96">
        <f t="shared" si="55"/>
        <v>0.13911990885787526</v>
      </c>
      <c r="K18" s="212">
        <v>37434</v>
      </c>
      <c r="L18" s="96">
        <f t="shared" si="56"/>
        <v>0.17769866135004272</v>
      </c>
      <c r="M18" s="101">
        <f t="shared" si="57"/>
        <v>66741</v>
      </c>
      <c r="N18" s="96">
        <f t="shared" si="58"/>
        <v>0.31681857020791798</v>
      </c>
      <c r="O18" s="212">
        <v>6855</v>
      </c>
      <c r="P18" s="96">
        <f t="shared" si="59"/>
        <v>3.2540586727428086E-2</v>
      </c>
      <c r="Q18" s="212">
        <v>3182</v>
      </c>
      <c r="R18" s="96">
        <f t="shared" si="26"/>
        <v>1.5104908383176683E-2</v>
      </c>
      <c r="S18" s="101">
        <f t="shared" si="60"/>
        <v>10037</v>
      </c>
      <c r="T18" s="96">
        <f t="shared" si="61"/>
        <v>4.7645495110604764E-2</v>
      </c>
      <c r="U18" s="212">
        <v>31711</v>
      </c>
      <c r="V18" s="96">
        <f t="shared" si="62"/>
        <v>0.15053166239437957</v>
      </c>
      <c r="W18" s="212">
        <v>2279</v>
      </c>
      <c r="X18" s="96">
        <f t="shared" si="63"/>
        <v>1.0818380328491408E-2</v>
      </c>
      <c r="Y18" s="212">
        <v>23653</v>
      </c>
      <c r="Z18" s="96">
        <f t="shared" si="64"/>
        <v>0.11228045191303522</v>
      </c>
      <c r="AA18" s="212">
        <v>21399</v>
      </c>
      <c r="AB18" s="96">
        <f t="shared" si="32"/>
        <v>0.10158074622614639</v>
      </c>
      <c r="AC18" s="101">
        <f t="shared" si="65"/>
        <v>45052</v>
      </c>
      <c r="AD18" s="96">
        <f t="shared" si="66"/>
        <v>0.21386119813918161</v>
      </c>
      <c r="AE18" s="212">
        <v>19599</v>
      </c>
      <c r="AF18" s="96">
        <f t="shared" si="67"/>
        <v>9.3036172030760464E-2</v>
      </c>
      <c r="AG18" s="212">
        <v>5106</v>
      </c>
      <c r="AH18" s="96">
        <f t="shared" si="68"/>
        <v>2.4238108800911422E-2</v>
      </c>
      <c r="AI18" s="212">
        <v>11058</v>
      </c>
      <c r="AJ18" s="96">
        <f t="shared" si="69"/>
        <v>5.2492167473654226E-2</v>
      </c>
      <c r="AK18" s="212">
        <v>19077</v>
      </c>
      <c r="AL18" s="96">
        <f t="shared" si="70"/>
        <v>9.0558245514098551E-2</v>
      </c>
    </row>
    <row r="19" spans="2:38" ht="13.5">
      <c r="B19" s="79"/>
      <c r="C19" s="75"/>
      <c r="D19" s="389">
        <f t="shared" si="19"/>
        <v>46094</v>
      </c>
      <c r="E19" s="389" t="s">
        <v>528</v>
      </c>
      <c r="F19" s="84">
        <f t="shared" si="20"/>
        <v>206085</v>
      </c>
      <c r="G19" s="283"/>
      <c r="H19" s="364"/>
      <c r="I19" s="212">
        <v>25772</v>
      </c>
      <c r="J19" s="96">
        <f t="shared" si="55"/>
        <v>0.12505519567168888</v>
      </c>
      <c r="K19" s="212">
        <v>36320</v>
      </c>
      <c r="L19" s="96">
        <f t="shared" si="56"/>
        <v>0.17623796006502171</v>
      </c>
      <c r="M19" s="101">
        <f t="shared" si="57"/>
        <v>62092</v>
      </c>
      <c r="N19" s="96">
        <f t="shared" si="58"/>
        <v>0.30129315573671056</v>
      </c>
      <c r="O19" s="212">
        <v>5623</v>
      </c>
      <c r="P19" s="96">
        <f t="shared" si="59"/>
        <v>2.728485818958197E-2</v>
      </c>
      <c r="Q19" s="212">
        <v>2641</v>
      </c>
      <c r="R19" s="96">
        <f t="shared" si="26"/>
        <v>1.2815100565300726E-2</v>
      </c>
      <c r="S19" s="101">
        <f t="shared" si="60"/>
        <v>8264</v>
      </c>
      <c r="T19" s="96">
        <f t="shared" si="61"/>
        <v>4.0099958754882696E-2</v>
      </c>
      <c r="U19" s="212">
        <v>29235</v>
      </c>
      <c r="V19" s="96">
        <f t="shared" si="62"/>
        <v>0.14185894169881361</v>
      </c>
      <c r="W19" s="212">
        <v>1691</v>
      </c>
      <c r="X19" s="96">
        <f t="shared" si="63"/>
        <v>8.2053521605162921E-3</v>
      </c>
      <c r="Y19" s="212">
        <v>23290</v>
      </c>
      <c r="Z19" s="96">
        <f t="shared" si="64"/>
        <v>0.11301162141834679</v>
      </c>
      <c r="AA19" s="212">
        <v>24631</v>
      </c>
      <c r="AB19" s="96">
        <f t="shared" si="32"/>
        <v>0.11951864521920567</v>
      </c>
      <c r="AC19" s="101">
        <f t="shared" si="65"/>
        <v>47921</v>
      </c>
      <c r="AD19" s="96">
        <f t="shared" si="66"/>
        <v>0.23253026663755247</v>
      </c>
      <c r="AE19" s="212">
        <v>18578</v>
      </c>
      <c r="AF19" s="96">
        <f t="shared" si="67"/>
        <v>9.0147269330616009E-2</v>
      </c>
      <c r="AG19" s="212">
        <v>5592</v>
      </c>
      <c r="AH19" s="96">
        <f t="shared" si="68"/>
        <v>2.7134434820583739E-2</v>
      </c>
      <c r="AI19" s="212">
        <v>15604</v>
      </c>
      <c r="AJ19" s="96">
        <f t="shared" si="69"/>
        <v>7.5716330640269794E-2</v>
      </c>
      <c r="AK19" s="212">
        <v>17108</v>
      </c>
      <c r="AL19" s="96">
        <f t="shared" si="70"/>
        <v>8.3014290220054826E-2</v>
      </c>
    </row>
    <row r="20" spans="2:38" ht="13.5">
      <c r="B20" s="79"/>
      <c r="C20" s="75"/>
      <c r="D20" s="389">
        <f t="shared" si="19"/>
        <v>46095</v>
      </c>
      <c r="E20" s="389" t="s">
        <v>529</v>
      </c>
      <c r="F20" s="84">
        <f t="shared" si="20"/>
        <v>214713</v>
      </c>
      <c r="G20" s="283"/>
      <c r="H20" s="364"/>
      <c r="I20" s="212">
        <v>24485</v>
      </c>
      <c r="J20" s="96">
        <f t="shared" si="55"/>
        <v>0.1140359456576919</v>
      </c>
      <c r="K20" s="212">
        <v>39219</v>
      </c>
      <c r="L20" s="96">
        <f t="shared" si="56"/>
        <v>0.18265778038591049</v>
      </c>
      <c r="M20" s="101">
        <f t="shared" si="57"/>
        <v>63704</v>
      </c>
      <c r="N20" s="96">
        <f t="shared" si="58"/>
        <v>0.29669372604360239</v>
      </c>
      <c r="O20" s="212">
        <v>5174</v>
      </c>
      <c r="P20" s="96">
        <f t="shared" si="59"/>
        <v>2.409728335033277E-2</v>
      </c>
      <c r="Q20" s="212">
        <v>2506</v>
      </c>
      <c r="R20" s="96">
        <f t="shared" si="26"/>
        <v>1.1671393907215678E-2</v>
      </c>
      <c r="S20" s="101">
        <f t="shared" si="60"/>
        <v>7680</v>
      </c>
      <c r="T20" s="96">
        <f t="shared" si="61"/>
        <v>3.5768677257548447E-2</v>
      </c>
      <c r="U20" s="212">
        <v>31285</v>
      </c>
      <c r="V20" s="96">
        <f t="shared" si="62"/>
        <v>0.14570612864614624</v>
      </c>
      <c r="W20" s="212">
        <v>1936</v>
      </c>
      <c r="X20" s="96">
        <f t="shared" si="63"/>
        <v>9.0166873920070039E-3</v>
      </c>
      <c r="Y20" s="212">
        <v>23163</v>
      </c>
      <c r="Z20" s="96">
        <f t="shared" si="64"/>
        <v>0.10787888949434828</v>
      </c>
      <c r="AA20" s="212">
        <v>24854</v>
      </c>
      <c r="AB20" s="96">
        <f t="shared" si="32"/>
        <v>0.11575451882280068</v>
      </c>
      <c r="AC20" s="101">
        <f t="shared" si="65"/>
        <v>48017</v>
      </c>
      <c r="AD20" s="96">
        <f t="shared" si="66"/>
        <v>0.22363340831714895</v>
      </c>
      <c r="AE20" s="212">
        <v>20315</v>
      </c>
      <c r="AF20" s="96">
        <f t="shared" si="67"/>
        <v>9.4614671678007384E-2</v>
      </c>
      <c r="AG20" s="212">
        <v>5241</v>
      </c>
      <c r="AH20" s="96">
        <f t="shared" si="68"/>
        <v>2.440932780036607E-2</v>
      </c>
      <c r="AI20" s="212">
        <v>17408</v>
      </c>
      <c r="AJ20" s="96">
        <f t="shared" si="69"/>
        <v>8.1075668450443145E-2</v>
      </c>
      <c r="AK20" s="212">
        <v>19127</v>
      </c>
      <c r="AL20" s="96">
        <f t="shared" si="70"/>
        <v>8.9081704414730359E-2</v>
      </c>
    </row>
    <row r="21" spans="2:38" ht="13.5">
      <c r="B21" s="79"/>
      <c r="C21" s="75"/>
      <c r="D21" s="389">
        <f t="shared" si="19"/>
        <v>46096</v>
      </c>
      <c r="E21" s="389" t="s">
        <v>530</v>
      </c>
      <c r="F21" s="84">
        <f t="shared" si="20"/>
        <v>258354</v>
      </c>
      <c r="G21" s="283"/>
      <c r="H21" s="364"/>
      <c r="I21" s="212">
        <v>31521</v>
      </c>
      <c r="J21" s="96">
        <f t="shared" si="55"/>
        <v>0.12200701363245779</v>
      </c>
      <c r="K21" s="212">
        <v>42509</v>
      </c>
      <c r="L21" s="96">
        <f t="shared" si="56"/>
        <v>0.16453780471755808</v>
      </c>
      <c r="M21" s="101">
        <f t="shared" si="57"/>
        <v>74030</v>
      </c>
      <c r="N21" s="96">
        <f t="shared" si="58"/>
        <v>0.28654481835001588</v>
      </c>
      <c r="O21" s="212">
        <v>6966</v>
      </c>
      <c r="P21" s="96">
        <f t="shared" si="59"/>
        <v>2.6963004249982582E-2</v>
      </c>
      <c r="Q21" s="212">
        <v>3150</v>
      </c>
      <c r="R21" s="96">
        <f t="shared" si="26"/>
        <v>1.2192572981258273E-2</v>
      </c>
      <c r="S21" s="101">
        <f t="shared" si="60"/>
        <v>10116</v>
      </c>
      <c r="T21" s="96">
        <f t="shared" si="61"/>
        <v>3.9155577231240857E-2</v>
      </c>
      <c r="U21" s="212">
        <v>39090</v>
      </c>
      <c r="V21" s="96">
        <f t="shared" si="62"/>
        <v>0.15130402471028123</v>
      </c>
      <c r="W21" s="212">
        <v>1810</v>
      </c>
      <c r="X21" s="96">
        <f t="shared" si="63"/>
        <v>7.0058911416118969E-3</v>
      </c>
      <c r="Y21" s="212">
        <v>25506</v>
      </c>
      <c r="Z21" s="96">
        <f t="shared" si="64"/>
        <v>9.8725005225388421E-2</v>
      </c>
      <c r="AA21" s="212">
        <v>27939</v>
      </c>
      <c r="AB21" s="96">
        <f t="shared" si="32"/>
        <v>0.10814231635662695</v>
      </c>
      <c r="AC21" s="101">
        <f t="shared" si="65"/>
        <v>53445</v>
      </c>
      <c r="AD21" s="96">
        <f t="shared" si="66"/>
        <v>0.20686732158201537</v>
      </c>
      <c r="AE21" s="212">
        <v>25175</v>
      </c>
      <c r="AF21" s="96">
        <f t="shared" si="67"/>
        <v>9.7443817397833976E-2</v>
      </c>
      <c r="AG21" s="212">
        <v>6016</v>
      </c>
      <c r="AH21" s="96">
        <f t="shared" si="68"/>
        <v>2.3285879065158659E-2</v>
      </c>
      <c r="AI21" s="212">
        <v>22567</v>
      </c>
      <c r="AJ21" s="96">
        <f t="shared" si="69"/>
        <v>8.7349141100969988E-2</v>
      </c>
      <c r="AK21" s="212">
        <v>26105</v>
      </c>
      <c r="AL21" s="96">
        <f t="shared" si="70"/>
        <v>0.10104352942087214</v>
      </c>
    </row>
    <row r="22" spans="2:38" ht="13.5">
      <c r="B22" s="79"/>
      <c r="C22" s="75"/>
      <c r="D22" s="389">
        <f t="shared" si="19"/>
        <v>46097</v>
      </c>
      <c r="E22" s="389" t="s">
        <v>524</v>
      </c>
      <c r="F22" s="84">
        <f t="shared" si="20"/>
        <v>248582</v>
      </c>
      <c r="G22" s="283"/>
      <c r="H22" s="364"/>
      <c r="I22" s="212">
        <v>30665</v>
      </c>
      <c r="J22" s="96">
        <f t="shared" si="55"/>
        <v>0.12335969619682841</v>
      </c>
      <c r="K22" s="212">
        <v>45905</v>
      </c>
      <c r="L22" s="96">
        <f t="shared" si="56"/>
        <v>0.18466743368385483</v>
      </c>
      <c r="M22" s="101">
        <f t="shared" si="57"/>
        <v>76570</v>
      </c>
      <c r="N22" s="96">
        <f t="shared" si="58"/>
        <v>0.30802712988068326</v>
      </c>
      <c r="O22" s="212">
        <v>6478</v>
      </c>
      <c r="P22" s="96">
        <f t="shared" si="59"/>
        <v>2.6059811249406633E-2</v>
      </c>
      <c r="Q22" s="212">
        <v>3096</v>
      </c>
      <c r="R22" s="96">
        <f t="shared" si="26"/>
        <v>1.2454642733584894E-2</v>
      </c>
      <c r="S22" s="101">
        <f t="shared" si="60"/>
        <v>9574</v>
      </c>
      <c r="T22" s="96">
        <f t="shared" si="61"/>
        <v>3.8514453982991526E-2</v>
      </c>
      <c r="U22" s="212">
        <v>37330</v>
      </c>
      <c r="V22" s="96">
        <f t="shared" si="62"/>
        <v>0.15017177430385145</v>
      </c>
      <c r="W22" s="212">
        <v>2232</v>
      </c>
      <c r="X22" s="96">
        <f t="shared" si="63"/>
        <v>8.9789284823519003E-3</v>
      </c>
      <c r="Y22" s="212">
        <v>23218</v>
      </c>
      <c r="Z22" s="96">
        <f t="shared" si="64"/>
        <v>9.3401774867045886E-2</v>
      </c>
      <c r="AA22" s="212">
        <v>26743</v>
      </c>
      <c r="AB22" s="96">
        <f t="shared" si="32"/>
        <v>0.10758220627398606</v>
      </c>
      <c r="AC22" s="101">
        <f t="shared" si="65"/>
        <v>49961</v>
      </c>
      <c r="AD22" s="96">
        <f t="shared" si="66"/>
        <v>0.20098398114103194</v>
      </c>
      <c r="AE22" s="212">
        <v>23343</v>
      </c>
      <c r="AF22" s="96">
        <f t="shared" si="67"/>
        <v>9.3904627044596956E-2</v>
      </c>
      <c r="AG22" s="212">
        <v>6053</v>
      </c>
      <c r="AH22" s="96">
        <f t="shared" si="68"/>
        <v>2.4350113845732997E-2</v>
      </c>
      <c r="AI22" s="212">
        <v>21880</v>
      </c>
      <c r="AJ22" s="96">
        <f t="shared" si="69"/>
        <v>8.8019245158539233E-2</v>
      </c>
      <c r="AK22" s="212">
        <v>21639</v>
      </c>
      <c r="AL22" s="96">
        <f t="shared" si="70"/>
        <v>8.7049746160220778E-2</v>
      </c>
    </row>
    <row r="23" spans="2:38" ht="13.5">
      <c r="B23" s="79"/>
      <c r="C23" s="75"/>
      <c r="D23" s="280">
        <f t="shared" si="19"/>
        <v>46098</v>
      </c>
      <c r="E23" s="280" t="s">
        <v>525</v>
      </c>
      <c r="F23" s="84">
        <f t="shared" si="20"/>
        <v>256722</v>
      </c>
      <c r="G23" s="283">
        <f>SUM(F23:F29)</f>
        <v>1654379</v>
      </c>
      <c r="H23" s="364"/>
      <c r="I23" s="212">
        <v>30817</v>
      </c>
      <c r="J23" s="96">
        <f t="shared" si="55"/>
        <v>0.12004035493646824</v>
      </c>
      <c r="K23" s="212">
        <v>44823</v>
      </c>
      <c r="L23" s="96">
        <f t="shared" si="56"/>
        <v>0.17459742445135204</v>
      </c>
      <c r="M23" s="101">
        <f t="shared" si="57"/>
        <v>75640</v>
      </c>
      <c r="N23" s="96">
        <f t="shared" si="58"/>
        <v>0.29463777938782026</v>
      </c>
      <c r="O23" s="212">
        <v>10118</v>
      </c>
      <c r="P23" s="96">
        <f t="shared" si="59"/>
        <v>3.9412282546879507E-2</v>
      </c>
      <c r="Q23" s="212">
        <v>3280</v>
      </c>
      <c r="R23" s="96">
        <f t="shared" si="26"/>
        <v>1.2776466372184698E-2</v>
      </c>
      <c r="S23" s="101">
        <f t="shared" si="60"/>
        <v>13398</v>
      </c>
      <c r="T23" s="96">
        <f t="shared" si="61"/>
        <v>5.21887489190642E-2</v>
      </c>
      <c r="U23" s="212">
        <v>35761</v>
      </c>
      <c r="V23" s="96">
        <f t="shared" si="62"/>
        <v>0.13929854083405396</v>
      </c>
      <c r="W23" s="212">
        <v>2025</v>
      </c>
      <c r="X23" s="96">
        <f t="shared" si="63"/>
        <v>7.8879098791689063E-3</v>
      </c>
      <c r="Y23" s="212">
        <v>32561</v>
      </c>
      <c r="Z23" s="96">
        <f t="shared" si="64"/>
        <v>0.12683369559289814</v>
      </c>
      <c r="AA23" s="212">
        <v>26062</v>
      </c>
      <c r="AB23" s="96">
        <f t="shared" si="32"/>
        <v>0.1015183739609383</v>
      </c>
      <c r="AC23" s="101">
        <f t="shared" si="65"/>
        <v>58623</v>
      </c>
      <c r="AD23" s="96">
        <f t="shared" si="66"/>
        <v>0.22835206955383644</v>
      </c>
      <c r="AE23" s="212">
        <v>25320</v>
      </c>
      <c r="AF23" s="96">
        <f t="shared" si="67"/>
        <v>9.862808797064529E-2</v>
      </c>
      <c r="AG23" s="212">
        <v>5308</v>
      </c>
      <c r="AH23" s="96">
        <f t="shared" si="68"/>
        <v>2.0676062043767186E-2</v>
      </c>
      <c r="AI23" s="212">
        <v>21538</v>
      </c>
      <c r="AJ23" s="96">
        <f t="shared" si="69"/>
        <v>8.3896199001254279E-2</v>
      </c>
      <c r="AK23" s="212">
        <v>19109</v>
      </c>
      <c r="AL23" s="96">
        <f t="shared" si="70"/>
        <v>7.4434602410389447E-2</v>
      </c>
    </row>
    <row r="24" spans="2:38" ht="13.5">
      <c r="B24" s="79"/>
      <c r="C24" s="75"/>
      <c r="D24" s="388">
        <f t="shared" si="19"/>
        <v>46099</v>
      </c>
      <c r="E24" s="388" t="s">
        <v>526</v>
      </c>
      <c r="F24" s="84">
        <f t="shared" si="20"/>
        <v>243285</v>
      </c>
      <c r="G24" s="283"/>
      <c r="H24" s="364"/>
      <c r="I24" s="212">
        <v>30465</v>
      </c>
      <c r="J24" s="96">
        <f t="shared" si="55"/>
        <v>0.12522350329860041</v>
      </c>
      <c r="K24" s="212">
        <v>43872</v>
      </c>
      <c r="L24" s="96">
        <f t="shared" si="56"/>
        <v>0.1803317097231642</v>
      </c>
      <c r="M24" s="101">
        <f t="shared" si="57"/>
        <v>74337</v>
      </c>
      <c r="N24" s="96">
        <f t="shared" si="58"/>
        <v>0.30555521302176458</v>
      </c>
      <c r="O24" s="212">
        <v>8573</v>
      </c>
      <c r="P24" s="96">
        <f t="shared" si="59"/>
        <v>3.5238506278644388E-2</v>
      </c>
      <c r="Q24" s="212">
        <v>3289</v>
      </c>
      <c r="R24" s="96">
        <f t="shared" si="26"/>
        <v>1.3519123661549212E-2</v>
      </c>
      <c r="S24" s="101">
        <f t="shared" si="60"/>
        <v>11862</v>
      </c>
      <c r="T24" s="96">
        <f t="shared" si="61"/>
        <v>4.87576299401936E-2</v>
      </c>
      <c r="U24" s="212">
        <v>30484</v>
      </c>
      <c r="V24" s="96">
        <f t="shared" si="62"/>
        <v>0.12530160100293894</v>
      </c>
      <c r="W24" s="212">
        <v>2113</v>
      </c>
      <c r="X24" s="96">
        <f t="shared" si="63"/>
        <v>8.6852868035431699E-3</v>
      </c>
      <c r="Y24" s="212">
        <v>28370</v>
      </c>
      <c r="Z24" s="96">
        <f t="shared" si="64"/>
        <v>0.11661220379390427</v>
      </c>
      <c r="AA24" s="212">
        <v>23579</v>
      </c>
      <c r="AB24" s="96">
        <f t="shared" si="32"/>
        <v>9.6919251084119445E-2</v>
      </c>
      <c r="AC24" s="101">
        <f t="shared" si="65"/>
        <v>51949</v>
      </c>
      <c r="AD24" s="96">
        <f t="shared" si="66"/>
        <v>0.21353145487802372</v>
      </c>
      <c r="AE24" s="212">
        <v>23295</v>
      </c>
      <c r="AF24" s="96">
        <f t="shared" si="67"/>
        <v>9.5751895924532954E-2</v>
      </c>
      <c r="AG24" s="212">
        <v>5328</v>
      </c>
      <c r="AH24" s="96">
        <f t="shared" si="68"/>
        <v>2.1900240458721253E-2</v>
      </c>
      <c r="AI24" s="212">
        <v>24211</v>
      </c>
      <c r="AJ24" s="96">
        <f t="shared" si="69"/>
        <v>9.9517027354748544E-2</v>
      </c>
      <c r="AK24" s="212">
        <v>19706</v>
      </c>
      <c r="AL24" s="96">
        <f t="shared" si="70"/>
        <v>8.0999650615533228E-2</v>
      </c>
    </row>
    <row r="25" spans="2:38" ht="13.5">
      <c r="B25" s="79"/>
      <c r="C25" s="75"/>
      <c r="D25" s="388">
        <f t="shared" si="19"/>
        <v>46100</v>
      </c>
      <c r="E25" s="388" t="s">
        <v>527</v>
      </c>
      <c r="F25" s="84">
        <f t="shared" si="20"/>
        <v>227839</v>
      </c>
      <c r="G25" s="283"/>
      <c r="H25" s="364"/>
      <c r="I25" s="212">
        <v>28758</v>
      </c>
      <c r="J25" s="96">
        <f t="shared" si="55"/>
        <v>0.12622070848274439</v>
      </c>
      <c r="K25" s="212">
        <v>40348</v>
      </c>
      <c r="L25" s="96">
        <f t="shared" si="56"/>
        <v>0.1770899626490636</v>
      </c>
      <c r="M25" s="101">
        <f t="shared" si="57"/>
        <v>69106</v>
      </c>
      <c r="N25" s="96">
        <f t="shared" si="58"/>
        <v>0.30331067113180799</v>
      </c>
      <c r="O25" s="212">
        <v>7843</v>
      </c>
      <c r="P25" s="96">
        <f t="shared" si="59"/>
        <v>3.4423430580365962E-2</v>
      </c>
      <c r="Q25" s="212">
        <v>3281</v>
      </c>
      <c r="R25" s="96">
        <f t="shared" si="26"/>
        <v>1.4400519665202182E-2</v>
      </c>
      <c r="S25" s="101">
        <f t="shared" si="60"/>
        <v>11124</v>
      </c>
      <c r="T25" s="96">
        <f t="shared" si="61"/>
        <v>4.882395024556814E-2</v>
      </c>
      <c r="U25" s="212">
        <v>29974</v>
      </c>
      <c r="V25" s="96">
        <f t="shared" si="62"/>
        <v>0.13155781055921068</v>
      </c>
      <c r="W25" s="212">
        <v>2166</v>
      </c>
      <c r="X25" s="96">
        <f t="shared" si="63"/>
        <v>9.5067130737055555E-3</v>
      </c>
      <c r="Y25" s="212">
        <v>26923</v>
      </c>
      <c r="Z25" s="96">
        <f t="shared" si="64"/>
        <v>0.11816677566176116</v>
      </c>
      <c r="AA25" s="212">
        <v>19738</v>
      </c>
      <c r="AB25" s="96">
        <f t="shared" si="32"/>
        <v>8.663134933000935E-2</v>
      </c>
      <c r="AC25" s="101">
        <f t="shared" si="65"/>
        <v>46661</v>
      </c>
      <c r="AD25" s="96">
        <f t="shared" si="66"/>
        <v>0.2047981249917705</v>
      </c>
      <c r="AE25" s="212">
        <v>20303</v>
      </c>
      <c r="AF25" s="96">
        <f t="shared" si="67"/>
        <v>8.9111170607314813E-2</v>
      </c>
      <c r="AG25" s="212">
        <v>5199</v>
      </c>
      <c r="AH25" s="96">
        <f t="shared" si="68"/>
        <v>2.2818744815417905E-2</v>
      </c>
      <c r="AI25" s="212">
        <v>23901</v>
      </c>
      <c r="AJ25" s="96">
        <f t="shared" si="69"/>
        <v>0.10490302362633264</v>
      </c>
      <c r="AK25" s="212">
        <v>19405</v>
      </c>
      <c r="AL25" s="96">
        <f t="shared" si="70"/>
        <v>8.5169790948871796E-2</v>
      </c>
    </row>
    <row r="26" spans="2:38" ht="13.5">
      <c r="B26" s="79"/>
      <c r="C26" s="75"/>
      <c r="D26" s="388">
        <f t="shared" si="19"/>
        <v>46101</v>
      </c>
      <c r="E26" s="388" t="s">
        <v>528</v>
      </c>
      <c r="F26" s="84">
        <f t="shared" si="20"/>
        <v>205172</v>
      </c>
      <c r="G26" s="283"/>
      <c r="H26" s="364"/>
      <c r="I26" s="212">
        <v>24598</v>
      </c>
      <c r="J26" s="96">
        <f t="shared" si="55"/>
        <v>0.11988965355896516</v>
      </c>
      <c r="K26" s="212">
        <v>37534</v>
      </c>
      <c r="L26" s="96">
        <f t="shared" si="56"/>
        <v>0.18293919248240501</v>
      </c>
      <c r="M26" s="101">
        <f t="shared" si="57"/>
        <v>62132</v>
      </c>
      <c r="N26" s="96">
        <f t="shared" si="58"/>
        <v>0.30282884604137017</v>
      </c>
      <c r="O26" s="212">
        <v>7315</v>
      </c>
      <c r="P26" s="96">
        <f t="shared" si="59"/>
        <v>3.5653013081707055E-2</v>
      </c>
      <c r="Q26" s="212">
        <v>2685</v>
      </c>
      <c r="R26" s="96">
        <f t="shared" si="26"/>
        <v>1.3086581014953308E-2</v>
      </c>
      <c r="S26" s="101">
        <f t="shared" si="60"/>
        <v>10000</v>
      </c>
      <c r="T26" s="96">
        <f t="shared" si="61"/>
        <v>4.8739594096660364E-2</v>
      </c>
      <c r="U26" s="212">
        <v>27204</v>
      </c>
      <c r="V26" s="96">
        <f t="shared" si="62"/>
        <v>0.13259119178055484</v>
      </c>
      <c r="W26" s="212">
        <v>1532</v>
      </c>
      <c r="X26" s="96">
        <f t="shared" si="63"/>
        <v>7.4669058156083675E-3</v>
      </c>
      <c r="Y26" s="212">
        <v>21145</v>
      </c>
      <c r="Z26" s="96">
        <f t="shared" si="64"/>
        <v>0.10305987171738834</v>
      </c>
      <c r="AA26" s="212">
        <v>21987</v>
      </c>
      <c r="AB26" s="96">
        <f t="shared" si="32"/>
        <v>0.10716374554032713</v>
      </c>
      <c r="AC26" s="101">
        <f t="shared" si="65"/>
        <v>43132</v>
      </c>
      <c r="AD26" s="96">
        <f t="shared" si="66"/>
        <v>0.21022361725771549</v>
      </c>
      <c r="AE26" s="212">
        <v>17999</v>
      </c>
      <c r="AF26" s="96">
        <f t="shared" si="67"/>
        <v>8.7726395414578981E-2</v>
      </c>
      <c r="AG26" s="212">
        <v>4208</v>
      </c>
      <c r="AH26" s="96">
        <f t="shared" si="68"/>
        <v>2.050962119587468E-2</v>
      </c>
      <c r="AI26" s="212">
        <v>22218</v>
      </c>
      <c r="AJ26" s="96">
        <f t="shared" si="69"/>
        <v>0.10828963016396</v>
      </c>
      <c r="AK26" s="212">
        <v>16747</v>
      </c>
      <c r="AL26" s="96">
        <f t="shared" si="70"/>
        <v>8.1624198233677114E-2</v>
      </c>
    </row>
    <row r="27" spans="2:38" ht="13.5">
      <c r="B27" s="79"/>
      <c r="C27" s="75"/>
      <c r="D27" s="388">
        <f t="shared" si="19"/>
        <v>46102</v>
      </c>
      <c r="E27" s="388" t="s">
        <v>529</v>
      </c>
      <c r="F27" s="84">
        <f t="shared" si="20"/>
        <v>215989</v>
      </c>
      <c r="G27" s="283"/>
      <c r="H27" s="364"/>
      <c r="I27" s="212">
        <v>23726</v>
      </c>
      <c r="J27" s="96">
        <f t="shared" si="55"/>
        <v>0.10984818671321225</v>
      </c>
      <c r="K27" s="212">
        <v>40547</v>
      </c>
      <c r="L27" s="96">
        <f t="shared" si="56"/>
        <v>0.18772715277166893</v>
      </c>
      <c r="M27" s="101">
        <f t="shared" si="57"/>
        <v>64273</v>
      </c>
      <c r="N27" s="96">
        <f t="shared" si="58"/>
        <v>0.29757533948488119</v>
      </c>
      <c r="O27" s="212">
        <v>6889</v>
      </c>
      <c r="P27" s="96">
        <f t="shared" si="59"/>
        <v>3.1895142808198565E-2</v>
      </c>
      <c r="Q27" s="212">
        <v>2499</v>
      </c>
      <c r="R27" s="96">
        <f t="shared" si="26"/>
        <v>1.1570033659121529E-2</v>
      </c>
      <c r="S27" s="101">
        <f t="shared" si="60"/>
        <v>9388</v>
      </c>
      <c r="T27" s="96">
        <f t="shared" si="61"/>
        <v>4.3465176467320094E-2</v>
      </c>
      <c r="U27" s="212">
        <v>29561</v>
      </c>
      <c r="V27" s="96">
        <f t="shared" si="62"/>
        <v>0.1368634513794684</v>
      </c>
      <c r="W27" s="212">
        <v>1747</v>
      </c>
      <c r="X27" s="96">
        <f t="shared" si="63"/>
        <v>8.088374870942501E-3</v>
      </c>
      <c r="Y27" s="212">
        <v>23216</v>
      </c>
      <c r="Z27" s="96">
        <f t="shared" si="64"/>
        <v>0.10748695535420785</v>
      </c>
      <c r="AA27" s="212">
        <v>22231</v>
      </c>
      <c r="AB27" s="96">
        <f t="shared" si="32"/>
        <v>0.1029265379255425</v>
      </c>
      <c r="AC27" s="101">
        <f t="shared" si="65"/>
        <v>45447</v>
      </c>
      <c r="AD27" s="96">
        <f t="shared" si="66"/>
        <v>0.21041349327975037</v>
      </c>
      <c r="AE27" s="212">
        <v>19743</v>
      </c>
      <c r="AF27" s="96">
        <f t="shared" si="67"/>
        <v>9.1407432785928916E-2</v>
      </c>
      <c r="AG27" s="212">
        <v>4437</v>
      </c>
      <c r="AH27" s="96">
        <f t="shared" si="68"/>
        <v>2.0542712823338225E-2</v>
      </c>
      <c r="AI27" s="212">
        <v>23236</v>
      </c>
      <c r="AJ27" s="96">
        <f t="shared" si="69"/>
        <v>0.1075795526624041</v>
      </c>
      <c r="AK27" s="212">
        <v>18157</v>
      </c>
      <c r="AL27" s="96">
        <f t="shared" si="70"/>
        <v>8.4064466245966224E-2</v>
      </c>
    </row>
    <row r="28" spans="2:38" ht="13.5">
      <c r="B28" s="79"/>
      <c r="C28" s="75"/>
      <c r="D28" s="388">
        <f t="shared" si="19"/>
        <v>46103</v>
      </c>
      <c r="E28" s="388" t="s">
        <v>530</v>
      </c>
      <c r="F28" s="84">
        <f t="shared" si="20"/>
        <v>257635</v>
      </c>
      <c r="G28" s="283"/>
      <c r="H28" s="364"/>
      <c r="I28" s="212">
        <v>30421</v>
      </c>
      <c r="J28" s="96">
        <f t="shared" si="55"/>
        <v>0.11807790090632096</v>
      </c>
      <c r="K28" s="212">
        <v>43523</v>
      </c>
      <c r="L28" s="96">
        <f t="shared" si="56"/>
        <v>0.16893279251654472</v>
      </c>
      <c r="M28" s="101">
        <f t="shared" si="57"/>
        <v>73944</v>
      </c>
      <c r="N28" s="96">
        <f t="shared" si="58"/>
        <v>0.28701069342286567</v>
      </c>
      <c r="O28" s="212">
        <v>9032</v>
      </c>
      <c r="P28" s="96">
        <f t="shared" si="59"/>
        <v>3.5057348574533742E-2</v>
      </c>
      <c r="Q28" s="212">
        <v>3119</v>
      </c>
      <c r="R28" s="96">
        <f t="shared" si="26"/>
        <v>1.2106274380421915E-2</v>
      </c>
      <c r="S28" s="101">
        <f t="shared" si="60"/>
        <v>12151</v>
      </c>
      <c r="T28" s="96">
        <f t="shared" si="61"/>
        <v>4.7163622954955652E-2</v>
      </c>
      <c r="U28" s="212">
        <v>36587</v>
      </c>
      <c r="V28" s="96">
        <f t="shared" si="62"/>
        <v>0.14201098453238109</v>
      </c>
      <c r="W28" s="212">
        <v>1680</v>
      </c>
      <c r="X28" s="96">
        <f t="shared" si="63"/>
        <v>6.5208531449531312E-3</v>
      </c>
      <c r="Y28" s="212">
        <v>28879</v>
      </c>
      <c r="Z28" s="96">
        <f t="shared" si="64"/>
        <v>0.11209268926970327</v>
      </c>
      <c r="AA28" s="212">
        <v>25130</v>
      </c>
      <c r="AB28" s="96">
        <f t="shared" si="32"/>
        <v>9.7541094959923927E-2</v>
      </c>
      <c r="AC28" s="101">
        <f t="shared" si="65"/>
        <v>54009</v>
      </c>
      <c r="AD28" s="96">
        <f t="shared" si="66"/>
        <v>0.2096337842296272</v>
      </c>
      <c r="AE28" s="212">
        <v>25055</v>
      </c>
      <c r="AF28" s="96">
        <f t="shared" si="67"/>
        <v>9.7249985444524234E-2</v>
      </c>
      <c r="AG28" s="212">
        <v>5318</v>
      </c>
      <c r="AH28" s="96">
        <f t="shared" si="68"/>
        <v>2.0641605371940923E-2</v>
      </c>
      <c r="AI28" s="212">
        <v>28403</v>
      </c>
      <c r="AJ28" s="96">
        <f t="shared" si="69"/>
        <v>0.11024511421196655</v>
      </c>
      <c r="AK28" s="212">
        <v>20488</v>
      </c>
      <c r="AL28" s="96">
        <f t="shared" si="70"/>
        <v>7.9523356686785562E-2</v>
      </c>
    </row>
    <row r="29" spans="2:38" ht="13.5">
      <c r="B29" s="79"/>
      <c r="C29" s="75"/>
      <c r="D29" s="388">
        <f t="shared" si="19"/>
        <v>46104</v>
      </c>
      <c r="E29" s="388" t="s">
        <v>524</v>
      </c>
      <c r="F29" s="84">
        <f t="shared" si="20"/>
        <v>247737</v>
      </c>
      <c r="G29" s="283"/>
      <c r="H29" s="364"/>
      <c r="I29" s="212">
        <v>28536</v>
      </c>
      <c r="J29" s="96">
        <f t="shared" si="55"/>
        <v>0.11518666973443611</v>
      </c>
      <c r="K29" s="212">
        <v>42740</v>
      </c>
      <c r="L29" s="96">
        <f t="shared" si="56"/>
        <v>0.17252166612173395</v>
      </c>
      <c r="M29" s="101">
        <f t="shared" si="57"/>
        <v>71276</v>
      </c>
      <c r="N29" s="96">
        <f t="shared" si="58"/>
        <v>0.28770833585617006</v>
      </c>
      <c r="O29" s="212">
        <v>7604</v>
      </c>
      <c r="P29" s="96">
        <f t="shared" si="59"/>
        <v>3.0693840645523277E-2</v>
      </c>
      <c r="Q29" s="212">
        <v>3141</v>
      </c>
      <c r="R29" s="96">
        <f t="shared" si="26"/>
        <v>1.267876820983543E-2</v>
      </c>
      <c r="S29" s="101">
        <f t="shared" si="60"/>
        <v>10745</v>
      </c>
      <c r="T29" s="96">
        <f t="shared" si="61"/>
        <v>4.3372608855358707E-2</v>
      </c>
      <c r="U29" s="212">
        <v>35423</v>
      </c>
      <c r="V29" s="96">
        <f t="shared" si="62"/>
        <v>0.14298631209710297</v>
      </c>
      <c r="W29" s="212">
        <v>2094</v>
      </c>
      <c r="X29" s="96">
        <f t="shared" si="63"/>
        <v>8.4525121398902874E-3</v>
      </c>
      <c r="Y29" s="212">
        <v>26706</v>
      </c>
      <c r="Z29" s="96">
        <f t="shared" si="64"/>
        <v>0.10779980382421681</v>
      </c>
      <c r="AA29" s="212">
        <v>24364</v>
      </c>
      <c r="AB29" s="96">
        <f t="shared" si="32"/>
        <v>9.8346230074635596E-2</v>
      </c>
      <c r="AC29" s="101">
        <f t="shared" si="65"/>
        <v>51070</v>
      </c>
      <c r="AD29" s="96">
        <f t="shared" si="66"/>
        <v>0.20614603389885242</v>
      </c>
      <c r="AE29" s="212">
        <v>23710</v>
      </c>
      <c r="AF29" s="96">
        <f t="shared" si="67"/>
        <v>9.5706333732950663E-2</v>
      </c>
      <c r="AG29" s="212">
        <v>5228</v>
      </c>
      <c r="AH29" s="96">
        <f t="shared" si="68"/>
        <v>2.1103024578484442E-2</v>
      </c>
      <c r="AI29" s="212">
        <v>26861</v>
      </c>
      <c r="AJ29" s="96">
        <f t="shared" si="69"/>
        <v>0.10842546733027364</v>
      </c>
      <c r="AK29" s="212">
        <v>21330</v>
      </c>
      <c r="AL29" s="96">
        <f t="shared" si="70"/>
        <v>8.6099371510916817E-2</v>
      </c>
    </row>
    <row r="30" spans="2:38" ht="13.5">
      <c r="B30" s="79"/>
      <c r="C30" s="75"/>
      <c r="D30" s="383">
        <f t="shared" si="19"/>
        <v>46105</v>
      </c>
      <c r="E30" s="383" t="s">
        <v>525</v>
      </c>
      <c r="F30" s="84">
        <f t="shared" si="20"/>
        <v>247432</v>
      </c>
      <c r="G30" s="283">
        <f>SUM(F30:F36)</f>
        <v>1653343</v>
      </c>
      <c r="H30" s="364"/>
      <c r="I30" s="212">
        <v>28159</v>
      </c>
      <c r="J30" s="96">
        <f t="shared" si="55"/>
        <v>0.1138050050114779</v>
      </c>
      <c r="K30" s="212">
        <v>41945</v>
      </c>
      <c r="L30" s="96">
        <f t="shared" si="56"/>
        <v>0.16952132303016587</v>
      </c>
      <c r="M30" s="101">
        <f t="shared" si="57"/>
        <v>70104</v>
      </c>
      <c r="N30" s="96">
        <f t="shared" si="58"/>
        <v>0.28332632804164376</v>
      </c>
      <c r="O30" s="212">
        <v>7962</v>
      </c>
      <c r="P30" s="96">
        <f t="shared" si="59"/>
        <v>3.2178537941737528E-2</v>
      </c>
      <c r="Q30" s="212">
        <v>3142</v>
      </c>
      <c r="R30" s="96">
        <f t="shared" si="26"/>
        <v>1.2698438358821817E-2</v>
      </c>
      <c r="S30" s="101">
        <f t="shared" si="60"/>
        <v>11104</v>
      </c>
      <c r="T30" s="96">
        <f t="shared" si="61"/>
        <v>4.4876976300559347E-2</v>
      </c>
      <c r="U30" s="212">
        <v>33663</v>
      </c>
      <c r="V30" s="96">
        <f t="shared" si="62"/>
        <v>0.13604950046881567</v>
      </c>
      <c r="W30" s="212">
        <v>1921</v>
      </c>
      <c r="X30" s="96">
        <f t="shared" si="63"/>
        <v>7.7637492321122568E-3</v>
      </c>
      <c r="Y30" s="212">
        <v>30014</v>
      </c>
      <c r="Z30" s="96">
        <f t="shared" si="64"/>
        <v>0.12130201429079504</v>
      </c>
      <c r="AA30" s="212">
        <v>24196</v>
      </c>
      <c r="AB30" s="96">
        <f t="shared" si="32"/>
        <v>9.7788483300462345E-2</v>
      </c>
      <c r="AC30" s="101">
        <f t="shared" si="65"/>
        <v>54210</v>
      </c>
      <c r="AD30" s="96">
        <f t="shared" si="66"/>
        <v>0.2190904975912574</v>
      </c>
      <c r="AE30" s="212">
        <v>22320</v>
      </c>
      <c r="AF30" s="96">
        <f t="shared" si="67"/>
        <v>9.0206602217983128E-2</v>
      </c>
      <c r="AG30" s="212">
        <v>5093</v>
      </c>
      <c r="AH30" s="96">
        <f t="shared" si="68"/>
        <v>2.0583433024022761E-2</v>
      </c>
      <c r="AI30" s="212">
        <v>28301</v>
      </c>
      <c r="AJ30" s="96">
        <f t="shared" si="69"/>
        <v>0.11437890006143102</v>
      </c>
      <c r="AK30" s="212">
        <v>20716</v>
      </c>
      <c r="AL30" s="96">
        <f t="shared" si="70"/>
        <v>8.3724013062174654E-2</v>
      </c>
    </row>
    <row r="31" spans="2:38" ht="13.5">
      <c r="B31" s="79"/>
      <c r="C31" s="75"/>
      <c r="D31" s="389">
        <f t="shared" si="19"/>
        <v>46106</v>
      </c>
      <c r="E31" s="389" t="s">
        <v>526</v>
      </c>
      <c r="F31" s="84">
        <f t="shared" si="20"/>
        <v>237565</v>
      </c>
      <c r="G31" s="283"/>
      <c r="H31" s="364"/>
      <c r="I31" s="212">
        <v>27982</v>
      </c>
      <c r="J31" s="96">
        <f t="shared" si="55"/>
        <v>0.11778671100540905</v>
      </c>
      <c r="K31" s="212">
        <v>41073</v>
      </c>
      <c r="L31" s="96">
        <f t="shared" si="56"/>
        <v>0.17289162965925114</v>
      </c>
      <c r="M31" s="101">
        <f t="shared" si="57"/>
        <v>69055</v>
      </c>
      <c r="N31" s="96">
        <f t="shared" si="58"/>
        <v>0.2906783406646602</v>
      </c>
      <c r="O31" s="212">
        <v>7604</v>
      </c>
      <c r="P31" s="96">
        <f t="shared" si="59"/>
        <v>3.2008081998610903E-2</v>
      </c>
      <c r="Q31" s="212">
        <v>3134</v>
      </c>
      <c r="R31" s="96">
        <f t="shared" si="26"/>
        <v>1.3192178982594237E-2</v>
      </c>
      <c r="S31" s="101">
        <f t="shared" si="60"/>
        <v>10738</v>
      </c>
      <c r="T31" s="96">
        <f t="shared" si="61"/>
        <v>4.5200260981205144E-2</v>
      </c>
      <c r="U31" s="212">
        <v>30943</v>
      </c>
      <c r="V31" s="96">
        <f t="shared" si="62"/>
        <v>0.13025066823816639</v>
      </c>
      <c r="W31" s="212">
        <v>1973</v>
      </c>
      <c r="X31" s="96">
        <f t="shared" si="63"/>
        <v>8.3050954475617205E-3</v>
      </c>
      <c r="Y31" s="212">
        <v>27002</v>
      </c>
      <c r="Z31" s="96">
        <f t="shared" si="64"/>
        <v>0.11366152421442552</v>
      </c>
      <c r="AA31" s="212">
        <v>21883</v>
      </c>
      <c r="AB31" s="96">
        <f t="shared" si="32"/>
        <v>9.21137372929514E-2</v>
      </c>
      <c r="AC31" s="101">
        <f t="shared" si="65"/>
        <v>48885</v>
      </c>
      <c r="AD31" s="96">
        <f t="shared" si="66"/>
        <v>0.20577526150737693</v>
      </c>
      <c r="AE31" s="212">
        <v>21710</v>
      </c>
      <c r="AF31" s="96">
        <f t="shared" si="67"/>
        <v>9.1385515543114512E-2</v>
      </c>
      <c r="AG31" s="212">
        <v>4928</v>
      </c>
      <c r="AH31" s="96">
        <f t="shared" si="68"/>
        <v>2.0743796434659987E-2</v>
      </c>
      <c r="AI31" s="212">
        <v>28943</v>
      </c>
      <c r="AJ31" s="96">
        <f t="shared" si="69"/>
        <v>0.1218319196851388</v>
      </c>
      <c r="AK31" s="212">
        <v>20390</v>
      </c>
      <c r="AL31" s="96">
        <f t="shared" si="70"/>
        <v>8.582914149811631E-2</v>
      </c>
    </row>
    <row r="32" spans="2:38" ht="13.5">
      <c r="B32" s="79"/>
      <c r="C32" s="75"/>
      <c r="D32" s="389">
        <f t="shared" si="19"/>
        <v>46107</v>
      </c>
      <c r="E32" s="389" t="s">
        <v>527</v>
      </c>
      <c r="F32" s="84">
        <f t="shared" si="20"/>
        <v>223124</v>
      </c>
      <c r="G32" s="283"/>
      <c r="H32" s="364"/>
      <c r="I32" s="212">
        <v>26984</v>
      </c>
      <c r="J32" s="96">
        <f t="shared" si="55"/>
        <v>0.12093723669349779</v>
      </c>
      <c r="K32" s="212">
        <v>38153</v>
      </c>
      <c r="L32" s="96">
        <f t="shared" si="56"/>
        <v>0.17099460389738441</v>
      </c>
      <c r="M32" s="101">
        <f t="shared" si="57"/>
        <v>65137</v>
      </c>
      <c r="N32" s="96">
        <f t="shared" si="58"/>
        <v>0.29193184059088217</v>
      </c>
      <c r="O32" s="212">
        <v>7673</v>
      </c>
      <c r="P32" s="96">
        <f t="shared" si="59"/>
        <v>3.4388949642351341E-2</v>
      </c>
      <c r="Q32" s="212">
        <v>3084</v>
      </c>
      <c r="R32" s="96">
        <f t="shared" si="26"/>
        <v>1.3821910686434449E-2</v>
      </c>
      <c r="S32" s="101">
        <f t="shared" si="60"/>
        <v>10757</v>
      </c>
      <c r="T32" s="96">
        <f t="shared" si="61"/>
        <v>4.8210860328785785E-2</v>
      </c>
      <c r="U32" s="212">
        <v>30328</v>
      </c>
      <c r="V32" s="96">
        <f t="shared" si="62"/>
        <v>0.13592441870887936</v>
      </c>
      <c r="W32" s="212">
        <v>2068</v>
      </c>
      <c r="X32" s="96">
        <f t="shared" si="63"/>
        <v>9.2683888779333465E-3</v>
      </c>
      <c r="Y32" s="212">
        <v>25972</v>
      </c>
      <c r="Z32" s="96">
        <f t="shared" si="64"/>
        <v>0.11640164213621125</v>
      </c>
      <c r="AA32" s="212">
        <v>19185</v>
      </c>
      <c r="AB32" s="96">
        <f t="shared" si="32"/>
        <v>8.5983578637887456E-2</v>
      </c>
      <c r="AC32" s="101">
        <f t="shared" si="65"/>
        <v>45157</v>
      </c>
      <c r="AD32" s="96">
        <f t="shared" si="66"/>
        <v>0.20238522077409871</v>
      </c>
      <c r="AE32" s="212">
        <v>20881</v>
      </c>
      <c r="AF32" s="96">
        <f t="shared" si="67"/>
        <v>9.3584733152865668E-2</v>
      </c>
      <c r="AG32" s="212">
        <v>4859</v>
      </c>
      <c r="AH32" s="96">
        <f t="shared" si="68"/>
        <v>2.177712841290045E-2</v>
      </c>
      <c r="AI32" s="212">
        <v>23515</v>
      </c>
      <c r="AJ32" s="96">
        <f t="shared" si="69"/>
        <v>0.10538982807766085</v>
      </c>
      <c r="AK32" s="212">
        <v>20422</v>
      </c>
      <c r="AL32" s="96">
        <f t="shared" si="70"/>
        <v>9.1527581075993625E-2</v>
      </c>
    </row>
    <row r="33" spans="2:38" ht="13.5">
      <c r="B33" s="79"/>
      <c r="C33" s="75"/>
      <c r="D33" s="389">
        <f t="shared" si="19"/>
        <v>46108</v>
      </c>
      <c r="E33" s="389" t="s">
        <v>528</v>
      </c>
      <c r="F33" s="84">
        <f t="shared" si="20"/>
        <v>216121</v>
      </c>
      <c r="G33" s="283"/>
      <c r="H33" s="364"/>
      <c r="I33" s="212">
        <v>23679</v>
      </c>
      <c r="J33" s="96">
        <f t="shared" si="55"/>
        <v>0.10956362408095464</v>
      </c>
      <c r="K33" s="212">
        <v>37320</v>
      </c>
      <c r="L33" s="96">
        <f t="shared" si="56"/>
        <v>0.17268104441493423</v>
      </c>
      <c r="M33" s="101">
        <f t="shared" si="57"/>
        <v>60999</v>
      </c>
      <c r="N33" s="96">
        <f t="shared" si="58"/>
        <v>0.28224466849588886</v>
      </c>
      <c r="O33" s="212">
        <v>6393</v>
      </c>
      <c r="P33" s="96">
        <f t="shared" si="59"/>
        <v>2.9580651579439295E-2</v>
      </c>
      <c r="Q33" s="212">
        <v>2700</v>
      </c>
      <c r="R33" s="96">
        <f t="shared" si="26"/>
        <v>1.2493001605582059E-2</v>
      </c>
      <c r="S33" s="101">
        <f t="shared" si="60"/>
        <v>9093</v>
      </c>
      <c r="T33" s="96">
        <f t="shared" si="61"/>
        <v>4.2073653185021355E-2</v>
      </c>
      <c r="U33" s="212">
        <v>28166</v>
      </c>
      <c r="V33" s="96">
        <f t="shared" si="62"/>
        <v>0.13032514193437936</v>
      </c>
      <c r="W33" s="212">
        <v>1478</v>
      </c>
      <c r="X33" s="96">
        <f t="shared" si="63"/>
        <v>6.8387616196482525E-3</v>
      </c>
      <c r="Y33" s="212">
        <v>27542</v>
      </c>
      <c r="Z33" s="96">
        <f t="shared" si="64"/>
        <v>0.1274378704522004</v>
      </c>
      <c r="AA33" s="212">
        <v>21708</v>
      </c>
      <c r="AB33" s="96">
        <f t="shared" si="32"/>
        <v>0.10044373290887974</v>
      </c>
      <c r="AC33" s="101">
        <f t="shared" si="65"/>
        <v>49250</v>
      </c>
      <c r="AD33" s="96">
        <f t="shared" si="66"/>
        <v>0.22788160336108013</v>
      </c>
      <c r="AE33" s="212">
        <v>19601</v>
      </c>
      <c r="AF33" s="96">
        <f t="shared" si="67"/>
        <v>9.0694564618894039E-2</v>
      </c>
      <c r="AG33" s="212">
        <v>3728</v>
      </c>
      <c r="AH33" s="96">
        <f t="shared" si="68"/>
        <v>1.7249596290966635E-2</v>
      </c>
      <c r="AI33" s="212">
        <v>25696</v>
      </c>
      <c r="AJ33" s="96">
        <f t="shared" si="69"/>
        <v>0.11889635898408762</v>
      </c>
      <c r="AK33" s="212">
        <v>18110</v>
      </c>
      <c r="AL33" s="96">
        <f t="shared" si="70"/>
        <v>8.3795651510033736E-2</v>
      </c>
    </row>
    <row r="34" spans="2:38" ht="13.5">
      <c r="B34" s="79"/>
      <c r="C34" s="75"/>
      <c r="D34" s="389">
        <f t="shared" si="19"/>
        <v>46109</v>
      </c>
      <c r="E34" s="389" t="s">
        <v>529</v>
      </c>
      <c r="F34" s="84">
        <f t="shared" si="20"/>
        <v>221930</v>
      </c>
      <c r="G34" s="283"/>
      <c r="H34" s="364"/>
      <c r="I34" s="212">
        <v>22976</v>
      </c>
      <c r="J34" s="96">
        <f t="shared" si="55"/>
        <v>0.10352813950344704</v>
      </c>
      <c r="K34" s="212">
        <v>40500</v>
      </c>
      <c r="L34" s="96">
        <f t="shared" si="56"/>
        <v>0.18248997431622585</v>
      </c>
      <c r="M34" s="101">
        <f t="shared" si="57"/>
        <v>63476</v>
      </c>
      <c r="N34" s="96">
        <f t="shared" si="58"/>
        <v>0.28601811381967285</v>
      </c>
      <c r="O34" s="212">
        <v>5912</v>
      </c>
      <c r="P34" s="96">
        <f t="shared" si="59"/>
        <v>2.6639030324877213E-2</v>
      </c>
      <c r="Q34" s="212">
        <v>2575</v>
      </c>
      <c r="R34" s="96">
        <f t="shared" si="26"/>
        <v>1.1602757626278557E-2</v>
      </c>
      <c r="S34" s="101">
        <f t="shared" si="60"/>
        <v>8487</v>
      </c>
      <c r="T34" s="96">
        <f t="shared" si="61"/>
        <v>3.8241787951155772E-2</v>
      </c>
      <c r="U34" s="212">
        <v>30588</v>
      </c>
      <c r="V34" s="96">
        <f t="shared" si="62"/>
        <v>0.13782724282431397</v>
      </c>
      <c r="W34" s="212">
        <v>1751</v>
      </c>
      <c r="X34" s="96">
        <f t="shared" si="63"/>
        <v>7.8898751858694181E-3</v>
      </c>
      <c r="Y34" s="212">
        <v>27801</v>
      </c>
      <c r="Z34" s="96">
        <f t="shared" si="64"/>
        <v>0.12526922903618257</v>
      </c>
      <c r="AA34" s="212">
        <v>21508</v>
      </c>
      <c r="AB34" s="96">
        <f t="shared" si="32"/>
        <v>9.6913441175145318E-2</v>
      </c>
      <c r="AC34" s="101">
        <f t="shared" si="65"/>
        <v>49309</v>
      </c>
      <c r="AD34" s="96">
        <f t="shared" si="66"/>
        <v>0.2221826702113279</v>
      </c>
      <c r="AE34" s="212">
        <v>21253</v>
      </c>
      <c r="AF34" s="96">
        <f t="shared" si="67"/>
        <v>9.5764430225746863E-2</v>
      </c>
      <c r="AG34" s="212">
        <v>4081</v>
      </c>
      <c r="AH34" s="96">
        <f t="shared" si="68"/>
        <v>1.8388681115667101E-2</v>
      </c>
      <c r="AI34" s="212">
        <v>25931</v>
      </c>
      <c r="AJ34" s="96">
        <f t="shared" si="69"/>
        <v>0.11684314874059389</v>
      </c>
      <c r="AK34" s="212">
        <v>17054</v>
      </c>
      <c r="AL34" s="96">
        <f t="shared" si="70"/>
        <v>7.6844049925652233E-2</v>
      </c>
    </row>
    <row r="35" spans="2:38" ht="13.5">
      <c r="B35" s="79"/>
      <c r="C35" s="75"/>
      <c r="D35" s="389">
        <f t="shared" si="19"/>
        <v>46110</v>
      </c>
      <c r="E35" s="389" t="s">
        <v>530</v>
      </c>
      <c r="F35" s="84">
        <f t="shared" si="20"/>
        <v>256372</v>
      </c>
      <c r="G35" s="283"/>
      <c r="H35" s="364"/>
      <c r="I35" s="212">
        <v>29075</v>
      </c>
      <c r="J35" s="96">
        <f t="shared" si="55"/>
        <v>0.11340942068556628</v>
      </c>
      <c r="K35" s="212">
        <v>43086</v>
      </c>
      <c r="L35" s="96">
        <f t="shared" si="56"/>
        <v>0.16806047462281373</v>
      </c>
      <c r="M35" s="101">
        <f t="shared" si="57"/>
        <v>72161</v>
      </c>
      <c r="N35" s="96">
        <f t="shared" si="58"/>
        <v>0.28146989530838001</v>
      </c>
      <c r="O35" s="212">
        <v>7464</v>
      </c>
      <c r="P35" s="96">
        <f t="shared" si="59"/>
        <v>2.9113943800415022E-2</v>
      </c>
      <c r="Q35" s="212">
        <v>3041</v>
      </c>
      <c r="R35" s="96">
        <f t="shared" si="26"/>
        <v>1.186166976112836E-2</v>
      </c>
      <c r="S35" s="101">
        <f t="shared" si="60"/>
        <v>10505</v>
      </c>
      <c r="T35" s="96">
        <f t="shared" si="61"/>
        <v>4.0975613561543382E-2</v>
      </c>
      <c r="U35" s="212">
        <v>37196</v>
      </c>
      <c r="V35" s="96">
        <f t="shared" si="62"/>
        <v>0.14508604683818827</v>
      </c>
      <c r="W35" s="212">
        <v>1683</v>
      </c>
      <c r="X35" s="96">
        <f t="shared" si="63"/>
        <v>6.5646794501739662E-3</v>
      </c>
      <c r="Y35" s="212">
        <v>32368</v>
      </c>
      <c r="Z35" s="96">
        <f t="shared" si="64"/>
        <v>0.12625403710233568</v>
      </c>
      <c r="AA35" s="212">
        <v>24030</v>
      </c>
      <c r="AB35" s="96">
        <f t="shared" si="32"/>
        <v>9.3730984662911701E-2</v>
      </c>
      <c r="AC35" s="101">
        <f t="shared" si="65"/>
        <v>56398</v>
      </c>
      <c r="AD35" s="96">
        <f t="shared" si="66"/>
        <v>0.21998502176524737</v>
      </c>
      <c r="AE35" s="212">
        <v>26352</v>
      </c>
      <c r="AF35" s="96">
        <f t="shared" si="67"/>
        <v>0.10278813598988969</v>
      </c>
      <c r="AG35" s="212">
        <v>4874</v>
      </c>
      <c r="AH35" s="96">
        <f t="shared" si="68"/>
        <v>1.9011436506326744E-2</v>
      </c>
      <c r="AI35" s="212">
        <v>27961</v>
      </c>
      <c r="AJ35" s="96">
        <f t="shared" si="69"/>
        <v>0.10906417237451828</v>
      </c>
      <c r="AK35" s="212">
        <v>19242</v>
      </c>
      <c r="AL35" s="96">
        <f t="shared" si="70"/>
        <v>7.505499820573229E-2</v>
      </c>
    </row>
    <row r="36" spans="2:38" ht="13.5">
      <c r="B36" s="79"/>
      <c r="C36" s="75"/>
      <c r="D36" s="389">
        <f t="shared" si="19"/>
        <v>46111</v>
      </c>
      <c r="E36" s="389" t="s">
        <v>524</v>
      </c>
      <c r="F36" s="84">
        <f t="shared" si="20"/>
        <v>250799</v>
      </c>
      <c r="G36" s="283"/>
      <c r="H36" s="364"/>
      <c r="I36" s="212">
        <v>28405</v>
      </c>
      <c r="J36" s="96">
        <f t="shared" si="55"/>
        <v>0.11325802734460663</v>
      </c>
      <c r="K36" s="212">
        <v>46431</v>
      </c>
      <c r="L36" s="96">
        <f t="shared" si="56"/>
        <v>0.18513231711450207</v>
      </c>
      <c r="M36" s="101">
        <f t="shared" si="57"/>
        <v>74836</v>
      </c>
      <c r="N36" s="96">
        <f t="shared" si="58"/>
        <v>0.29839034445910867</v>
      </c>
      <c r="O36" s="212">
        <v>7008</v>
      </c>
      <c r="P36" s="96">
        <f t="shared" si="59"/>
        <v>2.7942695146312386E-2</v>
      </c>
      <c r="Q36" s="212">
        <v>3100</v>
      </c>
      <c r="R36" s="96">
        <f t="shared" si="26"/>
        <v>1.2360495855246631E-2</v>
      </c>
      <c r="S36" s="101">
        <f t="shared" si="60"/>
        <v>10108</v>
      </c>
      <c r="T36" s="96">
        <f t="shared" si="61"/>
        <v>4.0303191001559019E-2</v>
      </c>
      <c r="U36" s="212">
        <v>35069</v>
      </c>
      <c r="V36" s="96">
        <f t="shared" si="62"/>
        <v>0.13982910617665939</v>
      </c>
      <c r="W36" s="212">
        <v>2084</v>
      </c>
      <c r="X36" s="96">
        <f t="shared" si="63"/>
        <v>8.3094430201077363E-3</v>
      </c>
      <c r="Y36" s="212">
        <v>29631</v>
      </c>
      <c r="Z36" s="96">
        <f t="shared" si="64"/>
        <v>0.11814640409252031</v>
      </c>
      <c r="AA36" s="212">
        <v>23450</v>
      </c>
      <c r="AB36" s="96">
        <f t="shared" si="32"/>
        <v>9.3501170259849525E-2</v>
      </c>
      <c r="AC36" s="101">
        <f t="shared" si="65"/>
        <v>53081</v>
      </c>
      <c r="AD36" s="96">
        <f t="shared" si="66"/>
        <v>0.21164757435236983</v>
      </c>
      <c r="AE36" s="212">
        <v>24306</v>
      </c>
      <c r="AF36" s="96">
        <f t="shared" si="67"/>
        <v>9.691426201858859E-2</v>
      </c>
      <c r="AG36" s="212">
        <v>5007</v>
      </c>
      <c r="AH36" s="96">
        <f t="shared" si="68"/>
        <v>1.9964194434587058E-2</v>
      </c>
      <c r="AI36" s="212">
        <v>26517</v>
      </c>
      <c r="AJ36" s="96">
        <f t="shared" si="69"/>
        <v>0.10573008664308869</v>
      </c>
      <c r="AK36" s="212">
        <v>19791</v>
      </c>
      <c r="AL36" s="96">
        <f t="shared" si="70"/>
        <v>7.8911797893930991E-2</v>
      </c>
    </row>
    <row r="37" spans="2:38" ht="13.5">
      <c r="B37" s="79"/>
      <c r="C37" s="75"/>
      <c r="D37" s="280">
        <f>D36+1</f>
        <v>46112</v>
      </c>
      <c r="E37" s="280" t="s">
        <v>525</v>
      </c>
      <c r="F37" s="84">
        <f t="shared" si="20"/>
        <v>263793</v>
      </c>
      <c r="G37" s="283"/>
      <c r="H37" s="364"/>
      <c r="I37" s="212">
        <v>28589</v>
      </c>
      <c r="J37" s="96">
        <f t="shared" si="55"/>
        <v>0.10837664380783417</v>
      </c>
      <c r="K37" s="212">
        <v>45777</v>
      </c>
      <c r="L37" s="96">
        <f t="shared" si="56"/>
        <v>0.17353379354266413</v>
      </c>
      <c r="M37" s="101">
        <f t="shared" si="57"/>
        <v>74366</v>
      </c>
      <c r="N37" s="96">
        <f t="shared" si="58"/>
        <v>0.28191043735049831</v>
      </c>
      <c r="O37" s="212">
        <v>7086</v>
      </c>
      <c r="P37" s="96">
        <f t="shared" si="59"/>
        <v>2.6861971318420125E-2</v>
      </c>
      <c r="Q37" s="212">
        <v>3225</v>
      </c>
      <c r="R37" s="96">
        <f t="shared" si="26"/>
        <v>1.2225494990390192E-2</v>
      </c>
      <c r="S37" s="101">
        <f t="shared" si="60"/>
        <v>10311</v>
      </c>
      <c r="T37" s="96">
        <f t="shared" si="61"/>
        <v>3.9087466308810319E-2</v>
      </c>
      <c r="U37" s="212">
        <v>33893</v>
      </c>
      <c r="V37" s="96">
        <f t="shared" si="62"/>
        <v>0.12848331835947124</v>
      </c>
      <c r="W37" s="212">
        <v>1991</v>
      </c>
      <c r="X37" s="96">
        <f t="shared" si="63"/>
        <v>7.5475846591835268E-3</v>
      </c>
      <c r="Y37" s="212">
        <v>28653</v>
      </c>
      <c r="Z37" s="96">
        <f t="shared" si="64"/>
        <v>0.10861925828206206</v>
      </c>
      <c r="AA37" s="212">
        <v>22691</v>
      </c>
      <c r="AB37" s="96">
        <f t="shared" si="32"/>
        <v>8.6018203667269408E-2</v>
      </c>
      <c r="AC37" s="101">
        <f t="shared" si="65"/>
        <v>51344</v>
      </c>
      <c r="AD37" s="96">
        <f t="shared" si="66"/>
        <v>0.19463746194933149</v>
      </c>
      <c r="AE37" s="212">
        <v>28013</v>
      </c>
      <c r="AF37" s="96">
        <f t="shared" si="67"/>
        <v>0.10619311353978308</v>
      </c>
      <c r="AG37" s="212">
        <v>4530</v>
      </c>
      <c r="AH37" s="96">
        <f t="shared" si="68"/>
        <v>1.7172555753943435E-2</v>
      </c>
      <c r="AI37" s="212">
        <v>29074</v>
      </c>
      <c r="AJ37" s="96">
        <f t="shared" si="69"/>
        <v>0.11021520662034247</v>
      </c>
      <c r="AK37" s="212">
        <v>30271</v>
      </c>
      <c r="AL37" s="96">
        <f t="shared" si="70"/>
        <v>0.11475285545863613</v>
      </c>
    </row>
    <row r="38" spans="2:38" ht="13.5">
      <c r="B38" s="79"/>
      <c r="C38" s="75"/>
      <c r="D38" s="280">
        <f t="shared" ref="D38:D43" si="71">D37+1</f>
        <v>46113</v>
      </c>
      <c r="E38" s="388" t="s">
        <v>526</v>
      </c>
      <c r="F38" s="84">
        <f t="shared" si="20"/>
        <v>240873</v>
      </c>
      <c r="G38" s="283"/>
      <c r="H38" s="364"/>
      <c r="I38" s="212">
        <v>27460</v>
      </c>
      <c r="J38" s="96">
        <f t="shared" si="55"/>
        <v>0.11400198444823621</v>
      </c>
      <c r="K38" s="212">
        <v>38156</v>
      </c>
      <c r="L38" s="96">
        <f t="shared" si="56"/>
        <v>0.15840712740738896</v>
      </c>
      <c r="M38" s="101">
        <f t="shared" si="57"/>
        <v>65616</v>
      </c>
      <c r="N38" s="96">
        <f t="shared" si="58"/>
        <v>0.27240911185562516</v>
      </c>
      <c r="O38" s="212">
        <v>6597</v>
      </c>
      <c r="P38" s="96">
        <f t="shared" si="59"/>
        <v>2.7387876598871604E-2</v>
      </c>
      <c r="Q38" s="212">
        <v>7172</v>
      </c>
      <c r="R38" s="96">
        <f t="shared" si="26"/>
        <v>2.977502667380736E-2</v>
      </c>
      <c r="S38" s="101">
        <f t="shared" si="60"/>
        <v>13769</v>
      </c>
      <c r="T38" s="96">
        <f t="shared" si="61"/>
        <v>5.7162903272678964E-2</v>
      </c>
      <c r="U38" s="212">
        <v>29598</v>
      </c>
      <c r="V38" s="96">
        <f t="shared" si="62"/>
        <v>0.1228780311616495</v>
      </c>
      <c r="W38" s="212">
        <v>1833</v>
      </c>
      <c r="X38" s="96">
        <f t="shared" si="63"/>
        <v>7.609819282360414E-3</v>
      </c>
      <c r="Y38" s="212">
        <v>27449</v>
      </c>
      <c r="Z38" s="96">
        <f t="shared" si="64"/>
        <v>0.11395631722941135</v>
      </c>
      <c r="AA38" s="212">
        <v>20133</v>
      </c>
      <c r="AB38" s="96">
        <f t="shared" si="32"/>
        <v>8.3583465145533123E-2</v>
      </c>
      <c r="AC38" s="101">
        <f t="shared" si="65"/>
        <v>47582</v>
      </c>
      <c r="AD38" s="96">
        <f t="shared" si="66"/>
        <v>0.19753978237494446</v>
      </c>
      <c r="AE38" s="212">
        <v>23653</v>
      </c>
      <c r="AF38" s="96">
        <f t="shared" si="67"/>
        <v>9.8196975169487652E-2</v>
      </c>
      <c r="AG38" s="212">
        <v>4262</v>
      </c>
      <c r="AH38" s="96">
        <f t="shared" si="68"/>
        <v>1.7693971511958582E-2</v>
      </c>
      <c r="AI38" s="212">
        <v>28294</v>
      </c>
      <c r="AJ38" s="96">
        <f t="shared" si="69"/>
        <v>0.11746438994822998</v>
      </c>
      <c r="AK38" s="212">
        <v>26266</v>
      </c>
      <c r="AL38" s="96">
        <f t="shared" si="70"/>
        <v>0.10904501542306527</v>
      </c>
    </row>
    <row r="39" spans="2:38" s="356" customFormat="1" ht="13.5">
      <c r="B39" s="355"/>
      <c r="D39" s="280">
        <f t="shared" si="71"/>
        <v>46114</v>
      </c>
      <c r="E39" s="388" t="s">
        <v>527</v>
      </c>
      <c r="F39" s="357">
        <f t="shared" si="20"/>
        <v>219733</v>
      </c>
      <c r="G39" s="358"/>
      <c r="H39" s="364"/>
      <c r="I39" s="359">
        <v>23616</v>
      </c>
      <c r="J39" s="360">
        <f t="shared" si="55"/>
        <v>0.1074758911952233</v>
      </c>
      <c r="K39" s="359">
        <v>35584</v>
      </c>
      <c r="L39" s="360">
        <f t="shared" si="56"/>
        <v>0.16194199323724703</v>
      </c>
      <c r="M39" s="361">
        <f t="shared" si="57"/>
        <v>59200</v>
      </c>
      <c r="N39" s="360">
        <f t="shared" si="58"/>
        <v>0.26941788443247033</v>
      </c>
      <c r="O39" s="359">
        <v>5301</v>
      </c>
      <c r="P39" s="360">
        <f t="shared" si="59"/>
        <v>2.412473319892779E-2</v>
      </c>
      <c r="Q39" s="359">
        <v>6378</v>
      </c>
      <c r="R39" s="360">
        <f t="shared" si="26"/>
        <v>2.9026136265376618E-2</v>
      </c>
      <c r="S39" s="361">
        <f t="shared" si="60"/>
        <v>11679</v>
      </c>
      <c r="T39" s="360">
        <f t="shared" si="61"/>
        <v>5.3150869464304404E-2</v>
      </c>
      <c r="U39" s="359">
        <v>27498</v>
      </c>
      <c r="V39" s="360">
        <f t="shared" si="62"/>
        <v>0.12514278692777142</v>
      </c>
      <c r="W39" s="359">
        <v>1787</v>
      </c>
      <c r="X39" s="360">
        <f t="shared" si="63"/>
        <v>8.1325972885274399E-3</v>
      </c>
      <c r="Y39" s="359">
        <v>25089</v>
      </c>
      <c r="Z39" s="360">
        <f t="shared" si="64"/>
        <v>0.11417948146159203</v>
      </c>
      <c r="AA39" s="359">
        <v>18412</v>
      </c>
      <c r="AB39" s="360">
        <f t="shared" si="32"/>
        <v>8.3792602840720334E-2</v>
      </c>
      <c r="AC39" s="361">
        <f t="shared" si="65"/>
        <v>43501</v>
      </c>
      <c r="AD39" s="360">
        <f t="shared" si="66"/>
        <v>0.19797208430231236</v>
      </c>
      <c r="AE39" s="359">
        <v>21227</v>
      </c>
      <c r="AF39" s="360">
        <f t="shared" si="67"/>
        <v>9.6603605284595398E-2</v>
      </c>
      <c r="AG39" s="359">
        <v>3324</v>
      </c>
      <c r="AH39" s="360">
        <f t="shared" si="68"/>
        <v>1.5127450132661003E-2</v>
      </c>
      <c r="AI39" s="359">
        <v>27623</v>
      </c>
      <c r="AJ39" s="360">
        <f t="shared" si="69"/>
        <v>0.12571165914996837</v>
      </c>
      <c r="AK39" s="359">
        <v>23894</v>
      </c>
      <c r="AL39" s="360">
        <f t="shared" si="70"/>
        <v>0.10874106301738928</v>
      </c>
    </row>
    <row r="40" spans="2:38" ht="13.5">
      <c r="B40" s="79"/>
      <c r="C40" s="75"/>
      <c r="D40" s="280">
        <f t="shared" si="71"/>
        <v>46115</v>
      </c>
      <c r="E40" s="388" t="s">
        <v>528</v>
      </c>
      <c r="F40" s="84">
        <f t="shared" si="20"/>
        <v>208291</v>
      </c>
      <c r="G40" s="283"/>
      <c r="H40" s="84"/>
      <c r="I40" s="212">
        <v>22988</v>
      </c>
      <c r="J40" s="96">
        <f t="shared" si="55"/>
        <v>0.11036482613267015</v>
      </c>
      <c r="K40" s="212">
        <v>33784</v>
      </c>
      <c r="L40" s="96">
        <f t="shared" si="56"/>
        <v>0.16219615825935829</v>
      </c>
      <c r="M40" s="101">
        <f t="shared" si="57"/>
        <v>56772</v>
      </c>
      <c r="N40" s="96">
        <f t="shared" si="58"/>
        <v>0.27256098439202847</v>
      </c>
      <c r="O40" s="212">
        <v>5121</v>
      </c>
      <c r="P40" s="96">
        <f t="shared" si="59"/>
        <v>2.4585795833713411E-2</v>
      </c>
      <c r="Q40" s="212">
        <v>5531</v>
      </c>
      <c r="R40" s="96">
        <f t="shared" si="26"/>
        <v>2.6554195812589117E-2</v>
      </c>
      <c r="S40" s="101">
        <f t="shared" si="60"/>
        <v>10652</v>
      </c>
      <c r="T40" s="96">
        <f t="shared" si="61"/>
        <v>5.1139991646302528E-2</v>
      </c>
      <c r="U40" s="212">
        <v>24463</v>
      </c>
      <c r="V40" s="96">
        <f t="shared" si="62"/>
        <v>0.11744626508106447</v>
      </c>
      <c r="W40" s="212">
        <v>1480</v>
      </c>
      <c r="X40" s="96">
        <f t="shared" si="63"/>
        <v>7.1054438261854806E-3</v>
      </c>
      <c r="Y40" s="212">
        <v>25119</v>
      </c>
      <c r="Z40" s="96">
        <f t="shared" si="64"/>
        <v>0.12059570504726561</v>
      </c>
      <c r="AA40" s="212">
        <v>20726</v>
      </c>
      <c r="AB40" s="96">
        <f t="shared" si="32"/>
        <v>9.9505019419946134E-2</v>
      </c>
      <c r="AC40" s="101">
        <f t="shared" si="65"/>
        <v>45845</v>
      </c>
      <c r="AD40" s="96">
        <f t="shared" si="66"/>
        <v>0.22010072446721174</v>
      </c>
      <c r="AE40" s="212">
        <v>17761</v>
      </c>
      <c r="AF40" s="96">
        <f t="shared" si="67"/>
        <v>8.5270126889783998E-2</v>
      </c>
      <c r="AG40" s="212">
        <v>9153</v>
      </c>
      <c r="AH40" s="96">
        <f t="shared" si="68"/>
        <v>4.3943329284510613E-2</v>
      </c>
      <c r="AI40" s="212">
        <v>23207</v>
      </c>
      <c r="AJ40" s="96">
        <f t="shared" si="69"/>
        <v>0.11141623977992328</v>
      </c>
      <c r="AK40" s="212">
        <v>18958</v>
      </c>
      <c r="AL40" s="96">
        <f t="shared" si="70"/>
        <v>9.1016894632989426E-2</v>
      </c>
    </row>
    <row r="41" spans="2:38" ht="13.5">
      <c r="B41" s="79"/>
      <c r="C41" s="75"/>
      <c r="D41" s="280">
        <f t="shared" si="71"/>
        <v>46116</v>
      </c>
      <c r="E41" s="388" t="s">
        <v>529</v>
      </c>
      <c r="F41" s="84">
        <f t="shared" si="20"/>
        <v>206015</v>
      </c>
      <c r="G41" s="283"/>
      <c r="H41" s="84"/>
      <c r="I41" s="212">
        <v>21763</v>
      </c>
      <c r="J41" s="96">
        <f t="shared" si="55"/>
        <v>0.10563793898502537</v>
      </c>
      <c r="K41" s="212">
        <v>33619</v>
      </c>
      <c r="L41" s="96">
        <f t="shared" si="56"/>
        <v>0.16318714656699754</v>
      </c>
      <c r="M41" s="101">
        <f t="shared" si="57"/>
        <v>55382</v>
      </c>
      <c r="N41" s="96">
        <f t="shared" si="58"/>
        <v>0.26882508555202289</v>
      </c>
      <c r="O41" s="212">
        <v>4728</v>
      </c>
      <c r="P41" s="96">
        <f t="shared" si="59"/>
        <v>2.2949785209814819E-2</v>
      </c>
      <c r="Q41" s="212">
        <v>4419</v>
      </c>
      <c r="R41" s="96">
        <f t="shared" si="26"/>
        <v>2.1449894425163218E-2</v>
      </c>
      <c r="S41" s="101">
        <f t="shared" si="60"/>
        <v>9147</v>
      </c>
      <c r="T41" s="96">
        <f t="shared" si="61"/>
        <v>4.4399679634978033E-2</v>
      </c>
      <c r="U41" s="212">
        <v>26817</v>
      </c>
      <c r="V41" s="96">
        <f t="shared" si="62"/>
        <v>0.13017013324272506</v>
      </c>
      <c r="W41" s="212">
        <v>1708</v>
      </c>
      <c r="X41" s="96">
        <f t="shared" si="63"/>
        <v>8.2906584472004462E-3</v>
      </c>
      <c r="Y41" s="212">
        <v>20756</v>
      </c>
      <c r="Z41" s="96">
        <f t="shared" si="64"/>
        <v>0.1007499453923258</v>
      </c>
      <c r="AA41" s="212">
        <v>20544</v>
      </c>
      <c r="AB41" s="96">
        <f t="shared" si="32"/>
        <v>9.9720894109652208E-2</v>
      </c>
      <c r="AC41" s="101">
        <f t="shared" si="65"/>
        <v>41300</v>
      </c>
      <c r="AD41" s="96">
        <f t="shared" si="66"/>
        <v>0.200470839501978</v>
      </c>
      <c r="AE41" s="212">
        <v>19003</v>
      </c>
      <c r="AF41" s="96">
        <f t="shared" si="67"/>
        <v>9.2240856248331435E-2</v>
      </c>
      <c r="AG41" s="212">
        <v>9325</v>
      </c>
      <c r="AH41" s="96">
        <f t="shared" si="68"/>
        <v>4.5263694391185105E-2</v>
      </c>
      <c r="AI41" s="212">
        <v>24907</v>
      </c>
      <c r="AJ41" s="96">
        <f t="shared" si="69"/>
        <v>0.12089896366769411</v>
      </c>
      <c r="AK41" s="212">
        <v>18426</v>
      </c>
      <c r="AL41" s="96">
        <f t="shared" si="70"/>
        <v>8.9440089313884905E-2</v>
      </c>
    </row>
    <row r="42" spans="2:38" ht="13.5">
      <c r="B42" s="79"/>
      <c r="C42" s="75"/>
      <c r="D42" s="280">
        <f t="shared" si="71"/>
        <v>46117</v>
      </c>
      <c r="E42" s="388" t="s">
        <v>530</v>
      </c>
      <c r="F42" s="84">
        <f t="shared" si="20"/>
        <v>218068</v>
      </c>
      <c r="G42" s="283"/>
      <c r="H42" s="84"/>
      <c r="I42" s="212">
        <v>22161</v>
      </c>
      <c r="J42" s="96">
        <f>I42/F42</f>
        <v>0.10162426399104867</v>
      </c>
      <c r="K42" s="212">
        <v>37099</v>
      </c>
      <c r="L42" s="96">
        <f>K42/F42</f>
        <v>0.17012583230918796</v>
      </c>
      <c r="M42" s="101">
        <f>SUM(I42+K42)</f>
        <v>59260</v>
      </c>
      <c r="N42" s="96">
        <f>M42/F42</f>
        <v>0.27175009630023661</v>
      </c>
      <c r="O42" s="212">
        <v>5045</v>
      </c>
      <c r="P42" s="96">
        <f>O42/F42</f>
        <v>2.3134985417392739E-2</v>
      </c>
      <c r="Q42" s="212">
        <v>5098</v>
      </c>
      <c r="R42" s="96">
        <f t="shared" si="26"/>
        <v>2.3378028871728084E-2</v>
      </c>
      <c r="S42" s="101">
        <f t="shared" si="60"/>
        <v>10143</v>
      </c>
      <c r="T42" s="96">
        <f>S42/F42</f>
        <v>4.6513014289120823E-2</v>
      </c>
      <c r="U42" s="212">
        <v>27397</v>
      </c>
      <c r="V42" s="96">
        <f>U42/F42</f>
        <v>0.12563512298915935</v>
      </c>
      <c r="W42" s="212">
        <v>1448</v>
      </c>
      <c r="X42" s="96">
        <f>W42/F42</f>
        <v>6.6401306014637635E-3</v>
      </c>
      <c r="Y42" s="212">
        <v>23545</v>
      </c>
      <c r="Z42" s="96">
        <f>Y42/F42</f>
        <v>0.10797090815708861</v>
      </c>
      <c r="AA42" s="212">
        <v>22582</v>
      </c>
      <c r="AB42" s="96">
        <f t="shared" si="32"/>
        <v>0.10355485444907093</v>
      </c>
      <c r="AC42" s="101">
        <f>SUM(Y42+AA42)</f>
        <v>46127</v>
      </c>
      <c r="AD42" s="96">
        <f>AC42/F42</f>
        <v>0.21152576260615955</v>
      </c>
      <c r="AE42" s="212">
        <v>20817</v>
      </c>
      <c r="AF42" s="96">
        <f>AE42/F42</f>
        <v>9.5461048847148594E-2</v>
      </c>
      <c r="AG42" s="212">
        <v>8797</v>
      </c>
      <c r="AH42" s="96">
        <f>AG42/F42</f>
        <v>4.0340627694113763E-2</v>
      </c>
      <c r="AI42" s="212">
        <v>23399</v>
      </c>
      <c r="AJ42" s="96">
        <f>AI42/F42</f>
        <v>0.10730139222627805</v>
      </c>
      <c r="AK42" s="212">
        <v>20680</v>
      </c>
      <c r="AL42" s="96">
        <f>AK42/F42</f>
        <v>9.4832804446319502E-2</v>
      </c>
    </row>
    <row r="43" spans="2:38" ht="13.5">
      <c r="B43" s="79"/>
      <c r="C43" s="75"/>
      <c r="D43" s="280">
        <f t="shared" si="71"/>
        <v>46118</v>
      </c>
      <c r="E43" s="388" t="s">
        <v>524</v>
      </c>
      <c r="F43" s="84">
        <f t="shared" ref="F43" si="72">SUM(M43,S43,U43,W43,AC43,AE43,AG43,AI43,AK43)</f>
        <v>259046</v>
      </c>
      <c r="G43" s="283"/>
      <c r="H43" s="84"/>
      <c r="I43" s="212">
        <v>27562</v>
      </c>
      <c r="J43" s="96">
        <f>I43/F43</f>
        <v>0.10639809145865985</v>
      </c>
      <c r="K43" s="212">
        <v>44049</v>
      </c>
      <c r="L43" s="96">
        <f>K43/F43</f>
        <v>0.17004315835797504</v>
      </c>
      <c r="M43" s="101">
        <f>SUM(I43+K43)</f>
        <v>71611</v>
      </c>
      <c r="N43" s="96">
        <f>M43/F43</f>
        <v>0.27644124981663487</v>
      </c>
      <c r="O43" s="212">
        <v>5906</v>
      </c>
      <c r="P43" s="96">
        <f>O43/F43</f>
        <v>2.2799039552820734E-2</v>
      </c>
      <c r="Q43" s="212">
        <v>2769</v>
      </c>
      <c r="R43" s="96">
        <f t="shared" si="26"/>
        <v>1.0689221219397327E-2</v>
      </c>
      <c r="S43" s="101">
        <f t="shared" ref="S43" si="73">SUM(O43+Q43)</f>
        <v>8675</v>
      </c>
      <c r="T43" s="96">
        <f>S43/F43</f>
        <v>3.3488260772218059E-2</v>
      </c>
      <c r="U43" s="212">
        <v>34445</v>
      </c>
      <c r="V43" s="96">
        <f>U43/F43</f>
        <v>0.13296866193649004</v>
      </c>
      <c r="W43" s="212">
        <v>1903</v>
      </c>
      <c r="X43" s="96">
        <f>W43/F43</f>
        <v>7.3461856195424753E-3</v>
      </c>
      <c r="Y43" s="212">
        <v>27831</v>
      </c>
      <c r="Z43" s="96">
        <f>Y43/F43</f>
        <v>0.10743651706646697</v>
      </c>
      <c r="AA43" s="212">
        <v>25025</v>
      </c>
      <c r="AB43" s="96">
        <f t="shared" si="32"/>
        <v>9.6604464072018101E-2</v>
      </c>
      <c r="AC43" s="101">
        <f>SUM(Y43+AA43)</f>
        <v>52856</v>
      </c>
      <c r="AD43" s="96">
        <f>AC43/F43</f>
        <v>0.20404098113848507</v>
      </c>
      <c r="AE43" s="212">
        <v>25680</v>
      </c>
      <c r="AF43" s="96">
        <f>AE43/F43</f>
        <v>9.9132972522254739E-2</v>
      </c>
      <c r="AG43" s="212">
        <v>9097</v>
      </c>
      <c r="AH43" s="96">
        <f>AG43/F43</f>
        <v>3.5117315071454491E-2</v>
      </c>
      <c r="AI43" s="212">
        <v>31733</v>
      </c>
      <c r="AJ43" s="96">
        <f>AI43/F43</f>
        <v>0.12249947885703698</v>
      </c>
      <c r="AK43" s="212">
        <v>23046</v>
      </c>
      <c r="AL43" s="96">
        <f>AK43/F43</f>
        <v>8.8964894265883276E-2</v>
      </c>
    </row>
    <row r="44" spans="2:38" ht="13.5">
      <c r="B44" s="79"/>
      <c r="C44" s="75"/>
      <c r="D44" s="82"/>
      <c r="E44" s="82"/>
      <c r="F44" s="84">
        <f t="shared" si="20"/>
        <v>0</v>
      </c>
      <c r="G44" s="283"/>
      <c r="H44" s="84"/>
      <c r="I44" s="212"/>
      <c r="J44" s="96" t="e">
        <f>I44/F44</f>
        <v>#DIV/0!</v>
      </c>
      <c r="K44" s="212"/>
      <c r="L44" s="96" t="e">
        <f>K44/F44</f>
        <v>#DIV/0!</v>
      </c>
      <c r="M44" s="101">
        <f>SUM(I44+K44)</f>
        <v>0</v>
      </c>
      <c r="N44" s="96" t="e">
        <f>M44/F44</f>
        <v>#DIV/0!</v>
      </c>
      <c r="O44" s="212"/>
      <c r="P44" s="96" t="e">
        <f>O44/F44</f>
        <v>#DIV/0!</v>
      </c>
      <c r="Q44" s="212"/>
      <c r="R44" s="96" t="e">
        <f t="shared" si="26"/>
        <v>#DIV/0!</v>
      </c>
      <c r="S44" s="101">
        <f t="shared" si="60"/>
        <v>0</v>
      </c>
      <c r="T44" s="96" t="e">
        <f>S44/F44</f>
        <v>#DIV/0!</v>
      </c>
      <c r="U44" s="212"/>
      <c r="V44" s="96" t="e">
        <f>U44/F44</f>
        <v>#DIV/0!</v>
      </c>
      <c r="W44" s="212"/>
      <c r="X44" s="96" t="e">
        <f>W44/F44</f>
        <v>#DIV/0!</v>
      </c>
      <c r="Y44" s="212"/>
      <c r="Z44" s="96" t="e">
        <f>Y44/F44</f>
        <v>#DIV/0!</v>
      </c>
      <c r="AA44" s="212"/>
      <c r="AB44" s="96" t="e">
        <f t="shared" si="32"/>
        <v>#DIV/0!</v>
      </c>
      <c r="AC44" s="101">
        <f>SUM(Y44+AA44)</f>
        <v>0</v>
      </c>
      <c r="AD44" s="96" t="e">
        <f>AC44/F44</f>
        <v>#DIV/0!</v>
      </c>
      <c r="AE44" s="212"/>
      <c r="AF44" s="96" t="e">
        <f>AE44/F44</f>
        <v>#DIV/0!</v>
      </c>
      <c r="AG44" s="212"/>
      <c r="AH44" s="96" t="e">
        <f>AG44/F44</f>
        <v>#DIV/0!</v>
      </c>
      <c r="AI44" s="212"/>
      <c r="AJ44" s="96" t="e">
        <f>AI44/F44</f>
        <v>#DIV/0!</v>
      </c>
      <c r="AK44" s="212"/>
      <c r="AL44" s="96" t="e">
        <f>AK44/F44</f>
        <v>#DIV/0!</v>
      </c>
    </row>
    <row r="45" spans="2:38" ht="13.5">
      <c r="B45" s="79"/>
      <c r="C45" s="75"/>
      <c r="D45" s="82"/>
      <c r="E45" s="82"/>
      <c r="F45" s="84">
        <f t="shared" si="20"/>
        <v>0</v>
      </c>
      <c r="G45" s="283"/>
      <c r="H45" s="84"/>
      <c r="I45" s="212"/>
      <c r="J45" s="96" t="e">
        <f>I45/F45</f>
        <v>#DIV/0!</v>
      </c>
      <c r="K45" s="212"/>
      <c r="L45" s="96" t="e">
        <f>K45/F45</f>
        <v>#DIV/0!</v>
      </c>
      <c r="M45" s="101">
        <f>SUM(I45+K45)</f>
        <v>0</v>
      </c>
      <c r="N45" s="96" t="e">
        <f>M45/F45</f>
        <v>#DIV/0!</v>
      </c>
      <c r="O45" s="212"/>
      <c r="P45" s="96" t="e">
        <f>O45/F45</f>
        <v>#DIV/0!</v>
      </c>
      <c r="Q45" s="212"/>
      <c r="R45" s="96" t="e">
        <f t="shared" si="26"/>
        <v>#DIV/0!</v>
      </c>
      <c r="S45" s="101">
        <f t="shared" si="60"/>
        <v>0</v>
      </c>
      <c r="T45" s="96" t="e">
        <f>S45/F45</f>
        <v>#DIV/0!</v>
      </c>
      <c r="U45" s="212"/>
      <c r="V45" s="96" t="e">
        <f>U45/F45</f>
        <v>#DIV/0!</v>
      </c>
      <c r="W45" s="212"/>
      <c r="X45" s="96" t="e">
        <f>W45/F45</f>
        <v>#DIV/0!</v>
      </c>
      <c r="Y45" s="212"/>
      <c r="Z45" s="96" t="e">
        <f>Y45/F45</f>
        <v>#DIV/0!</v>
      </c>
      <c r="AA45" s="212"/>
      <c r="AB45" s="96" t="e">
        <f t="shared" si="32"/>
        <v>#DIV/0!</v>
      </c>
      <c r="AC45" s="101">
        <f>SUM(Y45+AA45)</f>
        <v>0</v>
      </c>
      <c r="AD45" s="96" t="e">
        <f>AC45/F45</f>
        <v>#DIV/0!</v>
      </c>
      <c r="AE45" s="212"/>
      <c r="AF45" s="96" t="e">
        <f>AE45/F45</f>
        <v>#DIV/0!</v>
      </c>
      <c r="AG45" s="212"/>
      <c r="AH45" s="96" t="e">
        <f>AG45/F45</f>
        <v>#DIV/0!</v>
      </c>
      <c r="AI45" s="212"/>
      <c r="AJ45" s="96" t="e">
        <f>AI45/F45</f>
        <v>#DIV/0!</v>
      </c>
      <c r="AK45" s="212"/>
      <c r="AL45" s="96" t="e">
        <f>AK45/F45</f>
        <v>#DIV/0!</v>
      </c>
    </row>
    <row r="46" spans="2:38" ht="13.5">
      <c r="B46" s="79"/>
      <c r="C46" s="75"/>
      <c r="D46" s="78"/>
      <c r="F46" s="84"/>
      <c r="G46" s="84"/>
      <c r="H46" s="84"/>
      <c r="I46" s="258">
        <f>SUM(I7:I44)</f>
        <v>1029559</v>
      </c>
      <c r="J46" s="257">
        <f>I46/$H$12</f>
        <v>0.14112311110447076</v>
      </c>
      <c r="K46" s="258">
        <f>SUM(K7:K44)</f>
        <v>1502821</v>
      </c>
      <c r="L46" s="257">
        <f>K46/$H$12</f>
        <v>0.20599380409780485</v>
      </c>
      <c r="M46" s="258">
        <f>SUM(M7:M44)</f>
        <v>2532380</v>
      </c>
      <c r="N46" s="257">
        <f>M46/$H$12</f>
        <v>0.34711691520227561</v>
      </c>
      <c r="O46" s="258">
        <f>SUM(O7:O44)</f>
        <v>250014</v>
      </c>
      <c r="P46" s="257">
        <f>O46/$H$12</f>
        <v>3.4269773271539711E-2</v>
      </c>
      <c r="Q46" s="258">
        <f>SUM(Q7:Q44)</f>
        <v>127353</v>
      </c>
      <c r="R46" s="257">
        <f>Q46/$H$12</f>
        <v>1.7456456180255493E-2</v>
      </c>
      <c r="S46" s="258">
        <f>SUM(S7:S44)</f>
        <v>377367</v>
      </c>
      <c r="T46" s="257">
        <f>S46/$H$12</f>
        <v>5.1726229451795204E-2</v>
      </c>
      <c r="U46" s="258">
        <f>SUM(U7:U44)</f>
        <v>1212329</v>
      </c>
      <c r="V46" s="257">
        <f>U46/$H$12</f>
        <v>0.16617565400542555</v>
      </c>
      <c r="W46" s="258">
        <f>SUM(W7:W44)</f>
        <v>73344</v>
      </c>
      <c r="X46" s="257">
        <f>W46/$H$12</f>
        <v>1.0053366014814404E-2</v>
      </c>
      <c r="Y46" s="258">
        <f>SUM(Y7:Y44)</f>
        <v>950732</v>
      </c>
      <c r="Z46" s="257">
        <f>Y46/$H$12</f>
        <v>0.13031818250976943</v>
      </c>
      <c r="AA46" s="258">
        <f>SUM(AA7:AA44)</f>
        <v>886790</v>
      </c>
      <c r="AB46" s="257">
        <f>AA46/$H$12</f>
        <v>0.12155356195840512</v>
      </c>
      <c r="AC46" s="258">
        <f>SUM(AC7:AC44)</f>
        <v>1837522</v>
      </c>
      <c r="AD46" s="257">
        <f>AC46/$H$12</f>
        <v>0.25187174446817456</v>
      </c>
      <c r="AE46" s="258">
        <f>SUM(AE7:AE44)</f>
        <v>823192</v>
      </c>
      <c r="AF46" s="257">
        <f>AE46/$H$12</f>
        <v>0.1128360939745187</v>
      </c>
      <c r="AG46" s="258">
        <f>SUM(AG7:AG44)</f>
        <v>219989</v>
      </c>
      <c r="AH46" s="257">
        <f>AG46/$H$12</f>
        <v>3.015420397350848E-2</v>
      </c>
      <c r="AI46" s="258">
        <f>SUM(AI7:AI44)</f>
        <v>827969</v>
      </c>
      <c r="AJ46" s="257">
        <f>AI46/$H$12</f>
        <v>0.11349088413394236</v>
      </c>
      <c r="AK46" s="258">
        <f>SUM(AK7:AK44)</f>
        <v>743401</v>
      </c>
      <c r="AL46" s="257">
        <f>AK46/$H$12</f>
        <v>0.10189902853374568</v>
      </c>
    </row>
    <row r="47" spans="2:38" ht="13.5">
      <c r="B47" s="79"/>
      <c r="C47" s="75"/>
      <c r="D47" s="78"/>
      <c r="F47" s="84"/>
      <c r="G47" s="84"/>
      <c r="H47" s="84"/>
      <c r="M47" s="259">
        <f>M46</f>
        <v>2532380</v>
      </c>
      <c r="S47" s="259">
        <f>S46</f>
        <v>377367</v>
      </c>
      <c r="U47" s="259">
        <f>U46</f>
        <v>1212329</v>
      </c>
      <c r="W47" s="259">
        <f>W46</f>
        <v>73344</v>
      </c>
      <c r="Y47" s="259"/>
      <c r="AA47" s="259"/>
      <c r="AC47" s="259">
        <f>AC46</f>
        <v>1837522</v>
      </c>
      <c r="AE47" s="259">
        <f>AE46</f>
        <v>823192</v>
      </c>
      <c r="AG47" s="259">
        <f>AG46</f>
        <v>219989</v>
      </c>
      <c r="AI47" s="259">
        <f>AI46</f>
        <v>827969</v>
      </c>
      <c r="AK47" s="259">
        <f>AK46</f>
        <v>743401</v>
      </c>
    </row>
    <row r="48" spans="2:38" ht="13.5">
      <c r="B48" s="79"/>
      <c r="C48" s="75"/>
      <c r="D48" s="78"/>
      <c r="F48" s="84"/>
      <c r="G48" s="84"/>
      <c r="H48" s="84"/>
    </row>
    <row r="49" spans="2:8" ht="13.5">
      <c r="B49" s="79"/>
      <c r="C49" s="75"/>
      <c r="D49" s="78"/>
      <c r="F49" s="84"/>
      <c r="G49" s="84"/>
      <c r="H49" s="84"/>
    </row>
    <row r="50" spans="2:8" ht="13.5">
      <c r="B50" s="79"/>
      <c r="C50" s="75"/>
      <c r="D50" s="78"/>
    </row>
    <row r="51" spans="2:8" ht="13.5">
      <c r="B51" s="79"/>
      <c r="C51" s="75"/>
      <c r="D51" s="78"/>
    </row>
    <row r="52" spans="2:8" ht="13.5">
      <c r="B52" s="79"/>
      <c r="C52" s="75"/>
      <c r="D52" s="78"/>
    </row>
    <row r="53" spans="2:8" ht="13.5">
      <c r="B53" s="79"/>
      <c r="C53" s="75"/>
      <c r="D53" s="78"/>
    </row>
    <row r="54" spans="2:8" ht="13.5">
      <c r="B54" s="79"/>
      <c r="C54" s="75"/>
      <c r="D54" s="78"/>
    </row>
    <row r="55" spans="2:8" ht="13.5">
      <c r="B55" s="79"/>
      <c r="C55" s="75"/>
      <c r="D55" s="78"/>
    </row>
    <row r="56" spans="2:8" ht="13.5">
      <c r="B56" s="79"/>
      <c r="C56" s="75"/>
      <c r="D56" s="78"/>
    </row>
    <row r="57" spans="2:8" ht="13.5">
      <c r="B57" s="79"/>
      <c r="C57" s="75"/>
      <c r="D57" s="78"/>
    </row>
    <row r="58" spans="2:8" ht="13.5">
      <c r="B58" s="79"/>
      <c r="C58" s="75"/>
      <c r="D58" s="78"/>
    </row>
    <row r="59" spans="2:8" ht="13.5">
      <c r="B59" s="79"/>
      <c r="C59" s="75"/>
      <c r="D59" s="78"/>
    </row>
    <row r="60" spans="2:8" ht="13.5">
      <c r="B60" s="79"/>
      <c r="C60" s="75"/>
      <c r="D60" s="78"/>
    </row>
    <row r="61" spans="2:8" ht="13.5">
      <c r="B61" s="79"/>
      <c r="C61" s="75"/>
      <c r="D61" s="78"/>
    </row>
    <row r="62" spans="2:8" ht="13.5">
      <c r="B62" s="79"/>
      <c r="C62" s="75"/>
      <c r="D62" s="78"/>
    </row>
    <row r="63" spans="2:8" ht="13.5">
      <c r="B63" s="79"/>
      <c r="C63" s="75"/>
      <c r="D63" s="78"/>
    </row>
    <row r="64" spans="2:8" ht="13.5">
      <c r="B64" s="79"/>
      <c r="C64" s="75"/>
      <c r="D64" s="78"/>
    </row>
    <row r="65" spans="2:4" ht="13.5">
      <c r="B65" s="79"/>
      <c r="C65" s="75"/>
      <c r="D65" s="78"/>
    </row>
    <row r="66" spans="2:4" ht="13.5">
      <c r="B66" s="79"/>
      <c r="C66" s="75"/>
      <c r="D66" s="78"/>
    </row>
    <row r="67" spans="2:4" ht="13.5">
      <c r="B67" s="79"/>
      <c r="C67" s="75"/>
      <c r="D67" s="78"/>
    </row>
    <row r="68" spans="2:4" ht="13.5">
      <c r="B68" s="79"/>
      <c r="C68" s="75"/>
      <c r="D68" s="78"/>
    </row>
    <row r="69" spans="2:4" ht="13.5">
      <c r="B69" s="79"/>
      <c r="C69" s="75"/>
      <c r="D69" s="78"/>
    </row>
    <row r="70" spans="2:4" ht="13.5">
      <c r="B70" s="79"/>
      <c r="C70" s="75"/>
      <c r="D70" s="78"/>
    </row>
    <row r="71" spans="2:4" ht="13.5">
      <c r="B71" s="79"/>
      <c r="C71" s="75"/>
      <c r="D71" s="78"/>
    </row>
    <row r="72" spans="2:4" ht="13.5">
      <c r="B72" s="79"/>
      <c r="C72" s="75"/>
      <c r="D72" s="78"/>
    </row>
    <row r="73" spans="2:4" ht="13.5">
      <c r="B73" s="79"/>
      <c r="C73" s="75"/>
      <c r="D73" s="78"/>
    </row>
    <row r="74" spans="2:4" ht="13.5">
      <c r="B74" s="79"/>
      <c r="C74" s="75"/>
      <c r="D74" s="78"/>
    </row>
    <row r="75" spans="2:4" ht="13.5">
      <c r="B75" s="79"/>
      <c r="C75" s="75"/>
      <c r="D75" s="78"/>
    </row>
    <row r="76" spans="2:4" ht="13.5">
      <c r="B76" s="79"/>
      <c r="C76" s="75"/>
      <c r="D76" s="78"/>
    </row>
    <row r="77" spans="2:4" ht="13.5">
      <c r="B77" s="79"/>
      <c r="C77" s="75"/>
      <c r="D77" s="78"/>
    </row>
    <row r="78" spans="2:4" ht="13.5">
      <c r="B78" s="79"/>
      <c r="C78" s="75"/>
      <c r="D78" s="78"/>
    </row>
    <row r="79" spans="2:4" ht="13.5">
      <c r="B79" s="79"/>
      <c r="C79" s="75"/>
      <c r="D79" s="78"/>
    </row>
    <row r="80" spans="2:4" ht="13.5">
      <c r="B80" s="79"/>
      <c r="C80" s="75"/>
      <c r="D80" s="78"/>
    </row>
    <row r="81" spans="2:4" ht="13.5">
      <c r="B81" s="79"/>
      <c r="C81" s="75"/>
      <c r="D81" s="78"/>
    </row>
    <row r="82" spans="2:4" ht="13.5">
      <c r="B82" s="79"/>
      <c r="C82" s="75"/>
      <c r="D82" s="78"/>
    </row>
    <row r="83" spans="2:4" ht="13.5">
      <c r="B83" s="79"/>
      <c r="C83" s="75"/>
      <c r="D83" s="78"/>
    </row>
    <row r="84" spans="2:4" ht="13.5">
      <c r="B84" s="79"/>
      <c r="C84" s="75"/>
      <c r="D84" s="78"/>
    </row>
    <row r="85" spans="2:4" ht="13.5">
      <c r="B85" s="79"/>
      <c r="C85" s="75"/>
      <c r="D85" s="78"/>
    </row>
    <row r="86" spans="2:4" ht="13.5">
      <c r="B86" s="79"/>
      <c r="C86" s="75"/>
      <c r="D86" s="78"/>
    </row>
    <row r="87" spans="2:4" ht="13.5">
      <c r="B87" s="79"/>
      <c r="C87" s="75"/>
      <c r="D87" s="78"/>
    </row>
    <row r="88" spans="2:4" ht="13.5">
      <c r="B88" s="79"/>
      <c r="C88" s="75"/>
      <c r="D88" s="78"/>
    </row>
    <row r="89" spans="2:4" ht="13.5">
      <c r="B89" s="79"/>
      <c r="C89" s="75"/>
      <c r="D89" s="78"/>
    </row>
    <row r="90" spans="2:4" ht="13.5">
      <c r="B90" s="79"/>
      <c r="C90" s="75"/>
      <c r="D90" s="78"/>
    </row>
    <row r="91" spans="2:4" ht="13.5">
      <c r="B91" s="79"/>
      <c r="C91" s="75"/>
      <c r="D91" s="78"/>
    </row>
    <row r="92" spans="2:4" ht="13.5">
      <c r="B92" s="79"/>
      <c r="C92" s="75"/>
      <c r="D92" s="78"/>
    </row>
    <row r="93" spans="2:4" ht="13.5">
      <c r="B93" s="79"/>
      <c r="C93" s="75"/>
      <c r="D93" s="78"/>
    </row>
    <row r="94" spans="2:4" ht="13.5">
      <c r="B94" s="79"/>
      <c r="C94" s="75"/>
      <c r="D94" s="78"/>
    </row>
    <row r="95" spans="2:4" ht="13.5">
      <c r="B95" s="79"/>
      <c r="C95" s="75"/>
      <c r="D95" s="78"/>
    </row>
    <row r="96" spans="2:4" ht="13.5">
      <c r="B96" s="79"/>
      <c r="C96" s="75"/>
      <c r="D96" s="78"/>
    </row>
    <row r="97" spans="2:4" ht="13.5">
      <c r="B97" s="79"/>
      <c r="C97" s="75"/>
      <c r="D97" s="78"/>
    </row>
    <row r="98" spans="2:4" ht="13.5">
      <c r="B98" s="79"/>
      <c r="C98" s="75"/>
      <c r="D98" s="78"/>
    </row>
    <row r="99" spans="2:4" ht="13.5">
      <c r="B99" s="79"/>
      <c r="C99" s="75"/>
      <c r="D99" s="78"/>
    </row>
    <row r="100" spans="2:4" ht="13.5">
      <c r="B100" s="79"/>
      <c r="C100" s="75"/>
      <c r="D100" s="78"/>
    </row>
    <row r="101" spans="2:4" ht="13.5">
      <c r="B101" s="79"/>
      <c r="C101" s="75"/>
      <c r="D101" s="78"/>
    </row>
    <row r="102" spans="2:4" ht="13.5">
      <c r="B102" s="79"/>
      <c r="C102" s="75"/>
      <c r="D102" s="78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BB262"/>
  <sheetViews>
    <sheetView zoomScale="55" zoomScaleNormal="55" workbookViewId="0">
      <pane xSplit="15" topLeftCell="P1" activePane="topRight" state="frozen"/>
      <selection activeCell="P2" sqref="P2:AN2"/>
      <selection pane="topRight" activeCell="L7" sqref="L7:L36"/>
    </sheetView>
  </sheetViews>
  <sheetFormatPr defaultColWidth="8.81640625" defaultRowHeight="12.5"/>
  <cols>
    <col min="1" max="1" width="5.54296875" style="103" customWidth="1"/>
    <col min="2" max="2" width="12.453125" style="103" customWidth="1"/>
    <col min="3" max="3" width="8.81640625" style="102"/>
    <col min="4" max="4" width="26.453125" style="102" customWidth="1"/>
    <col min="5" max="7" width="8.453125" style="102" customWidth="1"/>
    <col min="8" max="8" width="11.1796875" style="102" bestFit="1" customWidth="1"/>
    <col min="9" max="12" width="11.1796875" style="102" customWidth="1"/>
    <col min="13" max="13" width="13.54296875" style="102" customWidth="1"/>
    <col min="14" max="14" width="9.81640625" style="102" customWidth="1"/>
    <col min="15" max="15" width="7.1796875" style="102" customWidth="1"/>
    <col min="16" max="18" width="12.81640625" style="102" customWidth="1"/>
    <col min="19" max="19" width="5.453125" style="102" customWidth="1"/>
    <col min="20" max="20" width="12.81640625" style="102" customWidth="1"/>
    <col min="21" max="23" width="12.81640625" style="103" customWidth="1"/>
    <col min="24" max="24" width="5.453125" style="102" customWidth="1"/>
    <col min="25" max="28" width="12.81640625" style="103" customWidth="1"/>
    <col min="29" max="29" width="5.453125" style="102" customWidth="1"/>
    <col min="30" max="30" width="12.81640625" style="103" customWidth="1"/>
    <col min="31" max="33" width="12.54296875" style="103" customWidth="1"/>
    <col min="34" max="34" width="5.453125" style="102" customWidth="1"/>
    <col min="35" max="35" width="13" style="103" customWidth="1"/>
    <col min="36" max="38" width="12.54296875" style="103" customWidth="1"/>
    <col min="39" max="39" width="5.453125" style="102" customWidth="1"/>
    <col min="40" max="40" width="13" style="103" customWidth="1"/>
    <col min="41" max="43" width="13.1796875" style="103" customWidth="1"/>
    <col min="44" max="44" width="5.453125" style="103" customWidth="1"/>
    <col min="45" max="48" width="13.1796875" style="103" customWidth="1"/>
    <col min="49" max="49" width="5.453125" style="103" customWidth="1"/>
    <col min="50" max="50" width="13.1796875" style="103" customWidth="1"/>
    <col min="51" max="16384" width="8.81640625" style="103"/>
  </cols>
  <sheetData>
    <row r="1" spans="1:54" ht="24.5">
      <c r="A1" s="74"/>
      <c r="B1" s="198" t="s">
        <v>333</v>
      </c>
      <c r="C1" s="197">
        <f>AVERAGE(L7,L42,L77,L112,L147,L182)</f>
        <v>745.73597135820273</v>
      </c>
    </row>
    <row r="2" spans="1:54" ht="15.5">
      <c r="A2" s="79"/>
      <c r="B2" s="477" t="s">
        <v>163</v>
      </c>
      <c r="C2" s="477"/>
      <c r="D2" s="477"/>
      <c r="E2" s="477"/>
      <c r="F2" s="477"/>
      <c r="G2" s="477"/>
      <c r="H2" s="477"/>
      <c r="I2" s="183"/>
      <c r="J2" s="183"/>
      <c r="K2" s="183"/>
      <c r="L2" s="183"/>
      <c r="M2" s="178"/>
      <c r="N2" s="480" t="s">
        <v>156</v>
      </c>
      <c r="O2" s="480" t="s">
        <v>155</v>
      </c>
      <c r="P2" s="490">
        <v>46112</v>
      </c>
      <c r="Q2" s="491"/>
      <c r="R2" s="491"/>
      <c r="S2" s="491"/>
      <c r="T2" s="492"/>
      <c r="U2" s="476">
        <f>P2+1</f>
        <v>46113</v>
      </c>
      <c r="V2" s="454"/>
      <c r="W2" s="454"/>
      <c r="X2" s="454"/>
      <c r="Y2" s="454"/>
      <c r="Z2" s="476">
        <f>U2+1</f>
        <v>46114</v>
      </c>
      <c r="AA2" s="454"/>
      <c r="AB2" s="454"/>
      <c r="AC2" s="454"/>
      <c r="AD2" s="454"/>
      <c r="AE2" s="476">
        <f>Z2+1</f>
        <v>46115</v>
      </c>
      <c r="AF2" s="454"/>
      <c r="AG2" s="454"/>
      <c r="AH2" s="454"/>
      <c r="AI2" s="454"/>
      <c r="AJ2" s="476">
        <f>AE2+1</f>
        <v>46116</v>
      </c>
      <c r="AK2" s="454"/>
      <c r="AL2" s="454"/>
      <c r="AM2" s="454"/>
      <c r="AN2" s="454"/>
      <c r="AO2" s="476">
        <f>AJ2+1</f>
        <v>46117</v>
      </c>
      <c r="AP2" s="454"/>
      <c r="AQ2" s="454"/>
      <c r="AR2" s="454"/>
      <c r="AS2" s="454"/>
      <c r="AT2" s="473">
        <f>AO2+1</f>
        <v>46118</v>
      </c>
      <c r="AU2" s="474"/>
      <c r="AV2" s="474"/>
      <c r="AW2" s="474"/>
      <c r="AX2" s="475"/>
    </row>
    <row r="3" spans="1:54" ht="15.5">
      <c r="A3" s="79"/>
      <c r="B3" s="486"/>
      <c r="C3" s="486"/>
      <c r="D3" s="486"/>
      <c r="E3" s="486"/>
      <c r="F3" s="486"/>
      <c r="G3" s="486"/>
      <c r="H3" s="486"/>
      <c r="I3" s="184"/>
      <c r="J3" s="184"/>
      <c r="K3" s="184"/>
      <c r="L3" s="184"/>
      <c r="M3" s="179"/>
      <c r="N3" s="481"/>
      <c r="O3" s="481"/>
      <c r="P3" s="476" t="s">
        <v>158</v>
      </c>
      <c r="Q3" s="454"/>
      <c r="R3" s="454"/>
      <c r="S3" s="454"/>
      <c r="T3" s="454"/>
      <c r="U3" s="476" t="s">
        <v>114</v>
      </c>
      <c r="V3" s="454"/>
      <c r="W3" s="454"/>
      <c r="X3" s="454"/>
      <c r="Y3" s="454"/>
      <c r="Z3" s="476" t="s">
        <v>159</v>
      </c>
      <c r="AA3" s="454"/>
      <c r="AB3" s="454"/>
      <c r="AC3" s="454"/>
      <c r="AD3" s="454"/>
      <c r="AE3" s="476" t="s">
        <v>157</v>
      </c>
      <c r="AF3" s="454"/>
      <c r="AG3" s="454"/>
      <c r="AH3" s="454"/>
      <c r="AI3" s="454"/>
      <c r="AJ3" s="476" t="s">
        <v>160</v>
      </c>
      <c r="AK3" s="454"/>
      <c r="AL3" s="454"/>
      <c r="AM3" s="454"/>
      <c r="AN3" s="454"/>
      <c r="AO3" s="476" t="s">
        <v>115</v>
      </c>
      <c r="AP3" s="454"/>
      <c r="AQ3" s="454"/>
      <c r="AR3" s="454"/>
      <c r="AS3" s="454"/>
      <c r="AT3" s="476" t="s">
        <v>162</v>
      </c>
      <c r="AU3" s="454"/>
      <c r="AV3" s="454"/>
      <c r="AW3" s="454"/>
      <c r="AX3" s="454"/>
    </row>
    <row r="4" spans="1:54" ht="13.5">
      <c r="A4" s="79"/>
      <c r="B4" s="461" t="s">
        <v>399</v>
      </c>
      <c r="C4" s="461" t="s">
        <v>409</v>
      </c>
      <c r="D4" s="461"/>
      <c r="E4" s="461" t="s">
        <v>400</v>
      </c>
      <c r="F4" s="461"/>
      <c r="G4" s="461"/>
      <c r="H4" s="482" t="s">
        <v>396</v>
      </c>
      <c r="I4" s="461" t="s">
        <v>429</v>
      </c>
      <c r="J4" s="461"/>
      <c r="K4" s="461"/>
      <c r="L4" s="482" t="s">
        <v>396</v>
      </c>
      <c r="M4" s="480" t="s">
        <v>430</v>
      </c>
      <c r="N4" s="461"/>
      <c r="O4" s="461" t="s">
        <v>402</v>
      </c>
      <c r="P4" s="466" t="s">
        <v>398</v>
      </c>
      <c r="Q4" s="467"/>
      <c r="R4" s="467"/>
      <c r="S4" s="468"/>
      <c r="T4" s="461" t="s">
        <v>396</v>
      </c>
      <c r="U4" s="466" t="s">
        <v>398</v>
      </c>
      <c r="V4" s="467"/>
      <c r="W4" s="467"/>
      <c r="X4" s="468"/>
      <c r="Y4" s="461" t="s">
        <v>396</v>
      </c>
      <c r="Z4" s="466" t="s">
        <v>398</v>
      </c>
      <c r="AA4" s="467"/>
      <c r="AB4" s="467"/>
      <c r="AC4" s="468"/>
      <c r="AD4" s="461" t="s">
        <v>396</v>
      </c>
      <c r="AE4" s="466" t="s">
        <v>398</v>
      </c>
      <c r="AF4" s="467"/>
      <c r="AG4" s="467"/>
      <c r="AH4" s="468"/>
      <c r="AI4" s="461" t="s">
        <v>396</v>
      </c>
      <c r="AJ4" s="466" t="s">
        <v>398</v>
      </c>
      <c r="AK4" s="467"/>
      <c r="AL4" s="467"/>
      <c r="AM4" s="468"/>
      <c r="AN4" s="461" t="s">
        <v>396</v>
      </c>
      <c r="AO4" s="466" t="s">
        <v>398</v>
      </c>
      <c r="AP4" s="467"/>
      <c r="AQ4" s="467"/>
      <c r="AR4" s="468"/>
      <c r="AS4" s="461" t="s">
        <v>396</v>
      </c>
      <c r="AT4" s="466" t="s">
        <v>398</v>
      </c>
      <c r="AU4" s="467"/>
      <c r="AV4" s="467"/>
      <c r="AW4" s="468"/>
      <c r="AX4" s="461" t="s">
        <v>396</v>
      </c>
    </row>
    <row r="5" spans="1:54" ht="13.5">
      <c r="A5" s="79"/>
      <c r="B5" s="461"/>
      <c r="C5" s="461"/>
      <c r="D5" s="461"/>
      <c r="E5" s="461" t="s">
        <v>433</v>
      </c>
      <c r="F5" s="461"/>
      <c r="G5" s="461"/>
      <c r="H5" s="483"/>
      <c r="I5" s="461" t="s">
        <v>433</v>
      </c>
      <c r="J5" s="461"/>
      <c r="K5" s="461"/>
      <c r="L5" s="483"/>
      <c r="M5" s="485"/>
      <c r="N5" s="461"/>
      <c r="O5" s="461"/>
      <c r="P5" s="466" t="s">
        <v>404</v>
      </c>
      <c r="Q5" s="467"/>
      <c r="R5" s="467"/>
      <c r="S5" s="468"/>
      <c r="T5" s="461"/>
      <c r="U5" s="466" t="s">
        <v>404</v>
      </c>
      <c r="V5" s="467"/>
      <c r="W5" s="467"/>
      <c r="X5" s="468"/>
      <c r="Y5" s="461"/>
      <c r="Z5" s="466" t="s">
        <v>404</v>
      </c>
      <c r="AA5" s="467"/>
      <c r="AB5" s="467"/>
      <c r="AC5" s="468"/>
      <c r="AD5" s="461"/>
      <c r="AE5" s="466" t="s">
        <v>404</v>
      </c>
      <c r="AF5" s="467"/>
      <c r="AG5" s="467"/>
      <c r="AH5" s="468"/>
      <c r="AI5" s="461"/>
      <c r="AJ5" s="466" t="s">
        <v>404</v>
      </c>
      <c r="AK5" s="467"/>
      <c r="AL5" s="467"/>
      <c r="AM5" s="468"/>
      <c r="AN5" s="461"/>
      <c r="AO5" s="466" t="s">
        <v>404</v>
      </c>
      <c r="AP5" s="467"/>
      <c r="AQ5" s="467"/>
      <c r="AR5" s="468"/>
      <c r="AS5" s="461"/>
      <c r="AT5" s="466" t="s">
        <v>404</v>
      </c>
      <c r="AU5" s="467"/>
      <c r="AV5" s="467"/>
      <c r="AW5" s="468"/>
      <c r="AX5" s="461"/>
    </row>
    <row r="6" spans="1:54" ht="13.5">
      <c r="A6" s="77"/>
      <c r="B6" s="461"/>
      <c r="C6" s="461"/>
      <c r="D6" s="461"/>
      <c r="E6" s="269" t="s">
        <v>435</v>
      </c>
      <c r="F6" s="269" t="s">
        <v>406</v>
      </c>
      <c r="G6" s="269" t="s">
        <v>407</v>
      </c>
      <c r="H6" s="484"/>
      <c r="I6" s="269" t="s">
        <v>435</v>
      </c>
      <c r="J6" s="269" t="s">
        <v>406</v>
      </c>
      <c r="K6" s="269" t="s">
        <v>407</v>
      </c>
      <c r="L6" s="484"/>
      <c r="M6" s="481"/>
      <c r="N6" s="461"/>
      <c r="O6" s="461"/>
      <c r="P6" s="269" t="s">
        <v>435</v>
      </c>
      <c r="Q6" s="269" t="s">
        <v>406</v>
      </c>
      <c r="R6" s="269" t="s">
        <v>407</v>
      </c>
      <c r="S6" s="269" t="s">
        <v>430</v>
      </c>
      <c r="T6" s="461"/>
      <c r="U6" s="269" t="s">
        <v>435</v>
      </c>
      <c r="V6" s="269" t="s">
        <v>406</v>
      </c>
      <c r="W6" s="269" t="s">
        <v>407</v>
      </c>
      <c r="X6" s="269" t="s">
        <v>430</v>
      </c>
      <c r="Y6" s="461"/>
      <c r="Z6" s="269" t="s">
        <v>435</v>
      </c>
      <c r="AA6" s="269" t="s">
        <v>406</v>
      </c>
      <c r="AB6" s="269" t="s">
        <v>407</v>
      </c>
      <c r="AC6" s="269" t="s">
        <v>430</v>
      </c>
      <c r="AD6" s="461"/>
      <c r="AE6" s="269" t="s">
        <v>435</v>
      </c>
      <c r="AF6" s="269" t="s">
        <v>406</v>
      </c>
      <c r="AG6" s="269" t="s">
        <v>407</v>
      </c>
      <c r="AH6" s="269" t="s">
        <v>430</v>
      </c>
      <c r="AI6" s="461"/>
      <c r="AJ6" s="269" t="s">
        <v>435</v>
      </c>
      <c r="AK6" s="269" t="s">
        <v>406</v>
      </c>
      <c r="AL6" s="269" t="s">
        <v>407</v>
      </c>
      <c r="AM6" s="269" t="s">
        <v>430</v>
      </c>
      <c r="AN6" s="461"/>
      <c r="AO6" s="269" t="s">
        <v>435</v>
      </c>
      <c r="AP6" s="269" t="s">
        <v>406</v>
      </c>
      <c r="AQ6" s="269" t="s">
        <v>407</v>
      </c>
      <c r="AR6" s="269" t="s">
        <v>430</v>
      </c>
      <c r="AS6" s="461"/>
      <c r="AT6" s="269" t="s">
        <v>435</v>
      </c>
      <c r="AU6" s="269" t="s">
        <v>406</v>
      </c>
      <c r="AV6" s="269" t="s">
        <v>407</v>
      </c>
      <c r="AW6" s="269" t="s">
        <v>430</v>
      </c>
      <c r="AX6" s="461"/>
    </row>
    <row r="7" spans="1:54" ht="13.5">
      <c r="A7" s="79"/>
      <c r="B7" s="454" t="s">
        <v>150</v>
      </c>
      <c r="C7" s="182">
        <v>1</v>
      </c>
      <c r="D7" s="182" t="s">
        <v>358</v>
      </c>
      <c r="E7" s="182">
        <v>3</v>
      </c>
      <c r="F7" s="182">
        <v>3200</v>
      </c>
      <c r="G7" s="166">
        <v>1066.6666666666667</v>
      </c>
      <c r="H7" s="487">
        <f>AVERAGE(G7:G36)</f>
        <v>716.09848484848487</v>
      </c>
      <c r="I7" s="166">
        <f>IFERROR(AVERAGE(P7,U7,Z7,AE7,AJ7,AO7,AT7),"-")</f>
        <v>3</v>
      </c>
      <c r="J7" s="166">
        <f>IFERROR(AVERAGE(Q7,V7,AA7,AF7,AK7,AP7,AU7),"-")</f>
        <v>3225.2761582060079</v>
      </c>
      <c r="K7" s="180">
        <f>IFERROR(AVERAGE(R7,W7,AB7,AG7,AL7,AQ7,AV7),"-")</f>
        <v>1075.092052735336</v>
      </c>
      <c r="L7" s="463">
        <f>IFERROR(AVERAGE(K7:K36),"-")</f>
        <v>745.73597135820273</v>
      </c>
      <c r="M7" s="166">
        <f>RANK(K7, K$7:$K$36)</f>
        <v>3</v>
      </c>
      <c r="N7" s="461"/>
      <c r="O7" s="461"/>
      <c r="P7" s="166">
        <v>3</v>
      </c>
      <c r="Q7" s="166">
        <v>3212.0689655172391</v>
      </c>
      <c r="R7" s="166">
        <v>1070.689655172413</v>
      </c>
      <c r="S7" s="182">
        <f>RANK(R7, R$7:R$36)</f>
        <v>1</v>
      </c>
      <c r="T7" s="455">
        <f>AVERAGE(R7:R36)</f>
        <v>732.33803664053391</v>
      </c>
      <c r="U7" s="166">
        <v>3</v>
      </c>
      <c r="V7" s="166">
        <v>3324.0000000000009</v>
      </c>
      <c r="W7" s="166">
        <v>1108.0000000000002</v>
      </c>
      <c r="X7" s="182">
        <f>RANK(W7, W$7:W$36)</f>
        <v>3</v>
      </c>
      <c r="Y7" s="455">
        <f>AVERAGE(W7:W36)</f>
        <v>766.90536984143444</v>
      </c>
      <c r="Z7" s="166">
        <v>3</v>
      </c>
      <c r="AA7" s="166">
        <v>3187.8260869565161</v>
      </c>
      <c r="AB7" s="166">
        <v>1062.6086956521719</v>
      </c>
      <c r="AC7" s="182">
        <f>RANK(AB7, AB$7:AB$36)</f>
        <v>3</v>
      </c>
      <c r="AD7" s="455">
        <f>AVERAGE(AB7:AB36)</f>
        <v>735.97777497051163</v>
      </c>
      <c r="AE7" s="166">
        <v>3</v>
      </c>
      <c r="AF7" s="166">
        <v>3210.666666666667</v>
      </c>
      <c r="AG7" s="166">
        <v>1070.2222222222224</v>
      </c>
      <c r="AH7" s="182">
        <f>RANK(AG7, AG$7:AG$36)</f>
        <v>5</v>
      </c>
      <c r="AI7" s="455">
        <f>AVERAGE(AG7:AG36)</f>
        <v>750.52757486944768</v>
      </c>
      <c r="AJ7" s="166">
        <v>3</v>
      </c>
      <c r="AK7" s="166">
        <v>3277.6744186046508</v>
      </c>
      <c r="AL7" s="166">
        <v>1092.5581395348836</v>
      </c>
      <c r="AM7" s="182">
        <f>RANK(AL7, AL$7:AL$36)</f>
        <v>2</v>
      </c>
      <c r="AN7" s="455">
        <f>AVERAGE(AL7:AL36)</f>
        <v>756.05684711165475</v>
      </c>
      <c r="AO7" s="166">
        <v>3</v>
      </c>
      <c r="AP7" s="166">
        <v>3211.3636363636419</v>
      </c>
      <c r="AQ7" s="166">
        <v>1070.4545454545473</v>
      </c>
      <c r="AR7" s="182">
        <f>RANK(AQ7, AQ$7:AQ$36)</f>
        <v>5</v>
      </c>
      <c r="AS7" s="455">
        <f>AVERAGE(AQ7:AQ36)</f>
        <v>751.12441341710439</v>
      </c>
      <c r="AT7" s="166">
        <v>3</v>
      </c>
      <c r="AU7" s="166">
        <v>3153.3333333333399</v>
      </c>
      <c r="AV7" s="166">
        <v>1051.1111111111134</v>
      </c>
      <c r="AW7" s="182">
        <f>RANK(AV7, AV$7:AV$36)</f>
        <v>5</v>
      </c>
      <c r="AX7" s="455">
        <f>AVERAGE(AV7:AV36)</f>
        <v>728.43642536827736</v>
      </c>
      <c r="AZ7" s="166" t="e">
        <f>RANK(AX7, $K$7:AX$36)</f>
        <v>#VALUE!</v>
      </c>
      <c r="BB7" s="182" t="e">
        <f t="shared" ref="BB7:BB36" si="0">RANK(BA7, BA$7:BA$36)</f>
        <v>#N/A</v>
      </c>
    </row>
    <row r="8" spans="1:54" ht="15" customHeight="1">
      <c r="A8" s="79"/>
      <c r="B8" s="454"/>
      <c r="C8" s="182">
        <v>2</v>
      </c>
      <c r="D8" s="269" t="s">
        <v>359</v>
      </c>
      <c r="E8" s="182">
        <v>3</v>
      </c>
      <c r="F8" s="182">
        <v>3200</v>
      </c>
      <c r="G8" s="166">
        <v>1066.6666666666667</v>
      </c>
      <c r="H8" s="488"/>
      <c r="I8" s="166">
        <f t="shared" ref="I8:I36" si="1">IFERROR(AVERAGE(P8,U8,Z8,AE8,AJ8,AO8,AT8),"-")</f>
        <v>3</v>
      </c>
      <c r="J8" s="166">
        <f t="shared" ref="J8:J36" si="2">IFERROR(AVERAGE(Q8,V8,AA8,AF8,AK8,AP8,AU8),"-")</f>
        <v>3258.1715609320649</v>
      </c>
      <c r="K8" s="180">
        <f t="shared" ref="K8:K36" si="3">IFERROR(AVERAGE(R8,W8,AB8,AG8,AL8,AQ8,AV8),"-")</f>
        <v>1086.0571869773551</v>
      </c>
      <c r="L8" s="464"/>
      <c r="M8" s="166">
        <f>RANK(K8, K$7:$K$36)</f>
        <v>1</v>
      </c>
      <c r="N8" s="461"/>
      <c r="O8" s="461"/>
      <c r="P8" s="166">
        <v>3</v>
      </c>
      <c r="Q8" s="166">
        <v>3066.6666666666501</v>
      </c>
      <c r="R8" s="166">
        <v>1022.2222222222167</v>
      </c>
      <c r="S8" s="182">
        <f t="shared" ref="S8:S36" si="4">RANK(R8, R$7:R$36)</f>
        <v>6</v>
      </c>
      <c r="T8" s="455"/>
      <c r="U8" s="166">
        <v>3</v>
      </c>
      <c r="V8" s="166">
        <v>3367.4999999999955</v>
      </c>
      <c r="W8" s="166">
        <v>1122.4999999999984</v>
      </c>
      <c r="X8" s="182">
        <f t="shared" ref="X8:X36" si="5">RANK(W8, W$7:W$36)</f>
        <v>2</v>
      </c>
      <c r="Y8" s="455"/>
      <c r="Z8" s="166">
        <v>3</v>
      </c>
      <c r="AA8" s="166">
        <v>3184.0000000000114</v>
      </c>
      <c r="AB8" s="166">
        <v>1061.3333333333371</v>
      </c>
      <c r="AC8" s="182">
        <f t="shared" ref="AC8:AC36" si="6">RANK(AB8, AB$7:AB$36)</f>
        <v>4</v>
      </c>
      <c r="AD8" s="455"/>
      <c r="AE8" s="166">
        <v>3</v>
      </c>
      <c r="AF8" s="166">
        <v>3377.1428571428692</v>
      </c>
      <c r="AG8" s="166">
        <v>1125.7142857142896</v>
      </c>
      <c r="AH8" s="182">
        <f t="shared" ref="AH8:AH36" si="7">RANK(AG8, AG$7:AG$36)</f>
        <v>1</v>
      </c>
      <c r="AI8" s="455"/>
      <c r="AJ8" s="166">
        <v>3</v>
      </c>
      <c r="AK8" s="166">
        <v>3341.5384615384528</v>
      </c>
      <c r="AL8" s="166">
        <v>1113.8461538461509</v>
      </c>
      <c r="AM8" s="182">
        <f t="shared" ref="AM8:AM36" si="8">RANK(AL8, AL$7:AL$36)</f>
        <v>1</v>
      </c>
      <c r="AN8" s="455"/>
      <c r="AO8" s="166">
        <v>3</v>
      </c>
      <c r="AP8" s="166">
        <v>3308.0000000000118</v>
      </c>
      <c r="AQ8" s="166">
        <v>1102.6666666666706</v>
      </c>
      <c r="AR8" s="182">
        <f t="shared" ref="AR8:AR36" si="9">RANK(AQ8, AQ$7:AQ$36)</f>
        <v>2</v>
      </c>
      <c r="AS8" s="455"/>
      <c r="AT8" s="166">
        <v>3</v>
      </c>
      <c r="AU8" s="166">
        <v>3162.3529411764666</v>
      </c>
      <c r="AV8" s="166">
        <v>1054.1176470588223</v>
      </c>
      <c r="AW8" s="182">
        <f t="shared" ref="AW8:AW36" si="10">RANK(AV8, AV$7:AV$36)</f>
        <v>3</v>
      </c>
      <c r="AX8" s="455"/>
      <c r="AZ8" s="166" t="e">
        <f>RANK(AX8, $K$7:AX$36)</f>
        <v>#VALUE!</v>
      </c>
      <c r="BB8" s="182" t="e">
        <f t="shared" si="0"/>
        <v>#N/A</v>
      </c>
    </row>
    <row r="9" spans="1:54" ht="13.5">
      <c r="A9" s="79"/>
      <c r="B9" s="454"/>
      <c r="C9" s="182">
        <v>3</v>
      </c>
      <c r="D9" s="182" t="s">
        <v>348</v>
      </c>
      <c r="E9" s="182">
        <v>4</v>
      </c>
      <c r="F9" s="182">
        <v>3200</v>
      </c>
      <c r="G9" s="166">
        <v>800</v>
      </c>
      <c r="H9" s="488"/>
      <c r="I9" s="166">
        <f t="shared" si="1"/>
        <v>4</v>
      </c>
      <c r="J9" s="166">
        <f t="shared" si="2"/>
        <v>3213.2360365198788</v>
      </c>
      <c r="K9" s="180">
        <f t="shared" si="3"/>
        <v>803.3090091299697</v>
      </c>
      <c r="L9" s="464"/>
      <c r="M9" s="166">
        <f>RANK(K9, K$7:$K$36)</f>
        <v>11</v>
      </c>
      <c r="N9" s="461"/>
      <c r="O9" s="461"/>
      <c r="P9" s="166">
        <v>4</v>
      </c>
      <c r="Q9" s="166">
        <v>3195.7894736842222</v>
      </c>
      <c r="R9" s="166">
        <v>798.94736842105556</v>
      </c>
      <c r="S9" s="182">
        <f t="shared" si="4"/>
        <v>8</v>
      </c>
      <c r="T9" s="455"/>
      <c r="U9" s="166">
        <v>4</v>
      </c>
      <c r="V9" s="166">
        <v>3289.9999999999977</v>
      </c>
      <c r="W9" s="166">
        <v>822.49999999999943</v>
      </c>
      <c r="X9" s="182">
        <f t="shared" si="5"/>
        <v>10</v>
      </c>
      <c r="Y9" s="455"/>
      <c r="Z9" s="166">
        <v>4</v>
      </c>
      <c r="AA9" s="166">
        <v>3063.7500000000109</v>
      </c>
      <c r="AB9" s="166">
        <v>765.93750000000273</v>
      </c>
      <c r="AC9" s="182">
        <f t="shared" si="6"/>
        <v>12</v>
      </c>
      <c r="AD9" s="455"/>
      <c r="AE9" s="166">
        <v>4</v>
      </c>
      <c r="AF9" s="166">
        <v>3292.0000000000114</v>
      </c>
      <c r="AG9" s="166">
        <v>823.00000000000284</v>
      </c>
      <c r="AH9" s="182">
        <f t="shared" si="7"/>
        <v>9</v>
      </c>
      <c r="AI9" s="455"/>
      <c r="AJ9" s="166">
        <v>4</v>
      </c>
      <c r="AK9" s="166">
        <v>3321.4285714285834</v>
      </c>
      <c r="AL9" s="166">
        <v>830.35714285714585</v>
      </c>
      <c r="AM9" s="182">
        <f t="shared" si="8"/>
        <v>9</v>
      </c>
      <c r="AN9" s="455"/>
      <c r="AO9" s="166">
        <v>4</v>
      </c>
      <c r="AP9" s="166">
        <v>3216.0000000000118</v>
      </c>
      <c r="AQ9" s="166">
        <v>804.00000000000296</v>
      </c>
      <c r="AR9" s="182">
        <f t="shared" si="9"/>
        <v>12</v>
      </c>
      <c r="AS9" s="455"/>
      <c r="AT9" s="166">
        <v>4</v>
      </c>
      <c r="AU9" s="166">
        <v>3113.6842105263136</v>
      </c>
      <c r="AV9" s="166">
        <v>778.42105263157839</v>
      </c>
      <c r="AW9" s="182">
        <f t="shared" si="10"/>
        <v>11</v>
      </c>
      <c r="AX9" s="455"/>
      <c r="AZ9" s="166" t="e">
        <f>RANK(AX9, $K$7:AX$36)</f>
        <v>#VALUE!</v>
      </c>
      <c r="BB9" s="182" t="e">
        <f t="shared" si="0"/>
        <v>#N/A</v>
      </c>
    </row>
    <row r="10" spans="1:54" ht="13.5">
      <c r="A10" s="79"/>
      <c r="B10" s="454"/>
      <c r="C10" s="182">
        <v>4</v>
      </c>
      <c r="D10" s="182" t="s">
        <v>360</v>
      </c>
      <c r="E10" s="182">
        <v>3</v>
      </c>
      <c r="F10" s="182">
        <v>3200</v>
      </c>
      <c r="G10" s="166">
        <v>1066.6666666666667</v>
      </c>
      <c r="H10" s="488"/>
      <c r="I10" s="166">
        <f t="shared" si="1"/>
        <v>3</v>
      </c>
      <c r="J10" s="166">
        <f t="shared" si="2"/>
        <v>3223.2580629810404</v>
      </c>
      <c r="K10" s="180">
        <f t="shared" si="3"/>
        <v>1074.4193543270135</v>
      </c>
      <c r="L10" s="464"/>
      <c r="M10" s="166">
        <f>RANK(K10, K$7:$K$36)</f>
        <v>5</v>
      </c>
      <c r="N10" s="461"/>
      <c r="O10" s="461"/>
      <c r="P10" s="166">
        <v>3</v>
      </c>
      <c r="Q10" s="166">
        <v>3191.8604651162818</v>
      </c>
      <c r="R10" s="166">
        <v>1063.9534883720939</v>
      </c>
      <c r="S10" s="182">
        <f t="shared" si="4"/>
        <v>2</v>
      </c>
      <c r="T10" s="455"/>
      <c r="U10" s="166">
        <v>3</v>
      </c>
      <c r="V10" s="166">
        <v>3296.2500000000018</v>
      </c>
      <c r="W10" s="166">
        <v>1098.7500000000007</v>
      </c>
      <c r="X10" s="182">
        <f t="shared" si="5"/>
        <v>5</v>
      </c>
      <c r="Y10" s="455"/>
      <c r="Z10" s="166">
        <v>3</v>
      </c>
      <c r="AA10" s="166">
        <v>3170.5714285714325</v>
      </c>
      <c r="AB10" s="166">
        <v>1056.8571428571443</v>
      </c>
      <c r="AC10" s="182">
        <f t="shared" si="6"/>
        <v>5</v>
      </c>
      <c r="AD10" s="455"/>
      <c r="AE10" s="166">
        <v>3</v>
      </c>
      <c r="AF10" s="166">
        <v>3226.3636363636397</v>
      </c>
      <c r="AG10" s="166">
        <v>1075.4545454545466</v>
      </c>
      <c r="AH10" s="182">
        <f t="shared" si="7"/>
        <v>4</v>
      </c>
      <c r="AI10" s="455"/>
      <c r="AJ10" s="166">
        <v>3</v>
      </c>
      <c r="AK10" s="166">
        <v>3245.806451612902</v>
      </c>
      <c r="AL10" s="166">
        <v>1081.9354838709673</v>
      </c>
      <c r="AM10" s="182">
        <f t="shared" si="8"/>
        <v>4</v>
      </c>
      <c r="AN10" s="455"/>
      <c r="AO10" s="166">
        <v>3</v>
      </c>
      <c r="AP10" s="166">
        <v>3255.4838709677369</v>
      </c>
      <c r="AQ10" s="166">
        <v>1085.1612903225789</v>
      </c>
      <c r="AR10" s="182">
        <f t="shared" si="9"/>
        <v>4</v>
      </c>
      <c r="AS10" s="455"/>
      <c r="AT10" s="166">
        <v>3</v>
      </c>
      <c r="AU10" s="166">
        <v>3176.4705882352905</v>
      </c>
      <c r="AV10" s="166">
        <v>1058.8235294117635</v>
      </c>
      <c r="AW10" s="182">
        <f t="shared" si="10"/>
        <v>1</v>
      </c>
      <c r="AX10" s="455"/>
      <c r="AZ10" s="166" t="e">
        <f>RANK(AX10, $K$7:AX$36)</f>
        <v>#VALUE!</v>
      </c>
      <c r="BB10" s="182" t="e">
        <f t="shared" si="0"/>
        <v>#N/A</v>
      </c>
    </row>
    <row r="11" spans="1:54" ht="13.5">
      <c r="A11" s="79"/>
      <c r="B11" s="454"/>
      <c r="C11" s="182">
        <v>5</v>
      </c>
      <c r="D11" s="182" t="s">
        <v>775</v>
      </c>
      <c r="E11" s="182">
        <v>4</v>
      </c>
      <c r="F11" s="182">
        <v>3200</v>
      </c>
      <c r="G11" s="166">
        <v>800</v>
      </c>
      <c r="H11" s="488"/>
      <c r="I11" s="166">
        <f t="shared" si="1"/>
        <v>4</v>
      </c>
      <c r="J11" s="166">
        <f t="shared" si="2"/>
        <v>3221.6113246200803</v>
      </c>
      <c r="K11" s="180">
        <f t="shared" si="3"/>
        <v>805.40283115502007</v>
      </c>
      <c r="L11" s="464"/>
      <c r="M11" s="166">
        <f>RANK(K11, K$7:$K$36)</f>
        <v>10</v>
      </c>
      <c r="N11" s="461"/>
      <c r="O11" s="461"/>
      <c r="P11" s="166">
        <v>4</v>
      </c>
      <c r="Q11" s="166">
        <v>3185.4545454545414</v>
      </c>
      <c r="R11" s="166">
        <v>796.36363636363535</v>
      </c>
      <c r="S11" s="182">
        <f t="shared" si="4"/>
        <v>10</v>
      </c>
      <c r="T11" s="455"/>
      <c r="U11" s="166">
        <v>4</v>
      </c>
      <c r="V11" s="166">
        <v>3265.161290322575</v>
      </c>
      <c r="W11" s="166">
        <v>816.29032258064376</v>
      </c>
      <c r="X11" s="182">
        <f t="shared" si="5"/>
        <v>11</v>
      </c>
      <c r="Y11" s="455"/>
      <c r="Z11" s="166">
        <v>4</v>
      </c>
      <c r="AA11" s="166">
        <v>3117.8571428571449</v>
      </c>
      <c r="AB11" s="166">
        <v>779.46428571428623</v>
      </c>
      <c r="AC11" s="182">
        <f t="shared" si="6"/>
        <v>9</v>
      </c>
      <c r="AD11" s="455"/>
      <c r="AE11" s="166">
        <v>4</v>
      </c>
      <c r="AF11" s="166">
        <v>3244.6153846153961</v>
      </c>
      <c r="AG11" s="166">
        <v>811.15384615384903</v>
      </c>
      <c r="AH11" s="182">
        <f t="shared" si="7"/>
        <v>11</v>
      </c>
      <c r="AI11" s="455"/>
      <c r="AJ11" s="166">
        <v>4</v>
      </c>
      <c r="AK11" s="166">
        <v>3227.49999999999</v>
      </c>
      <c r="AL11" s="166">
        <v>806.8749999999975</v>
      </c>
      <c r="AM11" s="182">
        <f t="shared" si="8"/>
        <v>13</v>
      </c>
      <c r="AN11" s="455"/>
      <c r="AO11" s="166">
        <v>4</v>
      </c>
      <c r="AP11" s="166">
        <v>3321.6000000000008</v>
      </c>
      <c r="AQ11" s="166">
        <v>830.4000000000002</v>
      </c>
      <c r="AR11" s="182">
        <f t="shared" si="9"/>
        <v>10</v>
      </c>
      <c r="AS11" s="455"/>
      <c r="AT11" s="166">
        <v>4</v>
      </c>
      <c r="AU11" s="166">
        <v>3189.0909090909122</v>
      </c>
      <c r="AV11" s="166">
        <v>797.27272727272805</v>
      </c>
      <c r="AW11" s="182">
        <f t="shared" si="10"/>
        <v>9</v>
      </c>
      <c r="AX11" s="455"/>
      <c r="AZ11" s="166" t="e">
        <f>RANK(AX11, $K$7:AX$36)</f>
        <v>#VALUE!</v>
      </c>
      <c r="BB11" s="182" t="e">
        <f t="shared" si="0"/>
        <v>#N/A</v>
      </c>
    </row>
    <row r="12" spans="1:54" ht="13.5">
      <c r="A12" s="79"/>
      <c r="B12" s="454"/>
      <c r="C12" s="182">
        <v>6</v>
      </c>
      <c r="D12" s="182" t="s">
        <v>776</v>
      </c>
      <c r="E12" s="182">
        <v>4</v>
      </c>
      <c r="F12" s="182">
        <v>3200</v>
      </c>
      <c r="G12" s="166">
        <v>800</v>
      </c>
      <c r="H12" s="488"/>
      <c r="I12" s="166">
        <f t="shared" si="1"/>
        <v>4</v>
      </c>
      <c r="J12" s="166">
        <f t="shared" si="2"/>
        <v>3283.6831739688887</v>
      </c>
      <c r="K12" s="180">
        <f t="shared" si="3"/>
        <v>820.92079349222217</v>
      </c>
      <c r="L12" s="464"/>
      <c r="M12" s="166">
        <f>RANK(K12, K$7:$K$36)</f>
        <v>8</v>
      </c>
      <c r="N12" s="461"/>
      <c r="O12" s="461"/>
      <c r="P12" s="166">
        <v>4</v>
      </c>
      <c r="Q12" s="166">
        <v>3143.9999999999945</v>
      </c>
      <c r="R12" s="166">
        <v>785.99999999999864</v>
      </c>
      <c r="S12" s="182">
        <f t="shared" si="4"/>
        <v>13</v>
      </c>
      <c r="T12" s="455"/>
      <c r="U12" s="166">
        <v>4</v>
      </c>
      <c r="V12" s="166">
        <v>3530.7692307692214</v>
      </c>
      <c r="W12" s="166">
        <v>882.69230769230535</v>
      </c>
      <c r="X12" s="182">
        <f t="shared" si="5"/>
        <v>8</v>
      </c>
      <c r="Y12" s="455"/>
      <c r="Z12" s="166">
        <v>4</v>
      </c>
      <c r="AA12" s="166">
        <v>3079.9999999999905</v>
      </c>
      <c r="AB12" s="166">
        <v>769.99999999999761</v>
      </c>
      <c r="AC12" s="182">
        <f t="shared" si="6"/>
        <v>11</v>
      </c>
      <c r="AD12" s="455"/>
      <c r="AE12" s="166">
        <v>4</v>
      </c>
      <c r="AF12" s="166">
        <v>3212.7272727272843</v>
      </c>
      <c r="AG12" s="166">
        <v>803.18181818182109</v>
      </c>
      <c r="AH12" s="182">
        <f t="shared" si="7"/>
        <v>12</v>
      </c>
      <c r="AI12" s="455"/>
      <c r="AJ12" s="166">
        <v>4</v>
      </c>
      <c r="AK12" s="166">
        <v>3336.0000000000118</v>
      </c>
      <c r="AL12" s="166">
        <v>834.00000000000296</v>
      </c>
      <c r="AM12" s="182">
        <f t="shared" si="8"/>
        <v>8</v>
      </c>
      <c r="AN12" s="455"/>
      <c r="AO12" s="166">
        <v>4</v>
      </c>
      <c r="AP12" s="166">
        <v>3468.0000000000123</v>
      </c>
      <c r="AQ12" s="166">
        <v>867.00000000000307</v>
      </c>
      <c r="AR12" s="182">
        <f t="shared" si="9"/>
        <v>8</v>
      </c>
      <c r="AS12" s="455"/>
      <c r="AT12" s="166">
        <v>4</v>
      </c>
      <c r="AU12" s="166">
        <v>3214.2857142857074</v>
      </c>
      <c r="AV12" s="166">
        <v>803.57142857142685</v>
      </c>
      <c r="AW12" s="182">
        <f t="shared" si="10"/>
        <v>8</v>
      </c>
      <c r="AX12" s="455"/>
      <c r="AZ12" s="166" t="e">
        <f>RANK(AX12, $K$7:AX$36)</f>
        <v>#VALUE!</v>
      </c>
      <c r="BB12" s="182" t="e">
        <f t="shared" si="0"/>
        <v>#N/A</v>
      </c>
    </row>
    <row r="13" spans="1:54" ht="13.5">
      <c r="A13" s="79"/>
      <c r="B13" s="454"/>
      <c r="C13" s="182">
        <v>7</v>
      </c>
      <c r="D13" s="182" t="s">
        <v>361</v>
      </c>
      <c r="E13" s="182">
        <v>4</v>
      </c>
      <c r="F13" s="182">
        <v>2800</v>
      </c>
      <c r="G13" s="166">
        <v>700</v>
      </c>
      <c r="H13" s="488"/>
      <c r="I13" s="166">
        <f t="shared" si="1"/>
        <v>4</v>
      </c>
      <c r="J13" s="166">
        <f t="shared" si="2"/>
        <v>3231.0313971742557</v>
      </c>
      <c r="K13" s="180">
        <f t="shared" si="3"/>
        <v>807.75784929356394</v>
      </c>
      <c r="L13" s="464"/>
      <c r="M13" s="166">
        <f>RANK(K13, K$7:$K$36)</f>
        <v>9</v>
      </c>
      <c r="N13" s="461"/>
      <c r="O13" s="461"/>
      <c r="P13" s="166">
        <v>4</v>
      </c>
      <c r="Q13" s="166">
        <v>3184.2857142857256</v>
      </c>
      <c r="R13" s="166">
        <v>796.0714285714314</v>
      </c>
      <c r="S13" s="182">
        <f t="shared" si="4"/>
        <v>11</v>
      </c>
      <c r="T13" s="455"/>
      <c r="U13" s="166">
        <v>4</v>
      </c>
      <c r="V13" s="166">
        <v>3323.0769230769142</v>
      </c>
      <c r="W13" s="166">
        <v>830.76923076922856</v>
      </c>
      <c r="X13" s="182">
        <f t="shared" si="5"/>
        <v>9</v>
      </c>
      <c r="Y13" s="455"/>
      <c r="Z13" s="166">
        <v>4</v>
      </c>
      <c r="AA13" s="166">
        <v>3004.9999999999909</v>
      </c>
      <c r="AB13" s="166">
        <v>751.24999999999773</v>
      </c>
      <c r="AC13" s="182">
        <f t="shared" si="6"/>
        <v>13</v>
      </c>
      <c r="AD13" s="455"/>
      <c r="AE13" s="166">
        <v>4</v>
      </c>
      <c r="AF13" s="166">
        <v>3432.0000000000123</v>
      </c>
      <c r="AG13" s="166">
        <v>858.00000000000307</v>
      </c>
      <c r="AH13" s="182">
        <f t="shared" si="7"/>
        <v>8</v>
      </c>
      <c r="AI13" s="455"/>
      <c r="AJ13" s="166">
        <v>4</v>
      </c>
      <c r="AK13" s="166">
        <v>3245.9999999999986</v>
      </c>
      <c r="AL13" s="166">
        <v>811.49999999999966</v>
      </c>
      <c r="AM13" s="182">
        <f t="shared" si="8"/>
        <v>11</v>
      </c>
      <c r="AN13" s="455"/>
      <c r="AO13" s="166">
        <v>4</v>
      </c>
      <c r="AP13" s="166">
        <v>3444.0000000000123</v>
      </c>
      <c r="AQ13" s="166">
        <v>861.00000000000307</v>
      </c>
      <c r="AR13" s="182">
        <f t="shared" si="9"/>
        <v>9</v>
      </c>
      <c r="AS13" s="455"/>
      <c r="AT13" s="166">
        <v>4</v>
      </c>
      <c r="AU13" s="166">
        <v>2982.8571428571368</v>
      </c>
      <c r="AV13" s="166">
        <v>745.71428571428419</v>
      </c>
      <c r="AW13" s="182">
        <f t="shared" si="10"/>
        <v>12</v>
      </c>
      <c r="AX13" s="455"/>
      <c r="AZ13" s="166" t="e">
        <f>RANK(AX13, $K$7:AX$36)</f>
        <v>#VALUE!</v>
      </c>
      <c r="BB13" s="182" t="e">
        <f t="shared" si="0"/>
        <v>#N/A</v>
      </c>
    </row>
    <row r="14" spans="1:54" ht="13.5">
      <c r="A14" s="79"/>
      <c r="B14" s="454"/>
      <c r="C14" s="182">
        <v>8</v>
      </c>
      <c r="D14" s="182" t="s">
        <v>362</v>
      </c>
      <c r="E14" s="182">
        <v>3</v>
      </c>
      <c r="F14" s="182">
        <v>3200</v>
      </c>
      <c r="G14" s="166">
        <v>1066.6666666666667</v>
      </c>
      <c r="H14" s="488"/>
      <c r="I14" s="166">
        <f t="shared" si="1"/>
        <v>3</v>
      </c>
      <c r="J14" s="166">
        <f t="shared" si="2"/>
        <v>3234.7800453514728</v>
      </c>
      <c r="K14" s="180">
        <f t="shared" si="3"/>
        <v>1078.2600151171578</v>
      </c>
      <c r="L14" s="464"/>
      <c r="M14" s="166">
        <f>RANK(K14, K$7:$K$36)</f>
        <v>2</v>
      </c>
      <c r="N14" s="461"/>
      <c r="O14" s="461"/>
      <c r="P14" s="166">
        <v>3</v>
      </c>
      <c r="Q14" s="166">
        <v>3137.9999999999941</v>
      </c>
      <c r="R14" s="166">
        <v>1045.999999999998</v>
      </c>
      <c r="S14" s="182">
        <f t="shared" si="4"/>
        <v>4</v>
      </c>
      <c r="T14" s="455"/>
      <c r="U14" s="166">
        <v>3</v>
      </c>
      <c r="V14" s="166">
        <v>3308.5714285714307</v>
      </c>
      <c r="W14" s="166">
        <v>1102.8571428571436</v>
      </c>
      <c r="X14" s="182">
        <f t="shared" si="5"/>
        <v>4</v>
      </c>
      <c r="Y14" s="455"/>
      <c r="Z14" s="166">
        <v>3</v>
      </c>
      <c r="AA14" s="166">
        <v>3168.8888888888814</v>
      </c>
      <c r="AB14" s="166">
        <v>1056.2962962962938</v>
      </c>
      <c r="AC14" s="182">
        <f t="shared" si="6"/>
        <v>6</v>
      </c>
      <c r="AD14" s="455"/>
      <c r="AE14" s="166">
        <v>3</v>
      </c>
      <c r="AF14" s="166">
        <v>3288.0000000000009</v>
      </c>
      <c r="AG14" s="166">
        <v>1096.0000000000002</v>
      </c>
      <c r="AH14" s="182">
        <f t="shared" si="7"/>
        <v>3</v>
      </c>
      <c r="AI14" s="455"/>
      <c r="AJ14" s="166">
        <v>3</v>
      </c>
      <c r="AK14" s="166">
        <v>3265.0000000000118</v>
      </c>
      <c r="AL14" s="166">
        <v>1088.3333333333374</v>
      </c>
      <c r="AM14" s="182">
        <f t="shared" si="8"/>
        <v>3</v>
      </c>
      <c r="AN14" s="455"/>
      <c r="AO14" s="166">
        <v>3</v>
      </c>
      <c r="AP14" s="166">
        <v>3304.99999999999</v>
      </c>
      <c r="AQ14" s="166">
        <v>1101.6666666666633</v>
      </c>
      <c r="AR14" s="182">
        <f t="shared" si="9"/>
        <v>3</v>
      </c>
      <c r="AS14" s="455"/>
      <c r="AT14" s="166">
        <v>3</v>
      </c>
      <c r="AU14" s="166">
        <v>3170.0000000000032</v>
      </c>
      <c r="AV14" s="166">
        <v>1056.6666666666677</v>
      </c>
      <c r="AW14" s="182">
        <f t="shared" si="10"/>
        <v>2</v>
      </c>
      <c r="AX14" s="455"/>
      <c r="AZ14" s="166" t="e">
        <f>RANK(AX14, $K$7:AX$36)</f>
        <v>#VALUE!</v>
      </c>
      <c r="BB14" s="182" t="e">
        <f t="shared" si="0"/>
        <v>#N/A</v>
      </c>
    </row>
    <row r="15" spans="1:54" ht="13.5">
      <c r="A15" s="79"/>
      <c r="B15" s="454"/>
      <c r="C15" s="182">
        <v>9</v>
      </c>
      <c r="D15" s="182" t="s">
        <v>363</v>
      </c>
      <c r="E15" s="182">
        <v>3</v>
      </c>
      <c r="F15" s="182">
        <v>2800</v>
      </c>
      <c r="G15" s="166">
        <v>933.33333333333337</v>
      </c>
      <c r="H15" s="488"/>
      <c r="I15" s="166">
        <f t="shared" si="1"/>
        <v>3</v>
      </c>
      <c r="J15" s="166">
        <f t="shared" si="2"/>
        <v>3224.6214289911777</v>
      </c>
      <c r="K15" s="180">
        <f t="shared" si="3"/>
        <v>1074.873809663726</v>
      </c>
      <c r="L15" s="464"/>
      <c r="M15" s="166">
        <f>RANK(K15, K$7:$K$36)</f>
        <v>4</v>
      </c>
      <c r="N15" s="461"/>
      <c r="O15" s="461"/>
      <c r="P15" s="166">
        <v>3</v>
      </c>
      <c r="Q15" s="166">
        <v>3128.8235294117685</v>
      </c>
      <c r="R15" s="166">
        <v>1042.9411764705894</v>
      </c>
      <c r="S15" s="182">
        <f t="shared" si="4"/>
        <v>5</v>
      </c>
      <c r="T15" s="455"/>
      <c r="U15" s="166">
        <v>3</v>
      </c>
      <c r="V15" s="166">
        <v>3221.8181818181774</v>
      </c>
      <c r="W15" s="166">
        <v>1073.9393939393924</v>
      </c>
      <c r="X15" s="182">
        <f t="shared" si="5"/>
        <v>6</v>
      </c>
      <c r="Y15" s="455"/>
      <c r="Z15" s="166">
        <v>3</v>
      </c>
      <c r="AA15" s="166">
        <v>3201.4285714285738</v>
      </c>
      <c r="AB15" s="166">
        <v>1067.142857142858</v>
      </c>
      <c r="AC15" s="182">
        <f t="shared" si="6"/>
        <v>2</v>
      </c>
      <c r="AD15" s="455"/>
      <c r="AE15" s="166">
        <v>3</v>
      </c>
      <c r="AF15" s="166">
        <v>3300.0000000000018</v>
      </c>
      <c r="AG15" s="166">
        <v>1100.0000000000007</v>
      </c>
      <c r="AH15" s="182">
        <f t="shared" si="7"/>
        <v>2</v>
      </c>
      <c r="AI15" s="455"/>
      <c r="AJ15" s="166">
        <v>3</v>
      </c>
      <c r="AK15" s="166">
        <v>3242.3076923076942</v>
      </c>
      <c r="AL15" s="166">
        <v>1080.7692307692314</v>
      </c>
      <c r="AM15" s="182">
        <f t="shared" si="8"/>
        <v>5</v>
      </c>
      <c r="AN15" s="455"/>
      <c r="AO15" s="166">
        <v>3</v>
      </c>
      <c r="AP15" s="166">
        <v>3316.1538461538426</v>
      </c>
      <c r="AQ15" s="166">
        <v>1105.3846153846141</v>
      </c>
      <c r="AR15" s="182">
        <f t="shared" si="9"/>
        <v>1</v>
      </c>
      <c r="AS15" s="455"/>
      <c r="AT15" s="166">
        <v>3</v>
      </c>
      <c r="AU15" s="166">
        <v>3161.8181818181852</v>
      </c>
      <c r="AV15" s="166">
        <v>1053.9393939393951</v>
      </c>
      <c r="AW15" s="182">
        <f t="shared" si="10"/>
        <v>4</v>
      </c>
      <c r="AX15" s="455"/>
      <c r="AZ15" s="166" t="e">
        <f>RANK(AX15, $K$7:AX$36)</f>
        <v>#VALUE!</v>
      </c>
      <c r="BB15" s="182" t="e">
        <f t="shared" si="0"/>
        <v>#N/A</v>
      </c>
    </row>
    <row r="16" spans="1:54" ht="13.5">
      <c r="A16" s="79"/>
      <c r="B16" s="454"/>
      <c r="C16" s="182">
        <v>10</v>
      </c>
      <c r="D16" s="182" t="s">
        <v>364</v>
      </c>
      <c r="E16" s="182">
        <v>4</v>
      </c>
      <c r="F16" s="182">
        <v>2800</v>
      </c>
      <c r="G16" s="166">
        <v>700</v>
      </c>
      <c r="H16" s="488"/>
      <c r="I16" s="166">
        <f t="shared" si="1"/>
        <v>4</v>
      </c>
      <c r="J16" s="166">
        <f t="shared" si="2"/>
        <v>3139.9155537876213</v>
      </c>
      <c r="K16" s="180">
        <f t="shared" si="3"/>
        <v>784.97888844690533</v>
      </c>
      <c r="L16" s="464"/>
      <c r="M16" s="166">
        <f>RANK(K16, K$7:$K$36)</f>
        <v>12</v>
      </c>
      <c r="N16" s="461"/>
      <c r="O16" s="461"/>
      <c r="P16" s="166">
        <v>4</v>
      </c>
      <c r="Q16" s="166">
        <v>3155.7894736842109</v>
      </c>
      <c r="R16" s="166">
        <v>788.94736842105272</v>
      </c>
      <c r="S16" s="182">
        <f t="shared" si="4"/>
        <v>12</v>
      </c>
      <c r="T16" s="455"/>
      <c r="U16" s="166">
        <v>4</v>
      </c>
      <c r="V16" s="166">
        <v>3245.6603773584893</v>
      </c>
      <c r="W16" s="166">
        <v>811.41509433962233</v>
      </c>
      <c r="X16" s="182">
        <f t="shared" si="5"/>
        <v>12</v>
      </c>
      <c r="Y16" s="455"/>
      <c r="Z16" s="166">
        <v>4</v>
      </c>
      <c r="AA16" s="166">
        <v>2642.4999999999986</v>
      </c>
      <c r="AB16" s="166">
        <v>660.62499999999966</v>
      </c>
      <c r="AC16" s="182">
        <f t="shared" si="6"/>
        <v>17</v>
      </c>
      <c r="AD16" s="455"/>
      <c r="AE16" s="166">
        <v>4</v>
      </c>
      <c r="AF16" s="166">
        <v>3270.666666666667</v>
      </c>
      <c r="AG16" s="166">
        <v>817.66666666666674</v>
      </c>
      <c r="AH16" s="182">
        <f t="shared" si="7"/>
        <v>10</v>
      </c>
      <c r="AI16" s="455"/>
      <c r="AJ16" s="166">
        <v>4</v>
      </c>
      <c r="AK16" s="166">
        <v>3245.7142857142844</v>
      </c>
      <c r="AL16" s="166">
        <v>811.4285714285711</v>
      </c>
      <c r="AM16" s="182">
        <f t="shared" si="8"/>
        <v>12</v>
      </c>
      <c r="AN16" s="455"/>
      <c r="AO16" s="166">
        <v>4</v>
      </c>
      <c r="AP16" s="166">
        <v>3263.7209302325573</v>
      </c>
      <c r="AQ16" s="166">
        <v>815.93023255813932</v>
      </c>
      <c r="AR16" s="182">
        <f t="shared" si="9"/>
        <v>11</v>
      </c>
      <c r="AS16" s="455"/>
      <c r="AT16" s="166">
        <v>4</v>
      </c>
      <c r="AU16" s="166">
        <v>3155.3571428571431</v>
      </c>
      <c r="AV16" s="166">
        <v>788.83928571428578</v>
      </c>
      <c r="AW16" s="182">
        <f t="shared" si="10"/>
        <v>10</v>
      </c>
      <c r="AX16" s="455"/>
      <c r="AZ16" s="166" t="e">
        <f>RANK(AX16, $K$7:AX$36)</f>
        <v>#VALUE!</v>
      </c>
      <c r="BB16" s="182" t="e">
        <f t="shared" si="0"/>
        <v>#N/A</v>
      </c>
    </row>
    <row r="17" spans="2:54">
      <c r="B17" s="454"/>
      <c r="C17" s="182">
        <v>11</v>
      </c>
      <c r="D17" s="182" t="s">
        <v>777</v>
      </c>
      <c r="E17" s="182">
        <v>4</v>
      </c>
      <c r="F17" s="182">
        <v>2800</v>
      </c>
      <c r="G17" s="166">
        <v>700</v>
      </c>
      <c r="H17" s="488"/>
      <c r="I17" s="166">
        <f t="shared" si="1"/>
        <v>4</v>
      </c>
      <c r="J17" s="166">
        <f t="shared" si="2"/>
        <v>2814.5791116132609</v>
      </c>
      <c r="K17" s="180">
        <f t="shared" si="3"/>
        <v>703.64477790331523</v>
      </c>
      <c r="L17" s="464"/>
      <c r="M17" s="166">
        <f>RANK(K17, K$7:$K$36)</f>
        <v>16</v>
      </c>
      <c r="N17" s="461"/>
      <c r="O17" s="461"/>
      <c r="P17" s="166">
        <v>4</v>
      </c>
      <c r="Q17" s="166">
        <v>2789.9999999999982</v>
      </c>
      <c r="R17" s="166">
        <v>697.49999999999955</v>
      </c>
      <c r="S17" s="182">
        <f t="shared" si="4"/>
        <v>14</v>
      </c>
      <c r="T17" s="455"/>
      <c r="U17" s="166">
        <v>4</v>
      </c>
      <c r="V17" s="166">
        <v>2805.4545454545469</v>
      </c>
      <c r="W17" s="166">
        <v>701.36363636363672</v>
      </c>
      <c r="X17" s="182">
        <f t="shared" si="5"/>
        <v>17</v>
      </c>
      <c r="Y17" s="455"/>
      <c r="Z17" s="166">
        <v>4</v>
      </c>
      <c r="AA17" s="166">
        <v>2778.6206896551707</v>
      </c>
      <c r="AB17" s="166">
        <v>694.65517241379268</v>
      </c>
      <c r="AC17" s="182">
        <f t="shared" si="6"/>
        <v>15</v>
      </c>
      <c r="AD17" s="455"/>
      <c r="AE17" s="166">
        <v>4</v>
      </c>
      <c r="AF17" s="166">
        <v>2866.6666666666642</v>
      </c>
      <c r="AG17" s="166">
        <v>716.66666666666606</v>
      </c>
      <c r="AH17" s="182">
        <f t="shared" si="7"/>
        <v>15</v>
      </c>
      <c r="AI17" s="455"/>
      <c r="AJ17" s="166">
        <v>4</v>
      </c>
      <c r="AK17" s="166">
        <v>2869.4117647058815</v>
      </c>
      <c r="AL17" s="166">
        <v>717.35294117647038</v>
      </c>
      <c r="AM17" s="182">
        <f t="shared" si="8"/>
        <v>15</v>
      </c>
      <c r="AN17" s="455"/>
      <c r="AO17" s="166">
        <v>4</v>
      </c>
      <c r="AP17" s="166">
        <v>2821.1538461538457</v>
      </c>
      <c r="AQ17" s="166">
        <v>705.28846153846143</v>
      </c>
      <c r="AR17" s="182">
        <f t="shared" si="9"/>
        <v>15</v>
      </c>
      <c r="AS17" s="455"/>
      <c r="AT17" s="166">
        <v>4</v>
      </c>
      <c r="AU17" s="166">
        <v>2770.7462686567183</v>
      </c>
      <c r="AV17" s="166">
        <v>692.68656716417956</v>
      </c>
      <c r="AW17" s="182">
        <f t="shared" si="10"/>
        <v>15</v>
      </c>
      <c r="AX17" s="455"/>
      <c r="AZ17" s="166" t="e">
        <f>RANK(AX17, $K$7:AX$36)</f>
        <v>#VALUE!</v>
      </c>
      <c r="BB17" s="182" t="e">
        <f t="shared" si="0"/>
        <v>#N/A</v>
      </c>
    </row>
    <row r="18" spans="2:54">
      <c r="B18" s="454"/>
      <c r="C18" s="182">
        <v>12</v>
      </c>
      <c r="D18" s="182" t="s">
        <v>778</v>
      </c>
      <c r="E18" s="182">
        <v>4</v>
      </c>
      <c r="F18" s="182">
        <v>2800</v>
      </c>
      <c r="G18" s="166">
        <v>700</v>
      </c>
      <c r="H18" s="488"/>
      <c r="I18" s="166">
        <f t="shared" si="1"/>
        <v>4</v>
      </c>
      <c r="J18" s="166">
        <f t="shared" si="2"/>
        <v>2853.8571428571472</v>
      </c>
      <c r="K18" s="180">
        <f t="shared" si="3"/>
        <v>713.4642857142868</v>
      </c>
      <c r="L18" s="464"/>
      <c r="M18" s="166">
        <f>RANK(K18, K$7:$K$36)</f>
        <v>14</v>
      </c>
      <c r="N18" s="461"/>
      <c r="O18" s="461"/>
      <c r="P18" s="166">
        <v>4</v>
      </c>
      <c r="Q18" s="166">
        <v>3186.0000000000114</v>
      </c>
      <c r="R18" s="166">
        <v>796.50000000000284</v>
      </c>
      <c r="S18" s="182">
        <f t="shared" si="4"/>
        <v>9</v>
      </c>
      <c r="T18" s="455"/>
      <c r="U18" s="166">
        <v>4</v>
      </c>
      <c r="V18" s="166">
        <v>3057.0000000000109</v>
      </c>
      <c r="W18" s="166">
        <v>764.25000000000273</v>
      </c>
      <c r="X18" s="182">
        <f t="shared" si="5"/>
        <v>13</v>
      </c>
      <c r="Y18" s="455"/>
      <c r="Z18" s="166">
        <v>4</v>
      </c>
      <c r="AA18" s="166">
        <v>2949.0000000000105</v>
      </c>
      <c r="AB18" s="166">
        <v>737.25000000000261</v>
      </c>
      <c r="AC18" s="182">
        <f t="shared" si="6"/>
        <v>14</v>
      </c>
      <c r="AD18" s="455"/>
      <c r="AE18" s="166">
        <v>4</v>
      </c>
      <c r="AF18" s="166">
        <v>2682.0000000000095</v>
      </c>
      <c r="AG18" s="166">
        <v>670.50000000000239</v>
      </c>
      <c r="AH18" s="182">
        <f t="shared" si="7"/>
        <v>17</v>
      </c>
      <c r="AI18" s="455"/>
      <c r="AJ18" s="166">
        <v>4</v>
      </c>
      <c r="AK18" s="166">
        <v>2619.0000000000091</v>
      </c>
      <c r="AL18" s="166">
        <v>654.75000000000227</v>
      </c>
      <c r="AM18" s="182">
        <f t="shared" si="8"/>
        <v>17</v>
      </c>
      <c r="AN18" s="455"/>
      <c r="AO18" s="166">
        <v>4</v>
      </c>
      <c r="AP18" s="166">
        <v>2903.9999999999873</v>
      </c>
      <c r="AQ18" s="166">
        <v>725.99999999999682</v>
      </c>
      <c r="AR18" s="182">
        <f t="shared" si="9"/>
        <v>14</v>
      </c>
      <c r="AS18" s="455"/>
      <c r="AT18" s="166">
        <v>4</v>
      </c>
      <c r="AU18" s="166">
        <v>2579.9999999999927</v>
      </c>
      <c r="AV18" s="166">
        <v>644.99999999999818</v>
      </c>
      <c r="AW18" s="182">
        <f t="shared" si="10"/>
        <v>16</v>
      </c>
      <c r="AX18" s="455"/>
      <c r="AZ18" s="166" t="e">
        <f>RANK(AX18, $K$7:AX$36)</f>
        <v>#VALUE!</v>
      </c>
      <c r="BB18" s="182" t="e">
        <f t="shared" si="0"/>
        <v>#N/A</v>
      </c>
    </row>
    <row r="19" spans="2:54">
      <c r="B19" s="454"/>
      <c r="C19" s="182">
        <v>13</v>
      </c>
      <c r="D19" s="182" t="s">
        <v>365</v>
      </c>
      <c r="E19" s="182">
        <v>4</v>
      </c>
      <c r="F19" s="182">
        <v>2800</v>
      </c>
      <c r="G19" s="166">
        <v>700</v>
      </c>
      <c r="H19" s="488"/>
      <c r="I19" s="166">
        <f t="shared" si="1"/>
        <v>4</v>
      </c>
      <c r="J19" s="166">
        <f t="shared" si="2"/>
        <v>2806.8571428571527</v>
      </c>
      <c r="K19" s="180">
        <f t="shared" si="3"/>
        <v>701.71428571428817</v>
      </c>
      <c r="L19" s="464"/>
      <c r="M19" s="166">
        <f>RANK(K19, K$7:$K$36)</f>
        <v>17</v>
      </c>
      <c r="N19" s="461"/>
      <c r="O19" s="461"/>
      <c r="P19" s="166">
        <v>4</v>
      </c>
      <c r="Q19" s="166">
        <v>2324.0000000000082</v>
      </c>
      <c r="R19" s="166">
        <v>581.00000000000205</v>
      </c>
      <c r="S19" s="182">
        <f t="shared" si="4"/>
        <v>17</v>
      </c>
      <c r="T19" s="455"/>
      <c r="U19" s="166">
        <v>4</v>
      </c>
      <c r="V19" s="166">
        <v>2850.00000000001</v>
      </c>
      <c r="W19" s="166">
        <v>712.5000000000025</v>
      </c>
      <c r="X19" s="182">
        <f t="shared" si="5"/>
        <v>16</v>
      </c>
      <c r="Y19" s="455"/>
      <c r="Z19" s="166">
        <v>4</v>
      </c>
      <c r="AA19" s="166">
        <v>3142.5000000000109</v>
      </c>
      <c r="AB19" s="166">
        <v>785.62500000000273</v>
      </c>
      <c r="AC19" s="182">
        <f t="shared" si="6"/>
        <v>8</v>
      </c>
      <c r="AD19" s="455"/>
      <c r="AE19" s="166">
        <v>4</v>
      </c>
      <c r="AF19" s="166">
        <v>2957.1428571428678</v>
      </c>
      <c r="AG19" s="166">
        <v>739.28571428571695</v>
      </c>
      <c r="AH19" s="182">
        <f t="shared" si="7"/>
        <v>14</v>
      </c>
      <c r="AI19" s="455"/>
      <c r="AJ19" s="166">
        <v>4</v>
      </c>
      <c r="AK19" s="166">
        <v>2767.50000000001</v>
      </c>
      <c r="AL19" s="166">
        <v>691.8750000000025</v>
      </c>
      <c r="AM19" s="182">
        <f t="shared" si="8"/>
        <v>16</v>
      </c>
      <c r="AN19" s="455"/>
      <c r="AO19" s="166">
        <v>4</v>
      </c>
      <c r="AP19" s="166">
        <v>2800.00000000001</v>
      </c>
      <c r="AQ19" s="166">
        <v>700.0000000000025</v>
      </c>
      <c r="AR19" s="182">
        <f t="shared" si="9"/>
        <v>17</v>
      </c>
      <c r="AS19" s="455"/>
      <c r="AT19" s="166" t="s">
        <v>890</v>
      </c>
      <c r="AU19" s="166" t="s">
        <v>890</v>
      </c>
      <c r="AV19" s="166" t="s">
        <v>890</v>
      </c>
      <c r="AW19" s="182" t="e">
        <f t="shared" si="10"/>
        <v>#VALUE!</v>
      </c>
      <c r="AX19" s="455"/>
      <c r="AZ19" s="166" t="e">
        <f>RANK(AX19, $K$7:AX$36)</f>
        <v>#VALUE!</v>
      </c>
      <c r="BB19" s="182" t="e">
        <f t="shared" si="0"/>
        <v>#N/A</v>
      </c>
    </row>
    <row r="20" spans="2:54">
      <c r="B20" s="454"/>
      <c r="C20" s="182">
        <v>14</v>
      </c>
      <c r="D20" s="182" t="s">
        <v>779</v>
      </c>
      <c r="E20" s="182">
        <v>3</v>
      </c>
      <c r="F20" s="182">
        <v>2800</v>
      </c>
      <c r="G20" s="166">
        <v>933.33333333333337</v>
      </c>
      <c r="H20" s="488"/>
      <c r="I20" s="166">
        <f t="shared" si="1"/>
        <v>3</v>
      </c>
      <c r="J20" s="166">
        <f t="shared" si="2"/>
        <v>3065.9552795030968</v>
      </c>
      <c r="K20" s="180">
        <f t="shared" si="3"/>
        <v>1021.9850931676989</v>
      </c>
      <c r="L20" s="464"/>
      <c r="M20" s="166">
        <f>RANK(K20, K$7:$K$36)</f>
        <v>6</v>
      </c>
      <c r="N20" s="461"/>
      <c r="O20" s="461"/>
      <c r="P20" s="166">
        <v>3</v>
      </c>
      <c r="Q20" s="166">
        <v>3146.0869565217504</v>
      </c>
      <c r="R20" s="166">
        <v>1048.6956521739169</v>
      </c>
      <c r="S20" s="182">
        <f t="shared" si="4"/>
        <v>3</v>
      </c>
      <c r="T20" s="455"/>
      <c r="U20" s="166">
        <v>3</v>
      </c>
      <c r="V20" s="166">
        <v>3410.9999999999845</v>
      </c>
      <c r="W20" s="166">
        <v>1136.9999999999948</v>
      </c>
      <c r="X20" s="182">
        <f t="shared" si="5"/>
        <v>1</v>
      </c>
      <c r="Y20" s="455"/>
      <c r="Z20" s="166">
        <v>3</v>
      </c>
      <c r="AA20" s="166">
        <v>3278.9999999999854</v>
      </c>
      <c r="AB20" s="166">
        <v>1092.9999999999952</v>
      </c>
      <c r="AC20" s="182">
        <f t="shared" si="6"/>
        <v>1</v>
      </c>
      <c r="AD20" s="455"/>
      <c r="AE20" s="166">
        <v>3</v>
      </c>
      <c r="AF20" s="166">
        <v>3023.9999999999868</v>
      </c>
      <c r="AG20" s="166">
        <v>1007.9999999999956</v>
      </c>
      <c r="AH20" s="182">
        <f t="shared" si="7"/>
        <v>6</v>
      </c>
      <c r="AI20" s="455"/>
      <c r="AJ20" s="166">
        <v>3</v>
      </c>
      <c r="AK20" s="166">
        <v>3107.9999999999864</v>
      </c>
      <c r="AL20" s="166">
        <v>1035.9999999999955</v>
      </c>
      <c r="AM20" s="182">
        <f t="shared" si="8"/>
        <v>6</v>
      </c>
      <c r="AN20" s="455"/>
      <c r="AO20" s="166">
        <v>3</v>
      </c>
      <c r="AP20" s="166">
        <v>2709.5999999999922</v>
      </c>
      <c r="AQ20" s="166">
        <v>903.19999999999743</v>
      </c>
      <c r="AR20" s="182">
        <f t="shared" si="9"/>
        <v>7</v>
      </c>
      <c r="AS20" s="455"/>
      <c r="AT20" s="166">
        <v>3</v>
      </c>
      <c r="AU20" s="166">
        <v>2783.9999999999923</v>
      </c>
      <c r="AV20" s="166">
        <v>927.99999999999739</v>
      </c>
      <c r="AW20" s="182">
        <f t="shared" si="10"/>
        <v>6</v>
      </c>
      <c r="AX20" s="455"/>
      <c r="AZ20" s="166" t="e">
        <f>RANK(AX20, $K$7:AX$36)</f>
        <v>#VALUE!</v>
      </c>
      <c r="BB20" s="182" t="e">
        <f t="shared" si="0"/>
        <v>#N/A</v>
      </c>
    </row>
    <row r="21" spans="2:54">
      <c r="B21" s="454"/>
      <c r="C21" s="182">
        <v>15</v>
      </c>
      <c r="D21" s="182" t="s">
        <v>780</v>
      </c>
      <c r="E21" s="182">
        <v>4</v>
      </c>
      <c r="F21" s="182">
        <v>2200</v>
      </c>
      <c r="G21" s="166">
        <v>550</v>
      </c>
      <c r="H21" s="488"/>
      <c r="I21" s="166">
        <f t="shared" si="1"/>
        <v>3</v>
      </c>
      <c r="J21" s="166">
        <f t="shared" si="2"/>
        <v>2232.9952380952368</v>
      </c>
      <c r="K21" s="180">
        <f t="shared" si="3"/>
        <v>744.33174603174564</v>
      </c>
      <c r="L21" s="464"/>
      <c r="M21" s="166">
        <f>RANK(K21, K$7:$K$36)</f>
        <v>13</v>
      </c>
      <c r="N21" s="461"/>
      <c r="O21" s="461"/>
      <c r="P21" s="166">
        <v>3</v>
      </c>
      <c r="Q21" s="166">
        <v>2080.7999999999938</v>
      </c>
      <c r="R21" s="166">
        <v>693.59999999999798</v>
      </c>
      <c r="S21" s="182">
        <f t="shared" si="4"/>
        <v>16</v>
      </c>
      <c r="T21" s="455"/>
      <c r="U21" s="166">
        <v>3</v>
      </c>
      <c r="V21" s="166">
        <v>2152</v>
      </c>
      <c r="W21" s="166">
        <v>717.33333333333337</v>
      </c>
      <c r="X21" s="182">
        <f t="shared" si="5"/>
        <v>14</v>
      </c>
      <c r="Y21" s="455"/>
      <c r="Z21" s="166">
        <v>3</v>
      </c>
      <c r="AA21" s="166">
        <v>2326.4999999999991</v>
      </c>
      <c r="AB21" s="166">
        <v>775.49999999999966</v>
      </c>
      <c r="AC21" s="182">
        <f t="shared" si="6"/>
        <v>10</v>
      </c>
      <c r="AD21" s="455"/>
      <c r="AE21" s="166">
        <v>3</v>
      </c>
      <c r="AF21" s="166">
        <v>2240.9999999999991</v>
      </c>
      <c r="AG21" s="166">
        <v>746.99999999999966</v>
      </c>
      <c r="AH21" s="182">
        <f t="shared" si="7"/>
        <v>13</v>
      </c>
      <c r="AI21" s="455"/>
      <c r="AJ21" s="166">
        <v>3</v>
      </c>
      <c r="AK21" s="166">
        <v>2447.9999999999977</v>
      </c>
      <c r="AL21" s="166">
        <v>815.9999999999992</v>
      </c>
      <c r="AM21" s="182">
        <f t="shared" si="8"/>
        <v>10</v>
      </c>
      <c r="AN21" s="455"/>
      <c r="AO21" s="166">
        <v>3</v>
      </c>
      <c r="AP21" s="166">
        <v>2190.666666666667</v>
      </c>
      <c r="AQ21" s="166">
        <v>730.22222222222229</v>
      </c>
      <c r="AR21" s="182">
        <f t="shared" si="9"/>
        <v>13</v>
      </c>
      <c r="AS21" s="455"/>
      <c r="AT21" s="166">
        <v>3</v>
      </c>
      <c r="AU21" s="166">
        <v>2192</v>
      </c>
      <c r="AV21" s="166">
        <v>730.66666666666663</v>
      </c>
      <c r="AW21" s="182">
        <f t="shared" si="10"/>
        <v>13</v>
      </c>
      <c r="AX21" s="455"/>
      <c r="AZ21" s="166" t="e">
        <f>RANK(AX21, $K$7:AX$36)</f>
        <v>#VALUE!</v>
      </c>
      <c r="BB21" s="182" t="e">
        <f t="shared" si="0"/>
        <v>#N/A</v>
      </c>
    </row>
    <row r="22" spans="2:54">
      <c r="B22" s="454"/>
      <c r="C22" s="182">
        <v>16</v>
      </c>
      <c r="D22" s="182" t="s">
        <v>643</v>
      </c>
      <c r="E22" s="182">
        <v>8</v>
      </c>
      <c r="F22" s="182">
        <v>1500</v>
      </c>
      <c r="G22" s="166">
        <v>187.5</v>
      </c>
      <c r="H22" s="488"/>
      <c r="I22" s="166">
        <f t="shared" si="1"/>
        <v>9.7142857142857135</v>
      </c>
      <c r="J22" s="166">
        <f t="shared" si="2"/>
        <v>1468.6080123266559</v>
      </c>
      <c r="K22" s="180">
        <f t="shared" si="3"/>
        <v>151.85171032357465</v>
      </c>
      <c r="L22" s="464"/>
      <c r="M22" s="166">
        <f>RANK(K22, K$7:$K$36)</f>
        <v>20</v>
      </c>
      <c r="N22" s="461"/>
      <c r="O22" s="461"/>
      <c r="P22" s="166">
        <v>10</v>
      </c>
      <c r="Q22" s="166">
        <v>1543.7288135593233</v>
      </c>
      <c r="R22" s="166">
        <v>154.37288135593232</v>
      </c>
      <c r="S22" s="182">
        <f t="shared" si="4"/>
        <v>20</v>
      </c>
      <c r="T22" s="455"/>
      <c r="U22" s="166">
        <v>10</v>
      </c>
      <c r="V22" s="166">
        <v>1484.0000000000014</v>
      </c>
      <c r="W22" s="166">
        <v>148.40000000000015</v>
      </c>
      <c r="X22" s="182">
        <f t="shared" si="5"/>
        <v>20</v>
      </c>
      <c r="Y22" s="455"/>
      <c r="Z22" s="166">
        <v>10</v>
      </c>
      <c r="AA22" s="166">
        <v>1456.3636363636331</v>
      </c>
      <c r="AB22" s="166">
        <v>145.63636363636331</v>
      </c>
      <c r="AC22" s="182">
        <f t="shared" si="6"/>
        <v>20</v>
      </c>
      <c r="AD22" s="455"/>
      <c r="AE22" s="166">
        <v>10</v>
      </c>
      <c r="AF22" s="166">
        <v>1438.9090909090919</v>
      </c>
      <c r="AG22" s="166">
        <v>143.89090909090919</v>
      </c>
      <c r="AH22" s="182">
        <f t="shared" si="7"/>
        <v>20</v>
      </c>
      <c r="AI22" s="455"/>
      <c r="AJ22" s="166">
        <v>10</v>
      </c>
      <c r="AK22" s="166">
        <v>1498.7999999999981</v>
      </c>
      <c r="AL22" s="166">
        <v>149.87999999999982</v>
      </c>
      <c r="AM22" s="182">
        <f t="shared" si="8"/>
        <v>20</v>
      </c>
      <c r="AN22" s="455"/>
      <c r="AO22" s="166">
        <v>8</v>
      </c>
      <c r="AP22" s="166">
        <v>1397.4545454545444</v>
      </c>
      <c r="AQ22" s="166">
        <v>174.68181818181804</v>
      </c>
      <c r="AR22" s="182">
        <f t="shared" si="9"/>
        <v>20</v>
      </c>
      <c r="AS22" s="455"/>
      <c r="AT22" s="166">
        <v>10</v>
      </c>
      <c r="AU22" s="166">
        <v>1460.9999999999973</v>
      </c>
      <c r="AV22" s="166">
        <v>146.09999999999974</v>
      </c>
      <c r="AW22" s="182">
        <f t="shared" si="10"/>
        <v>19</v>
      </c>
      <c r="AX22" s="455"/>
      <c r="AZ22" s="166" t="e">
        <f>RANK(AX22, $K$7:AX$36)</f>
        <v>#VALUE!</v>
      </c>
      <c r="BB22" s="182" t="e">
        <f t="shared" si="0"/>
        <v>#N/A</v>
      </c>
    </row>
    <row r="23" spans="2:54">
      <c r="B23" s="454"/>
      <c r="C23" s="182">
        <v>17</v>
      </c>
      <c r="D23" s="182" t="s">
        <v>680</v>
      </c>
      <c r="E23" s="182">
        <v>4</v>
      </c>
      <c r="F23" s="182">
        <v>2200</v>
      </c>
      <c r="G23" s="166">
        <v>550</v>
      </c>
      <c r="H23" s="488"/>
      <c r="I23" s="166">
        <f t="shared" si="1"/>
        <v>4</v>
      </c>
      <c r="J23" s="166">
        <f t="shared" si="2"/>
        <v>2191.9714285714294</v>
      </c>
      <c r="K23" s="180">
        <f t="shared" si="3"/>
        <v>547.99285714285736</v>
      </c>
      <c r="L23" s="464"/>
      <c r="M23" s="166">
        <f>RANK(K23, K$7:$K$36)</f>
        <v>18</v>
      </c>
      <c r="N23" s="461"/>
      <c r="O23" s="461"/>
      <c r="P23" s="166">
        <v>4</v>
      </c>
      <c r="Q23" s="166">
        <v>2104.7999999999938</v>
      </c>
      <c r="R23" s="166">
        <v>526.19999999999845</v>
      </c>
      <c r="S23" s="182">
        <f t="shared" si="4"/>
        <v>19</v>
      </c>
      <c r="T23" s="455"/>
      <c r="U23" s="166">
        <v>4</v>
      </c>
      <c r="V23" s="166">
        <v>2295.0000000000082</v>
      </c>
      <c r="W23" s="166">
        <v>573.75000000000205</v>
      </c>
      <c r="X23" s="182">
        <f t="shared" si="5"/>
        <v>18</v>
      </c>
      <c r="Y23" s="455"/>
      <c r="Z23" s="166">
        <v>4</v>
      </c>
      <c r="AA23" s="166">
        <v>2243.99999999999</v>
      </c>
      <c r="AB23" s="166">
        <v>560.9999999999975</v>
      </c>
      <c r="AC23" s="182">
        <f t="shared" si="6"/>
        <v>18</v>
      </c>
      <c r="AD23" s="455"/>
      <c r="AE23" s="166">
        <v>4</v>
      </c>
      <c r="AF23" s="166">
        <v>2111.9999999999909</v>
      </c>
      <c r="AG23" s="166">
        <v>527.99999999999773</v>
      </c>
      <c r="AH23" s="182">
        <f t="shared" si="7"/>
        <v>18</v>
      </c>
      <c r="AI23" s="455"/>
      <c r="AJ23" s="166">
        <v>4</v>
      </c>
      <c r="AK23" s="166">
        <v>2076.0000000000073</v>
      </c>
      <c r="AL23" s="166">
        <v>519.00000000000182</v>
      </c>
      <c r="AM23" s="182">
        <f t="shared" si="8"/>
        <v>19</v>
      </c>
      <c r="AN23" s="455"/>
      <c r="AO23" s="166">
        <v>4</v>
      </c>
      <c r="AP23" s="166">
        <v>2208.0000000000077</v>
      </c>
      <c r="AQ23" s="166">
        <v>552.00000000000193</v>
      </c>
      <c r="AR23" s="182">
        <f t="shared" si="9"/>
        <v>18</v>
      </c>
      <c r="AS23" s="455"/>
      <c r="AT23" s="166">
        <v>4</v>
      </c>
      <c r="AU23" s="166">
        <v>2304.0000000000082</v>
      </c>
      <c r="AV23" s="166">
        <v>576.00000000000205</v>
      </c>
      <c r="AW23" s="182">
        <f t="shared" si="10"/>
        <v>17</v>
      </c>
      <c r="AX23" s="455"/>
      <c r="AZ23" s="166" t="e">
        <f>RANK(AX23, $K$7:AX$36)</f>
        <v>#VALUE!</v>
      </c>
      <c r="BB23" s="182" t="e">
        <f t="shared" si="0"/>
        <v>#N/A</v>
      </c>
    </row>
    <row r="24" spans="2:54">
      <c r="B24" s="454"/>
      <c r="C24" s="182">
        <v>18</v>
      </c>
      <c r="D24" s="182" t="s">
        <v>781</v>
      </c>
      <c r="E24" s="182">
        <v>3</v>
      </c>
      <c r="F24" s="182">
        <v>2800</v>
      </c>
      <c r="G24" s="166">
        <v>933.33333333333337</v>
      </c>
      <c r="H24" s="488"/>
      <c r="I24" s="166">
        <f t="shared" si="1"/>
        <v>3</v>
      </c>
      <c r="J24" s="166">
        <f t="shared" si="2"/>
        <v>2817.5599710430179</v>
      </c>
      <c r="K24" s="180">
        <f t="shared" si="3"/>
        <v>939.18665701433929</v>
      </c>
      <c r="L24" s="464"/>
      <c r="M24" s="166">
        <f>RANK(K24, K$7:$K$36)</f>
        <v>7</v>
      </c>
      <c r="N24" s="461"/>
      <c r="O24" s="461"/>
      <c r="P24" s="166">
        <v>3</v>
      </c>
      <c r="Q24" s="166">
        <v>2769.7959183673479</v>
      </c>
      <c r="R24" s="166">
        <v>923.26530612244926</v>
      </c>
      <c r="S24" s="182">
        <f t="shared" si="4"/>
        <v>7</v>
      </c>
      <c r="T24" s="455"/>
      <c r="U24" s="166">
        <v>3</v>
      </c>
      <c r="V24" s="166">
        <v>2853.913043478261</v>
      </c>
      <c r="W24" s="166">
        <v>951.304347826087</v>
      </c>
      <c r="X24" s="182">
        <f t="shared" si="5"/>
        <v>7</v>
      </c>
      <c r="Y24" s="455"/>
      <c r="Z24" s="166">
        <v>3</v>
      </c>
      <c r="AA24" s="166">
        <v>2775.7142857142849</v>
      </c>
      <c r="AB24" s="166">
        <v>925.23809523809496</v>
      </c>
      <c r="AC24" s="182">
        <f t="shared" si="6"/>
        <v>7</v>
      </c>
      <c r="AD24" s="455"/>
      <c r="AE24" s="166">
        <v>3</v>
      </c>
      <c r="AF24" s="166">
        <v>2809.4999999999991</v>
      </c>
      <c r="AG24" s="166">
        <v>936.49999999999966</v>
      </c>
      <c r="AH24" s="182">
        <f t="shared" si="7"/>
        <v>7</v>
      </c>
      <c r="AI24" s="455"/>
      <c r="AJ24" s="166">
        <v>3</v>
      </c>
      <c r="AK24" s="166">
        <v>2868.6486486486529</v>
      </c>
      <c r="AL24" s="166">
        <v>956.21621621621762</v>
      </c>
      <c r="AM24" s="182">
        <f t="shared" si="8"/>
        <v>7</v>
      </c>
      <c r="AN24" s="455"/>
      <c r="AO24" s="166">
        <v>3</v>
      </c>
      <c r="AP24" s="166">
        <v>2875.1351351351332</v>
      </c>
      <c r="AQ24" s="166">
        <v>958.37837837837776</v>
      </c>
      <c r="AR24" s="182">
        <f t="shared" si="9"/>
        <v>6</v>
      </c>
      <c r="AS24" s="455"/>
      <c r="AT24" s="166">
        <v>3</v>
      </c>
      <c r="AU24" s="166">
        <v>2770.2127659574471</v>
      </c>
      <c r="AV24" s="166">
        <v>923.404255319149</v>
      </c>
      <c r="AW24" s="182">
        <f t="shared" si="10"/>
        <v>7</v>
      </c>
      <c r="AX24" s="455"/>
      <c r="AZ24" s="166" t="e">
        <f>RANK(AX24, $K$7:AX$36)</f>
        <v>#VALUE!</v>
      </c>
      <c r="BB24" s="182" t="e">
        <f t="shared" si="0"/>
        <v>#N/A</v>
      </c>
    </row>
    <row r="25" spans="2:54">
      <c r="B25" s="454"/>
      <c r="C25" s="182">
        <v>19</v>
      </c>
      <c r="D25" s="182" t="s">
        <v>782</v>
      </c>
      <c r="E25" s="182">
        <v>4</v>
      </c>
      <c r="F25" s="182">
        <v>2200</v>
      </c>
      <c r="G25" s="166">
        <v>550</v>
      </c>
      <c r="H25" s="488"/>
      <c r="I25" s="166">
        <f t="shared" si="1"/>
        <v>4</v>
      </c>
      <c r="J25" s="166">
        <f t="shared" si="2"/>
        <v>2190.8816326530582</v>
      </c>
      <c r="K25" s="180">
        <f t="shared" si="3"/>
        <v>547.72040816326455</v>
      </c>
      <c r="L25" s="464"/>
      <c r="M25" s="166">
        <f>RANK(K25, K$7:$K$36)</f>
        <v>19</v>
      </c>
      <c r="N25" s="461"/>
      <c r="O25" s="461"/>
      <c r="P25" s="166">
        <v>4</v>
      </c>
      <c r="Q25" s="166">
        <v>2201.9999999999991</v>
      </c>
      <c r="R25" s="166">
        <v>550.49999999999977</v>
      </c>
      <c r="S25" s="182">
        <f t="shared" si="4"/>
        <v>18</v>
      </c>
      <c r="T25" s="455"/>
      <c r="U25" s="166">
        <v>4</v>
      </c>
      <c r="V25" s="166">
        <v>2182.2857142857019</v>
      </c>
      <c r="W25" s="166">
        <v>545.57142857142549</v>
      </c>
      <c r="X25" s="182">
        <f t="shared" si="5"/>
        <v>19</v>
      </c>
      <c r="Y25" s="455"/>
      <c r="Z25" s="166">
        <v>4</v>
      </c>
      <c r="AA25" s="166">
        <v>2141.9999999999964</v>
      </c>
      <c r="AB25" s="166">
        <v>535.49999999999909</v>
      </c>
      <c r="AC25" s="182">
        <f t="shared" si="6"/>
        <v>19</v>
      </c>
      <c r="AD25" s="455"/>
      <c r="AE25" s="166">
        <v>4</v>
      </c>
      <c r="AF25" s="166">
        <v>2045.9999999999964</v>
      </c>
      <c r="AG25" s="166">
        <v>511.49999999999909</v>
      </c>
      <c r="AH25" s="182">
        <f t="shared" si="7"/>
        <v>19</v>
      </c>
      <c r="AI25" s="455"/>
      <c r="AJ25" s="166">
        <v>4</v>
      </c>
      <c r="AK25" s="166">
        <v>2433.600000000024</v>
      </c>
      <c r="AL25" s="166">
        <v>608.400000000006</v>
      </c>
      <c r="AM25" s="182">
        <f t="shared" si="8"/>
        <v>18</v>
      </c>
      <c r="AN25" s="455"/>
      <c r="AO25" s="166">
        <v>4</v>
      </c>
      <c r="AP25" s="166">
        <v>2081.1428571428455</v>
      </c>
      <c r="AQ25" s="166">
        <v>520.28571428571138</v>
      </c>
      <c r="AR25" s="182">
        <f t="shared" si="9"/>
        <v>19</v>
      </c>
      <c r="AS25" s="455"/>
      <c r="AT25" s="166">
        <v>4</v>
      </c>
      <c r="AU25" s="166">
        <v>2249.1428571428446</v>
      </c>
      <c r="AV25" s="166">
        <v>562.28571428571115</v>
      </c>
      <c r="AW25" s="182">
        <f t="shared" si="10"/>
        <v>18</v>
      </c>
      <c r="AX25" s="455"/>
      <c r="AZ25" s="166" t="e">
        <f>RANK(AX25, $K$7:AX$36)</f>
        <v>#VALUE!</v>
      </c>
      <c r="BB25" s="182" t="e">
        <f t="shared" si="0"/>
        <v>#N/A</v>
      </c>
    </row>
    <row r="26" spans="2:54">
      <c r="B26" s="454"/>
      <c r="C26" s="182">
        <v>20</v>
      </c>
      <c r="D26" s="182" t="s">
        <v>783</v>
      </c>
      <c r="E26" s="182">
        <v>4</v>
      </c>
      <c r="F26" s="182">
        <v>2800</v>
      </c>
      <c r="G26" s="166">
        <v>700</v>
      </c>
      <c r="H26" s="488"/>
      <c r="I26" s="166">
        <f t="shared" si="1"/>
        <v>4</v>
      </c>
      <c r="J26" s="166">
        <f t="shared" si="2"/>
        <v>2818.1127960406839</v>
      </c>
      <c r="K26" s="180">
        <f t="shared" si="3"/>
        <v>704.52819901017097</v>
      </c>
      <c r="L26" s="464"/>
      <c r="M26" s="166">
        <f>RANK(K26, K$7:$K$36)</f>
        <v>15</v>
      </c>
      <c r="N26" s="461"/>
      <c r="O26" s="461"/>
      <c r="P26" s="166">
        <v>4</v>
      </c>
      <c r="Q26" s="166">
        <v>2784.9056603773574</v>
      </c>
      <c r="R26" s="166">
        <v>696.22641509433936</v>
      </c>
      <c r="S26" s="182">
        <f t="shared" si="4"/>
        <v>15</v>
      </c>
      <c r="T26" s="455"/>
      <c r="U26" s="166">
        <v>4</v>
      </c>
      <c r="V26" s="166">
        <v>2855.9999999999986</v>
      </c>
      <c r="W26" s="166">
        <v>713.99999999999966</v>
      </c>
      <c r="X26" s="182">
        <f t="shared" si="5"/>
        <v>15</v>
      </c>
      <c r="Y26" s="455"/>
      <c r="Z26" s="166">
        <v>4</v>
      </c>
      <c r="AA26" s="166">
        <v>2741.9999999999991</v>
      </c>
      <c r="AB26" s="166">
        <v>685.49999999999977</v>
      </c>
      <c r="AC26" s="182">
        <f t="shared" si="6"/>
        <v>16</v>
      </c>
      <c r="AD26" s="455"/>
      <c r="AE26" s="166">
        <v>4</v>
      </c>
      <c r="AF26" s="166">
        <v>2821.578947368419</v>
      </c>
      <c r="AG26" s="166">
        <v>705.39473684210475</v>
      </c>
      <c r="AH26" s="182">
        <f t="shared" si="7"/>
        <v>16</v>
      </c>
      <c r="AI26" s="455"/>
      <c r="AJ26" s="166">
        <v>4</v>
      </c>
      <c r="AK26" s="166">
        <v>2911.666666666667</v>
      </c>
      <c r="AL26" s="166">
        <v>727.91666666666674</v>
      </c>
      <c r="AM26" s="182">
        <f t="shared" si="8"/>
        <v>14</v>
      </c>
      <c r="AN26" s="455"/>
      <c r="AO26" s="166">
        <v>4</v>
      </c>
      <c r="AP26" s="166">
        <v>2820.0000000000036</v>
      </c>
      <c r="AQ26" s="166">
        <v>705.00000000000091</v>
      </c>
      <c r="AR26" s="182">
        <f t="shared" si="9"/>
        <v>16</v>
      </c>
      <c r="AS26" s="455"/>
      <c r="AT26" s="166">
        <v>4</v>
      </c>
      <c r="AU26" s="166">
        <v>2790.6382978723409</v>
      </c>
      <c r="AV26" s="166">
        <v>697.65957446808522</v>
      </c>
      <c r="AW26" s="182">
        <f t="shared" si="10"/>
        <v>14</v>
      </c>
      <c r="AX26" s="455"/>
      <c r="AZ26" s="166" t="e">
        <f>RANK(AX26, $K$7:AX$36)</f>
        <v>#VALUE!</v>
      </c>
      <c r="BB26" s="182" t="e">
        <f t="shared" si="0"/>
        <v>#N/A</v>
      </c>
    </row>
    <row r="27" spans="2:54">
      <c r="B27" s="454"/>
      <c r="C27" s="182">
        <v>21</v>
      </c>
      <c r="D27" s="379" t="s">
        <v>807</v>
      </c>
      <c r="E27" s="182">
        <v>12</v>
      </c>
      <c r="F27" s="182">
        <v>1500</v>
      </c>
      <c r="G27" s="166">
        <v>125</v>
      </c>
      <c r="H27" s="488"/>
      <c r="I27" s="166">
        <f t="shared" si="1"/>
        <v>11.714285714285714</v>
      </c>
      <c r="J27" s="166">
        <f t="shared" si="2"/>
        <v>1268.7495371423945</v>
      </c>
      <c r="K27" s="180">
        <f t="shared" si="3"/>
        <v>108.14671051278197</v>
      </c>
      <c r="L27" s="464"/>
      <c r="M27" s="166">
        <f>RANK(K27, K$7:$K$36)</f>
        <v>22</v>
      </c>
      <c r="N27" s="461"/>
      <c r="O27" s="461"/>
      <c r="P27" s="166">
        <v>12</v>
      </c>
      <c r="Q27" s="166">
        <v>1378.3783783783772</v>
      </c>
      <c r="R27" s="166">
        <v>114.86486486486477</v>
      </c>
      <c r="S27" s="182">
        <f t="shared" si="4"/>
        <v>22</v>
      </c>
      <c r="T27" s="455"/>
      <c r="U27" s="166">
        <v>12</v>
      </c>
      <c r="V27" s="166">
        <v>1435.7142857142826</v>
      </c>
      <c r="W27" s="166">
        <v>119.64285714285688</v>
      </c>
      <c r="X27" s="182">
        <f t="shared" si="5"/>
        <v>21</v>
      </c>
      <c r="Y27" s="455"/>
      <c r="Z27" s="166">
        <v>10</v>
      </c>
      <c r="AA27" s="166">
        <v>1015.3846153846129</v>
      </c>
      <c r="AB27" s="166">
        <v>101.53846153846129</v>
      </c>
      <c r="AC27" s="182">
        <f t="shared" si="6"/>
        <v>22</v>
      </c>
      <c r="AD27" s="455"/>
      <c r="AE27" s="166">
        <v>12</v>
      </c>
      <c r="AF27" s="166">
        <v>1361.250000000005</v>
      </c>
      <c r="AG27" s="166">
        <v>113.43750000000041</v>
      </c>
      <c r="AH27" s="182">
        <f t="shared" si="7"/>
        <v>21</v>
      </c>
      <c r="AI27" s="455"/>
      <c r="AJ27" s="166">
        <v>12</v>
      </c>
      <c r="AK27" s="166">
        <v>1200.0000000000043</v>
      </c>
      <c r="AL27" s="166">
        <v>100.00000000000036</v>
      </c>
      <c r="AM27" s="182">
        <f t="shared" si="8"/>
        <v>22</v>
      </c>
      <c r="AN27" s="455"/>
      <c r="AO27" s="166">
        <v>12</v>
      </c>
      <c r="AP27" s="166">
        <v>1211.4285714285757</v>
      </c>
      <c r="AQ27" s="166">
        <v>100.9523809523813</v>
      </c>
      <c r="AR27" s="182">
        <f t="shared" si="9"/>
        <v>22</v>
      </c>
      <c r="AS27" s="455"/>
      <c r="AT27" s="166">
        <v>12</v>
      </c>
      <c r="AU27" s="166">
        <v>1279.0909090909042</v>
      </c>
      <c r="AV27" s="166">
        <v>106.59090909090868</v>
      </c>
      <c r="AW27" s="182">
        <f t="shared" si="10"/>
        <v>20</v>
      </c>
      <c r="AX27" s="455"/>
      <c r="AZ27" s="166" t="e">
        <f>RANK(AX27, $K$7:AX$36)</f>
        <v>#VALUE!</v>
      </c>
      <c r="BB27" s="182" t="e">
        <f t="shared" si="0"/>
        <v>#N/A</v>
      </c>
    </row>
    <row r="28" spans="2:54">
      <c r="B28" s="454"/>
      <c r="C28" s="182">
        <v>22</v>
      </c>
      <c r="D28" s="182" t="s">
        <v>830</v>
      </c>
      <c r="E28" s="182">
        <v>12</v>
      </c>
      <c r="F28" s="182">
        <v>1500</v>
      </c>
      <c r="G28" s="182">
        <v>125</v>
      </c>
      <c r="H28" s="488"/>
      <c r="I28" s="166">
        <f t="shared" si="1"/>
        <v>12</v>
      </c>
      <c r="J28" s="166">
        <f t="shared" si="2"/>
        <v>1326.6341861264129</v>
      </c>
      <c r="K28" s="180">
        <f t="shared" si="3"/>
        <v>110.55284884386775</v>
      </c>
      <c r="L28" s="464"/>
      <c r="M28" s="166">
        <f>RANK(K28, K$7:$K$36)</f>
        <v>21</v>
      </c>
      <c r="N28" s="461"/>
      <c r="O28" s="461"/>
      <c r="P28" s="166">
        <v>12</v>
      </c>
      <c r="Q28" s="166">
        <v>1398.9041095890414</v>
      </c>
      <c r="R28" s="166">
        <v>116.57534246575345</v>
      </c>
      <c r="S28" s="182">
        <f t="shared" si="4"/>
        <v>21</v>
      </c>
      <c r="T28" s="455"/>
      <c r="U28" s="166">
        <v>12</v>
      </c>
      <c r="V28" s="166">
        <v>1405.0684931506853</v>
      </c>
      <c r="W28" s="166">
        <v>117.08904109589044</v>
      </c>
      <c r="X28" s="182">
        <f t="shared" si="5"/>
        <v>22</v>
      </c>
      <c r="Y28" s="455"/>
      <c r="Z28" s="166">
        <v>12</v>
      </c>
      <c r="AA28" s="166">
        <v>1434.6341463414631</v>
      </c>
      <c r="AB28" s="166">
        <v>119.55284552845525</v>
      </c>
      <c r="AC28" s="182">
        <f t="shared" si="6"/>
        <v>21</v>
      </c>
      <c r="AD28" s="455"/>
      <c r="AE28" s="166">
        <v>12</v>
      </c>
      <c r="AF28" s="166">
        <v>1332.4528301886799</v>
      </c>
      <c r="AG28" s="166">
        <v>111.03773584905666</v>
      </c>
      <c r="AH28" s="182">
        <f t="shared" si="7"/>
        <v>22</v>
      </c>
      <c r="AI28" s="455"/>
      <c r="AJ28" s="166">
        <v>12</v>
      </c>
      <c r="AK28" s="166">
        <v>1251.0810810810829</v>
      </c>
      <c r="AL28" s="166">
        <v>104.2567567567569</v>
      </c>
      <c r="AM28" s="182">
        <f t="shared" si="8"/>
        <v>21</v>
      </c>
      <c r="AN28" s="455"/>
      <c r="AO28" s="166">
        <v>12</v>
      </c>
      <c r="AP28" s="166">
        <v>1260.76923076923</v>
      </c>
      <c r="AQ28" s="166">
        <v>105.0641025641025</v>
      </c>
      <c r="AR28" s="182">
        <f t="shared" si="9"/>
        <v>21</v>
      </c>
      <c r="AS28" s="455"/>
      <c r="AT28" s="166">
        <v>12</v>
      </c>
      <c r="AU28" s="166">
        <v>1203.5294117647077</v>
      </c>
      <c r="AV28" s="166">
        <v>100.29411764705897</v>
      </c>
      <c r="AW28" s="182">
        <f t="shared" si="10"/>
        <v>21</v>
      </c>
      <c r="AX28" s="455"/>
      <c r="AZ28" s="166" t="e">
        <f>RANK(AX28, $K$7:AX$36)</f>
        <v>#VALUE!</v>
      </c>
      <c r="BB28" s="182" t="e">
        <f t="shared" si="0"/>
        <v>#N/A</v>
      </c>
    </row>
    <row r="29" spans="2:54">
      <c r="B29" s="454"/>
      <c r="C29" s="182">
        <v>23</v>
      </c>
      <c r="D29" s="182"/>
      <c r="E29" s="182"/>
      <c r="F29" s="182"/>
      <c r="G29" s="182"/>
      <c r="H29" s="488"/>
      <c r="I29" s="166" t="str">
        <f t="shared" si="1"/>
        <v>-</v>
      </c>
      <c r="J29" s="166" t="str">
        <f t="shared" si="2"/>
        <v>-</v>
      </c>
      <c r="K29" s="180" t="str">
        <f t="shared" si="3"/>
        <v>-</v>
      </c>
      <c r="L29" s="464"/>
      <c r="M29" s="166" t="e">
        <f>RANK(K29, K$7:$K$36)</f>
        <v>#VALUE!</v>
      </c>
      <c r="N29" s="461"/>
      <c r="O29" s="461"/>
      <c r="P29" s="182"/>
      <c r="Q29" s="182"/>
      <c r="R29" s="180"/>
      <c r="S29" s="182" t="e">
        <f t="shared" si="4"/>
        <v>#N/A</v>
      </c>
      <c r="T29" s="455"/>
      <c r="U29" s="182"/>
      <c r="V29" s="182"/>
      <c r="W29" s="180"/>
      <c r="X29" s="182" t="e">
        <f t="shared" si="5"/>
        <v>#N/A</v>
      </c>
      <c r="Y29" s="455"/>
      <c r="Z29" s="182"/>
      <c r="AA29" s="182"/>
      <c r="AB29" s="180"/>
      <c r="AC29" s="182" t="e">
        <f t="shared" si="6"/>
        <v>#N/A</v>
      </c>
      <c r="AD29" s="455"/>
      <c r="AE29" s="182"/>
      <c r="AF29" s="182"/>
      <c r="AG29" s="180"/>
      <c r="AH29" s="182" t="e">
        <f t="shared" si="7"/>
        <v>#N/A</v>
      </c>
      <c r="AI29" s="455"/>
      <c r="AJ29" s="182"/>
      <c r="AK29" s="182"/>
      <c r="AL29" s="180"/>
      <c r="AM29" s="182" t="e">
        <f t="shared" si="8"/>
        <v>#N/A</v>
      </c>
      <c r="AN29" s="455"/>
      <c r="AO29" s="182"/>
      <c r="AP29" s="182"/>
      <c r="AQ29" s="180"/>
      <c r="AR29" s="182" t="e">
        <f t="shared" si="9"/>
        <v>#N/A</v>
      </c>
      <c r="AS29" s="455"/>
      <c r="AT29" s="182"/>
      <c r="AU29" s="182"/>
      <c r="AV29" s="180"/>
      <c r="AW29" s="182" t="e">
        <f t="shared" si="10"/>
        <v>#N/A</v>
      </c>
      <c r="AX29" s="455"/>
      <c r="AZ29" s="166" t="e">
        <f>RANK(AX29, $K$7:AX$36)</f>
        <v>#VALUE!</v>
      </c>
      <c r="BB29" s="182" t="e">
        <f t="shared" si="0"/>
        <v>#N/A</v>
      </c>
    </row>
    <row r="30" spans="2:54">
      <c r="B30" s="454"/>
      <c r="C30" s="182">
        <v>24</v>
      </c>
      <c r="D30" s="182"/>
      <c r="E30" s="182"/>
      <c r="F30" s="182"/>
      <c r="G30" s="182"/>
      <c r="H30" s="488"/>
      <c r="I30" s="166" t="str">
        <f t="shared" si="1"/>
        <v>-</v>
      </c>
      <c r="J30" s="166" t="str">
        <f t="shared" si="2"/>
        <v>-</v>
      </c>
      <c r="K30" s="180" t="str">
        <f t="shared" si="3"/>
        <v>-</v>
      </c>
      <c r="L30" s="464"/>
      <c r="M30" s="166" t="e">
        <f>RANK(K30, K$7:$K$36)</f>
        <v>#VALUE!</v>
      </c>
      <c r="N30" s="461"/>
      <c r="O30" s="461"/>
      <c r="P30" s="182"/>
      <c r="Q30" s="182"/>
      <c r="R30" s="182"/>
      <c r="S30" s="182" t="e">
        <f t="shared" si="4"/>
        <v>#N/A</v>
      </c>
      <c r="T30" s="455"/>
      <c r="U30" s="182"/>
      <c r="V30" s="182"/>
      <c r="W30" s="182"/>
      <c r="X30" s="182" t="e">
        <f t="shared" si="5"/>
        <v>#N/A</v>
      </c>
      <c r="Y30" s="455"/>
      <c r="Z30" s="182"/>
      <c r="AA30" s="182"/>
      <c r="AB30" s="182"/>
      <c r="AC30" s="182" t="e">
        <f t="shared" si="6"/>
        <v>#N/A</v>
      </c>
      <c r="AD30" s="455"/>
      <c r="AE30" s="182"/>
      <c r="AF30" s="182"/>
      <c r="AG30" s="182"/>
      <c r="AH30" s="182" t="e">
        <f t="shared" si="7"/>
        <v>#N/A</v>
      </c>
      <c r="AI30" s="455"/>
      <c r="AJ30" s="182"/>
      <c r="AK30" s="182"/>
      <c r="AL30" s="182"/>
      <c r="AM30" s="182" t="e">
        <f t="shared" si="8"/>
        <v>#N/A</v>
      </c>
      <c r="AN30" s="455"/>
      <c r="AO30" s="182"/>
      <c r="AP30" s="182"/>
      <c r="AQ30" s="182"/>
      <c r="AR30" s="182" t="e">
        <f t="shared" si="9"/>
        <v>#N/A</v>
      </c>
      <c r="AS30" s="455"/>
      <c r="AT30" s="182"/>
      <c r="AU30" s="182"/>
      <c r="AV30" s="182"/>
      <c r="AW30" s="182" t="e">
        <f t="shared" si="10"/>
        <v>#N/A</v>
      </c>
      <c r="AX30" s="455"/>
      <c r="AZ30" s="166" t="e">
        <f>RANK(AX30, $K$7:AX$36)</f>
        <v>#VALUE!</v>
      </c>
      <c r="BB30" s="182" t="e">
        <f t="shared" si="0"/>
        <v>#N/A</v>
      </c>
    </row>
    <row r="31" spans="2:54">
      <c r="B31" s="454"/>
      <c r="C31" s="182">
        <v>25</v>
      </c>
      <c r="D31" s="182"/>
      <c r="E31" s="182"/>
      <c r="F31" s="182"/>
      <c r="G31" s="182"/>
      <c r="H31" s="488"/>
      <c r="I31" s="166" t="str">
        <f t="shared" si="1"/>
        <v>-</v>
      </c>
      <c r="J31" s="166" t="str">
        <f t="shared" si="2"/>
        <v>-</v>
      </c>
      <c r="K31" s="180" t="str">
        <f t="shared" si="3"/>
        <v>-</v>
      </c>
      <c r="L31" s="464"/>
      <c r="M31" s="166" t="e">
        <f>RANK(K31, K$7:$K$36)</f>
        <v>#VALUE!</v>
      </c>
      <c r="N31" s="461"/>
      <c r="O31" s="461"/>
      <c r="P31" s="182"/>
      <c r="Q31" s="182"/>
      <c r="R31" s="182"/>
      <c r="S31" s="182" t="e">
        <f t="shared" si="4"/>
        <v>#N/A</v>
      </c>
      <c r="T31" s="455"/>
      <c r="U31" s="182"/>
      <c r="V31" s="182"/>
      <c r="W31" s="182"/>
      <c r="X31" s="182" t="e">
        <f t="shared" si="5"/>
        <v>#N/A</v>
      </c>
      <c r="Y31" s="455"/>
      <c r="Z31" s="182"/>
      <c r="AA31" s="182"/>
      <c r="AB31" s="182"/>
      <c r="AC31" s="182" t="e">
        <f t="shared" si="6"/>
        <v>#N/A</v>
      </c>
      <c r="AD31" s="455"/>
      <c r="AE31" s="182"/>
      <c r="AF31" s="182"/>
      <c r="AG31" s="182"/>
      <c r="AH31" s="182" t="e">
        <f t="shared" si="7"/>
        <v>#N/A</v>
      </c>
      <c r="AI31" s="455"/>
      <c r="AJ31" s="182"/>
      <c r="AK31" s="182"/>
      <c r="AL31" s="182"/>
      <c r="AM31" s="182" t="e">
        <f t="shared" si="8"/>
        <v>#N/A</v>
      </c>
      <c r="AN31" s="455"/>
      <c r="AO31" s="182"/>
      <c r="AP31" s="182"/>
      <c r="AQ31" s="182"/>
      <c r="AR31" s="182" t="e">
        <f t="shared" si="9"/>
        <v>#N/A</v>
      </c>
      <c r="AS31" s="455"/>
      <c r="AT31" s="182"/>
      <c r="AU31" s="182"/>
      <c r="AV31" s="182"/>
      <c r="AW31" s="182" t="e">
        <f t="shared" si="10"/>
        <v>#N/A</v>
      </c>
      <c r="AX31" s="455"/>
      <c r="AZ31" s="166" t="e">
        <f>RANK(AX31, $K$7:AX$36)</f>
        <v>#VALUE!</v>
      </c>
      <c r="BB31" s="182" t="e">
        <f t="shared" si="0"/>
        <v>#N/A</v>
      </c>
    </row>
    <row r="32" spans="2:54">
      <c r="B32" s="454"/>
      <c r="C32" s="182">
        <v>26</v>
      </c>
      <c r="D32" s="182"/>
      <c r="E32" s="182"/>
      <c r="F32" s="182"/>
      <c r="G32" s="182"/>
      <c r="H32" s="488"/>
      <c r="I32" s="166" t="str">
        <f t="shared" si="1"/>
        <v>-</v>
      </c>
      <c r="J32" s="166" t="str">
        <f t="shared" si="2"/>
        <v>-</v>
      </c>
      <c r="K32" s="180" t="str">
        <f t="shared" si="3"/>
        <v>-</v>
      </c>
      <c r="L32" s="464"/>
      <c r="M32" s="166" t="e">
        <f>RANK(K32, K$7:$K$36)</f>
        <v>#VALUE!</v>
      </c>
      <c r="N32" s="461"/>
      <c r="O32" s="461"/>
      <c r="P32" s="182"/>
      <c r="Q32" s="182"/>
      <c r="R32" s="182"/>
      <c r="S32" s="182" t="e">
        <f t="shared" si="4"/>
        <v>#N/A</v>
      </c>
      <c r="T32" s="455"/>
      <c r="U32" s="182"/>
      <c r="V32" s="182"/>
      <c r="W32" s="182"/>
      <c r="X32" s="182" t="e">
        <f t="shared" si="5"/>
        <v>#N/A</v>
      </c>
      <c r="Y32" s="455"/>
      <c r="Z32" s="182"/>
      <c r="AA32" s="182"/>
      <c r="AB32" s="182"/>
      <c r="AC32" s="182" t="e">
        <f t="shared" si="6"/>
        <v>#N/A</v>
      </c>
      <c r="AD32" s="455"/>
      <c r="AE32" s="182"/>
      <c r="AF32" s="182"/>
      <c r="AG32" s="182"/>
      <c r="AH32" s="182" t="e">
        <f t="shared" si="7"/>
        <v>#N/A</v>
      </c>
      <c r="AI32" s="455"/>
      <c r="AJ32" s="182"/>
      <c r="AK32" s="182"/>
      <c r="AL32" s="182"/>
      <c r="AM32" s="182" t="e">
        <f t="shared" si="8"/>
        <v>#N/A</v>
      </c>
      <c r="AN32" s="455"/>
      <c r="AO32" s="182"/>
      <c r="AP32" s="182"/>
      <c r="AQ32" s="182"/>
      <c r="AR32" s="182" t="e">
        <f t="shared" si="9"/>
        <v>#N/A</v>
      </c>
      <c r="AS32" s="455"/>
      <c r="AT32" s="182"/>
      <c r="AU32" s="182"/>
      <c r="AV32" s="182"/>
      <c r="AW32" s="182" t="e">
        <f t="shared" si="10"/>
        <v>#N/A</v>
      </c>
      <c r="AX32" s="455"/>
      <c r="AZ32" s="166" t="e">
        <f>RANK(AX32, $K$7:AX$36)</f>
        <v>#VALUE!</v>
      </c>
      <c r="BB32" s="182" t="e">
        <f t="shared" si="0"/>
        <v>#N/A</v>
      </c>
    </row>
    <row r="33" spans="2:54">
      <c r="B33" s="454"/>
      <c r="C33" s="182">
        <v>27</v>
      </c>
      <c r="D33" s="182"/>
      <c r="E33" s="182"/>
      <c r="F33" s="182"/>
      <c r="G33" s="182"/>
      <c r="H33" s="488"/>
      <c r="I33" s="166" t="str">
        <f t="shared" si="1"/>
        <v>-</v>
      </c>
      <c r="J33" s="166" t="str">
        <f t="shared" si="2"/>
        <v>-</v>
      </c>
      <c r="K33" s="180" t="str">
        <f t="shared" si="3"/>
        <v>-</v>
      </c>
      <c r="L33" s="464"/>
      <c r="M33" s="166" t="e">
        <f>RANK(K33, K$7:$K$36)</f>
        <v>#VALUE!</v>
      </c>
      <c r="N33" s="461"/>
      <c r="O33" s="461"/>
      <c r="P33" s="182"/>
      <c r="Q33" s="182"/>
      <c r="R33" s="182"/>
      <c r="S33" s="182" t="e">
        <f t="shared" si="4"/>
        <v>#N/A</v>
      </c>
      <c r="T33" s="455"/>
      <c r="U33" s="182"/>
      <c r="V33" s="182"/>
      <c r="W33" s="182"/>
      <c r="X33" s="182" t="e">
        <f t="shared" si="5"/>
        <v>#N/A</v>
      </c>
      <c r="Y33" s="455"/>
      <c r="Z33" s="182"/>
      <c r="AA33" s="182"/>
      <c r="AB33" s="182"/>
      <c r="AC33" s="182" t="e">
        <f t="shared" si="6"/>
        <v>#N/A</v>
      </c>
      <c r="AD33" s="455"/>
      <c r="AE33" s="182"/>
      <c r="AF33" s="182"/>
      <c r="AG33" s="182"/>
      <c r="AH33" s="182" t="e">
        <f t="shared" si="7"/>
        <v>#N/A</v>
      </c>
      <c r="AI33" s="455"/>
      <c r="AJ33" s="182"/>
      <c r="AK33" s="182"/>
      <c r="AL33" s="182"/>
      <c r="AM33" s="182" t="e">
        <f t="shared" si="8"/>
        <v>#N/A</v>
      </c>
      <c r="AN33" s="455"/>
      <c r="AO33" s="182"/>
      <c r="AP33" s="182"/>
      <c r="AQ33" s="182"/>
      <c r="AR33" s="182" t="e">
        <f t="shared" si="9"/>
        <v>#N/A</v>
      </c>
      <c r="AS33" s="455"/>
      <c r="AT33" s="182"/>
      <c r="AU33" s="182"/>
      <c r="AV33" s="182"/>
      <c r="AW33" s="182" t="e">
        <f t="shared" si="10"/>
        <v>#N/A</v>
      </c>
      <c r="AX33" s="455"/>
      <c r="AZ33" s="166" t="e">
        <f>RANK(AX33, $K$7:AX$36)</f>
        <v>#VALUE!</v>
      </c>
      <c r="BB33" s="182" t="e">
        <f t="shared" si="0"/>
        <v>#N/A</v>
      </c>
    </row>
    <row r="34" spans="2:54">
      <c r="B34" s="454"/>
      <c r="C34" s="182">
        <v>28</v>
      </c>
      <c r="D34" s="182"/>
      <c r="E34" s="182"/>
      <c r="F34" s="182"/>
      <c r="G34" s="182"/>
      <c r="H34" s="488"/>
      <c r="I34" s="166" t="str">
        <f t="shared" si="1"/>
        <v>-</v>
      </c>
      <c r="J34" s="166" t="str">
        <f t="shared" si="2"/>
        <v>-</v>
      </c>
      <c r="K34" s="180" t="str">
        <f t="shared" si="3"/>
        <v>-</v>
      </c>
      <c r="L34" s="464"/>
      <c r="M34" s="166" t="e">
        <f>RANK(K34, K$7:$K$36)</f>
        <v>#VALUE!</v>
      </c>
      <c r="N34" s="461"/>
      <c r="O34" s="461"/>
      <c r="P34" s="182"/>
      <c r="Q34" s="182"/>
      <c r="R34" s="182"/>
      <c r="S34" s="182" t="e">
        <f t="shared" si="4"/>
        <v>#N/A</v>
      </c>
      <c r="T34" s="455"/>
      <c r="U34" s="182"/>
      <c r="V34" s="182"/>
      <c r="W34" s="182"/>
      <c r="X34" s="182" t="e">
        <f t="shared" si="5"/>
        <v>#N/A</v>
      </c>
      <c r="Y34" s="455"/>
      <c r="Z34" s="182"/>
      <c r="AA34" s="182"/>
      <c r="AB34" s="182"/>
      <c r="AC34" s="182" t="e">
        <f t="shared" si="6"/>
        <v>#N/A</v>
      </c>
      <c r="AD34" s="455"/>
      <c r="AE34" s="182"/>
      <c r="AF34" s="182"/>
      <c r="AG34" s="182"/>
      <c r="AH34" s="182" t="e">
        <f t="shared" si="7"/>
        <v>#N/A</v>
      </c>
      <c r="AI34" s="455"/>
      <c r="AJ34" s="182"/>
      <c r="AK34" s="182"/>
      <c r="AL34" s="182"/>
      <c r="AM34" s="182" t="e">
        <f t="shared" si="8"/>
        <v>#N/A</v>
      </c>
      <c r="AN34" s="455"/>
      <c r="AO34" s="182"/>
      <c r="AP34" s="182"/>
      <c r="AQ34" s="182"/>
      <c r="AR34" s="182" t="e">
        <f t="shared" si="9"/>
        <v>#N/A</v>
      </c>
      <c r="AS34" s="455"/>
      <c r="AT34" s="182"/>
      <c r="AU34" s="182"/>
      <c r="AV34" s="182"/>
      <c r="AW34" s="182" t="e">
        <f t="shared" si="10"/>
        <v>#N/A</v>
      </c>
      <c r="AX34" s="455"/>
      <c r="AZ34" s="166" t="e">
        <f>RANK(AX34, $K$7:AX$36)</f>
        <v>#VALUE!</v>
      </c>
      <c r="BB34" s="182" t="e">
        <f t="shared" si="0"/>
        <v>#N/A</v>
      </c>
    </row>
    <row r="35" spans="2:54">
      <c r="B35" s="454"/>
      <c r="C35" s="182">
        <v>29</v>
      </c>
      <c r="D35" s="182"/>
      <c r="E35" s="182"/>
      <c r="F35" s="182"/>
      <c r="G35" s="182"/>
      <c r="H35" s="488"/>
      <c r="I35" s="166" t="str">
        <f t="shared" si="1"/>
        <v>-</v>
      </c>
      <c r="J35" s="166" t="str">
        <f t="shared" si="2"/>
        <v>-</v>
      </c>
      <c r="K35" s="180" t="str">
        <f t="shared" si="3"/>
        <v>-</v>
      </c>
      <c r="L35" s="464"/>
      <c r="M35" s="166" t="e">
        <f>RANK(K35, K$7:$K$36)</f>
        <v>#VALUE!</v>
      </c>
      <c r="N35" s="461"/>
      <c r="O35" s="461"/>
      <c r="P35" s="182"/>
      <c r="Q35" s="182"/>
      <c r="R35" s="182"/>
      <c r="S35" s="182" t="e">
        <f t="shared" si="4"/>
        <v>#N/A</v>
      </c>
      <c r="T35" s="455"/>
      <c r="U35" s="182"/>
      <c r="V35" s="182"/>
      <c r="W35" s="182"/>
      <c r="X35" s="182" t="e">
        <f t="shared" si="5"/>
        <v>#N/A</v>
      </c>
      <c r="Y35" s="455"/>
      <c r="Z35" s="182"/>
      <c r="AA35" s="182"/>
      <c r="AB35" s="182"/>
      <c r="AC35" s="182" t="e">
        <f t="shared" si="6"/>
        <v>#N/A</v>
      </c>
      <c r="AD35" s="455"/>
      <c r="AE35" s="182"/>
      <c r="AF35" s="182"/>
      <c r="AG35" s="182"/>
      <c r="AH35" s="182" t="e">
        <f t="shared" si="7"/>
        <v>#N/A</v>
      </c>
      <c r="AI35" s="455"/>
      <c r="AJ35" s="182"/>
      <c r="AK35" s="182"/>
      <c r="AL35" s="182"/>
      <c r="AM35" s="182" t="e">
        <f t="shared" si="8"/>
        <v>#N/A</v>
      </c>
      <c r="AN35" s="455"/>
      <c r="AO35" s="182"/>
      <c r="AP35" s="182"/>
      <c r="AQ35" s="182"/>
      <c r="AR35" s="182" t="e">
        <f t="shared" si="9"/>
        <v>#N/A</v>
      </c>
      <c r="AS35" s="455"/>
      <c r="AT35" s="182"/>
      <c r="AU35" s="182"/>
      <c r="AV35" s="182"/>
      <c r="AW35" s="182" t="e">
        <f t="shared" si="10"/>
        <v>#N/A</v>
      </c>
      <c r="AX35" s="455"/>
      <c r="AZ35" s="166" t="e">
        <f>RANK(AX35, $K$7:AX$36)</f>
        <v>#VALUE!</v>
      </c>
      <c r="BB35" s="182" t="e">
        <f t="shared" si="0"/>
        <v>#N/A</v>
      </c>
    </row>
    <row r="36" spans="2:54">
      <c r="B36" s="454"/>
      <c r="C36" s="182">
        <v>30</v>
      </c>
      <c r="D36" s="182"/>
      <c r="E36" s="182"/>
      <c r="F36" s="182"/>
      <c r="G36" s="182"/>
      <c r="H36" s="489"/>
      <c r="I36" s="166" t="str">
        <f t="shared" si="1"/>
        <v>-</v>
      </c>
      <c r="J36" s="166" t="str">
        <f t="shared" si="2"/>
        <v>-</v>
      </c>
      <c r="K36" s="180" t="str">
        <f t="shared" si="3"/>
        <v>-</v>
      </c>
      <c r="L36" s="465"/>
      <c r="M36" s="166" t="e">
        <f>RANK(K36, K$7:$K$36)</f>
        <v>#VALUE!</v>
      </c>
      <c r="N36" s="461"/>
      <c r="O36" s="461"/>
      <c r="P36" s="182"/>
      <c r="Q36" s="182"/>
      <c r="R36" s="182"/>
      <c r="S36" s="182" t="e">
        <f t="shared" si="4"/>
        <v>#N/A</v>
      </c>
      <c r="T36" s="455"/>
      <c r="U36" s="182"/>
      <c r="V36" s="182"/>
      <c r="W36" s="182"/>
      <c r="X36" s="182" t="e">
        <f t="shared" si="5"/>
        <v>#N/A</v>
      </c>
      <c r="Y36" s="455"/>
      <c r="Z36" s="182"/>
      <c r="AA36" s="182"/>
      <c r="AB36" s="182"/>
      <c r="AC36" s="182" t="e">
        <f t="shared" si="6"/>
        <v>#N/A</v>
      </c>
      <c r="AD36" s="455"/>
      <c r="AE36" s="182"/>
      <c r="AF36" s="182"/>
      <c r="AG36" s="182"/>
      <c r="AH36" s="182" t="e">
        <f t="shared" si="7"/>
        <v>#N/A</v>
      </c>
      <c r="AI36" s="455"/>
      <c r="AJ36" s="182"/>
      <c r="AK36" s="182"/>
      <c r="AL36" s="182"/>
      <c r="AM36" s="182" t="e">
        <f t="shared" si="8"/>
        <v>#N/A</v>
      </c>
      <c r="AN36" s="455"/>
      <c r="AO36" s="182"/>
      <c r="AP36" s="182"/>
      <c r="AQ36" s="182"/>
      <c r="AR36" s="182" t="e">
        <f t="shared" si="9"/>
        <v>#N/A</v>
      </c>
      <c r="AS36" s="455"/>
      <c r="AT36" s="182"/>
      <c r="AU36" s="182"/>
      <c r="AV36" s="182"/>
      <c r="AW36" s="182" t="e">
        <f t="shared" si="10"/>
        <v>#N/A</v>
      </c>
      <c r="AX36" s="455"/>
      <c r="AZ36" s="166" t="e">
        <f>RANK(AX36, $K$7:AX$36)</f>
        <v>#VALUE!</v>
      </c>
      <c r="BB36" s="182" t="e">
        <f t="shared" si="0"/>
        <v>#N/A</v>
      </c>
    </row>
    <row r="37" spans="2:54" ht="15.5">
      <c r="B37" s="493" t="s">
        <v>163</v>
      </c>
      <c r="C37" s="494"/>
      <c r="D37" s="494"/>
      <c r="E37" s="494"/>
      <c r="F37" s="494"/>
      <c r="G37" s="494"/>
      <c r="H37" s="494"/>
      <c r="I37" s="183"/>
      <c r="J37" s="183"/>
      <c r="K37" s="183"/>
      <c r="L37" s="183"/>
      <c r="M37" s="178"/>
      <c r="N37" s="480" t="s">
        <v>156</v>
      </c>
      <c r="O37" s="480" t="s">
        <v>155</v>
      </c>
      <c r="P37" s="476">
        <f>P2+7</f>
        <v>46119</v>
      </c>
      <c r="Q37" s="454"/>
      <c r="R37" s="454"/>
      <c r="S37" s="454"/>
      <c r="T37" s="454"/>
      <c r="U37" s="476">
        <f>P37+1</f>
        <v>46120</v>
      </c>
      <c r="V37" s="454"/>
      <c r="W37" s="454"/>
      <c r="X37" s="454"/>
      <c r="Y37" s="454"/>
      <c r="Z37" s="476">
        <f>U37+1</f>
        <v>46121</v>
      </c>
      <c r="AA37" s="454"/>
      <c r="AB37" s="454"/>
      <c r="AC37" s="454"/>
      <c r="AD37" s="454"/>
      <c r="AE37" s="476">
        <f>Z37+1</f>
        <v>46122</v>
      </c>
      <c r="AF37" s="454"/>
      <c r="AG37" s="454"/>
      <c r="AH37" s="454"/>
      <c r="AI37" s="454"/>
      <c r="AJ37" s="476">
        <f>AE37+1</f>
        <v>46123</v>
      </c>
      <c r="AK37" s="454"/>
      <c r="AL37" s="454"/>
      <c r="AM37" s="454"/>
      <c r="AN37" s="454"/>
      <c r="AO37" s="476">
        <f>AJ37+1</f>
        <v>46124</v>
      </c>
      <c r="AP37" s="454"/>
      <c r="AQ37" s="454"/>
      <c r="AR37" s="454"/>
      <c r="AS37" s="454"/>
      <c r="AT37" s="476">
        <f>AO37+1</f>
        <v>46125</v>
      </c>
      <c r="AU37" s="454"/>
      <c r="AV37" s="454"/>
      <c r="AW37" s="454"/>
      <c r="AX37" s="454"/>
    </row>
    <row r="38" spans="2:54" ht="15.5">
      <c r="B38" s="479"/>
      <c r="C38" s="479"/>
      <c r="D38" s="479"/>
      <c r="E38" s="479"/>
      <c r="F38" s="479"/>
      <c r="G38" s="479"/>
      <c r="H38" s="479"/>
      <c r="I38" s="184"/>
      <c r="J38" s="184"/>
      <c r="K38" s="184"/>
      <c r="L38" s="184"/>
      <c r="M38" s="179"/>
      <c r="N38" s="481"/>
      <c r="O38" s="481"/>
      <c r="P38" s="476" t="s">
        <v>336</v>
      </c>
      <c r="Q38" s="454"/>
      <c r="R38" s="454"/>
      <c r="S38" s="454"/>
      <c r="T38" s="454"/>
      <c r="U38" s="476" t="s">
        <v>337</v>
      </c>
      <c r="V38" s="454"/>
      <c r="W38" s="454"/>
      <c r="X38" s="454"/>
      <c r="Y38" s="454"/>
      <c r="Z38" s="476" t="s">
        <v>338</v>
      </c>
      <c r="AA38" s="454"/>
      <c r="AB38" s="454"/>
      <c r="AC38" s="454"/>
      <c r="AD38" s="454"/>
      <c r="AE38" s="476" t="s">
        <v>339</v>
      </c>
      <c r="AF38" s="454"/>
      <c r="AG38" s="454"/>
      <c r="AH38" s="454"/>
      <c r="AI38" s="454"/>
      <c r="AJ38" s="476" t="s">
        <v>340</v>
      </c>
      <c r="AK38" s="454"/>
      <c r="AL38" s="454"/>
      <c r="AM38" s="454"/>
      <c r="AN38" s="454"/>
      <c r="AO38" s="476" t="s">
        <v>341</v>
      </c>
      <c r="AP38" s="454"/>
      <c r="AQ38" s="454"/>
      <c r="AR38" s="454"/>
      <c r="AS38" s="454"/>
      <c r="AT38" s="476" t="s">
        <v>342</v>
      </c>
      <c r="AU38" s="454"/>
      <c r="AV38" s="454"/>
      <c r="AW38" s="454"/>
      <c r="AX38" s="454"/>
    </row>
    <row r="39" spans="2:54">
      <c r="B39" s="480" t="s">
        <v>467</v>
      </c>
      <c r="C39" s="482" t="s">
        <v>468</v>
      </c>
      <c r="D39" s="498"/>
      <c r="E39" s="466" t="s">
        <v>469</v>
      </c>
      <c r="F39" s="467"/>
      <c r="G39" s="468"/>
      <c r="H39" s="480" t="s">
        <v>396</v>
      </c>
      <c r="I39" s="466" t="s">
        <v>401</v>
      </c>
      <c r="J39" s="467"/>
      <c r="K39" s="468"/>
      <c r="L39" s="480" t="s">
        <v>396</v>
      </c>
      <c r="M39" s="480" t="s">
        <v>397</v>
      </c>
      <c r="N39" s="480"/>
      <c r="O39" s="480" t="s">
        <v>470</v>
      </c>
      <c r="P39" s="466" t="s">
        <v>471</v>
      </c>
      <c r="Q39" s="467"/>
      <c r="R39" s="467"/>
      <c r="S39" s="468"/>
      <c r="T39" s="480" t="s">
        <v>396</v>
      </c>
      <c r="U39" s="466" t="s">
        <v>398</v>
      </c>
      <c r="V39" s="467"/>
      <c r="W39" s="467"/>
      <c r="X39" s="468"/>
      <c r="Y39" s="480" t="s">
        <v>396</v>
      </c>
      <c r="Z39" s="466" t="s">
        <v>398</v>
      </c>
      <c r="AA39" s="467"/>
      <c r="AB39" s="467"/>
      <c r="AC39" s="468"/>
      <c r="AD39" s="480" t="s">
        <v>472</v>
      </c>
      <c r="AE39" s="466" t="s">
        <v>398</v>
      </c>
      <c r="AF39" s="467"/>
      <c r="AG39" s="467"/>
      <c r="AH39" s="468"/>
      <c r="AI39" s="480" t="s">
        <v>396</v>
      </c>
      <c r="AJ39" s="466" t="s">
        <v>398</v>
      </c>
      <c r="AK39" s="467"/>
      <c r="AL39" s="467"/>
      <c r="AM39" s="468"/>
      <c r="AN39" s="480" t="s">
        <v>472</v>
      </c>
      <c r="AO39" s="466" t="s">
        <v>471</v>
      </c>
      <c r="AP39" s="467"/>
      <c r="AQ39" s="467"/>
      <c r="AR39" s="468"/>
      <c r="AS39" s="480" t="s">
        <v>472</v>
      </c>
      <c r="AT39" s="466" t="s">
        <v>471</v>
      </c>
      <c r="AU39" s="467"/>
      <c r="AV39" s="467"/>
      <c r="AW39" s="468"/>
      <c r="AX39" s="480" t="s">
        <v>472</v>
      </c>
    </row>
    <row r="40" spans="2:54">
      <c r="B40" s="485"/>
      <c r="C40" s="483"/>
      <c r="D40" s="499"/>
      <c r="E40" s="466" t="s">
        <v>403</v>
      </c>
      <c r="F40" s="467"/>
      <c r="G40" s="468"/>
      <c r="H40" s="485"/>
      <c r="I40" s="466" t="s">
        <v>403</v>
      </c>
      <c r="J40" s="467"/>
      <c r="K40" s="468"/>
      <c r="L40" s="485"/>
      <c r="M40" s="485"/>
      <c r="N40" s="485"/>
      <c r="O40" s="485"/>
      <c r="P40" s="466" t="s">
        <v>404</v>
      </c>
      <c r="Q40" s="467"/>
      <c r="R40" s="467"/>
      <c r="S40" s="468"/>
      <c r="T40" s="485"/>
      <c r="U40" s="466" t="s">
        <v>473</v>
      </c>
      <c r="V40" s="467"/>
      <c r="W40" s="467"/>
      <c r="X40" s="468"/>
      <c r="Y40" s="485"/>
      <c r="Z40" s="466" t="s">
        <v>473</v>
      </c>
      <c r="AA40" s="467"/>
      <c r="AB40" s="467"/>
      <c r="AC40" s="468"/>
      <c r="AD40" s="485"/>
      <c r="AE40" s="466" t="s">
        <v>404</v>
      </c>
      <c r="AF40" s="467"/>
      <c r="AG40" s="467"/>
      <c r="AH40" s="468"/>
      <c r="AI40" s="485"/>
      <c r="AJ40" s="466" t="s">
        <v>404</v>
      </c>
      <c r="AK40" s="467"/>
      <c r="AL40" s="467"/>
      <c r="AM40" s="468"/>
      <c r="AN40" s="485"/>
      <c r="AO40" s="466" t="s">
        <v>404</v>
      </c>
      <c r="AP40" s="467"/>
      <c r="AQ40" s="467"/>
      <c r="AR40" s="468"/>
      <c r="AS40" s="485"/>
      <c r="AT40" s="466" t="s">
        <v>404</v>
      </c>
      <c r="AU40" s="467"/>
      <c r="AV40" s="467"/>
      <c r="AW40" s="468"/>
      <c r="AX40" s="485"/>
    </row>
    <row r="41" spans="2:54">
      <c r="B41" s="481"/>
      <c r="C41" s="484"/>
      <c r="D41" s="500"/>
      <c r="E41" s="269" t="s">
        <v>405</v>
      </c>
      <c r="F41" s="269" t="s">
        <v>406</v>
      </c>
      <c r="G41" s="269" t="s">
        <v>474</v>
      </c>
      <c r="H41" s="481"/>
      <c r="I41" s="269" t="s">
        <v>405</v>
      </c>
      <c r="J41" s="269" t="s">
        <v>406</v>
      </c>
      <c r="K41" s="269" t="s">
        <v>407</v>
      </c>
      <c r="L41" s="481"/>
      <c r="M41" s="481"/>
      <c r="N41" s="485"/>
      <c r="O41" s="485"/>
      <c r="P41" s="269" t="s">
        <v>405</v>
      </c>
      <c r="Q41" s="269" t="s">
        <v>475</v>
      </c>
      <c r="R41" s="269" t="s">
        <v>407</v>
      </c>
      <c r="S41" s="269" t="s">
        <v>397</v>
      </c>
      <c r="T41" s="481"/>
      <c r="U41" s="269" t="s">
        <v>405</v>
      </c>
      <c r="V41" s="269" t="s">
        <v>406</v>
      </c>
      <c r="W41" s="269" t="s">
        <v>407</v>
      </c>
      <c r="X41" s="269" t="s">
        <v>476</v>
      </c>
      <c r="Y41" s="481"/>
      <c r="Z41" s="269" t="s">
        <v>477</v>
      </c>
      <c r="AA41" s="269" t="s">
        <v>406</v>
      </c>
      <c r="AB41" s="269" t="s">
        <v>407</v>
      </c>
      <c r="AC41" s="269" t="s">
        <v>476</v>
      </c>
      <c r="AD41" s="481"/>
      <c r="AE41" s="269" t="s">
        <v>405</v>
      </c>
      <c r="AF41" s="269" t="s">
        <v>406</v>
      </c>
      <c r="AG41" s="269" t="s">
        <v>407</v>
      </c>
      <c r="AH41" s="269" t="s">
        <v>476</v>
      </c>
      <c r="AI41" s="481"/>
      <c r="AJ41" s="269" t="s">
        <v>477</v>
      </c>
      <c r="AK41" s="269" t="s">
        <v>406</v>
      </c>
      <c r="AL41" s="269" t="s">
        <v>407</v>
      </c>
      <c r="AM41" s="269" t="s">
        <v>397</v>
      </c>
      <c r="AN41" s="481"/>
      <c r="AO41" s="269" t="s">
        <v>477</v>
      </c>
      <c r="AP41" s="269" t="s">
        <v>406</v>
      </c>
      <c r="AQ41" s="269" t="s">
        <v>407</v>
      </c>
      <c r="AR41" s="269" t="s">
        <v>476</v>
      </c>
      <c r="AS41" s="481"/>
      <c r="AT41" s="269" t="s">
        <v>477</v>
      </c>
      <c r="AU41" s="269" t="s">
        <v>406</v>
      </c>
      <c r="AV41" s="269" t="s">
        <v>407</v>
      </c>
      <c r="AW41" s="269" t="s">
        <v>476</v>
      </c>
      <c r="AX41" s="481"/>
    </row>
    <row r="42" spans="2:54">
      <c r="B42" s="495" t="s">
        <v>150</v>
      </c>
      <c r="C42" s="182">
        <v>1</v>
      </c>
      <c r="D42" s="182"/>
      <c r="E42" s="182"/>
      <c r="F42" s="182"/>
      <c r="G42" s="166"/>
      <c r="H42" s="487" t="e">
        <f>AVERAGE(G42:G71)</f>
        <v>#DIV/0!</v>
      </c>
      <c r="I42" s="166" t="str">
        <f>IFERROR(AVERAGE(P42,U42,Z42,AE42,AJ42,AO42,AT42),"-")</f>
        <v>-</v>
      </c>
      <c r="J42" s="166" t="str">
        <f>IFERROR(AVERAGE(Q42,V42,AA42,AF42,AK42,AP42,AU42),"-")</f>
        <v>-</v>
      </c>
      <c r="K42" s="180" t="str">
        <f>IFERROR(AVERAGE(R42,W42,AB42,AG42,AL42,AQ42,AV42),"-")</f>
        <v>-</v>
      </c>
      <c r="L42" s="463" t="str">
        <f>IFERROR(AVERAGE(K42:K71),"-")</f>
        <v>-</v>
      </c>
      <c r="M42" s="166" t="e">
        <f>RANK(K42, K$42:$K$71)</f>
        <v>#VALUE!</v>
      </c>
      <c r="N42" s="485"/>
      <c r="O42" s="485"/>
      <c r="P42" s="166"/>
      <c r="Q42" s="166"/>
      <c r="R42" s="166"/>
      <c r="S42" s="182" t="e">
        <f t="shared" ref="S42:S71" si="11">RANK(R42, R$42:R$71)</f>
        <v>#N/A</v>
      </c>
      <c r="T42" s="487" t="e">
        <f>AVERAGE(R42:R71)</f>
        <v>#DIV/0!</v>
      </c>
      <c r="U42" s="166"/>
      <c r="V42" s="166"/>
      <c r="W42" s="166"/>
      <c r="X42" s="182" t="e">
        <f t="shared" ref="X42:X71" si="12">RANK(W42, W$42:W$71)</f>
        <v>#N/A</v>
      </c>
      <c r="Y42" s="487" t="e">
        <f t="shared" ref="Y42" si="13">AVERAGE(W42:W71)</f>
        <v>#DIV/0!</v>
      </c>
      <c r="Z42" s="166"/>
      <c r="AA42" s="166"/>
      <c r="AB42" s="166"/>
      <c r="AC42" s="182" t="e">
        <f t="shared" ref="AC42:AC71" si="14">RANK(AB42, AB$42:AB$71)</f>
        <v>#N/A</v>
      </c>
      <c r="AD42" s="487" t="e">
        <f t="shared" ref="AD42" si="15">AVERAGE(AB42:AB71)</f>
        <v>#DIV/0!</v>
      </c>
      <c r="AE42" s="166"/>
      <c r="AF42" s="166"/>
      <c r="AG42" s="166"/>
      <c r="AH42" s="182" t="e">
        <f t="shared" ref="AH42:AH71" si="16">RANK(AG42, AG$42:AG$71)</f>
        <v>#N/A</v>
      </c>
      <c r="AI42" s="487" t="e">
        <f t="shared" ref="AI42" si="17">AVERAGE(AG42:AG71)</f>
        <v>#DIV/0!</v>
      </c>
      <c r="AJ42" s="166"/>
      <c r="AK42" s="166"/>
      <c r="AL42" s="166"/>
      <c r="AM42" s="182" t="e">
        <f t="shared" ref="AM42:AM71" si="18">RANK(AL42, AL$42:AL$71)</f>
        <v>#N/A</v>
      </c>
      <c r="AN42" s="487" t="e">
        <f t="shared" ref="AN42" si="19">AVERAGE(AL42:AL71)</f>
        <v>#DIV/0!</v>
      </c>
      <c r="AO42" s="166"/>
      <c r="AP42" s="166"/>
      <c r="AQ42" s="166"/>
      <c r="AR42" s="182" t="e">
        <f t="shared" ref="AR42:AR71" si="20">RANK(AQ42, AQ$42:AQ$71)</f>
        <v>#N/A</v>
      </c>
      <c r="AS42" s="487" t="e">
        <f t="shared" ref="AS42" si="21">AVERAGE(AQ42:AQ71)</f>
        <v>#DIV/0!</v>
      </c>
      <c r="AT42" s="166"/>
      <c r="AU42" s="166"/>
      <c r="AV42" s="166"/>
      <c r="AW42" s="182" t="e">
        <f t="shared" ref="AW42:AW71" si="22">RANK(AV42, AV$42:AV$71)</f>
        <v>#N/A</v>
      </c>
      <c r="AX42" s="487" t="e">
        <f t="shared" ref="AX42" si="23">AVERAGE(AV42:AV71)</f>
        <v>#DIV/0!</v>
      </c>
    </row>
    <row r="43" spans="2:54">
      <c r="B43" s="496"/>
      <c r="C43" s="182">
        <v>2</v>
      </c>
      <c r="D43" s="269"/>
      <c r="E43" s="182"/>
      <c r="F43" s="182"/>
      <c r="G43" s="166"/>
      <c r="H43" s="488"/>
      <c r="I43" s="166" t="str">
        <f t="shared" ref="I43:I71" si="24">IFERROR(AVERAGE(P43,U43,Z43,AE43,AJ43,AO43,AT43),"-")</f>
        <v>-</v>
      </c>
      <c r="J43" s="166" t="str">
        <f t="shared" ref="J43:J71" si="25">IFERROR(AVERAGE(Q43,V43,AA43,AF43,AK43,AP43,AU43),"-")</f>
        <v>-</v>
      </c>
      <c r="K43" s="180" t="str">
        <f t="shared" ref="K43:K71" si="26">IFERROR(AVERAGE(R43,W43,AB43,AG43,AL43,AQ43,AV43),"-")</f>
        <v>-</v>
      </c>
      <c r="L43" s="464"/>
      <c r="M43" s="166" t="e">
        <f>RANK(K43, K$42:$K$71)</f>
        <v>#VALUE!</v>
      </c>
      <c r="N43" s="485"/>
      <c r="O43" s="485"/>
      <c r="P43" s="166"/>
      <c r="Q43" s="166"/>
      <c r="R43" s="166"/>
      <c r="S43" s="182" t="e">
        <f t="shared" si="11"/>
        <v>#N/A</v>
      </c>
      <c r="T43" s="488"/>
      <c r="U43" s="166"/>
      <c r="V43" s="166"/>
      <c r="W43" s="166"/>
      <c r="X43" s="182" t="e">
        <f t="shared" si="12"/>
        <v>#N/A</v>
      </c>
      <c r="Y43" s="488"/>
      <c r="Z43" s="166"/>
      <c r="AA43" s="166"/>
      <c r="AB43" s="166"/>
      <c r="AC43" s="182" t="e">
        <f t="shared" si="14"/>
        <v>#N/A</v>
      </c>
      <c r="AD43" s="488"/>
      <c r="AE43" s="166"/>
      <c r="AF43" s="166"/>
      <c r="AG43" s="166"/>
      <c r="AH43" s="182" t="e">
        <f t="shared" si="16"/>
        <v>#N/A</v>
      </c>
      <c r="AI43" s="488"/>
      <c r="AJ43" s="166"/>
      <c r="AK43" s="166"/>
      <c r="AL43" s="166"/>
      <c r="AM43" s="182" t="e">
        <f t="shared" si="18"/>
        <v>#N/A</v>
      </c>
      <c r="AN43" s="488"/>
      <c r="AO43" s="166"/>
      <c r="AP43" s="166"/>
      <c r="AQ43" s="166"/>
      <c r="AR43" s="182" t="e">
        <f t="shared" si="20"/>
        <v>#N/A</v>
      </c>
      <c r="AS43" s="488"/>
      <c r="AT43" s="166"/>
      <c r="AU43" s="166"/>
      <c r="AV43" s="166"/>
      <c r="AW43" s="182" t="e">
        <f t="shared" si="22"/>
        <v>#N/A</v>
      </c>
      <c r="AX43" s="488"/>
    </row>
    <row r="44" spans="2:54">
      <c r="B44" s="496"/>
      <c r="C44" s="182">
        <v>3</v>
      </c>
      <c r="D44" s="182"/>
      <c r="E44" s="182"/>
      <c r="F44" s="182"/>
      <c r="G44" s="166"/>
      <c r="H44" s="488"/>
      <c r="I44" s="166" t="str">
        <f t="shared" si="24"/>
        <v>-</v>
      </c>
      <c r="J44" s="166" t="str">
        <f t="shared" si="25"/>
        <v>-</v>
      </c>
      <c r="K44" s="180" t="str">
        <f t="shared" si="26"/>
        <v>-</v>
      </c>
      <c r="L44" s="464"/>
      <c r="M44" s="166" t="e">
        <f>RANK(K44, K$42:$K$71)</f>
        <v>#VALUE!</v>
      </c>
      <c r="N44" s="485"/>
      <c r="O44" s="485"/>
      <c r="P44" s="166"/>
      <c r="Q44" s="166"/>
      <c r="R44" s="166"/>
      <c r="S44" s="182" t="e">
        <f t="shared" si="11"/>
        <v>#N/A</v>
      </c>
      <c r="T44" s="488"/>
      <c r="U44" s="166"/>
      <c r="V44" s="166"/>
      <c r="W44" s="166"/>
      <c r="X44" s="182" t="e">
        <f t="shared" si="12"/>
        <v>#N/A</v>
      </c>
      <c r="Y44" s="488"/>
      <c r="Z44" s="166"/>
      <c r="AA44" s="166"/>
      <c r="AB44" s="166"/>
      <c r="AC44" s="182" t="e">
        <f t="shared" si="14"/>
        <v>#N/A</v>
      </c>
      <c r="AD44" s="488"/>
      <c r="AE44" s="166"/>
      <c r="AF44" s="166"/>
      <c r="AG44" s="166"/>
      <c r="AH44" s="182" t="e">
        <f t="shared" si="16"/>
        <v>#N/A</v>
      </c>
      <c r="AI44" s="488"/>
      <c r="AJ44" s="166"/>
      <c r="AK44" s="166"/>
      <c r="AL44" s="166"/>
      <c r="AM44" s="182" t="e">
        <f t="shared" si="18"/>
        <v>#N/A</v>
      </c>
      <c r="AN44" s="488"/>
      <c r="AO44" s="166"/>
      <c r="AP44" s="166"/>
      <c r="AQ44" s="166"/>
      <c r="AR44" s="182" t="e">
        <f t="shared" si="20"/>
        <v>#N/A</v>
      </c>
      <c r="AS44" s="488"/>
      <c r="AT44" s="166"/>
      <c r="AU44" s="166"/>
      <c r="AV44" s="166"/>
      <c r="AW44" s="182" t="e">
        <f t="shared" si="22"/>
        <v>#N/A</v>
      </c>
      <c r="AX44" s="488"/>
    </row>
    <row r="45" spans="2:54">
      <c r="B45" s="496"/>
      <c r="C45" s="182">
        <v>4</v>
      </c>
      <c r="D45" s="182"/>
      <c r="E45" s="182"/>
      <c r="F45" s="182"/>
      <c r="G45" s="166"/>
      <c r="H45" s="488"/>
      <c r="I45" s="166" t="str">
        <f t="shared" si="24"/>
        <v>-</v>
      </c>
      <c r="J45" s="166" t="str">
        <f t="shared" si="25"/>
        <v>-</v>
      </c>
      <c r="K45" s="180" t="str">
        <f t="shared" si="26"/>
        <v>-</v>
      </c>
      <c r="L45" s="464"/>
      <c r="M45" s="166" t="e">
        <f>RANK(K45, K$42:$K$71)</f>
        <v>#VALUE!</v>
      </c>
      <c r="N45" s="485"/>
      <c r="O45" s="485"/>
      <c r="P45" s="166"/>
      <c r="Q45" s="166"/>
      <c r="R45" s="166"/>
      <c r="S45" s="182" t="e">
        <f t="shared" si="11"/>
        <v>#N/A</v>
      </c>
      <c r="T45" s="488"/>
      <c r="U45" s="166"/>
      <c r="V45" s="166"/>
      <c r="W45" s="166"/>
      <c r="X45" s="182" t="e">
        <f t="shared" si="12"/>
        <v>#N/A</v>
      </c>
      <c r="Y45" s="488"/>
      <c r="Z45" s="166"/>
      <c r="AA45" s="166"/>
      <c r="AB45" s="166"/>
      <c r="AC45" s="182" t="e">
        <f t="shared" si="14"/>
        <v>#N/A</v>
      </c>
      <c r="AD45" s="488"/>
      <c r="AE45" s="166"/>
      <c r="AF45" s="166"/>
      <c r="AG45" s="166"/>
      <c r="AH45" s="182" t="e">
        <f t="shared" si="16"/>
        <v>#N/A</v>
      </c>
      <c r="AI45" s="488"/>
      <c r="AJ45" s="166"/>
      <c r="AK45" s="166"/>
      <c r="AL45" s="166"/>
      <c r="AM45" s="182" t="e">
        <f t="shared" si="18"/>
        <v>#N/A</v>
      </c>
      <c r="AN45" s="488"/>
      <c r="AO45" s="166"/>
      <c r="AP45" s="166"/>
      <c r="AQ45" s="166"/>
      <c r="AR45" s="182" t="e">
        <f t="shared" si="20"/>
        <v>#N/A</v>
      </c>
      <c r="AS45" s="488"/>
      <c r="AT45" s="166"/>
      <c r="AU45" s="166"/>
      <c r="AV45" s="166"/>
      <c r="AW45" s="182" t="e">
        <f t="shared" si="22"/>
        <v>#N/A</v>
      </c>
      <c r="AX45" s="488"/>
    </row>
    <row r="46" spans="2:54">
      <c r="B46" s="496"/>
      <c r="C46" s="182">
        <v>5</v>
      </c>
      <c r="D46" s="182"/>
      <c r="E46" s="182"/>
      <c r="F46" s="182"/>
      <c r="G46" s="166"/>
      <c r="H46" s="488"/>
      <c r="I46" s="166" t="str">
        <f t="shared" si="24"/>
        <v>-</v>
      </c>
      <c r="J46" s="166" t="str">
        <f t="shared" si="25"/>
        <v>-</v>
      </c>
      <c r="K46" s="180" t="str">
        <f t="shared" si="26"/>
        <v>-</v>
      </c>
      <c r="L46" s="464"/>
      <c r="M46" s="166" t="e">
        <f>RANK(K46, K$42:$K$71)</f>
        <v>#VALUE!</v>
      </c>
      <c r="N46" s="485"/>
      <c r="O46" s="485"/>
      <c r="P46" s="166"/>
      <c r="Q46" s="166"/>
      <c r="R46" s="166"/>
      <c r="S46" s="182" t="e">
        <f t="shared" si="11"/>
        <v>#N/A</v>
      </c>
      <c r="T46" s="488"/>
      <c r="U46" s="166"/>
      <c r="V46" s="166"/>
      <c r="W46" s="166"/>
      <c r="X46" s="182" t="e">
        <f t="shared" si="12"/>
        <v>#N/A</v>
      </c>
      <c r="Y46" s="488"/>
      <c r="Z46" s="166"/>
      <c r="AA46" s="166"/>
      <c r="AB46" s="166"/>
      <c r="AC46" s="182" t="e">
        <f t="shared" si="14"/>
        <v>#N/A</v>
      </c>
      <c r="AD46" s="488"/>
      <c r="AE46" s="166"/>
      <c r="AF46" s="166"/>
      <c r="AG46" s="166"/>
      <c r="AH46" s="182" t="e">
        <f t="shared" si="16"/>
        <v>#N/A</v>
      </c>
      <c r="AI46" s="488"/>
      <c r="AJ46" s="166"/>
      <c r="AK46" s="166"/>
      <c r="AL46" s="166"/>
      <c r="AM46" s="182" t="e">
        <f t="shared" si="18"/>
        <v>#N/A</v>
      </c>
      <c r="AN46" s="488"/>
      <c r="AO46" s="166"/>
      <c r="AP46" s="166"/>
      <c r="AQ46" s="166"/>
      <c r="AR46" s="182" t="e">
        <f t="shared" si="20"/>
        <v>#N/A</v>
      </c>
      <c r="AS46" s="488"/>
      <c r="AT46" s="166"/>
      <c r="AU46" s="166"/>
      <c r="AV46" s="166"/>
      <c r="AW46" s="182" t="e">
        <f t="shared" si="22"/>
        <v>#N/A</v>
      </c>
      <c r="AX46" s="488"/>
    </row>
    <row r="47" spans="2:54">
      <c r="B47" s="496"/>
      <c r="C47" s="182">
        <v>6</v>
      </c>
      <c r="D47" s="182"/>
      <c r="E47" s="182"/>
      <c r="F47" s="182"/>
      <c r="G47" s="166"/>
      <c r="H47" s="488"/>
      <c r="I47" s="166" t="str">
        <f t="shared" si="24"/>
        <v>-</v>
      </c>
      <c r="J47" s="166" t="str">
        <f t="shared" si="25"/>
        <v>-</v>
      </c>
      <c r="K47" s="180" t="str">
        <f t="shared" si="26"/>
        <v>-</v>
      </c>
      <c r="L47" s="464"/>
      <c r="M47" s="166" t="e">
        <f>RANK(K47, K$42:$K$71)</f>
        <v>#VALUE!</v>
      </c>
      <c r="N47" s="485"/>
      <c r="O47" s="485"/>
      <c r="P47" s="166"/>
      <c r="Q47" s="166"/>
      <c r="R47" s="166"/>
      <c r="S47" s="182" t="e">
        <f t="shared" si="11"/>
        <v>#N/A</v>
      </c>
      <c r="T47" s="488"/>
      <c r="U47" s="166"/>
      <c r="V47" s="166"/>
      <c r="W47" s="166"/>
      <c r="X47" s="182" t="e">
        <f t="shared" si="12"/>
        <v>#N/A</v>
      </c>
      <c r="Y47" s="488"/>
      <c r="Z47" s="166"/>
      <c r="AA47" s="166"/>
      <c r="AB47" s="166"/>
      <c r="AC47" s="182" t="e">
        <f t="shared" si="14"/>
        <v>#N/A</v>
      </c>
      <c r="AD47" s="488"/>
      <c r="AE47" s="166"/>
      <c r="AF47" s="166"/>
      <c r="AG47" s="166"/>
      <c r="AH47" s="182" t="e">
        <f t="shared" si="16"/>
        <v>#N/A</v>
      </c>
      <c r="AI47" s="488"/>
      <c r="AJ47" s="166"/>
      <c r="AK47" s="166"/>
      <c r="AL47" s="166"/>
      <c r="AM47" s="182" t="e">
        <f t="shared" si="18"/>
        <v>#N/A</v>
      </c>
      <c r="AN47" s="488"/>
      <c r="AO47" s="166"/>
      <c r="AP47" s="166"/>
      <c r="AQ47" s="166"/>
      <c r="AR47" s="182" t="e">
        <f t="shared" si="20"/>
        <v>#N/A</v>
      </c>
      <c r="AS47" s="488"/>
      <c r="AT47" s="166"/>
      <c r="AU47" s="166"/>
      <c r="AV47" s="166"/>
      <c r="AW47" s="182" t="e">
        <f t="shared" si="22"/>
        <v>#N/A</v>
      </c>
      <c r="AX47" s="488"/>
    </row>
    <row r="48" spans="2:54">
      <c r="B48" s="496"/>
      <c r="C48" s="182">
        <v>7</v>
      </c>
      <c r="D48" s="182"/>
      <c r="E48" s="182"/>
      <c r="F48" s="182"/>
      <c r="G48" s="166"/>
      <c r="H48" s="488"/>
      <c r="I48" s="166" t="str">
        <f t="shared" si="24"/>
        <v>-</v>
      </c>
      <c r="J48" s="166" t="str">
        <f t="shared" si="25"/>
        <v>-</v>
      </c>
      <c r="K48" s="180" t="str">
        <f t="shared" si="26"/>
        <v>-</v>
      </c>
      <c r="L48" s="464"/>
      <c r="M48" s="166" t="e">
        <f>RANK(K48, K$42:$K$71)</f>
        <v>#VALUE!</v>
      </c>
      <c r="N48" s="485"/>
      <c r="O48" s="485"/>
      <c r="P48" s="166"/>
      <c r="Q48" s="166"/>
      <c r="R48" s="166"/>
      <c r="S48" s="182" t="e">
        <f t="shared" si="11"/>
        <v>#N/A</v>
      </c>
      <c r="T48" s="488"/>
      <c r="U48" s="166"/>
      <c r="V48" s="166"/>
      <c r="W48" s="166"/>
      <c r="X48" s="182" t="e">
        <f t="shared" si="12"/>
        <v>#N/A</v>
      </c>
      <c r="Y48" s="488"/>
      <c r="Z48" s="166"/>
      <c r="AA48" s="166"/>
      <c r="AB48" s="166"/>
      <c r="AC48" s="182" t="e">
        <f t="shared" si="14"/>
        <v>#N/A</v>
      </c>
      <c r="AD48" s="488"/>
      <c r="AE48" s="166"/>
      <c r="AF48" s="166"/>
      <c r="AG48" s="166"/>
      <c r="AH48" s="182" t="e">
        <f t="shared" si="16"/>
        <v>#N/A</v>
      </c>
      <c r="AI48" s="488"/>
      <c r="AJ48" s="166"/>
      <c r="AK48" s="166"/>
      <c r="AL48" s="166"/>
      <c r="AM48" s="182" t="e">
        <f t="shared" si="18"/>
        <v>#N/A</v>
      </c>
      <c r="AN48" s="488"/>
      <c r="AO48" s="166"/>
      <c r="AP48" s="166"/>
      <c r="AQ48" s="166"/>
      <c r="AR48" s="182" t="e">
        <f t="shared" si="20"/>
        <v>#N/A</v>
      </c>
      <c r="AS48" s="488"/>
      <c r="AT48" s="166"/>
      <c r="AU48" s="166"/>
      <c r="AV48" s="166"/>
      <c r="AW48" s="182" t="e">
        <f t="shared" si="22"/>
        <v>#N/A</v>
      </c>
      <c r="AX48" s="488"/>
    </row>
    <row r="49" spans="2:50">
      <c r="B49" s="496"/>
      <c r="C49" s="182">
        <v>8</v>
      </c>
      <c r="D49" s="182"/>
      <c r="E49" s="182"/>
      <c r="F49" s="182"/>
      <c r="G49" s="166"/>
      <c r="H49" s="488"/>
      <c r="I49" s="166" t="str">
        <f t="shared" si="24"/>
        <v>-</v>
      </c>
      <c r="J49" s="166" t="str">
        <f t="shared" si="25"/>
        <v>-</v>
      </c>
      <c r="K49" s="180" t="str">
        <f t="shared" si="26"/>
        <v>-</v>
      </c>
      <c r="L49" s="464"/>
      <c r="M49" s="166" t="e">
        <f>RANK(K49, K$42:$K$71)</f>
        <v>#VALUE!</v>
      </c>
      <c r="N49" s="485"/>
      <c r="O49" s="485"/>
      <c r="P49" s="166"/>
      <c r="Q49" s="166"/>
      <c r="R49" s="166"/>
      <c r="S49" s="182" t="e">
        <f t="shared" si="11"/>
        <v>#N/A</v>
      </c>
      <c r="T49" s="488"/>
      <c r="U49" s="166"/>
      <c r="V49" s="166"/>
      <c r="W49" s="166"/>
      <c r="X49" s="182" t="e">
        <f t="shared" si="12"/>
        <v>#N/A</v>
      </c>
      <c r="Y49" s="488"/>
      <c r="Z49" s="166"/>
      <c r="AA49" s="166"/>
      <c r="AB49" s="166"/>
      <c r="AC49" s="182" t="e">
        <f t="shared" si="14"/>
        <v>#N/A</v>
      </c>
      <c r="AD49" s="488"/>
      <c r="AE49" s="166"/>
      <c r="AF49" s="166"/>
      <c r="AG49" s="166"/>
      <c r="AH49" s="182" t="e">
        <f t="shared" si="16"/>
        <v>#N/A</v>
      </c>
      <c r="AI49" s="488"/>
      <c r="AJ49" s="166"/>
      <c r="AK49" s="166"/>
      <c r="AL49" s="166"/>
      <c r="AM49" s="182" t="e">
        <f t="shared" si="18"/>
        <v>#N/A</v>
      </c>
      <c r="AN49" s="488"/>
      <c r="AO49" s="166"/>
      <c r="AP49" s="166"/>
      <c r="AQ49" s="166"/>
      <c r="AR49" s="182" t="e">
        <f t="shared" si="20"/>
        <v>#N/A</v>
      </c>
      <c r="AS49" s="488"/>
      <c r="AT49" s="166"/>
      <c r="AU49" s="166"/>
      <c r="AV49" s="166"/>
      <c r="AW49" s="182" t="e">
        <f t="shared" si="22"/>
        <v>#N/A</v>
      </c>
      <c r="AX49" s="488"/>
    </row>
    <row r="50" spans="2:50">
      <c r="B50" s="496"/>
      <c r="C50" s="182">
        <v>9</v>
      </c>
      <c r="D50" s="182"/>
      <c r="E50" s="182"/>
      <c r="F50" s="182"/>
      <c r="G50" s="166"/>
      <c r="H50" s="488"/>
      <c r="I50" s="166" t="str">
        <f t="shared" si="24"/>
        <v>-</v>
      </c>
      <c r="J50" s="166" t="str">
        <f t="shared" si="25"/>
        <v>-</v>
      </c>
      <c r="K50" s="180" t="str">
        <f t="shared" si="26"/>
        <v>-</v>
      </c>
      <c r="L50" s="464"/>
      <c r="M50" s="166" t="e">
        <f>RANK(K50, K$42:$K$71)</f>
        <v>#VALUE!</v>
      </c>
      <c r="N50" s="485"/>
      <c r="O50" s="485"/>
      <c r="P50" s="166"/>
      <c r="Q50" s="166"/>
      <c r="R50" s="166"/>
      <c r="S50" s="182" t="e">
        <f t="shared" si="11"/>
        <v>#N/A</v>
      </c>
      <c r="T50" s="488"/>
      <c r="U50" s="166"/>
      <c r="V50" s="166"/>
      <c r="W50" s="166"/>
      <c r="X50" s="182" t="e">
        <f t="shared" si="12"/>
        <v>#N/A</v>
      </c>
      <c r="Y50" s="488"/>
      <c r="Z50" s="166"/>
      <c r="AA50" s="166"/>
      <c r="AB50" s="166"/>
      <c r="AC50" s="182" t="e">
        <f t="shared" si="14"/>
        <v>#N/A</v>
      </c>
      <c r="AD50" s="488"/>
      <c r="AE50" s="166"/>
      <c r="AF50" s="166"/>
      <c r="AG50" s="166"/>
      <c r="AH50" s="182" t="e">
        <f t="shared" si="16"/>
        <v>#N/A</v>
      </c>
      <c r="AI50" s="488"/>
      <c r="AJ50" s="166"/>
      <c r="AK50" s="166"/>
      <c r="AL50" s="166"/>
      <c r="AM50" s="182" t="e">
        <f t="shared" si="18"/>
        <v>#N/A</v>
      </c>
      <c r="AN50" s="488"/>
      <c r="AO50" s="166"/>
      <c r="AP50" s="166"/>
      <c r="AQ50" s="166"/>
      <c r="AR50" s="182" t="e">
        <f t="shared" si="20"/>
        <v>#N/A</v>
      </c>
      <c r="AS50" s="488"/>
      <c r="AT50" s="166"/>
      <c r="AU50" s="166"/>
      <c r="AV50" s="166"/>
      <c r="AW50" s="182" t="e">
        <f t="shared" si="22"/>
        <v>#N/A</v>
      </c>
      <c r="AX50" s="488"/>
    </row>
    <row r="51" spans="2:50">
      <c r="B51" s="496"/>
      <c r="C51" s="182">
        <v>10</v>
      </c>
      <c r="D51" s="182"/>
      <c r="E51" s="182"/>
      <c r="F51" s="182"/>
      <c r="G51" s="166"/>
      <c r="H51" s="488"/>
      <c r="I51" s="166" t="str">
        <f t="shared" si="24"/>
        <v>-</v>
      </c>
      <c r="J51" s="166" t="str">
        <f t="shared" si="25"/>
        <v>-</v>
      </c>
      <c r="K51" s="180" t="str">
        <f t="shared" si="26"/>
        <v>-</v>
      </c>
      <c r="L51" s="464"/>
      <c r="M51" s="166" t="e">
        <f>RANK(K51, K$42:$K$71)</f>
        <v>#VALUE!</v>
      </c>
      <c r="N51" s="485"/>
      <c r="O51" s="485"/>
      <c r="P51" s="166"/>
      <c r="Q51" s="166"/>
      <c r="R51" s="166"/>
      <c r="S51" s="182" t="e">
        <f t="shared" si="11"/>
        <v>#N/A</v>
      </c>
      <c r="T51" s="488"/>
      <c r="U51" s="166"/>
      <c r="V51" s="166"/>
      <c r="W51" s="166"/>
      <c r="X51" s="182" t="e">
        <f t="shared" si="12"/>
        <v>#N/A</v>
      </c>
      <c r="Y51" s="488"/>
      <c r="Z51" s="166"/>
      <c r="AA51" s="166"/>
      <c r="AB51" s="166"/>
      <c r="AC51" s="182" t="e">
        <f t="shared" si="14"/>
        <v>#N/A</v>
      </c>
      <c r="AD51" s="488"/>
      <c r="AE51" s="166"/>
      <c r="AF51" s="166"/>
      <c r="AG51" s="166"/>
      <c r="AH51" s="182" t="e">
        <f t="shared" si="16"/>
        <v>#N/A</v>
      </c>
      <c r="AI51" s="488"/>
      <c r="AJ51" s="166"/>
      <c r="AK51" s="166"/>
      <c r="AL51" s="166"/>
      <c r="AM51" s="182" t="e">
        <f t="shared" si="18"/>
        <v>#N/A</v>
      </c>
      <c r="AN51" s="488"/>
      <c r="AO51" s="166"/>
      <c r="AP51" s="166"/>
      <c r="AQ51" s="166"/>
      <c r="AR51" s="182" t="e">
        <f t="shared" si="20"/>
        <v>#N/A</v>
      </c>
      <c r="AS51" s="488"/>
      <c r="AT51" s="166"/>
      <c r="AU51" s="166"/>
      <c r="AV51" s="166"/>
      <c r="AW51" s="182" t="e">
        <f t="shared" si="22"/>
        <v>#N/A</v>
      </c>
      <c r="AX51" s="488"/>
    </row>
    <row r="52" spans="2:50">
      <c r="B52" s="496"/>
      <c r="C52" s="182">
        <v>11</v>
      </c>
      <c r="D52" s="182"/>
      <c r="E52" s="182"/>
      <c r="F52" s="182"/>
      <c r="G52" s="166"/>
      <c r="H52" s="488"/>
      <c r="I52" s="166" t="str">
        <f t="shared" si="24"/>
        <v>-</v>
      </c>
      <c r="J52" s="166" t="str">
        <f t="shared" si="25"/>
        <v>-</v>
      </c>
      <c r="K52" s="180" t="str">
        <f t="shared" si="26"/>
        <v>-</v>
      </c>
      <c r="L52" s="464"/>
      <c r="M52" s="166" t="e">
        <f>RANK(K52, K$42:$K$71)</f>
        <v>#VALUE!</v>
      </c>
      <c r="N52" s="485"/>
      <c r="O52" s="485"/>
      <c r="P52" s="166"/>
      <c r="Q52" s="166"/>
      <c r="R52" s="166"/>
      <c r="S52" s="182" t="e">
        <f t="shared" si="11"/>
        <v>#N/A</v>
      </c>
      <c r="T52" s="488"/>
      <c r="U52" s="166"/>
      <c r="V52" s="166"/>
      <c r="W52" s="166"/>
      <c r="X52" s="182" t="e">
        <f t="shared" si="12"/>
        <v>#N/A</v>
      </c>
      <c r="Y52" s="488"/>
      <c r="Z52" s="166"/>
      <c r="AA52" s="166"/>
      <c r="AB52" s="166"/>
      <c r="AC52" s="182" t="e">
        <f t="shared" si="14"/>
        <v>#N/A</v>
      </c>
      <c r="AD52" s="488"/>
      <c r="AE52" s="166"/>
      <c r="AF52" s="166"/>
      <c r="AG52" s="166"/>
      <c r="AH52" s="182" t="e">
        <f t="shared" si="16"/>
        <v>#N/A</v>
      </c>
      <c r="AI52" s="488"/>
      <c r="AJ52" s="166"/>
      <c r="AK52" s="166"/>
      <c r="AL52" s="166"/>
      <c r="AM52" s="182" t="e">
        <f t="shared" si="18"/>
        <v>#N/A</v>
      </c>
      <c r="AN52" s="488"/>
      <c r="AO52" s="166"/>
      <c r="AP52" s="166"/>
      <c r="AQ52" s="166"/>
      <c r="AR52" s="182" t="e">
        <f t="shared" si="20"/>
        <v>#N/A</v>
      </c>
      <c r="AS52" s="488"/>
      <c r="AT52" s="166"/>
      <c r="AU52" s="166"/>
      <c r="AV52" s="166"/>
      <c r="AW52" s="182" t="e">
        <f t="shared" si="22"/>
        <v>#N/A</v>
      </c>
      <c r="AX52" s="488"/>
    </row>
    <row r="53" spans="2:50">
      <c r="B53" s="496"/>
      <c r="C53" s="182">
        <v>12</v>
      </c>
      <c r="D53" s="182"/>
      <c r="E53" s="182"/>
      <c r="F53" s="182"/>
      <c r="G53" s="166"/>
      <c r="H53" s="488"/>
      <c r="I53" s="166" t="str">
        <f t="shared" si="24"/>
        <v>-</v>
      </c>
      <c r="J53" s="166" t="str">
        <f t="shared" si="25"/>
        <v>-</v>
      </c>
      <c r="K53" s="180" t="str">
        <f t="shared" si="26"/>
        <v>-</v>
      </c>
      <c r="L53" s="464"/>
      <c r="M53" s="166" t="e">
        <f>RANK(K53, K$42:$K$71)</f>
        <v>#VALUE!</v>
      </c>
      <c r="N53" s="485"/>
      <c r="O53" s="485"/>
      <c r="P53" s="166"/>
      <c r="Q53" s="166"/>
      <c r="R53" s="166"/>
      <c r="S53" s="182" t="e">
        <f t="shared" si="11"/>
        <v>#N/A</v>
      </c>
      <c r="T53" s="488"/>
      <c r="U53" s="166"/>
      <c r="V53" s="166"/>
      <c r="W53" s="166"/>
      <c r="X53" s="182" t="e">
        <f t="shared" si="12"/>
        <v>#N/A</v>
      </c>
      <c r="Y53" s="488"/>
      <c r="Z53" s="166"/>
      <c r="AA53" s="166"/>
      <c r="AB53" s="166"/>
      <c r="AC53" s="182" t="e">
        <f t="shared" si="14"/>
        <v>#N/A</v>
      </c>
      <c r="AD53" s="488"/>
      <c r="AE53" s="166"/>
      <c r="AF53" s="166"/>
      <c r="AG53" s="166"/>
      <c r="AH53" s="182" t="e">
        <f t="shared" si="16"/>
        <v>#N/A</v>
      </c>
      <c r="AI53" s="488"/>
      <c r="AJ53" s="166"/>
      <c r="AK53" s="166"/>
      <c r="AL53" s="166"/>
      <c r="AM53" s="182" t="e">
        <f t="shared" si="18"/>
        <v>#N/A</v>
      </c>
      <c r="AN53" s="488"/>
      <c r="AO53" s="166"/>
      <c r="AP53" s="166"/>
      <c r="AQ53" s="166"/>
      <c r="AR53" s="182" t="e">
        <f t="shared" si="20"/>
        <v>#N/A</v>
      </c>
      <c r="AS53" s="488"/>
      <c r="AT53" s="166"/>
      <c r="AU53" s="166"/>
      <c r="AV53" s="166"/>
      <c r="AW53" s="182" t="e">
        <f t="shared" si="22"/>
        <v>#N/A</v>
      </c>
      <c r="AX53" s="488"/>
    </row>
    <row r="54" spans="2:50">
      <c r="B54" s="496"/>
      <c r="C54" s="182">
        <v>13</v>
      </c>
      <c r="D54" s="182"/>
      <c r="E54" s="182"/>
      <c r="F54" s="182"/>
      <c r="G54" s="166"/>
      <c r="H54" s="488"/>
      <c r="I54" s="166" t="str">
        <f t="shared" si="24"/>
        <v>-</v>
      </c>
      <c r="J54" s="166" t="str">
        <f t="shared" si="25"/>
        <v>-</v>
      </c>
      <c r="K54" s="180" t="str">
        <f t="shared" si="26"/>
        <v>-</v>
      </c>
      <c r="L54" s="464"/>
      <c r="M54" s="166" t="e">
        <f>RANK(K54, K$42:$K$71)</f>
        <v>#VALUE!</v>
      </c>
      <c r="N54" s="485"/>
      <c r="O54" s="485"/>
      <c r="P54" s="166"/>
      <c r="Q54" s="166"/>
      <c r="R54" s="166"/>
      <c r="S54" s="182" t="e">
        <f t="shared" si="11"/>
        <v>#N/A</v>
      </c>
      <c r="T54" s="488"/>
      <c r="U54" s="166"/>
      <c r="V54" s="166"/>
      <c r="W54" s="166"/>
      <c r="X54" s="182" t="e">
        <f t="shared" si="12"/>
        <v>#N/A</v>
      </c>
      <c r="Y54" s="488"/>
      <c r="Z54" s="166"/>
      <c r="AA54" s="166"/>
      <c r="AB54" s="166"/>
      <c r="AC54" s="182" t="e">
        <f t="shared" si="14"/>
        <v>#N/A</v>
      </c>
      <c r="AD54" s="488"/>
      <c r="AE54" s="166"/>
      <c r="AF54" s="166"/>
      <c r="AG54" s="166"/>
      <c r="AH54" s="182" t="e">
        <f t="shared" si="16"/>
        <v>#N/A</v>
      </c>
      <c r="AI54" s="488"/>
      <c r="AJ54" s="166"/>
      <c r="AK54" s="166"/>
      <c r="AL54" s="166"/>
      <c r="AM54" s="182" t="e">
        <f t="shared" si="18"/>
        <v>#N/A</v>
      </c>
      <c r="AN54" s="488"/>
      <c r="AO54" s="166"/>
      <c r="AP54" s="166"/>
      <c r="AQ54" s="166"/>
      <c r="AR54" s="182" t="e">
        <f t="shared" si="20"/>
        <v>#N/A</v>
      </c>
      <c r="AS54" s="488"/>
      <c r="AT54" s="166"/>
      <c r="AU54" s="166"/>
      <c r="AV54" s="166"/>
      <c r="AW54" s="182" t="e">
        <f t="shared" si="22"/>
        <v>#N/A</v>
      </c>
      <c r="AX54" s="488"/>
    </row>
    <row r="55" spans="2:50">
      <c r="B55" s="496"/>
      <c r="C55" s="182">
        <v>14</v>
      </c>
      <c r="D55" s="182"/>
      <c r="E55" s="182"/>
      <c r="F55" s="182"/>
      <c r="G55" s="166"/>
      <c r="H55" s="488"/>
      <c r="I55" s="166" t="str">
        <f t="shared" si="24"/>
        <v>-</v>
      </c>
      <c r="J55" s="166" t="str">
        <f t="shared" si="25"/>
        <v>-</v>
      </c>
      <c r="K55" s="180" t="str">
        <f t="shared" si="26"/>
        <v>-</v>
      </c>
      <c r="L55" s="464"/>
      <c r="M55" s="166" t="e">
        <f>RANK(K55, K$42:$K$71)</f>
        <v>#VALUE!</v>
      </c>
      <c r="N55" s="485"/>
      <c r="O55" s="485"/>
      <c r="P55" s="166"/>
      <c r="Q55" s="166"/>
      <c r="R55" s="166"/>
      <c r="S55" s="182" t="e">
        <f t="shared" si="11"/>
        <v>#N/A</v>
      </c>
      <c r="T55" s="488"/>
      <c r="U55" s="166"/>
      <c r="V55" s="166"/>
      <c r="W55" s="166"/>
      <c r="X55" s="182" t="e">
        <f t="shared" si="12"/>
        <v>#N/A</v>
      </c>
      <c r="Y55" s="488"/>
      <c r="Z55" s="166"/>
      <c r="AA55" s="166"/>
      <c r="AB55" s="166"/>
      <c r="AC55" s="182" t="e">
        <f t="shared" si="14"/>
        <v>#N/A</v>
      </c>
      <c r="AD55" s="488"/>
      <c r="AE55" s="166"/>
      <c r="AF55" s="166"/>
      <c r="AG55" s="166"/>
      <c r="AH55" s="182" t="e">
        <f t="shared" si="16"/>
        <v>#N/A</v>
      </c>
      <c r="AI55" s="488"/>
      <c r="AJ55" s="166"/>
      <c r="AK55" s="166"/>
      <c r="AL55" s="166"/>
      <c r="AM55" s="182" t="e">
        <f t="shared" si="18"/>
        <v>#N/A</v>
      </c>
      <c r="AN55" s="488"/>
      <c r="AO55" s="166"/>
      <c r="AP55" s="166"/>
      <c r="AQ55" s="166"/>
      <c r="AR55" s="182" t="e">
        <f t="shared" si="20"/>
        <v>#N/A</v>
      </c>
      <c r="AS55" s="488"/>
      <c r="AT55" s="166"/>
      <c r="AU55" s="166"/>
      <c r="AV55" s="166"/>
      <c r="AW55" s="182" t="e">
        <f t="shared" si="22"/>
        <v>#N/A</v>
      </c>
      <c r="AX55" s="488"/>
    </row>
    <row r="56" spans="2:50">
      <c r="B56" s="496"/>
      <c r="C56" s="182">
        <v>15</v>
      </c>
      <c r="D56" s="182"/>
      <c r="E56" s="182"/>
      <c r="F56" s="182"/>
      <c r="G56" s="166"/>
      <c r="H56" s="488"/>
      <c r="I56" s="166" t="str">
        <f t="shared" si="24"/>
        <v>-</v>
      </c>
      <c r="J56" s="166" t="str">
        <f t="shared" si="25"/>
        <v>-</v>
      </c>
      <c r="K56" s="180" t="str">
        <f t="shared" si="26"/>
        <v>-</v>
      </c>
      <c r="L56" s="464"/>
      <c r="M56" s="166" t="e">
        <f>RANK(K56, K$42:$K$71)</f>
        <v>#VALUE!</v>
      </c>
      <c r="N56" s="485"/>
      <c r="O56" s="485"/>
      <c r="P56" s="166"/>
      <c r="Q56" s="166"/>
      <c r="R56" s="166"/>
      <c r="S56" s="182" t="e">
        <f t="shared" si="11"/>
        <v>#N/A</v>
      </c>
      <c r="T56" s="488"/>
      <c r="U56" s="166"/>
      <c r="V56" s="166"/>
      <c r="W56" s="166"/>
      <c r="X56" s="182" t="e">
        <f t="shared" si="12"/>
        <v>#N/A</v>
      </c>
      <c r="Y56" s="488"/>
      <c r="Z56" s="166"/>
      <c r="AA56" s="166"/>
      <c r="AB56" s="166"/>
      <c r="AC56" s="182" t="e">
        <f t="shared" si="14"/>
        <v>#N/A</v>
      </c>
      <c r="AD56" s="488"/>
      <c r="AE56" s="166"/>
      <c r="AF56" s="166"/>
      <c r="AG56" s="166"/>
      <c r="AH56" s="182" t="e">
        <f t="shared" si="16"/>
        <v>#N/A</v>
      </c>
      <c r="AI56" s="488"/>
      <c r="AJ56" s="166"/>
      <c r="AK56" s="166"/>
      <c r="AL56" s="166"/>
      <c r="AM56" s="182" t="e">
        <f t="shared" si="18"/>
        <v>#N/A</v>
      </c>
      <c r="AN56" s="488"/>
      <c r="AO56" s="166"/>
      <c r="AP56" s="166"/>
      <c r="AQ56" s="166"/>
      <c r="AR56" s="182" t="e">
        <f t="shared" si="20"/>
        <v>#N/A</v>
      </c>
      <c r="AS56" s="488"/>
      <c r="AT56" s="166"/>
      <c r="AU56" s="166"/>
      <c r="AV56" s="166"/>
      <c r="AW56" s="182" t="e">
        <f t="shared" si="22"/>
        <v>#N/A</v>
      </c>
      <c r="AX56" s="488"/>
    </row>
    <row r="57" spans="2:50">
      <c r="B57" s="496"/>
      <c r="C57" s="182">
        <v>16</v>
      </c>
      <c r="D57" s="182"/>
      <c r="E57" s="182"/>
      <c r="F57" s="182"/>
      <c r="G57" s="166"/>
      <c r="H57" s="488"/>
      <c r="I57" s="166" t="str">
        <f t="shared" si="24"/>
        <v>-</v>
      </c>
      <c r="J57" s="166" t="str">
        <f t="shared" si="25"/>
        <v>-</v>
      </c>
      <c r="K57" s="180" t="str">
        <f t="shared" si="26"/>
        <v>-</v>
      </c>
      <c r="L57" s="464"/>
      <c r="M57" s="166" t="e">
        <f>RANK(K57, K$42:$K$71)</f>
        <v>#VALUE!</v>
      </c>
      <c r="N57" s="485"/>
      <c r="O57" s="485"/>
      <c r="P57" s="166"/>
      <c r="Q57" s="166"/>
      <c r="R57" s="166"/>
      <c r="S57" s="182" t="e">
        <f t="shared" si="11"/>
        <v>#N/A</v>
      </c>
      <c r="T57" s="488"/>
      <c r="U57" s="166"/>
      <c r="V57" s="166"/>
      <c r="W57" s="166"/>
      <c r="X57" s="182" t="e">
        <f t="shared" si="12"/>
        <v>#N/A</v>
      </c>
      <c r="Y57" s="488"/>
      <c r="Z57" s="166"/>
      <c r="AA57" s="166"/>
      <c r="AB57" s="166"/>
      <c r="AC57" s="182" t="e">
        <f t="shared" si="14"/>
        <v>#N/A</v>
      </c>
      <c r="AD57" s="488"/>
      <c r="AE57" s="166"/>
      <c r="AF57" s="166"/>
      <c r="AG57" s="166"/>
      <c r="AH57" s="182" t="e">
        <f t="shared" si="16"/>
        <v>#N/A</v>
      </c>
      <c r="AI57" s="488"/>
      <c r="AJ57" s="166"/>
      <c r="AK57" s="166"/>
      <c r="AL57" s="166"/>
      <c r="AM57" s="182" t="e">
        <f t="shared" si="18"/>
        <v>#N/A</v>
      </c>
      <c r="AN57" s="488"/>
      <c r="AO57" s="166"/>
      <c r="AP57" s="166"/>
      <c r="AQ57" s="166"/>
      <c r="AR57" s="182" t="e">
        <f t="shared" si="20"/>
        <v>#N/A</v>
      </c>
      <c r="AS57" s="488"/>
      <c r="AT57" s="166"/>
      <c r="AU57" s="166"/>
      <c r="AV57" s="166"/>
      <c r="AW57" s="182" t="e">
        <f t="shared" si="22"/>
        <v>#N/A</v>
      </c>
      <c r="AX57" s="488"/>
    </row>
    <row r="58" spans="2:50">
      <c r="B58" s="496"/>
      <c r="C58" s="182">
        <v>17</v>
      </c>
      <c r="D58" s="182"/>
      <c r="E58" s="182"/>
      <c r="F58" s="182"/>
      <c r="G58" s="166"/>
      <c r="H58" s="488"/>
      <c r="I58" s="166" t="str">
        <f t="shared" si="24"/>
        <v>-</v>
      </c>
      <c r="J58" s="166" t="str">
        <f t="shared" si="25"/>
        <v>-</v>
      </c>
      <c r="K58" s="180" t="str">
        <f t="shared" si="26"/>
        <v>-</v>
      </c>
      <c r="L58" s="464"/>
      <c r="M58" s="166" t="e">
        <f>RANK(K58, K$42:$K$71)</f>
        <v>#VALUE!</v>
      </c>
      <c r="N58" s="485"/>
      <c r="O58" s="485"/>
      <c r="P58" s="166"/>
      <c r="Q58" s="166"/>
      <c r="R58" s="166"/>
      <c r="S58" s="182" t="e">
        <f t="shared" si="11"/>
        <v>#N/A</v>
      </c>
      <c r="T58" s="488"/>
      <c r="U58" s="166"/>
      <c r="V58" s="166"/>
      <c r="W58" s="166"/>
      <c r="X58" s="182" t="e">
        <f t="shared" si="12"/>
        <v>#N/A</v>
      </c>
      <c r="Y58" s="488"/>
      <c r="Z58" s="166"/>
      <c r="AA58" s="166"/>
      <c r="AB58" s="166"/>
      <c r="AC58" s="182" t="e">
        <f t="shared" si="14"/>
        <v>#N/A</v>
      </c>
      <c r="AD58" s="488"/>
      <c r="AE58" s="166"/>
      <c r="AF58" s="166"/>
      <c r="AG58" s="166"/>
      <c r="AH58" s="182" t="e">
        <f t="shared" si="16"/>
        <v>#N/A</v>
      </c>
      <c r="AI58" s="488"/>
      <c r="AJ58" s="166"/>
      <c r="AK58" s="166"/>
      <c r="AL58" s="166"/>
      <c r="AM58" s="182" t="e">
        <f t="shared" si="18"/>
        <v>#N/A</v>
      </c>
      <c r="AN58" s="488"/>
      <c r="AO58" s="166"/>
      <c r="AP58" s="166"/>
      <c r="AQ58" s="166"/>
      <c r="AR58" s="182" t="e">
        <f t="shared" si="20"/>
        <v>#N/A</v>
      </c>
      <c r="AS58" s="488"/>
      <c r="AT58" s="166"/>
      <c r="AU58" s="166"/>
      <c r="AV58" s="166"/>
      <c r="AW58" s="182" t="e">
        <f t="shared" si="22"/>
        <v>#N/A</v>
      </c>
      <c r="AX58" s="488"/>
    </row>
    <row r="59" spans="2:50">
      <c r="B59" s="496"/>
      <c r="C59" s="182">
        <v>18</v>
      </c>
      <c r="D59" s="182"/>
      <c r="E59" s="182"/>
      <c r="F59" s="182"/>
      <c r="G59" s="166"/>
      <c r="H59" s="488"/>
      <c r="I59" s="166" t="str">
        <f t="shared" si="24"/>
        <v>-</v>
      </c>
      <c r="J59" s="166" t="str">
        <f t="shared" si="25"/>
        <v>-</v>
      </c>
      <c r="K59" s="180" t="str">
        <f t="shared" si="26"/>
        <v>-</v>
      </c>
      <c r="L59" s="464"/>
      <c r="M59" s="166" t="e">
        <f>RANK(K59, K$42:$K$71)</f>
        <v>#VALUE!</v>
      </c>
      <c r="N59" s="485"/>
      <c r="O59" s="485"/>
      <c r="P59" s="166"/>
      <c r="Q59" s="166"/>
      <c r="R59" s="166"/>
      <c r="S59" s="182" t="e">
        <f t="shared" si="11"/>
        <v>#N/A</v>
      </c>
      <c r="T59" s="488"/>
      <c r="U59" s="166"/>
      <c r="V59" s="166"/>
      <c r="W59" s="166"/>
      <c r="X59" s="182" t="e">
        <f t="shared" si="12"/>
        <v>#N/A</v>
      </c>
      <c r="Y59" s="488"/>
      <c r="Z59" s="166"/>
      <c r="AA59" s="166"/>
      <c r="AB59" s="166"/>
      <c r="AC59" s="182" t="e">
        <f t="shared" si="14"/>
        <v>#N/A</v>
      </c>
      <c r="AD59" s="488"/>
      <c r="AE59" s="166"/>
      <c r="AF59" s="166"/>
      <c r="AG59" s="166"/>
      <c r="AH59" s="182" t="e">
        <f t="shared" si="16"/>
        <v>#N/A</v>
      </c>
      <c r="AI59" s="488"/>
      <c r="AJ59" s="166"/>
      <c r="AK59" s="166"/>
      <c r="AL59" s="166"/>
      <c r="AM59" s="182" t="e">
        <f t="shared" si="18"/>
        <v>#N/A</v>
      </c>
      <c r="AN59" s="488"/>
      <c r="AO59" s="166"/>
      <c r="AP59" s="166"/>
      <c r="AQ59" s="166"/>
      <c r="AR59" s="182" t="e">
        <f t="shared" si="20"/>
        <v>#N/A</v>
      </c>
      <c r="AS59" s="488"/>
      <c r="AT59" s="166"/>
      <c r="AU59" s="166"/>
      <c r="AV59" s="166"/>
      <c r="AW59" s="182" t="e">
        <f t="shared" si="22"/>
        <v>#N/A</v>
      </c>
      <c r="AX59" s="488"/>
    </row>
    <row r="60" spans="2:50">
      <c r="B60" s="496"/>
      <c r="C60" s="182">
        <v>19</v>
      </c>
      <c r="D60" s="182"/>
      <c r="E60" s="182"/>
      <c r="F60" s="182"/>
      <c r="G60" s="166"/>
      <c r="H60" s="488"/>
      <c r="I60" s="166" t="str">
        <f t="shared" si="24"/>
        <v>-</v>
      </c>
      <c r="J60" s="166" t="str">
        <f t="shared" si="25"/>
        <v>-</v>
      </c>
      <c r="K60" s="180" t="str">
        <f t="shared" si="26"/>
        <v>-</v>
      </c>
      <c r="L60" s="464"/>
      <c r="M60" s="166" t="e">
        <f>RANK(K60, K$42:$K$71)</f>
        <v>#VALUE!</v>
      </c>
      <c r="N60" s="485"/>
      <c r="O60" s="485"/>
      <c r="P60" s="166"/>
      <c r="Q60" s="166"/>
      <c r="R60" s="166"/>
      <c r="S60" s="182" t="e">
        <f t="shared" si="11"/>
        <v>#N/A</v>
      </c>
      <c r="T60" s="488"/>
      <c r="U60" s="166"/>
      <c r="V60" s="166"/>
      <c r="W60" s="166"/>
      <c r="X60" s="182" t="e">
        <f t="shared" si="12"/>
        <v>#N/A</v>
      </c>
      <c r="Y60" s="488"/>
      <c r="Z60" s="166"/>
      <c r="AA60" s="166"/>
      <c r="AB60" s="166"/>
      <c r="AC60" s="182" t="e">
        <f t="shared" si="14"/>
        <v>#N/A</v>
      </c>
      <c r="AD60" s="488"/>
      <c r="AE60" s="166"/>
      <c r="AF60" s="166"/>
      <c r="AG60" s="166"/>
      <c r="AH60" s="182" t="e">
        <f t="shared" si="16"/>
        <v>#N/A</v>
      </c>
      <c r="AI60" s="488"/>
      <c r="AJ60" s="166"/>
      <c r="AK60" s="166"/>
      <c r="AL60" s="166"/>
      <c r="AM60" s="182" t="e">
        <f t="shared" si="18"/>
        <v>#N/A</v>
      </c>
      <c r="AN60" s="488"/>
      <c r="AO60" s="166"/>
      <c r="AP60" s="166"/>
      <c r="AQ60" s="166"/>
      <c r="AR60" s="182" t="e">
        <f t="shared" si="20"/>
        <v>#N/A</v>
      </c>
      <c r="AS60" s="488"/>
      <c r="AT60" s="166"/>
      <c r="AU60" s="166"/>
      <c r="AV60" s="166"/>
      <c r="AW60" s="182" t="e">
        <f t="shared" si="22"/>
        <v>#N/A</v>
      </c>
      <c r="AX60" s="488"/>
    </row>
    <row r="61" spans="2:50">
      <c r="B61" s="496"/>
      <c r="C61" s="182">
        <v>20</v>
      </c>
      <c r="D61" s="182"/>
      <c r="E61" s="182"/>
      <c r="F61" s="182"/>
      <c r="G61" s="166"/>
      <c r="H61" s="488"/>
      <c r="I61" s="166" t="str">
        <f t="shared" si="24"/>
        <v>-</v>
      </c>
      <c r="J61" s="166" t="str">
        <f t="shared" si="25"/>
        <v>-</v>
      </c>
      <c r="K61" s="180" t="str">
        <f t="shared" si="26"/>
        <v>-</v>
      </c>
      <c r="L61" s="464"/>
      <c r="M61" s="166" t="e">
        <f>RANK(K61, K$42:$K$71)</f>
        <v>#VALUE!</v>
      </c>
      <c r="N61" s="485"/>
      <c r="O61" s="485"/>
      <c r="P61" s="166"/>
      <c r="Q61" s="166"/>
      <c r="R61" s="166"/>
      <c r="S61" s="182" t="e">
        <f t="shared" si="11"/>
        <v>#N/A</v>
      </c>
      <c r="T61" s="488"/>
      <c r="U61" s="166"/>
      <c r="V61" s="166"/>
      <c r="W61" s="166"/>
      <c r="X61" s="182" t="e">
        <f t="shared" si="12"/>
        <v>#N/A</v>
      </c>
      <c r="Y61" s="488"/>
      <c r="Z61" s="166"/>
      <c r="AA61" s="166"/>
      <c r="AB61" s="166"/>
      <c r="AC61" s="182" t="e">
        <f t="shared" si="14"/>
        <v>#N/A</v>
      </c>
      <c r="AD61" s="488"/>
      <c r="AE61" s="166"/>
      <c r="AF61" s="166"/>
      <c r="AG61" s="166"/>
      <c r="AH61" s="182" t="e">
        <f t="shared" si="16"/>
        <v>#N/A</v>
      </c>
      <c r="AI61" s="488"/>
      <c r="AJ61" s="166"/>
      <c r="AK61" s="166"/>
      <c r="AL61" s="166"/>
      <c r="AM61" s="182" t="e">
        <f t="shared" si="18"/>
        <v>#N/A</v>
      </c>
      <c r="AN61" s="488"/>
      <c r="AO61" s="166"/>
      <c r="AP61" s="166"/>
      <c r="AQ61" s="166"/>
      <c r="AR61" s="182" t="e">
        <f t="shared" si="20"/>
        <v>#N/A</v>
      </c>
      <c r="AS61" s="488"/>
      <c r="AT61" s="166"/>
      <c r="AU61" s="166"/>
      <c r="AV61" s="166"/>
      <c r="AW61" s="182" t="e">
        <f t="shared" si="22"/>
        <v>#N/A</v>
      </c>
      <c r="AX61" s="488"/>
    </row>
    <row r="62" spans="2:50">
      <c r="B62" s="496"/>
      <c r="C62" s="182">
        <v>21</v>
      </c>
      <c r="D62" s="379"/>
      <c r="E62" s="182"/>
      <c r="F62" s="182"/>
      <c r="G62" s="166"/>
      <c r="H62" s="488"/>
      <c r="I62" s="166" t="str">
        <f t="shared" si="24"/>
        <v>-</v>
      </c>
      <c r="J62" s="166" t="str">
        <f t="shared" si="25"/>
        <v>-</v>
      </c>
      <c r="K62" s="180" t="str">
        <f t="shared" si="26"/>
        <v>-</v>
      </c>
      <c r="L62" s="464"/>
      <c r="M62" s="166" t="e">
        <f>RANK(K62, K$42:$K$71)</f>
        <v>#VALUE!</v>
      </c>
      <c r="N62" s="485"/>
      <c r="O62" s="485"/>
      <c r="P62" s="166"/>
      <c r="Q62" s="166"/>
      <c r="R62" s="166"/>
      <c r="S62" s="182" t="e">
        <f t="shared" si="11"/>
        <v>#N/A</v>
      </c>
      <c r="T62" s="488"/>
      <c r="U62" s="166"/>
      <c r="V62" s="166"/>
      <c r="W62" s="166"/>
      <c r="X62" s="182" t="e">
        <f t="shared" si="12"/>
        <v>#N/A</v>
      </c>
      <c r="Y62" s="488"/>
      <c r="Z62" s="166"/>
      <c r="AA62" s="166"/>
      <c r="AB62" s="166"/>
      <c r="AC62" s="182" t="e">
        <f t="shared" si="14"/>
        <v>#N/A</v>
      </c>
      <c r="AD62" s="488"/>
      <c r="AE62" s="166"/>
      <c r="AF62" s="166"/>
      <c r="AG62" s="166"/>
      <c r="AH62" s="182" t="e">
        <f t="shared" si="16"/>
        <v>#N/A</v>
      </c>
      <c r="AI62" s="488"/>
      <c r="AJ62" s="166"/>
      <c r="AK62" s="166"/>
      <c r="AL62" s="166"/>
      <c r="AM62" s="182" t="e">
        <f t="shared" si="18"/>
        <v>#N/A</v>
      </c>
      <c r="AN62" s="488"/>
      <c r="AO62" s="166"/>
      <c r="AP62" s="166"/>
      <c r="AQ62" s="166"/>
      <c r="AR62" s="182" t="e">
        <f t="shared" si="20"/>
        <v>#N/A</v>
      </c>
      <c r="AS62" s="488"/>
      <c r="AT62" s="166"/>
      <c r="AU62" s="166"/>
      <c r="AV62" s="166"/>
      <c r="AW62" s="182" t="e">
        <f t="shared" si="22"/>
        <v>#N/A</v>
      </c>
      <c r="AX62" s="488"/>
    </row>
    <row r="63" spans="2:50">
      <c r="B63" s="496"/>
      <c r="C63" s="182">
        <v>22</v>
      </c>
      <c r="D63" s="182"/>
      <c r="E63" s="182"/>
      <c r="F63" s="182"/>
      <c r="G63" s="182"/>
      <c r="H63" s="488"/>
      <c r="I63" s="166" t="str">
        <f t="shared" si="24"/>
        <v>-</v>
      </c>
      <c r="J63" s="166" t="str">
        <f t="shared" si="25"/>
        <v>-</v>
      </c>
      <c r="K63" s="180" t="str">
        <f t="shared" si="26"/>
        <v>-</v>
      </c>
      <c r="L63" s="464"/>
      <c r="M63" s="166" t="e">
        <f>RANK(K63, K$42:$K$71)</f>
        <v>#VALUE!</v>
      </c>
      <c r="N63" s="485"/>
      <c r="O63" s="485"/>
      <c r="P63" s="166"/>
      <c r="Q63" s="166"/>
      <c r="R63" s="166"/>
      <c r="S63" s="182" t="e">
        <f t="shared" si="11"/>
        <v>#N/A</v>
      </c>
      <c r="T63" s="488"/>
      <c r="U63" s="166"/>
      <c r="V63" s="166"/>
      <c r="W63" s="166"/>
      <c r="X63" s="182" t="e">
        <f t="shared" si="12"/>
        <v>#N/A</v>
      </c>
      <c r="Y63" s="488"/>
      <c r="Z63" s="166"/>
      <c r="AA63" s="166"/>
      <c r="AB63" s="166"/>
      <c r="AC63" s="182" t="e">
        <f t="shared" si="14"/>
        <v>#N/A</v>
      </c>
      <c r="AD63" s="488"/>
      <c r="AE63" s="166"/>
      <c r="AF63" s="166"/>
      <c r="AG63" s="166"/>
      <c r="AH63" s="182" t="e">
        <f t="shared" si="16"/>
        <v>#N/A</v>
      </c>
      <c r="AI63" s="488"/>
      <c r="AJ63" s="166"/>
      <c r="AK63" s="166"/>
      <c r="AL63" s="166"/>
      <c r="AM63" s="182" t="e">
        <f t="shared" si="18"/>
        <v>#N/A</v>
      </c>
      <c r="AN63" s="488"/>
      <c r="AO63" s="166"/>
      <c r="AP63" s="166"/>
      <c r="AQ63" s="166"/>
      <c r="AR63" s="182" t="e">
        <f t="shared" si="20"/>
        <v>#N/A</v>
      </c>
      <c r="AS63" s="488"/>
      <c r="AT63" s="166"/>
      <c r="AU63" s="166"/>
      <c r="AV63" s="166"/>
      <c r="AW63" s="182" t="e">
        <f t="shared" si="22"/>
        <v>#N/A</v>
      </c>
      <c r="AX63" s="488"/>
    </row>
    <row r="64" spans="2:50">
      <c r="B64" s="496"/>
      <c r="C64" s="182">
        <v>23</v>
      </c>
      <c r="D64" s="182"/>
      <c r="E64" s="182"/>
      <c r="F64" s="182"/>
      <c r="G64" s="182"/>
      <c r="H64" s="488"/>
      <c r="I64" s="166" t="str">
        <f t="shared" si="24"/>
        <v>-</v>
      </c>
      <c r="J64" s="166" t="str">
        <f t="shared" si="25"/>
        <v>-</v>
      </c>
      <c r="K64" s="180" t="str">
        <f t="shared" si="26"/>
        <v>-</v>
      </c>
      <c r="L64" s="464"/>
      <c r="M64" s="166" t="e">
        <f>RANK(K64, K$42:$K$71)</f>
        <v>#VALUE!</v>
      </c>
      <c r="N64" s="485"/>
      <c r="O64" s="485"/>
      <c r="P64" s="182"/>
      <c r="Q64" s="182"/>
      <c r="R64" s="180"/>
      <c r="S64" s="182" t="e">
        <f t="shared" si="11"/>
        <v>#N/A</v>
      </c>
      <c r="T64" s="488"/>
      <c r="U64" s="182"/>
      <c r="V64" s="182"/>
      <c r="W64" s="180"/>
      <c r="X64" s="182" t="e">
        <f t="shared" si="12"/>
        <v>#N/A</v>
      </c>
      <c r="Y64" s="488"/>
      <c r="Z64" s="182"/>
      <c r="AA64" s="182"/>
      <c r="AB64" s="180"/>
      <c r="AC64" s="182" t="e">
        <f t="shared" si="14"/>
        <v>#N/A</v>
      </c>
      <c r="AD64" s="488"/>
      <c r="AE64" s="182"/>
      <c r="AF64" s="182"/>
      <c r="AG64" s="180"/>
      <c r="AH64" s="182" t="e">
        <f t="shared" si="16"/>
        <v>#N/A</v>
      </c>
      <c r="AI64" s="488"/>
      <c r="AJ64" s="182"/>
      <c r="AK64" s="182"/>
      <c r="AL64" s="180"/>
      <c r="AM64" s="182" t="e">
        <f t="shared" si="18"/>
        <v>#N/A</v>
      </c>
      <c r="AN64" s="488"/>
      <c r="AO64" s="182"/>
      <c r="AP64" s="182"/>
      <c r="AQ64" s="180"/>
      <c r="AR64" s="182" t="e">
        <f t="shared" si="20"/>
        <v>#N/A</v>
      </c>
      <c r="AS64" s="488"/>
      <c r="AT64" s="182"/>
      <c r="AU64" s="182"/>
      <c r="AV64" s="180"/>
      <c r="AW64" s="182" t="e">
        <f t="shared" si="22"/>
        <v>#N/A</v>
      </c>
      <c r="AX64" s="488"/>
    </row>
    <row r="65" spans="2:50">
      <c r="B65" s="496"/>
      <c r="C65" s="182">
        <v>24</v>
      </c>
      <c r="D65" s="182"/>
      <c r="E65" s="182"/>
      <c r="F65" s="182"/>
      <c r="G65" s="182"/>
      <c r="H65" s="488"/>
      <c r="I65" s="166" t="str">
        <f t="shared" si="24"/>
        <v>-</v>
      </c>
      <c r="J65" s="166" t="str">
        <f t="shared" si="25"/>
        <v>-</v>
      </c>
      <c r="K65" s="180" t="str">
        <f t="shared" si="26"/>
        <v>-</v>
      </c>
      <c r="L65" s="464"/>
      <c r="M65" s="166" t="e">
        <f>RANK(K65, K$42:$K$71)</f>
        <v>#VALUE!</v>
      </c>
      <c r="N65" s="485"/>
      <c r="O65" s="485"/>
      <c r="P65" s="182"/>
      <c r="Q65" s="182"/>
      <c r="R65" s="182"/>
      <c r="S65" s="182" t="e">
        <f t="shared" si="11"/>
        <v>#N/A</v>
      </c>
      <c r="T65" s="488"/>
      <c r="U65" s="182"/>
      <c r="V65" s="182"/>
      <c r="W65" s="182"/>
      <c r="X65" s="182" t="e">
        <f t="shared" si="12"/>
        <v>#N/A</v>
      </c>
      <c r="Y65" s="488"/>
      <c r="Z65" s="182"/>
      <c r="AA65" s="182"/>
      <c r="AB65" s="182"/>
      <c r="AC65" s="182" t="e">
        <f t="shared" si="14"/>
        <v>#N/A</v>
      </c>
      <c r="AD65" s="488"/>
      <c r="AE65" s="182"/>
      <c r="AF65" s="182"/>
      <c r="AG65" s="182"/>
      <c r="AH65" s="182" t="e">
        <f t="shared" si="16"/>
        <v>#N/A</v>
      </c>
      <c r="AI65" s="488"/>
      <c r="AJ65" s="182"/>
      <c r="AK65" s="182"/>
      <c r="AL65" s="182"/>
      <c r="AM65" s="182" t="e">
        <f t="shared" si="18"/>
        <v>#N/A</v>
      </c>
      <c r="AN65" s="488"/>
      <c r="AO65" s="182"/>
      <c r="AP65" s="182"/>
      <c r="AQ65" s="182"/>
      <c r="AR65" s="182" t="e">
        <f t="shared" si="20"/>
        <v>#N/A</v>
      </c>
      <c r="AS65" s="488"/>
      <c r="AT65" s="182"/>
      <c r="AU65" s="182"/>
      <c r="AV65" s="182"/>
      <c r="AW65" s="182" t="e">
        <f t="shared" si="22"/>
        <v>#N/A</v>
      </c>
      <c r="AX65" s="488"/>
    </row>
    <row r="66" spans="2:50">
      <c r="B66" s="496"/>
      <c r="C66" s="182">
        <v>25</v>
      </c>
      <c r="D66" s="182"/>
      <c r="E66" s="182"/>
      <c r="F66" s="182"/>
      <c r="G66" s="182"/>
      <c r="H66" s="488"/>
      <c r="I66" s="166" t="str">
        <f t="shared" si="24"/>
        <v>-</v>
      </c>
      <c r="J66" s="166" t="str">
        <f t="shared" si="25"/>
        <v>-</v>
      </c>
      <c r="K66" s="180" t="str">
        <f t="shared" si="26"/>
        <v>-</v>
      </c>
      <c r="L66" s="464"/>
      <c r="M66" s="166" t="e">
        <f>RANK(K66, K$42:$K$71)</f>
        <v>#VALUE!</v>
      </c>
      <c r="N66" s="485"/>
      <c r="O66" s="485"/>
      <c r="P66" s="182"/>
      <c r="Q66" s="182"/>
      <c r="R66" s="182"/>
      <c r="S66" s="182" t="e">
        <f t="shared" si="11"/>
        <v>#N/A</v>
      </c>
      <c r="T66" s="488"/>
      <c r="U66" s="182"/>
      <c r="V66" s="182"/>
      <c r="W66" s="182"/>
      <c r="X66" s="182" t="e">
        <f t="shared" si="12"/>
        <v>#N/A</v>
      </c>
      <c r="Y66" s="488"/>
      <c r="Z66" s="182"/>
      <c r="AA66" s="182"/>
      <c r="AB66" s="182"/>
      <c r="AC66" s="182" t="e">
        <f t="shared" si="14"/>
        <v>#N/A</v>
      </c>
      <c r="AD66" s="488"/>
      <c r="AE66" s="182"/>
      <c r="AF66" s="182"/>
      <c r="AG66" s="182"/>
      <c r="AH66" s="182" t="e">
        <f t="shared" si="16"/>
        <v>#N/A</v>
      </c>
      <c r="AI66" s="488"/>
      <c r="AJ66" s="182"/>
      <c r="AK66" s="182"/>
      <c r="AL66" s="182"/>
      <c r="AM66" s="182" t="e">
        <f t="shared" si="18"/>
        <v>#N/A</v>
      </c>
      <c r="AN66" s="488"/>
      <c r="AO66" s="182"/>
      <c r="AP66" s="182"/>
      <c r="AQ66" s="182"/>
      <c r="AR66" s="182" t="e">
        <f t="shared" si="20"/>
        <v>#N/A</v>
      </c>
      <c r="AS66" s="488"/>
      <c r="AT66" s="182"/>
      <c r="AU66" s="182"/>
      <c r="AV66" s="182"/>
      <c r="AW66" s="182" t="e">
        <f t="shared" si="22"/>
        <v>#N/A</v>
      </c>
      <c r="AX66" s="488"/>
    </row>
    <row r="67" spans="2:50">
      <c r="B67" s="496"/>
      <c r="C67" s="182">
        <v>26</v>
      </c>
      <c r="D67" s="182"/>
      <c r="E67" s="182"/>
      <c r="F67" s="182"/>
      <c r="G67" s="182"/>
      <c r="H67" s="488"/>
      <c r="I67" s="166" t="str">
        <f t="shared" si="24"/>
        <v>-</v>
      </c>
      <c r="J67" s="166" t="str">
        <f t="shared" si="25"/>
        <v>-</v>
      </c>
      <c r="K67" s="180" t="str">
        <f t="shared" si="26"/>
        <v>-</v>
      </c>
      <c r="L67" s="464"/>
      <c r="M67" s="166" t="e">
        <f>RANK(K67, K$42:$K$71)</f>
        <v>#VALUE!</v>
      </c>
      <c r="N67" s="485"/>
      <c r="O67" s="485"/>
      <c r="P67" s="182"/>
      <c r="Q67" s="182"/>
      <c r="R67" s="182"/>
      <c r="S67" s="182" t="e">
        <f t="shared" si="11"/>
        <v>#N/A</v>
      </c>
      <c r="T67" s="488"/>
      <c r="U67" s="182"/>
      <c r="V67" s="182"/>
      <c r="W67" s="182"/>
      <c r="X67" s="182" t="e">
        <f t="shared" si="12"/>
        <v>#N/A</v>
      </c>
      <c r="Y67" s="488"/>
      <c r="Z67" s="182"/>
      <c r="AA67" s="182"/>
      <c r="AB67" s="182"/>
      <c r="AC67" s="182" t="e">
        <f t="shared" si="14"/>
        <v>#N/A</v>
      </c>
      <c r="AD67" s="488"/>
      <c r="AE67" s="182"/>
      <c r="AF67" s="182"/>
      <c r="AG67" s="182"/>
      <c r="AH67" s="182" t="e">
        <f t="shared" si="16"/>
        <v>#N/A</v>
      </c>
      <c r="AI67" s="488"/>
      <c r="AJ67" s="182"/>
      <c r="AK67" s="182"/>
      <c r="AL67" s="182"/>
      <c r="AM67" s="182" t="e">
        <f t="shared" si="18"/>
        <v>#N/A</v>
      </c>
      <c r="AN67" s="488"/>
      <c r="AO67" s="182"/>
      <c r="AP67" s="182"/>
      <c r="AQ67" s="182"/>
      <c r="AR67" s="182" t="e">
        <f t="shared" si="20"/>
        <v>#N/A</v>
      </c>
      <c r="AS67" s="488"/>
      <c r="AT67" s="182"/>
      <c r="AU67" s="182"/>
      <c r="AV67" s="182"/>
      <c r="AW67" s="182" t="e">
        <f t="shared" si="22"/>
        <v>#N/A</v>
      </c>
      <c r="AX67" s="488"/>
    </row>
    <row r="68" spans="2:50">
      <c r="B68" s="496"/>
      <c r="C68" s="182">
        <v>27</v>
      </c>
      <c r="D68" s="182"/>
      <c r="E68" s="182"/>
      <c r="F68" s="182"/>
      <c r="G68" s="182"/>
      <c r="H68" s="488"/>
      <c r="I68" s="166" t="str">
        <f t="shared" si="24"/>
        <v>-</v>
      </c>
      <c r="J68" s="166" t="str">
        <f t="shared" si="25"/>
        <v>-</v>
      </c>
      <c r="K68" s="180" t="str">
        <f t="shared" si="26"/>
        <v>-</v>
      </c>
      <c r="L68" s="464"/>
      <c r="M68" s="166" t="e">
        <f>RANK(K68, K$42:$K$71)</f>
        <v>#VALUE!</v>
      </c>
      <c r="N68" s="485"/>
      <c r="O68" s="485"/>
      <c r="P68" s="182"/>
      <c r="Q68" s="182"/>
      <c r="R68" s="182"/>
      <c r="S68" s="182" t="e">
        <f t="shared" si="11"/>
        <v>#N/A</v>
      </c>
      <c r="T68" s="488"/>
      <c r="U68" s="182"/>
      <c r="V68" s="182"/>
      <c r="W68" s="182"/>
      <c r="X68" s="182" t="e">
        <f t="shared" si="12"/>
        <v>#N/A</v>
      </c>
      <c r="Y68" s="488"/>
      <c r="Z68" s="182"/>
      <c r="AA68" s="182"/>
      <c r="AB68" s="182"/>
      <c r="AC68" s="182" t="e">
        <f t="shared" si="14"/>
        <v>#N/A</v>
      </c>
      <c r="AD68" s="488"/>
      <c r="AE68" s="182"/>
      <c r="AF68" s="182"/>
      <c r="AG68" s="182"/>
      <c r="AH68" s="182" t="e">
        <f t="shared" si="16"/>
        <v>#N/A</v>
      </c>
      <c r="AI68" s="488"/>
      <c r="AJ68" s="182"/>
      <c r="AK68" s="182"/>
      <c r="AL68" s="182"/>
      <c r="AM68" s="182" t="e">
        <f t="shared" si="18"/>
        <v>#N/A</v>
      </c>
      <c r="AN68" s="488"/>
      <c r="AO68" s="182"/>
      <c r="AP68" s="182"/>
      <c r="AQ68" s="182"/>
      <c r="AR68" s="182" t="e">
        <f t="shared" si="20"/>
        <v>#N/A</v>
      </c>
      <c r="AS68" s="488"/>
      <c r="AT68" s="182"/>
      <c r="AU68" s="182"/>
      <c r="AV68" s="182"/>
      <c r="AW68" s="182" t="e">
        <f t="shared" si="22"/>
        <v>#N/A</v>
      </c>
      <c r="AX68" s="488"/>
    </row>
    <row r="69" spans="2:50">
      <c r="B69" s="496"/>
      <c r="C69" s="182">
        <v>28</v>
      </c>
      <c r="D69" s="182"/>
      <c r="E69" s="182"/>
      <c r="F69" s="182"/>
      <c r="G69" s="182"/>
      <c r="H69" s="488"/>
      <c r="I69" s="166" t="str">
        <f t="shared" si="24"/>
        <v>-</v>
      </c>
      <c r="J69" s="166" t="str">
        <f t="shared" si="25"/>
        <v>-</v>
      </c>
      <c r="K69" s="180" t="str">
        <f t="shared" si="26"/>
        <v>-</v>
      </c>
      <c r="L69" s="464"/>
      <c r="M69" s="166" t="e">
        <f>RANK(K69, K$42:$K$71)</f>
        <v>#VALUE!</v>
      </c>
      <c r="N69" s="485"/>
      <c r="O69" s="485"/>
      <c r="P69" s="182"/>
      <c r="Q69" s="182"/>
      <c r="R69" s="182"/>
      <c r="S69" s="182" t="e">
        <f t="shared" si="11"/>
        <v>#N/A</v>
      </c>
      <c r="T69" s="488"/>
      <c r="U69" s="182"/>
      <c r="V69" s="182"/>
      <c r="W69" s="182"/>
      <c r="X69" s="182" t="e">
        <f t="shared" si="12"/>
        <v>#N/A</v>
      </c>
      <c r="Y69" s="488"/>
      <c r="Z69" s="182"/>
      <c r="AA69" s="182"/>
      <c r="AB69" s="182"/>
      <c r="AC69" s="182" t="e">
        <f t="shared" si="14"/>
        <v>#N/A</v>
      </c>
      <c r="AD69" s="488"/>
      <c r="AE69" s="182"/>
      <c r="AF69" s="182"/>
      <c r="AG69" s="182"/>
      <c r="AH69" s="182" t="e">
        <f t="shared" si="16"/>
        <v>#N/A</v>
      </c>
      <c r="AI69" s="488"/>
      <c r="AJ69" s="182"/>
      <c r="AK69" s="182"/>
      <c r="AL69" s="182"/>
      <c r="AM69" s="182" t="e">
        <f t="shared" si="18"/>
        <v>#N/A</v>
      </c>
      <c r="AN69" s="488"/>
      <c r="AO69" s="182"/>
      <c r="AP69" s="182"/>
      <c r="AQ69" s="182"/>
      <c r="AR69" s="182" t="e">
        <f t="shared" si="20"/>
        <v>#N/A</v>
      </c>
      <c r="AS69" s="488"/>
      <c r="AT69" s="182"/>
      <c r="AU69" s="182"/>
      <c r="AV69" s="182"/>
      <c r="AW69" s="182" t="e">
        <f t="shared" si="22"/>
        <v>#N/A</v>
      </c>
      <c r="AX69" s="488"/>
    </row>
    <row r="70" spans="2:50">
      <c r="B70" s="496"/>
      <c r="C70" s="182">
        <v>29</v>
      </c>
      <c r="D70" s="182"/>
      <c r="E70" s="182"/>
      <c r="F70" s="182"/>
      <c r="G70" s="182"/>
      <c r="H70" s="488"/>
      <c r="I70" s="166" t="str">
        <f t="shared" si="24"/>
        <v>-</v>
      </c>
      <c r="J70" s="166" t="str">
        <f t="shared" si="25"/>
        <v>-</v>
      </c>
      <c r="K70" s="180" t="str">
        <f t="shared" si="26"/>
        <v>-</v>
      </c>
      <c r="L70" s="464"/>
      <c r="M70" s="166" t="e">
        <f>RANK(K70, K$42:$K$71)</f>
        <v>#VALUE!</v>
      </c>
      <c r="N70" s="485"/>
      <c r="O70" s="485"/>
      <c r="P70" s="182"/>
      <c r="Q70" s="182"/>
      <c r="R70" s="182"/>
      <c r="S70" s="182" t="e">
        <f t="shared" si="11"/>
        <v>#N/A</v>
      </c>
      <c r="T70" s="488"/>
      <c r="U70" s="182"/>
      <c r="V70" s="182"/>
      <c r="W70" s="182"/>
      <c r="X70" s="182" t="e">
        <f t="shared" si="12"/>
        <v>#N/A</v>
      </c>
      <c r="Y70" s="488"/>
      <c r="Z70" s="182"/>
      <c r="AA70" s="182"/>
      <c r="AB70" s="182"/>
      <c r="AC70" s="182" t="e">
        <f t="shared" si="14"/>
        <v>#N/A</v>
      </c>
      <c r="AD70" s="488"/>
      <c r="AE70" s="182"/>
      <c r="AF70" s="182"/>
      <c r="AG70" s="182"/>
      <c r="AH70" s="182" t="e">
        <f t="shared" si="16"/>
        <v>#N/A</v>
      </c>
      <c r="AI70" s="488"/>
      <c r="AJ70" s="182"/>
      <c r="AK70" s="182"/>
      <c r="AL70" s="182"/>
      <c r="AM70" s="182" t="e">
        <f t="shared" si="18"/>
        <v>#N/A</v>
      </c>
      <c r="AN70" s="488"/>
      <c r="AO70" s="182"/>
      <c r="AP70" s="182"/>
      <c r="AQ70" s="182"/>
      <c r="AR70" s="182" t="e">
        <f t="shared" si="20"/>
        <v>#N/A</v>
      </c>
      <c r="AS70" s="488"/>
      <c r="AT70" s="182"/>
      <c r="AU70" s="182"/>
      <c r="AV70" s="182"/>
      <c r="AW70" s="182" t="e">
        <f t="shared" si="22"/>
        <v>#N/A</v>
      </c>
      <c r="AX70" s="488"/>
    </row>
    <row r="71" spans="2:50">
      <c r="B71" s="497"/>
      <c r="C71" s="182">
        <v>30</v>
      </c>
      <c r="D71" s="182"/>
      <c r="E71" s="182"/>
      <c r="F71" s="182"/>
      <c r="G71" s="182"/>
      <c r="H71" s="489"/>
      <c r="I71" s="166" t="str">
        <f t="shared" si="24"/>
        <v>-</v>
      </c>
      <c r="J71" s="166" t="str">
        <f t="shared" si="25"/>
        <v>-</v>
      </c>
      <c r="K71" s="180" t="str">
        <f t="shared" si="26"/>
        <v>-</v>
      </c>
      <c r="L71" s="465"/>
      <c r="M71" s="166" t="e">
        <f>RANK(K71, K$42:$K$71)</f>
        <v>#VALUE!</v>
      </c>
      <c r="N71" s="481"/>
      <c r="O71" s="481"/>
      <c r="P71" s="182"/>
      <c r="Q71" s="182"/>
      <c r="R71" s="182"/>
      <c r="S71" s="182" t="e">
        <f t="shared" si="11"/>
        <v>#N/A</v>
      </c>
      <c r="T71" s="489"/>
      <c r="U71" s="182"/>
      <c r="V71" s="182"/>
      <c r="W71" s="182"/>
      <c r="X71" s="182" t="e">
        <f t="shared" si="12"/>
        <v>#N/A</v>
      </c>
      <c r="Y71" s="489"/>
      <c r="Z71" s="182"/>
      <c r="AA71" s="182"/>
      <c r="AB71" s="182"/>
      <c r="AC71" s="182" t="e">
        <f t="shared" si="14"/>
        <v>#N/A</v>
      </c>
      <c r="AD71" s="489"/>
      <c r="AE71" s="182"/>
      <c r="AF71" s="182"/>
      <c r="AG71" s="182"/>
      <c r="AH71" s="182" t="e">
        <f t="shared" si="16"/>
        <v>#N/A</v>
      </c>
      <c r="AI71" s="489"/>
      <c r="AJ71" s="182"/>
      <c r="AK71" s="182"/>
      <c r="AL71" s="182"/>
      <c r="AM71" s="182" t="e">
        <f t="shared" si="18"/>
        <v>#N/A</v>
      </c>
      <c r="AN71" s="489"/>
      <c r="AO71" s="182"/>
      <c r="AP71" s="182"/>
      <c r="AQ71" s="182"/>
      <c r="AR71" s="182" t="e">
        <f t="shared" si="20"/>
        <v>#N/A</v>
      </c>
      <c r="AS71" s="489"/>
      <c r="AT71" s="182"/>
      <c r="AU71" s="182"/>
      <c r="AV71" s="182"/>
      <c r="AW71" s="182" t="e">
        <f t="shared" si="22"/>
        <v>#N/A</v>
      </c>
      <c r="AX71" s="489"/>
    </row>
    <row r="72" spans="2:50" ht="15.5">
      <c r="B72" s="493" t="s">
        <v>163</v>
      </c>
      <c r="C72" s="494"/>
      <c r="D72" s="494"/>
      <c r="E72" s="494"/>
      <c r="F72" s="494"/>
      <c r="G72" s="494"/>
      <c r="H72" s="494"/>
      <c r="I72" s="186"/>
      <c r="J72" s="183"/>
      <c r="K72" s="186"/>
      <c r="L72" s="186"/>
      <c r="M72" s="178"/>
      <c r="N72" s="480" t="s">
        <v>156</v>
      </c>
      <c r="O72" s="480" t="s">
        <v>155</v>
      </c>
      <c r="P72" s="476">
        <f>P37+7</f>
        <v>46126</v>
      </c>
      <c r="Q72" s="454"/>
      <c r="R72" s="454"/>
      <c r="S72" s="454"/>
      <c r="T72" s="454"/>
      <c r="U72" s="473">
        <f>P72+1</f>
        <v>46127</v>
      </c>
      <c r="V72" s="474"/>
      <c r="W72" s="474"/>
      <c r="X72" s="474"/>
      <c r="Y72" s="475"/>
      <c r="Z72" s="473">
        <f>U72+1</f>
        <v>46128</v>
      </c>
      <c r="AA72" s="474"/>
      <c r="AB72" s="474"/>
      <c r="AC72" s="474"/>
      <c r="AD72" s="475"/>
      <c r="AE72" s="473">
        <f>Z72+1</f>
        <v>46129</v>
      </c>
      <c r="AF72" s="474"/>
      <c r="AG72" s="474"/>
      <c r="AH72" s="474"/>
      <c r="AI72" s="475"/>
      <c r="AJ72" s="473">
        <f>AE72+1</f>
        <v>46130</v>
      </c>
      <c r="AK72" s="474"/>
      <c r="AL72" s="474"/>
      <c r="AM72" s="474"/>
      <c r="AN72" s="475"/>
      <c r="AO72" s="473">
        <f>AJ72+1</f>
        <v>46131</v>
      </c>
      <c r="AP72" s="474"/>
      <c r="AQ72" s="474"/>
      <c r="AR72" s="474"/>
      <c r="AS72" s="475"/>
      <c r="AT72" s="473">
        <f>AO72+1</f>
        <v>46132</v>
      </c>
      <c r="AU72" s="474"/>
      <c r="AV72" s="474"/>
      <c r="AW72" s="474"/>
      <c r="AX72" s="475"/>
    </row>
    <row r="73" spans="2:50" ht="15.5">
      <c r="B73" s="479"/>
      <c r="C73" s="479"/>
      <c r="D73" s="479"/>
      <c r="E73" s="479"/>
      <c r="F73" s="479"/>
      <c r="G73" s="479"/>
      <c r="H73" s="479"/>
      <c r="I73" s="184"/>
      <c r="J73" s="184"/>
      <c r="K73" s="184"/>
      <c r="L73" s="184"/>
      <c r="M73" s="179"/>
      <c r="N73" s="481"/>
      <c r="O73" s="481"/>
      <c r="P73" s="476" t="s">
        <v>336</v>
      </c>
      <c r="Q73" s="454"/>
      <c r="R73" s="454"/>
      <c r="S73" s="454"/>
      <c r="T73" s="454"/>
      <c r="U73" s="476" t="s">
        <v>337</v>
      </c>
      <c r="V73" s="454"/>
      <c r="W73" s="454"/>
      <c r="X73" s="454"/>
      <c r="Y73" s="454"/>
      <c r="Z73" s="476" t="s">
        <v>338</v>
      </c>
      <c r="AA73" s="454"/>
      <c r="AB73" s="454"/>
      <c r="AC73" s="454"/>
      <c r="AD73" s="454"/>
      <c r="AE73" s="476" t="s">
        <v>339</v>
      </c>
      <c r="AF73" s="454"/>
      <c r="AG73" s="454"/>
      <c r="AH73" s="454"/>
      <c r="AI73" s="454"/>
      <c r="AJ73" s="476" t="s">
        <v>340</v>
      </c>
      <c r="AK73" s="454"/>
      <c r="AL73" s="454"/>
      <c r="AM73" s="454"/>
      <c r="AN73" s="454"/>
      <c r="AO73" s="476" t="s">
        <v>341</v>
      </c>
      <c r="AP73" s="454"/>
      <c r="AQ73" s="454"/>
      <c r="AR73" s="454"/>
      <c r="AS73" s="454"/>
      <c r="AT73" s="476" t="s">
        <v>342</v>
      </c>
      <c r="AU73" s="454"/>
      <c r="AV73" s="454"/>
      <c r="AW73" s="454"/>
      <c r="AX73" s="454"/>
    </row>
    <row r="74" spans="2:50">
      <c r="B74" s="480" t="s">
        <v>532</v>
      </c>
      <c r="C74" s="482" t="s">
        <v>533</v>
      </c>
      <c r="D74" s="498"/>
      <c r="E74" s="466" t="s">
        <v>534</v>
      </c>
      <c r="F74" s="467"/>
      <c r="G74" s="468"/>
      <c r="H74" s="480" t="s">
        <v>535</v>
      </c>
      <c r="I74" s="466" t="s">
        <v>536</v>
      </c>
      <c r="J74" s="467"/>
      <c r="K74" s="468"/>
      <c r="L74" s="480" t="s">
        <v>535</v>
      </c>
      <c r="M74" s="480" t="s">
        <v>537</v>
      </c>
      <c r="N74" s="480"/>
      <c r="O74" s="480" t="s">
        <v>538</v>
      </c>
      <c r="P74" s="466" t="s">
        <v>539</v>
      </c>
      <c r="Q74" s="467"/>
      <c r="R74" s="467"/>
      <c r="S74" s="468"/>
      <c r="T74" s="480" t="s">
        <v>535</v>
      </c>
      <c r="U74" s="466" t="s">
        <v>539</v>
      </c>
      <c r="V74" s="467"/>
      <c r="W74" s="467"/>
      <c r="X74" s="468"/>
      <c r="Y74" s="480" t="s">
        <v>535</v>
      </c>
      <c r="Z74" s="466" t="s">
        <v>539</v>
      </c>
      <c r="AA74" s="467"/>
      <c r="AB74" s="467"/>
      <c r="AC74" s="468"/>
      <c r="AD74" s="480" t="s">
        <v>535</v>
      </c>
      <c r="AE74" s="466" t="s">
        <v>539</v>
      </c>
      <c r="AF74" s="467"/>
      <c r="AG74" s="467"/>
      <c r="AH74" s="468"/>
      <c r="AI74" s="480" t="s">
        <v>535</v>
      </c>
      <c r="AJ74" s="466" t="s">
        <v>539</v>
      </c>
      <c r="AK74" s="467"/>
      <c r="AL74" s="467"/>
      <c r="AM74" s="468"/>
      <c r="AN74" s="480" t="s">
        <v>535</v>
      </c>
      <c r="AO74" s="466" t="s">
        <v>539</v>
      </c>
      <c r="AP74" s="467"/>
      <c r="AQ74" s="467"/>
      <c r="AR74" s="468"/>
      <c r="AS74" s="480" t="s">
        <v>535</v>
      </c>
      <c r="AT74" s="466" t="s">
        <v>539</v>
      </c>
      <c r="AU74" s="467"/>
      <c r="AV74" s="467"/>
      <c r="AW74" s="468"/>
      <c r="AX74" s="480" t="s">
        <v>535</v>
      </c>
    </row>
    <row r="75" spans="2:50">
      <c r="B75" s="485"/>
      <c r="C75" s="483"/>
      <c r="D75" s="499"/>
      <c r="E75" s="466" t="s">
        <v>540</v>
      </c>
      <c r="F75" s="467"/>
      <c r="G75" s="468"/>
      <c r="H75" s="485"/>
      <c r="I75" s="466" t="s">
        <v>540</v>
      </c>
      <c r="J75" s="467"/>
      <c r="K75" s="468"/>
      <c r="L75" s="485"/>
      <c r="M75" s="485"/>
      <c r="N75" s="485"/>
      <c r="O75" s="485"/>
      <c r="P75" s="466" t="s">
        <v>541</v>
      </c>
      <c r="Q75" s="467"/>
      <c r="R75" s="467"/>
      <c r="S75" s="468"/>
      <c r="T75" s="485"/>
      <c r="U75" s="466" t="s">
        <v>541</v>
      </c>
      <c r="V75" s="467"/>
      <c r="W75" s="467"/>
      <c r="X75" s="468"/>
      <c r="Y75" s="485"/>
      <c r="Z75" s="466" t="s">
        <v>541</v>
      </c>
      <c r="AA75" s="467"/>
      <c r="AB75" s="467"/>
      <c r="AC75" s="468"/>
      <c r="AD75" s="485"/>
      <c r="AE75" s="466" t="s">
        <v>541</v>
      </c>
      <c r="AF75" s="467"/>
      <c r="AG75" s="467"/>
      <c r="AH75" s="468"/>
      <c r="AI75" s="485"/>
      <c r="AJ75" s="466" t="s">
        <v>541</v>
      </c>
      <c r="AK75" s="467"/>
      <c r="AL75" s="467"/>
      <c r="AM75" s="468"/>
      <c r="AN75" s="485"/>
      <c r="AO75" s="466" t="s">
        <v>541</v>
      </c>
      <c r="AP75" s="467"/>
      <c r="AQ75" s="467"/>
      <c r="AR75" s="468"/>
      <c r="AS75" s="485"/>
      <c r="AT75" s="466" t="s">
        <v>541</v>
      </c>
      <c r="AU75" s="467"/>
      <c r="AV75" s="467"/>
      <c r="AW75" s="468"/>
      <c r="AX75" s="485"/>
    </row>
    <row r="76" spans="2:50">
      <c r="B76" s="481"/>
      <c r="C76" s="484"/>
      <c r="D76" s="500"/>
      <c r="E76" s="269" t="s">
        <v>542</v>
      </c>
      <c r="F76" s="269" t="s">
        <v>543</v>
      </c>
      <c r="G76" s="269" t="s">
        <v>544</v>
      </c>
      <c r="H76" s="481"/>
      <c r="I76" s="269" t="s">
        <v>542</v>
      </c>
      <c r="J76" s="269" t="s">
        <v>543</v>
      </c>
      <c r="K76" s="269" t="s">
        <v>544</v>
      </c>
      <c r="L76" s="481"/>
      <c r="M76" s="481"/>
      <c r="N76" s="485"/>
      <c r="O76" s="485"/>
      <c r="P76" s="269" t="s">
        <v>542</v>
      </c>
      <c r="Q76" s="269" t="s">
        <v>543</v>
      </c>
      <c r="R76" s="269" t="s">
        <v>544</v>
      </c>
      <c r="S76" s="269" t="s">
        <v>537</v>
      </c>
      <c r="T76" s="481"/>
      <c r="U76" s="269" t="s">
        <v>542</v>
      </c>
      <c r="V76" s="269" t="s">
        <v>543</v>
      </c>
      <c r="W76" s="269" t="s">
        <v>544</v>
      </c>
      <c r="X76" s="269" t="s">
        <v>537</v>
      </c>
      <c r="Y76" s="481"/>
      <c r="Z76" s="269" t="s">
        <v>542</v>
      </c>
      <c r="AA76" s="269" t="s">
        <v>543</v>
      </c>
      <c r="AB76" s="269" t="s">
        <v>544</v>
      </c>
      <c r="AC76" s="269" t="s">
        <v>537</v>
      </c>
      <c r="AD76" s="481"/>
      <c r="AE76" s="269" t="s">
        <v>542</v>
      </c>
      <c r="AF76" s="269" t="s">
        <v>543</v>
      </c>
      <c r="AG76" s="269" t="s">
        <v>544</v>
      </c>
      <c r="AH76" s="269" t="s">
        <v>537</v>
      </c>
      <c r="AI76" s="481"/>
      <c r="AJ76" s="269" t="s">
        <v>542</v>
      </c>
      <c r="AK76" s="269" t="s">
        <v>543</v>
      </c>
      <c r="AL76" s="269" t="s">
        <v>544</v>
      </c>
      <c r="AM76" s="269" t="s">
        <v>537</v>
      </c>
      <c r="AN76" s="481"/>
      <c r="AO76" s="269" t="s">
        <v>542</v>
      </c>
      <c r="AP76" s="269" t="s">
        <v>543</v>
      </c>
      <c r="AQ76" s="269" t="s">
        <v>544</v>
      </c>
      <c r="AR76" s="269" t="s">
        <v>537</v>
      </c>
      <c r="AS76" s="481"/>
      <c r="AT76" s="269" t="s">
        <v>542</v>
      </c>
      <c r="AU76" s="269" t="s">
        <v>543</v>
      </c>
      <c r="AV76" s="269" t="s">
        <v>544</v>
      </c>
      <c r="AW76" s="269" t="s">
        <v>537</v>
      </c>
      <c r="AX76" s="481"/>
    </row>
    <row r="77" spans="2:50">
      <c r="B77" s="495" t="s">
        <v>150</v>
      </c>
      <c r="C77" s="182">
        <v>1</v>
      </c>
      <c r="D77" s="182"/>
      <c r="E77" s="182"/>
      <c r="F77" s="182"/>
      <c r="G77" s="166"/>
      <c r="H77" s="487" t="e">
        <f>AVERAGE(G77:G106)</f>
        <v>#DIV/0!</v>
      </c>
      <c r="I77" s="166" t="str">
        <f>IFERROR(AVERAGE(P77,U77,Z77,AE77,AJ77,AO77,AT77),"-")</f>
        <v>-</v>
      </c>
      <c r="J77" s="166" t="str">
        <f>IFERROR(AVERAGE(Q77,V77,AA77,AF77,AK77,AP77,AU77),"-")</f>
        <v>-</v>
      </c>
      <c r="K77" s="180" t="str">
        <f>IFERROR(AVERAGE(R77,W77,AB77,AG77,AL77,AQ77,AV77),"-")</f>
        <v>-</v>
      </c>
      <c r="L77" s="487" t="str">
        <f>IFERROR(AVERAGE(K77:K106),"-")</f>
        <v>-</v>
      </c>
      <c r="M77" s="166" t="e">
        <f>RANK(K77, K$77:$K$106)</f>
        <v>#VALUE!</v>
      </c>
      <c r="N77" s="485"/>
      <c r="O77" s="485"/>
      <c r="P77" s="166"/>
      <c r="Q77" s="166"/>
      <c r="R77" s="166"/>
      <c r="S77" s="182" t="e">
        <f>RANK(R77, R$77:R$106)</f>
        <v>#N/A</v>
      </c>
      <c r="T77" s="487" t="e">
        <f>AVERAGE(R77:R106)</f>
        <v>#DIV/0!</v>
      </c>
      <c r="U77" s="166"/>
      <c r="V77" s="166"/>
      <c r="W77" s="166"/>
      <c r="X77" s="182" t="e">
        <f t="shared" ref="X77:X92" si="27">RANK(W77, W$77:W$106)</f>
        <v>#N/A</v>
      </c>
      <c r="Y77" s="487" t="e">
        <f t="shared" ref="Y77" si="28">AVERAGE(W77:W106)</f>
        <v>#DIV/0!</v>
      </c>
      <c r="Z77" s="166"/>
      <c r="AA77" s="166"/>
      <c r="AB77" s="166"/>
      <c r="AC77" s="182" t="e">
        <f t="shared" ref="AC77:AC92" si="29">RANK(AB77, AB$77:AB$106)</f>
        <v>#N/A</v>
      </c>
      <c r="AD77" s="487" t="e">
        <f t="shared" ref="AD77" si="30">AVERAGE(AB77:AB106)</f>
        <v>#DIV/0!</v>
      </c>
      <c r="AE77" s="166"/>
      <c r="AF77" s="166"/>
      <c r="AG77" s="166"/>
      <c r="AH77" s="182" t="e">
        <f t="shared" ref="AH77:AH92" si="31">RANK(AG77, AG$77:AG$106)</f>
        <v>#N/A</v>
      </c>
      <c r="AI77" s="487" t="e">
        <f t="shared" ref="AI77" si="32">AVERAGE(AG77:AG106)</f>
        <v>#DIV/0!</v>
      </c>
      <c r="AJ77" s="166"/>
      <c r="AK77" s="166"/>
      <c r="AL77" s="166"/>
      <c r="AM77" s="182" t="e">
        <f t="shared" ref="AM77:AM92" si="33">RANK(AL77, AL$77:AL$106)</f>
        <v>#N/A</v>
      </c>
      <c r="AN77" s="487" t="e">
        <f t="shared" ref="AN77" si="34">AVERAGE(AL77:AL106)</f>
        <v>#DIV/0!</v>
      </c>
      <c r="AO77" s="166"/>
      <c r="AP77" s="166"/>
      <c r="AQ77" s="166"/>
      <c r="AR77" s="182" t="e">
        <f t="shared" ref="AR77:AR92" si="35">RANK(AQ77, AQ$77:AQ$106)</f>
        <v>#N/A</v>
      </c>
      <c r="AS77" s="487" t="e">
        <f t="shared" ref="AS77" si="36">AVERAGE(AQ77:AQ106)</f>
        <v>#DIV/0!</v>
      </c>
      <c r="AT77" s="166"/>
      <c r="AU77" s="166"/>
      <c r="AV77" s="166"/>
      <c r="AW77" s="182" t="e">
        <f t="shared" ref="AW77:AW92" si="37">RANK(AV77, AV$77:AV$106)</f>
        <v>#N/A</v>
      </c>
      <c r="AX77" s="487" t="e">
        <f t="shared" ref="AX77" si="38">AVERAGE(AV77:AV106)</f>
        <v>#DIV/0!</v>
      </c>
    </row>
    <row r="78" spans="2:50">
      <c r="B78" s="496"/>
      <c r="C78" s="182">
        <v>2</v>
      </c>
      <c r="D78" s="269"/>
      <c r="E78" s="182"/>
      <c r="F78" s="182"/>
      <c r="G78" s="166"/>
      <c r="H78" s="488"/>
      <c r="I78" s="166" t="str">
        <f t="shared" ref="I78:I106" si="39">IFERROR(AVERAGE(P78,U78,Z78,AE78,AJ78,AO78,AT78),"-")</f>
        <v>-</v>
      </c>
      <c r="J78" s="166" t="str">
        <f t="shared" ref="J78:J106" si="40">IFERROR(AVERAGE(Q78,V78,AA78,AF78,AK78,AP78,AU78),"-")</f>
        <v>-</v>
      </c>
      <c r="K78" s="180" t="str">
        <f t="shared" ref="K78:K106" si="41">IFERROR(AVERAGE(R78,W78,AB78,AG78,AL78,AQ78,AV78),"-")</f>
        <v>-</v>
      </c>
      <c r="L78" s="488"/>
      <c r="M78" s="166" t="e">
        <f>RANK(K78, K$77:$K$106)</f>
        <v>#VALUE!</v>
      </c>
      <c r="N78" s="485"/>
      <c r="O78" s="485"/>
      <c r="P78" s="166"/>
      <c r="Q78" s="166"/>
      <c r="R78" s="166"/>
      <c r="S78" s="182" t="e">
        <f t="shared" ref="S78:S106" si="42">RANK(R78, R$77:R$106)</f>
        <v>#N/A</v>
      </c>
      <c r="T78" s="488"/>
      <c r="U78" s="166"/>
      <c r="V78" s="166"/>
      <c r="W78" s="166"/>
      <c r="X78" s="182" t="e">
        <f t="shared" si="27"/>
        <v>#N/A</v>
      </c>
      <c r="Y78" s="488"/>
      <c r="Z78" s="166"/>
      <c r="AA78" s="166"/>
      <c r="AB78" s="166"/>
      <c r="AC78" s="182" t="e">
        <f t="shared" si="29"/>
        <v>#N/A</v>
      </c>
      <c r="AD78" s="488"/>
      <c r="AE78" s="166"/>
      <c r="AF78" s="166"/>
      <c r="AG78" s="166"/>
      <c r="AH78" s="182" t="e">
        <f t="shared" si="31"/>
        <v>#N/A</v>
      </c>
      <c r="AI78" s="488"/>
      <c r="AJ78" s="166"/>
      <c r="AK78" s="166"/>
      <c r="AL78" s="166"/>
      <c r="AM78" s="182" t="e">
        <f t="shared" si="33"/>
        <v>#N/A</v>
      </c>
      <c r="AN78" s="488"/>
      <c r="AO78" s="166"/>
      <c r="AP78" s="166"/>
      <c r="AQ78" s="166"/>
      <c r="AR78" s="182" t="e">
        <f t="shared" si="35"/>
        <v>#N/A</v>
      </c>
      <c r="AS78" s="488"/>
      <c r="AT78" s="166"/>
      <c r="AU78" s="166"/>
      <c r="AV78" s="166"/>
      <c r="AW78" s="182" t="e">
        <f t="shared" si="37"/>
        <v>#N/A</v>
      </c>
      <c r="AX78" s="488"/>
    </row>
    <row r="79" spans="2:50">
      <c r="B79" s="496"/>
      <c r="C79" s="182">
        <v>3</v>
      </c>
      <c r="D79" s="182"/>
      <c r="E79" s="182"/>
      <c r="F79" s="182"/>
      <c r="G79" s="166"/>
      <c r="H79" s="488"/>
      <c r="I79" s="166" t="str">
        <f t="shared" si="39"/>
        <v>-</v>
      </c>
      <c r="J79" s="166" t="str">
        <f t="shared" si="40"/>
        <v>-</v>
      </c>
      <c r="K79" s="180" t="str">
        <f t="shared" si="41"/>
        <v>-</v>
      </c>
      <c r="L79" s="488"/>
      <c r="M79" s="166" t="e">
        <f>RANK(K79, K$77:$K$106)</f>
        <v>#VALUE!</v>
      </c>
      <c r="N79" s="485"/>
      <c r="O79" s="485"/>
      <c r="P79" s="166"/>
      <c r="Q79" s="166"/>
      <c r="R79" s="166"/>
      <c r="S79" s="182" t="e">
        <f t="shared" si="42"/>
        <v>#N/A</v>
      </c>
      <c r="T79" s="488"/>
      <c r="U79" s="166"/>
      <c r="V79" s="166"/>
      <c r="W79" s="166"/>
      <c r="X79" s="182" t="e">
        <f t="shared" si="27"/>
        <v>#N/A</v>
      </c>
      <c r="Y79" s="488"/>
      <c r="Z79" s="166"/>
      <c r="AA79" s="166"/>
      <c r="AB79" s="166"/>
      <c r="AC79" s="182" t="e">
        <f t="shared" si="29"/>
        <v>#N/A</v>
      </c>
      <c r="AD79" s="488"/>
      <c r="AE79" s="166"/>
      <c r="AF79" s="166"/>
      <c r="AG79" s="166"/>
      <c r="AH79" s="182" t="e">
        <f t="shared" si="31"/>
        <v>#N/A</v>
      </c>
      <c r="AI79" s="488"/>
      <c r="AJ79" s="166"/>
      <c r="AK79" s="166"/>
      <c r="AL79" s="166"/>
      <c r="AM79" s="182" t="e">
        <f t="shared" si="33"/>
        <v>#N/A</v>
      </c>
      <c r="AN79" s="488"/>
      <c r="AO79" s="166"/>
      <c r="AP79" s="166"/>
      <c r="AQ79" s="166"/>
      <c r="AR79" s="182" t="e">
        <f t="shared" si="35"/>
        <v>#N/A</v>
      </c>
      <c r="AS79" s="488"/>
      <c r="AT79" s="166"/>
      <c r="AU79" s="166"/>
      <c r="AV79" s="166"/>
      <c r="AW79" s="182" t="e">
        <f t="shared" si="37"/>
        <v>#N/A</v>
      </c>
      <c r="AX79" s="488"/>
    </row>
    <row r="80" spans="2:50">
      <c r="B80" s="496"/>
      <c r="C80" s="182">
        <v>4</v>
      </c>
      <c r="D80" s="182"/>
      <c r="E80" s="182"/>
      <c r="F80" s="182"/>
      <c r="G80" s="166"/>
      <c r="H80" s="488"/>
      <c r="I80" s="166" t="str">
        <f t="shared" si="39"/>
        <v>-</v>
      </c>
      <c r="J80" s="166" t="str">
        <f t="shared" si="40"/>
        <v>-</v>
      </c>
      <c r="K80" s="180" t="str">
        <f t="shared" si="41"/>
        <v>-</v>
      </c>
      <c r="L80" s="488"/>
      <c r="M80" s="166" t="e">
        <f>RANK(K80, K$77:$K$106)</f>
        <v>#VALUE!</v>
      </c>
      <c r="N80" s="485"/>
      <c r="O80" s="485"/>
      <c r="P80" s="166"/>
      <c r="Q80" s="166"/>
      <c r="R80" s="166"/>
      <c r="S80" s="182" t="e">
        <f t="shared" si="42"/>
        <v>#N/A</v>
      </c>
      <c r="T80" s="488"/>
      <c r="U80" s="166"/>
      <c r="V80" s="166"/>
      <c r="W80" s="166"/>
      <c r="X80" s="182" t="e">
        <f t="shared" si="27"/>
        <v>#N/A</v>
      </c>
      <c r="Y80" s="488"/>
      <c r="Z80" s="166"/>
      <c r="AA80" s="166"/>
      <c r="AB80" s="166"/>
      <c r="AC80" s="182" t="e">
        <f t="shared" si="29"/>
        <v>#N/A</v>
      </c>
      <c r="AD80" s="488"/>
      <c r="AE80" s="166"/>
      <c r="AF80" s="166"/>
      <c r="AG80" s="166"/>
      <c r="AH80" s="182" t="e">
        <f t="shared" si="31"/>
        <v>#N/A</v>
      </c>
      <c r="AI80" s="488"/>
      <c r="AJ80" s="166"/>
      <c r="AK80" s="166"/>
      <c r="AL80" s="166"/>
      <c r="AM80" s="182" t="e">
        <f t="shared" si="33"/>
        <v>#N/A</v>
      </c>
      <c r="AN80" s="488"/>
      <c r="AO80" s="166"/>
      <c r="AP80" s="166"/>
      <c r="AQ80" s="166"/>
      <c r="AR80" s="182" t="e">
        <f t="shared" si="35"/>
        <v>#N/A</v>
      </c>
      <c r="AS80" s="488"/>
      <c r="AT80" s="166"/>
      <c r="AU80" s="166"/>
      <c r="AV80" s="166"/>
      <c r="AW80" s="182" t="e">
        <f t="shared" si="37"/>
        <v>#N/A</v>
      </c>
      <c r="AX80" s="488"/>
    </row>
    <row r="81" spans="2:50">
      <c r="B81" s="496"/>
      <c r="C81" s="182">
        <v>5</v>
      </c>
      <c r="D81" s="182"/>
      <c r="E81" s="182"/>
      <c r="F81" s="182"/>
      <c r="G81" s="166"/>
      <c r="H81" s="488"/>
      <c r="I81" s="166" t="str">
        <f t="shared" si="39"/>
        <v>-</v>
      </c>
      <c r="J81" s="166" t="str">
        <f t="shared" si="40"/>
        <v>-</v>
      </c>
      <c r="K81" s="180" t="str">
        <f t="shared" si="41"/>
        <v>-</v>
      </c>
      <c r="L81" s="488"/>
      <c r="M81" s="166" t="e">
        <f>RANK(K81, K$77:$K$106)</f>
        <v>#VALUE!</v>
      </c>
      <c r="N81" s="485"/>
      <c r="O81" s="485"/>
      <c r="P81" s="166"/>
      <c r="Q81" s="166"/>
      <c r="R81" s="166"/>
      <c r="S81" s="182" t="e">
        <f t="shared" si="42"/>
        <v>#N/A</v>
      </c>
      <c r="T81" s="488"/>
      <c r="U81" s="166"/>
      <c r="V81" s="166"/>
      <c r="W81" s="166"/>
      <c r="X81" s="182" t="e">
        <f t="shared" si="27"/>
        <v>#N/A</v>
      </c>
      <c r="Y81" s="488"/>
      <c r="Z81" s="166"/>
      <c r="AA81" s="166"/>
      <c r="AB81" s="166"/>
      <c r="AC81" s="182" t="e">
        <f t="shared" si="29"/>
        <v>#N/A</v>
      </c>
      <c r="AD81" s="488"/>
      <c r="AE81" s="166"/>
      <c r="AF81" s="166"/>
      <c r="AG81" s="166"/>
      <c r="AH81" s="182" t="e">
        <f t="shared" si="31"/>
        <v>#N/A</v>
      </c>
      <c r="AI81" s="488"/>
      <c r="AJ81" s="166"/>
      <c r="AK81" s="166"/>
      <c r="AL81" s="166"/>
      <c r="AM81" s="182" t="e">
        <f t="shared" si="33"/>
        <v>#N/A</v>
      </c>
      <c r="AN81" s="488"/>
      <c r="AO81" s="166"/>
      <c r="AP81" s="166"/>
      <c r="AQ81" s="166"/>
      <c r="AR81" s="182" t="e">
        <f t="shared" si="35"/>
        <v>#N/A</v>
      </c>
      <c r="AS81" s="488"/>
      <c r="AT81" s="166"/>
      <c r="AU81" s="166"/>
      <c r="AV81" s="166"/>
      <c r="AW81" s="182" t="e">
        <f t="shared" si="37"/>
        <v>#N/A</v>
      </c>
      <c r="AX81" s="488"/>
    </row>
    <row r="82" spans="2:50">
      <c r="B82" s="496"/>
      <c r="C82" s="182">
        <v>6</v>
      </c>
      <c r="D82" s="182"/>
      <c r="E82" s="182"/>
      <c r="F82" s="182"/>
      <c r="G82" s="166"/>
      <c r="H82" s="488"/>
      <c r="I82" s="166" t="str">
        <f t="shared" si="39"/>
        <v>-</v>
      </c>
      <c r="J82" s="166" t="str">
        <f t="shared" si="40"/>
        <v>-</v>
      </c>
      <c r="K82" s="180" t="str">
        <f t="shared" si="41"/>
        <v>-</v>
      </c>
      <c r="L82" s="488"/>
      <c r="M82" s="166" t="e">
        <f>RANK(K82, K$77:$K$106)</f>
        <v>#VALUE!</v>
      </c>
      <c r="N82" s="485"/>
      <c r="O82" s="485"/>
      <c r="P82" s="166"/>
      <c r="Q82" s="166"/>
      <c r="R82" s="166"/>
      <c r="S82" s="182" t="e">
        <f t="shared" si="42"/>
        <v>#N/A</v>
      </c>
      <c r="T82" s="488"/>
      <c r="U82" s="166"/>
      <c r="V82" s="166"/>
      <c r="W82" s="166"/>
      <c r="X82" s="182" t="e">
        <f t="shared" si="27"/>
        <v>#N/A</v>
      </c>
      <c r="Y82" s="488"/>
      <c r="Z82" s="166"/>
      <c r="AA82" s="166"/>
      <c r="AB82" s="166"/>
      <c r="AC82" s="182" t="e">
        <f t="shared" si="29"/>
        <v>#N/A</v>
      </c>
      <c r="AD82" s="488"/>
      <c r="AE82" s="166"/>
      <c r="AF82" s="166"/>
      <c r="AG82" s="166"/>
      <c r="AH82" s="182" t="e">
        <f t="shared" si="31"/>
        <v>#N/A</v>
      </c>
      <c r="AI82" s="488"/>
      <c r="AJ82" s="166"/>
      <c r="AK82" s="166"/>
      <c r="AL82" s="166"/>
      <c r="AM82" s="182" t="e">
        <f t="shared" si="33"/>
        <v>#N/A</v>
      </c>
      <c r="AN82" s="488"/>
      <c r="AO82" s="166"/>
      <c r="AP82" s="166"/>
      <c r="AQ82" s="166"/>
      <c r="AR82" s="182" t="e">
        <f t="shared" si="35"/>
        <v>#N/A</v>
      </c>
      <c r="AS82" s="488"/>
      <c r="AT82" s="166"/>
      <c r="AU82" s="166"/>
      <c r="AV82" s="166"/>
      <c r="AW82" s="182" t="e">
        <f t="shared" si="37"/>
        <v>#N/A</v>
      </c>
      <c r="AX82" s="488"/>
    </row>
    <row r="83" spans="2:50">
      <c r="B83" s="496"/>
      <c r="C83" s="182">
        <v>7</v>
      </c>
      <c r="D83" s="182"/>
      <c r="E83" s="182"/>
      <c r="F83" s="182"/>
      <c r="G83" s="166"/>
      <c r="H83" s="488"/>
      <c r="I83" s="166" t="str">
        <f t="shared" si="39"/>
        <v>-</v>
      </c>
      <c r="J83" s="166" t="str">
        <f t="shared" si="40"/>
        <v>-</v>
      </c>
      <c r="K83" s="180" t="str">
        <f t="shared" si="41"/>
        <v>-</v>
      </c>
      <c r="L83" s="488"/>
      <c r="M83" s="166" t="e">
        <f>RANK(K83, K$77:$K$106)</f>
        <v>#VALUE!</v>
      </c>
      <c r="N83" s="485"/>
      <c r="O83" s="485"/>
      <c r="P83" s="166"/>
      <c r="Q83" s="166"/>
      <c r="R83" s="166"/>
      <c r="S83" s="182" t="e">
        <f t="shared" si="42"/>
        <v>#N/A</v>
      </c>
      <c r="T83" s="488"/>
      <c r="U83" s="166"/>
      <c r="V83" s="166"/>
      <c r="W83" s="166"/>
      <c r="X83" s="182" t="e">
        <f t="shared" si="27"/>
        <v>#N/A</v>
      </c>
      <c r="Y83" s="488"/>
      <c r="Z83" s="166"/>
      <c r="AA83" s="166"/>
      <c r="AB83" s="166"/>
      <c r="AC83" s="182" t="e">
        <f t="shared" si="29"/>
        <v>#N/A</v>
      </c>
      <c r="AD83" s="488"/>
      <c r="AE83" s="166"/>
      <c r="AF83" s="166"/>
      <c r="AG83" s="166"/>
      <c r="AH83" s="182" t="e">
        <f t="shared" si="31"/>
        <v>#N/A</v>
      </c>
      <c r="AI83" s="488"/>
      <c r="AJ83" s="166"/>
      <c r="AK83" s="166"/>
      <c r="AL83" s="166"/>
      <c r="AM83" s="182" t="e">
        <f t="shared" si="33"/>
        <v>#N/A</v>
      </c>
      <c r="AN83" s="488"/>
      <c r="AO83" s="166"/>
      <c r="AP83" s="166"/>
      <c r="AQ83" s="166"/>
      <c r="AR83" s="182" t="e">
        <f t="shared" si="35"/>
        <v>#N/A</v>
      </c>
      <c r="AS83" s="488"/>
      <c r="AT83" s="166"/>
      <c r="AU83" s="166"/>
      <c r="AV83" s="166"/>
      <c r="AW83" s="182" t="e">
        <f t="shared" si="37"/>
        <v>#N/A</v>
      </c>
      <c r="AX83" s="488"/>
    </row>
    <row r="84" spans="2:50">
      <c r="B84" s="496"/>
      <c r="C84" s="182">
        <v>8</v>
      </c>
      <c r="D84" s="182"/>
      <c r="E84" s="182"/>
      <c r="F84" s="182"/>
      <c r="G84" s="166"/>
      <c r="H84" s="488"/>
      <c r="I84" s="166" t="str">
        <f t="shared" si="39"/>
        <v>-</v>
      </c>
      <c r="J84" s="166" t="str">
        <f t="shared" si="40"/>
        <v>-</v>
      </c>
      <c r="K84" s="180" t="str">
        <f t="shared" si="41"/>
        <v>-</v>
      </c>
      <c r="L84" s="488"/>
      <c r="M84" s="166" t="e">
        <f>RANK(K84, K$77:$K$106)</f>
        <v>#VALUE!</v>
      </c>
      <c r="N84" s="485"/>
      <c r="O84" s="485"/>
      <c r="P84" s="166"/>
      <c r="Q84" s="166"/>
      <c r="R84" s="166"/>
      <c r="S84" s="182" t="e">
        <f t="shared" si="42"/>
        <v>#N/A</v>
      </c>
      <c r="T84" s="488"/>
      <c r="U84" s="166"/>
      <c r="V84" s="166"/>
      <c r="W84" s="166"/>
      <c r="X84" s="182" t="e">
        <f t="shared" si="27"/>
        <v>#N/A</v>
      </c>
      <c r="Y84" s="488"/>
      <c r="Z84" s="166"/>
      <c r="AA84" s="166"/>
      <c r="AB84" s="166"/>
      <c r="AC84" s="182" t="e">
        <f t="shared" si="29"/>
        <v>#N/A</v>
      </c>
      <c r="AD84" s="488"/>
      <c r="AE84" s="166"/>
      <c r="AF84" s="166"/>
      <c r="AG84" s="166"/>
      <c r="AH84" s="182" t="e">
        <f t="shared" si="31"/>
        <v>#N/A</v>
      </c>
      <c r="AI84" s="488"/>
      <c r="AJ84" s="166"/>
      <c r="AK84" s="166"/>
      <c r="AL84" s="166"/>
      <c r="AM84" s="182" t="e">
        <f t="shared" si="33"/>
        <v>#N/A</v>
      </c>
      <c r="AN84" s="488"/>
      <c r="AO84" s="166"/>
      <c r="AP84" s="166"/>
      <c r="AQ84" s="166"/>
      <c r="AR84" s="182" t="e">
        <f t="shared" si="35"/>
        <v>#N/A</v>
      </c>
      <c r="AS84" s="488"/>
      <c r="AT84" s="166"/>
      <c r="AU84" s="166"/>
      <c r="AV84" s="166"/>
      <c r="AW84" s="182" t="e">
        <f t="shared" si="37"/>
        <v>#N/A</v>
      </c>
      <c r="AX84" s="488"/>
    </row>
    <row r="85" spans="2:50">
      <c r="B85" s="496"/>
      <c r="C85" s="182">
        <v>9</v>
      </c>
      <c r="D85" s="182"/>
      <c r="E85" s="182"/>
      <c r="F85" s="182"/>
      <c r="G85" s="166"/>
      <c r="H85" s="488"/>
      <c r="I85" s="166" t="str">
        <f t="shared" si="39"/>
        <v>-</v>
      </c>
      <c r="J85" s="166" t="str">
        <f t="shared" si="40"/>
        <v>-</v>
      </c>
      <c r="K85" s="180" t="str">
        <f t="shared" si="41"/>
        <v>-</v>
      </c>
      <c r="L85" s="488"/>
      <c r="M85" s="166" t="e">
        <f>RANK(K85, K$77:$K$106)</f>
        <v>#VALUE!</v>
      </c>
      <c r="N85" s="485"/>
      <c r="O85" s="485"/>
      <c r="P85" s="166"/>
      <c r="Q85" s="166"/>
      <c r="R85" s="166"/>
      <c r="S85" s="182" t="e">
        <f t="shared" si="42"/>
        <v>#N/A</v>
      </c>
      <c r="T85" s="488"/>
      <c r="U85" s="166"/>
      <c r="V85" s="166"/>
      <c r="W85" s="166"/>
      <c r="X85" s="182" t="e">
        <f t="shared" si="27"/>
        <v>#N/A</v>
      </c>
      <c r="Y85" s="488"/>
      <c r="Z85" s="166"/>
      <c r="AA85" s="166"/>
      <c r="AB85" s="166"/>
      <c r="AC85" s="182" t="e">
        <f t="shared" si="29"/>
        <v>#N/A</v>
      </c>
      <c r="AD85" s="488"/>
      <c r="AE85" s="166"/>
      <c r="AF85" s="166"/>
      <c r="AG85" s="166"/>
      <c r="AH85" s="182" t="e">
        <f t="shared" si="31"/>
        <v>#N/A</v>
      </c>
      <c r="AI85" s="488"/>
      <c r="AJ85" s="166"/>
      <c r="AK85" s="166"/>
      <c r="AL85" s="166"/>
      <c r="AM85" s="182" t="e">
        <f t="shared" si="33"/>
        <v>#N/A</v>
      </c>
      <c r="AN85" s="488"/>
      <c r="AO85" s="166"/>
      <c r="AP85" s="166"/>
      <c r="AQ85" s="166"/>
      <c r="AR85" s="182" t="e">
        <f t="shared" si="35"/>
        <v>#N/A</v>
      </c>
      <c r="AS85" s="488"/>
      <c r="AT85" s="166"/>
      <c r="AU85" s="166"/>
      <c r="AV85" s="166"/>
      <c r="AW85" s="182" t="e">
        <f t="shared" si="37"/>
        <v>#N/A</v>
      </c>
      <c r="AX85" s="488"/>
    </row>
    <row r="86" spans="2:50">
      <c r="B86" s="496"/>
      <c r="C86" s="182">
        <v>10</v>
      </c>
      <c r="D86" s="182"/>
      <c r="E86" s="182"/>
      <c r="F86" s="182"/>
      <c r="G86" s="166"/>
      <c r="H86" s="488"/>
      <c r="I86" s="166" t="str">
        <f t="shared" si="39"/>
        <v>-</v>
      </c>
      <c r="J86" s="166" t="str">
        <f t="shared" si="40"/>
        <v>-</v>
      </c>
      <c r="K86" s="180" t="str">
        <f t="shared" si="41"/>
        <v>-</v>
      </c>
      <c r="L86" s="488"/>
      <c r="M86" s="166" t="e">
        <f>RANK(K86, K$77:$K$106)</f>
        <v>#VALUE!</v>
      </c>
      <c r="N86" s="485"/>
      <c r="O86" s="485"/>
      <c r="P86" s="166"/>
      <c r="Q86" s="166"/>
      <c r="R86" s="166"/>
      <c r="S86" s="182" t="e">
        <f t="shared" si="42"/>
        <v>#N/A</v>
      </c>
      <c r="T86" s="488"/>
      <c r="U86" s="166"/>
      <c r="V86" s="166"/>
      <c r="W86" s="166"/>
      <c r="X86" s="182" t="e">
        <f t="shared" si="27"/>
        <v>#N/A</v>
      </c>
      <c r="Y86" s="488"/>
      <c r="Z86" s="166"/>
      <c r="AA86" s="166"/>
      <c r="AB86" s="166"/>
      <c r="AC86" s="182" t="e">
        <f t="shared" si="29"/>
        <v>#N/A</v>
      </c>
      <c r="AD86" s="488"/>
      <c r="AE86" s="166"/>
      <c r="AF86" s="166"/>
      <c r="AG86" s="166"/>
      <c r="AH86" s="182" t="e">
        <f t="shared" si="31"/>
        <v>#N/A</v>
      </c>
      <c r="AI86" s="488"/>
      <c r="AJ86" s="166"/>
      <c r="AK86" s="166"/>
      <c r="AL86" s="166"/>
      <c r="AM86" s="182" t="e">
        <f t="shared" si="33"/>
        <v>#N/A</v>
      </c>
      <c r="AN86" s="488"/>
      <c r="AO86" s="166"/>
      <c r="AP86" s="166"/>
      <c r="AQ86" s="166"/>
      <c r="AR86" s="182" t="e">
        <f t="shared" si="35"/>
        <v>#N/A</v>
      </c>
      <c r="AS86" s="488"/>
      <c r="AT86" s="166"/>
      <c r="AU86" s="166"/>
      <c r="AV86" s="166"/>
      <c r="AW86" s="182" t="e">
        <f t="shared" si="37"/>
        <v>#N/A</v>
      </c>
      <c r="AX86" s="488"/>
    </row>
    <row r="87" spans="2:50">
      <c r="B87" s="496"/>
      <c r="C87" s="182">
        <v>11</v>
      </c>
      <c r="D87" s="182"/>
      <c r="E87" s="182"/>
      <c r="F87" s="182"/>
      <c r="G87" s="166"/>
      <c r="H87" s="488"/>
      <c r="I87" s="166" t="str">
        <f t="shared" si="39"/>
        <v>-</v>
      </c>
      <c r="J87" s="166" t="str">
        <f t="shared" si="40"/>
        <v>-</v>
      </c>
      <c r="K87" s="180" t="str">
        <f t="shared" si="41"/>
        <v>-</v>
      </c>
      <c r="L87" s="488"/>
      <c r="M87" s="166" t="e">
        <f>RANK(K87, K$77:$K$106)</f>
        <v>#VALUE!</v>
      </c>
      <c r="N87" s="485"/>
      <c r="O87" s="485"/>
      <c r="P87" s="166"/>
      <c r="Q87" s="166"/>
      <c r="R87" s="166"/>
      <c r="S87" s="182" t="e">
        <f t="shared" si="42"/>
        <v>#N/A</v>
      </c>
      <c r="T87" s="488"/>
      <c r="U87" s="166"/>
      <c r="V87" s="166"/>
      <c r="W87" s="166"/>
      <c r="X87" s="182" t="e">
        <f t="shared" si="27"/>
        <v>#N/A</v>
      </c>
      <c r="Y87" s="488"/>
      <c r="Z87" s="166"/>
      <c r="AA87" s="166"/>
      <c r="AB87" s="166"/>
      <c r="AC87" s="182" t="e">
        <f t="shared" si="29"/>
        <v>#N/A</v>
      </c>
      <c r="AD87" s="488"/>
      <c r="AE87" s="166"/>
      <c r="AF87" s="166"/>
      <c r="AG87" s="166"/>
      <c r="AH87" s="182" t="e">
        <f t="shared" si="31"/>
        <v>#N/A</v>
      </c>
      <c r="AI87" s="488"/>
      <c r="AJ87" s="166"/>
      <c r="AK87" s="166"/>
      <c r="AL87" s="166"/>
      <c r="AM87" s="182" t="e">
        <f t="shared" si="33"/>
        <v>#N/A</v>
      </c>
      <c r="AN87" s="488"/>
      <c r="AO87" s="166"/>
      <c r="AP87" s="166"/>
      <c r="AQ87" s="166"/>
      <c r="AR87" s="182" t="e">
        <f t="shared" si="35"/>
        <v>#N/A</v>
      </c>
      <c r="AS87" s="488"/>
      <c r="AT87" s="166"/>
      <c r="AU87" s="166"/>
      <c r="AV87" s="166"/>
      <c r="AW87" s="182" t="e">
        <f t="shared" si="37"/>
        <v>#N/A</v>
      </c>
      <c r="AX87" s="488"/>
    </row>
    <row r="88" spans="2:50">
      <c r="B88" s="496"/>
      <c r="C88" s="182">
        <v>12</v>
      </c>
      <c r="D88" s="182"/>
      <c r="E88" s="182"/>
      <c r="F88" s="182"/>
      <c r="G88" s="166"/>
      <c r="H88" s="488"/>
      <c r="I88" s="166" t="str">
        <f t="shared" si="39"/>
        <v>-</v>
      </c>
      <c r="J88" s="166" t="str">
        <f t="shared" si="40"/>
        <v>-</v>
      </c>
      <c r="K88" s="180" t="str">
        <f t="shared" si="41"/>
        <v>-</v>
      </c>
      <c r="L88" s="488"/>
      <c r="M88" s="166" t="e">
        <f>RANK(K88, K$77:$K$106)</f>
        <v>#VALUE!</v>
      </c>
      <c r="N88" s="485"/>
      <c r="O88" s="485"/>
      <c r="P88" s="166"/>
      <c r="Q88" s="166"/>
      <c r="R88" s="166"/>
      <c r="S88" s="182" t="e">
        <f t="shared" si="42"/>
        <v>#N/A</v>
      </c>
      <c r="T88" s="488"/>
      <c r="U88" s="166"/>
      <c r="V88" s="166"/>
      <c r="W88" s="166"/>
      <c r="X88" s="182" t="e">
        <f t="shared" si="27"/>
        <v>#N/A</v>
      </c>
      <c r="Y88" s="488"/>
      <c r="Z88" s="166"/>
      <c r="AA88" s="166"/>
      <c r="AB88" s="166"/>
      <c r="AC88" s="182" t="e">
        <f t="shared" si="29"/>
        <v>#N/A</v>
      </c>
      <c r="AD88" s="488"/>
      <c r="AE88" s="166"/>
      <c r="AF88" s="166"/>
      <c r="AG88" s="166"/>
      <c r="AH88" s="182" t="e">
        <f t="shared" si="31"/>
        <v>#N/A</v>
      </c>
      <c r="AI88" s="488"/>
      <c r="AJ88" s="166"/>
      <c r="AK88" s="166"/>
      <c r="AL88" s="166"/>
      <c r="AM88" s="182" t="e">
        <f t="shared" si="33"/>
        <v>#N/A</v>
      </c>
      <c r="AN88" s="488"/>
      <c r="AO88" s="166"/>
      <c r="AP88" s="166"/>
      <c r="AQ88" s="166"/>
      <c r="AR88" s="182" t="e">
        <f t="shared" si="35"/>
        <v>#N/A</v>
      </c>
      <c r="AS88" s="488"/>
      <c r="AT88" s="166"/>
      <c r="AU88" s="166"/>
      <c r="AV88" s="166"/>
      <c r="AW88" s="182" t="e">
        <f t="shared" si="37"/>
        <v>#N/A</v>
      </c>
      <c r="AX88" s="488"/>
    </row>
    <row r="89" spans="2:50">
      <c r="B89" s="496"/>
      <c r="C89" s="182">
        <v>13</v>
      </c>
      <c r="D89" s="182"/>
      <c r="E89" s="182"/>
      <c r="F89" s="182"/>
      <c r="G89" s="166"/>
      <c r="H89" s="488"/>
      <c r="I89" s="166" t="str">
        <f t="shared" si="39"/>
        <v>-</v>
      </c>
      <c r="J89" s="166" t="str">
        <f t="shared" si="40"/>
        <v>-</v>
      </c>
      <c r="K89" s="180" t="str">
        <f t="shared" si="41"/>
        <v>-</v>
      </c>
      <c r="L89" s="488"/>
      <c r="M89" s="166" t="e">
        <f>RANK(K89, K$77:$K$106)</f>
        <v>#VALUE!</v>
      </c>
      <c r="N89" s="485"/>
      <c r="O89" s="485"/>
      <c r="P89" s="166"/>
      <c r="Q89" s="166"/>
      <c r="R89" s="166"/>
      <c r="S89" s="182" t="e">
        <f t="shared" si="42"/>
        <v>#N/A</v>
      </c>
      <c r="T89" s="488"/>
      <c r="U89" s="166"/>
      <c r="V89" s="166"/>
      <c r="W89" s="166"/>
      <c r="X89" s="182" t="e">
        <f t="shared" si="27"/>
        <v>#N/A</v>
      </c>
      <c r="Y89" s="488"/>
      <c r="Z89" s="166"/>
      <c r="AA89" s="166"/>
      <c r="AB89" s="166"/>
      <c r="AC89" s="182" t="e">
        <f t="shared" si="29"/>
        <v>#N/A</v>
      </c>
      <c r="AD89" s="488"/>
      <c r="AE89" s="166"/>
      <c r="AF89" s="166"/>
      <c r="AG89" s="166"/>
      <c r="AH89" s="182" t="e">
        <f t="shared" si="31"/>
        <v>#N/A</v>
      </c>
      <c r="AI89" s="488"/>
      <c r="AJ89" s="166"/>
      <c r="AK89" s="166"/>
      <c r="AL89" s="166"/>
      <c r="AM89" s="182" t="e">
        <f t="shared" si="33"/>
        <v>#N/A</v>
      </c>
      <c r="AN89" s="488"/>
      <c r="AO89" s="166"/>
      <c r="AP89" s="166"/>
      <c r="AQ89" s="166"/>
      <c r="AR89" s="182" t="e">
        <f t="shared" si="35"/>
        <v>#N/A</v>
      </c>
      <c r="AS89" s="488"/>
      <c r="AT89" s="166"/>
      <c r="AU89" s="166"/>
      <c r="AV89" s="166"/>
      <c r="AW89" s="182" t="e">
        <f t="shared" si="37"/>
        <v>#N/A</v>
      </c>
      <c r="AX89" s="488"/>
    </row>
    <row r="90" spans="2:50">
      <c r="B90" s="496"/>
      <c r="C90" s="182">
        <v>14</v>
      </c>
      <c r="D90" s="182"/>
      <c r="E90" s="182"/>
      <c r="F90" s="182"/>
      <c r="G90" s="166"/>
      <c r="H90" s="488"/>
      <c r="I90" s="166" t="str">
        <f t="shared" si="39"/>
        <v>-</v>
      </c>
      <c r="J90" s="166" t="str">
        <f t="shared" si="40"/>
        <v>-</v>
      </c>
      <c r="K90" s="180" t="str">
        <f t="shared" si="41"/>
        <v>-</v>
      </c>
      <c r="L90" s="488"/>
      <c r="M90" s="166" t="e">
        <f>RANK(K90, K$77:$K$106)</f>
        <v>#VALUE!</v>
      </c>
      <c r="N90" s="485"/>
      <c r="O90" s="485"/>
      <c r="P90" s="166"/>
      <c r="Q90" s="166"/>
      <c r="R90" s="166"/>
      <c r="S90" s="182" t="e">
        <f t="shared" si="42"/>
        <v>#N/A</v>
      </c>
      <c r="T90" s="488"/>
      <c r="U90" s="166"/>
      <c r="V90" s="166"/>
      <c r="W90" s="166"/>
      <c r="X90" s="182" t="e">
        <f t="shared" si="27"/>
        <v>#N/A</v>
      </c>
      <c r="Y90" s="488"/>
      <c r="Z90" s="166"/>
      <c r="AA90" s="166"/>
      <c r="AB90" s="166"/>
      <c r="AC90" s="182" t="e">
        <f t="shared" si="29"/>
        <v>#N/A</v>
      </c>
      <c r="AD90" s="488"/>
      <c r="AE90" s="166"/>
      <c r="AF90" s="166"/>
      <c r="AG90" s="166"/>
      <c r="AH90" s="182" t="e">
        <f t="shared" si="31"/>
        <v>#N/A</v>
      </c>
      <c r="AI90" s="488"/>
      <c r="AJ90" s="166"/>
      <c r="AK90" s="166"/>
      <c r="AL90" s="166"/>
      <c r="AM90" s="182" t="e">
        <f t="shared" si="33"/>
        <v>#N/A</v>
      </c>
      <c r="AN90" s="488"/>
      <c r="AO90" s="166"/>
      <c r="AP90" s="166"/>
      <c r="AQ90" s="166"/>
      <c r="AR90" s="182" t="e">
        <f t="shared" si="35"/>
        <v>#N/A</v>
      </c>
      <c r="AS90" s="488"/>
      <c r="AT90" s="166"/>
      <c r="AU90" s="166"/>
      <c r="AV90" s="166"/>
      <c r="AW90" s="182" t="e">
        <f t="shared" si="37"/>
        <v>#N/A</v>
      </c>
      <c r="AX90" s="488"/>
    </row>
    <row r="91" spans="2:50">
      <c r="B91" s="496"/>
      <c r="C91" s="182">
        <v>15</v>
      </c>
      <c r="D91" s="182"/>
      <c r="E91" s="182"/>
      <c r="F91" s="182"/>
      <c r="G91" s="166"/>
      <c r="H91" s="488"/>
      <c r="I91" s="166" t="str">
        <f t="shared" si="39"/>
        <v>-</v>
      </c>
      <c r="J91" s="166" t="str">
        <f t="shared" si="40"/>
        <v>-</v>
      </c>
      <c r="K91" s="180" t="str">
        <f t="shared" si="41"/>
        <v>-</v>
      </c>
      <c r="L91" s="488"/>
      <c r="M91" s="166" t="e">
        <f>RANK(K91, K$77:$K$106)</f>
        <v>#VALUE!</v>
      </c>
      <c r="N91" s="485"/>
      <c r="O91" s="485"/>
      <c r="P91" s="166"/>
      <c r="Q91" s="166"/>
      <c r="R91" s="166"/>
      <c r="S91" s="182" t="e">
        <f t="shared" si="42"/>
        <v>#N/A</v>
      </c>
      <c r="T91" s="488"/>
      <c r="U91" s="166"/>
      <c r="V91" s="166"/>
      <c r="W91" s="166"/>
      <c r="X91" s="182" t="e">
        <f t="shared" si="27"/>
        <v>#N/A</v>
      </c>
      <c r="Y91" s="488"/>
      <c r="Z91" s="166"/>
      <c r="AA91" s="166"/>
      <c r="AB91" s="166"/>
      <c r="AC91" s="182" t="e">
        <f t="shared" si="29"/>
        <v>#N/A</v>
      </c>
      <c r="AD91" s="488"/>
      <c r="AE91" s="166"/>
      <c r="AF91" s="166"/>
      <c r="AG91" s="166"/>
      <c r="AH91" s="182" t="e">
        <f t="shared" si="31"/>
        <v>#N/A</v>
      </c>
      <c r="AI91" s="488"/>
      <c r="AJ91" s="166"/>
      <c r="AK91" s="166"/>
      <c r="AL91" s="166"/>
      <c r="AM91" s="182" t="e">
        <f t="shared" si="33"/>
        <v>#N/A</v>
      </c>
      <c r="AN91" s="488"/>
      <c r="AO91" s="166"/>
      <c r="AP91" s="166"/>
      <c r="AQ91" s="166"/>
      <c r="AR91" s="182" t="e">
        <f t="shared" si="35"/>
        <v>#N/A</v>
      </c>
      <c r="AS91" s="488"/>
      <c r="AT91" s="166"/>
      <c r="AU91" s="166"/>
      <c r="AV91" s="166"/>
      <c r="AW91" s="182" t="e">
        <f t="shared" si="37"/>
        <v>#N/A</v>
      </c>
      <c r="AX91" s="488"/>
    </row>
    <row r="92" spans="2:50">
      <c r="B92" s="496"/>
      <c r="C92" s="182">
        <v>16</v>
      </c>
      <c r="D92" s="182"/>
      <c r="E92" s="182"/>
      <c r="F92" s="182"/>
      <c r="G92" s="166"/>
      <c r="H92" s="488"/>
      <c r="I92" s="166" t="str">
        <f t="shared" si="39"/>
        <v>-</v>
      </c>
      <c r="J92" s="166" t="str">
        <f t="shared" si="40"/>
        <v>-</v>
      </c>
      <c r="K92" s="180" t="str">
        <f t="shared" si="41"/>
        <v>-</v>
      </c>
      <c r="L92" s="488"/>
      <c r="M92" s="166" t="e">
        <f>RANK(K92, K$77:$K$106)</f>
        <v>#VALUE!</v>
      </c>
      <c r="N92" s="485"/>
      <c r="O92" s="485"/>
      <c r="P92" s="166"/>
      <c r="Q92" s="166"/>
      <c r="R92" s="166"/>
      <c r="S92" s="182" t="e">
        <f t="shared" si="42"/>
        <v>#N/A</v>
      </c>
      <c r="T92" s="488"/>
      <c r="U92" s="166"/>
      <c r="V92" s="166"/>
      <c r="W92" s="166"/>
      <c r="X92" s="182" t="e">
        <f t="shared" si="27"/>
        <v>#N/A</v>
      </c>
      <c r="Y92" s="488"/>
      <c r="Z92" s="166"/>
      <c r="AA92" s="166"/>
      <c r="AB92" s="166"/>
      <c r="AC92" s="182" t="e">
        <f t="shared" si="29"/>
        <v>#N/A</v>
      </c>
      <c r="AD92" s="488"/>
      <c r="AE92" s="166"/>
      <c r="AF92" s="166"/>
      <c r="AG92" s="166"/>
      <c r="AH92" s="182" t="e">
        <f t="shared" si="31"/>
        <v>#N/A</v>
      </c>
      <c r="AI92" s="488"/>
      <c r="AJ92" s="166"/>
      <c r="AK92" s="166"/>
      <c r="AL92" s="166"/>
      <c r="AM92" s="182" t="e">
        <f t="shared" si="33"/>
        <v>#N/A</v>
      </c>
      <c r="AN92" s="488"/>
      <c r="AO92" s="166"/>
      <c r="AP92" s="166"/>
      <c r="AQ92" s="166"/>
      <c r="AR92" s="182" t="e">
        <f t="shared" si="35"/>
        <v>#N/A</v>
      </c>
      <c r="AS92" s="488"/>
      <c r="AT92" s="166"/>
      <c r="AU92" s="166"/>
      <c r="AV92" s="166"/>
      <c r="AW92" s="182" t="e">
        <f t="shared" si="37"/>
        <v>#N/A</v>
      </c>
      <c r="AX92" s="488"/>
    </row>
    <row r="93" spans="2:50">
      <c r="B93" s="496"/>
      <c r="C93" s="182">
        <v>17</v>
      </c>
      <c r="D93" s="182"/>
      <c r="E93" s="182"/>
      <c r="F93" s="182"/>
      <c r="G93" s="166"/>
      <c r="H93" s="488"/>
      <c r="I93" s="166" t="str">
        <f t="shared" si="39"/>
        <v>-</v>
      </c>
      <c r="J93" s="166" t="str">
        <f t="shared" si="40"/>
        <v>-</v>
      </c>
      <c r="K93" s="180" t="str">
        <f t="shared" si="41"/>
        <v>-</v>
      </c>
      <c r="L93" s="488"/>
      <c r="M93" s="166" t="e">
        <f>RANK(K93, K$77:$K$106)</f>
        <v>#VALUE!</v>
      </c>
      <c r="N93" s="485"/>
      <c r="O93" s="485"/>
      <c r="P93" s="166"/>
      <c r="Q93" s="166"/>
      <c r="R93" s="166"/>
      <c r="S93" s="182" t="e">
        <f t="shared" si="42"/>
        <v>#N/A</v>
      </c>
      <c r="T93" s="488"/>
      <c r="U93" s="166"/>
      <c r="V93" s="166"/>
      <c r="W93" s="166"/>
      <c r="X93" s="182" t="e">
        <f t="shared" ref="X93:X106" si="43">RANK(W93, W$77:W$106)</f>
        <v>#N/A</v>
      </c>
      <c r="Y93" s="488"/>
      <c r="Z93" s="166"/>
      <c r="AA93" s="166"/>
      <c r="AB93" s="166"/>
      <c r="AC93" s="182" t="e">
        <f t="shared" ref="AC93:AC106" si="44">RANK(AB93, AB$77:AB$106)</f>
        <v>#N/A</v>
      </c>
      <c r="AD93" s="488"/>
      <c r="AE93" s="166"/>
      <c r="AF93" s="166"/>
      <c r="AG93" s="166"/>
      <c r="AH93" s="182" t="e">
        <f t="shared" ref="AH93:AH106" si="45">RANK(AG93, AG$77:AG$106)</f>
        <v>#N/A</v>
      </c>
      <c r="AI93" s="488"/>
      <c r="AJ93" s="166"/>
      <c r="AK93" s="166"/>
      <c r="AL93" s="166"/>
      <c r="AM93" s="182" t="e">
        <f t="shared" ref="AM93:AM106" si="46">RANK(AL93, AL$77:AL$106)</f>
        <v>#N/A</v>
      </c>
      <c r="AN93" s="488"/>
      <c r="AO93" s="166"/>
      <c r="AP93" s="166"/>
      <c r="AQ93" s="166"/>
      <c r="AR93" s="182" t="e">
        <f t="shared" ref="AR93:AR106" si="47">RANK(AQ93, AQ$77:AQ$106)</f>
        <v>#N/A</v>
      </c>
      <c r="AS93" s="488"/>
      <c r="AT93" s="166"/>
      <c r="AU93" s="166"/>
      <c r="AV93" s="166"/>
      <c r="AW93" s="182" t="e">
        <f t="shared" ref="AW93:AW106" si="48">RANK(AV93, AV$77:AV$106)</f>
        <v>#N/A</v>
      </c>
      <c r="AX93" s="488"/>
    </row>
    <row r="94" spans="2:50">
      <c r="B94" s="496"/>
      <c r="C94" s="182">
        <v>18</v>
      </c>
      <c r="D94" s="182"/>
      <c r="E94" s="182"/>
      <c r="F94" s="182"/>
      <c r="G94" s="166"/>
      <c r="H94" s="488"/>
      <c r="I94" s="166" t="str">
        <f t="shared" si="39"/>
        <v>-</v>
      </c>
      <c r="J94" s="166" t="str">
        <f t="shared" si="40"/>
        <v>-</v>
      </c>
      <c r="K94" s="180" t="str">
        <f t="shared" si="41"/>
        <v>-</v>
      </c>
      <c r="L94" s="488"/>
      <c r="M94" s="166" t="e">
        <f>RANK(K94, K$77:$K$106)</f>
        <v>#VALUE!</v>
      </c>
      <c r="N94" s="485"/>
      <c r="O94" s="485"/>
      <c r="P94" s="166"/>
      <c r="Q94" s="166"/>
      <c r="R94" s="166"/>
      <c r="S94" s="182" t="e">
        <f t="shared" si="42"/>
        <v>#N/A</v>
      </c>
      <c r="T94" s="488"/>
      <c r="U94" s="166"/>
      <c r="V94" s="166"/>
      <c r="W94" s="166"/>
      <c r="X94" s="182" t="e">
        <f t="shared" si="43"/>
        <v>#N/A</v>
      </c>
      <c r="Y94" s="488"/>
      <c r="Z94" s="166"/>
      <c r="AA94" s="166"/>
      <c r="AB94" s="166"/>
      <c r="AC94" s="182" t="e">
        <f t="shared" si="44"/>
        <v>#N/A</v>
      </c>
      <c r="AD94" s="488"/>
      <c r="AE94" s="166"/>
      <c r="AF94" s="166"/>
      <c r="AG94" s="166"/>
      <c r="AH94" s="182" t="e">
        <f t="shared" si="45"/>
        <v>#N/A</v>
      </c>
      <c r="AI94" s="488"/>
      <c r="AJ94" s="166"/>
      <c r="AK94" s="166"/>
      <c r="AL94" s="166"/>
      <c r="AM94" s="182" t="e">
        <f t="shared" si="46"/>
        <v>#N/A</v>
      </c>
      <c r="AN94" s="488"/>
      <c r="AO94" s="166"/>
      <c r="AP94" s="166"/>
      <c r="AQ94" s="166"/>
      <c r="AR94" s="182" t="e">
        <f t="shared" si="47"/>
        <v>#N/A</v>
      </c>
      <c r="AS94" s="488"/>
      <c r="AT94" s="166"/>
      <c r="AU94" s="166"/>
      <c r="AV94" s="166"/>
      <c r="AW94" s="182" t="e">
        <f t="shared" si="48"/>
        <v>#N/A</v>
      </c>
      <c r="AX94" s="488"/>
    </row>
    <row r="95" spans="2:50">
      <c r="B95" s="496"/>
      <c r="C95" s="182">
        <v>19</v>
      </c>
      <c r="D95" s="182"/>
      <c r="E95" s="182"/>
      <c r="F95" s="182"/>
      <c r="G95" s="166"/>
      <c r="H95" s="488"/>
      <c r="I95" s="166" t="str">
        <f t="shared" si="39"/>
        <v>-</v>
      </c>
      <c r="J95" s="166" t="str">
        <f t="shared" si="40"/>
        <v>-</v>
      </c>
      <c r="K95" s="180" t="str">
        <f t="shared" si="41"/>
        <v>-</v>
      </c>
      <c r="L95" s="488"/>
      <c r="M95" s="166" t="e">
        <f>RANK(K95, K$77:$K$106)</f>
        <v>#VALUE!</v>
      </c>
      <c r="N95" s="485"/>
      <c r="O95" s="485"/>
      <c r="P95" s="166"/>
      <c r="Q95" s="166"/>
      <c r="R95" s="166"/>
      <c r="S95" s="182" t="e">
        <f t="shared" si="42"/>
        <v>#N/A</v>
      </c>
      <c r="T95" s="488"/>
      <c r="U95" s="166"/>
      <c r="V95" s="166"/>
      <c r="W95" s="166"/>
      <c r="X95" s="182" t="e">
        <f t="shared" si="43"/>
        <v>#N/A</v>
      </c>
      <c r="Y95" s="488"/>
      <c r="Z95" s="166"/>
      <c r="AA95" s="166"/>
      <c r="AB95" s="166"/>
      <c r="AC95" s="182" t="e">
        <f t="shared" si="44"/>
        <v>#N/A</v>
      </c>
      <c r="AD95" s="488"/>
      <c r="AE95" s="166"/>
      <c r="AF95" s="166"/>
      <c r="AG95" s="166"/>
      <c r="AH95" s="182" t="e">
        <f t="shared" si="45"/>
        <v>#N/A</v>
      </c>
      <c r="AI95" s="488"/>
      <c r="AJ95" s="166"/>
      <c r="AK95" s="166"/>
      <c r="AL95" s="166"/>
      <c r="AM95" s="182" t="e">
        <f t="shared" si="46"/>
        <v>#N/A</v>
      </c>
      <c r="AN95" s="488"/>
      <c r="AO95" s="166"/>
      <c r="AP95" s="166"/>
      <c r="AQ95" s="166"/>
      <c r="AR95" s="182" t="e">
        <f t="shared" si="47"/>
        <v>#N/A</v>
      </c>
      <c r="AS95" s="488"/>
      <c r="AT95" s="166"/>
      <c r="AU95" s="166"/>
      <c r="AV95" s="166"/>
      <c r="AW95" s="182" t="e">
        <f t="shared" si="48"/>
        <v>#N/A</v>
      </c>
      <c r="AX95" s="488"/>
    </row>
    <row r="96" spans="2:50">
      <c r="B96" s="496"/>
      <c r="C96" s="182">
        <v>20</v>
      </c>
      <c r="D96" s="182"/>
      <c r="E96" s="182"/>
      <c r="F96" s="182"/>
      <c r="G96" s="166"/>
      <c r="H96" s="488"/>
      <c r="I96" s="166" t="str">
        <f t="shared" si="39"/>
        <v>-</v>
      </c>
      <c r="J96" s="166" t="str">
        <f t="shared" si="40"/>
        <v>-</v>
      </c>
      <c r="K96" s="180" t="str">
        <f t="shared" si="41"/>
        <v>-</v>
      </c>
      <c r="L96" s="488"/>
      <c r="M96" s="166" t="e">
        <f>RANK(K96, K$77:$K$106)</f>
        <v>#VALUE!</v>
      </c>
      <c r="N96" s="485"/>
      <c r="O96" s="485"/>
      <c r="P96" s="166"/>
      <c r="Q96" s="166"/>
      <c r="R96" s="166"/>
      <c r="S96" s="182" t="e">
        <f t="shared" si="42"/>
        <v>#N/A</v>
      </c>
      <c r="T96" s="488"/>
      <c r="U96" s="166"/>
      <c r="V96" s="166"/>
      <c r="W96" s="166"/>
      <c r="X96" s="182" t="e">
        <f t="shared" si="43"/>
        <v>#N/A</v>
      </c>
      <c r="Y96" s="488"/>
      <c r="Z96" s="166"/>
      <c r="AA96" s="166"/>
      <c r="AB96" s="166"/>
      <c r="AC96" s="182" t="e">
        <f t="shared" si="44"/>
        <v>#N/A</v>
      </c>
      <c r="AD96" s="488"/>
      <c r="AE96" s="166"/>
      <c r="AF96" s="166"/>
      <c r="AG96" s="166"/>
      <c r="AH96" s="182" t="e">
        <f t="shared" si="45"/>
        <v>#N/A</v>
      </c>
      <c r="AI96" s="488"/>
      <c r="AJ96" s="166"/>
      <c r="AK96" s="166"/>
      <c r="AL96" s="166"/>
      <c r="AM96" s="182" t="e">
        <f t="shared" si="46"/>
        <v>#N/A</v>
      </c>
      <c r="AN96" s="488"/>
      <c r="AO96" s="166"/>
      <c r="AP96" s="166"/>
      <c r="AQ96" s="166"/>
      <c r="AR96" s="182" t="e">
        <f t="shared" si="47"/>
        <v>#N/A</v>
      </c>
      <c r="AS96" s="488"/>
      <c r="AT96" s="166"/>
      <c r="AU96" s="166"/>
      <c r="AV96" s="166"/>
      <c r="AW96" s="182" t="e">
        <f t="shared" si="48"/>
        <v>#N/A</v>
      </c>
      <c r="AX96" s="488"/>
    </row>
    <row r="97" spans="2:50">
      <c r="B97" s="496"/>
      <c r="C97" s="182">
        <v>21</v>
      </c>
      <c r="D97" s="379"/>
      <c r="E97" s="182"/>
      <c r="F97" s="182"/>
      <c r="G97" s="166"/>
      <c r="H97" s="488"/>
      <c r="I97" s="166" t="str">
        <f t="shared" si="39"/>
        <v>-</v>
      </c>
      <c r="J97" s="166" t="str">
        <f t="shared" si="40"/>
        <v>-</v>
      </c>
      <c r="K97" s="180" t="str">
        <f t="shared" si="41"/>
        <v>-</v>
      </c>
      <c r="L97" s="488"/>
      <c r="M97" s="166" t="e">
        <f>RANK(K97, K$77:$K$106)</f>
        <v>#VALUE!</v>
      </c>
      <c r="N97" s="485"/>
      <c r="O97" s="485"/>
      <c r="P97" s="166"/>
      <c r="Q97" s="166"/>
      <c r="R97" s="166"/>
      <c r="S97" s="182" t="e">
        <f t="shared" si="42"/>
        <v>#N/A</v>
      </c>
      <c r="T97" s="488"/>
      <c r="U97" s="166"/>
      <c r="V97" s="166"/>
      <c r="W97" s="166"/>
      <c r="X97" s="182" t="e">
        <f t="shared" si="43"/>
        <v>#N/A</v>
      </c>
      <c r="Y97" s="488"/>
      <c r="Z97" s="166"/>
      <c r="AA97" s="166"/>
      <c r="AB97" s="166"/>
      <c r="AC97" s="182" t="e">
        <f t="shared" si="44"/>
        <v>#N/A</v>
      </c>
      <c r="AD97" s="488"/>
      <c r="AE97" s="166"/>
      <c r="AF97" s="166"/>
      <c r="AG97" s="166"/>
      <c r="AH97" s="182" t="e">
        <f t="shared" si="45"/>
        <v>#N/A</v>
      </c>
      <c r="AI97" s="488"/>
      <c r="AJ97" s="166"/>
      <c r="AK97" s="166"/>
      <c r="AL97" s="166"/>
      <c r="AM97" s="182" t="e">
        <f t="shared" si="46"/>
        <v>#N/A</v>
      </c>
      <c r="AN97" s="488"/>
      <c r="AO97" s="166"/>
      <c r="AP97" s="166"/>
      <c r="AQ97" s="166"/>
      <c r="AR97" s="182" t="e">
        <f t="shared" si="47"/>
        <v>#N/A</v>
      </c>
      <c r="AS97" s="488"/>
      <c r="AT97" s="166"/>
      <c r="AU97" s="166"/>
      <c r="AV97" s="166"/>
      <c r="AW97" s="182" t="e">
        <f t="shared" si="48"/>
        <v>#N/A</v>
      </c>
      <c r="AX97" s="488"/>
    </row>
    <row r="98" spans="2:50">
      <c r="B98" s="496"/>
      <c r="C98" s="182">
        <v>22</v>
      </c>
      <c r="D98" s="182"/>
      <c r="E98" s="182"/>
      <c r="F98" s="182"/>
      <c r="G98" s="182"/>
      <c r="H98" s="488"/>
      <c r="I98" s="166" t="str">
        <f t="shared" si="39"/>
        <v>-</v>
      </c>
      <c r="J98" s="166" t="str">
        <f t="shared" si="40"/>
        <v>-</v>
      </c>
      <c r="K98" s="180" t="str">
        <f t="shared" si="41"/>
        <v>-</v>
      </c>
      <c r="L98" s="488"/>
      <c r="M98" s="166" t="e">
        <f>RANK(K98, K$77:$K$106)</f>
        <v>#VALUE!</v>
      </c>
      <c r="N98" s="485"/>
      <c r="O98" s="485"/>
      <c r="P98" s="166"/>
      <c r="Q98" s="166"/>
      <c r="R98" s="166"/>
      <c r="S98" s="182" t="e">
        <f t="shared" si="42"/>
        <v>#N/A</v>
      </c>
      <c r="T98" s="488"/>
      <c r="U98" s="166"/>
      <c r="V98" s="166"/>
      <c r="W98" s="166"/>
      <c r="X98" s="182" t="e">
        <f t="shared" si="43"/>
        <v>#N/A</v>
      </c>
      <c r="Y98" s="488"/>
      <c r="Z98" s="166"/>
      <c r="AA98" s="166"/>
      <c r="AB98" s="166"/>
      <c r="AC98" s="182" t="e">
        <f t="shared" si="44"/>
        <v>#N/A</v>
      </c>
      <c r="AD98" s="488"/>
      <c r="AE98" s="166"/>
      <c r="AF98" s="166"/>
      <c r="AG98" s="166"/>
      <c r="AH98" s="182" t="e">
        <f t="shared" si="45"/>
        <v>#N/A</v>
      </c>
      <c r="AI98" s="488"/>
      <c r="AJ98" s="166"/>
      <c r="AK98" s="166"/>
      <c r="AL98" s="166"/>
      <c r="AM98" s="182" t="e">
        <f t="shared" si="46"/>
        <v>#N/A</v>
      </c>
      <c r="AN98" s="488"/>
      <c r="AO98" s="166"/>
      <c r="AP98" s="166"/>
      <c r="AQ98" s="166"/>
      <c r="AR98" s="182" t="e">
        <f t="shared" si="47"/>
        <v>#N/A</v>
      </c>
      <c r="AS98" s="488"/>
      <c r="AT98" s="166"/>
      <c r="AU98" s="166"/>
      <c r="AV98" s="166"/>
      <c r="AW98" s="182" t="e">
        <f t="shared" si="48"/>
        <v>#N/A</v>
      </c>
      <c r="AX98" s="488"/>
    </row>
    <row r="99" spans="2:50">
      <c r="B99" s="496"/>
      <c r="C99" s="182">
        <v>23</v>
      </c>
      <c r="D99" s="182"/>
      <c r="E99" s="182"/>
      <c r="F99" s="182"/>
      <c r="G99" s="182"/>
      <c r="H99" s="488"/>
      <c r="I99" s="166" t="str">
        <f t="shared" si="39"/>
        <v>-</v>
      </c>
      <c r="J99" s="166" t="str">
        <f t="shared" si="40"/>
        <v>-</v>
      </c>
      <c r="K99" s="180" t="str">
        <f t="shared" si="41"/>
        <v>-</v>
      </c>
      <c r="L99" s="488"/>
      <c r="M99" s="166" t="e">
        <f>RANK(K99, K$77:$K$106)</f>
        <v>#VALUE!</v>
      </c>
      <c r="N99" s="485"/>
      <c r="O99" s="485"/>
      <c r="P99" s="182"/>
      <c r="Q99" s="182"/>
      <c r="R99" s="180"/>
      <c r="S99" s="182" t="e">
        <f t="shared" si="42"/>
        <v>#N/A</v>
      </c>
      <c r="T99" s="488"/>
      <c r="U99" s="182"/>
      <c r="V99" s="182"/>
      <c r="W99" s="180"/>
      <c r="X99" s="182" t="e">
        <f t="shared" si="43"/>
        <v>#N/A</v>
      </c>
      <c r="Y99" s="488"/>
      <c r="Z99" s="182"/>
      <c r="AA99" s="182"/>
      <c r="AB99" s="180"/>
      <c r="AC99" s="182" t="e">
        <f t="shared" si="44"/>
        <v>#N/A</v>
      </c>
      <c r="AD99" s="488"/>
      <c r="AE99" s="182"/>
      <c r="AF99" s="182"/>
      <c r="AG99" s="180"/>
      <c r="AH99" s="182" t="e">
        <f t="shared" si="45"/>
        <v>#N/A</v>
      </c>
      <c r="AI99" s="488"/>
      <c r="AJ99" s="182"/>
      <c r="AK99" s="182"/>
      <c r="AL99" s="180"/>
      <c r="AM99" s="182" t="e">
        <f t="shared" si="46"/>
        <v>#N/A</v>
      </c>
      <c r="AN99" s="488"/>
      <c r="AO99" s="182"/>
      <c r="AP99" s="182"/>
      <c r="AQ99" s="180"/>
      <c r="AR99" s="182" t="e">
        <f t="shared" si="47"/>
        <v>#N/A</v>
      </c>
      <c r="AS99" s="488"/>
      <c r="AT99" s="182"/>
      <c r="AU99" s="182"/>
      <c r="AV99" s="180"/>
      <c r="AW99" s="182" t="e">
        <f t="shared" si="48"/>
        <v>#N/A</v>
      </c>
      <c r="AX99" s="488"/>
    </row>
    <row r="100" spans="2:50">
      <c r="B100" s="496"/>
      <c r="C100" s="182">
        <v>24</v>
      </c>
      <c r="D100" s="182"/>
      <c r="E100" s="182"/>
      <c r="F100" s="182"/>
      <c r="G100" s="182"/>
      <c r="H100" s="488"/>
      <c r="I100" s="166" t="str">
        <f t="shared" si="39"/>
        <v>-</v>
      </c>
      <c r="J100" s="166" t="str">
        <f t="shared" si="40"/>
        <v>-</v>
      </c>
      <c r="K100" s="180" t="str">
        <f t="shared" si="41"/>
        <v>-</v>
      </c>
      <c r="L100" s="488"/>
      <c r="M100" s="166" t="e">
        <f>RANK(K100, K$77:$K$106)</f>
        <v>#VALUE!</v>
      </c>
      <c r="N100" s="485"/>
      <c r="O100" s="485"/>
      <c r="P100" s="182"/>
      <c r="Q100" s="182"/>
      <c r="R100" s="182"/>
      <c r="S100" s="182" t="e">
        <f t="shared" si="42"/>
        <v>#N/A</v>
      </c>
      <c r="T100" s="488"/>
      <c r="U100" s="182"/>
      <c r="V100" s="182"/>
      <c r="W100" s="182"/>
      <c r="X100" s="182" t="e">
        <f t="shared" si="43"/>
        <v>#N/A</v>
      </c>
      <c r="Y100" s="488"/>
      <c r="Z100" s="182"/>
      <c r="AA100" s="182"/>
      <c r="AB100" s="182"/>
      <c r="AC100" s="182" t="e">
        <f t="shared" si="44"/>
        <v>#N/A</v>
      </c>
      <c r="AD100" s="488"/>
      <c r="AE100" s="182"/>
      <c r="AF100" s="182"/>
      <c r="AG100" s="182"/>
      <c r="AH100" s="182" t="e">
        <f t="shared" si="45"/>
        <v>#N/A</v>
      </c>
      <c r="AI100" s="488"/>
      <c r="AJ100" s="182"/>
      <c r="AK100" s="182"/>
      <c r="AL100" s="182"/>
      <c r="AM100" s="182" t="e">
        <f t="shared" si="46"/>
        <v>#N/A</v>
      </c>
      <c r="AN100" s="488"/>
      <c r="AO100" s="182"/>
      <c r="AP100" s="182"/>
      <c r="AQ100" s="182"/>
      <c r="AR100" s="182" t="e">
        <f t="shared" si="47"/>
        <v>#N/A</v>
      </c>
      <c r="AS100" s="488"/>
      <c r="AT100" s="182"/>
      <c r="AU100" s="182"/>
      <c r="AV100" s="182"/>
      <c r="AW100" s="182" t="e">
        <f t="shared" si="48"/>
        <v>#N/A</v>
      </c>
      <c r="AX100" s="488"/>
    </row>
    <row r="101" spans="2:50">
      <c r="B101" s="496"/>
      <c r="C101" s="182">
        <v>25</v>
      </c>
      <c r="D101" s="182"/>
      <c r="E101" s="182"/>
      <c r="F101" s="182"/>
      <c r="G101" s="182"/>
      <c r="H101" s="488"/>
      <c r="I101" s="166" t="str">
        <f t="shared" si="39"/>
        <v>-</v>
      </c>
      <c r="J101" s="166" t="str">
        <f t="shared" si="40"/>
        <v>-</v>
      </c>
      <c r="K101" s="180" t="str">
        <f t="shared" si="41"/>
        <v>-</v>
      </c>
      <c r="L101" s="488"/>
      <c r="M101" s="166" t="e">
        <f>RANK(K101, K$77:$K$106)</f>
        <v>#VALUE!</v>
      </c>
      <c r="N101" s="485"/>
      <c r="O101" s="485"/>
      <c r="P101" s="182"/>
      <c r="Q101" s="182"/>
      <c r="R101" s="182"/>
      <c r="S101" s="182" t="e">
        <f t="shared" si="42"/>
        <v>#N/A</v>
      </c>
      <c r="T101" s="488"/>
      <c r="U101" s="182"/>
      <c r="V101" s="182"/>
      <c r="W101" s="182"/>
      <c r="X101" s="182" t="e">
        <f t="shared" si="43"/>
        <v>#N/A</v>
      </c>
      <c r="Y101" s="488"/>
      <c r="Z101" s="182"/>
      <c r="AA101" s="182"/>
      <c r="AB101" s="182"/>
      <c r="AC101" s="182" t="e">
        <f t="shared" si="44"/>
        <v>#N/A</v>
      </c>
      <c r="AD101" s="488"/>
      <c r="AE101" s="182"/>
      <c r="AF101" s="182"/>
      <c r="AG101" s="182"/>
      <c r="AH101" s="182" t="e">
        <f t="shared" si="45"/>
        <v>#N/A</v>
      </c>
      <c r="AI101" s="488"/>
      <c r="AJ101" s="182"/>
      <c r="AK101" s="182"/>
      <c r="AL101" s="182"/>
      <c r="AM101" s="182" t="e">
        <f t="shared" si="46"/>
        <v>#N/A</v>
      </c>
      <c r="AN101" s="488"/>
      <c r="AO101" s="182"/>
      <c r="AP101" s="182"/>
      <c r="AQ101" s="182"/>
      <c r="AR101" s="182" t="e">
        <f t="shared" si="47"/>
        <v>#N/A</v>
      </c>
      <c r="AS101" s="488"/>
      <c r="AT101" s="182"/>
      <c r="AU101" s="182"/>
      <c r="AV101" s="182"/>
      <c r="AW101" s="182" t="e">
        <f t="shared" si="48"/>
        <v>#N/A</v>
      </c>
      <c r="AX101" s="488"/>
    </row>
    <row r="102" spans="2:50">
      <c r="B102" s="496"/>
      <c r="C102" s="182">
        <v>26</v>
      </c>
      <c r="D102" s="182"/>
      <c r="E102" s="182"/>
      <c r="F102" s="182"/>
      <c r="G102" s="182"/>
      <c r="H102" s="488"/>
      <c r="I102" s="166" t="str">
        <f t="shared" si="39"/>
        <v>-</v>
      </c>
      <c r="J102" s="166" t="str">
        <f t="shared" si="40"/>
        <v>-</v>
      </c>
      <c r="K102" s="180" t="str">
        <f t="shared" si="41"/>
        <v>-</v>
      </c>
      <c r="L102" s="488"/>
      <c r="M102" s="166" t="e">
        <f>RANK(K102, K$77:$K$106)</f>
        <v>#VALUE!</v>
      </c>
      <c r="N102" s="485"/>
      <c r="O102" s="485"/>
      <c r="P102" s="182"/>
      <c r="Q102" s="182"/>
      <c r="R102" s="182"/>
      <c r="S102" s="182" t="e">
        <f t="shared" si="42"/>
        <v>#N/A</v>
      </c>
      <c r="T102" s="488"/>
      <c r="U102" s="182"/>
      <c r="V102" s="182"/>
      <c r="W102" s="182"/>
      <c r="X102" s="182" t="e">
        <f t="shared" si="43"/>
        <v>#N/A</v>
      </c>
      <c r="Y102" s="488"/>
      <c r="Z102" s="182"/>
      <c r="AA102" s="182"/>
      <c r="AB102" s="182"/>
      <c r="AC102" s="182" t="e">
        <f t="shared" si="44"/>
        <v>#N/A</v>
      </c>
      <c r="AD102" s="488"/>
      <c r="AE102" s="182"/>
      <c r="AF102" s="182"/>
      <c r="AG102" s="182"/>
      <c r="AH102" s="182" t="e">
        <f t="shared" si="45"/>
        <v>#N/A</v>
      </c>
      <c r="AI102" s="488"/>
      <c r="AJ102" s="182"/>
      <c r="AK102" s="182"/>
      <c r="AL102" s="182"/>
      <c r="AM102" s="182" t="e">
        <f t="shared" si="46"/>
        <v>#N/A</v>
      </c>
      <c r="AN102" s="488"/>
      <c r="AO102" s="182"/>
      <c r="AP102" s="182"/>
      <c r="AQ102" s="182"/>
      <c r="AR102" s="182" t="e">
        <f t="shared" si="47"/>
        <v>#N/A</v>
      </c>
      <c r="AS102" s="488"/>
      <c r="AT102" s="182"/>
      <c r="AU102" s="182"/>
      <c r="AV102" s="182"/>
      <c r="AW102" s="182" t="e">
        <f t="shared" si="48"/>
        <v>#N/A</v>
      </c>
      <c r="AX102" s="488"/>
    </row>
    <row r="103" spans="2:50">
      <c r="B103" s="496"/>
      <c r="C103" s="182">
        <v>27</v>
      </c>
      <c r="D103" s="182"/>
      <c r="E103" s="182"/>
      <c r="F103" s="182"/>
      <c r="G103" s="182"/>
      <c r="H103" s="488"/>
      <c r="I103" s="166" t="str">
        <f t="shared" si="39"/>
        <v>-</v>
      </c>
      <c r="J103" s="166" t="str">
        <f t="shared" si="40"/>
        <v>-</v>
      </c>
      <c r="K103" s="180" t="str">
        <f t="shared" si="41"/>
        <v>-</v>
      </c>
      <c r="L103" s="488"/>
      <c r="M103" s="166" t="e">
        <f>RANK(K103, K$77:$K$106)</f>
        <v>#VALUE!</v>
      </c>
      <c r="N103" s="485"/>
      <c r="O103" s="485"/>
      <c r="P103" s="182"/>
      <c r="Q103" s="182"/>
      <c r="R103" s="182"/>
      <c r="S103" s="182" t="e">
        <f t="shared" si="42"/>
        <v>#N/A</v>
      </c>
      <c r="T103" s="488"/>
      <c r="U103" s="182"/>
      <c r="V103" s="182"/>
      <c r="W103" s="182"/>
      <c r="X103" s="182" t="e">
        <f t="shared" si="43"/>
        <v>#N/A</v>
      </c>
      <c r="Y103" s="488"/>
      <c r="Z103" s="182"/>
      <c r="AA103" s="182"/>
      <c r="AB103" s="182"/>
      <c r="AC103" s="182" t="e">
        <f t="shared" si="44"/>
        <v>#N/A</v>
      </c>
      <c r="AD103" s="488"/>
      <c r="AE103" s="182"/>
      <c r="AF103" s="182"/>
      <c r="AG103" s="182"/>
      <c r="AH103" s="182" t="e">
        <f t="shared" si="45"/>
        <v>#N/A</v>
      </c>
      <c r="AI103" s="488"/>
      <c r="AJ103" s="182"/>
      <c r="AK103" s="182"/>
      <c r="AL103" s="182"/>
      <c r="AM103" s="182" t="e">
        <f t="shared" si="46"/>
        <v>#N/A</v>
      </c>
      <c r="AN103" s="488"/>
      <c r="AO103" s="182"/>
      <c r="AP103" s="182"/>
      <c r="AQ103" s="182"/>
      <c r="AR103" s="182" t="e">
        <f t="shared" si="47"/>
        <v>#N/A</v>
      </c>
      <c r="AS103" s="488"/>
      <c r="AT103" s="182"/>
      <c r="AU103" s="182"/>
      <c r="AV103" s="182"/>
      <c r="AW103" s="182" t="e">
        <f t="shared" si="48"/>
        <v>#N/A</v>
      </c>
      <c r="AX103" s="488"/>
    </row>
    <row r="104" spans="2:50">
      <c r="B104" s="496"/>
      <c r="C104" s="182">
        <v>28</v>
      </c>
      <c r="D104" s="182"/>
      <c r="E104" s="182"/>
      <c r="F104" s="182"/>
      <c r="G104" s="182"/>
      <c r="H104" s="488"/>
      <c r="I104" s="166" t="str">
        <f t="shared" si="39"/>
        <v>-</v>
      </c>
      <c r="J104" s="166" t="str">
        <f t="shared" si="40"/>
        <v>-</v>
      </c>
      <c r="K104" s="180" t="str">
        <f t="shared" si="41"/>
        <v>-</v>
      </c>
      <c r="L104" s="488"/>
      <c r="M104" s="166" t="e">
        <f>RANK(K104, K$77:$K$106)</f>
        <v>#VALUE!</v>
      </c>
      <c r="N104" s="485"/>
      <c r="O104" s="485"/>
      <c r="P104" s="182"/>
      <c r="Q104" s="182"/>
      <c r="R104" s="182"/>
      <c r="S104" s="182" t="e">
        <f t="shared" si="42"/>
        <v>#N/A</v>
      </c>
      <c r="T104" s="488"/>
      <c r="U104" s="182"/>
      <c r="V104" s="182"/>
      <c r="W104" s="182"/>
      <c r="X104" s="182" t="e">
        <f t="shared" si="43"/>
        <v>#N/A</v>
      </c>
      <c r="Y104" s="488"/>
      <c r="Z104" s="182"/>
      <c r="AA104" s="182"/>
      <c r="AB104" s="182"/>
      <c r="AC104" s="182" t="e">
        <f t="shared" si="44"/>
        <v>#N/A</v>
      </c>
      <c r="AD104" s="488"/>
      <c r="AE104" s="182"/>
      <c r="AF104" s="182"/>
      <c r="AG104" s="182"/>
      <c r="AH104" s="182" t="e">
        <f t="shared" si="45"/>
        <v>#N/A</v>
      </c>
      <c r="AI104" s="488"/>
      <c r="AJ104" s="182"/>
      <c r="AK104" s="182"/>
      <c r="AL104" s="182"/>
      <c r="AM104" s="182" t="e">
        <f t="shared" si="46"/>
        <v>#N/A</v>
      </c>
      <c r="AN104" s="488"/>
      <c r="AO104" s="182"/>
      <c r="AP104" s="182"/>
      <c r="AQ104" s="182"/>
      <c r="AR104" s="182" t="e">
        <f t="shared" si="47"/>
        <v>#N/A</v>
      </c>
      <c r="AS104" s="488"/>
      <c r="AT104" s="182"/>
      <c r="AU104" s="182"/>
      <c r="AV104" s="182"/>
      <c r="AW104" s="182" t="e">
        <f t="shared" si="48"/>
        <v>#N/A</v>
      </c>
      <c r="AX104" s="488"/>
    </row>
    <row r="105" spans="2:50">
      <c r="B105" s="496"/>
      <c r="C105" s="182">
        <v>29</v>
      </c>
      <c r="D105" s="182"/>
      <c r="E105" s="182"/>
      <c r="F105" s="182"/>
      <c r="G105" s="182"/>
      <c r="H105" s="488"/>
      <c r="I105" s="166" t="str">
        <f t="shared" si="39"/>
        <v>-</v>
      </c>
      <c r="J105" s="166" t="str">
        <f t="shared" si="40"/>
        <v>-</v>
      </c>
      <c r="K105" s="180" t="str">
        <f t="shared" si="41"/>
        <v>-</v>
      </c>
      <c r="L105" s="488"/>
      <c r="M105" s="166" t="e">
        <f>RANK(K105, K$77:$K$106)</f>
        <v>#VALUE!</v>
      </c>
      <c r="N105" s="485"/>
      <c r="O105" s="485"/>
      <c r="P105" s="182"/>
      <c r="Q105" s="182"/>
      <c r="R105" s="182"/>
      <c r="S105" s="182" t="e">
        <f t="shared" si="42"/>
        <v>#N/A</v>
      </c>
      <c r="T105" s="488"/>
      <c r="U105" s="182"/>
      <c r="V105" s="182"/>
      <c r="W105" s="182"/>
      <c r="X105" s="182" t="e">
        <f t="shared" si="43"/>
        <v>#N/A</v>
      </c>
      <c r="Y105" s="488"/>
      <c r="Z105" s="182"/>
      <c r="AA105" s="182"/>
      <c r="AB105" s="182"/>
      <c r="AC105" s="182" t="e">
        <f t="shared" si="44"/>
        <v>#N/A</v>
      </c>
      <c r="AD105" s="488"/>
      <c r="AE105" s="182"/>
      <c r="AF105" s="182"/>
      <c r="AG105" s="182"/>
      <c r="AH105" s="182" t="e">
        <f t="shared" si="45"/>
        <v>#N/A</v>
      </c>
      <c r="AI105" s="488"/>
      <c r="AJ105" s="182"/>
      <c r="AK105" s="182"/>
      <c r="AL105" s="182"/>
      <c r="AM105" s="182" t="e">
        <f t="shared" si="46"/>
        <v>#N/A</v>
      </c>
      <c r="AN105" s="488"/>
      <c r="AO105" s="182"/>
      <c r="AP105" s="182"/>
      <c r="AQ105" s="182"/>
      <c r="AR105" s="182" t="e">
        <f t="shared" si="47"/>
        <v>#N/A</v>
      </c>
      <c r="AS105" s="488"/>
      <c r="AT105" s="182"/>
      <c r="AU105" s="182"/>
      <c r="AV105" s="182"/>
      <c r="AW105" s="182" t="e">
        <f t="shared" si="48"/>
        <v>#N/A</v>
      </c>
      <c r="AX105" s="488"/>
    </row>
    <row r="106" spans="2:50">
      <c r="B106" s="497"/>
      <c r="C106" s="182">
        <v>30</v>
      </c>
      <c r="D106" s="182"/>
      <c r="E106" s="182"/>
      <c r="F106" s="182"/>
      <c r="G106" s="182"/>
      <c r="H106" s="489"/>
      <c r="I106" s="166" t="str">
        <f t="shared" si="39"/>
        <v>-</v>
      </c>
      <c r="J106" s="166" t="str">
        <f t="shared" si="40"/>
        <v>-</v>
      </c>
      <c r="K106" s="180" t="str">
        <f t="shared" si="41"/>
        <v>-</v>
      </c>
      <c r="L106" s="489"/>
      <c r="M106" s="166" t="e">
        <f>RANK(K106, K$77:$K$106)</f>
        <v>#VALUE!</v>
      </c>
      <c r="N106" s="481"/>
      <c r="O106" s="481"/>
      <c r="P106" s="182"/>
      <c r="Q106" s="182"/>
      <c r="R106" s="182"/>
      <c r="S106" s="182" t="e">
        <f t="shared" si="42"/>
        <v>#N/A</v>
      </c>
      <c r="T106" s="489"/>
      <c r="U106" s="182"/>
      <c r="V106" s="182"/>
      <c r="W106" s="182"/>
      <c r="X106" s="182" t="e">
        <f t="shared" si="43"/>
        <v>#N/A</v>
      </c>
      <c r="Y106" s="489"/>
      <c r="Z106" s="182"/>
      <c r="AA106" s="182"/>
      <c r="AB106" s="182"/>
      <c r="AC106" s="182" t="e">
        <f t="shared" si="44"/>
        <v>#N/A</v>
      </c>
      <c r="AD106" s="489"/>
      <c r="AE106" s="182"/>
      <c r="AF106" s="182"/>
      <c r="AG106" s="182"/>
      <c r="AH106" s="182" t="e">
        <f t="shared" si="45"/>
        <v>#N/A</v>
      </c>
      <c r="AI106" s="489"/>
      <c r="AJ106" s="182"/>
      <c r="AK106" s="182"/>
      <c r="AL106" s="182"/>
      <c r="AM106" s="182" t="e">
        <f t="shared" si="46"/>
        <v>#N/A</v>
      </c>
      <c r="AN106" s="489"/>
      <c r="AO106" s="182"/>
      <c r="AP106" s="182"/>
      <c r="AQ106" s="182"/>
      <c r="AR106" s="182" t="e">
        <f t="shared" si="47"/>
        <v>#N/A</v>
      </c>
      <c r="AS106" s="489"/>
      <c r="AT106" s="182"/>
      <c r="AU106" s="182"/>
      <c r="AV106" s="182"/>
      <c r="AW106" s="182" t="e">
        <f t="shared" si="48"/>
        <v>#N/A</v>
      </c>
      <c r="AX106" s="489"/>
    </row>
    <row r="107" spans="2:50" ht="15.5">
      <c r="B107" s="477" t="s">
        <v>163</v>
      </c>
      <c r="C107" s="478"/>
      <c r="D107" s="478"/>
      <c r="E107" s="478"/>
      <c r="F107" s="478"/>
      <c r="G107" s="478"/>
      <c r="H107" s="478"/>
      <c r="I107" s="186"/>
      <c r="J107" s="186"/>
      <c r="K107" s="186"/>
      <c r="L107" s="186"/>
      <c r="M107" s="185"/>
      <c r="N107" s="480" t="s">
        <v>156</v>
      </c>
      <c r="O107" s="480" t="s">
        <v>155</v>
      </c>
      <c r="P107" s="476">
        <f>P72+7</f>
        <v>46133</v>
      </c>
      <c r="Q107" s="454"/>
      <c r="R107" s="454"/>
      <c r="S107" s="454"/>
      <c r="T107" s="454"/>
      <c r="U107" s="473">
        <f>P107+1</f>
        <v>46134</v>
      </c>
      <c r="V107" s="474"/>
      <c r="W107" s="474"/>
      <c r="X107" s="474"/>
      <c r="Y107" s="475"/>
      <c r="Z107" s="473">
        <f>U107+1</f>
        <v>46135</v>
      </c>
      <c r="AA107" s="474"/>
      <c r="AB107" s="474"/>
      <c r="AC107" s="474"/>
      <c r="AD107" s="475"/>
      <c r="AE107" s="473">
        <f>Z107+1</f>
        <v>46136</v>
      </c>
      <c r="AF107" s="474"/>
      <c r="AG107" s="474"/>
      <c r="AH107" s="474"/>
      <c r="AI107" s="475"/>
      <c r="AJ107" s="473">
        <f>AE107+1</f>
        <v>46137</v>
      </c>
      <c r="AK107" s="474"/>
      <c r="AL107" s="474"/>
      <c r="AM107" s="474"/>
      <c r="AN107" s="475"/>
      <c r="AO107" s="473">
        <f>AJ107+1</f>
        <v>46138</v>
      </c>
      <c r="AP107" s="474"/>
      <c r="AQ107" s="474"/>
      <c r="AR107" s="474"/>
      <c r="AS107" s="475"/>
      <c r="AT107" s="473">
        <f>AO107+1</f>
        <v>46139</v>
      </c>
      <c r="AU107" s="474"/>
      <c r="AV107" s="474"/>
      <c r="AW107" s="474"/>
      <c r="AX107" s="475"/>
    </row>
    <row r="108" spans="2:50" ht="15.5">
      <c r="B108" s="479"/>
      <c r="C108" s="479"/>
      <c r="D108" s="479"/>
      <c r="E108" s="479"/>
      <c r="F108" s="479"/>
      <c r="G108" s="479"/>
      <c r="H108" s="479"/>
      <c r="I108" s="184"/>
      <c r="J108" s="184"/>
      <c r="K108" s="184"/>
      <c r="L108" s="184"/>
      <c r="M108" s="179"/>
      <c r="N108" s="481"/>
      <c r="O108" s="481"/>
      <c r="P108" s="476" t="s">
        <v>336</v>
      </c>
      <c r="Q108" s="454"/>
      <c r="R108" s="454"/>
      <c r="S108" s="454"/>
      <c r="T108" s="454"/>
      <c r="U108" s="476" t="s">
        <v>337</v>
      </c>
      <c r="V108" s="454"/>
      <c r="W108" s="454"/>
      <c r="X108" s="454"/>
      <c r="Y108" s="454"/>
      <c r="Z108" s="476" t="s">
        <v>338</v>
      </c>
      <c r="AA108" s="454"/>
      <c r="AB108" s="454"/>
      <c r="AC108" s="454"/>
      <c r="AD108" s="454"/>
      <c r="AE108" s="476" t="s">
        <v>339</v>
      </c>
      <c r="AF108" s="454"/>
      <c r="AG108" s="454"/>
      <c r="AH108" s="454"/>
      <c r="AI108" s="454"/>
      <c r="AJ108" s="476" t="s">
        <v>340</v>
      </c>
      <c r="AK108" s="454"/>
      <c r="AL108" s="454"/>
      <c r="AM108" s="454"/>
      <c r="AN108" s="454"/>
      <c r="AO108" s="476" t="s">
        <v>341</v>
      </c>
      <c r="AP108" s="454"/>
      <c r="AQ108" s="454"/>
      <c r="AR108" s="454"/>
      <c r="AS108" s="454"/>
      <c r="AT108" s="476" t="s">
        <v>342</v>
      </c>
      <c r="AU108" s="454"/>
      <c r="AV108" s="454"/>
      <c r="AW108" s="454"/>
      <c r="AX108" s="454"/>
    </row>
    <row r="109" spans="2:50">
      <c r="B109" s="461" t="s">
        <v>399</v>
      </c>
      <c r="C109" s="461" t="s">
        <v>409</v>
      </c>
      <c r="D109" s="461"/>
      <c r="E109" s="461" t="s">
        <v>400</v>
      </c>
      <c r="F109" s="461"/>
      <c r="G109" s="461"/>
      <c r="H109" s="482" t="s">
        <v>396</v>
      </c>
      <c r="I109" s="461" t="s">
        <v>401</v>
      </c>
      <c r="J109" s="461"/>
      <c r="K109" s="461"/>
      <c r="L109" s="482" t="s">
        <v>396</v>
      </c>
      <c r="M109" s="480" t="s">
        <v>397</v>
      </c>
      <c r="N109" s="461"/>
      <c r="O109" s="461" t="s">
        <v>402</v>
      </c>
      <c r="P109" s="466" t="s">
        <v>398</v>
      </c>
      <c r="Q109" s="467"/>
      <c r="R109" s="467"/>
      <c r="S109" s="468"/>
      <c r="T109" s="461" t="s">
        <v>396</v>
      </c>
      <c r="U109" s="466" t="s">
        <v>398</v>
      </c>
      <c r="V109" s="467"/>
      <c r="W109" s="467"/>
      <c r="X109" s="468"/>
      <c r="Y109" s="461" t="s">
        <v>396</v>
      </c>
      <c r="Z109" s="466" t="s">
        <v>398</v>
      </c>
      <c r="AA109" s="467"/>
      <c r="AB109" s="467"/>
      <c r="AC109" s="468"/>
      <c r="AD109" s="461" t="s">
        <v>396</v>
      </c>
      <c r="AE109" s="466" t="s">
        <v>398</v>
      </c>
      <c r="AF109" s="467"/>
      <c r="AG109" s="467"/>
      <c r="AH109" s="468"/>
      <c r="AI109" s="461" t="s">
        <v>396</v>
      </c>
      <c r="AJ109" s="466" t="s">
        <v>398</v>
      </c>
      <c r="AK109" s="467"/>
      <c r="AL109" s="467"/>
      <c r="AM109" s="468"/>
      <c r="AN109" s="461" t="s">
        <v>396</v>
      </c>
      <c r="AO109" s="466" t="s">
        <v>398</v>
      </c>
      <c r="AP109" s="467"/>
      <c r="AQ109" s="467"/>
      <c r="AR109" s="468"/>
      <c r="AS109" s="461" t="s">
        <v>396</v>
      </c>
      <c r="AT109" s="466" t="s">
        <v>398</v>
      </c>
      <c r="AU109" s="467"/>
      <c r="AV109" s="467"/>
      <c r="AW109" s="468"/>
      <c r="AX109" s="461" t="s">
        <v>396</v>
      </c>
    </row>
    <row r="110" spans="2:50">
      <c r="B110" s="461"/>
      <c r="C110" s="461"/>
      <c r="D110" s="461"/>
      <c r="E110" s="461" t="s">
        <v>403</v>
      </c>
      <c r="F110" s="461"/>
      <c r="G110" s="461"/>
      <c r="H110" s="483"/>
      <c r="I110" s="461" t="s">
        <v>403</v>
      </c>
      <c r="J110" s="461"/>
      <c r="K110" s="461"/>
      <c r="L110" s="483"/>
      <c r="M110" s="485"/>
      <c r="N110" s="461"/>
      <c r="O110" s="461"/>
      <c r="P110" s="466" t="s">
        <v>404</v>
      </c>
      <c r="Q110" s="467"/>
      <c r="R110" s="467"/>
      <c r="S110" s="468"/>
      <c r="T110" s="461"/>
      <c r="U110" s="466" t="s">
        <v>404</v>
      </c>
      <c r="V110" s="467"/>
      <c r="W110" s="467"/>
      <c r="X110" s="468"/>
      <c r="Y110" s="461"/>
      <c r="Z110" s="466" t="s">
        <v>404</v>
      </c>
      <c r="AA110" s="467"/>
      <c r="AB110" s="467"/>
      <c r="AC110" s="468"/>
      <c r="AD110" s="461"/>
      <c r="AE110" s="466" t="s">
        <v>404</v>
      </c>
      <c r="AF110" s="467"/>
      <c r="AG110" s="467"/>
      <c r="AH110" s="468"/>
      <c r="AI110" s="461"/>
      <c r="AJ110" s="466" t="s">
        <v>404</v>
      </c>
      <c r="AK110" s="467"/>
      <c r="AL110" s="467"/>
      <c r="AM110" s="468"/>
      <c r="AN110" s="461"/>
      <c r="AO110" s="466" t="s">
        <v>404</v>
      </c>
      <c r="AP110" s="467"/>
      <c r="AQ110" s="467"/>
      <c r="AR110" s="468"/>
      <c r="AS110" s="461"/>
      <c r="AT110" s="466" t="s">
        <v>404</v>
      </c>
      <c r="AU110" s="467"/>
      <c r="AV110" s="467"/>
      <c r="AW110" s="468"/>
      <c r="AX110" s="461"/>
    </row>
    <row r="111" spans="2:50">
      <c r="B111" s="461"/>
      <c r="C111" s="461"/>
      <c r="D111" s="461"/>
      <c r="E111" s="269" t="s">
        <v>405</v>
      </c>
      <c r="F111" s="269" t="s">
        <v>406</v>
      </c>
      <c r="G111" s="269" t="s">
        <v>407</v>
      </c>
      <c r="H111" s="484"/>
      <c r="I111" s="269" t="s">
        <v>405</v>
      </c>
      <c r="J111" s="269" t="s">
        <v>406</v>
      </c>
      <c r="K111" s="269" t="s">
        <v>407</v>
      </c>
      <c r="L111" s="484"/>
      <c r="M111" s="481"/>
      <c r="N111" s="461"/>
      <c r="O111" s="461"/>
      <c r="P111" s="269" t="s">
        <v>405</v>
      </c>
      <c r="Q111" s="269" t="s">
        <v>406</v>
      </c>
      <c r="R111" s="269" t="s">
        <v>407</v>
      </c>
      <c r="S111" s="269" t="s">
        <v>397</v>
      </c>
      <c r="T111" s="461"/>
      <c r="U111" s="269" t="s">
        <v>405</v>
      </c>
      <c r="V111" s="269" t="s">
        <v>406</v>
      </c>
      <c r="W111" s="269" t="s">
        <v>407</v>
      </c>
      <c r="X111" s="269" t="s">
        <v>397</v>
      </c>
      <c r="Y111" s="461"/>
      <c r="Z111" s="269" t="s">
        <v>405</v>
      </c>
      <c r="AA111" s="269" t="s">
        <v>406</v>
      </c>
      <c r="AB111" s="269" t="s">
        <v>407</v>
      </c>
      <c r="AC111" s="269" t="s">
        <v>397</v>
      </c>
      <c r="AD111" s="461"/>
      <c r="AE111" s="269" t="s">
        <v>405</v>
      </c>
      <c r="AF111" s="269" t="s">
        <v>406</v>
      </c>
      <c r="AG111" s="269" t="s">
        <v>407</v>
      </c>
      <c r="AH111" s="269" t="s">
        <v>397</v>
      </c>
      <c r="AI111" s="461"/>
      <c r="AJ111" s="269" t="s">
        <v>405</v>
      </c>
      <c r="AK111" s="269" t="s">
        <v>406</v>
      </c>
      <c r="AL111" s="269" t="s">
        <v>407</v>
      </c>
      <c r="AM111" s="269" t="s">
        <v>397</v>
      </c>
      <c r="AN111" s="461"/>
      <c r="AO111" s="269" t="s">
        <v>405</v>
      </c>
      <c r="AP111" s="269" t="s">
        <v>406</v>
      </c>
      <c r="AQ111" s="269" t="s">
        <v>407</v>
      </c>
      <c r="AR111" s="269" t="s">
        <v>397</v>
      </c>
      <c r="AS111" s="461"/>
      <c r="AT111" s="269" t="s">
        <v>405</v>
      </c>
      <c r="AU111" s="269" t="s">
        <v>406</v>
      </c>
      <c r="AV111" s="269" t="s">
        <v>407</v>
      </c>
      <c r="AW111" s="269" t="s">
        <v>397</v>
      </c>
      <c r="AX111" s="461"/>
    </row>
    <row r="112" spans="2:50">
      <c r="B112" s="454" t="s">
        <v>150</v>
      </c>
      <c r="C112" s="182">
        <v>1</v>
      </c>
      <c r="D112" s="182"/>
      <c r="E112" s="182"/>
      <c r="F112" s="182"/>
      <c r="G112" s="166"/>
      <c r="H112" s="487" t="e">
        <f>AVERAGE(G112:G141)</f>
        <v>#DIV/0!</v>
      </c>
      <c r="I112" s="166" t="str">
        <f>IFERROR(AVERAGE(P112,U112,Z112,AE112,AJ112,AO112,AT112),"-")</f>
        <v>-</v>
      </c>
      <c r="J112" s="166" t="str">
        <f>IFERROR(AVERAGE(Q112,V112,AA112,AF112,AK112,AP112,AU112),"-")</f>
        <v>-</v>
      </c>
      <c r="K112" s="180" t="str">
        <f>IFERROR(AVERAGE(R112,W112,AB112,AG112,AL112,AQ112,AV112),"-")</f>
        <v>-</v>
      </c>
      <c r="L112" s="463" t="str">
        <f>IFERROR(AVERAGE(K112:K141),"-")</f>
        <v>-</v>
      </c>
      <c r="M112" s="166" t="e">
        <f>RANK(K112, K$112:$K$141)</f>
        <v>#VALUE!</v>
      </c>
      <c r="N112" s="461"/>
      <c r="O112" s="461"/>
      <c r="P112" s="166"/>
      <c r="Q112" s="166"/>
      <c r="R112" s="166"/>
      <c r="S112" s="182" t="e">
        <f>RANK(R112, R$112:R$141)</f>
        <v>#N/A</v>
      </c>
      <c r="T112" s="487" t="e">
        <f>AVERAGE(R112:R141)</f>
        <v>#DIV/0!</v>
      </c>
      <c r="U112" s="166"/>
      <c r="V112" s="166"/>
      <c r="W112" s="166"/>
      <c r="X112" s="182" t="e">
        <f t="shared" ref="X112:X127" si="49">RANK(W112, W$112:W$141)</f>
        <v>#N/A</v>
      </c>
      <c r="Y112" s="487" t="e">
        <f t="shared" ref="Y112" si="50">AVERAGE(W112:W141)</f>
        <v>#DIV/0!</v>
      </c>
      <c r="Z112" s="166"/>
      <c r="AA112" s="166"/>
      <c r="AB112" s="166"/>
      <c r="AC112" s="182" t="e">
        <f t="shared" ref="AC112:AC127" si="51">RANK(AB112, AB$112:AB$141)</f>
        <v>#N/A</v>
      </c>
      <c r="AD112" s="487" t="e">
        <f t="shared" ref="AD112" si="52">AVERAGE(AB112:AB141)</f>
        <v>#DIV/0!</v>
      </c>
      <c r="AE112" s="166"/>
      <c r="AF112" s="166"/>
      <c r="AG112" s="166"/>
      <c r="AH112" s="182" t="e">
        <f t="shared" ref="AH112:AH127" si="53">RANK(AG112, AG$112:AG$141)</f>
        <v>#N/A</v>
      </c>
      <c r="AI112" s="487" t="e">
        <f t="shared" ref="AI112" si="54">AVERAGE(AG112:AG141)</f>
        <v>#DIV/0!</v>
      </c>
      <c r="AJ112" s="166"/>
      <c r="AK112" s="166"/>
      <c r="AL112" s="166"/>
      <c r="AM112" s="182" t="e">
        <f t="shared" ref="AM112:AM127" si="55">RANK(AL112, AL$112:AL$141)</f>
        <v>#N/A</v>
      </c>
      <c r="AN112" s="487" t="e">
        <f t="shared" ref="AN112" si="56">AVERAGE(AL112:AL141)</f>
        <v>#DIV/0!</v>
      </c>
      <c r="AO112" s="166"/>
      <c r="AP112" s="166"/>
      <c r="AQ112" s="166"/>
      <c r="AR112" s="182" t="e">
        <f t="shared" ref="AR112:AR127" si="57">RANK(AQ112, AQ$112:AQ$141)</f>
        <v>#N/A</v>
      </c>
      <c r="AS112" s="487" t="e">
        <f t="shared" ref="AS112" si="58">AVERAGE(AQ112:AQ141)</f>
        <v>#DIV/0!</v>
      </c>
      <c r="AT112" s="166"/>
      <c r="AU112" s="166"/>
      <c r="AV112" s="166"/>
      <c r="AW112" s="182" t="e">
        <f t="shared" ref="AW112:AW127" si="59">RANK(AV112, AV$112:AV$141)</f>
        <v>#N/A</v>
      </c>
      <c r="AX112" s="487" t="e">
        <f t="shared" ref="AX112" si="60">AVERAGE(AV112:AV141)</f>
        <v>#DIV/0!</v>
      </c>
    </row>
    <row r="113" spans="2:50">
      <c r="B113" s="454"/>
      <c r="C113" s="182">
        <v>2</v>
      </c>
      <c r="D113" s="269"/>
      <c r="E113" s="182"/>
      <c r="F113" s="182"/>
      <c r="G113" s="166"/>
      <c r="H113" s="488"/>
      <c r="I113" s="166" t="str">
        <f t="shared" ref="I113:I141" si="61">IFERROR(AVERAGE(P113,U113,Z113,AE113,AJ113,AO113,AT113),"-")</f>
        <v>-</v>
      </c>
      <c r="J113" s="166" t="str">
        <f t="shared" ref="J113:J141" si="62">IFERROR(AVERAGE(Q113,V113,AA113,AF113,AK113,AP113,AU113),"-")</f>
        <v>-</v>
      </c>
      <c r="K113" s="180" t="str">
        <f t="shared" ref="K113:K141" si="63">IFERROR(AVERAGE(R113,W113,AB113,AG113,AL113,AQ113,AV113),"-")</f>
        <v>-</v>
      </c>
      <c r="L113" s="464"/>
      <c r="M113" s="166" t="e">
        <f>RANK(K113, K$112:$K$141)</f>
        <v>#VALUE!</v>
      </c>
      <c r="N113" s="461"/>
      <c r="O113" s="461"/>
      <c r="P113" s="166"/>
      <c r="Q113" s="166"/>
      <c r="R113" s="166"/>
      <c r="S113" s="182" t="e">
        <f t="shared" ref="S113:S141" si="64">RANK(R113, R$112:R$141)</f>
        <v>#N/A</v>
      </c>
      <c r="T113" s="488"/>
      <c r="U113" s="166"/>
      <c r="V113" s="166"/>
      <c r="W113" s="166"/>
      <c r="X113" s="182" t="e">
        <f t="shared" si="49"/>
        <v>#N/A</v>
      </c>
      <c r="Y113" s="488"/>
      <c r="Z113" s="166"/>
      <c r="AA113" s="166"/>
      <c r="AB113" s="166"/>
      <c r="AC113" s="182" t="e">
        <f t="shared" si="51"/>
        <v>#N/A</v>
      </c>
      <c r="AD113" s="488"/>
      <c r="AE113" s="166"/>
      <c r="AF113" s="166"/>
      <c r="AG113" s="166"/>
      <c r="AH113" s="182" t="e">
        <f t="shared" si="53"/>
        <v>#N/A</v>
      </c>
      <c r="AI113" s="488"/>
      <c r="AJ113" s="166"/>
      <c r="AK113" s="166"/>
      <c r="AL113" s="166"/>
      <c r="AM113" s="182" t="e">
        <f t="shared" si="55"/>
        <v>#N/A</v>
      </c>
      <c r="AN113" s="488"/>
      <c r="AO113" s="166"/>
      <c r="AP113" s="166"/>
      <c r="AQ113" s="166"/>
      <c r="AR113" s="182" t="e">
        <f t="shared" si="57"/>
        <v>#N/A</v>
      </c>
      <c r="AS113" s="488"/>
      <c r="AT113" s="166"/>
      <c r="AU113" s="166"/>
      <c r="AV113" s="166"/>
      <c r="AW113" s="182" t="e">
        <f t="shared" si="59"/>
        <v>#N/A</v>
      </c>
      <c r="AX113" s="488"/>
    </row>
    <row r="114" spans="2:50">
      <c r="B114" s="454"/>
      <c r="C114" s="182">
        <v>3</v>
      </c>
      <c r="D114" s="182"/>
      <c r="E114" s="182"/>
      <c r="F114" s="182"/>
      <c r="G114" s="166"/>
      <c r="H114" s="488"/>
      <c r="I114" s="166" t="str">
        <f t="shared" si="61"/>
        <v>-</v>
      </c>
      <c r="J114" s="166" t="str">
        <f t="shared" si="62"/>
        <v>-</v>
      </c>
      <c r="K114" s="180" t="str">
        <f t="shared" si="63"/>
        <v>-</v>
      </c>
      <c r="L114" s="464"/>
      <c r="M114" s="166" t="e">
        <f>RANK(K114, K$112:$K$141)</f>
        <v>#VALUE!</v>
      </c>
      <c r="N114" s="461"/>
      <c r="O114" s="461"/>
      <c r="P114" s="166"/>
      <c r="Q114" s="166"/>
      <c r="R114" s="166"/>
      <c r="S114" s="182" t="e">
        <f t="shared" si="64"/>
        <v>#N/A</v>
      </c>
      <c r="T114" s="488"/>
      <c r="U114" s="166"/>
      <c r="V114" s="166"/>
      <c r="W114" s="166"/>
      <c r="X114" s="182" t="e">
        <f t="shared" si="49"/>
        <v>#N/A</v>
      </c>
      <c r="Y114" s="488"/>
      <c r="Z114" s="166"/>
      <c r="AA114" s="166"/>
      <c r="AB114" s="166"/>
      <c r="AC114" s="182" t="e">
        <f t="shared" si="51"/>
        <v>#N/A</v>
      </c>
      <c r="AD114" s="488"/>
      <c r="AE114" s="166"/>
      <c r="AF114" s="166"/>
      <c r="AG114" s="166"/>
      <c r="AH114" s="182" t="e">
        <f t="shared" si="53"/>
        <v>#N/A</v>
      </c>
      <c r="AI114" s="488"/>
      <c r="AJ114" s="166"/>
      <c r="AK114" s="166"/>
      <c r="AL114" s="166"/>
      <c r="AM114" s="182" t="e">
        <f t="shared" si="55"/>
        <v>#N/A</v>
      </c>
      <c r="AN114" s="488"/>
      <c r="AO114" s="166"/>
      <c r="AP114" s="166"/>
      <c r="AQ114" s="166"/>
      <c r="AR114" s="182" t="e">
        <f t="shared" si="57"/>
        <v>#N/A</v>
      </c>
      <c r="AS114" s="488"/>
      <c r="AT114" s="166"/>
      <c r="AU114" s="166"/>
      <c r="AV114" s="166"/>
      <c r="AW114" s="182" t="e">
        <f t="shared" si="59"/>
        <v>#N/A</v>
      </c>
      <c r="AX114" s="488"/>
    </row>
    <row r="115" spans="2:50">
      <c r="B115" s="454"/>
      <c r="C115" s="182">
        <v>4</v>
      </c>
      <c r="D115" s="182"/>
      <c r="E115" s="182"/>
      <c r="F115" s="182"/>
      <c r="G115" s="166"/>
      <c r="H115" s="488"/>
      <c r="I115" s="166" t="str">
        <f t="shared" si="61"/>
        <v>-</v>
      </c>
      <c r="J115" s="166" t="str">
        <f t="shared" si="62"/>
        <v>-</v>
      </c>
      <c r="K115" s="180" t="str">
        <f t="shared" si="63"/>
        <v>-</v>
      </c>
      <c r="L115" s="464"/>
      <c r="M115" s="166" t="e">
        <f>RANK(K115, K$112:$K$141)</f>
        <v>#VALUE!</v>
      </c>
      <c r="N115" s="461"/>
      <c r="O115" s="461"/>
      <c r="P115" s="166"/>
      <c r="Q115" s="166"/>
      <c r="R115" s="166"/>
      <c r="S115" s="182" t="e">
        <f t="shared" si="64"/>
        <v>#N/A</v>
      </c>
      <c r="T115" s="488"/>
      <c r="U115" s="166"/>
      <c r="V115" s="166"/>
      <c r="W115" s="166"/>
      <c r="X115" s="182" t="e">
        <f t="shared" si="49"/>
        <v>#N/A</v>
      </c>
      <c r="Y115" s="488"/>
      <c r="Z115" s="166"/>
      <c r="AA115" s="166"/>
      <c r="AB115" s="166"/>
      <c r="AC115" s="182" t="e">
        <f t="shared" si="51"/>
        <v>#N/A</v>
      </c>
      <c r="AD115" s="488"/>
      <c r="AE115" s="166"/>
      <c r="AF115" s="166"/>
      <c r="AG115" s="166"/>
      <c r="AH115" s="182" t="e">
        <f t="shared" si="53"/>
        <v>#N/A</v>
      </c>
      <c r="AI115" s="488"/>
      <c r="AJ115" s="166"/>
      <c r="AK115" s="166"/>
      <c r="AL115" s="166"/>
      <c r="AM115" s="182" t="e">
        <f t="shared" si="55"/>
        <v>#N/A</v>
      </c>
      <c r="AN115" s="488"/>
      <c r="AO115" s="166"/>
      <c r="AP115" s="166"/>
      <c r="AQ115" s="166"/>
      <c r="AR115" s="182" t="e">
        <f t="shared" si="57"/>
        <v>#N/A</v>
      </c>
      <c r="AS115" s="488"/>
      <c r="AT115" s="166"/>
      <c r="AU115" s="166"/>
      <c r="AV115" s="166"/>
      <c r="AW115" s="182" t="e">
        <f t="shared" si="59"/>
        <v>#N/A</v>
      </c>
      <c r="AX115" s="488"/>
    </row>
    <row r="116" spans="2:50">
      <c r="B116" s="454"/>
      <c r="C116" s="182">
        <v>5</v>
      </c>
      <c r="D116" s="182"/>
      <c r="E116" s="182"/>
      <c r="F116" s="182"/>
      <c r="G116" s="166"/>
      <c r="H116" s="488"/>
      <c r="I116" s="166" t="str">
        <f t="shared" si="61"/>
        <v>-</v>
      </c>
      <c r="J116" s="166" t="str">
        <f t="shared" si="62"/>
        <v>-</v>
      </c>
      <c r="K116" s="180" t="str">
        <f t="shared" si="63"/>
        <v>-</v>
      </c>
      <c r="L116" s="464"/>
      <c r="M116" s="166" t="e">
        <f>RANK(K116, K$112:$K$141)</f>
        <v>#VALUE!</v>
      </c>
      <c r="N116" s="461"/>
      <c r="O116" s="461"/>
      <c r="P116" s="166"/>
      <c r="Q116" s="166"/>
      <c r="R116" s="166"/>
      <c r="S116" s="182" t="e">
        <f t="shared" si="64"/>
        <v>#N/A</v>
      </c>
      <c r="T116" s="488"/>
      <c r="U116" s="166"/>
      <c r="V116" s="166"/>
      <c r="W116" s="166"/>
      <c r="X116" s="182" t="e">
        <f t="shared" si="49"/>
        <v>#N/A</v>
      </c>
      <c r="Y116" s="488"/>
      <c r="Z116" s="166"/>
      <c r="AA116" s="166"/>
      <c r="AB116" s="166"/>
      <c r="AC116" s="182" t="e">
        <f t="shared" si="51"/>
        <v>#N/A</v>
      </c>
      <c r="AD116" s="488"/>
      <c r="AE116" s="166"/>
      <c r="AF116" s="166"/>
      <c r="AG116" s="166"/>
      <c r="AH116" s="182" t="e">
        <f t="shared" si="53"/>
        <v>#N/A</v>
      </c>
      <c r="AI116" s="488"/>
      <c r="AJ116" s="166"/>
      <c r="AK116" s="166"/>
      <c r="AL116" s="166"/>
      <c r="AM116" s="182" t="e">
        <f t="shared" si="55"/>
        <v>#N/A</v>
      </c>
      <c r="AN116" s="488"/>
      <c r="AO116" s="166"/>
      <c r="AP116" s="166"/>
      <c r="AQ116" s="166"/>
      <c r="AR116" s="182" t="e">
        <f t="shared" si="57"/>
        <v>#N/A</v>
      </c>
      <c r="AS116" s="488"/>
      <c r="AT116" s="166"/>
      <c r="AU116" s="166"/>
      <c r="AV116" s="166"/>
      <c r="AW116" s="182" t="e">
        <f t="shared" si="59"/>
        <v>#N/A</v>
      </c>
      <c r="AX116" s="488"/>
    </row>
    <row r="117" spans="2:50">
      <c r="B117" s="454"/>
      <c r="C117" s="182">
        <v>6</v>
      </c>
      <c r="D117" s="182"/>
      <c r="E117" s="182"/>
      <c r="F117" s="182"/>
      <c r="G117" s="166"/>
      <c r="H117" s="488"/>
      <c r="I117" s="166" t="str">
        <f t="shared" si="61"/>
        <v>-</v>
      </c>
      <c r="J117" s="166" t="str">
        <f t="shared" si="62"/>
        <v>-</v>
      </c>
      <c r="K117" s="180" t="str">
        <f t="shared" si="63"/>
        <v>-</v>
      </c>
      <c r="L117" s="464"/>
      <c r="M117" s="166" t="e">
        <f>RANK(K117, K$112:$K$141)</f>
        <v>#VALUE!</v>
      </c>
      <c r="N117" s="461"/>
      <c r="O117" s="461"/>
      <c r="P117" s="166"/>
      <c r="Q117" s="166"/>
      <c r="R117" s="166"/>
      <c r="S117" s="182" t="e">
        <f t="shared" si="64"/>
        <v>#N/A</v>
      </c>
      <c r="T117" s="488"/>
      <c r="U117" s="166"/>
      <c r="V117" s="166"/>
      <c r="W117" s="166"/>
      <c r="X117" s="182" t="e">
        <f t="shared" si="49"/>
        <v>#N/A</v>
      </c>
      <c r="Y117" s="488"/>
      <c r="Z117" s="166"/>
      <c r="AA117" s="166"/>
      <c r="AB117" s="166"/>
      <c r="AC117" s="182" t="e">
        <f t="shared" si="51"/>
        <v>#N/A</v>
      </c>
      <c r="AD117" s="488"/>
      <c r="AE117" s="166"/>
      <c r="AF117" s="166"/>
      <c r="AG117" s="166"/>
      <c r="AH117" s="182" t="e">
        <f t="shared" si="53"/>
        <v>#N/A</v>
      </c>
      <c r="AI117" s="488"/>
      <c r="AJ117" s="166"/>
      <c r="AK117" s="166"/>
      <c r="AL117" s="166"/>
      <c r="AM117" s="182" t="e">
        <f t="shared" si="55"/>
        <v>#N/A</v>
      </c>
      <c r="AN117" s="488"/>
      <c r="AO117" s="166"/>
      <c r="AP117" s="166"/>
      <c r="AQ117" s="166"/>
      <c r="AR117" s="182" t="e">
        <f t="shared" si="57"/>
        <v>#N/A</v>
      </c>
      <c r="AS117" s="488"/>
      <c r="AT117" s="166"/>
      <c r="AU117" s="166"/>
      <c r="AV117" s="166"/>
      <c r="AW117" s="182" t="e">
        <f t="shared" si="59"/>
        <v>#N/A</v>
      </c>
      <c r="AX117" s="488"/>
    </row>
    <row r="118" spans="2:50">
      <c r="B118" s="454"/>
      <c r="C118" s="182">
        <v>7</v>
      </c>
      <c r="D118" s="182"/>
      <c r="E118" s="182"/>
      <c r="F118" s="182"/>
      <c r="G118" s="166"/>
      <c r="H118" s="488"/>
      <c r="I118" s="166" t="str">
        <f t="shared" si="61"/>
        <v>-</v>
      </c>
      <c r="J118" s="166" t="str">
        <f t="shared" si="62"/>
        <v>-</v>
      </c>
      <c r="K118" s="180" t="str">
        <f t="shared" si="63"/>
        <v>-</v>
      </c>
      <c r="L118" s="464"/>
      <c r="M118" s="166" t="e">
        <f>RANK(K118, K$112:$K$141)</f>
        <v>#VALUE!</v>
      </c>
      <c r="N118" s="461"/>
      <c r="O118" s="461"/>
      <c r="P118" s="166"/>
      <c r="Q118" s="166"/>
      <c r="R118" s="166"/>
      <c r="S118" s="182" t="e">
        <f t="shared" si="64"/>
        <v>#N/A</v>
      </c>
      <c r="T118" s="488"/>
      <c r="U118" s="166"/>
      <c r="V118" s="166"/>
      <c r="W118" s="166"/>
      <c r="X118" s="182" t="e">
        <f t="shared" si="49"/>
        <v>#N/A</v>
      </c>
      <c r="Y118" s="488"/>
      <c r="Z118" s="166"/>
      <c r="AA118" s="166"/>
      <c r="AB118" s="166"/>
      <c r="AC118" s="182" t="e">
        <f t="shared" si="51"/>
        <v>#N/A</v>
      </c>
      <c r="AD118" s="488"/>
      <c r="AE118" s="166"/>
      <c r="AF118" s="166"/>
      <c r="AG118" s="166"/>
      <c r="AH118" s="182" t="e">
        <f t="shared" si="53"/>
        <v>#N/A</v>
      </c>
      <c r="AI118" s="488"/>
      <c r="AJ118" s="166"/>
      <c r="AK118" s="166"/>
      <c r="AL118" s="166"/>
      <c r="AM118" s="182" t="e">
        <f t="shared" si="55"/>
        <v>#N/A</v>
      </c>
      <c r="AN118" s="488"/>
      <c r="AO118" s="166"/>
      <c r="AP118" s="166"/>
      <c r="AQ118" s="166"/>
      <c r="AR118" s="182" t="e">
        <f t="shared" si="57"/>
        <v>#N/A</v>
      </c>
      <c r="AS118" s="488"/>
      <c r="AT118" s="166"/>
      <c r="AU118" s="166"/>
      <c r="AV118" s="166"/>
      <c r="AW118" s="182" t="e">
        <f t="shared" si="59"/>
        <v>#N/A</v>
      </c>
      <c r="AX118" s="488"/>
    </row>
    <row r="119" spans="2:50">
      <c r="B119" s="454"/>
      <c r="C119" s="182">
        <v>8</v>
      </c>
      <c r="D119" s="182"/>
      <c r="E119" s="182"/>
      <c r="F119" s="182"/>
      <c r="G119" s="166"/>
      <c r="H119" s="488"/>
      <c r="I119" s="166" t="str">
        <f t="shared" si="61"/>
        <v>-</v>
      </c>
      <c r="J119" s="166" t="str">
        <f t="shared" si="62"/>
        <v>-</v>
      </c>
      <c r="K119" s="180" t="str">
        <f t="shared" si="63"/>
        <v>-</v>
      </c>
      <c r="L119" s="464"/>
      <c r="M119" s="166" t="e">
        <f>RANK(K119, K$112:$K$141)</f>
        <v>#VALUE!</v>
      </c>
      <c r="N119" s="461"/>
      <c r="O119" s="461"/>
      <c r="P119" s="166"/>
      <c r="Q119" s="166"/>
      <c r="R119" s="166"/>
      <c r="S119" s="182" t="e">
        <f t="shared" si="64"/>
        <v>#N/A</v>
      </c>
      <c r="T119" s="488"/>
      <c r="U119" s="166"/>
      <c r="V119" s="166"/>
      <c r="W119" s="166"/>
      <c r="X119" s="182" t="e">
        <f t="shared" si="49"/>
        <v>#N/A</v>
      </c>
      <c r="Y119" s="488"/>
      <c r="Z119" s="166"/>
      <c r="AA119" s="166"/>
      <c r="AB119" s="166"/>
      <c r="AC119" s="182" t="e">
        <f t="shared" si="51"/>
        <v>#N/A</v>
      </c>
      <c r="AD119" s="488"/>
      <c r="AE119" s="166"/>
      <c r="AF119" s="166"/>
      <c r="AG119" s="166"/>
      <c r="AH119" s="182" t="e">
        <f t="shared" si="53"/>
        <v>#N/A</v>
      </c>
      <c r="AI119" s="488"/>
      <c r="AJ119" s="166"/>
      <c r="AK119" s="166"/>
      <c r="AL119" s="166"/>
      <c r="AM119" s="182" t="e">
        <f t="shared" si="55"/>
        <v>#N/A</v>
      </c>
      <c r="AN119" s="488"/>
      <c r="AO119" s="166"/>
      <c r="AP119" s="166"/>
      <c r="AQ119" s="166"/>
      <c r="AR119" s="182" t="e">
        <f t="shared" si="57"/>
        <v>#N/A</v>
      </c>
      <c r="AS119" s="488"/>
      <c r="AT119" s="166"/>
      <c r="AU119" s="166"/>
      <c r="AV119" s="166"/>
      <c r="AW119" s="182" t="e">
        <f t="shared" si="59"/>
        <v>#N/A</v>
      </c>
      <c r="AX119" s="488"/>
    </row>
    <row r="120" spans="2:50">
      <c r="B120" s="454"/>
      <c r="C120" s="182">
        <v>9</v>
      </c>
      <c r="D120" s="182"/>
      <c r="E120" s="182"/>
      <c r="F120" s="182"/>
      <c r="G120" s="166"/>
      <c r="H120" s="488"/>
      <c r="I120" s="166" t="str">
        <f t="shared" si="61"/>
        <v>-</v>
      </c>
      <c r="J120" s="166" t="str">
        <f t="shared" si="62"/>
        <v>-</v>
      </c>
      <c r="K120" s="180" t="str">
        <f t="shared" si="63"/>
        <v>-</v>
      </c>
      <c r="L120" s="464"/>
      <c r="M120" s="166" t="e">
        <f>RANK(K120, K$112:$K$141)</f>
        <v>#VALUE!</v>
      </c>
      <c r="N120" s="461"/>
      <c r="O120" s="461"/>
      <c r="P120" s="166"/>
      <c r="Q120" s="166"/>
      <c r="R120" s="166"/>
      <c r="S120" s="182" t="e">
        <f t="shared" si="64"/>
        <v>#N/A</v>
      </c>
      <c r="T120" s="488"/>
      <c r="U120" s="166"/>
      <c r="V120" s="166"/>
      <c r="W120" s="166"/>
      <c r="X120" s="182" t="e">
        <f t="shared" si="49"/>
        <v>#N/A</v>
      </c>
      <c r="Y120" s="488"/>
      <c r="Z120" s="166"/>
      <c r="AA120" s="166"/>
      <c r="AB120" s="166"/>
      <c r="AC120" s="182" t="e">
        <f t="shared" si="51"/>
        <v>#N/A</v>
      </c>
      <c r="AD120" s="488"/>
      <c r="AE120" s="166"/>
      <c r="AF120" s="166"/>
      <c r="AG120" s="166"/>
      <c r="AH120" s="182" t="e">
        <f t="shared" si="53"/>
        <v>#N/A</v>
      </c>
      <c r="AI120" s="488"/>
      <c r="AJ120" s="166"/>
      <c r="AK120" s="166"/>
      <c r="AL120" s="166"/>
      <c r="AM120" s="182" t="e">
        <f t="shared" si="55"/>
        <v>#N/A</v>
      </c>
      <c r="AN120" s="488"/>
      <c r="AO120" s="166"/>
      <c r="AP120" s="166"/>
      <c r="AQ120" s="166"/>
      <c r="AR120" s="182" t="e">
        <f t="shared" si="57"/>
        <v>#N/A</v>
      </c>
      <c r="AS120" s="488"/>
      <c r="AT120" s="166"/>
      <c r="AU120" s="166"/>
      <c r="AV120" s="166"/>
      <c r="AW120" s="182" t="e">
        <f t="shared" si="59"/>
        <v>#N/A</v>
      </c>
      <c r="AX120" s="488"/>
    </row>
    <row r="121" spans="2:50">
      <c r="B121" s="454"/>
      <c r="C121" s="182">
        <v>10</v>
      </c>
      <c r="D121" s="182"/>
      <c r="E121" s="182"/>
      <c r="F121" s="182"/>
      <c r="G121" s="166"/>
      <c r="H121" s="488"/>
      <c r="I121" s="166" t="str">
        <f t="shared" si="61"/>
        <v>-</v>
      </c>
      <c r="J121" s="166" t="str">
        <f t="shared" si="62"/>
        <v>-</v>
      </c>
      <c r="K121" s="180" t="str">
        <f t="shared" si="63"/>
        <v>-</v>
      </c>
      <c r="L121" s="464"/>
      <c r="M121" s="166" t="e">
        <f>RANK(K121, K$112:$K$141)</f>
        <v>#VALUE!</v>
      </c>
      <c r="N121" s="461"/>
      <c r="O121" s="461"/>
      <c r="P121" s="166"/>
      <c r="Q121" s="166"/>
      <c r="R121" s="166"/>
      <c r="S121" s="182" t="e">
        <f t="shared" si="64"/>
        <v>#N/A</v>
      </c>
      <c r="T121" s="488"/>
      <c r="U121" s="166"/>
      <c r="V121" s="166"/>
      <c r="W121" s="166"/>
      <c r="X121" s="182" t="e">
        <f t="shared" si="49"/>
        <v>#N/A</v>
      </c>
      <c r="Y121" s="488"/>
      <c r="Z121" s="166"/>
      <c r="AA121" s="166"/>
      <c r="AB121" s="166"/>
      <c r="AC121" s="182" t="e">
        <f t="shared" si="51"/>
        <v>#N/A</v>
      </c>
      <c r="AD121" s="488"/>
      <c r="AE121" s="166"/>
      <c r="AF121" s="166"/>
      <c r="AG121" s="166"/>
      <c r="AH121" s="182" t="e">
        <f t="shared" si="53"/>
        <v>#N/A</v>
      </c>
      <c r="AI121" s="488"/>
      <c r="AJ121" s="166"/>
      <c r="AK121" s="166"/>
      <c r="AL121" s="166"/>
      <c r="AM121" s="182" t="e">
        <f t="shared" si="55"/>
        <v>#N/A</v>
      </c>
      <c r="AN121" s="488"/>
      <c r="AO121" s="166"/>
      <c r="AP121" s="166"/>
      <c r="AQ121" s="166"/>
      <c r="AR121" s="182" t="e">
        <f t="shared" si="57"/>
        <v>#N/A</v>
      </c>
      <c r="AS121" s="488"/>
      <c r="AT121" s="166"/>
      <c r="AU121" s="166"/>
      <c r="AV121" s="166"/>
      <c r="AW121" s="182" t="e">
        <f t="shared" si="59"/>
        <v>#N/A</v>
      </c>
      <c r="AX121" s="488"/>
    </row>
    <row r="122" spans="2:50">
      <c r="B122" s="454"/>
      <c r="C122" s="182">
        <v>11</v>
      </c>
      <c r="D122" s="182"/>
      <c r="E122" s="182"/>
      <c r="F122" s="182"/>
      <c r="G122" s="166"/>
      <c r="H122" s="488"/>
      <c r="I122" s="166" t="str">
        <f t="shared" si="61"/>
        <v>-</v>
      </c>
      <c r="J122" s="166" t="str">
        <f t="shared" si="62"/>
        <v>-</v>
      </c>
      <c r="K122" s="180" t="str">
        <f t="shared" si="63"/>
        <v>-</v>
      </c>
      <c r="L122" s="464"/>
      <c r="M122" s="166" t="e">
        <f>RANK(K122, K$112:$K$141)</f>
        <v>#VALUE!</v>
      </c>
      <c r="N122" s="461"/>
      <c r="O122" s="461"/>
      <c r="P122" s="166"/>
      <c r="Q122" s="166"/>
      <c r="R122" s="166"/>
      <c r="S122" s="182" t="e">
        <f t="shared" si="64"/>
        <v>#N/A</v>
      </c>
      <c r="T122" s="488"/>
      <c r="U122" s="166"/>
      <c r="V122" s="166"/>
      <c r="W122" s="166"/>
      <c r="X122" s="182" t="e">
        <f t="shared" si="49"/>
        <v>#N/A</v>
      </c>
      <c r="Y122" s="488"/>
      <c r="Z122" s="166"/>
      <c r="AA122" s="166"/>
      <c r="AB122" s="166"/>
      <c r="AC122" s="182" t="e">
        <f t="shared" si="51"/>
        <v>#N/A</v>
      </c>
      <c r="AD122" s="488"/>
      <c r="AE122" s="166"/>
      <c r="AF122" s="166"/>
      <c r="AG122" s="166"/>
      <c r="AH122" s="182" t="e">
        <f t="shared" si="53"/>
        <v>#N/A</v>
      </c>
      <c r="AI122" s="488"/>
      <c r="AJ122" s="166"/>
      <c r="AK122" s="166"/>
      <c r="AL122" s="166"/>
      <c r="AM122" s="182" t="e">
        <f t="shared" si="55"/>
        <v>#N/A</v>
      </c>
      <c r="AN122" s="488"/>
      <c r="AO122" s="166"/>
      <c r="AP122" s="166"/>
      <c r="AQ122" s="166"/>
      <c r="AR122" s="182" t="e">
        <f t="shared" si="57"/>
        <v>#N/A</v>
      </c>
      <c r="AS122" s="488"/>
      <c r="AT122" s="166"/>
      <c r="AU122" s="166"/>
      <c r="AV122" s="166"/>
      <c r="AW122" s="182" t="e">
        <f t="shared" si="59"/>
        <v>#N/A</v>
      </c>
      <c r="AX122" s="488"/>
    </row>
    <row r="123" spans="2:50">
      <c r="B123" s="454"/>
      <c r="C123" s="182">
        <v>12</v>
      </c>
      <c r="D123" s="182"/>
      <c r="E123" s="182"/>
      <c r="F123" s="182"/>
      <c r="G123" s="166"/>
      <c r="H123" s="488"/>
      <c r="I123" s="166" t="str">
        <f t="shared" si="61"/>
        <v>-</v>
      </c>
      <c r="J123" s="166" t="str">
        <f t="shared" si="62"/>
        <v>-</v>
      </c>
      <c r="K123" s="180" t="str">
        <f t="shared" si="63"/>
        <v>-</v>
      </c>
      <c r="L123" s="464"/>
      <c r="M123" s="166" t="e">
        <f>RANK(K123, K$112:$K$141)</f>
        <v>#VALUE!</v>
      </c>
      <c r="N123" s="461"/>
      <c r="O123" s="461"/>
      <c r="P123" s="166"/>
      <c r="Q123" s="166"/>
      <c r="R123" s="166"/>
      <c r="S123" s="182" t="e">
        <f t="shared" si="64"/>
        <v>#N/A</v>
      </c>
      <c r="T123" s="488"/>
      <c r="U123" s="166"/>
      <c r="V123" s="166"/>
      <c r="W123" s="166"/>
      <c r="X123" s="182" t="e">
        <f t="shared" si="49"/>
        <v>#N/A</v>
      </c>
      <c r="Y123" s="488"/>
      <c r="Z123" s="166"/>
      <c r="AA123" s="166"/>
      <c r="AB123" s="166"/>
      <c r="AC123" s="182" t="e">
        <f t="shared" si="51"/>
        <v>#N/A</v>
      </c>
      <c r="AD123" s="488"/>
      <c r="AE123" s="166"/>
      <c r="AF123" s="166"/>
      <c r="AG123" s="166"/>
      <c r="AH123" s="182" t="e">
        <f t="shared" si="53"/>
        <v>#N/A</v>
      </c>
      <c r="AI123" s="488"/>
      <c r="AJ123" s="166"/>
      <c r="AK123" s="166"/>
      <c r="AL123" s="166"/>
      <c r="AM123" s="182" t="e">
        <f t="shared" si="55"/>
        <v>#N/A</v>
      </c>
      <c r="AN123" s="488"/>
      <c r="AO123" s="166"/>
      <c r="AP123" s="166"/>
      <c r="AQ123" s="166"/>
      <c r="AR123" s="182" t="e">
        <f t="shared" si="57"/>
        <v>#N/A</v>
      </c>
      <c r="AS123" s="488"/>
      <c r="AT123" s="166"/>
      <c r="AU123" s="166"/>
      <c r="AV123" s="166"/>
      <c r="AW123" s="182" t="e">
        <f t="shared" si="59"/>
        <v>#N/A</v>
      </c>
      <c r="AX123" s="488"/>
    </row>
    <row r="124" spans="2:50">
      <c r="B124" s="454"/>
      <c r="C124" s="182">
        <v>13</v>
      </c>
      <c r="D124" s="182"/>
      <c r="E124" s="182"/>
      <c r="F124" s="182"/>
      <c r="G124" s="166"/>
      <c r="H124" s="488"/>
      <c r="I124" s="166" t="str">
        <f t="shared" si="61"/>
        <v>-</v>
      </c>
      <c r="J124" s="166" t="str">
        <f t="shared" si="62"/>
        <v>-</v>
      </c>
      <c r="K124" s="180" t="str">
        <f t="shared" si="63"/>
        <v>-</v>
      </c>
      <c r="L124" s="464"/>
      <c r="M124" s="166" t="e">
        <f>RANK(K124, K$112:$K$141)</f>
        <v>#VALUE!</v>
      </c>
      <c r="N124" s="461"/>
      <c r="O124" s="461"/>
      <c r="P124" s="166"/>
      <c r="Q124" s="166"/>
      <c r="R124" s="166"/>
      <c r="S124" s="182" t="e">
        <f t="shared" si="64"/>
        <v>#N/A</v>
      </c>
      <c r="T124" s="488"/>
      <c r="U124" s="166"/>
      <c r="V124" s="166"/>
      <c r="W124" s="166"/>
      <c r="X124" s="182" t="e">
        <f t="shared" si="49"/>
        <v>#N/A</v>
      </c>
      <c r="Y124" s="488"/>
      <c r="Z124" s="166"/>
      <c r="AA124" s="166"/>
      <c r="AB124" s="166"/>
      <c r="AC124" s="182" t="e">
        <f t="shared" si="51"/>
        <v>#N/A</v>
      </c>
      <c r="AD124" s="488"/>
      <c r="AE124" s="166"/>
      <c r="AF124" s="166"/>
      <c r="AG124" s="166"/>
      <c r="AH124" s="182" t="e">
        <f t="shared" si="53"/>
        <v>#N/A</v>
      </c>
      <c r="AI124" s="488"/>
      <c r="AJ124" s="166"/>
      <c r="AK124" s="166"/>
      <c r="AL124" s="166"/>
      <c r="AM124" s="182" t="e">
        <f t="shared" si="55"/>
        <v>#N/A</v>
      </c>
      <c r="AN124" s="488"/>
      <c r="AO124" s="166"/>
      <c r="AP124" s="166"/>
      <c r="AQ124" s="166"/>
      <c r="AR124" s="182" t="e">
        <f t="shared" si="57"/>
        <v>#N/A</v>
      </c>
      <c r="AS124" s="488"/>
      <c r="AT124" s="166"/>
      <c r="AU124" s="166"/>
      <c r="AV124" s="166"/>
      <c r="AW124" s="182" t="e">
        <f t="shared" si="59"/>
        <v>#N/A</v>
      </c>
      <c r="AX124" s="488"/>
    </row>
    <row r="125" spans="2:50">
      <c r="B125" s="454"/>
      <c r="C125" s="182">
        <v>14</v>
      </c>
      <c r="D125" s="182"/>
      <c r="E125" s="182"/>
      <c r="F125" s="182"/>
      <c r="G125" s="166"/>
      <c r="H125" s="488"/>
      <c r="I125" s="166" t="str">
        <f t="shared" si="61"/>
        <v>-</v>
      </c>
      <c r="J125" s="166" t="str">
        <f t="shared" si="62"/>
        <v>-</v>
      </c>
      <c r="K125" s="180" t="str">
        <f t="shared" si="63"/>
        <v>-</v>
      </c>
      <c r="L125" s="464"/>
      <c r="M125" s="166" t="e">
        <f>RANK(K125, K$112:$K$141)</f>
        <v>#VALUE!</v>
      </c>
      <c r="N125" s="461"/>
      <c r="O125" s="461"/>
      <c r="P125" s="166"/>
      <c r="Q125" s="166"/>
      <c r="R125" s="166"/>
      <c r="S125" s="182" t="e">
        <f t="shared" si="64"/>
        <v>#N/A</v>
      </c>
      <c r="T125" s="488"/>
      <c r="U125" s="166"/>
      <c r="V125" s="166"/>
      <c r="W125" s="166"/>
      <c r="X125" s="182" t="e">
        <f t="shared" si="49"/>
        <v>#N/A</v>
      </c>
      <c r="Y125" s="488"/>
      <c r="Z125" s="166"/>
      <c r="AA125" s="166"/>
      <c r="AB125" s="166"/>
      <c r="AC125" s="182" t="e">
        <f t="shared" si="51"/>
        <v>#N/A</v>
      </c>
      <c r="AD125" s="488"/>
      <c r="AE125" s="166"/>
      <c r="AF125" s="166"/>
      <c r="AG125" s="166"/>
      <c r="AH125" s="182" t="e">
        <f t="shared" si="53"/>
        <v>#N/A</v>
      </c>
      <c r="AI125" s="488"/>
      <c r="AJ125" s="166"/>
      <c r="AK125" s="166"/>
      <c r="AL125" s="166"/>
      <c r="AM125" s="182" t="e">
        <f t="shared" si="55"/>
        <v>#N/A</v>
      </c>
      <c r="AN125" s="488"/>
      <c r="AO125" s="166"/>
      <c r="AP125" s="166"/>
      <c r="AQ125" s="166"/>
      <c r="AR125" s="182" t="e">
        <f t="shared" si="57"/>
        <v>#N/A</v>
      </c>
      <c r="AS125" s="488"/>
      <c r="AT125" s="166"/>
      <c r="AU125" s="166"/>
      <c r="AV125" s="166"/>
      <c r="AW125" s="182" t="e">
        <f t="shared" si="59"/>
        <v>#N/A</v>
      </c>
      <c r="AX125" s="488"/>
    </row>
    <row r="126" spans="2:50">
      <c r="B126" s="454"/>
      <c r="C126" s="182">
        <v>15</v>
      </c>
      <c r="D126" s="182"/>
      <c r="E126" s="182"/>
      <c r="F126" s="182"/>
      <c r="G126" s="166"/>
      <c r="H126" s="488"/>
      <c r="I126" s="166" t="str">
        <f t="shared" si="61"/>
        <v>-</v>
      </c>
      <c r="J126" s="166" t="str">
        <f t="shared" si="62"/>
        <v>-</v>
      </c>
      <c r="K126" s="180" t="str">
        <f t="shared" si="63"/>
        <v>-</v>
      </c>
      <c r="L126" s="464"/>
      <c r="M126" s="166" t="e">
        <f>RANK(K126, K$112:$K$141)</f>
        <v>#VALUE!</v>
      </c>
      <c r="N126" s="461"/>
      <c r="O126" s="461"/>
      <c r="P126" s="166"/>
      <c r="Q126" s="166"/>
      <c r="R126" s="166"/>
      <c r="S126" s="182" t="e">
        <f t="shared" si="64"/>
        <v>#N/A</v>
      </c>
      <c r="T126" s="488"/>
      <c r="U126" s="166"/>
      <c r="V126" s="166"/>
      <c r="W126" s="166"/>
      <c r="X126" s="182" t="e">
        <f t="shared" si="49"/>
        <v>#N/A</v>
      </c>
      <c r="Y126" s="488"/>
      <c r="Z126" s="166"/>
      <c r="AA126" s="166"/>
      <c r="AB126" s="166"/>
      <c r="AC126" s="182" t="e">
        <f t="shared" si="51"/>
        <v>#N/A</v>
      </c>
      <c r="AD126" s="488"/>
      <c r="AE126" s="166"/>
      <c r="AF126" s="166"/>
      <c r="AG126" s="166"/>
      <c r="AH126" s="182" t="e">
        <f t="shared" si="53"/>
        <v>#N/A</v>
      </c>
      <c r="AI126" s="488"/>
      <c r="AJ126" s="166"/>
      <c r="AK126" s="166"/>
      <c r="AL126" s="166"/>
      <c r="AM126" s="182" t="e">
        <f t="shared" si="55"/>
        <v>#N/A</v>
      </c>
      <c r="AN126" s="488"/>
      <c r="AO126" s="166"/>
      <c r="AP126" s="166"/>
      <c r="AQ126" s="166"/>
      <c r="AR126" s="182" t="e">
        <f t="shared" si="57"/>
        <v>#N/A</v>
      </c>
      <c r="AS126" s="488"/>
      <c r="AT126" s="166"/>
      <c r="AU126" s="166"/>
      <c r="AV126" s="166"/>
      <c r="AW126" s="182" t="e">
        <f t="shared" si="59"/>
        <v>#N/A</v>
      </c>
      <c r="AX126" s="488"/>
    </row>
    <row r="127" spans="2:50">
      <c r="B127" s="454"/>
      <c r="C127" s="182">
        <v>16</v>
      </c>
      <c r="D127" s="182"/>
      <c r="E127" s="182"/>
      <c r="F127" s="182"/>
      <c r="G127" s="166"/>
      <c r="H127" s="488"/>
      <c r="I127" s="166" t="str">
        <f t="shared" si="61"/>
        <v>-</v>
      </c>
      <c r="J127" s="166" t="str">
        <f t="shared" si="62"/>
        <v>-</v>
      </c>
      <c r="K127" s="180" t="str">
        <f t="shared" si="63"/>
        <v>-</v>
      </c>
      <c r="L127" s="464"/>
      <c r="M127" s="166" t="e">
        <f>RANK(K127, K$112:$K$141)</f>
        <v>#VALUE!</v>
      </c>
      <c r="N127" s="461"/>
      <c r="O127" s="461"/>
      <c r="P127" s="166"/>
      <c r="Q127" s="166"/>
      <c r="R127" s="166"/>
      <c r="S127" s="182" t="e">
        <f t="shared" si="64"/>
        <v>#N/A</v>
      </c>
      <c r="T127" s="488"/>
      <c r="U127" s="166"/>
      <c r="V127" s="166"/>
      <c r="W127" s="166"/>
      <c r="X127" s="182" t="e">
        <f t="shared" si="49"/>
        <v>#N/A</v>
      </c>
      <c r="Y127" s="488"/>
      <c r="Z127" s="166"/>
      <c r="AA127" s="166"/>
      <c r="AB127" s="166"/>
      <c r="AC127" s="182" t="e">
        <f t="shared" si="51"/>
        <v>#N/A</v>
      </c>
      <c r="AD127" s="488"/>
      <c r="AE127" s="166"/>
      <c r="AF127" s="166"/>
      <c r="AG127" s="166"/>
      <c r="AH127" s="182" t="e">
        <f t="shared" si="53"/>
        <v>#N/A</v>
      </c>
      <c r="AI127" s="488"/>
      <c r="AJ127" s="166"/>
      <c r="AK127" s="166"/>
      <c r="AL127" s="166"/>
      <c r="AM127" s="182" t="e">
        <f t="shared" si="55"/>
        <v>#N/A</v>
      </c>
      <c r="AN127" s="488"/>
      <c r="AO127" s="166"/>
      <c r="AP127" s="166"/>
      <c r="AQ127" s="166"/>
      <c r="AR127" s="182" t="e">
        <f t="shared" si="57"/>
        <v>#N/A</v>
      </c>
      <c r="AS127" s="488"/>
      <c r="AT127" s="166"/>
      <c r="AU127" s="166"/>
      <c r="AV127" s="166"/>
      <c r="AW127" s="182" t="e">
        <f t="shared" si="59"/>
        <v>#N/A</v>
      </c>
      <c r="AX127" s="488"/>
    </row>
    <row r="128" spans="2:50">
      <c r="B128" s="454"/>
      <c r="C128" s="182">
        <v>17</v>
      </c>
      <c r="D128" s="182"/>
      <c r="E128" s="182"/>
      <c r="F128" s="182"/>
      <c r="G128" s="166"/>
      <c r="H128" s="488"/>
      <c r="I128" s="166" t="str">
        <f t="shared" si="61"/>
        <v>-</v>
      </c>
      <c r="J128" s="166" t="str">
        <f t="shared" si="62"/>
        <v>-</v>
      </c>
      <c r="K128" s="180" t="str">
        <f t="shared" si="63"/>
        <v>-</v>
      </c>
      <c r="L128" s="464"/>
      <c r="M128" s="166" t="e">
        <f>RANK(K128, K$112:$K$141)</f>
        <v>#VALUE!</v>
      </c>
      <c r="N128" s="461"/>
      <c r="O128" s="461"/>
      <c r="P128" s="166"/>
      <c r="Q128" s="166"/>
      <c r="R128" s="166"/>
      <c r="S128" s="182" t="e">
        <f t="shared" si="64"/>
        <v>#N/A</v>
      </c>
      <c r="T128" s="488"/>
      <c r="U128" s="166"/>
      <c r="V128" s="166"/>
      <c r="W128" s="166"/>
      <c r="X128" s="182" t="e">
        <f t="shared" ref="X128:X141" si="65">RANK(W128, W$112:W$141)</f>
        <v>#N/A</v>
      </c>
      <c r="Y128" s="488"/>
      <c r="Z128" s="166"/>
      <c r="AA128" s="166"/>
      <c r="AB128" s="166"/>
      <c r="AC128" s="182" t="e">
        <f t="shared" ref="AC128:AC141" si="66">RANK(AB128, AB$112:AB$141)</f>
        <v>#N/A</v>
      </c>
      <c r="AD128" s="488"/>
      <c r="AE128" s="166"/>
      <c r="AF128" s="166"/>
      <c r="AG128" s="166"/>
      <c r="AH128" s="182" t="e">
        <f t="shared" ref="AH128:AH141" si="67">RANK(AG128, AG$112:AG$141)</f>
        <v>#N/A</v>
      </c>
      <c r="AI128" s="488"/>
      <c r="AJ128" s="166"/>
      <c r="AK128" s="166"/>
      <c r="AL128" s="166"/>
      <c r="AM128" s="182" t="e">
        <f t="shared" ref="AM128:AM141" si="68">RANK(AL128, AL$112:AL$141)</f>
        <v>#N/A</v>
      </c>
      <c r="AN128" s="488"/>
      <c r="AO128" s="166"/>
      <c r="AP128" s="166"/>
      <c r="AQ128" s="166"/>
      <c r="AR128" s="182" t="e">
        <f t="shared" ref="AR128:AR141" si="69">RANK(AQ128, AQ$112:AQ$141)</f>
        <v>#N/A</v>
      </c>
      <c r="AS128" s="488"/>
      <c r="AT128" s="166"/>
      <c r="AU128" s="166"/>
      <c r="AV128" s="166"/>
      <c r="AW128" s="182" t="e">
        <f t="shared" ref="AW128:AW141" si="70">RANK(AV128, AV$112:AV$141)</f>
        <v>#N/A</v>
      </c>
      <c r="AX128" s="488"/>
    </row>
    <row r="129" spans="2:50">
      <c r="B129" s="454"/>
      <c r="C129" s="182">
        <v>18</v>
      </c>
      <c r="D129" s="182"/>
      <c r="E129" s="182"/>
      <c r="F129" s="182"/>
      <c r="G129" s="166"/>
      <c r="H129" s="488"/>
      <c r="I129" s="166" t="str">
        <f t="shared" si="61"/>
        <v>-</v>
      </c>
      <c r="J129" s="166" t="str">
        <f t="shared" si="62"/>
        <v>-</v>
      </c>
      <c r="K129" s="180" t="str">
        <f t="shared" si="63"/>
        <v>-</v>
      </c>
      <c r="L129" s="464"/>
      <c r="M129" s="166" t="e">
        <f>RANK(K129, K$112:$K$141)</f>
        <v>#VALUE!</v>
      </c>
      <c r="N129" s="461"/>
      <c r="O129" s="461"/>
      <c r="P129" s="166"/>
      <c r="Q129" s="166"/>
      <c r="R129" s="166"/>
      <c r="S129" s="182" t="e">
        <f t="shared" si="64"/>
        <v>#N/A</v>
      </c>
      <c r="T129" s="488"/>
      <c r="U129" s="166"/>
      <c r="V129" s="166"/>
      <c r="W129" s="166"/>
      <c r="X129" s="182" t="e">
        <f t="shared" si="65"/>
        <v>#N/A</v>
      </c>
      <c r="Y129" s="488"/>
      <c r="Z129" s="166"/>
      <c r="AA129" s="166"/>
      <c r="AB129" s="166"/>
      <c r="AC129" s="182" t="e">
        <f t="shared" si="66"/>
        <v>#N/A</v>
      </c>
      <c r="AD129" s="488"/>
      <c r="AE129" s="166"/>
      <c r="AF129" s="166"/>
      <c r="AG129" s="166"/>
      <c r="AH129" s="182" t="e">
        <f t="shared" si="67"/>
        <v>#N/A</v>
      </c>
      <c r="AI129" s="488"/>
      <c r="AJ129" s="166"/>
      <c r="AK129" s="166"/>
      <c r="AL129" s="166"/>
      <c r="AM129" s="182" t="e">
        <f t="shared" si="68"/>
        <v>#N/A</v>
      </c>
      <c r="AN129" s="488"/>
      <c r="AO129" s="166"/>
      <c r="AP129" s="166"/>
      <c r="AQ129" s="166"/>
      <c r="AR129" s="182" t="e">
        <f t="shared" si="69"/>
        <v>#N/A</v>
      </c>
      <c r="AS129" s="488"/>
      <c r="AT129" s="166"/>
      <c r="AU129" s="166"/>
      <c r="AV129" s="166"/>
      <c r="AW129" s="182" t="e">
        <f t="shared" si="70"/>
        <v>#N/A</v>
      </c>
      <c r="AX129" s="488"/>
    </row>
    <row r="130" spans="2:50">
      <c r="B130" s="454"/>
      <c r="C130" s="182">
        <v>19</v>
      </c>
      <c r="D130" s="182"/>
      <c r="E130" s="182"/>
      <c r="F130" s="182"/>
      <c r="G130" s="166"/>
      <c r="H130" s="488"/>
      <c r="I130" s="166" t="str">
        <f t="shared" si="61"/>
        <v>-</v>
      </c>
      <c r="J130" s="166" t="str">
        <f t="shared" si="62"/>
        <v>-</v>
      </c>
      <c r="K130" s="180" t="str">
        <f t="shared" si="63"/>
        <v>-</v>
      </c>
      <c r="L130" s="464"/>
      <c r="M130" s="166" t="e">
        <f>RANK(K130, K$112:$K$141)</f>
        <v>#VALUE!</v>
      </c>
      <c r="N130" s="461"/>
      <c r="O130" s="461"/>
      <c r="P130" s="166"/>
      <c r="Q130" s="166"/>
      <c r="R130" s="166"/>
      <c r="S130" s="182" t="e">
        <f t="shared" si="64"/>
        <v>#N/A</v>
      </c>
      <c r="T130" s="488"/>
      <c r="U130" s="166"/>
      <c r="V130" s="166"/>
      <c r="W130" s="166"/>
      <c r="X130" s="182" t="e">
        <f t="shared" si="65"/>
        <v>#N/A</v>
      </c>
      <c r="Y130" s="488"/>
      <c r="Z130" s="166"/>
      <c r="AA130" s="166"/>
      <c r="AB130" s="166"/>
      <c r="AC130" s="182" t="e">
        <f t="shared" si="66"/>
        <v>#N/A</v>
      </c>
      <c r="AD130" s="488"/>
      <c r="AE130" s="166"/>
      <c r="AF130" s="166"/>
      <c r="AG130" s="166"/>
      <c r="AH130" s="182" t="e">
        <f t="shared" si="67"/>
        <v>#N/A</v>
      </c>
      <c r="AI130" s="488"/>
      <c r="AJ130" s="166"/>
      <c r="AK130" s="166"/>
      <c r="AL130" s="166"/>
      <c r="AM130" s="182" t="e">
        <f t="shared" si="68"/>
        <v>#N/A</v>
      </c>
      <c r="AN130" s="488"/>
      <c r="AO130" s="166"/>
      <c r="AP130" s="166"/>
      <c r="AQ130" s="166"/>
      <c r="AR130" s="182" t="e">
        <f t="shared" si="69"/>
        <v>#N/A</v>
      </c>
      <c r="AS130" s="488"/>
      <c r="AT130" s="166"/>
      <c r="AU130" s="166"/>
      <c r="AV130" s="166"/>
      <c r="AW130" s="182" t="e">
        <f t="shared" si="70"/>
        <v>#N/A</v>
      </c>
      <c r="AX130" s="488"/>
    </row>
    <row r="131" spans="2:50">
      <c r="B131" s="454"/>
      <c r="C131" s="182">
        <v>20</v>
      </c>
      <c r="D131" s="182"/>
      <c r="E131" s="182"/>
      <c r="F131" s="182"/>
      <c r="G131" s="166"/>
      <c r="H131" s="488"/>
      <c r="I131" s="166" t="str">
        <f t="shared" si="61"/>
        <v>-</v>
      </c>
      <c r="J131" s="166" t="str">
        <f t="shared" si="62"/>
        <v>-</v>
      </c>
      <c r="K131" s="180" t="str">
        <f t="shared" si="63"/>
        <v>-</v>
      </c>
      <c r="L131" s="464"/>
      <c r="M131" s="166" t="e">
        <f>RANK(K131, K$112:$K$141)</f>
        <v>#VALUE!</v>
      </c>
      <c r="N131" s="461"/>
      <c r="O131" s="461"/>
      <c r="P131" s="166"/>
      <c r="Q131" s="166"/>
      <c r="R131" s="166"/>
      <c r="S131" s="182" t="e">
        <f t="shared" si="64"/>
        <v>#N/A</v>
      </c>
      <c r="T131" s="488"/>
      <c r="U131" s="166"/>
      <c r="V131" s="166"/>
      <c r="W131" s="166"/>
      <c r="X131" s="182" t="e">
        <f t="shared" si="65"/>
        <v>#N/A</v>
      </c>
      <c r="Y131" s="488"/>
      <c r="Z131" s="166"/>
      <c r="AA131" s="166"/>
      <c r="AB131" s="166"/>
      <c r="AC131" s="182" t="e">
        <f t="shared" si="66"/>
        <v>#N/A</v>
      </c>
      <c r="AD131" s="488"/>
      <c r="AE131" s="166"/>
      <c r="AF131" s="166"/>
      <c r="AG131" s="166"/>
      <c r="AH131" s="182" t="e">
        <f t="shared" si="67"/>
        <v>#N/A</v>
      </c>
      <c r="AI131" s="488"/>
      <c r="AJ131" s="166"/>
      <c r="AK131" s="166"/>
      <c r="AL131" s="166"/>
      <c r="AM131" s="182" t="e">
        <f t="shared" si="68"/>
        <v>#N/A</v>
      </c>
      <c r="AN131" s="488"/>
      <c r="AO131" s="166"/>
      <c r="AP131" s="166"/>
      <c r="AQ131" s="166"/>
      <c r="AR131" s="182" t="e">
        <f t="shared" si="69"/>
        <v>#N/A</v>
      </c>
      <c r="AS131" s="488"/>
      <c r="AT131" s="166"/>
      <c r="AU131" s="166"/>
      <c r="AV131" s="166"/>
      <c r="AW131" s="182" t="e">
        <f t="shared" si="70"/>
        <v>#N/A</v>
      </c>
      <c r="AX131" s="488"/>
    </row>
    <row r="132" spans="2:50">
      <c r="B132" s="454"/>
      <c r="C132" s="182">
        <v>21</v>
      </c>
      <c r="D132" s="379"/>
      <c r="E132" s="182"/>
      <c r="F132" s="182"/>
      <c r="G132" s="166"/>
      <c r="H132" s="488"/>
      <c r="I132" s="166" t="str">
        <f t="shared" si="61"/>
        <v>-</v>
      </c>
      <c r="J132" s="166" t="str">
        <f t="shared" si="62"/>
        <v>-</v>
      </c>
      <c r="K132" s="180" t="str">
        <f t="shared" si="63"/>
        <v>-</v>
      </c>
      <c r="L132" s="464"/>
      <c r="M132" s="166" t="e">
        <f>RANK(K132, K$112:$K$141)</f>
        <v>#VALUE!</v>
      </c>
      <c r="N132" s="461"/>
      <c r="O132" s="461"/>
      <c r="P132" s="166"/>
      <c r="Q132" s="166"/>
      <c r="R132" s="166"/>
      <c r="S132" s="182" t="e">
        <f t="shared" si="64"/>
        <v>#N/A</v>
      </c>
      <c r="T132" s="488"/>
      <c r="U132" s="166"/>
      <c r="V132" s="166"/>
      <c r="W132" s="166"/>
      <c r="X132" s="182" t="e">
        <f t="shared" si="65"/>
        <v>#N/A</v>
      </c>
      <c r="Y132" s="488"/>
      <c r="Z132" s="166"/>
      <c r="AA132" s="166"/>
      <c r="AB132" s="166"/>
      <c r="AC132" s="182" t="e">
        <f t="shared" si="66"/>
        <v>#N/A</v>
      </c>
      <c r="AD132" s="488"/>
      <c r="AE132" s="166"/>
      <c r="AF132" s="166"/>
      <c r="AG132" s="166"/>
      <c r="AH132" s="182" t="e">
        <f t="shared" si="67"/>
        <v>#N/A</v>
      </c>
      <c r="AI132" s="488"/>
      <c r="AJ132" s="166"/>
      <c r="AK132" s="166"/>
      <c r="AL132" s="166"/>
      <c r="AM132" s="182" t="e">
        <f t="shared" si="68"/>
        <v>#N/A</v>
      </c>
      <c r="AN132" s="488"/>
      <c r="AO132" s="166"/>
      <c r="AP132" s="166"/>
      <c r="AQ132" s="166"/>
      <c r="AR132" s="182" t="e">
        <f t="shared" si="69"/>
        <v>#N/A</v>
      </c>
      <c r="AS132" s="488"/>
      <c r="AT132" s="166"/>
      <c r="AU132" s="166"/>
      <c r="AV132" s="166"/>
      <c r="AW132" s="182" t="e">
        <f t="shared" si="70"/>
        <v>#N/A</v>
      </c>
      <c r="AX132" s="488"/>
    </row>
    <row r="133" spans="2:50">
      <c r="B133" s="454"/>
      <c r="C133" s="182">
        <v>22</v>
      </c>
      <c r="D133" s="182"/>
      <c r="E133" s="182"/>
      <c r="F133" s="182"/>
      <c r="G133" s="182"/>
      <c r="H133" s="488"/>
      <c r="I133" s="166" t="str">
        <f t="shared" si="61"/>
        <v>-</v>
      </c>
      <c r="J133" s="166" t="str">
        <f t="shared" si="62"/>
        <v>-</v>
      </c>
      <c r="K133" s="180" t="str">
        <f t="shared" si="63"/>
        <v>-</v>
      </c>
      <c r="L133" s="464"/>
      <c r="M133" s="166" t="e">
        <f>RANK(K133, K$112:$K$141)</f>
        <v>#VALUE!</v>
      </c>
      <c r="N133" s="461"/>
      <c r="O133" s="461"/>
      <c r="P133" s="166"/>
      <c r="Q133" s="166"/>
      <c r="R133" s="166"/>
      <c r="S133" s="182" t="e">
        <f t="shared" si="64"/>
        <v>#N/A</v>
      </c>
      <c r="T133" s="488"/>
      <c r="U133" s="166"/>
      <c r="V133" s="166"/>
      <c r="W133" s="166"/>
      <c r="X133" s="182" t="e">
        <f t="shared" si="65"/>
        <v>#N/A</v>
      </c>
      <c r="Y133" s="488"/>
      <c r="Z133" s="166"/>
      <c r="AA133" s="166"/>
      <c r="AB133" s="166"/>
      <c r="AC133" s="182" t="e">
        <f t="shared" si="66"/>
        <v>#N/A</v>
      </c>
      <c r="AD133" s="488"/>
      <c r="AE133" s="166"/>
      <c r="AF133" s="166"/>
      <c r="AG133" s="166"/>
      <c r="AH133" s="182" t="e">
        <f t="shared" si="67"/>
        <v>#N/A</v>
      </c>
      <c r="AI133" s="488"/>
      <c r="AJ133" s="166"/>
      <c r="AK133" s="166"/>
      <c r="AL133" s="166"/>
      <c r="AM133" s="182" t="e">
        <f t="shared" si="68"/>
        <v>#N/A</v>
      </c>
      <c r="AN133" s="488"/>
      <c r="AO133" s="166"/>
      <c r="AP133" s="166"/>
      <c r="AQ133" s="166"/>
      <c r="AR133" s="182" t="e">
        <f t="shared" si="69"/>
        <v>#N/A</v>
      </c>
      <c r="AS133" s="488"/>
      <c r="AT133" s="166"/>
      <c r="AU133" s="166"/>
      <c r="AV133" s="166"/>
      <c r="AW133" s="182" t="e">
        <f t="shared" si="70"/>
        <v>#N/A</v>
      </c>
      <c r="AX133" s="488"/>
    </row>
    <row r="134" spans="2:50">
      <c r="B134" s="454"/>
      <c r="C134" s="182">
        <v>23</v>
      </c>
      <c r="D134" s="182"/>
      <c r="E134" s="182"/>
      <c r="F134" s="182"/>
      <c r="G134" s="182"/>
      <c r="H134" s="488"/>
      <c r="I134" s="166" t="str">
        <f t="shared" si="61"/>
        <v>-</v>
      </c>
      <c r="J134" s="166" t="str">
        <f t="shared" si="62"/>
        <v>-</v>
      </c>
      <c r="K134" s="180" t="str">
        <f t="shared" si="63"/>
        <v>-</v>
      </c>
      <c r="L134" s="464"/>
      <c r="M134" s="166" t="e">
        <f>RANK(K134, K$112:$K$141)</f>
        <v>#VALUE!</v>
      </c>
      <c r="N134" s="461"/>
      <c r="O134" s="461"/>
      <c r="P134" s="182"/>
      <c r="Q134" s="182"/>
      <c r="R134" s="180"/>
      <c r="S134" s="182" t="e">
        <f t="shared" si="64"/>
        <v>#N/A</v>
      </c>
      <c r="T134" s="488"/>
      <c r="U134" s="182"/>
      <c r="V134" s="182"/>
      <c r="W134" s="180"/>
      <c r="X134" s="182" t="e">
        <f t="shared" si="65"/>
        <v>#N/A</v>
      </c>
      <c r="Y134" s="488"/>
      <c r="Z134" s="182"/>
      <c r="AA134" s="182"/>
      <c r="AB134" s="180"/>
      <c r="AC134" s="182" t="e">
        <f t="shared" si="66"/>
        <v>#N/A</v>
      </c>
      <c r="AD134" s="488"/>
      <c r="AE134" s="182"/>
      <c r="AF134" s="182"/>
      <c r="AG134" s="180"/>
      <c r="AH134" s="182" t="e">
        <f t="shared" si="67"/>
        <v>#N/A</v>
      </c>
      <c r="AI134" s="488"/>
      <c r="AJ134" s="182"/>
      <c r="AK134" s="182"/>
      <c r="AL134" s="180"/>
      <c r="AM134" s="182" t="e">
        <f t="shared" si="68"/>
        <v>#N/A</v>
      </c>
      <c r="AN134" s="488"/>
      <c r="AO134" s="182"/>
      <c r="AP134" s="182"/>
      <c r="AQ134" s="180"/>
      <c r="AR134" s="182" t="e">
        <f t="shared" si="69"/>
        <v>#N/A</v>
      </c>
      <c r="AS134" s="488"/>
      <c r="AT134" s="182"/>
      <c r="AU134" s="182"/>
      <c r="AV134" s="180"/>
      <c r="AW134" s="182" t="e">
        <f t="shared" si="70"/>
        <v>#N/A</v>
      </c>
      <c r="AX134" s="488"/>
    </row>
    <row r="135" spans="2:50">
      <c r="B135" s="454"/>
      <c r="C135" s="182">
        <v>24</v>
      </c>
      <c r="D135" s="182"/>
      <c r="E135" s="182"/>
      <c r="F135" s="182"/>
      <c r="G135" s="182"/>
      <c r="H135" s="488"/>
      <c r="I135" s="166" t="str">
        <f t="shared" si="61"/>
        <v>-</v>
      </c>
      <c r="J135" s="166" t="str">
        <f t="shared" si="62"/>
        <v>-</v>
      </c>
      <c r="K135" s="180" t="str">
        <f t="shared" si="63"/>
        <v>-</v>
      </c>
      <c r="L135" s="464"/>
      <c r="M135" s="166" t="e">
        <f>RANK(K135, K$112:$K$141)</f>
        <v>#VALUE!</v>
      </c>
      <c r="N135" s="461"/>
      <c r="O135" s="461"/>
      <c r="P135" s="182"/>
      <c r="Q135" s="182"/>
      <c r="R135" s="182"/>
      <c r="S135" s="182" t="e">
        <f t="shared" si="64"/>
        <v>#N/A</v>
      </c>
      <c r="T135" s="488"/>
      <c r="U135" s="182"/>
      <c r="V135" s="182"/>
      <c r="W135" s="182"/>
      <c r="X135" s="182" t="e">
        <f t="shared" si="65"/>
        <v>#N/A</v>
      </c>
      <c r="Y135" s="488"/>
      <c r="Z135" s="182"/>
      <c r="AA135" s="182"/>
      <c r="AB135" s="182"/>
      <c r="AC135" s="182" t="e">
        <f t="shared" si="66"/>
        <v>#N/A</v>
      </c>
      <c r="AD135" s="488"/>
      <c r="AE135" s="182"/>
      <c r="AF135" s="182"/>
      <c r="AG135" s="182"/>
      <c r="AH135" s="182" t="e">
        <f t="shared" si="67"/>
        <v>#N/A</v>
      </c>
      <c r="AI135" s="488"/>
      <c r="AJ135" s="182"/>
      <c r="AK135" s="182"/>
      <c r="AL135" s="182"/>
      <c r="AM135" s="182" t="e">
        <f t="shared" si="68"/>
        <v>#N/A</v>
      </c>
      <c r="AN135" s="488"/>
      <c r="AO135" s="182"/>
      <c r="AP135" s="182"/>
      <c r="AQ135" s="182"/>
      <c r="AR135" s="182" t="e">
        <f t="shared" si="69"/>
        <v>#N/A</v>
      </c>
      <c r="AS135" s="488"/>
      <c r="AT135" s="182"/>
      <c r="AU135" s="182"/>
      <c r="AV135" s="182"/>
      <c r="AW135" s="182" t="e">
        <f t="shared" si="70"/>
        <v>#N/A</v>
      </c>
      <c r="AX135" s="488"/>
    </row>
    <row r="136" spans="2:50">
      <c r="B136" s="454"/>
      <c r="C136" s="182">
        <v>25</v>
      </c>
      <c r="D136" s="182"/>
      <c r="E136" s="182"/>
      <c r="F136" s="182"/>
      <c r="G136" s="182"/>
      <c r="H136" s="488"/>
      <c r="I136" s="166" t="str">
        <f t="shared" si="61"/>
        <v>-</v>
      </c>
      <c r="J136" s="166" t="str">
        <f t="shared" si="62"/>
        <v>-</v>
      </c>
      <c r="K136" s="180" t="str">
        <f t="shared" si="63"/>
        <v>-</v>
      </c>
      <c r="L136" s="464"/>
      <c r="M136" s="166" t="e">
        <f>RANK(K136, K$112:$K$141)</f>
        <v>#VALUE!</v>
      </c>
      <c r="N136" s="461"/>
      <c r="O136" s="461"/>
      <c r="P136" s="182"/>
      <c r="Q136" s="182"/>
      <c r="R136" s="182"/>
      <c r="S136" s="182" t="e">
        <f t="shared" si="64"/>
        <v>#N/A</v>
      </c>
      <c r="T136" s="488"/>
      <c r="U136" s="182"/>
      <c r="V136" s="182"/>
      <c r="W136" s="182"/>
      <c r="X136" s="182" t="e">
        <f t="shared" si="65"/>
        <v>#N/A</v>
      </c>
      <c r="Y136" s="488"/>
      <c r="Z136" s="182"/>
      <c r="AA136" s="182"/>
      <c r="AB136" s="182"/>
      <c r="AC136" s="182" t="e">
        <f t="shared" si="66"/>
        <v>#N/A</v>
      </c>
      <c r="AD136" s="488"/>
      <c r="AE136" s="182"/>
      <c r="AF136" s="182"/>
      <c r="AG136" s="182"/>
      <c r="AH136" s="182" t="e">
        <f t="shared" si="67"/>
        <v>#N/A</v>
      </c>
      <c r="AI136" s="488"/>
      <c r="AJ136" s="182"/>
      <c r="AK136" s="182"/>
      <c r="AL136" s="182"/>
      <c r="AM136" s="182" t="e">
        <f t="shared" si="68"/>
        <v>#N/A</v>
      </c>
      <c r="AN136" s="488"/>
      <c r="AO136" s="182"/>
      <c r="AP136" s="182"/>
      <c r="AQ136" s="182"/>
      <c r="AR136" s="182" t="e">
        <f t="shared" si="69"/>
        <v>#N/A</v>
      </c>
      <c r="AS136" s="488"/>
      <c r="AT136" s="182"/>
      <c r="AU136" s="182"/>
      <c r="AV136" s="182"/>
      <c r="AW136" s="182" t="e">
        <f t="shared" si="70"/>
        <v>#N/A</v>
      </c>
      <c r="AX136" s="488"/>
    </row>
    <row r="137" spans="2:50">
      <c r="B137" s="454"/>
      <c r="C137" s="182">
        <v>26</v>
      </c>
      <c r="D137" s="182"/>
      <c r="E137" s="182"/>
      <c r="F137" s="182"/>
      <c r="G137" s="182"/>
      <c r="H137" s="488"/>
      <c r="I137" s="166" t="str">
        <f t="shared" si="61"/>
        <v>-</v>
      </c>
      <c r="J137" s="166" t="str">
        <f t="shared" si="62"/>
        <v>-</v>
      </c>
      <c r="K137" s="180" t="str">
        <f t="shared" si="63"/>
        <v>-</v>
      </c>
      <c r="L137" s="464"/>
      <c r="M137" s="166" t="e">
        <f>RANK(K137, K$112:$K$141)</f>
        <v>#VALUE!</v>
      </c>
      <c r="N137" s="461"/>
      <c r="O137" s="461"/>
      <c r="P137" s="182"/>
      <c r="Q137" s="182"/>
      <c r="R137" s="182"/>
      <c r="S137" s="182" t="e">
        <f t="shared" si="64"/>
        <v>#N/A</v>
      </c>
      <c r="T137" s="488"/>
      <c r="U137" s="182"/>
      <c r="V137" s="182"/>
      <c r="W137" s="182"/>
      <c r="X137" s="182" t="e">
        <f t="shared" si="65"/>
        <v>#N/A</v>
      </c>
      <c r="Y137" s="488"/>
      <c r="Z137" s="182"/>
      <c r="AA137" s="182"/>
      <c r="AB137" s="182"/>
      <c r="AC137" s="182" t="e">
        <f t="shared" si="66"/>
        <v>#N/A</v>
      </c>
      <c r="AD137" s="488"/>
      <c r="AE137" s="182"/>
      <c r="AF137" s="182"/>
      <c r="AG137" s="182"/>
      <c r="AH137" s="182" t="e">
        <f t="shared" si="67"/>
        <v>#N/A</v>
      </c>
      <c r="AI137" s="488"/>
      <c r="AJ137" s="182"/>
      <c r="AK137" s="182"/>
      <c r="AL137" s="182"/>
      <c r="AM137" s="182" t="e">
        <f t="shared" si="68"/>
        <v>#N/A</v>
      </c>
      <c r="AN137" s="488"/>
      <c r="AO137" s="182"/>
      <c r="AP137" s="182"/>
      <c r="AQ137" s="182"/>
      <c r="AR137" s="182" t="e">
        <f t="shared" si="69"/>
        <v>#N/A</v>
      </c>
      <c r="AS137" s="488"/>
      <c r="AT137" s="182"/>
      <c r="AU137" s="182"/>
      <c r="AV137" s="182"/>
      <c r="AW137" s="182" t="e">
        <f t="shared" si="70"/>
        <v>#N/A</v>
      </c>
      <c r="AX137" s="488"/>
    </row>
    <row r="138" spans="2:50">
      <c r="B138" s="454"/>
      <c r="C138" s="182">
        <v>27</v>
      </c>
      <c r="D138" s="182"/>
      <c r="E138" s="182"/>
      <c r="F138" s="182"/>
      <c r="G138" s="182"/>
      <c r="H138" s="488"/>
      <c r="I138" s="166" t="str">
        <f t="shared" si="61"/>
        <v>-</v>
      </c>
      <c r="J138" s="166" t="str">
        <f t="shared" si="62"/>
        <v>-</v>
      </c>
      <c r="K138" s="180" t="str">
        <f t="shared" si="63"/>
        <v>-</v>
      </c>
      <c r="L138" s="464"/>
      <c r="M138" s="166" t="e">
        <f>RANK(K138, K$112:$K$141)</f>
        <v>#VALUE!</v>
      </c>
      <c r="N138" s="461"/>
      <c r="O138" s="461"/>
      <c r="P138" s="182"/>
      <c r="Q138" s="182"/>
      <c r="R138" s="182"/>
      <c r="S138" s="182" t="e">
        <f t="shared" si="64"/>
        <v>#N/A</v>
      </c>
      <c r="T138" s="488"/>
      <c r="U138" s="182"/>
      <c r="V138" s="182"/>
      <c r="W138" s="182"/>
      <c r="X138" s="182" t="e">
        <f t="shared" si="65"/>
        <v>#N/A</v>
      </c>
      <c r="Y138" s="488"/>
      <c r="Z138" s="182"/>
      <c r="AA138" s="182"/>
      <c r="AB138" s="182"/>
      <c r="AC138" s="182" t="e">
        <f t="shared" si="66"/>
        <v>#N/A</v>
      </c>
      <c r="AD138" s="488"/>
      <c r="AE138" s="182"/>
      <c r="AF138" s="182"/>
      <c r="AG138" s="182"/>
      <c r="AH138" s="182" t="e">
        <f t="shared" si="67"/>
        <v>#N/A</v>
      </c>
      <c r="AI138" s="488"/>
      <c r="AJ138" s="182"/>
      <c r="AK138" s="182"/>
      <c r="AL138" s="182"/>
      <c r="AM138" s="182" t="e">
        <f t="shared" si="68"/>
        <v>#N/A</v>
      </c>
      <c r="AN138" s="488"/>
      <c r="AO138" s="182"/>
      <c r="AP138" s="182"/>
      <c r="AQ138" s="182"/>
      <c r="AR138" s="182" t="e">
        <f t="shared" si="69"/>
        <v>#N/A</v>
      </c>
      <c r="AS138" s="488"/>
      <c r="AT138" s="182"/>
      <c r="AU138" s="182"/>
      <c r="AV138" s="182"/>
      <c r="AW138" s="182" t="e">
        <f t="shared" si="70"/>
        <v>#N/A</v>
      </c>
      <c r="AX138" s="488"/>
    </row>
    <row r="139" spans="2:50">
      <c r="B139" s="454"/>
      <c r="C139" s="182">
        <v>28</v>
      </c>
      <c r="D139" s="182"/>
      <c r="E139" s="182"/>
      <c r="F139" s="182"/>
      <c r="G139" s="182"/>
      <c r="H139" s="488"/>
      <c r="I139" s="166" t="str">
        <f t="shared" si="61"/>
        <v>-</v>
      </c>
      <c r="J139" s="166" t="str">
        <f t="shared" si="62"/>
        <v>-</v>
      </c>
      <c r="K139" s="180" t="str">
        <f t="shared" si="63"/>
        <v>-</v>
      </c>
      <c r="L139" s="464"/>
      <c r="M139" s="166" t="e">
        <f>RANK(K139, K$112:$K$141)</f>
        <v>#VALUE!</v>
      </c>
      <c r="N139" s="461"/>
      <c r="O139" s="461"/>
      <c r="P139" s="182"/>
      <c r="Q139" s="182"/>
      <c r="R139" s="182"/>
      <c r="S139" s="182" t="e">
        <f t="shared" si="64"/>
        <v>#N/A</v>
      </c>
      <c r="T139" s="488"/>
      <c r="U139" s="182"/>
      <c r="V139" s="182"/>
      <c r="W139" s="182"/>
      <c r="X139" s="182" t="e">
        <f t="shared" si="65"/>
        <v>#N/A</v>
      </c>
      <c r="Y139" s="488"/>
      <c r="Z139" s="182"/>
      <c r="AA139" s="182"/>
      <c r="AB139" s="182"/>
      <c r="AC139" s="182" t="e">
        <f t="shared" si="66"/>
        <v>#N/A</v>
      </c>
      <c r="AD139" s="488"/>
      <c r="AE139" s="182"/>
      <c r="AF139" s="182"/>
      <c r="AG139" s="182"/>
      <c r="AH139" s="182" t="e">
        <f t="shared" si="67"/>
        <v>#N/A</v>
      </c>
      <c r="AI139" s="488"/>
      <c r="AJ139" s="182"/>
      <c r="AK139" s="182"/>
      <c r="AL139" s="182"/>
      <c r="AM139" s="182" t="e">
        <f t="shared" si="68"/>
        <v>#N/A</v>
      </c>
      <c r="AN139" s="488"/>
      <c r="AO139" s="182"/>
      <c r="AP139" s="182"/>
      <c r="AQ139" s="182"/>
      <c r="AR139" s="182" t="e">
        <f t="shared" si="69"/>
        <v>#N/A</v>
      </c>
      <c r="AS139" s="488"/>
      <c r="AT139" s="182"/>
      <c r="AU139" s="182"/>
      <c r="AV139" s="182"/>
      <c r="AW139" s="182" t="e">
        <f t="shared" si="70"/>
        <v>#N/A</v>
      </c>
      <c r="AX139" s="488"/>
    </row>
    <row r="140" spans="2:50">
      <c r="B140" s="454"/>
      <c r="C140" s="182">
        <v>29</v>
      </c>
      <c r="D140" s="182"/>
      <c r="E140" s="182"/>
      <c r="F140" s="182"/>
      <c r="G140" s="182"/>
      <c r="H140" s="488"/>
      <c r="I140" s="166" t="str">
        <f t="shared" si="61"/>
        <v>-</v>
      </c>
      <c r="J140" s="166" t="str">
        <f t="shared" si="62"/>
        <v>-</v>
      </c>
      <c r="K140" s="180" t="str">
        <f t="shared" si="63"/>
        <v>-</v>
      </c>
      <c r="L140" s="464"/>
      <c r="M140" s="166" t="e">
        <f>RANK(K140, K$112:$K$141)</f>
        <v>#VALUE!</v>
      </c>
      <c r="N140" s="461"/>
      <c r="O140" s="461"/>
      <c r="P140" s="182"/>
      <c r="Q140" s="182"/>
      <c r="R140" s="182"/>
      <c r="S140" s="182" t="e">
        <f t="shared" si="64"/>
        <v>#N/A</v>
      </c>
      <c r="T140" s="488"/>
      <c r="U140" s="182"/>
      <c r="V140" s="182"/>
      <c r="W140" s="182"/>
      <c r="X140" s="182" t="e">
        <f t="shared" si="65"/>
        <v>#N/A</v>
      </c>
      <c r="Y140" s="488"/>
      <c r="Z140" s="182"/>
      <c r="AA140" s="182"/>
      <c r="AB140" s="182"/>
      <c r="AC140" s="182" t="e">
        <f t="shared" si="66"/>
        <v>#N/A</v>
      </c>
      <c r="AD140" s="488"/>
      <c r="AE140" s="182"/>
      <c r="AF140" s="182"/>
      <c r="AG140" s="182"/>
      <c r="AH140" s="182" t="e">
        <f t="shared" si="67"/>
        <v>#N/A</v>
      </c>
      <c r="AI140" s="488"/>
      <c r="AJ140" s="182"/>
      <c r="AK140" s="182"/>
      <c r="AL140" s="182"/>
      <c r="AM140" s="182" t="e">
        <f t="shared" si="68"/>
        <v>#N/A</v>
      </c>
      <c r="AN140" s="488"/>
      <c r="AO140" s="182"/>
      <c r="AP140" s="182"/>
      <c r="AQ140" s="182"/>
      <c r="AR140" s="182" t="e">
        <f t="shared" si="69"/>
        <v>#N/A</v>
      </c>
      <c r="AS140" s="488"/>
      <c r="AT140" s="182"/>
      <c r="AU140" s="182"/>
      <c r="AV140" s="182"/>
      <c r="AW140" s="182" t="e">
        <f t="shared" si="70"/>
        <v>#N/A</v>
      </c>
      <c r="AX140" s="488"/>
    </row>
    <row r="141" spans="2:50">
      <c r="B141" s="454"/>
      <c r="C141" s="182">
        <v>30</v>
      </c>
      <c r="D141" s="182"/>
      <c r="E141" s="182"/>
      <c r="F141" s="182"/>
      <c r="G141" s="182"/>
      <c r="H141" s="489"/>
      <c r="I141" s="166" t="str">
        <f t="shared" si="61"/>
        <v>-</v>
      </c>
      <c r="J141" s="166" t="str">
        <f t="shared" si="62"/>
        <v>-</v>
      </c>
      <c r="K141" s="180" t="str">
        <f t="shared" si="63"/>
        <v>-</v>
      </c>
      <c r="L141" s="465"/>
      <c r="M141" s="166" t="e">
        <f>RANK(K141, K$112:$K$141)</f>
        <v>#VALUE!</v>
      </c>
      <c r="N141" s="461"/>
      <c r="O141" s="461"/>
      <c r="P141" s="182"/>
      <c r="Q141" s="182"/>
      <c r="R141" s="182"/>
      <c r="S141" s="182" t="e">
        <f t="shared" si="64"/>
        <v>#N/A</v>
      </c>
      <c r="T141" s="489"/>
      <c r="U141" s="182"/>
      <c r="V141" s="182"/>
      <c r="W141" s="182"/>
      <c r="X141" s="182" t="e">
        <f t="shared" si="65"/>
        <v>#N/A</v>
      </c>
      <c r="Y141" s="489"/>
      <c r="Z141" s="182"/>
      <c r="AA141" s="182"/>
      <c r="AB141" s="182"/>
      <c r="AC141" s="182" t="e">
        <f t="shared" si="66"/>
        <v>#N/A</v>
      </c>
      <c r="AD141" s="489"/>
      <c r="AE141" s="182"/>
      <c r="AF141" s="182"/>
      <c r="AG141" s="182"/>
      <c r="AH141" s="182" t="e">
        <f t="shared" si="67"/>
        <v>#N/A</v>
      </c>
      <c r="AI141" s="489"/>
      <c r="AJ141" s="182"/>
      <c r="AK141" s="182"/>
      <c r="AL141" s="182"/>
      <c r="AM141" s="182" t="e">
        <f t="shared" si="68"/>
        <v>#N/A</v>
      </c>
      <c r="AN141" s="489"/>
      <c r="AO141" s="182"/>
      <c r="AP141" s="182"/>
      <c r="AQ141" s="182"/>
      <c r="AR141" s="182" t="e">
        <f t="shared" si="69"/>
        <v>#N/A</v>
      </c>
      <c r="AS141" s="489"/>
      <c r="AT141" s="182"/>
      <c r="AU141" s="182"/>
      <c r="AV141" s="182"/>
      <c r="AW141" s="182" t="e">
        <f t="shared" si="70"/>
        <v>#N/A</v>
      </c>
      <c r="AX141" s="489"/>
    </row>
    <row r="142" spans="2:50" ht="15.5">
      <c r="B142" s="477" t="s">
        <v>163</v>
      </c>
      <c r="C142" s="478"/>
      <c r="D142" s="478"/>
      <c r="E142" s="478"/>
      <c r="F142" s="478"/>
      <c r="G142" s="478"/>
      <c r="H142" s="478"/>
      <c r="I142" s="186"/>
      <c r="J142" s="186"/>
      <c r="K142" s="186"/>
      <c r="L142" s="186"/>
      <c r="M142" s="185"/>
      <c r="N142" s="480" t="s">
        <v>156</v>
      </c>
      <c r="O142" s="480" t="s">
        <v>155</v>
      </c>
      <c r="P142" s="476">
        <f>P107+7</f>
        <v>46140</v>
      </c>
      <c r="Q142" s="454"/>
      <c r="R142" s="454"/>
      <c r="S142" s="454"/>
      <c r="T142" s="454"/>
      <c r="U142" s="473">
        <f>P142+1</f>
        <v>46141</v>
      </c>
      <c r="V142" s="474"/>
      <c r="W142" s="474"/>
      <c r="X142" s="474"/>
      <c r="Y142" s="475"/>
      <c r="Z142" s="473">
        <f>U142+1</f>
        <v>46142</v>
      </c>
      <c r="AA142" s="474"/>
      <c r="AB142" s="474"/>
      <c r="AC142" s="474"/>
      <c r="AD142" s="475"/>
      <c r="AE142" s="473">
        <f>Z142+1</f>
        <v>46143</v>
      </c>
      <c r="AF142" s="474"/>
      <c r="AG142" s="474"/>
      <c r="AH142" s="474"/>
      <c r="AI142" s="475"/>
      <c r="AJ142" s="473">
        <f>AE142+1</f>
        <v>46144</v>
      </c>
      <c r="AK142" s="474"/>
      <c r="AL142" s="474"/>
      <c r="AM142" s="474"/>
      <c r="AN142" s="475"/>
      <c r="AO142" s="473">
        <f>AJ142+1</f>
        <v>46145</v>
      </c>
      <c r="AP142" s="474"/>
      <c r="AQ142" s="474"/>
      <c r="AR142" s="474"/>
      <c r="AS142" s="475"/>
      <c r="AT142" s="473">
        <f>AO142+1</f>
        <v>46146</v>
      </c>
      <c r="AU142" s="474"/>
      <c r="AV142" s="474"/>
      <c r="AW142" s="474"/>
      <c r="AX142" s="475"/>
    </row>
    <row r="143" spans="2:50" ht="15.5">
      <c r="B143" s="479"/>
      <c r="C143" s="479"/>
      <c r="D143" s="479"/>
      <c r="E143" s="479"/>
      <c r="F143" s="479"/>
      <c r="G143" s="479"/>
      <c r="H143" s="479"/>
      <c r="I143" s="184"/>
      <c r="J143" s="184"/>
      <c r="K143" s="184"/>
      <c r="L143" s="184"/>
      <c r="M143" s="179"/>
      <c r="N143" s="481"/>
      <c r="O143" s="481"/>
      <c r="P143" s="476" t="s">
        <v>336</v>
      </c>
      <c r="Q143" s="454"/>
      <c r="R143" s="454"/>
      <c r="S143" s="454"/>
      <c r="T143" s="454"/>
      <c r="U143" s="476" t="s">
        <v>337</v>
      </c>
      <c r="V143" s="454"/>
      <c r="W143" s="454"/>
      <c r="X143" s="454"/>
      <c r="Y143" s="454"/>
      <c r="Z143" s="476" t="s">
        <v>338</v>
      </c>
      <c r="AA143" s="454"/>
      <c r="AB143" s="454"/>
      <c r="AC143" s="454"/>
      <c r="AD143" s="454"/>
      <c r="AE143" s="476" t="s">
        <v>339</v>
      </c>
      <c r="AF143" s="454"/>
      <c r="AG143" s="454"/>
      <c r="AH143" s="454"/>
      <c r="AI143" s="454"/>
      <c r="AJ143" s="476" t="s">
        <v>340</v>
      </c>
      <c r="AK143" s="454"/>
      <c r="AL143" s="454"/>
      <c r="AM143" s="454"/>
      <c r="AN143" s="454"/>
      <c r="AO143" s="476" t="s">
        <v>341</v>
      </c>
      <c r="AP143" s="454"/>
      <c r="AQ143" s="454"/>
      <c r="AR143" s="454"/>
      <c r="AS143" s="454"/>
      <c r="AT143" s="476" t="s">
        <v>342</v>
      </c>
      <c r="AU143" s="454"/>
      <c r="AV143" s="454"/>
      <c r="AW143" s="454"/>
      <c r="AX143" s="454"/>
    </row>
    <row r="144" spans="2:50">
      <c r="B144" s="461" t="s">
        <v>425</v>
      </c>
      <c r="C144" s="461" t="s">
        <v>426</v>
      </c>
      <c r="D144" s="461"/>
      <c r="E144" s="461" t="s">
        <v>427</v>
      </c>
      <c r="F144" s="461"/>
      <c r="G144" s="461"/>
      <c r="H144" s="482" t="s">
        <v>428</v>
      </c>
      <c r="I144" s="461" t="s">
        <v>429</v>
      </c>
      <c r="J144" s="461"/>
      <c r="K144" s="461"/>
      <c r="L144" s="482" t="s">
        <v>428</v>
      </c>
      <c r="M144" s="480" t="s">
        <v>430</v>
      </c>
      <c r="N144" s="461"/>
      <c r="O144" s="461" t="s">
        <v>431</v>
      </c>
      <c r="P144" s="466" t="s">
        <v>432</v>
      </c>
      <c r="Q144" s="467"/>
      <c r="R144" s="467"/>
      <c r="S144" s="468"/>
      <c r="T144" s="461" t="s">
        <v>428</v>
      </c>
      <c r="U144" s="466" t="s">
        <v>432</v>
      </c>
      <c r="V144" s="467"/>
      <c r="W144" s="467"/>
      <c r="X144" s="468"/>
      <c r="Y144" s="461" t="s">
        <v>428</v>
      </c>
      <c r="Z144" s="466" t="s">
        <v>432</v>
      </c>
      <c r="AA144" s="467"/>
      <c r="AB144" s="467"/>
      <c r="AC144" s="468"/>
      <c r="AD144" s="461" t="s">
        <v>428</v>
      </c>
      <c r="AE144" s="466" t="s">
        <v>432</v>
      </c>
      <c r="AF144" s="467"/>
      <c r="AG144" s="467"/>
      <c r="AH144" s="468"/>
      <c r="AI144" s="461" t="s">
        <v>428</v>
      </c>
      <c r="AJ144" s="466" t="s">
        <v>432</v>
      </c>
      <c r="AK144" s="467"/>
      <c r="AL144" s="467"/>
      <c r="AM144" s="468"/>
      <c r="AN144" s="461" t="s">
        <v>428</v>
      </c>
      <c r="AO144" s="466" t="s">
        <v>432</v>
      </c>
      <c r="AP144" s="467"/>
      <c r="AQ144" s="467"/>
      <c r="AR144" s="468"/>
      <c r="AS144" s="461" t="s">
        <v>428</v>
      </c>
      <c r="AT144" s="466" t="s">
        <v>432</v>
      </c>
      <c r="AU144" s="467"/>
      <c r="AV144" s="467"/>
      <c r="AW144" s="468"/>
      <c r="AX144" s="461" t="s">
        <v>428</v>
      </c>
    </row>
    <row r="145" spans="2:50">
      <c r="B145" s="461"/>
      <c r="C145" s="461"/>
      <c r="D145" s="461"/>
      <c r="E145" s="461" t="s">
        <v>433</v>
      </c>
      <c r="F145" s="461"/>
      <c r="G145" s="461"/>
      <c r="H145" s="483"/>
      <c r="I145" s="461" t="s">
        <v>433</v>
      </c>
      <c r="J145" s="461"/>
      <c r="K145" s="461"/>
      <c r="L145" s="483"/>
      <c r="M145" s="485"/>
      <c r="N145" s="461"/>
      <c r="O145" s="461"/>
      <c r="P145" s="466" t="s">
        <v>434</v>
      </c>
      <c r="Q145" s="467"/>
      <c r="R145" s="467"/>
      <c r="S145" s="468"/>
      <c r="T145" s="461"/>
      <c r="U145" s="466" t="s">
        <v>434</v>
      </c>
      <c r="V145" s="467"/>
      <c r="W145" s="467"/>
      <c r="X145" s="468"/>
      <c r="Y145" s="461"/>
      <c r="Z145" s="466" t="s">
        <v>434</v>
      </c>
      <c r="AA145" s="467"/>
      <c r="AB145" s="467"/>
      <c r="AC145" s="468"/>
      <c r="AD145" s="461"/>
      <c r="AE145" s="466" t="s">
        <v>434</v>
      </c>
      <c r="AF145" s="467"/>
      <c r="AG145" s="467"/>
      <c r="AH145" s="468"/>
      <c r="AI145" s="461"/>
      <c r="AJ145" s="466" t="s">
        <v>434</v>
      </c>
      <c r="AK145" s="467"/>
      <c r="AL145" s="467"/>
      <c r="AM145" s="468"/>
      <c r="AN145" s="461"/>
      <c r="AO145" s="466" t="s">
        <v>434</v>
      </c>
      <c r="AP145" s="467"/>
      <c r="AQ145" s="467"/>
      <c r="AR145" s="468"/>
      <c r="AS145" s="461"/>
      <c r="AT145" s="466" t="s">
        <v>434</v>
      </c>
      <c r="AU145" s="467"/>
      <c r="AV145" s="467"/>
      <c r="AW145" s="468"/>
      <c r="AX145" s="461"/>
    </row>
    <row r="146" spans="2:50">
      <c r="B146" s="461"/>
      <c r="C146" s="461"/>
      <c r="D146" s="461"/>
      <c r="E146" s="269" t="s">
        <v>435</v>
      </c>
      <c r="F146" s="269" t="s">
        <v>436</v>
      </c>
      <c r="G146" s="269" t="s">
        <v>437</v>
      </c>
      <c r="H146" s="484"/>
      <c r="I146" s="269" t="s">
        <v>435</v>
      </c>
      <c r="J146" s="269" t="s">
        <v>436</v>
      </c>
      <c r="K146" s="269" t="s">
        <v>437</v>
      </c>
      <c r="L146" s="484"/>
      <c r="M146" s="481"/>
      <c r="N146" s="461"/>
      <c r="O146" s="461"/>
      <c r="P146" s="269" t="s">
        <v>435</v>
      </c>
      <c r="Q146" s="269" t="s">
        <v>436</v>
      </c>
      <c r="R146" s="269" t="s">
        <v>437</v>
      </c>
      <c r="S146" s="269" t="s">
        <v>430</v>
      </c>
      <c r="T146" s="461"/>
      <c r="U146" s="269" t="s">
        <v>435</v>
      </c>
      <c r="V146" s="269" t="s">
        <v>436</v>
      </c>
      <c r="W146" s="269" t="s">
        <v>437</v>
      </c>
      <c r="X146" s="269" t="s">
        <v>430</v>
      </c>
      <c r="Y146" s="461"/>
      <c r="Z146" s="269" t="s">
        <v>435</v>
      </c>
      <c r="AA146" s="269" t="s">
        <v>436</v>
      </c>
      <c r="AB146" s="269" t="s">
        <v>437</v>
      </c>
      <c r="AC146" s="269" t="s">
        <v>430</v>
      </c>
      <c r="AD146" s="461"/>
      <c r="AE146" s="269" t="s">
        <v>435</v>
      </c>
      <c r="AF146" s="269" t="s">
        <v>436</v>
      </c>
      <c r="AG146" s="269" t="s">
        <v>437</v>
      </c>
      <c r="AH146" s="269" t="s">
        <v>430</v>
      </c>
      <c r="AI146" s="461"/>
      <c r="AJ146" s="269" t="s">
        <v>435</v>
      </c>
      <c r="AK146" s="269" t="s">
        <v>436</v>
      </c>
      <c r="AL146" s="269" t="s">
        <v>437</v>
      </c>
      <c r="AM146" s="269" t="s">
        <v>430</v>
      </c>
      <c r="AN146" s="461"/>
      <c r="AO146" s="269" t="s">
        <v>435</v>
      </c>
      <c r="AP146" s="269" t="s">
        <v>436</v>
      </c>
      <c r="AQ146" s="269" t="s">
        <v>437</v>
      </c>
      <c r="AR146" s="269" t="s">
        <v>430</v>
      </c>
      <c r="AS146" s="461"/>
      <c r="AT146" s="269" t="s">
        <v>435</v>
      </c>
      <c r="AU146" s="269" t="s">
        <v>436</v>
      </c>
      <c r="AV146" s="269" t="s">
        <v>437</v>
      </c>
      <c r="AW146" s="269" t="s">
        <v>430</v>
      </c>
      <c r="AX146" s="461"/>
    </row>
    <row r="147" spans="2:50">
      <c r="B147" s="454" t="s">
        <v>150</v>
      </c>
      <c r="C147" s="182">
        <v>1</v>
      </c>
      <c r="D147" s="182"/>
      <c r="E147" s="182"/>
      <c r="F147" s="182"/>
      <c r="G147" s="166"/>
      <c r="H147" s="487" t="e">
        <f>AVERAGE(G147:G176)</f>
        <v>#DIV/0!</v>
      </c>
      <c r="I147" s="166" t="str">
        <f>IFERROR(AVERAGE(P147,U147,Z147,AE147,AJ147,AO147,AT147),"-")</f>
        <v>-</v>
      </c>
      <c r="J147" s="166" t="str">
        <f>IFERROR(AVERAGE(Q147,V147,AA147,AF147,AK147,AP147,AU147),"-")</f>
        <v>-</v>
      </c>
      <c r="K147" s="180" t="str">
        <f>IFERROR(AVERAGE(R147,W147,AB147,AG147,AL147,AQ147,AV147),"-")</f>
        <v>-</v>
      </c>
      <c r="L147" s="463" t="str">
        <f>IFERROR(AVERAGE(K147:K176),"-")</f>
        <v>-</v>
      </c>
      <c r="M147" s="166" t="e">
        <f>RANK(K147, K$147:$K$176)</f>
        <v>#VALUE!</v>
      </c>
      <c r="N147" s="461"/>
      <c r="O147" s="461"/>
      <c r="P147" s="348"/>
      <c r="Q147" s="166"/>
      <c r="R147" s="166"/>
      <c r="S147" s="182" t="e">
        <f>RANK(R147, R$147:R$176)</f>
        <v>#N/A</v>
      </c>
      <c r="T147" s="487" t="e">
        <f>AVERAGE(R147:R176)</f>
        <v>#DIV/0!</v>
      </c>
      <c r="U147" s="348"/>
      <c r="V147" s="166"/>
      <c r="W147" s="166"/>
      <c r="X147" s="182" t="e">
        <f t="shared" ref="X147:X162" si="71">RANK(W147, W$147:W$176)</f>
        <v>#N/A</v>
      </c>
      <c r="Y147" s="487" t="e">
        <f t="shared" ref="Y147" si="72">AVERAGE(W147:W176)</f>
        <v>#DIV/0!</v>
      </c>
      <c r="Z147" s="348"/>
      <c r="AA147" s="166"/>
      <c r="AB147" s="166"/>
      <c r="AC147" s="182" t="e">
        <f t="shared" ref="AC147:AC162" si="73">RANK(AB147, AB$147:AB$176)</f>
        <v>#N/A</v>
      </c>
      <c r="AD147" s="487" t="e">
        <f t="shared" ref="AD147" si="74">AVERAGE(AB147:AB176)</f>
        <v>#DIV/0!</v>
      </c>
      <c r="AE147" s="348"/>
      <c r="AF147" s="166"/>
      <c r="AG147" s="166"/>
      <c r="AH147" s="182" t="e">
        <f t="shared" ref="AH147:AH162" si="75">RANK(AG147, AG$147:AG$176)</f>
        <v>#N/A</v>
      </c>
      <c r="AI147" s="487" t="e">
        <f t="shared" ref="AI147" si="76">AVERAGE(AG147:AG176)</f>
        <v>#DIV/0!</v>
      </c>
      <c r="AJ147" s="348"/>
      <c r="AK147" s="166"/>
      <c r="AL147" s="166"/>
      <c r="AM147" s="182" t="e">
        <f t="shared" ref="AM147:AM162" si="77">RANK(AL147, AL$147:AL$176)</f>
        <v>#N/A</v>
      </c>
      <c r="AN147" s="487" t="e">
        <f t="shared" ref="AN147" si="78">AVERAGE(AL147:AL176)</f>
        <v>#DIV/0!</v>
      </c>
      <c r="AO147" s="348"/>
      <c r="AP147" s="166"/>
      <c r="AQ147" s="166"/>
      <c r="AR147" s="182" t="e">
        <f t="shared" ref="AR147:AR162" si="79">RANK(AQ147, AQ$147:AQ$176)</f>
        <v>#N/A</v>
      </c>
      <c r="AS147" s="487" t="e">
        <f t="shared" ref="AS147" si="80">AVERAGE(AQ147:AQ176)</f>
        <v>#DIV/0!</v>
      </c>
      <c r="AT147" s="348"/>
      <c r="AU147" s="166"/>
      <c r="AV147" s="166"/>
      <c r="AW147" s="182" t="e">
        <f t="shared" ref="AW147:AW162" si="81">RANK(AV147, AV$147:AV$176)</f>
        <v>#N/A</v>
      </c>
      <c r="AX147" s="487" t="e">
        <f t="shared" ref="AX147" si="82">AVERAGE(AV147:AV176)</f>
        <v>#DIV/0!</v>
      </c>
    </row>
    <row r="148" spans="2:50">
      <c r="B148" s="454"/>
      <c r="C148" s="182">
        <v>2</v>
      </c>
      <c r="D148" s="269"/>
      <c r="E148" s="182"/>
      <c r="F148" s="182"/>
      <c r="G148" s="166"/>
      <c r="H148" s="488"/>
      <c r="I148" s="166" t="str">
        <f t="shared" ref="I148:I176" si="83">IFERROR(AVERAGE(P148,U148,Z148,AE148,AJ148,AO148,AT148),"-")</f>
        <v>-</v>
      </c>
      <c r="J148" s="166" t="str">
        <f t="shared" ref="J148:J176" si="84">IFERROR(AVERAGE(Q148,V148,AA148,AF148,AK148,AP148,AU148),"-")</f>
        <v>-</v>
      </c>
      <c r="K148" s="180" t="str">
        <f t="shared" ref="K148:K176" si="85">IFERROR(AVERAGE(R148,W148,AB148,AG148,AL148,AQ148,AV148),"-")</f>
        <v>-</v>
      </c>
      <c r="L148" s="464"/>
      <c r="M148" s="166" t="e">
        <f>RANK(K148, K$147:$K$176)</f>
        <v>#VALUE!</v>
      </c>
      <c r="N148" s="461"/>
      <c r="O148" s="461"/>
      <c r="P148" s="166"/>
      <c r="Q148" s="166"/>
      <c r="R148" s="166"/>
      <c r="S148" s="182" t="e">
        <f t="shared" ref="S148:S176" si="86">RANK(R148, R$147:R$176)</f>
        <v>#N/A</v>
      </c>
      <c r="T148" s="488"/>
      <c r="U148" s="166"/>
      <c r="V148" s="166"/>
      <c r="W148" s="166"/>
      <c r="X148" s="182" t="e">
        <f t="shared" si="71"/>
        <v>#N/A</v>
      </c>
      <c r="Y148" s="488"/>
      <c r="Z148" s="166"/>
      <c r="AA148" s="166"/>
      <c r="AB148" s="166"/>
      <c r="AC148" s="182" t="e">
        <f t="shared" si="73"/>
        <v>#N/A</v>
      </c>
      <c r="AD148" s="488"/>
      <c r="AE148" s="166"/>
      <c r="AF148" s="166"/>
      <c r="AG148" s="166"/>
      <c r="AH148" s="182" t="e">
        <f t="shared" si="75"/>
        <v>#N/A</v>
      </c>
      <c r="AI148" s="488"/>
      <c r="AJ148" s="166"/>
      <c r="AK148" s="166"/>
      <c r="AL148" s="166"/>
      <c r="AM148" s="182" t="e">
        <f t="shared" si="77"/>
        <v>#N/A</v>
      </c>
      <c r="AN148" s="488"/>
      <c r="AO148" s="166"/>
      <c r="AP148" s="166"/>
      <c r="AQ148" s="166"/>
      <c r="AR148" s="182" t="e">
        <f t="shared" si="79"/>
        <v>#N/A</v>
      </c>
      <c r="AS148" s="488"/>
      <c r="AT148" s="166"/>
      <c r="AU148" s="166"/>
      <c r="AV148" s="166"/>
      <c r="AW148" s="182" t="e">
        <f t="shared" si="81"/>
        <v>#N/A</v>
      </c>
      <c r="AX148" s="488"/>
    </row>
    <row r="149" spans="2:50">
      <c r="B149" s="454"/>
      <c r="C149" s="182">
        <v>3</v>
      </c>
      <c r="D149" s="182"/>
      <c r="E149" s="182"/>
      <c r="F149" s="182"/>
      <c r="G149" s="166"/>
      <c r="H149" s="488"/>
      <c r="I149" s="166" t="str">
        <f t="shared" si="83"/>
        <v>-</v>
      </c>
      <c r="J149" s="166" t="str">
        <f t="shared" si="84"/>
        <v>-</v>
      </c>
      <c r="K149" s="180" t="str">
        <f t="shared" si="85"/>
        <v>-</v>
      </c>
      <c r="L149" s="464"/>
      <c r="M149" s="166" t="e">
        <f>RANK(K149, K$147:$K$176)</f>
        <v>#VALUE!</v>
      </c>
      <c r="N149" s="461"/>
      <c r="O149" s="461"/>
      <c r="P149" s="166"/>
      <c r="Q149" s="166"/>
      <c r="R149" s="166"/>
      <c r="S149" s="182" t="e">
        <f t="shared" si="86"/>
        <v>#N/A</v>
      </c>
      <c r="T149" s="488"/>
      <c r="U149" s="166"/>
      <c r="V149" s="166"/>
      <c r="W149" s="166"/>
      <c r="X149" s="182" t="e">
        <f t="shared" si="71"/>
        <v>#N/A</v>
      </c>
      <c r="Y149" s="488"/>
      <c r="Z149" s="166"/>
      <c r="AA149" s="166"/>
      <c r="AB149" s="166"/>
      <c r="AC149" s="182" t="e">
        <f t="shared" si="73"/>
        <v>#N/A</v>
      </c>
      <c r="AD149" s="488"/>
      <c r="AE149" s="166"/>
      <c r="AF149" s="166"/>
      <c r="AG149" s="166"/>
      <c r="AH149" s="182" t="e">
        <f t="shared" si="75"/>
        <v>#N/A</v>
      </c>
      <c r="AI149" s="488"/>
      <c r="AJ149" s="166"/>
      <c r="AK149" s="166"/>
      <c r="AL149" s="166"/>
      <c r="AM149" s="182" t="e">
        <f t="shared" si="77"/>
        <v>#N/A</v>
      </c>
      <c r="AN149" s="488"/>
      <c r="AO149" s="166"/>
      <c r="AP149" s="166"/>
      <c r="AQ149" s="166"/>
      <c r="AR149" s="182" t="e">
        <f t="shared" si="79"/>
        <v>#N/A</v>
      </c>
      <c r="AS149" s="488"/>
      <c r="AT149" s="166"/>
      <c r="AU149" s="166"/>
      <c r="AV149" s="166"/>
      <c r="AW149" s="182" t="e">
        <f t="shared" si="81"/>
        <v>#N/A</v>
      </c>
      <c r="AX149" s="488"/>
    </row>
    <row r="150" spans="2:50">
      <c r="B150" s="454"/>
      <c r="C150" s="182">
        <v>4</v>
      </c>
      <c r="D150" s="182"/>
      <c r="E150" s="182"/>
      <c r="F150" s="182"/>
      <c r="G150" s="166"/>
      <c r="H150" s="488"/>
      <c r="I150" s="166" t="str">
        <f t="shared" si="83"/>
        <v>-</v>
      </c>
      <c r="J150" s="166" t="str">
        <f t="shared" si="84"/>
        <v>-</v>
      </c>
      <c r="K150" s="180" t="str">
        <f t="shared" si="85"/>
        <v>-</v>
      </c>
      <c r="L150" s="464"/>
      <c r="M150" s="166" t="e">
        <f>RANK(K150, K$147:$K$176)</f>
        <v>#VALUE!</v>
      </c>
      <c r="N150" s="461"/>
      <c r="O150" s="461"/>
      <c r="P150" s="166"/>
      <c r="Q150" s="166"/>
      <c r="R150" s="166"/>
      <c r="S150" s="182" t="e">
        <f t="shared" si="86"/>
        <v>#N/A</v>
      </c>
      <c r="T150" s="488"/>
      <c r="U150" s="166"/>
      <c r="V150" s="166"/>
      <c r="W150" s="166"/>
      <c r="X150" s="182" t="e">
        <f t="shared" si="71"/>
        <v>#N/A</v>
      </c>
      <c r="Y150" s="488"/>
      <c r="Z150" s="166"/>
      <c r="AA150" s="166"/>
      <c r="AB150" s="166"/>
      <c r="AC150" s="182" t="e">
        <f t="shared" si="73"/>
        <v>#N/A</v>
      </c>
      <c r="AD150" s="488"/>
      <c r="AE150" s="166"/>
      <c r="AF150" s="166"/>
      <c r="AG150" s="166"/>
      <c r="AH150" s="182" t="e">
        <f t="shared" si="75"/>
        <v>#N/A</v>
      </c>
      <c r="AI150" s="488"/>
      <c r="AJ150" s="166"/>
      <c r="AK150" s="166"/>
      <c r="AL150" s="166"/>
      <c r="AM150" s="182" t="e">
        <f t="shared" si="77"/>
        <v>#N/A</v>
      </c>
      <c r="AN150" s="488"/>
      <c r="AO150" s="166"/>
      <c r="AP150" s="166"/>
      <c r="AQ150" s="166"/>
      <c r="AR150" s="182" t="e">
        <f t="shared" si="79"/>
        <v>#N/A</v>
      </c>
      <c r="AS150" s="488"/>
      <c r="AT150" s="166"/>
      <c r="AU150" s="166"/>
      <c r="AV150" s="166"/>
      <c r="AW150" s="182" t="e">
        <f t="shared" si="81"/>
        <v>#N/A</v>
      </c>
      <c r="AX150" s="488"/>
    </row>
    <row r="151" spans="2:50">
      <c r="B151" s="454"/>
      <c r="C151" s="182">
        <v>5</v>
      </c>
      <c r="D151" s="182"/>
      <c r="E151" s="182"/>
      <c r="F151" s="182"/>
      <c r="G151" s="166"/>
      <c r="H151" s="488"/>
      <c r="I151" s="166" t="str">
        <f t="shared" si="83"/>
        <v>-</v>
      </c>
      <c r="J151" s="166" t="str">
        <f t="shared" si="84"/>
        <v>-</v>
      </c>
      <c r="K151" s="180" t="str">
        <f t="shared" si="85"/>
        <v>-</v>
      </c>
      <c r="L151" s="464"/>
      <c r="M151" s="166" t="e">
        <f>RANK(K151, K$147:$K$176)</f>
        <v>#VALUE!</v>
      </c>
      <c r="N151" s="461"/>
      <c r="O151" s="461"/>
      <c r="P151" s="166"/>
      <c r="Q151" s="166"/>
      <c r="R151" s="166"/>
      <c r="S151" s="182" t="e">
        <f t="shared" si="86"/>
        <v>#N/A</v>
      </c>
      <c r="T151" s="488"/>
      <c r="U151" s="166"/>
      <c r="V151" s="166"/>
      <c r="W151" s="166"/>
      <c r="X151" s="182" t="e">
        <f t="shared" si="71"/>
        <v>#N/A</v>
      </c>
      <c r="Y151" s="488"/>
      <c r="Z151" s="166"/>
      <c r="AA151" s="166"/>
      <c r="AB151" s="166"/>
      <c r="AC151" s="182" t="e">
        <f t="shared" si="73"/>
        <v>#N/A</v>
      </c>
      <c r="AD151" s="488"/>
      <c r="AE151" s="166"/>
      <c r="AF151" s="166"/>
      <c r="AG151" s="166"/>
      <c r="AH151" s="182" t="e">
        <f t="shared" si="75"/>
        <v>#N/A</v>
      </c>
      <c r="AI151" s="488"/>
      <c r="AJ151" s="166"/>
      <c r="AK151" s="166"/>
      <c r="AL151" s="166"/>
      <c r="AM151" s="182" t="e">
        <f t="shared" si="77"/>
        <v>#N/A</v>
      </c>
      <c r="AN151" s="488"/>
      <c r="AO151" s="166"/>
      <c r="AP151" s="166"/>
      <c r="AQ151" s="166"/>
      <c r="AR151" s="182" t="e">
        <f t="shared" si="79"/>
        <v>#N/A</v>
      </c>
      <c r="AS151" s="488"/>
      <c r="AT151" s="166"/>
      <c r="AU151" s="166"/>
      <c r="AV151" s="166"/>
      <c r="AW151" s="182" t="e">
        <f t="shared" si="81"/>
        <v>#N/A</v>
      </c>
      <c r="AX151" s="488"/>
    </row>
    <row r="152" spans="2:50">
      <c r="B152" s="454"/>
      <c r="C152" s="182">
        <v>6</v>
      </c>
      <c r="D152" s="182"/>
      <c r="E152" s="182"/>
      <c r="F152" s="182"/>
      <c r="G152" s="166"/>
      <c r="H152" s="488"/>
      <c r="I152" s="166" t="str">
        <f t="shared" si="83"/>
        <v>-</v>
      </c>
      <c r="J152" s="166" t="str">
        <f t="shared" si="84"/>
        <v>-</v>
      </c>
      <c r="K152" s="180" t="str">
        <f t="shared" si="85"/>
        <v>-</v>
      </c>
      <c r="L152" s="464"/>
      <c r="M152" s="166" t="e">
        <f>RANK(K152, K$147:$K$176)</f>
        <v>#VALUE!</v>
      </c>
      <c r="N152" s="461"/>
      <c r="O152" s="461"/>
      <c r="P152" s="166"/>
      <c r="Q152" s="166"/>
      <c r="R152" s="166"/>
      <c r="S152" s="182" t="e">
        <f t="shared" si="86"/>
        <v>#N/A</v>
      </c>
      <c r="T152" s="488"/>
      <c r="U152" s="166"/>
      <c r="V152" s="166"/>
      <c r="W152" s="166"/>
      <c r="X152" s="182" t="e">
        <f t="shared" si="71"/>
        <v>#N/A</v>
      </c>
      <c r="Y152" s="488"/>
      <c r="Z152" s="166"/>
      <c r="AA152" s="166"/>
      <c r="AB152" s="166"/>
      <c r="AC152" s="182" t="e">
        <f t="shared" si="73"/>
        <v>#N/A</v>
      </c>
      <c r="AD152" s="488"/>
      <c r="AE152" s="166"/>
      <c r="AF152" s="166"/>
      <c r="AG152" s="166"/>
      <c r="AH152" s="182" t="e">
        <f t="shared" si="75"/>
        <v>#N/A</v>
      </c>
      <c r="AI152" s="488"/>
      <c r="AJ152" s="166"/>
      <c r="AK152" s="166"/>
      <c r="AL152" s="166"/>
      <c r="AM152" s="182" t="e">
        <f t="shared" si="77"/>
        <v>#N/A</v>
      </c>
      <c r="AN152" s="488"/>
      <c r="AO152" s="166"/>
      <c r="AP152" s="166"/>
      <c r="AQ152" s="166"/>
      <c r="AR152" s="182" t="e">
        <f t="shared" si="79"/>
        <v>#N/A</v>
      </c>
      <c r="AS152" s="488"/>
      <c r="AT152" s="166"/>
      <c r="AU152" s="166"/>
      <c r="AV152" s="166"/>
      <c r="AW152" s="182" t="e">
        <f t="shared" si="81"/>
        <v>#N/A</v>
      </c>
      <c r="AX152" s="488"/>
    </row>
    <row r="153" spans="2:50">
      <c r="B153" s="454"/>
      <c r="C153" s="182">
        <v>7</v>
      </c>
      <c r="D153" s="182"/>
      <c r="E153" s="182"/>
      <c r="F153" s="182"/>
      <c r="G153" s="166"/>
      <c r="H153" s="488"/>
      <c r="I153" s="166" t="str">
        <f t="shared" si="83"/>
        <v>-</v>
      </c>
      <c r="J153" s="166" t="str">
        <f t="shared" si="84"/>
        <v>-</v>
      </c>
      <c r="K153" s="180" t="str">
        <f t="shared" si="85"/>
        <v>-</v>
      </c>
      <c r="L153" s="464"/>
      <c r="M153" s="166" t="e">
        <f>RANK(K153, K$147:$K$176)</f>
        <v>#VALUE!</v>
      </c>
      <c r="N153" s="461"/>
      <c r="O153" s="461"/>
      <c r="P153" s="166"/>
      <c r="Q153" s="166"/>
      <c r="R153" s="166"/>
      <c r="S153" s="182" t="e">
        <f t="shared" si="86"/>
        <v>#N/A</v>
      </c>
      <c r="T153" s="488"/>
      <c r="U153" s="166"/>
      <c r="V153" s="166"/>
      <c r="W153" s="166"/>
      <c r="X153" s="182" t="e">
        <f t="shared" si="71"/>
        <v>#N/A</v>
      </c>
      <c r="Y153" s="488"/>
      <c r="Z153" s="166"/>
      <c r="AA153" s="166"/>
      <c r="AB153" s="166"/>
      <c r="AC153" s="182" t="e">
        <f t="shared" si="73"/>
        <v>#N/A</v>
      </c>
      <c r="AD153" s="488"/>
      <c r="AE153" s="166"/>
      <c r="AF153" s="166"/>
      <c r="AG153" s="166"/>
      <c r="AH153" s="182" t="e">
        <f t="shared" si="75"/>
        <v>#N/A</v>
      </c>
      <c r="AI153" s="488"/>
      <c r="AJ153" s="166"/>
      <c r="AK153" s="166"/>
      <c r="AL153" s="166"/>
      <c r="AM153" s="182" t="e">
        <f t="shared" si="77"/>
        <v>#N/A</v>
      </c>
      <c r="AN153" s="488"/>
      <c r="AO153" s="166"/>
      <c r="AP153" s="166"/>
      <c r="AQ153" s="166"/>
      <c r="AR153" s="182" t="e">
        <f t="shared" si="79"/>
        <v>#N/A</v>
      </c>
      <c r="AS153" s="488"/>
      <c r="AT153" s="166"/>
      <c r="AU153" s="166"/>
      <c r="AV153" s="166"/>
      <c r="AW153" s="182" t="e">
        <f t="shared" si="81"/>
        <v>#N/A</v>
      </c>
      <c r="AX153" s="488"/>
    </row>
    <row r="154" spans="2:50">
      <c r="B154" s="454"/>
      <c r="C154" s="182">
        <v>8</v>
      </c>
      <c r="D154" s="182"/>
      <c r="E154" s="182"/>
      <c r="F154" s="182"/>
      <c r="G154" s="166"/>
      <c r="H154" s="488"/>
      <c r="I154" s="166" t="str">
        <f t="shared" si="83"/>
        <v>-</v>
      </c>
      <c r="J154" s="166" t="str">
        <f t="shared" si="84"/>
        <v>-</v>
      </c>
      <c r="K154" s="180" t="str">
        <f t="shared" si="85"/>
        <v>-</v>
      </c>
      <c r="L154" s="464"/>
      <c r="M154" s="166" t="e">
        <f>RANK(K154, K$147:$K$176)</f>
        <v>#VALUE!</v>
      </c>
      <c r="N154" s="461"/>
      <c r="O154" s="461"/>
      <c r="P154" s="166"/>
      <c r="Q154" s="166"/>
      <c r="R154" s="166"/>
      <c r="S154" s="182" t="e">
        <f t="shared" si="86"/>
        <v>#N/A</v>
      </c>
      <c r="T154" s="488"/>
      <c r="U154" s="166"/>
      <c r="V154" s="166"/>
      <c r="W154" s="166"/>
      <c r="X154" s="182" t="e">
        <f t="shared" si="71"/>
        <v>#N/A</v>
      </c>
      <c r="Y154" s="488"/>
      <c r="Z154" s="166"/>
      <c r="AA154" s="166"/>
      <c r="AB154" s="166"/>
      <c r="AC154" s="182" t="e">
        <f t="shared" si="73"/>
        <v>#N/A</v>
      </c>
      <c r="AD154" s="488"/>
      <c r="AE154" s="166"/>
      <c r="AF154" s="166"/>
      <c r="AG154" s="166"/>
      <c r="AH154" s="182" t="e">
        <f t="shared" si="75"/>
        <v>#N/A</v>
      </c>
      <c r="AI154" s="488"/>
      <c r="AJ154" s="166"/>
      <c r="AK154" s="166"/>
      <c r="AL154" s="166"/>
      <c r="AM154" s="182" t="e">
        <f t="shared" si="77"/>
        <v>#N/A</v>
      </c>
      <c r="AN154" s="488"/>
      <c r="AO154" s="166"/>
      <c r="AP154" s="166"/>
      <c r="AQ154" s="166"/>
      <c r="AR154" s="182" t="e">
        <f t="shared" si="79"/>
        <v>#N/A</v>
      </c>
      <c r="AS154" s="488"/>
      <c r="AT154" s="166"/>
      <c r="AU154" s="166"/>
      <c r="AV154" s="166"/>
      <c r="AW154" s="182" t="e">
        <f t="shared" si="81"/>
        <v>#N/A</v>
      </c>
      <c r="AX154" s="488"/>
    </row>
    <row r="155" spans="2:50">
      <c r="B155" s="454"/>
      <c r="C155" s="182">
        <v>9</v>
      </c>
      <c r="D155" s="182"/>
      <c r="E155" s="182"/>
      <c r="F155" s="182"/>
      <c r="G155" s="166"/>
      <c r="H155" s="488"/>
      <c r="I155" s="166" t="str">
        <f t="shared" si="83"/>
        <v>-</v>
      </c>
      <c r="J155" s="166" t="str">
        <f t="shared" si="84"/>
        <v>-</v>
      </c>
      <c r="K155" s="180" t="str">
        <f t="shared" si="85"/>
        <v>-</v>
      </c>
      <c r="L155" s="464"/>
      <c r="M155" s="166" t="e">
        <f>RANK(K155, K$147:$K$176)</f>
        <v>#VALUE!</v>
      </c>
      <c r="N155" s="461"/>
      <c r="O155" s="461"/>
      <c r="P155" s="166"/>
      <c r="Q155" s="166"/>
      <c r="R155" s="166"/>
      <c r="S155" s="182" t="e">
        <f t="shared" si="86"/>
        <v>#N/A</v>
      </c>
      <c r="T155" s="488"/>
      <c r="U155" s="166"/>
      <c r="V155" s="166"/>
      <c r="W155" s="166"/>
      <c r="X155" s="182" t="e">
        <f t="shared" si="71"/>
        <v>#N/A</v>
      </c>
      <c r="Y155" s="488"/>
      <c r="Z155" s="166"/>
      <c r="AA155" s="166"/>
      <c r="AB155" s="166"/>
      <c r="AC155" s="182" t="e">
        <f t="shared" si="73"/>
        <v>#N/A</v>
      </c>
      <c r="AD155" s="488"/>
      <c r="AE155" s="166"/>
      <c r="AF155" s="166"/>
      <c r="AG155" s="166"/>
      <c r="AH155" s="182" t="e">
        <f t="shared" si="75"/>
        <v>#N/A</v>
      </c>
      <c r="AI155" s="488"/>
      <c r="AJ155" s="166"/>
      <c r="AK155" s="166"/>
      <c r="AL155" s="166"/>
      <c r="AM155" s="182" t="e">
        <f t="shared" si="77"/>
        <v>#N/A</v>
      </c>
      <c r="AN155" s="488"/>
      <c r="AO155" s="166"/>
      <c r="AP155" s="166"/>
      <c r="AQ155" s="166"/>
      <c r="AR155" s="182" t="e">
        <f t="shared" si="79"/>
        <v>#N/A</v>
      </c>
      <c r="AS155" s="488"/>
      <c r="AT155" s="166"/>
      <c r="AU155" s="166"/>
      <c r="AV155" s="166"/>
      <c r="AW155" s="182" t="e">
        <f t="shared" si="81"/>
        <v>#N/A</v>
      </c>
      <c r="AX155" s="488"/>
    </row>
    <row r="156" spans="2:50">
      <c r="B156" s="454"/>
      <c r="C156" s="182">
        <v>10</v>
      </c>
      <c r="D156" s="182"/>
      <c r="E156" s="182"/>
      <c r="F156" s="182"/>
      <c r="G156" s="166"/>
      <c r="H156" s="488"/>
      <c r="I156" s="166" t="str">
        <f t="shared" si="83"/>
        <v>-</v>
      </c>
      <c r="J156" s="166" t="str">
        <f t="shared" si="84"/>
        <v>-</v>
      </c>
      <c r="K156" s="180" t="str">
        <f t="shared" si="85"/>
        <v>-</v>
      </c>
      <c r="L156" s="464"/>
      <c r="M156" s="166" t="e">
        <f>RANK(K156, K$147:$K$176)</f>
        <v>#VALUE!</v>
      </c>
      <c r="N156" s="461"/>
      <c r="O156" s="461"/>
      <c r="P156" s="166"/>
      <c r="Q156" s="166"/>
      <c r="R156" s="166"/>
      <c r="S156" s="182" t="e">
        <f t="shared" si="86"/>
        <v>#N/A</v>
      </c>
      <c r="T156" s="488"/>
      <c r="U156" s="166"/>
      <c r="V156" s="166"/>
      <c r="W156" s="166"/>
      <c r="X156" s="182" t="e">
        <f t="shared" si="71"/>
        <v>#N/A</v>
      </c>
      <c r="Y156" s="488"/>
      <c r="Z156" s="166"/>
      <c r="AA156" s="166"/>
      <c r="AB156" s="166"/>
      <c r="AC156" s="182" t="e">
        <f t="shared" si="73"/>
        <v>#N/A</v>
      </c>
      <c r="AD156" s="488"/>
      <c r="AE156" s="166"/>
      <c r="AF156" s="166"/>
      <c r="AG156" s="166"/>
      <c r="AH156" s="182" t="e">
        <f t="shared" si="75"/>
        <v>#N/A</v>
      </c>
      <c r="AI156" s="488"/>
      <c r="AJ156" s="166"/>
      <c r="AK156" s="166"/>
      <c r="AL156" s="166"/>
      <c r="AM156" s="182" t="e">
        <f t="shared" si="77"/>
        <v>#N/A</v>
      </c>
      <c r="AN156" s="488"/>
      <c r="AO156" s="166"/>
      <c r="AP156" s="166"/>
      <c r="AQ156" s="166"/>
      <c r="AR156" s="182" t="e">
        <f t="shared" si="79"/>
        <v>#N/A</v>
      </c>
      <c r="AS156" s="488"/>
      <c r="AT156" s="166"/>
      <c r="AU156" s="166"/>
      <c r="AV156" s="166"/>
      <c r="AW156" s="182" t="e">
        <f t="shared" si="81"/>
        <v>#N/A</v>
      </c>
      <c r="AX156" s="488"/>
    </row>
    <row r="157" spans="2:50">
      <c r="B157" s="454"/>
      <c r="C157" s="182">
        <v>11</v>
      </c>
      <c r="D157" s="182"/>
      <c r="E157" s="182"/>
      <c r="F157" s="182"/>
      <c r="G157" s="166"/>
      <c r="H157" s="488"/>
      <c r="I157" s="166" t="str">
        <f t="shared" si="83"/>
        <v>-</v>
      </c>
      <c r="J157" s="166" t="str">
        <f t="shared" si="84"/>
        <v>-</v>
      </c>
      <c r="K157" s="180" t="str">
        <f t="shared" si="85"/>
        <v>-</v>
      </c>
      <c r="L157" s="464"/>
      <c r="M157" s="166" t="e">
        <f>RANK(K157, K$147:$K$176)</f>
        <v>#VALUE!</v>
      </c>
      <c r="N157" s="461"/>
      <c r="O157" s="461"/>
      <c r="P157" s="166"/>
      <c r="Q157" s="166"/>
      <c r="R157" s="166"/>
      <c r="S157" s="182" t="e">
        <f t="shared" si="86"/>
        <v>#N/A</v>
      </c>
      <c r="T157" s="488"/>
      <c r="U157" s="166"/>
      <c r="V157" s="166"/>
      <c r="W157" s="166"/>
      <c r="X157" s="182" t="e">
        <f t="shared" si="71"/>
        <v>#N/A</v>
      </c>
      <c r="Y157" s="488"/>
      <c r="Z157" s="166"/>
      <c r="AA157" s="166"/>
      <c r="AB157" s="166"/>
      <c r="AC157" s="182" t="e">
        <f t="shared" si="73"/>
        <v>#N/A</v>
      </c>
      <c r="AD157" s="488"/>
      <c r="AE157" s="166"/>
      <c r="AF157" s="166"/>
      <c r="AG157" s="166"/>
      <c r="AH157" s="182" t="e">
        <f t="shared" si="75"/>
        <v>#N/A</v>
      </c>
      <c r="AI157" s="488"/>
      <c r="AJ157" s="166"/>
      <c r="AK157" s="166"/>
      <c r="AL157" s="166"/>
      <c r="AM157" s="182" t="e">
        <f t="shared" si="77"/>
        <v>#N/A</v>
      </c>
      <c r="AN157" s="488"/>
      <c r="AO157" s="166"/>
      <c r="AP157" s="166"/>
      <c r="AQ157" s="166"/>
      <c r="AR157" s="182" t="e">
        <f t="shared" si="79"/>
        <v>#N/A</v>
      </c>
      <c r="AS157" s="488"/>
      <c r="AT157" s="166"/>
      <c r="AU157" s="166"/>
      <c r="AV157" s="166"/>
      <c r="AW157" s="182" t="e">
        <f t="shared" si="81"/>
        <v>#N/A</v>
      </c>
      <c r="AX157" s="488"/>
    </row>
    <row r="158" spans="2:50">
      <c r="B158" s="454"/>
      <c r="C158" s="182">
        <v>12</v>
      </c>
      <c r="D158" s="182"/>
      <c r="E158" s="182"/>
      <c r="F158" s="182"/>
      <c r="G158" s="166"/>
      <c r="H158" s="488"/>
      <c r="I158" s="166" t="str">
        <f t="shared" si="83"/>
        <v>-</v>
      </c>
      <c r="J158" s="166" t="str">
        <f t="shared" si="84"/>
        <v>-</v>
      </c>
      <c r="K158" s="180" t="str">
        <f t="shared" si="85"/>
        <v>-</v>
      </c>
      <c r="L158" s="464"/>
      <c r="M158" s="166" t="e">
        <f>RANK(K158, K$147:$K$176)</f>
        <v>#VALUE!</v>
      </c>
      <c r="N158" s="461"/>
      <c r="O158" s="461"/>
      <c r="P158" s="166"/>
      <c r="Q158" s="166"/>
      <c r="R158" s="166"/>
      <c r="S158" s="182" t="e">
        <f t="shared" si="86"/>
        <v>#N/A</v>
      </c>
      <c r="T158" s="488"/>
      <c r="U158" s="166"/>
      <c r="V158" s="166"/>
      <c r="W158" s="166"/>
      <c r="X158" s="182" t="e">
        <f t="shared" si="71"/>
        <v>#N/A</v>
      </c>
      <c r="Y158" s="488"/>
      <c r="Z158" s="166"/>
      <c r="AA158" s="166"/>
      <c r="AB158" s="166"/>
      <c r="AC158" s="182" t="e">
        <f t="shared" si="73"/>
        <v>#N/A</v>
      </c>
      <c r="AD158" s="488"/>
      <c r="AE158" s="166"/>
      <c r="AF158" s="166"/>
      <c r="AG158" s="166"/>
      <c r="AH158" s="182" t="e">
        <f t="shared" si="75"/>
        <v>#N/A</v>
      </c>
      <c r="AI158" s="488"/>
      <c r="AJ158" s="166"/>
      <c r="AK158" s="166"/>
      <c r="AL158" s="166"/>
      <c r="AM158" s="182" t="e">
        <f t="shared" si="77"/>
        <v>#N/A</v>
      </c>
      <c r="AN158" s="488"/>
      <c r="AO158" s="166"/>
      <c r="AP158" s="166"/>
      <c r="AQ158" s="166"/>
      <c r="AR158" s="182" t="e">
        <f t="shared" si="79"/>
        <v>#N/A</v>
      </c>
      <c r="AS158" s="488"/>
      <c r="AT158" s="166"/>
      <c r="AU158" s="166"/>
      <c r="AV158" s="166"/>
      <c r="AW158" s="182" t="e">
        <f t="shared" si="81"/>
        <v>#N/A</v>
      </c>
      <c r="AX158" s="488"/>
    </row>
    <row r="159" spans="2:50">
      <c r="B159" s="454"/>
      <c r="C159" s="182">
        <v>13</v>
      </c>
      <c r="D159" s="182"/>
      <c r="E159" s="182"/>
      <c r="F159" s="182"/>
      <c r="G159" s="166"/>
      <c r="H159" s="488"/>
      <c r="I159" s="166" t="str">
        <f t="shared" si="83"/>
        <v>-</v>
      </c>
      <c r="J159" s="166" t="str">
        <f t="shared" si="84"/>
        <v>-</v>
      </c>
      <c r="K159" s="180" t="str">
        <f t="shared" si="85"/>
        <v>-</v>
      </c>
      <c r="L159" s="464"/>
      <c r="M159" s="166" t="e">
        <f>RANK(K159, K$147:$K$176)</f>
        <v>#VALUE!</v>
      </c>
      <c r="N159" s="461"/>
      <c r="O159" s="461"/>
      <c r="P159" s="166"/>
      <c r="Q159" s="166"/>
      <c r="R159" s="166"/>
      <c r="S159" s="182" t="e">
        <f t="shared" si="86"/>
        <v>#N/A</v>
      </c>
      <c r="T159" s="488"/>
      <c r="U159" s="166"/>
      <c r="V159" s="166"/>
      <c r="W159" s="166"/>
      <c r="X159" s="182" t="e">
        <f t="shared" si="71"/>
        <v>#N/A</v>
      </c>
      <c r="Y159" s="488"/>
      <c r="Z159" s="166"/>
      <c r="AA159" s="166"/>
      <c r="AB159" s="166"/>
      <c r="AC159" s="182" t="e">
        <f t="shared" si="73"/>
        <v>#N/A</v>
      </c>
      <c r="AD159" s="488"/>
      <c r="AE159" s="166"/>
      <c r="AF159" s="166"/>
      <c r="AG159" s="166"/>
      <c r="AH159" s="182" t="e">
        <f t="shared" si="75"/>
        <v>#N/A</v>
      </c>
      <c r="AI159" s="488"/>
      <c r="AJ159" s="166"/>
      <c r="AK159" s="166"/>
      <c r="AL159" s="166"/>
      <c r="AM159" s="182" t="e">
        <f t="shared" si="77"/>
        <v>#N/A</v>
      </c>
      <c r="AN159" s="488"/>
      <c r="AO159" s="166"/>
      <c r="AP159" s="166"/>
      <c r="AQ159" s="166"/>
      <c r="AR159" s="182" t="e">
        <f t="shared" si="79"/>
        <v>#N/A</v>
      </c>
      <c r="AS159" s="488"/>
      <c r="AT159" s="166"/>
      <c r="AU159" s="166"/>
      <c r="AV159" s="166"/>
      <c r="AW159" s="182" t="e">
        <f t="shared" si="81"/>
        <v>#N/A</v>
      </c>
      <c r="AX159" s="488"/>
    </row>
    <row r="160" spans="2:50">
      <c r="B160" s="454"/>
      <c r="C160" s="182">
        <v>14</v>
      </c>
      <c r="D160" s="182"/>
      <c r="E160" s="182"/>
      <c r="F160" s="182"/>
      <c r="G160" s="166"/>
      <c r="H160" s="488"/>
      <c r="I160" s="166" t="str">
        <f t="shared" si="83"/>
        <v>-</v>
      </c>
      <c r="J160" s="166" t="str">
        <f t="shared" si="84"/>
        <v>-</v>
      </c>
      <c r="K160" s="180" t="str">
        <f t="shared" si="85"/>
        <v>-</v>
      </c>
      <c r="L160" s="464"/>
      <c r="M160" s="166" t="e">
        <f>RANK(K160, K$147:$K$176)</f>
        <v>#VALUE!</v>
      </c>
      <c r="N160" s="461"/>
      <c r="O160" s="461"/>
      <c r="P160" s="166"/>
      <c r="Q160" s="166"/>
      <c r="R160" s="166"/>
      <c r="S160" s="182" t="e">
        <f t="shared" si="86"/>
        <v>#N/A</v>
      </c>
      <c r="T160" s="488"/>
      <c r="U160" s="166"/>
      <c r="V160" s="166"/>
      <c r="W160" s="166"/>
      <c r="X160" s="182" t="e">
        <f t="shared" si="71"/>
        <v>#N/A</v>
      </c>
      <c r="Y160" s="488"/>
      <c r="Z160" s="166"/>
      <c r="AA160" s="166"/>
      <c r="AB160" s="166"/>
      <c r="AC160" s="182" t="e">
        <f t="shared" si="73"/>
        <v>#N/A</v>
      </c>
      <c r="AD160" s="488"/>
      <c r="AE160" s="166"/>
      <c r="AF160" s="166"/>
      <c r="AG160" s="166"/>
      <c r="AH160" s="182" t="e">
        <f t="shared" si="75"/>
        <v>#N/A</v>
      </c>
      <c r="AI160" s="488"/>
      <c r="AJ160" s="166"/>
      <c r="AK160" s="166"/>
      <c r="AL160" s="166"/>
      <c r="AM160" s="182" t="e">
        <f t="shared" si="77"/>
        <v>#N/A</v>
      </c>
      <c r="AN160" s="488"/>
      <c r="AO160" s="166"/>
      <c r="AP160" s="166"/>
      <c r="AQ160" s="166"/>
      <c r="AR160" s="182" t="e">
        <f t="shared" si="79"/>
        <v>#N/A</v>
      </c>
      <c r="AS160" s="488"/>
      <c r="AT160" s="166"/>
      <c r="AU160" s="166"/>
      <c r="AV160" s="166"/>
      <c r="AW160" s="182" t="e">
        <f t="shared" si="81"/>
        <v>#N/A</v>
      </c>
      <c r="AX160" s="488"/>
    </row>
    <row r="161" spans="2:50">
      <c r="B161" s="454"/>
      <c r="C161" s="182">
        <v>15</v>
      </c>
      <c r="D161" s="182"/>
      <c r="E161" s="182"/>
      <c r="F161" s="182"/>
      <c r="G161" s="166"/>
      <c r="H161" s="488"/>
      <c r="I161" s="166" t="str">
        <f t="shared" si="83"/>
        <v>-</v>
      </c>
      <c r="J161" s="166" t="str">
        <f t="shared" si="84"/>
        <v>-</v>
      </c>
      <c r="K161" s="180" t="str">
        <f t="shared" si="85"/>
        <v>-</v>
      </c>
      <c r="L161" s="464"/>
      <c r="M161" s="166" t="e">
        <f>RANK(K161, K$147:$K$176)</f>
        <v>#VALUE!</v>
      </c>
      <c r="N161" s="461"/>
      <c r="O161" s="461"/>
      <c r="P161" s="166"/>
      <c r="Q161" s="166"/>
      <c r="R161" s="166"/>
      <c r="S161" s="182" t="e">
        <f t="shared" ref="S161:S175" si="87">RANK(R161, R$147:R$176)</f>
        <v>#N/A</v>
      </c>
      <c r="T161" s="488"/>
      <c r="U161" s="166"/>
      <c r="V161" s="166"/>
      <c r="W161" s="166"/>
      <c r="X161" s="182" t="e">
        <f t="shared" si="71"/>
        <v>#N/A</v>
      </c>
      <c r="Y161" s="488"/>
      <c r="Z161" s="166"/>
      <c r="AA161" s="166"/>
      <c r="AB161" s="166"/>
      <c r="AC161" s="182" t="e">
        <f t="shared" si="73"/>
        <v>#N/A</v>
      </c>
      <c r="AD161" s="488"/>
      <c r="AE161" s="166"/>
      <c r="AF161" s="166"/>
      <c r="AG161" s="166"/>
      <c r="AH161" s="182" t="e">
        <f t="shared" si="75"/>
        <v>#N/A</v>
      </c>
      <c r="AI161" s="488"/>
      <c r="AJ161" s="166"/>
      <c r="AK161" s="166"/>
      <c r="AL161" s="166"/>
      <c r="AM161" s="182" t="e">
        <f t="shared" si="77"/>
        <v>#N/A</v>
      </c>
      <c r="AN161" s="488"/>
      <c r="AO161" s="166"/>
      <c r="AP161" s="166"/>
      <c r="AQ161" s="166"/>
      <c r="AR161" s="182" t="e">
        <f t="shared" si="79"/>
        <v>#N/A</v>
      </c>
      <c r="AS161" s="488"/>
      <c r="AT161" s="166"/>
      <c r="AU161" s="166"/>
      <c r="AV161" s="166"/>
      <c r="AW161" s="182" t="e">
        <f t="shared" si="81"/>
        <v>#N/A</v>
      </c>
      <c r="AX161" s="488"/>
    </row>
    <row r="162" spans="2:50">
      <c r="B162" s="454"/>
      <c r="C162" s="182">
        <v>16</v>
      </c>
      <c r="D162" s="182"/>
      <c r="E162" s="182"/>
      <c r="F162" s="182"/>
      <c r="G162" s="166"/>
      <c r="H162" s="488"/>
      <c r="I162" s="166" t="str">
        <f t="shared" si="83"/>
        <v>-</v>
      </c>
      <c r="J162" s="166" t="str">
        <f t="shared" si="84"/>
        <v>-</v>
      </c>
      <c r="K162" s="180" t="str">
        <f t="shared" si="85"/>
        <v>-</v>
      </c>
      <c r="L162" s="464"/>
      <c r="M162" s="166" t="e">
        <f>RANK(K162, K$147:$K$176)</f>
        <v>#VALUE!</v>
      </c>
      <c r="N162" s="461"/>
      <c r="O162" s="461"/>
      <c r="P162" s="166"/>
      <c r="Q162" s="166"/>
      <c r="R162" s="166"/>
      <c r="S162" s="182" t="e">
        <f t="shared" si="87"/>
        <v>#N/A</v>
      </c>
      <c r="T162" s="488"/>
      <c r="U162" s="166"/>
      <c r="V162" s="166"/>
      <c r="W162" s="166"/>
      <c r="X162" s="182" t="e">
        <f t="shared" si="71"/>
        <v>#N/A</v>
      </c>
      <c r="Y162" s="488"/>
      <c r="Z162" s="166"/>
      <c r="AA162" s="166"/>
      <c r="AB162" s="166"/>
      <c r="AC162" s="182" t="e">
        <f t="shared" si="73"/>
        <v>#N/A</v>
      </c>
      <c r="AD162" s="488"/>
      <c r="AE162" s="166"/>
      <c r="AF162" s="166"/>
      <c r="AG162" s="166"/>
      <c r="AH162" s="182" t="e">
        <f t="shared" si="75"/>
        <v>#N/A</v>
      </c>
      <c r="AI162" s="488"/>
      <c r="AJ162" s="166"/>
      <c r="AK162" s="166"/>
      <c r="AL162" s="166"/>
      <c r="AM162" s="182" t="e">
        <f t="shared" si="77"/>
        <v>#N/A</v>
      </c>
      <c r="AN162" s="488"/>
      <c r="AO162" s="166"/>
      <c r="AP162" s="166"/>
      <c r="AQ162" s="166"/>
      <c r="AR162" s="182" t="e">
        <f t="shared" si="79"/>
        <v>#N/A</v>
      </c>
      <c r="AS162" s="488"/>
      <c r="AT162" s="166"/>
      <c r="AU162" s="166"/>
      <c r="AV162" s="166"/>
      <c r="AW162" s="182" t="e">
        <f t="shared" si="81"/>
        <v>#N/A</v>
      </c>
      <c r="AX162" s="488"/>
    </row>
    <row r="163" spans="2:50">
      <c r="B163" s="454"/>
      <c r="C163" s="182">
        <v>17</v>
      </c>
      <c r="D163" s="182"/>
      <c r="E163" s="182"/>
      <c r="F163" s="182"/>
      <c r="G163" s="166"/>
      <c r="H163" s="488"/>
      <c r="I163" s="166" t="str">
        <f t="shared" si="83"/>
        <v>-</v>
      </c>
      <c r="J163" s="166" t="str">
        <f t="shared" si="84"/>
        <v>-</v>
      </c>
      <c r="K163" s="180" t="str">
        <f t="shared" si="85"/>
        <v>-</v>
      </c>
      <c r="L163" s="464"/>
      <c r="M163" s="166" t="e">
        <f>RANK(K163, K$147:$K$176)</f>
        <v>#VALUE!</v>
      </c>
      <c r="N163" s="461"/>
      <c r="O163" s="461"/>
      <c r="P163" s="166"/>
      <c r="Q163" s="166"/>
      <c r="R163" s="166"/>
      <c r="S163" s="182" t="e">
        <f t="shared" si="87"/>
        <v>#N/A</v>
      </c>
      <c r="T163" s="488"/>
      <c r="U163" s="166"/>
      <c r="V163" s="166"/>
      <c r="W163" s="166"/>
      <c r="X163" s="182" t="e">
        <f t="shared" ref="X163:X176" si="88">RANK(W163, W$147:W$176)</f>
        <v>#N/A</v>
      </c>
      <c r="Y163" s="488"/>
      <c r="Z163" s="166"/>
      <c r="AA163" s="166"/>
      <c r="AB163" s="166"/>
      <c r="AC163" s="182" t="e">
        <f t="shared" ref="AC163:AC176" si="89">RANK(AB163, AB$147:AB$176)</f>
        <v>#N/A</v>
      </c>
      <c r="AD163" s="488"/>
      <c r="AE163" s="166"/>
      <c r="AF163" s="166"/>
      <c r="AG163" s="166"/>
      <c r="AH163" s="182" t="e">
        <f t="shared" ref="AH163:AH176" si="90">RANK(AG163, AG$147:AG$176)</f>
        <v>#N/A</v>
      </c>
      <c r="AI163" s="488"/>
      <c r="AJ163" s="166"/>
      <c r="AK163" s="166"/>
      <c r="AL163" s="166"/>
      <c r="AM163" s="182" t="e">
        <f t="shared" ref="AM163:AM176" si="91">RANK(AL163, AL$147:AL$176)</f>
        <v>#N/A</v>
      </c>
      <c r="AN163" s="488"/>
      <c r="AO163" s="166"/>
      <c r="AP163" s="166"/>
      <c r="AQ163" s="166"/>
      <c r="AR163" s="182" t="e">
        <f t="shared" ref="AR163:AR176" si="92">RANK(AQ163, AQ$147:AQ$176)</f>
        <v>#N/A</v>
      </c>
      <c r="AS163" s="488"/>
      <c r="AT163" s="166"/>
      <c r="AU163" s="166"/>
      <c r="AV163" s="166"/>
      <c r="AW163" s="182" t="e">
        <f t="shared" ref="AW163:AW176" si="93">RANK(AV163, AV$147:AV$176)</f>
        <v>#N/A</v>
      </c>
      <c r="AX163" s="488"/>
    </row>
    <row r="164" spans="2:50">
      <c r="B164" s="454"/>
      <c r="C164" s="182">
        <v>18</v>
      </c>
      <c r="D164" s="182"/>
      <c r="E164" s="182"/>
      <c r="F164" s="182"/>
      <c r="G164" s="166"/>
      <c r="H164" s="488"/>
      <c r="I164" s="166" t="str">
        <f t="shared" si="83"/>
        <v>-</v>
      </c>
      <c r="J164" s="166" t="str">
        <f t="shared" si="84"/>
        <v>-</v>
      </c>
      <c r="K164" s="180" t="str">
        <f t="shared" si="85"/>
        <v>-</v>
      </c>
      <c r="L164" s="464"/>
      <c r="M164" s="166" t="e">
        <f>RANK(K164, K$147:$K$176)</f>
        <v>#VALUE!</v>
      </c>
      <c r="N164" s="461"/>
      <c r="O164" s="461"/>
      <c r="P164" s="166"/>
      <c r="Q164" s="166"/>
      <c r="R164" s="166"/>
      <c r="S164" s="182" t="e">
        <f t="shared" si="87"/>
        <v>#N/A</v>
      </c>
      <c r="T164" s="488"/>
      <c r="U164" s="166"/>
      <c r="V164" s="166"/>
      <c r="W164" s="166"/>
      <c r="X164" s="182" t="e">
        <f t="shared" si="88"/>
        <v>#N/A</v>
      </c>
      <c r="Y164" s="488"/>
      <c r="Z164" s="166"/>
      <c r="AA164" s="166"/>
      <c r="AB164" s="166"/>
      <c r="AC164" s="182" t="e">
        <f t="shared" si="89"/>
        <v>#N/A</v>
      </c>
      <c r="AD164" s="488"/>
      <c r="AE164" s="166"/>
      <c r="AF164" s="166"/>
      <c r="AG164" s="166"/>
      <c r="AH164" s="182" t="e">
        <f t="shared" si="90"/>
        <v>#N/A</v>
      </c>
      <c r="AI164" s="488"/>
      <c r="AJ164" s="166"/>
      <c r="AK164" s="166"/>
      <c r="AL164" s="166"/>
      <c r="AM164" s="182" t="e">
        <f t="shared" si="91"/>
        <v>#N/A</v>
      </c>
      <c r="AN164" s="488"/>
      <c r="AO164" s="166"/>
      <c r="AP164" s="166"/>
      <c r="AQ164" s="166"/>
      <c r="AR164" s="182" t="e">
        <f t="shared" si="92"/>
        <v>#N/A</v>
      </c>
      <c r="AS164" s="488"/>
      <c r="AT164" s="166"/>
      <c r="AU164" s="166"/>
      <c r="AV164" s="166"/>
      <c r="AW164" s="182" t="e">
        <f t="shared" si="93"/>
        <v>#N/A</v>
      </c>
      <c r="AX164" s="488"/>
    </row>
    <row r="165" spans="2:50">
      <c r="B165" s="454"/>
      <c r="C165" s="182">
        <v>19</v>
      </c>
      <c r="D165" s="182"/>
      <c r="E165" s="182"/>
      <c r="F165" s="182"/>
      <c r="G165" s="166"/>
      <c r="H165" s="488"/>
      <c r="I165" s="166" t="str">
        <f t="shared" si="83"/>
        <v>-</v>
      </c>
      <c r="J165" s="166" t="str">
        <f t="shared" si="84"/>
        <v>-</v>
      </c>
      <c r="K165" s="180" t="str">
        <f t="shared" si="85"/>
        <v>-</v>
      </c>
      <c r="L165" s="464"/>
      <c r="M165" s="166" t="e">
        <f>RANK(K165, K$147:$K$176)</f>
        <v>#VALUE!</v>
      </c>
      <c r="N165" s="461"/>
      <c r="O165" s="461"/>
      <c r="P165" s="166"/>
      <c r="Q165" s="166"/>
      <c r="R165" s="166"/>
      <c r="S165" s="182" t="e">
        <f t="shared" si="87"/>
        <v>#N/A</v>
      </c>
      <c r="T165" s="488"/>
      <c r="U165" s="166"/>
      <c r="V165" s="166"/>
      <c r="W165" s="166"/>
      <c r="X165" s="182" t="e">
        <f t="shared" si="88"/>
        <v>#N/A</v>
      </c>
      <c r="Y165" s="488"/>
      <c r="Z165" s="166"/>
      <c r="AA165" s="166"/>
      <c r="AB165" s="166"/>
      <c r="AC165" s="182" t="e">
        <f t="shared" si="89"/>
        <v>#N/A</v>
      </c>
      <c r="AD165" s="488"/>
      <c r="AE165" s="166"/>
      <c r="AF165" s="166"/>
      <c r="AG165" s="166"/>
      <c r="AH165" s="182" t="e">
        <f t="shared" si="90"/>
        <v>#N/A</v>
      </c>
      <c r="AI165" s="488"/>
      <c r="AJ165" s="166"/>
      <c r="AK165" s="166"/>
      <c r="AL165" s="166"/>
      <c r="AM165" s="182" t="e">
        <f t="shared" si="91"/>
        <v>#N/A</v>
      </c>
      <c r="AN165" s="488"/>
      <c r="AO165" s="166"/>
      <c r="AP165" s="166"/>
      <c r="AQ165" s="166"/>
      <c r="AR165" s="182" t="e">
        <f t="shared" si="92"/>
        <v>#N/A</v>
      </c>
      <c r="AS165" s="488"/>
      <c r="AT165" s="166"/>
      <c r="AU165" s="166"/>
      <c r="AV165" s="166"/>
      <c r="AW165" s="182" t="e">
        <f t="shared" si="93"/>
        <v>#N/A</v>
      </c>
      <c r="AX165" s="488"/>
    </row>
    <row r="166" spans="2:50">
      <c r="B166" s="454"/>
      <c r="C166" s="182">
        <v>20</v>
      </c>
      <c r="D166" s="182"/>
      <c r="E166" s="182"/>
      <c r="F166" s="182"/>
      <c r="G166" s="166"/>
      <c r="H166" s="488"/>
      <c r="I166" s="166" t="str">
        <f t="shared" si="83"/>
        <v>-</v>
      </c>
      <c r="J166" s="166" t="str">
        <f t="shared" si="84"/>
        <v>-</v>
      </c>
      <c r="K166" s="180" t="str">
        <f t="shared" si="85"/>
        <v>-</v>
      </c>
      <c r="L166" s="464"/>
      <c r="M166" s="166" t="e">
        <f>RANK(K166, K$147:$K$176)</f>
        <v>#VALUE!</v>
      </c>
      <c r="N166" s="461"/>
      <c r="O166" s="461"/>
      <c r="P166" s="166"/>
      <c r="Q166" s="166"/>
      <c r="R166" s="166"/>
      <c r="S166" s="182" t="e">
        <f t="shared" si="87"/>
        <v>#N/A</v>
      </c>
      <c r="T166" s="488"/>
      <c r="U166" s="166"/>
      <c r="V166" s="166"/>
      <c r="W166" s="166"/>
      <c r="X166" s="182" t="e">
        <f t="shared" si="88"/>
        <v>#N/A</v>
      </c>
      <c r="Y166" s="488"/>
      <c r="Z166" s="166"/>
      <c r="AA166" s="166"/>
      <c r="AB166" s="166"/>
      <c r="AC166" s="182" t="e">
        <f t="shared" si="89"/>
        <v>#N/A</v>
      </c>
      <c r="AD166" s="488"/>
      <c r="AE166" s="166"/>
      <c r="AF166" s="166"/>
      <c r="AG166" s="166"/>
      <c r="AH166" s="182" t="e">
        <f t="shared" si="90"/>
        <v>#N/A</v>
      </c>
      <c r="AI166" s="488"/>
      <c r="AJ166" s="166"/>
      <c r="AK166" s="166"/>
      <c r="AL166" s="166"/>
      <c r="AM166" s="182" t="e">
        <f t="shared" si="91"/>
        <v>#N/A</v>
      </c>
      <c r="AN166" s="488"/>
      <c r="AO166" s="166"/>
      <c r="AP166" s="166"/>
      <c r="AQ166" s="166"/>
      <c r="AR166" s="182" t="e">
        <f t="shared" si="92"/>
        <v>#N/A</v>
      </c>
      <c r="AS166" s="488"/>
      <c r="AT166" s="166"/>
      <c r="AU166" s="166"/>
      <c r="AV166" s="166"/>
      <c r="AW166" s="182" t="e">
        <f t="shared" si="93"/>
        <v>#N/A</v>
      </c>
      <c r="AX166" s="488"/>
    </row>
    <row r="167" spans="2:50">
      <c r="B167" s="454"/>
      <c r="C167" s="182">
        <v>21</v>
      </c>
      <c r="D167" s="379"/>
      <c r="E167" s="182"/>
      <c r="F167" s="182"/>
      <c r="G167" s="166"/>
      <c r="H167" s="488"/>
      <c r="I167" s="166" t="str">
        <f t="shared" si="83"/>
        <v>-</v>
      </c>
      <c r="J167" s="166" t="str">
        <f t="shared" si="84"/>
        <v>-</v>
      </c>
      <c r="K167" s="180" t="str">
        <f t="shared" si="85"/>
        <v>-</v>
      </c>
      <c r="L167" s="464"/>
      <c r="M167" s="166" t="e">
        <f>RANK(K167, K$147:$K$176)</f>
        <v>#VALUE!</v>
      </c>
      <c r="N167" s="461"/>
      <c r="O167" s="461"/>
      <c r="P167" s="182"/>
      <c r="Q167" s="166"/>
      <c r="R167" s="180"/>
      <c r="S167" s="182" t="e">
        <f t="shared" si="87"/>
        <v>#N/A</v>
      </c>
      <c r="T167" s="488"/>
      <c r="U167" s="182"/>
      <c r="V167" s="166"/>
      <c r="W167" s="180"/>
      <c r="X167" s="182" t="e">
        <f t="shared" si="88"/>
        <v>#N/A</v>
      </c>
      <c r="Y167" s="488"/>
      <c r="Z167" s="182"/>
      <c r="AA167" s="166"/>
      <c r="AB167" s="180"/>
      <c r="AC167" s="182" t="e">
        <f t="shared" si="89"/>
        <v>#N/A</v>
      </c>
      <c r="AD167" s="488"/>
      <c r="AE167" s="182"/>
      <c r="AF167" s="166"/>
      <c r="AG167" s="180"/>
      <c r="AH167" s="182" t="e">
        <f t="shared" si="90"/>
        <v>#N/A</v>
      </c>
      <c r="AI167" s="488"/>
      <c r="AJ167" s="182"/>
      <c r="AK167" s="166"/>
      <c r="AL167" s="180"/>
      <c r="AM167" s="182" t="e">
        <f t="shared" si="91"/>
        <v>#N/A</v>
      </c>
      <c r="AN167" s="488"/>
      <c r="AO167" s="182"/>
      <c r="AP167" s="166"/>
      <c r="AQ167" s="180"/>
      <c r="AR167" s="182" t="e">
        <f t="shared" si="92"/>
        <v>#N/A</v>
      </c>
      <c r="AS167" s="488"/>
      <c r="AT167" s="182"/>
      <c r="AU167" s="166"/>
      <c r="AV167" s="180"/>
      <c r="AW167" s="182" t="e">
        <f t="shared" si="93"/>
        <v>#N/A</v>
      </c>
      <c r="AX167" s="488"/>
    </row>
    <row r="168" spans="2:50">
      <c r="B168" s="454"/>
      <c r="C168" s="182">
        <v>22</v>
      </c>
      <c r="D168" s="182"/>
      <c r="E168" s="182"/>
      <c r="F168" s="182"/>
      <c r="G168" s="182"/>
      <c r="H168" s="488"/>
      <c r="I168" s="166" t="str">
        <f t="shared" si="83"/>
        <v>-</v>
      </c>
      <c r="J168" s="166" t="str">
        <f t="shared" si="84"/>
        <v>-</v>
      </c>
      <c r="K168" s="180" t="str">
        <f t="shared" si="85"/>
        <v>-</v>
      </c>
      <c r="L168" s="464"/>
      <c r="M168" s="166" t="e">
        <f>RANK(K168, K$147:$K$176)</f>
        <v>#VALUE!</v>
      </c>
      <c r="N168" s="461"/>
      <c r="O168" s="461"/>
      <c r="P168" s="182"/>
      <c r="Q168" s="166"/>
      <c r="R168" s="180"/>
      <c r="S168" s="182" t="e">
        <f t="shared" si="87"/>
        <v>#N/A</v>
      </c>
      <c r="T168" s="488"/>
      <c r="U168" s="182"/>
      <c r="V168" s="166"/>
      <c r="W168" s="180"/>
      <c r="X168" s="182" t="e">
        <f t="shared" si="88"/>
        <v>#N/A</v>
      </c>
      <c r="Y168" s="488"/>
      <c r="Z168" s="182"/>
      <c r="AA168" s="166"/>
      <c r="AB168" s="180"/>
      <c r="AC168" s="182" t="e">
        <f t="shared" si="89"/>
        <v>#N/A</v>
      </c>
      <c r="AD168" s="488"/>
      <c r="AE168" s="182"/>
      <c r="AF168" s="166"/>
      <c r="AG168" s="180"/>
      <c r="AH168" s="182" t="e">
        <f t="shared" si="90"/>
        <v>#N/A</v>
      </c>
      <c r="AI168" s="488"/>
      <c r="AJ168" s="182"/>
      <c r="AK168" s="166"/>
      <c r="AL168" s="180"/>
      <c r="AM168" s="182" t="e">
        <f t="shared" si="91"/>
        <v>#N/A</v>
      </c>
      <c r="AN168" s="488"/>
      <c r="AO168" s="182"/>
      <c r="AP168" s="166"/>
      <c r="AQ168" s="180"/>
      <c r="AR168" s="182" t="e">
        <f t="shared" si="92"/>
        <v>#N/A</v>
      </c>
      <c r="AS168" s="488"/>
      <c r="AT168" s="182"/>
      <c r="AU168" s="166"/>
      <c r="AV168" s="180"/>
      <c r="AW168" s="182" t="e">
        <f t="shared" si="93"/>
        <v>#N/A</v>
      </c>
      <c r="AX168" s="488"/>
    </row>
    <row r="169" spans="2:50">
      <c r="B169" s="454"/>
      <c r="C169" s="182">
        <v>23</v>
      </c>
      <c r="D169" s="182"/>
      <c r="E169" s="182"/>
      <c r="F169" s="182"/>
      <c r="G169" s="182"/>
      <c r="H169" s="488"/>
      <c r="I169" s="166" t="str">
        <f t="shared" si="83"/>
        <v>-</v>
      </c>
      <c r="J169" s="166" t="str">
        <f t="shared" si="84"/>
        <v>-</v>
      </c>
      <c r="K169" s="180" t="str">
        <f t="shared" si="85"/>
        <v>-</v>
      </c>
      <c r="L169" s="464"/>
      <c r="M169" s="166" t="e">
        <f>RANK(K169, K$147:$K$176)</f>
        <v>#VALUE!</v>
      </c>
      <c r="N169" s="461"/>
      <c r="O169" s="461"/>
      <c r="P169" s="182"/>
      <c r="Q169" s="166"/>
      <c r="R169" s="180"/>
      <c r="S169" s="182" t="e">
        <f t="shared" si="87"/>
        <v>#N/A</v>
      </c>
      <c r="T169" s="488"/>
      <c r="U169" s="182"/>
      <c r="V169" s="166"/>
      <c r="W169" s="180"/>
      <c r="X169" s="182" t="e">
        <f t="shared" si="88"/>
        <v>#N/A</v>
      </c>
      <c r="Y169" s="488"/>
      <c r="Z169" s="182"/>
      <c r="AA169" s="166"/>
      <c r="AB169" s="180"/>
      <c r="AC169" s="182" t="e">
        <f t="shared" si="89"/>
        <v>#N/A</v>
      </c>
      <c r="AD169" s="488"/>
      <c r="AE169" s="182"/>
      <c r="AF169" s="166"/>
      <c r="AG169" s="180"/>
      <c r="AH169" s="182" t="e">
        <f t="shared" si="90"/>
        <v>#N/A</v>
      </c>
      <c r="AI169" s="488"/>
      <c r="AJ169" s="182"/>
      <c r="AK169" s="166"/>
      <c r="AL169" s="180"/>
      <c r="AM169" s="182" t="e">
        <f t="shared" si="91"/>
        <v>#N/A</v>
      </c>
      <c r="AN169" s="488"/>
      <c r="AO169" s="182"/>
      <c r="AP169" s="166"/>
      <c r="AQ169" s="180"/>
      <c r="AR169" s="182" t="e">
        <f t="shared" si="92"/>
        <v>#N/A</v>
      </c>
      <c r="AS169" s="488"/>
      <c r="AT169" s="182"/>
      <c r="AU169" s="166"/>
      <c r="AV169" s="180"/>
      <c r="AW169" s="182" t="e">
        <f t="shared" si="93"/>
        <v>#N/A</v>
      </c>
      <c r="AX169" s="488"/>
    </row>
    <row r="170" spans="2:50">
      <c r="B170" s="454"/>
      <c r="C170" s="182">
        <v>24</v>
      </c>
      <c r="D170" s="182"/>
      <c r="E170" s="182"/>
      <c r="F170" s="182"/>
      <c r="G170" s="182"/>
      <c r="H170" s="488"/>
      <c r="I170" s="166" t="str">
        <f t="shared" si="83"/>
        <v>-</v>
      </c>
      <c r="J170" s="166" t="str">
        <f t="shared" si="84"/>
        <v>-</v>
      </c>
      <c r="K170" s="180" t="str">
        <f t="shared" si="85"/>
        <v>-</v>
      </c>
      <c r="L170" s="464"/>
      <c r="M170" s="166" t="e">
        <f>RANK(K170, K$147:$K$176)</f>
        <v>#VALUE!</v>
      </c>
      <c r="N170" s="461"/>
      <c r="O170" s="461"/>
      <c r="P170" s="182"/>
      <c r="Q170" s="166"/>
      <c r="R170" s="180"/>
      <c r="S170" s="182" t="e">
        <f t="shared" si="87"/>
        <v>#N/A</v>
      </c>
      <c r="T170" s="488"/>
      <c r="U170" s="182"/>
      <c r="V170" s="166"/>
      <c r="W170" s="180"/>
      <c r="X170" s="182" t="e">
        <f t="shared" si="88"/>
        <v>#N/A</v>
      </c>
      <c r="Y170" s="488"/>
      <c r="Z170" s="182"/>
      <c r="AA170" s="166"/>
      <c r="AB170" s="180"/>
      <c r="AC170" s="182" t="e">
        <f t="shared" si="89"/>
        <v>#N/A</v>
      </c>
      <c r="AD170" s="488"/>
      <c r="AE170" s="182"/>
      <c r="AF170" s="166"/>
      <c r="AG170" s="180"/>
      <c r="AH170" s="182" t="e">
        <f t="shared" si="90"/>
        <v>#N/A</v>
      </c>
      <c r="AI170" s="488"/>
      <c r="AJ170" s="182"/>
      <c r="AK170" s="166"/>
      <c r="AL170" s="180"/>
      <c r="AM170" s="182" t="e">
        <f t="shared" si="91"/>
        <v>#N/A</v>
      </c>
      <c r="AN170" s="488"/>
      <c r="AO170" s="182"/>
      <c r="AP170" s="166"/>
      <c r="AQ170" s="180"/>
      <c r="AR170" s="182" t="e">
        <f t="shared" si="92"/>
        <v>#N/A</v>
      </c>
      <c r="AS170" s="488"/>
      <c r="AT170" s="182"/>
      <c r="AU170" s="166"/>
      <c r="AV170" s="180"/>
      <c r="AW170" s="182" t="e">
        <f t="shared" si="93"/>
        <v>#N/A</v>
      </c>
      <c r="AX170" s="488"/>
    </row>
    <row r="171" spans="2:50">
      <c r="B171" s="454"/>
      <c r="C171" s="182">
        <v>25</v>
      </c>
      <c r="D171" s="182"/>
      <c r="E171" s="182"/>
      <c r="F171" s="182"/>
      <c r="G171" s="182"/>
      <c r="H171" s="488"/>
      <c r="I171" s="166" t="str">
        <f t="shared" si="83"/>
        <v>-</v>
      </c>
      <c r="J171" s="166" t="str">
        <f t="shared" si="84"/>
        <v>-</v>
      </c>
      <c r="K171" s="180" t="str">
        <f t="shared" si="85"/>
        <v>-</v>
      </c>
      <c r="L171" s="464"/>
      <c r="M171" s="166" t="e">
        <f>RANK(K171, K$147:$K$176)</f>
        <v>#VALUE!</v>
      </c>
      <c r="N171" s="461"/>
      <c r="O171" s="461"/>
      <c r="P171" s="182"/>
      <c r="Q171" s="166"/>
      <c r="R171" s="180"/>
      <c r="S171" s="182" t="e">
        <f t="shared" si="87"/>
        <v>#N/A</v>
      </c>
      <c r="T171" s="488"/>
      <c r="U171" s="182"/>
      <c r="V171" s="166"/>
      <c r="W171" s="180"/>
      <c r="X171" s="182" t="e">
        <f t="shared" si="88"/>
        <v>#N/A</v>
      </c>
      <c r="Y171" s="488"/>
      <c r="Z171" s="182"/>
      <c r="AA171" s="166"/>
      <c r="AB171" s="180"/>
      <c r="AC171" s="182" t="e">
        <f t="shared" si="89"/>
        <v>#N/A</v>
      </c>
      <c r="AD171" s="488"/>
      <c r="AE171" s="182"/>
      <c r="AF171" s="166"/>
      <c r="AG171" s="180"/>
      <c r="AH171" s="182" t="e">
        <f t="shared" si="90"/>
        <v>#N/A</v>
      </c>
      <c r="AI171" s="488"/>
      <c r="AJ171" s="182"/>
      <c r="AK171" s="166"/>
      <c r="AL171" s="180"/>
      <c r="AM171" s="182" t="e">
        <f t="shared" si="91"/>
        <v>#N/A</v>
      </c>
      <c r="AN171" s="488"/>
      <c r="AO171" s="182"/>
      <c r="AP171" s="166"/>
      <c r="AQ171" s="180"/>
      <c r="AR171" s="182" t="e">
        <f t="shared" si="92"/>
        <v>#N/A</v>
      </c>
      <c r="AS171" s="488"/>
      <c r="AT171" s="182"/>
      <c r="AU171" s="166"/>
      <c r="AV171" s="180"/>
      <c r="AW171" s="182" t="e">
        <f t="shared" si="93"/>
        <v>#N/A</v>
      </c>
      <c r="AX171" s="488"/>
    </row>
    <row r="172" spans="2:50">
      <c r="B172" s="454"/>
      <c r="C172" s="182">
        <v>26</v>
      </c>
      <c r="D172" s="182"/>
      <c r="E172" s="182"/>
      <c r="F172" s="182"/>
      <c r="G172" s="182"/>
      <c r="H172" s="488"/>
      <c r="I172" s="166" t="str">
        <f t="shared" si="83"/>
        <v>-</v>
      </c>
      <c r="J172" s="166" t="str">
        <f t="shared" si="84"/>
        <v>-</v>
      </c>
      <c r="K172" s="180" t="str">
        <f t="shared" si="85"/>
        <v>-</v>
      </c>
      <c r="L172" s="464"/>
      <c r="M172" s="166" t="e">
        <f>RANK(K172, K$147:$K$176)</f>
        <v>#VALUE!</v>
      </c>
      <c r="N172" s="461"/>
      <c r="O172" s="461"/>
      <c r="P172" s="182"/>
      <c r="Q172" s="166"/>
      <c r="R172" s="180"/>
      <c r="S172" s="182" t="e">
        <f t="shared" si="87"/>
        <v>#N/A</v>
      </c>
      <c r="T172" s="488"/>
      <c r="U172" s="182"/>
      <c r="V172" s="166"/>
      <c r="W172" s="180"/>
      <c r="X172" s="182" t="e">
        <f t="shared" si="88"/>
        <v>#N/A</v>
      </c>
      <c r="Y172" s="488"/>
      <c r="Z172" s="182"/>
      <c r="AA172" s="166"/>
      <c r="AB172" s="180"/>
      <c r="AC172" s="182" t="e">
        <f t="shared" si="89"/>
        <v>#N/A</v>
      </c>
      <c r="AD172" s="488"/>
      <c r="AE172" s="182"/>
      <c r="AF172" s="166"/>
      <c r="AG172" s="180"/>
      <c r="AH172" s="182" t="e">
        <f t="shared" si="90"/>
        <v>#N/A</v>
      </c>
      <c r="AI172" s="488"/>
      <c r="AJ172" s="182"/>
      <c r="AK172" s="166"/>
      <c r="AL172" s="180"/>
      <c r="AM172" s="182" t="e">
        <f t="shared" si="91"/>
        <v>#N/A</v>
      </c>
      <c r="AN172" s="488"/>
      <c r="AO172" s="182"/>
      <c r="AP172" s="166"/>
      <c r="AQ172" s="180"/>
      <c r="AR172" s="182" t="e">
        <f t="shared" si="92"/>
        <v>#N/A</v>
      </c>
      <c r="AS172" s="488"/>
      <c r="AT172" s="182"/>
      <c r="AU172" s="166"/>
      <c r="AV172" s="180"/>
      <c r="AW172" s="182" t="e">
        <f t="shared" si="93"/>
        <v>#N/A</v>
      </c>
      <c r="AX172" s="488"/>
    </row>
    <row r="173" spans="2:50">
      <c r="B173" s="454"/>
      <c r="C173" s="182">
        <v>27</v>
      </c>
      <c r="D173" s="182"/>
      <c r="E173" s="182"/>
      <c r="F173" s="182"/>
      <c r="G173" s="182"/>
      <c r="H173" s="488"/>
      <c r="I173" s="166" t="str">
        <f t="shared" si="83"/>
        <v>-</v>
      </c>
      <c r="J173" s="166" t="str">
        <f t="shared" si="84"/>
        <v>-</v>
      </c>
      <c r="K173" s="180" t="str">
        <f t="shared" si="85"/>
        <v>-</v>
      </c>
      <c r="L173" s="464"/>
      <c r="M173" s="166" t="e">
        <f>RANK(K173, K$147:$K$176)</f>
        <v>#VALUE!</v>
      </c>
      <c r="N173" s="461"/>
      <c r="O173" s="461"/>
      <c r="P173" s="182"/>
      <c r="Q173" s="166"/>
      <c r="R173" s="180"/>
      <c r="S173" s="182" t="e">
        <f t="shared" si="87"/>
        <v>#N/A</v>
      </c>
      <c r="T173" s="488"/>
      <c r="U173" s="182"/>
      <c r="V173" s="166"/>
      <c r="W173" s="180"/>
      <c r="X173" s="182" t="e">
        <f t="shared" si="88"/>
        <v>#N/A</v>
      </c>
      <c r="Y173" s="488"/>
      <c r="Z173" s="182"/>
      <c r="AA173" s="166"/>
      <c r="AB173" s="180"/>
      <c r="AC173" s="182" t="e">
        <f t="shared" si="89"/>
        <v>#N/A</v>
      </c>
      <c r="AD173" s="488"/>
      <c r="AE173" s="182"/>
      <c r="AF173" s="166"/>
      <c r="AG173" s="180"/>
      <c r="AH173" s="182" t="e">
        <f t="shared" si="90"/>
        <v>#N/A</v>
      </c>
      <c r="AI173" s="488"/>
      <c r="AJ173" s="182"/>
      <c r="AK173" s="166"/>
      <c r="AL173" s="180"/>
      <c r="AM173" s="182" t="e">
        <f t="shared" si="91"/>
        <v>#N/A</v>
      </c>
      <c r="AN173" s="488"/>
      <c r="AO173" s="182"/>
      <c r="AP173" s="166"/>
      <c r="AQ173" s="180"/>
      <c r="AR173" s="182" t="e">
        <f t="shared" si="92"/>
        <v>#N/A</v>
      </c>
      <c r="AS173" s="488"/>
      <c r="AT173" s="182"/>
      <c r="AU173" s="166"/>
      <c r="AV173" s="180"/>
      <c r="AW173" s="182" t="e">
        <f t="shared" si="93"/>
        <v>#N/A</v>
      </c>
      <c r="AX173" s="488"/>
    </row>
    <row r="174" spans="2:50">
      <c r="B174" s="454"/>
      <c r="C174" s="182">
        <v>28</v>
      </c>
      <c r="D174" s="182"/>
      <c r="E174" s="182"/>
      <c r="F174" s="182"/>
      <c r="G174" s="182"/>
      <c r="H174" s="488"/>
      <c r="I174" s="166" t="str">
        <f t="shared" si="83"/>
        <v>-</v>
      </c>
      <c r="J174" s="166" t="str">
        <f t="shared" si="84"/>
        <v>-</v>
      </c>
      <c r="K174" s="180" t="str">
        <f t="shared" si="85"/>
        <v>-</v>
      </c>
      <c r="L174" s="464"/>
      <c r="M174" s="166" t="e">
        <f>RANK(K174, K$147:$K$176)</f>
        <v>#VALUE!</v>
      </c>
      <c r="N174" s="461"/>
      <c r="O174" s="461"/>
      <c r="P174" s="182"/>
      <c r="Q174" s="166"/>
      <c r="R174" s="180"/>
      <c r="S174" s="182" t="e">
        <f t="shared" si="87"/>
        <v>#N/A</v>
      </c>
      <c r="T174" s="488"/>
      <c r="U174" s="182"/>
      <c r="V174" s="166"/>
      <c r="W174" s="180"/>
      <c r="X174" s="182" t="e">
        <f t="shared" si="88"/>
        <v>#N/A</v>
      </c>
      <c r="Y174" s="488"/>
      <c r="Z174" s="182"/>
      <c r="AA174" s="166"/>
      <c r="AB174" s="180"/>
      <c r="AC174" s="182" t="e">
        <f t="shared" si="89"/>
        <v>#N/A</v>
      </c>
      <c r="AD174" s="488"/>
      <c r="AE174" s="182"/>
      <c r="AF174" s="166"/>
      <c r="AG174" s="180"/>
      <c r="AH174" s="182" t="e">
        <f t="shared" si="90"/>
        <v>#N/A</v>
      </c>
      <c r="AI174" s="488"/>
      <c r="AJ174" s="182"/>
      <c r="AK174" s="166"/>
      <c r="AL174" s="180"/>
      <c r="AM174" s="182" t="e">
        <f t="shared" si="91"/>
        <v>#N/A</v>
      </c>
      <c r="AN174" s="488"/>
      <c r="AO174" s="182"/>
      <c r="AP174" s="166"/>
      <c r="AQ174" s="180"/>
      <c r="AR174" s="182" t="e">
        <f t="shared" si="92"/>
        <v>#N/A</v>
      </c>
      <c r="AS174" s="488"/>
      <c r="AT174" s="182"/>
      <c r="AU174" s="166"/>
      <c r="AV174" s="180"/>
      <c r="AW174" s="182" t="e">
        <f t="shared" si="93"/>
        <v>#N/A</v>
      </c>
      <c r="AX174" s="488"/>
    </row>
    <row r="175" spans="2:50">
      <c r="B175" s="454"/>
      <c r="C175" s="182">
        <v>29</v>
      </c>
      <c r="D175" s="182"/>
      <c r="E175" s="182"/>
      <c r="F175" s="182"/>
      <c r="G175" s="182"/>
      <c r="H175" s="488"/>
      <c r="I175" s="166" t="str">
        <f t="shared" si="83"/>
        <v>-</v>
      </c>
      <c r="J175" s="166" t="str">
        <f t="shared" si="84"/>
        <v>-</v>
      </c>
      <c r="K175" s="180" t="str">
        <f t="shared" si="85"/>
        <v>-</v>
      </c>
      <c r="L175" s="464"/>
      <c r="M175" s="166" t="e">
        <f>RANK(K175, K$147:$K$176)</f>
        <v>#VALUE!</v>
      </c>
      <c r="N175" s="461"/>
      <c r="O175" s="461"/>
      <c r="P175" s="182"/>
      <c r="Q175" s="166"/>
      <c r="R175" s="180"/>
      <c r="S175" s="182" t="e">
        <f t="shared" si="87"/>
        <v>#N/A</v>
      </c>
      <c r="T175" s="488"/>
      <c r="U175" s="182"/>
      <c r="V175" s="166"/>
      <c r="W175" s="180"/>
      <c r="X175" s="182" t="e">
        <f t="shared" si="88"/>
        <v>#N/A</v>
      </c>
      <c r="Y175" s="488"/>
      <c r="Z175" s="182"/>
      <c r="AA175" s="166"/>
      <c r="AB175" s="180"/>
      <c r="AC175" s="182" t="e">
        <f t="shared" si="89"/>
        <v>#N/A</v>
      </c>
      <c r="AD175" s="488"/>
      <c r="AE175" s="182"/>
      <c r="AF175" s="166"/>
      <c r="AG175" s="180"/>
      <c r="AH175" s="182" t="e">
        <f t="shared" si="90"/>
        <v>#N/A</v>
      </c>
      <c r="AI175" s="488"/>
      <c r="AJ175" s="182"/>
      <c r="AK175" s="166"/>
      <c r="AL175" s="180"/>
      <c r="AM175" s="182" t="e">
        <f t="shared" si="91"/>
        <v>#N/A</v>
      </c>
      <c r="AN175" s="488"/>
      <c r="AO175" s="182"/>
      <c r="AP175" s="166"/>
      <c r="AQ175" s="180"/>
      <c r="AR175" s="182" t="e">
        <f t="shared" si="92"/>
        <v>#N/A</v>
      </c>
      <c r="AS175" s="488"/>
      <c r="AT175" s="182"/>
      <c r="AU175" s="166"/>
      <c r="AV175" s="180"/>
      <c r="AW175" s="182" t="e">
        <f t="shared" si="93"/>
        <v>#N/A</v>
      </c>
      <c r="AX175" s="488"/>
    </row>
    <row r="176" spans="2:50">
      <c r="B176" s="454"/>
      <c r="C176" s="182">
        <v>30</v>
      </c>
      <c r="D176" s="182"/>
      <c r="E176" s="182"/>
      <c r="F176" s="182"/>
      <c r="G176" s="182"/>
      <c r="H176" s="489"/>
      <c r="I176" s="166" t="str">
        <f t="shared" si="83"/>
        <v>-</v>
      </c>
      <c r="J176" s="166" t="str">
        <f t="shared" si="84"/>
        <v>-</v>
      </c>
      <c r="K176" s="180" t="str">
        <f t="shared" si="85"/>
        <v>-</v>
      </c>
      <c r="L176" s="465"/>
      <c r="M176" s="166" t="e">
        <f>RANK(K176, K$147:$K$176)</f>
        <v>#VALUE!</v>
      </c>
      <c r="N176" s="461"/>
      <c r="O176" s="461"/>
      <c r="P176" s="182"/>
      <c r="Q176" s="166"/>
      <c r="R176" s="180"/>
      <c r="S176" s="182" t="e">
        <f t="shared" si="86"/>
        <v>#N/A</v>
      </c>
      <c r="T176" s="489"/>
      <c r="U176" s="182"/>
      <c r="V176" s="166"/>
      <c r="W176" s="180"/>
      <c r="X176" s="182" t="e">
        <f t="shared" si="88"/>
        <v>#N/A</v>
      </c>
      <c r="Y176" s="489"/>
      <c r="Z176" s="182"/>
      <c r="AA176" s="166"/>
      <c r="AB176" s="180"/>
      <c r="AC176" s="182" t="e">
        <f t="shared" si="89"/>
        <v>#N/A</v>
      </c>
      <c r="AD176" s="489"/>
      <c r="AE176" s="182"/>
      <c r="AF176" s="166"/>
      <c r="AG176" s="180"/>
      <c r="AH176" s="182" t="e">
        <f t="shared" si="90"/>
        <v>#N/A</v>
      </c>
      <c r="AI176" s="489"/>
      <c r="AJ176" s="182"/>
      <c r="AK176" s="166"/>
      <c r="AL176" s="180"/>
      <c r="AM176" s="182" t="e">
        <f t="shared" si="91"/>
        <v>#N/A</v>
      </c>
      <c r="AN176" s="489"/>
      <c r="AO176" s="182"/>
      <c r="AP176" s="166"/>
      <c r="AQ176" s="180"/>
      <c r="AR176" s="182" t="e">
        <f t="shared" si="92"/>
        <v>#N/A</v>
      </c>
      <c r="AS176" s="489"/>
      <c r="AT176" s="182"/>
      <c r="AU176" s="166"/>
      <c r="AV176" s="180"/>
      <c r="AW176" s="182" t="e">
        <f t="shared" si="93"/>
        <v>#N/A</v>
      </c>
      <c r="AX176" s="489"/>
    </row>
    <row r="177" spans="2:50" ht="15.5">
      <c r="B177" s="477" t="s">
        <v>163</v>
      </c>
      <c r="C177" s="478"/>
      <c r="D177" s="478"/>
      <c r="E177" s="478"/>
      <c r="F177" s="478"/>
      <c r="G177" s="478"/>
      <c r="H177" s="478"/>
      <c r="I177" s="186"/>
      <c r="J177" s="186"/>
      <c r="K177" s="186"/>
      <c r="L177" s="186"/>
      <c r="M177" s="185"/>
      <c r="N177" s="480" t="s">
        <v>156</v>
      </c>
      <c r="O177" s="480" t="s">
        <v>105</v>
      </c>
      <c r="P177" s="476">
        <f>P142+7</f>
        <v>46147</v>
      </c>
      <c r="Q177" s="454"/>
      <c r="R177" s="454"/>
      <c r="S177" s="454"/>
      <c r="T177" s="454"/>
      <c r="U177" s="473">
        <f>P177+1</f>
        <v>46148</v>
      </c>
      <c r="V177" s="474"/>
      <c r="W177" s="474"/>
      <c r="X177" s="474"/>
      <c r="Y177" s="475"/>
      <c r="Z177" s="473">
        <f>U177+1</f>
        <v>46149</v>
      </c>
      <c r="AA177" s="474"/>
      <c r="AB177" s="474"/>
      <c r="AC177" s="474"/>
      <c r="AD177" s="475"/>
      <c r="AE177" s="473">
        <f>Z177+1</f>
        <v>46150</v>
      </c>
      <c r="AF177" s="474"/>
      <c r="AG177" s="474"/>
      <c r="AH177" s="474"/>
      <c r="AI177" s="475"/>
      <c r="AJ177" s="473">
        <f>AE177+1</f>
        <v>46151</v>
      </c>
      <c r="AK177" s="474"/>
      <c r="AL177" s="474"/>
      <c r="AM177" s="474"/>
      <c r="AN177" s="475"/>
      <c r="AO177" s="473">
        <f>AJ177+1</f>
        <v>46152</v>
      </c>
      <c r="AP177" s="474"/>
      <c r="AQ177" s="474"/>
      <c r="AR177" s="474"/>
      <c r="AS177" s="475"/>
      <c r="AT177" s="473">
        <f>AO177+1</f>
        <v>46153</v>
      </c>
      <c r="AU177" s="474"/>
      <c r="AV177" s="474"/>
      <c r="AW177" s="474"/>
      <c r="AX177" s="475"/>
    </row>
    <row r="178" spans="2:50" ht="15.5">
      <c r="B178" s="479"/>
      <c r="C178" s="479"/>
      <c r="D178" s="479"/>
      <c r="E178" s="479"/>
      <c r="F178" s="479"/>
      <c r="G178" s="479"/>
      <c r="H178" s="479"/>
      <c r="I178" s="184"/>
      <c r="J178" s="184"/>
      <c r="K178" s="184"/>
      <c r="L178" s="184"/>
      <c r="M178" s="179"/>
      <c r="N178" s="481"/>
      <c r="O178" s="481"/>
      <c r="P178" s="476" t="s">
        <v>158</v>
      </c>
      <c r="Q178" s="454"/>
      <c r="R178" s="454"/>
      <c r="S178" s="454"/>
      <c r="T178" s="454"/>
      <c r="U178" s="476" t="s">
        <v>114</v>
      </c>
      <c r="V178" s="454"/>
      <c r="W178" s="454"/>
      <c r="X178" s="454"/>
      <c r="Y178" s="454"/>
      <c r="Z178" s="476" t="s">
        <v>159</v>
      </c>
      <c r="AA178" s="454"/>
      <c r="AB178" s="454"/>
      <c r="AC178" s="454"/>
      <c r="AD178" s="454"/>
      <c r="AE178" s="476" t="s">
        <v>157</v>
      </c>
      <c r="AF178" s="454"/>
      <c r="AG178" s="454"/>
      <c r="AH178" s="454"/>
      <c r="AI178" s="454"/>
      <c r="AJ178" s="476" t="s">
        <v>160</v>
      </c>
      <c r="AK178" s="454"/>
      <c r="AL178" s="454"/>
      <c r="AM178" s="454"/>
      <c r="AN178" s="454"/>
      <c r="AO178" s="476" t="s">
        <v>115</v>
      </c>
      <c r="AP178" s="454"/>
      <c r="AQ178" s="454"/>
      <c r="AR178" s="454"/>
      <c r="AS178" s="454"/>
      <c r="AT178" s="476" t="s">
        <v>162</v>
      </c>
      <c r="AU178" s="454"/>
      <c r="AV178" s="454"/>
      <c r="AW178" s="454"/>
      <c r="AX178" s="454"/>
    </row>
    <row r="179" spans="2:50">
      <c r="B179" s="461" t="s">
        <v>154</v>
      </c>
      <c r="C179" s="461" t="s">
        <v>409</v>
      </c>
      <c r="D179" s="461"/>
      <c r="E179" s="461" t="s">
        <v>400</v>
      </c>
      <c r="F179" s="461"/>
      <c r="G179" s="461"/>
      <c r="H179" s="482" t="s">
        <v>396</v>
      </c>
      <c r="I179" s="461" t="s">
        <v>401</v>
      </c>
      <c r="J179" s="461"/>
      <c r="K179" s="461"/>
      <c r="L179" s="482" t="s">
        <v>396</v>
      </c>
      <c r="M179" s="480" t="s">
        <v>397</v>
      </c>
      <c r="N179" s="461"/>
      <c r="O179" s="461" t="s">
        <v>402</v>
      </c>
      <c r="P179" s="466" t="s">
        <v>398</v>
      </c>
      <c r="Q179" s="467"/>
      <c r="R179" s="467"/>
      <c r="S179" s="468"/>
      <c r="T179" s="461" t="s">
        <v>396</v>
      </c>
      <c r="U179" s="466" t="s">
        <v>398</v>
      </c>
      <c r="V179" s="467"/>
      <c r="W179" s="467"/>
      <c r="X179" s="468"/>
      <c r="Y179" s="461" t="s">
        <v>396</v>
      </c>
      <c r="Z179" s="466" t="s">
        <v>398</v>
      </c>
      <c r="AA179" s="467"/>
      <c r="AB179" s="467"/>
      <c r="AC179" s="468"/>
      <c r="AD179" s="461" t="s">
        <v>396</v>
      </c>
      <c r="AE179" s="466" t="s">
        <v>398</v>
      </c>
      <c r="AF179" s="467"/>
      <c r="AG179" s="467"/>
      <c r="AH179" s="468"/>
      <c r="AI179" s="461" t="s">
        <v>396</v>
      </c>
      <c r="AJ179" s="466" t="s">
        <v>398</v>
      </c>
      <c r="AK179" s="467"/>
      <c r="AL179" s="467"/>
      <c r="AM179" s="468"/>
      <c r="AN179" s="461" t="s">
        <v>396</v>
      </c>
      <c r="AO179" s="466" t="s">
        <v>398</v>
      </c>
      <c r="AP179" s="467"/>
      <c r="AQ179" s="467"/>
      <c r="AR179" s="468"/>
      <c r="AS179" s="461" t="s">
        <v>396</v>
      </c>
      <c r="AT179" s="469" t="s">
        <v>398</v>
      </c>
      <c r="AU179" s="470"/>
      <c r="AV179" s="470"/>
      <c r="AW179" s="471"/>
      <c r="AX179" s="472" t="s">
        <v>396</v>
      </c>
    </row>
    <row r="180" spans="2:50">
      <c r="B180" s="461"/>
      <c r="C180" s="461"/>
      <c r="D180" s="461"/>
      <c r="E180" s="461" t="s">
        <v>403</v>
      </c>
      <c r="F180" s="461"/>
      <c r="G180" s="461"/>
      <c r="H180" s="483"/>
      <c r="I180" s="461" t="s">
        <v>403</v>
      </c>
      <c r="J180" s="461"/>
      <c r="K180" s="461"/>
      <c r="L180" s="483"/>
      <c r="M180" s="485"/>
      <c r="N180" s="461"/>
      <c r="O180" s="461"/>
      <c r="P180" s="466" t="s">
        <v>404</v>
      </c>
      <c r="Q180" s="467"/>
      <c r="R180" s="467"/>
      <c r="S180" s="468"/>
      <c r="T180" s="461"/>
      <c r="U180" s="466" t="s">
        <v>404</v>
      </c>
      <c r="V180" s="467"/>
      <c r="W180" s="467"/>
      <c r="X180" s="468"/>
      <c r="Y180" s="461"/>
      <c r="Z180" s="466" t="s">
        <v>404</v>
      </c>
      <c r="AA180" s="467"/>
      <c r="AB180" s="467"/>
      <c r="AC180" s="468"/>
      <c r="AD180" s="461"/>
      <c r="AE180" s="466" t="s">
        <v>404</v>
      </c>
      <c r="AF180" s="467"/>
      <c r="AG180" s="467"/>
      <c r="AH180" s="468"/>
      <c r="AI180" s="461"/>
      <c r="AJ180" s="466" t="s">
        <v>404</v>
      </c>
      <c r="AK180" s="467"/>
      <c r="AL180" s="467"/>
      <c r="AM180" s="468"/>
      <c r="AN180" s="461"/>
      <c r="AO180" s="466" t="s">
        <v>404</v>
      </c>
      <c r="AP180" s="467"/>
      <c r="AQ180" s="467"/>
      <c r="AR180" s="468"/>
      <c r="AS180" s="461"/>
      <c r="AT180" s="469" t="s">
        <v>404</v>
      </c>
      <c r="AU180" s="470"/>
      <c r="AV180" s="470"/>
      <c r="AW180" s="471"/>
      <c r="AX180" s="472"/>
    </row>
    <row r="181" spans="2:50">
      <c r="B181" s="461"/>
      <c r="C181" s="461"/>
      <c r="D181" s="461"/>
      <c r="E181" s="269" t="s">
        <v>405</v>
      </c>
      <c r="F181" s="269" t="s">
        <v>406</v>
      </c>
      <c r="G181" s="269" t="s">
        <v>407</v>
      </c>
      <c r="H181" s="484"/>
      <c r="I181" s="269" t="s">
        <v>405</v>
      </c>
      <c r="J181" s="269" t="s">
        <v>406</v>
      </c>
      <c r="K181" s="269" t="s">
        <v>407</v>
      </c>
      <c r="L181" s="484"/>
      <c r="M181" s="481"/>
      <c r="N181" s="461"/>
      <c r="O181" s="461"/>
      <c r="P181" s="269" t="s">
        <v>405</v>
      </c>
      <c r="Q181" s="269" t="s">
        <v>406</v>
      </c>
      <c r="R181" s="269" t="s">
        <v>407</v>
      </c>
      <c r="S181" s="269" t="s">
        <v>397</v>
      </c>
      <c r="T181" s="461"/>
      <c r="U181" s="269" t="s">
        <v>405</v>
      </c>
      <c r="V181" s="269" t="s">
        <v>406</v>
      </c>
      <c r="W181" s="269" t="s">
        <v>407</v>
      </c>
      <c r="X181" s="269" t="s">
        <v>397</v>
      </c>
      <c r="Y181" s="461"/>
      <c r="Z181" s="269" t="s">
        <v>405</v>
      </c>
      <c r="AA181" s="269" t="s">
        <v>406</v>
      </c>
      <c r="AB181" s="269" t="s">
        <v>407</v>
      </c>
      <c r="AC181" s="269" t="s">
        <v>397</v>
      </c>
      <c r="AD181" s="461"/>
      <c r="AE181" s="269" t="s">
        <v>405</v>
      </c>
      <c r="AF181" s="269" t="s">
        <v>406</v>
      </c>
      <c r="AG181" s="269" t="s">
        <v>407</v>
      </c>
      <c r="AH181" s="269" t="s">
        <v>397</v>
      </c>
      <c r="AI181" s="461"/>
      <c r="AJ181" s="269" t="s">
        <v>405</v>
      </c>
      <c r="AK181" s="269" t="s">
        <v>406</v>
      </c>
      <c r="AL181" s="269" t="s">
        <v>407</v>
      </c>
      <c r="AM181" s="269" t="s">
        <v>397</v>
      </c>
      <c r="AN181" s="461"/>
      <c r="AO181" s="269" t="s">
        <v>405</v>
      </c>
      <c r="AP181" s="269" t="s">
        <v>406</v>
      </c>
      <c r="AQ181" s="269" t="s">
        <v>407</v>
      </c>
      <c r="AR181" s="269" t="s">
        <v>397</v>
      </c>
      <c r="AS181" s="461"/>
      <c r="AT181" s="379" t="s">
        <v>405</v>
      </c>
      <c r="AU181" s="379" t="s">
        <v>406</v>
      </c>
      <c r="AV181" s="379" t="s">
        <v>407</v>
      </c>
      <c r="AW181" s="379" t="s">
        <v>397</v>
      </c>
      <c r="AX181" s="472"/>
    </row>
    <row r="182" spans="2:50">
      <c r="B182" s="453" t="s">
        <v>572</v>
      </c>
      <c r="C182" s="182">
        <v>1</v>
      </c>
      <c r="D182" s="182"/>
      <c r="E182" s="182"/>
      <c r="F182" s="182"/>
      <c r="G182" s="166"/>
      <c r="H182" s="463" t="e">
        <f>AVERAGE(G182:G211)</f>
        <v>#DIV/0!</v>
      </c>
      <c r="I182" s="166" t="str">
        <f>IFERROR(AVERAGE(P182,U182,Z182,AE182,AJ182,AO182,AT182),"-")</f>
        <v>-</v>
      </c>
      <c r="J182" s="166" t="str">
        <f>IFERROR(AVERAGE(Q182,V182,AA182,AF182,AK182,AP182,AU182),"-")</f>
        <v>-</v>
      </c>
      <c r="K182" s="180" t="str">
        <f>IFERROR(AVERAGE(R182,W182,AB182,AG182,AL182,AQ182,AV182),"-")</f>
        <v>-</v>
      </c>
      <c r="L182" s="463" t="str">
        <f>IFERROR(AVERAGE(K182:K211),"-")</f>
        <v>-</v>
      </c>
      <c r="M182" s="166" t="e">
        <f>RANK(K182, K$182:$K$211)</f>
        <v>#VALUE!</v>
      </c>
      <c r="N182" s="461"/>
      <c r="O182" s="461"/>
      <c r="P182" s="166"/>
      <c r="Q182" s="166"/>
      <c r="R182" s="166"/>
      <c r="S182" s="182" t="e">
        <f>RANK(R182, R$112:R$141)</f>
        <v>#N/A</v>
      </c>
      <c r="T182" s="455" t="e">
        <f>AVERAGE(R182:R211)</f>
        <v>#DIV/0!</v>
      </c>
      <c r="U182" s="166"/>
      <c r="V182" s="166"/>
      <c r="W182" s="166"/>
      <c r="X182" s="182" t="e">
        <f>RANK(W182, W$112:W$141)</f>
        <v>#N/A</v>
      </c>
      <c r="Y182" s="455" t="e">
        <f>AVERAGE(W182:W211)</f>
        <v>#DIV/0!</v>
      </c>
      <c r="Z182" s="166"/>
      <c r="AA182" s="166"/>
      <c r="AB182" s="166"/>
      <c r="AC182" s="182" t="e">
        <f>RANK(AB182, AB$112:AB$141)</f>
        <v>#N/A</v>
      </c>
      <c r="AD182" s="455" t="e">
        <f>AVERAGE(AB182:AB211)</f>
        <v>#DIV/0!</v>
      </c>
      <c r="AE182" s="166"/>
      <c r="AF182" s="166"/>
      <c r="AG182" s="166"/>
      <c r="AH182" s="182" t="e">
        <f>RANK(AG182, AG$112:AG$141)</f>
        <v>#N/A</v>
      </c>
      <c r="AI182" s="455" t="e">
        <f>AVERAGE(AG182:AG211)</f>
        <v>#DIV/0!</v>
      </c>
      <c r="AJ182" s="166"/>
      <c r="AK182" s="166"/>
      <c r="AL182" s="166"/>
      <c r="AM182" s="182" t="e">
        <f>RANK(AL182, AL$112:AL$141)</f>
        <v>#N/A</v>
      </c>
      <c r="AN182" s="455" t="e">
        <f>AVERAGE(AL182:AL211)</f>
        <v>#DIV/0!</v>
      </c>
      <c r="AO182" s="166"/>
      <c r="AP182" s="166"/>
      <c r="AQ182" s="166"/>
      <c r="AR182" s="182" t="e">
        <f>RANK(AQ182, AQ$112:AQ$141)</f>
        <v>#N/A</v>
      </c>
      <c r="AS182" s="455" t="e">
        <f>AVERAGE(AQ182:AQ211)</f>
        <v>#DIV/0!</v>
      </c>
      <c r="AT182" s="166"/>
      <c r="AU182" s="166"/>
      <c r="AV182" s="166"/>
      <c r="AW182" s="380" t="e">
        <f>RANK(AV182, AV$112:AV$141)</f>
        <v>#N/A</v>
      </c>
      <c r="AX182" s="457" t="e">
        <f>AVERAGE(AV182:AV211)</f>
        <v>#DIV/0!</v>
      </c>
    </row>
    <row r="183" spans="2:50">
      <c r="B183" s="454"/>
      <c r="C183" s="182">
        <v>2</v>
      </c>
      <c r="D183" s="269"/>
      <c r="E183" s="182"/>
      <c r="F183" s="182"/>
      <c r="G183" s="166"/>
      <c r="H183" s="464"/>
      <c r="I183" s="166" t="str">
        <f t="shared" ref="I183:I211" si="94">IFERROR(AVERAGE(P183,U183,Z183,AE183,AJ183,AO183,AT183),"-")</f>
        <v>-</v>
      </c>
      <c r="J183" s="166" t="str">
        <f t="shared" ref="J183:J211" si="95">IFERROR(AVERAGE(Q183,V183,AA183,AF183,AK183,AP183,AU183),"-")</f>
        <v>-</v>
      </c>
      <c r="K183" s="180" t="str">
        <f t="shared" ref="K183:K211" si="96">IFERROR(AVERAGE(R183,W183,AB183,AG183,AL183,AQ183,AV183),"-")</f>
        <v>-</v>
      </c>
      <c r="L183" s="464"/>
      <c r="M183" s="166" t="e">
        <f>RANK(K183, K$182:$K$211)</f>
        <v>#VALUE!</v>
      </c>
      <c r="N183" s="461"/>
      <c r="O183" s="461"/>
      <c r="P183" s="166"/>
      <c r="Q183" s="166"/>
      <c r="R183" s="166"/>
      <c r="S183" s="182" t="e">
        <f t="shared" ref="S183:S211" si="97">RANK(R183, R$112:R$141)</f>
        <v>#N/A</v>
      </c>
      <c r="T183" s="455"/>
      <c r="U183" s="166"/>
      <c r="V183" s="166"/>
      <c r="W183" s="166"/>
      <c r="X183" s="182" t="e">
        <f t="shared" ref="X183:X211" si="98">RANK(W183, W$112:W$141)</f>
        <v>#N/A</v>
      </c>
      <c r="Y183" s="455"/>
      <c r="Z183" s="166"/>
      <c r="AA183" s="166"/>
      <c r="AB183" s="166"/>
      <c r="AC183" s="182" t="e">
        <f t="shared" ref="AC183:AC211" si="99">RANK(AB183, AB$112:AB$141)</f>
        <v>#N/A</v>
      </c>
      <c r="AD183" s="455"/>
      <c r="AE183" s="166"/>
      <c r="AF183" s="166"/>
      <c r="AG183" s="166"/>
      <c r="AH183" s="182" t="e">
        <f t="shared" ref="AH183:AH211" si="100">RANK(AG183, AG$112:AG$141)</f>
        <v>#N/A</v>
      </c>
      <c r="AI183" s="455"/>
      <c r="AJ183" s="166"/>
      <c r="AK183" s="166"/>
      <c r="AL183" s="166"/>
      <c r="AM183" s="182" t="e">
        <f t="shared" ref="AM183:AM211" si="101">RANK(AL183, AL$112:AL$141)</f>
        <v>#N/A</v>
      </c>
      <c r="AN183" s="455"/>
      <c r="AO183" s="166"/>
      <c r="AP183" s="166"/>
      <c r="AQ183" s="166"/>
      <c r="AR183" s="182" t="e">
        <f t="shared" ref="AR183:AR211" si="102">RANK(AQ183, AQ$112:AQ$141)</f>
        <v>#N/A</v>
      </c>
      <c r="AS183" s="455"/>
      <c r="AT183" s="166"/>
      <c r="AU183" s="166"/>
      <c r="AV183" s="166"/>
      <c r="AW183" s="380" t="e">
        <f t="shared" ref="AW183:AW211" si="103">RANK(AV183, AV$112:AV$141)</f>
        <v>#N/A</v>
      </c>
      <c r="AX183" s="457"/>
    </row>
    <row r="184" spans="2:50">
      <c r="B184" s="454"/>
      <c r="C184" s="182">
        <v>3</v>
      </c>
      <c r="D184" s="182"/>
      <c r="E184" s="182"/>
      <c r="F184" s="182"/>
      <c r="G184" s="166"/>
      <c r="H184" s="464"/>
      <c r="I184" s="166" t="str">
        <f t="shared" si="94"/>
        <v>-</v>
      </c>
      <c r="J184" s="166" t="str">
        <f t="shared" si="95"/>
        <v>-</v>
      </c>
      <c r="K184" s="180" t="str">
        <f t="shared" si="96"/>
        <v>-</v>
      </c>
      <c r="L184" s="464"/>
      <c r="M184" s="166" t="e">
        <f>RANK(K184, K$182:$K$211)</f>
        <v>#VALUE!</v>
      </c>
      <c r="N184" s="461"/>
      <c r="O184" s="461"/>
      <c r="P184" s="166"/>
      <c r="Q184" s="166"/>
      <c r="R184" s="166"/>
      <c r="S184" s="182" t="e">
        <f t="shared" si="97"/>
        <v>#N/A</v>
      </c>
      <c r="T184" s="455"/>
      <c r="U184" s="166"/>
      <c r="V184" s="166"/>
      <c r="W184" s="166"/>
      <c r="X184" s="182" t="e">
        <f t="shared" si="98"/>
        <v>#N/A</v>
      </c>
      <c r="Y184" s="455"/>
      <c r="Z184" s="166"/>
      <c r="AA184" s="166"/>
      <c r="AB184" s="166"/>
      <c r="AC184" s="182" t="e">
        <f t="shared" si="99"/>
        <v>#N/A</v>
      </c>
      <c r="AD184" s="455"/>
      <c r="AE184" s="166"/>
      <c r="AF184" s="166"/>
      <c r="AG184" s="166"/>
      <c r="AH184" s="182" t="e">
        <f t="shared" si="100"/>
        <v>#N/A</v>
      </c>
      <c r="AI184" s="455"/>
      <c r="AJ184" s="166"/>
      <c r="AK184" s="166"/>
      <c r="AL184" s="166"/>
      <c r="AM184" s="182" t="e">
        <f t="shared" si="101"/>
        <v>#N/A</v>
      </c>
      <c r="AN184" s="455"/>
      <c r="AO184" s="166"/>
      <c r="AP184" s="166"/>
      <c r="AQ184" s="166"/>
      <c r="AR184" s="182" t="e">
        <f t="shared" si="102"/>
        <v>#N/A</v>
      </c>
      <c r="AS184" s="455"/>
      <c r="AT184" s="166"/>
      <c r="AU184" s="166"/>
      <c r="AV184" s="166"/>
      <c r="AW184" s="380" t="e">
        <f t="shared" si="103"/>
        <v>#N/A</v>
      </c>
      <c r="AX184" s="457"/>
    </row>
    <row r="185" spans="2:50">
      <c r="B185" s="454"/>
      <c r="C185" s="182">
        <v>4</v>
      </c>
      <c r="D185" s="182"/>
      <c r="E185" s="182"/>
      <c r="F185" s="182"/>
      <c r="G185" s="166"/>
      <c r="H185" s="464"/>
      <c r="I185" s="166" t="str">
        <f t="shared" si="94"/>
        <v>-</v>
      </c>
      <c r="J185" s="166" t="str">
        <f t="shared" si="95"/>
        <v>-</v>
      </c>
      <c r="K185" s="180" t="str">
        <f t="shared" si="96"/>
        <v>-</v>
      </c>
      <c r="L185" s="464"/>
      <c r="M185" s="166" t="e">
        <f>RANK(K185, K$182:$K$211)</f>
        <v>#VALUE!</v>
      </c>
      <c r="N185" s="461"/>
      <c r="O185" s="461"/>
      <c r="P185" s="166"/>
      <c r="Q185" s="166"/>
      <c r="R185" s="166"/>
      <c r="S185" s="182" t="e">
        <f t="shared" si="97"/>
        <v>#N/A</v>
      </c>
      <c r="T185" s="455"/>
      <c r="U185" s="166"/>
      <c r="V185" s="166"/>
      <c r="W185" s="166"/>
      <c r="X185" s="182" t="e">
        <f t="shared" si="98"/>
        <v>#N/A</v>
      </c>
      <c r="Y185" s="455"/>
      <c r="Z185" s="166"/>
      <c r="AA185" s="166"/>
      <c r="AB185" s="166"/>
      <c r="AC185" s="182" t="e">
        <f t="shared" si="99"/>
        <v>#N/A</v>
      </c>
      <c r="AD185" s="455"/>
      <c r="AE185" s="166"/>
      <c r="AF185" s="166"/>
      <c r="AG185" s="166"/>
      <c r="AH185" s="182" t="e">
        <f t="shared" si="100"/>
        <v>#N/A</v>
      </c>
      <c r="AI185" s="455"/>
      <c r="AJ185" s="166"/>
      <c r="AK185" s="166"/>
      <c r="AL185" s="166"/>
      <c r="AM185" s="182" t="e">
        <f t="shared" si="101"/>
        <v>#N/A</v>
      </c>
      <c r="AN185" s="455"/>
      <c r="AO185" s="166"/>
      <c r="AP185" s="166"/>
      <c r="AQ185" s="166"/>
      <c r="AR185" s="182" t="e">
        <f t="shared" si="102"/>
        <v>#N/A</v>
      </c>
      <c r="AS185" s="455"/>
      <c r="AT185" s="166"/>
      <c r="AU185" s="166"/>
      <c r="AV185" s="166"/>
      <c r="AW185" s="380" t="e">
        <f t="shared" si="103"/>
        <v>#N/A</v>
      </c>
      <c r="AX185" s="457"/>
    </row>
    <row r="186" spans="2:50">
      <c r="B186" s="454"/>
      <c r="C186" s="182">
        <v>5</v>
      </c>
      <c r="D186" s="182"/>
      <c r="E186" s="182"/>
      <c r="F186" s="182"/>
      <c r="G186" s="166"/>
      <c r="H186" s="464"/>
      <c r="I186" s="166" t="str">
        <f t="shared" si="94"/>
        <v>-</v>
      </c>
      <c r="J186" s="166" t="str">
        <f t="shared" si="95"/>
        <v>-</v>
      </c>
      <c r="K186" s="180" t="str">
        <f t="shared" si="96"/>
        <v>-</v>
      </c>
      <c r="L186" s="464"/>
      <c r="M186" s="166" t="e">
        <f>RANK(K186, K$182:$K$211)</f>
        <v>#VALUE!</v>
      </c>
      <c r="N186" s="461"/>
      <c r="O186" s="461"/>
      <c r="P186" s="166"/>
      <c r="Q186" s="166"/>
      <c r="R186" s="166"/>
      <c r="S186" s="182" t="e">
        <f t="shared" si="97"/>
        <v>#N/A</v>
      </c>
      <c r="T186" s="455"/>
      <c r="U186" s="166"/>
      <c r="V186" s="166"/>
      <c r="W186" s="166"/>
      <c r="X186" s="182" t="e">
        <f t="shared" si="98"/>
        <v>#N/A</v>
      </c>
      <c r="Y186" s="455"/>
      <c r="Z186" s="166"/>
      <c r="AA186" s="166"/>
      <c r="AB186" s="166"/>
      <c r="AC186" s="182" t="e">
        <f t="shared" si="99"/>
        <v>#N/A</v>
      </c>
      <c r="AD186" s="455"/>
      <c r="AE186" s="166"/>
      <c r="AF186" s="166"/>
      <c r="AG186" s="166"/>
      <c r="AH186" s="182" t="e">
        <f t="shared" si="100"/>
        <v>#N/A</v>
      </c>
      <c r="AI186" s="455"/>
      <c r="AJ186" s="166"/>
      <c r="AK186" s="166"/>
      <c r="AL186" s="166"/>
      <c r="AM186" s="182" t="e">
        <f t="shared" si="101"/>
        <v>#N/A</v>
      </c>
      <c r="AN186" s="455"/>
      <c r="AO186" s="166"/>
      <c r="AP186" s="166"/>
      <c r="AQ186" s="166"/>
      <c r="AR186" s="182" t="e">
        <f t="shared" si="102"/>
        <v>#N/A</v>
      </c>
      <c r="AS186" s="455"/>
      <c r="AT186" s="166"/>
      <c r="AU186" s="166"/>
      <c r="AV186" s="166"/>
      <c r="AW186" s="380" t="e">
        <f t="shared" si="103"/>
        <v>#N/A</v>
      </c>
      <c r="AX186" s="457"/>
    </row>
    <row r="187" spans="2:50">
      <c r="B187" s="454"/>
      <c r="C187" s="182">
        <v>6</v>
      </c>
      <c r="D187" s="182"/>
      <c r="E187" s="182"/>
      <c r="F187" s="182"/>
      <c r="G187" s="166"/>
      <c r="H187" s="464"/>
      <c r="I187" s="166" t="str">
        <f t="shared" si="94"/>
        <v>-</v>
      </c>
      <c r="J187" s="166" t="str">
        <f t="shared" si="95"/>
        <v>-</v>
      </c>
      <c r="K187" s="180" t="str">
        <f t="shared" si="96"/>
        <v>-</v>
      </c>
      <c r="L187" s="464"/>
      <c r="M187" s="166" t="e">
        <f>RANK(K187, K$182:$K$211)</f>
        <v>#VALUE!</v>
      </c>
      <c r="N187" s="461"/>
      <c r="O187" s="461"/>
      <c r="P187" s="166"/>
      <c r="Q187" s="166"/>
      <c r="R187" s="166"/>
      <c r="S187" s="182" t="e">
        <f t="shared" si="97"/>
        <v>#N/A</v>
      </c>
      <c r="T187" s="455"/>
      <c r="U187" s="166"/>
      <c r="V187" s="166"/>
      <c r="W187" s="166"/>
      <c r="X187" s="182" t="e">
        <f t="shared" si="98"/>
        <v>#N/A</v>
      </c>
      <c r="Y187" s="455"/>
      <c r="Z187" s="166"/>
      <c r="AA187" s="166"/>
      <c r="AB187" s="166"/>
      <c r="AC187" s="182" t="e">
        <f t="shared" si="99"/>
        <v>#N/A</v>
      </c>
      <c r="AD187" s="455"/>
      <c r="AE187" s="166"/>
      <c r="AF187" s="166"/>
      <c r="AG187" s="166"/>
      <c r="AH187" s="182" t="e">
        <f t="shared" si="100"/>
        <v>#N/A</v>
      </c>
      <c r="AI187" s="455"/>
      <c r="AJ187" s="166"/>
      <c r="AK187" s="166"/>
      <c r="AL187" s="166"/>
      <c r="AM187" s="182" t="e">
        <f t="shared" si="101"/>
        <v>#N/A</v>
      </c>
      <c r="AN187" s="455"/>
      <c r="AO187" s="166"/>
      <c r="AP187" s="166"/>
      <c r="AQ187" s="166"/>
      <c r="AR187" s="182" t="e">
        <f t="shared" si="102"/>
        <v>#N/A</v>
      </c>
      <c r="AS187" s="455"/>
      <c r="AT187" s="166"/>
      <c r="AU187" s="166"/>
      <c r="AV187" s="166"/>
      <c r="AW187" s="380" t="e">
        <f t="shared" si="103"/>
        <v>#N/A</v>
      </c>
      <c r="AX187" s="457"/>
    </row>
    <row r="188" spans="2:50">
      <c r="B188" s="454"/>
      <c r="C188" s="182">
        <v>7</v>
      </c>
      <c r="D188" s="182"/>
      <c r="E188" s="182"/>
      <c r="F188" s="182"/>
      <c r="G188" s="166"/>
      <c r="H188" s="464"/>
      <c r="I188" s="166" t="str">
        <f t="shared" si="94"/>
        <v>-</v>
      </c>
      <c r="J188" s="166" t="str">
        <f t="shared" si="95"/>
        <v>-</v>
      </c>
      <c r="K188" s="180" t="str">
        <f t="shared" si="96"/>
        <v>-</v>
      </c>
      <c r="L188" s="464"/>
      <c r="M188" s="166" t="e">
        <f>RANK(K188, K$182:$K$211)</f>
        <v>#VALUE!</v>
      </c>
      <c r="N188" s="461"/>
      <c r="O188" s="461"/>
      <c r="P188" s="166"/>
      <c r="Q188" s="166"/>
      <c r="R188" s="166"/>
      <c r="S188" s="182" t="e">
        <f t="shared" si="97"/>
        <v>#N/A</v>
      </c>
      <c r="T188" s="455"/>
      <c r="U188" s="166"/>
      <c r="V188" s="166"/>
      <c r="W188" s="166"/>
      <c r="X188" s="182" t="e">
        <f t="shared" si="98"/>
        <v>#N/A</v>
      </c>
      <c r="Y188" s="455"/>
      <c r="Z188" s="166"/>
      <c r="AA188" s="166"/>
      <c r="AB188" s="166"/>
      <c r="AC188" s="182" t="e">
        <f t="shared" si="99"/>
        <v>#N/A</v>
      </c>
      <c r="AD188" s="455"/>
      <c r="AE188" s="166"/>
      <c r="AF188" s="166"/>
      <c r="AG188" s="166"/>
      <c r="AH188" s="182" t="e">
        <f t="shared" si="100"/>
        <v>#N/A</v>
      </c>
      <c r="AI188" s="455"/>
      <c r="AJ188" s="166"/>
      <c r="AK188" s="166"/>
      <c r="AL188" s="166"/>
      <c r="AM188" s="182" t="e">
        <f t="shared" si="101"/>
        <v>#N/A</v>
      </c>
      <c r="AN188" s="455"/>
      <c r="AO188" s="166"/>
      <c r="AP188" s="166"/>
      <c r="AQ188" s="166"/>
      <c r="AR188" s="182" t="e">
        <f t="shared" si="102"/>
        <v>#N/A</v>
      </c>
      <c r="AS188" s="455"/>
      <c r="AT188" s="166"/>
      <c r="AU188" s="166"/>
      <c r="AV188" s="166"/>
      <c r="AW188" s="380" t="e">
        <f t="shared" si="103"/>
        <v>#N/A</v>
      </c>
      <c r="AX188" s="457"/>
    </row>
    <row r="189" spans="2:50">
      <c r="B189" s="454"/>
      <c r="C189" s="182">
        <v>8</v>
      </c>
      <c r="D189" s="182"/>
      <c r="E189" s="182"/>
      <c r="F189" s="182"/>
      <c r="G189" s="166"/>
      <c r="H189" s="464"/>
      <c r="I189" s="166" t="str">
        <f t="shared" si="94"/>
        <v>-</v>
      </c>
      <c r="J189" s="166" t="str">
        <f t="shared" si="95"/>
        <v>-</v>
      </c>
      <c r="K189" s="180" t="str">
        <f t="shared" si="96"/>
        <v>-</v>
      </c>
      <c r="L189" s="464"/>
      <c r="M189" s="166" t="e">
        <f>RANK(K189, K$182:$K$211)</f>
        <v>#VALUE!</v>
      </c>
      <c r="N189" s="461"/>
      <c r="O189" s="461"/>
      <c r="P189" s="166"/>
      <c r="Q189" s="166"/>
      <c r="R189" s="166"/>
      <c r="S189" s="182" t="e">
        <f t="shared" si="97"/>
        <v>#N/A</v>
      </c>
      <c r="T189" s="455"/>
      <c r="U189" s="166"/>
      <c r="V189" s="166"/>
      <c r="W189" s="166"/>
      <c r="X189" s="182" t="e">
        <f t="shared" si="98"/>
        <v>#N/A</v>
      </c>
      <c r="Y189" s="455"/>
      <c r="Z189" s="166"/>
      <c r="AA189" s="166"/>
      <c r="AB189" s="166"/>
      <c r="AC189" s="182" t="e">
        <f t="shared" si="99"/>
        <v>#N/A</v>
      </c>
      <c r="AD189" s="455"/>
      <c r="AE189" s="166"/>
      <c r="AF189" s="166"/>
      <c r="AG189" s="166"/>
      <c r="AH189" s="182" t="e">
        <f t="shared" si="100"/>
        <v>#N/A</v>
      </c>
      <c r="AI189" s="455"/>
      <c r="AJ189" s="166"/>
      <c r="AK189" s="166"/>
      <c r="AL189" s="166"/>
      <c r="AM189" s="182" t="e">
        <f t="shared" si="101"/>
        <v>#N/A</v>
      </c>
      <c r="AN189" s="455"/>
      <c r="AO189" s="166"/>
      <c r="AP189" s="166"/>
      <c r="AQ189" s="166"/>
      <c r="AR189" s="182" t="e">
        <f t="shared" si="102"/>
        <v>#N/A</v>
      </c>
      <c r="AS189" s="455"/>
      <c r="AT189" s="166"/>
      <c r="AU189" s="166"/>
      <c r="AV189" s="166"/>
      <c r="AW189" s="380" t="e">
        <f t="shared" si="103"/>
        <v>#N/A</v>
      </c>
      <c r="AX189" s="457"/>
    </row>
    <row r="190" spans="2:50">
      <c r="B190" s="454"/>
      <c r="C190" s="182">
        <v>9</v>
      </c>
      <c r="D190" s="182"/>
      <c r="E190" s="182"/>
      <c r="F190" s="182"/>
      <c r="G190" s="166"/>
      <c r="H190" s="464"/>
      <c r="I190" s="166" t="str">
        <f t="shared" si="94"/>
        <v>-</v>
      </c>
      <c r="J190" s="166" t="str">
        <f t="shared" si="95"/>
        <v>-</v>
      </c>
      <c r="K190" s="180" t="str">
        <f t="shared" si="96"/>
        <v>-</v>
      </c>
      <c r="L190" s="464"/>
      <c r="M190" s="166" t="e">
        <f>RANK(K190, K$182:$K$211)</f>
        <v>#VALUE!</v>
      </c>
      <c r="N190" s="461"/>
      <c r="O190" s="461"/>
      <c r="P190" s="166"/>
      <c r="Q190" s="166"/>
      <c r="R190" s="166"/>
      <c r="S190" s="182" t="e">
        <f t="shared" si="97"/>
        <v>#N/A</v>
      </c>
      <c r="T190" s="455"/>
      <c r="U190" s="166"/>
      <c r="V190" s="166"/>
      <c r="W190" s="166"/>
      <c r="X190" s="182" t="e">
        <f t="shared" si="98"/>
        <v>#N/A</v>
      </c>
      <c r="Y190" s="455"/>
      <c r="Z190" s="166"/>
      <c r="AA190" s="166"/>
      <c r="AB190" s="166"/>
      <c r="AC190" s="182" t="e">
        <f t="shared" si="99"/>
        <v>#N/A</v>
      </c>
      <c r="AD190" s="455"/>
      <c r="AE190" s="166"/>
      <c r="AF190" s="166"/>
      <c r="AG190" s="166"/>
      <c r="AH190" s="182" t="e">
        <f t="shared" si="100"/>
        <v>#N/A</v>
      </c>
      <c r="AI190" s="455"/>
      <c r="AJ190" s="166"/>
      <c r="AK190" s="166"/>
      <c r="AL190" s="166"/>
      <c r="AM190" s="182" t="e">
        <f t="shared" si="101"/>
        <v>#N/A</v>
      </c>
      <c r="AN190" s="455"/>
      <c r="AO190" s="166"/>
      <c r="AP190" s="166"/>
      <c r="AQ190" s="166"/>
      <c r="AR190" s="182" t="e">
        <f t="shared" si="102"/>
        <v>#N/A</v>
      </c>
      <c r="AS190" s="455"/>
      <c r="AT190" s="166"/>
      <c r="AU190" s="166"/>
      <c r="AV190" s="166"/>
      <c r="AW190" s="380" t="e">
        <f t="shared" si="103"/>
        <v>#N/A</v>
      </c>
      <c r="AX190" s="457"/>
    </row>
    <row r="191" spans="2:50">
      <c r="B191" s="454"/>
      <c r="C191" s="182">
        <v>10</v>
      </c>
      <c r="D191" s="182"/>
      <c r="E191" s="182"/>
      <c r="F191" s="182"/>
      <c r="G191" s="166"/>
      <c r="H191" s="464"/>
      <c r="I191" s="166" t="str">
        <f t="shared" si="94"/>
        <v>-</v>
      </c>
      <c r="J191" s="166" t="str">
        <f t="shared" si="95"/>
        <v>-</v>
      </c>
      <c r="K191" s="180" t="str">
        <f t="shared" si="96"/>
        <v>-</v>
      </c>
      <c r="L191" s="464"/>
      <c r="M191" s="166" t="e">
        <f>RANK(K191, K$182:$K$211)</f>
        <v>#VALUE!</v>
      </c>
      <c r="N191" s="461"/>
      <c r="O191" s="461"/>
      <c r="P191" s="166"/>
      <c r="Q191" s="166"/>
      <c r="R191" s="166"/>
      <c r="S191" s="182" t="e">
        <f t="shared" si="97"/>
        <v>#N/A</v>
      </c>
      <c r="T191" s="455"/>
      <c r="U191" s="166"/>
      <c r="V191" s="166"/>
      <c r="W191" s="166"/>
      <c r="X191" s="182" t="e">
        <f t="shared" si="98"/>
        <v>#N/A</v>
      </c>
      <c r="Y191" s="455"/>
      <c r="Z191" s="166"/>
      <c r="AA191" s="166"/>
      <c r="AB191" s="166"/>
      <c r="AC191" s="182" t="e">
        <f t="shared" si="99"/>
        <v>#N/A</v>
      </c>
      <c r="AD191" s="455"/>
      <c r="AE191" s="166"/>
      <c r="AF191" s="166"/>
      <c r="AG191" s="166"/>
      <c r="AH191" s="182" t="e">
        <f t="shared" si="100"/>
        <v>#N/A</v>
      </c>
      <c r="AI191" s="455"/>
      <c r="AJ191" s="166"/>
      <c r="AK191" s="166"/>
      <c r="AL191" s="166"/>
      <c r="AM191" s="182" t="e">
        <f t="shared" si="101"/>
        <v>#N/A</v>
      </c>
      <c r="AN191" s="455"/>
      <c r="AO191" s="166"/>
      <c r="AP191" s="166"/>
      <c r="AQ191" s="166"/>
      <c r="AR191" s="182" t="e">
        <f t="shared" si="102"/>
        <v>#N/A</v>
      </c>
      <c r="AS191" s="455"/>
      <c r="AT191" s="166"/>
      <c r="AU191" s="166"/>
      <c r="AV191" s="166"/>
      <c r="AW191" s="380" t="e">
        <f t="shared" si="103"/>
        <v>#N/A</v>
      </c>
      <c r="AX191" s="457"/>
    </row>
    <row r="192" spans="2:50">
      <c r="B192" s="454"/>
      <c r="C192" s="182">
        <v>11</v>
      </c>
      <c r="D192" s="182"/>
      <c r="E192" s="182"/>
      <c r="F192" s="182"/>
      <c r="G192" s="166"/>
      <c r="H192" s="464"/>
      <c r="I192" s="166" t="str">
        <f t="shared" si="94"/>
        <v>-</v>
      </c>
      <c r="J192" s="166" t="str">
        <f t="shared" si="95"/>
        <v>-</v>
      </c>
      <c r="K192" s="180" t="str">
        <f t="shared" si="96"/>
        <v>-</v>
      </c>
      <c r="L192" s="464"/>
      <c r="M192" s="166" t="e">
        <f>RANK(K192, K$182:$K$211)</f>
        <v>#VALUE!</v>
      </c>
      <c r="N192" s="461"/>
      <c r="O192" s="461"/>
      <c r="P192" s="166"/>
      <c r="Q192" s="166"/>
      <c r="R192" s="166"/>
      <c r="S192" s="182" t="e">
        <f t="shared" si="97"/>
        <v>#N/A</v>
      </c>
      <c r="T192" s="455"/>
      <c r="U192" s="166"/>
      <c r="V192" s="166"/>
      <c r="W192" s="166"/>
      <c r="X192" s="182" t="e">
        <f t="shared" si="98"/>
        <v>#N/A</v>
      </c>
      <c r="Y192" s="455"/>
      <c r="Z192" s="166"/>
      <c r="AA192" s="166"/>
      <c r="AB192" s="166"/>
      <c r="AC192" s="182" t="e">
        <f t="shared" si="99"/>
        <v>#N/A</v>
      </c>
      <c r="AD192" s="455"/>
      <c r="AE192" s="166"/>
      <c r="AF192" s="166"/>
      <c r="AG192" s="166"/>
      <c r="AH192" s="182" t="e">
        <f t="shared" si="100"/>
        <v>#N/A</v>
      </c>
      <c r="AI192" s="455"/>
      <c r="AJ192" s="166"/>
      <c r="AK192" s="166"/>
      <c r="AL192" s="166"/>
      <c r="AM192" s="182" t="e">
        <f t="shared" si="101"/>
        <v>#N/A</v>
      </c>
      <c r="AN192" s="455"/>
      <c r="AO192" s="166"/>
      <c r="AP192" s="166"/>
      <c r="AQ192" s="166"/>
      <c r="AR192" s="182" t="e">
        <f t="shared" si="102"/>
        <v>#N/A</v>
      </c>
      <c r="AS192" s="455"/>
      <c r="AT192" s="166"/>
      <c r="AU192" s="166"/>
      <c r="AV192" s="166"/>
      <c r="AW192" s="380" t="e">
        <f t="shared" si="103"/>
        <v>#N/A</v>
      </c>
      <c r="AX192" s="457"/>
    </row>
    <row r="193" spans="2:50">
      <c r="B193" s="454"/>
      <c r="C193" s="182">
        <v>12</v>
      </c>
      <c r="D193" s="182"/>
      <c r="E193" s="182"/>
      <c r="F193" s="182"/>
      <c r="G193" s="166"/>
      <c r="H193" s="464"/>
      <c r="I193" s="166" t="str">
        <f t="shared" si="94"/>
        <v>-</v>
      </c>
      <c r="J193" s="166" t="str">
        <f t="shared" si="95"/>
        <v>-</v>
      </c>
      <c r="K193" s="180" t="str">
        <f t="shared" si="96"/>
        <v>-</v>
      </c>
      <c r="L193" s="464"/>
      <c r="M193" s="166" t="e">
        <f>RANK(K193, K$182:$K$211)</f>
        <v>#VALUE!</v>
      </c>
      <c r="N193" s="461"/>
      <c r="O193" s="461"/>
      <c r="P193" s="166"/>
      <c r="Q193" s="166"/>
      <c r="R193" s="166"/>
      <c r="S193" s="182" t="e">
        <f t="shared" si="97"/>
        <v>#N/A</v>
      </c>
      <c r="T193" s="455"/>
      <c r="U193" s="166"/>
      <c r="V193" s="166"/>
      <c r="W193" s="166"/>
      <c r="X193" s="182" t="e">
        <f t="shared" si="98"/>
        <v>#N/A</v>
      </c>
      <c r="Y193" s="455"/>
      <c r="Z193" s="166"/>
      <c r="AA193" s="166"/>
      <c r="AB193" s="166"/>
      <c r="AC193" s="182" t="e">
        <f t="shared" si="99"/>
        <v>#N/A</v>
      </c>
      <c r="AD193" s="455"/>
      <c r="AE193" s="166"/>
      <c r="AF193" s="166"/>
      <c r="AG193" s="166"/>
      <c r="AH193" s="182" t="e">
        <f t="shared" si="100"/>
        <v>#N/A</v>
      </c>
      <c r="AI193" s="455"/>
      <c r="AJ193" s="166"/>
      <c r="AK193" s="166"/>
      <c r="AL193" s="166"/>
      <c r="AM193" s="182" t="e">
        <f t="shared" si="101"/>
        <v>#N/A</v>
      </c>
      <c r="AN193" s="455"/>
      <c r="AO193" s="166"/>
      <c r="AP193" s="166"/>
      <c r="AQ193" s="166"/>
      <c r="AR193" s="182" t="e">
        <f t="shared" si="102"/>
        <v>#N/A</v>
      </c>
      <c r="AS193" s="455"/>
      <c r="AT193" s="166"/>
      <c r="AU193" s="166"/>
      <c r="AV193" s="166"/>
      <c r="AW193" s="380" t="e">
        <f t="shared" si="103"/>
        <v>#N/A</v>
      </c>
      <c r="AX193" s="457"/>
    </row>
    <row r="194" spans="2:50">
      <c r="B194" s="454"/>
      <c r="C194" s="182">
        <v>13</v>
      </c>
      <c r="D194" s="182"/>
      <c r="E194" s="182"/>
      <c r="F194" s="182"/>
      <c r="G194" s="166"/>
      <c r="H194" s="464"/>
      <c r="I194" s="166" t="str">
        <f t="shared" si="94"/>
        <v>-</v>
      </c>
      <c r="J194" s="166" t="str">
        <f t="shared" si="95"/>
        <v>-</v>
      </c>
      <c r="K194" s="180" t="str">
        <f t="shared" si="96"/>
        <v>-</v>
      </c>
      <c r="L194" s="464"/>
      <c r="M194" s="166" t="e">
        <f>RANK(K194, K$182:$K$211)</f>
        <v>#VALUE!</v>
      </c>
      <c r="N194" s="461"/>
      <c r="O194" s="461"/>
      <c r="P194" s="166"/>
      <c r="Q194" s="166"/>
      <c r="R194" s="166"/>
      <c r="S194" s="182" t="e">
        <f t="shared" si="97"/>
        <v>#N/A</v>
      </c>
      <c r="T194" s="455"/>
      <c r="U194" s="166"/>
      <c r="V194" s="166"/>
      <c r="W194" s="166"/>
      <c r="X194" s="182" t="e">
        <f t="shared" si="98"/>
        <v>#N/A</v>
      </c>
      <c r="Y194" s="455"/>
      <c r="Z194" s="166"/>
      <c r="AA194" s="166"/>
      <c r="AB194" s="166"/>
      <c r="AC194" s="182" t="e">
        <f t="shared" si="99"/>
        <v>#N/A</v>
      </c>
      <c r="AD194" s="455"/>
      <c r="AE194" s="166"/>
      <c r="AF194" s="166"/>
      <c r="AG194" s="166"/>
      <c r="AH194" s="182" t="e">
        <f t="shared" si="100"/>
        <v>#N/A</v>
      </c>
      <c r="AI194" s="455"/>
      <c r="AJ194" s="166"/>
      <c r="AK194" s="166"/>
      <c r="AL194" s="166"/>
      <c r="AM194" s="182" t="e">
        <f t="shared" si="101"/>
        <v>#N/A</v>
      </c>
      <c r="AN194" s="455"/>
      <c r="AO194" s="166"/>
      <c r="AP194" s="166"/>
      <c r="AQ194" s="166"/>
      <c r="AR194" s="182" t="e">
        <f t="shared" si="102"/>
        <v>#N/A</v>
      </c>
      <c r="AS194" s="455"/>
      <c r="AT194" s="166"/>
      <c r="AU194" s="166"/>
      <c r="AV194" s="166"/>
      <c r="AW194" s="380" t="e">
        <f t="shared" si="103"/>
        <v>#N/A</v>
      </c>
      <c r="AX194" s="457"/>
    </row>
    <row r="195" spans="2:50">
      <c r="B195" s="454"/>
      <c r="C195" s="182">
        <v>14</v>
      </c>
      <c r="D195" s="182"/>
      <c r="E195" s="182"/>
      <c r="F195" s="182"/>
      <c r="G195" s="166"/>
      <c r="H195" s="464"/>
      <c r="I195" s="166" t="str">
        <f t="shared" si="94"/>
        <v>-</v>
      </c>
      <c r="J195" s="166" t="str">
        <f t="shared" si="95"/>
        <v>-</v>
      </c>
      <c r="K195" s="180" t="str">
        <f t="shared" si="96"/>
        <v>-</v>
      </c>
      <c r="L195" s="464"/>
      <c r="M195" s="166" t="e">
        <f>RANK(K195, K$182:$K$211)</f>
        <v>#VALUE!</v>
      </c>
      <c r="N195" s="461"/>
      <c r="O195" s="461"/>
      <c r="P195" s="166"/>
      <c r="Q195" s="166"/>
      <c r="R195" s="166"/>
      <c r="S195" s="182" t="e">
        <f t="shared" si="97"/>
        <v>#N/A</v>
      </c>
      <c r="T195" s="455"/>
      <c r="U195" s="166"/>
      <c r="V195" s="166"/>
      <c r="W195" s="166"/>
      <c r="X195" s="182" t="e">
        <f t="shared" si="98"/>
        <v>#N/A</v>
      </c>
      <c r="Y195" s="455"/>
      <c r="Z195" s="166"/>
      <c r="AA195" s="166"/>
      <c r="AB195" s="166"/>
      <c r="AC195" s="182" t="e">
        <f t="shared" si="99"/>
        <v>#N/A</v>
      </c>
      <c r="AD195" s="455"/>
      <c r="AE195" s="166"/>
      <c r="AF195" s="166"/>
      <c r="AG195" s="166"/>
      <c r="AH195" s="182" t="e">
        <f t="shared" si="100"/>
        <v>#N/A</v>
      </c>
      <c r="AI195" s="455"/>
      <c r="AJ195" s="166"/>
      <c r="AK195" s="166"/>
      <c r="AL195" s="166"/>
      <c r="AM195" s="182" t="e">
        <f t="shared" si="101"/>
        <v>#N/A</v>
      </c>
      <c r="AN195" s="455"/>
      <c r="AO195" s="166"/>
      <c r="AP195" s="166"/>
      <c r="AQ195" s="166"/>
      <c r="AR195" s="182" t="e">
        <f t="shared" si="102"/>
        <v>#N/A</v>
      </c>
      <c r="AS195" s="455"/>
      <c r="AT195" s="166"/>
      <c r="AU195" s="166"/>
      <c r="AV195" s="166"/>
      <c r="AW195" s="380" t="e">
        <f t="shared" si="103"/>
        <v>#N/A</v>
      </c>
      <c r="AX195" s="457"/>
    </row>
    <row r="196" spans="2:50">
      <c r="B196" s="454"/>
      <c r="C196" s="182">
        <v>15</v>
      </c>
      <c r="D196" s="182"/>
      <c r="E196" s="182"/>
      <c r="F196" s="182"/>
      <c r="G196" s="166"/>
      <c r="H196" s="464"/>
      <c r="I196" s="166" t="str">
        <f t="shared" si="94"/>
        <v>-</v>
      </c>
      <c r="J196" s="166" t="str">
        <f t="shared" si="95"/>
        <v>-</v>
      </c>
      <c r="K196" s="180" t="str">
        <f t="shared" si="96"/>
        <v>-</v>
      </c>
      <c r="L196" s="464"/>
      <c r="M196" s="166" t="e">
        <f>RANK(K196, K$182:$K$211)</f>
        <v>#VALUE!</v>
      </c>
      <c r="N196" s="461"/>
      <c r="O196" s="461"/>
      <c r="P196" s="166"/>
      <c r="Q196" s="166"/>
      <c r="R196" s="166"/>
      <c r="S196" s="182" t="e">
        <f t="shared" si="97"/>
        <v>#N/A</v>
      </c>
      <c r="T196" s="455"/>
      <c r="U196" s="166"/>
      <c r="V196" s="166"/>
      <c r="W196" s="166"/>
      <c r="X196" s="182" t="e">
        <f t="shared" si="98"/>
        <v>#N/A</v>
      </c>
      <c r="Y196" s="455"/>
      <c r="Z196" s="166"/>
      <c r="AA196" s="166"/>
      <c r="AB196" s="166"/>
      <c r="AC196" s="182" t="e">
        <f t="shared" si="99"/>
        <v>#N/A</v>
      </c>
      <c r="AD196" s="455"/>
      <c r="AE196" s="166"/>
      <c r="AF196" s="166"/>
      <c r="AG196" s="166"/>
      <c r="AH196" s="182" t="e">
        <f t="shared" si="100"/>
        <v>#N/A</v>
      </c>
      <c r="AI196" s="455"/>
      <c r="AJ196" s="166"/>
      <c r="AK196" s="166"/>
      <c r="AL196" s="166"/>
      <c r="AM196" s="182" t="e">
        <f t="shared" si="101"/>
        <v>#N/A</v>
      </c>
      <c r="AN196" s="455"/>
      <c r="AO196" s="166"/>
      <c r="AP196" s="166"/>
      <c r="AQ196" s="166"/>
      <c r="AR196" s="182" t="e">
        <f t="shared" si="102"/>
        <v>#N/A</v>
      </c>
      <c r="AS196" s="455"/>
      <c r="AT196" s="166"/>
      <c r="AU196" s="166"/>
      <c r="AV196" s="166"/>
      <c r="AW196" s="380" t="e">
        <f t="shared" si="103"/>
        <v>#N/A</v>
      </c>
      <c r="AX196" s="457"/>
    </row>
    <row r="197" spans="2:50">
      <c r="B197" s="454"/>
      <c r="C197" s="182">
        <v>16</v>
      </c>
      <c r="D197" s="182"/>
      <c r="E197" s="182"/>
      <c r="F197" s="182"/>
      <c r="G197" s="166"/>
      <c r="H197" s="464"/>
      <c r="I197" s="166" t="str">
        <f t="shared" si="94"/>
        <v>-</v>
      </c>
      <c r="J197" s="166" t="str">
        <f t="shared" si="95"/>
        <v>-</v>
      </c>
      <c r="K197" s="180" t="str">
        <f t="shared" si="96"/>
        <v>-</v>
      </c>
      <c r="L197" s="464"/>
      <c r="M197" s="166" t="e">
        <f>RANK(K197, K$182:$K$211)</f>
        <v>#VALUE!</v>
      </c>
      <c r="N197" s="461"/>
      <c r="O197" s="461"/>
      <c r="P197" s="166"/>
      <c r="Q197" s="166"/>
      <c r="R197" s="166"/>
      <c r="S197" s="182" t="e">
        <f t="shared" si="97"/>
        <v>#N/A</v>
      </c>
      <c r="T197" s="455"/>
      <c r="U197" s="166"/>
      <c r="V197" s="166"/>
      <c r="W197" s="166"/>
      <c r="X197" s="182" t="e">
        <f t="shared" si="98"/>
        <v>#N/A</v>
      </c>
      <c r="Y197" s="455"/>
      <c r="Z197" s="166"/>
      <c r="AA197" s="166"/>
      <c r="AB197" s="166"/>
      <c r="AC197" s="182" t="e">
        <f t="shared" si="99"/>
        <v>#N/A</v>
      </c>
      <c r="AD197" s="455"/>
      <c r="AE197" s="166"/>
      <c r="AF197" s="166"/>
      <c r="AG197" s="166"/>
      <c r="AH197" s="182" t="e">
        <f t="shared" si="100"/>
        <v>#N/A</v>
      </c>
      <c r="AI197" s="455"/>
      <c r="AJ197" s="166"/>
      <c r="AK197" s="166"/>
      <c r="AL197" s="166"/>
      <c r="AM197" s="182" t="e">
        <f t="shared" si="101"/>
        <v>#N/A</v>
      </c>
      <c r="AN197" s="455"/>
      <c r="AO197" s="166"/>
      <c r="AP197" s="166"/>
      <c r="AQ197" s="166"/>
      <c r="AR197" s="182" t="e">
        <f t="shared" si="102"/>
        <v>#N/A</v>
      </c>
      <c r="AS197" s="455"/>
      <c r="AT197" s="166"/>
      <c r="AU197" s="166"/>
      <c r="AV197" s="166"/>
      <c r="AW197" s="380" t="e">
        <f t="shared" si="103"/>
        <v>#N/A</v>
      </c>
      <c r="AX197" s="457"/>
    </row>
    <row r="198" spans="2:50">
      <c r="B198" s="454"/>
      <c r="C198" s="182">
        <v>17</v>
      </c>
      <c r="D198" s="182"/>
      <c r="E198" s="182"/>
      <c r="F198" s="182"/>
      <c r="G198" s="166"/>
      <c r="H198" s="464"/>
      <c r="I198" s="166" t="str">
        <f t="shared" si="94"/>
        <v>-</v>
      </c>
      <c r="J198" s="166" t="str">
        <f t="shared" si="95"/>
        <v>-</v>
      </c>
      <c r="K198" s="180" t="str">
        <f t="shared" si="96"/>
        <v>-</v>
      </c>
      <c r="L198" s="464"/>
      <c r="M198" s="166" t="e">
        <f>RANK(K198, K$182:$K$211)</f>
        <v>#VALUE!</v>
      </c>
      <c r="N198" s="461"/>
      <c r="O198" s="461"/>
      <c r="P198" s="166"/>
      <c r="Q198" s="166"/>
      <c r="R198" s="166"/>
      <c r="S198" s="182" t="e">
        <f t="shared" si="97"/>
        <v>#N/A</v>
      </c>
      <c r="T198" s="455"/>
      <c r="U198" s="166"/>
      <c r="V198" s="166"/>
      <c r="W198" s="166"/>
      <c r="X198" s="182" t="e">
        <f t="shared" si="98"/>
        <v>#N/A</v>
      </c>
      <c r="Y198" s="455"/>
      <c r="Z198" s="166"/>
      <c r="AA198" s="166"/>
      <c r="AB198" s="166"/>
      <c r="AC198" s="182" t="e">
        <f t="shared" si="99"/>
        <v>#N/A</v>
      </c>
      <c r="AD198" s="455"/>
      <c r="AE198" s="166"/>
      <c r="AF198" s="166"/>
      <c r="AG198" s="166"/>
      <c r="AH198" s="182" t="e">
        <f t="shared" si="100"/>
        <v>#N/A</v>
      </c>
      <c r="AI198" s="455"/>
      <c r="AJ198" s="166"/>
      <c r="AK198" s="166"/>
      <c r="AL198" s="166"/>
      <c r="AM198" s="182" t="e">
        <f t="shared" si="101"/>
        <v>#N/A</v>
      </c>
      <c r="AN198" s="455"/>
      <c r="AO198" s="166"/>
      <c r="AP198" s="166"/>
      <c r="AQ198" s="166"/>
      <c r="AR198" s="182" t="e">
        <f t="shared" si="102"/>
        <v>#N/A</v>
      </c>
      <c r="AS198" s="455"/>
      <c r="AT198" s="166"/>
      <c r="AU198" s="166"/>
      <c r="AV198" s="166"/>
      <c r="AW198" s="380" t="e">
        <f t="shared" si="103"/>
        <v>#N/A</v>
      </c>
      <c r="AX198" s="457"/>
    </row>
    <row r="199" spans="2:50">
      <c r="B199" s="454"/>
      <c r="C199" s="182">
        <v>18</v>
      </c>
      <c r="D199" s="182"/>
      <c r="E199" s="182"/>
      <c r="F199" s="182"/>
      <c r="G199" s="166"/>
      <c r="H199" s="464"/>
      <c r="I199" s="166" t="str">
        <f t="shared" si="94"/>
        <v>-</v>
      </c>
      <c r="J199" s="166" t="str">
        <f t="shared" si="95"/>
        <v>-</v>
      </c>
      <c r="K199" s="180" t="str">
        <f t="shared" si="96"/>
        <v>-</v>
      </c>
      <c r="L199" s="464"/>
      <c r="M199" s="166" t="e">
        <f>RANK(K199, K$182:$K$211)</f>
        <v>#VALUE!</v>
      </c>
      <c r="N199" s="461"/>
      <c r="O199" s="461"/>
      <c r="P199" s="166"/>
      <c r="Q199" s="166"/>
      <c r="R199" s="166"/>
      <c r="S199" s="182" t="e">
        <f t="shared" si="97"/>
        <v>#N/A</v>
      </c>
      <c r="T199" s="455"/>
      <c r="U199" s="166"/>
      <c r="V199" s="166"/>
      <c r="W199" s="166"/>
      <c r="X199" s="182" t="e">
        <f t="shared" si="98"/>
        <v>#N/A</v>
      </c>
      <c r="Y199" s="455"/>
      <c r="Z199" s="166"/>
      <c r="AA199" s="166"/>
      <c r="AB199" s="166"/>
      <c r="AC199" s="182" t="e">
        <f t="shared" si="99"/>
        <v>#N/A</v>
      </c>
      <c r="AD199" s="455"/>
      <c r="AE199" s="166"/>
      <c r="AF199" s="166"/>
      <c r="AG199" s="166"/>
      <c r="AH199" s="182" t="e">
        <f t="shared" si="100"/>
        <v>#N/A</v>
      </c>
      <c r="AI199" s="455"/>
      <c r="AJ199" s="166"/>
      <c r="AK199" s="166"/>
      <c r="AL199" s="166"/>
      <c r="AM199" s="182" t="e">
        <f t="shared" si="101"/>
        <v>#N/A</v>
      </c>
      <c r="AN199" s="455"/>
      <c r="AO199" s="166"/>
      <c r="AP199" s="166"/>
      <c r="AQ199" s="166"/>
      <c r="AR199" s="182" t="e">
        <f t="shared" si="102"/>
        <v>#N/A</v>
      </c>
      <c r="AS199" s="455"/>
      <c r="AT199" s="166"/>
      <c r="AU199" s="166"/>
      <c r="AV199" s="166"/>
      <c r="AW199" s="380" t="e">
        <f t="shared" si="103"/>
        <v>#N/A</v>
      </c>
      <c r="AX199" s="457"/>
    </row>
    <row r="200" spans="2:50">
      <c r="B200" s="454"/>
      <c r="C200" s="182">
        <v>19</v>
      </c>
      <c r="D200" s="182"/>
      <c r="E200" s="182"/>
      <c r="F200" s="182"/>
      <c r="G200" s="166"/>
      <c r="H200" s="464"/>
      <c r="I200" s="166" t="str">
        <f t="shared" si="94"/>
        <v>-</v>
      </c>
      <c r="J200" s="166" t="str">
        <f t="shared" si="95"/>
        <v>-</v>
      </c>
      <c r="K200" s="180" t="str">
        <f t="shared" si="96"/>
        <v>-</v>
      </c>
      <c r="L200" s="464"/>
      <c r="M200" s="166" t="e">
        <f>RANK(K200, K$182:$K$211)</f>
        <v>#VALUE!</v>
      </c>
      <c r="N200" s="461"/>
      <c r="O200" s="461"/>
      <c r="P200" s="166"/>
      <c r="Q200" s="166"/>
      <c r="R200" s="166"/>
      <c r="S200" s="182" t="e">
        <f t="shared" si="97"/>
        <v>#N/A</v>
      </c>
      <c r="T200" s="455"/>
      <c r="U200" s="166"/>
      <c r="V200" s="166"/>
      <c r="W200" s="166"/>
      <c r="X200" s="182" t="e">
        <f t="shared" si="98"/>
        <v>#N/A</v>
      </c>
      <c r="Y200" s="455"/>
      <c r="Z200" s="166"/>
      <c r="AA200" s="166"/>
      <c r="AB200" s="166"/>
      <c r="AC200" s="182" t="e">
        <f t="shared" si="99"/>
        <v>#N/A</v>
      </c>
      <c r="AD200" s="455"/>
      <c r="AE200" s="166"/>
      <c r="AF200" s="166"/>
      <c r="AG200" s="166"/>
      <c r="AH200" s="182" t="e">
        <f t="shared" si="100"/>
        <v>#N/A</v>
      </c>
      <c r="AI200" s="455"/>
      <c r="AJ200" s="166"/>
      <c r="AK200" s="166"/>
      <c r="AL200" s="166"/>
      <c r="AM200" s="182" t="e">
        <f t="shared" si="101"/>
        <v>#N/A</v>
      </c>
      <c r="AN200" s="455"/>
      <c r="AO200" s="166"/>
      <c r="AP200" s="166"/>
      <c r="AQ200" s="166"/>
      <c r="AR200" s="182" t="e">
        <f t="shared" si="102"/>
        <v>#N/A</v>
      </c>
      <c r="AS200" s="455"/>
      <c r="AT200" s="166"/>
      <c r="AU200" s="166"/>
      <c r="AV200" s="166"/>
      <c r="AW200" s="380" t="e">
        <f t="shared" si="103"/>
        <v>#N/A</v>
      </c>
      <c r="AX200" s="457"/>
    </row>
    <row r="201" spans="2:50">
      <c r="B201" s="454"/>
      <c r="C201" s="182">
        <v>20</v>
      </c>
      <c r="D201" s="182"/>
      <c r="E201" s="182"/>
      <c r="F201" s="182"/>
      <c r="G201" s="166"/>
      <c r="H201" s="464"/>
      <c r="I201" s="166" t="str">
        <f t="shared" si="94"/>
        <v>-</v>
      </c>
      <c r="J201" s="166" t="str">
        <f t="shared" si="95"/>
        <v>-</v>
      </c>
      <c r="K201" s="180" t="str">
        <f t="shared" si="96"/>
        <v>-</v>
      </c>
      <c r="L201" s="464"/>
      <c r="M201" s="166" t="e">
        <f>RANK(K201, K$182:$K$211)</f>
        <v>#VALUE!</v>
      </c>
      <c r="N201" s="461"/>
      <c r="O201" s="461"/>
      <c r="P201" s="166"/>
      <c r="Q201" s="166"/>
      <c r="R201" s="166"/>
      <c r="S201" s="182" t="e">
        <f t="shared" si="97"/>
        <v>#N/A</v>
      </c>
      <c r="T201" s="455"/>
      <c r="U201" s="166"/>
      <c r="V201" s="166"/>
      <c r="W201" s="166"/>
      <c r="X201" s="182" t="e">
        <f t="shared" si="98"/>
        <v>#N/A</v>
      </c>
      <c r="Y201" s="455"/>
      <c r="Z201" s="166"/>
      <c r="AA201" s="166"/>
      <c r="AB201" s="166"/>
      <c r="AC201" s="182" t="e">
        <f t="shared" si="99"/>
        <v>#N/A</v>
      </c>
      <c r="AD201" s="455"/>
      <c r="AE201" s="166"/>
      <c r="AF201" s="166"/>
      <c r="AG201" s="166"/>
      <c r="AH201" s="182" t="e">
        <f t="shared" si="100"/>
        <v>#N/A</v>
      </c>
      <c r="AI201" s="455"/>
      <c r="AJ201" s="166"/>
      <c r="AK201" s="166"/>
      <c r="AL201" s="166"/>
      <c r="AM201" s="182" t="e">
        <f t="shared" si="101"/>
        <v>#N/A</v>
      </c>
      <c r="AN201" s="455"/>
      <c r="AO201" s="166"/>
      <c r="AP201" s="166"/>
      <c r="AQ201" s="166"/>
      <c r="AR201" s="182" t="e">
        <f t="shared" si="102"/>
        <v>#N/A</v>
      </c>
      <c r="AS201" s="455"/>
      <c r="AT201" s="166"/>
      <c r="AU201" s="166"/>
      <c r="AV201" s="166"/>
      <c r="AW201" s="380" t="e">
        <f t="shared" si="103"/>
        <v>#N/A</v>
      </c>
      <c r="AX201" s="457"/>
    </row>
    <row r="202" spans="2:50">
      <c r="B202" s="454"/>
      <c r="C202" s="182">
        <v>21</v>
      </c>
      <c r="D202" s="379"/>
      <c r="E202" s="182"/>
      <c r="F202" s="182"/>
      <c r="G202" s="166"/>
      <c r="H202" s="464"/>
      <c r="I202" s="166" t="str">
        <f t="shared" si="94"/>
        <v>-</v>
      </c>
      <c r="J202" s="166" t="str">
        <f t="shared" si="95"/>
        <v>-</v>
      </c>
      <c r="K202" s="180" t="str">
        <f t="shared" si="96"/>
        <v>-</v>
      </c>
      <c r="L202" s="464"/>
      <c r="M202" s="166" t="e">
        <f>RANK(K202, K$182:$K$211)</f>
        <v>#VALUE!</v>
      </c>
      <c r="N202" s="461"/>
      <c r="O202" s="461"/>
      <c r="P202" s="182"/>
      <c r="Q202" s="166"/>
      <c r="R202" s="180"/>
      <c r="S202" s="182" t="e">
        <f t="shared" si="97"/>
        <v>#N/A</v>
      </c>
      <c r="T202" s="455"/>
      <c r="U202" s="182"/>
      <c r="V202" s="166"/>
      <c r="W202" s="180"/>
      <c r="X202" s="182" t="e">
        <f t="shared" si="98"/>
        <v>#N/A</v>
      </c>
      <c r="Y202" s="455"/>
      <c r="Z202" s="182"/>
      <c r="AA202" s="166"/>
      <c r="AB202" s="180"/>
      <c r="AC202" s="182" t="e">
        <f t="shared" si="99"/>
        <v>#N/A</v>
      </c>
      <c r="AD202" s="455"/>
      <c r="AE202" s="182"/>
      <c r="AF202" s="166"/>
      <c r="AG202" s="180"/>
      <c r="AH202" s="182" t="e">
        <f t="shared" si="100"/>
        <v>#N/A</v>
      </c>
      <c r="AI202" s="455"/>
      <c r="AJ202" s="182"/>
      <c r="AK202" s="166"/>
      <c r="AL202" s="180"/>
      <c r="AM202" s="182" t="e">
        <f t="shared" si="101"/>
        <v>#N/A</v>
      </c>
      <c r="AN202" s="455"/>
      <c r="AO202" s="182"/>
      <c r="AP202" s="166"/>
      <c r="AQ202" s="180"/>
      <c r="AR202" s="182" t="e">
        <f t="shared" si="102"/>
        <v>#N/A</v>
      </c>
      <c r="AS202" s="455"/>
      <c r="AT202" s="182"/>
      <c r="AU202" s="166"/>
      <c r="AV202" s="180"/>
      <c r="AW202" s="380" t="e">
        <f t="shared" si="103"/>
        <v>#N/A</v>
      </c>
      <c r="AX202" s="457"/>
    </row>
    <row r="203" spans="2:50">
      <c r="B203" s="454"/>
      <c r="C203" s="182">
        <v>22</v>
      </c>
      <c r="D203" s="182"/>
      <c r="E203" s="182"/>
      <c r="F203" s="182"/>
      <c r="G203" s="182"/>
      <c r="H203" s="464"/>
      <c r="I203" s="166" t="str">
        <f t="shared" si="94"/>
        <v>-</v>
      </c>
      <c r="J203" s="166" t="str">
        <f t="shared" si="95"/>
        <v>-</v>
      </c>
      <c r="K203" s="180" t="str">
        <f t="shared" si="96"/>
        <v>-</v>
      </c>
      <c r="L203" s="464"/>
      <c r="M203" s="166" t="e">
        <f>RANK(K203, K$182:$K$211)</f>
        <v>#VALUE!</v>
      </c>
      <c r="N203" s="461"/>
      <c r="O203" s="461"/>
      <c r="P203" s="182"/>
      <c r="Q203" s="166"/>
      <c r="R203" s="180"/>
      <c r="S203" s="182" t="e">
        <f t="shared" si="97"/>
        <v>#N/A</v>
      </c>
      <c r="T203" s="455"/>
      <c r="U203" s="182"/>
      <c r="V203" s="166"/>
      <c r="W203" s="180"/>
      <c r="X203" s="182" t="e">
        <f t="shared" si="98"/>
        <v>#N/A</v>
      </c>
      <c r="Y203" s="455"/>
      <c r="Z203" s="182"/>
      <c r="AA203" s="166"/>
      <c r="AB203" s="180"/>
      <c r="AC203" s="182" t="e">
        <f t="shared" si="99"/>
        <v>#N/A</v>
      </c>
      <c r="AD203" s="455"/>
      <c r="AE203" s="182"/>
      <c r="AF203" s="166"/>
      <c r="AG203" s="180"/>
      <c r="AH203" s="182" t="e">
        <f t="shared" si="100"/>
        <v>#N/A</v>
      </c>
      <c r="AI203" s="455"/>
      <c r="AJ203" s="182"/>
      <c r="AK203" s="166"/>
      <c r="AL203" s="180"/>
      <c r="AM203" s="182" t="e">
        <f t="shared" si="101"/>
        <v>#N/A</v>
      </c>
      <c r="AN203" s="455"/>
      <c r="AO203" s="182"/>
      <c r="AP203" s="166"/>
      <c r="AQ203" s="180"/>
      <c r="AR203" s="182" t="e">
        <f t="shared" si="102"/>
        <v>#N/A</v>
      </c>
      <c r="AS203" s="455"/>
      <c r="AT203" s="182"/>
      <c r="AU203" s="166"/>
      <c r="AV203" s="180"/>
      <c r="AW203" s="380" t="e">
        <f t="shared" si="103"/>
        <v>#N/A</v>
      </c>
      <c r="AX203" s="457"/>
    </row>
    <row r="204" spans="2:50">
      <c r="B204" s="454"/>
      <c r="C204" s="182">
        <v>23</v>
      </c>
      <c r="D204" s="182"/>
      <c r="E204" s="182"/>
      <c r="F204" s="182"/>
      <c r="G204" s="182"/>
      <c r="H204" s="464"/>
      <c r="I204" s="166" t="str">
        <f t="shared" si="94"/>
        <v>-</v>
      </c>
      <c r="J204" s="166" t="str">
        <f t="shared" si="95"/>
        <v>-</v>
      </c>
      <c r="K204" s="180" t="str">
        <f t="shared" si="96"/>
        <v>-</v>
      </c>
      <c r="L204" s="464"/>
      <c r="M204" s="166" t="e">
        <f>RANK(K204, K$182:$K$211)</f>
        <v>#VALUE!</v>
      </c>
      <c r="N204" s="461"/>
      <c r="O204" s="461"/>
      <c r="P204" s="182"/>
      <c r="Q204" s="182"/>
      <c r="R204" s="180"/>
      <c r="S204" s="182" t="e">
        <f t="shared" si="97"/>
        <v>#N/A</v>
      </c>
      <c r="T204" s="455"/>
      <c r="U204" s="182"/>
      <c r="V204" s="182"/>
      <c r="W204" s="180"/>
      <c r="X204" s="182" t="e">
        <f t="shared" si="98"/>
        <v>#N/A</v>
      </c>
      <c r="Y204" s="455"/>
      <c r="Z204" s="182"/>
      <c r="AA204" s="182"/>
      <c r="AB204" s="180"/>
      <c r="AC204" s="182" t="e">
        <f t="shared" si="99"/>
        <v>#N/A</v>
      </c>
      <c r="AD204" s="455"/>
      <c r="AE204" s="182"/>
      <c r="AF204" s="182"/>
      <c r="AG204" s="180"/>
      <c r="AH204" s="182" t="e">
        <f t="shared" si="100"/>
        <v>#N/A</v>
      </c>
      <c r="AI204" s="455"/>
      <c r="AJ204" s="182"/>
      <c r="AK204" s="182"/>
      <c r="AL204" s="180"/>
      <c r="AM204" s="182" t="e">
        <f t="shared" si="101"/>
        <v>#N/A</v>
      </c>
      <c r="AN204" s="455"/>
      <c r="AO204" s="182"/>
      <c r="AP204" s="182"/>
      <c r="AQ204" s="180"/>
      <c r="AR204" s="182" t="e">
        <f t="shared" si="102"/>
        <v>#N/A</v>
      </c>
      <c r="AS204" s="455"/>
      <c r="AT204" s="182"/>
      <c r="AU204" s="182"/>
      <c r="AV204" s="180"/>
      <c r="AW204" s="380" t="e">
        <f t="shared" si="103"/>
        <v>#N/A</v>
      </c>
      <c r="AX204" s="457"/>
    </row>
    <row r="205" spans="2:50">
      <c r="B205" s="454"/>
      <c r="C205" s="182">
        <v>24</v>
      </c>
      <c r="D205" s="182"/>
      <c r="E205" s="182"/>
      <c r="F205" s="182"/>
      <c r="G205" s="182"/>
      <c r="H205" s="464"/>
      <c r="I205" s="166" t="str">
        <f t="shared" si="94"/>
        <v>-</v>
      </c>
      <c r="J205" s="166" t="str">
        <f t="shared" si="95"/>
        <v>-</v>
      </c>
      <c r="K205" s="180" t="str">
        <f t="shared" si="96"/>
        <v>-</v>
      </c>
      <c r="L205" s="464"/>
      <c r="M205" s="166" t="e">
        <f>RANK(K205, K$182:$K$211)</f>
        <v>#VALUE!</v>
      </c>
      <c r="N205" s="461"/>
      <c r="O205" s="461"/>
      <c r="P205" s="182"/>
      <c r="Q205" s="182"/>
      <c r="R205" s="182"/>
      <c r="S205" s="182" t="e">
        <f t="shared" si="97"/>
        <v>#N/A</v>
      </c>
      <c r="T205" s="455"/>
      <c r="U205" s="182"/>
      <c r="V205" s="182"/>
      <c r="W205" s="182"/>
      <c r="X205" s="182" t="e">
        <f t="shared" si="98"/>
        <v>#N/A</v>
      </c>
      <c r="Y205" s="455"/>
      <c r="Z205" s="182"/>
      <c r="AA205" s="182"/>
      <c r="AB205" s="182"/>
      <c r="AC205" s="182" t="e">
        <f t="shared" si="99"/>
        <v>#N/A</v>
      </c>
      <c r="AD205" s="455"/>
      <c r="AE205" s="182"/>
      <c r="AF205" s="182"/>
      <c r="AG205" s="182"/>
      <c r="AH205" s="182" t="e">
        <f t="shared" si="100"/>
        <v>#N/A</v>
      </c>
      <c r="AI205" s="455"/>
      <c r="AJ205" s="182"/>
      <c r="AK205" s="182"/>
      <c r="AL205" s="182"/>
      <c r="AM205" s="182" t="e">
        <f t="shared" si="101"/>
        <v>#N/A</v>
      </c>
      <c r="AN205" s="455"/>
      <c r="AO205" s="182"/>
      <c r="AP205" s="182"/>
      <c r="AQ205" s="182"/>
      <c r="AR205" s="182" t="e">
        <f t="shared" si="102"/>
        <v>#N/A</v>
      </c>
      <c r="AS205" s="455"/>
      <c r="AT205" s="182"/>
      <c r="AU205" s="182"/>
      <c r="AV205" s="182"/>
      <c r="AW205" s="380" t="e">
        <f t="shared" si="103"/>
        <v>#N/A</v>
      </c>
      <c r="AX205" s="457"/>
    </row>
    <row r="206" spans="2:50">
      <c r="B206" s="454"/>
      <c r="C206" s="182">
        <v>25</v>
      </c>
      <c r="D206" s="182"/>
      <c r="E206" s="182"/>
      <c r="F206" s="182"/>
      <c r="G206" s="182"/>
      <c r="H206" s="464"/>
      <c r="I206" s="166" t="str">
        <f t="shared" si="94"/>
        <v>-</v>
      </c>
      <c r="J206" s="166" t="str">
        <f t="shared" si="95"/>
        <v>-</v>
      </c>
      <c r="K206" s="180" t="str">
        <f t="shared" si="96"/>
        <v>-</v>
      </c>
      <c r="L206" s="464"/>
      <c r="M206" s="166" t="e">
        <f>RANK(K206, K$182:$K$211)</f>
        <v>#VALUE!</v>
      </c>
      <c r="N206" s="461"/>
      <c r="O206" s="461"/>
      <c r="P206" s="182"/>
      <c r="Q206" s="182"/>
      <c r="R206" s="182"/>
      <c r="S206" s="182" t="e">
        <f t="shared" si="97"/>
        <v>#N/A</v>
      </c>
      <c r="T206" s="455"/>
      <c r="U206" s="182"/>
      <c r="V206" s="182"/>
      <c r="W206" s="182"/>
      <c r="X206" s="182" t="e">
        <f t="shared" si="98"/>
        <v>#N/A</v>
      </c>
      <c r="Y206" s="455"/>
      <c r="Z206" s="182"/>
      <c r="AA206" s="182"/>
      <c r="AB206" s="182"/>
      <c r="AC206" s="182" t="e">
        <f t="shared" si="99"/>
        <v>#N/A</v>
      </c>
      <c r="AD206" s="455"/>
      <c r="AE206" s="182"/>
      <c r="AF206" s="182"/>
      <c r="AG206" s="182"/>
      <c r="AH206" s="182" t="e">
        <f t="shared" si="100"/>
        <v>#N/A</v>
      </c>
      <c r="AI206" s="455"/>
      <c r="AJ206" s="182"/>
      <c r="AK206" s="182"/>
      <c r="AL206" s="182"/>
      <c r="AM206" s="182" t="e">
        <f t="shared" si="101"/>
        <v>#N/A</v>
      </c>
      <c r="AN206" s="455"/>
      <c r="AO206" s="182"/>
      <c r="AP206" s="182"/>
      <c r="AQ206" s="182"/>
      <c r="AR206" s="182" t="e">
        <f t="shared" si="102"/>
        <v>#N/A</v>
      </c>
      <c r="AS206" s="455"/>
      <c r="AT206" s="182"/>
      <c r="AU206" s="182"/>
      <c r="AV206" s="182"/>
      <c r="AW206" s="380" t="e">
        <f t="shared" si="103"/>
        <v>#N/A</v>
      </c>
      <c r="AX206" s="457"/>
    </row>
    <row r="207" spans="2:50">
      <c r="B207" s="454"/>
      <c r="C207" s="182">
        <v>26</v>
      </c>
      <c r="D207" s="182"/>
      <c r="E207" s="182"/>
      <c r="F207" s="182"/>
      <c r="G207" s="182"/>
      <c r="H207" s="464"/>
      <c r="I207" s="166" t="str">
        <f t="shared" si="94"/>
        <v>-</v>
      </c>
      <c r="J207" s="166" t="str">
        <f t="shared" si="95"/>
        <v>-</v>
      </c>
      <c r="K207" s="180" t="str">
        <f t="shared" si="96"/>
        <v>-</v>
      </c>
      <c r="L207" s="464"/>
      <c r="M207" s="166" t="e">
        <f>RANK(K207, K$182:$K$211)</f>
        <v>#VALUE!</v>
      </c>
      <c r="N207" s="461"/>
      <c r="O207" s="461"/>
      <c r="P207" s="182"/>
      <c r="Q207" s="182"/>
      <c r="R207" s="182"/>
      <c r="S207" s="182" t="e">
        <f t="shared" si="97"/>
        <v>#N/A</v>
      </c>
      <c r="T207" s="455"/>
      <c r="U207" s="182"/>
      <c r="V207" s="182"/>
      <c r="W207" s="182"/>
      <c r="X207" s="182" t="e">
        <f t="shared" si="98"/>
        <v>#N/A</v>
      </c>
      <c r="Y207" s="455"/>
      <c r="Z207" s="182"/>
      <c r="AA207" s="182"/>
      <c r="AB207" s="182"/>
      <c r="AC207" s="182" t="e">
        <f t="shared" si="99"/>
        <v>#N/A</v>
      </c>
      <c r="AD207" s="455"/>
      <c r="AE207" s="182"/>
      <c r="AF207" s="182"/>
      <c r="AG207" s="182"/>
      <c r="AH207" s="182" t="e">
        <f t="shared" si="100"/>
        <v>#N/A</v>
      </c>
      <c r="AI207" s="455"/>
      <c r="AJ207" s="182"/>
      <c r="AK207" s="182"/>
      <c r="AL207" s="182"/>
      <c r="AM207" s="182" t="e">
        <f t="shared" si="101"/>
        <v>#N/A</v>
      </c>
      <c r="AN207" s="455"/>
      <c r="AO207" s="182"/>
      <c r="AP207" s="182"/>
      <c r="AQ207" s="182"/>
      <c r="AR207" s="182" t="e">
        <f t="shared" si="102"/>
        <v>#N/A</v>
      </c>
      <c r="AS207" s="455"/>
      <c r="AT207" s="182"/>
      <c r="AU207" s="182"/>
      <c r="AV207" s="182"/>
      <c r="AW207" s="380" t="e">
        <f t="shared" si="103"/>
        <v>#N/A</v>
      </c>
      <c r="AX207" s="457"/>
    </row>
    <row r="208" spans="2:50">
      <c r="B208" s="454"/>
      <c r="C208" s="182">
        <v>27</v>
      </c>
      <c r="D208" s="182"/>
      <c r="E208" s="182"/>
      <c r="F208" s="182"/>
      <c r="G208" s="182"/>
      <c r="H208" s="464"/>
      <c r="I208" s="166" t="str">
        <f t="shared" si="94"/>
        <v>-</v>
      </c>
      <c r="J208" s="166" t="str">
        <f t="shared" si="95"/>
        <v>-</v>
      </c>
      <c r="K208" s="180" t="str">
        <f t="shared" si="96"/>
        <v>-</v>
      </c>
      <c r="L208" s="464"/>
      <c r="M208" s="166" t="e">
        <f>RANK(K208, K$182:$K$211)</f>
        <v>#VALUE!</v>
      </c>
      <c r="N208" s="461"/>
      <c r="O208" s="461"/>
      <c r="P208" s="182"/>
      <c r="Q208" s="182"/>
      <c r="R208" s="182"/>
      <c r="S208" s="182" t="e">
        <f t="shared" si="97"/>
        <v>#N/A</v>
      </c>
      <c r="T208" s="455"/>
      <c r="U208" s="182"/>
      <c r="V208" s="182"/>
      <c r="W208" s="182"/>
      <c r="X208" s="182" t="e">
        <f t="shared" si="98"/>
        <v>#N/A</v>
      </c>
      <c r="Y208" s="455"/>
      <c r="Z208" s="182"/>
      <c r="AA208" s="182"/>
      <c r="AB208" s="182"/>
      <c r="AC208" s="182" t="e">
        <f t="shared" si="99"/>
        <v>#N/A</v>
      </c>
      <c r="AD208" s="455"/>
      <c r="AE208" s="182"/>
      <c r="AF208" s="182"/>
      <c r="AG208" s="182"/>
      <c r="AH208" s="182" t="e">
        <f t="shared" si="100"/>
        <v>#N/A</v>
      </c>
      <c r="AI208" s="455"/>
      <c r="AJ208" s="182"/>
      <c r="AK208" s="182"/>
      <c r="AL208" s="182"/>
      <c r="AM208" s="182" t="e">
        <f t="shared" si="101"/>
        <v>#N/A</v>
      </c>
      <c r="AN208" s="455"/>
      <c r="AO208" s="182"/>
      <c r="AP208" s="182"/>
      <c r="AQ208" s="182"/>
      <c r="AR208" s="182" t="e">
        <f t="shared" si="102"/>
        <v>#N/A</v>
      </c>
      <c r="AS208" s="455"/>
      <c r="AT208" s="182"/>
      <c r="AU208" s="182"/>
      <c r="AV208" s="182"/>
      <c r="AW208" s="380" t="e">
        <f t="shared" si="103"/>
        <v>#N/A</v>
      </c>
      <c r="AX208" s="457"/>
    </row>
    <row r="209" spans="2:50">
      <c r="B209" s="454"/>
      <c r="C209" s="182">
        <v>28</v>
      </c>
      <c r="D209" s="182"/>
      <c r="E209" s="182"/>
      <c r="F209" s="182"/>
      <c r="G209" s="182"/>
      <c r="H209" s="464"/>
      <c r="I209" s="166" t="str">
        <f t="shared" si="94"/>
        <v>-</v>
      </c>
      <c r="J209" s="166" t="str">
        <f t="shared" si="95"/>
        <v>-</v>
      </c>
      <c r="K209" s="180" t="str">
        <f t="shared" si="96"/>
        <v>-</v>
      </c>
      <c r="L209" s="464"/>
      <c r="M209" s="166" t="e">
        <f>RANK(K209, K$182:$K$211)</f>
        <v>#VALUE!</v>
      </c>
      <c r="N209" s="461"/>
      <c r="O209" s="461"/>
      <c r="P209" s="182"/>
      <c r="Q209" s="182"/>
      <c r="R209" s="182"/>
      <c r="S209" s="182" t="e">
        <f t="shared" si="97"/>
        <v>#N/A</v>
      </c>
      <c r="T209" s="455"/>
      <c r="U209" s="182"/>
      <c r="V209" s="182"/>
      <c r="W209" s="182"/>
      <c r="X209" s="182" t="e">
        <f t="shared" si="98"/>
        <v>#N/A</v>
      </c>
      <c r="Y209" s="455"/>
      <c r="Z209" s="182"/>
      <c r="AA209" s="182"/>
      <c r="AB209" s="182"/>
      <c r="AC209" s="182" t="e">
        <f t="shared" si="99"/>
        <v>#N/A</v>
      </c>
      <c r="AD209" s="455"/>
      <c r="AE209" s="182"/>
      <c r="AF209" s="182"/>
      <c r="AG209" s="182"/>
      <c r="AH209" s="182" t="e">
        <f t="shared" si="100"/>
        <v>#N/A</v>
      </c>
      <c r="AI209" s="455"/>
      <c r="AJ209" s="182"/>
      <c r="AK209" s="182"/>
      <c r="AL209" s="182"/>
      <c r="AM209" s="182" t="e">
        <f t="shared" si="101"/>
        <v>#N/A</v>
      </c>
      <c r="AN209" s="455"/>
      <c r="AO209" s="182"/>
      <c r="AP209" s="182"/>
      <c r="AQ209" s="182"/>
      <c r="AR209" s="182" t="e">
        <f t="shared" si="102"/>
        <v>#N/A</v>
      </c>
      <c r="AS209" s="455"/>
      <c r="AT209" s="182"/>
      <c r="AU209" s="182"/>
      <c r="AV209" s="182"/>
      <c r="AW209" s="380" t="e">
        <f t="shared" si="103"/>
        <v>#N/A</v>
      </c>
      <c r="AX209" s="457"/>
    </row>
    <row r="210" spans="2:50">
      <c r="B210" s="454"/>
      <c r="C210" s="182">
        <v>29</v>
      </c>
      <c r="D210" s="182"/>
      <c r="E210" s="182"/>
      <c r="F210" s="182"/>
      <c r="G210" s="182"/>
      <c r="H210" s="464"/>
      <c r="I210" s="166" t="str">
        <f t="shared" si="94"/>
        <v>-</v>
      </c>
      <c r="J210" s="166" t="str">
        <f t="shared" si="95"/>
        <v>-</v>
      </c>
      <c r="K210" s="180" t="str">
        <f t="shared" si="96"/>
        <v>-</v>
      </c>
      <c r="L210" s="464"/>
      <c r="M210" s="166" t="e">
        <f>RANK(K210, K$182:$K$211)</f>
        <v>#VALUE!</v>
      </c>
      <c r="N210" s="461"/>
      <c r="O210" s="461"/>
      <c r="P210" s="182"/>
      <c r="Q210" s="182"/>
      <c r="R210" s="182"/>
      <c r="S210" s="182" t="e">
        <f t="shared" si="97"/>
        <v>#N/A</v>
      </c>
      <c r="T210" s="455"/>
      <c r="U210" s="182"/>
      <c r="V210" s="182"/>
      <c r="W210" s="182"/>
      <c r="X210" s="182" t="e">
        <f t="shared" si="98"/>
        <v>#N/A</v>
      </c>
      <c r="Y210" s="455"/>
      <c r="Z210" s="182"/>
      <c r="AA210" s="182"/>
      <c r="AB210" s="182"/>
      <c r="AC210" s="182" t="e">
        <f t="shared" si="99"/>
        <v>#N/A</v>
      </c>
      <c r="AD210" s="455"/>
      <c r="AE210" s="182"/>
      <c r="AF210" s="182"/>
      <c r="AG210" s="182"/>
      <c r="AH210" s="182" t="e">
        <f t="shared" si="100"/>
        <v>#N/A</v>
      </c>
      <c r="AI210" s="455"/>
      <c r="AJ210" s="182"/>
      <c r="AK210" s="182"/>
      <c r="AL210" s="182"/>
      <c r="AM210" s="182" t="e">
        <f t="shared" si="101"/>
        <v>#N/A</v>
      </c>
      <c r="AN210" s="455"/>
      <c r="AO210" s="182"/>
      <c r="AP210" s="182"/>
      <c r="AQ210" s="182"/>
      <c r="AR210" s="182" t="e">
        <f t="shared" si="102"/>
        <v>#N/A</v>
      </c>
      <c r="AS210" s="455"/>
      <c r="AT210" s="182"/>
      <c r="AU210" s="182"/>
      <c r="AV210" s="182"/>
      <c r="AW210" s="380" t="e">
        <f t="shared" si="103"/>
        <v>#N/A</v>
      </c>
      <c r="AX210" s="457"/>
    </row>
    <row r="211" spans="2:50">
      <c r="B211" s="454"/>
      <c r="C211" s="182">
        <v>30</v>
      </c>
      <c r="D211" s="182"/>
      <c r="E211" s="182"/>
      <c r="F211" s="182"/>
      <c r="G211" s="182"/>
      <c r="H211" s="464"/>
      <c r="I211" s="166" t="str">
        <f t="shared" si="94"/>
        <v>-</v>
      </c>
      <c r="J211" s="166" t="str">
        <f t="shared" si="95"/>
        <v>-</v>
      </c>
      <c r="K211" s="180" t="str">
        <f t="shared" si="96"/>
        <v>-</v>
      </c>
      <c r="L211" s="465"/>
      <c r="M211" s="166" t="e">
        <f>RANK(K211, K$182:$K$211)</f>
        <v>#VALUE!</v>
      </c>
      <c r="N211" s="461"/>
      <c r="O211" s="461"/>
      <c r="P211" s="182"/>
      <c r="Q211" s="182"/>
      <c r="R211" s="182"/>
      <c r="S211" s="182" t="e">
        <f t="shared" si="97"/>
        <v>#N/A</v>
      </c>
      <c r="T211" s="455"/>
      <c r="U211" s="182"/>
      <c r="V211" s="182"/>
      <c r="W211" s="182"/>
      <c r="X211" s="182" t="e">
        <f t="shared" si="98"/>
        <v>#N/A</v>
      </c>
      <c r="Y211" s="455"/>
      <c r="Z211" s="182"/>
      <c r="AA211" s="182"/>
      <c r="AB211" s="182"/>
      <c r="AC211" s="182" t="e">
        <f t="shared" si="99"/>
        <v>#N/A</v>
      </c>
      <c r="AD211" s="455"/>
      <c r="AE211" s="182"/>
      <c r="AF211" s="182"/>
      <c r="AG211" s="182"/>
      <c r="AH211" s="182" t="e">
        <f t="shared" si="100"/>
        <v>#N/A</v>
      </c>
      <c r="AI211" s="455"/>
      <c r="AJ211" s="182"/>
      <c r="AK211" s="182"/>
      <c r="AL211" s="182"/>
      <c r="AM211" s="182" t="e">
        <f t="shared" si="101"/>
        <v>#N/A</v>
      </c>
      <c r="AN211" s="455"/>
      <c r="AO211" s="182"/>
      <c r="AP211" s="182"/>
      <c r="AQ211" s="182"/>
      <c r="AR211" s="182" t="e">
        <f t="shared" si="102"/>
        <v>#N/A</v>
      </c>
      <c r="AS211" s="455"/>
      <c r="AT211" s="182"/>
      <c r="AU211" s="182"/>
      <c r="AV211" s="182"/>
      <c r="AW211" s="380" t="e">
        <f t="shared" si="103"/>
        <v>#N/A</v>
      </c>
      <c r="AX211" s="457"/>
    </row>
    <row r="213" spans="2:50" ht="15.5">
      <c r="B213" s="458" t="s">
        <v>561</v>
      </c>
      <c r="C213" s="459"/>
      <c r="D213" s="459"/>
      <c r="E213" s="459"/>
      <c r="F213" s="459"/>
      <c r="G213" s="459"/>
      <c r="H213" s="459"/>
      <c r="I213" s="285"/>
      <c r="J213" s="285"/>
      <c r="K213" s="285"/>
      <c r="L213" s="285"/>
      <c r="M213" s="286"/>
    </row>
    <row r="214" spans="2:50" ht="15.5">
      <c r="B214" s="460"/>
      <c r="C214" s="460"/>
      <c r="D214" s="460"/>
      <c r="E214" s="460"/>
      <c r="F214" s="460"/>
      <c r="G214" s="460"/>
      <c r="H214" s="460"/>
      <c r="I214" s="287"/>
      <c r="J214" s="287"/>
      <c r="K214" s="287"/>
      <c r="L214" s="287"/>
      <c r="M214" s="288"/>
    </row>
    <row r="215" spans="2:50">
      <c r="B215" s="461" t="s">
        <v>562</v>
      </c>
      <c r="C215" s="461" t="s">
        <v>563</v>
      </c>
      <c r="D215" s="461"/>
      <c r="E215" s="461" t="s">
        <v>564</v>
      </c>
      <c r="F215" s="461"/>
      <c r="G215" s="461"/>
      <c r="H215" s="461" t="s">
        <v>565</v>
      </c>
      <c r="I215" s="462" t="s">
        <v>566</v>
      </c>
      <c r="J215" s="462"/>
      <c r="K215" s="462"/>
      <c r="L215" s="462" t="s">
        <v>565</v>
      </c>
      <c r="M215" s="462" t="s">
        <v>567</v>
      </c>
    </row>
    <row r="216" spans="2:50">
      <c r="B216" s="461"/>
      <c r="C216" s="461"/>
      <c r="D216" s="461"/>
      <c r="E216" s="461" t="s">
        <v>568</v>
      </c>
      <c r="F216" s="461"/>
      <c r="G216" s="461"/>
      <c r="H216" s="461"/>
      <c r="I216" s="462" t="s">
        <v>568</v>
      </c>
      <c r="J216" s="462"/>
      <c r="K216" s="462"/>
      <c r="L216" s="462"/>
      <c r="M216" s="462"/>
    </row>
    <row r="217" spans="2:50">
      <c r="B217" s="461"/>
      <c r="C217" s="461"/>
      <c r="D217" s="461"/>
      <c r="E217" s="269" t="s">
        <v>569</v>
      </c>
      <c r="F217" s="269" t="s">
        <v>570</v>
      </c>
      <c r="G217" s="269" t="s">
        <v>571</v>
      </c>
      <c r="H217" s="461"/>
      <c r="I217" s="289" t="s">
        <v>569</v>
      </c>
      <c r="J217" s="289" t="s">
        <v>570</v>
      </c>
      <c r="K217" s="289" t="s">
        <v>571</v>
      </c>
      <c r="L217" s="462"/>
      <c r="M217" s="462"/>
    </row>
    <row r="218" spans="2:50">
      <c r="B218" s="453" t="s">
        <v>572</v>
      </c>
      <c r="C218" s="182">
        <v>1</v>
      </c>
      <c r="D218" s="182"/>
      <c r="E218" s="182"/>
      <c r="F218" s="182"/>
      <c r="G218" s="182"/>
      <c r="H218" s="455" t="e">
        <f>AVERAGE(G218:G247)</f>
        <v>#DIV/0!</v>
      </c>
      <c r="I218" s="166" t="e">
        <f t="shared" ref="I218:K240" si="104">AVERAGEIF($D$7:$D$211,$D218,I$7:I$211)</f>
        <v>#DIV/0!</v>
      </c>
      <c r="J218" s="166" t="e">
        <f t="shared" si="104"/>
        <v>#DIV/0!</v>
      </c>
      <c r="K218" s="166" t="e">
        <f>AVERAGEIF($D$7:$D$211,$D218,K$7:K$211)</f>
        <v>#DIV/0!</v>
      </c>
      <c r="L218" s="456" t="e">
        <f>AVERAGE(K218:K247)</f>
        <v>#DIV/0!</v>
      </c>
      <c r="M218" s="166" t="e">
        <f>RANK(K218, K$218:$K$247)</f>
        <v>#DIV/0!</v>
      </c>
    </row>
    <row r="219" spans="2:50">
      <c r="B219" s="454"/>
      <c r="C219" s="182">
        <v>2</v>
      </c>
      <c r="D219" s="182"/>
      <c r="E219" s="182"/>
      <c r="F219" s="182"/>
      <c r="G219" s="182"/>
      <c r="H219" s="455"/>
      <c r="I219" s="166" t="e">
        <f t="shared" si="104"/>
        <v>#DIV/0!</v>
      </c>
      <c r="J219" s="166" t="e">
        <f t="shared" si="104"/>
        <v>#DIV/0!</v>
      </c>
      <c r="K219" s="166" t="e">
        <f t="shared" si="104"/>
        <v>#DIV/0!</v>
      </c>
      <c r="L219" s="456"/>
      <c r="M219" s="166" t="e">
        <f>RANK(K219, K$218:$K$247)</f>
        <v>#DIV/0!</v>
      </c>
    </row>
    <row r="220" spans="2:50">
      <c r="B220" s="454"/>
      <c r="C220" s="182">
        <v>3</v>
      </c>
      <c r="D220" s="182"/>
      <c r="E220" s="182"/>
      <c r="F220" s="182"/>
      <c r="G220" s="182"/>
      <c r="H220" s="455"/>
      <c r="I220" s="166" t="e">
        <f t="shared" si="104"/>
        <v>#DIV/0!</v>
      </c>
      <c r="J220" s="166" t="e">
        <f t="shared" si="104"/>
        <v>#DIV/0!</v>
      </c>
      <c r="K220" s="166" t="e">
        <f t="shared" si="104"/>
        <v>#DIV/0!</v>
      </c>
      <c r="L220" s="456"/>
      <c r="M220" s="166" t="e">
        <f>RANK(K220, K$218:$K$247)</f>
        <v>#DIV/0!</v>
      </c>
    </row>
    <row r="221" spans="2:50">
      <c r="B221" s="454"/>
      <c r="C221" s="182">
        <v>4</v>
      </c>
      <c r="D221" s="182"/>
      <c r="E221" s="182"/>
      <c r="F221" s="182"/>
      <c r="G221" s="182"/>
      <c r="H221" s="455"/>
      <c r="I221" s="166" t="e">
        <f t="shared" si="104"/>
        <v>#DIV/0!</v>
      </c>
      <c r="J221" s="166" t="e">
        <f t="shared" si="104"/>
        <v>#DIV/0!</v>
      </c>
      <c r="K221" s="166" t="e">
        <f t="shared" si="104"/>
        <v>#DIV/0!</v>
      </c>
      <c r="L221" s="456"/>
      <c r="M221" s="166" t="e">
        <f>RANK(K221, K$218:$K$247)</f>
        <v>#DIV/0!</v>
      </c>
    </row>
    <row r="222" spans="2:50">
      <c r="B222" s="454"/>
      <c r="C222" s="182">
        <v>5</v>
      </c>
      <c r="D222" s="182"/>
      <c r="E222" s="182"/>
      <c r="F222" s="182"/>
      <c r="G222" s="182"/>
      <c r="H222" s="455"/>
      <c r="I222" s="166" t="e">
        <f t="shared" si="104"/>
        <v>#DIV/0!</v>
      </c>
      <c r="J222" s="166" t="e">
        <f t="shared" si="104"/>
        <v>#DIV/0!</v>
      </c>
      <c r="K222" s="166" t="e">
        <f t="shared" si="104"/>
        <v>#DIV/0!</v>
      </c>
      <c r="L222" s="456"/>
      <c r="M222" s="166" t="e">
        <f>RANK(K222, K$218:$K$247)</f>
        <v>#DIV/0!</v>
      </c>
    </row>
    <row r="223" spans="2:50">
      <c r="B223" s="454"/>
      <c r="C223" s="182">
        <v>6</v>
      </c>
      <c r="D223" s="182"/>
      <c r="E223" s="182"/>
      <c r="F223" s="182"/>
      <c r="G223" s="182"/>
      <c r="H223" s="455"/>
      <c r="I223" s="166" t="e">
        <f t="shared" si="104"/>
        <v>#DIV/0!</v>
      </c>
      <c r="J223" s="166" t="e">
        <f t="shared" si="104"/>
        <v>#DIV/0!</v>
      </c>
      <c r="K223" s="166" t="e">
        <f t="shared" si="104"/>
        <v>#DIV/0!</v>
      </c>
      <c r="L223" s="456"/>
      <c r="M223" s="166" t="e">
        <f>RANK(K223, K$218:$K$247)</f>
        <v>#DIV/0!</v>
      </c>
    </row>
    <row r="224" spans="2:50">
      <c r="B224" s="454"/>
      <c r="C224" s="182">
        <v>7</v>
      </c>
      <c r="D224" s="269"/>
      <c r="E224" s="182"/>
      <c r="F224" s="182"/>
      <c r="G224" s="182"/>
      <c r="H224" s="455"/>
      <c r="I224" s="166" t="e">
        <f t="shared" si="104"/>
        <v>#DIV/0!</v>
      </c>
      <c r="J224" s="166" t="e">
        <f t="shared" si="104"/>
        <v>#DIV/0!</v>
      </c>
      <c r="K224" s="166" t="e">
        <f t="shared" si="104"/>
        <v>#DIV/0!</v>
      </c>
      <c r="L224" s="456"/>
      <c r="M224" s="166" t="e">
        <f>RANK(K224, K$218:$K$247)</f>
        <v>#DIV/0!</v>
      </c>
    </row>
    <row r="225" spans="2:13" s="103" customFormat="1">
      <c r="B225" s="454"/>
      <c r="C225" s="182">
        <v>8</v>
      </c>
      <c r="D225" s="269"/>
      <c r="E225" s="182"/>
      <c r="F225" s="182"/>
      <c r="G225" s="182"/>
      <c r="H225" s="455"/>
      <c r="I225" s="166" t="e">
        <f t="shared" si="104"/>
        <v>#DIV/0!</v>
      </c>
      <c r="J225" s="166" t="e">
        <f t="shared" si="104"/>
        <v>#DIV/0!</v>
      </c>
      <c r="K225" s="166" t="e">
        <f t="shared" si="104"/>
        <v>#DIV/0!</v>
      </c>
      <c r="L225" s="456"/>
      <c r="M225" s="166" t="e">
        <f>RANK(K225, K$218:$K$247)</f>
        <v>#DIV/0!</v>
      </c>
    </row>
    <row r="226" spans="2:13" s="103" customFormat="1">
      <c r="B226" s="454"/>
      <c r="C226" s="182">
        <v>9</v>
      </c>
      <c r="D226" s="182"/>
      <c r="E226" s="182"/>
      <c r="F226" s="182"/>
      <c r="G226" s="182"/>
      <c r="H226" s="455"/>
      <c r="I226" s="166" t="e">
        <f t="shared" si="104"/>
        <v>#DIV/0!</v>
      </c>
      <c r="J226" s="166" t="e">
        <f t="shared" si="104"/>
        <v>#DIV/0!</v>
      </c>
      <c r="K226" s="166" t="e">
        <f t="shared" si="104"/>
        <v>#DIV/0!</v>
      </c>
      <c r="L226" s="456"/>
      <c r="M226" s="166" t="e">
        <f>RANK(K226, K$218:$K$247)</f>
        <v>#DIV/0!</v>
      </c>
    </row>
    <row r="227" spans="2:13" s="103" customFormat="1">
      <c r="B227" s="454"/>
      <c r="C227" s="182">
        <v>10</v>
      </c>
      <c r="D227" s="182"/>
      <c r="E227" s="182"/>
      <c r="F227" s="182"/>
      <c r="G227" s="182"/>
      <c r="H227" s="455"/>
      <c r="I227" s="166" t="e">
        <f t="shared" si="104"/>
        <v>#DIV/0!</v>
      </c>
      <c r="J227" s="166" t="e">
        <f t="shared" si="104"/>
        <v>#DIV/0!</v>
      </c>
      <c r="K227" s="166" t="e">
        <f t="shared" si="104"/>
        <v>#DIV/0!</v>
      </c>
      <c r="L227" s="456"/>
      <c r="M227" s="166" t="e">
        <f>RANK(K227, K$218:$K$247)</f>
        <v>#DIV/0!</v>
      </c>
    </row>
    <row r="228" spans="2:13" s="103" customFormat="1">
      <c r="B228" s="454"/>
      <c r="C228" s="182">
        <v>11</v>
      </c>
      <c r="D228" s="182"/>
      <c r="E228" s="182"/>
      <c r="F228" s="182"/>
      <c r="G228" s="182"/>
      <c r="H228" s="455"/>
      <c r="I228" s="166" t="e">
        <f t="shared" si="104"/>
        <v>#DIV/0!</v>
      </c>
      <c r="J228" s="166" t="e">
        <f t="shared" si="104"/>
        <v>#DIV/0!</v>
      </c>
      <c r="K228" s="166" t="e">
        <f t="shared" si="104"/>
        <v>#DIV/0!</v>
      </c>
      <c r="L228" s="456"/>
      <c r="M228" s="166" t="e">
        <f>RANK(K228, K$218:$K$247)</f>
        <v>#DIV/0!</v>
      </c>
    </row>
    <row r="229" spans="2:13" s="103" customFormat="1">
      <c r="B229" s="454"/>
      <c r="C229" s="182">
        <v>12</v>
      </c>
      <c r="D229" s="182"/>
      <c r="E229" s="182"/>
      <c r="F229" s="182"/>
      <c r="G229" s="182"/>
      <c r="H229" s="455"/>
      <c r="I229" s="166" t="e">
        <f t="shared" si="104"/>
        <v>#DIV/0!</v>
      </c>
      <c r="J229" s="166" t="e">
        <f t="shared" si="104"/>
        <v>#DIV/0!</v>
      </c>
      <c r="K229" s="166" t="e">
        <f t="shared" si="104"/>
        <v>#DIV/0!</v>
      </c>
      <c r="L229" s="456"/>
      <c r="M229" s="166" t="e">
        <f>RANK(K229, K$218:$K$247)</f>
        <v>#DIV/0!</v>
      </c>
    </row>
    <row r="230" spans="2:13" s="103" customFormat="1">
      <c r="B230" s="454"/>
      <c r="C230" s="182">
        <v>13</v>
      </c>
      <c r="D230" s="182"/>
      <c r="E230" s="182"/>
      <c r="F230" s="182"/>
      <c r="G230" s="182"/>
      <c r="H230" s="455"/>
      <c r="I230" s="166" t="e">
        <f t="shared" si="104"/>
        <v>#DIV/0!</v>
      </c>
      <c r="J230" s="166" t="e">
        <f t="shared" si="104"/>
        <v>#DIV/0!</v>
      </c>
      <c r="K230" s="166" t="e">
        <f t="shared" si="104"/>
        <v>#DIV/0!</v>
      </c>
      <c r="L230" s="456"/>
      <c r="M230" s="166" t="e">
        <f>RANK(K230, K$218:$K$247)</f>
        <v>#DIV/0!</v>
      </c>
    </row>
    <row r="231" spans="2:13" s="103" customFormat="1">
      <c r="B231" s="454"/>
      <c r="C231" s="182">
        <v>14</v>
      </c>
      <c r="D231" s="182"/>
      <c r="E231" s="182"/>
      <c r="F231" s="182"/>
      <c r="G231" s="182"/>
      <c r="H231" s="455"/>
      <c r="I231" s="166" t="e">
        <f t="shared" si="104"/>
        <v>#DIV/0!</v>
      </c>
      <c r="J231" s="166" t="e">
        <f t="shared" si="104"/>
        <v>#DIV/0!</v>
      </c>
      <c r="K231" s="166" t="e">
        <f t="shared" si="104"/>
        <v>#DIV/0!</v>
      </c>
      <c r="L231" s="456"/>
      <c r="M231" s="166" t="e">
        <f>RANK(K231, K$218:$K$247)</f>
        <v>#DIV/0!</v>
      </c>
    </row>
    <row r="232" spans="2:13" s="103" customFormat="1">
      <c r="B232" s="454"/>
      <c r="C232" s="182">
        <v>15</v>
      </c>
      <c r="D232" s="182"/>
      <c r="E232" s="182"/>
      <c r="F232" s="182"/>
      <c r="G232" s="182"/>
      <c r="H232" s="455"/>
      <c r="I232" s="166" t="e">
        <f t="shared" si="104"/>
        <v>#DIV/0!</v>
      </c>
      <c r="J232" s="166" t="e">
        <f t="shared" si="104"/>
        <v>#DIV/0!</v>
      </c>
      <c r="K232" s="166" t="e">
        <f t="shared" si="104"/>
        <v>#DIV/0!</v>
      </c>
      <c r="L232" s="456"/>
      <c r="M232" s="166" t="e">
        <f>RANK(K232, K$218:$K$247)</f>
        <v>#DIV/0!</v>
      </c>
    </row>
    <row r="233" spans="2:13" s="103" customFormat="1">
      <c r="B233" s="454"/>
      <c r="C233" s="182">
        <v>16</v>
      </c>
      <c r="D233" s="182"/>
      <c r="E233" s="182"/>
      <c r="F233" s="182"/>
      <c r="G233" s="182"/>
      <c r="H233" s="455"/>
      <c r="I233" s="166" t="e">
        <f t="shared" si="104"/>
        <v>#DIV/0!</v>
      </c>
      <c r="J233" s="166" t="e">
        <f t="shared" si="104"/>
        <v>#DIV/0!</v>
      </c>
      <c r="K233" s="166" t="e">
        <f t="shared" si="104"/>
        <v>#DIV/0!</v>
      </c>
      <c r="L233" s="456"/>
      <c r="M233" s="166" t="e">
        <f>RANK(K233, K$218:$K$247)</f>
        <v>#DIV/0!</v>
      </c>
    </row>
    <row r="234" spans="2:13" s="103" customFormat="1">
      <c r="B234" s="454"/>
      <c r="C234" s="182">
        <v>17</v>
      </c>
      <c r="D234" s="182"/>
      <c r="E234" s="182"/>
      <c r="F234" s="182"/>
      <c r="G234" s="182"/>
      <c r="H234" s="455"/>
      <c r="I234" s="166" t="e">
        <f t="shared" si="104"/>
        <v>#DIV/0!</v>
      </c>
      <c r="J234" s="166" t="e">
        <f t="shared" si="104"/>
        <v>#DIV/0!</v>
      </c>
      <c r="K234" s="166" t="e">
        <f t="shared" si="104"/>
        <v>#DIV/0!</v>
      </c>
      <c r="L234" s="456"/>
      <c r="M234" s="166" t="e">
        <f>RANK(K234, K$218:$K$247)</f>
        <v>#DIV/0!</v>
      </c>
    </row>
    <row r="235" spans="2:13" s="103" customFormat="1">
      <c r="B235" s="454"/>
      <c r="C235" s="182">
        <v>18</v>
      </c>
      <c r="D235" s="182"/>
      <c r="E235" s="182"/>
      <c r="F235" s="182"/>
      <c r="G235" s="182"/>
      <c r="H235" s="455"/>
      <c r="I235" s="166" t="e">
        <f t="shared" si="104"/>
        <v>#DIV/0!</v>
      </c>
      <c r="J235" s="166" t="e">
        <f t="shared" si="104"/>
        <v>#DIV/0!</v>
      </c>
      <c r="K235" s="166" t="e">
        <f t="shared" si="104"/>
        <v>#DIV/0!</v>
      </c>
      <c r="L235" s="456"/>
      <c r="M235" s="166" t="e">
        <f>RANK(K235, K$218:$K$247)</f>
        <v>#DIV/0!</v>
      </c>
    </row>
    <row r="236" spans="2:13" s="103" customFormat="1">
      <c r="B236" s="454"/>
      <c r="C236" s="182">
        <v>19</v>
      </c>
      <c r="D236" s="182"/>
      <c r="E236" s="182"/>
      <c r="F236" s="182"/>
      <c r="G236" s="182"/>
      <c r="H236" s="455"/>
      <c r="I236" s="166" t="e">
        <f t="shared" si="104"/>
        <v>#DIV/0!</v>
      </c>
      <c r="J236" s="166" t="e">
        <f t="shared" si="104"/>
        <v>#DIV/0!</v>
      </c>
      <c r="K236" s="166" t="e">
        <f t="shared" si="104"/>
        <v>#DIV/0!</v>
      </c>
      <c r="L236" s="456"/>
      <c r="M236" s="166" t="e">
        <f>RANK(K236, K$218:$K$247)</f>
        <v>#DIV/0!</v>
      </c>
    </row>
    <row r="237" spans="2:13" s="103" customFormat="1">
      <c r="B237" s="454"/>
      <c r="C237" s="182">
        <v>20</v>
      </c>
      <c r="D237" s="182"/>
      <c r="E237" s="182"/>
      <c r="F237" s="182"/>
      <c r="G237" s="182"/>
      <c r="H237" s="455"/>
      <c r="I237" s="166" t="e">
        <f t="shared" si="104"/>
        <v>#DIV/0!</v>
      </c>
      <c r="J237" s="166" t="e">
        <f t="shared" si="104"/>
        <v>#DIV/0!</v>
      </c>
      <c r="K237" s="166" t="e">
        <f t="shared" si="104"/>
        <v>#DIV/0!</v>
      </c>
      <c r="L237" s="456"/>
      <c r="M237" s="166" t="e">
        <f>RANK(K237, K$218:$K$247)</f>
        <v>#DIV/0!</v>
      </c>
    </row>
    <row r="238" spans="2:13" s="103" customFormat="1">
      <c r="B238" s="454"/>
      <c r="C238" s="182">
        <v>21</v>
      </c>
      <c r="D238" s="182"/>
      <c r="E238" s="182"/>
      <c r="F238" s="182"/>
      <c r="G238" s="182"/>
      <c r="H238" s="455"/>
      <c r="I238" s="166" t="e">
        <f t="shared" si="104"/>
        <v>#DIV/0!</v>
      </c>
      <c r="J238" s="166" t="e">
        <f t="shared" si="104"/>
        <v>#DIV/0!</v>
      </c>
      <c r="K238" s="166" t="e">
        <f t="shared" si="104"/>
        <v>#DIV/0!</v>
      </c>
      <c r="L238" s="456"/>
      <c r="M238" s="166" t="e">
        <f>RANK(K238, K$218:$K$247)</f>
        <v>#DIV/0!</v>
      </c>
    </row>
    <row r="239" spans="2:13" s="103" customFormat="1">
      <c r="B239" s="454"/>
      <c r="C239" s="182">
        <v>22</v>
      </c>
      <c r="D239" s="182"/>
      <c r="E239" s="182"/>
      <c r="F239" s="182"/>
      <c r="G239" s="182"/>
      <c r="H239" s="455"/>
      <c r="I239" s="166" t="e">
        <f t="shared" si="104"/>
        <v>#DIV/0!</v>
      </c>
      <c r="J239" s="166" t="e">
        <f t="shared" si="104"/>
        <v>#DIV/0!</v>
      </c>
      <c r="K239" s="166" t="e">
        <f t="shared" si="104"/>
        <v>#DIV/0!</v>
      </c>
      <c r="L239" s="456"/>
      <c r="M239" s="166" t="e">
        <f>RANK(K239, K$218:$K$247)</f>
        <v>#DIV/0!</v>
      </c>
    </row>
    <row r="240" spans="2:13" s="103" customFormat="1">
      <c r="B240" s="454"/>
      <c r="C240" s="182">
        <v>23</v>
      </c>
      <c r="D240" s="182"/>
      <c r="E240" s="182"/>
      <c r="F240" s="182"/>
      <c r="G240" s="182"/>
      <c r="H240" s="455"/>
      <c r="I240" s="166" t="e">
        <f t="shared" si="104"/>
        <v>#DIV/0!</v>
      </c>
      <c r="J240" s="166" t="e">
        <f t="shared" si="104"/>
        <v>#DIV/0!</v>
      </c>
      <c r="K240" s="166" t="e">
        <f t="shared" si="104"/>
        <v>#DIV/0!</v>
      </c>
      <c r="L240" s="456"/>
      <c r="M240" s="166" t="e">
        <f>RANK(K240, K$218:$K$247)</f>
        <v>#DIV/0!</v>
      </c>
    </row>
    <row r="241" spans="2:13" s="103" customFormat="1">
      <c r="B241" s="454"/>
      <c r="C241" s="182">
        <v>24</v>
      </c>
      <c r="D241" s="182"/>
      <c r="E241" s="182"/>
      <c r="F241" s="182"/>
      <c r="G241" s="182"/>
      <c r="H241" s="455"/>
      <c r="I241" s="166"/>
      <c r="J241" s="166"/>
      <c r="K241" s="166"/>
      <c r="L241" s="456"/>
      <c r="M241" s="166" t="e">
        <f>RANK(K241, K$218:$K$247)</f>
        <v>#DIV/0!</v>
      </c>
    </row>
    <row r="242" spans="2:13" s="103" customFormat="1">
      <c r="B242" s="454"/>
      <c r="C242" s="182">
        <v>25</v>
      </c>
      <c r="D242" s="182"/>
      <c r="E242" s="182"/>
      <c r="F242" s="182"/>
      <c r="G242" s="182"/>
      <c r="H242" s="455"/>
      <c r="I242" s="166"/>
      <c r="J242" s="166"/>
      <c r="K242" s="166"/>
      <c r="L242" s="456"/>
      <c r="M242" s="166" t="e">
        <f>RANK(K242, K$218:$K$247)</f>
        <v>#DIV/0!</v>
      </c>
    </row>
    <row r="243" spans="2:13" s="103" customFormat="1">
      <c r="B243" s="454"/>
      <c r="C243" s="182">
        <v>26</v>
      </c>
      <c r="D243" s="182"/>
      <c r="E243" s="182"/>
      <c r="F243" s="182"/>
      <c r="G243" s="182"/>
      <c r="H243" s="455"/>
      <c r="I243" s="166"/>
      <c r="J243" s="166"/>
      <c r="K243" s="166"/>
      <c r="L243" s="456"/>
      <c r="M243" s="166" t="e">
        <f>RANK(K243, K$218:$K$247)</f>
        <v>#DIV/0!</v>
      </c>
    </row>
    <row r="244" spans="2:13" s="103" customFormat="1">
      <c r="B244" s="454"/>
      <c r="C244" s="182">
        <v>27</v>
      </c>
      <c r="D244" s="182"/>
      <c r="E244" s="182"/>
      <c r="F244" s="182"/>
      <c r="G244" s="182"/>
      <c r="H244" s="455"/>
      <c r="I244" s="166"/>
      <c r="J244" s="166"/>
      <c r="K244" s="166"/>
      <c r="L244" s="456"/>
      <c r="M244" s="166" t="e">
        <f>RANK(K244, K$218:$K$247)</f>
        <v>#DIV/0!</v>
      </c>
    </row>
    <row r="245" spans="2:13" s="103" customFormat="1">
      <c r="B245" s="454"/>
      <c r="C245" s="182">
        <v>28</v>
      </c>
      <c r="D245" s="182"/>
      <c r="E245" s="182"/>
      <c r="F245" s="182"/>
      <c r="G245" s="182"/>
      <c r="H245" s="455"/>
      <c r="I245" s="166"/>
      <c r="J245" s="166"/>
      <c r="K245" s="166"/>
      <c r="L245" s="456"/>
      <c r="M245" s="166" t="e">
        <f>RANK(K245, K$218:$K$247)</f>
        <v>#DIV/0!</v>
      </c>
    </row>
    <row r="246" spans="2:13" s="103" customFormat="1">
      <c r="B246" s="454"/>
      <c r="C246" s="182">
        <v>29</v>
      </c>
      <c r="D246" s="182"/>
      <c r="E246" s="182"/>
      <c r="F246" s="182"/>
      <c r="G246" s="182"/>
      <c r="H246" s="455"/>
      <c r="I246" s="166"/>
      <c r="J246" s="166"/>
      <c r="K246" s="166"/>
      <c r="L246" s="456"/>
      <c r="M246" s="166" t="e">
        <f>RANK(K246, K$218:$K$247)</f>
        <v>#DIV/0!</v>
      </c>
    </row>
    <row r="247" spans="2:13" s="103" customFormat="1">
      <c r="B247" s="454"/>
      <c r="C247" s="182">
        <v>30</v>
      </c>
      <c r="D247" s="182"/>
      <c r="E247" s="182"/>
      <c r="F247" s="182"/>
      <c r="G247" s="182"/>
      <c r="H247" s="455"/>
      <c r="I247" s="166"/>
      <c r="J247" s="166"/>
      <c r="K247" s="166"/>
      <c r="L247" s="456"/>
      <c r="M247" s="166" t="e">
        <f>RANK(K247, K$218:$K$247)</f>
        <v>#DIV/0!</v>
      </c>
    </row>
    <row r="250" spans="2:13" s="103" customFormat="1">
      <c r="C250" s="102"/>
      <c r="D250" s="182" t="s">
        <v>361</v>
      </c>
      <c r="E250" s="182">
        <v>4</v>
      </c>
      <c r="F250" s="182">
        <v>2700</v>
      </c>
      <c r="G250" s="182">
        <f>F250/E250</f>
        <v>675</v>
      </c>
      <c r="H250" s="102">
        <v>704.2</v>
      </c>
      <c r="I250" s="102"/>
      <c r="J250" s="102"/>
      <c r="K250" s="102"/>
      <c r="L250" s="102"/>
      <c r="M250" s="102"/>
    </row>
    <row r="251" spans="2:13" s="103" customFormat="1">
      <c r="C251" s="102"/>
      <c r="D251" s="182" t="s">
        <v>363</v>
      </c>
      <c r="E251" s="182">
        <v>3</v>
      </c>
      <c r="F251" s="182">
        <v>2700</v>
      </c>
      <c r="G251" s="182">
        <f t="shared" ref="G251:G255" si="105">F251/E251</f>
        <v>900</v>
      </c>
      <c r="H251" s="102"/>
      <c r="I251" s="102"/>
      <c r="J251" s="102"/>
      <c r="K251" s="102"/>
      <c r="L251" s="102"/>
      <c r="M251" s="102"/>
    </row>
    <row r="252" spans="2:13" s="103" customFormat="1">
      <c r="C252" s="102"/>
      <c r="D252" s="182" t="s">
        <v>364</v>
      </c>
      <c r="E252" s="182">
        <v>4</v>
      </c>
      <c r="F252" s="182">
        <v>2700</v>
      </c>
      <c r="G252" s="182">
        <f t="shared" si="105"/>
        <v>675</v>
      </c>
      <c r="H252" s="102"/>
      <c r="I252" s="102"/>
      <c r="J252" s="102"/>
      <c r="K252" s="102"/>
      <c r="L252" s="102"/>
      <c r="M252" s="102"/>
    </row>
    <row r="253" spans="2:13" s="103" customFormat="1">
      <c r="C253" s="102"/>
      <c r="D253" s="182" t="s">
        <v>643</v>
      </c>
      <c r="E253" s="182">
        <v>4</v>
      </c>
      <c r="F253" s="182">
        <v>2700</v>
      </c>
      <c r="G253" s="182">
        <f t="shared" si="105"/>
        <v>675</v>
      </c>
      <c r="H253" s="102"/>
      <c r="I253" s="102"/>
      <c r="J253" s="102"/>
      <c r="K253" s="102"/>
      <c r="L253" s="102"/>
      <c r="M253" s="102"/>
    </row>
    <row r="254" spans="2:13" s="103" customFormat="1">
      <c r="C254" s="102"/>
      <c r="D254" s="269" t="s">
        <v>748</v>
      </c>
      <c r="E254" s="182">
        <v>4</v>
      </c>
      <c r="F254" s="182">
        <v>2600</v>
      </c>
      <c r="G254" s="182">
        <f t="shared" si="105"/>
        <v>650</v>
      </c>
      <c r="H254" s="102"/>
      <c r="I254" s="102"/>
      <c r="J254" s="102"/>
      <c r="K254" s="102"/>
      <c r="L254" s="102"/>
      <c r="M254" s="102"/>
    </row>
    <row r="255" spans="2:13" s="103" customFormat="1">
      <c r="C255" s="102"/>
      <c r="D255" s="269" t="s">
        <v>749</v>
      </c>
      <c r="E255" s="182">
        <v>4</v>
      </c>
      <c r="F255" s="182">
        <v>2600</v>
      </c>
      <c r="G255" s="182">
        <f t="shared" si="105"/>
        <v>650</v>
      </c>
      <c r="H255" s="102"/>
      <c r="I255" s="102"/>
      <c r="J255" s="102"/>
      <c r="K255" s="102"/>
      <c r="L255" s="102"/>
      <c r="M255" s="102"/>
    </row>
    <row r="257" spans="4:8" s="103" customFormat="1">
      <c r="D257" s="182" t="s">
        <v>361</v>
      </c>
      <c r="E257" s="182">
        <v>4</v>
      </c>
      <c r="F257" s="182">
        <v>3300</v>
      </c>
      <c r="G257" s="182">
        <f>F257/E257</f>
        <v>825</v>
      </c>
      <c r="H257" s="102">
        <v>845.8</v>
      </c>
    </row>
    <row r="258" spans="4:8" s="103" customFormat="1">
      <c r="D258" s="182" t="s">
        <v>363</v>
      </c>
      <c r="E258" s="182">
        <v>3</v>
      </c>
      <c r="F258" s="182">
        <v>3300</v>
      </c>
      <c r="G258" s="182">
        <f t="shared" ref="G258:G262" si="106">F258/E258</f>
        <v>1100</v>
      </c>
      <c r="H258" s="102"/>
    </row>
    <row r="259" spans="4:8" s="103" customFormat="1">
      <c r="D259" s="182" t="s">
        <v>364</v>
      </c>
      <c r="E259" s="182">
        <v>4</v>
      </c>
      <c r="F259" s="182">
        <v>3300</v>
      </c>
      <c r="G259" s="182">
        <f t="shared" si="106"/>
        <v>825</v>
      </c>
      <c r="H259" s="102"/>
    </row>
    <row r="260" spans="4:8" s="103" customFormat="1">
      <c r="D260" s="182" t="s">
        <v>643</v>
      </c>
      <c r="E260" s="182">
        <v>4</v>
      </c>
      <c r="F260" s="182">
        <v>3100</v>
      </c>
      <c r="G260" s="182">
        <f t="shared" si="106"/>
        <v>775</v>
      </c>
      <c r="H260" s="102"/>
    </row>
    <row r="261" spans="4:8" s="103" customFormat="1">
      <c r="D261" s="269" t="s">
        <v>748</v>
      </c>
      <c r="E261" s="182">
        <v>4</v>
      </c>
      <c r="F261" s="182">
        <v>3100</v>
      </c>
      <c r="G261" s="182">
        <f t="shared" si="106"/>
        <v>775</v>
      </c>
      <c r="H261" s="102"/>
    </row>
    <row r="262" spans="4:8" s="103" customFormat="1">
      <c r="D262" s="269" t="s">
        <v>749</v>
      </c>
      <c r="E262" s="182">
        <v>4</v>
      </c>
      <c r="F262" s="182">
        <v>3100</v>
      </c>
      <c r="G262" s="182">
        <f t="shared" si="106"/>
        <v>775</v>
      </c>
      <c r="H262" s="102"/>
    </row>
  </sheetData>
  <mergeCells count="367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BB142"/>
  <sheetViews>
    <sheetView zoomScale="40" zoomScaleNormal="40" workbookViewId="0">
      <pane xSplit="15" topLeftCell="P1" activePane="topRight" state="frozen"/>
      <selection activeCell="L7" sqref="L7:L36"/>
      <selection pane="topRight" activeCell="AT7" sqref="AT7:AV13"/>
    </sheetView>
  </sheetViews>
  <sheetFormatPr defaultColWidth="8.81640625" defaultRowHeight="12.5"/>
  <cols>
    <col min="1" max="1" width="5.54296875" style="103" customWidth="1"/>
    <col min="2" max="2" width="12.453125" style="103" customWidth="1"/>
    <col min="3" max="3" width="8.81640625" style="102"/>
    <col min="4" max="4" width="26.453125" style="102" customWidth="1"/>
    <col min="5" max="7" width="8.453125" style="102" customWidth="1"/>
    <col min="8" max="8" width="11.1796875" style="102" bestFit="1" customWidth="1"/>
    <col min="9" max="12" width="11.1796875" style="102" customWidth="1"/>
    <col min="13" max="13" width="13.54296875" style="102" customWidth="1"/>
    <col min="14" max="14" width="9.81640625" style="102" customWidth="1"/>
    <col min="15" max="15" width="7.1796875" style="102" customWidth="1"/>
    <col min="16" max="18" width="12.81640625" style="102" customWidth="1"/>
    <col min="19" max="19" width="5.453125" style="102" customWidth="1"/>
    <col min="20" max="20" width="12.81640625" style="102" customWidth="1"/>
    <col min="21" max="23" width="12.81640625" style="103" customWidth="1"/>
    <col min="24" max="24" width="5.453125" style="102" customWidth="1"/>
    <col min="25" max="28" width="12.81640625" style="103" customWidth="1"/>
    <col min="29" max="29" width="5.453125" style="102" customWidth="1"/>
    <col min="30" max="30" width="12.81640625" style="103" customWidth="1"/>
    <col min="31" max="33" width="12.54296875" style="103" customWidth="1"/>
    <col min="34" max="34" width="5.453125" style="102" customWidth="1"/>
    <col min="35" max="35" width="13" style="103" customWidth="1"/>
    <col min="36" max="38" width="12.54296875" style="103" customWidth="1"/>
    <col min="39" max="39" width="5.453125" style="102" customWidth="1"/>
    <col min="40" max="40" width="13" style="103" customWidth="1"/>
    <col min="41" max="43" width="13.1796875" style="103" customWidth="1"/>
    <col min="44" max="44" width="5.453125" style="103" customWidth="1"/>
    <col min="45" max="48" width="13.1796875" style="103" customWidth="1"/>
    <col min="49" max="49" width="5.453125" style="103" customWidth="1"/>
    <col min="50" max="50" width="13.1796875" style="103" customWidth="1"/>
    <col min="51" max="16384" width="8.81640625" style="103"/>
  </cols>
  <sheetData>
    <row r="1" spans="1:54" ht="24.5">
      <c r="A1" s="74"/>
      <c r="B1" s="198" t="s">
        <v>332</v>
      </c>
      <c r="C1" s="197">
        <f>AVERAGE(L7,L27,L47,L87,L87,L107)</f>
        <v>170.93067830417365</v>
      </c>
    </row>
    <row r="2" spans="1:54" ht="15.5">
      <c r="A2" s="79"/>
      <c r="B2" s="477" t="s">
        <v>163</v>
      </c>
      <c r="C2" s="477"/>
      <c r="D2" s="477"/>
      <c r="E2" s="477"/>
      <c r="F2" s="477"/>
      <c r="G2" s="477"/>
      <c r="H2" s="477"/>
      <c r="I2" s="183"/>
      <c r="J2" s="183"/>
      <c r="K2" s="183"/>
      <c r="L2" s="183"/>
      <c r="M2" s="178"/>
      <c r="N2" s="480" t="s">
        <v>156</v>
      </c>
      <c r="O2" s="480" t="s">
        <v>155</v>
      </c>
      <c r="P2" s="490">
        <v>46112</v>
      </c>
      <c r="Q2" s="491"/>
      <c r="R2" s="491"/>
      <c r="S2" s="491"/>
      <c r="T2" s="492"/>
      <c r="U2" s="476">
        <f>P2+1</f>
        <v>46113</v>
      </c>
      <c r="V2" s="454"/>
      <c r="W2" s="454"/>
      <c r="X2" s="454"/>
      <c r="Y2" s="454"/>
      <c r="Z2" s="476">
        <f>U2+1</f>
        <v>46114</v>
      </c>
      <c r="AA2" s="454"/>
      <c r="AB2" s="454"/>
      <c r="AC2" s="454"/>
      <c r="AD2" s="454"/>
      <c r="AE2" s="476">
        <f>Z2+1</f>
        <v>46115</v>
      </c>
      <c r="AF2" s="454"/>
      <c r="AG2" s="454"/>
      <c r="AH2" s="454"/>
      <c r="AI2" s="454"/>
      <c r="AJ2" s="476">
        <f>AE2+1</f>
        <v>46116</v>
      </c>
      <c r="AK2" s="454"/>
      <c r="AL2" s="454"/>
      <c r="AM2" s="454"/>
      <c r="AN2" s="454"/>
      <c r="AO2" s="476">
        <f>AJ2+1</f>
        <v>46117</v>
      </c>
      <c r="AP2" s="454"/>
      <c r="AQ2" s="454"/>
      <c r="AR2" s="454"/>
      <c r="AS2" s="454"/>
      <c r="AT2" s="473">
        <f>AO2+1</f>
        <v>46118</v>
      </c>
      <c r="AU2" s="474"/>
      <c r="AV2" s="474"/>
      <c r="AW2" s="474"/>
      <c r="AX2" s="475"/>
    </row>
    <row r="3" spans="1:54" ht="15.5">
      <c r="A3" s="79"/>
      <c r="B3" s="486"/>
      <c r="C3" s="486"/>
      <c r="D3" s="486"/>
      <c r="E3" s="486"/>
      <c r="F3" s="486"/>
      <c r="G3" s="486"/>
      <c r="H3" s="486"/>
      <c r="I3" s="184"/>
      <c r="J3" s="184"/>
      <c r="K3" s="184"/>
      <c r="L3" s="184"/>
      <c r="M3" s="179"/>
      <c r="N3" s="481"/>
      <c r="O3" s="481"/>
      <c r="P3" s="476" t="s">
        <v>158</v>
      </c>
      <c r="Q3" s="454"/>
      <c r="R3" s="454"/>
      <c r="S3" s="454"/>
      <c r="T3" s="454"/>
      <c r="U3" s="476" t="s">
        <v>114</v>
      </c>
      <c r="V3" s="454"/>
      <c r="W3" s="454"/>
      <c r="X3" s="454"/>
      <c r="Y3" s="454"/>
      <c r="Z3" s="476" t="s">
        <v>159</v>
      </c>
      <c r="AA3" s="454"/>
      <c r="AB3" s="454"/>
      <c r="AC3" s="454"/>
      <c r="AD3" s="454"/>
      <c r="AE3" s="476" t="s">
        <v>157</v>
      </c>
      <c r="AF3" s="454"/>
      <c r="AG3" s="454"/>
      <c r="AH3" s="454"/>
      <c r="AI3" s="454"/>
      <c r="AJ3" s="476" t="s">
        <v>160</v>
      </c>
      <c r="AK3" s="454"/>
      <c r="AL3" s="454"/>
      <c r="AM3" s="454"/>
      <c r="AN3" s="454"/>
      <c r="AO3" s="476" t="s">
        <v>115</v>
      </c>
      <c r="AP3" s="454"/>
      <c r="AQ3" s="454"/>
      <c r="AR3" s="454"/>
      <c r="AS3" s="454"/>
      <c r="AT3" s="476" t="s">
        <v>162</v>
      </c>
      <c r="AU3" s="454"/>
      <c r="AV3" s="454"/>
      <c r="AW3" s="454"/>
      <c r="AX3" s="454"/>
    </row>
    <row r="4" spans="1:54" ht="13.5">
      <c r="A4" s="79"/>
      <c r="B4" s="461" t="s">
        <v>714</v>
      </c>
      <c r="C4" s="461" t="s">
        <v>715</v>
      </c>
      <c r="D4" s="461"/>
      <c r="E4" s="461" t="s">
        <v>716</v>
      </c>
      <c r="F4" s="461"/>
      <c r="G4" s="461"/>
      <c r="H4" s="482" t="s">
        <v>717</v>
      </c>
      <c r="I4" s="461" t="s">
        <v>718</v>
      </c>
      <c r="J4" s="461"/>
      <c r="K4" s="461"/>
      <c r="L4" s="482" t="s">
        <v>717</v>
      </c>
      <c r="M4" s="480" t="s">
        <v>719</v>
      </c>
      <c r="N4" s="461"/>
      <c r="O4" s="461" t="s">
        <v>720</v>
      </c>
      <c r="P4" s="466" t="s">
        <v>721</v>
      </c>
      <c r="Q4" s="467"/>
      <c r="R4" s="467"/>
      <c r="S4" s="468"/>
      <c r="T4" s="461" t="s">
        <v>717</v>
      </c>
      <c r="U4" s="466" t="s">
        <v>721</v>
      </c>
      <c r="V4" s="467"/>
      <c r="W4" s="467"/>
      <c r="X4" s="468"/>
      <c r="Y4" s="461" t="s">
        <v>717</v>
      </c>
      <c r="Z4" s="466" t="s">
        <v>721</v>
      </c>
      <c r="AA4" s="467"/>
      <c r="AB4" s="467"/>
      <c r="AC4" s="468"/>
      <c r="AD4" s="461" t="s">
        <v>717</v>
      </c>
      <c r="AE4" s="466" t="s">
        <v>721</v>
      </c>
      <c r="AF4" s="467"/>
      <c r="AG4" s="467"/>
      <c r="AH4" s="468"/>
      <c r="AI4" s="461" t="s">
        <v>717</v>
      </c>
      <c r="AJ4" s="466" t="s">
        <v>721</v>
      </c>
      <c r="AK4" s="467"/>
      <c r="AL4" s="467"/>
      <c r="AM4" s="468"/>
      <c r="AN4" s="461" t="s">
        <v>717</v>
      </c>
      <c r="AO4" s="466" t="s">
        <v>721</v>
      </c>
      <c r="AP4" s="467"/>
      <c r="AQ4" s="467"/>
      <c r="AR4" s="468"/>
      <c r="AS4" s="461" t="s">
        <v>717</v>
      </c>
      <c r="AT4" s="466" t="s">
        <v>721</v>
      </c>
      <c r="AU4" s="467"/>
      <c r="AV4" s="467"/>
      <c r="AW4" s="468"/>
      <c r="AX4" s="461" t="s">
        <v>717</v>
      </c>
    </row>
    <row r="5" spans="1:54" ht="13.5">
      <c r="A5" s="79"/>
      <c r="B5" s="461"/>
      <c r="C5" s="461"/>
      <c r="D5" s="461"/>
      <c r="E5" s="461" t="s">
        <v>722</v>
      </c>
      <c r="F5" s="461"/>
      <c r="G5" s="461"/>
      <c r="H5" s="483"/>
      <c r="I5" s="461" t="s">
        <v>722</v>
      </c>
      <c r="J5" s="461"/>
      <c r="K5" s="461"/>
      <c r="L5" s="483"/>
      <c r="M5" s="485"/>
      <c r="N5" s="461"/>
      <c r="O5" s="461"/>
      <c r="P5" s="466" t="s">
        <v>723</v>
      </c>
      <c r="Q5" s="467"/>
      <c r="R5" s="467"/>
      <c r="S5" s="468"/>
      <c r="T5" s="461"/>
      <c r="U5" s="466" t="s">
        <v>723</v>
      </c>
      <c r="V5" s="467"/>
      <c r="W5" s="467"/>
      <c r="X5" s="468"/>
      <c r="Y5" s="461"/>
      <c r="Z5" s="466" t="s">
        <v>723</v>
      </c>
      <c r="AA5" s="467"/>
      <c r="AB5" s="467"/>
      <c r="AC5" s="468"/>
      <c r="AD5" s="461"/>
      <c r="AE5" s="466" t="s">
        <v>723</v>
      </c>
      <c r="AF5" s="467"/>
      <c r="AG5" s="467"/>
      <c r="AH5" s="468"/>
      <c r="AI5" s="461"/>
      <c r="AJ5" s="466" t="s">
        <v>723</v>
      </c>
      <c r="AK5" s="467"/>
      <c r="AL5" s="467"/>
      <c r="AM5" s="468"/>
      <c r="AN5" s="461"/>
      <c r="AO5" s="466" t="s">
        <v>723</v>
      </c>
      <c r="AP5" s="467"/>
      <c r="AQ5" s="467"/>
      <c r="AR5" s="468"/>
      <c r="AS5" s="461"/>
      <c r="AT5" s="466" t="s">
        <v>723</v>
      </c>
      <c r="AU5" s="467"/>
      <c r="AV5" s="467"/>
      <c r="AW5" s="468"/>
      <c r="AX5" s="461"/>
    </row>
    <row r="6" spans="1:54" ht="13.5">
      <c r="A6" s="77"/>
      <c r="B6" s="461"/>
      <c r="C6" s="461"/>
      <c r="D6" s="461"/>
      <c r="E6" s="269" t="s">
        <v>724</v>
      </c>
      <c r="F6" s="269" t="s">
        <v>725</v>
      </c>
      <c r="G6" s="269" t="s">
        <v>726</v>
      </c>
      <c r="H6" s="484"/>
      <c r="I6" s="269" t="s">
        <v>724</v>
      </c>
      <c r="J6" s="269" t="s">
        <v>725</v>
      </c>
      <c r="K6" s="269" t="s">
        <v>726</v>
      </c>
      <c r="L6" s="484"/>
      <c r="M6" s="481"/>
      <c r="N6" s="461"/>
      <c r="O6" s="461"/>
      <c r="P6" s="269" t="s">
        <v>724</v>
      </c>
      <c r="Q6" s="269" t="s">
        <v>725</v>
      </c>
      <c r="R6" s="269" t="s">
        <v>726</v>
      </c>
      <c r="S6" s="269" t="s">
        <v>719</v>
      </c>
      <c r="T6" s="461"/>
      <c r="U6" s="269" t="s">
        <v>724</v>
      </c>
      <c r="V6" s="269" t="s">
        <v>725</v>
      </c>
      <c r="W6" s="269" t="s">
        <v>726</v>
      </c>
      <c r="X6" s="269" t="s">
        <v>719</v>
      </c>
      <c r="Y6" s="461"/>
      <c r="Z6" s="269" t="s">
        <v>724</v>
      </c>
      <c r="AA6" s="269" t="s">
        <v>725</v>
      </c>
      <c r="AB6" s="269" t="s">
        <v>726</v>
      </c>
      <c r="AC6" s="269" t="s">
        <v>719</v>
      </c>
      <c r="AD6" s="461"/>
      <c r="AE6" s="269" t="s">
        <v>724</v>
      </c>
      <c r="AF6" s="269" t="s">
        <v>725</v>
      </c>
      <c r="AG6" s="269" t="s">
        <v>726</v>
      </c>
      <c r="AH6" s="269" t="s">
        <v>719</v>
      </c>
      <c r="AI6" s="461"/>
      <c r="AJ6" s="269" t="s">
        <v>724</v>
      </c>
      <c r="AK6" s="269" t="s">
        <v>725</v>
      </c>
      <c r="AL6" s="269" t="s">
        <v>726</v>
      </c>
      <c r="AM6" s="269" t="s">
        <v>719</v>
      </c>
      <c r="AN6" s="461"/>
      <c r="AO6" s="269" t="s">
        <v>724</v>
      </c>
      <c r="AP6" s="269" t="s">
        <v>725</v>
      </c>
      <c r="AQ6" s="269" t="s">
        <v>726</v>
      </c>
      <c r="AR6" s="269" t="s">
        <v>719</v>
      </c>
      <c r="AS6" s="461"/>
      <c r="AT6" s="269" t="s">
        <v>724</v>
      </c>
      <c r="AU6" s="269" t="s">
        <v>725</v>
      </c>
      <c r="AV6" s="269" t="s">
        <v>726</v>
      </c>
      <c r="AW6" s="269" t="s">
        <v>719</v>
      </c>
      <c r="AX6" s="461"/>
    </row>
    <row r="7" spans="1:54" ht="13.5">
      <c r="A7" s="79"/>
      <c r="B7" s="501" t="s">
        <v>727</v>
      </c>
      <c r="C7" s="182">
        <v>1</v>
      </c>
      <c r="D7" s="203" t="s">
        <v>784</v>
      </c>
      <c r="E7" s="166">
        <v>10</v>
      </c>
      <c r="F7" s="166">
        <v>1500</v>
      </c>
      <c r="G7" s="166">
        <v>150</v>
      </c>
      <c r="H7" s="463">
        <f>AVERAGE(G7:G21)</f>
        <v>157.14285714285714</v>
      </c>
      <c r="I7" s="166">
        <f t="shared" ref="I7:I21" si="0">IFERROR(AVERAGE(P7,U7,Z7,AE7,AJ7,AO7,AT7),"-")</f>
        <v>10</v>
      </c>
      <c r="J7" s="166">
        <f t="shared" ref="J7:J21" si="1">IFERROR(AVERAGE(Q7,V7,AA7,AF7,AK7,AP7,AU7),"-")</f>
        <v>1516.1142857142841</v>
      </c>
      <c r="K7" s="180">
        <f t="shared" ref="K7:K21" si="2">IFERROR(AVERAGE(R7,W7,AB7,AG7,AL7,AQ7,AV7),"-")</f>
        <v>151.61142857142843</v>
      </c>
      <c r="L7" s="463">
        <f>IFERROR(AVERAGE(K7:K21),"-")</f>
        <v>170.93067830417365</v>
      </c>
      <c r="M7" s="181">
        <f>RANK(K7, K$7:$K$21)</f>
        <v>4</v>
      </c>
      <c r="N7" s="461"/>
      <c r="O7" s="461"/>
      <c r="P7" s="182">
        <v>10</v>
      </c>
      <c r="Q7" s="166">
        <v>1593.5999999999954</v>
      </c>
      <c r="R7" s="166">
        <v>159.35999999999953</v>
      </c>
      <c r="S7" s="182">
        <f>RANK(R7, R$7:R$21)</f>
        <v>3</v>
      </c>
      <c r="T7" s="455">
        <f>AVERAGE(R7:R21)</f>
        <v>168.74553714980007</v>
      </c>
      <c r="U7" s="182">
        <v>10</v>
      </c>
      <c r="V7" s="166">
        <v>1461.6000000000004</v>
      </c>
      <c r="W7" s="166">
        <v>146.16000000000003</v>
      </c>
      <c r="X7" s="182">
        <f t="shared" ref="X7:X21" si="3">RANK(W7, W$7:W$21)</f>
        <v>5</v>
      </c>
      <c r="Y7" s="455">
        <f t="shared" ref="Y7" si="4">AVERAGE(W7:W21)</f>
        <v>172.82071987769473</v>
      </c>
      <c r="Z7" s="182">
        <v>10</v>
      </c>
      <c r="AA7" s="166">
        <v>1601.999999999993</v>
      </c>
      <c r="AB7" s="166">
        <v>160.19999999999931</v>
      </c>
      <c r="AC7" s="182">
        <f t="shared" ref="AC7:AC21" si="5">RANK(AB7, AB$7:AB$21)</f>
        <v>3</v>
      </c>
      <c r="AD7" s="455">
        <f t="shared" ref="AD7" si="6">AVERAGE(AB7:AB21)</f>
        <v>169.14285714285708</v>
      </c>
      <c r="AE7" s="182">
        <v>10</v>
      </c>
      <c r="AF7" s="166">
        <v>1533.0000000000055</v>
      </c>
      <c r="AG7" s="166">
        <v>153.30000000000055</v>
      </c>
      <c r="AH7" s="182">
        <f t="shared" ref="AH7:AH21" si="7">RANK(AG7, AG$7:AG$21)</f>
        <v>4</v>
      </c>
      <c r="AI7" s="455">
        <f t="shared" ref="AI7" si="8">AVERAGE(AG7:AG21)</f>
        <v>173.65831001296849</v>
      </c>
      <c r="AJ7" s="182">
        <v>10</v>
      </c>
      <c r="AK7" s="166">
        <v>1355.9999999999995</v>
      </c>
      <c r="AL7" s="166">
        <v>135.59999999999997</v>
      </c>
      <c r="AM7" s="182">
        <f t="shared" ref="AM7:AM21" si="9">RANK(AL7, AL$7:AL$21)</f>
        <v>5</v>
      </c>
      <c r="AN7" s="455">
        <f t="shared" ref="AN7" si="10">AVERAGE(AL7:AL21)</f>
        <v>165.15879120879123</v>
      </c>
      <c r="AO7" s="182">
        <v>10</v>
      </c>
      <c r="AP7" s="166">
        <v>1544.9999999999993</v>
      </c>
      <c r="AQ7" s="166">
        <v>154.49999999999994</v>
      </c>
      <c r="AR7" s="182">
        <f t="shared" ref="AR7:AR21" si="11">RANK(AQ7, AQ$7:AQ$21)</f>
        <v>4</v>
      </c>
      <c r="AS7" s="455">
        <f t="shared" ref="AS7" si="12">AVERAGE(AQ7:AQ21)</f>
        <v>180.05456448313609</v>
      </c>
      <c r="AT7" s="182">
        <v>10</v>
      </c>
      <c r="AU7" s="166">
        <v>1521.5999999999958</v>
      </c>
      <c r="AV7" s="166">
        <v>152.15999999999957</v>
      </c>
      <c r="AW7" s="182">
        <f t="shared" ref="AW7:AW21" si="13">RANK(AV7, AV$7:AV$21)</f>
        <v>3</v>
      </c>
      <c r="AX7" s="455">
        <f t="shared" ref="AX7" si="14">AVERAGE(AV7:AV21)</f>
        <v>166.93396825396823</v>
      </c>
      <c r="AZ7" s="181" t="e">
        <f>RANK(AX7, $K$7:AX$21)</f>
        <v>#VALUE!</v>
      </c>
      <c r="BB7" s="182" t="e">
        <f>RANK(BA7, BA$7:BA$21)</f>
        <v>#N/A</v>
      </c>
    </row>
    <row r="8" spans="1:54" ht="15" customHeight="1">
      <c r="A8" s="79"/>
      <c r="B8" s="454"/>
      <c r="C8" s="182">
        <v>2</v>
      </c>
      <c r="D8" s="203" t="s">
        <v>785</v>
      </c>
      <c r="E8" s="166">
        <v>15</v>
      </c>
      <c r="F8" s="166">
        <v>1800</v>
      </c>
      <c r="G8" s="166">
        <v>120</v>
      </c>
      <c r="H8" s="464"/>
      <c r="I8" s="166">
        <f t="shared" si="0"/>
        <v>12.142857142857142</v>
      </c>
      <c r="J8" s="166">
        <f t="shared" si="1"/>
        <v>1776.9965986394543</v>
      </c>
      <c r="K8" s="180">
        <f t="shared" si="2"/>
        <v>146.48414878772013</v>
      </c>
      <c r="L8" s="464"/>
      <c r="M8" s="181">
        <f>RANK(K8, K$7:$K$21)</f>
        <v>5</v>
      </c>
      <c r="N8" s="461"/>
      <c r="O8" s="461"/>
      <c r="P8" s="182">
        <v>12</v>
      </c>
      <c r="Q8" s="166">
        <v>1797.1428571428564</v>
      </c>
      <c r="R8" s="166">
        <v>149.7619047619047</v>
      </c>
      <c r="S8" s="182">
        <f t="shared" ref="S8:S21" si="15">RANK(R8, R$7:R$21)</f>
        <v>5</v>
      </c>
      <c r="T8" s="455"/>
      <c r="U8" s="182">
        <v>12</v>
      </c>
      <c r="V8" s="166">
        <v>1813.4999999999995</v>
      </c>
      <c r="W8" s="166">
        <v>151.12499999999997</v>
      </c>
      <c r="X8" s="182">
        <f t="shared" si="3"/>
        <v>4</v>
      </c>
      <c r="Y8" s="455"/>
      <c r="Z8" s="182">
        <v>12</v>
      </c>
      <c r="AA8" s="166">
        <v>1790.9999999999957</v>
      </c>
      <c r="AB8" s="166">
        <v>149.24999999999963</v>
      </c>
      <c r="AC8" s="182">
        <f t="shared" si="5"/>
        <v>5</v>
      </c>
      <c r="AD8" s="455"/>
      <c r="AE8" s="182">
        <v>12</v>
      </c>
      <c r="AF8" s="166">
        <v>1837.4999999999993</v>
      </c>
      <c r="AG8" s="166">
        <v>153.12499999999994</v>
      </c>
      <c r="AH8" s="182">
        <f t="shared" si="7"/>
        <v>5</v>
      </c>
      <c r="AI8" s="455"/>
      <c r="AJ8" s="182">
        <v>12</v>
      </c>
      <c r="AK8" s="166">
        <v>1732.4999999999957</v>
      </c>
      <c r="AL8" s="166">
        <v>144.37499999999963</v>
      </c>
      <c r="AM8" s="182">
        <f t="shared" si="9"/>
        <v>4</v>
      </c>
      <c r="AN8" s="455"/>
      <c r="AO8" s="182">
        <v>13</v>
      </c>
      <c r="AP8" s="166">
        <v>1745.9999999999995</v>
      </c>
      <c r="AQ8" s="166">
        <v>134.30769230769226</v>
      </c>
      <c r="AR8" s="182">
        <f t="shared" si="11"/>
        <v>6</v>
      </c>
      <c r="AS8" s="455"/>
      <c r="AT8" s="182">
        <v>12</v>
      </c>
      <c r="AU8" s="166">
        <v>1721.3333333333335</v>
      </c>
      <c r="AV8" s="166">
        <v>143.44444444444446</v>
      </c>
      <c r="AW8" s="182">
        <f t="shared" si="13"/>
        <v>5</v>
      </c>
      <c r="AX8" s="455"/>
      <c r="AZ8" s="181" t="e">
        <f>RANK(AX8, $K$7:AX$21)</f>
        <v>#VALUE!</v>
      </c>
      <c r="BB8" s="182" t="e">
        <f t="shared" ref="BB8:BB21" si="16">RANK(BA8, BA$7:BA$21)</f>
        <v>#N/A</v>
      </c>
    </row>
    <row r="9" spans="1:54" ht="13.5">
      <c r="A9" s="79"/>
      <c r="B9" s="454"/>
      <c r="C9" s="182">
        <v>3</v>
      </c>
      <c r="D9" s="203" t="s">
        <v>366</v>
      </c>
      <c r="E9" s="166">
        <v>15</v>
      </c>
      <c r="F9" s="166">
        <v>1800</v>
      </c>
      <c r="G9" s="166">
        <v>120</v>
      </c>
      <c r="H9" s="464"/>
      <c r="I9" s="166">
        <f t="shared" si="0"/>
        <v>12.142857142857142</v>
      </c>
      <c r="J9" s="166">
        <f t="shared" si="1"/>
        <v>1841.8167220376513</v>
      </c>
      <c r="K9" s="180">
        <f t="shared" si="2"/>
        <v>151.81027628702037</v>
      </c>
      <c r="L9" s="464"/>
      <c r="M9" s="181">
        <f>RANK(K9, K$7:$K$21)</f>
        <v>3</v>
      </c>
      <c r="N9" s="461"/>
      <c r="O9" s="461"/>
      <c r="P9" s="182">
        <v>12</v>
      </c>
      <c r="Q9" s="166">
        <v>1834.8837209302324</v>
      </c>
      <c r="R9" s="166">
        <v>152.90697674418604</v>
      </c>
      <c r="S9" s="182">
        <f t="shared" si="15"/>
        <v>4</v>
      </c>
      <c r="T9" s="455"/>
      <c r="U9" s="182">
        <v>12</v>
      </c>
      <c r="V9" s="166">
        <v>1909.5000000000032</v>
      </c>
      <c r="W9" s="166">
        <v>159.12500000000026</v>
      </c>
      <c r="X9" s="182">
        <f t="shared" si="3"/>
        <v>3</v>
      </c>
      <c r="Y9" s="455"/>
      <c r="Z9" s="182">
        <v>12</v>
      </c>
      <c r="AA9" s="166">
        <v>1885.4999999999955</v>
      </c>
      <c r="AB9" s="166">
        <v>157.12499999999963</v>
      </c>
      <c r="AC9" s="182">
        <f t="shared" si="5"/>
        <v>4</v>
      </c>
      <c r="AD9" s="455"/>
      <c r="AE9" s="182">
        <v>12</v>
      </c>
      <c r="AF9" s="166">
        <v>1852.4999999999993</v>
      </c>
      <c r="AG9" s="166">
        <v>154.37499999999994</v>
      </c>
      <c r="AH9" s="182">
        <f t="shared" si="7"/>
        <v>3</v>
      </c>
      <c r="AI9" s="455"/>
      <c r="AJ9" s="182">
        <v>12</v>
      </c>
      <c r="AK9" s="166">
        <v>1816.4999999999955</v>
      </c>
      <c r="AL9" s="166">
        <v>151.37499999999963</v>
      </c>
      <c r="AM9" s="182">
        <f t="shared" si="9"/>
        <v>3</v>
      </c>
      <c r="AN9" s="455"/>
      <c r="AO9" s="182">
        <v>13</v>
      </c>
      <c r="AP9" s="166">
        <v>1828.4999999999995</v>
      </c>
      <c r="AQ9" s="166">
        <v>140.65384615384613</v>
      </c>
      <c r="AR9" s="182">
        <f t="shared" si="11"/>
        <v>5</v>
      </c>
      <c r="AS9" s="455"/>
      <c r="AT9" s="182">
        <v>12</v>
      </c>
      <c r="AU9" s="166">
        <v>1765.3333333333333</v>
      </c>
      <c r="AV9" s="166">
        <v>147.11111111111111</v>
      </c>
      <c r="AW9" s="182">
        <f t="shared" si="13"/>
        <v>4</v>
      </c>
      <c r="AX9" s="455"/>
      <c r="AZ9" s="181" t="e">
        <f>RANK(AX9, $K$7:AX$21)</f>
        <v>#VALUE!</v>
      </c>
      <c r="BB9" s="182" t="e">
        <f t="shared" si="16"/>
        <v>#N/A</v>
      </c>
    </row>
    <row r="10" spans="1:54" ht="13.5">
      <c r="A10" s="79"/>
      <c r="B10" s="454"/>
      <c r="C10" s="182">
        <v>4</v>
      </c>
      <c r="D10" s="203" t="s">
        <v>640</v>
      </c>
      <c r="E10" s="166">
        <v>6</v>
      </c>
      <c r="F10" s="166">
        <v>1500</v>
      </c>
      <c r="G10" s="166">
        <v>250</v>
      </c>
      <c r="H10" s="464"/>
      <c r="I10" s="166">
        <f t="shared" si="0"/>
        <v>6</v>
      </c>
      <c r="J10" s="166">
        <f t="shared" si="1"/>
        <v>1513.4170247046197</v>
      </c>
      <c r="K10" s="180">
        <f t="shared" si="2"/>
        <v>252.23617078410325</v>
      </c>
      <c r="L10" s="464"/>
      <c r="M10" s="181">
        <f>RANK(K10, K$7:$K$21)</f>
        <v>2</v>
      </c>
      <c r="N10" s="461"/>
      <c r="O10" s="461"/>
      <c r="P10" s="182">
        <v>6</v>
      </c>
      <c r="Q10" s="166">
        <v>1430.5263157894726</v>
      </c>
      <c r="R10" s="166">
        <v>238.42105263157876</v>
      </c>
      <c r="S10" s="182">
        <f t="shared" si="15"/>
        <v>2</v>
      </c>
      <c r="T10" s="455"/>
      <c r="U10" s="182">
        <v>6</v>
      </c>
      <c r="V10" s="166">
        <v>1567.5000000000018</v>
      </c>
      <c r="W10" s="166">
        <v>261.25000000000028</v>
      </c>
      <c r="X10" s="182">
        <f t="shared" si="3"/>
        <v>2</v>
      </c>
      <c r="Y10" s="455"/>
      <c r="Z10" s="182">
        <v>6</v>
      </c>
      <c r="AA10" s="166">
        <v>1473.7500000000018</v>
      </c>
      <c r="AB10" s="166">
        <v>245.62500000000031</v>
      </c>
      <c r="AC10" s="182">
        <f t="shared" si="5"/>
        <v>2</v>
      </c>
      <c r="AD10" s="455"/>
      <c r="AE10" s="182">
        <v>6</v>
      </c>
      <c r="AF10" s="166">
        <v>1568.5714285714298</v>
      </c>
      <c r="AG10" s="166">
        <v>261.42857142857162</v>
      </c>
      <c r="AH10" s="182">
        <f t="shared" si="7"/>
        <v>2</v>
      </c>
      <c r="AI10" s="455"/>
      <c r="AJ10" s="182">
        <v>6</v>
      </c>
      <c r="AK10" s="166">
        <v>1545.0000000000005</v>
      </c>
      <c r="AL10" s="166">
        <v>257.50000000000006</v>
      </c>
      <c r="AM10" s="182">
        <f t="shared" si="9"/>
        <v>2</v>
      </c>
      <c r="AN10" s="455"/>
      <c r="AO10" s="182">
        <v>6</v>
      </c>
      <c r="AP10" s="166">
        <v>1508.5714285714298</v>
      </c>
      <c r="AQ10" s="166">
        <v>251.42857142857164</v>
      </c>
      <c r="AR10" s="182">
        <f t="shared" si="11"/>
        <v>2</v>
      </c>
      <c r="AS10" s="455"/>
      <c r="AT10" s="182">
        <v>6</v>
      </c>
      <c r="AU10" s="166">
        <v>1500.0000000000018</v>
      </c>
      <c r="AV10" s="166">
        <v>250.00000000000031</v>
      </c>
      <c r="AW10" s="182">
        <f t="shared" si="13"/>
        <v>2</v>
      </c>
      <c r="AX10" s="455"/>
      <c r="AZ10" s="181" t="e">
        <f>RANK(AX10, $K$7:AX$21)</f>
        <v>#VALUE!</v>
      </c>
      <c r="BB10" s="182" t="e">
        <f t="shared" si="16"/>
        <v>#N/A</v>
      </c>
    </row>
    <row r="11" spans="1:54" ht="13.5">
      <c r="A11" s="79"/>
      <c r="B11" s="454"/>
      <c r="C11" s="182">
        <v>5</v>
      </c>
      <c r="D11" s="203" t="s">
        <v>581</v>
      </c>
      <c r="E11" s="166">
        <v>5</v>
      </c>
      <c r="F11" s="166">
        <v>1500</v>
      </c>
      <c r="G11" s="166">
        <v>300</v>
      </c>
      <c r="H11" s="464"/>
      <c r="I11" s="166">
        <f t="shared" si="0"/>
        <v>5</v>
      </c>
      <c r="J11" s="166">
        <f t="shared" si="1"/>
        <v>1507.1334462638824</v>
      </c>
      <c r="K11" s="180">
        <f t="shared" si="2"/>
        <v>301.4266892527765</v>
      </c>
      <c r="L11" s="464"/>
      <c r="M11" s="181">
        <f>RANK(K11, K$7:$K$21)</f>
        <v>1</v>
      </c>
      <c r="N11" s="461"/>
      <c r="O11" s="461"/>
      <c r="P11" s="182">
        <v>5</v>
      </c>
      <c r="Q11" s="166">
        <v>1476.0000000000014</v>
      </c>
      <c r="R11" s="166">
        <v>295.20000000000027</v>
      </c>
      <c r="S11" s="182">
        <f t="shared" si="15"/>
        <v>1</v>
      </c>
      <c r="T11" s="455"/>
      <c r="U11" s="182">
        <v>5</v>
      </c>
      <c r="V11" s="166">
        <v>1522.2222222222231</v>
      </c>
      <c r="W11" s="166">
        <v>304.44444444444463</v>
      </c>
      <c r="X11" s="182">
        <f t="shared" si="3"/>
        <v>1</v>
      </c>
      <c r="Y11" s="455"/>
      <c r="Z11" s="182">
        <v>5</v>
      </c>
      <c r="AA11" s="166">
        <v>1495.0000000000027</v>
      </c>
      <c r="AB11" s="166">
        <v>299.00000000000057</v>
      </c>
      <c r="AC11" s="182">
        <f t="shared" si="5"/>
        <v>1</v>
      </c>
      <c r="AD11" s="455"/>
      <c r="AE11" s="182">
        <v>5</v>
      </c>
      <c r="AF11" s="166">
        <v>1554.7826086956522</v>
      </c>
      <c r="AG11" s="166">
        <v>310.95652173913044</v>
      </c>
      <c r="AH11" s="182">
        <f t="shared" si="7"/>
        <v>1</v>
      </c>
      <c r="AI11" s="455"/>
      <c r="AJ11" s="182">
        <v>5</v>
      </c>
      <c r="AK11" s="166">
        <v>1509.0000000000025</v>
      </c>
      <c r="AL11" s="166">
        <v>301.80000000000052</v>
      </c>
      <c r="AM11" s="182">
        <f t="shared" si="9"/>
        <v>1</v>
      </c>
      <c r="AN11" s="455"/>
      <c r="AO11" s="182">
        <v>5</v>
      </c>
      <c r="AP11" s="166">
        <v>1521.8181818181845</v>
      </c>
      <c r="AQ11" s="166">
        <v>304.36363636363689</v>
      </c>
      <c r="AR11" s="182">
        <f t="shared" si="11"/>
        <v>1</v>
      </c>
      <c r="AS11" s="455"/>
      <c r="AT11" s="182">
        <v>5</v>
      </c>
      <c r="AU11" s="166">
        <v>1471.1111111111118</v>
      </c>
      <c r="AV11" s="166">
        <v>294.22222222222234</v>
      </c>
      <c r="AW11" s="182">
        <f t="shared" si="13"/>
        <v>1</v>
      </c>
      <c r="AX11" s="455"/>
      <c r="AZ11" s="181" t="e">
        <f>RANK(AX11, $K$7:AX$21)</f>
        <v>#VALUE!</v>
      </c>
      <c r="BB11" s="182" t="e">
        <f t="shared" si="16"/>
        <v>#N/A</v>
      </c>
    </row>
    <row r="12" spans="1:54" ht="13.5">
      <c r="A12" s="79"/>
      <c r="B12" s="454"/>
      <c r="C12" s="182">
        <v>6</v>
      </c>
      <c r="D12" s="203" t="s">
        <v>786</v>
      </c>
      <c r="E12" s="166">
        <v>15</v>
      </c>
      <c r="F12" s="166">
        <v>1200</v>
      </c>
      <c r="G12" s="166">
        <v>80</v>
      </c>
      <c r="H12" s="464"/>
      <c r="I12" s="166">
        <f t="shared" si="0"/>
        <v>13</v>
      </c>
      <c r="J12" s="166">
        <f t="shared" si="1"/>
        <v>1323.8224489795932</v>
      </c>
      <c r="K12" s="180">
        <f t="shared" si="2"/>
        <v>101.83249607535332</v>
      </c>
      <c r="L12" s="464"/>
      <c r="M12" s="181">
        <f>RANK(K12, K$7:$K$21)</f>
        <v>6</v>
      </c>
      <c r="N12" s="461"/>
      <c r="O12" s="461"/>
      <c r="P12" s="182">
        <v>13</v>
      </c>
      <c r="Q12" s="166">
        <v>1246.4999999999995</v>
      </c>
      <c r="R12" s="166">
        <v>95.884615384615344</v>
      </c>
      <c r="S12" s="182">
        <f t="shared" si="15"/>
        <v>6</v>
      </c>
      <c r="T12" s="455"/>
      <c r="U12" s="182">
        <v>13</v>
      </c>
      <c r="V12" s="166">
        <v>1254.8571428571415</v>
      </c>
      <c r="W12" s="166">
        <v>96.527472527472426</v>
      </c>
      <c r="X12" s="182">
        <f t="shared" si="3"/>
        <v>6</v>
      </c>
      <c r="Y12" s="455"/>
      <c r="Z12" s="182">
        <v>13</v>
      </c>
      <c r="AA12" s="166">
        <v>1058.4000000000003</v>
      </c>
      <c r="AB12" s="166">
        <v>81.415384615384639</v>
      </c>
      <c r="AC12" s="182">
        <f t="shared" si="5"/>
        <v>7</v>
      </c>
      <c r="AD12" s="455"/>
      <c r="AE12" s="182">
        <v>13</v>
      </c>
      <c r="AF12" s="166">
        <v>1157.9999999999995</v>
      </c>
      <c r="AG12" s="166">
        <v>89.076923076923038</v>
      </c>
      <c r="AH12" s="182">
        <f t="shared" si="7"/>
        <v>7</v>
      </c>
      <c r="AI12" s="455"/>
      <c r="AJ12" s="182">
        <v>13</v>
      </c>
      <c r="AK12" s="166">
        <v>987.00000000000364</v>
      </c>
      <c r="AL12" s="166">
        <v>75.923076923077204</v>
      </c>
      <c r="AM12" s="182">
        <f t="shared" si="9"/>
        <v>7</v>
      </c>
      <c r="AN12" s="455"/>
      <c r="AO12" s="182">
        <v>13</v>
      </c>
      <c r="AP12" s="166">
        <v>2466.0000000000086</v>
      </c>
      <c r="AQ12" s="166">
        <v>189.69230769230836</v>
      </c>
      <c r="AR12" s="182">
        <f t="shared" si="11"/>
        <v>3</v>
      </c>
      <c r="AS12" s="455"/>
      <c r="AT12" s="182">
        <v>13</v>
      </c>
      <c r="AU12" s="166">
        <v>1095.999999999998</v>
      </c>
      <c r="AV12" s="166">
        <v>84.30769230769215</v>
      </c>
      <c r="AW12" s="182">
        <f t="shared" si="13"/>
        <v>7</v>
      </c>
      <c r="AX12" s="455"/>
      <c r="AZ12" s="181" t="e">
        <f>RANK(AX12, $K$7:AX$21)</f>
        <v>#VALUE!</v>
      </c>
      <c r="BB12" s="182" t="e">
        <f t="shared" si="16"/>
        <v>#N/A</v>
      </c>
    </row>
    <row r="13" spans="1:54" ht="13.5">
      <c r="A13" s="79"/>
      <c r="B13" s="454"/>
      <c r="C13" s="182">
        <v>7</v>
      </c>
      <c r="D13" s="203" t="s">
        <v>808</v>
      </c>
      <c r="E13" s="166">
        <v>15</v>
      </c>
      <c r="F13" s="166">
        <v>1200</v>
      </c>
      <c r="G13" s="166">
        <v>80</v>
      </c>
      <c r="H13" s="464"/>
      <c r="I13" s="166">
        <f t="shared" si="0"/>
        <v>13</v>
      </c>
      <c r="J13" s="166">
        <f t="shared" si="1"/>
        <v>1184.4759988205806</v>
      </c>
      <c r="K13" s="180">
        <f t="shared" si="2"/>
        <v>91.113538370813899</v>
      </c>
      <c r="L13" s="464"/>
      <c r="M13" s="181">
        <f>RANK(K13, K$7:$K$21)</f>
        <v>7</v>
      </c>
      <c r="N13" s="461"/>
      <c r="O13" s="461"/>
      <c r="P13" s="182">
        <v>13</v>
      </c>
      <c r="Q13" s="166">
        <v>1165.8947368421054</v>
      </c>
      <c r="R13" s="166">
        <v>89.684210526315809</v>
      </c>
      <c r="S13" s="182">
        <f t="shared" si="15"/>
        <v>7</v>
      </c>
      <c r="T13" s="455"/>
      <c r="U13" s="182">
        <v>13</v>
      </c>
      <c r="V13" s="166">
        <v>1184.4705882352928</v>
      </c>
      <c r="W13" s="166">
        <v>91.113122171945605</v>
      </c>
      <c r="X13" s="182">
        <f t="shared" si="3"/>
        <v>7</v>
      </c>
      <c r="Y13" s="455"/>
      <c r="Z13" s="182">
        <v>13</v>
      </c>
      <c r="AA13" s="166">
        <v>1188</v>
      </c>
      <c r="AB13" s="166">
        <v>91.384615384615387</v>
      </c>
      <c r="AC13" s="182">
        <f t="shared" si="5"/>
        <v>6</v>
      </c>
      <c r="AD13" s="455"/>
      <c r="AE13" s="182">
        <v>13</v>
      </c>
      <c r="AF13" s="166">
        <v>1213.4999999999995</v>
      </c>
      <c r="AG13" s="166">
        <v>93.346153846153811</v>
      </c>
      <c r="AH13" s="182">
        <f t="shared" si="7"/>
        <v>6</v>
      </c>
      <c r="AI13" s="455"/>
      <c r="AJ13" s="182">
        <v>13</v>
      </c>
      <c r="AK13" s="166">
        <v>1164.0000000000018</v>
      </c>
      <c r="AL13" s="166">
        <v>89.538461538461675</v>
      </c>
      <c r="AM13" s="182">
        <f t="shared" si="9"/>
        <v>6</v>
      </c>
      <c r="AN13" s="455"/>
      <c r="AO13" s="182">
        <v>13</v>
      </c>
      <c r="AP13" s="166">
        <v>1110.6666666666667</v>
      </c>
      <c r="AQ13" s="166">
        <v>85.435897435897445</v>
      </c>
      <c r="AR13" s="182">
        <f t="shared" si="11"/>
        <v>7</v>
      </c>
      <c r="AS13" s="455"/>
      <c r="AT13" s="182">
        <v>13</v>
      </c>
      <c r="AU13" s="166">
        <v>1264.7999999999984</v>
      </c>
      <c r="AV13" s="166">
        <v>97.29230769230756</v>
      </c>
      <c r="AW13" s="182">
        <f t="shared" si="13"/>
        <v>6</v>
      </c>
      <c r="AX13" s="455"/>
      <c r="AZ13" s="181" t="e">
        <f>RANK(AX13, $K$7:AX$21)</f>
        <v>#VALUE!</v>
      </c>
      <c r="BB13" s="182" t="e">
        <f t="shared" si="16"/>
        <v>#N/A</v>
      </c>
    </row>
    <row r="14" spans="1:54" ht="13.5">
      <c r="A14" s="79"/>
      <c r="B14" s="454"/>
      <c r="C14" s="182">
        <v>8</v>
      </c>
      <c r="D14" s="290"/>
      <c r="E14" s="166"/>
      <c r="F14" s="166"/>
      <c r="G14" s="166"/>
      <c r="H14" s="464"/>
      <c r="I14" s="166" t="str">
        <f t="shared" si="0"/>
        <v>-</v>
      </c>
      <c r="J14" s="166" t="str">
        <f t="shared" si="1"/>
        <v>-</v>
      </c>
      <c r="K14" s="180" t="str">
        <f t="shared" si="2"/>
        <v>-</v>
      </c>
      <c r="L14" s="464"/>
      <c r="M14" s="181" t="e">
        <f>RANK(K14, K$7:$K$21)</f>
        <v>#VALUE!</v>
      </c>
      <c r="N14" s="461"/>
      <c r="O14" s="461"/>
      <c r="P14" s="182"/>
      <c r="Q14" s="166"/>
      <c r="R14" s="166"/>
      <c r="S14" s="182" t="e">
        <f t="shared" si="15"/>
        <v>#N/A</v>
      </c>
      <c r="T14" s="455"/>
      <c r="U14" s="182"/>
      <c r="V14" s="166"/>
      <c r="W14" s="166"/>
      <c r="X14" s="182" t="e">
        <f t="shared" si="3"/>
        <v>#N/A</v>
      </c>
      <c r="Y14" s="455"/>
      <c r="Z14" s="182"/>
      <c r="AA14" s="166"/>
      <c r="AB14" s="166"/>
      <c r="AC14" s="182" t="e">
        <f t="shared" si="5"/>
        <v>#N/A</v>
      </c>
      <c r="AD14" s="455"/>
      <c r="AE14" s="182"/>
      <c r="AF14" s="166"/>
      <c r="AG14" s="166"/>
      <c r="AH14" s="182" t="e">
        <f t="shared" si="7"/>
        <v>#N/A</v>
      </c>
      <c r="AI14" s="455"/>
      <c r="AJ14" s="182"/>
      <c r="AK14" s="166"/>
      <c r="AL14" s="166"/>
      <c r="AM14" s="182" t="e">
        <f t="shared" si="9"/>
        <v>#N/A</v>
      </c>
      <c r="AN14" s="455"/>
      <c r="AO14" s="182"/>
      <c r="AP14" s="166"/>
      <c r="AQ14" s="166"/>
      <c r="AR14" s="182" t="e">
        <f t="shared" si="11"/>
        <v>#N/A</v>
      </c>
      <c r="AS14" s="455"/>
      <c r="AT14" s="182"/>
      <c r="AU14" s="166"/>
      <c r="AV14" s="166"/>
      <c r="AW14" s="182" t="e">
        <f t="shared" si="13"/>
        <v>#N/A</v>
      </c>
      <c r="AX14" s="455"/>
      <c r="AZ14" s="181" t="e">
        <f>RANK(AX14, $K$7:AX$21)</f>
        <v>#VALUE!</v>
      </c>
      <c r="BB14" s="182" t="e">
        <f t="shared" si="16"/>
        <v>#N/A</v>
      </c>
    </row>
    <row r="15" spans="1:54" ht="13.5">
      <c r="A15" s="79"/>
      <c r="B15" s="454"/>
      <c r="C15" s="182">
        <v>9</v>
      </c>
      <c r="D15" s="203"/>
      <c r="E15" s="166"/>
      <c r="F15" s="166"/>
      <c r="G15" s="166"/>
      <c r="H15" s="464"/>
      <c r="I15" s="166" t="str">
        <f t="shared" si="0"/>
        <v>-</v>
      </c>
      <c r="J15" s="166" t="str">
        <f t="shared" si="1"/>
        <v>-</v>
      </c>
      <c r="K15" s="180" t="str">
        <f t="shared" si="2"/>
        <v>-</v>
      </c>
      <c r="L15" s="464"/>
      <c r="M15" s="181" t="e">
        <f>RANK(K15, K$7:$K$21)</f>
        <v>#VALUE!</v>
      </c>
      <c r="N15" s="461"/>
      <c r="O15" s="461"/>
      <c r="P15" s="182"/>
      <c r="Q15" s="166"/>
      <c r="R15" s="166"/>
      <c r="S15" s="182" t="e">
        <f t="shared" si="15"/>
        <v>#N/A</v>
      </c>
      <c r="T15" s="455"/>
      <c r="U15" s="182"/>
      <c r="V15" s="166"/>
      <c r="W15" s="166"/>
      <c r="X15" s="182" t="e">
        <f t="shared" si="3"/>
        <v>#N/A</v>
      </c>
      <c r="Y15" s="455"/>
      <c r="Z15" s="182"/>
      <c r="AA15" s="166"/>
      <c r="AB15" s="166"/>
      <c r="AC15" s="182" t="e">
        <f t="shared" si="5"/>
        <v>#N/A</v>
      </c>
      <c r="AD15" s="455"/>
      <c r="AE15" s="182"/>
      <c r="AF15" s="166"/>
      <c r="AG15" s="166"/>
      <c r="AH15" s="182" t="e">
        <f t="shared" si="7"/>
        <v>#N/A</v>
      </c>
      <c r="AI15" s="455"/>
      <c r="AJ15" s="182"/>
      <c r="AK15" s="166"/>
      <c r="AL15" s="166"/>
      <c r="AM15" s="182" t="e">
        <f t="shared" si="9"/>
        <v>#N/A</v>
      </c>
      <c r="AN15" s="455"/>
      <c r="AO15" s="182"/>
      <c r="AP15" s="166"/>
      <c r="AQ15" s="166"/>
      <c r="AR15" s="182" t="e">
        <f t="shared" si="11"/>
        <v>#N/A</v>
      </c>
      <c r="AS15" s="455"/>
      <c r="AT15" s="182"/>
      <c r="AU15" s="166"/>
      <c r="AV15" s="166"/>
      <c r="AW15" s="182" t="e">
        <f t="shared" si="13"/>
        <v>#N/A</v>
      </c>
      <c r="AX15" s="455"/>
      <c r="AZ15" s="181" t="e">
        <f>RANK(AX15, $K$7:AX$21)</f>
        <v>#VALUE!</v>
      </c>
      <c r="BB15" s="182" t="e">
        <f t="shared" si="16"/>
        <v>#N/A</v>
      </c>
    </row>
    <row r="16" spans="1:54" ht="13.5">
      <c r="A16" s="79"/>
      <c r="B16" s="454"/>
      <c r="C16" s="182">
        <v>10</v>
      </c>
      <c r="D16" s="203"/>
      <c r="E16" s="166"/>
      <c r="F16" s="166"/>
      <c r="G16" s="166"/>
      <c r="H16" s="464"/>
      <c r="I16" s="166" t="str">
        <f t="shared" si="0"/>
        <v>-</v>
      </c>
      <c r="J16" s="166" t="str">
        <f t="shared" si="1"/>
        <v>-</v>
      </c>
      <c r="K16" s="180" t="str">
        <f t="shared" si="2"/>
        <v>-</v>
      </c>
      <c r="L16" s="464"/>
      <c r="M16" s="181" t="e">
        <f>RANK(K16, K$7:$K$21)</f>
        <v>#VALUE!</v>
      </c>
      <c r="N16" s="461"/>
      <c r="O16" s="461"/>
      <c r="P16" s="182"/>
      <c r="Q16" s="166"/>
      <c r="R16" s="166"/>
      <c r="S16" s="182" t="e">
        <f t="shared" si="15"/>
        <v>#N/A</v>
      </c>
      <c r="T16" s="455"/>
      <c r="U16" s="182"/>
      <c r="V16" s="166"/>
      <c r="W16" s="166"/>
      <c r="X16" s="182" t="e">
        <f t="shared" si="3"/>
        <v>#N/A</v>
      </c>
      <c r="Y16" s="455"/>
      <c r="Z16" s="182"/>
      <c r="AA16" s="166"/>
      <c r="AB16" s="166"/>
      <c r="AC16" s="182" t="e">
        <f t="shared" si="5"/>
        <v>#N/A</v>
      </c>
      <c r="AD16" s="455"/>
      <c r="AE16" s="182"/>
      <c r="AF16" s="166"/>
      <c r="AG16" s="166"/>
      <c r="AH16" s="182" t="e">
        <f t="shared" si="7"/>
        <v>#N/A</v>
      </c>
      <c r="AI16" s="455"/>
      <c r="AJ16" s="182"/>
      <c r="AK16" s="166"/>
      <c r="AL16" s="166"/>
      <c r="AM16" s="182" t="e">
        <f t="shared" si="9"/>
        <v>#N/A</v>
      </c>
      <c r="AN16" s="455"/>
      <c r="AO16" s="182"/>
      <c r="AP16" s="166"/>
      <c r="AQ16" s="166"/>
      <c r="AR16" s="182" t="e">
        <f t="shared" si="11"/>
        <v>#N/A</v>
      </c>
      <c r="AS16" s="455"/>
      <c r="AT16" s="182"/>
      <c r="AU16" s="166"/>
      <c r="AV16" s="166"/>
      <c r="AW16" s="182" t="e">
        <f t="shared" si="13"/>
        <v>#N/A</v>
      </c>
      <c r="AX16" s="455"/>
      <c r="AZ16" s="181" t="e">
        <f>RANK(AX16, $K$7:AX$21)</f>
        <v>#VALUE!</v>
      </c>
      <c r="BB16" s="182" t="e">
        <f t="shared" si="16"/>
        <v>#N/A</v>
      </c>
    </row>
    <row r="17" spans="2:54">
      <c r="B17" s="454"/>
      <c r="C17" s="182">
        <v>11</v>
      </c>
      <c r="D17" s="203"/>
      <c r="E17" s="166"/>
      <c r="F17" s="166"/>
      <c r="G17" s="166"/>
      <c r="H17" s="464"/>
      <c r="I17" s="166" t="str">
        <f t="shared" si="0"/>
        <v>-</v>
      </c>
      <c r="J17" s="166" t="str">
        <f t="shared" si="1"/>
        <v>-</v>
      </c>
      <c r="K17" s="180" t="str">
        <f t="shared" si="2"/>
        <v>-</v>
      </c>
      <c r="L17" s="464"/>
      <c r="M17" s="181" t="e">
        <f>RANK(K17, K$7:$K$21)</f>
        <v>#VALUE!</v>
      </c>
      <c r="N17" s="461"/>
      <c r="O17" s="461"/>
      <c r="P17" s="182"/>
      <c r="Q17" s="166"/>
      <c r="R17" s="166"/>
      <c r="S17" s="182" t="e">
        <f t="shared" si="15"/>
        <v>#N/A</v>
      </c>
      <c r="T17" s="455"/>
      <c r="U17" s="182"/>
      <c r="V17" s="166"/>
      <c r="W17" s="166"/>
      <c r="X17" s="182" t="e">
        <f t="shared" si="3"/>
        <v>#N/A</v>
      </c>
      <c r="Y17" s="455"/>
      <c r="Z17" s="182"/>
      <c r="AA17" s="166"/>
      <c r="AB17" s="166"/>
      <c r="AC17" s="182" t="e">
        <f t="shared" si="5"/>
        <v>#N/A</v>
      </c>
      <c r="AD17" s="455"/>
      <c r="AE17" s="182"/>
      <c r="AF17" s="166"/>
      <c r="AG17" s="166"/>
      <c r="AH17" s="182" t="e">
        <f t="shared" si="7"/>
        <v>#N/A</v>
      </c>
      <c r="AI17" s="455"/>
      <c r="AJ17" s="182"/>
      <c r="AK17" s="166"/>
      <c r="AL17" s="166"/>
      <c r="AM17" s="182" t="e">
        <f t="shared" si="9"/>
        <v>#N/A</v>
      </c>
      <c r="AN17" s="455"/>
      <c r="AO17" s="182"/>
      <c r="AP17" s="166"/>
      <c r="AQ17" s="166"/>
      <c r="AR17" s="182" t="e">
        <f t="shared" si="11"/>
        <v>#N/A</v>
      </c>
      <c r="AS17" s="455"/>
      <c r="AT17" s="182"/>
      <c r="AU17" s="166"/>
      <c r="AV17" s="166"/>
      <c r="AW17" s="182" t="e">
        <f t="shared" si="13"/>
        <v>#N/A</v>
      </c>
      <c r="AX17" s="455"/>
      <c r="AZ17" s="181" t="e">
        <f>RANK(AX17, $K$7:AX$21)</f>
        <v>#VALUE!</v>
      </c>
      <c r="BB17" s="182" t="e">
        <f t="shared" si="16"/>
        <v>#N/A</v>
      </c>
    </row>
    <row r="18" spans="2:54">
      <c r="B18" s="454"/>
      <c r="C18" s="182">
        <v>12</v>
      </c>
      <c r="D18" s="203"/>
      <c r="E18" s="166"/>
      <c r="F18" s="166"/>
      <c r="G18" s="166"/>
      <c r="H18" s="464"/>
      <c r="I18" s="166" t="str">
        <f t="shared" si="0"/>
        <v>-</v>
      </c>
      <c r="J18" s="166" t="str">
        <f t="shared" si="1"/>
        <v>-</v>
      </c>
      <c r="K18" s="180" t="str">
        <f t="shared" si="2"/>
        <v>-</v>
      </c>
      <c r="L18" s="464"/>
      <c r="M18" s="181" t="e">
        <f>RANK(K18, K$7:$K$21)</f>
        <v>#VALUE!</v>
      </c>
      <c r="N18" s="461"/>
      <c r="O18" s="461"/>
      <c r="P18" s="182"/>
      <c r="Q18" s="166"/>
      <c r="R18" s="166"/>
      <c r="S18" s="182" t="e">
        <f t="shared" si="15"/>
        <v>#N/A</v>
      </c>
      <c r="T18" s="455"/>
      <c r="U18" s="182"/>
      <c r="V18" s="166"/>
      <c r="W18" s="166"/>
      <c r="X18" s="182" t="e">
        <f t="shared" si="3"/>
        <v>#N/A</v>
      </c>
      <c r="Y18" s="455"/>
      <c r="Z18" s="182"/>
      <c r="AA18" s="166"/>
      <c r="AB18" s="166"/>
      <c r="AC18" s="182" t="e">
        <f t="shared" si="5"/>
        <v>#N/A</v>
      </c>
      <c r="AD18" s="455"/>
      <c r="AE18" s="182"/>
      <c r="AF18" s="166"/>
      <c r="AG18" s="166"/>
      <c r="AH18" s="182" t="e">
        <f t="shared" si="7"/>
        <v>#N/A</v>
      </c>
      <c r="AI18" s="455"/>
      <c r="AJ18" s="182"/>
      <c r="AK18" s="166"/>
      <c r="AL18" s="166"/>
      <c r="AM18" s="182" t="e">
        <f t="shared" si="9"/>
        <v>#N/A</v>
      </c>
      <c r="AN18" s="455"/>
      <c r="AO18" s="182"/>
      <c r="AP18" s="166"/>
      <c r="AQ18" s="166"/>
      <c r="AR18" s="182" t="e">
        <f t="shared" si="11"/>
        <v>#N/A</v>
      </c>
      <c r="AS18" s="455"/>
      <c r="AT18" s="182"/>
      <c r="AU18" s="166"/>
      <c r="AV18" s="166"/>
      <c r="AW18" s="182" t="e">
        <f t="shared" si="13"/>
        <v>#N/A</v>
      </c>
      <c r="AX18" s="455"/>
      <c r="AZ18" s="181" t="e">
        <f>RANK(AX18, $K$7:AX$21)</f>
        <v>#VALUE!</v>
      </c>
      <c r="BB18" s="182" t="e">
        <f t="shared" si="16"/>
        <v>#N/A</v>
      </c>
    </row>
    <row r="19" spans="2:54">
      <c r="B19" s="454"/>
      <c r="C19" s="182">
        <v>13</v>
      </c>
      <c r="D19" s="203"/>
      <c r="E19" s="166"/>
      <c r="F19" s="166"/>
      <c r="G19" s="166"/>
      <c r="H19" s="464"/>
      <c r="I19" s="166" t="str">
        <f t="shared" si="0"/>
        <v>-</v>
      </c>
      <c r="J19" s="166" t="str">
        <f t="shared" si="1"/>
        <v>-</v>
      </c>
      <c r="K19" s="180" t="str">
        <f t="shared" si="2"/>
        <v>-</v>
      </c>
      <c r="L19" s="464"/>
      <c r="M19" s="181" t="e">
        <f>RANK(K19, K$7:$K$21)</f>
        <v>#VALUE!</v>
      </c>
      <c r="N19" s="461"/>
      <c r="O19" s="461"/>
      <c r="P19" s="182"/>
      <c r="Q19" s="166"/>
      <c r="R19" s="166"/>
      <c r="S19" s="182" t="e">
        <f t="shared" si="15"/>
        <v>#N/A</v>
      </c>
      <c r="T19" s="455"/>
      <c r="U19" s="182"/>
      <c r="V19" s="166"/>
      <c r="W19" s="166"/>
      <c r="X19" s="182" t="e">
        <f t="shared" si="3"/>
        <v>#N/A</v>
      </c>
      <c r="Y19" s="455"/>
      <c r="Z19" s="182"/>
      <c r="AA19" s="166"/>
      <c r="AB19" s="166"/>
      <c r="AC19" s="182" t="e">
        <f t="shared" si="5"/>
        <v>#N/A</v>
      </c>
      <c r="AD19" s="455"/>
      <c r="AE19" s="182"/>
      <c r="AF19" s="166"/>
      <c r="AG19" s="166"/>
      <c r="AH19" s="182" t="e">
        <f t="shared" si="7"/>
        <v>#N/A</v>
      </c>
      <c r="AI19" s="455"/>
      <c r="AJ19" s="182"/>
      <c r="AK19" s="166"/>
      <c r="AL19" s="166"/>
      <c r="AM19" s="182" t="e">
        <f t="shared" si="9"/>
        <v>#N/A</v>
      </c>
      <c r="AN19" s="455"/>
      <c r="AO19" s="182"/>
      <c r="AP19" s="166"/>
      <c r="AQ19" s="166"/>
      <c r="AR19" s="182" t="e">
        <f t="shared" si="11"/>
        <v>#N/A</v>
      </c>
      <c r="AS19" s="455"/>
      <c r="AT19" s="182"/>
      <c r="AU19" s="166"/>
      <c r="AV19" s="166"/>
      <c r="AW19" s="182" t="e">
        <f t="shared" si="13"/>
        <v>#N/A</v>
      </c>
      <c r="AX19" s="455"/>
      <c r="AZ19" s="181" t="e">
        <f>RANK(AX19, $K$7:AX$21)</f>
        <v>#VALUE!</v>
      </c>
      <c r="BB19" s="182" t="e">
        <f t="shared" si="16"/>
        <v>#N/A</v>
      </c>
    </row>
    <row r="20" spans="2:54">
      <c r="B20" s="454"/>
      <c r="C20" s="182">
        <v>14</v>
      </c>
      <c r="D20" s="203"/>
      <c r="E20" s="166"/>
      <c r="F20" s="166"/>
      <c r="G20" s="166"/>
      <c r="H20" s="464"/>
      <c r="I20" s="166" t="str">
        <f t="shared" si="0"/>
        <v>-</v>
      </c>
      <c r="J20" s="166" t="str">
        <f t="shared" si="1"/>
        <v>-</v>
      </c>
      <c r="K20" s="180" t="str">
        <f t="shared" si="2"/>
        <v>-</v>
      </c>
      <c r="L20" s="464"/>
      <c r="M20" s="181" t="e">
        <f>RANK(K20, K$7:$K$21)</f>
        <v>#VALUE!</v>
      </c>
      <c r="N20" s="461"/>
      <c r="O20" s="461"/>
      <c r="P20" s="182"/>
      <c r="Q20" s="166"/>
      <c r="R20" s="166"/>
      <c r="S20" s="182" t="e">
        <f t="shared" si="15"/>
        <v>#N/A</v>
      </c>
      <c r="T20" s="455"/>
      <c r="U20" s="182"/>
      <c r="V20" s="166"/>
      <c r="W20" s="166"/>
      <c r="X20" s="182" t="e">
        <f t="shared" si="3"/>
        <v>#N/A</v>
      </c>
      <c r="Y20" s="455"/>
      <c r="Z20" s="182"/>
      <c r="AA20" s="166"/>
      <c r="AB20" s="166"/>
      <c r="AC20" s="182" t="e">
        <f t="shared" si="5"/>
        <v>#N/A</v>
      </c>
      <c r="AD20" s="455"/>
      <c r="AE20" s="182"/>
      <c r="AF20" s="166"/>
      <c r="AG20" s="166"/>
      <c r="AH20" s="182" t="e">
        <f t="shared" si="7"/>
        <v>#N/A</v>
      </c>
      <c r="AI20" s="455"/>
      <c r="AJ20" s="182"/>
      <c r="AK20" s="166"/>
      <c r="AL20" s="166"/>
      <c r="AM20" s="182" t="e">
        <f t="shared" si="9"/>
        <v>#N/A</v>
      </c>
      <c r="AN20" s="455"/>
      <c r="AO20" s="182"/>
      <c r="AP20" s="166"/>
      <c r="AQ20" s="166"/>
      <c r="AR20" s="182" t="e">
        <f t="shared" si="11"/>
        <v>#N/A</v>
      </c>
      <c r="AS20" s="455"/>
      <c r="AT20" s="182"/>
      <c r="AU20" s="166"/>
      <c r="AV20" s="166"/>
      <c r="AW20" s="182" t="e">
        <f t="shared" si="13"/>
        <v>#N/A</v>
      </c>
      <c r="AX20" s="455"/>
      <c r="AZ20" s="181" t="e">
        <f>RANK(AX20, $K$7:AX$21)</f>
        <v>#VALUE!</v>
      </c>
      <c r="BB20" s="182" t="e">
        <f t="shared" si="16"/>
        <v>#N/A</v>
      </c>
    </row>
    <row r="21" spans="2:54">
      <c r="B21" s="454"/>
      <c r="C21" s="182">
        <v>15</v>
      </c>
      <c r="D21" s="203"/>
      <c r="E21" s="166"/>
      <c r="F21" s="166"/>
      <c r="G21" s="166"/>
      <c r="H21" s="465"/>
      <c r="I21" s="166" t="str">
        <f t="shared" si="0"/>
        <v>-</v>
      </c>
      <c r="J21" s="166" t="str">
        <f t="shared" si="1"/>
        <v>-</v>
      </c>
      <c r="K21" s="180" t="str">
        <f t="shared" si="2"/>
        <v>-</v>
      </c>
      <c r="L21" s="465"/>
      <c r="M21" s="181" t="e">
        <f>RANK(K21, K$7:$K$21)</f>
        <v>#VALUE!</v>
      </c>
      <c r="N21" s="461"/>
      <c r="O21" s="461"/>
      <c r="P21" s="182"/>
      <c r="Q21" s="166"/>
      <c r="R21" s="166"/>
      <c r="S21" s="182" t="e">
        <f t="shared" si="15"/>
        <v>#N/A</v>
      </c>
      <c r="T21" s="455"/>
      <c r="U21" s="182"/>
      <c r="V21" s="166"/>
      <c r="W21" s="166"/>
      <c r="X21" s="182" t="e">
        <f t="shared" si="3"/>
        <v>#N/A</v>
      </c>
      <c r="Y21" s="455"/>
      <c r="Z21" s="182"/>
      <c r="AA21" s="166"/>
      <c r="AB21" s="166"/>
      <c r="AC21" s="182" t="e">
        <f t="shared" si="5"/>
        <v>#N/A</v>
      </c>
      <c r="AD21" s="455"/>
      <c r="AE21" s="182"/>
      <c r="AF21" s="166"/>
      <c r="AG21" s="166"/>
      <c r="AH21" s="182" t="e">
        <f t="shared" si="7"/>
        <v>#N/A</v>
      </c>
      <c r="AI21" s="455"/>
      <c r="AJ21" s="182"/>
      <c r="AK21" s="166"/>
      <c r="AL21" s="166"/>
      <c r="AM21" s="182" t="e">
        <f t="shared" si="9"/>
        <v>#N/A</v>
      </c>
      <c r="AN21" s="455"/>
      <c r="AO21" s="182"/>
      <c r="AP21" s="166"/>
      <c r="AQ21" s="166"/>
      <c r="AR21" s="182" t="e">
        <f t="shared" si="11"/>
        <v>#N/A</v>
      </c>
      <c r="AS21" s="455"/>
      <c r="AT21" s="182"/>
      <c r="AU21" s="166"/>
      <c r="AV21" s="166"/>
      <c r="AW21" s="182" t="e">
        <f t="shared" si="13"/>
        <v>#N/A</v>
      </c>
      <c r="AX21" s="455"/>
      <c r="AZ21" s="166" t="e">
        <f>RANK(AX21, $K$7:AX$21)</f>
        <v>#VALUE!</v>
      </c>
      <c r="BB21" s="182" t="e">
        <f t="shared" si="16"/>
        <v>#N/A</v>
      </c>
    </row>
    <row r="22" spans="2:54" ht="15.5">
      <c r="B22" s="493" t="s">
        <v>163</v>
      </c>
      <c r="C22" s="494"/>
      <c r="D22" s="494"/>
      <c r="E22" s="494"/>
      <c r="F22" s="494"/>
      <c r="G22" s="494"/>
      <c r="H22" s="494"/>
      <c r="I22" s="183"/>
      <c r="J22" s="183"/>
      <c r="K22" s="183"/>
      <c r="L22" s="183"/>
      <c r="M22" s="178"/>
      <c r="N22" s="480" t="s">
        <v>156</v>
      </c>
      <c r="O22" s="480" t="s">
        <v>105</v>
      </c>
      <c r="P22" s="476">
        <f>P2+7</f>
        <v>46119</v>
      </c>
      <c r="Q22" s="454"/>
      <c r="R22" s="454"/>
      <c r="S22" s="454"/>
      <c r="T22" s="454"/>
      <c r="U22" s="473">
        <f>P22+1</f>
        <v>46120</v>
      </c>
      <c r="V22" s="474"/>
      <c r="W22" s="474"/>
      <c r="X22" s="474"/>
      <c r="Y22" s="475"/>
      <c r="Z22" s="473">
        <f>U22+1</f>
        <v>46121</v>
      </c>
      <c r="AA22" s="474"/>
      <c r="AB22" s="474"/>
      <c r="AC22" s="474"/>
      <c r="AD22" s="475"/>
      <c r="AE22" s="473">
        <f>Z22+1</f>
        <v>46122</v>
      </c>
      <c r="AF22" s="474"/>
      <c r="AG22" s="474"/>
      <c r="AH22" s="474"/>
      <c r="AI22" s="475"/>
      <c r="AJ22" s="473">
        <f>AE22+1</f>
        <v>46123</v>
      </c>
      <c r="AK22" s="474"/>
      <c r="AL22" s="474"/>
      <c r="AM22" s="474"/>
      <c r="AN22" s="475"/>
      <c r="AO22" s="473">
        <f>AJ22+1</f>
        <v>46124</v>
      </c>
      <c r="AP22" s="474"/>
      <c r="AQ22" s="474"/>
      <c r="AR22" s="474"/>
      <c r="AS22" s="475"/>
      <c r="AT22" s="473">
        <f>AO22+1</f>
        <v>46125</v>
      </c>
      <c r="AU22" s="474"/>
      <c r="AV22" s="474"/>
      <c r="AW22" s="474"/>
      <c r="AX22" s="475"/>
    </row>
    <row r="23" spans="2:54" ht="15.5">
      <c r="B23" s="479"/>
      <c r="C23" s="479"/>
      <c r="D23" s="479"/>
      <c r="E23" s="479"/>
      <c r="F23" s="479"/>
      <c r="G23" s="479"/>
      <c r="H23" s="479"/>
      <c r="I23" s="184"/>
      <c r="J23" s="184"/>
      <c r="K23" s="184"/>
      <c r="L23" s="184"/>
      <c r="M23" s="179"/>
      <c r="N23" s="481"/>
      <c r="O23" s="481"/>
      <c r="P23" s="476" t="s">
        <v>336</v>
      </c>
      <c r="Q23" s="454"/>
      <c r="R23" s="454"/>
      <c r="S23" s="454"/>
      <c r="T23" s="454"/>
      <c r="U23" s="476" t="s">
        <v>337</v>
      </c>
      <c r="V23" s="454"/>
      <c r="W23" s="454"/>
      <c r="X23" s="454"/>
      <c r="Y23" s="454"/>
      <c r="Z23" s="476" t="s">
        <v>338</v>
      </c>
      <c r="AA23" s="454"/>
      <c r="AB23" s="454"/>
      <c r="AC23" s="454"/>
      <c r="AD23" s="454"/>
      <c r="AE23" s="476" t="s">
        <v>339</v>
      </c>
      <c r="AF23" s="454"/>
      <c r="AG23" s="454"/>
      <c r="AH23" s="454"/>
      <c r="AI23" s="454"/>
      <c r="AJ23" s="476" t="s">
        <v>340</v>
      </c>
      <c r="AK23" s="454"/>
      <c r="AL23" s="454"/>
      <c r="AM23" s="454"/>
      <c r="AN23" s="454"/>
      <c r="AO23" s="476" t="s">
        <v>341</v>
      </c>
      <c r="AP23" s="454"/>
      <c r="AQ23" s="454"/>
      <c r="AR23" s="454"/>
      <c r="AS23" s="454"/>
      <c r="AT23" s="476" t="s">
        <v>342</v>
      </c>
      <c r="AU23" s="454"/>
      <c r="AV23" s="454"/>
      <c r="AW23" s="454"/>
      <c r="AX23" s="454"/>
    </row>
    <row r="24" spans="2:54">
      <c r="B24" s="461" t="s">
        <v>728</v>
      </c>
      <c r="C24" s="461" t="s">
        <v>729</v>
      </c>
      <c r="D24" s="461"/>
      <c r="E24" s="461" t="s">
        <v>730</v>
      </c>
      <c r="F24" s="461"/>
      <c r="G24" s="461"/>
      <c r="H24" s="482" t="s">
        <v>731</v>
      </c>
      <c r="I24" s="461" t="s">
        <v>732</v>
      </c>
      <c r="J24" s="461"/>
      <c r="K24" s="461"/>
      <c r="L24" s="482" t="s">
        <v>731</v>
      </c>
      <c r="M24" s="480" t="s">
        <v>733</v>
      </c>
      <c r="N24" s="461"/>
      <c r="O24" s="461" t="s">
        <v>734</v>
      </c>
      <c r="P24" s="466" t="s">
        <v>735</v>
      </c>
      <c r="Q24" s="467"/>
      <c r="R24" s="467"/>
      <c r="S24" s="468"/>
      <c r="T24" s="461" t="s">
        <v>731</v>
      </c>
      <c r="U24" s="466" t="s">
        <v>735</v>
      </c>
      <c r="V24" s="467"/>
      <c r="W24" s="467"/>
      <c r="X24" s="468"/>
      <c r="Y24" s="461" t="s">
        <v>731</v>
      </c>
      <c r="Z24" s="466" t="s">
        <v>735</v>
      </c>
      <c r="AA24" s="467"/>
      <c r="AB24" s="467"/>
      <c r="AC24" s="468"/>
      <c r="AD24" s="461" t="s">
        <v>731</v>
      </c>
      <c r="AE24" s="466" t="s">
        <v>735</v>
      </c>
      <c r="AF24" s="467"/>
      <c r="AG24" s="467"/>
      <c r="AH24" s="468"/>
      <c r="AI24" s="461" t="s">
        <v>731</v>
      </c>
      <c r="AJ24" s="466" t="s">
        <v>735</v>
      </c>
      <c r="AK24" s="467"/>
      <c r="AL24" s="467"/>
      <c r="AM24" s="468"/>
      <c r="AN24" s="461" t="s">
        <v>731</v>
      </c>
      <c r="AO24" s="466" t="s">
        <v>735</v>
      </c>
      <c r="AP24" s="467"/>
      <c r="AQ24" s="467"/>
      <c r="AR24" s="468"/>
      <c r="AS24" s="461" t="s">
        <v>731</v>
      </c>
      <c r="AT24" s="466" t="s">
        <v>735</v>
      </c>
      <c r="AU24" s="467"/>
      <c r="AV24" s="467"/>
      <c r="AW24" s="468"/>
      <c r="AX24" s="461" t="s">
        <v>731</v>
      </c>
    </row>
    <row r="25" spans="2:54">
      <c r="B25" s="461"/>
      <c r="C25" s="461"/>
      <c r="D25" s="461"/>
      <c r="E25" s="461" t="s">
        <v>736</v>
      </c>
      <c r="F25" s="461"/>
      <c r="G25" s="461"/>
      <c r="H25" s="483"/>
      <c r="I25" s="461" t="s">
        <v>736</v>
      </c>
      <c r="J25" s="461"/>
      <c r="K25" s="461"/>
      <c r="L25" s="483"/>
      <c r="M25" s="485"/>
      <c r="N25" s="461"/>
      <c r="O25" s="461"/>
      <c r="P25" s="466" t="s">
        <v>737</v>
      </c>
      <c r="Q25" s="467"/>
      <c r="R25" s="467"/>
      <c r="S25" s="468"/>
      <c r="T25" s="461"/>
      <c r="U25" s="466" t="s">
        <v>737</v>
      </c>
      <c r="V25" s="467"/>
      <c r="W25" s="467"/>
      <c r="X25" s="468"/>
      <c r="Y25" s="461"/>
      <c r="Z25" s="466" t="s">
        <v>737</v>
      </c>
      <c r="AA25" s="467"/>
      <c r="AB25" s="467"/>
      <c r="AC25" s="468"/>
      <c r="AD25" s="461"/>
      <c r="AE25" s="466" t="s">
        <v>737</v>
      </c>
      <c r="AF25" s="467"/>
      <c r="AG25" s="467"/>
      <c r="AH25" s="468"/>
      <c r="AI25" s="461"/>
      <c r="AJ25" s="466" t="s">
        <v>737</v>
      </c>
      <c r="AK25" s="467"/>
      <c r="AL25" s="467"/>
      <c r="AM25" s="468"/>
      <c r="AN25" s="461"/>
      <c r="AO25" s="466" t="s">
        <v>737</v>
      </c>
      <c r="AP25" s="467"/>
      <c r="AQ25" s="467"/>
      <c r="AR25" s="468"/>
      <c r="AS25" s="461"/>
      <c r="AT25" s="466" t="s">
        <v>737</v>
      </c>
      <c r="AU25" s="467"/>
      <c r="AV25" s="467"/>
      <c r="AW25" s="468"/>
      <c r="AX25" s="461"/>
    </row>
    <row r="26" spans="2:54">
      <c r="B26" s="461"/>
      <c r="C26" s="461"/>
      <c r="D26" s="461"/>
      <c r="E26" s="269" t="s">
        <v>738</v>
      </c>
      <c r="F26" s="269" t="s">
        <v>739</v>
      </c>
      <c r="G26" s="269" t="s">
        <v>740</v>
      </c>
      <c r="H26" s="484"/>
      <c r="I26" s="269" t="s">
        <v>738</v>
      </c>
      <c r="J26" s="269" t="s">
        <v>739</v>
      </c>
      <c r="K26" s="269" t="s">
        <v>740</v>
      </c>
      <c r="L26" s="484"/>
      <c r="M26" s="481"/>
      <c r="N26" s="461"/>
      <c r="O26" s="461"/>
      <c r="P26" s="269" t="s">
        <v>738</v>
      </c>
      <c r="Q26" s="269" t="s">
        <v>739</v>
      </c>
      <c r="R26" s="269" t="s">
        <v>740</v>
      </c>
      <c r="S26" s="269" t="s">
        <v>733</v>
      </c>
      <c r="T26" s="461"/>
      <c r="U26" s="269" t="s">
        <v>738</v>
      </c>
      <c r="V26" s="269" t="s">
        <v>739</v>
      </c>
      <c r="W26" s="269" t="s">
        <v>740</v>
      </c>
      <c r="X26" s="269" t="s">
        <v>733</v>
      </c>
      <c r="Y26" s="461"/>
      <c r="Z26" s="269" t="s">
        <v>738</v>
      </c>
      <c r="AA26" s="269" t="s">
        <v>739</v>
      </c>
      <c r="AB26" s="269" t="s">
        <v>740</v>
      </c>
      <c r="AC26" s="269" t="s">
        <v>733</v>
      </c>
      <c r="AD26" s="461"/>
      <c r="AE26" s="269" t="s">
        <v>738</v>
      </c>
      <c r="AF26" s="269" t="s">
        <v>739</v>
      </c>
      <c r="AG26" s="269" t="s">
        <v>740</v>
      </c>
      <c r="AH26" s="269" t="s">
        <v>733</v>
      </c>
      <c r="AI26" s="461"/>
      <c r="AJ26" s="269" t="s">
        <v>738</v>
      </c>
      <c r="AK26" s="269" t="s">
        <v>739</v>
      </c>
      <c r="AL26" s="269" t="s">
        <v>740</v>
      </c>
      <c r="AM26" s="269" t="s">
        <v>733</v>
      </c>
      <c r="AN26" s="461"/>
      <c r="AO26" s="269" t="s">
        <v>738</v>
      </c>
      <c r="AP26" s="269" t="s">
        <v>739</v>
      </c>
      <c r="AQ26" s="269" t="s">
        <v>740</v>
      </c>
      <c r="AR26" s="269" t="s">
        <v>733</v>
      </c>
      <c r="AS26" s="461"/>
      <c r="AT26" s="269" t="s">
        <v>738</v>
      </c>
      <c r="AU26" s="269" t="s">
        <v>739</v>
      </c>
      <c r="AV26" s="269" t="s">
        <v>740</v>
      </c>
      <c r="AW26" s="269" t="s">
        <v>733</v>
      </c>
      <c r="AX26" s="461"/>
    </row>
    <row r="27" spans="2:54">
      <c r="B27" s="501" t="s">
        <v>741</v>
      </c>
      <c r="C27" s="182">
        <v>1</v>
      </c>
      <c r="D27" s="203"/>
      <c r="E27" s="166"/>
      <c r="F27" s="166"/>
      <c r="G27" s="166"/>
      <c r="H27" s="511" t="e">
        <f>AVERAGE(G27:G41)</f>
        <v>#DIV/0!</v>
      </c>
      <c r="I27" s="166" t="str">
        <f t="shared" ref="I27:I41" si="17">IFERROR(AVERAGE(P27,U27,Z27,AE27,AJ27,AO27,AT27),"-")</f>
        <v>-</v>
      </c>
      <c r="J27" s="166" t="str">
        <f t="shared" ref="J27:J41" si="18">IFERROR(AVERAGE(Q27,V27,AA27,AF27,AK27,AP27,AU27),"-")</f>
        <v>-</v>
      </c>
      <c r="K27" s="180" t="str">
        <f t="shared" ref="K27:K41" si="19">IFERROR(AVERAGE(R27,W27,AB27,AG27,AL27,AQ27,AV27),"-")</f>
        <v>-</v>
      </c>
      <c r="L27" s="463" t="str">
        <f>IFERROR(AVERAGE(K27:K41),"-")</f>
        <v>-</v>
      </c>
      <c r="M27" s="181" t="e">
        <f>RANK(K27, K$27:$K$41)</f>
        <v>#VALUE!</v>
      </c>
      <c r="N27" s="461"/>
      <c r="O27" s="461"/>
      <c r="P27" s="182"/>
      <c r="Q27" s="166"/>
      <c r="R27" s="166"/>
      <c r="S27" s="182" t="e">
        <f>RANK(R27, R$27:R$41)</f>
        <v>#N/A</v>
      </c>
      <c r="T27" s="487" t="e">
        <f>AVERAGE(R27:R41)</f>
        <v>#DIV/0!</v>
      </c>
      <c r="U27" s="182"/>
      <c r="V27" s="166"/>
      <c r="W27" s="166"/>
      <c r="X27" s="182" t="e">
        <f t="shared" ref="X27:X41" si="20">RANK(W27, W$27:W$41)</f>
        <v>#N/A</v>
      </c>
      <c r="Y27" s="487" t="e">
        <f t="shared" ref="Y27" si="21">AVERAGE(W27:W41)</f>
        <v>#DIV/0!</v>
      </c>
      <c r="Z27" s="182"/>
      <c r="AA27" s="166"/>
      <c r="AB27" s="166"/>
      <c r="AC27" s="182" t="e">
        <f t="shared" ref="AC27:AC41" si="22">RANK(AB27, AB$27:AB$41)</f>
        <v>#N/A</v>
      </c>
      <c r="AD27" s="487" t="e">
        <f t="shared" ref="AD27" si="23">AVERAGE(AB27:AB41)</f>
        <v>#DIV/0!</v>
      </c>
      <c r="AE27" s="182"/>
      <c r="AF27" s="166"/>
      <c r="AG27" s="166"/>
      <c r="AH27" s="182" t="e">
        <f t="shared" ref="AH27:AH41" si="24">RANK(AG27, AG$27:AG$41)</f>
        <v>#N/A</v>
      </c>
      <c r="AI27" s="487" t="e">
        <f t="shared" ref="AI27" si="25">AVERAGE(AG27:AG41)</f>
        <v>#DIV/0!</v>
      </c>
      <c r="AJ27" s="182"/>
      <c r="AK27" s="166"/>
      <c r="AL27" s="166"/>
      <c r="AM27" s="182" t="e">
        <f t="shared" ref="AM27:AM41" si="26">RANK(AL27, AL$27:AL$41)</f>
        <v>#N/A</v>
      </c>
      <c r="AN27" s="487" t="e">
        <f t="shared" ref="AN27" si="27">AVERAGE(AL27:AL41)</f>
        <v>#DIV/0!</v>
      </c>
      <c r="AO27" s="182"/>
      <c r="AP27" s="166"/>
      <c r="AQ27" s="166"/>
      <c r="AR27" s="182" t="e">
        <f t="shared" ref="AR27:AR41" si="28">RANK(AQ27, AQ$27:AQ$41)</f>
        <v>#N/A</v>
      </c>
      <c r="AS27" s="487" t="e">
        <f t="shared" ref="AS27" si="29">AVERAGE(AQ27:AQ41)</f>
        <v>#DIV/0!</v>
      </c>
      <c r="AT27" s="182"/>
      <c r="AU27" s="166"/>
      <c r="AV27" s="166"/>
      <c r="AW27" s="182" t="e">
        <f t="shared" ref="AW27:AW41" si="30">RANK(AV27, AV$27:AV$41)</f>
        <v>#N/A</v>
      </c>
      <c r="AX27" s="487" t="e">
        <f t="shared" ref="AX27" si="31">AVERAGE(AV27:AV41)</f>
        <v>#DIV/0!</v>
      </c>
    </row>
    <row r="28" spans="2:54">
      <c r="B28" s="454"/>
      <c r="C28" s="182">
        <v>2</v>
      </c>
      <c r="D28" s="203"/>
      <c r="E28" s="166"/>
      <c r="F28" s="166"/>
      <c r="G28" s="166"/>
      <c r="H28" s="512"/>
      <c r="I28" s="166" t="str">
        <f t="shared" si="17"/>
        <v>-</v>
      </c>
      <c r="J28" s="166" t="str">
        <f t="shared" si="18"/>
        <v>-</v>
      </c>
      <c r="K28" s="180" t="str">
        <f t="shared" si="19"/>
        <v>-</v>
      </c>
      <c r="L28" s="464"/>
      <c r="M28" s="181" t="e">
        <f>RANK(K28, K$27:$K$41)</f>
        <v>#VALUE!</v>
      </c>
      <c r="N28" s="461"/>
      <c r="O28" s="461"/>
      <c r="P28" s="182"/>
      <c r="Q28" s="166"/>
      <c r="R28" s="166"/>
      <c r="S28" s="182" t="e">
        <f t="shared" ref="S28:S41" si="32">RANK(R28, R$27:R$41)</f>
        <v>#N/A</v>
      </c>
      <c r="T28" s="488"/>
      <c r="U28" s="182"/>
      <c r="V28" s="166"/>
      <c r="W28" s="166"/>
      <c r="X28" s="182" t="e">
        <f t="shared" si="20"/>
        <v>#N/A</v>
      </c>
      <c r="Y28" s="488"/>
      <c r="Z28" s="182"/>
      <c r="AA28" s="166"/>
      <c r="AB28" s="166"/>
      <c r="AC28" s="182" t="e">
        <f t="shared" si="22"/>
        <v>#N/A</v>
      </c>
      <c r="AD28" s="488"/>
      <c r="AE28" s="182"/>
      <c r="AF28" s="166"/>
      <c r="AG28" s="166"/>
      <c r="AH28" s="182" t="e">
        <f t="shared" si="24"/>
        <v>#N/A</v>
      </c>
      <c r="AI28" s="488"/>
      <c r="AJ28" s="182"/>
      <c r="AK28" s="166"/>
      <c r="AL28" s="166"/>
      <c r="AM28" s="182" t="e">
        <f t="shared" si="26"/>
        <v>#N/A</v>
      </c>
      <c r="AN28" s="488"/>
      <c r="AO28" s="182"/>
      <c r="AP28" s="166"/>
      <c r="AQ28" s="166"/>
      <c r="AR28" s="182" t="e">
        <f t="shared" si="28"/>
        <v>#N/A</v>
      </c>
      <c r="AS28" s="488"/>
      <c r="AT28" s="182"/>
      <c r="AU28" s="166"/>
      <c r="AV28" s="166"/>
      <c r="AW28" s="182" t="e">
        <f t="shared" si="30"/>
        <v>#N/A</v>
      </c>
      <c r="AX28" s="488"/>
    </row>
    <row r="29" spans="2:54">
      <c r="B29" s="454"/>
      <c r="C29" s="182">
        <v>3</v>
      </c>
      <c r="D29" s="203"/>
      <c r="E29" s="166"/>
      <c r="F29" s="166"/>
      <c r="G29" s="166"/>
      <c r="H29" s="512"/>
      <c r="I29" s="166" t="str">
        <f t="shared" si="17"/>
        <v>-</v>
      </c>
      <c r="J29" s="166" t="str">
        <f t="shared" si="18"/>
        <v>-</v>
      </c>
      <c r="K29" s="180" t="str">
        <f t="shared" si="19"/>
        <v>-</v>
      </c>
      <c r="L29" s="464"/>
      <c r="M29" s="181" t="e">
        <f>RANK(K29, K$27:$K$41)</f>
        <v>#VALUE!</v>
      </c>
      <c r="N29" s="461"/>
      <c r="O29" s="461"/>
      <c r="P29" s="182"/>
      <c r="Q29" s="166"/>
      <c r="R29" s="166"/>
      <c r="S29" s="182" t="e">
        <f t="shared" si="32"/>
        <v>#N/A</v>
      </c>
      <c r="T29" s="488"/>
      <c r="U29" s="182"/>
      <c r="V29" s="166"/>
      <c r="W29" s="166"/>
      <c r="X29" s="182" t="e">
        <f t="shared" si="20"/>
        <v>#N/A</v>
      </c>
      <c r="Y29" s="488"/>
      <c r="Z29" s="182"/>
      <c r="AA29" s="166"/>
      <c r="AB29" s="166"/>
      <c r="AC29" s="182" t="e">
        <f t="shared" si="22"/>
        <v>#N/A</v>
      </c>
      <c r="AD29" s="488"/>
      <c r="AE29" s="182"/>
      <c r="AF29" s="166"/>
      <c r="AG29" s="166"/>
      <c r="AH29" s="182" t="e">
        <f t="shared" si="24"/>
        <v>#N/A</v>
      </c>
      <c r="AI29" s="488"/>
      <c r="AJ29" s="182"/>
      <c r="AK29" s="166"/>
      <c r="AL29" s="166"/>
      <c r="AM29" s="182" t="e">
        <f t="shared" si="26"/>
        <v>#N/A</v>
      </c>
      <c r="AN29" s="488"/>
      <c r="AO29" s="182"/>
      <c r="AP29" s="166"/>
      <c r="AQ29" s="166"/>
      <c r="AR29" s="182" t="e">
        <f t="shared" si="28"/>
        <v>#N/A</v>
      </c>
      <c r="AS29" s="488"/>
      <c r="AT29" s="182"/>
      <c r="AU29" s="166"/>
      <c r="AV29" s="166"/>
      <c r="AW29" s="182" t="e">
        <f t="shared" si="30"/>
        <v>#N/A</v>
      </c>
      <c r="AX29" s="488"/>
    </row>
    <row r="30" spans="2:54">
      <c r="B30" s="454"/>
      <c r="C30" s="182">
        <v>4</v>
      </c>
      <c r="D30" s="203"/>
      <c r="E30" s="166"/>
      <c r="F30" s="166"/>
      <c r="G30" s="166"/>
      <c r="H30" s="512"/>
      <c r="I30" s="166" t="str">
        <f t="shared" si="17"/>
        <v>-</v>
      </c>
      <c r="J30" s="166" t="str">
        <f t="shared" si="18"/>
        <v>-</v>
      </c>
      <c r="K30" s="180" t="str">
        <f t="shared" si="19"/>
        <v>-</v>
      </c>
      <c r="L30" s="464"/>
      <c r="M30" s="181" t="e">
        <f>RANK(K30, K$27:$K$41)</f>
        <v>#VALUE!</v>
      </c>
      <c r="N30" s="461"/>
      <c r="O30" s="461"/>
      <c r="P30" s="182"/>
      <c r="Q30" s="166"/>
      <c r="R30" s="166"/>
      <c r="S30" s="182" t="e">
        <f t="shared" si="32"/>
        <v>#N/A</v>
      </c>
      <c r="T30" s="488"/>
      <c r="U30" s="182"/>
      <c r="V30" s="166"/>
      <c r="W30" s="166"/>
      <c r="X30" s="182" t="e">
        <f t="shared" si="20"/>
        <v>#N/A</v>
      </c>
      <c r="Y30" s="488"/>
      <c r="Z30" s="182"/>
      <c r="AA30" s="166"/>
      <c r="AB30" s="166"/>
      <c r="AC30" s="182" t="e">
        <f t="shared" si="22"/>
        <v>#N/A</v>
      </c>
      <c r="AD30" s="488"/>
      <c r="AE30" s="182"/>
      <c r="AF30" s="166"/>
      <c r="AG30" s="166"/>
      <c r="AH30" s="182" t="e">
        <f t="shared" si="24"/>
        <v>#N/A</v>
      </c>
      <c r="AI30" s="488"/>
      <c r="AJ30" s="182"/>
      <c r="AK30" s="166"/>
      <c r="AL30" s="166"/>
      <c r="AM30" s="182" t="e">
        <f t="shared" si="26"/>
        <v>#N/A</v>
      </c>
      <c r="AN30" s="488"/>
      <c r="AO30" s="182"/>
      <c r="AP30" s="166"/>
      <c r="AQ30" s="166"/>
      <c r="AR30" s="182" t="e">
        <f t="shared" si="28"/>
        <v>#N/A</v>
      </c>
      <c r="AS30" s="488"/>
      <c r="AT30" s="182"/>
      <c r="AU30" s="166"/>
      <c r="AV30" s="166"/>
      <c r="AW30" s="182" t="e">
        <f t="shared" si="30"/>
        <v>#N/A</v>
      </c>
      <c r="AX30" s="488"/>
    </row>
    <row r="31" spans="2:54">
      <c r="B31" s="454"/>
      <c r="C31" s="182">
        <v>5</v>
      </c>
      <c r="D31" s="203"/>
      <c r="E31" s="166"/>
      <c r="F31" s="166"/>
      <c r="G31" s="166"/>
      <c r="H31" s="512"/>
      <c r="I31" s="166" t="str">
        <f t="shared" si="17"/>
        <v>-</v>
      </c>
      <c r="J31" s="166" t="str">
        <f t="shared" si="18"/>
        <v>-</v>
      </c>
      <c r="K31" s="180" t="str">
        <f t="shared" si="19"/>
        <v>-</v>
      </c>
      <c r="L31" s="464"/>
      <c r="M31" s="181" t="e">
        <f>RANK(K31, K$27:$K$41)</f>
        <v>#VALUE!</v>
      </c>
      <c r="N31" s="461"/>
      <c r="O31" s="461"/>
      <c r="P31" s="182"/>
      <c r="Q31" s="166"/>
      <c r="R31" s="166"/>
      <c r="S31" s="182" t="e">
        <f t="shared" si="32"/>
        <v>#N/A</v>
      </c>
      <c r="T31" s="488"/>
      <c r="U31" s="182"/>
      <c r="V31" s="166"/>
      <c r="W31" s="166"/>
      <c r="X31" s="182" t="e">
        <f t="shared" si="20"/>
        <v>#N/A</v>
      </c>
      <c r="Y31" s="488"/>
      <c r="Z31" s="182"/>
      <c r="AA31" s="166"/>
      <c r="AB31" s="166"/>
      <c r="AC31" s="182" t="e">
        <f t="shared" si="22"/>
        <v>#N/A</v>
      </c>
      <c r="AD31" s="488"/>
      <c r="AE31" s="182"/>
      <c r="AF31" s="166"/>
      <c r="AG31" s="166"/>
      <c r="AH31" s="182" t="e">
        <f t="shared" si="24"/>
        <v>#N/A</v>
      </c>
      <c r="AI31" s="488"/>
      <c r="AJ31" s="182"/>
      <c r="AK31" s="166"/>
      <c r="AL31" s="166"/>
      <c r="AM31" s="182" t="e">
        <f t="shared" si="26"/>
        <v>#N/A</v>
      </c>
      <c r="AN31" s="488"/>
      <c r="AO31" s="182"/>
      <c r="AP31" s="166"/>
      <c r="AQ31" s="166"/>
      <c r="AR31" s="182" t="e">
        <f t="shared" si="28"/>
        <v>#N/A</v>
      </c>
      <c r="AS31" s="488"/>
      <c r="AT31" s="182"/>
      <c r="AU31" s="166"/>
      <c r="AV31" s="166"/>
      <c r="AW31" s="182" t="e">
        <f t="shared" si="30"/>
        <v>#N/A</v>
      </c>
      <c r="AX31" s="488"/>
    </row>
    <row r="32" spans="2:54">
      <c r="B32" s="454"/>
      <c r="C32" s="182">
        <v>6</v>
      </c>
      <c r="D32" s="203"/>
      <c r="E32" s="166"/>
      <c r="F32" s="166"/>
      <c r="G32" s="166"/>
      <c r="H32" s="512"/>
      <c r="I32" s="166" t="str">
        <f t="shared" si="17"/>
        <v>-</v>
      </c>
      <c r="J32" s="166" t="str">
        <f t="shared" si="18"/>
        <v>-</v>
      </c>
      <c r="K32" s="180" t="str">
        <f t="shared" si="19"/>
        <v>-</v>
      </c>
      <c r="L32" s="464"/>
      <c r="M32" s="181" t="e">
        <f>RANK(K32, K$27:$K$41)</f>
        <v>#VALUE!</v>
      </c>
      <c r="N32" s="461"/>
      <c r="O32" s="461"/>
      <c r="P32" s="182"/>
      <c r="Q32" s="166"/>
      <c r="R32" s="166"/>
      <c r="S32" s="182" t="e">
        <f t="shared" si="32"/>
        <v>#N/A</v>
      </c>
      <c r="T32" s="488"/>
      <c r="U32" s="182"/>
      <c r="V32" s="166"/>
      <c r="W32" s="166"/>
      <c r="X32" s="182" t="e">
        <f t="shared" si="20"/>
        <v>#N/A</v>
      </c>
      <c r="Y32" s="488"/>
      <c r="Z32" s="182"/>
      <c r="AA32" s="166"/>
      <c r="AB32" s="166"/>
      <c r="AC32" s="182" t="e">
        <f t="shared" si="22"/>
        <v>#N/A</v>
      </c>
      <c r="AD32" s="488"/>
      <c r="AE32" s="182"/>
      <c r="AF32" s="166"/>
      <c r="AG32" s="166"/>
      <c r="AH32" s="182" t="e">
        <f t="shared" si="24"/>
        <v>#N/A</v>
      </c>
      <c r="AI32" s="488"/>
      <c r="AJ32" s="182"/>
      <c r="AK32" s="166"/>
      <c r="AL32" s="166"/>
      <c r="AM32" s="182" t="e">
        <f t="shared" si="26"/>
        <v>#N/A</v>
      </c>
      <c r="AN32" s="488"/>
      <c r="AO32" s="182"/>
      <c r="AP32" s="166"/>
      <c r="AQ32" s="166"/>
      <c r="AR32" s="182" t="e">
        <f t="shared" si="28"/>
        <v>#N/A</v>
      </c>
      <c r="AS32" s="488"/>
      <c r="AT32" s="182"/>
      <c r="AU32" s="166"/>
      <c r="AV32" s="166"/>
      <c r="AW32" s="182" t="e">
        <f t="shared" si="30"/>
        <v>#N/A</v>
      </c>
      <c r="AX32" s="488"/>
    </row>
    <row r="33" spans="2:50">
      <c r="B33" s="454"/>
      <c r="C33" s="182">
        <v>7</v>
      </c>
      <c r="D33" s="203"/>
      <c r="E33" s="166"/>
      <c r="F33" s="166"/>
      <c r="G33" s="166"/>
      <c r="H33" s="512"/>
      <c r="I33" s="166" t="str">
        <f t="shared" si="17"/>
        <v>-</v>
      </c>
      <c r="J33" s="166" t="str">
        <f t="shared" si="18"/>
        <v>-</v>
      </c>
      <c r="K33" s="180" t="str">
        <f t="shared" si="19"/>
        <v>-</v>
      </c>
      <c r="L33" s="464"/>
      <c r="M33" s="181" t="e">
        <f>RANK(K33, K$27:$K$41)</f>
        <v>#VALUE!</v>
      </c>
      <c r="N33" s="461"/>
      <c r="O33" s="461"/>
      <c r="P33" s="182"/>
      <c r="Q33" s="166"/>
      <c r="R33" s="166"/>
      <c r="S33" s="182" t="e">
        <f t="shared" si="32"/>
        <v>#N/A</v>
      </c>
      <c r="T33" s="488"/>
      <c r="U33" s="182"/>
      <c r="V33" s="166"/>
      <c r="W33" s="166"/>
      <c r="X33" s="182" t="e">
        <f t="shared" si="20"/>
        <v>#N/A</v>
      </c>
      <c r="Y33" s="488"/>
      <c r="Z33" s="182"/>
      <c r="AA33" s="166"/>
      <c r="AB33" s="166"/>
      <c r="AC33" s="182" t="e">
        <f t="shared" si="22"/>
        <v>#N/A</v>
      </c>
      <c r="AD33" s="488"/>
      <c r="AE33" s="182"/>
      <c r="AF33" s="166"/>
      <c r="AG33" s="166"/>
      <c r="AH33" s="182" t="e">
        <f t="shared" si="24"/>
        <v>#N/A</v>
      </c>
      <c r="AI33" s="488"/>
      <c r="AJ33" s="182"/>
      <c r="AK33" s="166"/>
      <c r="AL33" s="166"/>
      <c r="AM33" s="182" t="e">
        <f t="shared" si="26"/>
        <v>#N/A</v>
      </c>
      <c r="AN33" s="488"/>
      <c r="AO33" s="182"/>
      <c r="AP33" s="166"/>
      <c r="AQ33" s="166"/>
      <c r="AR33" s="182" t="e">
        <f t="shared" si="28"/>
        <v>#N/A</v>
      </c>
      <c r="AS33" s="488"/>
      <c r="AT33" s="182"/>
      <c r="AU33" s="166"/>
      <c r="AV33" s="166"/>
      <c r="AW33" s="182" t="e">
        <f t="shared" si="30"/>
        <v>#N/A</v>
      </c>
      <c r="AX33" s="488"/>
    </row>
    <row r="34" spans="2:50">
      <c r="B34" s="454"/>
      <c r="C34" s="182">
        <v>8</v>
      </c>
      <c r="D34" s="290"/>
      <c r="E34" s="166"/>
      <c r="F34" s="166"/>
      <c r="G34" s="166"/>
      <c r="H34" s="512"/>
      <c r="I34" s="166" t="str">
        <f t="shared" si="17"/>
        <v>-</v>
      </c>
      <c r="J34" s="166" t="str">
        <f t="shared" si="18"/>
        <v>-</v>
      </c>
      <c r="K34" s="180" t="str">
        <f t="shared" si="19"/>
        <v>-</v>
      </c>
      <c r="L34" s="464"/>
      <c r="M34" s="181" t="e">
        <f>RANK(K34, K$27:$K$41)</f>
        <v>#VALUE!</v>
      </c>
      <c r="N34" s="461"/>
      <c r="O34" s="461"/>
      <c r="P34" s="182"/>
      <c r="Q34" s="166"/>
      <c r="R34" s="166"/>
      <c r="S34" s="182" t="e">
        <f t="shared" si="32"/>
        <v>#N/A</v>
      </c>
      <c r="T34" s="488"/>
      <c r="U34" s="182"/>
      <c r="V34" s="166"/>
      <c r="W34" s="166"/>
      <c r="X34" s="182" t="e">
        <f t="shared" si="20"/>
        <v>#N/A</v>
      </c>
      <c r="Y34" s="488"/>
      <c r="Z34" s="182"/>
      <c r="AA34" s="166"/>
      <c r="AB34" s="166"/>
      <c r="AC34" s="182" t="e">
        <f t="shared" si="22"/>
        <v>#N/A</v>
      </c>
      <c r="AD34" s="488"/>
      <c r="AE34" s="182"/>
      <c r="AF34" s="166"/>
      <c r="AG34" s="166"/>
      <c r="AH34" s="182" t="e">
        <f t="shared" si="24"/>
        <v>#N/A</v>
      </c>
      <c r="AI34" s="488"/>
      <c r="AJ34" s="182"/>
      <c r="AK34" s="166"/>
      <c r="AL34" s="166"/>
      <c r="AM34" s="182" t="e">
        <f t="shared" si="26"/>
        <v>#N/A</v>
      </c>
      <c r="AN34" s="488"/>
      <c r="AO34" s="182"/>
      <c r="AP34" s="166"/>
      <c r="AQ34" s="166"/>
      <c r="AR34" s="182" t="e">
        <f t="shared" si="28"/>
        <v>#N/A</v>
      </c>
      <c r="AS34" s="488"/>
      <c r="AT34" s="182"/>
      <c r="AU34" s="166"/>
      <c r="AV34" s="166"/>
      <c r="AW34" s="182" t="e">
        <f t="shared" si="30"/>
        <v>#N/A</v>
      </c>
      <c r="AX34" s="488"/>
    </row>
    <row r="35" spans="2:50">
      <c r="B35" s="454"/>
      <c r="C35" s="182">
        <v>9</v>
      </c>
      <c r="D35" s="203"/>
      <c r="E35" s="166"/>
      <c r="F35" s="166"/>
      <c r="G35" s="166"/>
      <c r="H35" s="512"/>
      <c r="I35" s="166" t="str">
        <f t="shared" si="17"/>
        <v>-</v>
      </c>
      <c r="J35" s="166" t="str">
        <f t="shared" si="18"/>
        <v>-</v>
      </c>
      <c r="K35" s="180" t="str">
        <f t="shared" si="19"/>
        <v>-</v>
      </c>
      <c r="L35" s="464"/>
      <c r="M35" s="181" t="e">
        <f>RANK(K35, K$27:$K$41)</f>
        <v>#VALUE!</v>
      </c>
      <c r="N35" s="461"/>
      <c r="O35" s="461"/>
      <c r="P35" s="182"/>
      <c r="Q35" s="166"/>
      <c r="R35" s="166"/>
      <c r="S35" s="182" t="e">
        <f t="shared" si="32"/>
        <v>#N/A</v>
      </c>
      <c r="T35" s="488"/>
      <c r="U35" s="182"/>
      <c r="V35" s="166"/>
      <c r="W35" s="166"/>
      <c r="X35" s="182" t="e">
        <f t="shared" si="20"/>
        <v>#N/A</v>
      </c>
      <c r="Y35" s="488"/>
      <c r="Z35" s="182"/>
      <c r="AA35" s="166"/>
      <c r="AB35" s="166"/>
      <c r="AC35" s="182" t="e">
        <f t="shared" si="22"/>
        <v>#N/A</v>
      </c>
      <c r="AD35" s="488"/>
      <c r="AE35" s="182"/>
      <c r="AF35" s="166"/>
      <c r="AG35" s="166"/>
      <c r="AH35" s="182" t="e">
        <f t="shared" si="24"/>
        <v>#N/A</v>
      </c>
      <c r="AI35" s="488"/>
      <c r="AJ35" s="182"/>
      <c r="AK35" s="166"/>
      <c r="AL35" s="166"/>
      <c r="AM35" s="182" t="e">
        <f t="shared" si="26"/>
        <v>#N/A</v>
      </c>
      <c r="AN35" s="488"/>
      <c r="AO35" s="182"/>
      <c r="AP35" s="166"/>
      <c r="AQ35" s="166"/>
      <c r="AR35" s="182" t="e">
        <f t="shared" si="28"/>
        <v>#N/A</v>
      </c>
      <c r="AS35" s="488"/>
      <c r="AT35" s="182"/>
      <c r="AU35" s="166"/>
      <c r="AV35" s="166"/>
      <c r="AW35" s="182" t="e">
        <f t="shared" si="30"/>
        <v>#N/A</v>
      </c>
      <c r="AX35" s="488"/>
    </row>
    <row r="36" spans="2:50">
      <c r="B36" s="454"/>
      <c r="C36" s="182">
        <v>10</v>
      </c>
      <c r="D36" s="203"/>
      <c r="E36" s="166"/>
      <c r="F36" s="166"/>
      <c r="G36" s="166"/>
      <c r="H36" s="512"/>
      <c r="I36" s="166" t="str">
        <f t="shared" si="17"/>
        <v>-</v>
      </c>
      <c r="J36" s="166" t="str">
        <f t="shared" si="18"/>
        <v>-</v>
      </c>
      <c r="K36" s="180" t="str">
        <f t="shared" si="19"/>
        <v>-</v>
      </c>
      <c r="L36" s="464"/>
      <c r="M36" s="181" t="e">
        <f>RANK(K36, K$27:$K$41)</f>
        <v>#VALUE!</v>
      </c>
      <c r="N36" s="461"/>
      <c r="O36" s="461"/>
      <c r="P36" s="182"/>
      <c r="Q36" s="166"/>
      <c r="R36" s="166"/>
      <c r="S36" s="182" t="e">
        <f t="shared" si="32"/>
        <v>#N/A</v>
      </c>
      <c r="T36" s="488"/>
      <c r="U36" s="182"/>
      <c r="V36" s="166"/>
      <c r="W36" s="166"/>
      <c r="X36" s="182" t="e">
        <f t="shared" si="20"/>
        <v>#N/A</v>
      </c>
      <c r="Y36" s="488"/>
      <c r="Z36" s="182"/>
      <c r="AA36" s="166"/>
      <c r="AB36" s="166"/>
      <c r="AC36" s="182" t="e">
        <f t="shared" si="22"/>
        <v>#N/A</v>
      </c>
      <c r="AD36" s="488"/>
      <c r="AE36" s="182"/>
      <c r="AF36" s="166"/>
      <c r="AG36" s="166"/>
      <c r="AH36" s="182" t="e">
        <f t="shared" si="24"/>
        <v>#N/A</v>
      </c>
      <c r="AI36" s="488"/>
      <c r="AJ36" s="182"/>
      <c r="AK36" s="166"/>
      <c r="AL36" s="166"/>
      <c r="AM36" s="182" t="e">
        <f t="shared" si="26"/>
        <v>#N/A</v>
      </c>
      <c r="AN36" s="488"/>
      <c r="AO36" s="182"/>
      <c r="AP36" s="166"/>
      <c r="AQ36" s="166"/>
      <c r="AR36" s="182" t="e">
        <f t="shared" si="28"/>
        <v>#N/A</v>
      </c>
      <c r="AS36" s="488"/>
      <c r="AT36" s="182"/>
      <c r="AU36" s="166"/>
      <c r="AV36" s="166"/>
      <c r="AW36" s="182" t="e">
        <f t="shared" si="30"/>
        <v>#N/A</v>
      </c>
      <c r="AX36" s="488"/>
    </row>
    <row r="37" spans="2:50">
      <c r="B37" s="454"/>
      <c r="C37" s="182">
        <v>11</v>
      </c>
      <c r="D37" s="203"/>
      <c r="E37" s="166"/>
      <c r="F37" s="166"/>
      <c r="G37" s="166"/>
      <c r="H37" s="512"/>
      <c r="I37" s="166" t="str">
        <f t="shared" si="17"/>
        <v>-</v>
      </c>
      <c r="J37" s="166" t="str">
        <f t="shared" si="18"/>
        <v>-</v>
      </c>
      <c r="K37" s="180" t="str">
        <f t="shared" si="19"/>
        <v>-</v>
      </c>
      <c r="L37" s="464"/>
      <c r="M37" s="181" t="e">
        <f>RANK(K37, K$27:$K$41)</f>
        <v>#VALUE!</v>
      </c>
      <c r="N37" s="461"/>
      <c r="O37" s="461"/>
      <c r="P37" s="182"/>
      <c r="Q37" s="166"/>
      <c r="R37" s="166"/>
      <c r="S37" s="182" t="e">
        <f t="shared" si="32"/>
        <v>#N/A</v>
      </c>
      <c r="T37" s="488"/>
      <c r="U37" s="182"/>
      <c r="V37" s="166"/>
      <c r="W37" s="166"/>
      <c r="X37" s="182" t="e">
        <f t="shared" si="20"/>
        <v>#N/A</v>
      </c>
      <c r="Y37" s="488"/>
      <c r="Z37" s="182"/>
      <c r="AA37" s="166"/>
      <c r="AB37" s="166"/>
      <c r="AC37" s="182" t="e">
        <f t="shared" si="22"/>
        <v>#N/A</v>
      </c>
      <c r="AD37" s="488"/>
      <c r="AE37" s="182"/>
      <c r="AF37" s="166"/>
      <c r="AG37" s="166"/>
      <c r="AH37" s="182" t="e">
        <f t="shared" si="24"/>
        <v>#N/A</v>
      </c>
      <c r="AI37" s="488"/>
      <c r="AJ37" s="182"/>
      <c r="AK37" s="166"/>
      <c r="AL37" s="166"/>
      <c r="AM37" s="182" t="e">
        <f t="shared" si="26"/>
        <v>#N/A</v>
      </c>
      <c r="AN37" s="488"/>
      <c r="AO37" s="182"/>
      <c r="AP37" s="166"/>
      <c r="AQ37" s="166"/>
      <c r="AR37" s="182" t="e">
        <f t="shared" si="28"/>
        <v>#N/A</v>
      </c>
      <c r="AS37" s="488"/>
      <c r="AT37" s="182"/>
      <c r="AU37" s="166"/>
      <c r="AV37" s="166"/>
      <c r="AW37" s="182" t="e">
        <f t="shared" si="30"/>
        <v>#N/A</v>
      </c>
      <c r="AX37" s="488"/>
    </row>
    <row r="38" spans="2:50">
      <c r="B38" s="454"/>
      <c r="C38" s="182">
        <v>12</v>
      </c>
      <c r="D38" s="203"/>
      <c r="E38" s="166"/>
      <c r="F38" s="166"/>
      <c r="G38" s="166"/>
      <c r="H38" s="512"/>
      <c r="I38" s="166" t="str">
        <f t="shared" si="17"/>
        <v>-</v>
      </c>
      <c r="J38" s="166" t="str">
        <f t="shared" si="18"/>
        <v>-</v>
      </c>
      <c r="K38" s="180" t="str">
        <f t="shared" si="19"/>
        <v>-</v>
      </c>
      <c r="L38" s="464"/>
      <c r="M38" s="181" t="e">
        <f>RANK(K38, K$27:$K$41)</f>
        <v>#VALUE!</v>
      </c>
      <c r="N38" s="461"/>
      <c r="O38" s="461"/>
      <c r="P38" s="182"/>
      <c r="Q38" s="166"/>
      <c r="R38" s="166"/>
      <c r="S38" s="182" t="e">
        <f t="shared" si="32"/>
        <v>#N/A</v>
      </c>
      <c r="T38" s="488"/>
      <c r="U38" s="182"/>
      <c r="V38" s="166"/>
      <c r="W38" s="166"/>
      <c r="X38" s="182" t="e">
        <f t="shared" si="20"/>
        <v>#N/A</v>
      </c>
      <c r="Y38" s="488"/>
      <c r="Z38" s="182"/>
      <c r="AA38" s="166"/>
      <c r="AB38" s="166"/>
      <c r="AC38" s="182" t="e">
        <f t="shared" si="22"/>
        <v>#N/A</v>
      </c>
      <c r="AD38" s="488"/>
      <c r="AE38" s="182"/>
      <c r="AF38" s="166"/>
      <c r="AG38" s="166"/>
      <c r="AH38" s="182" t="e">
        <f t="shared" si="24"/>
        <v>#N/A</v>
      </c>
      <c r="AI38" s="488"/>
      <c r="AJ38" s="182"/>
      <c r="AK38" s="166"/>
      <c r="AL38" s="166"/>
      <c r="AM38" s="182" t="e">
        <f t="shared" si="26"/>
        <v>#N/A</v>
      </c>
      <c r="AN38" s="488"/>
      <c r="AO38" s="182"/>
      <c r="AP38" s="166"/>
      <c r="AQ38" s="166"/>
      <c r="AR38" s="182" t="e">
        <f t="shared" si="28"/>
        <v>#N/A</v>
      </c>
      <c r="AS38" s="488"/>
      <c r="AT38" s="182"/>
      <c r="AU38" s="166"/>
      <c r="AV38" s="166"/>
      <c r="AW38" s="182" t="e">
        <f t="shared" si="30"/>
        <v>#N/A</v>
      </c>
      <c r="AX38" s="488"/>
    </row>
    <row r="39" spans="2:50">
      <c r="B39" s="454"/>
      <c r="C39" s="182">
        <v>13</v>
      </c>
      <c r="D39" s="203"/>
      <c r="E39" s="166"/>
      <c r="F39" s="166"/>
      <c r="G39" s="166"/>
      <c r="H39" s="512"/>
      <c r="I39" s="166" t="str">
        <f t="shared" si="17"/>
        <v>-</v>
      </c>
      <c r="J39" s="166" t="str">
        <f t="shared" si="18"/>
        <v>-</v>
      </c>
      <c r="K39" s="180" t="str">
        <f t="shared" si="19"/>
        <v>-</v>
      </c>
      <c r="L39" s="464"/>
      <c r="M39" s="181" t="e">
        <f>RANK(K39, K$27:$K$41)</f>
        <v>#VALUE!</v>
      </c>
      <c r="N39" s="461"/>
      <c r="O39" s="461"/>
      <c r="P39" s="182"/>
      <c r="Q39" s="166"/>
      <c r="R39" s="166"/>
      <c r="S39" s="182" t="e">
        <f t="shared" si="32"/>
        <v>#N/A</v>
      </c>
      <c r="T39" s="488"/>
      <c r="U39" s="182"/>
      <c r="V39" s="166"/>
      <c r="W39" s="166"/>
      <c r="X39" s="182" t="e">
        <f t="shared" si="20"/>
        <v>#N/A</v>
      </c>
      <c r="Y39" s="488"/>
      <c r="Z39" s="182"/>
      <c r="AA39" s="166"/>
      <c r="AB39" s="166"/>
      <c r="AC39" s="182" t="e">
        <f t="shared" si="22"/>
        <v>#N/A</v>
      </c>
      <c r="AD39" s="488"/>
      <c r="AE39" s="182"/>
      <c r="AF39" s="166"/>
      <c r="AG39" s="166"/>
      <c r="AH39" s="182" t="e">
        <f t="shared" si="24"/>
        <v>#N/A</v>
      </c>
      <c r="AI39" s="488"/>
      <c r="AJ39" s="182"/>
      <c r="AK39" s="166"/>
      <c r="AL39" s="166"/>
      <c r="AM39" s="182" t="e">
        <f t="shared" si="26"/>
        <v>#N/A</v>
      </c>
      <c r="AN39" s="488"/>
      <c r="AO39" s="182"/>
      <c r="AP39" s="166"/>
      <c r="AQ39" s="166"/>
      <c r="AR39" s="182" t="e">
        <f t="shared" si="28"/>
        <v>#N/A</v>
      </c>
      <c r="AS39" s="488"/>
      <c r="AT39" s="182"/>
      <c r="AU39" s="166"/>
      <c r="AV39" s="166"/>
      <c r="AW39" s="182" t="e">
        <f t="shared" si="30"/>
        <v>#N/A</v>
      </c>
      <c r="AX39" s="488"/>
    </row>
    <row r="40" spans="2:50">
      <c r="B40" s="454"/>
      <c r="C40" s="182">
        <v>14</v>
      </c>
      <c r="D40" s="203"/>
      <c r="E40" s="166"/>
      <c r="F40" s="166"/>
      <c r="G40" s="166"/>
      <c r="H40" s="512"/>
      <c r="I40" s="166" t="str">
        <f t="shared" si="17"/>
        <v>-</v>
      </c>
      <c r="J40" s="166" t="str">
        <f t="shared" si="18"/>
        <v>-</v>
      </c>
      <c r="K40" s="180" t="str">
        <f t="shared" si="19"/>
        <v>-</v>
      </c>
      <c r="L40" s="464"/>
      <c r="M40" s="181" t="e">
        <f>RANK(K40, K$27:$K$41)</f>
        <v>#VALUE!</v>
      </c>
      <c r="N40" s="461"/>
      <c r="O40" s="461"/>
      <c r="P40" s="182"/>
      <c r="Q40" s="166"/>
      <c r="R40" s="166"/>
      <c r="S40" s="182" t="e">
        <f t="shared" si="32"/>
        <v>#N/A</v>
      </c>
      <c r="T40" s="488"/>
      <c r="U40" s="182"/>
      <c r="V40" s="166"/>
      <c r="W40" s="166"/>
      <c r="X40" s="182" t="e">
        <f t="shared" si="20"/>
        <v>#N/A</v>
      </c>
      <c r="Y40" s="488"/>
      <c r="Z40" s="182"/>
      <c r="AA40" s="166"/>
      <c r="AB40" s="166"/>
      <c r="AC40" s="182" t="e">
        <f t="shared" si="22"/>
        <v>#N/A</v>
      </c>
      <c r="AD40" s="488"/>
      <c r="AE40" s="182"/>
      <c r="AF40" s="166"/>
      <c r="AG40" s="166"/>
      <c r="AH40" s="182" t="e">
        <f t="shared" si="24"/>
        <v>#N/A</v>
      </c>
      <c r="AI40" s="488"/>
      <c r="AJ40" s="182"/>
      <c r="AK40" s="166"/>
      <c r="AL40" s="166"/>
      <c r="AM40" s="182" t="e">
        <f t="shared" si="26"/>
        <v>#N/A</v>
      </c>
      <c r="AN40" s="488"/>
      <c r="AO40" s="182"/>
      <c r="AP40" s="166"/>
      <c r="AQ40" s="166"/>
      <c r="AR40" s="182" t="e">
        <f t="shared" si="28"/>
        <v>#N/A</v>
      </c>
      <c r="AS40" s="488"/>
      <c r="AT40" s="182"/>
      <c r="AU40" s="166"/>
      <c r="AV40" s="166"/>
      <c r="AW40" s="182" t="e">
        <f t="shared" si="30"/>
        <v>#N/A</v>
      </c>
      <c r="AX40" s="488"/>
    </row>
    <row r="41" spans="2:50">
      <c r="B41" s="454"/>
      <c r="C41" s="182">
        <v>15</v>
      </c>
      <c r="D41" s="203"/>
      <c r="E41" s="166"/>
      <c r="F41" s="166"/>
      <c r="G41" s="166"/>
      <c r="H41" s="513"/>
      <c r="I41" s="166" t="str">
        <f t="shared" si="17"/>
        <v>-</v>
      </c>
      <c r="J41" s="166" t="str">
        <f t="shared" si="18"/>
        <v>-</v>
      </c>
      <c r="K41" s="180" t="str">
        <f t="shared" si="19"/>
        <v>-</v>
      </c>
      <c r="L41" s="465"/>
      <c r="M41" s="166" t="e">
        <f>RANK(K41, K$27:$K$41)</f>
        <v>#VALUE!</v>
      </c>
      <c r="N41" s="461"/>
      <c r="O41" s="461"/>
      <c r="P41" s="182"/>
      <c r="Q41" s="166"/>
      <c r="R41" s="166"/>
      <c r="S41" s="182" t="e">
        <f t="shared" si="32"/>
        <v>#N/A</v>
      </c>
      <c r="T41" s="489"/>
      <c r="U41" s="182"/>
      <c r="V41" s="166"/>
      <c r="W41" s="166"/>
      <c r="X41" s="182" t="e">
        <f t="shared" si="20"/>
        <v>#N/A</v>
      </c>
      <c r="Y41" s="489"/>
      <c r="Z41" s="182"/>
      <c r="AA41" s="166"/>
      <c r="AB41" s="166"/>
      <c r="AC41" s="182" t="e">
        <f t="shared" si="22"/>
        <v>#N/A</v>
      </c>
      <c r="AD41" s="489"/>
      <c r="AE41" s="182"/>
      <c r="AF41" s="166"/>
      <c r="AG41" s="166"/>
      <c r="AH41" s="182" t="e">
        <f t="shared" si="24"/>
        <v>#N/A</v>
      </c>
      <c r="AI41" s="489"/>
      <c r="AJ41" s="182"/>
      <c r="AK41" s="166"/>
      <c r="AL41" s="166"/>
      <c r="AM41" s="182" t="e">
        <f t="shared" si="26"/>
        <v>#N/A</v>
      </c>
      <c r="AN41" s="489"/>
      <c r="AO41" s="182"/>
      <c r="AP41" s="166"/>
      <c r="AQ41" s="166"/>
      <c r="AR41" s="182" t="e">
        <f t="shared" si="28"/>
        <v>#N/A</v>
      </c>
      <c r="AS41" s="489"/>
      <c r="AT41" s="182"/>
      <c r="AU41" s="166"/>
      <c r="AV41" s="166"/>
      <c r="AW41" s="182" t="e">
        <f t="shared" si="30"/>
        <v>#N/A</v>
      </c>
      <c r="AX41" s="489"/>
    </row>
    <row r="42" spans="2:50" ht="15.5">
      <c r="B42" s="493" t="s">
        <v>163</v>
      </c>
      <c r="C42" s="494"/>
      <c r="D42" s="494"/>
      <c r="E42" s="494"/>
      <c r="F42" s="494"/>
      <c r="G42" s="494"/>
      <c r="H42" s="494"/>
      <c r="I42" s="186"/>
      <c r="J42" s="183"/>
      <c r="K42" s="186"/>
      <c r="L42" s="186"/>
      <c r="M42" s="178"/>
      <c r="N42" s="480" t="s">
        <v>156</v>
      </c>
      <c r="O42" s="480" t="s">
        <v>105</v>
      </c>
      <c r="P42" s="476">
        <f>P22+7</f>
        <v>46126</v>
      </c>
      <c r="Q42" s="454"/>
      <c r="R42" s="454"/>
      <c r="S42" s="454"/>
      <c r="T42" s="454"/>
      <c r="U42" s="473">
        <f>P42+1</f>
        <v>46127</v>
      </c>
      <c r="V42" s="474"/>
      <c r="W42" s="474"/>
      <c r="X42" s="474"/>
      <c r="Y42" s="475"/>
      <c r="Z42" s="473">
        <f>U42+1</f>
        <v>46128</v>
      </c>
      <c r="AA42" s="474"/>
      <c r="AB42" s="474"/>
      <c r="AC42" s="474"/>
      <c r="AD42" s="475"/>
      <c r="AE42" s="473">
        <f>Z42+1</f>
        <v>46129</v>
      </c>
      <c r="AF42" s="474"/>
      <c r="AG42" s="474"/>
      <c r="AH42" s="474"/>
      <c r="AI42" s="475"/>
      <c r="AJ42" s="473">
        <f>AE42+1</f>
        <v>46130</v>
      </c>
      <c r="AK42" s="474"/>
      <c r="AL42" s="474"/>
      <c r="AM42" s="474"/>
      <c r="AN42" s="475"/>
      <c r="AO42" s="473">
        <f>AJ42+1</f>
        <v>46131</v>
      </c>
      <c r="AP42" s="474"/>
      <c r="AQ42" s="474"/>
      <c r="AR42" s="474"/>
      <c r="AS42" s="475"/>
      <c r="AT42" s="473">
        <f>AO42+1</f>
        <v>46132</v>
      </c>
      <c r="AU42" s="474"/>
      <c r="AV42" s="474"/>
      <c r="AW42" s="474"/>
      <c r="AX42" s="475"/>
    </row>
    <row r="43" spans="2:50" ht="15.5">
      <c r="B43" s="479"/>
      <c r="C43" s="479"/>
      <c r="D43" s="479"/>
      <c r="E43" s="479"/>
      <c r="F43" s="479"/>
      <c r="G43" s="479"/>
      <c r="H43" s="479"/>
      <c r="I43" s="184"/>
      <c r="J43" s="184"/>
      <c r="K43" s="184"/>
      <c r="L43" s="184"/>
      <c r="M43" s="179"/>
      <c r="N43" s="481"/>
      <c r="O43" s="481"/>
      <c r="P43" s="476" t="s">
        <v>336</v>
      </c>
      <c r="Q43" s="454"/>
      <c r="R43" s="454"/>
      <c r="S43" s="454"/>
      <c r="T43" s="454"/>
      <c r="U43" s="476" t="s">
        <v>337</v>
      </c>
      <c r="V43" s="454"/>
      <c r="W43" s="454"/>
      <c r="X43" s="454"/>
      <c r="Y43" s="454"/>
      <c r="Z43" s="476" t="s">
        <v>338</v>
      </c>
      <c r="AA43" s="454"/>
      <c r="AB43" s="454"/>
      <c r="AC43" s="454"/>
      <c r="AD43" s="454"/>
      <c r="AE43" s="476" t="s">
        <v>339</v>
      </c>
      <c r="AF43" s="454"/>
      <c r="AG43" s="454"/>
      <c r="AH43" s="454"/>
      <c r="AI43" s="454"/>
      <c r="AJ43" s="476" t="s">
        <v>340</v>
      </c>
      <c r="AK43" s="454"/>
      <c r="AL43" s="454"/>
      <c r="AM43" s="454"/>
      <c r="AN43" s="454"/>
      <c r="AO43" s="476" t="s">
        <v>341</v>
      </c>
      <c r="AP43" s="454"/>
      <c r="AQ43" s="454"/>
      <c r="AR43" s="454"/>
      <c r="AS43" s="454"/>
      <c r="AT43" s="476" t="s">
        <v>342</v>
      </c>
      <c r="AU43" s="454"/>
      <c r="AV43" s="454"/>
      <c r="AW43" s="454"/>
      <c r="AX43" s="454"/>
    </row>
    <row r="44" spans="2:50">
      <c r="B44" s="461" t="s">
        <v>549</v>
      </c>
      <c r="C44" s="461" t="s">
        <v>550</v>
      </c>
      <c r="D44" s="461"/>
      <c r="E44" s="461" t="s">
        <v>551</v>
      </c>
      <c r="F44" s="461"/>
      <c r="G44" s="461"/>
      <c r="H44" s="482" t="s">
        <v>552</v>
      </c>
      <c r="I44" s="461" t="s">
        <v>553</v>
      </c>
      <c r="J44" s="461"/>
      <c r="K44" s="461"/>
      <c r="L44" s="482" t="s">
        <v>552</v>
      </c>
      <c r="M44" s="480" t="s">
        <v>554</v>
      </c>
      <c r="N44" s="461"/>
      <c r="O44" s="461" t="s">
        <v>555</v>
      </c>
      <c r="P44" s="466" t="s">
        <v>760</v>
      </c>
      <c r="Q44" s="467"/>
      <c r="R44" s="467"/>
      <c r="S44" s="468"/>
      <c r="T44" s="461" t="s">
        <v>761</v>
      </c>
      <c r="U44" s="466" t="s">
        <v>760</v>
      </c>
      <c r="V44" s="467"/>
      <c r="W44" s="467"/>
      <c r="X44" s="468"/>
      <c r="Y44" s="461" t="s">
        <v>761</v>
      </c>
      <c r="Z44" s="466" t="s">
        <v>760</v>
      </c>
      <c r="AA44" s="467"/>
      <c r="AB44" s="467"/>
      <c r="AC44" s="468"/>
      <c r="AD44" s="461" t="s">
        <v>761</v>
      </c>
      <c r="AE44" s="466" t="s">
        <v>760</v>
      </c>
      <c r="AF44" s="467"/>
      <c r="AG44" s="467"/>
      <c r="AH44" s="468"/>
      <c r="AI44" s="461" t="s">
        <v>761</v>
      </c>
      <c r="AJ44" s="466" t="s">
        <v>760</v>
      </c>
      <c r="AK44" s="467"/>
      <c r="AL44" s="467"/>
      <c r="AM44" s="468"/>
      <c r="AN44" s="461" t="s">
        <v>761</v>
      </c>
      <c r="AO44" s="466" t="s">
        <v>760</v>
      </c>
      <c r="AP44" s="467"/>
      <c r="AQ44" s="467"/>
      <c r="AR44" s="468"/>
      <c r="AS44" s="461" t="s">
        <v>761</v>
      </c>
      <c r="AT44" s="466" t="s">
        <v>760</v>
      </c>
      <c r="AU44" s="467"/>
      <c r="AV44" s="467"/>
      <c r="AW44" s="468"/>
      <c r="AX44" s="461" t="s">
        <v>761</v>
      </c>
    </row>
    <row r="45" spans="2:50">
      <c r="B45" s="461"/>
      <c r="C45" s="461"/>
      <c r="D45" s="461"/>
      <c r="E45" s="461" t="s">
        <v>556</v>
      </c>
      <c r="F45" s="461"/>
      <c r="G45" s="461"/>
      <c r="H45" s="483"/>
      <c r="I45" s="461" t="s">
        <v>556</v>
      </c>
      <c r="J45" s="461"/>
      <c r="K45" s="461"/>
      <c r="L45" s="483"/>
      <c r="M45" s="485"/>
      <c r="N45" s="461"/>
      <c r="O45" s="461"/>
      <c r="P45" s="466" t="s">
        <v>762</v>
      </c>
      <c r="Q45" s="467"/>
      <c r="R45" s="467"/>
      <c r="S45" s="468"/>
      <c r="T45" s="461"/>
      <c r="U45" s="466" t="s">
        <v>762</v>
      </c>
      <c r="V45" s="467"/>
      <c r="W45" s="467"/>
      <c r="X45" s="468"/>
      <c r="Y45" s="461"/>
      <c r="Z45" s="466" t="s">
        <v>762</v>
      </c>
      <c r="AA45" s="467"/>
      <c r="AB45" s="467"/>
      <c r="AC45" s="468"/>
      <c r="AD45" s="461"/>
      <c r="AE45" s="466" t="s">
        <v>762</v>
      </c>
      <c r="AF45" s="467"/>
      <c r="AG45" s="467"/>
      <c r="AH45" s="468"/>
      <c r="AI45" s="461"/>
      <c r="AJ45" s="466" t="s">
        <v>762</v>
      </c>
      <c r="AK45" s="467"/>
      <c r="AL45" s="467"/>
      <c r="AM45" s="468"/>
      <c r="AN45" s="461"/>
      <c r="AO45" s="466" t="s">
        <v>762</v>
      </c>
      <c r="AP45" s="467"/>
      <c r="AQ45" s="467"/>
      <c r="AR45" s="468"/>
      <c r="AS45" s="461"/>
      <c r="AT45" s="466" t="s">
        <v>762</v>
      </c>
      <c r="AU45" s="467"/>
      <c r="AV45" s="467"/>
      <c r="AW45" s="468"/>
      <c r="AX45" s="461"/>
    </row>
    <row r="46" spans="2:50">
      <c r="B46" s="461"/>
      <c r="C46" s="461"/>
      <c r="D46" s="461"/>
      <c r="E46" s="269" t="s">
        <v>557</v>
      </c>
      <c r="F46" s="269" t="s">
        <v>558</v>
      </c>
      <c r="G46" s="269" t="s">
        <v>559</v>
      </c>
      <c r="H46" s="484"/>
      <c r="I46" s="269" t="s">
        <v>557</v>
      </c>
      <c r="J46" s="269" t="s">
        <v>558</v>
      </c>
      <c r="K46" s="269" t="s">
        <v>559</v>
      </c>
      <c r="L46" s="484"/>
      <c r="M46" s="481"/>
      <c r="N46" s="461"/>
      <c r="O46" s="461"/>
      <c r="P46" s="269" t="s">
        <v>763</v>
      </c>
      <c r="Q46" s="269" t="s">
        <v>764</v>
      </c>
      <c r="R46" s="269" t="s">
        <v>765</v>
      </c>
      <c r="S46" s="269" t="s">
        <v>766</v>
      </c>
      <c r="T46" s="461"/>
      <c r="U46" s="269" t="s">
        <v>763</v>
      </c>
      <c r="V46" s="269" t="s">
        <v>764</v>
      </c>
      <c r="W46" s="269" t="s">
        <v>765</v>
      </c>
      <c r="X46" s="269" t="s">
        <v>766</v>
      </c>
      <c r="Y46" s="461"/>
      <c r="Z46" s="269" t="s">
        <v>763</v>
      </c>
      <c r="AA46" s="269" t="s">
        <v>764</v>
      </c>
      <c r="AB46" s="269" t="s">
        <v>765</v>
      </c>
      <c r="AC46" s="269" t="s">
        <v>766</v>
      </c>
      <c r="AD46" s="461"/>
      <c r="AE46" s="269" t="s">
        <v>763</v>
      </c>
      <c r="AF46" s="269" t="s">
        <v>764</v>
      </c>
      <c r="AG46" s="269" t="s">
        <v>765</v>
      </c>
      <c r="AH46" s="269" t="s">
        <v>766</v>
      </c>
      <c r="AI46" s="461"/>
      <c r="AJ46" s="269" t="s">
        <v>763</v>
      </c>
      <c r="AK46" s="269" t="s">
        <v>764</v>
      </c>
      <c r="AL46" s="269" t="s">
        <v>765</v>
      </c>
      <c r="AM46" s="269" t="s">
        <v>766</v>
      </c>
      <c r="AN46" s="461"/>
      <c r="AO46" s="269" t="s">
        <v>763</v>
      </c>
      <c r="AP46" s="269" t="s">
        <v>764</v>
      </c>
      <c r="AQ46" s="269" t="s">
        <v>765</v>
      </c>
      <c r="AR46" s="269" t="s">
        <v>766</v>
      </c>
      <c r="AS46" s="461"/>
      <c r="AT46" s="269" t="s">
        <v>763</v>
      </c>
      <c r="AU46" s="269" t="s">
        <v>764</v>
      </c>
      <c r="AV46" s="269" t="s">
        <v>765</v>
      </c>
      <c r="AW46" s="269" t="s">
        <v>766</v>
      </c>
      <c r="AX46" s="461"/>
    </row>
    <row r="47" spans="2:50">
      <c r="B47" s="501" t="s">
        <v>560</v>
      </c>
      <c r="C47" s="182">
        <v>1</v>
      </c>
      <c r="D47" s="203"/>
      <c r="E47" s="166"/>
      <c r="F47" s="166"/>
      <c r="G47" s="166"/>
      <c r="H47" s="463" t="e">
        <f>AVERAGE(G47:G61)</f>
        <v>#DIV/0!</v>
      </c>
      <c r="I47" s="166" t="str">
        <f t="shared" ref="I47:I61" si="33">IFERROR(AVERAGE(P47,U47,Z47,AE47,AJ47,AO47,AT47),"-")</f>
        <v>-</v>
      </c>
      <c r="J47" s="166" t="str">
        <f t="shared" ref="J47:J61" si="34">IFERROR(AVERAGE(Q47,V47,AA47,AF47,AK47,AP47,AU47),"-")</f>
        <v>-</v>
      </c>
      <c r="K47" s="180" t="str">
        <f t="shared" ref="K47:K61" si="35">IFERROR(AVERAGE(R47,W47,AB47,AG47,AL47,AQ47,AV47),"-")</f>
        <v>-</v>
      </c>
      <c r="L47" s="463" t="str">
        <f>IFERROR(AVERAGE(K47:K61),"-")</f>
        <v>-</v>
      </c>
      <c r="M47" s="181" t="e">
        <f>RANK(K47, K$47:$K$61)</f>
        <v>#VALUE!</v>
      </c>
      <c r="N47" s="461"/>
      <c r="O47" s="461"/>
      <c r="P47" s="182"/>
      <c r="Q47" s="166"/>
      <c r="R47" s="166"/>
      <c r="S47" s="182" t="e">
        <f>RANK(R47, R$47:R$61)</f>
        <v>#N/A</v>
      </c>
      <c r="T47" s="487" t="e">
        <f>AVERAGE(R47:R61)</f>
        <v>#DIV/0!</v>
      </c>
      <c r="U47" s="182"/>
      <c r="V47" s="166"/>
      <c r="W47" s="166"/>
      <c r="X47" s="182" t="e">
        <f t="shared" ref="X47:X53" si="36">RANK(W47, W$47:W$61)</f>
        <v>#N/A</v>
      </c>
      <c r="Y47" s="487" t="e">
        <f t="shared" ref="Y47" si="37">AVERAGE(W47:W61)</f>
        <v>#DIV/0!</v>
      </c>
      <c r="Z47" s="182"/>
      <c r="AA47" s="166"/>
      <c r="AB47" s="166"/>
      <c r="AC47" s="182" t="e">
        <f t="shared" ref="AC47:AC53" si="38">RANK(AB47, AB$47:AB$61)</f>
        <v>#N/A</v>
      </c>
      <c r="AD47" s="487" t="e">
        <f t="shared" ref="AD47" si="39">AVERAGE(AB47:AB61)</f>
        <v>#DIV/0!</v>
      </c>
      <c r="AE47" s="182"/>
      <c r="AF47" s="166"/>
      <c r="AG47" s="166"/>
      <c r="AH47" s="182" t="e">
        <f t="shared" ref="AH47:AH53" si="40">RANK(AG47, AG$47:AG$61)</f>
        <v>#N/A</v>
      </c>
      <c r="AI47" s="487" t="e">
        <f t="shared" ref="AI47" si="41">AVERAGE(AG47:AG61)</f>
        <v>#DIV/0!</v>
      </c>
      <c r="AJ47" s="182"/>
      <c r="AK47" s="166"/>
      <c r="AL47" s="166"/>
      <c r="AM47" s="182" t="e">
        <f t="shared" ref="AM47:AM53" si="42">RANK(AL47, AL$47:AL$61)</f>
        <v>#N/A</v>
      </c>
      <c r="AN47" s="487" t="e">
        <f t="shared" ref="AN47" si="43">AVERAGE(AL47:AL61)</f>
        <v>#DIV/0!</v>
      </c>
      <c r="AO47" s="182"/>
      <c r="AP47" s="166"/>
      <c r="AQ47" s="166"/>
      <c r="AR47" s="182" t="e">
        <f t="shared" ref="AR47:AR53" si="44">RANK(AQ47, AQ$47:AQ$61)</f>
        <v>#N/A</v>
      </c>
      <c r="AS47" s="487" t="e">
        <f t="shared" ref="AS47" si="45">AVERAGE(AQ47:AQ61)</f>
        <v>#DIV/0!</v>
      </c>
      <c r="AT47" s="182"/>
      <c r="AU47" s="166"/>
      <c r="AV47" s="166"/>
      <c r="AW47" s="182" t="e">
        <f t="shared" ref="AW47:AW53" si="46">RANK(AV47, AV$47:AV$61)</f>
        <v>#N/A</v>
      </c>
      <c r="AX47" s="487" t="e">
        <f t="shared" ref="AX47" si="47">AVERAGE(AV47:AV61)</f>
        <v>#DIV/0!</v>
      </c>
    </row>
    <row r="48" spans="2:50">
      <c r="B48" s="454"/>
      <c r="C48" s="182">
        <v>2</v>
      </c>
      <c r="D48" s="203"/>
      <c r="E48" s="166"/>
      <c r="F48" s="166"/>
      <c r="G48" s="166"/>
      <c r="H48" s="464"/>
      <c r="I48" s="166" t="str">
        <f t="shared" si="33"/>
        <v>-</v>
      </c>
      <c r="J48" s="166" t="str">
        <f t="shared" si="34"/>
        <v>-</v>
      </c>
      <c r="K48" s="180" t="str">
        <f t="shared" si="35"/>
        <v>-</v>
      </c>
      <c r="L48" s="464"/>
      <c r="M48" s="181" t="e">
        <f>RANK(K48, K$47:$K$61)</f>
        <v>#VALUE!</v>
      </c>
      <c r="N48" s="461"/>
      <c r="O48" s="461"/>
      <c r="P48" s="182"/>
      <c r="Q48" s="166"/>
      <c r="R48" s="166"/>
      <c r="S48" s="182" t="e">
        <f t="shared" ref="S48:S53" si="48">RANK(R48, R$47:R$61)</f>
        <v>#N/A</v>
      </c>
      <c r="T48" s="488"/>
      <c r="U48" s="182"/>
      <c r="V48" s="166"/>
      <c r="W48" s="166"/>
      <c r="X48" s="182" t="e">
        <f t="shared" si="36"/>
        <v>#N/A</v>
      </c>
      <c r="Y48" s="488"/>
      <c r="Z48" s="182"/>
      <c r="AA48" s="166"/>
      <c r="AB48" s="166"/>
      <c r="AC48" s="182" t="e">
        <f t="shared" si="38"/>
        <v>#N/A</v>
      </c>
      <c r="AD48" s="488"/>
      <c r="AE48" s="182"/>
      <c r="AF48" s="166"/>
      <c r="AG48" s="166"/>
      <c r="AH48" s="182" t="e">
        <f t="shared" si="40"/>
        <v>#N/A</v>
      </c>
      <c r="AI48" s="488"/>
      <c r="AJ48" s="182"/>
      <c r="AK48" s="166"/>
      <c r="AL48" s="166"/>
      <c r="AM48" s="182" t="e">
        <f t="shared" si="42"/>
        <v>#N/A</v>
      </c>
      <c r="AN48" s="488"/>
      <c r="AO48" s="182"/>
      <c r="AP48" s="166"/>
      <c r="AQ48" s="166"/>
      <c r="AR48" s="182" t="e">
        <f t="shared" si="44"/>
        <v>#N/A</v>
      </c>
      <c r="AS48" s="488"/>
      <c r="AT48" s="182"/>
      <c r="AU48" s="166"/>
      <c r="AV48" s="166"/>
      <c r="AW48" s="182" t="e">
        <f t="shared" si="46"/>
        <v>#N/A</v>
      </c>
      <c r="AX48" s="488"/>
    </row>
    <row r="49" spans="2:50">
      <c r="B49" s="454"/>
      <c r="C49" s="182">
        <v>3</v>
      </c>
      <c r="D49" s="203"/>
      <c r="E49" s="166"/>
      <c r="F49" s="166"/>
      <c r="G49" s="166"/>
      <c r="H49" s="464"/>
      <c r="I49" s="166" t="str">
        <f t="shared" si="33"/>
        <v>-</v>
      </c>
      <c r="J49" s="166" t="str">
        <f t="shared" si="34"/>
        <v>-</v>
      </c>
      <c r="K49" s="180" t="str">
        <f t="shared" si="35"/>
        <v>-</v>
      </c>
      <c r="L49" s="464"/>
      <c r="M49" s="181" t="e">
        <f>RANK(K49, K$47:$K$61)</f>
        <v>#VALUE!</v>
      </c>
      <c r="N49" s="461"/>
      <c r="O49" s="461"/>
      <c r="P49" s="182"/>
      <c r="Q49" s="166"/>
      <c r="R49" s="166"/>
      <c r="S49" s="182" t="e">
        <f t="shared" si="48"/>
        <v>#N/A</v>
      </c>
      <c r="T49" s="488"/>
      <c r="U49" s="182"/>
      <c r="V49" s="166"/>
      <c r="W49" s="166"/>
      <c r="X49" s="182" t="e">
        <f t="shared" si="36"/>
        <v>#N/A</v>
      </c>
      <c r="Y49" s="488"/>
      <c r="Z49" s="182"/>
      <c r="AA49" s="166"/>
      <c r="AB49" s="166"/>
      <c r="AC49" s="182" t="e">
        <f t="shared" si="38"/>
        <v>#N/A</v>
      </c>
      <c r="AD49" s="488"/>
      <c r="AE49" s="182"/>
      <c r="AF49" s="166"/>
      <c r="AG49" s="166"/>
      <c r="AH49" s="182" t="e">
        <f t="shared" si="40"/>
        <v>#N/A</v>
      </c>
      <c r="AI49" s="488"/>
      <c r="AJ49" s="182"/>
      <c r="AK49" s="166"/>
      <c r="AL49" s="166"/>
      <c r="AM49" s="182" t="e">
        <f t="shared" si="42"/>
        <v>#N/A</v>
      </c>
      <c r="AN49" s="488"/>
      <c r="AO49" s="182"/>
      <c r="AP49" s="166"/>
      <c r="AQ49" s="166"/>
      <c r="AR49" s="182" t="e">
        <f t="shared" si="44"/>
        <v>#N/A</v>
      </c>
      <c r="AS49" s="488"/>
      <c r="AT49" s="182"/>
      <c r="AU49" s="166"/>
      <c r="AV49" s="166"/>
      <c r="AW49" s="182" t="e">
        <f t="shared" si="46"/>
        <v>#N/A</v>
      </c>
      <c r="AX49" s="488"/>
    </row>
    <row r="50" spans="2:50">
      <c r="B50" s="454"/>
      <c r="C50" s="182">
        <v>4</v>
      </c>
      <c r="D50" s="203"/>
      <c r="E50" s="166"/>
      <c r="F50" s="166"/>
      <c r="G50" s="166"/>
      <c r="H50" s="464"/>
      <c r="I50" s="166" t="str">
        <f t="shared" si="33"/>
        <v>-</v>
      </c>
      <c r="J50" s="166" t="str">
        <f t="shared" si="34"/>
        <v>-</v>
      </c>
      <c r="K50" s="180" t="str">
        <f t="shared" si="35"/>
        <v>-</v>
      </c>
      <c r="L50" s="464"/>
      <c r="M50" s="181" t="e">
        <f>RANK(K50, K$47:$K$61)</f>
        <v>#VALUE!</v>
      </c>
      <c r="N50" s="461"/>
      <c r="O50" s="461"/>
      <c r="P50" s="182"/>
      <c r="Q50" s="166"/>
      <c r="R50" s="166"/>
      <c r="S50" s="182" t="e">
        <f t="shared" si="48"/>
        <v>#N/A</v>
      </c>
      <c r="T50" s="488"/>
      <c r="U50" s="182"/>
      <c r="V50" s="166"/>
      <c r="W50" s="166"/>
      <c r="X50" s="182" t="e">
        <f t="shared" si="36"/>
        <v>#N/A</v>
      </c>
      <c r="Y50" s="488"/>
      <c r="Z50" s="182"/>
      <c r="AA50" s="166"/>
      <c r="AB50" s="166"/>
      <c r="AC50" s="182" t="e">
        <f t="shared" si="38"/>
        <v>#N/A</v>
      </c>
      <c r="AD50" s="488"/>
      <c r="AE50" s="182"/>
      <c r="AF50" s="166"/>
      <c r="AG50" s="166"/>
      <c r="AH50" s="182" t="e">
        <f t="shared" si="40"/>
        <v>#N/A</v>
      </c>
      <c r="AI50" s="488"/>
      <c r="AJ50" s="182"/>
      <c r="AK50" s="166"/>
      <c r="AL50" s="166"/>
      <c r="AM50" s="182" t="e">
        <f t="shared" si="42"/>
        <v>#N/A</v>
      </c>
      <c r="AN50" s="488"/>
      <c r="AO50" s="182"/>
      <c r="AP50" s="166"/>
      <c r="AQ50" s="166"/>
      <c r="AR50" s="182" t="e">
        <f t="shared" si="44"/>
        <v>#N/A</v>
      </c>
      <c r="AS50" s="488"/>
      <c r="AT50" s="182"/>
      <c r="AU50" s="166"/>
      <c r="AV50" s="166"/>
      <c r="AW50" s="182" t="e">
        <f t="shared" si="46"/>
        <v>#N/A</v>
      </c>
      <c r="AX50" s="488"/>
    </row>
    <row r="51" spans="2:50">
      <c r="B51" s="454"/>
      <c r="C51" s="182">
        <v>5</v>
      </c>
      <c r="D51" s="203"/>
      <c r="E51" s="166"/>
      <c r="F51" s="166"/>
      <c r="G51" s="166"/>
      <c r="H51" s="464"/>
      <c r="I51" s="166" t="str">
        <f t="shared" si="33"/>
        <v>-</v>
      </c>
      <c r="J51" s="166" t="str">
        <f t="shared" si="34"/>
        <v>-</v>
      </c>
      <c r="K51" s="180" t="str">
        <f t="shared" si="35"/>
        <v>-</v>
      </c>
      <c r="L51" s="464"/>
      <c r="M51" s="181" t="e">
        <f>RANK(K51, K$47:$K$61)</f>
        <v>#VALUE!</v>
      </c>
      <c r="N51" s="461"/>
      <c r="O51" s="461"/>
      <c r="P51" s="182"/>
      <c r="Q51" s="166"/>
      <c r="R51" s="166"/>
      <c r="S51" s="182" t="e">
        <f t="shared" si="48"/>
        <v>#N/A</v>
      </c>
      <c r="T51" s="488"/>
      <c r="U51" s="182"/>
      <c r="V51" s="166"/>
      <c r="W51" s="166"/>
      <c r="X51" s="182" t="e">
        <f t="shared" si="36"/>
        <v>#N/A</v>
      </c>
      <c r="Y51" s="488"/>
      <c r="Z51" s="182"/>
      <c r="AA51" s="166"/>
      <c r="AB51" s="166"/>
      <c r="AC51" s="182" t="e">
        <f t="shared" si="38"/>
        <v>#N/A</v>
      </c>
      <c r="AD51" s="488"/>
      <c r="AE51" s="182"/>
      <c r="AF51" s="166"/>
      <c r="AG51" s="166"/>
      <c r="AH51" s="182" t="e">
        <f t="shared" si="40"/>
        <v>#N/A</v>
      </c>
      <c r="AI51" s="488"/>
      <c r="AJ51" s="182"/>
      <c r="AK51" s="166"/>
      <c r="AL51" s="166"/>
      <c r="AM51" s="182" t="e">
        <f t="shared" si="42"/>
        <v>#N/A</v>
      </c>
      <c r="AN51" s="488"/>
      <c r="AO51" s="182"/>
      <c r="AP51" s="166"/>
      <c r="AQ51" s="166"/>
      <c r="AR51" s="182" t="e">
        <f t="shared" si="44"/>
        <v>#N/A</v>
      </c>
      <c r="AS51" s="488"/>
      <c r="AT51" s="182"/>
      <c r="AU51" s="166"/>
      <c r="AV51" s="166"/>
      <c r="AW51" s="182" t="e">
        <f t="shared" si="46"/>
        <v>#N/A</v>
      </c>
      <c r="AX51" s="488"/>
    </row>
    <row r="52" spans="2:50">
      <c r="B52" s="454"/>
      <c r="C52" s="182">
        <v>6</v>
      </c>
      <c r="D52" s="203"/>
      <c r="E52" s="166"/>
      <c r="F52" s="166"/>
      <c r="G52" s="166"/>
      <c r="H52" s="464"/>
      <c r="I52" s="166" t="str">
        <f t="shared" si="33"/>
        <v>-</v>
      </c>
      <c r="J52" s="166" t="str">
        <f t="shared" si="34"/>
        <v>-</v>
      </c>
      <c r="K52" s="180" t="str">
        <f t="shared" si="35"/>
        <v>-</v>
      </c>
      <c r="L52" s="464"/>
      <c r="M52" s="181" t="e">
        <f>RANK(K52, K$47:$K$61)</f>
        <v>#VALUE!</v>
      </c>
      <c r="N52" s="461"/>
      <c r="O52" s="461"/>
      <c r="P52" s="182"/>
      <c r="Q52" s="166"/>
      <c r="R52" s="166"/>
      <c r="S52" s="182" t="e">
        <f t="shared" si="48"/>
        <v>#N/A</v>
      </c>
      <c r="T52" s="488"/>
      <c r="U52" s="182"/>
      <c r="V52" s="166"/>
      <c r="W52" s="166"/>
      <c r="X52" s="182" t="e">
        <f t="shared" si="36"/>
        <v>#N/A</v>
      </c>
      <c r="Y52" s="488"/>
      <c r="Z52" s="182"/>
      <c r="AA52" s="166"/>
      <c r="AB52" s="166"/>
      <c r="AC52" s="182" t="e">
        <f t="shared" si="38"/>
        <v>#N/A</v>
      </c>
      <c r="AD52" s="488"/>
      <c r="AE52" s="182"/>
      <c r="AF52" s="166"/>
      <c r="AG52" s="166"/>
      <c r="AH52" s="182" t="e">
        <f t="shared" si="40"/>
        <v>#N/A</v>
      </c>
      <c r="AI52" s="488"/>
      <c r="AJ52" s="182"/>
      <c r="AK52" s="166"/>
      <c r="AL52" s="166"/>
      <c r="AM52" s="182" t="e">
        <f t="shared" si="42"/>
        <v>#N/A</v>
      </c>
      <c r="AN52" s="488"/>
      <c r="AO52" s="182"/>
      <c r="AP52" s="166"/>
      <c r="AQ52" s="166"/>
      <c r="AR52" s="182" t="e">
        <f t="shared" si="44"/>
        <v>#N/A</v>
      </c>
      <c r="AS52" s="488"/>
      <c r="AT52" s="182"/>
      <c r="AU52" s="166"/>
      <c r="AV52" s="166"/>
      <c r="AW52" s="182" t="e">
        <f t="shared" si="46"/>
        <v>#N/A</v>
      </c>
      <c r="AX52" s="488"/>
    </row>
    <row r="53" spans="2:50">
      <c r="B53" s="454"/>
      <c r="C53" s="182">
        <v>7</v>
      </c>
      <c r="D53" s="203"/>
      <c r="E53" s="166"/>
      <c r="F53" s="166"/>
      <c r="G53" s="166"/>
      <c r="H53" s="464"/>
      <c r="I53" s="166" t="str">
        <f t="shared" si="33"/>
        <v>-</v>
      </c>
      <c r="J53" s="166" t="str">
        <f t="shared" si="34"/>
        <v>-</v>
      </c>
      <c r="K53" s="180" t="str">
        <f t="shared" si="35"/>
        <v>-</v>
      </c>
      <c r="L53" s="464"/>
      <c r="M53" s="181" t="e">
        <f>RANK(K53, K$47:$K$61)</f>
        <v>#VALUE!</v>
      </c>
      <c r="N53" s="461"/>
      <c r="O53" s="461"/>
      <c r="P53" s="182"/>
      <c r="Q53" s="166"/>
      <c r="R53" s="166"/>
      <c r="S53" s="182" t="e">
        <f t="shared" si="48"/>
        <v>#N/A</v>
      </c>
      <c r="T53" s="488"/>
      <c r="U53" s="182"/>
      <c r="V53" s="166"/>
      <c r="W53" s="166"/>
      <c r="X53" s="182" t="e">
        <f t="shared" si="36"/>
        <v>#N/A</v>
      </c>
      <c r="Y53" s="488"/>
      <c r="Z53" s="182"/>
      <c r="AA53" s="166"/>
      <c r="AB53" s="166"/>
      <c r="AC53" s="182" t="e">
        <f t="shared" si="38"/>
        <v>#N/A</v>
      </c>
      <c r="AD53" s="488"/>
      <c r="AE53" s="182"/>
      <c r="AF53" s="166"/>
      <c r="AG53" s="166"/>
      <c r="AH53" s="182" t="e">
        <f t="shared" si="40"/>
        <v>#N/A</v>
      </c>
      <c r="AI53" s="488"/>
      <c r="AJ53" s="182"/>
      <c r="AK53" s="166"/>
      <c r="AL53" s="166"/>
      <c r="AM53" s="182" t="e">
        <f t="shared" si="42"/>
        <v>#N/A</v>
      </c>
      <c r="AN53" s="488"/>
      <c r="AO53" s="182"/>
      <c r="AP53" s="166"/>
      <c r="AQ53" s="166"/>
      <c r="AR53" s="182" t="e">
        <f t="shared" si="44"/>
        <v>#N/A</v>
      </c>
      <c r="AS53" s="488"/>
      <c r="AT53" s="182"/>
      <c r="AU53" s="166"/>
      <c r="AV53" s="166"/>
      <c r="AW53" s="182" t="e">
        <f t="shared" si="46"/>
        <v>#N/A</v>
      </c>
      <c r="AX53" s="488"/>
    </row>
    <row r="54" spans="2:50">
      <c r="B54" s="454"/>
      <c r="C54" s="182">
        <v>8</v>
      </c>
      <c r="D54" s="290"/>
      <c r="E54" s="166"/>
      <c r="F54" s="166"/>
      <c r="G54" s="166"/>
      <c r="H54" s="464"/>
      <c r="I54" s="166" t="str">
        <f t="shared" si="33"/>
        <v>-</v>
      </c>
      <c r="J54" s="166" t="str">
        <f t="shared" si="34"/>
        <v>-</v>
      </c>
      <c r="K54" s="180" t="str">
        <f t="shared" si="35"/>
        <v>-</v>
      </c>
      <c r="L54" s="464"/>
      <c r="M54" s="181" t="e">
        <f>RANK(K54, K$47:$K$61)</f>
        <v>#VALUE!</v>
      </c>
      <c r="N54" s="461"/>
      <c r="O54" s="461"/>
      <c r="P54" s="182"/>
      <c r="Q54" s="166"/>
      <c r="R54" s="166"/>
      <c r="S54" s="182"/>
      <c r="T54" s="488"/>
      <c r="U54" s="182"/>
      <c r="V54" s="166"/>
      <c r="W54" s="166"/>
      <c r="X54" s="182"/>
      <c r="Y54" s="488"/>
      <c r="Z54" s="182"/>
      <c r="AA54" s="166"/>
      <c r="AB54" s="166"/>
      <c r="AC54" s="182"/>
      <c r="AD54" s="488"/>
      <c r="AE54" s="182"/>
      <c r="AF54" s="166"/>
      <c r="AG54" s="166"/>
      <c r="AH54" s="182"/>
      <c r="AI54" s="488"/>
      <c r="AJ54" s="182"/>
      <c r="AK54" s="166"/>
      <c r="AL54" s="166"/>
      <c r="AM54" s="182"/>
      <c r="AN54" s="488"/>
      <c r="AO54" s="182"/>
      <c r="AP54" s="166"/>
      <c r="AQ54" s="166"/>
      <c r="AR54" s="182"/>
      <c r="AS54" s="488"/>
      <c r="AT54" s="182"/>
      <c r="AU54" s="166"/>
      <c r="AV54" s="166"/>
      <c r="AW54" s="182"/>
      <c r="AX54" s="488"/>
    </row>
    <row r="55" spans="2:50">
      <c r="B55" s="454"/>
      <c r="C55" s="182">
        <v>9</v>
      </c>
      <c r="D55" s="203"/>
      <c r="E55" s="166"/>
      <c r="F55" s="166"/>
      <c r="G55" s="166"/>
      <c r="H55" s="464"/>
      <c r="I55" s="166" t="str">
        <f t="shared" si="33"/>
        <v>-</v>
      </c>
      <c r="J55" s="166" t="str">
        <f t="shared" si="34"/>
        <v>-</v>
      </c>
      <c r="K55" s="180" t="str">
        <f t="shared" si="35"/>
        <v>-</v>
      </c>
      <c r="L55" s="464"/>
      <c r="M55" s="181" t="e">
        <f>RANK(K55, K$47:$K$61)</f>
        <v>#VALUE!</v>
      </c>
      <c r="N55" s="461"/>
      <c r="O55" s="461"/>
      <c r="P55" s="182"/>
      <c r="Q55" s="166"/>
      <c r="R55" s="166"/>
      <c r="S55" s="182"/>
      <c r="T55" s="488"/>
      <c r="U55" s="182"/>
      <c r="V55" s="166"/>
      <c r="W55" s="166"/>
      <c r="X55" s="182"/>
      <c r="Y55" s="488"/>
      <c r="Z55" s="182"/>
      <c r="AA55" s="166"/>
      <c r="AB55" s="166"/>
      <c r="AC55" s="182"/>
      <c r="AD55" s="488"/>
      <c r="AE55" s="182"/>
      <c r="AF55" s="166"/>
      <c r="AG55" s="166"/>
      <c r="AH55" s="182"/>
      <c r="AI55" s="488"/>
      <c r="AJ55" s="182"/>
      <c r="AK55" s="166"/>
      <c r="AL55" s="166"/>
      <c r="AM55" s="182"/>
      <c r="AN55" s="488"/>
      <c r="AO55" s="182"/>
      <c r="AP55" s="166"/>
      <c r="AQ55" s="166"/>
      <c r="AR55" s="182"/>
      <c r="AS55" s="488"/>
      <c r="AT55" s="182"/>
      <c r="AU55" s="166"/>
      <c r="AV55" s="166"/>
      <c r="AW55" s="182"/>
      <c r="AX55" s="488"/>
    </row>
    <row r="56" spans="2:50">
      <c r="B56" s="454"/>
      <c r="C56" s="182">
        <v>10</v>
      </c>
      <c r="D56" s="203"/>
      <c r="E56" s="166"/>
      <c r="F56" s="166"/>
      <c r="G56" s="166"/>
      <c r="H56" s="464"/>
      <c r="I56" s="166" t="str">
        <f t="shared" si="33"/>
        <v>-</v>
      </c>
      <c r="J56" s="166" t="str">
        <f t="shared" si="34"/>
        <v>-</v>
      </c>
      <c r="K56" s="180" t="str">
        <f t="shared" si="35"/>
        <v>-</v>
      </c>
      <c r="L56" s="464"/>
      <c r="M56" s="181" t="e">
        <f>RANK(K56, K$47:$K$61)</f>
        <v>#VALUE!</v>
      </c>
      <c r="N56" s="461"/>
      <c r="O56" s="461"/>
      <c r="P56" s="182"/>
      <c r="Q56" s="166"/>
      <c r="R56" s="166"/>
      <c r="S56" s="182"/>
      <c r="T56" s="488"/>
      <c r="U56" s="182"/>
      <c r="V56" s="166"/>
      <c r="W56" s="166"/>
      <c r="X56" s="182"/>
      <c r="Y56" s="488"/>
      <c r="Z56" s="182"/>
      <c r="AA56" s="166"/>
      <c r="AB56" s="166"/>
      <c r="AC56" s="182"/>
      <c r="AD56" s="488"/>
      <c r="AE56" s="182"/>
      <c r="AF56" s="166"/>
      <c r="AG56" s="166"/>
      <c r="AH56" s="182"/>
      <c r="AI56" s="488"/>
      <c r="AJ56" s="182"/>
      <c r="AK56" s="166"/>
      <c r="AL56" s="166"/>
      <c r="AM56" s="182"/>
      <c r="AN56" s="488"/>
      <c r="AO56" s="182"/>
      <c r="AP56" s="166"/>
      <c r="AQ56" s="166"/>
      <c r="AR56" s="182"/>
      <c r="AS56" s="488"/>
      <c r="AT56" s="182"/>
      <c r="AU56" s="166"/>
      <c r="AV56" s="166"/>
      <c r="AW56" s="182"/>
      <c r="AX56" s="488"/>
    </row>
    <row r="57" spans="2:50">
      <c r="B57" s="454"/>
      <c r="C57" s="182">
        <v>11</v>
      </c>
      <c r="D57" s="203"/>
      <c r="E57" s="166"/>
      <c r="F57" s="166"/>
      <c r="G57" s="166"/>
      <c r="H57" s="464"/>
      <c r="I57" s="166" t="str">
        <f t="shared" si="33"/>
        <v>-</v>
      </c>
      <c r="J57" s="166" t="str">
        <f t="shared" si="34"/>
        <v>-</v>
      </c>
      <c r="K57" s="180" t="str">
        <f t="shared" si="35"/>
        <v>-</v>
      </c>
      <c r="L57" s="464"/>
      <c r="M57" s="181" t="e">
        <f>RANK(K57, K$47:$K$61)</f>
        <v>#VALUE!</v>
      </c>
      <c r="N57" s="461"/>
      <c r="O57" s="461"/>
      <c r="P57" s="182"/>
      <c r="Q57" s="166"/>
      <c r="R57" s="166"/>
      <c r="S57" s="182"/>
      <c r="T57" s="488"/>
      <c r="U57" s="182"/>
      <c r="V57" s="166"/>
      <c r="W57" s="166"/>
      <c r="X57" s="182"/>
      <c r="Y57" s="488"/>
      <c r="Z57" s="182"/>
      <c r="AA57" s="166"/>
      <c r="AB57" s="166"/>
      <c r="AC57" s="182"/>
      <c r="AD57" s="488"/>
      <c r="AE57" s="182"/>
      <c r="AF57" s="166"/>
      <c r="AG57" s="166"/>
      <c r="AH57" s="182"/>
      <c r="AI57" s="488"/>
      <c r="AJ57" s="182"/>
      <c r="AK57" s="166"/>
      <c r="AL57" s="166"/>
      <c r="AM57" s="182"/>
      <c r="AN57" s="488"/>
      <c r="AO57" s="182"/>
      <c r="AP57" s="166"/>
      <c r="AQ57" s="166"/>
      <c r="AR57" s="182"/>
      <c r="AS57" s="488"/>
      <c r="AT57" s="182"/>
      <c r="AU57" s="166"/>
      <c r="AV57" s="166"/>
      <c r="AW57" s="182"/>
      <c r="AX57" s="488"/>
    </row>
    <row r="58" spans="2:50">
      <c r="B58" s="454"/>
      <c r="C58" s="182">
        <v>12</v>
      </c>
      <c r="D58" s="203"/>
      <c r="E58" s="166"/>
      <c r="F58" s="166"/>
      <c r="G58" s="166"/>
      <c r="H58" s="464"/>
      <c r="I58" s="166" t="str">
        <f t="shared" si="33"/>
        <v>-</v>
      </c>
      <c r="J58" s="166" t="str">
        <f t="shared" si="34"/>
        <v>-</v>
      </c>
      <c r="K58" s="180" t="str">
        <f t="shared" si="35"/>
        <v>-</v>
      </c>
      <c r="L58" s="464"/>
      <c r="M58" s="181" t="e">
        <f>RANK(K58, K$47:$K$61)</f>
        <v>#VALUE!</v>
      </c>
      <c r="N58" s="461"/>
      <c r="O58" s="461"/>
      <c r="P58" s="182"/>
      <c r="Q58" s="166"/>
      <c r="R58" s="166"/>
      <c r="S58" s="182"/>
      <c r="T58" s="488"/>
      <c r="U58" s="182"/>
      <c r="V58" s="166"/>
      <c r="W58" s="166"/>
      <c r="X58" s="182"/>
      <c r="Y58" s="488"/>
      <c r="Z58" s="182"/>
      <c r="AA58" s="166"/>
      <c r="AB58" s="166"/>
      <c r="AC58" s="182"/>
      <c r="AD58" s="488"/>
      <c r="AE58" s="182"/>
      <c r="AF58" s="166"/>
      <c r="AG58" s="166"/>
      <c r="AH58" s="182"/>
      <c r="AI58" s="488"/>
      <c r="AJ58" s="182"/>
      <c r="AK58" s="166"/>
      <c r="AL58" s="166"/>
      <c r="AM58" s="182"/>
      <c r="AN58" s="488"/>
      <c r="AO58" s="182"/>
      <c r="AP58" s="166"/>
      <c r="AQ58" s="166"/>
      <c r="AR58" s="182"/>
      <c r="AS58" s="488"/>
      <c r="AT58" s="182"/>
      <c r="AU58" s="166"/>
      <c r="AV58" s="166"/>
      <c r="AW58" s="182"/>
      <c r="AX58" s="488"/>
    </row>
    <row r="59" spans="2:50">
      <c r="B59" s="454"/>
      <c r="C59" s="182">
        <v>13</v>
      </c>
      <c r="D59" s="203"/>
      <c r="E59" s="166"/>
      <c r="F59" s="166"/>
      <c r="G59" s="166"/>
      <c r="H59" s="464"/>
      <c r="I59" s="166" t="str">
        <f t="shared" si="33"/>
        <v>-</v>
      </c>
      <c r="J59" s="166" t="str">
        <f t="shared" si="34"/>
        <v>-</v>
      </c>
      <c r="K59" s="180" t="str">
        <f t="shared" si="35"/>
        <v>-</v>
      </c>
      <c r="L59" s="464"/>
      <c r="M59" s="181" t="e">
        <f>RANK(K59, K$47:$K$61)</f>
        <v>#VALUE!</v>
      </c>
      <c r="N59" s="461"/>
      <c r="O59" s="461"/>
      <c r="P59" s="182"/>
      <c r="Q59" s="166"/>
      <c r="R59" s="166"/>
      <c r="S59" s="182"/>
      <c r="T59" s="488"/>
      <c r="U59" s="182"/>
      <c r="V59" s="166"/>
      <c r="W59" s="166"/>
      <c r="X59" s="182"/>
      <c r="Y59" s="488"/>
      <c r="Z59" s="182"/>
      <c r="AA59" s="166"/>
      <c r="AB59" s="166"/>
      <c r="AC59" s="182"/>
      <c r="AD59" s="488"/>
      <c r="AE59" s="182"/>
      <c r="AF59" s="166"/>
      <c r="AG59" s="166"/>
      <c r="AH59" s="182"/>
      <c r="AI59" s="488"/>
      <c r="AJ59" s="182"/>
      <c r="AK59" s="166"/>
      <c r="AL59" s="166"/>
      <c r="AM59" s="182"/>
      <c r="AN59" s="488"/>
      <c r="AO59" s="182"/>
      <c r="AP59" s="166"/>
      <c r="AQ59" s="166"/>
      <c r="AR59" s="182"/>
      <c r="AS59" s="488"/>
      <c r="AT59" s="182"/>
      <c r="AU59" s="166"/>
      <c r="AV59" s="166"/>
      <c r="AW59" s="182"/>
      <c r="AX59" s="488"/>
    </row>
    <row r="60" spans="2:50">
      <c r="B60" s="454"/>
      <c r="C60" s="182">
        <v>14</v>
      </c>
      <c r="D60" s="203"/>
      <c r="E60" s="166"/>
      <c r="F60" s="166"/>
      <c r="G60" s="166"/>
      <c r="H60" s="464"/>
      <c r="I60" s="166" t="str">
        <f t="shared" si="33"/>
        <v>-</v>
      </c>
      <c r="J60" s="166" t="str">
        <f t="shared" si="34"/>
        <v>-</v>
      </c>
      <c r="K60" s="180" t="str">
        <f t="shared" si="35"/>
        <v>-</v>
      </c>
      <c r="L60" s="464"/>
      <c r="M60" s="181" t="e">
        <f>RANK(K60, K$47:$K$61)</f>
        <v>#VALUE!</v>
      </c>
      <c r="N60" s="461"/>
      <c r="O60" s="461"/>
      <c r="P60" s="182"/>
      <c r="Q60" s="166"/>
      <c r="R60" s="166"/>
      <c r="S60" s="182"/>
      <c r="T60" s="488"/>
      <c r="U60" s="182"/>
      <c r="V60" s="166"/>
      <c r="W60" s="166"/>
      <c r="X60" s="182"/>
      <c r="Y60" s="488"/>
      <c r="Z60" s="182"/>
      <c r="AA60" s="166"/>
      <c r="AB60" s="166"/>
      <c r="AC60" s="182"/>
      <c r="AD60" s="488"/>
      <c r="AE60" s="182"/>
      <c r="AF60" s="166"/>
      <c r="AG60" s="166"/>
      <c r="AH60" s="182"/>
      <c r="AI60" s="488"/>
      <c r="AJ60" s="182"/>
      <c r="AK60" s="166"/>
      <c r="AL60" s="166"/>
      <c r="AM60" s="182"/>
      <c r="AN60" s="488"/>
      <c r="AO60" s="182"/>
      <c r="AP60" s="166"/>
      <c r="AQ60" s="166"/>
      <c r="AR60" s="182"/>
      <c r="AS60" s="488"/>
      <c r="AT60" s="182"/>
      <c r="AU60" s="166"/>
      <c r="AV60" s="166"/>
      <c r="AW60" s="182"/>
      <c r="AX60" s="488"/>
    </row>
    <row r="61" spans="2:50">
      <c r="B61" s="454"/>
      <c r="C61" s="182">
        <v>15</v>
      </c>
      <c r="D61" s="203"/>
      <c r="E61" s="166"/>
      <c r="F61" s="166"/>
      <c r="G61" s="166"/>
      <c r="H61" s="465"/>
      <c r="I61" s="166" t="str">
        <f t="shared" si="33"/>
        <v>-</v>
      </c>
      <c r="J61" s="166" t="str">
        <f t="shared" si="34"/>
        <v>-</v>
      </c>
      <c r="K61" s="180" t="str">
        <f t="shared" si="35"/>
        <v>-</v>
      </c>
      <c r="L61" s="465"/>
      <c r="M61" s="181" t="e">
        <f>RANK(K61, K$47:$K$61)</f>
        <v>#VALUE!</v>
      </c>
      <c r="N61" s="461"/>
      <c r="O61" s="461"/>
      <c r="P61" s="182"/>
      <c r="Q61" s="166"/>
      <c r="R61" s="166"/>
      <c r="S61" s="182"/>
      <c r="T61" s="489"/>
      <c r="U61" s="182"/>
      <c r="V61" s="166"/>
      <c r="W61" s="166"/>
      <c r="X61" s="182"/>
      <c r="Y61" s="489"/>
      <c r="Z61" s="182"/>
      <c r="AA61" s="166"/>
      <c r="AB61" s="166"/>
      <c r="AC61" s="182"/>
      <c r="AD61" s="489"/>
      <c r="AE61" s="182"/>
      <c r="AF61" s="166"/>
      <c r="AG61" s="166"/>
      <c r="AH61" s="182"/>
      <c r="AI61" s="489"/>
      <c r="AJ61" s="182"/>
      <c r="AK61" s="166"/>
      <c r="AL61" s="166"/>
      <c r="AM61" s="182"/>
      <c r="AN61" s="489"/>
      <c r="AO61" s="182"/>
      <c r="AP61" s="166"/>
      <c r="AQ61" s="166"/>
      <c r="AR61" s="182"/>
      <c r="AS61" s="489"/>
      <c r="AT61" s="182"/>
      <c r="AU61" s="166"/>
      <c r="AV61" s="166"/>
      <c r="AW61" s="182"/>
      <c r="AX61" s="489"/>
    </row>
    <row r="62" spans="2:50" ht="15.5">
      <c r="B62" s="477" t="s">
        <v>163</v>
      </c>
      <c r="C62" s="478"/>
      <c r="D62" s="478"/>
      <c r="E62" s="478"/>
      <c r="F62" s="478"/>
      <c r="G62" s="478"/>
      <c r="H62" s="478"/>
      <c r="I62" s="186"/>
      <c r="J62" s="186"/>
      <c r="K62" s="186"/>
      <c r="L62" s="186"/>
      <c r="M62" s="185"/>
      <c r="N62" s="480" t="s">
        <v>156</v>
      </c>
      <c r="O62" s="480" t="s">
        <v>105</v>
      </c>
      <c r="P62" s="476">
        <f>P42+7</f>
        <v>46133</v>
      </c>
      <c r="Q62" s="454"/>
      <c r="R62" s="454"/>
      <c r="S62" s="454"/>
      <c r="T62" s="454"/>
      <c r="U62" s="473">
        <f>P62+1</f>
        <v>46134</v>
      </c>
      <c r="V62" s="474"/>
      <c r="W62" s="474"/>
      <c r="X62" s="474"/>
      <c r="Y62" s="475"/>
      <c r="Z62" s="473">
        <f>U62+1</f>
        <v>46135</v>
      </c>
      <c r="AA62" s="474"/>
      <c r="AB62" s="474"/>
      <c r="AC62" s="474"/>
      <c r="AD62" s="475"/>
      <c r="AE62" s="473">
        <f>Z62+1</f>
        <v>46136</v>
      </c>
      <c r="AF62" s="474"/>
      <c r="AG62" s="474"/>
      <c r="AH62" s="474"/>
      <c r="AI62" s="475"/>
      <c r="AJ62" s="473">
        <f>AE62+1</f>
        <v>46137</v>
      </c>
      <c r="AK62" s="474"/>
      <c r="AL62" s="474"/>
      <c r="AM62" s="474"/>
      <c r="AN62" s="475"/>
      <c r="AO62" s="473">
        <f>AJ62+1</f>
        <v>46138</v>
      </c>
      <c r="AP62" s="474"/>
      <c r="AQ62" s="474"/>
      <c r="AR62" s="474"/>
      <c r="AS62" s="475"/>
      <c r="AT62" s="473">
        <f>AO62+1</f>
        <v>46139</v>
      </c>
      <c r="AU62" s="474"/>
      <c r="AV62" s="474"/>
      <c r="AW62" s="474"/>
      <c r="AX62" s="475"/>
    </row>
    <row r="63" spans="2:50" ht="15.5">
      <c r="B63" s="479"/>
      <c r="C63" s="479"/>
      <c r="D63" s="479"/>
      <c r="E63" s="479"/>
      <c r="F63" s="479"/>
      <c r="G63" s="479"/>
      <c r="H63" s="479"/>
      <c r="I63" s="184"/>
      <c r="J63" s="184"/>
      <c r="K63" s="184"/>
      <c r="L63" s="184"/>
      <c r="M63" s="179"/>
      <c r="N63" s="481"/>
      <c r="O63" s="481"/>
      <c r="P63" s="476" t="s">
        <v>336</v>
      </c>
      <c r="Q63" s="454"/>
      <c r="R63" s="454"/>
      <c r="S63" s="454"/>
      <c r="T63" s="454"/>
      <c r="U63" s="476" t="s">
        <v>337</v>
      </c>
      <c r="V63" s="454"/>
      <c r="W63" s="454"/>
      <c r="X63" s="454"/>
      <c r="Y63" s="454"/>
      <c r="Z63" s="476" t="s">
        <v>338</v>
      </c>
      <c r="AA63" s="454"/>
      <c r="AB63" s="454"/>
      <c r="AC63" s="454"/>
      <c r="AD63" s="454"/>
      <c r="AE63" s="476" t="s">
        <v>339</v>
      </c>
      <c r="AF63" s="454"/>
      <c r="AG63" s="454"/>
      <c r="AH63" s="454"/>
      <c r="AI63" s="454"/>
      <c r="AJ63" s="476" t="s">
        <v>340</v>
      </c>
      <c r="AK63" s="454"/>
      <c r="AL63" s="454"/>
      <c r="AM63" s="454"/>
      <c r="AN63" s="454"/>
      <c r="AO63" s="476" t="s">
        <v>341</v>
      </c>
      <c r="AP63" s="454"/>
      <c r="AQ63" s="454"/>
      <c r="AR63" s="454"/>
      <c r="AS63" s="454"/>
      <c r="AT63" s="476" t="s">
        <v>342</v>
      </c>
      <c r="AU63" s="454"/>
      <c r="AV63" s="454"/>
      <c r="AW63" s="454"/>
      <c r="AX63" s="454"/>
    </row>
    <row r="64" spans="2:50">
      <c r="B64" s="461" t="s">
        <v>399</v>
      </c>
      <c r="C64" s="461" t="s">
        <v>409</v>
      </c>
      <c r="D64" s="461"/>
      <c r="E64" s="461" t="s">
        <v>400</v>
      </c>
      <c r="F64" s="461"/>
      <c r="G64" s="461"/>
      <c r="H64" s="482" t="s">
        <v>396</v>
      </c>
      <c r="I64" s="461" t="s">
        <v>401</v>
      </c>
      <c r="J64" s="461"/>
      <c r="K64" s="461"/>
      <c r="L64" s="482" t="s">
        <v>396</v>
      </c>
      <c r="M64" s="480" t="s">
        <v>397</v>
      </c>
      <c r="N64" s="461"/>
      <c r="O64" s="461" t="s">
        <v>402</v>
      </c>
      <c r="P64" s="466" t="s">
        <v>398</v>
      </c>
      <c r="Q64" s="467"/>
      <c r="R64" s="467"/>
      <c r="S64" s="468"/>
      <c r="T64" s="461" t="s">
        <v>396</v>
      </c>
      <c r="U64" s="466" t="s">
        <v>398</v>
      </c>
      <c r="V64" s="467"/>
      <c r="W64" s="467"/>
      <c r="X64" s="468"/>
      <c r="Y64" s="461" t="s">
        <v>396</v>
      </c>
      <c r="Z64" s="466" t="s">
        <v>398</v>
      </c>
      <c r="AA64" s="467"/>
      <c r="AB64" s="467"/>
      <c r="AC64" s="468"/>
      <c r="AD64" s="461" t="s">
        <v>396</v>
      </c>
      <c r="AE64" s="466" t="s">
        <v>398</v>
      </c>
      <c r="AF64" s="467"/>
      <c r="AG64" s="467"/>
      <c r="AH64" s="468"/>
      <c r="AI64" s="461" t="s">
        <v>396</v>
      </c>
      <c r="AJ64" s="466" t="s">
        <v>398</v>
      </c>
      <c r="AK64" s="467"/>
      <c r="AL64" s="467"/>
      <c r="AM64" s="468"/>
      <c r="AN64" s="461" t="s">
        <v>396</v>
      </c>
      <c r="AO64" s="466" t="s">
        <v>398</v>
      </c>
      <c r="AP64" s="467"/>
      <c r="AQ64" s="467"/>
      <c r="AR64" s="468"/>
      <c r="AS64" s="461" t="s">
        <v>396</v>
      </c>
      <c r="AT64" s="466" t="s">
        <v>398</v>
      </c>
      <c r="AU64" s="467"/>
      <c r="AV64" s="467"/>
      <c r="AW64" s="468"/>
      <c r="AX64" s="461" t="s">
        <v>396</v>
      </c>
    </row>
    <row r="65" spans="2:50">
      <c r="B65" s="461"/>
      <c r="C65" s="461"/>
      <c r="D65" s="461"/>
      <c r="E65" s="461" t="s">
        <v>403</v>
      </c>
      <c r="F65" s="461"/>
      <c r="G65" s="461"/>
      <c r="H65" s="483"/>
      <c r="I65" s="461" t="s">
        <v>403</v>
      </c>
      <c r="J65" s="461"/>
      <c r="K65" s="461"/>
      <c r="L65" s="483"/>
      <c r="M65" s="485"/>
      <c r="N65" s="461"/>
      <c r="O65" s="461"/>
      <c r="P65" s="466" t="s">
        <v>404</v>
      </c>
      <c r="Q65" s="467"/>
      <c r="R65" s="467"/>
      <c r="S65" s="468"/>
      <c r="T65" s="461"/>
      <c r="U65" s="466" t="s">
        <v>404</v>
      </c>
      <c r="V65" s="467"/>
      <c r="W65" s="467"/>
      <c r="X65" s="468"/>
      <c r="Y65" s="461"/>
      <c r="Z65" s="466" t="s">
        <v>404</v>
      </c>
      <c r="AA65" s="467"/>
      <c r="AB65" s="467"/>
      <c r="AC65" s="468"/>
      <c r="AD65" s="461"/>
      <c r="AE65" s="466" t="s">
        <v>404</v>
      </c>
      <c r="AF65" s="467"/>
      <c r="AG65" s="467"/>
      <c r="AH65" s="468"/>
      <c r="AI65" s="461"/>
      <c r="AJ65" s="466" t="s">
        <v>404</v>
      </c>
      <c r="AK65" s="467"/>
      <c r="AL65" s="467"/>
      <c r="AM65" s="468"/>
      <c r="AN65" s="461"/>
      <c r="AO65" s="466" t="s">
        <v>404</v>
      </c>
      <c r="AP65" s="467"/>
      <c r="AQ65" s="467"/>
      <c r="AR65" s="468"/>
      <c r="AS65" s="461"/>
      <c r="AT65" s="466" t="s">
        <v>404</v>
      </c>
      <c r="AU65" s="467"/>
      <c r="AV65" s="467"/>
      <c r="AW65" s="468"/>
      <c r="AX65" s="461"/>
    </row>
    <row r="66" spans="2:50">
      <c r="B66" s="461"/>
      <c r="C66" s="461"/>
      <c r="D66" s="461"/>
      <c r="E66" s="269" t="s">
        <v>405</v>
      </c>
      <c r="F66" s="269" t="s">
        <v>406</v>
      </c>
      <c r="G66" s="269" t="s">
        <v>407</v>
      </c>
      <c r="H66" s="484"/>
      <c r="I66" s="269" t="s">
        <v>405</v>
      </c>
      <c r="J66" s="269" t="s">
        <v>406</v>
      </c>
      <c r="K66" s="269" t="s">
        <v>407</v>
      </c>
      <c r="L66" s="484"/>
      <c r="M66" s="481"/>
      <c r="N66" s="461"/>
      <c r="O66" s="461"/>
      <c r="P66" s="269" t="s">
        <v>405</v>
      </c>
      <c r="Q66" s="269" t="s">
        <v>406</v>
      </c>
      <c r="R66" s="269" t="s">
        <v>407</v>
      </c>
      <c r="S66" s="269" t="s">
        <v>397</v>
      </c>
      <c r="T66" s="461"/>
      <c r="U66" s="269" t="s">
        <v>405</v>
      </c>
      <c r="V66" s="269" t="s">
        <v>406</v>
      </c>
      <c r="W66" s="269" t="s">
        <v>407</v>
      </c>
      <c r="X66" s="269" t="s">
        <v>397</v>
      </c>
      <c r="Y66" s="461"/>
      <c r="Z66" s="269" t="s">
        <v>405</v>
      </c>
      <c r="AA66" s="269" t="s">
        <v>406</v>
      </c>
      <c r="AB66" s="269" t="s">
        <v>407</v>
      </c>
      <c r="AC66" s="269" t="s">
        <v>397</v>
      </c>
      <c r="AD66" s="461"/>
      <c r="AE66" s="269" t="s">
        <v>405</v>
      </c>
      <c r="AF66" s="269" t="s">
        <v>406</v>
      </c>
      <c r="AG66" s="269" t="s">
        <v>407</v>
      </c>
      <c r="AH66" s="269" t="s">
        <v>397</v>
      </c>
      <c r="AI66" s="461"/>
      <c r="AJ66" s="269" t="s">
        <v>405</v>
      </c>
      <c r="AK66" s="269" t="s">
        <v>406</v>
      </c>
      <c r="AL66" s="269" t="s">
        <v>407</v>
      </c>
      <c r="AM66" s="269" t="s">
        <v>397</v>
      </c>
      <c r="AN66" s="461"/>
      <c r="AO66" s="269" t="s">
        <v>405</v>
      </c>
      <c r="AP66" s="269" t="s">
        <v>406</v>
      </c>
      <c r="AQ66" s="269" t="s">
        <v>407</v>
      </c>
      <c r="AR66" s="269" t="s">
        <v>397</v>
      </c>
      <c r="AS66" s="461"/>
      <c r="AT66" s="269" t="s">
        <v>405</v>
      </c>
      <c r="AU66" s="269" t="s">
        <v>406</v>
      </c>
      <c r="AV66" s="269" t="s">
        <v>407</v>
      </c>
      <c r="AW66" s="269" t="s">
        <v>397</v>
      </c>
      <c r="AX66" s="461"/>
    </row>
    <row r="67" spans="2:50">
      <c r="B67" s="501" t="s">
        <v>421</v>
      </c>
      <c r="C67" s="182">
        <v>1</v>
      </c>
      <c r="D67" s="203"/>
      <c r="E67" s="166"/>
      <c r="F67" s="166"/>
      <c r="G67" s="166"/>
      <c r="H67" s="463" t="e">
        <f>AVERAGE(G67:G81)</f>
        <v>#DIV/0!</v>
      </c>
      <c r="I67" s="166" t="str">
        <f t="shared" ref="I67:I81" si="49">IFERROR(AVERAGE(P67,U67,Z67,AE67,AJ67,AO67,AT67),"-")</f>
        <v>-</v>
      </c>
      <c r="J67" s="166" t="str">
        <f t="shared" ref="J67:J81" si="50">IFERROR(AVERAGE(Q67,V67,AA67,AF67,AK67,AP67,AU67),"-")</f>
        <v>-</v>
      </c>
      <c r="K67" s="180" t="str">
        <f t="shared" ref="K67:K81" si="51">IFERROR(AVERAGE(R67,W67,AB67,AG67,AL67,AQ67,AV67),"-")</f>
        <v>-</v>
      </c>
      <c r="L67" s="463" t="str">
        <f>IFERROR(AVERAGE(K67:K81),"-")</f>
        <v>-</v>
      </c>
      <c r="M67" s="181" t="e">
        <f>RANK(K67, K$67:$K$81)</f>
        <v>#VALUE!</v>
      </c>
      <c r="N67" s="461"/>
      <c r="O67" s="461"/>
      <c r="P67" s="182"/>
      <c r="Q67" s="166"/>
      <c r="R67" s="166"/>
      <c r="S67" s="182" t="e">
        <f>RANK(R67, R$67:R$81)</f>
        <v>#N/A</v>
      </c>
      <c r="T67" s="487" t="e">
        <f>AVERAGE(R67:R81)</f>
        <v>#DIV/0!</v>
      </c>
      <c r="U67" s="182"/>
      <c r="V67" s="166"/>
      <c r="W67" s="166"/>
      <c r="X67" s="182" t="e">
        <f t="shared" ref="X67:X81" si="52">RANK(W67, W$67:W$81)</f>
        <v>#N/A</v>
      </c>
      <c r="Y67" s="487" t="e">
        <f t="shared" ref="Y67" si="53">AVERAGE(W67:W81)</f>
        <v>#DIV/0!</v>
      </c>
      <c r="Z67" s="182"/>
      <c r="AA67" s="166"/>
      <c r="AB67" s="166"/>
      <c r="AC67" s="182" t="e">
        <f t="shared" ref="AC67:AC81" si="54">RANK(AB67, AB$67:AB$81)</f>
        <v>#N/A</v>
      </c>
      <c r="AD67" s="487" t="e">
        <f t="shared" ref="AD67" si="55">AVERAGE(AB67:AB81)</f>
        <v>#DIV/0!</v>
      </c>
      <c r="AE67" s="182"/>
      <c r="AF67" s="166"/>
      <c r="AG67" s="166"/>
      <c r="AH67" s="182" t="e">
        <f t="shared" ref="AH67:AH81" si="56">RANK(AG67, AG$67:AG$81)</f>
        <v>#N/A</v>
      </c>
      <c r="AI67" s="487" t="e">
        <f t="shared" ref="AI67" si="57">AVERAGE(AG67:AG81)</f>
        <v>#DIV/0!</v>
      </c>
      <c r="AJ67" s="182"/>
      <c r="AK67" s="166"/>
      <c r="AL67" s="166"/>
      <c r="AM67" s="182" t="e">
        <f t="shared" ref="AM67:AM81" si="58">RANK(AL67, AL$67:AL$81)</f>
        <v>#N/A</v>
      </c>
      <c r="AN67" s="487" t="e">
        <f t="shared" ref="AN67" si="59">AVERAGE(AL67:AL81)</f>
        <v>#DIV/0!</v>
      </c>
      <c r="AO67" s="182"/>
      <c r="AP67" s="166"/>
      <c r="AQ67" s="166"/>
      <c r="AR67" s="182" t="e">
        <f t="shared" ref="AR67:AR81" si="60">RANK(AQ67, AQ$67:AQ$81)</f>
        <v>#N/A</v>
      </c>
      <c r="AS67" s="487" t="e">
        <f t="shared" ref="AS67" si="61">AVERAGE(AQ67:AQ81)</f>
        <v>#DIV/0!</v>
      </c>
      <c r="AT67" s="182"/>
      <c r="AU67" s="166"/>
      <c r="AV67" s="166"/>
      <c r="AW67" s="182" t="e">
        <f t="shared" ref="AW67:AW81" si="62">RANK(AV67, AV$67:AV$81)</f>
        <v>#N/A</v>
      </c>
      <c r="AX67" s="487" t="e">
        <f t="shared" ref="AX67" si="63">AVERAGE(AV67:AV81)</f>
        <v>#DIV/0!</v>
      </c>
    </row>
    <row r="68" spans="2:50">
      <c r="B68" s="454"/>
      <c r="C68" s="182">
        <v>2</v>
      </c>
      <c r="D68" s="203"/>
      <c r="E68" s="166"/>
      <c r="F68" s="166"/>
      <c r="G68" s="166"/>
      <c r="H68" s="464"/>
      <c r="I68" s="166" t="str">
        <f t="shared" si="49"/>
        <v>-</v>
      </c>
      <c r="J68" s="166" t="str">
        <f t="shared" si="50"/>
        <v>-</v>
      </c>
      <c r="K68" s="180" t="str">
        <f t="shared" si="51"/>
        <v>-</v>
      </c>
      <c r="L68" s="464"/>
      <c r="M68" s="181" t="e">
        <f>RANK(K68, K$67:$K$81)</f>
        <v>#VALUE!</v>
      </c>
      <c r="N68" s="461"/>
      <c r="O68" s="461"/>
      <c r="P68" s="182"/>
      <c r="Q68" s="166"/>
      <c r="R68" s="166"/>
      <c r="S68" s="182" t="e">
        <f t="shared" ref="S68:S81" si="64">RANK(R68, R$67:R$81)</f>
        <v>#N/A</v>
      </c>
      <c r="T68" s="488"/>
      <c r="U68" s="182"/>
      <c r="V68" s="166"/>
      <c r="W68" s="166"/>
      <c r="X68" s="182" t="e">
        <f t="shared" si="52"/>
        <v>#N/A</v>
      </c>
      <c r="Y68" s="488"/>
      <c r="Z68" s="182"/>
      <c r="AA68" s="166"/>
      <c r="AB68" s="166"/>
      <c r="AC68" s="182" t="e">
        <f t="shared" si="54"/>
        <v>#N/A</v>
      </c>
      <c r="AD68" s="488"/>
      <c r="AE68" s="182"/>
      <c r="AF68" s="166"/>
      <c r="AG68" s="166"/>
      <c r="AH68" s="182" t="e">
        <f t="shared" si="56"/>
        <v>#N/A</v>
      </c>
      <c r="AI68" s="488"/>
      <c r="AJ68" s="182"/>
      <c r="AK68" s="166"/>
      <c r="AL68" s="166"/>
      <c r="AM68" s="182" t="e">
        <f t="shared" si="58"/>
        <v>#N/A</v>
      </c>
      <c r="AN68" s="488"/>
      <c r="AO68" s="182"/>
      <c r="AP68" s="166"/>
      <c r="AQ68" s="166"/>
      <c r="AR68" s="182" t="e">
        <f t="shared" si="60"/>
        <v>#N/A</v>
      </c>
      <c r="AS68" s="488"/>
      <c r="AT68" s="182"/>
      <c r="AU68" s="166"/>
      <c r="AV68" s="166"/>
      <c r="AW68" s="182" t="e">
        <f t="shared" si="62"/>
        <v>#N/A</v>
      </c>
      <c r="AX68" s="488"/>
    </row>
    <row r="69" spans="2:50">
      <c r="B69" s="454"/>
      <c r="C69" s="182">
        <v>3</v>
      </c>
      <c r="D69" s="203"/>
      <c r="E69" s="166"/>
      <c r="F69" s="166"/>
      <c r="G69" s="166"/>
      <c r="H69" s="464"/>
      <c r="I69" s="166" t="str">
        <f t="shared" si="49"/>
        <v>-</v>
      </c>
      <c r="J69" s="166" t="str">
        <f t="shared" si="50"/>
        <v>-</v>
      </c>
      <c r="K69" s="180" t="str">
        <f t="shared" si="51"/>
        <v>-</v>
      </c>
      <c r="L69" s="464"/>
      <c r="M69" s="181" t="e">
        <f>RANK(K69, K$67:$K$81)</f>
        <v>#VALUE!</v>
      </c>
      <c r="N69" s="461"/>
      <c r="O69" s="461"/>
      <c r="P69" s="182"/>
      <c r="Q69" s="166"/>
      <c r="R69" s="166"/>
      <c r="S69" s="182" t="e">
        <f t="shared" si="64"/>
        <v>#N/A</v>
      </c>
      <c r="T69" s="488"/>
      <c r="U69" s="182"/>
      <c r="V69" s="166"/>
      <c r="W69" s="166"/>
      <c r="X69" s="182" t="e">
        <f t="shared" si="52"/>
        <v>#N/A</v>
      </c>
      <c r="Y69" s="488"/>
      <c r="Z69" s="182"/>
      <c r="AA69" s="166"/>
      <c r="AB69" s="166"/>
      <c r="AC69" s="182" t="e">
        <f t="shared" si="54"/>
        <v>#N/A</v>
      </c>
      <c r="AD69" s="488"/>
      <c r="AE69" s="182"/>
      <c r="AF69" s="166"/>
      <c r="AG69" s="166"/>
      <c r="AH69" s="182" t="e">
        <f t="shared" si="56"/>
        <v>#N/A</v>
      </c>
      <c r="AI69" s="488"/>
      <c r="AJ69" s="182"/>
      <c r="AK69" s="166"/>
      <c r="AL69" s="166"/>
      <c r="AM69" s="182" t="e">
        <f t="shared" si="58"/>
        <v>#N/A</v>
      </c>
      <c r="AN69" s="488"/>
      <c r="AO69" s="182"/>
      <c r="AP69" s="166"/>
      <c r="AQ69" s="166"/>
      <c r="AR69" s="182" t="e">
        <f t="shared" si="60"/>
        <v>#N/A</v>
      </c>
      <c r="AS69" s="488"/>
      <c r="AT69" s="182"/>
      <c r="AU69" s="166"/>
      <c r="AV69" s="166"/>
      <c r="AW69" s="182" t="e">
        <f t="shared" si="62"/>
        <v>#N/A</v>
      </c>
      <c r="AX69" s="488"/>
    </row>
    <row r="70" spans="2:50">
      <c r="B70" s="454"/>
      <c r="C70" s="182">
        <v>4</v>
      </c>
      <c r="D70" s="203"/>
      <c r="E70" s="166"/>
      <c r="F70" s="166"/>
      <c r="G70" s="166"/>
      <c r="H70" s="464"/>
      <c r="I70" s="166" t="str">
        <f t="shared" si="49"/>
        <v>-</v>
      </c>
      <c r="J70" s="166" t="str">
        <f t="shared" si="50"/>
        <v>-</v>
      </c>
      <c r="K70" s="180" t="str">
        <f t="shared" si="51"/>
        <v>-</v>
      </c>
      <c r="L70" s="464"/>
      <c r="M70" s="181" t="e">
        <f>RANK(K70, K$67:$K$81)</f>
        <v>#VALUE!</v>
      </c>
      <c r="N70" s="461"/>
      <c r="O70" s="461"/>
      <c r="P70" s="182"/>
      <c r="Q70" s="166"/>
      <c r="R70" s="166"/>
      <c r="S70" s="182" t="e">
        <f t="shared" si="64"/>
        <v>#N/A</v>
      </c>
      <c r="T70" s="488"/>
      <c r="U70" s="182"/>
      <c r="V70" s="166"/>
      <c r="W70" s="166"/>
      <c r="X70" s="182" t="e">
        <f t="shared" si="52"/>
        <v>#N/A</v>
      </c>
      <c r="Y70" s="488"/>
      <c r="Z70" s="182"/>
      <c r="AA70" s="166"/>
      <c r="AB70" s="166"/>
      <c r="AC70" s="182" t="e">
        <f t="shared" si="54"/>
        <v>#N/A</v>
      </c>
      <c r="AD70" s="488"/>
      <c r="AE70" s="182"/>
      <c r="AF70" s="166"/>
      <c r="AG70" s="166"/>
      <c r="AH70" s="182" t="e">
        <f t="shared" si="56"/>
        <v>#N/A</v>
      </c>
      <c r="AI70" s="488"/>
      <c r="AJ70" s="182"/>
      <c r="AK70" s="166"/>
      <c r="AL70" s="166"/>
      <c r="AM70" s="182" t="e">
        <f t="shared" si="58"/>
        <v>#N/A</v>
      </c>
      <c r="AN70" s="488"/>
      <c r="AO70" s="182"/>
      <c r="AP70" s="166"/>
      <c r="AQ70" s="166"/>
      <c r="AR70" s="182" t="e">
        <f t="shared" si="60"/>
        <v>#N/A</v>
      </c>
      <c r="AS70" s="488"/>
      <c r="AT70" s="182"/>
      <c r="AU70" s="166"/>
      <c r="AV70" s="166"/>
      <c r="AW70" s="182" t="e">
        <f t="shared" si="62"/>
        <v>#N/A</v>
      </c>
      <c r="AX70" s="488"/>
    </row>
    <row r="71" spans="2:50">
      <c r="B71" s="454"/>
      <c r="C71" s="182">
        <v>5</v>
      </c>
      <c r="D71" s="203"/>
      <c r="E71" s="166"/>
      <c r="F71" s="166"/>
      <c r="G71" s="166"/>
      <c r="H71" s="464"/>
      <c r="I71" s="166" t="str">
        <f t="shared" si="49"/>
        <v>-</v>
      </c>
      <c r="J71" s="166" t="str">
        <f t="shared" si="50"/>
        <v>-</v>
      </c>
      <c r="K71" s="180" t="str">
        <f t="shared" si="51"/>
        <v>-</v>
      </c>
      <c r="L71" s="464"/>
      <c r="M71" s="181" t="e">
        <f>RANK(K71, K$67:$K$81)</f>
        <v>#VALUE!</v>
      </c>
      <c r="N71" s="461"/>
      <c r="O71" s="461"/>
      <c r="P71" s="182"/>
      <c r="Q71" s="166"/>
      <c r="R71" s="166"/>
      <c r="S71" s="182" t="e">
        <f t="shared" si="64"/>
        <v>#N/A</v>
      </c>
      <c r="T71" s="488"/>
      <c r="U71" s="182"/>
      <c r="V71" s="166"/>
      <c r="W71" s="166"/>
      <c r="X71" s="182" t="e">
        <f t="shared" si="52"/>
        <v>#N/A</v>
      </c>
      <c r="Y71" s="488"/>
      <c r="Z71" s="182"/>
      <c r="AA71" s="166"/>
      <c r="AB71" s="166"/>
      <c r="AC71" s="182" t="e">
        <f t="shared" si="54"/>
        <v>#N/A</v>
      </c>
      <c r="AD71" s="488"/>
      <c r="AE71" s="182"/>
      <c r="AF71" s="166"/>
      <c r="AG71" s="166"/>
      <c r="AH71" s="182" t="e">
        <f t="shared" si="56"/>
        <v>#N/A</v>
      </c>
      <c r="AI71" s="488"/>
      <c r="AJ71" s="182"/>
      <c r="AK71" s="166"/>
      <c r="AL71" s="166"/>
      <c r="AM71" s="182" t="e">
        <f t="shared" si="58"/>
        <v>#N/A</v>
      </c>
      <c r="AN71" s="488"/>
      <c r="AO71" s="182"/>
      <c r="AP71" s="166"/>
      <c r="AQ71" s="166"/>
      <c r="AR71" s="182" t="e">
        <f t="shared" si="60"/>
        <v>#N/A</v>
      </c>
      <c r="AS71" s="488"/>
      <c r="AT71" s="182"/>
      <c r="AU71" s="166"/>
      <c r="AV71" s="166"/>
      <c r="AW71" s="182" t="e">
        <f t="shared" si="62"/>
        <v>#N/A</v>
      </c>
      <c r="AX71" s="488"/>
    </row>
    <row r="72" spans="2:50">
      <c r="B72" s="454"/>
      <c r="C72" s="182">
        <v>6</v>
      </c>
      <c r="D72" s="203"/>
      <c r="E72" s="166"/>
      <c r="F72" s="166"/>
      <c r="G72" s="166"/>
      <c r="H72" s="464"/>
      <c r="I72" s="166" t="str">
        <f t="shared" si="49"/>
        <v>-</v>
      </c>
      <c r="J72" s="166" t="str">
        <f t="shared" si="50"/>
        <v>-</v>
      </c>
      <c r="K72" s="180" t="str">
        <f t="shared" si="51"/>
        <v>-</v>
      </c>
      <c r="L72" s="464"/>
      <c r="M72" s="181" t="e">
        <f>RANK(K72, K$67:$K$81)</f>
        <v>#VALUE!</v>
      </c>
      <c r="N72" s="461"/>
      <c r="O72" s="461"/>
      <c r="P72" s="182"/>
      <c r="Q72" s="166"/>
      <c r="R72" s="166"/>
      <c r="S72" s="182" t="e">
        <f t="shared" si="64"/>
        <v>#N/A</v>
      </c>
      <c r="T72" s="488"/>
      <c r="U72" s="182"/>
      <c r="V72" s="166"/>
      <c r="W72" s="166"/>
      <c r="X72" s="182" t="e">
        <f t="shared" si="52"/>
        <v>#N/A</v>
      </c>
      <c r="Y72" s="488"/>
      <c r="Z72" s="182"/>
      <c r="AA72" s="166"/>
      <c r="AB72" s="166"/>
      <c r="AC72" s="182" t="e">
        <f t="shared" si="54"/>
        <v>#N/A</v>
      </c>
      <c r="AD72" s="488"/>
      <c r="AE72" s="182"/>
      <c r="AF72" s="166"/>
      <c r="AG72" s="166"/>
      <c r="AH72" s="182" t="e">
        <f t="shared" si="56"/>
        <v>#N/A</v>
      </c>
      <c r="AI72" s="488"/>
      <c r="AJ72" s="182"/>
      <c r="AK72" s="166"/>
      <c r="AL72" s="166"/>
      <c r="AM72" s="182" t="e">
        <f t="shared" si="58"/>
        <v>#N/A</v>
      </c>
      <c r="AN72" s="488"/>
      <c r="AO72" s="182"/>
      <c r="AP72" s="166"/>
      <c r="AQ72" s="166"/>
      <c r="AR72" s="182" t="e">
        <f t="shared" si="60"/>
        <v>#N/A</v>
      </c>
      <c r="AS72" s="488"/>
      <c r="AT72" s="182"/>
      <c r="AU72" s="166"/>
      <c r="AV72" s="166"/>
      <c r="AW72" s="182" t="e">
        <f t="shared" si="62"/>
        <v>#N/A</v>
      </c>
      <c r="AX72" s="488"/>
    </row>
    <row r="73" spans="2:50">
      <c r="B73" s="454"/>
      <c r="C73" s="182">
        <v>7</v>
      </c>
      <c r="D73" s="203"/>
      <c r="E73" s="166"/>
      <c r="F73" s="166"/>
      <c r="G73" s="166"/>
      <c r="H73" s="464"/>
      <c r="I73" s="166" t="str">
        <f t="shared" si="49"/>
        <v>-</v>
      </c>
      <c r="J73" s="166" t="str">
        <f t="shared" si="50"/>
        <v>-</v>
      </c>
      <c r="K73" s="180" t="str">
        <f t="shared" si="51"/>
        <v>-</v>
      </c>
      <c r="L73" s="464"/>
      <c r="M73" s="181" t="e">
        <f>RANK(K73, K$67:$K$81)</f>
        <v>#VALUE!</v>
      </c>
      <c r="N73" s="461"/>
      <c r="O73" s="461"/>
      <c r="P73" s="182"/>
      <c r="Q73" s="166"/>
      <c r="R73" s="166"/>
      <c r="S73" s="182" t="e">
        <f t="shared" si="64"/>
        <v>#N/A</v>
      </c>
      <c r="T73" s="488"/>
      <c r="U73" s="182"/>
      <c r="V73" s="166"/>
      <c r="W73" s="166"/>
      <c r="X73" s="182" t="e">
        <f t="shared" si="52"/>
        <v>#N/A</v>
      </c>
      <c r="Y73" s="488"/>
      <c r="Z73" s="182"/>
      <c r="AA73" s="166"/>
      <c r="AB73" s="166"/>
      <c r="AC73" s="182" t="e">
        <f t="shared" si="54"/>
        <v>#N/A</v>
      </c>
      <c r="AD73" s="488"/>
      <c r="AE73" s="182"/>
      <c r="AF73" s="166"/>
      <c r="AG73" s="166"/>
      <c r="AH73" s="182" t="e">
        <f t="shared" si="56"/>
        <v>#N/A</v>
      </c>
      <c r="AI73" s="488"/>
      <c r="AJ73" s="182"/>
      <c r="AK73" s="166"/>
      <c r="AL73" s="166"/>
      <c r="AM73" s="182" t="e">
        <f t="shared" si="58"/>
        <v>#N/A</v>
      </c>
      <c r="AN73" s="488"/>
      <c r="AO73" s="182"/>
      <c r="AP73" s="166"/>
      <c r="AQ73" s="166"/>
      <c r="AR73" s="182" t="e">
        <f t="shared" si="60"/>
        <v>#N/A</v>
      </c>
      <c r="AS73" s="488"/>
      <c r="AT73" s="182"/>
      <c r="AU73" s="166"/>
      <c r="AV73" s="166"/>
      <c r="AW73" s="182" t="e">
        <f t="shared" si="62"/>
        <v>#N/A</v>
      </c>
      <c r="AX73" s="488"/>
    </row>
    <row r="74" spans="2:50">
      <c r="B74" s="454"/>
      <c r="C74" s="182">
        <v>8</v>
      </c>
      <c r="D74" s="290"/>
      <c r="E74" s="166"/>
      <c r="F74" s="166"/>
      <c r="G74" s="166"/>
      <c r="H74" s="464"/>
      <c r="I74" s="166" t="str">
        <f t="shared" si="49"/>
        <v>-</v>
      </c>
      <c r="J74" s="166" t="str">
        <f t="shared" si="50"/>
        <v>-</v>
      </c>
      <c r="K74" s="180" t="str">
        <f t="shared" si="51"/>
        <v>-</v>
      </c>
      <c r="L74" s="464"/>
      <c r="M74" s="181" t="e">
        <f>RANK(K74, K$67:$K$81)</f>
        <v>#VALUE!</v>
      </c>
      <c r="N74" s="461"/>
      <c r="O74" s="461"/>
      <c r="P74" s="182"/>
      <c r="Q74" s="166"/>
      <c r="R74" s="166"/>
      <c r="S74" s="182" t="e">
        <f t="shared" si="64"/>
        <v>#N/A</v>
      </c>
      <c r="T74" s="488"/>
      <c r="U74" s="182"/>
      <c r="V74" s="166"/>
      <c r="W74" s="166"/>
      <c r="X74" s="182" t="e">
        <f t="shared" si="52"/>
        <v>#N/A</v>
      </c>
      <c r="Y74" s="488"/>
      <c r="Z74" s="182"/>
      <c r="AA74" s="166"/>
      <c r="AB74" s="166"/>
      <c r="AC74" s="182" t="e">
        <f t="shared" si="54"/>
        <v>#N/A</v>
      </c>
      <c r="AD74" s="488"/>
      <c r="AE74" s="182"/>
      <c r="AF74" s="166"/>
      <c r="AG74" s="166"/>
      <c r="AH74" s="182" t="e">
        <f t="shared" si="56"/>
        <v>#N/A</v>
      </c>
      <c r="AI74" s="488"/>
      <c r="AJ74" s="182"/>
      <c r="AK74" s="166"/>
      <c r="AL74" s="166"/>
      <c r="AM74" s="182" t="e">
        <f t="shared" si="58"/>
        <v>#N/A</v>
      </c>
      <c r="AN74" s="488"/>
      <c r="AO74" s="182"/>
      <c r="AP74" s="166"/>
      <c r="AQ74" s="166"/>
      <c r="AR74" s="182" t="e">
        <f t="shared" si="60"/>
        <v>#N/A</v>
      </c>
      <c r="AS74" s="488"/>
      <c r="AT74" s="182"/>
      <c r="AU74" s="166"/>
      <c r="AV74" s="166"/>
      <c r="AW74" s="182" t="e">
        <f t="shared" si="62"/>
        <v>#N/A</v>
      </c>
      <c r="AX74" s="488"/>
    </row>
    <row r="75" spans="2:50">
      <c r="B75" s="454"/>
      <c r="C75" s="182">
        <v>9</v>
      </c>
      <c r="D75" s="203"/>
      <c r="E75" s="166"/>
      <c r="F75" s="166"/>
      <c r="G75" s="166"/>
      <c r="H75" s="464"/>
      <c r="I75" s="166" t="str">
        <f t="shared" si="49"/>
        <v>-</v>
      </c>
      <c r="J75" s="166" t="str">
        <f t="shared" si="50"/>
        <v>-</v>
      </c>
      <c r="K75" s="180" t="str">
        <f t="shared" si="51"/>
        <v>-</v>
      </c>
      <c r="L75" s="464"/>
      <c r="M75" s="181" t="e">
        <f>RANK(K75, K$67:$K$81)</f>
        <v>#VALUE!</v>
      </c>
      <c r="N75" s="461"/>
      <c r="O75" s="461"/>
      <c r="P75" s="182"/>
      <c r="Q75" s="166"/>
      <c r="R75" s="166"/>
      <c r="S75" s="182" t="e">
        <f t="shared" si="64"/>
        <v>#N/A</v>
      </c>
      <c r="T75" s="488"/>
      <c r="U75" s="182"/>
      <c r="V75" s="166"/>
      <c r="W75" s="166"/>
      <c r="X75" s="182" t="e">
        <f t="shared" si="52"/>
        <v>#N/A</v>
      </c>
      <c r="Y75" s="488"/>
      <c r="Z75" s="182"/>
      <c r="AA75" s="166"/>
      <c r="AB75" s="166"/>
      <c r="AC75" s="182" t="e">
        <f t="shared" si="54"/>
        <v>#N/A</v>
      </c>
      <c r="AD75" s="488"/>
      <c r="AE75" s="182"/>
      <c r="AF75" s="166"/>
      <c r="AG75" s="166"/>
      <c r="AH75" s="182" t="e">
        <f t="shared" si="56"/>
        <v>#N/A</v>
      </c>
      <c r="AI75" s="488"/>
      <c r="AJ75" s="182"/>
      <c r="AK75" s="166"/>
      <c r="AL75" s="166"/>
      <c r="AM75" s="182" t="e">
        <f t="shared" si="58"/>
        <v>#N/A</v>
      </c>
      <c r="AN75" s="488"/>
      <c r="AO75" s="182"/>
      <c r="AP75" s="166"/>
      <c r="AQ75" s="166"/>
      <c r="AR75" s="182" t="e">
        <f t="shared" si="60"/>
        <v>#N/A</v>
      </c>
      <c r="AS75" s="488"/>
      <c r="AT75" s="182"/>
      <c r="AU75" s="166"/>
      <c r="AV75" s="166"/>
      <c r="AW75" s="182" t="e">
        <f t="shared" si="62"/>
        <v>#N/A</v>
      </c>
      <c r="AX75" s="488"/>
    </row>
    <row r="76" spans="2:50">
      <c r="B76" s="454"/>
      <c r="C76" s="182">
        <v>10</v>
      </c>
      <c r="D76" s="203"/>
      <c r="E76" s="166"/>
      <c r="F76" s="166"/>
      <c r="G76" s="166"/>
      <c r="H76" s="464"/>
      <c r="I76" s="166" t="str">
        <f t="shared" si="49"/>
        <v>-</v>
      </c>
      <c r="J76" s="166" t="str">
        <f t="shared" si="50"/>
        <v>-</v>
      </c>
      <c r="K76" s="180" t="str">
        <f t="shared" si="51"/>
        <v>-</v>
      </c>
      <c r="L76" s="464"/>
      <c r="M76" s="181" t="e">
        <f>RANK(K76, K$67:$K$81)</f>
        <v>#VALUE!</v>
      </c>
      <c r="N76" s="461"/>
      <c r="O76" s="461"/>
      <c r="P76" s="182"/>
      <c r="Q76" s="166"/>
      <c r="R76" s="166"/>
      <c r="S76" s="182" t="e">
        <f t="shared" si="64"/>
        <v>#N/A</v>
      </c>
      <c r="T76" s="488"/>
      <c r="U76" s="182"/>
      <c r="V76" s="166"/>
      <c r="W76" s="166"/>
      <c r="X76" s="182" t="e">
        <f t="shared" si="52"/>
        <v>#N/A</v>
      </c>
      <c r="Y76" s="488"/>
      <c r="Z76" s="182"/>
      <c r="AA76" s="166"/>
      <c r="AB76" s="166"/>
      <c r="AC76" s="182" t="e">
        <f t="shared" si="54"/>
        <v>#N/A</v>
      </c>
      <c r="AD76" s="488"/>
      <c r="AE76" s="182"/>
      <c r="AF76" s="166"/>
      <c r="AG76" s="166"/>
      <c r="AH76" s="182" t="e">
        <f t="shared" si="56"/>
        <v>#N/A</v>
      </c>
      <c r="AI76" s="488"/>
      <c r="AJ76" s="182"/>
      <c r="AK76" s="166"/>
      <c r="AL76" s="166"/>
      <c r="AM76" s="182" t="e">
        <f t="shared" si="58"/>
        <v>#N/A</v>
      </c>
      <c r="AN76" s="488"/>
      <c r="AO76" s="182"/>
      <c r="AP76" s="166"/>
      <c r="AQ76" s="166"/>
      <c r="AR76" s="182" t="e">
        <f t="shared" si="60"/>
        <v>#N/A</v>
      </c>
      <c r="AS76" s="488"/>
      <c r="AT76" s="182"/>
      <c r="AU76" s="166"/>
      <c r="AV76" s="166"/>
      <c r="AW76" s="182" t="e">
        <f t="shared" si="62"/>
        <v>#N/A</v>
      </c>
      <c r="AX76" s="488"/>
    </row>
    <row r="77" spans="2:50">
      <c r="B77" s="454"/>
      <c r="C77" s="182">
        <v>11</v>
      </c>
      <c r="D77" s="203"/>
      <c r="E77" s="166"/>
      <c r="F77" s="166"/>
      <c r="G77" s="166"/>
      <c r="H77" s="464"/>
      <c r="I77" s="166" t="str">
        <f t="shared" si="49"/>
        <v>-</v>
      </c>
      <c r="J77" s="166" t="str">
        <f t="shared" si="50"/>
        <v>-</v>
      </c>
      <c r="K77" s="180" t="str">
        <f t="shared" si="51"/>
        <v>-</v>
      </c>
      <c r="L77" s="464"/>
      <c r="M77" s="181" t="e">
        <f>RANK(K77, K$67:$K$81)</f>
        <v>#VALUE!</v>
      </c>
      <c r="N77" s="461"/>
      <c r="O77" s="461"/>
      <c r="P77" s="182"/>
      <c r="Q77" s="166"/>
      <c r="R77" s="166"/>
      <c r="S77" s="182" t="e">
        <f t="shared" si="64"/>
        <v>#N/A</v>
      </c>
      <c r="T77" s="488"/>
      <c r="U77" s="182"/>
      <c r="V77" s="166"/>
      <c r="W77" s="166"/>
      <c r="X77" s="182" t="e">
        <f t="shared" si="52"/>
        <v>#N/A</v>
      </c>
      <c r="Y77" s="488"/>
      <c r="Z77" s="182"/>
      <c r="AA77" s="166"/>
      <c r="AB77" s="166"/>
      <c r="AC77" s="182" t="e">
        <f t="shared" si="54"/>
        <v>#N/A</v>
      </c>
      <c r="AD77" s="488"/>
      <c r="AE77" s="182"/>
      <c r="AF77" s="166"/>
      <c r="AG77" s="166"/>
      <c r="AH77" s="182" t="e">
        <f t="shared" si="56"/>
        <v>#N/A</v>
      </c>
      <c r="AI77" s="488"/>
      <c r="AJ77" s="182"/>
      <c r="AK77" s="166"/>
      <c r="AL77" s="166"/>
      <c r="AM77" s="182" t="e">
        <f t="shared" si="58"/>
        <v>#N/A</v>
      </c>
      <c r="AN77" s="488"/>
      <c r="AO77" s="182"/>
      <c r="AP77" s="166"/>
      <c r="AQ77" s="166"/>
      <c r="AR77" s="182" t="e">
        <f t="shared" si="60"/>
        <v>#N/A</v>
      </c>
      <c r="AS77" s="488"/>
      <c r="AT77" s="182"/>
      <c r="AU77" s="166"/>
      <c r="AV77" s="166"/>
      <c r="AW77" s="182" t="e">
        <f t="shared" si="62"/>
        <v>#N/A</v>
      </c>
      <c r="AX77" s="488"/>
    </row>
    <row r="78" spans="2:50">
      <c r="B78" s="454"/>
      <c r="C78" s="182">
        <v>12</v>
      </c>
      <c r="D78" s="203"/>
      <c r="E78" s="166"/>
      <c r="F78" s="166"/>
      <c r="G78" s="166"/>
      <c r="H78" s="464"/>
      <c r="I78" s="166" t="str">
        <f t="shared" si="49"/>
        <v>-</v>
      </c>
      <c r="J78" s="166" t="str">
        <f t="shared" si="50"/>
        <v>-</v>
      </c>
      <c r="K78" s="180" t="str">
        <f t="shared" si="51"/>
        <v>-</v>
      </c>
      <c r="L78" s="464"/>
      <c r="M78" s="181" t="e">
        <f>RANK(K78, K$67:$K$81)</f>
        <v>#VALUE!</v>
      </c>
      <c r="N78" s="461"/>
      <c r="O78" s="461"/>
      <c r="P78" s="182"/>
      <c r="Q78" s="166"/>
      <c r="R78" s="166"/>
      <c r="S78" s="182" t="e">
        <f t="shared" si="64"/>
        <v>#N/A</v>
      </c>
      <c r="T78" s="488"/>
      <c r="U78" s="182"/>
      <c r="V78" s="166"/>
      <c r="W78" s="166"/>
      <c r="X78" s="182" t="e">
        <f t="shared" si="52"/>
        <v>#N/A</v>
      </c>
      <c r="Y78" s="488"/>
      <c r="Z78" s="182"/>
      <c r="AA78" s="166"/>
      <c r="AB78" s="166"/>
      <c r="AC78" s="182" t="e">
        <f t="shared" si="54"/>
        <v>#N/A</v>
      </c>
      <c r="AD78" s="488"/>
      <c r="AE78" s="182"/>
      <c r="AF78" s="166"/>
      <c r="AG78" s="166"/>
      <c r="AH78" s="182" t="e">
        <f t="shared" si="56"/>
        <v>#N/A</v>
      </c>
      <c r="AI78" s="488"/>
      <c r="AJ78" s="182"/>
      <c r="AK78" s="166"/>
      <c r="AL78" s="166"/>
      <c r="AM78" s="182" t="e">
        <f t="shared" si="58"/>
        <v>#N/A</v>
      </c>
      <c r="AN78" s="488"/>
      <c r="AO78" s="182"/>
      <c r="AP78" s="166"/>
      <c r="AQ78" s="166"/>
      <c r="AR78" s="182" t="e">
        <f t="shared" si="60"/>
        <v>#N/A</v>
      </c>
      <c r="AS78" s="488"/>
      <c r="AT78" s="182"/>
      <c r="AU78" s="166"/>
      <c r="AV78" s="166"/>
      <c r="AW78" s="182" t="e">
        <f t="shared" si="62"/>
        <v>#N/A</v>
      </c>
      <c r="AX78" s="488"/>
    </row>
    <row r="79" spans="2:50">
      <c r="B79" s="454"/>
      <c r="C79" s="182">
        <v>13</v>
      </c>
      <c r="D79" s="203"/>
      <c r="E79" s="166"/>
      <c r="F79" s="166"/>
      <c r="G79" s="166"/>
      <c r="H79" s="464"/>
      <c r="I79" s="166" t="str">
        <f t="shared" si="49"/>
        <v>-</v>
      </c>
      <c r="J79" s="166" t="str">
        <f t="shared" si="50"/>
        <v>-</v>
      </c>
      <c r="K79" s="180" t="str">
        <f t="shared" si="51"/>
        <v>-</v>
      </c>
      <c r="L79" s="464"/>
      <c r="M79" s="181" t="e">
        <f>RANK(K79, K$67:$K$81)</f>
        <v>#VALUE!</v>
      </c>
      <c r="N79" s="461"/>
      <c r="O79" s="461"/>
      <c r="P79" s="182"/>
      <c r="Q79" s="166"/>
      <c r="R79" s="166"/>
      <c r="S79" s="182" t="e">
        <f t="shared" si="64"/>
        <v>#N/A</v>
      </c>
      <c r="T79" s="488"/>
      <c r="U79" s="182"/>
      <c r="V79" s="166"/>
      <c r="W79" s="166"/>
      <c r="X79" s="182" t="e">
        <f t="shared" si="52"/>
        <v>#N/A</v>
      </c>
      <c r="Y79" s="488"/>
      <c r="Z79" s="182"/>
      <c r="AA79" s="166"/>
      <c r="AB79" s="166"/>
      <c r="AC79" s="182" t="e">
        <f t="shared" si="54"/>
        <v>#N/A</v>
      </c>
      <c r="AD79" s="488"/>
      <c r="AE79" s="182"/>
      <c r="AF79" s="166"/>
      <c r="AG79" s="166"/>
      <c r="AH79" s="182" t="e">
        <f t="shared" si="56"/>
        <v>#N/A</v>
      </c>
      <c r="AI79" s="488"/>
      <c r="AJ79" s="182"/>
      <c r="AK79" s="166"/>
      <c r="AL79" s="166"/>
      <c r="AM79" s="182" t="e">
        <f t="shared" si="58"/>
        <v>#N/A</v>
      </c>
      <c r="AN79" s="488"/>
      <c r="AO79" s="182"/>
      <c r="AP79" s="166"/>
      <c r="AQ79" s="166"/>
      <c r="AR79" s="182" t="e">
        <f t="shared" si="60"/>
        <v>#N/A</v>
      </c>
      <c r="AS79" s="488"/>
      <c r="AT79" s="182"/>
      <c r="AU79" s="166"/>
      <c r="AV79" s="166"/>
      <c r="AW79" s="182" t="e">
        <f t="shared" si="62"/>
        <v>#N/A</v>
      </c>
      <c r="AX79" s="488"/>
    </row>
    <row r="80" spans="2:50">
      <c r="B80" s="454"/>
      <c r="C80" s="182">
        <v>14</v>
      </c>
      <c r="D80" s="203"/>
      <c r="E80" s="166"/>
      <c r="F80" s="166"/>
      <c r="G80" s="166"/>
      <c r="H80" s="464"/>
      <c r="I80" s="166" t="str">
        <f t="shared" si="49"/>
        <v>-</v>
      </c>
      <c r="J80" s="166" t="str">
        <f t="shared" si="50"/>
        <v>-</v>
      </c>
      <c r="K80" s="180" t="str">
        <f t="shared" si="51"/>
        <v>-</v>
      </c>
      <c r="L80" s="464"/>
      <c r="M80" s="181" t="e">
        <f>RANK(K80, K$67:$K$81)</f>
        <v>#VALUE!</v>
      </c>
      <c r="N80" s="461"/>
      <c r="O80" s="461"/>
      <c r="P80" s="182"/>
      <c r="Q80" s="166"/>
      <c r="R80" s="166"/>
      <c r="S80" s="182" t="e">
        <f t="shared" si="64"/>
        <v>#N/A</v>
      </c>
      <c r="T80" s="488"/>
      <c r="U80" s="182"/>
      <c r="V80" s="166"/>
      <c r="W80" s="166"/>
      <c r="X80" s="182" t="e">
        <f t="shared" si="52"/>
        <v>#N/A</v>
      </c>
      <c r="Y80" s="488"/>
      <c r="Z80" s="182"/>
      <c r="AA80" s="166"/>
      <c r="AB80" s="166"/>
      <c r="AC80" s="182" t="e">
        <f t="shared" si="54"/>
        <v>#N/A</v>
      </c>
      <c r="AD80" s="488"/>
      <c r="AE80" s="182"/>
      <c r="AF80" s="166"/>
      <c r="AG80" s="166"/>
      <c r="AH80" s="182" t="e">
        <f t="shared" si="56"/>
        <v>#N/A</v>
      </c>
      <c r="AI80" s="488"/>
      <c r="AJ80" s="182"/>
      <c r="AK80" s="166"/>
      <c r="AL80" s="166"/>
      <c r="AM80" s="182" t="e">
        <f t="shared" si="58"/>
        <v>#N/A</v>
      </c>
      <c r="AN80" s="488"/>
      <c r="AO80" s="182"/>
      <c r="AP80" s="166"/>
      <c r="AQ80" s="166"/>
      <c r="AR80" s="182" t="e">
        <f t="shared" si="60"/>
        <v>#N/A</v>
      </c>
      <c r="AS80" s="488"/>
      <c r="AT80" s="182"/>
      <c r="AU80" s="166"/>
      <c r="AV80" s="166"/>
      <c r="AW80" s="182" t="e">
        <f t="shared" si="62"/>
        <v>#N/A</v>
      </c>
      <c r="AX80" s="488"/>
    </row>
    <row r="81" spans="2:50">
      <c r="B81" s="454"/>
      <c r="C81" s="182">
        <v>15</v>
      </c>
      <c r="D81" s="203"/>
      <c r="E81" s="166"/>
      <c r="F81" s="166"/>
      <c r="G81" s="166"/>
      <c r="H81" s="465"/>
      <c r="I81" s="166" t="str">
        <f t="shared" si="49"/>
        <v>-</v>
      </c>
      <c r="J81" s="166" t="str">
        <f t="shared" si="50"/>
        <v>-</v>
      </c>
      <c r="K81" s="180" t="str">
        <f t="shared" si="51"/>
        <v>-</v>
      </c>
      <c r="L81" s="465"/>
      <c r="M81" s="181" t="e">
        <f>RANK(K81, K$67:$K$81)</f>
        <v>#VALUE!</v>
      </c>
      <c r="N81" s="461"/>
      <c r="O81" s="461"/>
      <c r="P81" s="182"/>
      <c r="Q81" s="166"/>
      <c r="R81" s="166"/>
      <c r="S81" s="182" t="e">
        <f t="shared" si="64"/>
        <v>#N/A</v>
      </c>
      <c r="T81" s="489"/>
      <c r="U81" s="182"/>
      <c r="V81" s="166"/>
      <c r="W81" s="166"/>
      <c r="X81" s="182" t="e">
        <f t="shared" si="52"/>
        <v>#N/A</v>
      </c>
      <c r="Y81" s="489"/>
      <c r="Z81" s="182"/>
      <c r="AA81" s="166"/>
      <c r="AB81" s="166"/>
      <c r="AC81" s="182" t="e">
        <f t="shared" si="54"/>
        <v>#N/A</v>
      </c>
      <c r="AD81" s="489"/>
      <c r="AE81" s="182"/>
      <c r="AF81" s="166"/>
      <c r="AG81" s="166"/>
      <c r="AH81" s="182" t="e">
        <f t="shared" si="56"/>
        <v>#N/A</v>
      </c>
      <c r="AI81" s="489"/>
      <c r="AJ81" s="182"/>
      <c r="AK81" s="166"/>
      <c r="AL81" s="166"/>
      <c r="AM81" s="182" t="e">
        <f t="shared" si="58"/>
        <v>#N/A</v>
      </c>
      <c r="AN81" s="489"/>
      <c r="AO81" s="182"/>
      <c r="AP81" s="166"/>
      <c r="AQ81" s="166"/>
      <c r="AR81" s="182" t="e">
        <f t="shared" si="60"/>
        <v>#N/A</v>
      </c>
      <c r="AS81" s="489"/>
      <c r="AT81" s="182"/>
      <c r="AU81" s="166"/>
      <c r="AV81" s="166"/>
      <c r="AW81" s="182" t="e">
        <f t="shared" si="62"/>
        <v>#N/A</v>
      </c>
      <c r="AX81" s="489"/>
    </row>
    <row r="82" spans="2:50" ht="15.5">
      <c r="B82" s="477" t="s">
        <v>163</v>
      </c>
      <c r="C82" s="478"/>
      <c r="D82" s="478"/>
      <c r="E82" s="478"/>
      <c r="F82" s="478"/>
      <c r="G82" s="478"/>
      <c r="H82" s="478"/>
      <c r="I82" s="186"/>
      <c r="J82" s="186"/>
      <c r="K82" s="186"/>
      <c r="L82" s="186"/>
      <c r="M82" s="185"/>
      <c r="N82" s="480" t="s">
        <v>156</v>
      </c>
      <c r="O82" s="480" t="s">
        <v>105</v>
      </c>
      <c r="P82" s="476">
        <f>P62+7</f>
        <v>46140</v>
      </c>
      <c r="Q82" s="454"/>
      <c r="R82" s="454"/>
      <c r="S82" s="454"/>
      <c r="T82" s="454"/>
      <c r="U82" s="473">
        <f>P82+1</f>
        <v>46141</v>
      </c>
      <c r="V82" s="474"/>
      <c r="W82" s="474"/>
      <c r="X82" s="474"/>
      <c r="Y82" s="475"/>
      <c r="Z82" s="473">
        <f>U82+1</f>
        <v>46142</v>
      </c>
      <c r="AA82" s="474"/>
      <c r="AB82" s="474"/>
      <c r="AC82" s="474"/>
      <c r="AD82" s="475"/>
      <c r="AE82" s="473">
        <f>Z82+1</f>
        <v>46143</v>
      </c>
      <c r="AF82" s="474"/>
      <c r="AG82" s="474"/>
      <c r="AH82" s="474"/>
      <c r="AI82" s="475"/>
      <c r="AJ82" s="473">
        <f>AE82+1</f>
        <v>46144</v>
      </c>
      <c r="AK82" s="474"/>
      <c r="AL82" s="474"/>
      <c r="AM82" s="474"/>
      <c r="AN82" s="475"/>
      <c r="AO82" s="473">
        <f>AJ82+1</f>
        <v>46145</v>
      </c>
      <c r="AP82" s="474"/>
      <c r="AQ82" s="474"/>
      <c r="AR82" s="474"/>
      <c r="AS82" s="475"/>
      <c r="AT82" s="473">
        <f>AO82+1</f>
        <v>46146</v>
      </c>
      <c r="AU82" s="474"/>
      <c r="AV82" s="474"/>
      <c r="AW82" s="474"/>
      <c r="AX82" s="475"/>
    </row>
    <row r="83" spans="2:50" ht="15.5">
      <c r="B83" s="479"/>
      <c r="C83" s="479"/>
      <c r="D83" s="479"/>
      <c r="E83" s="479"/>
      <c r="F83" s="479"/>
      <c r="G83" s="479"/>
      <c r="H83" s="479"/>
      <c r="I83" s="184"/>
      <c r="J83" s="184"/>
      <c r="K83" s="184"/>
      <c r="L83" s="184"/>
      <c r="M83" s="179"/>
      <c r="N83" s="481"/>
      <c r="O83" s="481"/>
      <c r="P83" s="476" t="s">
        <v>336</v>
      </c>
      <c r="Q83" s="454"/>
      <c r="R83" s="454"/>
      <c r="S83" s="454"/>
      <c r="T83" s="454"/>
      <c r="U83" s="476" t="s">
        <v>337</v>
      </c>
      <c r="V83" s="454"/>
      <c r="W83" s="454"/>
      <c r="X83" s="454"/>
      <c r="Y83" s="454"/>
      <c r="Z83" s="476" t="s">
        <v>338</v>
      </c>
      <c r="AA83" s="454"/>
      <c r="AB83" s="454"/>
      <c r="AC83" s="454"/>
      <c r="AD83" s="454"/>
      <c r="AE83" s="476" t="s">
        <v>339</v>
      </c>
      <c r="AF83" s="454"/>
      <c r="AG83" s="454"/>
      <c r="AH83" s="454"/>
      <c r="AI83" s="454"/>
      <c r="AJ83" s="476" t="s">
        <v>340</v>
      </c>
      <c r="AK83" s="454"/>
      <c r="AL83" s="454"/>
      <c r="AM83" s="454"/>
      <c r="AN83" s="454"/>
      <c r="AO83" s="476" t="s">
        <v>341</v>
      </c>
      <c r="AP83" s="454"/>
      <c r="AQ83" s="454"/>
      <c r="AR83" s="454"/>
      <c r="AS83" s="454"/>
      <c r="AT83" s="476" t="s">
        <v>342</v>
      </c>
      <c r="AU83" s="454"/>
      <c r="AV83" s="454"/>
      <c r="AW83" s="454"/>
      <c r="AX83" s="454"/>
    </row>
    <row r="84" spans="2:50">
      <c r="B84" s="461" t="s">
        <v>425</v>
      </c>
      <c r="C84" s="461" t="s">
        <v>426</v>
      </c>
      <c r="D84" s="461"/>
      <c r="E84" s="461" t="s">
        <v>427</v>
      </c>
      <c r="F84" s="461"/>
      <c r="G84" s="461"/>
      <c r="H84" s="482" t="s">
        <v>428</v>
      </c>
      <c r="I84" s="461" t="s">
        <v>429</v>
      </c>
      <c r="J84" s="461"/>
      <c r="K84" s="461"/>
      <c r="L84" s="482" t="s">
        <v>428</v>
      </c>
      <c r="M84" s="480" t="s">
        <v>430</v>
      </c>
      <c r="N84" s="461"/>
      <c r="O84" s="461" t="s">
        <v>431</v>
      </c>
      <c r="P84" s="466" t="s">
        <v>432</v>
      </c>
      <c r="Q84" s="467"/>
      <c r="R84" s="467"/>
      <c r="S84" s="468"/>
      <c r="T84" s="461" t="s">
        <v>428</v>
      </c>
      <c r="U84" s="466" t="s">
        <v>432</v>
      </c>
      <c r="V84" s="467"/>
      <c r="W84" s="467"/>
      <c r="X84" s="468"/>
      <c r="Y84" s="461" t="s">
        <v>428</v>
      </c>
      <c r="Z84" s="466" t="s">
        <v>432</v>
      </c>
      <c r="AA84" s="467"/>
      <c r="AB84" s="467"/>
      <c r="AC84" s="468"/>
      <c r="AD84" s="461" t="s">
        <v>428</v>
      </c>
      <c r="AE84" s="466" t="s">
        <v>432</v>
      </c>
      <c r="AF84" s="467"/>
      <c r="AG84" s="467"/>
      <c r="AH84" s="468"/>
      <c r="AI84" s="461" t="s">
        <v>428</v>
      </c>
      <c r="AJ84" s="466" t="s">
        <v>432</v>
      </c>
      <c r="AK84" s="467"/>
      <c r="AL84" s="467"/>
      <c r="AM84" s="468"/>
      <c r="AN84" s="461" t="s">
        <v>428</v>
      </c>
      <c r="AO84" s="466" t="s">
        <v>432</v>
      </c>
      <c r="AP84" s="467"/>
      <c r="AQ84" s="467"/>
      <c r="AR84" s="468"/>
      <c r="AS84" s="461" t="s">
        <v>428</v>
      </c>
      <c r="AT84" s="466" t="s">
        <v>432</v>
      </c>
      <c r="AU84" s="467"/>
      <c r="AV84" s="467"/>
      <c r="AW84" s="468"/>
      <c r="AX84" s="461" t="s">
        <v>428</v>
      </c>
    </row>
    <row r="85" spans="2:50">
      <c r="B85" s="461"/>
      <c r="C85" s="461"/>
      <c r="D85" s="461"/>
      <c r="E85" s="461" t="s">
        <v>433</v>
      </c>
      <c r="F85" s="461"/>
      <c r="G85" s="461"/>
      <c r="H85" s="483"/>
      <c r="I85" s="461" t="s">
        <v>433</v>
      </c>
      <c r="J85" s="461"/>
      <c r="K85" s="461"/>
      <c r="L85" s="483"/>
      <c r="M85" s="485"/>
      <c r="N85" s="461"/>
      <c r="O85" s="461"/>
      <c r="P85" s="466" t="s">
        <v>434</v>
      </c>
      <c r="Q85" s="467"/>
      <c r="R85" s="467"/>
      <c r="S85" s="468"/>
      <c r="T85" s="461"/>
      <c r="U85" s="466" t="s">
        <v>434</v>
      </c>
      <c r="V85" s="467"/>
      <c r="W85" s="467"/>
      <c r="X85" s="468"/>
      <c r="Y85" s="461"/>
      <c r="Z85" s="466" t="s">
        <v>434</v>
      </c>
      <c r="AA85" s="467"/>
      <c r="AB85" s="467"/>
      <c r="AC85" s="468"/>
      <c r="AD85" s="461"/>
      <c r="AE85" s="466" t="s">
        <v>434</v>
      </c>
      <c r="AF85" s="467"/>
      <c r="AG85" s="467"/>
      <c r="AH85" s="468"/>
      <c r="AI85" s="461"/>
      <c r="AJ85" s="466" t="s">
        <v>434</v>
      </c>
      <c r="AK85" s="467"/>
      <c r="AL85" s="467"/>
      <c r="AM85" s="468"/>
      <c r="AN85" s="461"/>
      <c r="AO85" s="466" t="s">
        <v>434</v>
      </c>
      <c r="AP85" s="467"/>
      <c r="AQ85" s="467"/>
      <c r="AR85" s="468"/>
      <c r="AS85" s="461"/>
      <c r="AT85" s="466" t="s">
        <v>434</v>
      </c>
      <c r="AU85" s="467"/>
      <c r="AV85" s="467"/>
      <c r="AW85" s="468"/>
      <c r="AX85" s="461"/>
    </row>
    <row r="86" spans="2:50">
      <c r="B86" s="461"/>
      <c r="C86" s="461"/>
      <c r="D86" s="461"/>
      <c r="E86" s="269" t="s">
        <v>435</v>
      </c>
      <c r="F86" s="269" t="s">
        <v>436</v>
      </c>
      <c r="G86" s="269" t="s">
        <v>437</v>
      </c>
      <c r="H86" s="484"/>
      <c r="I86" s="269" t="s">
        <v>435</v>
      </c>
      <c r="J86" s="269" t="s">
        <v>436</v>
      </c>
      <c r="K86" s="269" t="s">
        <v>437</v>
      </c>
      <c r="L86" s="484"/>
      <c r="M86" s="481"/>
      <c r="N86" s="461"/>
      <c r="O86" s="461"/>
      <c r="P86" s="269" t="s">
        <v>435</v>
      </c>
      <c r="Q86" s="269" t="s">
        <v>436</v>
      </c>
      <c r="R86" s="269" t="s">
        <v>437</v>
      </c>
      <c r="S86" s="269" t="s">
        <v>430</v>
      </c>
      <c r="T86" s="461"/>
      <c r="U86" s="269" t="s">
        <v>435</v>
      </c>
      <c r="V86" s="269" t="s">
        <v>436</v>
      </c>
      <c r="W86" s="269" t="s">
        <v>437</v>
      </c>
      <c r="X86" s="269" t="s">
        <v>430</v>
      </c>
      <c r="Y86" s="461"/>
      <c r="Z86" s="269" t="s">
        <v>435</v>
      </c>
      <c r="AA86" s="269" t="s">
        <v>436</v>
      </c>
      <c r="AB86" s="269" t="s">
        <v>437</v>
      </c>
      <c r="AC86" s="269" t="s">
        <v>430</v>
      </c>
      <c r="AD86" s="461"/>
      <c r="AE86" s="269" t="s">
        <v>435</v>
      </c>
      <c r="AF86" s="269" t="s">
        <v>436</v>
      </c>
      <c r="AG86" s="269" t="s">
        <v>437</v>
      </c>
      <c r="AH86" s="269" t="s">
        <v>430</v>
      </c>
      <c r="AI86" s="461"/>
      <c r="AJ86" s="269" t="s">
        <v>435</v>
      </c>
      <c r="AK86" s="269" t="s">
        <v>436</v>
      </c>
      <c r="AL86" s="269" t="s">
        <v>437</v>
      </c>
      <c r="AM86" s="269" t="s">
        <v>430</v>
      </c>
      <c r="AN86" s="461"/>
      <c r="AO86" s="269" t="s">
        <v>435</v>
      </c>
      <c r="AP86" s="269" t="s">
        <v>436</v>
      </c>
      <c r="AQ86" s="269" t="s">
        <v>437</v>
      </c>
      <c r="AR86" s="269" t="s">
        <v>430</v>
      </c>
      <c r="AS86" s="461"/>
      <c r="AT86" s="269" t="s">
        <v>435</v>
      </c>
      <c r="AU86" s="269" t="s">
        <v>436</v>
      </c>
      <c r="AV86" s="269" t="s">
        <v>437</v>
      </c>
      <c r="AW86" s="269" t="s">
        <v>430</v>
      </c>
      <c r="AX86" s="461"/>
    </row>
    <row r="87" spans="2:50">
      <c r="B87" s="501" t="s">
        <v>438</v>
      </c>
      <c r="C87" s="182">
        <v>1</v>
      </c>
      <c r="D87" s="182"/>
      <c r="E87" s="182"/>
      <c r="F87" s="182"/>
      <c r="G87" s="166"/>
      <c r="H87" s="463" t="e">
        <f>AVERAGE(G87:G101)</f>
        <v>#DIV/0!</v>
      </c>
      <c r="I87" s="166" t="str">
        <f t="shared" ref="I87:I101" si="65">IFERROR(AVERAGE(P87,U87,Z87,AE87,AJ87,AO87,AT87),"-")</f>
        <v>-</v>
      </c>
      <c r="J87" s="166" t="str">
        <f t="shared" ref="J87:J101" si="66">IFERROR(AVERAGE(Q87,V87,AA87,AF87,AK87,AP87,AU87),"-")</f>
        <v>-</v>
      </c>
      <c r="K87" s="180" t="str">
        <f t="shared" ref="K87:K101" si="67">IFERROR(AVERAGE(R87,W87,AB87,AG87,AL87,AQ87,AV87),"-")</f>
        <v>-</v>
      </c>
      <c r="L87" s="463" t="str">
        <f>IFERROR(AVERAGE(K87:K101),"-")</f>
        <v>-</v>
      </c>
      <c r="M87" s="181" t="e">
        <f>RANK(K87, K$87:$K$101)</f>
        <v>#VALUE!</v>
      </c>
      <c r="N87" s="461"/>
      <c r="O87" s="461"/>
      <c r="P87" s="182"/>
      <c r="Q87" s="166"/>
      <c r="R87" s="166"/>
      <c r="S87" s="182" t="e">
        <f>RANK(R87, R$87:R$101)</f>
        <v>#N/A</v>
      </c>
      <c r="T87" s="455" t="e">
        <f>AVERAGE(R87:R101)</f>
        <v>#DIV/0!</v>
      </c>
      <c r="U87" s="182"/>
      <c r="V87" s="166"/>
      <c r="W87" s="166"/>
      <c r="X87" s="182" t="e">
        <f t="shared" ref="X87:X101" si="68">RANK(W87, W$87:W$101)</f>
        <v>#N/A</v>
      </c>
      <c r="Y87" s="455" t="e">
        <f t="shared" ref="Y87" si="69">AVERAGE(W87:W101)</f>
        <v>#DIV/0!</v>
      </c>
      <c r="Z87" s="182"/>
      <c r="AA87" s="166"/>
      <c r="AB87" s="166"/>
      <c r="AC87" s="182" t="e">
        <f t="shared" ref="AC87:AC101" si="70">RANK(AB87, AB$87:AB$101)</f>
        <v>#N/A</v>
      </c>
      <c r="AD87" s="455" t="e">
        <f t="shared" ref="AD87" si="71">AVERAGE(AB87:AB101)</f>
        <v>#DIV/0!</v>
      </c>
      <c r="AE87" s="182"/>
      <c r="AF87" s="166"/>
      <c r="AG87" s="166"/>
      <c r="AH87" s="182" t="e">
        <f t="shared" ref="AH87:AH101" si="72">RANK(AG87, AG$87:AG$101)</f>
        <v>#N/A</v>
      </c>
      <c r="AI87" s="455" t="e">
        <f t="shared" ref="AI87" si="73">AVERAGE(AG87:AG101)</f>
        <v>#DIV/0!</v>
      </c>
      <c r="AJ87" s="182"/>
      <c r="AK87" s="166"/>
      <c r="AL87" s="166"/>
      <c r="AM87" s="182" t="e">
        <f t="shared" ref="AM87:AM101" si="74">RANK(AL87, AL$87:AL$101)</f>
        <v>#N/A</v>
      </c>
      <c r="AN87" s="455" t="e">
        <f t="shared" ref="AN87" si="75">AVERAGE(AL87:AL101)</f>
        <v>#DIV/0!</v>
      </c>
      <c r="AO87" s="182"/>
      <c r="AP87" s="166"/>
      <c r="AQ87" s="166"/>
      <c r="AR87" s="182" t="e">
        <f t="shared" ref="AR87:AR101" si="76">RANK(AQ87, AQ$87:AQ$101)</f>
        <v>#N/A</v>
      </c>
      <c r="AS87" s="455" t="e">
        <f t="shared" ref="AS87" si="77">AVERAGE(AQ87:AQ101)</f>
        <v>#DIV/0!</v>
      </c>
      <c r="AT87" s="182"/>
      <c r="AU87" s="166"/>
      <c r="AV87" s="166"/>
      <c r="AW87" s="182" t="e">
        <f t="shared" ref="AW87:AW101" si="78">RANK(AV87, AV$87:AV$101)</f>
        <v>#N/A</v>
      </c>
      <c r="AX87" s="455" t="e">
        <f t="shared" ref="AX87" si="79">AVERAGE(AV87:AV101)</f>
        <v>#DIV/0!</v>
      </c>
    </row>
    <row r="88" spans="2:50">
      <c r="B88" s="454"/>
      <c r="C88" s="182">
        <v>2</v>
      </c>
      <c r="D88" s="182"/>
      <c r="E88" s="182"/>
      <c r="F88" s="182"/>
      <c r="G88" s="166"/>
      <c r="H88" s="464"/>
      <c r="I88" s="166" t="str">
        <f t="shared" si="65"/>
        <v>-</v>
      </c>
      <c r="J88" s="166" t="str">
        <f t="shared" si="66"/>
        <v>-</v>
      </c>
      <c r="K88" s="180" t="str">
        <f t="shared" si="67"/>
        <v>-</v>
      </c>
      <c r="L88" s="464"/>
      <c r="M88" s="181" t="e">
        <f>RANK(K88, K$87:$K$101)</f>
        <v>#VALUE!</v>
      </c>
      <c r="N88" s="461"/>
      <c r="O88" s="461"/>
      <c r="P88" s="182"/>
      <c r="Q88" s="166"/>
      <c r="R88" s="166"/>
      <c r="S88" s="182" t="e">
        <f t="shared" ref="S88:S101" si="80">RANK(R88, R$87:R$101)</f>
        <v>#N/A</v>
      </c>
      <c r="T88" s="455"/>
      <c r="U88" s="182"/>
      <c r="V88" s="166"/>
      <c r="W88" s="166"/>
      <c r="X88" s="182" t="e">
        <f t="shared" si="68"/>
        <v>#N/A</v>
      </c>
      <c r="Y88" s="455"/>
      <c r="Z88" s="182"/>
      <c r="AA88" s="166"/>
      <c r="AB88" s="166"/>
      <c r="AC88" s="182" t="e">
        <f t="shared" si="70"/>
        <v>#N/A</v>
      </c>
      <c r="AD88" s="455"/>
      <c r="AE88" s="182"/>
      <c r="AF88" s="166"/>
      <c r="AG88" s="166"/>
      <c r="AH88" s="182" t="e">
        <f t="shared" si="72"/>
        <v>#N/A</v>
      </c>
      <c r="AI88" s="455"/>
      <c r="AJ88" s="182"/>
      <c r="AK88" s="166"/>
      <c r="AL88" s="166"/>
      <c r="AM88" s="182" t="e">
        <f t="shared" si="74"/>
        <v>#N/A</v>
      </c>
      <c r="AN88" s="455"/>
      <c r="AO88" s="182"/>
      <c r="AP88" s="166"/>
      <c r="AQ88" s="166"/>
      <c r="AR88" s="182" t="e">
        <f t="shared" si="76"/>
        <v>#N/A</v>
      </c>
      <c r="AS88" s="455"/>
      <c r="AT88" s="182"/>
      <c r="AU88" s="166"/>
      <c r="AV88" s="166"/>
      <c r="AW88" s="182" t="e">
        <f t="shared" si="78"/>
        <v>#N/A</v>
      </c>
      <c r="AX88" s="455"/>
    </row>
    <row r="89" spans="2:50">
      <c r="B89" s="454"/>
      <c r="C89" s="182">
        <v>3</v>
      </c>
      <c r="D89" s="182"/>
      <c r="E89" s="182"/>
      <c r="F89" s="182"/>
      <c r="G89" s="166"/>
      <c r="H89" s="464"/>
      <c r="I89" s="166" t="str">
        <f t="shared" si="65"/>
        <v>-</v>
      </c>
      <c r="J89" s="166" t="str">
        <f t="shared" si="66"/>
        <v>-</v>
      </c>
      <c r="K89" s="180" t="str">
        <f t="shared" si="67"/>
        <v>-</v>
      </c>
      <c r="L89" s="464"/>
      <c r="M89" s="181" t="e">
        <f>RANK(K89, K$87:$K$101)</f>
        <v>#VALUE!</v>
      </c>
      <c r="N89" s="461"/>
      <c r="O89" s="461"/>
      <c r="P89" s="182"/>
      <c r="Q89" s="166"/>
      <c r="R89" s="166"/>
      <c r="S89" s="182" t="e">
        <f t="shared" si="80"/>
        <v>#N/A</v>
      </c>
      <c r="T89" s="455"/>
      <c r="U89" s="182"/>
      <c r="V89" s="166"/>
      <c r="W89" s="166"/>
      <c r="X89" s="182" t="e">
        <f t="shared" si="68"/>
        <v>#N/A</v>
      </c>
      <c r="Y89" s="455"/>
      <c r="Z89" s="182"/>
      <c r="AA89" s="166"/>
      <c r="AB89" s="166"/>
      <c r="AC89" s="182" t="e">
        <f t="shared" si="70"/>
        <v>#N/A</v>
      </c>
      <c r="AD89" s="455"/>
      <c r="AE89" s="182"/>
      <c r="AF89" s="166"/>
      <c r="AG89" s="166"/>
      <c r="AH89" s="182" t="e">
        <f t="shared" si="72"/>
        <v>#N/A</v>
      </c>
      <c r="AI89" s="455"/>
      <c r="AJ89" s="182"/>
      <c r="AK89" s="166"/>
      <c r="AL89" s="166"/>
      <c r="AM89" s="182" t="e">
        <f t="shared" si="74"/>
        <v>#N/A</v>
      </c>
      <c r="AN89" s="455"/>
      <c r="AO89" s="182"/>
      <c r="AP89" s="166"/>
      <c r="AQ89" s="166"/>
      <c r="AR89" s="182" t="e">
        <f t="shared" si="76"/>
        <v>#N/A</v>
      </c>
      <c r="AS89" s="455"/>
      <c r="AT89" s="182"/>
      <c r="AU89" s="166"/>
      <c r="AV89" s="166"/>
      <c r="AW89" s="182" t="e">
        <f t="shared" si="78"/>
        <v>#N/A</v>
      </c>
      <c r="AX89" s="455"/>
    </row>
    <row r="90" spans="2:50">
      <c r="B90" s="454"/>
      <c r="C90" s="182">
        <v>4</v>
      </c>
      <c r="D90" s="182"/>
      <c r="E90" s="182"/>
      <c r="F90" s="182"/>
      <c r="G90" s="166"/>
      <c r="H90" s="464"/>
      <c r="I90" s="166" t="str">
        <f t="shared" si="65"/>
        <v>-</v>
      </c>
      <c r="J90" s="166" t="str">
        <f t="shared" si="66"/>
        <v>-</v>
      </c>
      <c r="K90" s="180" t="str">
        <f t="shared" si="67"/>
        <v>-</v>
      </c>
      <c r="L90" s="464"/>
      <c r="M90" s="181" t="e">
        <f>RANK(K90, K$87:$K$101)</f>
        <v>#VALUE!</v>
      </c>
      <c r="N90" s="461"/>
      <c r="O90" s="461"/>
      <c r="P90" s="182"/>
      <c r="Q90" s="166"/>
      <c r="R90" s="166"/>
      <c r="S90" s="182" t="e">
        <f t="shared" si="80"/>
        <v>#N/A</v>
      </c>
      <c r="T90" s="455"/>
      <c r="U90" s="182"/>
      <c r="V90" s="166"/>
      <c r="W90" s="166"/>
      <c r="X90" s="182" t="e">
        <f t="shared" si="68"/>
        <v>#N/A</v>
      </c>
      <c r="Y90" s="455"/>
      <c r="Z90" s="182"/>
      <c r="AA90" s="166"/>
      <c r="AB90" s="166"/>
      <c r="AC90" s="182" t="e">
        <f t="shared" si="70"/>
        <v>#N/A</v>
      </c>
      <c r="AD90" s="455"/>
      <c r="AE90" s="182"/>
      <c r="AF90" s="166"/>
      <c r="AG90" s="166"/>
      <c r="AH90" s="182" t="e">
        <f t="shared" si="72"/>
        <v>#N/A</v>
      </c>
      <c r="AI90" s="455"/>
      <c r="AJ90" s="182"/>
      <c r="AK90" s="166"/>
      <c r="AL90" s="166"/>
      <c r="AM90" s="182" t="e">
        <f t="shared" si="74"/>
        <v>#N/A</v>
      </c>
      <c r="AN90" s="455"/>
      <c r="AO90" s="182"/>
      <c r="AP90" s="166"/>
      <c r="AQ90" s="166"/>
      <c r="AR90" s="182" t="e">
        <f t="shared" si="76"/>
        <v>#N/A</v>
      </c>
      <c r="AS90" s="455"/>
      <c r="AT90" s="182"/>
      <c r="AU90" s="166"/>
      <c r="AV90" s="166"/>
      <c r="AW90" s="182" t="e">
        <f t="shared" si="78"/>
        <v>#N/A</v>
      </c>
      <c r="AX90" s="455"/>
    </row>
    <row r="91" spans="2:50">
      <c r="B91" s="454"/>
      <c r="C91" s="182">
        <v>5</v>
      </c>
      <c r="D91" s="182"/>
      <c r="E91" s="182"/>
      <c r="F91" s="182"/>
      <c r="G91" s="166"/>
      <c r="H91" s="464"/>
      <c r="I91" s="166" t="str">
        <f t="shared" si="65"/>
        <v>-</v>
      </c>
      <c r="J91" s="166" t="str">
        <f t="shared" si="66"/>
        <v>-</v>
      </c>
      <c r="K91" s="180" t="str">
        <f t="shared" si="67"/>
        <v>-</v>
      </c>
      <c r="L91" s="464"/>
      <c r="M91" s="181" t="e">
        <f>RANK(K91, K$87:$K$101)</f>
        <v>#VALUE!</v>
      </c>
      <c r="N91" s="461"/>
      <c r="O91" s="461"/>
      <c r="P91" s="182"/>
      <c r="Q91" s="166"/>
      <c r="R91" s="166"/>
      <c r="S91" s="182" t="e">
        <f t="shared" si="80"/>
        <v>#N/A</v>
      </c>
      <c r="T91" s="455"/>
      <c r="U91" s="182"/>
      <c r="V91" s="166"/>
      <c r="W91" s="166"/>
      <c r="X91" s="182" t="e">
        <f t="shared" si="68"/>
        <v>#N/A</v>
      </c>
      <c r="Y91" s="455"/>
      <c r="Z91" s="182"/>
      <c r="AA91" s="166"/>
      <c r="AB91" s="166"/>
      <c r="AC91" s="182" t="e">
        <f t="shared" si="70"/>
        <v>#N/A</v>
      </c>
      <c r="AD91" s="455"/>
      <c r="AE91" s="182"/>
      <c r="AF91" s="166"/>
      <c r="AG91" s="166"/>
      <c r="AH91" s="182" t="e">
        <f t="shared" si="72"/>
        <v>#N/A</v>
      </c>
      <c r="AI91" s="455"/>
      <c r="AJ91" s="182"/>
      <c r="AK91" s="166"/>
      <c r="AL91" s="166"/>
      <c r="AM91" s="182" t="e">
        <f t="shared" si="74"/>
        <v>#N/A</v>
      </c>
      <c r="AN91" s="455"/>
      <c r="AO91" s="182"/>
      <c r="AP91" s="166"/>
      <c r="AQ91" s="166"/>
      <c r="AR91" s="182" t="e">
        <f t="shared" si="76"/>
        <v>#N/A</v>
      </c>
      <c r="AS91" s="455"/>
      <c r="AT91" s="182"/>
      <c r="AU91" s="166"/>
      <c r="AV91" s="166"/>
      <c r="AW91" s="182" t="e">
        <f t="shared" si="78"/>
        <v>#N/A</v>
      </c>
      <c r="AX91" s="455"/>
    </row>
    <row r="92" spans="2:50">
      <c r="B92" s="454"/>
      <c r="C92" s="182">
        <v>6</v>
      </c>
      <c r="D92" s="182"/>
      <c r="E92" s="182"/>
      <c r="F92" s="182"/>
      <c r="G92" s="166"/>
      <c r="H92" s="464"/>
      <c r="I92" s="166" t="str">
        <f t="shared" si="65"/>
        <v>-</v>
      </c>
      <c r="J92" s="166" t="str">
        <f t="shared" si="66"/>
        <v>-</v>
      </c>
      <c r="K92" s="180" t="str">
        <f t="shared" si="67"/>
        <v>-</v>
      </c>
      <c r="L92" s="464"/>
      <c r="M92" s="181" t="e">
        <f>RANK(K92, K$87:$K$101)</f>
        <v>#VALUE!</v>
      </c>
      <c r="N92" s="461"/>
      <c r="O92" s="461"/>
      <c r="P92" s="182"/>
      <c r="Q92" s="166"/>
      <c r="R92" s="166"/>
      <c r="S92" s="182" t="e">
        <f t="shared" si="80"/>
        <v>#N/A</v>
      </c>
      <c r="T92" s="455"/>
      <c r="U92" s="182"/>
      <c r="V92" s="166"/>
      <c r="W92" s="166"/>
      <c r="X92" s="182" t="e">
        <f t="shared" si="68"/>
        <v>#N/A</v>
      </c>
      <c r="Y92" s="455"/>
      <c r="Z92" s="182"/>
      <c r="AA92" s="166"/>
      <c r="AB92" s="166"/>
      <c r="AC92" s="182" t="e">
        <f t="shared" si="70"/>
        <v>#N/A</v>
      </c>
      <c r="AD92" s="455"/>
      <c r="AE92" s="182"/>
      <c r="AF92" s="166"/>
      <c r="AG92" s="166"/>
      <c r="AH92" s="182" t="e">
        <f t="shared" si="72"/>
        <v>#N/A</v>
      </c>
      <c r="AI92" s="455"/>
      <c r="AJ92" s="182"/>
      <c r="AK92" s="166"/>
      <c r="AL92" s="166"/>
      <c r="AM92" s="182" t="e">
        <f t="shared" si="74"/>
        <v>#N/A</v>
      </c>
      <c r="AN92" s="455"/>
      <c r="AO92" s="182"/>
      <c r="AP92" s="166"/>
      <c r="AQ92" s="166"/>
      <c r="AR92" s="182" t="e">
        <f t="shared" si="76"/>
        <v>#N/A</v>
      </c>
      <c r="AS92" s="455"/>
      <c r="AT92" s="182"/>
      <c r="AU92" s="166"/>
      <c r="AV92" s="166"/>
      <c r="AW92" s="182" t="e">
        <f t="shared" si="78"/>
        <v>#N/A</v>
      </c>
      <c r="AX92" s="455"/>
    </row>
    <row r="93" spans="2:50">
      <c r="B93" s="454"/>
      <c r="C93" s="182">
        <v>7</v>
      </c>
      <c r="D93" s="182"/>
      <c r="E93" s="182"/>
      <c r="F93" s="182"/>
      <c r="G93" s="166"/>
      <c r="H93" s="464"/>
      <c r="I93" s="166" t="str">
        <f t="shared" si="65"/>
        <v>-</v>
      </c>
      <c r="J93" s="166" t="str">
        <f t="shared" si="66"/>
        <v>-</v>
      </c>
      <c r="K93" s="180" t="str">
        <f t="shared" si="67"/>
        <v>-</v>
      </c>
      <c r="L93" s="464"/>
      <c r="M93" s="181" t="e">
        <f>RANK(K93, K$87:$K$101)</f>
        <v>#VALUE!</v>
      </c>
      <c r="N93" s="461"/>
      <c r="O93" s="461"/>
      <c r="P93" s="182"/>
      <c r="Q93" s="166"/>
      <c r="R93" s="166"/>
      <c r="S93" s="182" t="e">
        <f t="shared" si="80"/>
        <v>#N/A</v>
      </c>
      <c r="T93" s="455"/>
      <c r="U93" s="182"/>
      <c r="V93" s="166"/>
      <c r="W93" s="166"/>
      <c r="X93" s="182" t="e">
        <f t="shared" si="68"/>
        <v>#N/A</v>
      </c>
      <c r="Y93" s="455"/>
      <c r="Z93" s="182"/>
      <c r="AA93" s="166"/>
      <c r="AB93" s="166"/>
      <c r="AC93" s="182" t="e">
        <f t="shared" si="70"/>
        <v>#N/A</v>
      </c>
      <c r="AD93" s="455"/>
      <c r="AE93" s="182"/>
      <c r="AF93" s="166"/>
      <c r="AG93" s="166"/>
      <c r="AH93" s="182" t="e">
        <f t="shared" si="72"/>
        <v>#N/A</v>
      </c>
      <c r="AI93" s="455"/>
      <c r="AJ93" s="182"/>
      <c r="AK93" s="166"/>
      <c r="AL93" s="166"/>
      <c r="AM93" s="182" t="e">
        <f t="shared" si="74"/>
        <v>#N/A</v>
      </c>
      <c r="AN93" s="455"/>
      <c r="AO93" s="182"/>
      <c r="AP93" s="166"/>
      <c r="AQ93" s="166"/>
      <c r="AR93" s="182" t="e">
        <f t="shared" si="76"/>
        <v>#N/A</v>
      </c>
      <c r="AS93" s="455"/>
      <c r="AT93" s="182"/>
      <c r="AU93" s="166"/>
      <c r="AV93" s="166"/>
      <c r="AW93" s="182" t="e">
        <f t="shared" si="78"/>
        <v>#N/A</v>
      </c>
      <c r="AX93" s="455"/>
    </row>
    <row r="94" spans="2:50">
      <c r="B94" s="454"/>
      <c r="C94" s="182">
        <v>8</v>
      </c>
      <c r="D94" s="182"/>
      <c r="E94" s="182"/>
      <c r="F94" s="182"/>
      <c r="G94" s="166"/>
      <c r="H94" s="464"/>
      <c r="I94" s="166" t="str">
        <f t="shared" si="65"/>
        <v>-</v>
      </c>
      <c r="J94" s="166" t="str">
        <f t="shared" si="66"/>
        <v>-</v>
      </c>
      <c r="K94" s="180" t="str">
        <f t="shared" si="67"/>
        <v>-</v>
      </c>
      <c r="L94" s="464"/>
      <c r="M94" s="181" t="e">
        <f>RANK(K94, K$87:$K$101)</f>
        <v>#VALUE!</v>
      </c>
      <c r="N94" s="461"/>
      <c r="O94" s="461"/>
      <c r="P94" s="182"/>
      <c r="Q94" s="166"/>
      <c r="R94" s="166"/>
      <c r="S94" s="182" t="e">
        <f t="shared" si="80"/>
        <v>#N/A</v>
      </c>
      <c r="T94" s="455"/>
      <c r="U94" s="182"/>
      <c r="V94" s="166"/>
      <c r="W94" s="166"/>
      <c r="X94" s="182" t="e">
        <f t="shared" si="68"/>
        <v>#N/A</v>
      </c>
      <c r="Y94" s="455"/>
      <c r="Z94" s="182"/>
      <c r="AA94" s="166"/>
      <c r="AB94" s="166"/>
      <c r="AC94" s="182" t="e">
        <f t="shared" si="70"/>
        <v>#N/A</v>
      </c>
      <c r="AD94" s="455"/>
      <c r="AE94" s="182"/>
      <c r="AF94" s="166"/>
      <c r="AG94" s="166"/>
      <c r="AH94" s="182" t="e">
        <f t="shared" si="72"/>
        <v>#N/A</v>
      </c>
      <c r="AI94" s="455"/>
      <c r="AJ94" s="182"/>
      <c r="AK94" s="166"/>
      <c r="AL94" s="166"/>
      <c r="AM94" s="182" t="e">
        <f t="shared" si="74"/>
        <v>#N/A</v>
      </c>
      <c r="AN94" s="455"/>
      <c r="AO94" s="182"/>
      <c r="AP94" s="166"/>
      <c r="AQ94" s="166"/>
      <c r="AR94" s="182" t="e">
        <f t="shared" si="76"/>
        <v>#N/A</v>
      </c>
      <c r="AS94" s="455"/>
      <c r="AT94" s="182"/>
      <c r="AU94" s="166"/>
      <c r="AV94" s="166"/>
      <c r="AW94" s="182" t="e">
        <f t="shared" si="78"/>
        <v>#N/A</v>
      </c>
      <c r="AX94" s="455"/>
    </row>
    <row r="95" spans="2:50">
      <c r="B95" s="454"/>
      <c r="C95" s="182">
        <v>9</v>
      </c>
      <c r="D95" s="182"/>
      <c r="E95" s="182"/>
      <c r="F95" s="182"/>
      <c r="G95" s="166"/>
      <c r="H95" s="464"/>
      <c r="I95" s="166" t="str">
        <f t="shared" si="65"/>
        <v>-</v>
      </c>
      <c r="J95" s="166" t="str">
        <f t="shared" si="66"/>
        <v>-</v>
      </c>
      <c r="K95" s="180" t="str">
        <f t="shared" si="67"/>
        <v>-</v>
      </c>
      <c r="L95" s="464"/>
      <c r="M95" s="181" t="e">
        <f>RANK(K95, K$87:$K$101)</f>
        <v>#VALUE!</v>
      </c>
      <c r="N95" s="461"/>
      <c r="O95" s="461"/>
      <c r="P95" s="182"/>
      <c r="Q95" s="166"/>
      <c r="R95" s="166"/>
      <c r="S95" s="182" t="e">
        <f t="shared" si="80"/>
        <v>#N/A</v>
      </c>
      <c r="T95" s="455"/>
      <c r="U95" s="182"/>
      <c r="V95" s="166"/>
      <c r="W95" s="166"/>
      <c r="X95" s="182" t="e">
        <f t="shared" si="68"/>
        <v>#N/A</v>
      </c>
      <c r="Y95" s="455"/>
      <c r="Z95" s="182"/>
      <c r="AA95" s="166"/>
      <c r="AB95" s="166"/>
      <c r="AC95" s="182" t="e">
        <f t="shared" si="70"/>
        <v>#N/A</v>
      </c>
      <c r="AD95" s="455"/>
      <c r="AE95" s="182"/>
      <c r="AF95" s="166"/>
      <c r="AG95" s="166"/>
      <c r="AH95" s="182" t="e">
        <f t="shared" si="72"/>
        <v>#N/A</v>
      </c>
      <c r="AI95" s="455"/>
      <c r="AJ95" s="182"/>
      <c r="AK95" s="166"/>
      <c r="AL95" s="166"/>
      <c r="AM95" s="182" t="e">
        <f t="shared" si="74"/>
        <v>#N/A</v>
      </c>
      <c r="AN95" s="455"/>
      <c r="AO95" s="182"/>
      <c r="AP95" s="166"/>
      <c r="AQ95" s="166"/>
      <c r="AR95" s="182" t="e">
        <f t="shared" si="76"/>
        <v>#N/A</v>
      </c>
      <c r="AS95" s="455"/>
      <c r="AT95" s="182"/>
      <c r="AU95" s="166"/>
      <c r="AV95" s="166"/>
      <c r="AW95" s="182" t="e">
        <f t="shared" si="78"/>
        <v>#N/A</v>
      </c>
      <c r="AX95" s="455"/>
    </row>
    <row r="96" spans="2:50">
      <c r="B96" s="454"/>
      <c r="C96" s="182">
        <v>10</v>
      </c>
      <c r="D96" s="182"/>
      <c r="E96" s="182"/>
      <c r="F96" s="182"/>
      <c r="G96" s="166"/>
      <c r="H96" s="464"/>
      <c r="I96" s="166" t="str">
        <f t="shared" si="65"/>
        <v>-</v>
      </c>
      <c r="J96" s="166" t="str">
        <f t="shared" si="66"/>
        <v>-</v>
      </c>
      <c r="K96" s="180" t="str">
        <f t="shared" si="67"/>
        <v>-</v>
      </c>
      <c r="L96" s="464"/>
      <c r="M96" s="181" t="e">
        <f>RANK(K96, K$87:$K$101)</f>
        <v>#VALUE!</v>
      </c>
      <c r="N96" s="461"/>
      <c r="O96" s="461"/>
      <c r="P96" s="182"/>
      <c r="Q96" s="166"/>
      <c r="R96" s="166"/>
      <c r="S96" s="182" t="e">
        <f t="shared" si="80"/>
        <v>#N/A</v>
      </c>
      <c r="T96" s="455"/>
      <c r="U96" s="182"/>
      <c r="V96" s="166"/>
      <c r="W96" s="166"/>
      <c r="X96" s="182" t="e">
        <f t="shared" si="68"/>
        <v>#N/A</v>
      </c>
      <c r="Y96" s="455"/>
      <c r="Z96" s="182"/>
      <c r="AA96" s="166"/>
      <c r="AB96" s="166"/>
      <c r="AC96" s="182" t="e">
        <f t="shared" si="70"/>
        <v>#N/A</v>
      </c>
      <c r="AD96" s="455"/>
      <c r="AE96" s="182"/>
      <c r="AF96" s="166"/>
      <c r="AG96" s="166"/>
      <c r="AH96" s="182" t="e">
        <f t="shared" si="72"/>
        <v>#N/A</v>
      </c>
      <c r="AI96" s="455"/>
      <c r="AJ96" s="182"/>
      <c r="AK96" s="166"/>
      <c r="AL96" s="166"/>
      <c r="AM96" s="182" t="e">
        <f t="shared" si="74"/>
        <v>#N/A</v>
      </c>
      <c r="AN96" s="455"/>
      <c r="AO96" s="182"/>
      <c r="AP96" s="166"/>
      <c r="AQ96" s="166"/>
      <c r="AR96" s="182" t="e">
        <f t="shared" si="76"/>
        <v>#N/A</v>
      </c>
      <c r="AS96" s="455"/>
      <c r="AT96" s="182"/>
      <c r="AU96" s="166"/>
      <c r="AV96" s="166"/>
      <c r="AW96" s="182" t="e">
        <f t="shared" si="78"/>
        <v>#N/A</v>
      </c>
      <c r="AX96" s="455"/>
    </row>
    <row r="97" spans="2:50">
      <c r="B97" s="454"/>
      <c r="C97" s="182">
        <v>11</v>
      </c>
      <c r="D97" s="182"/>
      <c r="E97" s="182"/>
      <c r="F97" s="182"/>
      <c r="G97" s="166"/>
      <c r="H97" s="464"/>
      <c r="I97" s="166" t="str">
        <f t="shared" si="65"/>
        <v>-</v>
      </c>
      <c r="J97" s="166" t="str">
        <f t="shared" si="66"/>
        <v>-</v>
      </c>
      <c r="K97" s="180" t="str">
        <f t="shared" si="67"/>
        <v>-</v>
      </c>
      <c r="L97" s="464"/>
      <c r="M97" s="181" t="e">
        <f>RANK(K97, K$87:$K$101)</f>
        <v>#VALUE!</v>
      </c>
      <c r="N97" s="461"/>
      <c r="O97" s="461"/>
      <c r="P97" s="182"/>
      <c r="Q97" s="166"/>
      <c r="R97" s="166"/>
      <c r="S97" s="182" t="e">
        <f t="shared" si="80"/>
        <v>#N/A</v>
      </c>
      <c r="T97" s="455"/>
      <c r="U97" s="182"/>
      <c r="V97" s="166"/>
      <c r="W97" s="166"/>
      <c r="X97" s="182" t="e">
        <f t="shared" si="68"/>
        <v>#N/A</v>
      </c>
      <c r="Y97" s="455"/>
      <c r="Z97" s="182"/>
      <c r="AA97" s="166"/>
      <c r="AB97" s="166"/>
      <c r="AC97" s="182" t="e">
        <f t="shared" si="70"/>
        <v>#N/A</v>
      </c>
      <c r="AD97" s="455"/>
      <c r="AE97" s="182"/>
      <c r="AF97" s="166"/>
      <c r="AG97" s="166"/>
      <c r="AH97" s="182" t="e">
        <f t="shared" si="72"/>
        <v>#N/A</v>
      </c>
      <c r="AI97" s="455"/>
      <c r="AJ97" s="182"/>
      <c r="AK97" s="166"/>
      <c r="AL97" s="166"/>
      <c r="AM97" s="182" t="e">
        <f t="shared" si="74"/>
        <v>#N/A</v>
      </c>
      <c r="AN97" s="455"/>
      <c r="AO97" s="182"/>
      <c r="AP97" s="166"/>
      <c r="AQ97" s="166"/>
      <c r="AR97" s="182" t="e">
        <f t="shared" si="76"/>
        <v>#N/A</v>
      </c>
      <c r="AS97" s="455"/>
      <c r="AT97" s="182"/>
      <c r="AU97" s="166"/>
      <c r="AV97" s="166"/>
      <c r="AW97" s="182" t="e">
        <f t="shared" si="78"/>
        <v>#N/A</v>
      </c>
      <c r="AX97" s="455"/>
    </row>
    <row r="98" spans="2:50">
      <c r="B98" s="454"/>
      <c r="C98" s="182">
        <v>12</v>
      </c>
      <c r="D98" s="182"/>
      <c r="E98" s="182"/>
      <c r="F98" s="182"/>
      <c r="G98" s="166"/>
      <c r="H98" s="464"/>
      <c r="I98" s="166" t="str">
        <f t="shared" si="65"/>
        <v>-</v>
      </c>
      <c r="J98" s="166" t="str">
        <f t="shared" si="66"/>
        <v>-</v>
      </c>
      <c r="K98" s="180" t="str">
        <f t="shared" si="67"/>
        <v>-</v>
      </c>
      <c r="L98" s="464"/>
      <c r="M98" s="181" t="e">
        <f>RANK(K98, K$87:$K$101)</f>
        <v>#VALUE!</v>
      </c>
      <c r="N98" s="461"/>
      <c r="O98" s="461"/>
      <c r="P98" s="182"/>
      <c r="Q98" s="166"/>
      <c r="R98" s="166"/>
      <c r="S98" s="182" t="e">
        <f t="shared" si="80"/>
        <v>#N/A</v>
      </c>
      <c r="T98" s="455"/>
      <c r="U98" s="182"/>
      <c r="V98" s="166"/>
      <c r="W98" s="166"/>
      <c r="X98" s="182" t="e">
        <f t="shared" si="68"/>
        <v>#N/A</v>
      </c>
      <c r="Y98" s="455"/>
      <c r="Z98" s="182"/>
      <c r="AA98" s="166"/>
      <c r="AB98" s="166"/>
      <c r="AC98" s="182" t="e">
        <f t="shared" si="70"/>
        <v>#N/A</v>
      </c>
      <c r="AD98" s="455"/>
      <c r="AE98" s="182"/>
      <c r="AF98" s="166"/>
      <c r="AG98" s="166"/>
      <c r="AH98" s="182" t="e">
        <f t="shared" si="72"/>
        <v>#N/A</v>
      </c>
      <c r="AI98" s="455"/>
      <c r="AJ98" s="182"/>
      <c r="AK98" s="166"/>
      <c r="AL98" s="166"/>
      <c r="AM98" s="182" t="e">
        <f t="shared" si="74"/>
        <v>#N/A</v>
      </c>
      <c r="AN98" s="455"/>
      <c r="AO98" s="182"/>
      <c r="AP98" s="166"/>
      <c r="AQ98" s="166"/>
      <c r="AR98" s="182" t="e">
        <f t="shared" si="76"/>
        <v>#N/A</v>
      </c>
      <c r="AS98" s="455"/>
      <c r="AT98" s="182"/>
      <c r="AU98" s="166"/>
      <c r="AV98" s="166"/>
      <c r="AW98" s="182" t="e">
        <f t="shared" si="78"/>
        <v>#N/A</v>
      </c>
      <c r="AX98" s="455"/>
    </row>
    <row r="99" spans="2:50">
      <c r="B99" s="454"/>
      <c r="C99" s="182">
        <v>13</v>
      </c>
      <c r="D99" s="182"/>
      <c r="E99" s="182"/>
      <c r="F99" s="182"/>
      <c r="G99" s="166"/>
      <c r="H99" s="464"/>
      <c r="I99" s="166" t="str">
        <f t="shared" si="65"/>
        <v>-</v>
      </c>
      <c r="J99" s="166" t="str">
        <f t="shared" si="66"/>
        <v>-</v>
      </c>
      <c r="K99" s="180" t="str">
        <f t="shared" si="67"/>
        <v>-</v>
      </c>
      <c r="L99" s="464"/>
      <c r="M99" s="181" t="e">
        <f>RANK(K99, K$87:$K$101)</f>
        <v>#VALUE!</v>
      </c>
      <c r="N99" s="461"/>
      <c r="O99" s="461"/>
      <c r="P99" s="182"/>
      <c r="Q99" s="166"/>
      <c r="R99" s="166"/>
      <c r="S99" s="182" t="e">
        <f t="shared" si="80"/>
        <v>#N/A</v>
      </c>
      <c r="T99" s="455"/>
      <c r="U99" s="182"/>
      <c r="V99" s="166"/>
      <c r="W99" s="166"/>
      <c r="X99" s="182" t="e">
        <f t="shared" si="68"/>
        <v>#N/A</v>
      </c>
      <c r="Y99" s="455"/>
      <c r="Z99" s="182"/>
      <c r="AA99" s="166"/>
      <c r="AB99" s="166"/>
      <c r="AC99" s="182" t="e">
        <f t="shared" si="70"/>
        <v>#N/A</v>
      </c>
      <c r="AD99" s="455"/>
      <c r="AE99" s="182"/>
      <c r="AF99" s="166"/>
      <c r="AG99" s="166"/>
      <c r="AH99" s="182" t="e">
        <f t="shared" si="72"/>
        <v>#N/A</v>
      </c>
      <c r="AI99" s="455"/>
      <c r="AJ99" s="182"/>
      <c r="AK99" s="166"/>
      <c r="AL99" s="166"/>
      <c r="AM99" s="182" t="e">
        <f t="shared" si="74"/>
        <v>#N/A</v>
      </c>
      <c r="AN99" s="455"/>
      <c r="AO99" s="182"/>
      <c r="AP99" s="166"/>
      <c r="AQ99" s="166"/>
      <c r="AR99" s="182" t="e">
        <f t="shared" si="76"/>
        <v>#N/A</v>
      </c>
      <c r="AS99" s="455"/>
      <c r="AT99" s="182"/>
      <c r="AU99" s="166"/>
      <c r="AV99" s="166"/>
      <c r="AW99" s="182" t="e">
        <f t="shared" si="78"/>
        <v>#N/A</v>
      </c>
      <c r="AX99" s="455"/>
    </row>
    <row r="100" spans="2:50">
      <c r="B100" s="454"/>
      <c r="C100" s="182">
        <v>14</v>
      </c>
      <c r="D100" s="182"/>
      <c r="E100" s="182"/>
      <c r="F100" s="182"/>
      <c r="G100" s="166"/>
      <c r="H100" s="464"/>
      <c r="I100" s="166" t="str">
        <f t="shared" si="65"/>
        <v>-</v>
      </c>
      <c r="J100" s="166" t="str">
        <f t="shared" si="66"/>
        <v>-</v>
      </c>
      <c r="K100" s="180" t="str">
        <f t="shared" si="67"/>
        <v>-</v>
      </c>
      <c r="L100" s="464"/>
      <c r="M100" s="181" t="e">
        <f>RANK(K100, K$87:$K$101)</f>
        <v>#VALUE!</v>
      </c>
      <c r="N100" s="461"/>
      <c r="O100" s="461"/>
      <c r="P100" s="182"/>
      <c r="Q100" s="166"/>
      <c r="R100" s="166"/>
      <c r="S100" s="182" t="e">
        <f t="shared" si="80"/>
        <v>#N/A</v>
      </c>
      <c r="T100" s="455"/>
      <c r="U100" s="182"/>
      <c r="V100" s="166"/>
      <c r="W100" s="166"/>
      <c r="X100" s="182" t="e">
        <f t="shared" si="68"/>
        <v>#N/A</v>
      </c>
      <c r="Y100" s="455"/>
      <c r="Z100" s="182"/>
      <c r="AA100" s="166"/>
      <c r="AB100" s="166"/>
      <c r="AC100" s="182" t="e">
        <f t="shared" si="70"/>
        <v>#N/A</v>
      </c>
      <c r="AD100" s="455"/>
      <c r="AE100" s="182"/>
      <c r="AF100" s="166"/>
      <c r="AG100" s="166"/>
      <c r="AH100" s="182" t="e">
        <f t="shared" si="72"/>
        <v>#N/A</v>
      </c>
      <c r="AI100" s="455"/>
      <c r="AJ100" s="182"/>
      <c r="AK100" s="166"/>
      <c r="AL100" s="166"/>
      <c r="AM100" s="182" t="e">
        <f t="shared" si="74"/>
        <v>#N/A</v>
      </c>
      <c r="AN100" s="455"/>
      <c r="AO100" s="182"/>
      <c r="AP100" s="166"/>
      <c r="AQ100" s="166"/>
      <c r="AR100" s="182" t="e">
        <f t="shared" si="76"/>
        <v>#N/A</v>
      </c>
      <c r="AS100" s="455"/>
      <c r="AT100" s="182"/>
      <c r="AU100" s="166"/>
      <c r="AV100" s="166"/>
      <c r="AW100" s="182" t="e">
        <f t="shared" si="78"/>
        <v>#N/A</v>
      </c>
      <c r="AX100" s="455"/>
    </row>
    <row r="101" spans="2:50">
      <c r="B101" s="454"/>
      <c r="C101" s="182">
        <v>15</v>
      </c>
      <c r="D101" s="182"/>
      <c r="E101" s="182"/>
      <c r="F101" s="182"/>
      <c r="G101" s="182"/>
      <c r="H101" s="465"/>
      <c r="I101" s="166" t="str">
        <f t="shared" si="65"/>
        <v>-</v>
      </c>
      <c r="J101" s="166" t="str">
        <f t="shared" si="66"/>
        <v>-</v>
      </c>
      <c r="K101" s="180" t="str">
        <f t="shared" si="67"/>
        <v>-</v>
      </c>
      <c r="L101" s="465"/>
      <c r="M101" s="166" t="e">
        <f>RANK(K101, K$87:$K$101)</f>
        <v>#VALUE!</v>
      </c>
      <c r="N101" s="461"/>
      <c r="O101" s="461"/>
      <c r="P101" s="182"/>
      <c r="Q101" s="166"/>
      <c r="R101" s="166"/>
      <c r="S101" s="182" t="e">
        <f t="shared" si="80"/>
        <v>#N/A</v>
      </c>
      <c r="T101" s="455"/>
      <c r="U101" s="182"/>
      <c r="V101" s="166"/>
      <c r="W101" s="166"/>
      <c r="X101" s="182" t="e">
        <f t="shared" si="68"/>
        <v>#N/A</v>
      </c>
      <c r="Y101" s="455"/>
      <c r="Z101" s="182"/>
      <c r="AA101" s="166"/>
      <c r="AB101" s="166"/>
      <c r="AC101" s="182" t="e">
        <f t="shared" si="70"/>
        <v>#N/A</v>
      </c>
      <c r="AD101" s="455"/>
      <c r="AE101" s="182"/>
      <c r="AF101" s="166"/>
      <c r="AG101" s="166"/>
      <c r="AH101" s="182" t="e">
        <f t="shared" si="72"/>
        <v>#N/A</v>
      </c>
      <c r="AI101" s="455"/>
      <c r="AJ101" s="182"/>
      <c r="AK101" s="166"/>
      <c r="AL101" s="166"/>
      <c r="AM101" s="182" t="e">
        <f t="shared" si="74"/>
        <v>#N/A</v>
      </c>
      <c r="AN101" s="455"/>
      <c r="AO101" s="182"/>
      <c r="AP101" s="166"/>
      <c r="AQ101" s="166"/>
      <c r="AR101" s="182" t="e">
        <f t="shared" si="76"/>
        <v>#N/A</v>
      </c>
      <c r="AS101" s="455"/>
      <c r="AT101" s="182"/>
      <c r="AU101" s="166"/>
      <c r="AV101" s="166"/>
      <c r="AW101" s="182" t="e">
        <f t="shared" si="78"/>
        <v>#N/A</v>
      </c>
      <c r="AX101" s="455"/>
    </row>
    <row r="102" spans="2:50" ht="15.5">
      <c r="B102" s="477" t="s">
        <v>163</v>
      </c>
      <c r="C102" s="478"/>
      <c r="D102" s="478"/>
      <c r="E102" s="478"/>
      <c r="F102" s="478"/>
      <c r="G102" s="478"/>
      <c r="H102" s="478"/>
      <c r="I102" s="186"/>
      <c r="J102" s="186"/>
      <c r="K102" s="186"/>
      <c r="L102" s="186"/>
      <c r="M102" s="185"/>
      <c r="N102" s="480" t="s">
        <v>156</v>
      </c>
      <c r="O102" s="480" t="s">
        <v>105</v>
      </c>
      <c r="P102" s="476">
        <f>P82+7</f>
        <v>46147</v>
      </c>
      <c r="Q102" s="454"/>
      <c r="R102" s="454"/>
      <c r="S102" s="454"/>
      <c r="T102" s="454"/>
      <c r="U102" s="473">
        <f>P102+1</f>
        <v>46148</v>
      </c>
      <c r="V102" s="474"/>
      <c r="W102" s="474"/>
      <c r="X102" s="474"/>
      <c r="Y102" s="475"/>
      <c r="Z102" s="473">
        <f>U102+1</f>
        <v>46149</v>
      </c>
      <c r="AA102" s="474"/>
      <c r="AB102" s="474"/>
      <c r="AC102" s="474"/>
      <c r="AD102" s="475"/>
      <c r="AE102" s="473">
        <f>Z102+1</f>
        <v>46150</v>
      </c>
      <c r="AF102" s="474"/>
      <c r="AG102" s="474"/>
      <c r="AH102" s="474"/>
      <c r="AI102" s="475"/>
      <c r="AJ102" s="473">
        <f>AE102+1</f>
        <v>46151</v>
      </c>
      <c r="AK102" s="474"/>
      <c r="AL102" s="474"/>
      <c r="AM102" s="474"/>
      <c r="AN102" s="475"/>
      <c r="AO102" s="473">
        <f>AJ102+1</f>
        <v>46152</v>
      </c>
      <c r="AP102" s="474"/>
      <c r="AQ102" s="474"/>
      <c r="AR102" s="474"/>
      <c r="AS102" s="475"/>
      <c r="AT102" s="473">
        <f>AO102+1</f>
        <v>46153</v>
      </c>
      <c r="AU102" s="474"/>
      <c r="AV102" s="474"/>
      <c r="AW102" s="474"/>
      <c r="AX102" s="475"/>
    </row>
    <row r="103" spans="2:50" ht="15.5">
      <c r="B103" s="479"/>
      <c r="C103" s="479"/>
      <c r="D103" s="479"/>
      <c r="E103" s="479"/>
      <c r="F103" s="479"/>
      <c r="G103" s="479"/>
      <c r="H103" s="479"/>
      <c r="I103" s="184"/>
      <c r="J103" s="184"/>
      <c r="K103" s="184"/>
      <c r="L103" s="184"/>
      <c r="M103" s="179"/>
      <c r="N103" s="481"/>
      <c r="O103" s="481"/>
      <c r="P103" s="476" t="s">
        <v>158</v>
      </c>
      <c r="Q103" s="454"/>
      <c r="R103" s="454"/>
      <c r="S103" s="454"/>
      <c r="T103" s="454"/>
      <c r="U103" s="476" t="s">
        <v>114</v>
      </c>
      <c r="V103" s="454"/>
      <c r="W103" s="454"/>
      <c r="X103" s="454"/>
      <c r="Y103" s="454"/>
      <c r="Z103" s="476" t="s">
        <v>159</v>
      </c>
      <c r="AA103" s="454"/>
      <c r="AB103" s="454"/>
      <c r="AC103" s="454"/>
      <c r="AD103" s="454"/>
      <c r="AE103" s="476" t="s">
        <v>157</v>
      </c>
      <c r="AF103" s="454"/>
      <c r="AG103" s="454"/>
      <c r="AH103" s="454"/>
      <c r="AI103" s="454"/>
      <c r="AJ103" s="476" t="s">
        <v>160</v>
      </c>
      <c r="AK103" s="454"/>
      <c r="AL103" s="454"/>
      <c r="AM103" s="454"/>
      <c r="AN103" s="454"/>
      <c r="AO103" s="476" t="s">
        <v>115</v>
      </c>
      <c r="AP103" s="454"/>
      <c r="AQ103" s="454"/>
      <c r="AR103" s="454"/>
      <c r="AS103" s="454"/>
      <c r="AT103" s="476" t="s">
        <v>162</v>
      </c>
      <c r="AU103" s="454"/>
      <c r="AV103" s="454"/>
      <c r="AW103" s="454"/>
      <c r="AX103" s="454"/>
    </row>
    <row r="104" spans="2:50">
      <c r="B104" s="461" t="s">
        <v>681</v>
      </c>
      <c r="C104" s="461" t="s">
        <v>682</v>
      </c>
      <c r="D104" s="461"/>
      <c r="E104" s="461" t="s">
        <v>683</v>
      </c>
      <c r="F104" s="461"/>
      <c r="G104" s="461"/>
      <c r="H104" s="482" t="s">
        <v>684</v>
      </c>
      <c r="I104" s="461" t="s">
        <v>685</v>
      </c>
      <c r="J104" s="461"/>
      <c r="K104" s="461"/>
      <c r="L104" s="482" t="s">
        <v>684</v>
      </c>
      <c r="M104" s="480" t="s">
        <v>686</v>
      </c>
      <c r="N104" s="461"/>
      <c r="O104" s="461" t="s">
        <v>687</v>
      </c>
      <c r="P104" s="466" t="s">
        <v>688</v>
      </c>
      <c r="Q104" s="467"/>
      <c r="R104" s="467"/>
      <c r="S104" s="468"/>
      <c r="T104" s="461" t="s">
        <v>684</v>
      </c>
      <c r="U104" s="466" t="s">
        <v>688</v>
      </c>
      <c r="V104" s="467"/>
      <c r="W104" s="467"/>
      <c r="X104" s="468"/>
      <c r="Y104" s="461" t="s">
        <v>684</v>
      </c>
      <c r="Z104" s="466" t="s">
        <v>688</v>
      </c>
      <c r="AA104" s="467"/>
      <c r="AB104" s="467"/>
      <c r="AC104" s="468"/>
      <c r="AD104" s="461" t="s">
        <v>684</v>
      </c>
      <c r="AE104" s="466" t="s">
        <v>688</v>
      </c>
      <c r="AF104" s="467"/>
      <c r="AG104" s="467"/>
      <c r="AH104" s="468"/>
      <c r="AI104" s="461" t="s">
        <v>684</v>
      </c>
      <c r="AJ104" s="466" t="s">
        <v>688</v>
      </c>
      <c r="AK104" s="467"/>
      <c r="AL104" s="467"/>
      <c r="AM104" s="468"/>
      <c r="AN104" s="461" t="s">
        <v>684</v>
      </c>
      <c r="AO104" s="466" t="s">
        <v>688</v>
      </c>
      <c r="AP104" s="467"/>
      <c r="AQ104" s="467"/>
      <c r="AR104" s="468"/>
      <c r="AS104" s="461" t="s">
        <v>684</v>
      </c>
      <c r="AT104" s="466" t="s">
        <v>688</v>
      </c>
      <c r="AU104" s="467"/>
      <c r="AV104" s="467"/>
      <c r="AW104" s="468"/>
      <c r="AX104" s="461" t="s">
        <v>684</v>
      </c>
    </row>
    <row r="105" spans="2:50">
      <c r="B105" s="461"/>
      <c r="C105" s="461"/>
      <c r="D105" s="461"/>
      <c r="E105" s="461" t="s">
        <v>689</v>
      </c>
      <c r="F105" s="461"/>
      <c r="G105" s="461"/>
      <c r="H105" s="483"/>
      <c r="I105" s="461" t="s">
        <v>689</v>
      </c>
      <c r="J105" s="461"/>
      <c r="K105" s="461"/>
      <c r="L105" s="483"/>
      <c r="M105" s="485"/>
      <c r="N105" s="461"/>
      <c r="O105" s="461"/>
      <c r="P105" s="466" t="s">
        <v>690</v>
      </c>
      <c r="Q105" s="467"/>
      <c r="R105" s="467"/>
      <c r="S105" s="468"/>
      <c r="T105" s="461"/>
      <c r="U105" s="466" t="s">
        <v>690</v>
      </c>
      <c r="V105" s="467"/>
      <c r="W105" s="467"/>
      <c r="X105" s="468"/>
      <c r="Y105" s="461"/>
      <c r="Z105" s="466" t="s">
        <v>690</v>
      </c>
      <c r="AA105" s="467"/>
      <c r="AB105" s="467"/>
      <c r="AC105" s="468"/>
      <c r="AD105" s="461"/>
      <c r="AE105" s="466" t="s">
        <v>690</v>
      </c>
      <c r="AF105" s="467"/>
      <c r="AG105" s="467"/>
      <c r="AH105" s="468"/>
      <c r="AI105" s="461"/>
      <c r="AJ105" s="466" t="s">
        <v>690</v>
      </c>
      <c r="AK105" s="467"/>
      <c r="AL105" s="467"/>
      <c r="AM105" s="468"/>
      <c r="AN105" s="461"/>
      <c r="AO105" s="466" t="s">
        <v>690</v>
      </c>
      <c r="AP105" s="467"/>
      <c r="AQ105" s="467"/>
      <c r="AR105" s="468"/>
      <c r="AS105" s="461"/>
      <c r="AT105" s="466" t="s">
        <v>690</v>
      </c>
      <c r="AU105" s="467"/>
      <c r="AV105" s="467"/>
      <c r="AW105" s="468"/>
      <c r="AX105" s="461"/>
    </row>
    <row r="106" spans="2:50">
      <c r="B106" s="461"/>
      <c r="C106" s="461"/>
      <c r="D106" s="461"/>
      <c r="E106" s="269" t="s">
        <v>691</v>
      </c>
      <c r="F106" s="269" t="s">
        <v>692</v>
      </c>
      <c r="G106" s="269" t="s">
        <v>693</v>
      </c>
      <c r="H106" s="484"/>
      <c r="I106" s="269" t="s">
        <v>691</v>
      </c>
      <c r="J106" s="269" t="s">
        <v>692</v>
      </c>
      <c r="K106" s="269" t="s">
        <v>693</v>
      </c>
      <c r="L106" s="484"/>
      <c r="M106" s="481"/>
      <c r="N106" s="461"/>
      <c r="O106" s="461"/>
      <c r="P106" s="269" t="s">
        <v>691</v>
      </c>
      <c r="Q106" s="269" t="s">
        <v>692</v>
      </c>
      <c r="R106" s="269" t="s">
        <v>693</v>
      </c>
      <c r="S106" s="269" t="s">
        <v>686</v>
      </c>
      <c r="T106" s="461"/>
      <c r="U106" s="269" t="s">
        <v>691</v>
      </c>
      <c r="V106" s="269" t="s">
        <v>692</v>
      </c>
      <c r="W106" s="269" t="s">
        <v>693</v>
      </c>
      <c r="X106" s="269" t="s">
        <v>686</v>
      </c>
      <c r="Y106" s="461"/>
      <c r="Z106" s="269" t="s">
        <v>691</v>
      </c>
      <c r="AA106" s="269" t="s">
        <v>692</v>
      </c>
      <c r="AB106" s="269" t="s">
        <v>693</v>
      </c>
      <c r="AC106" s="269" t="s">
        <v>686</v>
      </c>
      <c r="AD106" s="461"/>
      <c r="AE106" s="269" t="s">
        <v>691</v>
      </c>
      <c r="AF106" s="269" t="s">
        <v>692</v>
      </c>
      <c r="AG106" s="269" t="s">
        <v>693</v>
      </c>
      <c r="AH106" s="269" t="s">
        <v>686</v>
      </c>
      <c r="AI106" s="461"/>
      <c r="AJ106" s="269" t="s">
        <v>691</v>
      </c>
      <c r="AK106" s="269" t="s">
        <v>692</v>
      </c>
      <c r="AL106" s="269" t="s">
        <v>693</v>
      </c>
      <c r="AM106" s="269" t="s">
        <v>686</v>
      </c>
      <c r="AN106" s="461"/>
      <c r="AO106" s="269" t="s">
        <v>691</v>
      </c>
      <c r="AP106" s="269" t="s">
        <v>692</v>
      </c>
      <c r="AQ106" s="269" t="s">
        <v>693</v>
      </c>
      <c r="AR106" s="269" t="s">
        <v>686</v>
      </c>
      <c r="AS106" s="461"/>
      <c r="AT106" s="269" t="s">
        <v>691</v>
      </c>
      <c r="AU106" s="269" t="s">
        <v>692</v>
      </c>
      <c r="AV106" s="269" t="s">
        <v>693</v>
      </c>
      <c r="AW106" s="269" t="s">
        <v>686</v>
      </c>
      <c r="AX106" s="461"/>
    </row>
    <row r="107" spans="2:50">
      <c r="B107" s="501" t="s">
        <v>694</v>
      </c>
      <c r="C107" s="182">
        <v>1</v>
      </c>
      <c r="D107" s="182"/>
      <c r="E107" s="182"/>
      <c r="F107" s="182"/>
      <c r="G107" s="166"/>
      <c r="H107" s="463" t="e">
        <f>AVERAGE(G107:G121)</f>
        <v>#DIV/0!</v>
      </c>
      <c r="I107" s="166" t="str">
        <f t="shared" ref="I107:I121" si="81">IFERROR(AVERAGE(P107,U107,Z107,AE107,AJ107,AO107,AT107),"-")</f>
        <v>-</v>
      </c>
      <c r="J107" s="166" t="str">
        <f t="shared" ref="J107:J121" si="82">IFERROR(AVERAGE(Q107,V107,AA107,AF107,AK107,AP107,AU107),"-")</f>
        <v>-</v>
      </c>
      <c r="K107" s="180" t="str">
        <f t="shared" ref="K107:K121" si="83">IFERROR(AVERAGE(R107,W107,AB107,AG107,AL107,AQ107,AV107),"-")</f>
        <v>-</v>
      </c>
      <c r="L107" s="463" t="str">
        <f>IFERROR(AVERAGE(K107:K121),"-")</f>
        <v>-</v>
      </c>
      <c r="M107" s="166" t="e">
        <f>RANK(K107, K$107:$K$121)</f>
        <v>#VALUE!</v>
      </c>
      <c r="N107" s="461"/>
      <c r="O107" s="461"/>
      <c r="P107" s="166"/>
      <c r="Q107" s="166"/>
      <c r="R107" s="180"/>
      <c r="S107" s="182" t="e">
        <f t="shared" ref="S107:S121" si="84">RANK(R107, R$81:R$87)</f>
        <v>#N/A</v>
      </c>
      <c r="T107" s="455" t="e">
        <f>AVERAGE(R107:R121)</f>
        <v>#DIV/0!</v>
      </c>
      <c r="U107" s="166"/>
      <c r="V107" s="166"/>
      <c r="W107" s="180"/>
      <c r="X107" s="182" t="e">
        <f t="shared" ref="X107:X121" si="85">RANK(W107, W$81:W$87)</f>
        <v>#N/A</v>
      </c>
      <c r="Y107" s="455" t="e">
        <f t="shared" ref="Y107" si="86">AVERAGE(W107:W121)</f>
        <v>#DIV/0!</v>
      </c>
      <c r="Z107" s="166"/>
      <c r="AA107" s="166"/>
      <c r="AB107" s="180"/>
      <c r="AC107" s="182" t="e">
        <f t="shared" ref="AC107:AC121" si="87">RANK(AB107, AB$81:AB$87)</f>
        <v>#N/A</v>
      </c>
      <c r="AD107" s="455" t="e">
        <f t="shared" ref="AD107" si="88">AVERAGE(AB107:AB121)</f>
        <v>#DIV/0!</v>
      </c>
      <c r="AE107" s="166"/>
      <c r="AF107" s="166"/>
      <c r="AG107" s="180"/>
      <c r="AH107" s="182" t="e">
        <f t="shared" ref="AH107:AH121" si="89">RANK(AG107, AG$81:AG$87)</f>
        <v>#N/A</v>
      </c>
      <c r="AI107" s="455" t="e">
        <f t="shared" ref="AI107" si="90">AVERAGE(AG107:AG121)</f>
        <v>#DIV/0!</v>
      </c>
      <c r="AJ107" s="166"/>
      <c r="AK107" s="166"/>
      <c r="AL107" s="180"/>
      <c r="AM107" s="182" t="e">
        <f t="shared" ref="AM107:AM121" si="91">RANK(AL107, AL$81:AL$87)</f>
        <v>#N/A</v>
      </c>
      <c r="AN107" s="455" t="e">
        <f t="shared" ref="AN107" si="92">AVERAGE(AL107:AL121)</f>
        <v>#DIV/0!</v>
      </c>
      <c r="AO107" s="166"/>
      <c r="AP107" s="166"/>
      <c r="AQ107" s="180"/>
      <c r="AR107" s="182" t="e">
        <f t="shared" ref="AR107:AR121" si="93">RANK(AQ107, AQ$81:AQ$87)</f>
        <v>#N/A</v>
      </c>
      <c r="AS107" s="455" t="e">
        <f t="shared" ref="AS107" si="94">AVERAGE(AQ107:AQ121)</f>
        <v>#DIV/0!</v>
      </c>
      <c r="AT107" s="166"/>
      <c r="AU107" s="166"/>
      <c r="AV107" s="180"/>
      <c r="AW107" s="182" t="e">
        <f t="shared" ref="AW107:AW121" si="95">RANK(AV107, AV$81:AV$87)</f>
        <v>#N/A</v>
      </c>
      <c r="AX107" s="455" t="e">
        <f t="shared" ref="AX107" si="96">AVERAGE(AV107:AV121)</f>
        <v>#DIV/0!</v>
      </c>
    </row>
    <row r="108" spans="2:50">
      <c r="B108" s="454"/>
      <c r="C108" s="182">
        <v>2</v>
      </c>
      <c r="D108" s="182"/>
      <c r="E108" s="182"/>
      <c r="F108" s="182"/>
      <c r="G108" s="166"/>
      <c r="H108" s="464"/>
      <c r="I108" s="166" t="str">
        <f t="shared" si="81"/>
        <v>-</v>
      </c>
      <c r="J108" s="166" t="str">
        <f t="shared" si="82"/>
        <v>-</v>
      </c>
      <c r="K108" s="180" t="str">
        <f t="shared" si="83"/>
        <v>-</v>
      </c>
      <c r="L108" s="464"/>
      <c r="M108" s="166" t="e">
        <f>RANK(K108, K$107:$K$121)</f>
        <v>#VALUE!</v>
      </c>
      <c r="N108" s="461"/>
      <c r="O108" s="461"/>
      <c r="P108" s="182"/>
      <c r="Q108" s="166"/>
      <c r="R108" s="180"/>
      <c r="S108" s="182" t="e">
        <f t="shared" si="84"/>
        <v>#N/A</v>
      </c>
      <c r="T108" s="455"/>
      <c r="U108" s="182"/>
      <c r="V108" s="166"/>
      <c r="W108" s="180"/>
      <c r="X108" s="182" t="e">
        <f t="shared" si="85"/>
        <v>#N/A</v>
      </c>
      <c r="Y108" s="455"/>
      <c r="Z108" s="182"/>
      <c r="AA108" s="166"/>
      <c r="AB108" s="180"/>
      <c r="AC108" s="182" t="e">
        <f t="shared" si="87"/>
        <v>#N/A</v>
      </c>
      <c r="AD108" s="455"/>
      <c r="AE108" s="182"/>
      <c r="AF108" s="166"/>
      <c r="AG108" s="180"/>
      <c r="AH108" s="182" t="e">
        <f t="shared" si="89"/>
        <v>#N/A</v>
      </c>
      <c r="AI108" s="455"/>
      <c r="AJ108" s="182"/>
      <c r="AK108" s="166"/>
      <c r="AL108" s="180"/>
      <c r="AM108" s="182" t="e">
        <f t="shared" si="91"/>
        <v>#N/A</v>
      </c>
      <c r="AN108" s="455"/>
      <c r="AO108" s="182"/>
      <c r="AP108" s="166"/>
      <c r="AQ108" s="180"/>
      <c r="AR108" s="182" t="e">
        <f t="shared" si="93"/>
        <v>#N/A</v>
      </c>
      <c r="AS108" s="455"/>
      <c r="AT108" s="182"/>
      <c r="AU108" s="166"/>
      <c r="AV108" s="180"/>
      <c r="AW108" s="182" t="e">
        <f t="shared" si="95"/>
        <v>#N/A</v>
      </c>
      <c r="AX108" s="455"/>
    </row>
    <row r="109" spans="2:50">
      <c r="B109" s="454"/>
      <c r="C109" s="182">
        <v>3</v>
      </c>
      <c r="D109" s="182"/>
      <c r="E109" s="182"/>
      <c r="F109" s="182"/>
      <c r="G109" s="166"/>
      <c r="H109" s="464"/>
      <c r="I109" s="166" t="str">
        <f t="shared" si="81"/>
        <v>-</v>
      </c>
      <c r="J109" s="166" t="str">
        <f t="shared" si="82"/>
        <v>-</v>
      </c>
      <c r="K109" s="180" t="str">
        <f t="shared" si="83"/>
        <v>-</v>
      </c>
      <c r="L109" s="464"/>
      <c r="M109" s="166" t="e">
        <f>RANK(K109, K$107:$K$121)</f>
        <v>#VALUE!</v>
      </c>
      <c r="N109" s="461"/>
      <c r="O109" s="461"/>
      <c r="P109" s="182"/>
      <c r="Q109" s="166"/>
      <c r="R109" s="180"/>
      <c r="S109" s="182" t="e">
        <f t="shared" si="84"/>
        <v>#N/A</v>
      </c>
      <c r="T109" s="455"/>
      <c r="U109" s="182"/>
      <c r="V109" s="166"/>
      <c r="W109" s="180"/>
      <c r="X109" s="182" t="e">
        <f t="shared" si="85"/>
        <v>#N/A</v>
      </c>
      <c r="Y109" s="455"/>
      <c r="Z109" s="182"/>
      <c r="AA109" s="166"/>
      <c r="AB109" s="180"/>
      <c r="AC109" s="182" t="e">
        <f t="shared" si="87"/>
        <v>#N/A</v>
      </c>
      <c r="AD109" s="455"/>
      <c r="AE109" s="182"/>
      <c r="AF109" s="166"/>
      <c r="AG109" s="180"/>
      <c r="AH109" s="182" t="e">
        <f t="shared" si="89"/>
        <v>#N/A</v>
      </c>
      <c r="AI109" s="455"/>
      <c r="AJ109" s="182"/>
      <c r="AK109" s="166"/>
      <c r="AL109" s="180"/>
      <c r="AM109" s="182" t="e">
        <f t="shared" si="91"/>
        <v>#N/A</v>
      </c>
      <c r="AN109" s="455"/>
      <c r="AO109" s="182"/>
      <c r="AP109" s="166"/>
      <c r="AQ109" s="180"/>
      <c r="AR109" s="182" t="e">
        <f t="shared" si="93"/>
        <v>#N/A</v>
      </c>
      <c r="AS109" s="455"/>
      <c r="AT109" s="182"/>
      <c r="AU109" s="166"/>
      <c r="AV109" s="180"/>
      <c r="AW109" s="182" t="e">
        <f t="shared" si="95"/>
        <v>#N/A</v>
      </c>
      <c r="AX109" s="455"/>
    </row>
    <row r="110" spans="2:50">
      <c r="B110" s="454"/>
      <c r="C110" s="182">
        <v>4</v>
      </c>
      <c r="D110" s="182"/>
      <c r="E110" s="182"/>
      <c r="F110" s="182"/>
      <c r="G110" s="166"/>
      <c r="H110" s="464"/>
      <c r="I110" s="166" t="str">
        <f t="shared" si="81"/>
        <v>-</v>
      </c>
      <c r="J110" s="166" t="str">
        <f t="shared" si="82"/>
        <v>-</v>
      </c>
      <c r="K110" s="180" t="str">
        <f t="shared" si="83"/>
        <v>-</v>
      </c>
      <c r="L110" s="464"/>
      <c r="M110" s="166" t="e">
        <f>RANK(K110, K$107:$K$121)</f>
        <v>#VALUE!</v>
      </c>
      <c r="N110" s="461"/>
      <c r="O110" s="461"/>
      <c r="P110" s="182"/>
      <c r="Q110" s="166"/>
      <c r="R110" s="180"/>
      <c r="S110" s="182" t="e">
        <f t="shared" si="84"/>
        <v>#N/A</v>
      </c>
      <c r="T110" s="455"/>
      <c r="U110" s="182"/>
      <c r="V110" s="166"/>
      <c r="W110" s="180"/>
      <c r="X110" s="182" t="e">
        <f t="shared" si="85"/>
        <v>#N/A</v>
      </c>
      <c r="Y110" s="455"/>
      <c r="Z110" s="182"/>
      <c r="AA110" s="166"/>
      <c r="AB110" s="180"/>
      <c r="AC110" s="182" t="e">
        <f t="shared" si="87"/>
        <v>#N/A</v>
      </c>
      <c r="AD110" s="455"/>
      <c r="AE110" s="182"/>
      <c r="AF110" s="166"/>
      <c r="AG110" s="180"/>
      <c r="AH110" s="182" t="e">
        <f t="shared" si="89"/>
        <v>#N/A</v>
      </c>
      <c r="AI110" s="455"/>
      <c r="AJ110" s="182"/>
      <c r="AK110" s="166"/>
      <c r="AL110" s="180"/>
      <c r="AM110" s="182" t="e">
        <f t="shared" si="91"/>
        <v>#N/A</v>
      </c>
      <c r="AN110" s="455"/>
      <c r="AO110" s="182"/>
      <c r="AP110" s="166"/>
      <c r="AQ110" s="180"/>
      <c r="AR110" s="182" t="e">
        <f t="shared" si="93"/>
        <v>#N/A</v>
      </c>
      <c r="AS110" s="455"/>
      <c r="AT110" s="182"/>
      <c r="AU110" s="166"/>
      <c r="AV110" s="180"/>
      <c r="AW110" s="182" t="e">
        <f t="shared" si="95"/>
        <v>#N/A</v>
      </c>
      <c r="AX110" s="455"/>
    </row>
    <row r="111" spans="2:50">
      <c r="B111" s="454"/>
      <c r="C111" s="182">
        <v>5</v>
      </c>
      <c r="D111" s="182"/>
      <c r="E111" s="182"/>
      <c r="F111" s="182"/>
      <c r="G111" s="166"/>
      <c r="H111" s="464"/>
      <c r="I111" s="166" t="str">
        <f t="shared" si="81"/>
        <v>-</v>
      </c>
      <c r="J111" s="166" t="str">
        <f t="shared" si="82"/>
        <v>-</v>
      </c>
      <c r="K111" s="180" t="str">
        <f t="shared" si="83"/>
        <v>-</v>
      </c>
      <c r="L111" s="464"/>
      <c r="M111" s="166" t="e">
        <f>RANK(K111, K$107:$K$121)</f>
        <v>#VALUE!</v>
      </c>
      <c r="N111" s="461"/>
      <c r="O111" s="461"/>
      <c r="P111" s="182"/>
      <c r="Q111" s="166"/>
      <c r="R111" s="180"/>
      <c r="S111" s="182" t="e">
        <f t="shared" si="84"/>
        <v>#N/A</v>
      </c>
      <c r="T111" s="455"/>
      <c r="U111" s="182"/>
      <c r="V111" s="166"/>
      <c r="W111" s="180"/>
      <c r="X111" s="182" t="e">
        <f t="shared" si="85"/>
        <v>#N/A</v>
      </c>
      <c r="Y111" s="455"/>
      <c r="Z111" s="182"/>
      <c r="AA111" s="166"/>
      <c r="AB111" s="180"/>
      <c r="AC111" s="182" t="e">
        <f t="shared" si="87"/>
        <v>#N/A</v>
      </c>
      <c r="AD111" s="455"/>
      <c r="AE111" s="182"/>
      <c r="AF111" s="166"/>
      <c r="AG111" s="180"/>
      <c r="AH111" s="182" t="e">
        <f t="shared" si="89"/>
        <v>#N/A</v>
      </c>
      <c r="AI111" s="455"/>
      <c r="AJ111" s="182"/>
      <c r="AK111" s="166"/>
      <c r="AL111" s="180"/>
      <c r="AM111" s="182" t="e">
        <f t="shared" si="91"/>
        <v>#N/A</v>
      </c>
      <c r="AN111" s="455"/>
      <c r="AO111" s="182"/>
      <c r="AP111" s="166"/>
      <c r="AQ111" s="180"/>
      <c r="AR111" s="182" t="e">
        <f t="shared" si="93"/>
        <v>#N/A</v>
      </c>
      <c r="AS111" s="455"/>
      <c r="AT111" s="182"/>
      <c r="AU111" s="166"/>
      <c r="AV111" s="180"/>
      <c r="AW111" s="182" t="e">
        <f t="shared" si="95"/>
        <v>#N/A</v>
      </c>
      <c r="AX111" s="455"/>
    </row>
    <row r="112" spans="2:50">
      <c r="B112" s="454"/>
      <c r="C112" s="182">
        <v>6</v>
      </c>
      <c r="D112" s="182"/>
      <c r="E112" s="182"/>
      <c r="F112" s="182"/>
      <c r="G112" s="166"/>
      <c r="H112" s="464"/>
      <c r="I112" s="166" t="str">
        <f t="shared" si="81"/>
        <v>-</v>
      </c>
      <c r="J112" s="166" t="str">
        <f t="shared" si="82"/>
        <v>-</v>
      </c>
      <c r="K112" s="180" t="str">
        <f t="shared" si="83"/>
        <v>-</v>
      </c>
      <c r="L112" s="464"/>
      <c r="M112" s="166" t="e">
        <f>RANK(K112, K$107:$K$121)</f>
        <v>#VALUE!</v>
      </c>
      <c r="N112" s="461"/>
      <c r="O112" s="461"/>
      <c r="P112" s="182"/>
      <c r="Q112" s="166"/>
      <c r="R112" s="180"/>
      <c r="S112" s="182" t="e">
        <f t="shared" si="84"/>
        <v>#N/A</v>
      </c>
      <c r="T112" s="455"/>
      <c r="U112" s="182"/>
      <c r="V112" s="166"/>
      <c r="W112" s="180"/>
      <c r="X112" s="182" t="e">
        <f t="shared" si="85"/>
        <v>#N/A</v>
      </c>
      <c r="Y112" s="455"/>
      <c r="Z112" s="182"/>
      <c r="AA112" s="166"/>
      <c r="AB112" s="180"/>
      <c r="AC112" s="182" t="e">
        <f t="shared" si="87"/>
        <v>#N/A</v>
      </c>
      <c r="AD112" s="455"/>
      <c r="AE112" s="182"/>
      <c r="AF112" s="166"/>
      <c r="AG112" s="180"/>
      <c r="AH112" s="182" t="e">
        <f t="shared" si="89"/>
        <v>#N/A</v>
      </c>
      <c r="AI112" s="455"/>
      <c r="AJ112" s="182"/>
      <c r="AK112" s="166"/>
      <c r="AL112" s="180"/>
      <c r="AM112" s="182" t="e">
        <f t="shared" si="91"/>
        <v>#N/A</v>
      </c>
      <c r="AN112" s="455"/>
      <c r="AO112" s="182"/>
      <c r="AP112" s="166"/>
      <c r="AQ112" s="180"/>
      <c r="AR112" s="182" t="e">
        <f t="shared" si="93"/>
        <v>#N/A</v>
      </c>
      <c r="AS112" s="455"/>
      <c r="AT112" s="182"/>
      <c r="AU112" s="166"/>
      <c r="AV112" s="180"/>
      <c r="AW112" s="182" t="e">
        <f t="shared" si="95"/>
        <v>#N/A</v>
      </c>
      <c r="AX112" s="455"/>
    </row>
    <row r="113" spans="2:50">
      <c r="B113" s="454"/>
      <c r="C113" s="182">
        <v>7</v>
      </c>
      <c r="D113" s="182"/>
      <c r="E113" s="182"/>
      <c r="F113" s="182"/>
      <c r="G113" s="166"/>
      <c r="H113" s="464"/>
      <c r="I113" s="166" t="str">
        <f t="shared" si="81"/>
        <v>-</v>
      </c>
      <c r="J113" s="166" t="str">
        <f t="shared" si="82"/>
        <v>-</v>
      </c>
      <c r="K113" s="180" t="str">
        <f t="shared" si="83"/>
        <v>-</v>
      </c>
      <c r="L113" s="464"/>
      <c r="M113" s="166" t="e">
        <f>RANK(K113, K$107:$K$121)</f>
        <v>#VALUE!</v>
      </c>
      <c r="N113" s="461"/>
      <c r="O113" s="461"/>
      <c r="P113" s="182"/>
      <c r="Q113" s="166"/>
      <c r="R113" s="180"/>
      <c r="S113" s="182" t="e">
        <f t="shared" si="84"/>
        <v>#N/A</v>
      </c>
      <c r="T113" s="455"/>
      <c r="U113" s="182"/>
      <c r="V113" s="166"/>
      <c r="W113" s="180"/>
      <c r="X113" s="182" t="e">
        <f t="shared" si="85"/>
        <v>#N/A</v>
      </c>
      <c r="Y113" s="455"/>
      <c r="Z113" s="182"/>
      <c r="AA113" s="166"/>
      <c r="AB113" s="180"/>
      <c r="AC113" s="182" t="e">
        <f t="shared" si="87"/>
        <v>#N/A</v>
      </c>
      <c r="AD113" s="455"/>
      <c r="AE113" s="182"/>
      <c r="AF113" s="166"/>
      <c r="AG113" s="180"/>
      <c r="AH113" s="182" t="e">
        <f t="shared" si="89"/>
        <v>#N/A</v>
      </c>
      <c r="AI113" s="455"/>
      <c r="AJ113" s="182"/>
      <c r="AK113" s="166"/>
      <c r="AL113" s="180"/>
      <c r="AM113" s="182" t="e">
        <f t="shared" si="91"/>
        <v>#N/A</v>
      </c>
      <c r="AN113" s="455"/>
      <c r="AO113" s="182"/>
      <c r="AP113" s="166"/>
      <c r="AQ113" s="180"/>
      <c r="AR113" s="182" t="e">
        <f t="shared" si="93"/>
        <v>#N/A</v>
      </c>
      <c r="AS113" s="455"/>
      <c r="AT113" s="182"/>
      <c r="AU113" s="166"/>
      <c r="AV113" s="180"/>
      <c r="AW113" s="182" t="e">
        <f t="shared" si="95"/>
        <v>#N/A</v>
      </c>
      <c r="AX113" s="455"/>
    </row>
    <row r="114" spans="2:50">
      <c r="B114" s="454"/>
      <c r="C114" s="182">
        <v>8</v>
      </c>
      <c r="D114" s="182"/>
      <c r="E114" s="182"/>
      <c r="F114" s="182"/>
      <c r="G114" s="166"/>
      <c r="H114" s="464"/>
      <c r="I114" s="166" t="str">
        <f t="shared" si="81"/>
        <v>-</v>
      </c>
      <c r="J114" s="166" t="str">
        <f t="shared" si="82"/>
        <v>-</v>
      </c>
      <c r="K114" s="180" t="str">
        <f t="shared" si="83"/>
        <v>-</v>
      </c>
      <c r="L114" s="464"/>
      <c r="M114" s="166" t="e">
        <f>RANK(K114, K$107:$K$121)</f>
        <v>#VALUE!</v>
      </c>
      <c r="N114" s="461"/>
      <c r="O114" s="461"/>
      <c r="P114" s="182"/>
      <c r="Q114" s="166"/>
      <c r="R114" s="180"/>
      <c r="S114" s="182" t="e">
        <f t="shared" si="84"/>
        <v>#N/A</v>
      </c>
      <c r="T114" s="455"/>
      <c r="U114" s="182"/>
      <c r="V114" s="166"/>
      <c r="W114" s="180"/>
      <c r="X114" s="182" t="e">
        <f t="shared" si="85"/>
        <v>#N/A</v>
      </c>
      <c r="Y114" s="455"/>
      <c r="Z114" s="182"/>
      <c r="AA114" s="166"/>
      <c r="AB114" s="180"/>
      <c r="AC114" s="182" t="e">
        <f t="shared" si="87"/>
        <v>#N/A</v>
      </c>
      <c r="AD114" s="455"/>
      <c r="AE114" s="182"/>
      <c r="AF114" s="166"/>
      <c r="AG114" s="180"/>
      <c r="AH114" s="182" t="e">
        <f t="shared" si="89"/>
        <v>#N/A</v>
      </c>
      <c r="AI114" s="455"/>
      <c r="AJ114" s="182"/>
      <c r="AK114" s="166"/>
      <c r="AL114" s="180"/>
      <c r="AM114" s="182" t="e">
        <f t="shared" si="91"/>
        <v>#N/A</v>
      </c>
      <c r="AN114" s="455"/>
      <c r="AO114" s="182"/>
      <c r="AP114" s="166"/>
      <c r="AQ114" s="180"/>
      <c r="AR114" s="182" t="e">
        <f t="shared" si="93"/>
        <v>#N/A</v>
      </c>
      <c r="AS114" s="455"/>
      <c r="AT114" s="182"/>
      <c r="AU114" s="166"/>
      <c r="AV114" s="180"/>
      <c r="AW114" s="182" t="e">
        <f t="shared" si="95"/>
        <v>#N/A</v>
      </c>
      <c r="AX114" s="455"/>
    </row>
    <row r="115" spans="2:50">
      <c r="B115" s="454"/>
      <c r="C115" s="182">
        <v>9</v>
      </c>
      <c r="D115" s="182"/>
      <c r="E115" s="182"/>
      <c r="F115" s="182"/>
      <c r="G115" s="166"/>
      <c r="H115" s="464"/>
      <c r="I115" s="166" t="str">
        <f t="shared" si="81"/>
        <v>-</v>
      </c>
      <c r="J115" s="166" t="str">
        <f t="shared" si="82"/>
        <v>-</v>
      </c>
      <c r="K115" s="180" t="str">
        <f t="shared" si="83"/>
        <v>-</v>
      </c>
      <c r="L115" s="464"/>
      <c r="M115" s="166" t="e">
        <f>RANK(K115, K$107:$K$121)</f>
        <v>#VALUE!</v>
      </c>
      <c r="N115" s="461"/>
      <c r="O115" s="461"/>
      <c r="P115" s="182"/>
      <c r="Q115" s="166"/>
      <c r="R115" s="180"/>
      <c r="S115" s="182" t="e">
        <f t="shared" si="84"/>
        <v>#N/A</v>
      </c>
      <c r="T115" s="455"/>
      <c r="U115" s="182"/>
      <c r="V115" s="166"/>
      <c r="W115" s="180"/>
      <c r="X115" s="182" t="e">
        <f t="shared" si="85"/>
        <v>#N/A</v>
      </c>
      <c r="Y115" s="455"/>
      <c r="Z115" s="182"/>
      <c r="AA115" s="166"/>
      <c r="AB115" s="180"/>
      <c r="AC115" s="182" t="e">
        <f t="shared" si="87"/>
        <v>#N/A</v>
      </c>
      <c r="AD115" s="455"/>
      <c r="AE115" s="182"/>
      <c r="AF115" s="166"/>
      <c r="AG115" s="180"/>
      <c r="AH115" s="182" t="e">
        <f t="shared" si="89"/>
        <v>#N/A</v>
      </c>
      <c r="AI115" s="455"/>
      <c r="AJ115" s="182"/>
      <c r="AK115" s="166"/>
      <c r="AL115" s="180"/>
      <c r="AM115" s="182" t="e">
        <f t="shared" si="91"/>
        <v>#N/A</v>
      </c>
      <c r="AN115" s="455"/>
      <c r="AO115" s="182"/>
      <c r="AP115" s="166"/>
      <c r="AQ115" s="180"/>
      <c r="AR115" s="182" t="e">
        <f t="shared" si="93"/>
        <v>#N/A</v>
      </c>
      <c r="AS115" s="455"/>
      <c r="AT115" s="182"/>
      <c r="AU115" s="166"/>
      <c r="AV115" s="180"/>
      <c r="AW115" s="182" t="e">
        <f t="shared" si="95"/>
        <v>#N/A</v>
      </c>
      <c r="AX115" s="455"/>
    </row>
    <row r="116" spans="2:50">
      <c r="B116" s="454"/>
      <c r="C116" s="182">
        <v>10</v>
      </c>
      <c r="D116" s="182"/>
      <c r="E116" s="182"/>
      <c r="F116" s="182"/>
      <c r="G116" s="166"/>
      <c r="H116" s="464"/>
      <c r="I116" s="166" t="str">
        <f t="shared" si="81"/>
        <v>-</v>
      </c>
      <c r="J116" s="166" t="str">
        <f t="shared" si="82"/>
        <v>-</v>
      </c>
      <c r="K116" s="180" t="str">
        <f t="shared" si="83"/>
        <v>-</v>
      </c>
      <c r="L116" s="464"/>
      <c r="M116" s="166" t="e">
        <f>RANK(K116, K$107:$K$121)</f>
        <v>#VALUE!</v>
      </c>
      <c r="N116" s="461"/>
      <c r="O116" s="461"/>
      <c r="P116" s="182"/>
      <c r="Q116" s="166"/>
      <c r="R116" s="180"/>
      <c r="S116" s="182" t="e">
        <f t="shared" si="84"/>
        <v>#N/A</v>
      </c>
      <c r="T116" s="455"/>
      <c r="U116" s="182"/>
      <c r="V116" s="166"/>
      <c r="W116" s="180"/>
      <c r="X116" s="182" t="e">
        <f t="shared" si="85"/>
        <v>#N/A</v>
      </c>
      <c r="Y116" s="455"/>
      <c r="Z116" s="182"/>
      <c r="AA116" s="166"/>
      <c r="AB116" s="180"/>
      <c r="AC116" s="182" t="e">
        <f t="shared" si="87"/>
        <v>#N/A</v>
      </c>
      <c r="AD116" s="455"/>
      <c r="AE116" s="182"/>
      <c r="AF116" s="166"/>
      <c r="AG116" s="180"/>
      <c r="AH116" s="182" t="e">
        <f t="shared" si="89"/>
        <v>#N/A</v>
      </c>
      <c r="AI116" s="455"/>
      <c r="AJ116" s="182"/>
      <c r="AK116" s="166"/>
      <c r="AL116" s="180"/>
      <c r="AM116" s="182" t="e">
        <f t="shared" si="91"/>
        <v>#N/A</v>
      </c>
      <c r="AN116" s="455"/>
      <c r="AO116" s="182"/>
      <c r="AP116" s="166"/>
      <c r="AQ116" s="180"/>
      <c r="AR116" s="182" t="e">
        <f t="shared" si="93"/>
        <v>#N/A</v>
      </c>
      <c r="AS116" s="455"/>
      <c r="AT116" s="182"/>
      <c r="AU116" s="166"/>
      <c r="AV116" s="180"/>
      <c r="AW116" s="182" t="e">
        <f t="shared" si="95"/>
        <v>#N/A</v>
      </c>
      <c r="AX116" s="455"/>
    </row>
    <row r="117" spans="2:50">
      <c r="B117" s="454"/>
      <c r="C117" s="182">
        <v>11</v>
      </c>
      <c r="D117" s="182"/>
      <c r="E117" s="182"/>
      <c r="F117" s="182"/>
      <c r="G117" s="166"/>
      <c r="H117" s="464"/>
      <c r="I117" s="166" t="str">
        <f t="shared" si="81"/>
        <v>-</v>
      </c>
      <c r="J117" s="166" t="str">
        <f t="shared" si="82"/>
        <v>-</v>
      </c>
      <c r="K117" s="180" t="str">
        <f t="shared" si="83"/>
        <v>-</v>
      </c>
      <c r="L117" s="464"/>
      <c r="M117" s="166" t="e">
        <f>RANK(K117, K$107:$K$121)</f>
        <v>#VALUE!</v>
      </c>
      <c r="N117" s="461"/>
      <c r="O117" s="461"/>
      <c r="P117" s="182"/>
      <c r="Q117" s="182"/>
      <c r="R117" s="182"/>
      <c r="S117" s="182" t="e">
        <f t="shared" si="84"/>
        <v>#N/A</v>
      </c>
      <c r="T117" s="455"/>
      <c r="U117" s="182"/>
      <c r="V117" s="182"/>
      <c r="W117" s="182"/>
      <c r="X117" s="182" t="e">
        <f t="shared" si="85"/>
        <v>#N/A</v>
      </c>
      <c r="Y117" s="455"/>
      <c r="Z117" s="182"/>
      <c r="AA117" s="182"/>
      <c r="AB117" s="182"/>
      <c r="AC117" s="182" t="e">
        <f t="shared" si="87"/>
        <v>#N/A</v>
      </c>
      <c r="AD117" s="455"/>
      <c r="AE117" s="182"/>
      <c r="AF117" s="182"/>
      <c r="AG117" s="182"/>
      <c r="AH117" s="182" t="e">
        <f t="shared" si="89"/>
        <v>#N/A</v>
      </c>
      <c r="AI117" s="455"/>
      <c r="AJ117" s="182"/>
      <c r="AK117" s="182"/>
      <c r="AL117" s="182"/>
      <c r="AM117" s="182" t="e">
        <f t="shared" si="91"/>
        <v>#N/A</v>
      </c>
      <c r="AN117" s="455"/>
      <c r="AO117" s="182"/>
      <c r="AP117" s="182"/>
      <c r="AQ117" s="182"/>
      <c r="AR117" s="182" t="e">
        <f t="shared" si="93"/>
        <v>#N/A</v>
      </c>
      <c r="AS117" s="455"/>
      <c r="AT117" s="182"/>
      <c r="AU117" s="182"/>
      <c r="AV117" s="182"/>
      <c r="AW117" s="182" t="e">
        <f t="shared" si="95"/>
        <v>#N/A</v>
      </c>
      <c r="AX117" s="455"/>
    </row>
    <row r="118" spans="2:50">
      <c r="B118" s="454"/>
      <c r="C118" s="182">
        <v>12</v>
      </c>
      <c r="D118" s="182"/>
      <c r="E118" s="182"/>
      <c r="F118" s="182"/>
      <c r="G118" s="166"/>
      <c r="H118" s="464"/>
      <c r="I118" s="166" t="str">
        <f t="shared" si="81"/>
        <v>-</v>
      </c>
      <c r="J118" s="166" t="str">
        <f t="shared" si="82"/>
        <v>-</v>
      </c>
      <c r="K118" s="180" t="str">
        <f t="shared" si="83"/>
        <v>-</v>
      </c>
      <c r="L118" s="464"/>
      <c r="M118" s="166" t="e">
        <f>RANK(K118, K$107:$K$121)</f>
        <v>#VALUE!</v>
      </c>
      <c r="N118" s="461"/>
      <c r="O118" s="461"/>
      <c r="P118" s="182"/>
      <c r="Q118" s="182"/>
      <c r="R118" s="182"/>
      <c r="S118" s="182" t="e">
        <f t="shared" si="84"/>
        <v>#N/A</v>
      </c>
      <c r="T118" s="455"/>
      <c r="U118" s="182"/>
      <c r="V118" s="182"/>
      <c r="W118" s="182"/>
      <c r="X118" s="182" t="e">
        <f t="shared" si="85"/>
        <v>#N/A</v>
      </c>
      <c r="Y118" s="455"/>
      <c r="Z118" s="182"/>
      <c r="AA118" s="182"/>
      <c r="AB118" s="182"/>
      <c r="AC118" s="182" t="e">
        <f t="shared" si="87"/>
        <v>#N/A</v>
      </c>
      <c r="AD118" s="455"/>
      <c r="AE118" s="182"/>
      <c r="AF118" s="182"/>
      <c r="AG118" s="182"/>
      <c r="AH118" s="182" t="e">
        <f t="shared" si="89"/>
        <v>#N/A</v>
      </c>
      <c r="AI118" s="455"/>
      <c r="AJ118" s="182"/>
      <c r="AK118" s="182"/>
      <c r="AL118" s="182"/>
      <c r="AM118" s="182" t="e">
        <f t="shared" si="91"/>
        <v>#N/A</v>
      </c>
      <c r="AN118" s="455"/>
      <c r="AO118" s="182"/>
      <c r="AP118" s="182"/>
      <c r="AQ118" s="182"/>
      <c r="AR118" s="182" t="e">
        <f t="shared" si="93"/>
        <v>#N/A</v>
      </c>
      <c r="AS118" s="455"/>
      <c r="AT118" s="182"/>
      <c r="AU118" s="182"/>
      <c r="AV118" s="182"/>
      <c r="AW118" s="182" t="e">
        <f t="shared" si="95"/>
        <v>#N/A</v>
      </c>
      <c r="AX118" s="455"/>
    </row>
    <row r="119" spans="2:50">
      <c r="B119" s="454"/>
      <c r="C119" s="182">
        <v>13</v>
      </c>
      <c r="D119" s="182"/>
      <c r="E119" s="182"/>
      <c r="F119" s="182"/>
      <c r="G119" s="166"/>
      <c r="H119" s="464"/>
      <c r="I119" s="166" t="str">
        <f t="shared" si="81"/>
        <v>-</v>
      </c>
      <c r="J119" s="166" t="str">
        <f t="shared" si="82"/>
        <v>-</v>
      </c>
      <c r="K119" s="180" t="str">
        <f t="shared" si="83"/>
        <v>-</v>
      </c>
      <c r="L119" s="464"/>
      <c r="M119" s="166" t="e">
        <f>RANK(K119, K$107:$K$121)</f>
        <v>#VALUE!</v>
      </c>
      <c r="N119" s="461"/>
      <c r="O119" s="461"/>
      <c r="P119" s="182"/>
      <c r="Q119" s="182"/>
      <c r="R119" s="182"/>
      <c r="S119" s="182" t="e">
        <f t="shared" si="84"/>
        <v>#N/A</v>
      </c>
      <c r="T119" s="455"/>
      <c r="U119" s="182"/>
      <c r="V119" s="182"/>
      <c r="W119" s="182"/>
      <c r="X119" s="182" t="e">
        <f t="shared" si="85"/>
        <v>#N/A</v>
      </c>
      <c r="Y119" s="455"/>
      <c r="Z119" s="182"/>
      <c r="AA119" s="182"/>
      <c r="AB119" s="182"/>
      <c r="AC119" s="182" t="e">
        <f t="shared" si="87"/>
        <v>#N/A</v>
      </c>
      <c r="AD119" s="455"/>
      <c r="AE119" s="182"/>
      <c r="AF119" s="182"/>
      <c r="AG119" s="182"/>
      <c r="AH119" s="182" t="e">
        <f t="shared" si="89"/>
        <v>#N/A</v>
      </c>
      <c r="AI119" s="455"/>
      <c r="AJ119" s="182"/>
      <c r="AK119" s="182"/>
      <c r="AL119" s="182"/>
      <c r="AM119" s="182" t="e">
        <f t="shared" si="91"/>
        <v>#N/A</v>
      </c>
      <c r="AN119" s="455"/>
      <c r="AO119" s="182"/>
      <c r="AP119" s="182"/>
      <c r="AQ119" s="182"/>
      <c r="AR119" s="182" t="e">
        <f t="shared" si="93"/>
        <v>#N/A</v>
      </c>
      <c r="AS119" s="455"/>
      <c r="AT119" s="182"/>
      <c r="AU119" s="182"/>
      <c r="AV119" s="182"/>
      <c r="AW119" s="182" t="e">
        <f t="shared" si="95"/>
        <v>#N/A</v>
      </c>
      <c r="AX119" s="455"/>
    </row>
    <row r="120" spans="2:50">
      <c r="B120" s="454"/>
      <c r="C120" s="182">
        <v>14</v>
      </c>
      <c r="D120" s="182"/>
      <c r="E120" s="182"/>
      <c r="F120" s="182"/>
      <c r="G120" s="166"/>
      <c r="H120" s="464"/>
      <c r="I120" s="166" t="str">
        <f t="shared" si="81"/>
        <v>-</v>
      </c>
      <c r="J120" s="166" t="str">
        <f t="shared" si="82"/>
        <v>-</v>
      </c>
      <c r="K120" s="180" t="str">
        <f t="shared" si="83"/>
        <v>-</v>
      </c>
      <c r="L120" s="464"/>
      <c r="M120" s="166" t="e">
        <f>RANK(K120, K$107:$K$121)</f>
        <v>#VALUE!</v>
      </c>
      <c r="N120" s="461"/>
      <c r="O120" s="461"/>
      <c r="P120" s="182"/>
      <c r="Q120" s="182"/>
      <c r="R120" s="182"/>
      <c r="S120" s="182" t="e">
        <f t="shared" si="84"/>
        <v>#N/A</v>
      </c>
      <c r="T120" s="455"/>
      <c r="U120" s="182"/>
      <c r="V120" s="182"/>
      <c r="W120" s="182"/>
      <c r="X120" s="182" t="e">
        <f t="shared" si="85"/>
        <v>#N/A</v>
      </c>
      <c r="Y120" s="455"/>
      <c r="Z120" s="182"/>
      <c r="AA120" s="182"/>
      <c r="AB120" s="182"/>
      <c r="AC120" s="182" t="e">
        <f t="shared" si="87"/>
        <v>#N/A</v>
      </c>
      <c r="AD120" s="455"/>
      <c r="AE120" s="182"/>
      <c r="AF120" s="182"/>
      <c r="AG120" s="182"/>
      <c r="AH120" s="182" t="e">
        <f t="shared" si="89"/>
        <v>#N/A</v>
      </c>
      <c r="AI120" s="455"/>
      <c r="AJ120" s="182"/>
      <c r="AK120" s="182"/>
      <c r="AL120" s="182"/>
      <c r="AM120" s="182" t="e">
        <f t="shared" si="91"/>
        <v>#N/A</v>
      </c>
      <c r="AN120" s="455"/>
      <c r="AO120" s="182"/>
      <c r="AP120" s="182"/>
      <c r="AQ120" s="182"/>
      <c r="AR120" s="182" t="e">
        <f t="shared" si="93"/>
        <v>#N/A</v>
      </c>
      <c r="AS120" s="455"/>
      <c r="AT120" s="182"/>
      <c r="AU120" s="182"/>
      <c r="AV120" s="182"/>
      <c r="AW120" s="182" t="e">
        <f t="shared" si="95"/>
        <v>#N/A</v>
      </c>
      <c r="AX120" s="455"/>
    </row>
    <row r="121" spans="2:50">
      <c r="B121" s="454"/>
      <c r="C121" s="182">
        <v>15</v>
      </c>
      <c r="D121" s="182"/>
      <c r="E121" s="182"/>
      <c r="F121" s="182"/>
      <c r="G121" s="182"/>
      <c r="H121" s="465"/>
      <c r="I121" s="166" t="str">
        <f t="shared" si="81"/>
        <v>-</v>
      </c>
      <c r="J121" s="166" t="str">
        <f t="shared" si="82"/>
        <v>-</v>
      </c>
      <c r="K121" s="180" t="str">
        <f t="shared" si="83"/>
        <v>-</v>
      </c>
      <c r="L121" s="465"/>
      <c r="M121" s="166" t="e">
        <f>RANK(K121, K$107:$K$121)</f>
        <v>#VALUE!</v>
      </c>
      <c r="N121" s="461"/>
      <c r="O121" s="461"/>
      <c r="P121" s="182"/>
      <c r="Q121" s="166"/>
      <c r="R121" s="166"/>
      <c r="S121" s="182" t="e">
        <f t="shared" si="84"/>
        <v>#N/A</v>
      </c>
      <c r="T121" s="455"/>
      <c r="U121" s="182"/>
      <c r="V121" s="166"/>
      <c r="W121" s="166"/>
      <c r="X121" s="182" t="e">
        <f t="shared" si="85"/>
        <v>#N/A</v>
      </c>
      <c r="Y121" s="455"/>
      <c r="Z121" s="182"/>
      <c r="AA121" s="166"/>
      <c r="AB121" s="166"/>
      <c r="AC121" s="182" t="e">
        <f t="shared" si="87"/>
        <v>#N/A</v>
      </c>
      <c r="AD121" s="455"/>
      <c r="AE121" s="182"/>
      <c r="AF121" s="166"/>
      <c r="AG121" s="166"/>
      <c r="AH121" s="182" t="e">
        <f t="shared" si="89"/>
        <v>#N/A</v>
      </c>
      <c r="AI121" s="455"/>
      <c r="AJ121" s="182"/>
      <c r="AK121" s="166"/>
      <c r="AL121" s="166"/>
      <c r="AM121" s="182" t="e">
        <f t="shared" si="91"/>
        <v>#N/A</v>
      </c>
      <c r="AN121" s="455"/>
      <c r="AO121" s="182"/>
      <c r="AP121" s="166"/>
      <c r="AQ121" s="166"/>
      <c r="AR121" s="182" t="e">
        <f t="shared" si="93"/>
        <v>#N/A</v>
      </c>
      <c r="AS121" s="455"/>
      <c r="AT121" s="182"/>
      <c r="AU121" s="166"/>
      <c r="AV121" s="166"/>
      <c r="AW121" s="182" t="e">
        <f t="shared" si="95"/>
        <v>#N/A</v>
      </c>
      <c r="AX121" s="455"/>
    </row>
    <row r="123" spans="2:50" ht="15.5">
      <c r="B123" s="458" t="s">
        <v>561</v>
      </c>
      <c r="C123" s="459"/>
      <c r="D123" s="459"/>
      <c r="E123" s="459"/>
      <c r="F123" s="459"/>
      <c r="G123" s="459"/>
      <c r="H123" s="459"/>
      <c r="I123" s="285"/>
      <c r="J123" s="285"/>
      <c r="K123" s="285"/>
      <c r="L123" s="285"/>
      <c r="M123" s="286"/>
    </row>
    <row r="124" spans="2:50" ht="15.5">
      <c r="B124" s="460"/>
      <c r="C124" s="460"/>
      <c r="D124" s="460"/>
      <c r="E124" s="460"/>
      <c r="F124" s="460"/>
      <c r="G124" s="460"/>
      <c r="H124" s="460"/>
      <c r="I124" s="287"/>
      <c r="J124" s="287"/>
      <c r="K124" s="287"/>
      <c r="L124" s="287"/>
      <c r="M124" s="288"/>
    </row>
    <row r="125" spans="2:50">
      <c r="B125" s="461" t="s">
        <v>562</v>
      </c>
      <c r="C125" s="461" t="s">
        <v>563</v>
      </c>
      <c r="D125" s="461"/>
      <c r="E125" s="461" t="s">
        <v>564</v>
      </c>
      <c r="F125" s="461"/>
      <c r="G125" s="461"/>
      <c r="H125" s="482" t="s">
        <v>565</v>
      </c>
      <c r="I125" s="462" t="s">
        <v>566</v>
      </c>
      <c r="J125" s="462"/>
      <c r="K125" s="462"/>
      <c r="L125" s="505" t="s">
        <v>565</v>
      </c>
      <c r="M125" s="508" t="s">
        <v>567</v>
      </c>
    </row>
    <row r="126" spans="2:50">
      <c r="B126" s="461"/>
      <c r="C126" s="461"/>
      <c r="D126" s="461"/>
      <c r="E126" s="461" t="s">
        <v>568</v>
      </c>
      <c r="F126" s="461"/>
      <c r="G126" s="461"/>
      <c r="H126" s="483"/>
      <c r="I126" s="462" t="s">
        <v>568</v>
      </c>
      <c r="J126" s="462"/>
      <c r="K126" s="462"/>
      <c r="L126" s="506"/>
      <c r="M126" s="509"/>
    </row>
    <row r="127" spans="2:50">
      <c r="B127" s="461"/>
      <c r="C127" s="461"/>
      <c r="D127" s="461"/>
      <c r="E127" s="269" t="s">
        <v>569</v>
      </c>
      <c r="F127" s="269" t="s">
        <v>570</v>
      </c>
      <c r="G127" s="269" t="s">
        <v>571</v>
      </c>
      <c r="H127" s="484"/>
      <c r="I127" s="289" t="s">
        <v>569</v>
      </c>
      <c r="J127" s="289" t="s">
        <v>570</v>
      </c>
      <c r="K127" s="289" t="s">
        <v>571</v>
      </c>
      <c r="L127" s="507"/>
      <c r="M127" s="510"/>
    </row>
    <row r="128" spans="2:50">
      <c r="B128" s="501" t="s">
        <v>573</v>
      </c>
      <c r="C128" s="182">
        <v>1</v>
      </c>
      <c r="D128" s="203"/>
      <c r="E128" s="166"/>
      <c r="F128" s="182"/>
      <c r="G128" s="180"/>
      <c r="H128" s="463" t="e">
        <f>AVERAGE(G128:G142)</f>
        <v>#DIV/0!</v>
      </c>
      <c r="I128" s="166" t="e">
        <f t="shared" ref="I128:K134" si="97">AVERAGEIF($D$7:$D$121,$D128,I$7:I$121)</f>
        <v>#DIV/0!</v>
      </c>
      <c r="J128" s="166" t="e">
        <f t="shared" si="97"/>
        <v>#DIV/0!</v>
      </c>
      <c r="K128" s="166" t="e">
        <f>AVERAGEIF($D$7:$D$121,$D128,K$7:K$121)</f>
        <v>#DIV/0!</v>
      </c>
      <c r="L128" s="502" t="e">
        <f>AVERAGE(K128:K142)</f>
        <v>#DIV/0!</v>
      </c>
      <c r="M128" s="166" t="e">
        <f>RANK(K128, K$128:$K$142)</f>
        <v>#DIV/0!</v>
      </c>
    </row>
    <row r="129" spans="2:13" s="103" customFormat="1">
      <c r="B129" s="454"/>
      <c r="C129" s="182">
        <v>2</v>
      </c>
      <c r="D129" s="203"/>
      <c r="E129" s="166"/>
      <c r="F129" s="182"/>
      <c r="G129" s="180"/>
      <c r="H129" s="464"/>
      <c r="I129" s="166" t="e">
        <f t="shared" si="97"/>
        <v>#DIV/0!</v>
      </c>
      <c r="J129" s="166" t="e">
        <f t="shared" si="97"/>
        <v>#DIV/0!</v>
      </c>
      <c r="K129" s="166" t="e">
        <f t="shared" si="97"/>
        <v>#DIV/0!</v>
      </c>
      <c r="L129" s="503"/>
      <c r="M129" s="166" t="e">
        <f>RANK(K129, K$128:$K$142)</f>
        <v>#DIV/0!</v>
      </c>
    </row>
    <row r="130" spans="2:13" s="103" customFormat="1">
      <c r="B130" s="454"/>
      <c r="C130" s="182">
        <v>3</v>
      </c>
      <c r="D130" s="203"/>
      <c r="E130" s="166"/>
      <c r="F130" s="182"/>
      <c r="G130" s="180"/>
      <c r="H130" s="464"/>
      <c r="I130" s="166" t="e">
        <f t="shared" si="97"/>
        <v>#DIV/0!</v>
      </c>
      <c r="J130" s="166" t="e">
        <f t="shared" si="97"/>
        <v>#DIV/0!</v>
      </c>
      <c r="K130" s="166" t="e">
        <f t="shared" si="97"/>
        <v>#DIV/0!</v>
      </c>
      <c r="L130" s="503"/>
      <c r="M130" s="166" t="e">
        <f>RANK(K130, K$128:$K$142)</f>
        <v>#DIV/0!</v>
      </c>
    </row>
    <row r="131" spans="2:13" s="103" customFormat="1">
      <c r="B131" s="454"/>
      <c r="C131" s="182">
        <v>4</v>
      </c>
      <c r="D131" s="203"/>
      <c r="E131" s="166"/>
      <c r="F131" s="182"/>
      <c r="G131" s="180"/>
      <c r="H131" s="464"/>
      <c r="I131" s="166" t="e">
        <f t="shared" si="97"/>
        <v>#DIV/0!</v>
      </c>
      <c r="J131" s="166" t="e">
        <f t="shared" si="97"/>
        <v>#DIV/0!</v>
      </c>
      <c r="K131" s="166" t="e">
        <f t="shared" si="97"/>
        <v>#DIV/0!</v>
      </c>
      <c r="L131" s="503"/>
      <c r="M131" s="166" t="e">
        <f>RANK(K131, K$128:$K$142)</f>
        <v>#DIV/0!</v>
      </c>
    </row>
    <row r="132" spans="2:13" s="103" customFormat="1">
      <c r="B132" s="454"/>
      <c r="C132" s="182">
        <v>5</v>
      </c>
      <c r="D132" s="203"/>
      <c r="E132" s="166"/>
      <c r="F132" s="182"/>
      <c r="G132" s="180"/>
      <c r="H132" s="464"/>
      <c r="I132" s="166" t="e">
        <f t="shared" si="97"/>
        <v>#DIV/0!</v>
      </c>
      <c r="J132" s="166" t="e">
        <f t="shared" si="97"/>
        <v>#DIV/0!</v>
      </c>
      <c r="K132" s="166" t="e">
        <f t="shared" si="97"/>
        <v>#DIV/0!</v>
      </c>
      <c r="L132" s="503"/>
      <c r="M132" s="166" t="e">
        <f>RANK(K132, K$128:$K$142)</f>
        <v>#DIV/0!</v>
      </c>
    </row>
    <row r="133" spans="2:13" s="103" customFormat="1">
      <c r="B133" s="454"/>
      <c r="C133" s="182">
        <v>6</v>
      </c>
      <c r="D133" s="290"/>
      <c r="E133" s="166"/>
      <c r="F133" s="182"/>
      <c r="G133" s="180"/>
      <c r="H133" s="464"/>
      <c r="I133" s="166" t="e">
        <f t="shared" si="97"/>
        <v>#DIV/0!</v>
      </c>
      <c r="J133" s="166" t="e">
        <f t="shared" si="97"/>
        <v>#DIV/0!</v>
      </c>
      <c r="K133" s="166" t="e">
        <f t="shared" si="97"/>
        <v>#DIV/0!</v>
      </c>
      <c r="L133" s="503"/>
      <c r="M133" s="166" t="e">
        <f>RANK(K133, K$128:$K$142)</f>
        <v>#DIV/0!</v>
      </c>
    </row>
    <row r="134" spans="2:13" s="103" customFormat="1">
      <c r="B134" s="454"/>
      <c r="C134" s="182">
        <v>7</v>
      </c>
      <c r="D134" s="203"/>
      <c r="E134" s="166"/>
      <c r="F134" s="182"/>
      <c r="G134" s="180"/>
      <c r="H134" s="464"/>
      <c r="I134" s="166" t="e">
        <f t="shared" si="97"/>
        <v>#DIV/0!</v>
      </c>
      <c r="J134" s="166" t="e">
        <f t="shared" si="97"/>
        <v>#DIV/0!</v>
      </c>
      <c r="K134" s="166" t="e">
        <f t="shared" si="97"/>
        <v>#DIV/0!</v>
      </c>
      <c r="L134" s="503"/>
      <c r="M134" s="166" t="e">
        <f>RANK(K134, K$128:$K$142)</f>
        <v>#DIV/0!</v>
      </c>
    </row>
    <row r="135" spans="2:13" s="103" customFormat="1">
      <c r="B135" s="454"/>
      <c r="C135" s="182">
        <v>8</v>
      </c>
      <c r="D135" s="203"/>
      <c r="E135" s="166"/>
      <c r="F135" s="182"/>
      <c r="G135" s="180"/>
      <c r="H135" s="464"/>
      <c r="I135" s="166"/>
      <c r="J135" s="166"/>
      <c r="K135" s="166"/>
      <c r="L135" s="503"/>
      <c r="M135" s="166" t="e">
        <f>RANK(K135, K$128:$K$142)</f>
        <v>#DIV/0!</v>
      </c>
    </row>
    <row r="136" spans="2:13" s="103" customFormat="1">
      <c r="B136" s="454"/>
      <c r="C136" s="182">
        <v>9</v>
      </c>
      <c r="D136" s="203"/>
      <c r="E136" s="182"/>
      <c r="F136" s="182"/>
      <c r="G136" s="182"/>
      <c r="H136" s="464"/>
      <c r="I136" s="166"/>
      <c r="J136" s="166"/>
      <c r="K136" s="166"/>
      <c r="L136" s="503"/>
      <c r="M136" s="166" t="e">
        <f>RANK(K136, K$128:$K$142)</f>
        <v>#DIV/0!</v>
      </c>
    </row>
    <row r="137" spans="2:13" s="103" customFormat="1">
      <c r="B137" s="454"/>
      <c r="C137" s="182">
        <v>10</v>
      </c>
      <c r="D137" s="203"/>
      <c r="E137" s="182"/>
      <c r="F137" s="182"/>
      <c r="G137" s="182"/>
      <c r="H137" s="464"/>
      <c r="I137" s="166"/>
      <c r="J137" s="166"/>
      <c r="K137" s="166"/>
      <c r="L137" s="503"/>
      <c r="M137" s="166" t="e">
        <f>RANK(K137, K$128:$K$142)</f>
        <v>#DIV/0!</v>
      </c>
    </row>
    <row r="138" spans="2:13" s="103" customFormat="1">
      <c r="B138" s="454"/>
      <c r="C138" s="182">
        <v>11</v>
      </c>
      <c r="D138" s="203"/>
      <c r="E138" s="182"/>
      <c r="F138" s="182"/>
      <c r="G138" s="182"/>
      <c r="H138" s="464"/>
      <c r="I138" s="166"/>
      <c r="J138" s="166"/>
      <c r="K138" s="166"/>
      <c r="L138" s="503"/>
      <c r="M138" s="166" t="e">
        <f>RANK(K138, K$128:$K$142)</f>
        <v>#DIV/0!</v>
      </c>
    </row>
    <row r="139" spans="2:13" s="103" customFormat="1">
      <c r="B139" s="454"/>
      <c r="C139" s="182">
        <v>12</v>
      </c>
      <c r="D139" s="203"/>
      <c r="E139" s="182"/>
      <c r="F139" s="182"/>
      <c r="G139" s="182"/>
      <c r="H139" s="464"/>
      <c r="I139" s="166"/>
      <c r="J139" s="166"/>
      <c r="K139" s="166"/>
      <c r="L139" s="503"/>
      <c r="M139" s="166" t="e">
        <f>RANK(K139, K$128:$K$142)</f>
        <v>#DIV/0!</v>
      </c>
    </row>
    <row r="140" spans="2:13" s="103" customFormat="1">
      <c r="B140" s="454"/>
      <c r="C140" s="182">
        <v>13</v>
      </c>
      <c r="D140" s="203"/>
      <c r="E140" s="182"/>
      <c r="F140" s="182"/>
      <c r="G140" s="182"/>
      <c r="H140" s="464"/>
      <c r="I140" s="166"/>
      <c r="J140" s="166"/>
      <c r="K140" s="166"/>
      <c r="L140" s="503"/>
      <c r="M140" s="166" t="e">
        <f>RANK(K140, K$128:$K$142)</f>
        <v>#DIV/0!</v>
      </c>
    </row>
    <row r="141" spans="2:13" s="103" customFormat="1">
      <c r="B141" s="454"/>
      <c r="C141" s="182">
        <v>14</v>
      </c>
      <c r="D141" s="203"/>
      <c r="E141" s="182"/>
      <c r="F141" s="182"/>
      <c r="G141" s="182"/>
      <c r="H141" s="464"/>
      <c r="I141" s="166"/>
      <c r="J141" s="166"/>
      <c r="K141" s="166"/>
      <c r="L141" s="503"/>
      <c r="M141" s="166" t="e">
        <f>RANK(K141, K$128:$K$142)</f>
        <v>#DIV/0!</v>
      </c>
    </row>
    <row r="142" spans="2:13" s="103" customFormat="1">
      <c r="B142" s="454"/>
      <c r="C142" s="182">
        <v>15</v>
      </c>
      <c r="D142" s="203"/>
      <c r="E142" s="182"/>
      <c r="F142" s="182"/>
      <c r="G142" s="182"/>
      <c r="H142" s="465"/>
      <c r="I142" s="166"/>
      <c r="J142" s="166"/>
      <c r="K142" s="166"/>
      <c r="L142" s="504"/>
      <c r="M142" s="166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I107" activeCellId="2" sqref="I67:K81 I87:K101 I107:K121"/>
      <selection pane="topRight" activeCell="BA7" sqref="BA7:BA21"/>
    </sheetView>
  </sheetViews>
  <sheetFormatPr defaultColWidth="8.81640625" defaultRowHeight="12.5"/>
  <cols>
    <col min="1" max="1" width="5.54296875" style="103" customWidth="1"/>
    <col min="2" max="2" width="12.453125" style="103" customWidth="1"/>
    <col min="3" max="3" width="8.81640625" style="102"/>
    <col min="4" max="4" width="26.453125" style="102" customWidth="1"/>
    <col min="5" max="7" width="8.453125" style="102" customWidth="1"/>
    <col min="8" max="8" width="11.1796875" style="102" bestFit="1" customWidth="1"/>
    <col min="9" max="12" width="11.1796875" style="102" customWidth="1"/>
    <col min="13" max="13" width="13.54296875" style="102" customWidth="1"/>
    <col min="14" max="14" width="9.81640625" style="102" customWidth="1"/>
    <col min="15" max="15" width="7.1796875" style="102" customWidth="1"/>
    <col min="16" max="18" width="12.81640625" style="102" customWidth="1"/>
    <col min="19" max="19" width="5.453125" style="102" customWidth="1"/>
    <col min="20" max="20" width="12.81640625" style="102" customWidth="1"/>
    <col min="21" max="23" width="12.81640625" style="103" customWidth="1"/>
    <col min="24" max="24" width="5.453125" style="102" customWidth="1"/>
    <col min="25" max="28" width="12.81640625" style="103" customWidth="1"/>
    <col min="29" max="29" width="5.453125" style="102" customWidth="1"/>
    <col min="30" max="30" width="12.81640625" style="103" customWidth="1"/>
    <col min="31" max="33" width="12.54296875" style="103" customWidth="1"/>
    <col min="34" max="34" width="5.453125" style="102" customWidth="1"/>
    <col min="35" max="35" width="13" style="103" customWidth="1"/>
    <col min="36" max="38" width="12.54296875" style="103" customWidth="1"/>
    <col min="39" max="39" width="5.453125" style="102" customWidth="1"/>
    <col min="40" max="40" width="13" style="103" customWidth="1"/>
    <col min="41" max="43" width="13.1796875" style="103" customWidth="1"/>
    <col min="44" max="44" width="5.453125" style="103" customWidth="1"/>
    <col min="45" max="48" width="13.1796875" style="103" customWidth="1"/>
    <col min="49" max="49" width="5.453125" style="103" customWidth="1"/>
    <col min="50" max="50" width="13.1796875" style="103" customWidth="1"/>
    <col min="51" max="51" width="8.81640625" style="103"/>
    <col min="52" max="52" width="5.453125" style="103" customWidth="1"/>
    <col min="53" max="53" width="13.1796875" style="103" customWidth="1"/>
    <col min="54" max="16384" width="8.81640625" style="103"/>
  </cols>
  <sheetData>
    <row r="1" spans="1:53" ht="24.5">
      <c r="A1" s="74"/>
      <c r="B1" s="198" t="s">
        <v>332</v>
      </c>
      <c r="C1" s="197">
        <f>AVERAGE(L7,L27,L47,L67,L87,L107)</f>
        <v>259.9408513255695</v>
      </c>
    </row>
    <row r="2" spans="1:53" ht="15.5">
      <c r="A2" s="79"/>
      <c r="B2" s="477" t="s">
        <v>163</v>
      </c>
      <c r="C2" s="477"/>
      <c r="D2" s="477"/>
      <c r="E2" s="477"/>
      <c r="F2" s="477"/>
      <c r="G2" s="477"/>
      <c r="H2" s="477"/>
      <c r="I2" s="183"/>
      <c r="J2" s="183"/>
      <c r="K2" s="183"/>
      <c r="L2" s="183"/>
      <c r="M2" s="178"/>
      <c r="N2" s="480" t="s">
        <v>156</v>
      </c>
      <c r="O2" s="480" t="s">
        <v>155</v>
      </c>
      <c r="P2" s="490">
        <v>46112</v>
      </c>
      <c r="Q2" s="491"/>
      <c r="R2" s="491"/>
      <c r="S2" s="491"/>
      <c r="T2" s="492"/>
      <c r="U2" s="476">
        <f>P2+1</f>
        <v>46113</v>
      </c>
      <c r="V2" s="454"/>
      <c r="W2" s="454"/>
      <c r="X2" s="454"/>
      <c r="Y2" s="454"/>
      <c r="Z2" s="476">
        <f>U2+1</f>
        <v>46114</v>
      </c>
      <c r="AA2" s="454"/>
      <c r="AB2" s="454"/>
      <c r="AC2" s="454"/>
      <c r="AD2" s="454"/>
      <c r="AE2" s="476">
        <f>Z2+1</f>
        <v>46115</v>
      </c>
      <c r="AF2" s="454"/>
      <c r="AG2" s="454"/>
      <c r="AH2" s="454"/>
      <c r="AI2" s="454"/>
      <c r="AJ2" s="476">
        <f>AE2+1</f>
        <v>46116</v>
      </c>
      <c r="AK2" s="454"/>
      <c r="AL2" s="454"/>
      <c r="AM2" s="454"/>
      <c r="AN2" s="454"/>
      <c r="AO2" s="476">
        <f>AJ2+1</f>
        <v>46117</v>
      </c>
      <c r="AP2" s="454"/>
      <c r="AQ2" s="454"/>
      <c r="AR2" s="454"/>
      <c r="AS2" s="454"/>
      <c r="AT2" s="473">
        <f>AO2+1</f>
        <v>46118</v>
      </c>
      <c r="AU2" s="474"/>
      <c r="AV2" s="474"/>
      <c r="AW2" s="474"/>
      <c r="AX2" s="475"/>
    </row>
    <row r="3" spans="1:53" ht="15.5">
      <c r="A3" s="79"/>
      <c r="B3" s="486"/>
      <c r="C3" s="486"/>
      <c r="D3" s="486"/>
      <c r="E3" s="486"/>
      <c r="F3" s="486"/>
      <c r="G3" s="486"/>
      <c r="H3" s="486"/>
      <c r="I3" s="184"/>
      <c r="J3" s="184"/>
      <c r="K3" s="184"/>
      <c r="L3" s="184"/>
      <c r="M3" s="179"/>
      <c r="N3" s="481"/>
      <c r="O3" s="481"/>
      <c r="P3" s="473" t="s">
        <v>158</v>
      </c>
      <c r="Q3" s="474"/>
      <c r="R3" s="474"/>
      <c r="S3" s="474"/>
      <c r="T3" s="475"/>
      <c r="U3" s="473" t="s">
        <v>114</v>
      </c>
      <c r="V3" s="474"/>
      <c r="W3" s="474"/>
      <c r="X3" s="474"/>
      <c r="Y3" s="475"/>
      <c r="Z3" s="473" t="s">
        <v>159</v>
      </c>
      <c r="AA3" s="474"/>
      <c r="AB3" s="474"/>
      <c r="AC3" s="474"/>
      <c r="AD3" s="475"/>
      <c r="AE3" s="473" t="s">
        <v>157</v>
      </c>
      <c r="AF3" s="474"/>
      <c r="AG3" s="474"/>
      <c r="AH3" s="474"/>
      <c r="AI3" s="475"/>
      <c r="AJ3" s="473" t="s">
        <v>160</v>
      </c>
      <c r="AK3" s="474"/>
      <c r="AL3" s="474"/>
      <c r="AM3" s="474"/>
      <c r="AN3" s="475"/>
      <c r="AO3" s="473" t="s">
        <v>161</v>
      </c>
      <c r="AP3" s="474"/>
      <c r="AQ3" s="474"/>
      <c r="AR3" s="474"/>
      <c r="AS3" s="475"/>
      <c r="AT3" s="473" t="s">
        <v>162</v>
      </c>
      <c r="AU3" s="474"/>
      <c r="AV3" s="474"/>
      <c r="AW3" s="474"/>
      <c r="AX3" s="475"/>
    </row>
    <row r="4" spans="1:53" ht="13.5">
      <c r="A4" s="79"/>
      <c r="B4" s="461" t="s">
        <v>154</v>
      </c>
      <c r="C4" s="461" t="s">
        <v>409</v>
      </c>
      <c r="D4" s="461"/>
      <c r="E4" s="461" t="s">
        <v>427</v>
      </c>
      <c r="F4" s="461"/>
      <c r="G4" s="461"/>
      <c r="H4" s="482" t="s">
        <v>396</v>
      </c>
      <c r="I4" s="461" t="s">
        <v>429</v>
      </c>
      <c r="J4" s="461"/>
      <c r="K4" s="461"/>
      <c r="L4" s="482" t="s">
        <v>396</v>
      </c>
      <c r="M4" s="480" t="s">
        <v>397</v>
      </c>
      <c r="N4" s="461"/>
      <c r="O4" s="461" t="s">
        <v>431</v>
      </c>
      <c r="P4" s="466" t="s">
        <v>398</v>
      </c>
      <c r="Q4" s="467"/>
      <c r="R4" s="467"/>
      <c r="S4" s="468"/>
      <c r="T4" s="461" t="s">
        <v>396</v>
      </c>
      <c r="U4" s="466" t="s">
        <v>398</v>
      </c>
      <c r="V4" s="467"/>
      <c r="W4" s="467"/>
      <c r="X4" s="468"/>
      <c r="Y4" s="461" t="s">
        <v>396</v>
      </c>
      <c r="Z4" s="466" t="s">
        <v>398</v>
      </c>
      <c r="AA4" s="467"/>
      <c r="AB4" s="467"/>
      <c r="AC4" s="468"/>
      <c r="AD4" s="461" t="s">
        <v>396</v>
      </c>
      <c r="AE4" s="466" t="s">
        <v>398</v>
      </c>
      <c r="AF4" s="467"/>
      <c r="AG4" s="467"/>
      <c r="AH4" s="468"/>
      <c r="AI4" s="461" t="s">
        <v>396</v>
      </c>
      <c r="AJ4" s="466" t="s">
        <v>398</v>
      </c>
      <c r="AK4" s="467"/>
      <c r="AL4" s="467"/>
      <c r="AM4" s="468"/>
      <c r="AN4" s="461" t="s">
        <v>396</v>
      </c>
      <c r="AO4" s="466" t="s">
        <v>398</v>
      </c>
      <c r="AP4" s="467"/>
      <c r="AQ4" s="467"/>
      <c r="AR4" s="468"/>
      <c r="AS4" s="461" t="s">
        <v>396</v>
      </c>
      <c r="AT4" s="466" t="s">
        <v>398</v>
      </c>
      <c r="AU4" s="467"/>
      <c r="AV4" s="467"/>
      <c r="AW4" s="468"/>
      <c r="AX4" s="461" t="s">
        <v>396</v>
      </c>
      <c r="BA4" s="461" t="s">
        <v>396</v>
      </c>
    </row>
    <row r="5" spans="1:53" ht="13.5">
      <c r="A5" s="79"/>
      <c r="B5" s="461"/>
      <c r="C5" s="461"/>
      <c r="D5" s="461"/>
      <c r="E5" s="461" t="s">
        <v>403</v>
      </c>
      <c r="F5" s="461"/>
      <c r="G5" s="461"/>
      <c r="H5" s="483"/>
      <c r="I5" s="461" t="s">
        <v>403</v>
      </c>
      <c r="J5" s="461"/>
      <c r="K5" s="461"/>
      <c r="L5" s="483"/>
      <c r="M5" s="485"/>
      <c r="N5" s="461"/>
      <c r="O5" s="461"/>
      <c r="P5" s="466" t="s">
        <v>690</v>
      </c>
      <c r="Q5" s="467"/>
      <c r="R5" s="467"/>
      <c r="S5" s="468"/>
      <c r="T5" s="461"/>
      <c r="U5" s="466" t="s">
        <v>690</v>
      </c>
      <c r="V5" s="467"/>
      <c r="W5" s="467"/>
      <c r="X5" s="468"/>
      <c r="Y5" s="461"/>
      <c r="Z5" s="466" t="s">
        <v>690</v>
      </c>
      <c r="AA5" s="467"/>
      <c r="AB5" s="467"/>
      <c r="AC5" s="468"/>
      <c r="AD5" s="461"/>
      <c r="AE5" s="466" t="s">
        <v>690</v>
      </c>
      <c r="AF5" s="467"/>
      <c r="AG5" s="467"/>
      <c r="AH5" s="468"/>
      <c r="AI5" s="461"/>
      <c r="AJ5" s="466" t="s">
        <v>690</v>
      </c>
      <c r="AK5" s="467"/>
      <c r="AL5" s="467"/>
      <c r="AM5" s="468"/>
      <c r="AN5" s="461"/>
      <c r="AO5" s="466" t="s">
        <v>690</v>
      </c>
      <c r="AP5" s="467"/>
      <c r="AQ5" s="467"/>
      <c r="AR5" s="468"/>
      <c r="AS5" s="461"/>
      <c r="AT5" s="466" t="s">
        <v>690</v>
      </c>
      <c r="AU5" s="467"/>
      <c r="AV5" s="467"/>
      <c r="AW5" s="468"/>
      <c r="AX5" s="461"/>
      <c r="BA5" s="461"/>
    </row>
    <row r="6" spans="1:53" ht="13.5">
      <c r="A6" s="77"/>
      <c r="B6" s="461"/>
      <c r="C6" s="461"/>
      <c r="D6" s="461"/>
      <c r="E6" s="269" t="s">
        <v>405</v>
      </c>
      <c r="F6" s="269" t="s">
        <v>692</v>
      </c>
      <c r="G6" s="269" t="s">
        <v>693</v>
      </c>
      <c r="H6" s="484"/>
      <c r="I6" s="269" t="s">
        <v>405</v>
      </c>
      <c r="J6" s="269" t="s">
        <v>692</v>
      </c>
      <c r="K6" s="269" t="s">
        <v>693</v>
      </c>
      <c r="L6" s="484"/>
      <c r="M6" s="481"/>
      <c r="N6" s="461"/>
      <c r="O6" s="461"/>
      <c r="P6" s="269" t="s">
        <v>405</v>
      </c>
      <c r="Q6" s="269" t="s">
        <v>692</v>
      </c>
      <c r="R6" s="269" t="s">
        <v>693</v>
      </c>
      <c r="S6" s="269" t="s">
        <v>397</v>
      </c>
      <c r="T6" s="461"/>
      <c r="U6" s="269" t="s">
        <v>405</v>
      </c>
      <c r="V6" s="269" t="s">
        <v>692</v>
      </c>
      <c r="W6" s="269" t="s">
        <v>693</v>
      </c>
      <c r="X6" s="269" t="s">
        <v>397</v>
      </c>
      <c r="Y6" s="461"/>
      <c r="Z6" s="269" t="s">
        <v>405</v>
      </c>
      <c r="AA6" s="269" t="s">
        <v>692</v>
      </c>
      <c r="AB6" s="269" t="s">
        <v>693</v>
      </c>
      <c r="AC6" s="269" t="s">
        <v>397</v>
      </c>
      <c r="AD6" s="461"/>
      <c r="AE6" s="269" t="s">
        <v>405</v>
      </c>
      <c r="AF6" s="269" t="s">
        <v>692</v>
      </c>
      <c r="AG6" s="269" t="s">
        <v>693</v>
      </c>
      <c r="AH6" s="269" t="s">
        <v>397</v>
      </c>
      <c r="AI6" s="461"/>
      <c r="AJ6" s="269" t="s">
        <v>405</v>
      </c>
      <c r="AK6" s="269" t="s">
        <v>692</v>
      </c>
      <c r="AL6" s="269" t="s">
        <v>693</v>
      </c>
      <c r="AM6" s="269" t="s">
        <v>397</v>
      </c>
      <c r="AN6" s="461"/>
      <c r="AO6" s="269" t="s">
        <v>405</v>
      </c>
      <c r="AP6" s="269" t="s">
        <v>692</v>
      </c>
      <c r="AQ6" s="269" t="s">
        <v>693</v>
      </c>
      <c r="AR6" s="269" t="s">
        <v>397</v>
      </c>
      <c r="AS6" s="461"/>
      <c r="AT6" s="269" t="s">
        <v>405</v>
      </c>
      <c r="AU6" s="269" t="s">
        <v>692</v>
      </c>
      <c r="AV6" s="269" t="s">
        <v>693</v>
      </c>
      <c r="AW6" s="269" t="s">
        <v>397</v>
      </c>
      <c r="AX6" s="461"/>
      <c r="AZ6" s="269" t="s">
        <v>397</v>
      </c>
      <c r="BA6" s="461"/>
    </row>
    <row r="7" spans="1:53" ht="13.5">
      <c r="A7" s="79"/>
      <c r="B7" s="501" t="s">
        <v>695</v>
      </c>
      <c r="C7" s="182">
        <v>1</v>
      </c>
      <c r="D7" s="203" t="s">
        <v>385</v>
      </c>
      <c r="E7" s="166">
        <v>4</v>
      </c>
      <c r="F7" s="166">
        <v>2000</v>
      </c>
      <c r="G7" s="166">
        <v>500</v>
      </c>
      <c r="H7" s="463">
        <f>AVERAGE(G7:G21)</f>
        <v>305.7166666666667</v>
      </c>
      <c r="I7" s="166">
        <f t="shared" ref="I7:I20" si="0">IFERROR(AVERAGE(P7,U7,Z7,AE7,AJ7,AO7,AT7),"-")</f>
        <v>5</v>
      </c>
      <c r="J7" s="166">
        <f t="shared" ref="J7:J20" si="1">IFERROR(AVERAGE(Q7,V7,AA7,AF7,AK7,AP7,AU7),"-")</f>
        <v>2161.4407716401647</v>
      </c>
      <c r="K7" s="180">
        <f t="shared" ref="K7:K20" si="2">IFERROR(AVERAGE(R7,W7,AB7,AG7,AL7,AQ7,AV7),"-")</f>
        <v>432.28815432803293</v>
      </c>
      <c r="L7" s="463">
        <f>IFERROR(AVERAGE(K7:K21),"-")</f>
        <v>259.9408513255695</v>
      </c>
      <c r="M7" s="166">
        <f>RANK(K7, K$7:$K$21)</f>
        <v>2</v>
      </c>
      <c r="N7" s="461"/>
      <c r="O7" s="461"/>
      <c r="P7" s="182">
        <v>5</v>
      </c>
      <c r="Q7" s="166">
        <v>2216.4179104477612</v>
      </c>
      <c r="R7" s="166">
        <v>443.28358208955223</v>
      </c>
      <c r="S7" s="182">
        <f t="shared" ref="S7:S21" si="3">RANK(R7, R$7:R$21)</f>
        <v>2</v>
      </c>
      <c r="T7" s="455">
        <f t="shared" ref="T7" si="4">AVERAGE(R7:R21)</f>
        <v>269.18514602199667</v>
      </c>
      <c r="U7" s="182">
        <v>5</v>
      </c>
      <c r="V7" s="166">
        <v>2164.0677966101698</v>
      </c>
      <c r="W7" s="166">
        <v>432.81355932203394</v>
      </c>
      <c r="X7" s="182">
        <f t="shared" ref="X7:X21" si="5">RANK(W7, W$7:W$21)</f>
        <v>1</v>
      </c>
      <c r="Y7" s="455">
        <f t="shared" ref="Y7" si="6">AVERAGE(W7:W21)</f>
        <v>247.41357596245911</v>
      </c>
      <c r="Z7" s="182">
        <v>5</v>
      </c>
      <c r="AA7" s="166">
        <v>2133.8181818181815</v>
      </c>
      <c r="AB7" s="166">
        <v>426.76363636363629</v>
      </c>
      <c r="AC7" s="182">
        <f t="shared" ref="AC7:AC21" si="7">RANK(AB7, AB$7:AB$21)</f>
        <v>1</v>
      </c>
      <c r="AD7" s="455">
        <f t="shared" ref="AD7" si="8">AVERAGE(AB7:AB21)</f>
        <v>244.14308945610998</v>
      </c>
      <c r="AE7" s="182">
        <v>5</v>
      </c>
      <c r="AF7" s="166">
        <v>2138.823529411764</v>
      </c>
      <c r="AG7" s="166">
        <v>427.76470588235281</v>
      </c>
      <c r="AH7" s="182">
        <f t="shared" ref="AH7:AH21" si="9">RANK(AG7, AG$7:AG$21)</f>
        <v>2</v>
      </c>
      <c r="AI7" s="455">
        <f t="shared" ref="AI7" si="10">AVERAGE(AG7:AG21)</f>
        <v>245.49459970125281</v>
      </c>
      <c r="AJ7" s="182">
        <v>5</v>
      </c>
      <c r="AK7" s="166">
        <v>2178.823529411764</v>
      </c>
      <c r="AL7" s="166">
        <v>435.76470588235281</v>
      </c>
      <c r="AM7" s="182">
        <f t="shared" ref="AM7:AM21" si="11">RANK(AL7, AL$7:AL$21)</f>
        <v>2</v>
      </c>
      <c r="AN7" s="455">
        <f t="shared" ref="AN7" si="12">AVERAGE(AL7:AL21)</f>
        <v>248.25005961873947</v>
      </c>
      <c r="AO7" s="182">
        <v>5</v>
      </c>
      <c r="AP7" s="166">
        <v>2104.7058823529405</v>
      </c>
      <c r="AQ7" s="166">
        <v>420.94117647058812</v>
      </c>
      <c r="AR7" s="182">
        <f t="shared" ref="AR7:AR21" si="13">RANK(AQ7, AQ$7:AQ$21)</f>
        <v>3</v>
      </c>
      <c r="AS7" s="455">
        <f t="shared" ref="AS7" si="14">AVERAGE(AQ7:AQ21)</f>
        <v>247.60784004719775</v>
      </c>
      <c r="AT7" s="182">
        <v>5</v>
      </c>
      <c r="AU7" s="166">
        <v>2193.428571428572</v>
      </c>
      <c r="AV7" s="166">
        <v>438.68571428571443</v>
      </c>
      <c r="AW7" s="182">
        <f t="shared" ref="AW7:AW21" si="15">RANK(AV7, AV$7:AV$21)</f>
        <v>1</v>
      </c>
      <c r="AX7" s="455">
        <f t="shared" ref="AX7" si="16">AVERAGE(AV7:AV21)</f>
        <v>247.09173883311834</v>
      </c>
      <c r="AZ7" s="182" t="e">
        <f t="shared" ref="AZ7:AZ21" si="17">RANK(AY7, AY$7:AY$21)</f>
        <v>#N/A</v>
      </c>
      <c r="BA7" s="455" t="e">
        <f t="shared" ref="BA7" si="18">AVERAGE(AY7:AY21)</f>
        <v>#DIV/0!</v>
      </c>
    </row>
    <row r="8" spans="1:53" ht="15" customHeight="1">
      <c r="A8" s="79"/>
      <c r="B8" s="454"/>
      <c r="C8" s="182">
        <v>2</v>
      </c>
      <c r="D8" s="203" t="s">
        <v>466</v>
      </c>
      <c r="E8" s="166">
        <v>4</v>
      </c>
      <c r="F8" s="166">
        <v>2000</v>
      </c>
      <c r="G8" s="166">
        <v>500</v>
      </c>
      <c r="H8" s="464"/>
      <c r="I8" s="166">
        <f t="shared" si="0"/>
        <v>5</v>
      </c>
      <c r="J8" s="166">
        <f t="shared" si="1"/>
        <v>2146.4865079406459</v>
      </c>
      <c r="K8" s="180">
        <f t="shared" si="2"/>
        <v>429.29730158812919</v>
      </c>
      <c r="L8" s="464"/>
      <c r="M8" s="166">
        <f>RANK(K8, K$7:$K$21)</f>
        <v>3</v>
      </c>
      <c r="N8" s="461"/>
      <c r="O8" s="461"/>
      <c r="P8" s="182">
        <v>5</v>
      </c>
      <c r="Q8" s="166">
        <v>2167.2727272727275</v>
      </c>
      <c r="R8" s="166">
        <v>433.4545454545455</v>
      </c>
      <c r="S8" s="182">
        <f t="shared" si="3"/>
        <v>3</v>
      </c>
      <c r="T8" s="455"/>
      <c r="U8" s="182">
        <v>5</v>
      </c>
      <c r="V8" s="166">
        <v>2162.1428571428569</v>
      </c>
      <c r="W8" s="166">
        <v>432.42857142857139</v>
      </c>
      <c r="X8" s="182">
        <f t="shared" si="5"/>
        <v>2</v>
      </c>
      <c r="Y8" s="455"/>
      <c r="Z8" s="182">
        <v>5</v>
      </c>
      <c r="AA8" s="166">
        <v>2113.2000000000007</v>
      </c>
      <c r="AB8" s="166">
        <v>422.64000000000016</v>
      </c>
      <c r="AC8" s="182">
        <f t="shared" si="7"/>
        <v>2</v>
      </c>
      <c r="AD8" s="455"/>
      <c r="AE8" s="182">
        <v>5</v>
      </c>
      <c r="AF8" s="166">
        <v>2148</v>
      </c>
      <c r="AG8" s="166">
        <v>429.6</v>
      </c>
      <c r="AH8" s="182">
        <f t="shared" si="9"/>
        <v>1</v>
      </c>
      <c r="AI8" s="455"/>
      <c r="AJ8" s="182">
        <v>5</v>
      </c>
      <c r="AK8" s="166">
        <v>2105.6603773584898</v>
      </c>
      <c r="AL8" s="166">
        <v>421.13207547169793</v>
      </c>
      <c r="AM8" s="182">
        <f t="shared" si="11"/>
        <v>3</v>
      </c>
      <c r="AN8" s="455"/>
      <c r="AO8" s="182">
        <v>5</v>
      </c>
      <c r="AP8" s="166">
        <v>2172.7659574468089</v>
      </c>
      <c r="AQ8" s="166">
        <v>434.55319148936178</v>
      </c>
      <c r="AR8" s="182">
        <f t="shared" si="13"/>
        <v>1</v>
      </c>
      <c r="AS8" s="455"/>
      <c r="AT8" s="182">
        <v>5</v>
      </c>
      <c r="AU8" s="166">
        <v>2156.3636363636369</v>
      </c>
      <c r="AV8" s="166">
        <v>431.27272727272737</v>
      </c>
      <c r="AW8" s="182">
        <f t="shared" si="15"/>
        <v>2</v>
      </c>
      <c r="AX8" s="455"/>
      <c r="AZ8" s="182" t="e">
        <f t="shared" si="17"/>
        <v>#N/A</v>
      </c>
      <c r="BA8" s="455"/>
    </row>
    <row r="9" spans="1:53" ht="13.5">
      <c r="A9" s="79"/>
      <c r="B9" s="454"/>
      <c r="C9" s="182">
        <v>3</v>
      </c>
      <c r="D9" s="203" t="s">
        <v>386</v>
      </c>
      <c r="E9" s="166">
        <v>12</v>
      </c>
      <c r="F9" s="166">
        <v>2118</v>
      </c>
      <c r="G9" s="166">
        <v>176.5</v>
      </c>
      <c r="H9" s="464"/>
      <c r="I9" s="166">
        <f t="shared" si="0"/>
        <v>12</v>
      </c>
      <c r="J9" s="166">
        <f t="shared" si="1"/>
        <v>1884.0471490318009</v>
      </c>
      <c r="K9" s="180">
        <f t="shared" si="2"/>
        <v>157.0039290859834</v>
      </c>
      <c r="L9" s="464"/>
      <c r="M9" s="166">
        <f>RANK(K9, K$7:$K$21)</f>
        <v>9</v>
      </c>
      <c r="N9" s="461"/>
      <c r="O9" s="461"/>
      <c r="P9" s="182">
        <v>12</v>
      </c>
      <c r="Q9" s="166">
        <v>1909.9999999999993</v>
      </c>
      <c r="R9" s="166">
        <v>159.1666666666666</v>
      </c>
      <c r="S9" s="182">
        <f t="shared" si="3"/>
        <v>8</v>
      </c>
      <c r="T9" s="455"/>
      <c r="U9" s="182">
        <v>12</v>
      </c>
      <c r="V9" s="166">
        <v>1887.6190476190482</v>
      </c>
      <c r="W9" s="166">
        <v>157.30158730158735</v>
      </c>
      <c r="X9" s="182">
        <f t="shared" si="5"/>
        <v>8</v>
      </c>
      <c r="Y9" s="455"/>
      <c r="Z9" s="182">
        <v>12</v>
      </c>
      <c r="AA9" s="166">
        <v>1850.0000000000005</v>
      </c>
      <c r="AB9" s="166">
        <v>154.16666666666671</v>
      </c>
      <c r="AC9" s="182">
        <f t="shared" si="7"/>
        <v>8</v>
      </c>
      <c r="AD9" s="455"/>
      <c r="AE9" s="182">
        <v>12</v>
      </c>
      <c r="AF9" s="166">
        <v>1852.8813559322036</v>
      </c>
      <c r="AG9" s="166">
        <v>154.40677966101697</v>
      </c>
      <c r="AH9" s="182">
        <f t="shared" si="9"/>
        <v>7</v>
      </c>
      <c r="AI9" s="455"/>
      <c r="AJ9" s="182">
        <v>12</v>
      </c>
      <c r="AK9" s="166">
        <v>1893.8709677419363</v>
      </c>
      <c r="AL9" s="166">
        <v>157.82258064516137</v>
      </c>
      <c r="AM9" s="182">
        <f t="shared" si="11"/>
        <v>8</v>
      </c>
      <c r="AN9" s="455"/>
      <c r="AO9" s="182">
        <v>12</v>
      </c>
      <c r="AP9" s="166">
        <v>1881.35593220339</v>
      </c>
      <c r="AQ9" s="166">
        <v>156.77966101694918</v>
      </c>
      <c r="AR9" s="182">
        <f t="shared" si="13"/>
        <v>8</v>
      </c>
      <c r="AS9" s="455"/>
      <c r="AT9" s="182">
        <v>12</v>
      </c>
      <c r="AU9" s="166">
        <v>1912.602739726027</v>
      </c>
      <c r="AV9" s="166">
        <v>159.38356164383558</v>
      </c>
      <c r="AW9" s="182">
        <f t="shared" si="15"/>
        <v>7</v>
      </c>
      <c r="AX9" s="455"/>
      <c r="AZ9" s="182" t="e">
        <f t="shared" si="17"/>
        <v>#N/A</v>
      </c>
      <c r="BA9" s="455"/>
    </row>
    <row r="10" spans="1:53" ht="13.5">
      <c r="A10" s="79"/>
      <c r="B10" s="454"/>
      <c r="C10" s="182">
        <v>4</v>
      </c>
      <c r="D10" s="203" t="s">
        <v>787</v>
      </c>
      <c r="E10" s="166">
        <v>13</v>
      </c>
      <c r="F10" s="166">
        <v>2250</v>
      </c>
      <c r="G10" s="166">
        <v>187.5</v>
      </c>
      <c r="H10" s="464"/>
      <c r="I10" s="166">
        <f t="shared" si="0"/>
        <v>13</v>
      </c>
      <c r="J10" s="166">
        <f t="shared" si="1"/>
        <v>2195.3989828878684</v>
      </c>
      <c r="K10" s="180">
        <f t="shared" si="2"/>
        <v>168.87684483752835</v>
      </c>
      <c r="L10" s="464"/>
      <c r="M10" s="166">
        <f>RANK(K10, K$7:$K$21)</f>
        <v>6</v>
      </c>
      <c r="N10" s="461"/>
      <c r="O10" s="461"/>
      <c r="P10" s="182">
        <v>13</v>
      </c>
      <c r="Q10" s="166">
        <v>2212.0879120879113</v>
      </c>
      <c r="R10" s="166">
        <v>170.16060862214701</v>
      </c>
      <c r="S10" s="182">
        <f t="shared" si="3"/>
        <v>6</v>
      </c>
      <c r="T10" s="455"/>
      <c r="U10" s="182">
        <v>13</v>
      </c>
      <c r="V10" s="166">
        <v>2190.0000000000014</v>
      </c>
      <c r="W10" s="166">
        <v>168.46153846153857</v>
      </c>
      <c r="X10" s="182">
        <f t="shared" si="5"/>
        <v>5</v>
      </c>
      <c r="Y10" s="455"/>
      <c r="Z10" s="182">
        <v>13</v>
      </c>
      <c r="AA10" s="166">
        <v>2200.5405405405404</v>
      </c>
      <c r="AB10" s="166">
        <v>169.27234927234926</v>
      </c>
      <c r="AC10" s="182">
        <f t="shared" si="7"/>
        <v>5</v>
      </c>
      <c r="AD10" s="455"/>
      <c r="AE10" s="182">
        <v>13</v>
      </c>
      <c r="AF10" s="166">
        <v>2186.3013698630143</v>
      </c>
      <c r="AG10" s="166">
        <v>168.17702845100109</v>
      </c>
      <c r="AH10" s="182">
        <f t="shared" si="9"/>
        <v>5</v>
      </c>
      <c r="AI10" s="455"/>
      <c r="AJ10" s="182">
        <v>13</v>
      </c>
      <c r="AK10" s="166">
        <v>2199.4736842105272</v>
      </c>
      <c r="AL10" s="166">
        <v>169.19028340080979</v>
      </c>
      <c r="AM10" s="182">
        <f t="shared" si="11"/>
        <v>5</v>
      </c>
      <c r="AN10" s="455"/>
      <c r="AO10" s="182">
        <v>13</v>
      </c>
      <c r="AP10" s="166">
        <v>2188.4615384615395</v>
      </c>
      <c r="AQ10" s="166">
        <v>168.34319526627226</v>
      </c>
      <c r="AR10" s="182">
        <f t="shared" si="13"/>
        <v>5</v>
      </c>
      <c r="AS10" s="455"/>
      <c r="AT10" s="182">
        <v>13</v>
      </c>
      <c r="AU10" s="166">
        <v>2190.9278350515465</v>
      </c>
      <c r="AV10" s="166">
        <v>168.53291038858049</v>
      </c>
      <c r="AW10" s="182">
        <f t="shared" si="15"/>
        <v>5</v>
      </c>
      <c r="AX10" s="455"/>
      <c r="AZ10" s="182" t="e">
        <f t="shared" si="17"/>
        <v>#N/A</v>
      </c>
      <c r="BA10" s="455"/>
    </row>
    <row r="11" spans="1:53" ht="13.5">
      <c r="A11" s="79"/>
      <c r="B11" s="454"/>
      <c r="C11" s="182">
        <v>5</v>
      </c>
      <c r="D11" s="203" t="s">
        <v>387</v>
      </c>
      <c r="E11" s="166">
        <v>13</v>
      </c>
      <c r="F11" s="166">
        <v>2250</v>
      </c>
      <c r="G11" s="166">
        <v>173.1</v>
      </c>
      <c r="H11" s="464"/>
      <c r="I11" s="166">
        <f t="shared" si="0"/>
        <v>13</v>
      </c>
      <c r="J11" s="166">
        <f t="shared" si="1"/>
        <v>2140.9005096118572</v>
      </c>
      <c r="K11" s="180">
        <f t="shared" si="2"/>
        <v>164.68465458552751</v>
      </c>
      <c r="L11" s="464"/>
      <c r="M11" s="166">
        <f>RANK(K11, K$7:$K$21)</f>
        <v>7</v>
      </c>
      <c r="N11" s="461"/>
      <c r="O11" s="461"/>
      <c r="P11" s="182">
        <v>13</v>
      </c>
      <c r="Q11" s="166">
        <v>2211.1111111111109</v>
      </c>
      <c r="R11" s="166">
        <v>170.08547008547006</v>
      </c>
      <c r="S11" s="182">
        <f t="shared" si="3"/>
        <v>7</v>
      </c>
      <c r="T11" s="455"/>
      <c r="U11" s="182">
        <v>13</v>
      </c>
      <c r="V11" s="166">
        <v>2117.8217821782173</v>
      </c>
      <c r="W11" s="166">
        <v>162.90936785986287</v>
      </c>
      <c r="X11" s="182">
        <f t="shared" si="5"/>
        <v>6</v>
      </c>
      <c r="Y11" s="455"/>
      <c r="Z11" s="182">
        <v>13</v>
      </c>
      <c r="AA11" s="166">
        <v>2138.7096774193551</v>
      </c>
      <c r="AB11" s="166">
        <v>164.51612903225808</v>
      </c>
      <c r="AC11" s="182">
        <f t="shared" si="7"/>
        <v>6</v>
      </c>
      <c r="AD11" s="455"/>
      <c r="AE11" s="182">
        <v>13</v>
      </c>
      <c r="AF11" s="166">
        <v>2128.9887640449438</v>
      </c>
      <c r="AG11" s="166">
        <v>163.76836646499567</v>
      </c>
      <c r="AH11" s="182">
        <f t="shared" si="9"/>
        <v>6</v>
      </c>
      <c r="AI11" s="455"/>
      <c r="AJ11" s="182">
        <v>13</v>
      </c>
      <c r="AK11" s="166">
        <v>2123.2653061224496</v>
      </c>
      <c r="AL11" s="166">
        <v>163.32810047095765</v>
      </c>
      <c r="AM11" s="182">
        <f t="shared" si="11"/>
        <v>6</v>
      </c>
      <c r="AN11" s="455"/>
      <c r="AO11" s="182">
        <v>13</v>
      </c>
      <c r="AP11" s="166">
        <v>2132.1212121212111</v>
      </c>
      <c r="AQ11" s="166">
        <v>164.00932400932393</v>
      </c>
      <c r="AR11" s="182">
        <f t="shared" si="13"/>
        <v>6</v>
      </c>
      <c r="AS11" s="455"/>
      <c r="AT11" s="182">
        <v>13</v>
      </c>
      <c r="AU11" s="166">
        <v>2134.2857142857147</v>
      </c>
      <c r="AV11" s="166">
        <v>164.1758241758242</v>
      </c>
      <c r="AW11" s="182">
        <f t="shared" si="15"/>
        <v>6</v>
      </c>
      <c r="AX11" s="455"/>
      <c r="AZ11" s="182" t="e">
        <f t="shared" si="17"/>
        <v>#N/A</v>
      </c>
      <c r="BA11" s="455"/>
    </row>
    <row r="12" spans="1:53" ht="13.5">
      <c r="A12" s="79"/>
      <c r="B12" s="454"/>
      <c r="C12" s="182">
        <v>6</v>
      </c>
      <c r="D12" s="203" t="s">
        <v>388</v>
      </c>
      <c r="E12" s="166">
        <v>10</v>
      </c>
      <c r="F12" s="166">
        <v>2769</v>
      </c>
      <c r="G12" s="166">
        <v>276.89999999999998</v>
      </c>
      <c r="H12" s="464"/>
      <c r="I12" s="166">
        <f t="shared" si="0"/>
        <v>10</v>
      </c>
      <c r="J12" s="166">
        <f t="shared" si="1"/>
        <v>2222.5905287256601</v>
      </c>
      <c r="K12" s="180">
        <f t="shared" si="2"/>
        <v>222.25905287256606</v>
      </c>
      <c r="L12" s="464"/>
      <c r="M12" s="166">
        <f>RANK(K12, K$7:$K$21)</f>
        <v>5</v>
      </c>
      <c r="N12" s="461"/>
      <c r="O12" s="461"/>
      <c r="P12" s="182">
        <v>10</v>
      </c>
      <c r="Q12" s="166">
        <v>2257.7399999999989</v>
      </c>
      <c r="R12" s="166">
        <v>225.77399999999989</v>
      </c>
      <c r="S12" s="182">
        <f t="shared" si="3"/>
        <v>5</v>
      </c>
      <c r="T12" s="455"/>
      <c r="U12" s="182">
        <v>10</v>
      </c>
      <c r="V12" s="166">
        <v>2177.291666666667</v>
      </c>
      <c r="W12" s="166">
        <v>217.72916666666669</v>
      </c>
      <c r="X12" s="182">
        <f t="shared" si="5"/>
        <v>4</v>
      </c>
      <c r="Y12" s="455"/>
      <c r="Z12" s="182">
        <v>10</v>
      </c>
      <c r="AA12" s="166">
        <v>2182.7368421052638</v>
      </c>
      <c r="AB12" s="166">
        <v>218.27368421052637</v>
      </c>
      <c r="AC12" s="182">
        <f t="shared" si="7"/>
        <v>4</v>
      </c>
      <c r="AD12" s="455"/>
      <c r="AE12" s="182">
        <v>10</v>
      </c>
      <c r="AF12" s="166">
        <v>2228.3076923076937</v>
      </c>
      <c r="AG12" s="166">
        <v>222.83076923076936</v>
      </c>
      <c r="AH12" s="182">
        <f t="shared" si="9"/>
        <v>4</v>
      </c>
      <c r="AI12" s="455"/>
      <c r="AJ12" s="182">
        <v>10</v>
      </c>
      <c r="AK12" s="166">
        <v>2233.5000000000005</v>
      </c>
      <c r="AL12" s="166">
        <v>223.35000000000005</v>
      </c>
      <c r="AM12" s="182">
        <f t="shared" si="11"/>
        <v>4</v>
      </c>
      <c r="AN12" s="455"/>
      <c r="AO12" s="182">
        <v>10</v>
      </c>
      <c r="AP12" s="166">
        <v>2230.5375000000013</v>
      </c>
      <c r="AQ12" s="166">
        <v>223.05375000000012</v>
      </c>
      <c r="AR12" s="182">
        <f t="shared" si="13"/>
        <v>4</v>
      </c>
      <c r="AS12" s="455"/>
      <c r="AT12" s="182">
        <v>10</v>
      </c>
      <c r="AU12" s="166">
        <v>2248.0199999999991</v>
      </c>
      <c r="AV12" s="166">
        <v>224.80199999999991</v>
      </c>
      <c r="AW12" s="182">
        <f t="shared" si="15"/>
        <v>4</v>
      </c>
      <c r="AX12" s="455"/>
      <c r="AZ12" s="182" t="e">
        <f t="shared" si="17"/>
        <v>#N/A</v>
      </c>
      <c r="BA12" s="455"/>
    </row>
    <row r="13" spans="1:53" ht="13.5">
      <c r="A13" s="79"/>
      <c r="B13" s="454"/>
      <c r="C13" s="182">
        <v>7</v>
      </c>
      <c r="D13" s="203" t="s">
        <v>384</v>
      </c>
      <c r="E13" s="166">
        <v>18</v>
      </c>
      <c r="F13" s="166">
        <v>1200</v>
      </c>
      <c r="G13" s="166">
        <v>66.666666666666671</v>
      </c>
      <c r="H13" s="464"/>
      <c r="I13" s="166">
        <f t="shared" si="0"/>
        <v>18.142857142857142</v>
      </c>
      <c r="J13" s="166">
        <f t="shared" si="1"/>
        <v>1220.3574244427784</v>
      </c>
      <c r="K13" s="180">
        <f t="shared" si="2"/>
        <v>67.286356495776758</v>
      </c>
      <c r="L13" s="464"/>
      <c r="M13" s="166">
        <f>RANK(K13, K$7:$K$21)</f>
        <v>10</v>
      </c>
      <c r="N13" s="461"/>
      <c r="O13" s="461"/>
      <c r="P13" s="182">
        <v>18</v>
      </c>
      <c r="Q13" s="166">
        <v>1216.5714285714287</v>
      </c>
      <c r="R13" s="166">
        <v>67.587301587301596</v>
      </c>
      <c r="S13" s="182">
        <f t="shared" si="3"/>
        <v>10</v>
      </c>
      <c r="T13" s="455"/>
      <c r="U13" s="182">
        <v>18</v>
      </c>
      <c r="V13" s="166">
        <v>1216.304347826087</v>
      </c>
      <c r="W13" s="166">
        <v>67.572463768115938</v>
      </c>
      <c r="X13" s="182">
        <f t="shared" si="5"/>
        <v>9</v>
      </c>
      <c r="Y13" s="455"/>
      <c r="Z13" s="182">
        <v>18</v>
      </c>
      <c r="AA13" s="166">
        <v>1222.6530612244896</v>
      </c>
      <c r="AB13" s="166">
        <v>67.925170068027199</v>
      </c>
      <c r="AC13" s="182">
        <f t="shared" si="7"/>
        <v>9</v>
      </c>
      <c r="AD13" s="455"/>
      <c r="AE13" s="182">
        <v>18</v>
      </c>
      <c r="AF13" s="166">
        <v>1221.8181818181818</v>
      </c>
      <c r="AG13" s="166">
        <v>67.878787878787875</v>
      </c>
      <c r="AH13" s="182">
        <f t="shared" si="9"/>
        <v>9</v>
      </c>
      <c r="AI13" s="455"/>
      <c r="AJ13" s="182">
        <v>18</v>
      </c>
      <c r="AK13" s="166">
        <v>1220.9302325581393</v>
      </c>
      <c r="AL13" s="166">
        <v>67.829457364341067</v>
      </c>
      <c r="AM13" s="182">
        <f t="shared" si="11"/>
        <v>9</v>
      </c>
      <c r="AN13" s="455"/>
      <c r="AO13" s="182">
        <v>18</v>
      </c>
      <c r="AP13" s="166">
        <v>1220.2247191011236</v>
      </c>
      <c r="AQ13" s="166">
        <v>67.790262172284642</v>
      </c>
      <c r="AR13" s="182">
        <f t="shared" si="13"/>
        <v>9</v>
      </c>
      <c r="AS13" s="455"/>
      <c r="AT13" s="182">
        <v>19</v>
      </c>
      <c r="AU13" s="166">
        <v>1224</v>
      </c>
      <c r="AV13" s="166">
        <v>64.421052631578945</v>
      </c>
      <c r="AW13" s="182">
        <f t="shared" si="15"/>
        <v>9</v>
      </c>
      <c r="AX13" s="455"/>
      <c r="AZ13" s="182" t="e">
        <f t="shared" si="17"/>
        <v>#N/A</v>
      </c>
      <c r="BA13" s="455"/>
    </row>
    <row r="14" spans="1:53" ht="13.5">
      <c r="A14" s="79"/>
      <c r="B14" s="454"/>
      <c r="C14" s="182">
        <v>8</v>
      </c>
      <c r="D14" s="203" t="s">
        <v>676</v>
      </c>
      <c r="E14" s="166">
        <v>12</v>
      </c>
      <c r="F14" s="166">
        <v>2118</v>
      </c>
      <c r="G14" s="166">
        <v>176.5</v>
      </c>
      <c r="H14" s="464"/>
      <c r="I14" s="166">
        <f t="shared" si="0"/>
        <v>12</v>
      </c>
      <c r="J14" s="166">
        <f t="shared" si="1"/>
        <v>1887.7450896238915</v>
      </c>
      <c r="K14" s="180">
        <f t="shared" si="2"/>
        <v>157.31209080199096</v>
      </c>
      <c r="L14" s="464"/>
      <c r="M14" s="166">
        <f>RANK(K14, K$7:$K$21)</f>
        <v>8</v>
      </c>
      <c r="N14" s="461"/>
      <c r="O14" s="461"/>
      <c r="P14" s="182">
        <v>12</v>
      </c>
      <c r="Q14" s="166">
        <v>1892.5714285714278</v>
      </c>
      <c r="R14" s="166">
        <v>157.71428571428564</v>
      </c>
      <c r="S14" s="182">
        <f t="shared" si="3"/>
        <v>9</v>
      </c>
      <c r="T14" s="455"/>
      <c r="U14" s="182">
        <v>12</v>
      </c>
      <c r="V14" s="166">
        <v>1903.6363636363644</v>
      </c>
      <c r="W14" s="166">
        <v>158.63636363636371</v>
      </c>
      <c r="X14" s="182">
        <f t="shared" si="5"/>
        <v>7</v>
      </c>
      <c r="Y14" s="455"/>
      <c r="Z14" s="182">
        <v>12</v>
      </c>
      <c r="AA14" s="166">
        <v>1879.3220338983053</v>
      </c>
      <c r="AB14" s="166">
        <v>156.61016949152545</v>
      </c>
      <c r="AC14" s="182">
        <f t="shared" si="7"/>
        <v>7</v>
      </c>
      <c r="AD14" s="455"/>
      <c r="AE14" s="182">
        <v>12</v>
      </c>
      <c r="AF14" s="166">
        <v>1847.7777777777774</v>
      </c>
      <c r="AG14" s="166">
        <v>153.98148148148144</v>
      </c>
      <c r="AH14" s="182">
        <f t="shared" si="9"/>
        <v>8</v>
      </c>
      <c r="AI14" s="455"/>
      <c r="AJ14" s="182">
        <v>12</v>
      </c>
      <c r="AK14" s="166">
        <v>1894.0000000000005</v>
      </c>
      <c r="AL14" s="166">
        <v>157.83333333333337</v>
      </c>
      <c r="AM14" s="182">
        <f t="shared" si="11"/>
        <v>7</v>
      </c>
      <c r="AN14" s="455"/>
      <c r="AO14" s="182">
        <v>12</v>
      </c>
      <c r="AP14" s="166">
        <v>1911.4285714285716</v>
      </c>
      <c r="AQ14" s="166">
        <v>159.28571428571431</v>
      </c>
      <c r="AR14" s="182">
        <f t="shared" si="13"/>
        <v>7</v>
      </c>
      <c r="AS14" s="455"/>
      <c r="AT14" s="182">
        <v>12</v>
      </c>
      <c r="AU14" s="166">
        <v>1885.4794520547941</v>
      </c>
      <c r="AV14" s="166">
        <v>157.12328767123284</v>
      </c>
      <c r="AW14" s="182">
        <f t="shared" si="15"/>
        <v>8</v>
      </c>
      <c r="AX14" s="455"/>
      <c r="AZ14" s="182" t="e">
        <f t="shared" si="17"/>
        <v>#N/A</v>
      </c>
      <c r="BA14" s="455"/>
    </row>
    <row r="15" spans="1:53" ht="13.5">
      <c r="A15" s="79"/>
      <c r="B15" s="454"/>
      <c r="C15" s="182">
        <v>9</v>
      </c>
      <c r="D15" s="203" t="s">
        <v>742</v>
      </c>
      <c r="E15" s="166">
        <v>4</v>
      </c>
      <c r="F15" s="166">
        <v>2000</v>
      </c>
      <c r="G15" s="166">
        <v>500</v>
      </c>
      <c r="H15" s="464"/>
      <c r="I15" s="166">
        <f t="shared" si="0"/>
        <v>5</v>
      </c>
      <c r="J15" s="166">
        <f t="shared" si="1"/>
        <v>1820.0000000000005</v>
      </c>
      <c r="K15" s="180">
        <f t="shared" si="2"/>
        <v>364.00000000000011</v>
      </c>
      <c r="L15" s="464"/>
      <c r="M15" s="166">
        <f>RANK(K15, K$7:$K$21)</f>
        <v>4</v>
      </c>
      <c r="N15" s="461"/>
      <c r="O15" s="461"/>
      <c r="P15" s="182">
        <v>5</v>
      </c>
      <c r="Q15" s="166">
        <v>1820.0000000000005</v>
      </c>
      <c r="R15" s="166">
        <v>364.00000000000011</v>
      </c>
      <c r="S15" s="182">
        <f t="shared" si="3"/>
        <v>4</v>
      </c>
      <c r="T15" s="455"/>
      <c r="U15" s="182" t="s">
        <v>890</v>
      </c>
      <c r="V15" s="166" t="s">
        <v>890</v>
      </c>
      <c r="W15" s="166" t="s">
        <v>890</v>
      </c>
      <c r="X15" s="182" t="e">
        <f t="shared" si="5"/>
        <v>#VALUE!</v>
      </c>
      <c r="Y15" s="455"/>
      <c r="Z15" s="182" t="s">
        <v>890</v>
      </c>
      <c r="AA15" s="166" t="s">
        <v>890</v>
      </c>
      <c r="AB15" s="166" t="s">
        <v>890</v>
      </c>
      <c r="AC15" s="182" t="e">
        <f t="shared" si="7"/>
        <v>#VALUE!</v>
      </c>
      <c r="AD15" s="455"/>
      <c r="AE15" s="182" t="s">
        <v>890</v>
      </c>
      <c r="AF15" s="166" t="s">
        <v>890</v>
      </c>
      <c r="AG15" s="166" t="s">
        <v>890</v>
      </c>
      <c r="AH15" s="182" t="e">
        <f t="shared" si="9"/>
        <v>#VALUE!</v>
      </c>
      <c r="AI15" s="455"/>
      <c r="AJ15" s="182" t="s">
        <v>890</v>
      </c>
      <c r="AK15" s="166" t="s">
        <v>890</v>
      </c>
      <c r="AL15" s="166" t="s">
        <v>890</v>
      </c>
      <c r="AM15" s="182" t="e">
        <f t="shared" si="11"/>
        <v>#VALUE!</v>
      </c>
      <c r="AN15" s="455"/>
      <c r="AO15" s="182" t="s">
        <v>890</v>
      </c>
      <c r="AP15" s="166" t="s">
        <v>890</v>
      </c>
      <c r="AQ15" s="166" t="s">
        <v>890</v>
      </c>
      <c r="AR15" s="182" t="e">
        <f t="shared" si="13"/>
        <v>#VALUE!</v>
      </c>
      <c r="AS15" s="455"/>
      <c r="AT15" s="182" t="s">
        <v>890</v>
      </c>
      <c r="AU15" s="166" t="s">
        <v>890</v>
      </c>
      <c r="AV15" s="166" t="s">
        <v>890</v>
      </c>
      <c r="AW15" s="182" t="e">
        <f t="shared" si="15"/>
        <v>#VALUE!</v>
      </c>
      <c r="AX15" s="455"/>
      <c r="AZ15" s="182" t="e">
        <f t="shared" si="17"/>
        <v>#N/A</v>
      </c>
      <c r="BA15" s="455"/>
    </row>
    <row r="16" spans="1:53" ht="13.5">
      <c r="A16" s="79"/>
      <c r="B16" s="454"/>
      <c r="C16" s="182">
        <v>10</v>
      </c>
      <c r="D16" s="203" t="s">
        <v>772</v>
      </c>
      <c r="E16" s="166">
        <v>4</v>
      </c>
      <c r="F16" s="166">
        <v>2000</v>
      </c>
      <c r="G16" s="166">
        <v>500</v>
      </c>
      <c r="H16" s="464"/>
      <c r="I16" s="166">
        <f t="shared" si="0"/>
        <v>4.8571428571428568</v>
      </c>
      <c r="J16" s="166">
        <f t="shared" si="1"/>
        <v>2110.4827861579411</v>
      </c>
      <c r="K16" s="180">
        <f t="shared" si="2"/>
        <v>436.40012866015962</v>
      </c>
      <c r="L16" s="464"/>
      <c r="M16" s="166">
        <f>RANK(K16, K$7:$K$21)</f>
        <v>1</v>
      </c>
      <c r="N16" s="461"/>
      <c r="O16" s="461"/>
      <c r="P16" s="182">
        <v>4</v>
      </c>
      <c r="Q16" s="166">
        <v>2002.4999999999936</v>
      </c>
      <c r="R16" s="166">
        <v>500.62499999999841</v>
      </c>
      <c r="S16" s="182">
        <f t="shared" si="3"/>
        <v>1</v>
      </c>
      <c r="T16" s="455"/>
      <c r="U16" s="182">
        <v>5</v>
      </c>
      <c r="V16" s="166">
        <v>2144.3478260869565</v>
      </c>
      <c r="W16" s="166">
        <v>428.86956521739131</v>
      </c>
      <c r="X16" s="182">
        <f t="shared" si="5"/>
        <v>3</v>
      </c>
      <c r="Y16" s="455"/>
      <c r="Z16" s="182">
        <v>5</v>
      </c>
      <c r="AA16" s="166">
        <v>2085.6000000000008</v>
      </c>
      <c r="AB16" s="166">
        <v>417.12000000000018</v>
      </c>
      <c r="AC16" s="182">
        <f t="shared" si="7"/>
        <v>3</v>
      </c>
      <c r="AD16" s="455"/>
      <c r="AE16" s="182">
        <v>5</v>
      </c>
      <c r="AF16" s="166">
        <v>2105.217391304348</v>
      </c>
      <c r="AG16" s="166">
        <v>421.04347826086962</v>
      </c>
      <c r="AH16" s="182">
        <f t="shared" si="9"/>
        <v>3</v>
      </c>
      <c r="AI16" s="455"/>
      <c r="AJ16" s="182">
        <v>5</v>
      </c>
      <c r="AK16" s="166">
        <v>2190.0000000000036</v>
      </c>
      <c r="AL16" s="166">
        <v>438.00000000000074</v>
      </c>
      <c r="AM16" s="182">
        <f t="shared" si="11"/>
        <v>1</v>
      </c>
      <c r="AN16" s="455"/>
      <c r="AO16" s="182">
        <v>5</v>
      </c>
      <c r="AP16" s="166">
        <v>2168.571428571428</v>
      </c>
      <c r="AQ16" s="166">
        <v>433.71428571428561</v>
      </c>
      <c r="AR16" s="182">
        <f t="shared" si="13"/>
        <v>2</v>
      </c>
      <c r="AS16" s="455"/>
      <c r="AT16" s="182">
        <v>5</v>
      </c>
      <c r="AU16" s="166">
        <v>2077.1428571428564</v>
      </c>
      <c r="AV16" s="166">
        <v>415.42857142857127</v>
      </c>
      <c r="AW16" s="182">
        <f t="shared" si="15"/>
        <v>3</v>
      </c>
      <c r="AX16" s="455"/>
      <c r="AZ16" s="182" t="e">
        <f t="shared" si="17"/>
        <v>#N/A</v>
      </c>
      <c r="BA16" s="455"/>
    </row>
    <row r="17" spans="2:53">
      <c r="B17" s="454"/>
      <c r="C17" s="182">
        <v>11</v>
      </c>
      <c r="D17" s="203"/>
      <c r="E17" s="166"/>
      <c r="F17" s="166"/>
      <c r="G17" s="166"/>
      <c r="H17" s="464"/>
      <c r="I17" s="166" t="str">
        <f t="shared" si="0"/>
        <v>-</v>
      </c>
      <c r="J17" s="166" t="str">
        <f t="shared" si="1"/>
        <v>-</v>
      </c>
      <c r="K17" s="180" t="str">
        <f t="shared" si="2"/>
        <v>-</v>
      </c>
      <c r="L17" s="464"/>
      <c r="M17" s="166" t="e">
        <f>RANK(K17, K$7:$K$21)</f>
        <v>#VALUE!</v>
      </c>
      <c r="N17" s="461"/>
      <c r="O17" s="461"/>
      <c r="P17" s="182" t="s">
        <v>890</v>
      </c>
      <c r="Q17" s="166" t="s">
        <v>890</v>
      </c>
      <c r="R17" s="166" t="s">
        <v>890</v>
      </c>
      <c r="S17" s="182" t="e">
        <f t="shared" si="3"/>
        <v>#VALUE!</v>
      </c>
      <c r="T17" s="455"/>
      <c r="U17" s="182" t="s">
        <v>890</v>
      </c>
      <c r="V17" s="166" t="s">
        <v>890</v>
      </c>
      <c r="W17" s="166" t="s">
        <v>890</v>
      </c>
      <c r="X17" s="182" t="e">
        <f t="shared" si="5"/>
        <v>#VALUE!</v>
      </c>
      <c r="Y17" s="455"/>
      <c r="Z17" s="182" t="s">
        <v>890</v>
      </c>
      <c r="AA17" s="166" t="s">
        <v>890</v>
      </c>
      <c r="AB17" s="166" t="s">
        <v>890</v>
      </c>
      <c r="AC17" s="182" t="e">
        <f t="shared" si="7"/>
        <v>#VALUE!</v>
      </c>
      <c r="AD17" s="455"/>
      <c r="AE17" s="182" t="s">
        <v>890</v>
      </c>
      <c r="AF17" s="166" t="s">
        <v>890</v>
      </c>
      <c r="AG17" s="166" t="s">
        <v>890</v>
      </c>
      <c r="AH17" s="182" t="e">
        <f t="shared" si="9"/>
        <v>#VALUE!</v>
      </c>
      <c r="AI17" s="455"/>
      <c r="AJ17" s="182" t="s">
        <v>890</v>
      </c>
      <c r="AK17" s="166" t="s">
        <v>890</v>
      </c>
      <c r="AL17" s="166" t="s">
        <v>890</v>
      </c>
      <c r="AM17" s="182" t="e">
        <f t="shared" si="11"/>
        <v>#VALUE!</v>
      </c>
      <c r="AN17" s="455"/>
      <c r="AO17" s="182" t="s">
        <v>890</v>
      </c>
      <c r="AP17" s="166" t="s">
        <v>890</v>
      </c>
      <c r="AQ17" s="166" t="s">
        <v>890</v>
      </c>
      <c r="AR17" s="182" t="e">
        <f t="shared" si="13"/>
        <v>#VALUE!</v>
      </c>
      <c r="AS17" s="455"/>
      <c r="AT17" s="182" t="s">
        <v>890</v>
      </c>
      <c r="AU17" s="166" t="s">
        <v>890</v>
      </c>
      <c r="AV17" s="166" t="s">
        <v>890</v>
      </c>
      <c r="AW17" s="182" t="e">
        <f t="shared" si="15"/>
        <v>#VALUE!</v>
      </c>
      <c r="AX17" s="455"/>
      <c r="AZ17" s="182" t="e">
        <f t="shared" si="17"/>
        <v>#N/A</v>
      </c>
      <c r="BA17" s="455"/>
    </row>
    <row r="18" spans="2:53">
      <c r="B18" s="454"/>
      <c r="C18" s="182">
        <v>12</v>
      </c>
      <c r="D18" s="203"/>
      <c r="E18" s="166"/>
      <c r="F18" s="166"/>
      <c r="G18" s="166"/>
      <c r="H18" s="464"/>
      <c r="I18" s="166" t="str">
        <f t="shared" si="0"/>
        <v>-</v>
      </c>
      <c r="J18" s="166" t="str">
        <f t="shared" si="1"/>
        <v>-</v>
      </c>
      <c r="K18" s="180" t="str">
        <f t="shared" si="2"/>
        <v>-</v>
      </c>
      <c r="L18" s="464"/>
      <c r="M18" s="166" t="e">
        <f>RANK(K18, K$7:$K$21)</f>
        <v>#VALUE!</v>
      </c>
      <c r="N18" s="461"/>
      <c r="O18" s="461"/>
      <c r="P18" s="182" t="s">
        <v>890</v>
      </c>
      <c r="Q18" s="166" t="s">
        <v>890</v>
      </c>
      <c r="R18" s="166" t="s">
        <v>890</v>
      </c>
      <c r="S18" s="182" t="e">
        <f t="shared" si="3"/>
        <v>#VALUE!</v>
      </c>
      <c r="T18" s="455"/>
      <c r="U18" s="182" t="s">
        <v>890</v>
      </c>
      <c r="V18" s="166" t="s">
        <v>890</v>
      </c>
      <c r="W18" s="166" t="s">
        <v>890</v>
      </c>
      <c r="X18" s="182" t="e">
        <f t="shared" si="5"/>
        <v>#VALUE!</v>
      </c>
      <c r="Y18" s="455"/>
      <c r="Z18" s="182" t="s">
        <v>890</v>
      </c>
      <c r="AA18" s="166" t="s">
        <v>890</v>
      </c>
      <c r="AB18" s="166" t="s">
        <v>890</v>
      </c>
      <c r="AC18" s="182" t="e">
        <f t="shared" si="7"/>
        <v>#VALUE!</v>
      </c>
      <c r="AD18" s="455"/>
      <c r="AE18" s="182" t="s">
        <v>890</v>
      </c>
      <c r="AF18" s="166" t="s">
        <v>890</v>
      </c>
      <c r="AG18" s="166" t="s">
        <v>890</v>
      </c>
      <c r="AH18" s="182" t="e">
        <f t="shared" si="9"/>
        <v>#VALUE!</v>
      </c>
      <c r="AI18" s="455"/>
      <c r="AJ18" s="182" t="s">
        <v>890</v>
      </c>
      <c r="AK18" s="166" t="s">
        <v>890</v>
      </c>
      <c r="AL18" s="166" t="s">
        <v>890</v>
      </c>
      <c r="AM18" s="182" t="e">
        <f t="shared" si="11"/>
        <v>#VALUE!</v>
      </c>
      <c r="AN18" s="455"/>
      <c r="AO18" s="182" t="s">
        <v>890</v>
      </c>
      <c r="AP18" s="166" t="s">
        <v>890</v>
      </c>
      <c r="AQ18" s="166" t="s">
        <v>890</v>
      </c>
      <c r="AR18" s="182" t="e">
        <f t="shared" si="13"/>
        <v>#VALUE!</v>
      </c>
      <c r="AS18" s="455"/>
      <c r="AT18" s="182" t="s">
        <v>890</v>
      </c>
      <c r="AU18" s="166" t="s">
        <v>890</v>
      </c>
      <c r="AV18" s="166" t="s">
        <v>890</v>
      </c>
      <c r="AW18" s="182" t="e">
        <f t="shared" si="15"/>
        <v>#VALUE!</v>
      </c>
      <c r="AX18" s="455"/>
      <c r="AZ18" s="182" t="e">
        <f t="shared" si="17"/>
        <v>#N/A</v>
      </c>
      <c r="BA18" s="455"/>
    </row>
    <row r="19" spans="2:53">
      <c r="B19" s="454"/>
      <c r="C19" s="182">
        <v>13</v>
      </c>
      <c r="D19" s="203"/>
      <c r="E19" s="166"/>
      <c r="F19" s="166"/>
      <c r="G19" s="166"/>
      <c r="H19" s="464"/>
      <c r="I19" s="166" t="str">
        <f t="shared" si="0"/>
        <v>-</v>
      </c>
      <c r="J19" s="166" t="str">
        <f t="shared" si="1"/>
        <v>-</v>
      </c>
      <c r="K19" s="180" t="str">
        <f t="shared" si="2"/>
        <v>-</v>
      </c>
      <c r="L19" s="464"/>
      <c r="M19" s="166" t="e">
        <f>RANK(K19, K$7:$K$21)</f>
        <v>#VALUE!</v>
      </c>
      <c r="N19" s="461"/>
      <c r="O19" s="461"/>
      <c r="P19" s="182" t="s">
        <v>890</v>
      </c>
      <c r="Q19" s="166" t="s">
        <v>890</v>
      </c>
      <c r="R19" s="166" t="s">
        <v>890</v>
      </c>
      <c r="S19" s="182" t="e">
        <f t="shared" si="3"/>
        <v>#VALUE!</v>
      </c>
      <c r="T19" s="455"/>
      <c r="U19" s="182" t="s">
        <v>890</v>
      </c>
      <c r="V19" s="166" t="s">
        <v>890</v>
      </c>
      <c r="W19" s="166" t="s">
        <v>890</v>
      </c>
      <c r="X19" s="182" t="e">
        <f t="shared" si="5"/>
        <v>#VALUE!</v>
      </c>
      <c r="Y19" s="455"/>
      <c r="Z19" s="182" t="s">
        <v>890</v>
      </c>
      <c r="AA19" s="166" t="s">
        <v>890</v>
      </c>
      <c r="AB19" s="166" t="s">
        <v>890</v>
      </c>
      <c r="AC19" s="182" t="e">
        <f t="shared" si="7"/>
        <v>#VALUE!</v>
      </c>
      <c r="AD19" s="455"/>
      <c r="AE19" s="182" t="s">
        <v>890</v>
      </c>
      <c r="AF19" s="166" t="s">
        <v>890</v>
      </c>
      <c r="AG19" s="166" t="s">
        <v>890</v>
      </c>
      <c r="AH19" s="182" t="e">
        <f t="shared" si="9"/>
        <v>#VALUE!</v>
      </c>
      <c r="AI19" s="455"/>
      <c r="AJ19" s="182" t="s">
        <v>890</v>
      </c>
      <c r="AK19" s="166" t="s">
        <v>890</v>
      </c>
      <c r="AL19" s="166" t="s">
        <v>890</v>
      </c>
      <c r="AM19" s="182" t="e">
        <f t="shared" si="11"/>
        <v>#VALUE!</v>
      </c>
      <c r="AN19" s="455"/>
      <c r="AO19" s="182" t="s">
        <v>890</v>
      </c>
      <c r="AP19" s="166" t="s">
        <v>890</v>
      </c>
      <c r="AQ19" s="166" t="s">
        <v>890</v>
      </c>
      <c r="AR19" s="182" t="e">
        <f t="shared" si="13"/>
        <v>#VALUE!</v>
      </c>
      <c r="AS19" s="455"/>
      <c r="AT19" s="182" t="s">
        <v>890</v>
      </c>
      <c r="AU19" s="166" t="s">
        <v>890</v>
      </c>
      <c r="AV19" s="166" t="s">
        <v>890</v>
      </c>
      <c r="AW19" s="182" t="e">
        <f t="shared" si="15"/>
        <v>#VALUE!</v>
      </c>
      <c r="AX19" s="455"/>
      <c r="AZ19" s="182" t="e">
        <f t="shared" si="17"/>
        <v>#N/A</v>
      </c>
      <c r="BA19" s="455"/>
    </row>
    <row r="20" spans="2:53">
      <c r="B20" s="454"/>
      <c r="C20" s="182">
        <v>14</v>
      </c>
      <c r="D20" s="203"/>
      <c r="E20" s="166"/>
      <c r="F20" s="166"/>
      <c r="G20" s="166"/>
      <c r="H20" s="464"/>
      <c r="I20" s="166" t="str">
        <f t="shared" si="0"/>
        <v>-</v>
      </c>
      <c r="J20" s="166" t="str">
        <f t="shared" si="1"/>
        <v>-</v>
      </c>
      <c r="K20" s="180" t="str">
        <f t="shared" si="2"/>
        <v>-</v>
      </c>
      <c r="L20" s="464"/>
      <c r="M20" s="166" t="e">
        <f>RANK(K20, K$7:$K$21)</f>
        <v>#VALUE!</v>
      </c>
      <c r="N20" s="461"/>
      <c r="O20" s="461"/>
      <c r="P20" s="182" t="s">
        <v>890</v>
      </c>
      <c r="Q20" s="166" t="s">
        <v>890</v>
      </c>
      <c r="R20" s="166" t="s">
        <v>890</v>
      </c>
      <c r="S20" s="182" t="e">
        <f t="shared" si="3"/>
        <v>#VALUE!</v>
      </c>
      <c r="T20" s="455"/>
      <c r="U20" s="182" t="s">
        <v>890</v>
      </c>
      <c r="V20" s="166" t="s">
        <v>890</v>
      </c>
      <c r="W20" s="166" t="s">
        <v>890</v>
      </c>
      <c r="X20" s="182" t="e">
        <f t="shared" si="5"/>
        <v>#VALUE!</v>
      </c>
      <c r="Y20" s="455"/>
      <c r="Z20" s="182" t="s">
        <v>890</v>
      </c>
      <c r="AA20" s="166" t="s">
        <v>890</v>
      </c>
      <c r="AB20" s="166" t="s">
        <v>890</v>
      </c>
      <c r="AC20" s="182" t="e">
        <f t="shared" si="7"/>
        <v>#VALUE!</v>
      </c>
      <c r="AD20" s="455"/>
      <c r="AE20" s="182" t="s">
        <v>890</v>
      </c>
      <c r="AF20" s="166" t="s">
        <v>890</v>
      </c>
      <c r="AG20" s="166" t="s">
        <v>890</v>
      </c>
      <c r="AH20" s="182" t="e">
        <f t="shared" si="9"/>
        <v>#VALUE!</v>
      </c>
      <c r="AI20" s="455"/>
      <c r="AJ20" s="182" t="s">
        <v>890</v>
      </c>
      <c r="AK20" s="166" t="s">
        <v>890</v>
      </c>
      <c r="AL20" s="166" t="s">
        <v>890</v>
      </c>
      <c r="AM20" s="182" t="e">
        <f t="shared" si="11"/>
        <v>#VALUE!</v>
      </c>
      <c r="AN20" s="455"/>
      <c r="AO20" s="182" t="s">
        <v>890</v>
      </c>
      <c r="AP20" s="166" t="s">
        <v>890</v>
      </c>
      <c r="AQ20" s="166" t="s">
        <v>890</v>
      </c>
      <c r="AR20" s="182" t="e">
        <f t="shared" si="13"/>
        <v>#VALUE!</v>
      </c>
      <c r="AS20" s="455"/>
      <c r="AT20" s="182" t="s">
        <v>890</v>
      </c>
      <c r="AU20" s="166" t="s">
        <v>890</v>
      </c>
      <c r="AV20" s="166" t="s">
        <v>890</v>
      </c>
      <c r="AW20" s="182" t="e">
        <f t="shared" si="15"/>
        <v>#VALUE!</v>
      </c>
      <c r="AX20" s="455"/>
      <c r="AZ20" s="182" t="e">
        <f t="shared" si="17"/>
        <v>#N/A</v>
      </c>
      <c r="BA20" s="455"/>
    </row>
    <row r="21" spans="2:53">
      <c r="B21" s="454"/>
      <c r="C21" s="182">
        <v>15</v>
      </c>
      <c r="D21" s="203"/>
      <c r="E21" s="166"/>
      <c r="F21" s="166"/>
      <c r="G21" s="166"/>
      <c r="H21" s="465"/>
      <c r="I21" s="166"/>
      <c r="J21" s="166"/>
      <c r="K21" s="180"/>
      <c r="L21" s="465"/>
      <c r="M21" s="166" t="e">
        <f>RANK(K21, K$7:$K$21)</f>
        <v>#N/A</v>
      </c>
      <c r="N21" s="461"/>
      <c r="O21" s="461"/>
      <c r="P21" s="182" t="s">
        <v>890</v>
      </c>
      <c r="Q21" s="166" t="s">
        <v>890</v>
      </c>
      <c r="R21" s="166" t="s">
        <v>890</v>
      </c>
      <c r="S21" s="182" t="e">
        <f t="shared" si="3"/>
        <v>#VALUE!</v>
      </c>
      <c r="T21" s="455"/>
      <c r="U21" s="182" t="s">
        <v>890</v>
      </c>
      <c r="V21" s="166" t="s">
        <v>890</v>
      </c>
      <c r="W21" s="166" t="s">
        <v>890</v>
      </c>
      <c r="X21" s="182" t="e">
        <f t="shared" si="5"/>
        <v>#VALUE!</v>
      </c>
      <c r="Y21" s="455"/>
      <c r="Z21" s="182" t="s">
        <v>890</v>
      </c>
      <c r="AA21" s="166" t="s">
        <v>890</v>
      </c>
      <c r="AB21" s="166" t="s">
        <v>890</v>
      </c>
      <c r="AC21" s="182" t="e">
        <f t="shared" si="7"/>
        <v>#VALUE!</v>
      </c>
      <c r="AD21" s="455"/>
      <c r="AE21" s="182" t="s">
        <v>890</v>
      </c>
      <c r="AF21" s="166" t="s">
        <v>890</v>
      </c>
      <c r="AG21" s="166" t="s">
        <v>890</v>
      </c>
      <c r="AH21" s="182" t="e">
        <f t="shared" si="9"/>
        <v>#VALUE!</v>
      </c>
      <c r="AI21" s="455"/>
      <c r="AJ21" s="182" t="s">
        <v>890</v>
      </c>
      <c r="AK21" s="166" t="s">
        <v>890</v>
      </c>
      <c r="AL21" s="166" t="s">
        <v>890</v>
      </c>
      <c r="AM21" s="182" t="e">
        <f t="shared" si="11"/>
        <v>#VALUE!</v>
      </c>
      <c r="AN21" s="455"/>
      <c r="AO21" s="182" t="s">
        <v>890</v>
      </c>
      <c r="AP21" s="166" t="s">
        <v>890</v>
      </c>
      <c r="AQ21" s="166" t="s">
        <v>890</v>
      </c>
      <c r="AR21" s="182" t="e">
        <f t="shared" si="13"/>
        <v>#VALUE!</v>
      </c>
      <c r="AS21" s="455"/>
      <c r="AT21" s="182" t="s">
        <v>890</v>
      </c>
      <c r="AU21" s="166" t="s">
        <v>890</v>
      </c>
      <c r="AV21" s="166" t="s">
        <v>890</v>
      </c>
      <c r="AW21" s="182" t="e">
        <f t="shared" si="15"/>
        <v>#VALUE!</v>
      </c>
      <c r="AX21" s="455"/>
      <c r="AZ21" s="182" t="e">
        <f t="shared" si="17"/>
        <v>#N/A</v>
      </c>
      <c r="BA21" s="455"/>
    </row>
    <row r="22" spans="2:53" ht="15.5">
      <c r="B22" s="493" t="s">
        <v>163</v>
      </c>
      <c r="C22" s="494"/>
      <c r="D22" s="494"/>
      <c r="E22" s="494"/>
      <c r="F22" s="494"/>
      <c r="G22" s="494"/>
      <c r="H22" s="494"/>
      <c r="I22" s="183"/>
      <c r="J22" s="183"/>
      <c r="K22" s="183"/>
      <c r="L22" s="183"/>
      <c r="M22" s="178"/>
      <c r="N22" s="480" t="s">
        <v>156</v>
      </c>
      <c r="O22" s="480" t="s">
        <v>105</v>
      </c>
      <c r="P22" s="476">
        <f>P2+7</f>
        <v>46119</v>
      </c>
      <c r="Q22" s="454"/>
      <c r="R22" s="454"/>
      <c r="S22" s="454"/>
      <c r="T22" s="454"/>
      <c r="U22" s="473">
        <f>P22+1</f>
        <v>46120</v>
      </c>
      <c r="V22" s="474"/>
      <c r="W22" s="474"/>
      <c r="X22" s="474"/>
      <c r="Y22" s="475"/>
      <c r="Z22" s="473">
        <f>U22+1</f>
        <v>46121</v>
      </c>
      <c r="AA22" s="474"/>
      <c r="AB22" s="474"/>
      <c r="AC22" s="474"/>
      <c r="AD22" s="475"/>
      <c r="AE22" s="473">
        <f>Z22+1</f>
        <v>46122</v>
      </c>
      <c r="AF22" s="474"/>
      <c r="AG22" s="474"/>
      <c r="AH22" s="474"/>
      <c r="AI22" s="475"/>
      <c r="AJ22" s="473">
        <f>AE22+1</f>
        <v>46123</v>
      </c>
      <c r="AK22" s="474"/>
      <c r="AL22" s="474"/>
      <c r="AM22" s="474"/>
      <c r="AN22" s="475"/>
      <c r="AO22" s="473">
        <f>AJ22+1</f>
        <v>46124</v>
      </c>
      <c r="AP22" s="474"/>
      <c r="AQ22" s="474"/>
      <c r="AR22" s="474"/>
      <c r="AS22" s="475"/>
      <c r="AT22" s="473">
        <f>AO22+1</f>
        <v>46125</v>
      </c>
      <c r="AU22" s="474"/>
      <c r="AV22" s="474"/>
      <c r="AW22" s="474"/>
      <c r="AX22" s="475"/>
    </row>
    <row r="23" spans="2:53" ht="15.5">
      <c r="B23" s="479"/>
      <c r="C23" s="479"/>
      <c r="D23" s="479"/>
      <c r="E23" s="479"/>
      <c r="F23" s="479"/>
      <c r="G23" s="479"/>
      <c r="H23" s="479"/>
      <c r="I23" s="184"/>
      <c r="J23" s="184"/>
      <c r="K23" s="184"/>
      <c r="L23" s="184"/>
      <c r="M23" s="179"/>
      <c r="N23" s="481"/>
      <c r="O23" s="481"/>
      <c r="P23" s="476" t="s">
        <v>336</v>
      </c>
      <c r="Q23" s="454"/>
      <c r="R23" s="454"/>
      <c r="S23" s="454"/>
      <c r="T23" s="454"/>
      <c r="U23" s="476" t="s">
        <v>337</v>
      </c>
      <c r="V23" s="454"/>
      <c r="W23" s="454"/>
      <c r="X23" s="454"/>
      <c r="Y23" s="454"/>
      <c r="Z23" s="476" t="s">
        <v>338</v>
      </c>
      <c r="AA23" s="454"/>
      <c r="AB23" s="454"/>
      <c r="AC23" s="454"/>
      <c r="AD23" s="454"/>
      <c r="AE23" s="476" t="s">
        <v>339</v>
      </c>
      <c r="AF23" s="454"/>
      <c r="AG23" s="454"/>
      <c r="AH23" s="454"/>
      <c r="AI23" s="454"/>
      <c r="AJ23" s="476" t="s">
        <v>340</v>
      </c>
      <c r="AK23" s="454"/>
      <c r="AL23" s="454"/>
      <c r="AM23" s="454"/>
      <c r="AN23" s="454"/>
      <c r="AO23" s="476" t="s">
        <v>341</v>
      </c>
      <c r="AP23" s="454"/>
      <c r="AQ23" s="454"/>
      <c r="AR23" s="454"/>
      <c r="AS23" s="454"/>
      <c r="AT23" s="476" t="s">
        <v>342</v>
      </c>
      <c r="AU23" s="454"/>
      <c r="AV23" s="454"/>
      <c r="AW23" s="454"/>
      <c r="AX23" s="454"/>
    </row>
    <row r="24" spans="2:53">
      <c r="B24" s="461" t="s">
        <v>399</v>
      </c>
      <c r="C24" s="461" t="s">
        <v>409</v>
      </c>
      <c r="D24" s="461"/>
      <c r="E24" s="461" t="s">
        <v>400</v>
      </c>
      <c r="F24" s="461"/>
      <c r="G24" s="461"/>
      <c r="H24" s="482" t="s">
        <v>396</v>
      </c>
      <c r="I24" s="461" t="s">
        <v>401</v>
      </c>
      <c r="J24" s="461"/>
      <c r="K24" s="461"/>
      <c r="L24" s="482" t="s">
        <v>396</v>
      </c>
      <c r="M24" s="480" t="s">
        <v>397</v>
      </c>
      <c r="N24" s="461"/>
      <c r="O24" s="461" t="s">
        <v>402</v>
      </c>
      <c r="P24" s="466" t="s">
        <v>735</v>
      </c>
      <c r="Q24" s="467"/>
      <c r="R24" s="467"/>
      <c r="S24" s="468"/>
      <c r="T24" s="461" t="s">
        <v>731</v>
      </c>
      <c r="U24" s="466" t="s">
        <v>735</v>
      </c>
      <c r="V24" s="467"/>
      <c r="W24" s="467"/>
      <c r="X24" s="468"/>
      <c r="Y24" s="461" t="s">
        <v>731</v>
      </c>
      <c r="Z24" s="466" t="s">
        <v>735</v>
      </c>
      <c r="AA24" s="467"/>
      <c r="AB24" s="467"/>
      <c r="AC24" s="468"/>
      <c r="AD24" s="461" t="s">
        <v>731</v>
      </c>
      <c r="AE24" s="466" t="s">
        <v>735</v>
      </c>
      <c r="AF24" s="467"/>
      <c r="AG24" s="467"/>
      <c r="AH24" s="468"/>
      <c r="AI24" s="461" t="s">
        <v>731</v>
      </c>
      <c r="AJ24" s="466" t="s">
        <v>735</v>
      </c>
      <c r="AK24" s="467"/>
      <c r="AL24" s="467"/>
      <c r="AM24" s="468"/>
      <c r="AN24" s="461" t="s">
        <v>731</v>
      </c>
      <c r="AO24" s="466" t="s">
        <v>735</v>
      </c>
      <c r="AP24" s="467"/>
      <c r="AQ24" s="467"/>
      <c r="AR24" s="468"/>
      <c r="AS24" s="461" t="s">
        <v>731</v>
      </c>
      <c r="AT24" s="466" t="s">
        <v>735</v>
      </c>
      <c r="AU24" s="467"/>
      <c r="AV24" s="467"/>
      <c r="AW24" s="468"/>
      <c r="AX24" s="461" t="s">
        <v>731</v>
      </c>
      <c r="BA24" s="461" t="s">
        <v>731</v>
      </c>
    </row>
    <row r="25" spans="2:53">
      <c r="B25" s="461"/>
      <c r="C25" s="461"/>
      <c r="D25" s="461"/>
      <c r="E25" s="461" t="s">
        <v>403</v>
      </c>
      <c r="F25" s="461"/>
      <c r="G25" s="461"/>
      <c r="H25" s="483"/>
      <c r="I25" s="461" t="s">
        <v>403</v>
      </c>
      <c r="J25" s="461"/>
      <c r="K25" s="461"/>
      <c r="L25" s="483"/>
      <c r="M25" s="485"/>
      <c r="N25" s="461"/>
      <c r="O25" s="461"/>
      <c r="P25" s="466" t="s">
        <v>737</v>
      </c>
      <c r="Q25" s="467"/>
      <c r="R25" s="467"/>
      <c r="S25" s="468"/>
      <c r="T25" s="461"/>
      <c r="U25" s="466" t="s">
        <v>737</v>
      </c>
      <c r="V25" s="467"/>
      <c r="W25" s="467"/>
      <c r="X25" s="468"/>
      <c r="Y25" s="461"/>
      <c r="Z25" s="466" t="s">
        <v>737</v>
      </c>
      <c r="AA25" s="467"/>
      <c r="AB25" s="467"/>
      <c r="AC25" s="468"/>
      <c r="AD25" s="461"/>
      <c r="AE25" s="466" t="s">
        <v>737</v>
      </c>
      <c r="AF25" s="467"/>
      <c r="AG25" s="467"/>
      <c r="AH25" s="468"/>
      <c r="AI25" s="461"/>
      <c r="AJ25" s="466" t="s">
        <v>737</v>
      </c>
      <c r="AK25" s="467"/>
      <c r="AL25" s="467"/>
      <c r="AM25" s="468"/>
      <c r="AN25" s="461"/>
      <c r="AO25" s="466" t="s">
        <v>737</v>
      </c>
      <c r="AP25" s="467"/>
      <c r="AQ25" s="467"/>
      <c r="AR25" s="468"/>
      <c r="AS25" s="461"/>
      <c r="AT25" s="466" t="s">
        <v>737</v>
      </c>
      <c r="AU25" s="467"/>
      <c r="AV25" s="467"/>
      <c r="AW25" s="468"/>
      <c r="AX25" s="461"/>
      <c r="BA25" s="461"/>
    </row>
    <row r="26" spans="2:53">
      <c r="B26" s="461"/>
      <c r="C26" s="461"/>
      <c r="D26" s="461"/>
      <c r="E26" s="269" t="s">
        <v>405</v>
      </c>
      <c r="F26" s="269" t="s">
        <v>406</v>
      </c>
      <c r="G26" s="269" t="s">
        <v>407</v>
      </c>
      <c r="H26" s="484"/>
      <c r="I26" s="269" t="s">
        <v>405</v>
      </c>
      <c r="J26" s="269" t="s">
        <v>406</v>
      </c>
      <c r="K26" s="269" t="s">
        <v>407</v>
      </c>
      <c r="L26" s="484"/>
      <c r="M26" s="481"/>
      <c r="N26" s="461"/>
      <c r="O26" s="461"/>
      <c r="P26" s="269" t="s">
        <v>738</v>
      </c>
      <c r="Q26" s="269" t="s">
        <v>739</v>
      </c>
      <c r="R26" s="269" t="s">
        <v>740</v>
      </c>
      <c r="S26" s="269" t="s">
        <v>733</v>
      </c>
      <c r="T26" s="461"/>
      <c r="U26" s="269" t="s">
        <v>738</v>
      </c>
      <c r="V26" s="269" t="s">
        <v>739</v>
      </c>
      <c r="W26" s="269" t="s">
        <v>740</v>
      </c>
      <c r="X26" s="269" t="s">
        <v>733</v>
      </c>
      <c r="Y26" s="461"/>
      <c r="Z26" s="269" t="s">
        <v>738</v>
      </c>
      <c r="AA26" s="269" t="s">
        <v>739</v>
      </c>
      <c r="AB26" s="269" t="s">
        <v>740</v>
      </c>
      <c r="AC26" s="269" t="s">
        <v>733</v>
      </c>
      <c r="AD26" s="461"/>
      <c r="AE26" s="269" t="s">
        <v>738</v>
      </c>
      <c r="AF26" s="269" t="s">
        <v>739</v>
      </c>
      <c r="AG26" s="269" t="s">
        <v>740</v>
      </c>
      <c r="AH26" s="269" t="s">
        <v>733</v>
      </c>
      <c r="AI26" s="461"/>
      <c r="AJ26" s="269" t="s">
        <v>738</v>
      </c>
      <c r="AK26" s="269" t="s">
        <v>739</v>
      </c>
      <c r="AL26" s="269" t="s">
        <v>740</v>
      </c>
      <c r="AM26" s="269" t="s">
        <v>733</v>
      </c>
      <c r="AN26" s="461"/>
      <c r="AO26" s="269" t="s">
        <v>738</v>
      </c>
      <c r="AP26" s="269" t="s">
        <v>739</v>
      </c>
      <c r="AQ26" s="269" t="s">
        <v>740</v>
      </c>
      <c r="AR26" s="269" t="s">
        <v>733</v>
      </c>
      <c r="AS26" s="461"/>
      <c r="AT26" s="269" t="s">
        <v>738</v>
      </c>
      <c r="AU26" s="269" t="s">
        <v>739</v>
      </c>
      <c r="AV26" s="269" t="s">
        <v>740</v>
      </c>
      <c r="AW26" s="269" t="s">
        <v>733</v>
      </c>
      <c r="AX26" s="461"/>
      <c r="AZ26" s="269" t="s">
        <v>397</v>
      </c>
      <c r="BA26" s="461"/>
    </row>
    <row r="27" spans="2:53">
      <c r="B27" s="501" t="s">
        <v>408</v>
      </c>
      <c r="C27" s="182">
        <v>1</v>
      </c>
      <c r="D27" s="203"/>
      <c r="E27" s="166"/>
      <c r="F27" s="166"/>
      <c r="G27" s="166"/>
      <c r="H27" s="463" t="e">
        <f>AVERAGE(G27:G41)</f>
        <v>#DIV/0!</v>
      </c>
      <c r="I27" s="166" t="str">
        <f t="shared" ref="I27:I40" si="19">IFERROR(AVERAGE(P27,U27,Z27,AE27,AJ27,AO27,AT27),"-")</f>
        <v>-</v>
      </c>
      <c r="J27" s="166" t="str">
        <f t="shared" ref="J27:J40" si="20">IFERROR(AVERAGE(Q27,V27,AA27,AF27,AK27,AP27,AU27),"-")</f>
        <v>-</v>
      </c>
      <c r="K27" s="180" t="str">
        <f t="shared" ref="K27:K40" si="21">IFERROR(AVERAGE(R27,W27,AB27,AG27,AL27,AQ27,AV27),"-")</f>
        <v>-</v>
      </c>
      <c r="L27" s="463" t="str">
        <f>IFERROR(AVERAGE(K27:K41),"-")</f>
        <v>-</v>
      </c>
      <c r="M27" s="181" t="e">
        <f>RANK(K27, K$27:$K$41)</f>
        <v>#VALUE!</v>
      </c>
      <c r="N27" s="461"/>
      <c r="O27" s="461"/>
      <c r="P27" s="182"/>
      <c r="Q27" s="166"/>
      <c r="R27" s="166"/>
      <c r="S27" s="182" t="e">
        <f>RANK(R27, R$27:R$41)</f>
        <v>#N/A</v>
      </c>
      <c r="T27" s="487" t="e">
        <f>AVERAGE(R27:R41)</f>
        <v>#DIV/0!</v>
      </c>
      <c r="U27" s="182"/>
      <c r="V27" s="166"/>
      <c r="W27" s="166"/>
      <c r="X27" s="182" t="e">
        <f t="shared" ref="X27:X41" si="22">RANK(W27, W$27:W$41)</f>
        <v>#N/A</v>
      </c>
      <c r="Y27" s="487" t="e">
        <f t="shared" ref="Y27" si="23">AVERAGE(W27:W41)</f>
        <v>#DIV/0!</v>
      </c>
      <c r="Z27" s="182"/>
      <c r="AA27" s="166"/>
      <c r="AB27" s="166"/>
      <c r="AC27" s="182" t="e">
        <f t="shared" ref="AC27:AC41" si="24">RANK(AB27, AB$27:AB$41)</f>
        <v>#N/A</v>
      </c>
      <c r="AD27" s="487" t="e">
        <f t="shared" ref="AD27" si="25">AVERAGE(AB27:AB41)</f>
        <v>#DIV/0!</v>
      </c>
      <c r="AE27" s="182"/>
      <c r="AF27" s="166"/>
      <c r="AG27" s="166"/>
      <c r="AH27" s="182" t="e">
        <f t="shared" ref="AH27:AH41" si="26">RANK(AG27, AG$27:AG$41)</f>
        <v>#N/A</v>
      </c>
      <c r="AI27" s="487" t="e">
        <f t="shared" ref="AI27" si="27">AVERAGE(AG27:AG41)</f>
        <v>#DIV/0!</v>
      </c>
      <c r="AJ27" s="182"/>
      <c r="AK27" s="166"/>
      <c r="AL27" s="166"/>
      <c r="AM27" s="182" t="e">
        <f t="shared" ref="AM27:AM41" si="28">RANK(AL27, AL$27:AL$41)</f>
        <v>#N/A</v>
      </c>
      <c r="AN27" s="487" t="e">
        <f t="shared" ref="AN27" si="29">AVERAGE(AL27:AL41)</f>
        <v>#DIV/0!</v>
      </c>
      <c r="AO27" s="182"/>
      <c r="AP27" s="166"/>
      <c r="AQ27" s="166"/>
      <c r="AR27" s="182" t="e">
        <f t="shared" ref="AR27:AR41" si="30">RANK(AQ27, AQ$27:AQ$41)</f>
        <v>#N/A</v>
      </c>
      <c r="AS27" s="487" t="e">
        <f t="shared" ref="AS27" si="31">AVERAGE(AQ27:AQ41)</f>
        <v>#DIV/0!</v>
      </c>
      <c r="AT27" s="182"/>
      <c r="AU27" s="166"/>
      <c r="AV27" s="166"/>
      <c r="AW27" s="182" t="e">
        <f t="shared" ref="AW27:AW41" si="32">RANK(AV27, AV$27:AV$41)</f>
        <v>#N/A</v>
      </c>
      <c r="AX27" s="487" t="e">
        <f t="shared" ref="AX27" si="33">AVERAGE(AV27:AV41)</f>
        <v>#DIV/0!</v>
      </c>
      <c r="AZ27" s="182" t="e">
        <f t="shared" ref="AZ27:AZ41" si="34">RANK(AY27, AY$27:AY$41)</f>
        <v>#N/A</v>
      </c>
      <c r="BA27" s="487" t="e">
        <f t="shared" ref="BA27" si="35">AVERAGE(AY27:AY41)</f>
        <v>#DIV/0!</v>
      </c>
    </row>
    <row r="28" spans="2:53">
      <c r="B28" s="454"/>
      <c r="C28" s="182">
        <v>2</v>
      </c>
      <c r="D28" s="203"/>
      <c r="E28" s="166"/>
      <c r="F28" s="166"/>
      <c r="G28" s="166"/>
      <c r="H28" s="464"/>
      <c r="I28" s="166" t="str">
        <f t="shared" si="19"/>
        <v>-</v>
      </c>
      <c r="J28" s="166" t="str">
        <f t="shared" si="20"/>
        <v>-</v>
      </c>
      <c r="K28" s="180" t="str">
        <f t="shared" si="21"/>
        <v>-</v>
      </c>
      <c r="L28" s="464"/>
      <c r="M28" s="181" t="e">
        <f>RANK(K28, K$27:$K$41)</f>
        <v>#VALUE!</v>
      </c>
      <c r="N28" s="461"/>
      <c r="O28" s="461"/>
      <c r="P28" s="182"/>
      <c r="Q28" s="166"/>
      <c r="R28" s="166"/>
      <c r="S28" s="182" t="e">
        <f t="shared" ref="S28:S41" si="36">RANK(R28, R$27:R$41)</f>
        <v>#N/A</v>
      </c>
      <c r="T28" s="488"/>
      <c r="U28" s="182"/>
      <c r="V28" s="166"/>
      <c r="W28" s="166"/>
      <c r="X28" s="182" t="e">
        <f t="shared" si="22"/>
        <v>#N/A</v>
      </c>
      <c r="Y28" s="488"/>
      <c r="Z28" s="182"/>
      <c r="AA28" s="166"/>
      <c r="AB28" s="166"/>
      <c r="AC28" s="182" t="e">
        <f t="shared" si="24"/>
        <v>#N/A</v>
      </c>
      <c r="AD28" s="488"/>
      <c r="AE28" s="182"/>
      <c r="AF28" s="166"/>
      <c r="AG28" s="166"/>
      <c r="AH28" s="182" t="e">
        <f t="shared" si="26"/>
        <v>#N/A</v>
      </c>
      <c r="AI28" s="488"/>
      <c r="AJ28" s="182"/>
      <c r="AK28" s="166"/>
      <c r="AL28" s="166"/>
      <c r="AM28" s="182" t="e">
        <f t="shared" si="28"/>
        <v>#N/A</v>
      </c>
      <c r="AN28" s="488"/>
      <c r="AO28" s="182"/>
      <c r="AP28" s="166"/>
      <c r="AQ28" s="166"/>
      <c r="AR28" s="182" t="e">
        <f t="shared" si="30"/>
        <v>#N/A</v>
      </c>
      <c r="AS28" s="488"/>
      <c r="AT28" s="182"/>
      <c r="AU28" s="166"/>
      <c r="AV28" s="166"/>
      <c r="AW28" s="182" t="e">
        <f t="shared" si="32"/>
        <v>#N/A</v>
      </c>
      <c r="AX28" s="488"/>
      <c r="AZ28" s="182" t="e">
        <f t="shared" si="34"/>
        <v>#N/A</v>
      </c>
      <c r="BA28" s="488"/>
    </row>
    <row r="29" spans="2:53">
      <c r="B29" s="454"/>
      <c r="C29" s="182">
        <v>3</v>
      </c>
      <c r="D29" s="203"/>
      <c r="E29" s="166"/>
      <c r="F29" s="166"/>
      <c r="G29" s="166"/>
      <c r="H29" s="464"/>
      <c r="I29" s="166" t="str">
        <f t="shared" si="19"/>
        <v>-</v>
      </c>
      <c r="J29" s="166" t="str">
        <f t="shared" si="20"/>
        <v>-</v>
      </c>
      <c r="K29" s="180" t="str">
        <f t="shared" si="21"/>
        <v>-</v>
      </c>
      <c r="L29" s="464"/>
      <c r="M29" s="181" t="e">
        <f>RANK(K29, K$27:$K$41)</f>
        <v>#VALUE!</v>
      </c>
      <c r="N29" s="461"/>
      <c r="O29" s="461"/>
      <c r="P29" s="182"/>
      <c r="Q29" s="166"/>
      <c r="R29" s="166"/>
      <c r="S29" s="182" t="e">
        <f t="shared" si="36"/>
        <v>#N/A</v>
      </c>
      <c r="T29" s="488"/>
      <c r="U29" s="182"/>
      <c r="V29" s="166"/>
      <c r="W29" s="166"/>
      <c r="X29" s="182" t="e">
        <f t="shared" si="22"/>
        <v>#N/A</v>
      </c>
      <c r="Y29" s="488"/>
      <c r="Z29" s="182"/>
      <c r="AA29" s="166"/>
      <c r="AB29" s="166"/>
      <c r="AC29" s="182" t="e">
        <f t="shared" si="24"/>
        <v>#N/A</v>
      </c>
      <c r="AD29" s="488"/>
      <c r="AE29" s="182"/>
      <c r="AF29" s="166"/>
      <c r="AG29" s="166"/>
      <c r="AH29" s="182" t="e">
        <f t="shared" si="26"/>
        <v>#N/A</v>
      </c>
      <c r="AI29" s="488"/>
      <c r="AJ29" s="182"/>
      <c r="AK29" s="166"/>
      <c r="AL29" s="166"/>
      <c r="AM29" s="182" t="e">
        <f t="shared" si="28"/>
        <v>#N/A</v>
      </c>
      <c r="AN29" s="488"/>
      <c r="AO29" s="182"/>
      <c r="AP29" s="166"/>
      <c r="AQ29" s="166"/>
      <c r="AR29" s="182" t="e">
        <f t="shared" si="30"/>
        <v>#N/A</v>
      </c>
      <c r="AS29" s="488"/>
      <c r="AT29" s="182"/>
      <c r="AU29" s="166"/>
      <c r="AV29" s="166"/>
      <c r="AW29" s="182" t="e">
        <f t="shared" si="32"/>
        <v>#N/A</v>
      </c>
      <c r="AX29" s="488"/>
      <c r="AZ29" s="182" t="e">
        <f t="shared" si="34"/>
        <v>#N/A</v>
      </c>
      <c r="BA29" s="488"/>
    </row>
    <row r="30" spans="2:53">
      <c r="B30" s="454"/>
      <c r="C30" s="182">
        <v>4</v>
      </c>
      <c r="D30" s="203"/>
      <c r="E30" s="166"/>
      <c r="F30" s="166"/>
      <c r="G30" s="166"/>
      <c r="H30" s="464"/>
      <c r="I30" s="166" t="str">
        <f t="shared" si="19"/>
        <v>-</v>
      </c>
      <c r="J30" s="166" t="str">
        <f t="shared" si="20"/>
        <v>-</v>
      </c>
      <c r="K30" s="180" t="str">
        <f t="shared" si="21"/>
        <v>-</v>
      </c>
      <c r="L30" s="464"/>
      <c r="M30" s="181" t="e">
        <f>RANK(K30, K$27:$K$41)</f>
        <v>#VALUE!</v>
      </c>
      <c r="N30" s="461"/>
      <c r="O30" s="461"/>
      <c r="P30" s="182"/>
      <c r="Q30" s="166"/>
      <c r="R30" s="166"/>
      <c r="S30" s="182" t="e">
        <f t="shared" si="36"/>
        <v>#N/A</v>
      </c>
      <c r="T30" s="488"/>
      <c r="U30" s="182"/>
      <c r="V30" s="166"/>
      <c r="W30" s="166"/>
      <c r="X30" s="182" t="e">
        <f t="shared" si="22"/>
        <v>#N/A</v>
      </c>
      <c r="Y30" s="488"/>
      <c r="Z30" s="182"/>
      <c r="AA30" s="166"/>
      <c r="AB30" s="166"/>
      <c r="AC30" s="182" t="e">
        <f t="shared" si="24"/>
        <v>#N/A</v>
      </c>
      <c r="AD30" s="488"/>
      <c r="AE30" s="182"/>
      <c r="AF30" s="166"/>
      <c r="AG30" s="166"/>
      <c r="AH30" s="182" t="e">
        <f t="shared" si="26"/>
        <v>#N/A</v>
      </c>
      <c r="AI30" s="488"/>
      <c r="AJ30" s="182"/>
      <c r="AK30" s="166"/>
      <c r="AL30" s="166"/>
      <c r="AM30" s="182" t="e">
        <f t="shared" si="28"/>
        <v>#N/A</v>
      </c>
      <c r="AN30" s="488"/>
      <c r="AO30" s="182"/>
      <c r="AP30" s="166"/>
      <c r="AQ30" s="166"/>
      <c r="AR30" s="182" t="e">
        <f t="shared" si="30"/>
        <v>#N/A</v>
      </c>
      <c r="AS30" s="488"/>
      <c r="AT30" s="182"/>
      <c r="AU30" s="166"/>
      <c r="AV30" s="166"/>
      <c r="AW30" s="182" t="e">
        <f t="shared" si="32"/>
        <v>#N/A</v>
      </c>
      <c r="AX30" s="488"/>
      <c r="AZ30" s="182" t="e">
        <f t="shared" si="34"/>
        <v>#N/A</v>
      </c>
      <c r="BA30" s="488"/>
    </row>
    <row r="31" spans="2:53">
      <c r="B31" s="454"/>
      <c r="C31" s="182">
        <v>5</v>
      </c>
      <c r="D31" s="203"/>
      <c r="E31" s="166"/>
      <c r="F31" s="166"/>
      <c r="G31" s="166"/>
      <c r="H31" s="464"/>
      <c r="I31" s="166" t="str">
        <f t="shared" si="19"/>
        <v>-</v>
      </c>
      <c r="J31" s="166" t="str">
        <f t="shared" si="20"/>
        <v>-</v>
      </c>
      <c r="K31" s="180" t="str">
        <f t="shared" si="21"/>
        <v>-</v>
      </c>
      <c r="L31" s="464"/>
      <c r="M31" s="181" t="e">
        <f>RANK(K31, K$27:$K$41)</f>
        <v>#VALUE!</v>
      </c>
      <c r="N31" s="461"/>
      <c r="O31" s="461"/>
      <c r="P31" s="182"/>
      <c r="Q31" s="166"/>
      <c r="R31" s="166"/>
      <c r="S31" s="182" t="e">
        <f t="shared" si="36"/>
        <v>#N/A</v>
      </c>
      <c r="T31" s="488"/>
      <c r="U31" s="182"/>
      <c r="V31" s="166"/>
      <c r="W31" s="166"/>
      <c r="X31" s="182" t="e">
        <f t="shared" si="22"/>
        <v>#N/A</v>
      </c>
      <c r="Y31" s="488"/>
      <c r="Z31" s="182"/>
      <c r="AA31" s="166"/>
      <c r="AB31" s="166"/>
      <c r="AC31" s="182" t="e">
        <f t="shared" si="24"/>
        <v>#N/A</v>
      </c>
      <c r="AD31" s="488"/>
      <c r="AE31" s="182"/>
      <c r="AF31" s="166"/>
      <c r="AG31" s="166"/>
      <c r="AH31" s="182" t="e">
        <f t="shared" si="26"/>
        <v>#N/A</v>
      </c>
      <c r="AI31" s="488"/>
      <c r="AJ31" s="182"/>
      <c r="AK31" s="166"/>
      <c r="AL31" s="166"/>
      <c r="AM31" s="182" t="e">
        <f t="shared" si="28"/>
        <v>#N/A</v>
      </c>
      <c r="AN31" s="488"/>
      <c r="AO31" s="182"/>
      <c r="AP31" s="166"/>
      <c r="AQ31" s="166"/>
      <c r="AR31" s="182" t="e">
        <f t="shared" si="30"/>
        <v>#N/A</v>
      </c>
      <c r="AS31" s="488"/>
      <c r="AT31" s="182"/>
      <c r="AU31" s="166"/>
      <c r="AV31" s="166"/>
      <c r="AW31" s="182" t="e">
        <f t="shared" si="32"/>
        <v>#N/A</v>
      </c>
      <c r="AX31" s="488"/>
      <c r="AZ31" s="182" t="e">
        <f t="shared" si="34"/>
        <v>#N/A</v>
      </c>
      <c r="BA31" s="488"/>
    </row>
    <row r="32" spans="2:53">
      <c r="B32" s="454"/>
      <c r="C32" s="182">
        <v>6</v>
      </c>
      <c r="D32" s="203"/>
      <c r="E32" s="166"/>
      <c r="F32" s="166"/>
      <c r="G32" s="166"/>
      <c r="H32" s="464"/>
      <c r="I32" s="166" t="str">
        <f t="shared" si="19"/>
        <v>-</v>
      </c>
      <c r="J32" s="166" t="str">
        <f t="shared" si="20"/>
        <v>-</v>
      </c>
      <c r="K32" s="180" t="str">
        <f t="shared" si="21"/>
        <v>-</v>
      </c>
      <c r="L32" s="464"/>
      <c r="M32" s="181" t="e">
        <f>RANK(K32, K$27:$K$41)</f>
        <v>#VALUE!</v>
      </c>
      <c r="N32" s="461"/>
      <c r="O32" s="461"/>
      <c r="P32" s="182"/>
      <c r="Q32" s="166"/>
      <c r="R32" s="166"/>
      <c r="S32" s="182" t="e">
        <f t="shared" si="36"/>
        <v>#N/A</v>
      </c>
      <c r="T32" s="488"/>
      <c r="U32" s="182"/>
      <c r="V32" s="166"/>
      <c r="W32" s="166"/>
      <c r="X32" s="182" t="e">
        <f t="shared" si="22"/>
        <v>#N/A</v>
      </c>
      <c r="Y32" s="488"/>
      <c r="Z32" s="182"/>
      <c r="AA32" s="166"/>
      <c r="AB32" s="166"/>
      <c r="AC32" s="182" t="e">
        <f t="shared" si="24"/>
        <v>#N/A</v>
      </c>
      <c r="AD32" s="488"/>
      <c r="AE32" s="182"/>
      <c r="AF32" s="166"/>
      <c r="AG32" s="166"/>
      <c r="AH32" s="182" t="e">
        <f t="shared" si="26"/>
        <v>#N/A</v>
      </c>
      <c r="AI32" s="488"/>
      <c r="AJ32" s="182"/>
      <c r="AK32" s="166"/>
      <c r="AL32" s="166"/>
      <c r="AM32" s="182" t="e">
        <f t="shared" si="28"/>
        <v>#N/A</v>
      </c>
      <c r="AN32" s="488"/>
      <c r="AO32" s="182"/>
      <c r="AP32" s="166"/>
      <c r="AQ32" s="166"/>
      <c r="AR32" s="182" t="e">
        <f t="shared" si="30"/>
        <v>#N/A</v>
      </c>
      <c r="AS32" s="488"/>
      <c r="AT32" s="182"/>
      <c r="AU32" s="166"/>
      <c r="AV32" s="166"/>
      <c r="AW32" s="182" t="e">
        <f t="shared" si="32"/>
        <v>#N/A</v>
      </c>
      <c r="AX32" s="488"/>
      <c r="AZ32" s="182" t="e">
        <f t="shared" si="34"/>
        <v>#N/A</v>
      </c>
      <c r="BA32" s="488"/>
    </row>
    <row r="33" spans="2:53">
      <c r="B33" s="454"/>
      <c r="C33" s="182">
        <v>7</v>
      </c>
      <c r="D33" s="203"/>
      <c r="E33" s="166"/>
      <c r="F33" s="166"/>
      <c r="G33" s="166"/>
      <c r="H33" s="464"/>
      <c r="I33" s="166" t="str">
        <f t="shared" si="19"/>
        <v>-</v>
      </c>
      <c r="J33" s="166" t="str">
        <f t="shared" si="20"/>
        <v>-</v>
      </c>
      <c r="K33" s="180" t="str">
        <f t="shared" si="21"/>
        <v>-</v>
      </c>
      <c r="L33" s="464"/>
      <c r="M33" s="181" t="e">
        <f>RANK(K33, K$27:$K$41)</f>
        <v>#VALUE!</v>
      </c>
      <c r="N33" s="461"/>
      <c r="O33" s="461"/>
      <c r="P33" s="182"/>
      <c r="Q33" s="166"/>
      <c r="R33" s="166"/>
      <c r="S33" s="182" t="e">
        <f t="shared" si="36"/>
        <v>#N/A</v>
      </c>
      <c r="T33" s="488"/>
      <c r="U33" s="182"/>
      <c r="V33" s="166"/>
      <c r="W33" s="166"/>
      <c r="X33" s="182" t="e">
        <f t="shared" si="22"/>
        <v>#N/A</v>
      </c>
      <c r="Y33" s="488"/>
      <c r="Z33" s="182"/>
      <c r="AA33" s="166"/>
      <c r="AB33" s="166"/>
      <c r="AC33" s="182" t="e">
        <f t="shared" si="24"/>
        <v>#N/A</v>
      </c>
      <c r="AD33" s="488"/>
      <c r="AE33" s="182"/>
      <c r="AF33" s="166"/>
      <c r="AG33" s="166"/>
      <c r="AH33" s="182" t="e">
        <f t="shared" si="26"/>
        <v>#N/A</v>
      </c>
      <c r="AI33" s="488"/>
      <c r="AJ33" s="182"/>
      <c r="AK33" s="166"/>
      <c r="AL33" s="166"/>
      <c r="AM33" s="182" t="e">
        <f t="shared" si="28"/>
        <v>#N/A</v>
      </c>
      <c r="AN33" s="488"/>
      <c r="AO33" s="182"/>
      <c r="AP33" s="166"/>
      <c r="AQ33" s="166"/>
      <c r="AR33" s="182" t="e">
        <f t="shared" si="30"/>
        <v>#N/A</v>
      </c>
      <c r="AS33" s="488"/>
      <c r="AT33" s="182"/>
      <c r="AU33" s="166"/>
      <c r="AV33" s="166"/>
      <c r="AW33" s="182" t="e">
        <f t="shared" si="32"/>
        <v>#N/A</v>
      </c>
      <c r="AX33" s="488"/>
      <c r="AZ33" s="182" t="e">
        <f t="shared" si="34"/>
        <v>#N/A</v>
      </c>
      <c r="BA33" s="488"/>
    </row>
    <row r="34" spans="2:53">
      <c r="B34" s="454"/>
      <c r="C34" s="182">
        <v>8</v>
      </c>
      <c r="D34" s="203"/>
      <c r="E34" s="166"/>
      <c r="F34" s="166"/>
      <c r="G34" s="166"/>
      <c r="H34" s="464"/>
      <c r="I34" s="166" t="str">
        <f t="shared" si="19"/>
        <v>-</v>
      </c>
      <c r="J34" s="166" t="str">
        <f t="shared" si="20"/>
        <v>-</v>
      </c>
      <c r="K34" s="180" t="str">
        <f t="shared" si="21"/>
        <v>-</v>
      </c>
      <c r="L34" s="464"/>
      <c r="M34" s="181" t="e">
        <f>RANK(K34, K$27:$K$41)</f>
        <v>#VALUE!</v>
      </c>
      <c r="N34" s="461"/>
      <c r="O34" s="461"/>
      <c r="P34" s="182"/>
      <c r="Q34" s="166"/>
      <c r="R34" s="166"/>
      <c r="S34" s="182" t="e">
        <f t="shared" si="36"/>
        <v>#N/A</v>
      </c>
      <c r="T34" s="488"/>
      <c r="U34" s="182"/>
      <c r="V34" s="166"/>
      <c r="W34" s="166"/>
      <c r="X34" s="182" t="e">
        <f t="shared" si="22"/>
        <v>#N/A</v>
      </c>
      <c r="Y34" s="488"/>
      <c r="Z34" s="182"/>
      <c r="AA34" s="166"/>
      <c r="AB34" s="166"/>
      <c r="AC34" s="182" t="e">
        <f t="shared" si="24"/>
        <v>#N/A</v>
      </c>
      <c r="AD34" s="488"/>
      <c r="AE34" s="182"/>
      <c r="AF34" s="166"/>
      <c r="AG34" s="166"/>
      <c r="AH34" s="182" t="e">
        <f t="shared" si="26"/>
        <v>#N/A</v>
      </c>
      <c r="AI34" s="488"/>
      <c r="AJ34" s="182"/>
      <c r="AK34" s="166"/>
      <c r="AL34" s="166"/>
      <c r="AM34" s="182" t="e">
        <f t="shared" si="28"/>
        <v>#N/A</v>
      </c>
      <c r="AN34" s="488"/>
      <c r="AO34" s="182"/>
      <c r="AP34" s="166"/>
      <c r="AQ34" s="166"/>
      <c r="AR34" s="182" t="e">
        <f t="shared" si="30"/>
        <v>#N/A</v>
      </c>
      <c r="AS34" s="488"/>
      <c r="AT34" s="182"/>
      <c r="AU34" s="166"/>
      <c r="AV34" s="166"/>
      <c r="AW34" s="182" t="e">
        <f t="shared" si="32"/>
        <v>#N/A</v>
      </c>
      <c r="AX34" s="488"/>
      <c r="AZ34" s="182" t="e">
        <f t="shared" si="34"/>
        <v>#N/A</v>
      </c>
      <c r="BA34" s="488"/>
    </row>
    <row r="35" spans="2:53">
      <c r="B35" s="454"/>
      <c r="C35" s="182">
        <v>9</v>
      </c>
      <c r="D35" s="203"/>
      <c r="E35" s="166"/>
      <c r="F35" s="166"/>
      <c r="G35" s="166"/>
      <c r="H35" s="464"/>
      <c r="I35" s="166" t="str">
        <f t="shared" si="19"/>
        <v>-</v>
      </c>
      <c r="J35" s="166" t="str">
        <f t="shared" si="20"/>
        <v>-</v>
      </c>
      <c r="K35" s="180" t="str">
        <f t="shared" si="21"/>
        <v>-</v>
      </c>
      <c r="L35" s="464"/>
      <c r="M35" s="181" t="e">
        <f>RANK(K35, K$27:$K$41)</f>
        <v>#VALUE!</v>
      </c>
      <c r="N35" s="461"/>
      <c r="O35" s="461"/>
      <c r="P35" s="182"/>
      <c r="Q35" s="166"/>
      <c r="R35" s="166"/>
      <c r="S35" s="182" t="e">
        <f t="shared" si="36"/>
        <v>#N/A</v>
      </c>
      <c r="T35" s="488"/>
      <c r="U35" s="182"/>
      <c r="V35" s="166"/>
      <c r="W35" s="166"/>
      <c r="X35" s="182" t="e">
        <f t="shared" si="22"/>
        <v>#N/A</v>
      </c>
      <c r="Y35" s="488"/>
      <c r="Z35" s="182"/>
      <c r="AA35" s="166"/>
      <c r="AB35" s="166"/>
      <c r="AC35" s="182" t="e">
        <f t="shared" si="24"/>
        <v>#N/A</v>
      </c>
      <c r="AD35" s="488"/>
      <c r="AE35" s="182"/>
      <c r="AF35" s="166"/>
      <c r="AG35" s="166"/>
      <c r="AH35" s="182" t="e">
        <f t="shared" si="26"/>
        <v>#N/A</v>
      </c>
      <c r="AI35" s="488"/>
      <c r="AJ35" s="182"/>
      <c r="AK35" s="166"/>
      <c r="AL35" s="166"/>
      <c r="AM35" s="182" t="e">
        <f t="shared" si="28"/>
        <v>#N/A</v>
      </c>
      <c r="AN35" s="488"/>
      <c r="AO35" s="182"/>
      <c r="AP35" s="166"/>
      <c r="AQ35" s="166"/>
      <c r="AR35" s="182" t="e">
        <f t="shared" si="30"/>
        <v>#N/A</v>
      </c>
      <c r="AS35" s="488"/>
      <c r="AT35" s="182"/>
      <c r="AU35" s="166"/>
      <c r="AV35" s="166"/>
      <c r="AW35" s="182" t="e">
        <f t="shared" si="32"/>
        <v>#N/A</v>
      </c>
      <c r="AX35" s="488"/>
      <c r="AZ35" s="182" t="e">
        <f t="shared" si="34"/>
        <v>#N/A</v>
      </c>
      <c r="BA35" s="488"/>
    </row>
    <row r="36" spans="2:53">
      <c r="B36" s="454"/>
      <c r="C36" s="182">
        <v>10</v>
      </c>
      <c r="D36" s="203"/>
      <c r="E36" s="166"/>
      <c r="F36" s="166"/>
      <c r="G36" s="166"/>
      <c r="H36" s="464"/>
      <c r="I36" s="166" t="str">
        <f t="shared" si="19"/>
        <v>-</v>
      </c>
      <c r="J36" s="166" t="str">
        <f t="shared" si="20"/>
        <v>-</v>
      </c>
      <c r="K36" s="180" t="str">
        <f t="shared" si="21"/>
        <v>-</v>
      </c>
      <c r="L36" s="464"/>
      <c r="M36" s="181" t="e">
        <f>RANK(K36, K$27:$K$41)</f>
        <v>#VALUE!</v>
      </c>
      <c r="N36" s="461"/>
      <c r="O36" s="461"/>
      <c r="P36" s="182"/>
      <c r="Q36" s="166"/>
      <c r="R36" s="166"/>
      <c r="S36" s="182" t="e">
        <f t="shared" si="36"/>
        <v>#N/A</v>
      </c>
      <c r="T36" s="488"/>
      <c r="U36" s="182"/>
      <c r="V36" s="166"/>
      <c r="W36" s="166"/>
      <c r="X36" s="182" t="e">
        <f t="shared" si="22"/>
        <v>#N/A</v>
      </c>
      <c r="Y36" s="488"/>
      <c r="Z36" s="182"/>
      <c r="AA36" s="166"/>
      <c r="AB36" s="166"/>
      <c r="AC36" s="182" t="e">
        <f t="shared" si="24"/>
        <v>#N/A</v>
      </c>
      <c r="AD36" s="488"/>
      <c r="AE36" s="182"/>
      <c r="AF36" s="166"/>
      <c r="AG36" s="166"/>
      <c r="AH36" s="182" t="e">
        <f t="shared" si="26"/>
        <v>#N/A</v>
      </c>
      <c r="AI36" s="488"/>
      <c r="AJ36" s="182"/>
      <c r="AK36" s="166"/>
      <c r="AL36" s="166"/>
      <c r="AM36" s="182" t="e">
        <f t="shared" si="28"/>
        <v>#N/A</v>
      </c>
      <c r="AN36" s="488"/>
      <c r="AO36" s="182"/>
      <c r="AP36" s="166"/>
      <c r="AQ36" s="166"/>
      <c r="AR36" s="182" t="e">
        <f t="shared" si="30"/>
        <v>#N/A</v>
      </c>
      <c r="AS36" s="488"/>
      <c r="AT36" s="182"/>
      <c r="AU36" s="166"/>
      <c r="AV36" s="166"/>
      <c r="AW36" s="182" t="e">
        <f t="shared" si="32"/>
        <v>#N/A</v>
      </c>
      <c r="AX36" s="488"/>
      <c r="AZ36" s="182" t="e">
        <f t="shared" si="34"/>
        <v>#N/A</v>
      </c>
      <c r="BA36" s="488"/>
    </row>
    <row r="37" spans="2:53">
      <c r="B37" s="454"/>
      <c r="C37" s="182">
        <v>11</v>
      </c>
      <c r="D37" s="203"/>
      <c r="E37" s="166"/>
      <c r="F37" s="166"/>
      <c r="G37" s="166"/>
      <c r="H37" s="464"/>
      <c r="I37" s="166" t="str">
        <f t="shared" si="19"/>
        <v>-</v>
      </c>
      <c r="J37" s="166" t="str">
        <f t="shared" si="20"/>
        <v>-</v>
      </c>
      <c r="K37" s="180" t="str">
        <f t="shared" si="21"/>
        <v>-</v>
      </c>
      <c r="L37" s="464"/>
      <c r="M37" s="181" t="e">
        <f>RANK(K37, K$27:$K$41)</f>
        <v>#VALUE!</v>
      </c>
      <c r="N37" s="461"/>
      <c r="O37" s="461"/>
      <c r="P37" s="182"/>
      <c r="Q37" s="166"/>
      <c r="R37" s="166"/>
      <c r="S37" s="182" t="e">
        <f t="shared" si="36"/>
        <v>#N/A</v>
      </c>
      <c r="T37" s="488"/>
      <c r="U37" s="182"/>
      <c r="V37" s="166"/>
      <c r="W37" s="166"/>
      <c r="X37" s="182" t="e">
        <f t="shared" si="22"/>
        <v>#N/A</v>
      </c>
      <c r="Y37" s="488"/>
      <c r="Z37" s="182"/>
      <c r="AA37" s="166"/>
      <c r="AB37" s="166"/>
      <c r="AC37" s="182" t="e">
        <f t="shared" si="24"/>
        <v>#N/A</v>
      </c>
      <c r="AD37" s="488"/>
      <c r="AE37" s="182"/>
      <c r="AF37" s="166"/>
      <c r="AG37" s="166"/>
      <c r="AH37" s="182" t="e">
        <f t="shared" si="26"/>
        <v>#N/A</v>
      </c>
      <c r="AI37" s="488"/>
      <c r="AJ37" s="182"/>
      <c r="AK37" s="166"/>
      <c r="AL37" s="166"/>
      <c r="AM37" s="182" t="e">
        <f t="shared" si="28"/>
        <v>#N/A</v>
      </c>
      <c r="AN37" s="488"/>
      <c r="AO37" s="182"/>
      <c r="AP37" s="166"/>
      <c r="AQ37" s="166"/>
      <c r="AR37" s="182" t="e">
        <f t="shared" si="30"/>
        <v>#N/A</v>
      </c>
      <c r="AS37" s="488"/>
      <c r="AT37" s="182"/>
      <c r="AU37" s="166"/>
      <c r="AV37" s="166"/>
      <c r="AW37" s="182" t="e">
        <f t="shared" si="32"/>
        <v>#N/A</v>
      </c>
      <c r="AX37" s="488"/>
      <c r="AZ37" s="182" t="e">
        <f t="shared" si="34"/>
        <v>#N/A</v>
      </c>
      <c r="BA37" s="488"/>
    </row>
    <row r="38" spans="2:53">
      <c r="B38" s="454"/>
      <c r="C38" s="182">
        <v>12</v>
      </c>
      <c r="D38" s="203"/>
      <c r="E38" s="166"/>
      <c r="F38" s="166"/>
      <c r="G38" s="166"/>
      <c r="H38" s="464"/>
      <c r="I38" s="166" t="str">
        <f t="shared" si="19"/>
        <v>-</v>
      </c>
      <c r="J38" s="166" t="str">
        <f t="shared" si="20"/>
        <v>-</v>
      </c>
      <c r="K38" s="180" t="str">
        <f t="shared" si="21"/>
        <v>-</v>
      </c>
      <c r="L38" s="464"/>
      <c r="M38" s="181" t="e">
        <f>RANK(K38, K$27:$K$41)</f>
        <v>#VALUE!</v>
      </c>
      <c r="N38" s="461"/>
      <c r="O38" s="461"/>
      <c r="P38" s="182"/>
      <c r="Q38" s="166"/>
      <c r="R38" s="166"/>
      <c r="S38" s="182" t="e">
        <f t="shared" si="36"/>
        <v>#N/A</v>
      </c>
      <c r="T38" s="488"/>
      <c r="U38" s="182"/>
      <c r="V38" s="166"/>
      <c r="W38" s="166"/>
      <c r="X38" s="182" t="e">
        <f t="shared" si="22"/>
        <v>#N/A</v>
      </c>
      <c r="Y38" s="488"/>
      <c r="Z38" s="182"/>
      <c r="AA38" s="166"/>
      <c r="AB38" s="166"/>
      <c r="AC38" s="182" t="e">
        <f t="shared" si="24"/>
        <v>#N/A</v>
      </c>
      <c r="AD38" s="488"/>
      <c r="AE38" s="182"/>
      <c r="AF38" s="166"/>
      <c r="AG38" s="166"/>
      <c r="AH38" s="182" t="e">
        <f t="shared" si="26"/>
        <v>#N/A</v>
      </c>
      <c r="AI38" s="488"/>
      <c r="AJ38" s="182"/>
      <c r="AK38" s="166"/>
      <c r="AL38" s="166"/>
      <c r="AM38" s="182" t="e">
        <f t="shared" si="28"/>
        <v>#N/A</v>
      </c>
      <c r="AN38" s="488"/>
      <c r="AO38" s="182"/>
      <c r="AP38" s="166"/>
      <c r="AQ38" s="166"/>
      <c r="AR38" s="182" t="e">
        <f t="shared" si="30"/>
        <v>#N/A</v>
      </c>
      <c r="AS38" s="488"/>
      <c r="AT38" s="182"/>
      <c r="AU38" s="166"/>
      <c r="AV38" s="166"/>
      <c r="AW38" s="182" t="e">
        <f t="shared" si="32"/>
        <v>#N/A</v>
      </c>
      <c r="AX38" s="488"/>
      <c r="AZ38" s="182" t="e">
        <f t="shared" si="34"/>
        <v>#N/A</v>
      </c>
      <c r="BA38" s="488"/>
    </row>
    <row r="39" spans="2:53">
      <c r="B39" s="454"/>
      <c r="C39" s="182">
        <v>13</v>
      </c>
      <c r="D39" s="203"/>
      <c r="E39" s="166"/>
      <c r="F39" s="166"/>
      <c r="G39" s="166"/>
      <c r="H39" s="464"/>
      <c r="I39" s="166" t="str">
        <f t="shared" si="19"/>
        <v>-</v>
      </c>
      <c r="J39" s="166" t="str">
        <f t="shared" si="20"/>
        <v>-</v>
      </c>
      <c r="K39" s="180" t="str">
        <f t="shared" si="21"/>
        <v>-</v>
      </c>
      <c r="L39" s="464"/>
      <c r="M39" s="181" t="e">
        <f>RANK(K39, K$27:$K$41)</f>
        <v>#VALUE!</v>
      </c>
      <c r="N39" s="461"/>
      <c r="O39" s="461"/>
      <c r="P39" s="182"/>
      <c r="Q39" s="166"/>
      <c r="R39" s="166"/>
      <c r="S39" s="182" t="e">
        <f t="shared" si="36"/>
        <v>#N/A</v>
      </c>
      <c r="T39" s="488"/>
      <c r="U39" s="182"/>
      <c r="V39" s="166"/>
      <c r="W39" s="166"/>
      <c r="X39" s="182" t="e">
        <f t="shared" si="22"/>
        <v>#N/A</v>
      </c>
      <c r="Y39" s="488"/>
      <c r="Z39" s="182"/>
      <c r="AA39" s="166"/>
      <c r="AB39" s="166"/>
      <c r="AC39" s="182" t="e">
        <f t="shared" si="24"/>
        <v>#N/A</v>
      </c>
      <c r="AD39" s="488"/>
      <c r="AE39" s="182"/>
      <c r="AF39" s="166"/>
      <c r="AG39" s="166"/>
      <c r="AH39" s="182" t="e">
        <f t="shared" si="26"/>
        <v>#N/A</v>
      </c>
      <c r="AI39" s="488"/>
      <c r="AJ39" s="182"/>
      <c r="AK39" s="166"/>
      <c r="AL39" s="166"/>
      <c r="AM39" s="182" t="e">
        <f t="shared" si="28"/>
        <v>#N/A</v>
      </c>
      <c r="AN39" s="488"/>
      <c r="AO39" s="182"/>
      <c r="AP39" s="166"/>
      <c r="AQ39" s="166"/>
      <c r="AR39" s="182" t="e">
        <f t="shared" si="30"/>
        <v>#N/A</v>
      </c>
      <c r="AS39" s="488"/>
      <c r="AT39" s="182"/>
      <c r="AU39" s="166"/>
      <c r="AV39" s="166"/>
      <c r="AW39" s="182" t="e">
        <f t="shared" si="32"/>
        <v>#N/A</v>
      </c>
      <c r="AX39" s="488"/>
      <c r="AZ39" s="182" t="e">
        <f t="shared" si="34"/>
        <v>#N/A</v>
      </c>
      <c r="BA39" s="488"/>
    </row>
    <row r="40" spans="2:53">
      <c r="B40" s="454"/>
      <c r="C40" s="182">
        <v>14</v>
      </c>
      <c r="D40" s="203"/>
      <c r="E40" s="166"/>
      <c r="F40" s="166"/>
      <c r="G40" s="166"/>
      <c r="H40" s="464"/>
      <c r="I40" s="166" t="str">
        <f t="shared" si="19"/>
        <v>-</v>
      </c>
      <c r="J40" s="166" t="str">
        <f t="shared" si="20"/>
        <v>-</v>
      </c>
      <c r="K40" s="180" t="str">
        <f t="shared" si="21"/>
        <v>-</v>
      </c>
      <c r="L40" s="464"/>
      <c r="M40" s="181" t="e">
        <f>RANK(K40, K$27:$K$41)</f>
        <v>#VALUE!</v>
      </c>
      <c r="N40" s="461"/>
      <c r="O40" s="461"/>
      <c r="P40" s="182"/>
      <c r="Q40" s="166"/>
      <c r="R40" s="166"/>
      <c r="S40" s="182" t="e">
        <f t="shared" si="36"/>
        <v>#N/A</v>
      </c>
      <c r="T40" s="488"/>
      <c r="U40" s="182"/>
      <c r="V40" s="166"/>
      <c r="W40" s="166"/>
      <c r="X40" s="182" t="e">
        <f t="shared" si="22"/>
        <v>#N/A</v>
      </c>
      <c r="Y40" s="488"/>
      <c r="Z40" s="182"/>
      <c r="AA40" s="166"/>
      <c r="AB40" s="166"/>
      <c r="AC40" s="182" t="e">
        <f t="shared" si="24"/>
        <v>#N/A</v>
      </c>
      <c r="AD40" s="488"/>
      <c r="AE40" s="182"/>
      <c r="AF40" s="166"/>
      <c r="AG40" s="166"/>
      <c r="AH40" s="182" t="e">
        <f t="shared" si="26"/>
        <v>#N/A</v>
      </c>
      <c r="AI40" s="488"/>
      <c r="AJ40" s="182"/>
      <c r="AK40" s="166"/>
      <c r="AL40" s="166"/>
      <c r="AM40" s="182" t="e">
        <f t="shared" si="28"/>
        <v>#N/A</v>
      </c>
      <c r="AN40" s="488"/>
      <c r="AO40" s="182"/>
      <c r="AP40" s="166"/>
      <c r="AQ40" s="166"/>
      <c r="AR40" s="182" t="e">
        <f t="shared" si="30"/>
        <v>#N/A</v>
      </c>
      <c r="AS40" s="488"/>
      <c r="AT40" s="182"/>
      <c r="AU40" s="166"/>
      <c r="AV40" s="166"/>
      <c r="AW40" s="182" t="e">
        <f t="shared" si="32"/>
        <v>#N/A</v>
      </c>
      <c r="AX40" s="488"/>
      <c r="AZ40" s="182" t="e">
        <f t="shared" si="34"/>
        <v>#N/A</v>
      </c>
      <c r="BA40" s="488"/>
    </row>
    <row r="41" spans="2:53">
      <c r="B41" s="454"/>
      <c r="C41" s="182">
        <v>15</v>
      </c>
      <c r="D41" s="203"/>
      <c r="E41" s="166"/>
      <c r="F41" s="166"/>
      <c r="G41" s="166"/>
      <c r="H41" s="465"/>
      <c r="I41" s="166"/>
      <c r="J41" s="166"/>
      <c r="K41" s="180"/>
      <c r="L41" s="465"/>
      <c r="M41" s="166" t="e">
        <f>RANK(K41, K$27:$K$41)</f>
        <v>#N/A</v>
      </c>
      <c r="N41" s="461"/>
      <c r="O41" s="461"/>
      <c r="P41" s="182"/>
      <c r="Q41" s="166"/>
      <c r="R41" s="166"/>
      <c r="S41" s="182" t="e">
        <f t="shared" si="36"/>
        <v>#N/A</v>
      </c>
      <c r="T41" s="489"/>
      <c r="U41" s="182"/>
      <c r="V41" s="166"/>
      <c r="W41" s="166"/>
      <c r="X41" s="182" t="e">
        <f t="shared" si="22"/>
        <v>#N/A</v>
      </c>
      <c r="Y41" s="489"/>
      <c r="Z41" s="182"/>
      <c r="AA41" s="166"/>
      <c r="AB41" s="166"/>
      <c r="AC41" s="182" t="e">
        <f t="shared" si="24"/>
        <v>#N/A</v>
      </c>
      <c r="AD41" s="489"/>
      <c r="AE41" s="182"/>
      <c r="AF41" s="166"/>
      <c r="AG41" s="166"/>
      <c r="AH41" s="182" t="e">
        <f t="shared" si="26"/>
        <v>#N/A</v>
      </c>
      <c r="AI41" s="489"/>
      <c r="AJ41" s="182"/>
      <c r="AK41" s="166"/>
      <c r="AL41" s="166"/>
      <c r="AM41" s="182" t="e">
        <f t="shared" si="28"/>
        <v>#N/A</v>
      </c>
      <c r="AN41" s="489"/>
      <c r="AO41" s="182"/>
      <c r="AP41" s="166"/>
      <c r="AQ41" s="166"/>
      <c r="AR41" s="182" t="e">
        <f t="shared" si="30"/>
        <v>#N/A</v>
      </c>
      <c r="AS41" s="489"/>
      <c r="AT41" s="182"/>
      <c r="AU41" s="166"/>
      <c r="AV41" s="166"/>
      <c r="AW41" s="182" t="e">
        <f t="shared" si="32"/>
        <v>#N/A</v>
      </c>
      <c r="AX41" s="489"/>
      <c r="AZ41" s="182" t="e">
        <f t="shared" si="34"/>
        <v>#N/A</v>
      </c>
      <c r="BA41" s="489"/>
    </row>
    <row r="42" spans="2:53" ht="15.5">
      <c r="B42" s="493" t="s">
        <v>163</v>
      </c>
      <c r="C42" s="494"/>
      <c r="D42" s="494"/>
      <c r="E42" s="494"/>
      <c r="F42" s="494"/>
      <c r="G42" s="494"/>
      <c r="H42" s="494"/>
      <c r="I42" s="186"/>
      <c r="J42" s="183"/>
      <c r="K42" s="186"/>
      <c r="L42" s="186"/>
      <c r="M42" s="178"/>
      <c r="N42" s="480" t="s">
        <v>156</v>
      </c>
      <c r="O42" s="480" t="s">
        <v>105</v>
      </c>
      <c r="P42" s="476">
        <f>P22+7</f>
        <v>46126</v>
      </c>
      <c r="Q42" s="454"/>
      <c r="R42" s="454"/>
      <c r="S42" s="454"/>
      <c r="T42" s="454"/>
      <c r="U42" s="473">
        <f>P42+1</f>
        <v>46127</v>
      </c>
      <c r="V42" s="474"/>
      <c r="W42" s="474"/>
      <c r="X42" s="474"/>
      <c r="Y42" s="475"/>
      <c r="Z42" s="473">
        <f>U42+1</f>
        <v>46128</v>
      </c>
      <c r="AA42" s="474"/>
      <c r="AB42" s="474"/>
      <c r="AC42" s="474"/>
      <c r="AD42" s="475"/>
      <c r="AE42" s="473">
        <f>Z42+1</f>
        <v>46129</v>
      </c>
      <c r="AF42" s="474"/>
      <c r="AG42" s="474"/>
      <c r="AH42" s="474"/>
      <c r="AI42" s="475"/>
      <c r="AJ42" s="473">
        <f>AE42+1</f>
        <v>46130</v>
      </c>
      <c r="AK42" s="474"/>
      <c r="AL42" s="474"/>
      <c r="AM42" s="474"/>
      <c r="AN42" s="475"/>
      <c r="AO42" s="473">
        <f>AJ42+1</f>
        <v>46131</v>
      </c>
      <c r="AP42" s="474"/>
      <c r="AQ42" s="474"/>
      <c r="AR42" s="474"/>
      <c r="AS42" s="475"/>
      <c r="AT42" s="473">
        <f>AO42+1</f>
        <v>46132</v>
      </c>
      <c r="AU42" s="474"/>
      <c r="AV42" s="474"/>
      <c r="AW42" s="474"/>
      <c r="AX42" s="475"/>
    </row>
    <row r="43" spans="2:53" ht="15.5">
      <c r="B43" s="479"/>
      <c r="C43" s="479"/>
      <c r="D43" s="479"/>
      <c r="E43" s="479"/>
      <c r="F43" s="479"/>
      <c r="G43" s="479"/>
      <c r="H43" s="479"/>
      <c r="I43" s="184"/>
      <c r="J43" s="184"/>
      <c r="K43" s="184"/>
      <c r="L43" s="184"/>
      <c r="M43" s="179"/>
      <c r="N43" s="481"/>
      <c r="O43" s="481"/>
      <c r="P43" s="476" t="s">
        <v>336</v>
      </c>
      <c r="Q43" s="454"/>
      <c r="R43" s="454"/>
      <c r="S43" s="454"/>
      <c r="T43" s="454"/>
      <c r="U43" s="476" t="s">
        <v>337</v>
      </c>
      <c r="V43" s="454"/>
      <c r="W43" s="454"/>
      <c r="X43" s="454"/>
      <c r="Y43" s="454"/>
      <c r="Z43" s="476" t="s">
        <v>338</v>
      </c>
      <c r="AA43" s="454"/>
      <c r="AB43" s="454"/>
      <c r="AC43" s="454"/>
      <c r="AD43" s="454"/>
      <c r="AE43" s="476" t="s">
        <v>339</v>
      </c>
      <c r="AF43" s="454"/>
      <c r="AG43" s="454"/>
      <c r="AH43" s="454"/>
      <c r="AI43" s="454"/>
      <c r="AJ43" s="476" t="s">
        <v>340</v>
      </c>
      <c r="AK43" s="454"/>
      <c r="AL43" s="454"/>
      <c r="AM43" s="454"/>
      <c r="AN43" s="454"/>
      <c r="AO43" s="476" t="s">
        <v>341</v>
      </c>
      <c r="AP43" s="454"/>
      <c r="AQ43" s="454"/>
      <c r="AR43" s="454"/>
      <c r="AS43" s="454"/>
      <c r="AT43" s="476" t="s">
        <v>342</v>
      </c>
      <c r="AU43" s="454"/>
      <c r="AV43" s="454"/>
      <c r="AW43" s="454"/>
      <c r="AX43" s="454"/>
    </row>
    <row r="44" spans="2:53">
      <c r="B44" s="461" t="s">
        <v>399</v>
      </c>
      <c r="C44" s="461" t="s">
        <v>409</v>
      </c>
      <c r="D44" s="461"/>
      <c r="E44" s="461" t="s">
        <v>400</v>
      </c>
      <c r="F44" s="461"/>
      <c r="G44" s="461"/>
      <c r="H44" s="482" t="s">
        <v>396</v>
      </c>
      <c r="I44" s="461" t="s">
        <v>401</v>
      </c>
      <c r="J44" s="461"/>
      <c r="K44" s="461"/>
      <c r="L44" s="482" t="s">
        <v>396</v>
      </c>
      <c r="M44" s="480" t="s">
        <v>397</v>
      </c>
      <c r="N44" s="461"/>
      <c r="O44" s="461" t="s">
        <v>402</v>
      </c>
      <c r="P44" s="466" t="s">
        <v>760</v>
      </c>
      <c r="Q44" s="467"/>
      <c r="R44" s="467"/>
      <c r="S44" s="468"/>
      <c r="T44" s="461" t="s">
        <v>761</v>
      </c>
      <c r="U44" s="466" t="s">
        <v>760</v>
      </c>
      <c r="V44" s="467"/>
      <c r="W44" s="467"/>
      <c r="X44" s="468"/>
      <c r="Y44" s="461" t="s">
        <v>761</v>
      </c>
      <c r="Z44" s="466" t="s">
        <v>760</v>
      </c>
      <c r="AA44" s="467"/>
      <c r="AB44" s="467"/>
      <c r="AC44" s="468"/>
      <c r="AD44" s="461" t="s">
        <v>761</v>
      </c>
      <c r="AE44" s="466" t="s">
        <v>760</v>
      </c>
      <c r="AF44" s="467"/>
      <c r="AG44" s="467"/>
      <c r="AH44" s="468"/>
      <c r="AI44" s="461" t="s">
        <v>761</v>
      </c>
      <c r="AJ44" s="466" t="s">
        <v>760</v>
      </c>
      <c r="AK44" s="467"/>
      <c r="AL44" s="467"/>
      <c r="AM44" s="468"/>
      <c r="AN44" s="461" t="s">
        <v>761</v>
      </c>
      <c r="AO44" s="466" t="s">
        <v>760</v>
      </c>
      <c r="AP44" s="467"/>
      <c r="AQ44" s="467"/>
      <c r="AR44" s="468"/>
      <c r="AS44" s="461" t="s">
        <v>761</v>
      </c>
      <c r="AT44" s="466" t="s">
        <v>760</v>
      </c>
      <c r="AU44" s="467"/>
      <c r="AV44" s="467"/>
      <c r="AW44" s="468"/>
      <c r="AX44" s="461" t="s">
        <v>761</v>
      </c>
      <c r="BA44" s="461" t="s">
        <v>396</v>
      </c>
    </row>
    <row r="45" spans="2:53">
      <c r="B45" s="461"/>
      <c r="C45" s="461"/>
      <c r="D45" s="461"/>
      <c r="E45" s="461" t="s">
        <v>403</v>
      </c>
      <c r="F45" s="461"/>
      <c r="G45" s="461"/>
      <c r="H45" s="483"/>
      <c r="I45" s="461" t="s">
        <v>403</v>
      </c>
      <c r="J45" s="461"/>
      <c r="K45" s="461"/>
      <c r="L45" s="483"/>
      <c r="M45" s="485"/>
      <c r="N45" s="461"/>
      <c r="O45" s="461"/>
      <c r="P45" s="466" t="s">
        <v>762</v>
      </c>
      <c r="Q45" s="467"/>
      <c r="R45" s="467"/>
      <c r="S45" s="468"/>
      <c r="T45" s="461"/>
      <c r="U45" s="466" t="s">
        <v>762</v>
      </c>
      <c r="V45" s="467"/>
      <c r="W45" s="467"/>
      <c r="X45" s="468"/>
      <c r="Y45" s="461"/>
      <c r="Z45" s="466" t="s">
        <v>762</v>
      </c>
      <c r="AA45" s="467"/>
      <c r="AB45" s="467"/>
      <c r="AC45" s="468"/>
      <c r="AD45" s="461"/>
      <c r="AE45" s="466" t="s">
        <v>762</v>
      </c>
      <c r="AF45" s="467"/>
      <c r="AG45" s="467"/>
      <c r="AH45" s="468"/>
      <c r="AI45" s="461"/>
      <c r="AJ45" s="466" t="s">
        <v>762</v>
      </c>
      <c r="AK45" s="467"/>
      <c r="AL45" s="467"/>
      <c r="AM45" s="468"/>
      <c r="AN45" s="461"/>
      <c r="AO45" s="466" t="s">
        <v>762</v>
      </c>
      <c r="AP45" s="467"/>
      <c r="AQ45" s="467"/>
      <c r="AR45" s="468"/>
      <c r="AS45" s="461"/>
      <c r="AT45" s="466" t="s">
        <v>762</v>
      </c>
      <c r="AU45" s="467"/>
      <c r="AV45" s="467"/>
      <c r="AW45" s="468"/>
      <c r="AX45" s="461"/>
      <c r="BA45" s="461"/>
    </row>
    <row r="46" spans="2:53">
      <c r="B46" s="461"/>
      <c r="C46" s="461"/>
      <c r="D46" s="461"/>
      <c r="E46" s="269" t="s">
        <v>405</v>
      </c>
      <c r="F46" s="269" t="s">
        <v>406</v>
      </c>
      <c r="G46" s="269" t="s">
        <v>407</v>
      </c>
      <c r="H46" s="484"/>
      <c r="I46" s="269" t="s">
        <v>405</v>
      </c>
      <c r="J46" s="269" t="s">
        <v>406</v>
      </c>
      <c r="K46" s="269" t="s">
        <v>407</v>
      </c>
      <c r="L46" s="484"/>
      <c r="M46" s="481"/>
      <c r="N46" s="461"/>
      <c r="O46" s="461"/>
      <c r="P46" s="269" t="s">
        <v>763</v>
      </c>
      <c r="Q46" s="269" t="s">
        <v>764</v>
      </c>
      <c r="R46" s="269" t="s">
        <v>765</v>
      </c>
      <c r="S46" s="269" t="s">
        <v>766</v>
      </c>
      <c r="T46" s="461"/>
      <c r="U46" s="269" t="s">
        <v>763</v>
      </c>
      <c r="V46" s="269" t="s">
        <v>764</v>
      </c>
      <c r="W46" s="269" t="s">
        <v>765</v>
      </c>
      <c r="X46" s="269" t="s">
        <v>766</v>
      </c>
      <c r="Y46" s="461"/>
      <c r="Z46" s="269" t="s">
        <v>763</v>
      </c>
      <c r="AA46" s="269" t="s">
        <v>764</v>
      </c>
      <c r="AB46" s="269" t="s">
        <v>765</v>
      </c>
      <c r="AC46" s="269" t="s">
        <v>766</v>
      </c>
      <c r="AD46" s="461"/>
      <c r="AE46" s="269" t="s">
        <v>763</v>
      </c>
      <c r="AF46" s="269" t="s">
        <v>764</v>
      </c>
      <c r="AG46" s="269" t="s">
        <v>765</v>
      </c>
      <c r="AH46" s="269" t="s">
        <v>766</v>
      </c>
      <c r="AI46" s="461"/>
      <c r="AJ46" s="269" t="s">
        <v>763</v>
      </c>
      <c r="AK46" s="269" t="s">
        <v>764</v>
      </c>
      <c r="AL46" s="269" t="s">
        <v>765</v>
      </c>
      <c r="AM46" s="269" t="s">
        <v>766</v>
      </c>
      <c r="AN46" s="461"/>
      <c r="AO46" s="269" t="s">
        <v>763</v>
      </c>
      <c r="AP46" s="269" t="s">
        <v>764</v>
      </c>
      <c r="AQ46" s="269" t="s">
        <v>765</v>
      </c>
      <c r="AR46" s="269" t="s">
        <v>766</v>
      </c>
      <c r="AS46" s="461"/>
      <c r="AT46" s="269" t="s">
        <v>763</v>
      </c>
      <c r="AU46" s="269" t="s">
        <v>764</v>
      </c>
      <c r="AV46" s="269" t="s">
        <v>765</v>
      </c>
      <c r="AW46" s="269" t="s">
        <v>766</v>
      </c>
      <c r="AX46" s="461"/>
      <c r="AZ46" s="269" t="s">
        <v>766</v>
      </c>
      <c r="BA46" s="461"/>
    </row>
    <row r="47" spans="2:53">
      <c r="B47" s="501" t="s">
        <v>408</v>
      </c>
      <c r="C47" s="182">
        <v>1</v>
      </c>
      <c r="D47" s="203"/>
      <c r="E47" s="166"/>
      <c r="F47" s="166"/>
      <c r="G47" s="166"/>
      <c r="H47" s="463" t="e">
        <f>AVERAGE(G47:G61)</f>
        <v>#DIV/0!</v>
      </c>
      <c r="I47" s="166" t="str">
        <f t="shared" ref="I47:I60" si="37">IFERROR(AVERAGE(P47,U47,Z47,AE47,AJ47,AO47,AT47),"-")</f>
        <v>-</v>
      </c>
      <c r="J47" s="166" t="str">
        <f t="shared" ref="J47:J60" si="38">IFERROR(AVERAGE(Q47,V47,AA47,AF47,AK47,AP47,AU47),"-")</f>
        <v>-</v>
      </c>
      <c r="K47" s="180" t="str">
        <f t="shared" ref="K47:K60" si="39">IFERROR(AVERAGE(R47,W47,AB47,AG47,AL47,AQ47,AV47),"-")</f>
        <v>-</v>
      </c>
      <c r="L47" s="463" t="str">
        <f>IFERROR(AVERAGE(K47:K61),"-")</f>
        <v>-</v>
      </c>
      <c r="M47" s="181" t="e">
        <f>RANK(K47, K$47:$K$61)</f>
        <v>#VALUE!</v>
      </c>
      <c r="N47" s="461"/>
      <c r="O47" s="461"/>
      <c r="P47" s="182"/>
      <c r="Q47" s="166"/>
      <c r="R47" s="166"/>
      <c r="S47" s="182" t="e">
        <f>RANK(R47, R$47:R$61)</f>
        <v>#N/A</v>
      </c>
      <c r="T47" s="487" t="e">
        <f>AVERAGE(R47:R61)</f>
        <v>#DIV/0!</v>
      </c>
      <c r="U47" s="182"/>
      <c r="V47" s="166"/>
      <c r="W47" s="166"/>
      <c r="X47" s="182" t="e">
        <f t="shared" ref="X47:X61" si="40">RANK(W47, W$47:W$61)</f>
        <v>#N/A</v>
      </c>
      <c r="Y47" s="487" t="e">
        <f t="shared" ref="Y47" si="41">AVERAGE(W47:W61)</f>
        <v>#DIV/0!</v>
      </c>
      <c r="Z47" s="182"/>
      <c r="AA47" s="166"/>
      <c r="AB47" s="166"/>
      <c r="AC47" s="182" t="e">
        <f t="shared" ref="AC47:AC61" si="42">RANK(AB47, AB$47:AB$61)</f>
        <v>#N/A</v>
      </c>
      <c r="AD47" s="487" t="e">
        <f t="shared" ref="AD47" si="43">AVERAGE(AB47:AB61)</f>
        <v>#DIV/0!</v>
      </c>
      <c r="AE47" s="182"/>
      <c r="AF47" s="166"/>
      <c r="AG47" s="166"/>
      <c r="AH47" s="182" t="e">
        <f t="shared" ref="AH47:AH61" si="44">RANK(AG47, AG$47:AG$61)</f>
        <v>#N/A</v>
      </c>
      <c r="AI47" s="487" t="e">
        <f t="shared" ref="AI47" si="45">AVERAGE(AG47:AG61)</f>
        <v>#DIV/0!</v>
      </c>
      <c r="AJ47" s="182"/>
      <c r="AK47" s="166"/>
      <c r="AL47" s="166"/>
      <c r="AM47" s="182" t="e">
        <f t="shared" ref="AM47:AM61" si="46">RANK(AL47, AL$47:AL$61)</f>
        <v>#N/A</v>
      </c>
      <c r="AN47" s="487" t="e">
        <f t="shared" ref="AN47" si="47">AVERAGE(AL47:AL61)</f>
        <v>#DIV/0!</v>
      </c>
      <c r="AO47" s="182"/>
      <c r="AP47" s="166"/>
      <c r="AQ47" s="166"/>
      <c r="AR47" s="182" t="e">
        <f t="shared" ref="AR47:AR61" si="48">RANK(AQ47, AQ$47:AQ$61)</f>
        <v>#N/A</v>
      </c>
      <c r="AS47" s="487" t="e">
        <f t="shared" ref="AS47" si="49">AVERAGE(AQ47:AQ61)</f>
        <v>#DIV/0!</v>
      </c>
      <c r="AT47" s="182"/>
      <c r="AU47" s="166"/>
      <c r="AV47" s="166"/>
      <c r="AW47" s="182" t="e">
        <f t="shared" ref="AW47:AW61" si="50">RANK(AV47, AV$47:AV$61)</f>
        <v>#N/A</v>
      </c>
      <c r="AX47" s="487" t="e">
        <f t="shared" ref="AX47" si="51">AVERAGE(AV47:AV61)</f>
        <v>#DIV/0!</v>
      </c>
      <c r="AZ47" s="182" t="e">
        <f t="shared" ref="AZ47:AZ61" si="52">RANK(AY47, AY$47:AY$61)</f>
        <v>#N/A</v>
      </c>
      <c r="BA47" s="487" t="e">
        <f t="shared" ref="BA47" si="53">AVERAGE(AY47:AY61)</f>
        <v>#DIV/0!</v>
      </c>
    </row>
    <row r="48" spans="2:53">
      <c r="B48" s="454"/>
      <c r="C48" s="182">
        <v>2</v>
      </c>
      <c r="D48" s="203"/>
      <c r="E48" s="166"/>
      <c r="F48" s="166"/>
      <c r="G48" s="166"/>
      <c r="H48" s="464"/>
      <c r="I48" s="166" t="str">
        <f t="shared" si="37"/>
        <v>-</v>
      </c>
      <c r="J48" s="166" t="str">
        <f t="shared" si="38"/>
        <v>-</v>
      </c>
      <c r="K48" s="180" t="str">
        <f t="shared" si="39"/>
        <v>-</v>
      </c>
      <c r="L48" s="464"/>
      <c r="M48" s="181" t="e">
        <f>RANK(K48, K$47:$K$61)</f>
        <v>#VALUE!</v>
      </c>
      <c r="N48" s="461"/>
      <c r="O48" s="461"/>
      <c r="P48" s="182"/>
      <c r="Q48" s="166"/>
      <c r="R48" s="166"/>
      <c r="S48" s="182" t="e">
        <f t="shared" ref="S48:S61" si="54">RANK(R48, R$47:R$61)</f>
        <v>#N/A</v>
      </c>
      <c r="T48" s="488"/>
      <c r="U48" s="182"/>
      <c r="V48" s="166"/>
      <c r="W48" s="166"/>
      <c r="X48" s="182" t="e">
        <f t="shared" si="40"/>
        <v>#N/A</v>
      </c>
      <c r="Y48" s="488"/>
      <c r="Z48" s="182"/>
      <c r="AA48" s="166"/>
      <c r="AB48" s="166"/>
      <c r="AC48" s="182" t="e">
        <f t="shared" si="42"/>
        <v>#N/A</v>
      </c>
      <c r="AD48" s="488"/>
      <c r="AE48" s="182"/>
      <c r="AF48" s="166"/>
      <c r="AG48" s="166"/>
      <c r="AH48" s="182" t="e">
        <f t="shared" si="44"/>
        <v>#N/A</v>
      </c>
      <c r="AI48" s="488"/>
      <c r="AJ48" s="182"/>
      <c r="AK48" s="166"/>
      <c r="AL48" s="166"/>
      <c r="AM48" s="182" t="e">
        <f t="shared" si="46"/>
        <v>#N/A</v>
      </c>
      <c r="AN48" s="488"/>
      <c r="AO48" s="182"/>
      <c r="AP48" s="166"/>
      <c r="AQ48" s="166"/>
      <c r="AR48" s="182" t="e">
        <f t="shared" si="48"/>
        <v>#N/A</v>
      </c>
      <c r="AS48" s="488"/>
      <c r="AT48" s="182"/>
      <c r="AU48" s="166"/>
      <c r="AV48" s="166"/>
      <c r="AW48" s="182" t="e">
        <f t="shared" si="50"/>
        <v>#N/A</v>
      </c>
      <c r="AX48" s="488"/>
      <c r="AZ48" s="182" t="e">
        <f t="shared" si="52"/>
        <v>#N/A</v>
      </c>
      <c r="BA48" s="488"/>
    </row>
    <row r="49" spans="2:53">
      <c r="B49" s="454"/>
      <c r="C49" s="182">
        <v>3</v>
      </c>
      <c r="D49" s="203"/>
      <c r="E49" s="166"/>
      <c r="F49" s="166"/>
      <c r="G49" s="166"/>
      <c r="H49" s="464"/>
      <c r="I49" s="166" t="str">
        <f t="shared" si="37"/>
        <v>-</v>
      </c>
      <c r="J49" s="166" t="str">
        <f t="shared" si="38"/>
        <v>-</v>
      </c>
      <c r="K49" s="180" t="str">
        <f t="shared" si="39"/>
        <v>-</v>
      </c>
      <c r="L49" s="464"/>
      <c r="M49" s="181" t="e">
        <f>RANK(K49, K$47:$K$61)</f>
        <v>#VALUE!</v>
      </c>
      <c r="N49" s="461"/>
      <c r="O49" s="461"/>
      <c r="P49" s="182"/>
      <c r="Q49" s="166"/>
      <c r="R49" s="166"/>
      <c r="S49" s="182" t="e">
        <f t="shared" si="54"/>
        <v>#N/A</v>
      </c>
      <c r="T49" s="488"/>
      <c r="U49" s="182"/>
      <c r="V49" s="166"/>
      <c r="W49" s="166"/>
      <c r="X49" s="182" t="e">
        <f t="shared" si="40"/>
        <v>#N/A</v>
      </c>
      <c r="Y49" s="488"/>
      <c r="Z49" s="182"/>
      <c r="AA49" s="166"/>
      <c r="AB49" s="166"/>
      <c r="AC49" s="182" t="e">
        <f t="shared" si="42"/>
        <v>#N/A</v>
      </c>
      <c r="AD49" s="488"/>
      <c r="AE49" s="182"/>
      <c r="AF49" s="166"/>
      <c r="AG49" s="166"/>
      <c r="AH49" s="182" t="e">
        <f t="shared" si="44"/>
        <v>#N/A</v>
      </c>
      <c r="AI49" s="488"/>
      <c r="AJ49" s="182"/>
      <c r="AK49" s="166"/>
      <c r="AL49" s="166"/>
      <c r="AM49" s="182" t="e">
        <f t="shared" si="46"/>
        <v>#N/A</v>
      </c>
      <c r="AN49" s="488"/>
      <c r="AO49" s="182"/>
      <c r="AP49" s="166"/>
      <c r="AQ49" s="166"/>
      <c r="AR49" s="182" t="e">
        <f t="shared" si="48"/>
        <v>#N/A</v>
      </c>
      <c r="AS49" s="488"/>
      <c r="AT49" s="182"/>
      <c r="AU49" s="166"/>
      <c r="AV49" s="166"/>
      <c r="AW49" s="182" t="e">
        <f t="shared" si="50"/>
        <v>#N/A</v>
      </c>
      <c r="AX49" s="488"/>
      <c r="AZ49" s="182" t="e">
        <f t="shared" si="52"/>
        <v>#N/A</v>
      </c>
      <c r="BA49" s="488"/>
    </row>
    <row r="50" spans="2:53">
      <c r="B50" s="454"/>
      <c r="C50" s="182">
        <v>4</v>
      </c>
      <c r="D50" s="203"/>
      <c r="E50" s="166"/>
      <c r="F50" s="166"/>
      <c r="G50" s="166"/>
      <c r="H50" s="464"/>
      <c r="I50" s="166" t="str">
        <f t="shared" si="37"/>
        <v>-</v>
      </c>
      <c r="J50" s="166" t="str">
        <f t="shared" si="38"/>
        <v>-</v>
      </c>
      <c r="K50" s="180" t="str">
        <f t="shared" si="39"/>
        <v>-</v>
      </c>
      <c r="L50" s="464"/>
      <c r="M50" s="181" t="e">
        <f>RANK(K50, K$47:$K$61)</f>
        <v>#VALUE!</v>
      </c>
      <c r="N50" s="461"/>
      <c r="O50" s="461"/>
      <c r="P50" s="182"/>
      <c r="Q50" s="166"/>
      <c r="R50" s="166"/>
      <c r="S50" s="182" t="e">
        <f t="shared" si="54"/>
        <v>#N/A</v>
      </c>
      <c r="T50" s="488"/>
      <c r="U50" s="182"/>
      <c r="V50" s="166"/>
      <c r="W50" s="166"/>
      <c r="X50" s="182" t="e">
        <f t="shared" si="40"/>
        <v>#N/A</v>
      </c>
      <c r="Y50" s="488"/>
      <c r="Z50" s="182"/>
      <c r="AA50" s="166"/>
      <c r="AB50" s="166"/>
      <c r="AC50" s="182" t="e">
        <f t="shared" si="42"/>
        <v>#N/A</v>
      </c>
      <c r="AD50" s="488"/>
      <c r="AE50" s="182"/>
      <c r="AF50" s="166"/>
      <c r="AG50" s="166"/>
      <c r="AH50" s="182" t="e">
        <f t="shared" si="44"/>
        <v>#N/A</v>
      </c>
      <c r="AI50" s="488"/>
      <c r="AJ50" s="182"/>
      <c r="AK50" s="166"/>
      <c r="AL50" s="166"/>
      <c r="AM50" s="182" t="e">
        <f t="shared" si="46"/>
        <v>#N/A</v>
      </c>
      <c r="AN50" s="488"/>
      <c r="AO50" s="182"/>
      <c r="AP50" s="166"/>
      <c r="AQ50" s="166"/>
      <c r="AR50" s="182" t="e">
        <f t="shared" si="48"/>
        <v>#N/A</v>
      </c>
      <c r="AS50" s="488"/>
      <c r="AT50" s="182"/>
      <c r="AU50" s="166"/>
      <c r="AV50" s="166"/>
      <c r="AW50" s="182" t="e">
        <f t="shared" si="50"/>
        <v>#N/A</v>
      </c>
      <c r="AX50" s="488"/>
      <c r="AZ50" s="182" t="e">
        <f t="shared" si="52"/>
        <v>#N/A</v>
      </c>
      <c r="BA50" s="488"/>
    </row>
    <row r="51" spans="2:53">
      <c r="B51" s="454"/>
      <c r="C51" s="182">
        <v>5</v>
      </c>
      <c r="D51" s="203"/>
      <c r="E51" s="166"/>
      <c r="F51" s="166"/>
      <c r="G51" s="166"/>
      <c r="H51" s="464"/>
      <c r="I51" s="166" t="str">
        <f t="shared" si="37"/>
        <v>-</v>
      </c>
      <c r="J51" s="166" t="str">
        <f t="shared" si="38"/>
        <v>-</v>
      </c>
      <c r="K51" s="180" t="str">
        <f t="shared" si="39"/>
        <v>-</v>
      </c>
      <c r="L51" s="464"/>
      <c r="M51" s="181" t="e">
        <f>RANK(K51, K$47:$K$61)</f>
        <v>#VALUE!</v>
      </c>
      <c r="N51" s="461"/>
      <c r="O51" s="461"/>
      <c r="P51" s="182"/>
      <c r="Q51" s="166"/>
      <c r="R51" s="166"/>
      <c r="S51" s="182" t="e">
        <f t="shared" si="54"/>
        <v>#N/A</v>
      </c>
      <c r="T51" s="488"/>
      <c r="U51" s="182"/>
      <c r="V51" s="166"/>
      <c r="W51" s="166"/>
      <c r="X51" s="182" t="e">
        <f t="shared" si="40"/>
        <v>#N/A</v>
      </c>
      <c r="Y51" s="488"/>
      <c r="Z51" s="182"/>
      <c r="AA51" s="166"/>
      <c r="AB51" s="166"/>
      <c r="AC51" s="182" t="e">
        <f t="shared" si="42"/>
        <v>#N/A</v>
      </c>
      <c r="AD51" s="488"/>
      <c r="AE51" s="182"/>
      <c r="AF51" s="166"/>
      <c r="AG51" s="166"/>
      <c r="AH51" s="182" t="e">
        <f t="shared" si="44"/>
        <v>#N/A</v>
      </c>
      <c r="AI51" s="488"/>
      <c r="AJ51" s="182"/>
      <c r="AK51" s="166"/>
      <c r="AL51" s="166"/>
      <c r="AM51" s="182" t="e">
        <f t="shared" si="46"/>
        <v>#N/A</v>
      </c>
      <c r="AN51" s="488"/>
      <c r="AO51" s="182"/>
      <c r="AP51" s="166"/>
      <c r="AQ51" s="166"/>
      <c r="AR51" s="182" t="e">
        <f t="shared" si="48"/>
        <v>#N/A</v>
      </c>
      <c r="AS51" s="488"/>
      <c r="AT51" s="182"/>
      <c r="AU51" s="166"/>
      <c r="AV51" s="166"/>
      <c r="AW51" s="182" t="e">
        <f t="shared" si="50"/>
        <v>#N/A</v>
      </c>
      <c r="AX51" s="488"/>
      <c r="AZ51" s="182" t="e">
        <f t="shared" si="52"/>
        <v>#N/A</v>
      </c>
      <c r="BA51" s="488"/>
    </row>
    <row r="52" spans="2:53">
      <c r="B52" s="454"/>
      <c r="C52" s="182">
        <v>6</v>
      </c>
      <c r="D52" s="203"/>
      <c r="E52" s="166"/>
      <c r="F52" s="166"/>
      <c r="G52" s="166"/>
      <c r="H52" s="464"/>
      <c r="I52" s="166" t="str">
        <f t="shared" si="37"/>
        <v>-</v>
      </c>
      <c r="J52" s="166" t="str">
        <f t="shared" si="38"/>
        <v>-</v>
      </c>
      <c r="K52" s="180" t="str">
        <f t="shared" si="39"/>
        <v>-</v>
      </c>
      <c r="L52" s="464"/>
      <c r="M52" s="181" t="e">
        <f>RANK(K52, K$47:$K$61)</f>
        <v>#VALUE!</v>
      </c>
      <c r="N52" s="461"/>
      <c r="O52" s="461"/>
      <c r="P52" s="182"/>
      <c r="Q52" s="166"/>
      <c r="R52" s="166"/>
      <c r="S52" s="182" t="e">
        <f t="shared" si="54"/>
        <v>#N/A</v>
      </c>
      <c r="T52" s="488"/>
      <c r="U52" s="182"/>
      <c r="V52" s="166"/>
      <c r="W52" s="166"/>
      <c r="X52" s="182" t="e">
        <f t="shared" si="40"/>
        <v>#N/A</v>
      </c>
      <c r="Y52" s="488"/>
      <c r="Z52" s="182"/>
      <c r="AA52" s="166"/>
      <c r="AB52" s="166"/>
      <c r="AC52" s="182" t="e">
        <f t="shared" si="42"/>
        <v>#N/A</v>
      </c>
      <c r="AD52" s="488"/>
      <c r="AE52" s="182"/>
      <c r="AF52" s="166"/>
      <c r="AG52" s="166"/>
      <c r="AH52" s="182" t="e">
        <f t="shared" si="44"/>
        <v>#N/A</v>
      </c>
      <c r="AI52" s="488"/>
      <c r="AJ52" s="182"/>
      <c r="AK52" s="166"/>
      <c r="AL52" s="166"/>
      <c r="AM52" s="182" t="e">
        <f t="shared" si="46"/>
        <v>#N/A</v>
      </c>
      <c r="AN52" s="488"/>
      <c r="AO52" s="182"/>
      <c r="AP52" s="166"/>
      <c r="AQ52" s="166"/>
      <c r="AR52" s="182" t="e">
        <f t="shared" si="48"/>
        <v>#N/A</v>
      </c>
      <c r="AS52" s="488"/>
      <c r="AT52" s="182"/>
      <c r="AU52" s="166"/>
      <c r="AV52" s="166"/>
      <c r="AW52" s="182" t="e">
        <f t="shared" si="50"/>
        <v>#N/A</v>
      </c>
      <c r="AX52" s="488"/>
      <c r="AZ52" s="182" t="e">
        <f t="shared" si="52"/>
        <v>#N/A</v>
      </c>
      <c r="BA52" s="488"/>
    </row>
    <row r="53" spans="2:53">
      <c r="B53" s="454"/>
      <c r="C53" s="182">
        <v>7</v>
      </c>
      <c r="D53" s="203"/>
      <c r="E53" s="166"/>
      <c r="F53" s="166"/>
      <c r="G53" s="166"/>
      <c r="H53" s="464"/>
      <c r="I53" s="166" t="str">
        <f t="shared" si="37"/>
        <v>-</v>
      </c>
      <c r="J53" s="166" t="str">
        <f t="shared" si="38"/>
        <v>-</v>
      </c>
      <c r="K53" s="180" t="str">
        <f t="shared" si="39"/>
        <v>-</v>
      </c>
      <c r="L53" s="464"/>
      <c r="M53" s="181" t="e">
        <f>RANK(K53, K$47:$K$61)</f>
        <v>#VALUE!</v>
      </c>
      <c r="N53" s="461"/>
      <c r="O53" s="461"/>
      <c r="P53" s="182"/>
      <c r="Q53" s="166"/>
      <c r="R53" s="166"/>
      <c r="S53" s="182" t="e">
        <f t="shared" si="54"/>
        <v>#N/A</v>
      </c>
      <c r="T53" s="488"/>
      <c r="U53" s="182"/>
      <c r="V53" s="166"/>
      <c r="W53" s="166"/>
      <c r="X53" s="182" t="e">
        <f t="shared" si="40"/>
        <v>#N/A</v>
      </c>
      <c r="Y53" s="488"/>
      <c r="Z53" s="182"/>
      <c r="AA53" s="166"/>
      <c r="AB53" s="166"/>
      <c r="AC53" s="182" t="e">
        <f t="shared" si="42"/>
        <v>#N/A</v>
      </c>
      <c r="AD53" s="488"/>
      <c r="AE53" s="182"/>
      <c r="AF53" s="166"/>
      <c r="AG53" s="166"/>
      <c r="AH53" s="182" t="e">
        <f t="shared" si="44"/>
        <v>#N/A</v>
      </c>
      <c r="AI53" s="488"/>
      <c r="AJ53" s="182"/>
      <c r="AK53" s="166"/>
      <c r="AL53" s="166"/>
      <c r="AM53" s="182" t="e">
        <f t="shared" si="46"/>
        <v>#N/A</v>
      </c>
      <c r="AN53" s="488"/>
      <c r="AO53" s="182"/>
      <c r="AP53" s="166"/>
      <c r="AQ53" s="166"/>
      <c r="AR53" s="182" t="e">
        <f t="shared" si="48"/>
        <v>#N/A</v>
      </c>
      <c r="AS53" s="488"/>
      <c r="AT53" s="182"/>
      <c r="AU53" s="166"/>
      <c r="AV53" s="166"/>
      <c r="AW53" s="182" t="e">
        <f t="shared" si="50"/>
        <v>#N/A</v>
      </c>
      <c r="AX53" s="488"/>
      <c r="AZ53" s="182" t="e">
        <f t="shared" si="52"/>
        <v>#N/A</v>
      </c>
      <c r="BA53" s="488"/>
    </row>
    <row r="54" spans="2:53">
      <c r="B54" s="454"/>
      <c r="C54" s="182">
        <v>8</v>
      </c>
      <c r="D54" s="203"/>
      <c r="E54" s="166"/>
      <c r="F54" s="166"/>
      <c r="G54" s="166"/>
      <c r="H54" s="464"/>
      <c r="I54" s="166" t="str">
        <f t="shared" si="37"/>
        <v>-</v>
      </c>
      <c r="J54" s="166" t="str">
        <f t="shared" si="38"/>
        <v>-</v>
      </c>
      <c r="K54" s="180" t="str">
        <f t="shared" si="39"/>
        <v>-</v>
      </c>
      <c r="L54" s="464"/>
      <c r="M54" s="181" t="e">
        <f>RANK(K54, K$47:$K$61)</f>
        <v>#VALUE!</v>
      </c>
      <c r="N54" s="461"/>
      <c r="O54" s="461"/>
      <c r="P54" s="182"/>
      <c r="Q54" s="166"/>
      <c r="R54" s="166"/>
      <c r="S54" s="182" t="e">
        <f t="shared" si="54"/>
        <v>#N/A</v>
      </c>
      <c r="T54" s="488"/>
      <c r="U54" s="182"/>
      <c r="V54" s="166"/>
      <c r="W54" s="166"/>
      <c r="X54" s="182" t="e">
        <f t="shared" si="40"/>
        <v>#N/A</v>
      </c>
      <c r="Y54" s="488"/>
      <c r="Z54" s="182"/>
      <c r="AA54" s="166"/>
      <c r="AB54" s="166"/>
      <c r="AC54" s="182" t="e">
        <f t="shared" si="42"/>
        <v>#N/A</v>
      </c>
      <c r="AD54" s="488"/>
      <c r="AE54" s="182"/>
      <c r="AF54" s="166"/>
      <c r="AG54" s="166"/>
      <c r="AH54" s="182" t="e">
        <f t="shared" si="44"/>
        <v>#N/A</v>
      </c>
      <c r="AI54" s="488"/>
      <c r="AJ54" s="182"/>
      <c r="AK54" s="166"/>
      <c r="AL54" s="166"/>
      <c r="AM54" s="182" t="e">
        <f t="shared" si="46"/>
        <v>#N/A</v>
      </c>
      <c r="AN54" s="488"/>
      <c r="AO54" s="182"/>
      <c r="AP54" s="166"/>
      <c r="AQ54" s="166"/>
      <c r="AR54" s="182" t="e">
        <f t="shared" si="48"/>
        <v>#N/A</v>
      </c>
      <c r="AS54" s="488"/>
      <c r="AT54" s="182"/>
      <c r="AU54" s="166"/>
      <c r="AV54" s="166"/>
      <c r="AW54" s="182" t="e">
        <f t="shared" si="50"/>
        <v>#N/A</v>
      </c>
      <c r="AX54" s="488"/>
      <c r="AZ54" s="182" t="e">
        <f t="shared" si="52"/>
        <v>#N/A</v>
      </c>
      <c r="BA54" s="488"/>
    </row>
    <row r="55" spans="2:53">
      <c r="B55" s="454"/>
      <c r="C55" s="182">
        <v>9</v>
      </c>
      <c r="D55" s="203"/>
      <c r="E55" s="166"/>
      <c r="F55" s="166"/>
      <c r="G55" s="166"/>
      <c r="H55" s="464"/>
      <c r="I55" s="166" t="str">
        <f t="shared" si="37"/>
        <v>-</v>
      </c>
      <c r="J55" s="166" t="str">
        <f t="shared" si="38"/>
        <v>-</v>
      </c>
      <c r="K55" s="180" t="str">
        <f t="shared" si="39"/>
        <v>-</v>
      </c>
      <c r="L55" s="464"/>
      <c r="M55" s="181" t="e">
        <f>RANK(K55, K$47:$K$61)</f>
        <v>#VALUE!</v>
      </c>
      <c r="N55" s="461"/>
      <c r="O55" s="461"/>
      <c r="P55" s="182"/>
      <c r="Q55" s="166"/>
      <c r="R55" s="166"/>
      <c r="S55" s="182" t="e">
        <f t="shared" si="54"/>
        <v>#N/A</v>
      </c>
      <c r="T55" s="488"/>
      <c r="U55" s="182"/>
      <c r="V55" s="166"/>
      <c r="W55" s="166"/>
      <c r="X55" s="182" t="e">
        <f t="shared" si="40"/>
        <v>#N/A</v>
      </c>
      <c r="Y55" s="488"/>
      <c r="Z55" s="182"/>
      <c r="AA55" s="166"/>
      <c r="AB55" s="166"/>
      <c r="AC55" s="182" t="e">
        <f t="shared" si="42"/>
        <v>#N/A</v>
      </c>
      <c r="AD55" s="488"/>
      <c r="AE55" s="182"/>
      <c r="AF55" s="166"/>
      <c r="AG55" s="166"/>
      <c r="AH55" s="182" t="e">
        <f t="shared" si="44"/>
        <v>#N/A</v>
      </c>
      <c r="AI55" s="488"/>
      <c r="AJ55" s="182"/>
      <c r="AK55" s="166"/>
      <c r="AL55" s="166"/>
      <c r="AM55" s="182" t="e">
        <f t="shared" si="46"/>
        <v>#N/A</v>
      </c>
      <c r="AN55" s="488"/>
      <c r="AO55" s="182"/>
      <c r="AP55" s="166"/>
      <c r="AQ55" s="166"/>
      <c r="AR55" s="182" t="e">
        <f t="shared" si="48"/>
        <v>#N/A</v>
      </c>
      <c r="AS55" s="488"/>
      <c r="AT55" s="182"/>
      <c r="AU55" s="166"/>
      <c r="AV55" s="166"/>
      <c r="AW55" s="182" t="e">
        <f t="shared" si="50"/>
        <v>#N/A</v>
      </c>
      <c r="AX55" s="488"/>
      <c r="AZ55" s="182" t="e">
        <f t="shared" si="52"/>
        <v>#N/A</v>
      </c>
      <c r="BA55" s="488"/>
    </row>
    <row r="56" spans="2:53">
      <c r="B56" s="454"/>
      <c r="C56" s="182">
        <v>10</v>
      </c>
      <c r="D56" s="203"/>
      <c r="E56" s="166"/>
      <c r="F56" s="166"/>
      <c r="G56" s="166"/>
      <c r="H56" s="464"/>
      <c r="I56" s="166" t="str">
        <f t="shared" si="37"/>
        <v>-</v>
      </c>
      <c r="J56" s="166" t="str">
        <f t="shared" si="38"/>
        <v>-</v>
      </c>
      <c r="K56" s="180" t="str">
        <f t="shared" si="39"/>
        <v>-</v>
      </c>
      <c r="L56" s="464"/>
      <c r="M56" s="181" t="e">
        <f>RANK(K56, K$47:$K$61)</f>
        <v>#VALUE!</v>
      </c>
      <c r="N56" s="461"/>
      <c r="O56" s="461"/>
      <c r="P56" s="182"/>
      <c r="Q56" s="166"/>
      <c r="R56" s="166"/>
      <c r="S56" s="182" t="e">
        <f t="shared" si="54"/>
        <v>#N/A</v>
      </c>
      <c r="T56" s="488"/>
      <c r="U56" s="182"/>
      <c r="V56" s="166"/>
      <c r="W56" s="166"/>
      <c r="X56" s="182" t="e">
        <f t="shared" si="40"/>
        <v>#N/A</v>
      </c>
      <c r="Y56" s="488"/>
      <c r="Z56" s="182"/>
      <c r="AA56" s="166"/>
      <c r="AB56" s="166"/>
      <c r="AC56" s="182" t="e">
        <f t="shared" si="42"/>
        <v>#N/A</v>
      </c>
      <c r="AD56" s="488"/>
      <c r="AE56" s="182"/>
      <c r="AF56" s="166"/>
      <c r="AG56" s="166"/>
      <c r="AH56" s="182" t="e">
        <f t="shared" si="44"/>
        <v>#N/A</v>
      </c>
      <c r="AI56" s="488"/>
      <c r="AJ56" s="182"/>
      <c r="AK56" s="166"/>
      <c r="AL56" s="166"/>
      <c r="AM56" s="182" t="e">
        <f t="shared" si="46"/>
        <v>#N/A</v>
      </c>
      <c r="AN56" s="488"/>
      <c r="AO56" s="182"/>
      <c r="AP56" s="166"/>
      <c r="AQ56" s="166"/>
      <c r="AR56" s="182" t="e">
        <f t="shared" si="48"/>
        <v>#N/A</v>
      </c>
      <c r="AS56" s="488"/>
      <c r="AT56" s="182"/>
      <c r="AU56" s="166"/>
      <c r="AV56" s="166"/>
      <c r="AW56" s="182" t="e">
        <f t="shared" si="50"/>
        <v>#N/A</v>
      </c>
      <c r="AX56" s="488"/>
      <c r="AZ56" s="182" t="e">
        <f t="shared" si="52"/>
        <v>#N/A</v>
      </c>
      <c r="BA56" s="488"/>
    </row>
    <row r="57" spans="2:53">
      <c r="B57" s="454"/>
      <c r="C57" s="182">
        <v>11</v>
      </c>
      <c r="D57" s="203"/>
      <c r="E57" s="166"/>
      <c r="F57" s="166"/>
      <c r="G57" s="166"/>
      <c r="H57" s="464"/>
      <c r="I57" s="166" t="str">
        <f t="shared" si="37"/>
        <v>-</v>
      </c>
      <c r="J57" s="166" t="str">
        <f t="shared" si="38"/>
        <v>-</v>
      </c>
      <c r="K57" s="180" t="str">
        <f t="shared" si="39"/>
        <v>-</v>
      </c>
      <c r="L57" s="464"/>
      <c r="M57" s="181" t="e">
        <f>RANK(K57, K$47:$K$61)</f>
        <v>#VALUE!</v>
      </c>
      <c r="N57" s="461"/>
      <c r="O57" s="461"/>
      <c r="P57" s="182"/>
      <c r="Q57" s="166"/>
      <c r="R57" s="166"/>
      <c r="S57" s="182" t="e">
        <f t="shared" si="54"/>
        <v>#N/A</v>
      </c>
      <c r="T57" s="488"/>
      <c r="U57" s="182"/>
      <c r="V57" s="166"/>
      <c r="W57" s="166"/>
      <c r="X57" s="182" t="e">
        <f t="shared" si="40"/>
        <v>#N/A</v>
      </c>
      <c r="Y57" s="488"/>
      <c r="Z57" s="182"/>
      <c r="AA57" s="166"/>
      <c r="AB57" s="166"/>
      <c r="AC57" s="182" t="e">
        <f t="shared" si="42"/>
        <v>#N/A</v>
      </c>
      <c r="AD57" s="488"/>
      <c r="AE57" s="182"/>
      <c r="AF57" s="166"/>
      <c r="AG57" s="166"/>
      <c r="AH57" s="182" t="e">
        <f t="shared" si="44"/>
        <v>#N/A</v>
      </c>
      <c r="AI57" s="488"/>
      <c r="AJ57" s="182"/>
      <c r="AK57" s="166"/>
      <c r="AL57" s="166"/>
      <c r="AM57" s="182" t="e">
        <f t="shared" si="46"/>
        <v>#N/A</v>
      </c>
      <c r="AN57" s="488"/>
      <c r="AO57" s="182"/>
      <c r="AP57" s="166"/>
      <c r="AQ57" s="166"/>
      <c r="AR57" s="182" t="e">
        <f t="shared" si="48"/>
        <v>#N/A</v>
      </c>
      <c r="AS57" s="488"/>
      <c r="AT57" s="182"/>
      <c r="AU57" s="166"/>
      <c r="AV57" s="166"/>
      <c r="AW57" s="182" t="e">
        <f t="shared" si="50"/>
        <v>#N/A</v>
      </c>
      <c r="AX57" s="488"/>
      <c r="AZ57" s="182" t="e">
        <f t="shared" si="52"/>
        <v>#N/A</v>
      </c>
      <c r="BA57" s="488"/>
    </row>
    <row r="58" spans="2:53">
      <c r="B58" s="454"/>
      <c r="C58" s="182">
        <v>12</v>
      </c>
      <c r="D58" s="203"/>
      <c r="E58" s="166"/>
      <c r="F58" s="166"/>
      <c r="G58" s="166"/>
      <c r="H58" s="464"/>
      <c r="I58" s="166" t="str">
        <f t="shared" si="37"/>
        <v>-</v>
      </c>
      <c r="J58" s="166" t="str">
        <f t="shared" si="38"/>
        <v>-</v>
      </c>
      <c r="K58" s="180" t="str">
        <f t="shared" si="39"/>
        <v>-</v>
      </c>
      <c r="L58" s="464"/>
      <c r="M58" s="181" t="e">
        <f>RANK(K58, K$47:$K$61)</f>
        <v>#VALUE!</v>
      </c>
      <c r="N58" s="461"/>
      <c r="O58" s="461"/>
      <c r="P58" s="182"/>
      <c r="Q58" s="166"/>
      <c r="R58" s="166"/>
      <c r="S58" s="182" t="e">
        <f t="shared" si="54"/>
        <v>#N/A</v>
      </c>
      <c r="T58" s="488"/>
      <c r="U58" s="182"/>
      <c r="V58" s="166"/>
      <c r="W58" s="166"/>
      <c r="X58" s="182" t="e">
        <f t="shared" si="40"/>
        <v>#N/A</v>
      </c>
      <c r="Y58" s="488"/>
      <c r="Z58" s="182"/>
      <c r="AA58" s="166"/>
      <c r="AB58" s="166"/>
      <c r="AC58" s="182" t="e">
        <f t="shared" si="42"/>
        <v>#N/A</v>
      </c>
      <c r="AD58" s="488"/>
      <c r="AE58" s="182"/>
      <c r="AF58" s="166"/>
      <c r="AG58" s="166"/>
      <c r="AH58" s="182" t="e">
        <f t="shared" si="44"/>
        <v>#N/A</v>
      </c>
      <c r="AI58" s="488"/>
      <c r="AJ58" s="182"/>
      <c r="AK58" s="166"/>
      <c r="AL58" s="166"/>
      <c r="AM58" s="182" t="e">
        <f t="shared" si="46"/>
        <v>#N/A</v>
      </c>
      <c r="AN58" s="488"/>
      <c r="AO58" s="182"/>
      <c r="AP58" s="166"/>
      <c r="AQ58" s="166"/>
      <c r="AR58" s="182" t="e">
        <f t="shared" si="48"/>
        <v>#N/A</v>
      </c>
      <c r="AS58" s="488"/>
      <c r="AT58" s="182"/>
      <c r="AU58" s="166"/>
      <c r="AV58" s="166"/>
      <c r="AW58" s="182" t="e">
        <f t="shared" si="50"/>
        <v>#N/A</v>
      </c>
      <c r="AX58" s="488"/>
      <c r="AZ58" s="182" t="e">
        <f t="shared" si="52"/>
        <v>#N/A</v>
      </c>
      <c r="BA58" s="488"/>
    </row>
    <row r="59" spans="2:53">
      <c r="B59" s="454"/>
      <c r="C59" s="182">
        <v>13</v>
      </c>
      <c r="D59" s="203"/>
      <c r="E59" s="166"/>
      <c r="F59" s="166"/>
      <c r="G59" s="166"/>
      <c r="H59" s="464"/>
      <c r="I59" s="166" t="str">
        <f t="shared" si="37"/>
        <v>-</v>
      </c>
      <c r="J59" s="166" t="str">
        <f t="shared" si="38"/>
        <v>-</v>
      </c>
      <c r="K59" s="180" t="str">
        <f t="shared" si="39"/>
        <v>-</v>
      </c>
      <c r="L59" s="464"/>
      <c r="M59" s="181" t="e">
        <f>RANK(K59, K$47:$K$61)</f>
        <v>#VALUE!</v>
      </c>
      <c r="N59" s="461"/>
      <c r="O59" s="461"/>
      <c r="P59" s="182"/>
      <c r="Q59" s="166"/>
      <c r="R59" s="166"/>
      <c r="S59" s="182" t="e">
        <f t="shared" si="54"/>
        <v>#N/A</v>
      </c>
      <c r="T59" s="488"/>
      <c r="U59" s="182"/>
      <c r="V59" s="166"/>
      <c r="W59" s="166"/>
      <c r="X59" s="182" t="e">
        <f t="shared" si="40"/>
        <v>#N/A</v>
      </c>
      <c r="Y59" s="488"/>
      <c r="Z59" s="182"/>
      <c r="AA59" s="166"/>
      <c r="AB59" s="166"/>
      <c r="AC59" s="182" t="e">
        <f t="shared" si="42"/>
        <v>#N/A</v>
      </c>
      <c r="AD59" s="488"/>
      <c r="AE59" s="182"/>
      <c r="AF59" s="166"/>
      <c r="AG59" s="166"/>
      <c r="AH59" s="182" t="e">
        <f t="shared" si="44"/>
        <v>#N/A</v>
      </c>
      <c r="AI59" s="488"/>
      <c r="AJ59" s="182"/>
      <c r="AK59" s="166"/>
      <c r="AL59" s="166"/>
      <c r="AM59" s="182" t="e">
        <f t="shared" si="46"/>
        <v>#N/A</v>
      </c>
      <c r="AN59" s="488"/>
      <c r="AO59" s="182"/>
      <c r="AP59" s="166"/>
      <c r="AQ59" s="166"/>
      <c r="AR59" s="182" t="e">
        <f t="shared" si="48"/>
        <v>#N/A</v>
      </c>
      <c r="AS59" s="488"/>
      <c r="AT59" s="182"/>
      <c r="AU59" s="166"/>
      <c r="AV59" s="166"/>
      <c r="AW59" s="182" t="e">
        <f t="shared" si="50"/>
        <v>#N/A</v>
      </c>
      <c r="AX59" s="488"/>
      <c r="AZ59" s="182" t="e">
        <f t="shared" si="52"/>
        <v>#N/A</v>
      </c>
      <c r="BA59" s="488"/>
    </row>
    <row r="60" spans="2:53">
      <c r="B60" s="454"/>
      <c r="C60" s="182">
        <v>14</v>
      </c>
      <c r="D60" s="203"/>
      <c r="E60" s="166"/>
      <c r="F60" s="166"/>
      <c r="G60" s="166"/>
      <c r="H60" s="464"/>
      <c r="I60" s="166" t="str">
        <f t="shared" si="37"/>
        <v>-</v>
      </c>
      <c r="J60" s="166" t="str">
        <f t="shared" si="38"/>
        <v>-</v>
      </c>
      <c r="K60" s="180" t="str">
        <f t="shared" si="39"/>
        <v>-</v>
      </c>
      <c r="L60" s="464"/>
      <c r="M60" s="181" t="e">
        <f>RANK(K60, K$47:$K$61)</f>
        <v>#VALUE!</v>
      </c>
      <c r="N60" s="461"/>
      <c r="O60" s="461"/>
      <c r="P60" s="182"/>
      <c r="Q60" s="166"/>
      <c r="R60" s="166"/>
      <c r="S60" s="182" t="e">
        <f t="shared" si="54"/>
        <v>#N/A</v>
      </c>
      <c r="T60" s="488"/>
      <c r="U60" s="182"/>
      <c r="V60" s="166"/>
      <c r="W60" s="166"/>
      <c r="X60" s="182" t="e">
        <f t="shared" si="40"/>
        <v>#N/A</v>
      </c>
      <c r="Y60" s="488"/>
      <c r="Z60" s="182"/>
      <c r="AA60" s="166"/>
      <c r="AB60" s="166"/>
      <c r="AC60" s="182" t="e">
        <f t="shared" si="42"/>
        <v>#N/A</v>
      </c>
      <c r="AD60" s="488"/>
      <c r="AE60" s="182"/>
      <c r="AF60" s="166"/>
      <c r="AG60" s="166"/>
      <c r="AH60" s="182" t="e">
        <f t="shared" si="44"/>
        <v>#N/A</v>
      </c>
      <c r="AI60" s="488"/>
      <c r="AJ60" s="182"/>
      <c r="AK60" s="166"/>
      <c r="AL60" s="166"/>
      <c r="AM60" s="182" t="e">
        <f t="shared" si="46"/>
        <v>#N/A</v>
      </c>
      <c r="AN60" s="488"/>
      <c r="AO60" s="182"/>
      <c r="AP60" s="166"/>
      <c r="AQ60" s="166"/>
      <c r="AR60" s="182" t="e">
        <f t="shared" si="48"/>
        <v>#N/A</v>
      </c>
      <c r="AS60" s="488"/>
      <c r="AT60" s="182"/>
      <c r="AU60" s="166"/>
      <c r="AV60" s="166"/>
      <c r="AW60" s="182" t="e">
        <f t="shared" si="50"/>
        <v>#N/A</v>
      </c>
      <c r="AX60" s="488"/>
      <c r="AZ60" s="182" t="e">
        <f t="shared" si="52"/>
        <v>#N/A</v>
      </c>
      <c r="BA60" s="488"/>
    </row>
    <row r="61" spans="2:53">
      <c r="B61" s="454"/>
      <c r="C61" s="182">
        <v>15</v>
      </c>
      <c r="D61" s="203"/>
      <c r="E61" s="166"/>
      <c r="F61" s="166"/>
      <c r="G61" s="166"/>
      <c r="H61" s="465"/>
      <c r="I61" s="166"/>
      <c r="J61" s="166"/>
      <c r="K61" s="180"/>
      <c r="L61" s="465"/>
      <c r="M61" s="181" t="e">
        <f>RANK(K61, K$47:$K$61)</f>
        <v>#N/A</v>
      </c>
      <c r="N61" s="461"/>
      <c r="O61" s="461"/>
      <c r="P61" s="182"/>
      <c r="Q61" s="166"/>
      <c r="R61" s="166"/>
      <c r="S61" s="182" t="e">
        <f t="shared" si="54"/>
        <v>#N/A</v>
      </c>
      <c r="T61" s="489"/>
      <c r="U61" s="182"/>
      <c r="V61" s="166"/>
      <c r="W61" s="166"/>
      <c r="X61" s="182" t="e">
        <f t="shared" si="40"/>
        <v>#N/A</v>
      </c>
      <c r="Y61" s="489"/>
      <c r="Z61" s="182"/>
      <c r="AA61" s="166"/>
      <c r="AB61" s="166"/>
      <c r="AC61" s="182" t="e">
        <f t="shared" si="42"/>
        <v>#N/A</v>
      </c>
      <c r="AD61" s="489"/>
      <c r="AE61" s="182"/>
      <c r="AF61" s="166"/>
      <c r="AG61" s="166"/>
      <c r="AH61" s="182" t="e">
        <f t="shared" si="44"/>
        <v>#N/A</v>
      </c>
      <c r="AI61" s="489"/>
      <c r="AJ61" s="182"/>
      <c r="AK61" s="166"/>
      <c r="AL61" s="166"/>
      <c r="AM61" s="182" t="e">
        <f t="shared" si="46"/>
        <v>#N/A</v>
      </c>
      <c r="AN61" s="489"/>
      <c r="AO61" s="182"/>
      <c r="AP61" s="166"/>
      <c r="AQ61" s="166"/>
      <c r="AR61" s="182" t="e">
        <f t="shared" si="48"/>
        <v>#N/A</v>
      </c>
      <c r="AS61" s="489"/>
      <c r="AT61" s="182"/>
      <c r="AU61" s="166"/>
      <c r="AV61" s="166"/>
      <c r="AW61" s="182" t="e">
        <f t="shared" si="50"/>
        <v>#N/A</v>
      </c>
      <c r="AX61" s="489"/>
      <c r="AZ61" s="182" t="e">
        <f t="shared" si="52"/>
        <v>#N/A</v>
      </c>
      <c r="BA61" s="489"/>
    </row>
    <row r="62" spans="2:53" ht="15.5">
      <c r="B62" s="477" t="s">
        <v>163</v>
      </c>
      <c r="C62" s="478"/>
      <c r="D62" s="478"/>
      <c r="E62" s="478"/>
      <c r="F62" s="478"/>
      <c r="G62" s="478"/>
      <c r="H62" s="478"/>
      <c r="I62" s="186"/>
      <c r="J62" s="186"/>
      <c r="K62" s="186"/>
      <c r="L62" s="186"/>
      <c r="M62" s="185"/>
      <c r="N62" s="480" t="s">
        <v>156</v>
      </c>
      <c r="O62" s="480" t="s">
        <v>105</v>
      </c>
      <c r="P62" s="476">
        <f>P42+7</f>
        <v>46133</v>
      </c>
      <c r="Q62" s="454"/>
      <c r="R62" s="454"/>
      <c r="S62" s="454"/>
      <c r="T62" s="454"/>
      <c r="U62" s="473">
        <f>P62+1</f>
        <v>46134</v>
      </c>
      <c r="V62" s="474"/>
      <c r="W62" s="474"/>
      <c r="X62" s="474"/>
      <c r="Y62" s="475"/>
      <c r="Z62" s="473">
        <f>U62+1</f>
        <v>46135</v>
      </c>
      <c r="AA62" s="474"/>
      <c r="AB62" s="474"/>
      <c r="AC62" s="474"/>
      <c r="AD62" s="475"/>
      <c r="AE62" s="473">
        <f>Z62+1</f>
        <v>46136</v>
      </c>
      <c r="AF62" s="474"/>
      <c r="AG62" s="474"/>
      <c r="AH62" s="474"/>
      <c r="AI62" s="475"/>
      <c r="AJ62" s="473">
        <f>AE62+1</f>
        <v>46137</v>
      </c>
      <c r="AK62" s="474"/>
      <c r="AL62" s="474"/>
      <c r="AM62" s="474"/>
      <c r="AN62" s="475"/>
      <c r="AO62" s="473">
        <f>AJ62+1</f>
        <v>46138</v>
      </c>
      <c r="AP62" s="474"/>
      <c r="AQ62" s="474"/>
      <c r="AR62" s="474"/>
      <c r="AS62" s="475"/>
      <c r="AT62" s="473">
        <f>AO62+1</f>
        <v>46139</v>
      </c>
      <c r="AU62" s="474"/>
      <c r="AV62" s="474"/>
      <c r="AW62" s="474"/>
      <c r="AX62" s="475"/>
    </row>
    <row r="63" spans="2:53" ht="15.5">
      <c r="B63" s="479"/>
      <c r="C63" s="479"/>
      <c r="D63" s="479"/>
      <c r="E63" s="479"/>
      <c r="F63" s="479"/>
      <c r="G63" s="479"/>
      <c r="H63" s="479"/>
      <c r="I63" s="184"/>
      <c r="J63" s="184"/>
      <c r="K63" s="184"/>
      <c r="L63" s="184"/>
      <c r="M63" s="179"/>
      <c r="N63" s="481"/>
      <c r="O63" s="481"/>
      <c r="P63" s="476" t="s">
        <v>336</v>
      </c>
      <c r="Q63" s="454"/>
      <c r="R63" s="454"/>
      <c r="S63" s="454"/>
      <c r="T63" s="454"/>
      <c r="U63" s="476" t="s">
        <v>337</v>
      </c>
      <c r="V63" s="454"/>
      <c r="W63" s="454"/>
      <c r="X63" s="454"/>
      <c r="Y63" s="454"/>
      <c r="Z63" s="476" t="s">
        <v>338</v>
      </c>
      <c r="AA63" s="454"/>
      <c r="AB63" s="454"/>
      <c r="AC63" s="454"/>
      <c r="AD63" s="454"/>
      <c r="AE63" s="476" t="s">
        <v>339</v>
      </c>
      <c r="AF63" s="454"/>
      <c r="AG63" s="454"/>
      <c r="AH63" s="454"/>
      <c r="AI63" s="454"/>
      <c r="AJ63" s="476" t="s">
        <v>340</v>
      </c>
      <c r="AK63" s="454"/>
      <c r="AL63" s="454"/>
      <c r="AM63" s="454"/>
      <c r="AN63" s="454"/>
      <c r="AO63" s="476" t="s">
        <v>341</v>
      </c>
      <c r="AP63" s="454"/>
      <c r="AQ63" s="454"/>
      <c r="AR63" s="454"/>
      <c r="AS63" s="454"/>
      <c r="AT63" s="476" t="s">
        <v>342</v>
      </c>
      <c r="AU63" s="454"/>
      <c r="AV63" s="454"/>
      <c r="AW63" s="454"/>
      <c r="AX63" s="454"/>
    </row>
    <row r="64" spans="2:53">
      <c r="B64" s="461" t="s">
        <v>399</v>
      </c>
      <c r="C64" s="461" t="s">
        <v>409</v>
      </c>
      <c r="D64" s="461"/>
      <c r="E64" s="461" t="s">
        <v>400</v>
      </c>
      <c r="F64" s="461"/>
      <c r="G64" s="461"/>
      <c r="H64" s="482" t="s">
        <v>396</v>
      </c>
      <c r="I64" s="461" t="s">
        <v>401</v>
      </c>
      <c r="J64" s="461"/>
      <c r="K64" s="461"/>
      <c r="L64" s="482" t="s">
        <v>396</v>
      </c>
      <c r="M64" s="480" t="s">
        <v>397</v>
      </c>
      <c r="N64" s="461"/>
      <c r="O64" s="461" t="s">
        <v>402</v>
      </c>
      <c r="P64" s="466" t="s">
        <v>398</v>
      </c>
      <c r="Q64" s="467"/>
      <c r="R64" s="467"/>
      <c r="S64" s="468"/>
      <c r="T64" s="461" t="s">
        <v>396</v>
      </c>
      <c r="U64" s="466" t="s">
        <v>398</v>
      </c>
      <c r="V64" s="467"/>
      <c r="W64" s="467"/>
      <c r="X64" s="468"/>
      <c r="Y64" s="461" t="s">
        <v>396</v>
      </c>
      <c r="Z64" s="466" t="s">
        <v>398</v>
      </c>
      <c r="AA64" s="467"/>
      <c r="AB64" s="467"/>
      <c r="AC64" s="468"/>
      <c r="AD64" s="461" t="s">
        <v>396</v>
      </c>
      <c r="AE64" s="466" t="s">
        <v>398</v>
      </c>
      <c r="AF64" s="467"/>
      <c r="AG64" s="467"/>
      <c r="AH64" s="468"/>
      <c r="AI64" s="461" t="s">
        <v>396</v>
      </c>
      <c r="AJ64" s="466" t="s">
        <v>398</v>
      </c>
      <c r="AK64" s="467"/>
      <c r="AL64" s="467"/>
      <c r="AM64" s="468"/>
      <c r="AN64" s="461" t="s">
        <v>396</v>
      </c>
      <c r="AO64" s="466" t="s">
        <v>398</v>
      </c>
      <c r="AP64" s="467"/>
      <c r="AQ64" s="467"/>
      <c r="AR64" s="468"/>
      <c r="AS64" s="461" t="s">
        <v>396</v>
      </c>
      <c r="AT64" s="466" t="s">
        <v>398</v>
      </c>
      <c r="AU64" s="467"/>
      <c r="AV64" s="467"/>
      <c r="AW64" s="468"/>
      <c r="AX64" s="461" t="s">
        <v>396</v>
      </c>
      <c r="BA64" s="461" t="s">
        <v>396</v>
      </c>
    </row>
    <row r="65" spans="2:53">
      <c r="B65" s="461"/>
      <c r="C65" s="461"/>
      <c r="D65" s="461"/>
      <c r="E65" s="461" t="s">
        <v>403</v>
      </c>
      <c r="F65" s="461"/>
      <c r="G65" s="461"/>
      <c r="H65" s="483"/>
      <c r="I65" s="461" t="s">
        <v>403</v>
      </c>
      <c r="J65" s="461"/>
      <c r="K65" s="461"/>
      <c r="L65" s="483"/>
      <c r="M65" s="485"/>
      <c r="N65" s="461"/>
      <c r="O65" s="461"/>
      <c r="P65" s="466" t="s">
        <v>404</v>
      </c>
      <c r="Q65" s="467"/>
      <c r="R65" s="467"/>
      <c r="S65" s="468"/>
      <c r="T65" s="461"/>
      <c r="U65" s="466" t="s">
        <v>404</v>
      </c>
      <c r="V65" s="467"/>
      <c r="W65" s="467"/>
      <c r="X65" s="468"/>
      <c r="Y65" s="461"/>
      <c r="Z65" s="466" t="s">
        <v>404</v>
      </c>
      <c r="AA65" s="467"/>
      <c r="AB65" s="467"/>
      <c r="AC65" s="468"/>
      <c r="AD65" s="461"/>
      <c r="AE65" s="466" t="s">
        <v>404</v>
      </c>
      <c r="AF65" s="467"/>
      <c r="AG65" s="467"/>
      <c r="AH65" s="468"/>
      <c r="AI65" s="461"/>
      <c r="AJ65" s="466" t="s">
        <v>404</v>
      </c>
      <c r="AK65" s="467"/>
      <c r="AL65" s="467"/>
      <c r="AM65" s="468"/>
      <c r="AN65" s="461"/>
      <c r="AO65" s="466" t="s">
        <v>404</v>
      </c>
      <c r="AP65" s="467"/>
      <c r="AQ65" s="467"/>
      <c r="AR65" s="468"/>
      <c r="AS65" s="461"/>
      <c r="AT65" s="466" t="s">
        <v>404</v>
      </c>
      <c r="AU65" s="467"/>
      <c r="AV65" s="467"/>
      <c r="AW65" s="468"/>
      <c r="AX65" s="461"/>
      <c r="BA65" s="461"/>
    </row>
    <row r="66" spans="2:53">
      <c r="B66" s="461"/>
      <c r="C66" s="461"/>
      <c r="D66" s="461"/>
      <c r="E66" s="269" t="s">
        <v>405</v>
      </c>
      <c r="F66" s="269" t="s">
        <v>406</v>
      </c>
      <c r="G66" s="269" t="s">
        <v>407</v>
      </c>
      <c r="H66" s="484"/>
      <c r="I66" s="269" t="s">
        <v>405</v>
      </c>
      <c r="J66" s="269" t="s">
        <v>406</v>
      </c>
      <c r="K66" s="269" t="s">
        <v>407</v>
      </c>
      <c r="L66" s="484"/>
      <c r="M66" s="481"/>
      <c r="N66" s="461"/>
      <c r="O66" s="461"/>
      <c r="P66" s="269" t="s">
        <v>405</v>
      </c>
      <c r="Q66" s="269" t="s">
        <v>406</v>
      </c>
      <c r="R66" s="269" t="s">
        <v>407</v>
      </c>
      <c r="S66" s="269" t="s">
        <v>397</v>
      </c>
      <c r="T66" s="461"/>
      <c r="U66" s="269" t="s">
        <v>405</v>
      </c>
      <c r="V66" s="269" t="s">
        <v>406</v>
      </c>
      <c r="W66" s="269" t="s">
        <v>407</v>
      </c>
      <c r="X66" s="269" t="s">
        <v>397</v>
      </c>
      <c r="Y66" s="461"/>
      <c r="Z66" s="269" t="s">
        <v>405</v>
      </c>
      <c r="AA66" s="269" t="s">
        <v>406</v>
      </c>
      <c r="AB66" s="269" t="s">
        <v>407</v>
      </c>
      <c r="AC66" s="269" t="s">
        <v>397</v>
      </c>
      <c r="AD66" s="461"/>
      <c r="AE66" s="269" t="s">
        <v>405</v>
      </c>
      <c r="AF66" s="269" t="s">
        <v>406</v>
      </c>
      <c r="AG66" s="269" t="s">
        <v>407</v>
      </c>
      <c r="AH66" s="269" t="s">
        <v>397</v>
      </c>
      <c r="AI66" s="461"/>
      <c r="AJ66" s="269" t="s">
        <v>405</v>
      </c>
      <c r="AK66" s="269" t="s">
        <v>406</v>
      </c>
      <c r="AL66" s="269" t="s">
        <v>407</v>
      </c>
      <c r="AM66" s="269" t="s">
        <v>397</v>
      </c>
      <c r="AN66" s="461"/>
      <c r="AO66" s="269" t="s">
        <v>405</v>
      </c>
      <c r="AP66" s="269" t="s">
        <v>406</v>
      </c>
      <c r="AQ66" s="269" t="s">
        <v>407</v>
      </c>
      <c r="AR66" s="269" t="s">
        <v>397</v>
      </c>
      <c r="AS66" s="461"/>
      <c r="AT66" s="269" t="s">
        <v>405</v>
      </c>
      <c r="AU66" s="269" t="s">
        <v>406</v>
      </c>
      <c r="AV66" s="269" t="s">
        <v>407</v>
      </c>
      <c r="AW66" s="269" t="s">
        <v>397</v>
      </c>
      <c r="AX66" s="461"/>
      <c r="AZ66" s="269" t="s">
        <v>397</v>
      </c>
      <c r="BA66" s="461"/>
    </row>
    <row r="67" spans="2:53">
      <c r="B67" s="501" t="s">
        <v>408</v>
      </c>
      <c r="C67" s="182">
        <v>1</v>
      </c>
      <c r="D67" s="203"/>
      <c r="E67" s="166"/>
      <c r="F67" s="166"/>
      <c r="G67" s="166"/>
      <c r="H67" s="463" t="e">
        <f>AVERAGE(G67:G81)</f>
        <v>#DIV/0!</v>
      </c>
      <c r="I67" s="166" t="str">
        <f t="shared" ref="I67:I80" si="55">IFERROR(AVERAGE(P67,U67,Z67,AE67,AJ67,AO67,AT67),"-")</f>
        <v>-</v>
      </c>
      <c r="J67" s="166" t="str">
        <f t="shared" ref="J67:J80" si="56">IFERROR(AVERAGE(Q67,V67,AA67,AF67,AK67,AP67,AU67),"-")</f>
        <v>-</v>
      </c>
      <c r="K67" s="180" t="str">
        <f t="shared" ref="K67:K80" si="57">IFERROR(AVERAGE(R67,W67,AB67,AG67,AL67,AQ67,AV67),"-")</f>
        <v>-</v>
      </c>
      <c r="L67" s="463" t="str">
        <f>IFERROR(AVERAGE(K67:K81),"-")</f>
        <v>-</v>
      </c>
      <c r="M67" s="181" t="e">
        <f>RANK(K67, K$67:$K$81)</f>
        <v>#VALUE!</v>
      </c>
      <c r="N67" s="461"/>
      <c r="O67" s="461"/>
      <c r="P67" s="182"/>
      <c r="Q67" s="166"/>
      <c r="R67" s="166"/>
      <c r="S67" s="182" t="e">
        <f>RANK(R67, R$67:R$81)</f>
        <v>#N/A</v>
      </c>
      <c r="T67" s="487" t="e">
        <f>AVERAGE(R67:R81)</f>
        <v>#DIV/0!</v>
      </c>
      <c r="U67" s="182"/>
      <c r="V67" s="166"/>
      <c r="W67" s="166"/>
      <c r="X67" s="182" t="e">
        <f t="shared" ref="X67:X81" si="58">RANK(W67, W$67:W$81)</f>
        <v>#N/A</v>
      </c>
      <c r="Y67" s="487" t="e">
        <f t="shared" ref="Y67" si="59">AVERAGE(W67:W81)</f>
        <v>#DIV/0!</v>
      </c>
      <c r="Z67" s="182"/>
      <c r="AA67" s="166"/>
      <c r="AB67" s="166"/>
      <c r="AC67" s="182" t="e">
        <f t="shared" ref="AC67:AC81" si="60">RANK(AB67, AB$67:AB$81)</f>
        <v>#N/A</v>
      </c>
      <c r="AD67" s="487" t="e">
        <f t="shared" ref="AD67" si="61">AVERAGE(AB67:AB81)</f>
        <v>#DIV/0!</v>
      </c>
      <c r="AE67" s="182"/>
      <c r="AF67" s="166"/>
      <c r="AG67" s="166"/>
      <c r="AH67" s="182" t="e">
        <f t="shared" ref="AH67:AH81" si="62">RANK(AG67, AG$67:AG$81)</f>
        <v>#N/A</v>
      </c>
      <c r="AI67" s="487" t="e">
        <f t="shared" ref="AI67" si="63">AVERAGE(AG67:AG81)</f>
        <v>#DIV/0!</v>
      </c>
      <c r="AJ67" s="182"/>
      <c r="AK67" s="166"/>
      <c r="AL67" s="166"/>
      <c r="AM67" s="182" t="e">
        <f t="shared" ref="AM67:AM81" si="64">RANK(AL67, AL$67:AL$81)</f>
        <v>#N/A</v>
      </c>
      <c r="AN67" s="487" t="e">
        <f t="shared" ref="AN67" si="65">AVERAGE(AL67:AL81)</f>
        <v>#DIV/0!</v>
      </c>
      <c r="AO67" s="182"/>
      <c r="AP67" s="166"/>
      <c r="AQ67" s="166"/>
      <c r="AR67" s="182" t="e">
        <f t="shared" ref="AR67:AR81" si="66">RANK(AQ67, AQ$67:AQ$81)</f>
        <v>#N/A</v>
      </c>
      <c r="AS67" s="487" t="e">
        <f t="shared" ref="AS67" si="67">AVERAGE(AQ67:AQ81)</f>
        <v>#DIV/0!</v>
      </c>
      <c r="AT67" s="182"/>
      <c r="AU67" s="166"/>
      <c r="AV67" s="166"/>
      <c r="AW67" s="182" t="e">
        <f t="shared" ref="AW67:AW81" si="68">RANK(AV67, AV$67:AV$81)</f>
        <v>#N/A</v>
      </c>
      <c r="AX67" s="487" t="e">
        <f t="shared" ref="AX67" si="69">AVERAGE(AV67:AV81)</f>
        <v>#DIV/0!</v>
      </c>
      <c r="AZ67" s="182" t="e">
        <f t="shared" ref="AZ67:AZ81" si="70">RANK(AY67, AY$67:AY$81)</f>
        <v>#N/A</v>
      </c>
      <c r="BA67" s="487" t="e">
        <f t="shared" ref="BA67" si="71">AVERAGE(AY67:AY81)</f>
        <v>#DIV/0!</v>
      </c>
    </row>
    <row r="68" spans="2:53">
      <c r="B68" s="454"/>
      <c r="C68" s="182">
        <v>2</v>
      </c>
      <c r="D68" s="203"/>
      <c r="E68" s="166"/>
      <c r="F68" s="166"/>
      <c r="G68" s="166"/>
      <c r="H68" s="464"/>
      <c r="I68" s="166" t="str">
        <f t="shared" si="55"/>
        <v>-</v>
      </c>
      <c r="J68" s="166" t="str">
        <f t="shared" si="56"/>
        <v>-</v>
      </c>
      <c r="K68" s="180" t="str">
        <f t="shared" si="57"/>
        <v>-</v>
      </c>
      <c r="L68" s="464"/>
      <c r="M68" s="181" t="e">
        <f>RANK(K68, K$67:$K$81)</f>
        <v>#VALUE!</v>
      </c>
      <c r="N68" s="461"/>
      <c r="O68" s="461"/>
      <c r="P68" s="182"/>
      <c r="Q68" s="166"/>
      <c r="R68" s="166"/>
      <c r="S68" s="182" t="e">
        <f t="shared" ref="S68:S81" si="72">RANK(R68, R$67:R$81)</f>
        <v>#N/A</v>
      </c>
      <c r="T68" s="488"/>
      <c r="U68" s="182"/>
      <c r="V68" s="166"/>
      <c r="W68" s="166"/>
      <c r="X68" s="182" t="e">
        <f t="shared" si="58"/>
        <v>#N/A</v>
      </c>
      <c r="Y68" s="488"/>
      <c r="Z68" s="182"/>
      <c r="AA68" s="166"/>
      <c r="AB68" s="166"/>
      <c r="AC68" s="182" t="e">
        <f t="shared" si="60"/>
        <v>#N/A</v>
      </c>
      <c r="AD68" s="488"/>
      <c r="AE68" s="182"/>
      <c r="AF68" s="166"/>
      <c r="AG68" s="166"/>
      <c r="AH68" s="182" t="e">
        <f t="shared" si="62"/>
        <v>#N/A</v>
      </c>
      <c r="AI68" s="488"/>
      <c r="AJ68" s="182"/>
      <c r="AK68" s="166"/>
      <c r="AL68" s="166"/>
      <c r="AM68" s="182" t="e">
        <f t="shared" si="64"/>
        <v>#N/A</v>
      </c>
      <c r="AN68" s="488"/>
      <c r="AO68" s="182"/>
      <c r="AP68" s="166"/>
      <c r="AQ68" s="166"/>
      <c r="AR68" s="182" t="e">
        <f t="shared" si="66"/>
        <v>#N/A</v>
      </c>
      <c r="AS68" s="488"/>
      <c r="AT68" s="182"/>
      <c r="AU68" s="166"/>
      <c r="AV68" s="166"/>
      <c r="AW68" s="182" t="e">
        <f t="shared" si="68"/>
        <v>#N/A</v>
      </c>
      <c r="AX68" s="488"/>
      <c r="AZ68" s="182" t="e">
        <f t="shared" si="70"/>
        <v>#N/A</v>
      </c>
      <c r="BA68" s="488"/>
    </row>
    <row r="69" spans="2:53">
      <c r="B69" s="454"/>
      <c r="C69" s="182">
        <v>3</v>
      </c>
      <c r="D69" s="203"/>
      <c r="E69" s="166"/>
      <c r="F69" s="166"/>
      <c r="G69" s="166"/>
      <c r="H69" s="464"/>
      <c r="I69" s="166" t="str">
        <f t="shared" si="55"/>
        <v>-</v>
      </c>
      <c r="J69" s="166" t="str">
        <f t="shared" si="56"/>
        <v>-</v>
      </c>
      <c r="K69" s="180" t="str">
        <f t="shared" si="57"/>
        <v>-</v>
      </c>
      <c r="L69" s="464"/>
      <c r="M69" s="181" t="e">
        <f>RANK(K69, K$67:$K$81)</f>
        <v>#VALUE!</v>
      </c>
      <c r="N69" s="461"/>
      <c r="O69" s="461"/>
      <c r="P69" s="182"/>
      <c r="Q69" s="166"/>
      <c r="R69" s="166"/>
      <c r="S69" s="182" t="e">
        <f t="shared" si="72"/>
        <v>#N/A</v>
      </c>
      <c r="T69" s="488"/>
      <c r="U69" s="182"/>
      <c r="V69" s="166"/>
      <c r="W69" s="166"/>
      <c r="X69" s="182" t="e">
        <f t="shared" si="58"/>
        <v>#N/A</v>
      </c>
      <c r="Y69" s="488"/>
      <c r="Z69" s="182"/>
      <c r="AA69" s="166"/>
      <c r="AB69" s="166"/>
      <c r="AC69" s="182" t="e">
        <f t="shared" si="60"/>
        <v>#N/A</v>
      </c>
      <c r="AD69" s="488"/>
      <c r="AE69" s="182"/>
      <c r="AF69" s="166"/>
      <c r="AG69" s="166"/>
      <c r="AH69" s="182" t="e">
        <f t="shared" si="62"/>
        <v>#N/A</v>
      </c>
      <c r="AI69" s="488"/>
      <c r="AJ69" s="182"/>
      <c r="AK69" s="166"/>
      <c r="AL69" s="166"/>
      <c r="AM69" s="182" t="e">
        <f t="shared" si="64"/>
        <v>#N/A</v>
      </c>
      <c r="AN69" s="488"/>
      <c r="AO69" s="182"/>
      <c r="AP69" s="166"/>
      <c r="AQ69" s="166"/>
      <c r="AR69" s="182" t="e">
        <f t="shared" si="66"/>
        <v>#N/A</v>
      </c>
      <c r="AS69" s="488"/>
      <c r="AT69" s="182"/>
      <c r="AU69" s="166"/>
      <c r="AV69" s="166"/>
      <c r="AW69" s="182" t="e">
        <f t="shared" si="68"/>
        <v>#N/A</v>
      </c>
      <c r="AX69" s="488"/>
      <c r="AZ69" s="182" t="e">
        <f t="shared" si="70"/>
        <v>#N/A</v>
      </c>
      <c r="BA69" s="488"/>
    </row>
    <row r="70" spans="2:53">
      <c r="B70" s="454"/>
      <c r="C70" s="182">
        <v>4</v>
      </c>
      <c r="D70" s="203"/>
      <c r="E70" s="166"/>
      <c r="F70" s="166"/>
      <c r="G70" s="166"/>
      <c r="H70" s="464"/>
      <c r="I70" s="166" t="str">
        <f t="shared" si="55"/>
        <v>-</v>
      </c>
      <c r="J70" s="166" t="str">
        <f t="shared" si="56"/>
        <v>-</v>
      </c>
      <c r="K70" s="180" t="str">
        <f t="shared" si="57"/>
        <v>-</v>
      </c>
      <c r="L70" s="464"/>
      <c r="M70" s="181" t="e">
        <f>RANK(K70, K$67:$K$81)</f>
        <v>#VALUE!</v>
      </c>
      <c r="N70" s="461"/>
      <c r="O70" s="461"/>
      <c r="P70" s="182"/>
      <c r="Q70" s="166"/>
      <c r="R70" s="166"/>
      <c r="S70" s="182" t="e">
        <f t="shared" si="72"/>
        <v>#N/A</v>
      </c>
      <c r="T70" s="488"/>
      <c r="U70" s="182"/>
      <c r="V70" s="166"/>
      <c r="W70" s="166"/>
      <c r="X70" s="182" t="e">
        <f t="shared" si="58"/>
        <v>#N/A</v>
      </c>
      <c r="Y70" s="488"/>
      <c r="Z70" s="182"/>
      <c r="AA70" s="166"/>
      <c r="AB70" s="166"/>
      <c r="AC70" s="182" t="e">
        <f t="shared" si="60"/>
        <v>#N/A</v>
      </c>
      <c r="AD70" s="488"/>
      <c r="AE70" s="182"/>
      <c r="AF70" s="166"/>
      <c r="AG70" s="166"/>
      <c r="AH70" s="182" t="e">
        <f t="shared" si="62"/>
        <v>#N/A</v>
      </c>
      <c r="AI70" s="488"/>
      <c r="AJ70" s="182"/>
      <c r="AK70" s="166"/>
      <c r="AL70" s="166"/>
      <c r="AM70" s="182" t="e">
        <f t="shared" si="64"/>
        <v>#N/A</v>
      </c>
      <c r="AN70" s="488"/>
      <c r="AO70" s="182"/>
      <c r="AP70" s="166"/>
      <c r="AQ70" s="166"/>
      <c r="AR70" s="182" t="e">
        <f t="shared" si="66"/>
        <v>#N/A</v>
      </c>
      <c r="AS70" s="488"/>
      <c r="AT70" s="182"/>
      <c r="AU70" s="166"/>
      <c r="AV70" s="166"/>
      <c r="AW70" s="182" t="e">
        <f t="shared" si="68"/>
        <v>#N/A</v>
      </c>
      <c r="AX70" s="488"/>
      <c r="AZ70" s="182" t="e">
        <f t="shared" si="70"/>
        <v>#N/A</v>
      </c>
      <c r="BA70" s="488"/>
    </row>
    <row r="71" spans="2:53">
      <c r="B71" s="454"/>
      <c r="C71" s="182">
        <v>5</v>
      </c>
      <c r="D71" s="203"/>
      <c r="E71" s="166"/>
      <c r="F71" s="166"/>
      <c r="G71" s="166"/>
      <c r="H71" s="464"/>
      <c r="I71" s="166" t="str">
        <f t="shared" si="55"/>
        <v>-</v>
      </c>
      <c r="J71" s="166" t="str">
        <f t="shared" si="56"/>
        <v>-</v>
      </c>
      <c r="K71" s="180" t="str">
        <f t="shared" si="57"/>
        <v>-</v>
      </c>
      <c r="L71" s="464"/>
      <c r="M71" s="181" t="e">
        <f>RANK(K71, K$67:$K$81)</f>
        <v>#VALUE!</v>
      </c>
      <c r="N71" s="461"/>
      <c r="O71" s="461"/>
      <c r="P71" s="182"/>
      <c r="Q71" s="166"/>
      <c r="R71" s="166"/>
      <c r="S71" s="182" t="e">
        <f t="shared" si="72"/>
        <v>#N/A</v>
      </c>
      <c r="T71" s="488"/>
      <c r="U71" s="182"/>
      <c r="V71" s="166"/>
      <c r="W71" s="166"/>
      <c r="X71" s="182" t="e">
        <f t="shared" si="58"/>
        <v>#N/A</v>
      </c>
      <c r="Y71" s="488"/>
      <c r="Z71" s="182"/>
      <c r="AA71" s="166"/>
      <c r="AB71" s="166"/>
      <c r="AC71" s="182" t="e">
        <f t="shared" si="60"/>
        <v>#N/A</v>
      </c>
      <c r="AD71" s="488"/>
      <c r="AE71" s="182"/>
      <c r="AF71" s="166"/>
      <c r="AG71" s="166"/>
      <c r="AH71" s="182" t="e">
        <f t="shared" si="62"/>
        <v>#N/A</v>
      </c>
      <c r="AI71" s="488"/>
      <c r="AJ71" s="182"/>
      <c r="AK71" s="166"/>
      <c r="AL71" s="166"/>
      <c r="AM71" s="182" t="e">
        <f t="shared" si="64"/>
        <v>#N/A</v>
      </c>
      <c r="AN71" s="488"/>
      <c r="AO71" s="182"/>
      <c r="AP71" s="166"/>
      <c r="AQ71" s="166"/>
      <c r="AR71" s="182" t="e">
        <f t="shared" si="66"/>
        <v>#N/A</v>
      </c>
      <c r="AS71" s="488"/>
      <c r="AT71" s="182"/>
      <c r="AU71" s="166"/>
      <c r="AV71" s="166"/>
      <c r="AW71" s="182" t="e">
        <f t="shared" si="68"/>
        <v>#N/A</v>
      </c>
      <c r="AX71" s="488"/>
      <c r="AZ71" s="182" t="e">
        <f t="shared" si="70"/>
        <v>#N/A</v>
      </c>
      <c r="BA71" s="488"/>
    </row>
    <row r="72" spans="2:53">
      <c r="B72" s="454"/>
      <c r="C72" s="182">
        <v>6</v>
      </c>
      <c r="D72" s="203"/>
      <c r="E72" s="166"/>
      <c r="F72" s="166"/>
      <c r="G72" s="166"/>
      <c r="H72" s="464"/>
      <c r="I72" s="166" t="str">
        <f t="shared" si="55"/>
        <v>-</v>
      </c>
      <c r="J72" s="166" t="str">
        <f t="shared" si="56"/>
        <v>-</v>
      </c>
      <c r="K72" s="180" t="str">
        <f t="shared" si="57"/>
        <v>-</v>
      </c>
      <c r="L72" s="464"/>
      <c r="M72" s="181" t="e">
        <f>RANK(K72, K$67:$K$81)</f>
        <v>#VALUE!</v>
      </c>
      <c r="N72" s="461"/>
      <c r="O72" s="461"/>
      <c r="P72" s="182"/>
      <c r="Q72" s="166"/>
      <c r="R72" s="166"/>
      <c r="S72" s="182" t="e">
        <f t="shared" si="72"/>
        <v>#N/A</v>
      </c>
      <c r="T72" s="488"/>
      <c r="U72" s="182"/>
      <c r="V72" s="166"/>
      <c r="W72" s="166"/>
      <c r="X72" s="182" t="e">
        <f t="shared" si="58"/>
        <v>#N/A</v>
      </c>
      <c r="Y72" s="488"/>
      <c r="Z72" s="182"/>
      <c r="AA72" s="166"/>
      <c r="AB72" s="166"/>
      <c r="AC72" s="182" t="e">
        <f t="shared" si="60"/>
        <v>#N/A</v>
      </c>
      <c r="AD72" s="488"/>
      <c r="AE72" s="182"/>
      <c r="AF72" s="166"/>
      <c r="AG72" s="166"/>
      <c r="AH72" s="182" t="e">
        <f t="shared" si="62"/>
        <v>#N/A</v>
      </c>
      <c r="AI72" s="488"/>
      <c r="AJ72" s="182"/>
      <c r="AK72" s="166"/>
      <c r="AL72" s="166"/>
      <c r="AM72" s="182" t="e">
        <f t="shared" si="64"/>
        <v>#N/A</v>
      </c>
      <c r="AN72" s="488"/>
      <c r="AO72" s="182"/>
      <c r="AP72" s="166"/>
      <c r="AQ72" s="166"/>
      <c r="AR72" s="182" t="e">
        <f t="shared" si="66"/>
        <v>#N/A</v>
      </c>
      <c r="AS72" s="488"/>
      <c r="AT72" s="182"/>
      <c r="AU72" s="166"/>
      <c r="AV72" s="166"/>
      <c r="AW72" s="182" t="e">
        <f t="shared" si="68"/>
        <v>#N/A</v>
      </c>
      <c r="AX72" s="488"/>
      <c r="AZ72" s="182" t="e">
        <f t="shared" si="70"/>
        <v>#N/A</v>
      </c>
      <c r="BA72" s="488"/>
    </row>
    <row r="73" spans="2:53">
      <c r="B73" s="454"/>
      <c r="C73" s="182">
        <v>7</v>
      </c>
      <c r="D73" s="203"/>
      <c r="E73" s="166"/>
      <c r="F73" s="166"/>
      <c r="G73" s="166"/>
      <c r="H73" s="464"/>
      <c r="I73" s="166" t="str">
        <f t="shared" si="55"/>
        <v>-</v>
      </c>
      <c r="J73" s="166" t="str">
        <f t="shared" si="56"/>
        <v>-</v>
      </c>
      <c r="K73" s="180" t="str">
        <f t="shared" si="57"/>
        <v>-</v>
      </c>
      <c r="L73" s="464"/>
      <c r="M73" s="181" t="e">
        <f>RANK(K73, K$67:$K$81)</f>
        <v>#VALUE!</v>
      </c>
      <c r="N73" s="461"/>
      <c r="O73" s="461"/>
      <c r="P73" s="182"/>
      <c r="Q73" s="166"/>
      <c r="R73" s="166"/>
      <c r="S73" s="182" t="e">
        <f t="shared" si="72"/>
        <v>#N/A</v>
      </c>
      <c r="T73" s="488"/>
      <c r="U73" s="182"/>
      <c r="V73" s="166"/>
      <c r="W73" s="166"/>
      <c r="X73" s="182" t="e">
        <f t="shared" si="58"/>
        <v>#N/A</v>
      </c>
      <c r="Y73" s="488"/>
      <c r="Z73" s="182"/>
      <c r="AA73" s="166"/>
      <c r="AB73" s="166"/>
      <c r="AC73" s="182" t="e">
        <f t="shared" si="60"/>
        <v>#N/A</v>
      </c>
      <c r="AD73" s="488"/>
      <c r="AE73" s="182"/>
      <c r="AF73" s="166"/>
      <c r="AG73" s="166"/>
      <c r="AH73" s="182" t="e">
        <f t="shared" si="62"/>
        <v>#N/A</v>
      </c>
      <c r="AI73" s="488"/>
      <c r="AJ73" s="182"/>
      <c r="AK73" s="166"/>
      <c r="AL73" s="166"/>
      <c r="AM73" s="182" t="e">
        <f t="shared" si="64"/>
        <v>#N/A</v>
      </c>
      <c r="AN73" s="488"/>
      <c r="AO73" s="182"/>
      <c r="AP73" s="166"/>
      <c r="AQ73" s="166"/>
      <c r="AR73" s="182" t="e">
        <f t="shared" si="66"/>
        <v>#N/A</v>
      </c>
      <c r="AS73" s="488"/>
      <c r="AT73" s="182"/>
      <c r="AU73" s="166"/>
      <c r="AV73" s="166"/>
      <c r="AW73" s="182" t="e">
        <f t="shared" si="68"/>
        <v>#N/A</v>
      </c>
      <c r="AX73" s="488"/>
      <c r="AZ73" s="182" t="e">
        <f t="shared" si="70"/>
        <v>#N/A</v>
      </c>
      <c r="BA73" s="488"/>
    </row>
    <row r="74" spans="2:53">
      <c r="B74" s="454"/>
      <c r="C74" s="182">
        <v>8</v>
      </c>
      <c r="D74" s="203"/>
      <c r="E74" s="166"/>
      <c r="F74" s="166"/>
      <c r="G74" s="166"/>
      <c r="H74" s="464"/>
      <c r="I74" s="166" t="str">
        <f t="shared" si="55"/>
        <v>-</v>
      </c>
      <c r="J74" s="166" t="str">
        <f t="shared" si="56"/>
        <v>-</v>
      </c>
      <c r="K74" s="180" t="str">
        <f t="shared" si="57"/>
        <v>-</v>
      </c>
      <c r="L74" s="464"/>
      <c r="M74" s="181" t="e">
        <f>RANK(K74, K$67:$K$81)</f>
        <v>#VALUE!</v>
      </c>
      <c r="N74" s="461"/>
      <c r="O74" s="461"/>
      <c r="P74" s="182"/>
      <c r="Q74" s="166"/>
      <c r="R74" s="166"/>
      <c r="S74" s="182" t="e">
        <f t="shared" si="72"/>
        <v>#N/A</v>
      </c>
      <c r="T74" s="488"/>
      <c r="U74" s="182"/>
      <c r="V74" s="166"/>
      <c r="W74" s="166"/>
      <c r="X74" s="182" t="e">
        <f t="shared" si="58"/>
        <v>#N/A</v>
      </c>
      <c r="Y74" s="488"/>
      <c r="Z74" s="182"/>
      <c r="AA74" s="166"/>
      <c r="AB74" s="166"/>
      <c r="AC74" s="182" t="e">
        <f t="shared" si="60"/>
        <v>#N/A</v>
      </c>
      <c r="AD74" s="488"/>
      <c r="AE74" s="182"/>
      <c r="AF74" s="166"/>
      <c r="AG74" s="166"/>
      <c r="AH74" s="182" t="e">
        <f t="shared" si="62"/>
        <v>#N/A</v>
      </c>
      <c r="AI74" s="488"/>
      <c r="AJ74" s="182"/>
      <c r="AK74" s="166"/>
      <c r="AL74" s="166"/>
      <c r="AM74" s="182" t="e">
        <f t="shared" si="64"/>
        <v>#N/A</v>
      </c>
      <c r="AN74" s="488"/>
      <c r="AO74" s="182"/>
      <c r="AP74" s="166"/>
      <c r="AQ74" s="166"/>
      <c r="AR74" s="182" t="e">
        <f t="shared" si="66"/>
        <v>#N/A</v>
      </c>
      <c r="AS74" s="488"/>
      <c r="AT74" s="182"/>
      <c r="AU74" s="166"/>
      <c r="AV74" s="166"/>
      <c r="AW74" s="182" t="e">
        <f t="shared" si="68"/>
        <v>#N/A</v>
      </c>
      <c r="AX74" s="488"/>
      <c r="AZ74" s="182" t="e">
        <f t="shared" si="70"/>
        <v>#N/A</v>
      </c>
      <c r="BA74" s="488"/>
    </row>
    <row r="75" spans="2:53">
      <c r="B75" s="454"/>
      <c r="C75" s="182">
        <v>9</v>
      </c>
      <c r="D75" s="203"/>
      <c r="E75" s="166"/>
      <c r="F75" s="166"/>
      <c r="G75" s="166"/>
      <c r="H75" s="464"/>
      <c r="I75" s="166" t="str">
        <f t="shared" si="55"/>
        <v>-</v>
      </c>
      <c r="J75" s="166" t="str">
        <f t="shared" si="56"/>
        <v>-</v>
      </c>
      <c r="K75" s="180" t="str">
        <f t="shared" si="57"/>
        <v>-</v>
      </c>
      <c r="L75" s="464"/>
      <c r="M75" s="181" t="e">
        <f>RANK(K75, K$67:$K$81)</f>
        <v>#VALUE!</v>
      </c>
      <c r="N75" s="461"/>
      <c r="O75" s="461"/>
      <c r="P75" s="182"/>
      <c r="Q75" s="166"/>
      <c r="R75" s="166"/>
      <c r="S75" s="182" t="e">
        <f t="shared" si="72"/>
        <v>#N/A</v>
      </c>
      <c r="T75" s="488"/>
      <c r="U75" s="182"/>
      <c r="V75" s="166"/>
      <c r="W75" s="166"/>
      <c r="X75" s="182" t="e">
        <f t="shared" si="58"/>
        <v>#N/A</v>
      </c>
      <c r="Y75" s="488"/>
      <c r="Z75" s="182"/>
      <c r="AA75" s="166"/>
      <c r="AB75" s="166"/>
      <c r="AC75" s="182" t="e">
        <f t="shared" si="60"/>
        <v>#N/A</v>
      </c>
      <c r="AD75" s="488"/>
      <c r="AE75" s="182"/>
      <c r="AF75" s="166"/>
      <c r="AG75" s="166"/>
      <c r="AH75" s="182" t="e">
        <f t="shared" si="62"/>
        <v>#N/A</v>
      </c>
      <c r="AI75" s="488"/>
      <c r="AJ75" s="182"/>
      <c r="AK75" s="166"/>
      <c r="AL75" s="166"/>
      <c r="AM75" s="182" t="e">
        <f t="shared" si="64"/>
        <v>#N/A</v>
      </c>
      <c r="AN75" s="488"/>
      <c r="AO75" s="182"/>
      <c r="AP75" s="166"/>
      <c r="AQ75" s="166"/>
      <c r="AR75" s="182" t="e">
        <f t="shared" si="66"/>
        <v>#N/A</v>
      </c>
      <c r="AS75" s="488"/>
      <c r="AT75" s="182"/>
      <c r="AU75" s="166"/>
      <c r="AV75" s="166"/>
      <c r="AW75" s="182" t="e">
        <f t="shared" si="68"/>
        <v>#N/A</v>
      </c>
      <c r="AX75" s="488"/>
      <c r="AZ75" s="182" t="e">
        <f t="shared" si="70"/>
        <v>#N/A</v>
      </c>
      <c r="BA75" s="488"/>
    </row>
    <row r="76" spans="2:53">
      <c r="B76" s="454"/>
      <c r="C76" s="182">
        <v>10</v>
      </c>
      <c r="D76" s="203"/>
      <c r="E76" s="166"/>
      <c r="F76" s="166"/>
      <c r="G76" s="166"/>
      <c r="H76" s="464"/>
      <c r="I76" s="166" t="str">
        <f t="shared" si="55"/>
        <v>-</v>
      </c>
      <c r="J76" s="166" t="str">
        <f t="shared" si="56"/>
        <v>-</v>
      </c>
      <c r="K76" s="180" t="str">
        <f t="shared" si="57"/>
        <v>-</v>
      </c>
      <c r="L76" s="464"/>
      <c r="M76" s="181" t="e">
        <f>RANK(K76, K$67:$K$81)</f>
        <v>#VALUE!</v>
      </c>
      <c r="N76" s="461"/>
      <c r="O76" s="461"/>
      <c r="P76" s="182"/>
      <c r="Q76" s="166"/>
      <c r="R76" s="166"/>
      <c r="S76" s="182" t="e">
        <f t="shared" si="72"/>
        <v>#N/A</v>
      </c>
      <c r="T76" s="488"/>
      <c r="U76" s="182"/>
      <c r="V76" s="166"/>
      <c r="W76" s="166"/>
      <c r="X76" s="182" t="e">
        <f t="shared" si="58"/>
        <v>#N/A</v>
      </c>
      <c r="Y76" s="488"/>
      <c r="Z76" s="182"/>
      <c r="AA76" s="166"/>
      <c r="AB76" s="166"/>
      <c r="AC76" s="182" t="e">
        <f t="shared" si="60"/>
        <v>#N/A</v>
      </c>
      <c r="AD76" s="488"/>
      <c r="AE76" s="182"/>
      <c r="AF76" s="166"/>
      <c r="AG76" s="166"/>
      <c r="AH76" s="182" t="e">
        <f t="shared" si="62"/>
        <v>#N/A</v>
      </c>
      <c r="AI76" s="488"/>
      <c r="AJ76" s="182"/>
      <c r="AK76" s="166"/>
      <c r="AL76" s="166"/>
      <c r="AM76" s="182" t="e">
        <f t="shared" si="64"/>
        <v>#N/A</v>
      </c>
      <c r="AN76" s="488"/>
      <c r="AO76" s="182"/>
      <c r="AP76" s="166"/>
      <c r="AQ76" s="166"/>
      <c r="AR76" s="182" t="e">
        <f t="shared" si="66"/>
        <v>#N/A</v>
      </c>
      <c r="AS76" s="488"/>
      <c r="AT76" s="182"/>
      <c r="AU76" s="166"/>
      <c r="AV76" s="166"/>
      <c r="AW76" s="182" t="e">
        <f t="shared" si="68"/>
        <v>#N/A</v>
      </c>
      <c r="AX76" s="488"/>
      <c r="AZ76" s="182" t="e">
        <f t="shared" si="70"/>
        <v>#N/A</v>
      </c>
      <c r="BA76" s="488"/>
    </row>
    <row r="77" spans="2:53">
      <c r="B77" s="454"/>
      <c r="C77" s="182">
        <v>11</v>
      </c>
      <c r="D77" s="203"/>
      <c r="E77" s="166"/>
      <c r="F77" s="166"/>
      <c r="G77" s="166"/>
      <c r="H77" s="464"/>
      <c r="I77" s="166" t="str">
        <f t="shared" si="55"/>
        <v>-</v>
      </c>
      <c r="J77" s="166" t="str">
        <f t="shared" si="56"/>
        <v>-</v>
      </c>
      <c r="K77" s="180" t="str">
        <f t="shared" si="57"/>
        <v>-</v>
      </c>
      <c r="L77" s="464"/>
      <c r="M77" s="181" t="e">
        <f>RANK(K77, K$67:$K$81)</f>
        <v>#VALUE!</v>
      </c>
      <c r="N77" s="461"/>
      <c r="O77" s="461"/>
      <c r="P77" s="182"/>
      <c r="Q77" s="166"/>
      <c r="R77" s="166"/>
      <c r="S77" s="182" t="e">
        <f t="shared" si="72"/>
        <v>#N/A</v>
      </c>
      <c r="T77" s="488"/>
      <c r="U77" s="182"/>
      <c r="V77" s="166"/>
      <c r="W77" s="166"/>
      <c r="X77" s="182" t="e">
        <f t="shared" si="58"/>
        <v>#N/A</v>
      </c>
      <c r="Y77" s="488"/>
      <c r="Z77" s="182"/>
      <c r="AA77" s="166"/>
      <c r="AB77" s="166"/>
      <c r="AC77" s="182" t="e">
        <f t="shared" si="60"/>
        <v>#N/A</v>
      </c>
      <c r="AD77" s="488"/>
      <c r="AE77" s="182"/>
      <c r="AF77" s="166"/>
      <c r="AG77" s="166"/>
      <c r="AH77" s="182" t="e">
        <f t="shared" si="62"/>
        <v>#N/A</v>
      </c>
      <c r="AI77" s="488"/>
      <c r="AJ77" s="182"/>
      <c r="AK77" s="166"/>
      <c r="AL77" s="166"/>
      <c r="AM77" s="182" t="e">
        <f t="shared" si="64"/>
        <v>#N/A</v>
      </c>
      <c r="AN77" s="488"/>
      <c r="AO77" s="182"/>
      <c r="AP77" s="166"/>
      <c r="AQ77" s="166"/>
      <c r="AR77" s="182" t="e">
        <f t="shared" si="66"/>
        <v>#N/A</v>
      </c>
      <c r="AS77" s="488"/>
      <c r="AT77" s="182"/>
      <c r="AU77" s="166"/>
      <c r="AV77" s="166"/>
      <c r="AW77" s="182" t="e">
        <f t="shared" si="68"/>
        <v>#N/A</v>
      </c>
      <c r="AX77" s="488"/>
      <c r="AZ77" s="182" t="e">
        <f t="shared" si="70"/>
        <v>#N/A</v>
      </c>
      <c r="BA77" s="488"/>
    </row>
    <row r="78" spans="2:53">
      <c r="B78" s="454"/>
      <c r="C78" s="182">
        <v>12</v>
      </c>
      <c r="D78" s="203"/>
      <c r="E78" s="166"/>
      <c r="F78" s="166"/>
      <c r="G78" s="166"/>
      <c r="H78" s="464"/>
      <c r="I78" s="166" t="str">
        <f t="shared" si="55"/>
        <v>-</v>
      </c>
      <c r="J78" s="166" t="str">
        <f t="shared" si="56"/>
        <v>-</v>
      </c>
      <c r="K78" s="180" t="str">
        <f t="shared" si="57"/>
        <v>-</v>
      </c>
      <c r="L78" s="464"/>
      <c r="M78" s="181" t="e">
        <f>RANK(K78, K$67:$K$81)</f>
        <v>#VALUE!</v>
      </c>
      <c r="N78" s="461"/>
      <c r="O78" s="461"/>
      <c r="P78" s="182"/>
      <c r="Q78" s="166"/>
      <c r="R78" s="166"/>
      <c r="S78" s="182" t="e">
        <f t="shared" si="72"/>
        <v>#N/A</v>
      </c>
      <c r="T78" s="488"/>
      <c r="U78" s="182"/>
      <c r="V78" s="166"/>
      <c r="W78" s="166"/>
      <c r="X78" s="182" t="e">
        <f t="shared" si="58"/>
        <v>#N/A</v>
      </c>
      <c r="Y78" s="488"/>
      <c r="Z78" s="182"/>
      <c r="AA78" s="166"/>
      <c r="AB78" s="166"/>
      <c r="AC78" s="182" t="e">
        <f t="shared" si="60"/>
        <v>#N/A</v>
      </c>
      <c r="AD78" s="488"/>
      <c r="AE78" s="182"/>
      <c r="AF78" s="166"/>
      <c r="AG78" s="166"/>
      <c r="AH78" s="182" t="e">
        <f t="shared" si="62"/>
        <v>#N/A</v>
      </c>
      <c r="AI78" s="488"/>
      <c r="AJ78" s="182"/>
      <c r="AK78" s="166"/>
      <c r="AL78" s="166"/>
      <c r="AM78" s="182" t="e">
        <f t="shared" si="64"/>
        <v>#N/A</v>
      </c>
      <c r="AN78" s="488"/>
      <c r="AO78" s="182"/>
      <c r="AP78" s="166"/>
      <c r="AQ78" s="166"/>
      <c r="AR78" s="182" t="e">
        <f t="shared" si="66"/>
        <v>#N/A</v>
      </c>
      <c r="AS78" s="488"/>
      <c r="AT78" s="182"/>
      <c r="AU78" s="166"/>
      <c r="AV78" s="166"/>
      <c r="AW78" s="182" t="e">
        <f t="shared" si="68"/>
        <v>#N/A</v>
      </c>
      <c r="AX78" s="488"/>
      <c r="AZ78" s="182" t="e">
        <f t="shared" si="70"/>
        <v>#N/A</v>
      </c>
      <c r="BA78" s="488"/>
    </row>
    <row r="79" spans="2:53">
      <c r="B79" s="454"/>
      <c r="C79" s="182">
        <v>13</v>
      </c>
      <c r="D79" s="203"/>
      <c r="E79" s="166"/>
      <c r="F79" s="166"/>
      <c r="G79" s="166"/>
      <c r="H79" s="464"/>
      <c r="I79" s="166" t="str">
        <f t="shared" si="55"/>
        <v>-</v>
      </c>
      <c r="J79" s="166" t="str">
        <f t="shared" si="56"/>
        <v>-</v>
      </c>
      <c r="K79" s="180" t="str">
        <f t="shared" si="57"/>
        <v>-</v>
      </c>
      <c r="L79" s="464"/>
      <c r="M79" s="181" t="e">
        <f>RANK(K79, K$67:$K$81)</f>
        <v>#VALUE!</v>
      </c>
      <c r="N79" s="461"/>
      <c r="O79" s="461"/>
      <c r="P79" s="182"/>
      <c r="Q79" s="166"/>
      <c r="R79" s="166"/>
      <c r="S79" s="182" t="e">
        <f t="shared" si="72"/>
        <v>#N/A</v>
      </c>
      <c r="T79" s="488"/>
      <c r="U79" s="182"/>
      <c r="V79" s="166"/>
      <c r="W79" s="166"/>
      <c r="X79" s="182" t="e">
        <f t="shared" si="58"/>
        <v>#N/A</v>
      </c>
      <c r="Y79" s="488"/>
      <c r="Z79" s="182"/>
      <c r="AA79" s="166"/>
      <c r="AB79" s="166"/>
      <c r="AC79" s="182" t="e">
        <f t="shared" si="60"/>
        <v>#N/A</v>
      </c>
      <c r="AD79" s="488"/>
      <c r="AE79" s="182"/>
      <c r="AF79" s="166"/>
      <c r="AG79" s="166"/>
      <c r="AH79" s="182" t="e">
        <f t="shared" si="62"/>
        <v>#N/A</v>
      </c>
      <c r="AI79" s="488"/>
      <c r="AJ79" s="182"/>
      <c r="AK79" s="166"/>
      <c r="AL79" s="166"/>
      <c r="AM79" s="182" t="e">
        <f t="shared" si="64"/>
        <v>#N/A</v>
      </c>
      <c r="AN79" s="488"/>
      <c r="AO79" s="182"/>
      <c r="AP79" s="166"/>
      <c r="AQ79" s="166"/>
      <c r="AR79" s="182" t="e">
        <f t="shared" si="66"/>
        <v>#N/A</v>
      </c>
      <c r="AS79" s="488"/>
      <c r="AT79" s="182"/>
      <c r="AU79" s="166"/>
      <c r="AV79" s="166"/>
      <c r="AW79" s="182" t="e">
        <f t="shared" si="68"/>
        <v>#N/A</v>
      </c>
      <c r="AX79" s="488"/>
      <c r="AZ79" s="182" t="e">
        <f t="shared" si="70"/>
        <v>#N/A</v>
      </c>
      <c r="BA79" s="488"/>
    </row>
    <row r="80" spans="2:53">
      <c r="B80" s="454"/>
      <c r="C80" s="182">
        <v>14</v>
      </c>
      <c r="D80" s="203"/>
      <c r="E80" s="166"/>
      <c r="F80" s="166"/>
      <c r="G80" s="166"/>
      <c r="H80" s="464"/>
      <c r="I80" s="166" t="str">
        <f t="shared" si="55"/>
        <v>-</v>
      </c>
      <c r="J80" s="166" t="str">
        <f t="shared" si="56"/>
        <v>-</v>
      </c>
      <c r="K80" s="180" t="str">
        <f t="shared" si="57"/>
        <v>-</v>
      </c>
      <c r="L80" s="464"/>
      <c r="M80" s="181" t="e">
        <f>RANK(K80, K$67:$K$81)</f>
        <v>#VALUE!</v>
      </c>
      <c r="N80" s="461"/>
      <c r="O80" s="461"/>
      <c r="P80" s="182"/>
      <c r="Q80" s="166"/>
      <c r="R80" s="166"/>
      <c r="S80" s="182" t="e">
        <f t="shared" si="72"/>
        <v>#N/A</v>
      </c>
      <c r="T80" s="488"/>
      <c r="U80" s="182"/>
      <c r="V80" s="166"/>
      <c r="W80" s="166"/>
      <c r="X80" s="182" t="e">
        <f t="shared" si="58"/>
        <v>#N/A</v>
      </c>
      <c r="Y80" s="488"/>
      <c r="Z80" s="182"/>
      <c r="AA80" s="166"/>
      <c r="AB80" s="166"/>
      <c r="AC80" s="182" t="e">
        <f t="shared" si="60"/>
        <v>#N/A</v>
      </c>
      <c r="AD80" s="488"/>
      <c r="AE80" s="182"/>
      <c r="AF80" s="166"/>
      <c r="AG80" s="166"/>
      <c r="AH80" s="182" t="e">
        <f t="shared" si="62"/>
        <v>#N/A</v>
      </c>
      <c r="AI80" s="488"/>
      <c r="AJ80" s="182"/>
      <c r="AK80" s="166"/>
      <c r="AL80" s="166"/>
      <c r="AM80" s="182" t="e">
        <f t="shared" si="64"/>
        <v>#N/A</v>
      </c>
      <c r="AN80" s="488"/>
      <c r="AO80" s="182"/>
      <c r="AP80" s="166"/>
      <c r="AQ80" s="166"/>
      <c r="AR80" s="182" t="e">
        <f t="shared" si="66"/>
        <v>#N/A</v>
      </c>
      <c r="AS80" s="488"/>
      <c r="AT80" s="182"/>
      <c r="AU80" s="166"/>
      <c r="AV80" s="166"/>
      <c r="AW80" s="182" t="e">
        <f t="shared" si="68"/>
        <v>#N/A</v>
      </c>
      <c r="AX80" s="488"/>
      <c r="AZ80" s="182" t="e">
        <f t="shared" si="70"/>
        <v>#N/A</v>
      </c>
      <c r="BA80" s="488"/>
    </row>
    <row r="81" spans="2:53">
      <c r="B81" s="454"/>
      <c r="C81" s="182">
        <v>15</v>
      </c>
      <c r="D81" s="203"/>
      <c r="E81" s="166"/>
      <c r="F81" s="166"/>
      <c r="G81" s="166"/>
      <c r="H81" s="465"/>
      <c r="I81" s="166"/>
      <c r="J81" s="166"/>
      <c r="K81" s="180"/>
      <c r="L81" s="465"/>
      <c r="M81" s="181" t="e">
        <f>RANK(K81, K$67:$K$81)</f>
        <v>#N/A</v>
      </c>
      <c r="N81" s="461"/>
      <c r="O81" s="461"/>
      <c r="P81" s="182"/>
      <c r="Q81" s="166"/>
      <c r="R81" s="166"/>
      <c r="S81" s="182" t="e">
        <f t="shared" si="72"/>
        <v>#N/A</v>
      </c>
      <c r="T81" s="489"/>
      <c r="U81" s="182"/>
      <c r="V81" s="166"/>
      <c r="W81" s="166"/>
      <c r="X81" s="182" t="e">
        <f t="shared" si="58"/>
        <v>#N/A</v>
      </c>
      <c r="Y81" s="489"/>
      <c r="Z81" s="182"/>
      <c r="AA81" s="166"/>
      <c r="AB81" s="166"/>
      <c r="AC81" s="182" t="e">
        <f t="shared" si="60"/>
        <v>#N/A</v>
      </c>
      <c r="AD81" s="489"/>
      <c r="AE81" s="182"/>
      <c r="AF81" s="166"/>
      <c r="AG81" s="166"/>
      <c r="AH81" s="182" t="e">
        <f t="shared" si="62"/>
        <v>#N/A</v>
      </c>
      <c r="AI81" s="489"/>
      <c r="AJ81" s="182"/>
      <c r="AK81" s="166"/>
      <c r="AL81" s="166"/>
      <c r="AM81" s="182" t="e">
        <f t="shared" si="64"/>
        <v>#N/A</v>
      </c>
      <c r="AN81" s="489"/>
      <c r="AO81" s="182"/>
      <c r="AP81" s="166"/>
      <c r="AQ81" s="166"/>
      <c r="AR81" s="182" t="e">
        <f t="shared" si="66"/>
        <v>#N/A</v>
      </c>
      <c r="AS81" s="489"/>
      <c r="AT81" s="182"/>
      <c r="AU81" s="166"/>
      <c r="AV81" s="166"/>
      <c r="AW81" s="182" t="e">
        <f t="shared" si="68"/>
        <v>#N/A</v>
      </c>
      <c r="AX81" s="489"/>
      <c r="AZ81" s="182" t="e">
        <f t="shared" si="70"/>
        <v>#N/A</v>
      </c>
      <c r="BA81" s="489"/>
    </row>
    <row r="82" spans="2:53" ht="15.5">
      <c r="B82" s="477" t="s">
        <v>163</v>
      </c>
      <c r="C82" s="478"/>
      <c r="D82" s="478"/>
      <c r="E82" s="478"/>
      <c r="F82" s="478"/>
      <c r="G82" s="478"/>
      <c r="H82" s="478"/>
      <c r="I82" s="186"/>
      <c r="J82" s="186"/>
      <c r="K82" s="186"/>
      <c r="L82" s="186"/>
      <c r="M82" s="185"/>
      <c r="N82" s="480" t="s">
        <v>156</v>
      </c>
      <c r="O82" s="480" t="s">
        <v>105</v>
      </c>
      <c r="P82" s="476">
        <f>P62+7</f>
        <v>46140</v>
      </c>
      <c r="Q82" s="454"/>
      <c r="R82" s="454"/>
      <c r="S82" s="454"/>
      <c r="T82" s="454"/>
      <c r="U82" s="473">
        <f>P82+1</f>
        <v>46141</v>
      </c>
      <c r="V82" s="474"/>
      <c r="W82" s="474"/>
      <c r="X82" s="474"/>
      <c r="Y82" s="475"/>
      <c r="Z82" s="473">
        <f>U82+1</f>
        <v>46142</v>
      </c>
      <c r="AA82" s="474"/>
      <c r="AB82" s="474"/>
      <c r="AC82" s="474"/>
      <c r="AD82" s="475"/>
      <c r="AE82" s="473">
        <f>Z82+1</f>
        <v>46143</v>
      </c>
      <c r="AF82" s="474"/>
      <c r="AG82" s="474"/>
      <c r="AH82" s="474"/>
      <c r="AI82" s="475"/>
      <c r="AJ82" s="473">
        <f>AE82+1</f>
        <v>46144</v>
      </c>
      <c r="AK82" s="474"/>
      <c r="AL82" s="474"/>
      <c r="AM82" s="474"/>
      <c r="AN82" s="475"/>
      <c r="AO82" s="473">
        <f>AJ82+1</f>
        <v>46145</v>
      </c>
      <c r="AP82" s="474"/>
      <c r="AQ82" s="474"/>
      <c r="AR82" s="474"/>
      <c r="AS82" s="475"/>
      <c r="AT82" s="473">
        <f>AO82+1</f>
        <v>46146</v>
      </c>
      <c r="AU82" s="474"/>
      <c r="AV82" s="474"/>
      <c r="AW82" s="474"/>
      <c r="AX82" s="475"/>
    </row>
    <row r="83" spans="2:53" ht="15.5">
      <c r="B83" s="479"/>
      <c r="C83" s="479"/>
      <c r="D83" s="479"/>
      <c r="E83" s="479"/>
      <c r="F83" s="479"/>
      <c r="G83" s="479"/>
      <c r="H83" s="479"/>
      <c r="I83" s="184"/>
      <c r="J83" s="184"/>
      <c r="K83" s="184"/>
      <c r="L83" s="184"/>
      <c r="M83" s="179"/>
      <c r="N83" s="481"/>
      <c r="O83" s="481"/>
      <c r="P83" s="476" t="s">
        <v>336</v>
      </c>
      <c r="Q83" s="454"/>
      <c r="R83" s="454"/>
      <c r="S83" s="454"/>
      <c r="T83" s="454"/>
      <c r="U83" s="476" t="s">
        <v>337</v>
      </c>
      <c r="V83" s="454"/>
      <c r="W83" s="454"/>
      <c r="X83" s="454"/>
      <c r="Y83" s="454"/>
      <c r="Z83" s="476" t="s">
        <v>338</v>
      </c>
      <c r="AA83" s="454"/>
      <c r="AB83" s="454"/>
      <c r="AC83" s="454"/>
      <c r="AD83" s="454"/>
      <c r="AE83" s="476" t="s">
        <v>339</v>
      </c>
      <c r="AF83" s="454"/>
      <c r="AG83" s="454"/>
      <c r="AH83" s="454"/>
      <c r="AI83" s="454"/>
      <c r="AJ83" s="476" t="s">
        <v>340</v>
      </c>
      <c r="AK83" s="454"/>
      <c r="AL83" s="454"/>
      <c r="AM83" s="454"/>
      <c r="AN83" s="454"/>
      <c r="AO83" s="476" t="s">
        <v>341</v>
      </c>
      <c r="AP83" s="454"/>
      <c r="AQ83" s="454"/>
      <c r="AR83" s="454"/>
      <c r="AS83" s="454"/>
      <c r="AT83" s="476" t="s">
        <v>342</v>
      </c>
      <c r="AU83" s="454"/>
      <c r="AV83" s="454"/>
      <c r="AW83" s="454"/>
      <c r="AX83" s="454"/>
    </row>
    <row r="84" spans="2:53">
      <c r="B84" s="461" t="s">
        <v>425</v>
      </c>
      <c r="C84" s="461" t="s">
        <v>426</v>
      </c>
      <c r="D84" s="461"/>
      <c r="E84" s="461" t="s">
        <v>427</v>
      </c>
      <c r="F84" s="461"/>
      <c r="G84" s="461"/>
      <c r="H84" s="482" t="s">
        <v>428</v>
      </c>
      <c r="I84" s="461" t="s">
        <v>429</v>
      </c>
      <c r="J84" s="461"/>
      <c r="K84" s="461"/>
      <c r="L84" s="482" t="s">
        <v>396</v>
      </c>
      <c r="M84" s="480" t="s">
        <v>430</v>
      </c>
      <c r="N84" s="461"/>
      <c r="O84" s="461" t="s">
        <v>431</v>
      </c>
      <c r="P84" s="466" t="s">
        <v>432</v>
      </c>
      <c r="Q84" s="467"/>
      <c r="R84" s="467"/>
      <c r="S84" s="468"/>
      <c r="T84" s="461" t="s">
        <v>428</v>
      </c>
      <c r="U84" s="466" t="s">
        <v>432</v>
      </c>
      <c r="V84" s="467"/>
      <c r="W84" s="467"/>
      <c r="X84" s="468"/>
      <c r="Y84" s="461" t="s">
        <v>428</v>
      </c>
      <c r="Z84" s="466" t="s">
        <v>432</v>
      </c>
      <c r="AA84" s="467"/>
      <c r="AB84" s="467"/>
      <c r="AC84" s="468"/>
      <c r="AD84" s="461" t="s">
        <v>428</v>
      </c>
      <c r="AE84" s="466" t="s">
        <v>432</v>
      </c>
      <c r="AF84" s="467"/>
      <c r="AG84" s="467"/>
      <c r="AH84" s="468"/>
      <c r="AI84" s="461" t="s">
        <v>428</v>
      </c>
      <c r="AJ84" s="466" t="s">
        <v>432</v>
      </c>
      <c r="AK84" s="467"/>
      <c r="AL84" s="467"/>
      <c r="AM84" s="468"/>
      <c r="AN84" s="461" t="s">
        <v>428</v>
      </c>
      <c r="AO84" s="466" t="s">
        <v>432</v>
      </c>
      <c r="AP84" s="467"/>
      <c r="AQ84" s="467"/>
      <c r="AR84" s="468"/>
      <c r="AS84" s="461" t="s">
        <v>428</v>
      </c>
      <c r="AT84" s="466" t="s">
        <v>432</v>
      </c>
      <c r="AU84" s="467"/>
      <c r="AV84" s="467"/>
      <c r="AW84" s="468"/>
      <c r="AX84" s="461" t="s">
        <v>428</v>
      </c>
      <c r="BA84" s="461" t="s">
        <v>396</v>
      </c>
    </row>
    <row r="85" spans="2:53">
      <c r="B85" s="461"/>
      <c r="C85" s="461"/>
      <c r="D85" s="461"/>
      <c r="E85" s="461" t="s">
        <v>433</v>
      </c>
      <c r="F85" s="461"/>
      <c r="G85" s="461"/>
      <c r="H85" s="483"/>
      <c r="I85" s="461" t="s">
        <v>433</v>
      </c>
      <c r="J85" s="461"/>
      <c r="K85" s="461"/>
      <c r="L85" s="483"/>
      <c r="M85" s="485"/>
      <c r="N85" s="461"/>
      <c r="O85" s="461"/>
      <c r="P85" s="466" t="s">
        <v>434</v>
      </c>
      <c r="Q85" s="467"/>
      <c r="R85" s="467"/>
      <c r="S85" s="468"/>
      <c r="T85" s="461"/>
      <c r="U85" s="466" t="s">
        <v>434</v>
      </c>
      <c r="V85" s="467"/>
      <c r="W85" s="467"/>
      <c r="X85" s="468"/>
      <c r="Y85" s="461"/>
      <c r="Z85" s="466" t="s">
        <v>434</v>
      </c>
      <c r="AA85" s="467"/>
      <c r="AB85" s="467"/>
      <c r="AC85" s="468"/>
      <c r="AD85" s="461"/>
      <c r="AE85" s="466" t="s">
        <v>434</v>
      </c>
      <c r="AF85" s="467"/>
      <c r="AG85" s="467"/>
      <c r="AH85" s="468"/>
      <c r="AI85" s="461"/>
      <c r="AJ85" s="466" t="s">
        <v>434</v>
      </c>
      <c r="AK85" s="467"/>
      <c r="AL85" s="467"/>
      <c r="AM85" s="468"/>
      <c r="AN85" s="461"/>
      <c r="AO85" s="466" t="s">
        <v>434</v>
      </c>
      <c r="AP85" s="467"/>
      <c r="AQ85" s="467"/>
      <c r="AR85" s="468"/>
      <c r="AS85" s="461"/>
      <c r="AT85" s="466" t="s">
        <v>434</v>
      </c>
      <c r="AU85" s="467"/>
      <c r="AV85" s="467"/>
      <c r="AW85" s="468"/>
      <c r="AX85" s="461"/>
      <c r="BA85" s="461"/>
    </row>
    <row r="86" spans="2:53">
      <c r="B86" s="461"/>
      <c r="C86" s="461"/>
      <c r="D86" s="461"/>
      <c r="E86" s="269" t="s">
        <v>435</v>
      </c>
      <c r="F86" s="269" t="s">
        <v>436</v>
      </c>
      <c r="G86" s="269" t="s">
        <v>437</v>
      </c>
      <c r="H86" s="484"/>
      <c r="I86" s="269" t="s">
        <v>435</v>
      </c>
      <c r="J86" s="269" t="s">
        <v>436</v>
      </c>
      <c r="K86" s="269" t="s">
        <v>437</v>
      </c>
      <c r="L86" s="484"/>
      <c r="M86" s="481"/>
      <c r="N86" s="461"/>
      <c r="O86" s="461"/>
      <c r="P86" s="269" t="s">
        <v>435</v>
      </c>
      <c r="Q86" s="269" t="s">
        <v>436</v>
      </c>
      <c r="R86" s="269" t="s">
        <v>437</v>
      </c>
      <c r="S86" s="269" t="s">
        <v>430</v>
      </c>
      <c r="T86" s="461"/>
      <c r="U86" s="269" t="s">
        <v>435</v>
      </c>
      <c r="V86" s="269" t="s">
        <v>436</v>
      </c>
      <c r="W86" s="269" t="s">
        <v>437</v>
      </c>
      <c r="X86" s="269" t="s">
        <v>430</v>
      </c>
      <c r="Y86" s="461"/>
      <c r="Z86" s="269" t="s">
        <v>435</v>
      </c>
      <c r="AA86" s="269" t="s">
        <v>436</v>
      </c>
      <c r="AB86" s="269" t="s">
        <v>437</v>
      </c>
      <c r="AC86" s="269" t="s">
        <v>430</v>
      </c>
      <c r="AD86" s="461"/>
      <c r="AE86" s="269" t="s">
        <v>435</v>
      </c>
      <c r="AF86" s="269" t="s">
        <v>436</v>
      </c>
      <c r="AG86" s="269" t="s">
        <v>437</v>
      </c>
      <c r="AH86" s="269" t="s">
        <v>430</v>
      </c>
      <c r="AI86" s="461"/>
      <c r="AJ86" s="269" t="s">
        <v>435</v>
      </c>
      <c r="AK86" s="269" t="s">
        <v>436</v>
      </c>
      <c r="AL86" s="269" t="s">
        <v>437</v>
      </c>
      <c r="AM86" s="269" t="s">
        <v>430</v>
      </c>
      <c r="AN86" s="461"/>
      <c r="AO86" s="269" t="s">
        <v>435</v>
      </c>
      <c r="AP86" s="269" t="s">
        <v>436</v>
      </c>
      <c r="AQ86" s="269" t="s">
        <v>437</v>
      </c>
      <c r="AR86" s="269" t="s">
        <v>430</v>
      </c>
      <c r="AS86" s="461"/>
      <c r="AT86" s="269" t="s">
        <v>435</v>
      </c>
      <c r="AU86" s="269" t="s">
        <v>436</v>
      </c>
      <c r="AV86" s="269" t="s">
        <v>437</v>
      </c>
      <c r="AW86" s="269" t="s">
        <v>430</v>
      </c>
      <c r="AX86" s="461"/>
      <c r="AZ86" s="269" t="s">
        <v>397</v>
      </c>
      <c r="BA86" s="461"/>
    </row>
    <row r="87" spans="2:53">
      <c r="B87" s="501" t="s">
        <v>439</v>
      </c>
      <c r="C87" s="182">
        <v>1</v>
      </c>
      <c r="D87" s="203"/>
      <c r="E87" s="166"/>
      <c r="F87" s="182"/>
      <c r="G87" s="180"/>
      <c r="H87" s="463" t="e">
        <f>AVERAGE(G87:G101)</f>
        <v>#DIV/0!</v>
      </c>
      <c r="I87" s="166" t="str">
        <f t="shared" ref="I87:I100" si="73">IFERROR(AVERAGE(P87,U87,Z87,AE87,AJ87,AO87,AT87),"-")</f>
        <v>-</v>
      </c>
      <c r="J87" s="166" t="str">
        <f t="shared" ref="J87:J100" si="74">IFERROR(AVERAGE(Q87,V87,AA87,AF87,AK87,AP87,AU87),"-")</f>
        <v>-</v>
      </c>
      <c r="K87" s="180" t="str">
        <f t="shared" ref="K87:K100" si="75">IFERROR(AVERAGE(R87,W87,AB87,AG87,AL87,AQ87,AV87),"-")</f>
        <v>-</v>
      </c>
      <c r="L87" s="463" t="str">
        <f>IFERROR(AVERAGE(K87:K101),"-")</f>
        <v>-</v>
      </c>
      <c r="M87" s="181" t="e">
        <f>RANK(K87, K$87:$K$101)</f>
        <v>#VALUE!</v>
      </c>
      <c r="N87" s="461"/>
      <c r="O87" s="461"/>
      <c r="P87" s="182"/>
      <c r="Q87" s="166"/>
      <c r="R87" s="166"/>
      <c r="S87" s="182" t="e">
        <f>RANK(R87, R$87:R$101)</f>
        <v>#N/A</v>
      </c>
      <c r="T87" s="455" t="e">
        <f>AVERAGE(R87:R101)</f>
        <v>#DIV/0!</v>
      </c>
      <c r="U87" s="182"/>
      <c r="V87" s="166"/>
      <c r="W87" s="166"/>
      <c r="X87" s="182" t="e">
        <f t="shared" ref="X87:X101" si="76">RANK(W87, W$87:W$101)</f>
        <v>#N/A</v>
      </c>
      <c r="Y87" s="455" t="e">
        <f t="shared" ref="Y87" si="77">AVERAGE(W87:W101)</f>
        <v>#DIV/0!</v>
      </c>
      <c r="Z87" s="182"/>
      <c r="AA87" s="166"/>
      <c r="AB87" s="166"/>
      <c r="AC87" s="182" t="e">
        <f t="shared" ref="AC87:AC101" si="78">RANK(AB87, AB$87:AB$101)</f>
        <v>#N/A</v>
      </c>
      <c r="AD87" s="455" t="e">
        <f t="shared" ref="AD87" si="79">AVERAGE(AB87:AB101)</f>
        <v>#DIV/0!</v>
      </c>
      <c r="AE87" s="182"/>
      <c r="AF87" s="166"/>
      <c r="AG87" s="166"/>
      <c r="AH87" s="182" t="e">
        <f t="shared" ref="AH87:AH101" si="80">RANK(AG87, AG$87:AG$101)</f>
        <v>#N/A</v>
      </c>
      <c r="AI87" s="455" t="e">
        <f t="shared" ref="AI87" si="81">AVERAGE(AG87:AG101)</f>
        <v>#DIV/0!</v>
      </c>
      <c r="AJ87" s="182"/>
      <c r="AK87" s="166"/>
      <c r="AL87" s="166"/>
      <c r="AM87" s="182" t="e">
        <f t="shared" ref="AM87:AM101" si="82">RANK(AL87, AL$87:AL$101)</f>
        <v>#N/A</v>
      </c>
      <c r="AN87" s="455" t="e">
        <f t="shared" ref="AN87" si="83">AVERAGE(AL87:AL101)</f>
        <v>#DIV/0!</v>
      </c>
      <c r="AO87" s="182"/>
      <c r="AP87" s="166"/>
      <c r="AQ87" s="166"/>
      <c r="AR87" s="182" t="e">
        <f t="shared" ref="AR87:AR101" si="84">RANK(AQ87, AQ$87:AQ$101)</f>
        <v>#N/A</v>
      </c>
      <c r="AS87" s="455" t="e">
        <f t="shared" ref="AS87" si="85">AVERAGE(AQ87:AQ101)</f>
        <v>#DIV/0!</v>
      </c>
      <c r="AT87" s="182"/>
      <c r="AU87" s="166"/>
      <c r="AV87" s="166"/>
      <c r="AW87" s="182" t="e">
        <f t="shared" ref="AW87:AW101" si="86">RANK(AV87, AV$87:AV$101)</f>
        <v>#N/A</v>
      </c>
      <c r="AX87" s="455" t="e">
        <f t="shared" ref="AX87" si="87">AVERAGE(AV87:AV101)</f>
        <v>#DIV/0!</v>
      </c>
      <c r="AZ87" s="182" t="e">
        <f t="shared" ref="AZ87:AZ101" si="88">RANK(AY87, AY$87:AY$101)</f>
        <v>#N/A</v>
      </c>
      <c r="BA87" s="455" t="e">
        <f t="shared" ref="BA87" si="89">AVERAGE(AY87:AY101)</f>
        <v>#DIV/0!</v>
      </c>
    </row>
    <row r="88" spans="2:53">
      <c r="B88" s="454"/>
      <c r="C88" s="182">
        <v>2</v>
      </c>
      <c r="D88" s="203"/>
      <c r="E88" s="166"/>
      <c r="F88" s="182"/>
      <c r="G88" s="180"/>
      <c r="H88" s="464"/>
      <c r="I88" s="166" t="str">
        <f t="shared" si="73"/>
        <v>-</v>
      </c>
      <c r="J88" s="166" t="str">
        <f t="shared" si="74"/>
        <v>-</v>
      </c>
      <c r="K88" s="180" t="str">
        <f t="shared" si="75"/>
        <v>-</v>
      </c>
      <c r="L88" s="464"/>
      <c r="M88" s="181" t="e">
        <f>RANK(K88, K$87:$K$101)</f>
        <v>#VALUE!</v>
      </c>
      <c r="N88" s="461"/>
      <c r="O88" s="461"/>
      <c r="P88" s="182"/>
      <c r="Q88" s="166"/>
      <c r="R88" s="166"/>
      <c r="S88" s="182" t="e">
        <f t="shared" ref="S88:S101" si="90">RANK(R88, R$87:R$101)</f>
        <v>#N/A</v>
      </c>
      <c r="T88" s="455"/>
      <c r="U88" s="182"/>
      <c r="V88" s="166"/>
      <c r="W88" s="166"/>
      <c r="X88" s="182" t="e">
        <f t="shared" si="76"/>
        <v>#N/A</v>
      </c>
      <c r="Y88" s="455"/>
      <c r="Z88" s="182"/>
      <c r="AA88" s="166"/>
      <c r="AB88" s="166"/>
      <c r="AC88" s="182" t="e">
        <f t="shared" si="78"/>
        <v>#N/A</v>
      </c>
      <c r="AD88" s="455"/>
      <c r="AE88" s="182"/>
      <c r="AF88" s="166"/>
      <c r="AG88" s="166"/>
      <c r="AH88" s="182" t="e">
        <f t="shared" si="80"/>
        <v>#N/A</v>
      </c>
      <c r="AI88" s="455"/>
      <c r="AJ88" s="182"/>
      <c r="AK88" s="166"/>
      <c r="AL88" s="166"/>
      <c r="AM88" s="182" t="e">
        <f t="shared" si="82"/>
        <v>#N/A</v>
      </c>
      <c r="AN88" s="455"/>
      <c r="AO88" s="182"/>
      <c r="AP88" s="166"/>
      <c r="AQ88" s="166"/>
      <c r="AR88" s="182" t="e">
        <f t="shared" si="84"/>
        <v>#N/A</v>
      </c>
      <c r="AS88" s="455"/>
      <c r="AT88" s="182"/>
      <c r="AU88" s="166"/>
      <c r="AV88" s="166"/>
      <c r="AW88" s="182" t="e">
        <f t="shared" si="86"/>
        <v>#N/A</v>
      </c>
      <c r="AX88" s="455"/>
      <c r="AZ88" s="182" t="e">
        <f t="shared" si="88"/>
        <v>#N/A</v>
      </c>
      <c r="BA88" s="455"/>
    </row>
    <row r="89" spans="2:53">
      <c r="B89" s="454"/>
      <c r="C89" s="182">
        <v>3</v>
      </c>
      <c r="D89" s="203"/>
      <c r="E89" s="166"/>
      <c r="F89" s="182"/>
      <c r="G89" s="180"/>
      <c r="H89" s="464"/>
      <c r="I89" s="166" t="str">
        <f t="shared" si="73"/>
        <v>-</v>
      </c>
      <c r="J89" s="166" t="str">
        <f t="shared" si="74"/>
        <v>-</v>
      </c>
      <c r="K89" s="180" t="str">
        <f t="shared" si="75"/>
        <v>-</v>
      </c>
      <c r="L89" s="464"/>
      <c r="M89" s="181" t="e">
        <f>RANK(K89, K$87:$K$101)</f>
        <v>#VALUE!</v>
      </c>
      <c r="N89" s="461"/>
      <c r="O89" s="461"/>
      <c r="P89" s="182"/>
      <c r="Q89" s="166"/>
      <c r="R89" s="166"/>
      <c r="S89" s="182" t="e">
        <f t="shared" si="90"/>
        <v>#N/A</v>
      </c>
      <c r="T89" s="455"/>
      <c r="U89" s="182"/>
      <c r="V89" s="166"/>
      <c r="W89" s="166"/>
      <c r="X89" s="182" t="e">
        <f t="shared" si="76"/>
        <v>#N/A</v>
      </c>
      <c r="Y89" s="455"/>
      <c r="Z89" s="182"/>
      <c r="AA89" s="166"/>
      <c r="AB89" s="166"/>
      <c r="AC89" s="182" t="e">
        <f t="shared" si="78"/>
        <v>#N/A</v>
      </c>
      <c r="AD89" s="455"/>
      <c r="AE89" s="182"/>
      <c r="AF89" s="166"/>
      <c r="AG89" s="166"/>
      <c r="AH89" s="182" t="e">
        <f t="shared" si="80"/>
        <v>#N/A</v>
      </c>
      <c r="AI89" s="455"/>
      <c r="AJ89" s="182"/>
      <c r="AK89" s="166"/>
      <c r="AL89" s="166"/>
      <c r="AM89" s="182" t="e">
        <f t="shared" si="82"/>
        <v>#N/A</v>
      </c>
      <c r="AN89" s="455"/>
      <c r="AO89" s="182"/>
      <c r="AP89" s="166"/>
      <c r="AQ89" s="166"/>
      <c r="AR89" s="182" t="e">
        <f t="shared" si="84"/>
        <v>#N/A</v>
      </c>
      <c r="AS89" s="455"/>
      <c r="AT89" s="182"/>
      <c r="AU89" s="166"/>
      <c r="AV89" s="166"/>
      <c r="AW89" s="182" t="e">
        <f t="shared" si="86"/>
        <v>#N/A</v>
      </c>
      <c r="AX89" s="455"/>
      <c r="AZ89" s="182" t="e">
        <f t="shared" si="88"/>
        <v>#N/A</v>
      </c>
      <c r="BA89" s="455"/>
    </row>
    <row r="90" spans="2:53">
      <c r="B90" s="454"/>
      <c r="C90" s="182">
        <v>4</v>
      </c>
      <c r="D90" s="203"/>
      <c r="E90" s="166"/>
      <c r="F90" s="182"/>
      <c r="G90" s="180"/>
      <c r="H90" s="464"/>
      <c r="I90" s="166" t="str">
        <f t="shared" si="73"/>
        <v>-</v>
      </c>
      <c r="J90" s="166" t="str">
        <f t="shared" si="74"/>
        <v>-</v>
      </c>
      <c r="K90" s="180" t="str">
        <f t="shared" si="75"/>
        <v>-</v>
      </c>
      <c r="L90" s="464"/>
      <c r="M90" s="181" t="e">
        <f>RANK(K90, K$87:$K$101)</f>
        <v>#VALUE!</v>
      </c>
      <c r="N90" s="461"/>
      <c r="O90" s="461"/>
      <c r="P90" s="182"/>
      <c r="Q90" s="166"/>
      <c r="R90" s="166"/>
      <c r="S90" s="182" t="e">
        <f t="shared" si="90"/>
        <v>#N/A</v>
      </c>
      <c r="T90" s="455"/>
      <c r="U90" s="182"/>
      <c r="V90" s="166"/>
      <c r="W90" s="166"/>
      <c r="X90" s="182" t="e">
        <f t="shared" si="76"/>
        <v>#N/A</v>
      </c>
      <c r="Y90" s="455"/>
      <c r="Z90" s="182"/>
      <c r="AA90" s="166"/>
      <c r="AB90" s="166"/>
      <c r="AC90" s="182" t="e">
        <f t="shared" si="78"/>
        <v>#N/A</v>
      </c>
      <c r="AD90" s="455"/>
      <c r="AE90" s="182"/>
      <c r="AF90" s="166"/>
      <c r="AG90" s="166"/>
      <c r="AH90" s="182" t="e">
        <f t="shared" si="80"/>
        <v>#N/A</v>
      </c>
      <c r="AI90" s="455"/>
      <c r="AJ90" s="182"/>
      <c r="AK90" s="166"/>
      <c r="AL90" s="166"/>
      <c r="AM90" s="182" t="e">
        <f t="shared" si="82"/>
        <v>#N/A</v>
      </c>
      <c r="AN90" s="455"/>
      <c r="AO90" s="182"/>
      <c r="AP90" s="166"/>
      <c r="AQ90" s="166"/>
      <c r="AR90" s="182" t="e">
        <f t="shared" si="84"/>
        <v>#N/A</v>
      </c>
      <c r="AS90" s="455"/>
      <c r="AT90" s="182"/>
      <c r="AU90" s="166"/>
      <c r="AV90" s="166"/>
      <c r="AW90" s="182" t="e">
        <f t="shared" si="86"/>
        <v>#N/A</v>
      </c>
      <c r="AX90" s="455"/>
      <c r="AZ90" s="182" t="e">
        <f t="shared" si="88"/>
        <v>#N/A</v>
      </c>
      <c r="BA90" s="455"/>
    </row>
    <row r="91" spans="2:53">
      <c r="B91" s="454"/>
      <c r="C91" s="182">
        <v>5</v>
      </c>
      <c r="D91" s="203"/>
      <c r="E91" s="166"/>
      <c r="F91" s="182"/>
      <c r="G91" s="180"/>
      <c r="H91" s="464"/>
      <c r="I91" s="166" t="str">
        <f t="shared" si="73"/>
        <v>-</v>
      </c>
      <c r="J91" s="166" t="str">
        <f t="shared" si="74"/>
        <v>-</v>
      </c>
      <c r="K91" s="180" t="str">
        <f t="shared" si="75"/>
        <v>-</v>
      </c>
      <c r="L91" s="464"/>
      <c r="M91" s="181" t="e">
        <f>RANK(K91, K$87:$K$101)</f>
        <v>#VALUE!</v>
      </c>
      <c r="N91" s="461"/>
      <c r="O91" s="461"/>
      <c r="P91" s="182"/>
      <c r="Q91" s="166"/>
      <c r="R91" s="166"/>
      <c r="S91" s="182" t="e">
        <f t="shared" si="90"/>
        <v>#N/A</v>
      </c>
      <c r="T91" s="455"/>
      <c r="U91" s="182"/>
      <c r="V91" s="166"/>
      <c r="W91" s="166"/>
      <c r="X91" s="182" t="e">
        <f t="shared" si="76"/>
        <v>#N/A</v>
      </c>
      <c r="Y91" s="455"/>
      <c r="Z91" s="182"/>
      <c r="AA91" s="166"/>
      <c r="AB91" s="166"/>
      <c r="AC91" s="182" t="e">
        <f t="shared" si="78"/>
        <v>#N/A</v>
      </c>
      <c r="AD91" s="455"/>
      <c r="AE91" s="182"/>
      <c r="AF91" s="166"/>
      <c r="AG91" s="166"/>
      <c r="AH91" s="182" t="e">
        <f t="shared" si="80"/>
        <v>#N/A</v>
      </c>
      <c r="AI91" s="455"/>
      <c r="AJ91" s="182"/>
      <c r="AK91" s="166"/>
      <c r="AL91" s="166"/>
      <c r="AM91" s="182" t="e">
        <f t="shared" si="82"/>
        <v>#N/A</v>
      </c>
      <c r="AN91" s="455"/>
      <c r="AO91" s="182"/>
      <c r="AP91" s="166"/>
      <c r="AQ91" s="166"/>
      <c r="AR91" s="182" t="e">
        <f t="shared" si="84"/>
        <v>#N/A</v>
      </c>
      <c r="AS91" s="455"/>
      <c r="AT91" s="182"/>
      <c r="AU91" s="166"/>
      <c r="AV91" s="166"/>
      <c r="AW91" s="182" t="e">
        <f t="shared" si="86"/>
        <v>#N/A</v>
      </c>
      <c r="AX91" s="455"/>
      <c r="AZ91" s="182" t="e">
        <f t="shared" si="88"/>
        <v>#N/A</v>
      </c>
      <c r="BA91" s="455"/>
    </row>
    <row r="92" spans="2:53">
      <c r="B92" s="454"/>
      <c r="C92" s="182">
        <v>6</v>
      </c>
      <c r="D92" s="203"/>
      <c r="E92" s="166"/>
      <c r="F92" s="182"/>
      <c r="G92" s="180"/>
      <c r="H92" s="464"/>
      <c r="I92" s="166" t="str">
        <f t="shared" si="73"/>
        <v>-</v>
      </c>
      <c r="J92" s="166" t="str">
        <f t="shared" si="74"/>
        <v>-</v>
      </c>
      <c r="K92" s="180" t="str">
        <f t="shared" si="75"/>
        <v>-</v>
      </c>
      <c r="L92" s="464"/>
      <c r="M92" s="181" t="e">
        <f>RANK(K92, K$87:$K$101)</f>
        <v>#VALUE!</v>
      </c>
      <c r="N92" s="461"/>
      <c r="O92" s="461"/>
      <c r="P92" s="182"/>
      <c r="Q92" s="166"/>
      <c r="R92" s="166"/>
      <c r="S92" s="182" t="e">
        <f t="shared" si="90"/>
        <v>#N/A</v>
      </c>
      <c r="T92" s="455"/>
      <c r="U92" s="182"/>
      <c r="V92" s="166"/>
      <c r="W92" s="166"/>
      <c r="X92" s="182" t="e">
        <f t="shared" si="76"/>
        <v>#N/A</v>
      </c>
      <c r="Y92" s="455"/>
      <c r="Z92" s="182"/>
      <c r="AA92" s="166"/>
      <c r="AB92" s="166"/>
      <c r="AC92" s="182" t="e">
        <f t="shared" si="78"/>
        <v>#N/A</v>
      </c>
      <c r="AD92" s="455"/>
      <c r="AE92" s="182"/>
      <c r="AF92" s="166"/>
      <c r="AG92" s="166"/>
      <c r="AH92" s="182" t="e">
        <f t="shared" si="80"/>
        <v>#N/A</v>
      </c>
      <c r="AI92" s="455"/>
      <c r="AJ92" s="182"/>
      <c r="AK92" s="166"/>
      <c r="AL92" s="166"/>
      <c r="AM92" s="182" t="e">
        <f t="shared" si="82"/>
        <v>#N/A</v>
      </c>
      <c r="AN92" s="455"/>
      <c r="AO92" s="182"/>
      <c r="AP92" s="166"/>
      <c r="AQ92" s="166"/>
      <c r="AR92" s="182" t="e">
        <f t="shared" si="84"/>
        <v>#N/A</v>
      </c>
      <c r="AS92" s="455"/>
      <c r="AT92" s="182"/>
      <c r="AU92" s="166"/>
      <c r="AV92" s="166"/>
      <c r="AW92" s="182" t="e">
        <f t="shared" si="86"/>
        <v>#N/A</v>
      </c>
      <c r="AX92" s="455"/>
      <c r="AZ92" s="182" t="e">
        <f t="shared" si="88"/>
        <v>#N/A</v>
      </c>
      <c r="BA92" s="455"/>
    </row>
    <row r="93" spans="2:53">
      <c r="B93" s="454"/>
      <c r="C93" s="182">
        <v>7</v>
      </c>
      <c r="D93" s="203"/>
      <c r="E93" s="166"/>
      <c r="F93" s="182"/>
      <c r="G93" s="180"/>
      <c r="H93" s="464"/>
      <c r="I93" s="166" t="str">
        <f t="shared" si="73"/>
        <v>-</v>
      </c>
      <c r="J93" s="166" t="str">
        <f t="shared" si="74"/>
        <v>-</v>
      </c>
      <c r="K93" s="180" t="str">
        <f t="shared" si="75"/>
        <v>-</v>
      </c>
      <c r="L93" s="464"/>
      <c r="M93" s="181" t="e">
        <f>RANK(K93, K$87:$K$101)</f>
        <v>#VALUE!</v>
      </c>
      <c r="N93" s="461"/>
      <c r="O93" s="461"/>
      <c r="P93" s="182"/>
      <c r="Q93" s="166"/>
      <c r="R93" s="166"/>
      <c r="S93" s="182" t="e">
        <f t="shared" si="90"/>
        <v>#N/A</v>
      </c>
      <c r="T93" s="455"/>
      <c r="U93" s="182"/>
      <c r="V93" s="166"/>
      <c r="W93" s="166"/>
      <c r="X93" s="182" t="e">
        <f t="shared" si="76"/>
        <v>#N/A</v>
      </c>
      <c r="Y93" s="455"/>
      <c r="Z93" s="182"/>
      <c r="AA93" s="166"/>
      <c r="AB93" s="166"/>
      <c r="AC93" s="182" t="e">
        <f t="shared" si="78"/>
        <v>#N/A</v>
      </c>
      <c r="AD93" s="455"/>
      <c r="AE93" s="182"/>
      <c r="AF93" s="166"/>
      <c r="AG93" s="166"/>
      <c r="AH93" s="182" t="e">
        <f t="shared" si="80"/>
        <v>#N/A</v>
      </c>
      <c r="AI93" s="455"/>
      <c r="AJ93" s="182"/>
      <c r="AK93" s="166"/>
      <c r="AL93" s="166"/>
      <c r="AM93" s="182" t="e">
        <f t="shared" si="82"/>
        <v>#N/A</v>
      </c>
      <c r="AN93" s="455"/>
      <c r="AO93" s="182"/>
      <c r="AP93" s="166"/>
      <c r="AQ93" s="166"/>
      <c r="AR93" s="182" t="e">
        <f t="shared" si="84"/>
        <v>#N/A</v>
      </c>
      <c r="AS93" s="455"/>
      <c r="AT93" s="182"/>
      <c r="AU93" s="166"/>
      <c r="AV93" s="166"/>
      <c r="AW93" s="182" t="e">
        <f t="shared" si="86"/>
        <v>#N/A</v>
      </c>
      <c r="AX93" s="455"/>
      <c r="AZ93" s="182" t="e">
        <f t="shared" si="88"/>
        <v>#N/A</v>
      </c>
      <c r="BA93" s="455"/>
    </row>
    <row r="94" spans="2:53">
      <c r="B94" s="454"/>
      <c r="C94" s="182">
        <v>8</v>
      </c>
      <c r="D94" s="203"/>
      <c r="E94" s="166"/>
      <c r="F94" s="182"/>
      <c r="G94" s="180"/>
      <c r="H94" s="464"/>
      <c r="I94" s="166" t="str">
        <f t="shared" si="73"/>
        <v>-</v>
      </c>
      <c r="J94" s="166" t="str">
        <f t="shared" si="74"/>
        <v>-</v>
      </c>
      <c r="K94" s="180" t="str">
        <f t="shared" si="75"/>
        <v>-</v>
      </c>
      <c r="L94" s="464"/>
      <c r="M94" s="181" t="e">
        <f>RANK(K94, K$87:$K$101)</f>
        <v>#VALUE!</v>
      </c>
      <c r="N94" s="461"/>
      <c r="O94" s="461"/>
      <c r="P94" s="182"/>
      <c r="Q94" s="166"/>
      <c r="R94" s="166"/>
      <c r="S94" s="182" t="e">
        <f t="shared" si="90"/>
        <v>#N/A</v>
      </c>
      <c r="T94" s="455"/>
      <c r="U94" s="182"/>
      <c r="V94" s="166"/>
      <c r="W94" s="166"/>
      <c r="X94" s="182" t="e">
        <f t="shared" si="76"/>
        <v>#N/A</v>
      </c>
      <c r="Y94" s="455"/>
      <c r="Z94" s="182"/>
      <c r="AA94" s="166"/>
      <c r="AB94" s="166"/>
      <c r="AC94" s="182" t="e">
        <f t="shared" si="78"/>
        <v>#N/A</v>
      </c>
      <c r="AD94" s="455"/>
      <c r="AE94" s="182"/>
      <c r="AF94" s="166"/>
      <c r="AG94" s="166"/>
      <c r="AH94" s="182" t="e">
        <f t="shared" si="80"/>
        <v>#N/A</v>
      </c>
      <c r="AI94" s="455"/>
      <c r="AJ94" s="182"/>
      <c r="AK94" s="166"/>
      <c r="AL94" s="166"/>
      <c r="AM94" s="182" t="e">
        <f t="shared" si="82"/>
        <v>#N/A</v>
      </c>
      <c r="AN94" s="455"/>
      <c r="AO94" s="182"/>
      <c r="AP94" s="166"/>
      <c r="AQ94" s="166"/>
      <c r="AR94" s="182" t="e">
        <f t="shared" si="84"/>
        <v>#N/A</v>
      </c>
      <c r="AS94" s="455"/>
      <c r="AT94" s="182"/>
      <c r="AU94" s="166"/>
      <c r="AV94" s="166"/>
      <c r="AW94" s="182" t="e">
        <f t="shared" si="86"/>
        <v>#N/A</v>
      </c>
      <c r="AX94" s="455"/>
      <c r="AZ94" s="182" t="e">
        <f t="shared" si="88"/>
        <v>#N/A</v>
      </c>
      <c r="BA94" s="455"/>
    </row>
    <row r="95" spans="2:53">
      <c r="B95" s="454"/>
      <c r="C95" s="182">
        <v>9</v>
      </c>
      <c r="D95" s="203"/>
      <c r="E95" s="166"/>
      <c r="F95" s="182"/>
      <c r="G95" s="180"/>
      <c r="H95" s="464"/>
      <c r="I95" s="166" t="str">
        <f t="shared" si="73"/>
        <v>-</v>
      </c>
      <c r="J95" s="166" t="str">
        <f t="shared" si="74"/>
        <v>-</v>
      </c>
      <c r="K95" s="180" t="str">
        <f t="shared" si="75"/>
        <v>-</v>
      </c>
      <c r="L95" s="464"/>
      <c r="M95" s="181" t="e">
        <f>RANK(K95, K$87:$K$101)</f>
        <v>#VALUE!</v>
      </c>
      <c r="N95" s="461"/>
      <c r="O95" s="461"/>
      <c r="P95" s="182"/>
      <c r="Q95" s="166"/>
      <c r="R95" s="166"/>
      <c r="S95" s="182" t="e">
        <f t="shared" si="90"/>
        <v>#N/A</v>
      </c>
      <c r="T95" s="455"/>
      <c r="U95" s="182"/>
      <c r="V95" s="166"/>
      <c r="W95" s="166"/>
      <c r="X95" s="182" t="e">
        <f t="shared" si="76"/>
        <v>#N/A</v>
      </c>
      <c r="Y95" s="455"/>
      <c r="Z95" s="182"/>
      <c r="AA95" s="166"/>
      <c r="AB95" s="166"/>
      <c r="AC95" s="182" t="e">
        <f t="shared" si="78"/>
        <v>#N/A</v>
      </c>
      <c r="AD95" s="455"/>
      <c r="AE95" s="182"/>
      <c r="AF95" s="166"/>
      <c r="AG95" s="166"/>
      <c r="AH95" s="182" t="e">
        <f t="shared" si="80"/>
        <v>#N/A</v>
      </c>
      <c r="AI95" s="455"/>
      <c r="AJ95" s="182"/>
      <c r="AK95" s="166"/>
      <c r="AL95" s="166"/>
      <c r="AM95" s="182" t="e">
        <f t="shared" si="82"/>
        <v>#N/A</v>
      </c>
      <c r="AN95" s="455"/>
      <c r="AO95" s="182"/>
      <c r="AP95" s="166"/>
      <c r="AQ95" s="166"/>
      <c r="AR95" s="182" t="e">
        <f t="shared" si="84"/>
        <v>#N/A</v>
      </c>
      <c r="AS95" s="455"/>
      <c r="AT95" s="182"/>
      <c r="AU95" s="166"/>
      <c r="AV95" s="166"/>
      <c r="AW95" s="182" t="e">
        <f t="shared" si="86"/>
        <v>#N/A</v>
      </c>
      <c r="AX95" s="455"/>
      <c r="AZ95" s="182" t="e">
        <f t="shared" si="88"/>
        <v>#N/A</v>
      </c>
      <c r="BA95" s="455"/>
    </row>
    <row r="96" spans="2:53">
      <c r="B96" s="454"/>
      <c r="C96" s="182">
        <v>10</v>
      </c>
      <c r="D96" s="203"/>
      <c r="E96" s="166"/>
      <c r="F96" s="182"/>
      <c r="G96" s="180"/>
      <c r="H96" s="464"/>
      <c r="I96" s="166" t="str">
        <f t="shared" si="73"/>
        <v>-</v>
      </c>
      <c r="J96" s="166" t="str">
        <f t="shared" si="74"/>
        <v>-</v>
      </c>
      <c r="K96" s="180" t="str">
        <f t="shared" si="75"/>
        <v>-</v>
      </c>
      <c r="L96" s="464"/>
      <c r="M96" s="181" t="e">
        <f>RANK(K96, K$87:$K$101)</f>
        <v>#VALUE!</v>
      </c>
      <c r="N96" s="461"/>
      <c r="O96" s="461"/>
      <c r="P96" s="182"/>
      <c r="Q96" s="166"/>
      <c r="R96" s="166"/>
      <c r="S96" s="182" t="e">
        <f t="shared" si="90"/>
        <v>#N/A</v>
      </c>
      <c r="T96" s="455"/>
      <c r="U96" s="182"/>
      <c r="V96" s="166"/>
      <c r="W96" s="166"/>
      <c r="X96" s="182" t="e">
        <f t="shared" si="76"/>
        <v>#N/A</v>
      </c>
      <c r="Y96" s="455"/>
      <c r="Z96" s="182"/>
      <c r="AA96" s="166"/>
      <c r="AB96" s="166"/>
      <c r="AC96" s="182" t="e">
        <f t="shared" si="78"/>
        <v>#N/A</v>
      </c>
      <c r="AD96" s="455"/>
      <c r="AE96" s="182"/>
      <c r="AF96" s="166"/>
      <c r="AG96" s="166"/>
      <c r="AH96" s="182" t="e">
        <f t="shared" si="80"/>
        <v>#N/A</v>
      </c>
      <c r="AI96" s="455"/>
      <c r="AJ96" s="182"/>
      <c r="AK96" s="166"/>
      <c r="AL96" s="166"/>
      <c r="AM96" s="182" t="e">
        <f t="shared" si="82"/>
        <v>#N/A</v>
      </c>
      <c r="AN96" s="455"/>
      <c r="AO96" s="182"/>
      <c r="AP96" s="166"/>
      <c r="AQ96" s="166"/>
      <c r="AR96" s="182" t="e">
        <f t="shared" si="84"/>
        <v>#N/A</v>
      </c>
      <c r="AS96" s="455"/>
      <c r="AT96" s="182"/>
      <c r="AU96" s="166"/>
      <c r="AV96" s="166"/>
      <c r="AW96" s="182" t="e">
        <f t="shared" si="86"/>
        <v>#N/A</v>
      </c>
      <c r="AX96" s="455"/>
      <c r="AZ96" s="182" t="e">
        <f t="shared" si="88"/>
        <v>#N/A</v>
      </c>
      <c r="BA96" s="455"/>
    </row>
    <row r="97" spans="2:53">
      <c r="B97" s="454"/>
      <c r="C97" s="182">
        <v>11</v>
      </c>
      <c r="D97" s="203"/>
      <c r="E97" s="166"/>
      <c r="F97" s="182"/>
      <c r="G97" s="180"/>
      <c r="H97" s="464"/>
      <c r="I97" s="166" t="str">
        <f t="shared" si="73"/>
        <v>-</v>
      </c>
      <c r="J97" s="166" t="str">
        <f t="shared" si="74"/>
        <v>-</v>
      </c>
      <c r="K97" s="180" t="str">
        <f t="shared" si="75"/>
        <v>-</v>
      </c>
      <c r="L97" s="464"/>
      <c r="M97" s="181" t="e">
        <f>RANK(K97, K$87:$K$101)</f>
        <v>#VALUE!</v>
      </c>
      <c r="N97" s="461"/>
      <c r="O97" s="461"/>
      <c r="P97" s="182"/>
      <c r="Q97" s="166"/>
      <c r="R97" s="166"/>
      <c r="S97" s="182" t="e">
        <f t="shared" si="90"/>
        <v>#N/A</v>
      </c>
      <c r="T97" s="455"/>
      <c r="U97" s="182"/>
      <c r="V97" s="166"/>
      <c r="W97" s="166"/>
      <c r="X97" s="182" t="e">
        <f t="shared" si="76"/>
        <v>#N/A</v>
      </c>
      <c r="Y97" s="455"/>
      <c r="Z97" s="182"/>
      <c r="AA97" s="166"/>
      <c r="AB97" s="166"/>
      <c r="AC97" s="182" t="e">
        <f t="shared" si="78"/>
        <v>#N/A</v>
      </c>
      <c r="AD97" s="455"/>
      <c r="AE97" s="182"/>
      <c r="AF97" s="166"/>
      <c r="AG97" s="166"/>
      <c r="AH97" s="182" t="e">
        <f t="shared" si="80"/>
        <v>#N/A</v>
      </c>
      <c r="AI97" s="455"/>
      <c r="AJ97" s="182"/>
      <c r="AK97" s="166"/>
      <c r="AL97" s="166"/>
      <c r="AM97" s="182" t="e">
        <f t="shared" si="82"/>
        <v>#N/A</v>
      </c>
      <c r="AN97" s="455"/>
      <c r="AO97" s="182"/>
      <c r="AP97" s="166"/>
      <c r="AQ97" s="166"/>
      <c r="AR97" s="182" t="e">
        <f t="shared" si="84"/>
        <v>#N/A</v>
      </c>
      <c r="AS97" s="455"/>
      <c r="AT97" s="182"/>
      <c r="AU97" s="166"/>
      <c r="AV97" s="166"/>
      <c r="AW97" s="182" t="e">
        <f t="shared" si="86"/>
        <v>#N/A</v>
      </c>
      <c r="AX97" s="455"/>
      <c r="AZ97" s="182" t="e">
        <f t="shared" si="88"/>
        <v>#N/A</v>
      </c>
      <c r="BA97" s="455"/>
    </row>
    <row r="98" spans="2:53">
      <c r="B98" s="454"/>
      <c r="C98" s="182">
        <v>12</v>
      </c>
      <c r="D98" s="203"/>
      <c r="E98" s="166"/>
      <c r="F98" s="182"/>
      <c r="G98" s="180"/>
      <c r="H98" s="464"/>
      <c r="I98" s="166" t="str">
        <f t="shared" si="73"/>
        <v>-</v>
      </c>
      <c r="J98" s="166" t="str">
        <f t="shared" si="74"/>
        <v>-</v>
      </c>
      <c r="K98" s="180" t="str">
        <f t="shared" si="75"/>
        <v>-</v>
      </c>
      <c r="L98" s="464"/>
      <c r="M98" s="181" t="e">
        <f>RANK(K98, K$87:$K$101)</f>
        <v>#VALUE!</v>
      </c>
      <c r="N98" s="461"/>
      <c r="O98" s="461"/>
      <c r="P98" s="182"/>
      <c r="Q98" s="166"/>
      <c r="R98" s="166"/>
      <c r="S98" s="182" t="e">
        <f t="shared" si="90"/>
        <v>#N/A</v>
      </c>
      <c r="T98" s="455"/>
      <c r="U98" s="182"/>
      <c r="V98" s="166"/>
      <c r="W98" s="166"/>
      <c r="X98" s="182" t="e">
        <f t="shared" si="76"/>
        <v>#N/A</v>
      </c>
      <c r="Y98" s="455"/>
      <c r="Z98" s="182"/>
      <c r="AA98" s="166"/>
      <c r="AB98" s="166"/>
      <c r="AC98" s="182" t="e">
        <f t="shared" si="78"/>
        <v>#N/A</v>
      </c>
      <c r="AD98" s="455"/>
      <c r="AE98" s="182"/>
      <c r="AF98" s="166"/>
      <c r="AG98" s="166"/>
      <c r="AH98" s="182" t="e">
        <f t="shared" si="80"/>
        <v>#N/A</v>
      </c>
      <c r="AI98" s="455"/>
      <c r="AJ98" s="182"/>
      <c r="AK98" s="166"/>
      <c r="AL98" s="166"/>
      <c r="AM98" s="182" t="e">
        <f t="shared" si="82"/>
        <v>#N/A</v>
      </c>
      <c r="AN98" s="455"/>
      <c r="AO98" s="182"/>
      <c r="AP98" s="166"/>
      <c r="AQ98" s="166"/>
      <c r="AR98" s="182" t="e">
        <f t="shared" si="84"/>
        <v>#N/A</v>
      </c>
      <c r="AS98" s="455"/>
      <c r="AT98" s="182"/>
      <c r="AU98" s="166"/>
      <c r="AV98" s="166"/>
      <c r="AW98" s="182" t="e">
        <f t="shared" si="86"/>
        <v>#N/A</v>
      </c>
      <c r="AX98" s="455"/>
      <c r="AZ98" s="182" t="e">
        <f t="shared" si="88"/>
        <v>#N/A</v>
      </c>
      <c r="BA98" s="455"/>
    </row>
    <row r="99" spans="2:53">
      <c r="B99" s="454"/>
      <c r="C99" s="182">
        <v>13</v>
      </c>
      <c r="D99" s="203"/>
      <c r="E99" s="166"/>
      <c r="F99" s="182"/>
      <c r="G99" s="180"/>
      <c r="H99" s="464"/>
      <c r="I99" s="166" t="str">
        <f t="shared" si="73"/>
        <v>-</v>
      </c>
      <c r="J99" s="166" t="str">
        <f t="shared" si="74"/>
        <v>-</v>
      </c>
      <c r="K99" s="180" t="str">
        <f t="shared" si="75"/>
        <v>-</v>
      </c>
      <c r="L99" s="464"/>
      <c r="M99" s="181" t="e">
        <f>RANK(K99, K$87:$K$101)</f>
        <v>#VALUE!</v>
      </c>
      <c r="N99" s="461"/>
      <c r="O99" s="461"/>
      <c r="P99" s="182"/>
      <c r="Q99" s="166"/>
      <c r="R99" s="166"/>
      <c r="S99" s="182" t="e">
        <f t="shared" si="90"/>
        <v>#N/A</v>
      </c>
      <c r="T99" s="455"/>
      <c r="U99" s="182"/>
      <c r="V99" s="166"/>
      <c r="W99" s="166"/>
      <c r="X99" s="182" t="e">
        <f t="shared" si="76"/>
        <v>#N/A</v>
      </c>
      <c r="Y99" s="455"/>
      <c r="Z99" s="182"/>
      <c r="AA99" s="166"/>
      <c r="AB99" s="166"/>
      <c r="AC99" s="182" t="e">
        <f t="shared" si="78"/>
        <v>#N/A</v>
      </c>
      <c r="AD99" s="455"/>
      <c r="AE99" s="182"/>
      <c r="AF99" s="166"/>
      <c r="AG99" s="166"/>
      <c r="AH99" s="182" t="e">
        <f t="shared" si="80"/>
        <v>#N/A</v>
      </c>
      <c r="AI99" s="455"/>
      <c r="AJ99" s="182"/>
      <c r="AK99" s="166"/>
      <c r="AL99" s="166"/>
      <c r="AM99" s="182" t="e">
        <f t="shared" si="82"/>
        <v>#N/A</v>
      </c>
      <c r="AN99" s="455"/>
      <c r="AO99" s="182"/>
      <c r="AP99" s="166"/>
      <c r="AQ99" s="166"/>
      <c r="AR99" s="182" t="e">
        <f t="shared" si="84"/>
        <v>#N/A</v>
      </c>
      <c r="AS99" s="455"/>
      <c r="AT99" s="182"/>
      <c r="AU99" s="166"/>
      <c r="AV99" s="166"/>
      <c r="AW99" s="182" t="e">
        <f t="shared" si="86"/>
        <v>#N/A</v>
      </c>
      <c r="AX99" s="455"/>
      <c r="AZ99" s="182" t="e">
        <f t="shared" si="88"/>
        <v>#N/A</v>
      </c>
      <c r="BA99" s="455"/>
    </row>
    <row r="100" spans="2:53">
      <c r="B100" s="454"/>
      <c r="C100" s="182">
        <v>14</v>
      </c>
      <c r="D100" s="203"/>
      <c r="E100" s="166"/>
      <c r="F100" s="182"/>
      <c r="G100" s="180"/>
      <c r="H100" s="464"/>
      <c r="I100" s="166" t="str">
        <f t="shared" si="73"/>
        <v>-</v>
      </c>
      <c r="J100" s="166" t="str">
        <f t="shared" si="74"/>
        <v>-</v>
      </c>
      <c r="K100" s="180" t="str">
        <f t="shared" si="75"/>
        <v>-</v>
      </c>
      <c r="L100" s="464"/>
      <c r="M100" s="181" t="e">
        <f>RANK(K100, K$87:$K$101)</f>
        <v>#VALUE!</v>
      </c>
      <c r="N100" s="461"/>
      <c r="O100" s="461"/>
      <c r="P100" s="182"/>
      <c r="Q100" s="166"/>
      <c r="R100" s="166"/>
      <c r="S100" s="182" t="e">
        <f t="shared" si="90"/>
        <v>#N/A</v>
      </c>
      <c r="T100" s="455"/>
      <c r="U100" s="182"/>
      <c r="V100" s="166"/>
      <c r="W100" s="166"/>
      <c r="X100" s="182" t="e">
        <f t="shared" si="76"/>
        <v>#N/A</v>
      </c>
      <c r="Y100" s="455"/>
      <c r="Z100" s="182"/>
      <c r="AA100" s="166"/>
      <c r="AB100" s="166"/>
      <c r="AC100" s="182" t="e">
        <f t="shared" si="78"/>
        <v>#N/A</v>
      </c>
      <c r="AD100" s="455"/>
      <c r="AE100" s="182"/>
      <c r="AF100" s="166"/>
      <c r="AG100" s="166"/>
      <c r="AH100" s="182" t="e">
        <f t="shared" si="80"/>
        <v>#N/A</v>
      </c>
      <c r="AI100" s="455"/>
      <c r="AJ100" s="182"/>
      <c r="AK100" s="166"/>
      <c r="AL100" s="166"/>
      <c r="AM100" s="182" t="e">
        <f t="shared" si="82"/>
        <v>#N/A</v>
      </c>
      <c r="AN100" s="455"/>
      <c r="AO100" s="182"/>
      <c r="AP100" s="166"/>
      <c r="AQ100" s="166"/>
      <c r="AR100" s="182" t="e">
        <f t="shared" si="84"/>
        <v>#N/A</v>
      </c>
      <c r="AS100" s="455"/>
      <c r="AT100" s="182"/>
      <c r="AU100" s="166"/>
      <c r="AV100" s="166"/>
      <c r="AW100" s="182" t="e">
        <f t="shared" si="86"/>
        <v>#N/A</v>
      </c>
      <c r="AX100" s="455"/>
      <c r="AZ100" s="182" t="e">
        <f t="shared" si="88"/>
        <v>#N/A</v>
      </c>
      <c r="BA100" s="455"/>
    </row>
    <row r="101" spans="2:53">
      <c r="B101" s="454"/>
      <c r="C101" s="182">
        <v>15</v>
      </c>
      <c r="D101" s="203"/>
      <c r="E101" s="166"/>
      <c r="F101" s="182"/>
      <c r="G101" s="180"/>
      <c r="H101" s="465"/>
      <c r="I101" s="166"/>
      <c r="J101" s="166"/>
      <c r="K101" s="180"/>
      <c r="L101" s="465"/>
      <c r="M101" s="166" t="e">
        <f>RANK(K101, K$87:$K$101)</f>
        <v>#N/A</v>
      </c>
      <c r="N101" s="461"/>
      <c r="O101" s="461"/>
      <c r="P101" s="182"/>
      <c r="Q101" s="166"/>
      <c r="R101" s="166"/>
      <c r="S101" s="182" t="e">
        <f t="shared" si="90"/>
        <v>#N/A</v>
      </c>
      <c r="T101" s="455"/>
      <c r="U101" s="182"/>
      <c r="V101" s="166"/>
      <c r="W101" s="166"/>
      <c r="X101" s="182" t="e">
        <f t="shared" si="76"/>
        <v>#N/A</v>
      </c>
      <c r="Y101" s="455"/>
      <c r="Z101" s="182"/>
      <c r="AA101" s="166"/>
      <c r="AB101" s="166"/>
      <c r="AC101" s="182" t="e">
        <f t="shared" si="78"/>
        <v>#N/A</v>
      </c>
      <c r="AD101" s="455"/>
      <c r="AE101" s="182"/>
      <c r="AF101" s="166"/>
      <c r="AG101" s="166"/>
      <c r="AH101" s="182" t="e">
        <f t="shared" si="80"/>
        <v>#N/A</v>
      </c>
      <c r="AI101" s="455"/>
      <c r="AJ101" s="182"/>
      <c r="AK101" s="166"/>
      <c r="AL101" s="166"/>
      <c r="AM101" s="182" t="e">
        <f t="shared" si="82"/>
        <v>#N/A</v>
      </c>
      <c r="AN101" s="455"/>
      <c r="AO101" s="182"/>
      <c r="AP101" s="166"/>
      <c r="AQ101" s="166"/>
      <c r="AR101" s="182" t="e">
        <f t="shared" si="84"/>
        <v>#N/A</v>
      </c>
      <c r="AS101" s="455"/>
      <c r="AT101" s="182"/>
      <c r="AU101" s="166"/>
      <c r="AV101" s="166"/>
      <c r="AW101" s="182" t="e">
        <f t="shared" si="86"/>
        <v>#N/A</v>
      </c>
      <c r="AX101" s="455"/>
      <c r="AZ101" s="182" t="e">
        <f t="shared" si="88"/>
        <v>#N/A</v>
      </c>
      <c r="BA101" s="455"/>
    </row>
    <row r="102" spans="2:53" ht="15.5">
      <c r="B102" s="477" t="s">
        <v>163</v>
      </c>
      <c r="C102" s="478"/>
      <c r="D102" s="478"/>
      <c r="E102" s="478"/>
      <c r="F102" s="478"/>
      <c r="G102" s="478"/>
      <c r="H102" s="478"/>
      <c r="I102" s="186"/>
      <c r="J102" s="186"/>
      <c r="K102" s="186"/>
      <c r="L102" s="186"/>
      <c r="M102" s="185"/>
      <c r="N102" s="480" t="s">
        <v>156</v>
      </c>
      <c r="O102" s="480" t="s">
        <v>105</v>
      </c>
      <c r="P102" s="476">
        <f>P82+7</f>
        <v>46147</v>
      </c>
      <c r="Q102" s="454"/>
      <c r="R102" s="454"/>
      <c r="S102" s="454"/>
      <c r="T102" s="454"/>
      <c r="U102" s="473">
        <f>P102+1</f>
        <v>46148</v>
      </c>
      <c r="V102" s="474"/>
      <c r="W102" s="474"/>
      <c r="X102" s="474"/>
      <c r="Y102" s="475"/>
      <c r="Z102" s="473">
        <f>U102+1</f>
        <v>46149</v>
      </c>
      <c r="AA102" s="474"/>
      <c r="AB102" s="474"/>
      <c r="AC102" s="474"/>
      <c r="AD102" s="475"/>
      <c r="AE102" s="473">
        <f>Z102+1</f>
        <v>46150</v>
      </c>
      <c r="AF102" s="474"/>
      <c r="AG102" s="474"/>
      <c r="AH102" s="474"/>
      <c r="AI102" s="475"/>
      <c r="AJ102" s="473">
        <f>AE102+1</f>
        <v>46151</v>
      </c>
      <c r="AK102" s="474"/>
      <c r="AL102" s="474"/>
      <c r="AM102" s="474"/>
      <c r="AN102" s="475"/>
      <c r="AO102" s="473">
        <f>AJ102+1</f>
        <v>46152</v>
      </c>
      <c r="AP102" s="474"/>
      <c r="AQ102" s="474"/>
      <c r="AR102" s="474"/>
      <c r="AS102" s="475"/>
      <c r="AT102" s="473">
        <f>AO102+1</f>
        <v>46153</v>
      </c>
      <c r="AU102" s="474"/>
      <c r="AV102" s="474"/>
      <c r="AW102" s="474"/>
      <c r="AX102" s="475"/>
    </row>
    <row r="103" spans="2:53" ht="15.5">
      <c r="B103" s="479"/>
      <c r="C103" s="479"/>
      <c r="D103" s="479"/>
      <c r="E103" s="479"/>
      <c r="F103" s="479"/>
      <c r="G103" s="479"/>
      <c r="H103" s="479"/>
      <c r="I103" s="184"/>
      <c r="J103" s="184"/>
      <c r="K103" s="184"/>
      <c r="L103" s="184"/>
      <c r="M103" s="179"/>
      <c r="N103" s="481"/>
      <c r="O103" s="481"/>
      <c r="P103" s="476" t="s">
        <v>158</v>
      </c>
      <c r="Q103" s="454"/>
      <c r="R103" s="454"/>
      <c r="S103" s="454"/>
      <c r="T103" s="454"/>
      <c r="U103" s="476" t="s">
        <v>114</v>
      </c>
      <c r="V103" s="454"/>
      <c r="W103" s="454"/>
      <c r="X103" s="454"/>
      <c r="Y103" s="454"/>
      <c r="Z103" s="476" t="s">
        <v>159</v>
      </c>
      <c r="AA103" s="454"/>
      <c r="AB103" s="454"/>
      <c r="AC103" s="454"/>
      <c r="AD103" s="454"/>
      <c r="AE103" s="476" t="s">
        <v>157</v>
      </c>
      <c r="AF103" s="454"/>
      <c r="AG103" s="454"/>
      <c r="AH103" s="454"/>
      <c r="AI103" s="454"/>
      <c r="AJ103" s="476" t="s">
        <v>160</v>
      </c>
      <c r="AK103" s="454"/>
      <c r="AL103" s="454"/>
      <c r="AM103" s="454"/>
      <c r="AN103" s="454"/>
      <c r="AO103" s="476" t="s">
        <v>115</v>
      </c>
      <c r="AP103" s="454"/>
      <c r="AQ103" s="454"/>
      <c r="AR103" s="454"/>
      <c r="AS103" s="454"/>
      <c r="AT103" s="476" t="s">
        <v>162</v>
      </c>
      <c r="AU103" s="454"/>
      <c r="AV103" s="454"/>
      <c r="AW103" s="454"/>
      <c r="AX103" s="454"/>
    </row>
    <row r="104" spans="2:53">
      <c r="B104" s="461" t="s">
        <v>681</v>
      </c>
      <c r="C104" s="461" t="s">
        <v>682</v>
      </c>
      <c r="D104" s="461"/>
      <c r="E104" s="461" t="s">
        <v>683</v>
      </c>
      <c r="F104" s="461"/>
      <c r="G104" s="461"/>
      <c r="H104" s="482" t="s">
        <v>684</v>
      </c>
      <c r="I104" s="461" t="s">
        <v>685</v>
      </c>
      <c r="J104" s="461"/>
      <c r="K104" s="461"/>
      <c r="L104" s="482" t="s">
        <v>396</v>
      </c>
      <c r="M104" s="480" t="s">
        <v>686</v>
      </c>
      <c r="N104" s="461"/>
      <c r="O104" s="461" t="s">
        <v>687</v>
      </c>
      <c r="P104" s="466" t="s">
        <v>688</v>
      </c>
      <c r="Q104" s="467"/>
      <c r="R104" s="467"/>
      <c r="S104" s="468"/>
      <c r="T104" s="461" t="s">
        <v>684</v>
      </c>
      <c r="U104" s="466" t="s">
        <v>688</v>
      </c>
      <c r="V104" s="467"/>
      <c r="W104" s="467"/>
      <c r="X104" s="468"/>
      <c r="Y104" s="461" t="s">
        <v>684</v>
      </c>
      <c r="Z104" s="466" t="s">
        <v>688</v>
      </c>
      <c r="AA104" s="467"/>
      <c r="AB104" s="467"/>
      <c r="AC104" s="468"/>
      <c r="AD104" s="461" t="s">
        <v>684</v>
      </c>
      <c r="AE104" s="466" t="s">
        <v>688</v>
      </c>
      <c r="AF104" s="467"/>
      <c r="AG104" s="467"/>
      <c r="AH104" s="468"/>
      <c r="AI104" s="461" t="s">
        <v>684</v>
      </c>
      <c r="AJ104" s="466" t="s">
        <v>688</v>
      </c>
      <c r="AK104" s="467"/>
      <c r="AL104" s="467"/>
      <c r="AM104" s="468"/>
      <c r="AN104" s="461" t="s">
        <v>684</v>
      </c>
      <c r="AO104" s="466" t="s">
        <v>688</v>
      </c>
      <c r="AP104" s="467"/>
      <c r="AQ104" s="467"/>
      <c r="AR104" s="468"/>
      <c r="AS104" s="461" t="s">
        <v>684</v>
      </c>
      <c r="AT104" s="466" t="s">
        <v>688</v>
      </c>
      <c r="AU104" s="467"/>
      <c r="AV104" s="467"/>
      <c r="AW104" s="468"/>
      <c r="AX104" s="461" t="s">
        <v>684</v>
      </c>
      <c r="BA104" s="461" t="s">
        <v>396</v>
      </c>
    </row>
    <row r="105" spans="2:53">
      <c r="B105" s="461"/>
      <c r="C105" s="461"/>
      <c r="D105" s="461"/>
      <c r="E105" s="461" t="s">
        <v>689</v>
      </c>
      <c r="F105" s="461"/>
      <c r="G105" s="461"/>
      <c r="H105" s="483"/>
      <c r="I105" s="461" t="s">
        <v>689</v>
      </c>
      <c r="J105" s="461"/>
      <c r="K105" s="461"/>
      <c r="L105" s="483"/>
      <c r="M105" s="485"/>
      <c r="N105" s="461"/>
      <c r="O105" s="461"/>
      <c r="P105" s="466" t="s">
        <v>690</v>
      </c>
      <c r="Q105" s="467"/>
      <c r="R105" s="467"/>
      <c r="S105" s="468"/>
      <c r="T105" s="461"/>
      <c r="U105" s="466" t="s">
        <v>690</v>
      </c>
      <c r="V105" s="467"/>
      <c r="W105" s="467"/>
      <c r="X105" s="468"/>
      <c r="Y105" s="461"/>
      <c r="Z105" s="466" t="s">
        <v>690</v>
      </c>
      <c r="AA105" s="467"/>
      <c r="AB105" s="467"/>
      <c r="AC105" s="468"/>
      <c r="AD105" s="461"/>
      <c r="AE105" s="466" t="s">
        <v>690</v>
      </c>
      <c r="AF105" s="467"/>
      <c r="AG105" s="467"/>
      <c r="AH105" s="468"/>
      <c r="AI105" s="461"/>
      <c r="AJ105" s="466" t="s">
        <v>690</v>
      </c>
      <c r="AK105" s="467"/>
      <c r="AL105" s="467"/>
      <c r="AM105" s="468"/>
      <c r="AN105" s="461"/>
      <c r="AO105" s="466" t="s">
        <v>690</v>
      </c>
      <c r="AP105" s="467"/>
      <c r="AQ105" s="467"/>
      <c r="AR105" s="468"/>
      <c r="AS105" s="461"/>
      <c r="AT105" s="466" t="s">
        <v>690</v>
      </c>
      <c r="AU105" s="467"/>
      <c r="AV105" s="467"/>
      <c r="AW105" s="468"/>
      <c r="AX105" s="461"/>
      <c r="BA105" s="461"/>
    </row>
    <row r="106" spans="2:53">
      <c r="B106" s="461"/>
      <c r="C106" s="461"/>
      <c r="D106" s="461"/>
      <c r="E106" s="269" t="s">
        <v>691</v>
      </c>
      <c r="F106" s="269" t="s">
        <v>692</v>
      </c>
      <c r="G106" s="269" t="s">
        <v>693</v>
      </c>
      <c r="H106" s="484"/>
      <c r="I106" s="269" t="s">
        <v>691</v>
      </c>
      <c r="J106" s="269" t="s">
        <v>692</v>
      </c>
      <c r="K106" s="269" t="s">
        <v>693</v>
      </c>
      <c r="L106" s="484"/>
      <c r="M106" s="481"/>
      <c r="N106" s="461"/>
      <c r="O106" s="461"/>
      <c r="P106" s="269" t="s">
        <v>691</v>
      </c>
      <c r="Q106" s="269" t="s">
        <v>692</v>
      </c>
      <c r="R106" s="269" t="s">
        <v>693</v>
      </c>
      <c r="S106" s="269" t="s">
        <v>686</v>
      </c>
      <c r="T106" s="461"/>
      <c r="U106" s="269" t="s">
        <v>691</v>
      </c>
      <c r="V106" s="269" t="s">
        <v>692</v>
      </c>
      <c r="W106" s="269" t="s">
        <v>693</v>
      </c>
      <c r="X106" s="269" t="s">
        <v>686</v>
      </c>
      <c r="Y106" s="461"/>
      <c r="Z106" s="269" t="s">
        <v>691</v>
      </c>
      <c r="AA106" s="269" t="s">
        <v>692</v>
      </c>
      <c r="AB106" s="269" t="s">
        <v>693</v>
      </c>
      <c r="AC106" s="269" t="s">
        <v>686</v>
      </c>
      <c r="AD106" s="461"/>
      <c r="AE106" s="269" t="s">
        <v>691</v>
      </c>
      <c r="AF106" s="269" t="s">
        <v>692</v>
      </c>
      <c r="AG106" s="269" t="s">
        <v>693</v>
      </c>
      <c r="AH106" s="269" t="s">
        <v>686</v>
      </c>
      <c r="AI106" s="461"/>
      <c r="AJ106" s="269" t="s">
        <v>691</v>
      </c>
      <c r="AK106" s="269" t="s">
        <v>692</v>
      </c>
      <c r="AL106" s="269" t="s">
        <v>693</v>
      </c>
      <c r="AM106" s="269" t="s">
        <v>686</v>
      </c>
      <c r="AN106" s="461"/>
      <c r="AO106" s="269" t="s">
        <v>691</v>
      </c>
      <c r="AP106" s="269" t="s">
        <v>692</v>
      </c>
      <c r="AQ106" s="269" t="s">
        <v>693</v>
      </c>
      <c r="AR106" s="269" t="s">
        <v>686</v>
      </c>
      <c r="AS106" s="461"/>
      <c r="AT106" s="269" t="s">
        <v>691</v>
      </c>
      <c r="AU106" s="269" t="s">
        <v>692</v>
      </c>
      <c r="AV106" s="269" t="s">
        <v>693</v>
      </c>
      <c r="AW106" s="269" t="s">
        <v>686</v>
      </c>
      <c r="AX106" s="461"/>
      <c r="AZ106" s="269" t="s">
        <v>686</v>
      </c>
      <c r="BA106" s="461"/>
    </row>
    <row r="107" spans="2:53">
      <c r="B107" s="501" t="s">
        <v>695</v>
      </c>
      <c r="C107" s="182">
        <v>1</v>
      </c>
      <c r="D107" s="203"/>
      <c r="E107" s="166"/>
      <c r="F107" s="166"/>
      <c r="G107" s="166"/>
      <c r="H107" s="463" t="e">
        <f>AVERAGE(G107:G121)</f>
        <v>#DIV/0!</v>
      </c>
      <c r="I107" s="166" t="str">
        <f t="shared" ref="I107:I120" si="91">IFERROR(AVERAGE(P107,U107,Z107,AE107,AJ107,AO107,AT107),"-")</f>
        <v>-</v>
      </c>
      <c r="J107" s="166" t="str">
        <f t="shared" ref="J107:J120" si="92">IFERROR(AVERAGE(Q107,V107,AA107,AF107,AK107,AP107,AU107),"-")</f>
        <v>-</v>
      </c>
      <c r="K107" s="180" t="str">
        <f t="shared" ref="K107:K120" si="93">IFERROR(AVERAGE(R107,W107,AB107,AG107,AL107,AQ107,AV107),"-")</f>
        <v>-</v>
      </c>
      <c r="L107" s="463" t="str">
        <f>IFERROR(AVERAGE(K107:K121),"-")</f>
        <v>-</v>
      </c>
      <c r="M107" s="166" t="e">
        <f>RANK(K107, K$67:$K$81)</f>
        <v>#VALUE!</v>
      </c>
      <c r="N107" s="461"/>
      <c r="O107" s="461"/>
      <c r="P107" s="166"/>
      <c r="Q107" s="166"/>
      <c r="R107" s="166"/>
      <c r="S107" s="182" t="e">
        <f>RANK(R107, R$67:R$81)</f>
        <v>#N/A</v>
      </c>
      <c r="T107" s="455" t="e">
        <f>AVERAGE(R107:R121)</f>
        <v>#DIV/0!</v>
      </c>
      <c r="U107" s="166"/>
      <c r="V107" s="166"/>
      <c r="W107" s="166"/>
      <c r="X107" s="182" t="e">
        <f t="shared" ref="X107:AM121" si="94">RANK(W107, W$67:W$81)</f>
        <v>#N/A</v>
      </c>
      <c r="Y107" s="455" t="e">
        <f t="shared" ref="Y107" si="95">AVERAGE(W107:W121)</f>
        <v>#DIV/0!</v>
      </c>
      <c r="Z107" s="166"/>
      <c r="AA107" s="166"/>
      <c r="AB107" s="166"/>
      <c r="AC107" s="182" t="e">
        <f t="shared" ref="AC107" si="96">RANK(AB107, AB$67:AB$81)</f>
        <v>#N/A</v>
      </c>
      <c r="AD107" s="455" t="e">
        <f t="shared" ref="AD107" si="97">AVERAGE(AB107:AB121)</f>
        <v>#DIV/0!</v>
      </c>
      <c r="AE107" s="166"/>
      <c r="AF107" s="166"/>
      <c r="AG107" s="166"/>
      <c r="AH107" s="182" t="e">
        <f t="shared" ref="AH107" si="98">RANK(AG107, AG$67:AG$81)</f>
        <v>#N/A</v>
      </c>
      <c r="AI107" s="455" t="e">
        <f t="shared" ref="AI107" si="99">AVERAGE(AG107:AG121)</f>
        <v>#DIV/0!</v>
      </c>
      <c r="AJ107" s="166"/>
      <c r="AK107" s="166"/>
      <c r="AL107" s="166"/>
      <c r="AM107" s="182" t="e">
        <f t="shared" ref="AM107" si="100">RANK(AL107, AL$67:AL$81)</f>
        <v>#N/A</v>
      </c>
      <c r="AN107" s="455" t="e">
        <f t="shared" ref="AN107" si="101">AVERAGE(AL107:AL121)</f>
        <v>#DIV/0!</v>
      </c>
      <c r="AO107" s="166"/>
      <c r="AP107" s="166"/>
      <c r="AQ107" s="166"/>
      <c r="AR107" s="182" t="e">
        <f t="shared" ref="AR107:AW121" si="102">RANK(AQ107, AQ$67:AQ$81)</f>
        <v>#N/A</v>
      </c>
      <c r="AS107" s="455" t="e">
        <f t="shared" ref="AS107" si="103">AVERAGE(AQ107:AQ121)</f>
        <v>#DIV/0!</v>
      </c>
      <c r="AT107" s="166"/>
      <c r="AU107" s="166"/>
      <c r="AV107" s="166"/>
      <c r="AW107" s="182" t="e">
        <f t="shared" ref="AW107" si="104">RANK(AV107, AV$67:AV$81)</f>
        <v>#N/A</v>
      </c>
      <c r="AX107" s="455" t="e">
        <f t="shared" ref="AX107" si="105">AVERAGE(AV107:AV121)</f>
        <v>#DIV/0!</v>
      </c>
      <c r="AZ107" s="182" t="e">
        <f t="shared" ref="AZ107:AZ121" si="106">RANK(AY107, AY$67:AY$81)</f>
        <v>#N/A</v>
      </c>
      <c r="BA107" s="455" t="e">
        <f t="shared" ref="BA107" si="107">AVERAGE(AY107:AY121)</f>
        <v>#DIV/0!</v>
      </c>
    </row>
    <row r="108" spans="2:53">
      <c r="B108" s="454"/>
      <c r="C108" s="182">
        <v>2</v>
      </c>
      <c r="D108" s="203"/>
      <c r="E108" s="166"/>
      <c r="F108" s="166"/>
      <c r="G108" s="166"/>
      <c r="H108" s="464"/>
      <c r="I108" s="166" t="str">
        <f t="shared" si="91"/>
        <v>-</v>
      </c>
      <c r="J108" s="166" t="str">
        <f t="shared" si="92"/>
        <v>-</v>
      </c>
      <c r="K108" s="180" t="str">
        <f t="shared" si="93"/>
        <v>-</v>
      </c>
      <c r="L108" s="464"/>
      <c r="M108" s="166" t="e">
        <f>RANK(K108, K$67:$K$81)</f>
        <v>#VALUE!</v>
      </c>
      <c r="N108" s="461"/>
      <c r="O108" s="461"/>
      <c r="P108" s="166"/>
      <c r="Q108" s="166"/>
      <c r="R108" s="166"/>
      <c r="S108" s="182" t="e">
        <f t="shared" ref="S108:S121" si="108">RANK(R108, R$67:R$81)</f>
        <v>#N/A</v>
      </c>
      <c r="T108" s="455"/>
      <c r="U108" s="166"/>
      <c r="V108" s="166"/>
      <c r="W108" s="166"/>
      <c r="X108" s="182" t="e">
        <f t="shared" si="94"/>
        <v>#N/A</v>
      </c>
      <c r="Y108" s="455"/>
      <c r="Z108" s="166"/>
      <c r="AA108" s="166"/>
      <c r="AB108" s="166"/>
      <c r="AC108" s="182" t="e">
        <f t="shared" si="94"/>
        <v>#N/A</v>
      </c>
      <c r="AD108" s="455"/>
      <c r="AE108" s="166"/>
      <c r="AF108" s="166"/>
      <c r="AG108" s="166"/>
      <c r="AH108" s="182" t="e">
        <f t="shared" si="94"/>
        <v>#N/A</v>
      </c>
      <c r="AI108" s="455"/>
      <c r="AJ108" s="166"/>
      <c r="AK108" s="166"/>
      <c r="AL108" s="166"/>
      <c r="AM108" s="182" t="e">
        <f t="shared" si="94"/>
        <v>#N/A</v>
      </c>
      <c r="AN108" s="455"/>
      <c r="AO108" s="166"/>
      <c r="AP108" s="166"/>
      <c r="AQ108" s="166"/>
      <c r="AR108" s="182" t="e">
        <f t="shared" si="102"/>
        <v>#N/A</v>
      </c>
      <c r="AS108" s="455"/>
      <c r="AT108" s="166"/>
      <c r="AU108" s="166"/>
      <c r="AV108" s="166"/>
      <c r="AW108" s="182" t="e">
        <f t="shared" si="102"/>
        <v>#N/A</v>
      </c>
      <c r="AX108" s="455"/>
      <c r="AZ108" s="182" t="e">
        <f t="shared" si="106"/>
        <v>#N/A</v>
      </c>
      <c r="BA108" s="455"/>
    </row>
    <row r="109" spans="2:53">
      <c r="B109" s="454"/>
      <c r="C109" s="182">
        <v>3</v>
      </c>
      <c r="D109" s="203"/>
      <c r="E109" s="166"/>
      <c r="F109" s="166"/>
      <c r="G109" s="166"/>
      <c r="H109" s="464"/>
      <c r="I109" s="166" t="str">
        <f t="shared" si="91"/>
        <v>-</v>
      </c>
      <c r="J109" s="166" t="str">
        <f t="shared" si="92"/>
        <v>-</v>
      </c>
      <c r="K109" s="180" t="str">
        <f t="shared" si="93"/>
        <v>-</v>
      </c>
      <c r="L109" s="464"/>
      <c r="M109" s="166" t="e">
        <f>RANK(K109, K$67:$K$81)</f>
        <v>#VALUE!</v>
      </c>
      <c r="N109" s="461"/>
      <c r="O109" s="461"/>
      <c r="P109" s="166"/>
      <c r="Q109" s="166"/>
      <c r="R109" s="166"/>
      <c r="S109" s="182" t="e">
        <f t="shared" si="108"/>
        <v>#N/A</v>
      </c>
      <c r="T109" s="455"/>
      <c r="U109" s="166"/>
      <c r="V109" s="166"/>
      <c r="W109" s="166"/>
      <c r="X109" s="182" t="e">
        <f t="shared" si="94"/>
        <v>#N/A</v>
      </c>
      <c r="Y109" s="455"/>
      <c r="Z109" s="166"/>
      <c r="AA109" s="166"/>
      <c r="AB109" s="166"/>
      <c r="AC109" s="182" t="e">
        <f t="shared" si="94"/>
        <v>#N/A</v>
      </c>
      <c r="AD109" s="455"/>
      <c r="AE109" s="166"/>
      <c r="AF109" s="166"/>
      <c r="AG109" s="166"/>
      <c r="AH109" s="182" t="e">
        <f t="shared" si="94"/>
        <v>#N/A</v>
      </c>
      <c r="AI109" s="455"/>
      <c r="AJ109" s="166"/>
      <c r="AK109" s="166"/>
      <c r="AL109" s="166"/>
      <c r="AM109" s="182" t="e">
        <f t="shared" si="94"/>
        <v>#N/A</v>
      </c>
      <c r="AN109" s="455"/>
      <c r="AO109" s="166"/>
      <c r="AP109" s="166"/>
      <c r="AQ109" s="166"/>
      <c r="AR109" s="182" t="e">
        <f t="shared" si="102"/>
        <v>#N/A</v>
      </c>
      <c r="AS109" s="455"/>
      <c r="AT109" s="166"/>
      <c r="AU109" s="166"/>
      <c r="AV109" s="166"/>
      <c r="AW109" s="182" t="e">
        <f t="shared" si="102"/>
        <v>#N/A</v>
      </c>
      <c r="AX109" s="455"/>
      <c r="AZ109" s="182" t="e">
        <f t="shared" si="106"/>
        <v>#N/A</v>
      </c>
      <c r="BA109" s="455"/>
    </row>
    <row r="110" spans="2:53">
      <c r="B110" s="454"/>
      <c r="C110" s="182">
        <v>4</v>
      </c>
      <c r="D110" s="203"/>
      <c r="E110" s="166"/>
      <c r="F110" s="166"/>
      <c r="G110" s="166"/>
      <c r="H110" s="464"/>
      <c r="I110" s="166" t="str">
        <f t="shared" si="91"/>
        <v>-</v>
      </c>
      <c r="J110" s="166" t="str">
        <f t="shared" si="92"/>
        <v>-</v>
      </c>
      <c r="K110" s="180" t="str">
        <f t="shared" si="93"/>
        <v>-</v>
      </c>
      <c r="L110" s="464"/>
      <c r="M110" s="166" t="e">
        <f>RANK(K110, K$67:$K$81)</f>
        <v>#VALUE!</v>
      </c>
      <c r="N110" s="461"/>
      <c r="O110" s="461"/>
      <c r="P110" s="166"/>
      <c r="Q110" s="166"/>
      <c r="R110" s="166"/>
      <c r="S110" s="182" t="e">
        <f t="shared" si="108"/>
        <v>#N/A</v>
      </c>
      <c r="T110" s="455"/>
      <c r="U110" s="166"/>
      <c r="V110" s="166"/>
      <c r="W110" s="166"/>
      <c r="X110" s="182" t="e">
        <f t="shared" si="94"/>
        <v>#N/A</v>
      </c>
      <c r="Y110" s="455"/>
      <c r="Z110" s="166"/>
      <c r="AA110" s="166"/>
      <c r="AB110" s="166"/>
      <c r="AC110" s="182" t="e">
        <f t="shared" si="94"/>
        <v>#N/A</v>
      </c>
      <c r="AD110" s="455"/>
      <c r="AE110" s="166"/>
      <c r="AF110" s="166"/>
      <c r="AG110" s="166"/>
      <c r="AH110" s="182" t="e">
        <f t="shared" si="94"/>
        <v>#N/A</v>
      </c>
      <c r="AI110" s="455"/>
      <c r="AJ110" s="166"/>
      <c r="AK110" s="166"/>
      <c r="AL110" s="166"/>
      <c r="AM110" s="182" t="e">
        <f t="shared" si="94"/>
        <v>#N/A</v>
      </c>
      <c r="AN110" s="455"/>
      <c r="AO110" s="166"/>
      <c r="AP110" s="166"/>
      <c r="AQ110" s="166"/>
      <c r="AR110" s="182" t="e">
        <f t="shared" si="102"/>
        <v>#N/A</v>
      </c>
      <c r="AS110" s="455"/>
      <c r="AT110" s="166"/>
      <c r="AU110" s="166"/>
      <c r="AV110" s="166"/>
      <c r="AW110" s="182" t="e">
        <f t="shared" si="102"/>
        <v>#N/A</v>
      </c>
      <c r="AX110" s="455"/>
      <c r="AZ110" s="182" t="e">
        <f t="shared" si="106"/>
        <v>#N/A</v>
      </c>
      <c r="BA110" s="455"/>
    </row>
    <row r="111" spans="2:53">
      <c r="B111" s="454"/>
      <c r="C111" s="182">
        <v>5</v>
      </c>
      <c r="D111" s="203"/>
      <c r="E111" s="166"/>
      <c r="F111" s="166"/>
      <c r="G111" s="166"/>
      <c r="H111" s="464"/>
      <c r="I111" s="166" t="str">
        <f t="shared" si="91"/>
        <v>-</v>
      </c>
      <c r="J111" s="166" t="str">
        <f t="shared" si="92"/>
        <v>-</v>
      </c>
      <c r="K111" s="180" t="str">
        <f t="shared" si="93"/>
        <v>-</v>
      </c>
      <c r="L111" s="464"/>
      <c r="M111" s="166" t="e">
        <f>RANK(K111, K$67:$K$81)</f>
        <v>#VALUE!</v>
      </c>
      <c r="N111" s="461"/>
      <c r="O111" s="461"/>
      <c r="P111" s="166"/>
      <c r="Q111" s="166"/>
      <c r="R111" s="166"/>
      <c r="S111" s="182" t="e">
        <f t="shared" si="108"/>
        <v>#N/A</v>
      </c>
      <c r="T111" s="455"/>
      <c r="U111" s="166"/>
      <c r="V111" s="166"/>
      <c r="W111" s="166"/>
      <c r="X111" s="182" t="e">
        <f t="shared" si="94"/>
        <v>#N/A</v>
      </c>
      <c r="Y111" s="455"/>
      <c r="Z111" s="166"/>
      <c r="AA111" s="166"/>
      <c r="AB111" s="166"/>
      <c r="AC111" s="182" t="e">
        <f t="shared" si="94"/>
        <v>#N/A</v>
      </c>
      <c r="AD111" s="455"/>
      <c r="AE111" s="166"/>
      <c r="AF111" s="166"/>
      <c r="AG111" s="166"/>
      <c r="AH111" s="182" t="e">
        <f t="shared" si="94"/>
        <v>#N/A</v>
      </c>
      <c r="AI111" s="455"/>
      <c r="AJ111" s="166"/>
      <c r="AK111" s="166"/>
      <c r="AL111" s="166"/>
      <c r="AM111" s="182" t="e">
        <f t="shared" si="94"/>
        <v>#N/A</v>
      </c>
      <c r="AN111" s="455"/>
      <c r="AO111" s="166"/>
      <c r="AP111" s="166"/>
      <c r="AQ111" s="166"/>
      <c r="AR111" s="182" t="e">
        <f t="shared" si="102"/>
        <v>#N/A</v>
      </c>
      <c r="AS111" s="455"/>
      <c r="AT111" s="166"/>
      <c r="AU111" s="166"/>
      <c r="AV111" s="166"/>
      <c r="AW111" s="182" t="e">
        <f t="shared" si="102"/>
        <v>#N/A</v>
      </c>
      <c r="AX111" s="455"/>
      <c r="AZ111" s="182" t="e">
        <f t="shared" si="106"/>
        <v>#N/A</v>
      </c>
      <c r="BA111" s="455"/>
    </row>
    <row r="112" spans="2:53">
      <c r="B112" s="454"/>
      <c r="C112" s="182">
        <v>6</v>
      </c>
      <c r="D112" s="203"/>
      <c r="E112" s="166"/>
      <c r="F112" s="166"/>
      <c r="G112" s="166"/>
      <c r="H112" s="464"/>
      <c r="I112" s="166" t="str">
        <f t="shared" si="91"/>
        <v>-</v>
      </c>
      <c r="J112" s="166" t="str">
        <f t="shared" si="92"/>
        <v>-</v>
      </c>
      <c r="K112" s="180" t="str">
        <f t="shared" si="93"/>
        <v>-</v>
      </c>
      <c r="L112" s="464"/>
      <c r="M112" s="166" t="e">
        <f>RANK(K112, K$67:$K$81)</f>
        <v>#VALUE!</v>
      </c>
      <c r="N112" s="461"/>
      <c r="O112" s="461"/>
      <c r="P112" s="166"/>
      <c r="Q112" s="166"/>
      <c r="R112" s="166"/>
      <c r="S112" s="182" t="e">
        <f t="shared" si="108"/>
        <v>#N/A</v>
      </c>
      <c r="T112" s="455"/>
      <c r="U112" s="166"/>
      <c r="V112" s="166"/>
      <c r="W112" s="166"/>
      <c r="X112" s="182" t="e">
        <f t="shared" si="94"/>
        <v>#N/A</v>
      </c>
      <c r="Y112" s="455"/>
      <c r="Z112" s="166"/>
      <c r="AA112" s="166"/>
      <c r="AB112" s="166"/>
      <c r="AC112" s="182" t="e">
        <f t="shared" si="94"/>
        <v>#N/A</v>
      </c>
      <c r="AD112" s="455"/>
      <c r="AE112" s="166"/>
      <c r="AF112" s="166"/>
      <c r="AG112" s="166"/>
      <c r="AH112" s="182" t="e">
        <f t="shared" si="94"/>
        <v>#N/A</v>
      </c>
      <c r="AI112" s="455"/>
      <c r="AJ112" s="166"/>
      <c r="AK112" s="166"/>
      <c r="AL112" s="166"/>
      <c r="AM112" s="182" t="e">
        <f t="shared" si="94"/>
        <v>#N/A</v>
      </c>
      <c r="AN112" s="455"/>
      <c r="AO112" s="166"/>
      <c r="AP112" s="166"/>
      <c r="AQ112" s="166"/>
      <c r="AR112" s="182" t="e">
        <f t="shared" si="102"/>
        <v>#N/A</v>
      </c>
      <c r="AS112" s="455"/>
      <c r="AT112" s="166"/>
      <c r="AU112" s="166"/>
      <c r="AV112" s="166"/>
      <c r="AW112" s="182" t="e">
        <f t="shared" si="102"/>
        <v>#N/A</v>
      </c>
      <c r="AX112" s="455"/>
      <c r="AZ112" s="182" t="e">
        <f t="shared" si="106"/>
        <v>#N/A</v>
      </c>
      <c r="BA112" s="455"/>
    </row>
    <row r="113" spans="2:53">
      <c r="B113" s="454"/>
      <c r="C113" s="182">
        <v>7</v>
      </c>
      <c r="D113" s="203"/>
      <c r="E113" s="166"/>
      <c r="F113" s="166"/>
      <c r="G113" s="166"/>
      <c r="H113" s="464"/>
      <c r="I113" s="166" t="str">
        <f t="shared" si="91"/>
        <v>-</v>
      </c>
      <c r="J113" s="166" t="str">
        <f t="shared" si="92"/>
        <v>-</v>
      </c>
      <c r="K113" s="180" t="str">
        <f t="shared" si="93"/>
        <v>-</v>
      </c>
      <c r="L113" s="464"/>
      <c r="M113" s="166" t="e">
        <f>RANK(K113, K$67:$K$81)</f>
        <v>#VALUE!</v>
      </c>
      <c r="N113" s="461"/>
      <c r="O113" s="461"/>
      <c r="P113" s="166"/>
      <c r="Q113" s="166"/>
      <c r="R113" s="166"/>
      <c r="S113" s="182" t="e">
        <f t="shared" si="108"/>
        <v>#N/A</v>
      </c>
      <c r="T113" s="455"/>
      <c r="U113" s="166"/>
      <c r="V113" s="166"/>
      <c r="W113" s="166"/>
      <c r="X113" s="182" t="e">
        <f t="shared" si="94"/>
        <v>#N/A</v>
      </c>
      <c r="Y113" s="455"/>
      <c r="Z113" s="166"/>
      <c r="AA113" s="166"/>
      <c r="AB113" s="166"/>
      <c r="AC113" s="182" t="e">
        <f t="shared" si="94"/>
        <v>#N/A</v>
      </c>
      <c r="AD113" s="455"/>
      <c r="AE113" s="166"/>
      <c r="AF113" s="166"/>
      <c r="AG113" s="166"/>
      <c r="AH113" s="182" t="e">
        <f t="shared" si="94"/>
        <v>#N/A</v>
      </c>
      <c r="AI113" s="455"/>
      <c r="AJ113" s="166"/>
      <c r="AK113" s="166"/>
      <c r="AL113" s="166"/>
      <c r="AM113" s="182" t="e">
        <f t="shared" si="94"/>
        <v>#N/A</v>
      </c>
      <c r="AN113" s="455"/>
      <c r="AO113" s="166"/>
      <c r="AP113" s="166"/>
      <c r="AQ113" s="166"/>
      <c r="AR113" s="182" t="e">
        <f t="shared" si="102"/>
        <v>#N/A</v>
      </c>
      <c r="AS113" s="455"/>
      <c r="AT113" s="166"/>
      <c r="AU113" s="166"/>
      <c r="AV113" s="166"/>
      <c r="AW113" s="182" t="e">
        <f t="shared" si="102"/>
        <v>#N/A</v>
      </c>
      <c r="AX113" s="455"/>
      <c r="AZ113" s="182" t="e">
        <f t="shared" si="106"/>
        <v>#N/A</v>
      </c>
      <c r="BA113" s="455"/>
    </row>
    <row r="114" spans="2:53">
      <c r="B114" s="454"/>
      <c r="C114" s="182">
        <v>8</v>
      </c>
      <c r="D114" s="203"/>
      <c r="E114" s="166"/>
      <c r="F114" s="166"/>
      <c r="G114" s="166"/>
      <c r="H114" s="464"/>
      <c r="I114" s="166" t="str">
        <f t="shared" si="91"/>
        <v>-</v>
      </c>
      <c r="J114" s="166" t="str">
        <f t="shared" si="92"/>
        <v>-</v>
      </c>
      <c r="K114" s="180" t="str">
        <f t="shared" si="93"/>
        <v>-</v>
      </c>
      <c r="L114" s="464"/>
      <c r="M114" s="166" t="e">
        <f>RANK(K114, K$67:$K$81)</f>
        <v>#VALUE!</v>
      </c>
      <c r="N114" s="461"/>
      <c r="O114" s="461"/>
      <c r="P114" s="166"/>
      <c r="Q114" s="166"/>
      <c r="R114" s="166"/>
      <c r="S114" s="182" t="e">
        <f t="shared" si="108"/>
        <v>#N/A</v>
      </c>
      <c r="T114" s="455"/>
      <c r="U114" s="166"/>
      <c r="V114" s="166"/>
      <c r="W114" s="166"/>
      <c r="X114" s="182" t="e">
        <f t="shared" si="94"/>
        <v>#N/A</v>
      </c>
      <c r="Y114" s="455"/>
      <c r="Z114" s="166"/>
      <c r="AA114" s="166"/>
      <c r="AB114" s="166"/>
      <c r="AC114" s="182" t="e">
        <f t="shared" si="94"/>
        <v>#N/A</v>
      </c>
      <c r="AD114" s="455"/>
      <c r="AE114" s="166"/>
      <c r="AF114" s="166"/>
      <c r="AG114" s="166"/>
      <c r="AH114" s="182" t="e">
        <f t="shared" si="94"/>
        <v>#N/A</v>
      </c>
      <c r="AI114" s="455"/>
      <c r="AJ114" s="166"/>
      <c r="AK114" s="166"/>
      <c r="AL114" s="166"/>
      <c r="AM114" s="182" t="e">
        <f t="shared" si="94"/>
        <v>#N/A</v>
      </c>
      <c r="AN114" s="455"/>
      <c r="AO114" s="166"/>
      <c r="AP114" s="166"/>
      <c r="AQ114" s="166"/>
      <c r="AR114" s="182" t="e">
        <f t="shared" si="102"/>
        <v>#N/A</v>
      </c>
      <c r="AS114" s="455"/>
      <c r="AT114" s="166"/>
      <c r="AU114" s="166"/>
      <c r="AV114" s="166"/>
      <c r="AW114" s="182" t="e">
        <f t="shared" si="102"/>
        <v>#N/A</v>
      </c>
      <c r="AX114" s="455"/>
      <c r="AZ114" s="182" t="e">
        <f t="shared" si="106"/>
        <v>#N/A</v>
      </c>
      <c r="BA114" s="455"/>
    </row>
    <row r="115" spans="2:53">
      <c r="B115" s="454"/>
      <c r="C115" s="182">
        <v>9</v>
      </c>
      <c r="D115" s="203"/>
      <c r="E115" s="166"/>
      <c r="F115" s="166"/>
      <c r="G115" s="166"/>
      <c r="H115" s="464"/>
      <c r="I115" s="166" t="str">
        <f t="shared" si="91"/>
        <v>-</v>
      </c>
      <c r="J115" s="166" t="str">
        <f t="shared" si="92"/>
        <v>-</v>
      </c>
      <c r="K115" s="180" t="str">
        <f t="shared" si="93"/>
        <v>-</v>
      </c>
      <c r="L115" s="464"/>
      <c r="M115" s="166" t="e">
        <f>RANK(K115, K$67:$K$81)</f>
        <v>#VALUE!</v>
      </c>
      <c r="N115" s="461"/>
      <c r="O115" s="461"/>
      <c r="P115" s="166"/>
      <c r="Q115" s="166"/>
      <c r="R115" s="166"/>
      <c r="S115" s="182" t="e">
        <f t="shared" si="108"/>
        <v>#N/A</v>
      </c>
      <c r="T115" s="455"/>
      <c r="U115" s="166"/>
      <c r="V115" s="166"/>
      <c r="W115" s="166"/>
      <c r="X115" s="182" t="e">
        <f t="shared" si="94"/>
        <v>#N/A</v>
      </c>
      <c r="Y115" s="455"/>
      <c r="Z115" s="166"/>
      <c r="AA115" s="166"/>
      <c r="AB115" s="166"/>
      <c r="AC115" s="182" t="e">
        <f t="shared" si="94"/>
        <v>#N/A</v>
      </c>
      <c r="AD115" s="455"/>
      <c r="AE115" s="166"/>
      <c r="AF115" s="166"/>
      <c r="AG115" s="166"/>
      <c r="AH115" s="182" t="e">
        <f t="shared" si="94"/>
        <v>#N/A</v>
      </c>
      <c r="AI115" s="455"/>
      <c r="AJ115" s="166"/>
      <c r="AK115" s="166"/>
      <c r="AL115" s="166"/>
      <c r="AM115" s="182" t="e">
        <f t="shared" si="94"/>
        <v>#N/A</v>
      </c>
      <c r="AN115" s="455"/>
      <c r="AO115" s="166"/>
      <c r="AP115" s="166"/>
      <c r="AQ115" s="166"/>
      <c r="AR115" s="182" t="e">
        <f t="shared" si="102"/>
        <v>#N/A</v>
      </c>
      <c r="AS115" s="455"/>
      <c r="AT115" s="166"/>
      <c r="AU115" s="166"/>
      <c r="AV115" s="166"/>
      <c r="AW115" s="182" t="e">
        <f t="shared" si="102"/>
        <v>#N/A</v>
      </c>
      <c r="AX115" s="455"/>
      <c r="AZ115" s="182" t="e">
        <f t="shared" si="106"/>
        <v>#N/A</v>
      </c>
      <c r="BA115" s="455"/>
    </row>
    <row r="116" spans="2:53">
      <c r="B116" s="454"/>
      <c r="C116" s="182">
        <v>10</v>
      </c>
      <c r="D116" s="203"/>
      <c r="E116" s="166"/>
      <c r="F116" s="166"/>
      <c r="G116" s="166"/>
      <c r="H116" s="464"/>
      <c r="I116" s="166" t="str">
        <f t="shared" si="91"/>
        <v>-</v>
      </c>
      <c r="J116" s="166" t="str">
        <f t="shared" si="92"/>
        <v>-</v>
      </c>
      <c r="K116" s="180" t="str">
        <f t="shared" si="93"/>
        <v>-</v>
      </c>
      <c r="L116" s="464"/>
      <c r="M116" s="166" t="e">
        <f>RANK(K116, K$67:$K$81)</f>
        <v>#VALUE!</v>
      </c>
      <c r="N116" s="461"/>
      <c r="O116" s="461"/>
      <c r="P116" s="166"/>
      <c r="Q116" s="166"/>
      <c r="R116" s="166"/>
      <c r="S116" s="182" t="e">
        <f t="shared" si="108"/>
        <v>#N/A</v>
      </c>
      <c r="T116" s="455"/>
      <c r="U116" s="166"/>
      <c r="V116" s="166"/>
      <c r="W116" s="166"/>
      <c r="X116" s="182" t="e">
        <f t="shared" si="94"/>
        <v>#N/A</v>
      </c>
      <c r="Y116" s="455"/>
      <c r="Z116" s="166"/>
      <c r="AA116" s="166"/>
      <c r="AB116" s="166"/>
      <c r="AC116" s="182" t="e">
        <f t="shared" si="94"/>
        <v>#N/A</v>
      </c>
      <c r="AD116" s="455"/>
      <c r="AE116" s="166"/>
      <c r="AF116" s="166"/>
      <c r="AG116" s="166"/>
      <c r="AH116" s="182" t="e">
        <f t="shared" si="94"/>
        <v>#N/A</v>
      </c>
      <c r="AI116" s="455"/>
      <c r="AJ116" s="166"/>
      <c r="AK116" s="166"/>
      <c r="AL116" s="166"/>
      <c r="AM116" s="182" t="e">
        <f t="shared" si="94"/>
        <v>#N/A</v>
      </c>
      <c r="AN116" s="455"/>
      <c r="AO116" s="166"/>
      <c r="AP116" s="166"/>
      <c r="AQ116" s="166"/>
      <c r="AR116" s="182" t="e">
        <f t="shared" si="102"/>
        <v>#N/A</v>
      </c>
      <c r="AS116" s="455"/>
      <c r="AT116" s="166"/>
      <c r="AU116" s="166"/>
      <c r="AV116" s="166"/>
      <c r="AW116" s="182" t="e">
        <f t="shared" si="102"/>
        <v>#N/A</v>
      </c>
      <c r="AX116" s="455"/>
      <c r="AZ116" s="182" t="e">
        <f t="shared" si="106"/>
        <v>#N/A</v>
      </c>
      <c r="BA116" s="455"/>
    </row>
    <row r="117" spans="2:53">
      <c r="B117" s="454"/>
      <c r="C117" s="182">
        <v>11</v>
      </c>
      <c r="D117" s="203"/>
      <c r="E117" s="166"/>
      <c r="F117" s="166"/>
      <c r="G117" s="166"/>
      <c r="H117" s="464"/>
      <c r="I117" s="166" t="str">
        <f t="shared" si="91"/>
        <v>-</v>
      </c>
      <c r="J117" s="166" t="str">
        <f t="shared" si="92"/>
        <v>-</v>
      </c>
      <c r="K117" s="180" t="str">
        <f t="shared" si="93"/>
        <v>-</v>
      </c>
      <c r="L117" s="464"/>
      <c r="M117" s="166" t="e">
        <f>RANK(K117, K$67:$K$81)</f>
        <v>#VALUE!</v>
      </c>
      <c r="N117" s="461"/>
      <c r="O117" s="461"/>
      <c r="P117" s="166"/>
      <c r="Q117" s="166"/>
      <c r="R117" s="166"/>
      <c r="S117" s="182" t="e">
        <f t="shared" si="108"/>
        <v>#N/A</v>
      </c>
      <c r="T117" s="455"/>
      <c r="U117" s="166"/>
      <c r="V117" s="166"/>
      <c r="W117" s="166"/>
      <c r="X117" s="182" t="e">
        <f t="shared" si="94"/>
        <v>#N/A</v>
      </c>
      <c r="Y117" s="455"/>
      <c r="Z117" s="166"/>
      <c r="AA117" s="166"/>
      <c r="AB117" s="166"/>
      <c r="AC117" s="182" t="e">
        <f t="shared" si="94"/>
        <v>#N/A</v>
      </c>
      <c r="AD117" s="455"/>
      <c r="AE117" s="166"/>
      <c r="AF117" s="166"/>
      <c r="AG117" s="166"/>
      <c r="AH117" s="182" t="e">
        <f t="shared" si="94"/>
        <v>#N/A</v>
      </c>
      <c r="AI117" s="455"/>
      <c r="AJ117" s="166"/>
      <c r="AK117" s="166"/>
      <c r="AL117" s="166"/>
      <c r="AM117" s="182" t="e">
        <f t="shared" si="94"/>
        <v>#N/A</v>
      </c>
      <c r="AN117" s="455"/>
      <c r="AO117" s="166"/>
      <c r="AP117" s="166"/>
      <c r="AQ117" s="166"/>
      <c r="AR117" s="182" t="e">
        <f t="shared" si="102"/>
        <v>#N/A</v>
      </c>
      <c r="AS117" s="455"/>
      <c r="AT117" s="166"/>
      <c r="AU117" s="166"/>
      <c r="AV117" s="166"/>
      <c r="AW117" s="182" t="e">
        <f t="shared" si="102"/>
        <v>#N/A</v>
      </c>
      <c r="AX117" s="455"/>
      <c r="AZ117" s="182" t="e">
        <f t="shared" si="106"/>
        <v>#N/A</v>
      </c>
      <c r="BA117" s="455"/>
    </row>
    <row r="118" spans="2:53">
      <c r="B118" s="454"/>
      <c r="C118" s="182">
        <v>12</v>
      </c>
      <c r="D118" s="203"/>
      <c r="E118" s="166"/>
      <c r="F118" s="166"/>
      <c r="G118" s="166"/>
      <c r="H118" s="464"/>
      <c r="I118" s="166" t="str">
        <f t="shared" si="91"/>
        <v>-</v>
      </c>
      <c r="J118" s="166" t="str">
        <f t="shared" si="92"/>
        <v>-</v>
      </c>
      <c r="K118" s="180" t="str">
        <f t="shared" si="93"/>
        <v>-</v>
      </c>
      <c r="L118" s="464"/>
      <c r="M118" s="166" t="e">
        <f>RANK(K118, K$67:$K$81)</f>
        <v>#VALUE!</v>
      </c>
      <c r="N118" s="461"/>
      <c r="O118" s="461"/>
      <c r="P118" s="166"/>
      <c r="Q118" s="166"/>
      <c r="R118" s="166"/>
      <c r="S118" s="182" t="e">
        <f t="shared" si="108"/>
        <v>#N/A</v>
      </c>
      <c r="T118" s="455"/>
      <c r="U118" s="166"/>
      <c r="V118" s="166"/>
      <c r="W118" s="166"/>
      <c r="X118" s="182" t="e">
        <f t="shared" si="94"/>
        <v>#N/A</v>
      </c>
      <c r="Y118" s="455"/>
      <c r="Z118" s="166"/>
      <c r="AA118" s="166"/>
      <c r="AB118" s="166"/>
      <c r="AC118" s="182" t="e">
        <f t="shared" si="94"/>
        <v>#N/A</v>
      </c>
      <c r="AD118" s="455"/>
      <c r="AE118" s="166"/>
      <c r="AF118" s="166"/>
      <c r="AG118" s="166"/>
      <c r="AH118" s="182" t="e">
        <f t="shared" si="94"/>
        <v>#N/A</v>
      </c>
      <c r="AI118" s="455"/>
      <c r="AJ118" s="166"/>
      <c r="AK118" s="166"/>
      <c r="AL118" s="166"/>
      <c r="AM118" s="182" t="e">
        <f t="shared" si="94"/>
        <v>#N/A</v>
      </c>
      <c r="AN118" s="455"/>
      <c r="AO118" s="166"/>
      <c r="AP118" s="166"/>
      <c r="AQ118" s="166"/>
      <c r="AR118" s="182" t="e">
        <f t="shared" si="102"/>
        <v>#N/A</v>
      </c>
      <c r="AS118" s="455"/>
      <c r="AT118" s="166"/>
      <c r="AU118" s="166"/>
      <c r="AV118" s="166"/>
      <c r="AW118" s="182" t="e">
        <f t="shared" si="102"/>
        <v>#N/A</v>
      </c>
      <c r="AX118" s="455"/>
      <c r="AZ118" s="182" t="e">
        <f t="shared" si="106"/>
        <v>#N/A</v>
      </c>
      <c r="BA118" s="455"/>
    </row>
    <row r="119" spans="2:53">
      <c r="B119" s="454"/>
      <c r="C119" s="182">
        <v>13</v>
      </c>
      <c r="D119" s="203"/>
      <c r="E119" s="166"/>
      <c r="F119" s="166"/>
      <c r="G119" s="166"/>
      <c r="H119" s="464"/>
      <c r="I119" s="166" t="str">
        <f t="shared" si="91"/>
        <v>-</v>
      </c>
      <c r="J119" s="166" t="str">
        <f t="shared" si="92"/>
        <v>-</v>
      </c>
      <c r="K119" s="180" t="str">
        <f t="shared" si="93"/>
        <v>-</v>
      </c>
      <c r="L119" s="464"/>
      <c r="M119" s="166" t="e">
        <f>RANK(K119, K$67:$K$81)</f>
        <v>#VALUE!</v>
      </c>
      <c r="N119" s="461"/>
      <c r="O119" s="461"/>
      <c r="P119" s="166"/>
      <c r="Q119" s="166"/>
      <c r="R119" s="166"/>
      <c r="S119" s="182" t="e">
        <f t="shared" si="108"/>
        <v>#N/A</v>
      </c>
      <c r="T119" s="455"/>
      <c r="U119" s="166"/>
      <c r="V119" s="166"/>
      <c r="W119" s="166"/>
      <c r="X119" s="182" t="e">
        <f t="shared" si="94"/>
        <v>#N/A</v>
      </c>
      <c r="Y119" s="455"/>
      <c r="Z119" s="166"/>
      <c r="AA119" s="166"/>
      <c r="AB119" s="166"/>
      <c r="AC119" s="182" t="e">
        <f t="shared" si="94"/>
        <v>#N/A</v>
      </c>
      <c r="AD119" s="455"/>
      <c r="AE119" s="166"/>
      <c r="AF119" s="166"/>
      <c r="AG119" s="166"/>
      <c r="AH119" s="182" t="e">
        <f t="shared" si="94"/>
        <v>#N/A</v>
      </c>
      <c r="AI119" s="455"/>
      <c r="AJ119" s="166"/>
      <c r="AK119" s="166"/>
      <c r="AL119" s="166"/>
      <c r="AM119" s="182" t="e">
        <f t="shared" si="94"/>
        <v>#N/A</v>
      </c>
      <c r="AN119" s="455"/>
      <c r="AO119" s="166"/>
      <c r="AP119" s="166"/>
      <c r="AQ119" s="166"/>
      <c r="AR119" s="182" t="e">
        <f t="shared" si="102"/>
        <v>#N/A</v>
      </c>
      <c r="AS119" s="455"/>
      <c r="AT119" s="166"/>
      <c r="AU119" s="166"/>
      <c r="AV119" s="166"/>
      <c r="AW119" s="182" t="e">
        <f t="shared" si="102"/>
        <v>#N/A</v>
      </c>
      <c r="AX119" s="455"/>
      <c r="AZ119" s="182" t="e">
        <f t="shared" si="106"/>
        <v>#N/A</v>
      </c>
      <c r="BA119" s="455"/>
    </row>
    <row r="120" spans="2:53">
      <c r="B120" s="454"/>
      <c r="C120" s="182">
        <v>14</v>
      </c>
      <c r="D120" s="203"/>
      <c r="E120" s="166"/>
      <c r="F120" s="166"/>
      <c r="G120" s="166"/>
      <c r="H120" s="464"/>
      <c r="I120" s="166" t="str">
        <f t="shared" si="91"/>
        <v>-</v>
      </c>
      <c r="J120" s="166" t="str">
        <f t="shared" si="92"/>
        <v>-</v>
      </c>
      <c r="K120" s="180" t="str">
        <f t="shared" si="93"/>
        <v>-</v>
      </c>
      <c r="L120" s="464"/>
      <c r="M120" s="166" t="e">
        <f>RANK(K120, K$67:$K$81)</f>
        <v>#VALUE!</v>
      </c>
      <c r="N120" s="461"/>
      <c r="O120" s="461"/>
      <c r="P120" s="166"/>
      <c r="Q120" s="166"/>
      <c r="R120" s="166"/>
      <c r="S120" s="182" t="e">
        <f t="shared" si="108"/>
        <v>#N/A</v>
      </c>
      <c r="T120" s="455"/>
      <c r="U120" s="166"/>
      <c r="V120" s="166"/>
      <c r="W120" s="166"/>
      <c r="X120" s="182" t="e">
        <f t="shared" si="94"/>
        <v>#N/A</v>
      </c>
      <c r="Y120" s="455"/>
      <c r="Z120" s="166"/>
      <c r="AA120" s="166"/>
      <c r="AB120" s="166"/>
      <c r="AC120" s="182" t="e">
        <f t="shared" si="94"/>
        <v>#N/A</v>
      </c>
      <c r="AD120" s="455"/>
      <c r="AE120" s="166"/>
      <c r="AF120" s="166"/>
      <c r="AG120" s="166"/>
      <c r="AH120" s="182" t="e">
        <f t="shared" si="94"/>
        <v>#N/A</v>
      </c>
      <c r="AI120" s="455"/>
      <c r="AJ120" s="166"/>
      <c r="AK120" s="166"/>
      <c r="AL120" s="166"/>
      <c r="AM120" s="182" t="e">
        <f t="shared" si="94"/>
        <v>#N/A</v>
      </c>
      <c r="AN120" s="455"/>
      <c r="AO120" s="166"/>
      <c r="AP120" s="166"/>
      <c r="AQ120" s="166"/>
      <c r="AR120" s="182" t="e">
        <f t="shared" si="102"/>
        <v>#N/A</v>
      </c>
      <c r="AS120" s="455"/>
      <c r="AT120" s="166"/>
      <c r="AU120" s="166"/>
      <c r="AV120" s="166"/>
      <c r="AW120" s="182" t="e">
        <f t="shared" si="102"/>
        <v>#N/A</v>
      </c>
      <c r="AX120" s="455"/>
      <c r="AZ120" s="182" t="e">
        <f t="shared" si="106"/>
        <v>#N/A</v>
      </c>
      <c r="BA120" s="455"/>
    </row>
    <row r="121" spans="2:53">
      <c r="B121" s="454"/>
      <c r="C121" s="182">
        <v>15</v>
      </c>
      <c r="D121" s="203"/>
      <c r="E121" s="166"/>
      <c r="F121" s="166"/>
      <c r="G121" s="166"/>
      <c r="H121" s="465"/>
      <c r="I121" s="166"/>
      <c r="J121" s="166"/>
      <c r="K121" s="180"/>
      <c r="L121" s="465"/>
      <c r="M121" s="166" t="e">
        <f>RANK(K121, K$67:$K$81)</f>
        <v>#N/A</v>
      </c>
      <c r="N121" s="461"/>
      <c r="O121" s="461"/>
      <c r="P121" s="166"/>
      <c r="Q121" s="166"/>
      <c r="R121" s="166"/>
      <c r="S121" s="182" t="e">
        <f t="shared" si="108"/>
        <v>#N/A</v>
      </c>
      <c r="T121" s="455"/>
      <c r="U121" s="166"/>
      <c r="V121" s="166"/>
      <c r="W121" s="166"/>
      <c r="X121" s="182" t="e">
        <f t="shared" si="94"/>
        <v>#N/A</v>
      </c>
      <c r="Y121" s="455"/>
      <c r="Z121" s="166"/>
      <c r="AA121" s="166"/>
      <c r="AB121" s="166"/>
      <c r="AC121" s="182" t="e">
        <f t="shared" si="94"/>
        <v>#N/A</v>
      </c>
      <c r="AD121" s="455"/>
      <c r="AE121" s="166"/>
      <c r="AF121" s="166"/>
      <c r="AG121" s="166"/>
      <c r="AH121" s="182" t="e">
        <f t="shared" si="94"/>
        <v>#N/A</v>
      </c>
      <c r="AI121" s="455"/>
      <c r="AJ121" s="166"/>
      <c r="AK121" s="166"/>
      <c r="AL121" s="166"/>
      <c r="AM121" s="182" t="e">
        <f t="shared" si="94"/>
        <v>#N/A</v>
      </c>
      <c r="AN121" s="455"/>
      <c r="AO121" s="166"/>
      <c r="AP121" s="166"/>
      <c r="AQ121" s="166"/>
      <c r="AR121" s="182" t="e">
        <f t="shared" si="102"/>
        <v>#N/A</v>
      </c>
      <c r="AS121" s="455"/>
      <c r="AT121" s="166"/>
      <c r="AU121" s="166"/>
      <c r="AV121" s="166"/>
      <c r="AW121" s="182" t="e">
        <f t="shared" si="102"/>
        <v>#N/A</v>
      </c>
      <c r="AX121" s="455"/>
      <c r="AZ121" s="182" t="e">
        <f t="shared" si="106"/>
        <v>#N/A</v>
      </c>
      <c r="BA121" s="455"/>
    </row>
    <row r="123" spans="2:53" ht="15.5">
      <c r="B123" s="458" t="s">
        <v>574</v>
      </c>
      <c r="C123" s="459"/>
      <c r="D123" s="459"/>
      <c r="E123" s="459"/>
      <c r="F123" s="459"/>
      <c r="G123" s="459"/>
      <c r="H123" s="459"/>
      <c r="I123" s="285"/>
      <c r="J123" s="285"/>
      <c r="K123" s="285"/>
      <c r="L123" s="285"/>
      <c r="M123" s="286"/>
    </row>
    <row r="124" spans="2:53" ht="15.5">
      <c r="B124" s="460"/>
      <c r="C124" s="460"/>
      <c r="D124" s="460"/>
      <c r="E124" s="460"/>
      <c r="F124" s="460"/>
      <c r="G124" s="460"/>
      <c r="H124" s="460"/>
      <c r="I124" s="287"/>
      <c r="J124" s="287"/>
      <c r="K124" s="287"/>
      <c r="L124" s="287"/>
      <c r="M124" s="288"/>
    </row>
    <row r="125" spans="2:53">
      <c r="B125" s="461" t="s">
        <v>154</v>
      </c>
      <c r="C125" s="461" t="s">
        <v>409</v>
      </c>
      <c r="D125" s="461"/>
      <c r="E125" s="461" t="s">
        <v>400</v>
      </c>
      <c r="F125" s="461"/>
      <c r="G125" s="461"/>
      <c r="H125" s="482" t="s">
        <v>396</v>
      </c>
      <c r="I125" s="462" t="s">
        <v>401</v>
      </c>
      <c r="J125" s="462"/>
      <c r="K125" s="462"/>
      <c r="L125" s="505" t="s">
        <v>396</v>
      </c>
      <c r="M125" s="508" t="s">
        <v>397</v>
      </c>
    </row>
    <row r="126" spans="2:53">
      <c r="B126" s="461"/>
      <c r="C126" s="461"/>
      <c r="D126" s="461"/>
      <c r="E126" s="461" t="s">
        <v>403</v>
      </c>
      <c r="F126" s="461"/>
      <c r="G126" s="461"/>
      <c r="H126" s="483"/>
      <c r="I126" s="462" t="s">
        <v>403</v>
      </c>
      <c r="J126" s="462"/>
      <c r="K126" s="462"/>
      <c r="L126" s="506"/>
      <c r="M126" s="509"/>
    </row>
    <row r="127" spans="2:53">
      <c r="B127" s="461"/>
      <c r="C127" s="461"/>
      <c r="D127" s="461"/>
      <c r="E127" s="269" t="s">
        <v>405</v>
      </c>
      <c r="F127" s="269" t="s">
        <v>406</v>
      </c>
      <c r="G127" s="269" t="s">
        <v>407</v>
      </c>
      <c r="H127" s="484"/>
      <c r="I127" s="289" t="s">
        <v>405</v>
      </c>
      <c r="J127" s="289" t="s">
        <v>406</v>
      </c>
      <c r="K127" s="289" t="s">
        <v>407</v>
      </c>
      <c r="L127" s="507"/>
      <c r="M127" s="510"/>
    </row>
    <row r="128" spans="2:53">
      <c r="B128" s="501" t="s">
        <v>408</v>
      </c>
      <c r="C128" s="182">
        <v>1</v>
      </c>
      <c r="D128" s="203"/>
      <c r="E128" s="166"/>
      <c r="F128" s="182"/>
      <c r="G128" s="180"/>
      <c r="H128" s="463" t="e">
        <f>AVERAGE(G128:G142)</f>
        <v>#DIV/0!</v>
      </c>
      <c r="I128" s="166" t="e">
        <f t="shared" ref="I128:J138" si="109">AVERAGEIF($D$7:$D$121,$D128,I$7:I$121)</f>
        <v>#DIV/0!</v>
      </c>
      <c r="J128" s="166" t="e">
        <f t="shared" si="109"/>
        <v>#DIV/0!</v>
      </c>
      <c r="K128" s="166" t="e">
        <f t="shared" ref="K128:K138" si="110">AVERAGEIF($D$7:$D$121,$D128,K$7:K$121)</f>
        <v>#DIV/0!</v>
      </c>
      <c r="L128" s="502" t="e">
        <f>AVERAGE(K128:K142)</f>
        <v>#DIV/0!</v>
      </c>
      <c r="M128" s="166" t="e">
        <f>RANK(K128, K$128:$K$142)</f>
        <v>#DIV/0!</v>
      </c>
    </row>
    <row r="129" spans="2:39">
      <c r="B129" s="454"/>
      <c r="C129" s="182">
        <v>2</v>
      </c>
      <c r="D129" s="203"/>
      <c r="E129" s="166"/>
      <c r="F129" s="182"/>
      <c r="G129" s="180"/>
      <c r="H129" s="464"/>
      <c r="I129" s="166" t="e">
        <f t="shared" si="109"/>
        <v>#DIV/0!</v>
      </c>
      <c r="J129" s="166" t="e">
        <f t="shared" si="109"/>
        <v>#DIV/0!</v>
      </c>
      <c r="K129" s="166" t="e">
        <f t="shared" si="110"/>
        <v>#DIV/0!</v>
      </c>
      <c r="L129" s="503"/>
      <c r="M129" s="166" t="e">
        <f>RANK(K129, K$128:$K$142)</f>
        <v>#DIV/0!</v>
      </c>
      <c r="N129" s="103"/>
      <c r="O129" s="103"/>
      <c r="P129" s="103"/>
      <c r="Q129" s="103"/>
      <c r="R129" s="103"/>
      <c r="S129" s="103"/>
      <c r="T129" s="103"/>
      <c r="X129" s="103"/>
      <c r="AC129" s="103"/>
      <c r="AH129" s="103"/>
      <c r="AM129" s="103"/>
    </row>
    <row r="130" spans="2:39">
      <c r="B130" s="454"/>
      <c r="C130" s="182">
        <v>3</v>
      </c>
      <c r="D130" s="203"/>
      <c r="E130" s="166"/>
      <c r="F130" s="182"/>
      <c r="G130" s="180"/>
      <c r="H130" s="464"/>
      <c r="I130" s="166" t="e">
        <f t="shared" si="109"/>
        <v>#DIV/0!</v>
      </c>
      <c r="J130" s="166" t="e">
        <f t="shared" si="109"/>
        <v>#DIV/0!</v>
      </c>
      <c r="K130" s="166" t="e">
        <f t="shared" si="110"/>
        <v>#DIV/0!</v>
      </c>
      <c r="L130" s="503"/>
      <c r="M130" s="166" t="e">
        <f>RANK(K130, K$128:$K$142)</f>
        <v>#DIV/0!</v>
      </c>
      <c r="N130" s="103"/>
      <c r="O130" s="103"/>
      <c r="P130" s="103"/>
      <c r="Q130" s="103"/>
      <c r="R130" s="103"/>
      <c r="S130" s="103"/>
      <c r="T130" s="103"/>
      <c r="X130" s="103"/>
      <c r="AC130" s="103"/>
      <c r="AH130" s="103"/>
      <c r="AM130" s="103"/>
    </row>
    <row r="131" spans="2:39">
      <c r="B131" s="454"/>
      <c r="C131" s="182">
        <v>4</v>
      </c>
      <c r="D131" s="203"/>
      <c r="E131" s="166"/>
      <c r="F131" s="182"/>
      <c r="G131" s="180"/>
      <c r="H131" s="464"/>
      <c r="I131" s="166" t="e">
        <f t="shared" si="109"/>
        <v>#DIV/0!</v>
      </c>
      <c r="J131" s="166" t="e">
        <f t="shared" si="109"/>
        <v>#DIV/0!</v>
      </c>
      <c r="K131" s="166" t="e">
        <f t="shared" si="110"/>
        <v>#DIV/0!</v>
      </c>
      <c r="L131" s="503"/>
      <c r="M131" s="166" t="e">
        <f>RANK(K131, K$128:$K$142)</f>
        <v>#DIV/0!</v>
      </c>
      <c r="N131" s="103"/>
      <c r="O131" s="103"/>
      <c r="P131" s="103"/>
      <c r="Q131" s="103"/>
      <c r="R131" s="103"/>
      <c r="S131" s="103"/>
      <c r="T131" s="103"/>
      <c r="X131" s="103"/>
      <c r="AC131" s="103"/>
      <c r="AH131" s="103"/>
      <c r="AM131" s="103"/>
    </row>
    <row r="132" spans="2:39">
      <c r="B132" s="454"/>
      <c r="C132" s="182">
        <v>5</v>
      </c>
      <c r="D132" s="203"/>
      <c r="E132" s="166"/>
      <c r="F132" s="182"/>
      <c r="G132" s="180"/>
      <c r="H132" s="464"/>
      <c r="I132" s="166" t="e">
        <f t="shared" si="109"/>
        <v>#DIV/0!</v>
      </c>
      <c r="J132" s="166" t="e">
        <f t="shared" si="109"/>
        <v>#DIV/0!</v>
      </c>
      <c r="K132" s="166" t="e">
        <f t="shared" si="110"/>
        <v>#DIV/0!</v>
      </c>
      <c r="L132" s="503"/>
      <c r="M132" s="166" t="e">
        <f>RANK(K132, K$128:$K$142)</f>
        <v>#DIV/0!</v>
      </c>
      <c r="N132" s="103"/>
      <c r="O132" s="103"/>
      <c r="P132" s="103"/>
      <c r="Q132" s="103"/>
      <c r="R132" s="103"/>
      <c r="S132" s="103"/>
      <c r="T132" s="103"/>
      <c r="X132" s="103"/>
      <c r="AC132" s="103"/>
      <c r="AH132" s="103"/>
      <c r="AM132" s="103"/>
    </row>
    <row r="133" spans="2:39">
      <c r="B133" s="454"/>
      <c r="C133" s="182">
        <v>6</v>
      </c>
      <c r="D133" s="290"/>
      <c r="E133" s="166"/>
      <c r="F133" s="182"/>
      <c r="G133" s="180"/>
      <c r="H133" s="464"/>
      <c r="I133" s="166" t="e">
        <f t="shared" si="109"/>
        <v>#DIV/0!</v>
      </c>
      <c r="J133" s="166" t="e">
        <f t="shared" si="109"/>
        <v>#DIV/0!</v>
      </c>
      <c r="K133" s="166" t="e">
        <f t="shared" si="110"/>
        <v>#DIV/0!</v>
      </c>
      <c r="L133" s="503"/>
      <c r="M133" s="166" t="e">
        <f>RANK(K133, K$128:$K$142)</f>
        <v>#DIV/0!</v>
      </c>
      <c r="N133" s="103"/>
      <c r="O133" s="103"/>
      <c r="P133" s="103"/>
      <c r="Q133" s="103"/>
      <c r="R133" s="103"/>
      <c r="S133" s="103"/>
      <c r="T133" s="103"/>
      <c r="X133" s="103"/>
      <c r="AC133" s="103"/>
      <c r="AH133" s="103"/>
      <c r="AM133" s="103"/>
    </row>
    <row r="134" spans="2:39">
      <c r="B134" s="454"/>
      <c r="C134" s="182">
        <v>7</v>
      </c>
      <c r="D134" s="203"/>
      <c r="E134" s="166"/>
      <c r="F134" s="182"/>
      <c r="G134" s="180"/>
      <c r="H134" s="464"/>
      <c r="I134" s="166" t="e">
        <f t="shared" si="109"/>
        <v>#DIV/0!</v>
      </c>
      <c r="J134" s="166" t="e">
        <f t="shared" si="109"/>
        <v>#DIV/0!</v>
      </c>
      <c r="K134" s="166" t="e">
        <f t="shared" si="110"/>
        <v>#DIV/0!</v>
      </c>
      <c r="L134" s="503"/>
      <c r="M134" s="166" t="e">
        <f>RANK(K134, K$128:$K$142)</f>
        <v>#DIV/0!</v>
      </c>
      <c r="N134" s="103"/>
      <c r="O134" s="103"/>
      <c r="P134" s="103"/>
      <c r="Q134" s="103"/>
      <c r="R134" s="103"/>
      <c r="S134" s="103"/>
      <c r="T134" s="103"/>
      <c r="X134" s="103"/>
      <c r="AC134" s="103"/>
      <c r="AH134" s="103"/>
      <c r="AM134" s="103"/>
    </row>
    <row r="135" spans="2:39">
      <c r="B135" s="454"/>
      <c r="C135" s="182">
        <v>8</v>
      </c>
      <c r="D135" s="203"/>
      <c r="E135" s="166"/>
      <c r="F135" s="182"/>
      <c r="G135" s="180"/>
      <c r="H135" s="464"/>
      <c r="I135" s="166" t="e">
        <f t="shared" si="109"/>
        <v>#DIV/0!</v>
      </c>
      <c r="J135" s="166" t="e">
        <f t="shared" si="109"/>
        <v>#DIV/0!</v>
      </c>
      <c r="K135" s="166" t="e">
        <f t="shared" si="110"/>
        <v>#DIV/0!</v>
      </c>
      <c r="L135" s="503"/>
      <c r="M135" s="166" t="e">
        <f>RANK(K135, K$128:$K$142)</f>
        <v>#DIV/0!</v>
      </c>
      <c r="N135" s="103"/>
      <c r="O135" s="103"/>
      <c r="P135" s="103"/>
      <c r="Q135" s="103"/>
      <c r="R135" s="103"/>
      <c r="S135" s="103"/>
      <c r="T135" s="103"/>
      <c r="X135" s="103"/>
      <c r="AC135" s="103"/>
      <c r="AH135" s="103"/>
      <c r="AM135" s="103"/>
    </row>
    <row r="136" spans="2:39">
      <c r="B136" s="454"/>
      <c r="C136" s="182">
        <v>9</v>
      </c>
      <c r="D136" s="203"/>
      <c r="E136" s="182"/>
      <c r="F136" s="182"/>
      <c r="G136" s="182"/>
      <c r="H136" s="464"/>
      <c r="I136" s="166" t="e">
        <f t="shared" si="109"/>
        <v>#DIV/0!</v>
      </c>
      <c r="J136" s="166" t="e">
        <f t="shared" si="109"/>
        <v>#DIV/0!</v>
      </c>
      <c r="K136" s="166" t="e">
        <f t="shared" si="110"/>
        <v>#DIV/0!</v>
      </c>
      <c r="L136" s="503"/>
      <c r="M136" s="166" t="e">
        <f>RANK(K136, K$128:$K$142)</f>
        <v>#DIV/0!</v>
      </c>
      <c r="N136" s="103"/>
      <c r="O136" s="103"/>
      <c r="P136" s="103"/>
      <c r="Q136" s="103"/>
      <c r="R136" s="103"/>
      <c r="S136" s="103"/>
      <c r="T136" s="103"/>
      <c r="X136" s="103"/>
      <c r="AC136" s="103"/>
      <c r="AH136" s="103"/>
      <c r="AM136" s="103"/>
    </row>
    <row r="137" spans="2:39">
      <c r="B137" s="454"/>
      <c r="C137" s="182">
        <v>10</v>
      </c>
      <c r="D137" s="203"/>
      <c r="E137" s="182"/>
      <c r="F137" s="182"/>
      <c r="G137" s="182"/>
      <c r="H137" s="464"/>
      <c r="I137" s="166" t="e">
        <f t="shared" si="109"/>
        <v>#DIV/0!</v>
      </c>
      <c r="J137" s="166" t="e">
        <f t="shared" si="109"/>
        <v>#DIV/0!</v>
      </c>
      <c r="K137" s="166" t="e">
        <f t="shared" si="110"/>
        <v>#DIV/0!</v>
      </c>
      <c r="L137" s="503"/>
      <c r="M137" s="166" t="e">
        <f>RANK(K137, K$128:$K$142)</f>
        <v>#DIV/0!</v>
      </c>
      <c r="N137" s="103"/>
      <c r="O137" s="103"/>
      <c r="P137" s="103"/>
      <c r="Q137" s="103"/>
      <c r="R137" s="103"/>
      <c r="S137" s="103"/>
      <c r="T137" s="103"/>
      <c r="X137" s="103"/>
      <c r="AC137" s="103"/>
      <c r="AH137" s="103"/>
      <c r="AM137" s="103"/>
    </row>
    <row r="138" spans="2:39">
      <c r="B138" s="454"/>
      <c r="C138" s="182">
        <v>11</v>
      </c>
      <c r="D138" s="203"/>
      <c r="E138" s="182"/>
      <c r="F138" s="182"/>
      <c r="G138" s="182"/>
      <c r="H138" s="464"/>
      <c r="I138" s="166" t="e">
        <f t="shared" si="109"/>
        <v>#DIV/0!</v>
      </c>
      <c r="J138" s="166" t="e">
        <f t="shared" si="109"/>
        <v>#DIV/0!</v>
      </c>
      <c r="K138" s="166" t="e">
        <f t="shared" si="110"/>
        <v>#DIV/0!</v>
      </c>
      <c r="L138" s="503"/>
      <c r="M138" s="166" t="e">
        <f>RANK(K138, K$128:$K$142)</f>
        <v>#DIV/0!</v>
      </c>
      <c r="N138" s="103"/>
      <c r="O138" s="103"/>
      <c r="P138" s="103"/>
      <c r="Q138" s="103"/>
      <c r="R138" s="103"/>
      <c r="S138" s="103"/>
      <c r="T138" s="103"/>
      <c r="X138" s="103"/>
      <c r="AC138" s="103"/>
      <c r="AH138" s="103"/>
      <c r="AM138" s="103"/>
    </row>
    <row r="139" spans="2:39">
      <c r="B139" s="454"/>
      <c r="C139" s="182">
        <v>12</v>
      </c>
      <c r="D139" s="203"/>
      <c r="E139" s="182"/>
      <c r="F139" s="182"/>
      <c r="G139" s="182"/>
      <c r="H139" s="464"/>
      <c r="I139" s="166"/>
      <c r="J139" s="166"/>
      <c r="K139" s="166"/>
      <c r="L139" s="503"/>
      <c r="M139" s="166" t="e">
        <f>RANK(K139, K$128:$K$142)</f>
        <v>#DIV/0!</v>
      </c>
      <c r="N139" s="103"/>
      <c r="O139" s="103"/>
      <c r="P139" s="103"/>
      <c r="Q139" s="103"/>
      <c r="R139" s="103"/>
      <c r="S139" s="103"/>
      <c r="T139" s="103"/>
      <c r="X139" s="103"/>
      <c r="AC139" s="103"/>
      <c r="AH139" s="103"/>
      <c r="AM139" s="103"/>
    </row>
    <row r="140" spans="2:39">
      <c r="B140" s="454"/>
      <c r="C140" s="182">
        <v>13</v>
      </c>
      <c r="D140" s="203"/>
      <c r="E140" s="182"/>
      <c r="F140" s="182"/>
      <c r="G140" s="182"/>
      <c r="H140" s="464"/>
      <c r="I140" s="166"/>
      <c r="J140" s="166"/>
      <c r="K140" s="166"/>
      <c r="L140" s="503"/>
      <c r="M140" s="166" t="e">
        <f>RANK(K140, K$128:$K$142)</f>
        <v>#DIV/0!</v>
      </c>
      <c r="N140" s="103"/>
      <c r="O140" s="103"/>
      <c r="P140" s="103"/>
      <c r="Q140" s="103"/>
      <c r="R140" s="103"/>
      <c r="S140" s="103"/>
      <c r="T140" s="103"/>
      <c r="X140" s="103"/>
      <c r="AC140" s="103"/>
      <c r="AH140" s="103"/>
      <c r="AM140" s="103"/>
    </row>
    <row r="141" spans="2:39">
      <c r="B141" s="454"/>
      <c r="C141" s="182">
        <v>14</v>
      </c>
      <c r="D141" s="203"/>
      <c r="E141" s="182"/>
      <c r="F141" s="182"/>
      <c r="G141" s="182"/>
      <c r="H141" s="464"/>
      <c r="I141" s="166"/>
      <c r="J141" s="166"/>
      <c r="K141" s="166"/>
      <c r="L141" s="503"/>
      <c r="M141" s="166" t="e">
        <f>RANK(K141, K$128:$K$142)</f>
        <v>#DIV/0!</v>
      </c>
      <c r="N141" s="103"/>
      <c r="O141" s="103"/>
      <c r="P141" s="103"/>
      <c r="Q141" s="103"/>
      <c r="R141" s="103"/>
      <c r="S141" s="103"/>
      <c r="T141" s="103"/>
      <c r="X141" s="103"/>
      <c r="AC141" s="103"/>
      <c r="AH141" s="103"/>
      <c r="AM141" s="103"/>
    </row>
    <row r="142" spans="2:39">
      <c r="B142" s="454"/>
      <c r="C142" s="182">
        <v>15</v>
      </c>
      <c r="D142" s="203"/>
      <c r="E142" s="182"/>
      <c r="F142" s="182"/>
      <c r="G142" s="182"/>
      <c r="H142" s="465"/>
      <c r="I142" s="166"/>
      <c r="J142" s="166"/>
      <c r="K142" s="166"/>
      <c r="L142" s="504"/>
      <c r="M142" s="166" t="e">
        <f>RANK(K142, K$128:$K$142)</f>
        <v>#DIV/0!</v>
      </c>
      <c r="N142" s="103"/>
      <c r="O142" s="103"/>
      <c r="P142" s="103"/>
      <c r="Q142" s="103"/>
      <c r="R142" s="103"/>
      <c r="S142" s="103"/>
      <c r="T142" s="103"/>
      <c r="X142" s="103"/>
      <c r="AC142" s="103"/>
      <c r="AH142" s="103"/>
      <c r="AM142" s="103"/>
    </row>
  </sheetData>
  <mergeCells count="379"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I107" activeCellId="5" sqref="I7:K20 I27:K40 I47:K60 I67:K80 I87:K100 I107:K120"/>
      <selection pane="topRight" activeCell="BC46" sqref="BC46"/>
    </sheetView>
  </sheetViews>
  <sheetFormatPr defaultColWidth="8.81640625" defaultRowHeight="12.5"/>
  <cols>
    <col min="1" max="1" width="5.54296875" style="103" customWidth="1"/>
    <col min="2" max="2" width="12.453125" style="103" customWidth="1"/>
    <col min="3" max="3" width="8.81640625" style="102"/>
    <col min="4" max="4" width="26.453125" style="102" customWidth="1"/>
    <col min="5" max="7" width="8.453125" style="102" customWidth="1"/>
    <col min="8" max="8" width="11.1796875" style="102" bestFit="1" customWidth="1"/>
    <col min="9" max="12" width="11.1796875" style="102" customWidth="1"/>
    <col min="13" max="13" width="13.54296875" style="102" customWidth="1"/>
    <col min="14" max="14" width="9.81640625" style="102" customWidth="1"/>
    <col min="15" max="15" width="7.1796875" style="102" customWidth="1"/>
    <col min="16" max="18" width="12.81640625" style="102" customWidth="1"/>
    <col min="19" max="19" width="5.453125" style="102" customWidth="1"/>
    <col min="20" max="20" width="12.81640625" style="102" customWidth="1"/>
    <col min="21" max="23" width="12.81640625" style="103" customWidth="1"/>
    <col min="24" max="24" width="5.453125" style="102" customWidth="1"/>
    <col min="25" max="28" width="12.81640625" style="103" customWidth="1"/>
    <col min="29" max="29" width="5.453125" style="102" customWidth="1"/>
    <col min="30" max="30" width="12.81640625" style="103" customWidth="1"/>
    <col min="31" max="33" width="12.54296875" style="103" customWidth="1"/>
    <col min="34" max="34" width="5.453125" style="102" customWidth="1"/>
    <col min="35" max="35" width="13" style="103" customWidth="1"/>
    <col min="36" max="38" width="12.54296875" style="103" customWidth="1"/>
    <col min="39" max="39" width="5.453125" style="102" customWidth="1"/>
    <col min="40" max="40" width="13" style="103" customWidth="1"/>
    <col min="41" max="43" width="13.1796875" style="103" customWidth="1"/>
    <col min="44" max="44" width="5.453125" style="103" customWidth="1"/>
    <col min="45" max="48" width="13.1796875" style="103" customWidth="1"/>
    <col min="49" max="49" width="5.453125" style="103" customWidth="1"/>
    <col min="50" max="50" width="13.1796875" style="103" customWidth="1"/>
    <col min="51" max="51" width="8.81640625" style="103"/>
    <col min="52" max="52" width="5.453125" style="103" customWidth="1"/>
    <col min="53" max="53" width="13.1796875" style="103" customWidth="1"/>
    <col min="54" max="16384" width="8.81640625" style="103"/>
  </cols>
  <sheetData>
    <row r="1" spans="1:53" ht="24.5">
      <c r="A1" s="74"/>
      <c r="B1" s="198" t="s">
        <v>332</v>
      </c>
      <c r="C1" s="197">
        <f>AVERAGE(L7,L27,L47,L67,L87,L107)</f>
        <v>112.2247752247752</v>
      </c>
    </row>
    <row r="2" spans="1:53" ht="15.5">
      <c r="A2" s="79"/>
      <c r="B2" s="477" t="s">
        <v>163</v>
      </c>
      <c r="C2" s="477"/>
      <c r="D2" s="477"/>
      <c r="E2" s="477"/>
      <c r="F2" s="477"/>
      <c r="G2" s="477"/>
      <c r="H2" s="477"/>
      <c r="I2" s="183"/>
      <c r="J2" s="183"/>
      <c r="K2" s="183"/>
      <c r="L2" s="183"/>
      <c r="M2" s="178"/>
      <c r="N2" s="480" t="s">
        <v>156</v>
      </c>
      <c r="O2" s="480" t="s">
        <v>155</v>
      </c>
      <c r="P2" s="514">
        <v>46112</v>
      </c>
      <c r="Q2" s="515"/>
      <c r="R2" s="515"/>
      <c r="S2" s="515"/>
      <c r="T2" s="516"/>
      <c r="U2" s="476">
        <f>P2+1</f>
        <v>46113</v>
      </c>
      <c r="V2" s="454"/>
      <c r="W2" s="454"/>
      <c r="X2" s="454"/>
      <c r="Y2" s="454"/>
      <c r="Z2" s="476">
        <f>U2+1</f>
        <v>46114</v>
      </c>
      <c r="AA2" s="454"/>
      <c r="AB2" s="454"/>
      <c r="AC2" s="454"/>
      <c r="AD2" s="454"/>
      <c r="AE2" s="476">
        <f>Z2+1</f>
        <v>46115</v>
      </c>
      <c r="AF2" s="454"/>
      <c r="AG2" s="454"/>
      <c r="AH2" s="454"/>
      <c r="AI2" s="454"/>
      <c r="AJ2" s="476">
        <f>AE2+1</f>
        <v>46116</v>
      </c>
      <c r="AK2" s="454"/>
      <c r="AL2" s="454"/>
      <c r="AM2" s="454"/>
      <c r="AN2" s="454"/>
      <c r="AO2" s="476">
        <f>AJ2+1</f>
        <v>46117</v>
      </c>
      <c r="AP2" s="454"/>
      <c r="AQ2" s="454"/>
      <c r="AR2" s="454"/>
      <c r="AS2" s="454"/>
      <c r="AT2" s="473">
        <f>AO2+1</f>
        <v>46118</v>
      </c>
      <c r="AU2" s="474"/>
      <c r="AV2" s="474"/>
      <c r="AW2" s="474"/>
      <c r="AX2" s="475"/>
    </row>
    <row r="3" spans="1:53" ht="15.5">
      <c r="A3" s="79"/>
      <c r="B3" s="486"/>
      <c r="C3" s="486"/>
      <c r="D3" s="486"/>
      <c r="E3" s="486"/>
      <c r="F3" s="486"/>
      <c r="G3" s="486"/>
      <c r="H3" s="486"/>
      <c r="I3" s="184"/>
      <c r="J3" s="184"/>
      <c r="K3" s="184"/>
      <c r="L3" s="184"/>
      <c r="M3" s="179"/>
      <c r="N3" s="481"/>
      <c r="O3" s="481"/>
      <c r="P3" s="473" t="s">
        <v>158</v>
      </c>
      <c r="Q3" s="474"/>
      <c r="R3" s="474"/>
      <c r="S3" s="474"/>
      <c r="T3" s="475"/>
      <c r="U3" s="473" t="s">
        <v>114</v>
      </c>
      <c r="V3" s="474"/>
      <c r="W3" s="474"/>
      <c r="X3" s="474"/>
      <c r="Y3" s="475"/>
      <c r="Z3" s="473" t="s">
        <v>159</v>
      </c>
      <c r="AA3" s="474"/>
      <c r="AB3" s="474"/>
      <c r="AC3" s="474"/>
      <c r="AD3" s="475"/>
      <c r="AE3" s="473" t="s">
        <v>157</v>
      </c>
      <c r="AF3" s="474"/>
      <c r="AG3" s="474"/>
      <c r="AH3" s="474"/>
      <c r="AI3" s="475"/>
      <c r="AJ3" s="473" t="s">
        <v>160</v>
      </c>
      <c r="AK3" s="474"/>
      <c r="AL3" s="474"/>
      <c r="AM3" s="474"/>
      <c r="AN3" s="475"/>
      <c r="AO3" s="473" t="s">
        <v>161</v>
      </c>
      <c r="AP3" s="474"/>
      <c r="AQ3" s="474"/>
      <c r="AR3" s="474"/>
      <c r="AS3" s="475"/>
      <c r="AT3" s="473" t="s">
        <v>162</v>
      </c>
      <c r="AU3" s="474"/>
      <c r="AV3" s="474"/>
      <c r="AW3" s="474"/>
      <c r="AX3" s="475"/>
    </row>
    <row r="4" spans="1:53" ht="13.5">
      <c r="A4" s="79"/>
      <c r="B4" s="461" t="s">
        <v>425</v>
      </c>
      <c r="C4" s="461" t="s">
        <v>426</v>
      </c>
      <c r="D4" s="461"/>
      <c r="E4" s="461" t="s">
        <v>427</v>
      </c>
      <c r="F4" s="461"/>
      <c r="G4" s="461"/>
      <c r="H4" s="482" t="s">
        <v>428</v>
      </c>
      <c r="I4" s="461" t="s">
        <v>429</v>
      </c>
      <c r="J4" s="461"/>
      <c r="K4" s="461"/>
      <c r="L4" s="482" t="s">
        <v>428</v>
      </c>
      <c r="M4" s="480" t="s">
        <v>430</v>
      </c>
      <c r="N4" s="461"/>
      <c r="O4" s="461" t="s">
        <v>431</v>
      </c>
      <c r="P4" s="466" t="s">
        <v>432</v>
      </c>
      <c r="Q4" s="467"/>
      <c r="R4" s="467"/>
      <c r="S4" s="468"/>
      <c r="T4" s="461" t="s">
        <v>428</v>
      </c>
      <c r="U4" s="466" t="s">
        <v>432</v>
      </c>
      <c r="V4" s="467"/>
      <c r="W4" s="467"/>
      <c r="X4" s="468"/>
      <c r="Y4" s="461" t="s">
        <v>428</v>
      </c>
      <c r="Z4" s="466" t="s">
        <v>432</v>
      </c>
      <c r="AA4" s="467"/>
      <c r="AB4" s="467"/>
      <c r="AC4" s="468"/>
      <c r="AD4" s="461" t="s">
        <v>428</v>
      </c>
      <c r="AE4" s="466" t="s">
        <v>432</v>
      </c>
      <c r="AF4" s="467"/>
      <c r="AG4" s="467"/>
      <c r="AH4" s="468"/>
      <c r="AI4" s="461" t="s">
        <v>428</v>
      </c>
      <c r="AJ4" s="466" t="s">
        <v>432</v>
      </c>
      <c r="AK4" s="467"/>
      <c r="AL4" s="467"/>
      <c r="AM4" s="468"/>
      <c r="AN4" s="461" t="s">
        <v>428</v>
      </c>
      <c r="AO4" s="466" t="s">
        <v>432</v>
      </c>
      <c r="AP4" s="467"/>
      <c r="AQ4" s="467"/>
      <c r="AR4" s="468"/>
      <c r="AS4" s="461" t="s">
        <v>428</v>
      </c>
      <c r="AT4" s="466" t="s">
        <v>432</v>
      </c>
      <c r="AU4" s="467"/>
      <c r="AV4" s="467"/>
      <c r="AW4" s="468"/>
      <c r="AX4" s="461" t="s">
        <v>428</v>
      </c>
      <c r="BA4" s="461" t="s">
        <v>396</v>
      </c>
    </row>
    <row r="5" spans="1:53" ht="13.5">
      <c r="A5" s="79"/>
      <c r="B5" s="461"/>
      <c r="C5" s="461"/>
      <c r="D5" s="461"/>
      <c r="E5" s="461" t="s">
        <v>433</v>
      </c>
      <c r="F5" s="461"/>
      <c r="G5" s="461"/>
      <c r="H5" s="483"/>
      <c r="I5" s="461" t="s">
        <v>433</v>
      </c>
      <c r="J5" s="461"/>
      <c r="K5" s="461"/>
      <c r="L5" s="483"/>
      <c r="M5" s="485"/>
      <c r="N5" s="461"/>
      <c r="O5" s="461"/>
      <c r="P5" s="466" t="s">
        <v>434</v>
      </c>
      <c r="Q5" s="467"/>
      <c r="R5" s="467"/>
      <c r="S5" s="468"/>
      <c r="T5" s="461"/>
      <c r="U5" s="466" t="s">
        <v>434</v>
      </c>
      <c r="V5" s="467"/>
      <c r="W5" s="467"/>
      <c r="X5" s="468"/>
      <c r="Y5" s="461"/>
      <c r="Z5" s="466" t="s">
        <v>434</v>
      </c>
      <c r="AA5" s="467"/>
      <c r="AB5" s="467"/>
      <c r="AC5" s="468"/>
      <c r="AD5" s="461"/>
      <c r="AE5" s="466" t="s">
        <v>434</v>
      </c>
      <c r="AF5" s="467"/>
      <c r="AG5" s="467"/>
      <c r="AH5" s="468"/>
      <c r="AI5" s="461"/>
      <c r="AJ5" s="466" t="s">
        <v>434</v>
      </c>
      <c r="AK5" s="467"/>
      <c r="AL5" s="467"/>
      <c r="AM5" s="468"/>
      <c r="AN5" s="461"/>
      <c r="AO5" s="466" t="s">
        <v>434</v>
      </c>
      <c r="AP5" s="467"/>
      <c r="AQ5" s="467"/>
      <c r="AR5" s="468"/>
      <c r="AS5" s="461"/>
      <c r="AT5" s="466" t="s">
        <v>434</v>
      </c>
      <c r="AU5" s="467"/>
      <c r="AV5" s="467"/>
      <c r="AW5" s="468"/>
      <c r="AX5" s="461"/>
      <c r="BA5" s="461"/>
    </row>
    <row r="6" spans="1:53" ht="13.5">
      <c r="A6" s="77"/>
      <c r="B6" s="461"/>
      <c r="C6" s="461"/>
      <c r="D6" s="461"/>
      <c r="E6" s="269" t="s">
        <v>435</v>
      </c>
      <c r="F6" s="269" t="s">
        <v>436</v>
      </c>
      <c r="G6" s="269" t="s">
        <v>437</v>
      </c>
      <c r="H6" s="484"/>
      <c r="I6" s="269" t="s">
        <v>435</v>
      </c>
      <c r="J6" s="269" t="s">
        <v>436</v>
      </c>
      <c r="K6" s="269" t="s">
        <v>437</v>
      </c>
      <c r="L6" s="484"/>
      <c r="M6" s="481"/>
      <c r="N6" s="461"/>
      <c r="O6" s="461"/>
      <c r="P6" s="269" t="s">
        <v>435</v>
      </c>
      <c r="Q6" s="269" t="s">
        <v>436</v>
      </c>
      <c r="R6" s="269" t="s">
        <v>437</v>
      </c>
      <c r="S6" s="269" t="s">
        <v>430</v>
      </c>
      <c r="T6" s="461"/>
      <c r="U6" s="269" t="s">
        <v>435</v>
      </c>
      <c r="V6" s="269" t="s">
        <v>436</v>
      </c>
      <c r="W6" s="269" t="s">
        <v>437</v>
      </c>
      <c r="X6" s="269" t="s">
        <v>430</v>
      </c>
      <c r="Y6" s="461"/>
      <c r="Z6" s="269" t="s">
        <v>435</v>
      </c>
      <c r="AA6" s="269" t="s">
        <v>436</v>
      </c>
      <c r="AB6" s="269" t="s">
        <v>437</v>
      </c>
      <c r="AC6" s="269" t="s">
        <v>430</v>
      </c>
      <c r="AD6" s="461"/>
      <c r="AE6" s="269" t="s">
        <v>435</v>
      </c>
      <c r="AF6" s="269" t="s">
        <v>436</v>
      </c>
      <c r="AG6" s="269" t="s">
        <v>437</v>
      </c>
      <c r="AH6" s="269" t="s">
        <v>430</v>
      </c>
      <c r="AI6" s="461"/>
      <c r="AJ6" s="269" t="s">
        <v>435</v>
      </c>
      <c r="AK6" s="269" t="s">
        <v>436</v>
      </c>
      <c r="AL6" s="269" t="s">
        <v>437</v>
      </c>
      <c r="AM6" s="269" t="s">
        <v>430</v>
      </c>
      <c r="AN6" s="461"/>
      <c r="AO6" s="269" t="s">
        <v>435</v>
      </c>
      <c r="AP6" s="269" t="s">
        <v>436</v>
      </c>
      <c r="AQ6" s="269" t="s">
        <v>437</v>
      </c>
      <c r="AR6" s="269" t="s">
        <v>430</v>
      </c>
      <c r="AS6" s="461"/>
      <c r="AT6" s="269" t="s">
        <v>435</v>
      </c>
      <c r="AU6" s="269" t="s">
        <v>436</v>
      </c>
      <c r="AV6" s="269" t="s">
        <v>437</v>
      </c>
      <c r="AW6" s="269" t="s">
        <v>430</v>
      </c>
      <c r="AX6" s="461"/>
      <c r="AZ6" s="269" t="s">
        <v>397</v>
      </c>
      <c r="BA6" s="461"/>
    </row>
    <row r="7" spans="1:53" ht="13.5">
      <c r="A7" s="79"/>
      <c r="B7" s="461" t="s">
        <v>440</v>
      </c>
      <c r="C7" s="182">
        <v>1</v>
      </c>
      <c r="D7" s="203" t="s">
        <v>743</v>
      </c>
      <c r="E7" s="166">
        <v>13</v>
      </c>
      <c r="F7" s="182">
        <v>1500</v>
      </c>
      <c r="G7" s="180">
        <v>115.38461538461539</v>
      </c>
      <c r="H7" s="463">
        <f>AVERAGE(G7:G21)</f>
        <v>107.69230769230769</v>
      </c>
      <c r="I7" s="166">
        <f t="shared" ref="I7:I20" si="0">IFERROR(AVERAGE(P7,U7,Z7,AE7,AJ7,AO7,AT7),"-")</f>
        <v>13</v>
      </c>
      <c r="J7" s="166">
        <f t="shared" ref="J7:J20" si="1">IFERROR(AVERAGE(Q7,V7,AA7,AF7,AK7,AP7,AU7),"-")</f>
        <v>1411.9047619047615</v>
      </c>
      <c r="K7" s="180">
        <f t="shared" ref="K7:K20" si="2">IFERROR(AVERAGE(R7,W7,AB7,AG7,AL7,AQ7,AV7),"-")</f>
        <v>108.60805860805856</v>
      </c>
      <c r="L7" s="463">
        <f>IFERROR(AVERAGE(K7:K21),"-")</f>
        <v>112.2247752247752</v>
      </c>
      <c r="M7" s="181">
        <f>RANK(K7, $K$7:K$21)</f>
        <v>2</v>
      </c>
      <c r="N7" s="461"/>
      <c r="O7" s="461"/>
      <c r="P7" s="182">
        <v>13</v>
      </c>
      <c r="Q7" s="166">
        <v>1383.3333333333321</v>
      </c>
      <c r="R7" s="166">
        <v>106.41025641025632</v>
      </c>
      <c r="S7" s="182">
        <f t="shared" ref="S7:S21" si="3">RANK(R7, R$7:R$21)</f>
        <v>2</v>
      </c>
      <c r="T7" s="455">
        <f t="shared" ref="T7" si="4">AVERAGE(R7:R21)</f>
        <v>119.54079254079248</v>
      </c>
      <c r="U7" s="182">
        <v>13</v>
      </c>
      <c r="V7" s="166">
        <v>1516.0000000000055</v>
      </c>
      <c r="W7" s="166">
        <v>116.61538461538504</v>
      </c>
      <c r="X7" s="182">
        <f t="shared" ref="X7:X21" si="5">RANK(W7, W$7:W$21)</f>
        <v>1</v>
      </c>
      <c r="Y7" s="455">
        <f t="shared" ref="Y7" si="6">AVERAGE(W7:W21)</f>
        <v>114.30769230769253</v>
      </c>
      <c r="Z7" s="182">
        <v>13</v>
      </c>
      <c r="AA7" s="166">
        <v>1232.9999999999995</v>
      </c>
      <c r="AB7" s="166">
        <v>94.846153846153811</v>
      </c>
      <c r="AC7" s="182">
        <f t="shared" ref="AC7:AC21" si="7">RANK(AB7, AB$7:AB$21)</f>
        <v>2</v>
      </c>
      <c r="AD7" s="455">
        <f t="shared" ref="AD7" si="8">AVERAGE(AB7:AB21)</f>
        <v>105.24125874125872</v>
      </c>
      <c r="AE7" s="182">
        <v>13</v>
      </c>
      <c r="AF7" s="166">
        <v>1507.9999999999975</v>
      </c>
      <c r="AG7" s="166">
        <v>115.9999999999998</v>
      </c>
      <c r="AH7" s="182">
        <f t="shared" ref="AH7:AH21" si="9">RANK(AG7, AG$7:AG$21)</f>
        <v>1</v>
      </c>
      <c r="AI7" s="455">
        <f t="shared" ref="AI7" si="10">AVERAGE(AG7:AG21)</f>
        <v>114.66666666666661</v>
      </c>
      <c r="AJ7" s="182">
        <v>13</v>
      </c>
      <c r="AK7" s="166">
        <v>1563.9999999999973</v>
      </c>
      <c r="AL7" s="166">
        <v>120.30769230769209</v>
      </c>
      <c r="AM7" s="182">
        <f t="shared" ref="AM7:AM21" si="11">RANK(AL7, AL$7:AL$21)</f>
        <v>1</v>
      </c>
      <c r="AN7" s="455">
        <f t="shared" ref="AN7" si="12">AVERAGE(AL7:AL21)</f>
        <v>115.49650349650338</v>
      </c>
      <c r="AO7" s="182">
        <v>13</v>
      </c>
      <c r="AP7" s="166">
        <v>1367.9999999999975</v>
      </c>
      <c r="AQ7" s="166">
        <v>105.23076923076904</v>
      </c>
      <c r="AR7" s="182">
        <f t="shared" ref="AR7:AR21" si="13">RANK(AQ7, AQ$7:AQ$21)</f>
        <v>2</v>
      </c>
      <c r="AS7" s="455">
        <f t="shared" ref="AS7" si="14">AVERAGE(AQ7:AQ21)</f>
        <v>109.43589743589739</v>
      </c>
      <c r="AT7" s="182">
        <v>13</v>
      </c>
      <c r="AU7" s="166">
        <v>1310.9999999999995</v>
      </c>
      <c r="AV7" s="166">
        <v>100.84615384615381</v>
      </c>
      <c r="AW7" s="182">
        <f t="shared" ref="AW7:AW21" si="15">RANK(AV7, AV$7:AV$21)</f>
        <v>2</v>
      </c>
      <c r="AX7" s="455">
        <f t="shared" ref="AX7" si="16">AVERAGE(AV7:AV21)</f>
        <v>106.88461538461534</v>
      </c>
      <c r="AZ7" s="182" t="e">
        <f t="shared" ref="AZ7:AZ21" si="17">RANK(AY7, AY$7:AY$21)</f>
        <v>#N/A</v>
      </c>
      <c r="BA7" s="455" t="e">
        <f t="shared" ref="BA7" si="18">AVERAGE(AY7:AY21)</f>
        <v>#DIV/0!</v>
      </c>
    </row>
    <row r="8" spans="1:53" ht="15" customHeight="1">
      <c r="A8" s="79"/>
      <c r="B8" s="454"/>
      <c r="C8" s="182">
        <v>2</v>
      </c>
      <c r="D8" s="203" t="s">
        <v>891</v>
      </c>
      <c r="E8" s="166">
        <v>15</v>
      </c>
      <c r="F8" s="182">
        <v>1500</v>
      </c>
      <c r="G8" s="180">
        <v>100</v>
      </c>
      <c r="H8" s="464"/>
      <c r="I8" s="166">
        <f t="shared" si="0"/>
        <v>12.714285714285714</v>
      </c>
      <c r="J8" s="166">
        <f t="shared" si="1"/>
        <v>1468.0333000333001</v>
      </c>
      <c r="K8" s="180">
        <f t="shared" si="2"/>
        <v>115.84149184149184</v>
      </c>
      <c r="L8" s="464"/>
      <c r="M8" s="181">
        <f>RANK(K8, $K$7:K$21)</f>
        <v>1</v>
      </c>
      <c r="N8" s="461"/>
      <c r="O8" s="461"/>
      <c r="P8" s="182">
        <v>11</v>
      </c>
      <c r="Q8" s="166">
        <v>1459.384615384615</v>
      </c>
      <c r="R8" s="166">
        <v>132.67132867132864</v>
      </c>
      <c r="S8" s="182">
        <f t="shared" si="3"/>
        <v>1</v>
      </c>
      <c r="T8" s="455"/>
      <c r="U8" s="182">
        <v>13</v>
      </c>
      <c r="V8" s="166">
        <v>1456.0000000000005</v>
      </c>
      <c r="W8" s="166">
        <v>112.00000000000003</v>
      </c>
      <c r="X8" s="182">
        <f t="shared" si="5"/>
        <v>2</v>
      </c>
      <c r="Y8" s="455"/>
      <c r="Z8" s="182">
        <v>13</v>
      </c>
      <c r="AA8" s="166">
        <v>1503.272727272727</v>
      </c>
      <c r="AB8" s="166">
        <v>115.63636363636361</v>
      </c>
      <c r="AC8" s="182">
        <f t="shared" si="7"/>
        <v>1</v>
      </c>
      <c r="AD8" s="455"/>
      <c r="AE8" s="182">
        <v>13</v>
      </c>
      <c r="AF8" s="166">
        <v>1473.3333333333346</v>
      </c>
      <c r="AG8" s="166">
        <v>113.33333333333343</v>
      </c>
      <c r="AH8" s="182">
        <f t="shared" si="9"/>
        <v>2</v>
      </c>
      <c r="AI8" s="455"/>
      <c r="AJ8" s="182">
        <v>13</v>
      </c>
      <c r="AK8" s="166">
        <v>1438.9090909090905</v>
      </c>
      <c r="AL8" s="166">
        <v>110.68531468531465</v>
      </c>
      <c r="AM8" s="182">
        <f t="shared" si="11"/>
        <v>2</v>
      </c>
      <c r="AN8" s="455"/>
      <c r="AO8" s="182">
        <v>13</v>
      </c>
      <c r="AP8" s="166">
        <v>1477.3333333333346</v>
      </c>
      <c r="AQ8" s="166">
        <v>113.64102564102573</v>
      </c>
      <c r="AR8" s="182">
        <f t="shared" si="13"/>
        <v>1</v>
      </c>
      <c r="AS8" s="455"/>
      <c r="AT8" s="182">
        <v>13</v>
      </c>
      <c r="AU8" s="166">
        <v>1467.9999999999993</v>
      </c>
      <c r="AV8" s="166">
        <v>112.92307692307688</v>
      </c>
      <c r="AW8" s="182">
        <f t="shared" si="15"/>
        <v>1</v>
      </c>
      <c r="AX8" s="455"/>
      <c r="AZ8" s="182" t="e">
        <f t="shared" si="17"/>
        <v>#N/A</v>
      </c>
      <c r="BA8" s="455"/>
    </row>
    <row r="9" spans="1:53" ht="13.5">
      <c r="A9" s="79"/>
      <c r="B9" s="454"/>
      <c r="C9" s="182">
        <v>3</v>
      </c>
      <c r="D9" s="203"/>
      <c r="E9" s="166"/>
      <c r="F9" s="182"/>
      <c r="G9" s="180"/>
      <c r="H9" s="464"/>
      <c r="I9" s="166" t="str">
        <f t="shared" si="0"/>
        <v>-</v>
      </c>
      <c r="J9" s="166" t="str">
        <f t="shared" si="1"/>
        <v>-</v>
      </c>
      <c r="K9" s="180" t="str">
        <f t="shared" si="2"/>
        <v>-</v>
      </c>
      <c r="L9" s="464"/>
      <c r="M9" s="181" t="e">
        <f>RANK(K9, $K$7:K$21)</f>
        <v>#VALUE!</v>
      </c>
      <c r="N9" s="461"/>
      <c r="O9" s="461"/>
      <c r="P9" s="182" t="s">
        <v>890</v>
      </c>
      <c r="Q9" s="166" t="s">
        <v>890</v>
      </c>
      <c r="R9" s="166" t="s">
        <v>890</v>
      </c>
      <c r="S9" s="182" t="e">
        <f t="shared" si="3"/>
        <v>#VALUE!</v>
      </c>
      <c r="T9" s="455"/>
      <c r="U9" s="182" t="s">
        <v>890</v>
      </c>
      <c r="V9" s="166" t="s">
        <v>890</v>
      </c>
      <c r="W9" s="166" t="s">
        <v>890</v>
      </c>
      <c r="X9" s="182" t="e">
        <f t="shared" si="5"/>
        <v>#VALUE!</v>
      </c>
      <c r="Y9" s="455"/>
      <c r="Z9" s="182" t="s">
        <v>890</v>
      </c>
      <c r="AA9" s="166" t="s">
        <v>890</v>
      </c>
      <c r="AB9" s="166" t="s">
        <v>890</v>
      </c>
      <c r="AC9" s="182" t="e">
        <f t="shared" si="7"/>
        <v>#VALUE!</v>
      </c>
      <c r="AD9" s="455"/>
      <c r="AE9" s="182" t="s">
        <v>890</v>
      </c>
      <c r="AF9" s="166" t="s">
        <v>890</v>
      </c>
      <c r="AG9" s="166" t="s">
        <v>890</v>
      </c>
      <c r="AH9" s="182" t="e">
        <f t="shared" si="9"/>
        <v>#VALUE!</v>
      </c>
      <c r="AI9" s="455"/>
      <c r="AJ9" s="182" t="s">
        <v>890</v>
      </c>
      <c r="AK9" s="166" t="s">
        <v>890</v>
      </c>
      <c r="AL9" s="166" t="s">
        <v>890</v>
      </c>
      <c r="AM9" s="182" t="e">
        <f t="shared" si="11"/>
        <v>#VALUE!</v>
      </c>
      <c r="AN9" s="455"/>
      <c r="AO9" s="182" t="s">
        <v>890</v>
      </c>
      <c r="AP9" s="166" t="s">
        <v>890</v>
      </c>
      <c r="AQ9" s="166" t="s">
        <v>890</v>
      </c>
      <c r="AR9" s="182" t="e">
        <f t="shared" si="13"/>
        <v>#VALUE!</v>
      </c>
      <c r="AS9" s="455"/>
      <c r="AT9" s="182" t="s">
        <v>890</v>
      </c>
      <c r="AU9" s="166" t="s">
        <v>890</v>
      </c>
      <c r="AV9" s="166" t="s">
        <v>890</v>
      </c>
      <c r="AW9" s="182" t="e">
        <f t="shared" si="15"/>
        <v>#VALUE!</v>
      </c>
      <c r="AX9" s="455"/>
      <c r="AZ9" s="182" t="e">
        <f t="shared" si="17"/>
        <v>#N/A</v>
      </c>
      <c r="BA9" s="455"/>
    </row>
    <row r="10" spans="1:53" ht="13.5">
      <c r="A10" s="79"/>
      <c r="B10" s="454"/>
      <c r="C10" s="182">
        <v>4</v>
      </c>
      <c r="D10" s="203"/>
      <c r="E10" s="166"/>
      <c r="F10" s="182"/>
      <c r="G10" s="180"/>
      <c r="H10" s="464"/>
      <c r="I10" s="166" t="str">
        <f t="shared" si="0"/>
        <v>-</v>
      </c>
      <c r="J10" s="166" t="str">
        <f t="shared" si="1"/>
        <v>-</v>
      </c>
      <c r="K10" s="180" t="str">
        <f t="shared" si="2"/>
        <v>-</v>
      </c>
      <c r="L10" s="464"/>
      <c r="M10" s="181" t="e">
        <f>RANK(K10, $K$7:K$21)</f>
        <v>#VALUE!</v>
      </c>
      <c r="N10" s="461"/>
      <c r="O10" s="461"/>
      <c r="P10" s="182" t="s">
        <v>890</v>
      </c>
      <c r="Q10" s="166" t="s">
        <v>890</v>
      </c>
      <c r="R10" s="166" t="s">
        <v>890</v>
      </c>
      <c r="S10" s="182" t="e">
        <f t="shared" si="3"/>
        <v>#VALUE!</v>
      </c>
      <c r="T10" s="455"/>
      <c r="U10" s="182" t="s">
        <v>890</v>
      </c>
      <c r="V10" s="166" t="s">
        <v>890</v>
      </c>
      <c r="W10" s="166" t="s">
        <v>890</v>
      </c>
      <c r="X10" s="182" t="e">
        <f t="shared" si="5"/>
        <v>#VALUE!</v>
      </c>
      <c r="Y10" s="455"/>
      <c r="Z10" s="182" t="s">
        <v>890</v>
      </c>
      <c r="AA10" s="166" t="s">
        <v>890</v>
      </c>
      <c r="AB10" s="166" t="s">
        <v>890</v>
      </c>
      <c r="AC10" s="182" t="e">
        <f t="shared" si="7"/>
        <v>#VALUE!</v>
      </c>
      <c r="AD10" s="455"/>
      <c r="AE10" s="182" t="s">
        <v>890</v>
      </c>
      <c r="AF10" s="166" t="s">
        <v>890</v>
      </c>
      <c r="AG10" s="166" t="s">
        <v>890</v>
      </c>
      <c r="AH10" s="182" t="e">
        <f t="shared" si="9"/>
        <v>#VALUE!</v>
      </c>
      <c r="AI10" s="455"/>
      <c r="AJ10" s="182" t="s">
        <v>890</v>
      </c>
      <c r="AK10" s="166" t="s">
        <v>890</v>
      </c>
      <c r="AL10" s="166" t="s">
        <v>890</v>
      </c>
      <c r="AM10" s="182" t="e">
        <f t="shared" si="11"/>
        <v>#VALUE!</v>
      </c>
      <c r="AN10" s="455"/>
      <c r="AO10" s="182" t="s">
        <v>890</v>
      </c>
      <c r="AP10" s="166" t="s">
        <v>890</v>
      </c>
      <c r="AQ10" s="166" t="s">
        <v>890</v>
      </c>
      <c r="AR10" s="182" t="e">
        <f t="shared" si="13"/>
        <v>#VALUE!</v>
      </c>
      <c r="AS10" s="455"/>
      <c r="AT10" s="182" t="s">
        <v>890</v>
      </c>
      <c r="AU10" s="166" t="s">
        <v>890</v>
      </c>
      <c r="AV10" s="166" t="s">
        <v>890</v>
      </c>
      <c r="AW10" s="182" t="e">
        <f t="shared" si="15"/>
        <v>#VALUE!</v>
      </c>
      <c r="AX10" s="455"/>
      <c r="AZ10" s="182" t="e">
        <f t="shared" si="17"/>
        <v>#N/A</v>
      </c>
      <c r="BA10" s="455"/>
    </row>
    <row r="11" spans="1:53" ht="13.5">
      <c r="A11" s="79"/>
      <c r="B11" s="454"/>
      <c r="C11" s="182">
        <v>5</v>
      </c>
      <c r="D11" s="203"/>
      <c r="E11" s="166"/>
      <c r="F11" s="182"/>
      <c r="G11" s="180"/>
      <c r="H11" s="464"/>
      <c r="I11" s="166" t="str">
        <f t="shared" si="0"/>
        <v>-</v>
      </c>
      <c r="J11" s="166" t="str">
        <f t="shared" si="1"/>
        <v>-</v>
      </c>
      <c r="K11" s="180" t="str">
        <f t="shared" si="2"/>
        <v>-</v>
      </c>
      <c r="L11" s="464"/>
      <c r="M11" s="181" t="e">
        <f>RANK(K11, $K$7:K$21)</f>
        <v>#VALUE!</v>
      </c>
      <c r="N11" s="461"/>
      <c r="O11" s="461"/>
      <c r="P11" s="182" t="s">
        <v>890</v>
      </c>
      <c r="Q11" s="166" t="s">
        <v>890</v>
      </c>
      <c r="R11" s="166" t="s">
        <v>890</v>
      </c>
      <c r="S11" s="182" t="e">
        <f t="shared" si="3"/>
        <v>#VALUE!</v>
      </c>
      <c r="T11" s="455"/>
      <c r="U11" s="182" t="s">
        <v>890</v>
      </c>
      <c r="V11" s="166" t="s">
        <v>890</v>
      </c>
      <c r="W11" s="166" t="s">
        <v>890</v>
      </c>
      <c r="X11" s="182" t="e">
        <f t="shared" si="5"/>
        <v>#VALUE!</v>
      </c>
      <c r="Y11" s="455"/>
      <c r="Z11" s="182" t="s">
        <v>890</v>
      </c>
      <c r="AA11" s="166" t="s">
        <v>890</v>
      </c>
      <c r="AB11" s="166" t="s">
        <v>890</v>
      </c>
      <c r="AC11" s="182" t="e">
        <f t="shared" si="7"/>
        <v>#VALUE!</v>
      </c>
      <c r="AD11" s="455"/>
      <c r="AE11" s="182" t="s">
        <v>890</v>
      </c>
      <c r="AF11" s="166" t="s">
        <v>890</v>
      </c>
      <c r="AG11" s="166" t="s">
        <v>890</v>
      </c>
      <c r="AH11" s="182" t="e">
        <f t="shared" si="9"/>
        <v>#VALUE!</v>
      </c>
      <c r="AI11" s="455"/>
      <c r="AJ11" s="182" t="s">
        <v>890</v>
      </c>
      <c r="AK11" s="166" t="s">
        <v>890</v>
      </c>
      <c r="AL11" s="166" t="s">
        <v>890</v>
      </c>
      <c r="AM11" s="182" t="e">
        <f t="shared" si="11"/>
        <v>#VALUE!</v>
      </c>
      <c r="AN11" s="455"/>
      <c r="AO11" s="182" t="s">
        <v>890</v>
      </c>
      <c r="AP11" s="166" t="s">
        <v>890</v>
      </c>
      <c r="AQ11" s="166" t="s">
        <v>890</v>
      </c>
      <c r="AR11" s="182" t="e">
        <f t="shared" si="13"/>
        <v>#VALUE!</v>
      </c>
      <c r="AS11" s="455"/>
      <c r="AT11" s="182" t="s">
        <v>890</v>
      </c>
      <c r="AU11" s="166" t="s">
        <v>890</v>
      </c>
      <c r="AV11" s="166" t="s">
        <v>890</v>
      </c>
      <c r="AW11" s="182" t="e">
        <f t="shared" si="15"/>
        <v>#VALUE!</v>
      </c>
      <c r="AX11" s="455"/>
      <c r="AZ11" s="182" t="e">
        <f t="shared" si="17"/>
        <v>#N/A</v>
      </c>
      <c r="BA11" s="455"/>
    </row>
    <row r="12" spans="1:53" ht="13.5">
      <c r="A12" s="79"/>
      <c r="B12" s="454"/>
      <c r="C12" s="182">
        <v>6</v>
      </c>
      <c r="D12" s="203"/>
      <c r="E12" s="166"/>
      <c r="F12" s="182"/>
      <c r="G12" s="180"/>
      <c r="H12" s="464"/>
      <c r="I12" s="166" t="str">
        <f t="shared" si="0"/>
        <v>-</v>
      </c>
      <c r="J12" s="166" t="str">
        <f t="shared" si="1"/>
        <v>-</v>
      </c>
      <c r="K12" s="180" t="str">
        <f t="shared" si="2"/>
        <v>-</v>
      </c>
      <c r="L12" s="464"/>
      <c r="M12" s="181" t="e">
        <f>RANK(K12, $K$7:K$21)</f>
        <v>#VALUE!</v>
      </c>
      <c r="N12" s="461"/>
      <c r="O12" s="461"/>
      <c r="P12" s="182" t="s">
        <v>890</v>
      </c>
      <c r="Q12" s="166" t="s">
        <v>890</v>
      </c>
      <c r="R12" s="166" t="s">
        <v>890</v>
      </c>
      <c r="S12" s="182" t="e">
        <f t="shared" si="3"/>
        <v>#VALUE!</v>
      </c>
      <c r="T12" s="455"/>
      <c r="U12" s="182" t="s">
        <v>890</v>
      </c>
      <c r="V12" s="166" t="s">
        <v>890</v>
      </c>
      <c r="W12" s="166" t="s">
        <v>890</v>
      </c>
      <c r="X12" s="182" t="e">
        <f t="shared" si="5"/>
        <v>#VALUE!</v>
      </c>
      <c r="Y12" s="455"/>
      <c r="Z12" s="182" t="s">
        <v>890</v>
      </c>
      <c r="AA12" s="166" t="s">
        <v>890</v>
      </c>
      <c r="AB12" s="166" t="s">
        <v>890</v>
      </c>
      <c r="AC12" s="182" t="e">
        <f t="shared" si="7"/>
        <v>#VALUE!</v>
      </c>
      <c r="AD12" s="455"/>
      <c r="AE12" s="182" t="s">
        <v>890</v>
      </c>
      <c r="AF12" s="166" t="s">
        <v>890</v>
      </c>
      <c r="AG12" s="166" t="s">
        <v>890</v>
      </c>
      <c r="AH12" s="182" t="e">
        <f t="shared" si="9"/>
        <v>#VALUE!</v>
      </c>
      <c r="AI12" s="455"/>
      <c r="AJ12" s="182" t="s">
        <v>890</v>
      </c>
      <c r="AK12" s="166" t="s">
        <v>890</v>
      </c>
      <c r="AL12" s="166" t="s">
        <v>890</v>
      </c>
      <c r="AM12" s="182" t="e">
        <f t="shared" si="11"/>
        <v>#VALUE!</v>
      </c>
      <c r="AN12" s="455"/>
      <c r="AO12" s="182" t="s">
        <v>890</v>
      </c>
      <c r="AP12" s="166" t="s">
        <v>890</v>
      </c>
      <c r="AQ12" s="166" t="s">
        <v>890</v>
      </c>
      <c r="AR12" s="182" t="e">
        <f t="shared" si="13"/>
        <v>#VALUE!</v>
      </c>
      <c r="AS12" s="455"/>
      <c r="AT12" s="182" t="s">
        <v>890</v>
      </c>
      <c r="AU12" s="166" t="s">
        <v>890</v>
      </c>
      <c r="AV12" s="166" t="s">
        <v>890</v>
      </c>
      <c r="AW12" s="182" t="e">
        <f t="shared" si="15"/>
        <v>#VALUE!</v>
      </c>
      <c r="AX12" s="455"/>
      <c r="AZ12" s="182" t="e">
        <f t="shared" si="17"/>
        <v>#N/A</v>
      </c>
      <c r="BA12" s="455"/>
    </row>
    <row r="13" spans="1:53" ht="13.5">
      <c r="A13" s="79"/>
      <c r="B13" s="454"/>
      <c r="C13" s="182">
        <v>7</v>
      </c>
      <c r="D13" s="203"/>
      <c r="E13" s="166"/>
      <c r="F13" s="182"/>
      <c r="G13" s="180"/>
      <c r="H13" s="464"/>
      <c r="I13" s="166" t="str">
        <f t="shared" si="0"/>
        <v>-</v>
      </c>
      <c r="J13" s="166" t="str">
        <f t="shared" si="1"/>
        <v>-</v>
      </c>
      <c r="K13" s="180" t="str">
        <f t="shared" si="2"/>
        <v>-</v>
      </c>
      <c r="L13" s="464"/>
      <c r="M13" s="181" t="e">
        <f>RANK(K13, $K$7:K$21)</f>
        <v>#VALUE!</v>
      </c>
      <c r="N13" s="461"/>
      <c r="O13" s="461"/>
      <c r="P13" s="182" t="s">
        <v>890</v>
      </c>
      <c r="Q13" s="166" t="s">
        <v>890</v>
      </c>
      <c r="R13" s="166" t="s">
        <v>890</v>
      </c>
      <c r="S13" s="182" t="e">
        <f t="shared" si="3"/>
        <v>#VALUE!</v>
      </c>
      <c r="T13" s="455"/>
      <c r="U13" s="182" t="s">
        <v>890</v>
      </c>
      <c r="V13" s="166" t="s">
        <v>890</v>
      </c>
      <c r="W13" s="166" t="s">
        <v>890</v>
      </c>
      <c r="X13" s="182" t="e">
        <f t="shared" si="5"/>
        <v>#VALUE!</v>
      </c>
      <c r="Y13" s="455"/>
      <c r="Z13" s="182" t="s">
        <v>890</v>
      </c>
      <c r="AA13" s="166" t="s">
        <v>890</v>
      </c>
      <c r="AB13" s="166" t="s">
        <v>890</v>
      </c>
      <c r="AC13" s="182" t="e">
        <f t="shared" si="7"/>
        <v>#VALUE!</v>
      </c>
      <c r="AD13" s="455"/>
      <c r="AE13" s="182" t="s">
        <v>890</v>
      </c>
      <c r="AF13" s="166" t="s">
        <v>890</v>
      </c>
      <c r="AG13" s="166" t="s">
        <v>890</v>
      </c>
      <c r="AH13" s="182" t="e">
        <f t="shared" si="9"/>
        <v>#VALUE!</v>
      </c>
      <c r="AI13" s="455"/>
      <c r="AJ13" s="182" t="s">
        <v>890</v>
      </c>
      <c r="AK13" s="166" t="s">
        <v>890</v>
      </c>
      <c r="AL13" s="166" t="s">
        <v>890</v>
      </c>
      <c r="AM13" s="182" t="e">
        <f t="shared" si="11"/>
        <v>#VALUE!</v>
      </c>
      <c r="AN13" s="455"/>
      <c r="AO13" s="182" t="s">
        <v>890</v>
      </c>
      <c r="AP13" s="166" t="s">
        <v>890</v>
      </c>
      <c r="AQ13" s="166" t="s">
        <v>890</v>
      </c>
      <c r="AR13" s="182" t="e">
        <f t="shared" si="13"/>
        <v>#VALUE!</v>
      </c>
      <c r="AS13" s="455"/>
      <c r="AT13" s="182" t="s">
        <v>890</v>
      </c>
      <c r="AU13" s="166" t="s">
        <v>890</v>
      </c>
      <c r="AV13" s="166" t="s">
        <v>890</v>
      </c>
      <c r="AW13" s="182" t="e">
        <f t="shared" si="15"/>
        <v>#VALUE!</v>
      </c>
      <c r="AX13" s="455"/>
      <c r="AZ13" s="182" t="e">
        <f t="shared" si="17"/>
        <v>#N/A</v>
      </c>
      <c r="BA13" s="455"/>
    </row>
    <row r="14" spans="1:53" ht="13.5">
      <c r="A14" s="79"/>
      <c r="B14" s="454"/>
      <c r="C14" s="182">
        <v>8</v>
      </c>
      <c r="D14" s="203"/>
      <c r="E14" s="166"/>
      <c r="F14" s="182"/>
      <c r="G14" s="180"/>
      <c r="H14" s="464"/>
      <c r="I14" s="166" t="str">
        <f t="shared" si="0"/>
        <v>-</v>
      </c>
      <c r="J14" s="166" t="str">
        <f t="shared" si="1"/>
        <v>-</v>
      </c>
      <c r="K14" s="180" t="str">
        <f t="shared" si="2"/>
        <v>-</v>
      </c>
      <c r="L14" s="464"/>
      <c r="M14" s="181" t="e">
        <f>RANK(K14, $K$7:K$21)</f>
        <v>#VALUE!</v>
      </c>
      <c r="N14" s="461"/>
      <c r="O14" s="461"/>
      <c r="P14" s="182" t="s">
        <v>890</v>
      </c>
      <c r="Q14" s="166" t="s">
        <v>890</v>
      </c>
      <c r="R14" s="166" t="s">
        <v>890</v>
      </c>
      <c r="S14" s="182" t="e">
        <f t="shared" si="3"/>
        <v>#VALUE!</v>
      </c>
      <c r="T14" s="455"/>
      <c r="U14" s="182" t="s">
        <v>890</v>
      </c>
      <c r="V14" s="166" t="s">
        <v>890</v>
      </c>
      <c r="W14" s="166" t="s">
        <v>890</v>
      </c>
      <c r="X14" s="182" t="e">
        <f t="shared" si="5"/>
        <v>#VALUE!</v>
      </c>
      <c r="Y14" s="455"/>
      <c r="Z14" s="182" t="s">
        <v>890</v>
      </c>
      <c r="AA14" s="166" t="s">
        <v>890</v>
      </c>
      <c r="AB14" s="166" t="s">
        <v>890</v>
      </c>
      <c r="AC14" s="182" t="e">
        <f t="shared" si="7"/>
        <v>#VALUE!</v>
      </c>
      <c r="AD14" s="455"/>
      <c r="AE14" s="182" t="s">
        <v>890</v>
      </c>
      <c r="AF14" s="166" t="s">
        <v>890</v>
      </c>
      <c r="AG14" s="166" t="s">
        <v>890</v>
      </c>
      <c r="AH14" s="182" t="e">
        <f t="shared" si="9"/>
        <v>#VALUE!</v>
      </c>
      <c r="AI14" s="455"/>
      <c r="AJ14" s="182" t="s">
        <v>890</v>
      </c>
      <c r="AK14" s="166" t="s">
        <v>890</v>
      </c>
      <c r="AL14" s="166" t="s">
        <v>890</v>
      </c>
      <c r="AM14" s="182" t="e">
        <f t="shared" si="11"/>
        <v>#VALUE!</v>
      </c>
      <c r="AN14" s="455"/>
      <c r="AO14" s="182" t="s">
        <v>890</v>
      </c>
      <c r="AP14" s="166" t="s">
        <v>890</v>
      </c>
      <c r="AQ14" s="166" t="s">
        <v>890</v>
      </c>
      <c r="AR14" s="182" t="e">
        <f t="shared" si="13"/>
        <v>#VALUE!</v>
      </c>
      <c r="AS14" s="455"/>
      <c r="AT14" s="182" t="s">
        <v>890</v>
      </c>
      <c r="AU14" s="166" t="s">
        <v>890</v>
      </c>
      <c r="AV14" s="166" t="s">
        <v>890</v>
      </c>
      <c r="AW14" s="182" t="e">
        <f t="shared" si="15"/>
        <v>#VALUE!</v>
      </c>
      <c r="AX14" s="455"/>
      <c r="AZ14" s="182" t="e">
        <f t="shared" si="17"/>
        <v>#N/A</v>
      </c>
      <c r="BA14" s="455"/>
    </row>
    <row r="15" spans="1:53" ht="13.5">
      <c r="A15" s="79"/>
      <c r="B15" s="454"/>
      <c r="C15" s="182">
        <v>9</v>
      </c>
      <c r="D15" s="203"/>
      <c r="E15" s="166"/>
      <c r="F15" s="182"/>
      <c r="G15" s="180"/>
      <c r="H15" s="464"/>
      <c r="I15" s="166" t="str">
        <f t="shared" si="0"/>
        <v>-</v>
      </c>
      <c r="J15" s="166" t="str">
        <f t="shared" si="1"/>
        <v>-</v>
      </c>
      <c r="K15" s="180" t="str">
        <f t="shared" si="2"/>
        <v>-</v>
      </c>
      <c r="L15" s="464"/>
      <c r="M15" s="181" t="e">
        <f>RANK(K15, $K$7:K$21)</f>
        <v>#VALUE!</v>
      </c>
      <c r="N15" s="461"/>
      <c r="O15" s="461"/>
      <c r="P15" s="182" t="s">
        <v>890</v>
      </c>
      <c r="Q15" s="166" t="s">
        <v>890</v>
      </c>
      <c r="R15" s="166" t="s">
        <v>890</v>
      </c>
      <c r="S15" s="182" t="e">
        <f t="shared" si="3"/>
        <v>#VALUE!</v>
      </c>
      <c r="T15" s="455"/>
      <c r="U15" s="182" t="s">
        <v>890</v>
      </c>
      <c r="V15" s="166" t="s">
        <v>890</v>
      </c>
      <c r="W15" s="166" t="s">
        <v>890</v>
      </c>
      <c r="X15" s="182" t="e">
        <f t="shared" si="5"/>
        <v>#VALUE!</v>
      </c>
      <c r="Y15" s="455"/>
      <c r="Z15" s="182" t="s">
        <v>890</v>
      </c>
      <c r="AA15" s="166" t="s">
        <v>890</v>
      </c>
      <c r="AB15" s="166" t="s">
        <v>890</v>
      </c>
      <c r="AC15" s="182" t="e">
        <f t="shared" si="7"/>
        <v>#VALUE!</v>
      </c>
      <c r="AD15" s="455"/>
      <c r="AE15" s="182" t="s">
        <v>890</v>
      </c>
      <c r="AF15" s="166" t="s">
        <v>890</v>
      </c>
      <c r="AG15" s="166" t="s">
        <v>890</v>
      </c>
      <c r="AH15" s="182" t="e">
        <f t="shared" si="9"/>
        <v>#VALUE!</v>
      </c>
      <c r="AI15" s="455"/>
      <c r="AJ15" s="182" t="s">
        <v>890</v>
      </c>
      <c r="AK15" s="166" t="s">
        <v>890</v>
      </c>
      <c r="AL15" s="166" t="s">
        <v>890</v>
      </c>
      <c r="AM15" s="182" t="e">
        <f t="shared" si="11"/>
        <v>#VALUE!</v>
      </c>
      <c r="AN15" s="455"/>
      <c r="AO15" s="182" t="s">
        <v>890</v>
      </c>
      <c r="AP15" s="166" t="s">
        <v>890</v>
      </c>
      <c r="AQ15" s="166" t="s">
        <v>890</v>
      </c>
      <c r="AR15" s="182" t="e">
        <f t="shared" si="13"/>
        <v>#VALUE!</v>
      </c>
      <c r="AS15" s="455"/>
      <c r="AT15" s="182" t="s">
        <v>890</v>
      </c>
      <c r="AU15" s="166" t="s">
        <v>890</v>
      </c>
      <c r="AV15" s="166" t="s">
        <v>890</v>
      </c>
      <c r="AW15" s="182" t="e">
        <f t="shared" si="15"/>
        <v>#VALUE!</v>
      </c>
      <c r="AX15" s="455"/>
      <c r="AZ15" s="182" t="e">
        <f t="shared" si="17"/>
        <v>#N/A</v>
      </c>
      <c r="BA15" s="455"/>
    </row>
    <row r="16" spans="1:53" ht="13.5">
      <c r="A16" s="79"/>
      <c r="B16" s="454"/>
      <c r="C16" s="182">
        <v>10</v>
      </c>
      <c r="D16" s="203"/>
      <c r="E16" s="166"/>
      <c r="F16" s="182"/>
      <c r="G16" s="180"/>
      <c r="H16" s="464"/>
      <c r="I16" s="166" t="str">
        <f t="shared" si="0"/>
        <v>-</v>
      </c>
      <c r="J16" s="166" t="str">
        <f t="shared" si="1"/>
        <v>-</v>
      </c>
      <c r="K16" s="180" t="str">
        <f t="shared" si="2"/>
        <v>-</v>
      </c>
      <c r="L16" s="464"/>
      <c r="M16" s="181" t="e">
        <f>RANK(K16, $K$7:K$21)</f>
        <v>#VALUE!</v>
      </c>
      <c r="N16" s="461"/>
      <c r="O16" s="461"/>
      <c r="P16" s="182" t="s">
        <v>890</v>
      </c>
      <c r="Q16" s="166" t="s">
        <v>890</v>
      </c>
      <c r="R16" s="166" t="s">
        <v>890</v>
      </c>
      <c r="S16" s="182" t="e">
        <f t="shared" si="3"/>
        <v>#VALUE!</v>
      </c>
      <c r="T16" s="455"/>
      <c r="U16" s="182" t="s">
        <v>890</v>
      </c>
      <c r="V16" s="166" t="s">
        <v>890</v>
      </c>
      <c r="W16" s="166" t="s">
        <v>890</v>
      </c>
      <c r="X16" s="182" t="e">
        <f t="shared" si="5"/>
        <v>#VALUE!</v>
      </c>
      <c r="Y16" s="455"/>
      <c r="Z16" s="182" t="s">
        <v>890</v>
      </c>
      <c r="AA16" s="166" t="s">
        <v>890</v>
      </c>
      <c r="AB16" s="166" t="s">
        <v>890</v>
      </c>
      <c r="AC16" s="182" t="e">
        <f t="shared" si="7"/>
        <v>#VALUE!</v>
      </c>
      <c r="AD16" s="455"/>
      <c r="AE16" s="182" t="s">
        <v>890</v>
      </c>
      <c r="AF16" s="166" t="s">
        <v>890</v>
      </c>
      <c r="AG16" s="166" t="s">
        <v>890</v>
      </c>
      <c r="AH16" s="182" t="e">
        <f t="shared" si="9"/>
        <v>#VALUE!</v>
      </c>
      <c r="AI16" s="455"/>
      <c r="AJ16" s="182" t="s">
        <v>890</v>
      </c>
      <c r="AK16" s="166" t="s">
        <v>890</v>
      </c>
      <c r="AL16" s="166" t="s">
        <v>890</v>
      </c>
      <c r="AM16" s="182" t="e">
        <f t="shared" si="11"/>
        <v>#VALUE!</v>
      </c>
      <c r="AN16" s="455"/>
      <c r="AO16" s="182" t="s">
        <v>890</v>
      </c>
      <c r="AP16" s="166" t="s">
        <v>890</v>
      </c>
      <c r="AQ16" s="166" t="s">
        <v>890</v>
      </c>
      <c r="AR16" s="182" t="e">
        <f t="shared" si="13"/>
        <v>#VALUE!</v>
      </c>
      <c r="AS16" s="455"/>
      <c r="AT16" s="182" t="s">
        <v>890</v>
      </c>
      <c r="AU16" s="166" t="s">
        <v>890</v>
      </c>
      <c r="AV16" s="166" t="s">
        <v>890</v>
      </c>
      <c r="AW16" s="182" t="e">
        <f t="shared" si="15"/>
        <v>#VALUE!</v>
      </c>
      <c r="AX16" s="455"/>
      <c r="AZ16" s="182" t="e">
        <f t="shared" si="17"/>
        <v>#N/A</v>
      </c>
      <c r="BA16" s="455"/>
    </row>
    <row r="17" spans="2:53">
      <c r="B17" s="454"/>
      <c r="C17" s="182">
        <v>11</v>
      </c>
      <c r="D17" s="203"/>
      <c r="E17" s="166"/>
      <c r="F17" s="182"/>
      <c r="G17" s="180"/>
      <c r="H17" s="464"/>
      <c r="I17" s="166" t="str">
        <f t="shared" si="0"/>
        <v>-</v>
      </c>
      <c r="J17" s="166" t="str">
        <f t="shared" si="1"/>
        <v>-</v>
      </c>
      <c r="K17" s="180" t="str">
        <f t="shared" si="2"/>
        <v>-</v>
      </c>
      <c r="L17" s="464"/>
      <c r="M17" s="181" t="e">
        <f>RANK(K17, $K$7:K$21)</f>
        <v>#VALUE!</v>
      </c>
      <c r="N17" s="461"/>
      <c r="O17" s="461"/>
      <c r="P17" s="182" t="s">
        <v>890</v>
      </c>
      <c r="Q17" s="166" t="s">
        <v>890</v>
      </c>
      <c r="R17" s="166" t="s">
        <v>890</v>
      </c>
      <c r="S17" s="182" t="e">
        <f t="shared" si="3"/>
        <v>#VALUE!</v>
      </c>
      <c r="T17" s="455"/>
      <c r="U17" s="182" t="s">
        <v>890</v>
      </c>
      <c r="V17" s="166" t="s">
        <v>890</v>
      </c>
      <c r="W17" s="166" t="s">
        <v>890</v>
      </c>
      <c r="X17" s="182" t="e">
        <f t="shared" si="5"/>
        <v>#VALUE!</v>
      </c>
      <c r="Y17" s="455"/>
      <c r="Z17" s="182" t="s">
        <v>890</v>
      </c>
      <c r="AA17" s="166" t="s">
        <v>890</v>
      </c>
      <c r="AB17" s="166" t="s">
        <v>890</v>
      </c>
      <c r="AC17" s="182" t="e">
        <f t="shared" si="7"/>
        <v>#VALUE!</v>
      </c>
      <c r="AD17" s="455"/>
      <c r="AE17" s="182" t="s">
        <v>890</v>
      </c>
      <c r="AF17" s="166" t="s">
        <v>890</v>
      </c>
      <c r="AG17" s="166" t="s">
        <v>890</v>
      </c>
      <c r="AH17" s="182" t="e">
        <f t="shared" si="9"/>
        <v>#VALUE!</v>
      </c>
      <c r="AI17" s="455"/>
      <c r="AJ17" s="182" t="s">
        <v>890</v>
      </c>
      <c r="AK17" s="166" t="s">
        <v>890</v>
      </c>
      <c r="AL17" s="166" t="s">
        <v>890</v>
      </c>
      <c r="AM17" s="182" t="e">
        <f t="shared" si="11"/>
        <v>#VALUE!</v>
      </c>
      <c r="AN17" s="455"/>
      <c r="AO17" s="182" t="s">
        <v>890</v>
      </c>
      <c r="AP17" s="166" t="s">
        <v>890</v>
      </c>
      <c r="AQ17" s="166" t="s">
        <v>890</v>
      </c>
      <c r="AR17" s="182" t="e">
        <f t="shared" si="13"/>
        <v>#VALUE!</v>
      </c>
      <c r="AS17" s="455"/>
      <c r="AT17" s="182" t="s">
        <v>890</v>
      </c>
      <c r="AU17" s="166" t="s">
        <v>890</v>
      </c>
      <c r="AV17" s="166" t="s">
        <v>890</v>
      </c>
      <c r="AW17" s="182" t="e">
        <f t="shared" si="15"/>
        <v>#VALUE!</v>
      </c>
      <c r="AX17" s="455"/>
      <c r="AZ17" s="182" t="e">
        <f t="shared" si="17"/>
        <v>#N/A</v>
      </c>
      <c r="BA17" s="455"/>
    </row>
    <row r="18" spans="2:53">
      <c r="B18" s="454"/>
      <c r="C18" s="182">
        <v>12</v>
      </c>
      <c r="D18" s="203"/>
      <c r="E18" s="166"/>
      <c r="F18" s="182"/>
      <c r="G18" s="180"/>
      <c r="H18" s="464"/>
      <c r="I18" s="166" t="str">
        <f t="shared" si="0"/>
        <v>-</v>
      </c>
      <c r="J18" s="166" t="str">
        <f t="shared" si="1"/>
        <v>-</v>
      </c>
      <c r="K18" s="180" t="str">
        <f t="shared" si="2"/>
        <v>-</v>
      </c>
      <c r="L18" s="464"/>
      <c r="M18" s="181" t="e">
        <f>RANK(K18, $K$7:K$21)</f>
        <v>#VALUE!</v>
      </c>
      <c r="N18" s="461"/>
      <c r="O18" s="461"/>
      <c r="P18" s="182" t="s">
        <v>890</v>
      </c>
      <c r="Q18" s="166" t="s">
        <v>890</v>
      </c>
      <c r="R18" s="166" t="s">
        <v>890</v>
      </c>
      <c r="S18" s="182" t="e">
        <f t="shared" si="3"/>
        <v>#VALUE!</v>
      </c>
      <c r="T18" s="455"/>
      <c r="U18" s="182" t="s">
        <v>890</v>
      </c>
      <c r="V18" s="166" t="s">
        <v>890</v>
      </c>
      <c r="W18" s="166" t="s">
        <v>890</v>
      </c>
      <c r="X18" s="182" t="e">
        <f t="shared" si="5"/>
        <v>#VALUE!</v>
      </c>
      <c r="Y18" s="455"/>
      <c r="Z18" s="182" t="s">
        <v>890</v>
      </c>
      <c r="AA18" s="166" t="s">
        <v>890</v>
      </c>
      <c r="AB18" s="166" t="s">
        <v>890</v>
      </c>
      <c r="AC18" s="182" t="e">
        <f t="shared" si="7"/>
        <v>#VALUE!</v>
      </c>
      <c r="AD18" s="455"/>
      <c r="AE18" s="182" t="s">
        <v>890</v>
      </c>
      <c r="AF18" s="166" t="s">
        <v>890</v>
      </c>
      <c r="AG18" s="166" t="s">
        <v>890</v>
      </c>
      <c r="AH18" s="182" t="e">
        <f t="shared" si="9"/>
        <v>#VALUE!</v>
      </c>
      <c r="AI18" s="455"/>
      <c r="AJ18" s="182" t="s">
        <v>890</v>
      </c>
      <c r="AK18" s="166" t="s">
        <v>890</v>
      </c>
      <c r="AL18" s="166" t="s">
        <v>890</v>
      </c>
      <c r="AM18" s="182" t="e">
        <f t="shared" si="11"/>
        <v>#VALUE!</v>
      </c>
      <c r="AN18" s="455"/>
      <c r="AO18" s="182" t="s">
        <v>890</v>
      </c>
      <c r="AP18" s="166" t="s">
        <v>890</v>
      </c>
      <c r="AQ18" s="166" t="s">
        <v>890</v>
      </c>
      <c r="AR18" s="182" t="e">
        <f t="shared" si="13"/>
        <v>#VALUE!</v>
      </c>
      <c r="AS18" s="455"/>
      <c r="AT18" s="182" t="s">
        <v>890</v>
      </c>
      <c r="AU18" s="166" t="s">
        <v>890</v>
      </c>
      <c r="AV18" s="166" t="s">
        <v>890</v>
      </c>
      <c r="AW18" s="182" t="e">
        <f t="shared" si="15"/>
        <v>#VALUE!</v>
      </c>
      <c r="AX18" s="455"/>
      <c r="AZ18" s="182" t="e">
        <f t="shared" si="17"/>
        <v>#N/A</v>
      </c>
      <c r="BA18" s="455"/>
    </row>
    <row r="19" spans="2:53">
      <c r="B19" s="454"/>
      <c r="C19" s="182">
        <v>13</v>
      </c>
      <c r="D19" s="203"/>
      <c r="E19" s="166"/>
      <c r="F19" s="182"/>
      <c r="G19" s="180"/>
      <c r="H19" s="464"/>
      <c r="I19" s="166" t="str">
        <f t="shared" si="0"/>
        <v>-</v>
      </c>
      <c r="J19" s="166" t="str">
        <f t="shared" si="1"/>
        <v>-</v>
      </c>
      <c r="K19" s="180" t="str">
        <f t="shared" si="2"/>
        <v>-</v>
      </c>
      <c r="L19" s="464"/>
      <c r="M19" s="181" t="e">
        <f>RANK(K19, $K$7:K$21)</f>
        <v>#VALUE!</v>
      </c>
      <c r="N19" s="461"/>
      <c r="O19" s="461"/>
      <c r="P19" s="182" t="s">
        <v>890</v>
      </c>
      <c r="Q19" s="166" t="s">
        <v>890</v>
      </c>
      <c r="R19" s="166" t="s">
        <v>890</v>
      </c>
      <c r="S19" s="182" t="e">
        <f t="shared" si="3"/>
        <v>#VALUE!</v>
      </c>
      <c r="T19" s="455"/>
      <c r="U19" s="182" t="s">
        <v>890</v>
      </c>
      <c r="V19" s="166" t="s">
        <v>890</v>
      </c>
      <c r="W19" s="166" t="s">
        <v>890</v>
      </c>
      <c r="X19" s="182" t="e">
        <f t="shared" si="5"/>
        <v>#VALUE!</v>
      </c>
      <c r="Y19" s="455"/>
      <c r="Z19" s="182" t="s">
        <v>890</v>
      </c>
      <c r="AA19" s="166" t="s">
        <v>890</v>
      </c>
      <c r="AB19" s="166" t="s">
        <v>890</v>
      </c>
      <c r="AC19" s="182" t="e">
        <f t="shared" si="7"/>
        <v>#VALUE!</v>
      </c>
      <c r="AD19" s="455"/>
      <c r="AE19" s="182" t="s">
        <v>890</v>
      </c>
      <c r="AF19" s="166" t="s">
        <v>890</v>
      </c>
      <c r="AG19" s="166" t="s">
        <v>890</v>
      </c>
      <c r="AH19" s="182" t="e">
        <f t="shared" si="9"/>
        <v>#VALUE!</v>
      </c>
      <c r="AI19" s="455"/>
      <c r="AJ19" s="182" t="s">
        <v>890</v>
      </c>
      <c r="AK19" s="166" t="s">
        <v>890</v>
      </c>
      <c r="AL19" s="166" t="s">
        <v>890</v>
      </c>
      <c r="AM19" s="182" t="e">
        <f t="shared" si="11"/>
        <v>#VALUE!</v>
      </c>
      <c r="AN19" s="455"/>
      <c r="AO19" s="182" t="s">
        <v>890</v>
      </c>
      <c r="AP19" s="166" t="s">
        <v>890</v>
      </c>
      <c r="AQ19" s="166" t="s">
        <v>890</v>
      </c>
      <c r="AR19" s="182" t="e">
        <f t="shared" si="13"/>
        <v>#VALUE!</v>
      </c>
      <c r="AS19" s="455"/>
      <c r="AT19" s="182" t="s">
        <v>890</v>
      </c>
      <c r="AU19" s="166" t="s">
        <v>890</v>
      </c>
      <c r="AV19" s="166" t="s">
        <v>890</v>
      </c>
      <c r="AW19" s="182" t="e">
        <f t="shared" si="15"/>
        <v>#VALUE!</v>
      </c>
      <c r="AX19" s="455"/>
      <c r="AZ19" s="182" t="e">
        <f t="shared" si="17"/>
        <v>#N/A</v>
      </c>
      <c r="BA19" s="455"/>
    </row>
    <row r="20" spans="2:53">
      <c r="B20" s="454"/>
      <c r="C20" s="182">
        <v>14</v>
      </c>
      <c r="D20" s="203"/>
      <c r="E20" s="166"/>
      <c r="F20" s="182"/>
      <c r="G20" s="180"/>
      <c r="H20" s="464"/>
      <c r="I20" s="166" t="str">
        <f t="shared" si="0"/>
        <v>-</v>
      </c>
      <c r="J20" s="166" t="str">
        <f t="shared" si="1"/>
        <v>-</v>
      </c>
      <c r="K20" s="180" t="str">
        <f t="shared" si="2"/>
        <v>-</v>
      </c>
      <c r="L20" s="464"/>
      <c r="M20" s="181" t="e">
        <f>RANK(K20, $K$7:K$21)</f>
        <v>#VALUE!</v>
      </c>
      <c r="N20" s="461"/>
      <c r="O20" s="461"/>
      <c r="P20" s="182" t="s">
        <v>890</v>
      </c>
      <c r="Q20" s="166" t="s">
        <v>890</v>
      </c>
      <c r="R20" s="166" t="s">
        <v>890</v>
      </c>
      <c r="S20" s="182" t="e">
        <f t="shared" si="3"/>
        <v>#VALUE!</v>
      </c>
      <c r="T20" s="455"/>
      <c r="U20" s="182" t="s">
        <v>890</v>
      </c>
      <c r="V20" s="166" t="s">
        <v>890</v>
      </c>
      <c r="W20" s="166" t="s">
        <v>890</v>
      </c>
      <c r="X20" s="182" t="e">
        <f t="shared" si="5"/>
        <v>#VALUE!</v>
      </c>
      <c r="Y20" s="455"/>
      <c r="Z20" s="182" t="s">
        <v>890</v>
      </c>
      <c r="AA20" s="166" t="s">
        <v>890</v>
      </c>
      <c r="AB20" s="166" t="s">
        <v>890</v>
      </c>
      <c r="AC20" s="182" t="e">
        <f t="shared" si="7"/>
        <v>#VALUE!</v>
      </c>
      <c r="AD20" s="455"/>
      <c r="AE20" s="182" t="s">
        <v>890</v>
      </c>
      <c r="AF20" s="166" t="s">
        <v>890</v>
      </c>
      <c r="AG20" s="166" t="s">
        <v>890</v>
      </c>
      <c r="AH20" s="182" t="e">
        <f t="shared" si="9"/>
        <v>#VALUE!</v>
      </c>
      <c r="AI20" s="455"/>
      <c r="AJ20" s="182" t="s">
        <v>890</v>
      </c>
      <c r="AK20" s="166" t="s">
        <v>890</v>
      </c>
      <c r="AL20" s="166" t="s">
        <v>890</v>
      </c>
      <c r="AM20" s="182" t="e">
        <f t="shared" si="11"/>
        <v>#VALUE!</v>
      </c>
      <c r="AN20" s="455"/>
      <c r="AO20" s="182" t="s">
        <v>890</v>
      </c>
      <c r="AP20" s="166" t="s">
        <v>890</v>
      </c>
      <c r="AQ20" s="166" t="s">
        <v>890</v>
      </c>
      <c r="AR20" s="182" t="e">
        <f t="shared" si="13"/>
        <v>#VALUE!</v>
      </c>
      <c r="AS20" s="455"/>
      <c r="AT20" s="182" t="s">
        <v>890</v>
      </c>
      <c r="AU20" s="166" t="s">
        <v>890</v>
      </c>
      <c r="AV20" s="166" t="s">
        <v>890</v>
      </c>
      <c r="AW20" s="182" t="e">
        <f t="shared" si="15"/>
        <v>#VALUE!</v>
      </c>
      <c r="AX20" s="455"/>
      <c r="AZ20" s="182" t="e">
        <f t="shared" si="17"/>
        <v>#N/A</v>
      </c>
      <c r="BA20" s="455"/>
    </row>
    <row r="21" spans="2:53">
      <c r="B21" s="454"/>
      <c r="C21" s="182">
        <v>15</v>
      </c>
      <c r="D21" s="203"/>
      <c r="E21" s="166"/>
      <c r="F21" s="182"/>
      <c r="G21" s="180"/>
      <c r="H21" s="465"/>
      <c r="I21" s="182"/>
      <c r="J21" s="182"/>
      <c r="K21" s="182"/>
      <c r="L21" s="465"/>
      <c r="M21" s="166" t="e">
        <f>RANK(K21, $K$7:K$21)</f>
        <v>#N/A</v>
      </c>
      <c r="N21" s="461"/>
      <c r="O21" s="461"/>
      <c r="P21" s="182" t="s">
        <v>890</v>
      </c>
      <c r="Q21" s="166" t="s">
        <v>890</v>
      </c>
      <c r="R21" s="166" t="s">
        <v>890</v>
      </c>
      <c r="S21" s="182" t="e">
        <f t="shared" si="3"/>
        <v>#VALUE!</v>
      </c>
      <c r="T21" s="455"/>
      <c r="U21" s="182" t="s">
        <v>890</v>
      </c>
      <c r="V21" s="166" t="s">
        <v>890</v>
      </c>
      <c r="W21" s="166" t="s">
        <v>890</v>
      </c>
      <c r="X21" s="182" t="e">
        <f t="shared" si="5"/>
        <v>#VALUE!</v>
      </c>
      <c r="Y21" s="455"/>
      <c r="Z21" s="182" t="s">
        <v>890</v>
      </c>
      <c r="AA21" s="166" t="s">
        <v>890</v>
      </c>
      <c r="AB21" s="166" t="s">
        <v>890</v>
      </c>
      <c r="AC21" s="182" t="e">
        <f t="shared" si="7"/>
        <v>#VALUE!</v>
      </c>
      <c r="AD21" s="455"/>
      <c r="AE21" s="182" t="s">
        <v>890</v>
      </c>
      <c r="AF21" s="166" t="s">
        <v>890</v>
      </c>
      <c r="AG21" s="166" t="s">
        <v>890</v>
      </c>
      <c r="AH21" s="182" t="e">
        <f t="shared" si="9"/>
        <v>#VALUE!</v>
      </c>
      <c r="AI21" s="455"/>
      <c r="AJ21" s="182" t="s">
        <v>890</v>
      </c>
      <c r="AK21" s="166" t="s">
        <v>890</v>
      </c>
      <c r="AL21" s="166" t="s">
        <v>890</v>
      </c>
      <c r="AM21" s="182" t="e">
        <f t="shared" si="11"/>
        <v>#VALUE!</v>
      </c>
      <c r="AN21" s="455"/>
      <c r="AO21" s="182" t="s">
        <v>890</v>
      </c>
      <c r="AP21" s="166" t="s">
        <v>890</v>
      </c>
      <c r="AQ21" s="166" t="s">
        <v>890</v>
      </c>
      <c r="AR21" s="182" t="e">
        <f t="shared" si="13"/>
        <v>#VALUE!</v>
      </c>
      <c r="AS21" s="455"/>
      <c r="AT21" s="182" t="s">
        <v>890</v>
      </c>
      <c r="AU21" s="166" t="s">
        <v>890</v>
      </c>
      <c r="AV21" s="166" t="s">
        <v>890</v>
      </c>
      <c r="AW21" s="182" t="e">
        <f t="shared" si="15"/>
        <v>#VALUE!</v>
      </c>
      <c r="AX21" s="455"/>
      <c r="AZ21" s="182" t="e">
        <f t="shared" si="17"/>
        <v>#N/A</v>
      </c>
      <c r="BA21" s="455"/>
    </row>
    <row r="22" spans="2:53" ht="15.5">
      <c r="B22" s="493" t="s">
        <v>163</v>
      </c>
      <c r="C22" s="494"/>
      <c r="D22" s="494"/>
      <c r="E22" s="494"/>
      <c r="F22" s="494"/>
      <c r="G22" s="494"/>
      <c r="H22" s="494"/>
      <c r="I22" s="183"/>
      <c r="J22" s="183"/>
      <c r="K22" s="183"/>
      <c r="L22" s="183"/>
      <c r="M22" s="178"/>
      <c r="N22" s="480" t="s">
        <v>156</v>
      </c>
      <c r="O22" s="480" t="s">
        <v>105</v>
      </c>
      <c r="P22" s="476">
        <f>P2+7</f>
        <v>46119</v>
      </c>
      <c r="Q22" s="454"/>
      <c r="R22" s="454"/>
      <c r="S22" s="454"/>
      <c r="T22" s="454"/>
      <c r="U22" s="473">
        <f>P22+1</f>
        <v>46120</v>
      </c>
      <c r="V22" s="474"/>
      <c r="W22" s="474"/>
      <c r="X22" s="474"/>
      <c r="Y22" s="475"/>
      <c r="Z22" s="473">
        <f>U22+1</f>
        <v>46121</v>
      </c>
      <c r="AA22" s="474"/>
      <c r="AB22" s="474"/>
      <c r="AC22" s="474"/>
      <c r="AD22" s="475"/>
      <c r="AE22" s="473">
        <f>Z22+1</f>
        <v>46122</v>
      </c>
      <c r="AF22" s="474"/>
      <c r="AG22" s="474"/>
      <c r="AH22" s="474"/>
      <c r="AI22" s="475"/>
      <c r="AJ22" s="473">
        <f>AE22+1</f>
        <v>46123</v>
      </c>
      <c r="AK22" s="474"/>
      <c r="AL22" s="474"/>
      <c r="AM22" s="474"/>
      <c r="AN22" s="475"/>
      <c r="AO22" s="473">
        <f>AJ22+1</f>
        <v>46124</v>
      </c>
      <c r="AP22" s="474"/>
      <c r="AQ22" s="474"/>
      <c r="AR22" s="474"/>
      <c r="AS22" s="475"/>
      <c r="AT22" s="473">
        <f>AO22+1</f>
        <v>46125</v>
      </c>
      <c r="AU22" s="474"/>
      <c r="AV22" s="474"/>
      <c r="AW22" s="474"/>
      <c r="AX22" s="475"/>
    </row>
    <row r="23" spans="2:53" ht="15.5">
      <c r="B23" s="479"/>
      <c r="C23" s="479"/>
      <c r="D23" s="479"/>
      <c r="E23" s="479"/>
      <c r="F23" s="479"/>
      <c r="G23" s="479"/>
      <c r="H23" s="479"/>
      <c r="I23" s="184"/>
      <c r="J23" s="184"/>
      <c r="K23" s="184"/>
      <c r="L23" s="184"/>
      <c r="M23" s="179"/>
      <c r="N23" s="481"/>
      <c r="O23" s="481"/>
      <c r="P23" s="476" t="s">
        <v>336</v>
      </c>
      <c r="Q23" s="454"/>
      <c r="R23" s="454"/>
      <c r="S23" s="454"/>
      <c r="T23" s="454"/>
      <c r="U23" s="476" t="s">
        <v>337</v>
      </c>
      <c r="V23" s="454"/>
      <c r="W23" s="454"/>
      <c r="X23" s="454"/>
      <c r="Y23" s="454"/>
      <c r="Z23" s="476" t="s">
        <v>338</v>
      </c>
      <c r="AA23" s="454"/>
      <c r="AB23" s="454"/>
      <c r="AC23" s="454"/>
      <c r="AD23" s="454"/>
      <c r="AE23" s="476" t="s">
        <v>339</v>
      </c>
      <c r="AF23" s="454"/>
      <c r="AG23" s="454"/>
      <c r="AH23" s="454"/>
      <c r="AI23" s="454"/>
      <c r="AJ23" s="476" t="s">
        <v>340</v>
      </c>
      <c r="AK23" s="454"/>
      <c r="AL23" s="454"/>
      <c r="AM23" s="454"/>
      <c r="AN23" s="454"/>
      <c r="AO23" s="476" t="s">
        <v>341</v>
      </c>
      <c r="AP23" s="454"/>
      <c r="AQ23" s="454"/>
      <c r="AR23" s="454"/>
      <c r="AS23" s="454"/>
      <c r="AT23" s="476" t="s">
        <v>342</v>
      </c>
      <c r="AU23" s="454"/>
      <c r="AV23" s="454"/>
      <c r="AW23" s="454"/>
      <c r="AX23" s="454"/>
    </row>
    <row r="24" spans="2:53">
      <c r="B24" s="461" t="s">
        <v>154</v>
      </c>
      <c r="C24" s="461" t="s">
        <v>409</v>
      </c>
      <c r="D24" s="461"/>
      <c r="E24" s="461" t="s">
        <v>400</v>
      </c>
      <c r="F24" s="461"/>
      <c r="G24" s="461"/>
      <c r="H24" s="482" t="s">
        <v>396</v>
      </c>
      <c r="I24" s="461" t="s">
        <v>401</v>
      </c>
      <c r="J24" s="461"/>
      <c r="K24" s="461"/>
      <c r="L24" s="482" t="s">
        <v>396</v>
      </c>
      <c r="M24" s="480" t="s">
        <v>397</v>
      </c>
      <c r="N24" s="461"/>
      <c r="O24" s="461" t="s">
        <v>402</v>
      </c>
      <c r="P24" s="466" t="s">
        <v>398</v>
      </c>
      <c r="Q24" s="467"/>
      <c r="R24" s="467"/>
      <c r="S24" s="468"/>
      <c r="T24" s="461" t="s">
        <v>396</v>
      </c>
      <c r="U24" s="466" t="s">
        <v>398</v>
      </c>
      <c r="V24" s="467"/>
      <c r="W24" s="467"/>
      <c r="X24" s="468"/>
      <c r="Y24" s="461" t="s">
        <v>396</v>
      </c>
      <c r="Z24" s="466" t="s">
        <v>398</v>
      </c>
      <c r="AA24" s="467"/>
      <c r="AB24" s="467"/>
      <c r="AC24" s="468"/>
      <c r="AD24" s="461" t="s">
        <v>396</v>
      </c>
      <c r="AE24" s="466" t="s">
        <v>398</v>
      </c>
      <c r="AF24" s="467"/>
      <c r="AG24" s="467"/>
      <c r="AH24" s="468"/>
      <c r="AI24" s="461" t="s">
        <v>396</v>
      </c>
      <c r="AJ24" s="466" t="s">
        <v>398</v>
      </c>
      <c r="AK24" s="467"/>
      <c r="AL24" s="467"/>
      <c r="AM24" s="468"/>
      <c r="AN24" s="461" t="s">
        <v>396</v>
      </c>
      <c r="AO24" s="466" t="s">
        <v>398</v>
      </c>
      <c r="AP24" s="467"/>
      <c r="AQ24" s="467"/>
      <c r="AR24" s="468"/>
      <c r="AS24" s="461" t="s">
        <v>396</v>
      </c>
      <c r="AT24" s="466" t="s">
        <v>398</v>
      </c>
      <c r="AU24" s="467"/>
      <c r="AV24" s="467"/>
      <c r="AW24" s="468"/>
      <c r="AX24" s="461" t="s">
        <v>396</v>
      </c>
      <c r="BA24" s="461" t="s">
        <v>396</v>
      </c>
    </row>
    <row r="25" spans="2:53">
      <c r="B25" s="461"/>
      <c r="C25" s="461"/>
      <c r="D25" s="461"/>
      <c r="E25" s="461" t="s">
        <v>403</v>
      </c>
      <c r="F25" s="461"/>
      <c r="G25" s="461"/>
      <c r="H25" s="483"/>
      <c r="I25" s="461" t="s">
        <v>403</v>
      </c>
      <c r="J25" s="461"/>
      <c r="K25" s="461"/>
      <c r="L25" s="483"/>
      <c r="M25" s="485"/>
      <c r="N25" s="461"/>
      <c r="O25" s="461"/>
      <c r="P25" s="466" t="s">
        <v>404</v>
      </c>
      <c r="Q25" s="467"/>
      <c r="R25" s="467"/>
      <c r="S25" s="468"/>
      <c r="T25" s="461"/>
      <c r="U25" s="466" t="s">
        <v>404</v>
      </c>
      <c r="V25" s="467"/>
      <c r="W25" s="467"/>
      <c r="X25" s="468"/>
      <c r="Y25" s="461"/>
      <c r="Z25" s="466" t="s">
        <v>404</v>
      </c>
      <c r="AA25" s="467"/>
      <c r="AB25" s="467"/>
      <c r="AC25" s="468"/>
      <c r="AD25" s="461"/>
      <c r="AE25" s="466" t="s">
        <v>404</v>
      </c>
      <c r="AF25" s="467"/>
      <c r="AG25" s="467"/>
      <c r="AH25" s="468"/>
      <c r="AI25" s="461"/>
      <c r="AJ25" s="466" t="s">
        <v>404</v>
      </c>
      <c r="AK25" s="467"/>
      <c r="AL25" s="467"/>
      <c r="AM25" s="468"/>
      <c r="AN25" s="461"/>
      <c r="AO25" s="466" t="s">
        <v>404</v>
      </c>
      <c r="AP25" s="467"/>
      <c r="AQ25" s="467"/>
      <c r="AR25" s="468"/>
      <c r="AS25" s="461"/>
      <c r="AT25" s="466" t="s">
        <v>478</v>
      </c>
      <c r="AU25" s="467"/>
      <c r="AV25" s="467"/>
      <c r="AW25" s="468"/>
      <c r="AX25" s="461"/>
      <c r="BA25" s="461"/>
    </row>
    <row r="26" spans="2:53">
      <c r="B26" s="461"/>
      <c r="C26" s="461"/>
      <c r="D26" s="461"/>
      <c r="E26" s="269" t="s">
        <v>405</v>
      </c>
      <c r="F26" s="269" t="s">
        <v>406</v>
      </c>
      <c r="G26" s="269" t="s">
        <v>407</v>
      </c>
      <c r="H26" s="484"/>
      <c r="I26" s="269" t="s">
        <v>405</v>
      </c>
      <c r="J26" s="269" t="s">
        <v>406</v>
      </c>
      <c r="K26" s="269" t="s">
        <v>407</v>
      </c>
      <c r="L26" s="484"/>
      <c r="M26" s="481"/>
      <c r="N26" s="461"/>
      <c r="O26" s="461"/>
      <c r="P26" s="269" t="s">
        <v>405</v>
      </c>
      <c r="Q26" s="269" t="s">
        <v>406</v>
      </c>
      <c r="R26" s="269" t="s">
        <v>407</v>
      </c>
      <c r="S26" s="269" t="s">
        <v>397</v>
      </c>
      <c r="T26" s="461"/>
      <c r="U26" s="269" t="s">
        <v>405</v>
      </c>
      <c r="V26" s="269" t="s">
        <v>406</v>
      </c>
      <c r="W26" s="269" t="s">
        <v>407</v>
      </c>
      <c r="X26" s="269" t="s">
        <v>479</v>
      </c>
      <c r="Y26" s="461"/>
      <c r="Z26" s="269" t="s">
        <v>480</v>
      </c>
      <c r="AA26" s="269" t="s">
        <v>406</v>
      </c>
      <c r="AB26" s="269" t="s">
        <v>407</v>
      </c>
      <c r="AC26" s="269" t="s">
        <v>397</v>
      </c>
      <c r="AD26" s="461"/>
      <c r="AE26" s="269" t="s">
        <v>481</v>
      </c>
      <c r="AF26" s="269" t="s">
        <v>482</v>
      </c>
      <c r="AG26" s="269" t="s">
        <v>407</v>
      </c>
      <c r="AH26" s="269" t="s">
        <v>397</v>
      </c>
      <c r="AI26" s="461"/>
      <c r="AJ26" s="269" t="s">
        <v>480</v>
      </c>
      <c r="AK26" s="269" t="s">
        <v>482</v>
      </c>
      <c r="AL26" s="269" t="s">
        <v>407</v>
      </c>
      <c r="AM26" s="269" t="s">
        <v>397</v>
      </c>
      <c r="AN26" s="461"/>
      <c r="AO26" s="269" t="s">
        <v>405</v>
      </c>
      <c r="AP26" s="269" t="s">
        <v>482</v>
      </c>
      <c r="AQ26" s="269" t="s">
        <v>407</v>
      </c>
      <c r="AR26" s="269" t="s">
        <v>397</v>
      </c>
      <c r="AS26" s="461"/>
      <c r="AT26" s="269" t="s">
        <v>480</v>
      </c>
      <c r="AU26" s="269" t="s">
        <v>482</v>
      </c>
      <c r="AV26" s="269" t="s">
        <v>407</v>
      </c>
      <c r="AW26" s="269" t="s">
        <v>397</v>
      </c>
      <c r="AX26" s="461"/>
      <c r="AZ26" s="269" t="s">
        <v>397</v>
      </c>
      <c r="BA26" s="461"/>
    </row>
    <row r="27" spans="2:53">
      <c r="B27" s="461" t="s">
        <v>410</v>
      </c>
      <c r="C27" s="182">
        <v>1</v>
      </c>
      <c r="D27" s="203"/>
      <c r="E27" s="166"/>
      <c r="F27" s="182"/>
      <c r="G27" s="180"/>
      <c r="H27" s="463" t="e">
        <f>AVERAGE(G27:G41)</f>
        <v>#DIV/0!</v>
      </c>
      <c r="I27" s="166" t="str">
        <f t="shared" ref="I27:I40" si="19">IFERROR(AVERAGE(P27,U27,Z27,AE27,AJ27,AO27,AT27),"-")</f>
        <v>-</v>
      </c>
      <c r="J27" s="166" t="str">
        <f t="shared" ref="J27:J40" si="20">IFERROR(AVERAGE(Q27,V27,AA27,AF27,AK27,AP27,AU27),"-")</f>
        <v>-</v>
      </c>
      <c r="K27" s="180" t="str">
        <f t="shared" ref="K27:K40" si="21">IFERROR(AVERAGE(R27,W27,AB27,AG27,AL27,AQ27,AV27),"-")</f>
        <v>-</v>
      </c>
      <c r="L27" s="463" t="str">
        <f>IFERROR(AVERAGE(K27:K41),"-")</f>
        <v>-</v>
      </c>
      <c r="M27" s="181" t="e">
        <f>RANK(K27, K$27:$K$41)</f>
        <v>#VALUE!</v>
      </c>
      <c r="N27" s="461"/>
      <c r="O27" s="461"/>
      <c r="P27" s="166"/>
      <c r="Q27" s="166"/>
      <c r="R27" s="180"/>
      <c r="S27" s="182" t="e">
        <f t="shared" ref="S27:S41" si="22">RANK(R27, R$27:R$41)</f>
        <v>#N/A</v>
      </c>
      <c r="T27" s="487" t="e">
        <f>AVERAGE(R27:R41)</f>
        <v>#DIV/0!</v>
      </c>
      <c r="U27" s="166"/>
      <c r="V27" s="166"/>
      <c r="W27" s="180"/>
      <c r="X27" s="182" t="e">
        <f t="shared" ref="X27:X41" si="23">RANK(W27, W$27:W$41)</f>
        <v>#N/A</v>
      </c>
      <c r="Y27" s="487" t="e">
        <f t="shared" ref="Y27" si="24">AVERAGE(W27:W41)</f>
        <v>#DIV/0!</v>
      </c>
      <c r="Z27" s="166"/>
      <c r="AA27" s="166"/>
      <c r="AB27" s="180"/>
      <c r="AC27" s="182" t="e">
        <f t="shared" ref="AC27:AC41" si="25">RANK(AB27, AB$27:AB$41)</f>
        <v>#N/A</v>
      </c>
      <c r="AD27" s="487" t="e">
        <f t="shared" ref="AD27" si="26">AVERAGE(AB27:AB41)</f>
        <v>#DIV/0!</v>
      </c>
      <c r="AE27" s="166"/>
      <c r="AF27" s="166"/>
      <c r="AG27" s="180"/>
      <c r="AH27" s="182" t="e">
        <f t="shared" ref="AH27:AH41" si="27">RANK(AG27, AG$27:AG$41)</f>
        <v>#N/A</v>
      </c>
      <c r="AI27" s="487" t="e">
        <f t="shared" ref="AI27" si="28">AVERAGE(AG27:AG41)</f>
        <v>#DIV/0!</v>
      </c>
      <c r="AJ27" s="166"/>
      <c r="AK27" s="166"/>
      <c r="AL27" s="180"/>
      <c r="AM27" s="182" t="e">
        <f t="shared" ref="AM27:AM41" si="29">RANK(AL27, AL$27:AL$41)</f>
        <v>#N/A</v>
      </c>
      <c r="AN27" s="487" t="e">
        <f t="shared" ref="AN27" si="30">AVERAGE(AL27:AL41)</f>
        <v>#DIV/0!</v>
      </c>
      <c r="AO27" s="166"/>
      <c r="AP27" s="166"/>
      <c r="AQ27" s="180"/>
      <c r="AR27" s="182" t="e">
        <f t="shared" ref="AR27:AR41" si="31">RANK(AQ27, AQ$27:AQ$41)</f>
        <v>#N/A</v>
      </c>
      <c r="AS27" s="487" t="e">
        <f t="shared" ref="AS27" si="32">AVERAGE(AQ27:AQ41)</f>
        <v>#DIV/0!</v>
      </c>
      <c r="AT27" s="166"/>
      <c r="AU27" s="166"/>
      <c r="AV27" s="180"/>
      <c r="AW27" s="182" t="e">
        <f t="shared" ref="AW27:AW41" si="33">RANK(AV27, AV$27:AV$41)</f>
        <v>#N/A</v>
      </c>
      <c r="AX27" s="487" t="e">
        <f t="shared" ref="AX27" si="34">AVERAGE(AV27:AV41)</f>
        <v>#DIV/0!</v>
      </c>
      <c r="AZ27" s="182" t="e">
        <f t="shared" ref="AZ27:AZ41" si="35">RANK(AY27, AY$27:AY$41)</f>
        <v>#N/A</v>
      </c>
      <c r="BA27" s="487" t="e">
        <f t="shared" ref="BA27" si="36">AVERAGE(AY27:AY41)</f>
        <v>#DIV/0!</v>
      </c>
    </row>
    <row r="28" spans="2:53">
      <c r="B28" s="454"/>
      <c r="C28" s="182">
        <v>2</v>
      </c>
      <c r="D28" s="203"/>
      <c r="E28" s="166"/>
      <c r="F28" s="182"/>
      <c r="G28" s="180"/>
      <c r="H28" s="464"/>
      <c r="I28" s="166" t="str">
        <f t="shared" si="19"/>
        <v>-</v>
      </c>
      <c r="J28" s="166" t="str">
        <f t="shared" si="20"/>
        <v>-</v>
      </c>
      <c r="K28" s="180" t="str">
        <f t="shared" si="21"/>
        <v>-</v>
      </c>
      <c r="L28" s="464"/>
      <c r="M28" s="181" t="e">
        <f>RANK(K28, K$27:$K$41)</f>
        <v>#VALUE!</v>
      </c>
      <c r="N28" s="461"/>
      <c r="O28" s="461"/>
      <c r="P28" s="182"/>
      <c r="Q28" s="166"/>
      <c r="R28" s="180"/>
      <c r="S28" s="182" t="e">
        <f t="shared" si="22"/>
        <v>#N/A</v>
      </c>
      <c r="T28" s="488"/>
      <c r="U28" s="182"/>
      <c r="V28" s="166"/>
      <c r="W28" s="180"/>
      <c r="X28" s="182" t="e">
        <f t="shared" si="23"/>
        <v>#N/A</v>
      </c>
      <c r="Y28" s="488"/>
      <c r="Z28" s="182"/>
      <c r="AA28" s="166"/>
      <c r="AB28" s="180"/>
      <c r="AC28" s="182" t="e">
        <f t="shared" si="25"/>
        <v>#N/A</v>
      </c>
      <c r="AD28" s="488"/>
      <c r="AE28" s="182"/>
      <c r="AF28" s="166"/>
      <c r="AG28" s="180"/>
      <c r="AH28" s="182" t="e">
        <f t="shared" si="27"/>
        <v>#N/A</v>
      </c>
      <c r="AI28" s="488"/>
      <c r="AJ28" s="182"/>
      <c r="AK28" s="166"/>
      <c r="AL28" s="180"/>
      <c r="AM28" s="182" t="e">
        <f t="shared" si="29"/>
        <v>#N/A</v>
      </c>
      <c r="AN28" s="488"/>
      <c r="AO28" s="182"/>
      <c r="AP28" s="166"/>
      <c r="AQ28" s="180"/>
      <c r="AR28" s="182" t="e">
        <f t="shared" si="31"/>
        <v>#N/A</v>
      </c>
      <c r="AS28" s="488"/>
      <c r="AT28" s="182"/>
      <c r="AU28" s="166"/>
      <c r="AV28" s="180"/>
      <c r="AW28" s="182" t="e">
        <f t="shared" si="33"/>
        <v>#N/A</v>
      </c>
      <c r="AX28" s="488"/>
      <c r="AZ28" s="182" t="e">
        <f t="shared" si="35"/>
        <v>#N/A</v>
      </c>
      <c r="BA28" s="488"/>
    </row>
    <row r="29" spans="2:53">
      <c r="B29" s="454"/>
      <c r="C29" s="182">
        <v>3</v>
      </c>
      <c r="D29" s="203"/>
      <c r="E29" s="166"/>
      <c r="F29" s="182"/>
      <c r="G29" s="180"/>
      <c r="H29" s="464"/>
      <c r="I29" s="166" t="str">
        <f t="shared" si="19"/>
        <v>-</v>
      </c>
      <c r="J29" s="166" t="str">
        <f t="shared" si="20"/>
        <v>-</v>
      </c>
      <c r="K29" s="180" t="str">
        <f t="shared" si="21"/>
        <v>-</v>
      </c>
      <c r="L29" s="464"/>
      <c r="M29" s="181" t="e">
        <f>RANK(K29, K$27:$K$41)</f>
        <v>#VALUE!</v>
      </c>
      <c r="N29" s="461"/>
      <c r="O29" s="461"/>
      <c r="P29" s="182"/>
      <c r="Q29" s="182"/>
      <c r="R29" s="182"/>
      <c r="S29" s="182" t="e">
        <f t="shared" si="22"/>
        <v>#N/A</v>
      </c>
      <c r="T29" s="488"/>
      <c r="U29" s="182"/>
      <c r="V29" s="182"/>
      <c r="W29" s="182"/>
      <c r="X29" s="182" t="e">
        <f t="shared" si="23"/>
        <v>#N/A</v>
      </c>
      <c r="Y29" s="488"/>
      <c r="Z29" s="182"/>
      <c r="AA29" s="182"/>
      <c r="AB29" s="182"/>
      <c r="AC29" s="182" t="e">
        <f t="shared" si="25"/>
        <v>#N/A</v>
      </c>
      <c r="AD29" s="488"/>
      <c r="AE29" s="182"/>
      <c r="AF29" s="182"/>
      <c r="AG29" s="182"/>
      <c r="AH29" s="182" t="e">
        <f t="shared" si="27"/>
        <v>#N/A</v>
      </c>
      <c r="AI29" s="488"/>
      <c r="AJ29" s="182"/>
      <c r="AK29" s="182"/>
      <c r="AL29" s="182"/>
      <c r="AM29" s="182" t="e">
        <f t="shared" si="29"/>
        <v>#N/A</v>
      </c>
      <c r="AN29" s="488"/>
      <c r="AO29" s="182"/>
      <c r="AP29" s="182"/>
      <c r="AQ29" s="182"/>
      <c r="AR29" s="182" t="e">
        <f t="shared" si="31"/>
        <v>#N/A</v>
      </c>
      <c r="AS29" s="488"/>
      <c r="AT29" s="182"/>
      <c r="AU29" s="182"/>
      <c r="AV29" s="182"/>
      <c r="AW29" s="182" t="e">
        <f t="shared" si="33"/>
        <v>#N/A</v>
      </c>
      <c r="AX29" s="488"/>
      <c r="AZ29" s="182" t="e">
        <f t="shared" si="35"/>
        <v>#N/A</v>
      </c>
      <c r="BA29" s="488"/>
    </row>
    <row r="30" spans="2:53">
      <c r="B30" s="454"/>
      <c r="C30" s="182">
        <v>4</v>
      </c>
      <c r="D30" s="203"/>
      <c r="E30" s="166"/>
      <c r="F30" s="182"/>
      <c r="G30" s="180"/>
      <c r="H30" s="464"/>
      <c r="I30" s="166" t="str">
        <f t="shared" si="19"/>
        <v>-</v>
      </c>
      <c r="J30" s="166" t="str">
        <f t="shared" si="20"/>
        <v>-</v>
      </c>
      <c r="K30" s="180" t="str">
        <f t="shared" si="21"/>
        <v>-</v>
      </c>
      <c r="L30" s="464"/>
      <c r="M30" s="181" t="e">
        <f>RANK(K30, K$27:$K$41)</f>
        <v>#VALUE!</v>
      </c>
      <c r="N30" s="461"/>
      <c r="O30" s="461"/>
      <c r="P30" s="182"/>
      <c r="Q30" s="182"/>
      <c r="R30" s="182"/>
      <c r="S30" s="182" t="e">
        <f t="shared" si="22"/>
        <v>#N/A</v>
      </c>
      <c r="T30" s="488"/>
      <c r="U30" s="182"/>
      <c r="V30" s="182"/>
      <c r="W30" s="182"/>
      <c r="X30" s="182" t="e">
        <f t="shared" si="23"/>
        <v>#N/A</v>
      </c>
      <c r="Y30" s="488"/>
      <c r="Z30" s="182"/>
      <c r="AA30" s="182"/>
      <c r="AB30" s="182"/>
      <c r="AC30" s="182" t="e">
        <f t="shared" si="25"/>
        <v>#N/A</v>
      </c>
      <c r="AD30" s="488"/>
      <c r="AE30" s="182"/>
      <c r="AF30" s="182"/>
      <c r="AG30" s="182"/>
      <c r="AH30" s="182" t="e">
        <f t="shared" si="27"/>
        <v>#N/A</v>
      </c>
      <c r="AI30" s="488"/>
      <c r="AJ30" s="182"/>
      <c r="AK30" s="182"/>
      <c r="AL30" s="182"/>
      <c r="AM30" s="182" t="e">
        <f t="shared" si="29"/>
        <v>#N/A</v>
      </c>
      <c r="AN30" s="488"/>
      <c r="AO30" s="182"/>
      <c r="AP30" s="182"/>
      <c r="AQ30" s="182"/>
      <c r="AR30" s="182" t="e">
        <f t="shared" si="31"/>
        <v>#N/A</v>
      </c>
      <c r="AS30" s="488"/>
      <c r="AT30" s="182"/>
      <c r="AU30" s="182"/>
      <c r="AV30" s="182"/>
      <c r="AW30" s="182" t="e">
        <f t="shared" si="33"/>
        <v>#N/A</v>
      </c>
      <c r="AX30" s="488"/>
      <c r="AZ30" s="182" t="e">
        <f t="shared" si="35"/>
        <v>#N/A</v>
      </c>
      <c r="BA30" s="488"/>
    </row>
    <row r="31" spans="2:53">
      <c r="B31" s="454"/>
      <c r="C31" s="182">
        <v>5</v>
      </c>
      <c r="D31" s="203"/>
      <c r="E31" s="166"/>
      <c r="F31" s="182"/>
      <c r="G31" s="180"/>
      <c r="H31" s="464"/>
      <c r="I31" s="166" t="str">
        <f t="shared" si="19"/>
        <v>-</v>
      </c>
      <c r="J31" s="166" t="str">
        <f t="shared" si="20"/>
        <v>-</v>
      </c>
      <c r="K31" s="180" t="str">
        <f t="shared" si="21"/>
        <v>-</v>
      </c>
      <c r="L31" s="464"/>
      <c r="M31" s="181" t="e">
        <f>RANK(K31, K$27:$K$41)</f>
        <v>#VALUE!</v>
      </c>
      <c r="N31" s="461"/>
      <c r="O31" s="461"/>
      <c r="P31" s="182"/>
      <c r="Q31" s="182"/>
      <c r="R31" s="182"/>
      <c r="S31" s="182" t="e">
        <f t="shared" si="22"/>
        <v>#N/A</v>
      </c>
      <c r="T31" s="488"/>
      <c r="U31" s="182"/>
      <c r="V31" s="182"/>
      <c r="W31" s="182"/>
      <c r="X31" s="182" t="e">
        <f t="shared" si="23"/>
        <v>#N/A</v>
      </c>
      <c r="Y31" s="488"/>
      <c r="Z31" s="182"/>
      <c r="AA31" s="182"/>
      <c r="AB31" s="182"/>
      <c r="AC31" s="182" t="e">
        <f t="shared" si="25"/>
        <v>#N/A</v>
      </c>
      <c r="AD31" s="488"/>
      <c r="AE31" s="182"/>
      <c r="AF31" s="182"/>
      <c r="AG31" s="182"/>
      <c r="AH31" s="182" t="e">
        <f t="shared" si="27"/>
        <v>#N/A</v>
      </c>
      <c r="AI31" s="488"/>
      <c r="AJ31" s="182"/>
      <c r="AK31" s="182"/>
      <c r="AL31" s="182"/>
      <c r="AM31" s="182" t="e">
        <f t="shared" si="29"/>
        <v>#N/A</v>
      </c>
      <c r="AN31" s="488"/>
      <c r="AO31" s="182"/>
      <c r="AP31" s="182"/>
      <c r="AQ31" s="182"/>
      <c r="AR31" s="182" t="e">
        <f t="shared" si="31"/>
        <v>#N/A</v>
      </c>
      <c r="AS31" s="488"/>
      <c r="AT31" s="182"/>
      <c r="AU31" s="182"/>
      <c r="AV31" s="182"/>
      <c r="AW31" s="182" t="e">
        <f t="shared" si="33"/>
        <v>#N/A</v>
      </c>
      <c r="AX31" s="488"/>
      <c r="AZ31" s="182" t="e">
        <f t="shared" si="35"/>
        <v>#N/A</v>
      </c>
      <c r="BA31" s="488"/>
    </row>
    <row r="32" spans="2:53">
      <c r="B32" s="454"/>
      <c r="C32" s="182">
        <v>6</v>
      </c>
      <c r="D32" s="203"/>
      <c r="E32" s="166"/>
      <c r="F32" s="182"/>
      <c r="G32" s="180"/>
      <c r="H32" s="464"/>
      <c r="I32" s="166" t="str">
        <f t="shared" si="19"/>
        <v>-</v>
      </c>
      <c r="J32" s="166" t="str">
        <f t="shared" si="20"/>
        <v>-</v>
      </c>
      <c r="K32" s="180" t="str">
        <f t="shared" si="21"/>
        <v>-</v>
      </c>
      <c r="L32" s="464"/>
      <c r="M32" s="181" t="e">
        <f>RANK(K32, K$27:$K$41)</f>
        <v>#VALUE!</v>
      </c>
      <c r="N32" s="461"/>
      <c r="O32" s="461"/>
      <c r="P32" s="182"/>
      <c r="Q32" s="182"/>
      <c r="R32" s="182"/>
      <c r="S32" s="182" t="e">
        <f t="shared" si="22"/>
        <v>#N/A</v>
      </c>
      <c r="T32" s="488"/>
      <c r="U32" s="182"/>
      <c r="V32" s="182"/>
      <c r="W32" s="182"/>
      <c r="X32" s="182" t="e">
        <f t="shared" si="23"/>
        <v>#N/A</v>
      </c>
      <c r="Y32" s="488"/>
      <c r="Z32" s="182"/>
      <c r="AA32" s="182"/>
      <c r="AB32" s="182"/>
      <c r="AC32" s="182" t="e">
        <f t="shared" si="25"/>
        <v>#N/A</v>
      </c>
      <c r="AD32" s="488"/>
      <c r="AE32" s="182"/>
      <c r="AF32" s="182"/>
      <c r="AG32" s="182"/>
      <c r="AH32" s="182" t="e">
        <f t="shared" si="27"/>
        <v>#N/A</v>
      </c>
      <c r="AI32" s="488"/>
      <c r="AJ32" s="182"/>
      <c r="AK32" s="182"/>
      <c r="AL32" s="182"/>
      <c r="AM32" s="182" t="e">
        <f t="shared" si="29"/>
        <v>#N/A</v>
      </c>
      <c r="AN32" s="488"/>
      <c r="AO32" s="182"/>
      <c r="AP32" s="182"/>
      <c r="AQ32" s="182"/>
      <c r="AR32" s="182" t="e">
        <f t="shared" si="31"/>
        <v>#N/A</v>
      </c>
      <c r="AS32" s="488"/>
      <c r="AT32" s="182"/>
      <c r="AU32" s="182"/>
      <c r="AV32" s="182"/>
      <c r="AW32" s="182" t="e">
        <f t="shared" si="33"/>
        <v>#N/A</v>
      </c>
      <c r="AX32" s="488"/>
      <c r="AZ32" s="182" t="e">
        <f t="shared" si="35"/>
        <v>#N/A</v>
      </c>
      <c r="BA32" s="488"/>
    </row>
    <row r="33" spans="2:53">
      <c r="B33" s="454"/>
      <c r="C33" s="182">
        <v>7</v>
      </c>
      <c r="D33" s="203"/>
      <c r="E33" s="166"/>
      <c r="F33" s="182"/>
      <c r="G33" s="180"/>
      <c r="H33" s="464"/>
      <c r="I33" s="166" t="str">
        <f t="shared" si="19"/>
        <v>-</v>
      </c>
      <c r="J33" s="166" t="str">
        <f t="shared" si="20"/>
        <v>-</v>
      </c>
      <c r="K33" s="180" t="str">
        <f t="shared" si="21"/>
        <v>-</v>
      </c>
      <c r="L33" s="464"/>
      <c r="M33" s="181" t="e">
        <f>RANK(K33, K$27:$K$41)</f>
        <v>#VALUE!</v>
      </c>
      <c r="N33" s="461"/>
      <c r="O33" s="461"/>
      <c r="P33" s="182"/>
      <c r="Q33" s="182"/>
      <c r="R33" s="182"/>
      <c r="S33" s="182" t="e">
        <f t="shared" si="22"/>
        <v>#N/A</v>
      </c>
      <c r="T33" s="488"/>
      <c r="U33" s="182"/>
      <c r="V33" s="182"/>
      <c r="W33" s="182"/>
      <c r="X33" s="182" t="e">
        <f t="shared" si="23"/>
        <v>#N/A</v>
      </c>
      <c r="Y33" s="488"/>
      <c r="Z33" s="182"/>
      <c r="AA33" s="182"/>
      <c r="AB33" s="182"/>
      <c r="AC33" s="182" t="e">
        <f t="shared" si="25"/>
        <v>#N/A</v>
      </c>
      <c r="AD33" s="488"/>
      <c r="AE33" s="182"/>
      <c r="AF33" s="182"/>
      <c r="AG33" s="182"/>
      <c r="AH33" s="182" t="e">
        <f t="shared" si="27"/>
        <v>#N/A</v>
      </c>
      <c r="AI33" s="488"/>
      <c r="AJ33" s="182"/>
      <c r="AK33" s="182"/>
      <c r="AL33" s="182"/>
      <c r="AM33" s="182" t="e">
        <f t="shared" si="29"/>
        <v>#N/A</v>
      </c>
      <c r="AN33" s="488"/>
      <c r="AO33" s="182"/>
      <c r="AP33" s="182"/>
      <c r="AQ33" s="182"/>
      <c r="AR33" s="182" t="e">
        <f t="shared" si="31"/>
        <v>#N/A</v>
      </c>
      <c r="AS33" s="488"/>
      <c r="AT33" s="182"/>
      <c r="AU33" s="182"/>
      <c r="AV33" s="182"/>
      <c r="AW33" s="182" t="e">
        <f t="shared" si="33"/>
        <v>#N/A</v>
      </c>
      <c r="AX33" s="488"/>
      <c r="AZ33" s="182" t="e">
        <f t="shared" si="35"/>
        <v>#N/A</v>
      </c>
      <c r="BA33" s="488"/>
    </row>
    <row r="34" spans="2:53">
      <c r="B34" s="454"/>
      <c r="C34" s="182">
        <v>8</v>
      </c>
      <c r="D34" s="203"/>
      <c r="E34" s="166"/>
      <c r="F34" s="182"/>
      <c r="G34" s="180"/>
      <c r="H34" s="464"/>
      <c r="I34" s="166" t="str">
        <f t="shared" si="19"/>
        <v>-</v>
      </c>
      <c r="J34" s="166" t="str">
        <f t="shared" si="20"/>
        <v>-</v>
      </c>
      <c r="K34" s="180" t="str">
        <f t="shared" si="21"/>
        <v>-</v>
      </c>
      <c r="L34" s="464"/>
      <c r="M34" s="181" t="e">
        <f>RANK(K34, K$27:$K$41)</f>
        <v>#VALUE!</v>
      </c>
      <c r="N34" s="461"/>
      <c r="O34" s="461"/>
      <c r="P34" s="182"/>
      <c r="Q34" s="182"/>
      <c r="R34" s="182"/>
      <c r="S34" s="182" t="e">
        <f t="shared" si="22"/>
        <v>#N/A</v>
      </c>
      <c r="T34" s="488"/>
      <c r="U34" s="182"/>
      <c r="V34" s="182"/>
      <c r="W34" s="182"/>
      <c r="X34" s="182" t="e">
        <f t="shared" si="23"/>
        <v>#N/A</v>
      </c>
      <c r="Y34" s="488"/>
      <c r="Z34" s="182"/>
      <c r="AA34" s="182"/>
      <c r="AB34" s="182"/>
      <c r="AC34" s="182" t="e">
        <f t="shared" si="25"/>
        <v>#N/A</v>
      </c>
      <c r="AD34" s="488"/>
      <c r="AE34" s="182"/>
      <c r="AF34" s="182"/>
      <c r="AG34" s="182"/>
      <c r="AH34" s="182" t="e">
        <f t="shared" si="27"/>
        <v>#N/A</v>
      </c>
      <c r="AI34" s="488"/>
      <c r="AJ34" s="182"/>
      <c r="AK34" s="182"/>
      <c r="AL34" s="182"/>
      <c r="AM34" s="182" t="e">
        <f t="shared" si="29"/>
        <v>#N/A</v>
      </c>
      <c r="AN34" s="488"/>
      <c r="AO34" s="182"/>
      <c r="AP34" s="182"/>
      <c r="AQ34" s="182"/>
      <c r="AR34" s="182" t="e">
        <f t="shared" si="31"/>
        <v>#N/A</v>
      </c>
      <c r="AS34" s="488"/>
      <c r="AT34" s="182"/>
      <c r="AU34" s="182"/>
      <c r="AV34" s="182"/>
      <c r="AW34" s="182" t="e">
        <f t="shared" si="33"/>
        <v>#N/A</v>
      </c>
      <c r="AX34" s="488"/>
      <c r="AZ34" s="182" t="e">
        <f t="shared" si="35"/>
        <v>#N/A</v>
      </c>
      <c r="BA34" s="488"/>
    </row>
    <row r="35" spans="2:53">
      <c r="B35" s="454"/>
      <c r="C35" s="182">
        <v>9</v>
      </c>
      <c r="D35" s="203"/>
      <c r="E35" s="166"/>
      <c r="F35" s="182"/>
      <c r="G35" s="180"/>
      <c r="H35" s="464"/>
      <c r="I35" s="166" t="str">
        <f t="shared" si="19"/>
        <v>-</v>
      </c>
      <c r="J35" s="166" t="str">
        <f t="shared" si="20"/>
        <v>-</v>
      </c>
      <c r="K35" s="180" t="str">
        <f t="shared" si="21"/>
        <v>-</v>
      </c>
      <c r="L35" s="464"/>
      <c r="M35" s="181" t="e">
        <f>RANK(K35, K$27:$K$41)</f>
        <v>#VALUE!</v>
      </c>
      <c r="N35" s="461"/>
      <c r="O35" s="461"/>
      <c r="P35" s="182"/>
      <c r="Q35" s="182"/>
      <c r="R35" s="182"/>
      <c r="S35" s="182" t="e">
        <f t="shared" si="22"/>
        <v>#N/A</v>
      </c>
      <c r="T35" s="488"/>
      <c r="U35" s="182"/>
      <c r="V35" s="182"/>
      <c r="W35" s="182"/>
      <c r="X35" s="182" t="e">
        <f t="shared" si="23"/>
        <v>#N/A</v>
      </c>
      <c r="Y35" s="488"/>
      <c r="Z35" s="182"/>
      <c r="AA35" s="182"/>
      <c r="AB35" s="182"/>
      <c r="AC35" s="182" t="e">
        <f t="shared" si="25"/>
        <v>#N/A</v>
      </c>
      <c r="AD35" s="488"/>
      <c r="AE35" s="182"/>
      <c r="AF35" s="182"/>
      <c r="AG35" s="182"/>
      <c r="AH35" s="182" t="e">
        <f t="shared" si="27"/>
        <v>#N/A</v>
      </c>
      <c r="AI35" s="488"/>
      <c r="AJ35" s="182"/>
      <c r="AK35" s="182"/>
      <c r="AL35" s="182"/>
      <c r="AM35" s="182" t="e">
        <f t="shared" si="29"/>
        <v>#N/A</v>
      </c>
      <c r="AN35" s="488"/>
      <c r="AO35" s="182"/>
      <c r="AP35" s="182"/>
      <c r="AQ35" s="182"/>
      <c r="AR35" s="182" t="e">
        <f t="shared" si="31"/>
        <v>#N/A</v>
      </c>
      <c r="AS35" s="488"/>
      <c r="AT35" s="182"/>
      <c r="AU35" s="182"/>
      <c r="AV35" s="182"/>
      <c r="AW35" s="182" t="e">
        <f t="shared" si="33"/>
        <v>#N/A</v>
      </c>
      <c r="AX35" s="488"/>
      <c r="AZ35" s="182" t="e">
        <f t="shared" si="35"/>
        <v>#N/A</v>
      </c>
      <c r="BA35" s="488"/>
    </row>
    <row r="36" spans="2:53">
      <c r="B36" s="454"/>
      <c r="C36" s="182">
        <v>10</v>
      </c>
      <c r="D36" s="203"/>
      <c r="E36" s="166"/>
      <c r="F36" s="182"/>
      <c r="G36" s="180"/>
      <c r="H36" s="464"/>
      <c r="I36" s="166" t="str">
        <f t="shared" si="19"/>
        <v>-</v>
      </c>
      <c r="J36" s="166" t="str">
        <f t="shared" si="20"/>
        <v>-</v>
      </c>
      <c r="K36" s="180" t="str">
        <f t="shared" si="21"/>
        <v>-</v>
      </c>
      <c r="L36" s="464"/>
      <c r="M36" s="181" t="e">
        <f>RANK(K36, K$27:$K$41)</f>
        <v>#VALUE!</v>
      </c>
      <c r="N36" s="461"/>
      <c r="O36" s="461"/>
      <c r="P36" s="182"/>
      <c r="Q36" s="182"/>
      <c r="R36" s="182"/>
      <c r="S36" s="182" t="e">
        <f t="shared" si="22"/>
        <v>#N/A</v>
      </c>
      <c r="T36" s="488"/>
      <c r="U36" s="182"/>
      <c r="V36" s="182"/>
      <c r="W36" s="182"/>
      <c r="X36" s="182" t="e">
        <f t="shared" si="23"/>
        <v>#N/A</v>
      </c>
      <c r="Y36" s="488"/>
      <c r="Z36" s="182"/>
      <c r="AA36" s="182"/>
      <c r="AB36" s="182"/>
      <c r="AC36" s="182" t="e">
        <f t="shared" si="25"/>
        <v>#N/A</v>
      </c>
      <c r="AD36" s="488"/>
      <c r="AE36" s="182"/>
      <c r="AF36" s="182"/>
      <c r="AG36" s="182"/>
      <c r="AH36" s="182" t="e">
        <f t="shared" si="27"/>
        <v>#N/A</v>
      </c>
      <c r="AI36" s="488"/>
      <c r="AJ36" s="182"/>
      <c r="AK36" s="182"/>
      <c r="AL36" s="182"/>
      <c r="AM36" s="182" t="e">
        <f t="shared" si="29"/>
        <v>#N/A</v>
      </c>
      <c r="AN36" s="488"/>
      <c r="AO36" s="182"/>
      <c r="AP36" s="182"/>
      <c r="AQ36" s="182"/>
      <c r="AR36" s="182" t="e">
        <f t="shared" si="31"/>
        <v>#N/A</v>
      </c>
      <c r="AS36" s="488"/>
      <c r="AT36" s="182"/>
      <c r="AU36" s="182"/>
      <c r="AV36" s="182"/>
      <c r="AW36" s="182" t="e">
        <f t="shared" si="33"/>
        <v>#N/A</v>
      </c>
      <c r="AX36" s="488"/>
      <c r="AZ36" s="182" t="e">
        <f t="shared" si="35"/>
        <v>#N/A</v>
      </c>
      <c r="BA36" s="488"/>
    </row>
    <row r="37" spans="2:53">
      <c r="B37" s="454"/>
      <c r="C37" s="182">
        <v>11</v>
      </c>
      <c r="D37" s="203"/>
      <c r="E37" s="166"/>
      <c r="F37" s="182"/>
      <c r="G37" s="180"/>
      <c r="H37" s="464"/>
      <c r="I37" s="166" t="str">
        <f t="shared" si="19"/>
        <v>-</v>
      </c>
      <c r="J37" s="166" t="str">
        <f t="shared" si="20"/>
        <v>-</v>
      </c>
      <c r="K37" s="180" t="str">
        <f t="shared" si="21"/>
        <v>-</v>
      </c>
      <c r="L37" s="464"/>
      <c r="M37" s="181" t="e">
        <f>RANK(K37, K$27:$K$41)</f>
        <v>#VALUE!</v>
      </c>
      <c r="N37" s="461"/>
      <c r="O37" s="461"/>
      <c r="P37" s="182"/>
      <c r="Q37" s="182"/>
      <c r="R37" s="182"/>
      <c r="S37" s="182" t="e">
        <f t="shared" si="22"/>
        <v>#N/A</v>
      </c>
      <c r="T37" s="488"/>
      <c r="U37" s="182"/>
      <c r="V37" s="182"/>
      <c r="W37" s="182"/>
      <c r="X37" s="182" t="e">
        <f t="shared" si="23"/>
        <v>#N/A</v>
      </c>
      <c r="Y37" s="488"/>
      <c r="Z37" s="182"/>
      <c r="AA37" s="182"/>
      <c r="AB37" s="182"/>
      <c r="AC37" s="182" t="e">
        <f t="shared" si="25"/>
        <v>#N/A</v>
      </c>
      <c r="AD37" s="488"/>
      <c r="AE37" s="182"/>
      <c r="AF37" s="182"/>
      <c r="AG37" s="182"/>
      <c r="AH37" s="182" t="e">
        <f t="shared" si="27"/>
        <v>#N/A</v>
      </c>
      <c r="AI37" s="488"/>
      <c r="AJ37" s="182"/>
      <c r="AK37" s="182"/>
      <c r="AL37" s="182"/>
      <c r="AM37" s="182" t="e">
        <f t="shared" si="29"/>
        <v>#N/A</v>
      </c>
      <c r="AN37" s="488"/>
      <c r="AO37" s="182"/>
      <c r="AP37" s="182"/>
      <c r="AQ37" s="182"/>
      <c r="AR37" s="182" t="e">
        <f t="shared" si="31"/>
        <v>#N/A</v>
      </c>
      <c r="AS37" s="488"/>
      <c r="AT37" s="182"/>
      <c r="AU37" s="182"/>
      <c r="AV37" s="182"/>
      <c r="AW37" s="182" t="e">
        <f t="shared" si="33"/>
        <v>#N/A</v>
      </c>
      <c r="AX37" s="488"/>
      <c r="AZ37" s="182" t="e">
        <f t="shared" si="35"/>
        <v>#N/A</v>
      </c>
      <c r="BA37" s="488"/>
    </row>
    <row r="38" spans="2:53">
      <c r="B38" s="454"/>
      <c r="C38" s="182">
        <v>12</v>
      </c>
      <c r="D38" s="203"/>
      <c r="E38" s="166"/>
      <c r="F38" s="182"/>
      <c r="G38" s="180"/>
      <c r="H38" s="464"/>
      <c r="I38" s="166" t="str">
        <f t="shared" si="19"/>
        <v>-</v>
      </c>
      <c r="J38" s="166" t="str">
        <f t="shared" si="20"/>
        <v>-</v>
      </c>
      <c r="K38" s="180" t="str">
        <f t="shared" si="21"/>
        <v>-</v>
      </c>
      <c r="L38" s="464"/>
      <c r="M38" s="181" t="e">
        <f>RANK(K38, K$27:$K$41)</f>
        <v>#VALUE!</v>
      </c>
      <c r="N38" s="461"/>
      <c r="O38" s="461"/>
      <c r="P38" s="182"/>
      <c r="Q38" s="182"/>
      <c r="R38" s="182"/>
      <c r="S38" s="182" t="e">
        <f t="shared" si="22"/>
        <v>#N/A</v>
      </c>
      <c r="T38" s="488"/>
      <c r="U38" s="182"/>
      <c r="V38" s="182"/>
      <c r="W38" s="182"/>
      <c r="X38" s="182" t="e">
        <f t="shared" si="23"/>
        <v>#N/A</v>
      </c>
      <c r="Y38" s="488"/>
      <c r="Z38" s="182"/>
      <c r="AA38" s="182"/>
      <c r="AB38" s="182"/>
      <c r="AC38" s="182" t="e">
        <f t="shared" si="25"/>
        <v>#N/A</v>
      </c>
      <c r="AD38" s="488"/>
      <c r="AE38" s="182"/>
      <c r="AF38" s="182"/>
      <c r="AG38" s="182"/>
      <c r="AH38" s="182" t="e">
        <f t="shared" si="27"/>
        <v>#N/A</v>
      </c>
      <c r="AI38" s="488"/>
      <c r="AJ38" s="182"/>
      <c r="AK38" s="182"/>
      <c r="AL38" s="182"/>
      <c r="AM38" s="182" t="e">
        <f t="shared" si="29"/>
        <v>#N/A</v>
      </c>
      <c r="AN38" s="488"/>
      <c r="AO38" s="182"/>
      <c r="AP38" s="182"/>
      <c r="AQ38" s="182"/>
      <c r="AR38" s="182" t="e">
        <f t="shared" si="31"/>
        <v>#N/A</v>
      </c>
      <c r="AS38" s="488"/>
      <c r="AT38" s="182"/>
      <c r="AU38" s="182"/>
      <c r="AV38" s="182"/>
      <c r="AW38" s="182" t="e">
        <f t="shared" si="33"/>
        <v>#N/A</v>
      </c>
      <c r="AX38" s="488"/>
      <c r="AZ38" s="182" t="e">
        <f t="shared" si="35"/>
        <v>#N/A</v>
      </c>
      <c r="BA38" s="488"/>
    </row>
    <row r="39" spans="2:53">
      <c r="B39" s="454"/>
      <c r="C39" s="182">
        <v>13</v>
      </c>
      <c r="D39" s="203"/>
      <c r="E39" s="166"/>
      <c r="F39" s="182"/>
      <c r="G39" s="180"/>
      <c r="H39" s="464"/>
      <c r="I39" s="166" t="str">
        <f t="shared" si="19"/>
        <v>-</v>
      </c>
      <c r="J39" s="166" t="str">
        <f t="shared" si="20"/>
        <v>-</v>
      </c>
      <c r="K39" s="180" t="str">
        <f t="shared" si="21"/>
        <v>-</v>
      </c>
      <c r="L39" s="464"/>
      <c r="M39" s="181" t="e">
        <f>RANK(K39, K$27:$K$41)</f>
        <v>#VALUE!</v>
      </c>
      <c r="N39" s="461"/>
      <c r="O39" s="461"/>
      <c r="P39" s="182"/>
      <c r="Q39" s="182"/>
      <c r="R39" s="182"/>
      <c r="S39" s="182" t="e">
        <f t="shared" si="22"/>
        <v>#N/A</v>
      </c>
      <c r="T39" s="488"/>
      <c r="U39" s="182"/>
      <c r="V39" s="182"/>
      <c r="W39" s="182"/>
      <c r="X39" s="182" t="e">
        <f t="shared" si="23"/>
        <v>#N/A</v>
      </c>
      <c r="Y39" s="488"/>
      <c r="Z39" s="182"/>
      <c r="AA39" s="182"/>
      <c r="AB39" s="182"/>
      <c r="AC39" s="182" t="e">
        <f t="shared" si="25"/>
        <v>#N/A</v>
      </c>
      <c r="AD39" s="488"/>
      <c r="AE39" s="182"/>
      <c r="AF39" s="182"/>
      <c r="AG39" s="182"/>
      <c r="AH39" s="182" t="e">
        <f t="shared" si="27"/>
        <v>#N/A</v>
      </c>
      <c r="AI39" s="488"/>
      <c r="AJ39" s="182"/>
      <c r="AK39" s="182"/>
      <c r="AL39" s="182"/>
      <c r="AM39" s="182" t="e">
        <f t="shared" si="29"/>
        <v>#N/A</v>
      </c>
      <c r="AN39" s="488"/>
      <c r="AO39" s="182"/>
      <c r="AP39" s="182"/>
      <c r="AQ39" s="182"/>
      <c r="AR39" s="182" t="e">
        <f t="shared" si="31"/>
        <v>#N/A</v>
      </c>
      <c r="AS39" s="488"/>
      <c r="AT39" s="182"/>
      <c r="AU39" s="182"/>
      <c r="AV39" s="182"/>
      <c r="AW39" s="182" t="e">
        <f t="shared" si="33"/>
        <v>#N/A</v>
      </c>
      <c r="AX39" s="488"/>
      <c r="AZ39" s="182" t="e">
        <f t="shared" si="35"/>
        <v>#N/A</v>
      </c>
      <c r="BA39" s="488"/>
    </row>
    <row r="40" spans="2:53">
      <c r="B40" s="454"/>
      <c r="C40" s="182">
        <v>14</v>
      </c>
      <c r="D40" s="203"/>
      <c r="E40" s="166"/>
      <c r="F40" s="182"/>
      <c r="G40" s="180"/>
      <c r="H40" s="464"/>
      <c r="I40" s="166" t="str">
        <f t="shared" si="19"/>
        <v>-</v>
      </c>
      <c r="J40" s="166" t="str">
        <f t="shared" si="20"/>
        <v>-</v>
      </c>
      <c r="K40" s="180" t="str">
        <f t="shared" si="21"/>
        <v>-</v>
      </c>
      <c r="L40" s="464"/>
      <c r="M40" s="181" t="e">
        <f>RANK(K40, K$27:$K$41)</f>
        <v>#VALUE!</v>
      </c>
      <c r="N40" s="461"/>
      <c r="O40" s="461"/>
      <c r="P40" s="182"/>
      <c r="Q40" s="182"/>
      <c r="R40" s="182"/>
      <c r="S40" s="182" t="e">
        <f t="shared" si="22"/>
        <v>#N/A</v>
      </c>
      <c r="T40" s="488"/>
      <c r="U40" s="182"/>
      <c r="V40" s="182"/>
      <c r="W40" s="182"/>
      <c r="X40" s="182" t="e">
        <f t="shared" si="23"/>
        <v>#N/A</v>
      </c>
      <c r="Y40" s="488"/>
      <c r="Z40" s="182"/>
      <c r="AA40" s="182"/>
      <c r="AB40" s="182"/>
      <c r="AC40" s="182" t="e">
        <f t="shared" si="25"/>
        <v>#N/A</v>
      </c>
      <c r="AD40" s="488"/>
      <c r="AE40" s="182"/>
      <c r="AF40" s="182"/>
      <c r="AG40" s="182"/>
      <c r="AH40" s="182" t="e">
        <f t="shared" si="27"/>
        <v>#N/A</v>
      </c>
      <c r="AI40" s="488"/>
      <c r="AJ40" s="182"/>
      <c r="AK40" s="182"/>
      <c r="AL40" s="182"/>
      <c r="AM40" s="182" t="e">
        <f t="shared" si="29"/>
        <v>#N/A</v>
      </c>
      <c r="AN40" s="488"/>
      <c r="AO40" s="182"/>
      <c r="AP40" s="182"/>
      <c r="AQ40" s="182"/>
      <c r="AR40" s="182" t="e">
        <f t="shared" si="31"/>
        <v>#N/A</v>
      </c>
      <c r="AS40" s="488"/>
      <c r="AT40" s="182"/>
      <c r="AU40" s="182"/>
      <c r="AV40" s="182"/>
      <c r="AW40" s="182" t="e">
        <f t="shared" si="33"/>
        <v>#N/A</v>
      </c>
      <c r="AX40" s="488"/>
      <c r="AZ40" s="182" t="e">
        <f t="shared" si="35"/>
        <v>#N/A</v>
      </c>
      <c r="BA40" s="488"/>
    </row>
    <row r="41" spans="2:53">
      <c r="B41" s="454"/>
      <c r="C41" s="182">
        <v>15</v>
      </c>
      <c r="D41" s="203"/>
      <c r="E41" s="166"/>
      <c r="F41" s="182"/>
      <c r="G41" s="180"/>
      <c r="H41" s="465"/>
      <c r="I41" s="182"/>
      <c r="J41" s="182"/>
      <c r="K41" s="182"/>
      <c r="L41" s="465"/>
      <c r="M41" s="166" t="e">
        <f>RANK(K41, K$27:$K$41)</f>
        <v>#N/A</v>
      </c>
      <c r="N41" s="461"/>
      <c r="O41" s="461"/>
      <c r="P41" s="182"/>
      <c r="Q41" s="182"/>
      <c r="R41" s="182"/>
      <c r="S41" s="182" t="e">
        <f t="shared" si="22"/>
        <v>#N/A</v>
      </c>
      <c r="T41" s="489"/>
      <c r="U41" s="182"/>
      <c r="V41" s="182"/>
      <c r="W41" s="182"/>
      <c r="X41" s="182" t="e">
        <f t="shared" si="23"/>
        <v>#N/A</v>
      </c>
      <c r="Y41" s="489"/>
      <c r="Z41" s="182"/>
      <c r="AA41" s="182"/>
      <c r="AB41" s="182"/>
      <c r="AC41" s="182" t="e">
        <f t="shared" si="25"/>
        <v>#N/A</v>
      </c>
      <c r="AD41" s="489"/>
      <c r="AE41" s="182"/>
      <c r="AF41" s="182"/>
      <c r="AG41" s="182"/>
      <c r="AH41" s="182" t="e">
        <f t="shared" si="27"/>
        <v>#N/A</v>
      </c>
      <c r="AI41" s="489"/>
      <c r="AJ41" s="182"/>
      <c r="AK41" s="182"/>
      <c r="AL41" s="182"/>
      <c r="AM41" s="182" t="e">
        <f t="shared" si="29"/>
        <v>#N/A</v>
      </c>
      <c r="AN41" s="489"/>
      <c r="AO41" s="182"/>
      <c r="AP41" s="182"/>
      <c r="AQ41" s="182"/>
      <c r="AR41" s="182" t="e">
        <f t="shared" si="31"/>
        <v>#N/A</v>
      </c>
      <c r="AS41" s="489"/>
      <c r="AT41" s="182"/>
      <c r="AU41" s="182"/>
      <c r="AV41" s="182"/>
      <c r="AW41" s="182" t="e">
        <f t="shared" si="33"/>
        <v>#N/A</v>
      </c>
      <c r="AX41" s="489"/>
      <c r="AZ41" s="182" t="e">
        <f t="shared" si="35"/>
        <v>#N/A</v>
      </c>
      <c r="BA41" s="489"/>
    </row>
    <row r="42" spans="2:53" ht="15.5">
      <c r="B42" s="493" t="s">
        <v>163</v>
      </c>
      <c r="C42" s="494"/>
      <c r="D42" s="494"/>
      <c r="E42" s="494"/>
      <c r="F42" s="494"/>
      <c r="G42" s="494"/>
      <c r="H42" s="494"/>
      <c r="I42" s="186"/>
      <c r="J42" s="183"/>
      <c r="K42" s="186"/>
      <c r="L42" s="186"/>
      <c r="M42" s="178"/>
      <c r="N42" s="480" t="s">
        <v>156</v>
      </c>
      <c r="O42" s="480" t="s">
        <v>105</v>
      </c>
      <c r="P42" s="476">
        <f>P22+7</f>
        <v>46126</v>
      </c>
      <c r="Q42" s="454"/>
      <c r="R42" s="454"/>
      <c r="S42" s="454"/>
      <c r="T42" s="454"/>
      <c r="U42" s="473">
        <f>P42+1</f>
        <v>46127</v>
      </c>
      <c r="V42" s="474"/>
      <c r="W42" s="474"/>
      <c r="X42" s="474"/>
      <c r="Y42" s="475"/>
      <c r="Z42" s="473">
        <f>U42+1</f>
        <v>46128</v>
      </c>
      <c r="AA42" s="474"/>
      <c r="AB42" s="474"/>
      <c r="AC42" s="474"/>
      <c r="AD42" s="475"/>
      <c r="AE42" s="473">
        <f>Z42+1</f>
        <v>46129</v>
      </c>
      <c r="AF42" s="474"/>
      <c r="AG42" s="474"/>
      <c r="AH42" s="474"/>
      <c r="AI42" s="475"/>
      <c r="AJ42" s="473">
        <f>AE42+1</f>
        <v>46130</v>
      </c>
      <c r="AK42" s="474"/>
      <c r="AL42" s="474"/>
      <c r="AM42" s="474"/>
      <c r="AN42" s="475"/>
      <c r="AO42" s="473">
        <f>AJ42+1</f>
        <v>46131</v>
      </c>
      <c r="AP42" s="474"/>
      <c r="AQ42" s="474"/>
      <c r="AR42" s="474"/>
      <c r="AS42" s="475"/>
      <c r="AT42" s="473">
        <f>AO42+1</f>
        <v>46132</v>
      </c>
      <c r="AU42" s="474"/>
      <c r="AV42" s="474"/>
      <c r="AW42" s="474"/>
      <c r="AX42" s="475"/>
    </row>
    <row r="43" spans="2:53" ht="15.5">
      <c r="B43" s="479"/>
      <c r="C43" s="479"/>
      <c r="D43" s="479"/>
      <c r="E43" s="479"/>
      <c r="F43" s="479"/>
      <c r="G43" s="479"/>
      <c r="H43" s="479"/>
      <c r="I43" s="184"/>
      <c r="J43" s="184"/>
      <c r="K43" s="184"/>
      <c r="L43" s="184"/>
      <c r="M43" s="179"/>
      <c r="N43" s="481"/>
      <c r="O43" s="481"/>
      <c r="P43" s="476" t="s">
        <v>336</v>
      </c>
      <c r="Q43" s="454"/>
      <c r="R43" s="454"/>
      <c r="S43" s="454"/>
      <c r="T43" s="454"/>
      <c r="U43" s="476" t="s">
        <v>337</v>
      </c>
      <c r="V43" s="454"/>
      <c r="W43" s="454"/>
      <c r="X43" s="454"/>
      <c r="Y43" s="454"/>
      <c r="Z43" s="476" t="s">
        <v>338</v>
      </c>
      <c r="AA43" s="454"/>
      <c r="AB43" s="454"/>
      <c r="AC43" s="454"/>
      <c r="AD43" s="454"/>
      <c r="AE43" s="476" t="s">
        <v>339</v>
      </c>
      <c r="AF43" s="454"/>
      <c r="AG43" s="454"/>
      <c r="AH43" s="454"/>
      <c r="AI43" s="454"/>
      <c r="AJ43" s="476" t="s">
        <v>340</v>
      </c>
      <c r="AK43" s="454"/>
      <c r="AL43" s="454"/>
      <c r="AM43" s="454"/>
      <c r="AN43" s="454"/>
      <c r="AO43" s="476" t="s">
        <v>341</v>
      </c>
      <c r="AP43" s="454"/>
      <c r="AQ43" s="454"/>
      <c r="AR43" s="454"/>
      <c r="AS43" s="454"/>
      <c r="AT43" s="476" t="s">
        <v>342</v>
      </c>
      <c r="AU43" s="454"/>
      <c r="AV43" s="454"/>
      <c r="AW43" s="454"/>
      <c r="AX43" s="454"/>
    </row>
    <row r="44" spans="2:53">
      <c r="B44" s="461" t="s">
        <v>532</v>
      </c>
      <c r="C44" s="461" t="s">
        <v>533</v>
      </c>
      <c r="D44" s="461"/>
      <c r="E44" s="461" t="s">
        <v>534</v>
      </c>
      <c r="F44" s="461"/>
      <c r="G44" s="461"/>
      <c r="H44" s="482" t="s">
        <v>535</v>
      </c>
      <c r="I44" s="461" t="s">
        <v>536</v>
      </c>
      <c r="J44" s="461"/>
      <c r="K44" s="461"/>
      <c r="L44" s="482" t="s">
        <v>535</v>
      </c>
      <c r="M44" s="480" t="s">
        <v>537</v>
      </c>
      <c r="N44" s="461"/>
      <c r="O44" s="461" t="s">
        <v>538</v>
      </c>
      <c r="P44" s="466" t="s">
        <v>539</v>
      </c>
      <c r="Q44" s="467"/>
      <c r="R44" s="467"/>
      <c r="S44" s="468"/>
      <c r="T44" s="461" t="s">
        <v>535</v>
      </c>
      <c r="U44" s="466" t="s">
        <v>539</v>
      </c>
      <c r="V44" s="467"/>
      <c r="W44" s="467"/>
      <c r="X44" s="468"/>
      <c r="Y44" s="461" t="s">
        <v>535</v>
      </c>
      <c r="Z44" s="466" t="s">
        <v>539</v>
      </c>
      <c r="AA44" s="467"/>
      <c r="AB44" s="467"/>
      <c r="AC44" s="468"/>
      <c r="AD44" s="461" t="s">
        <v>535</v>
      </c>
      <c r="AE44" s="466" t="s">
        <v>539</v>
      </c>
      <c r="AF44" s="467"/>
      <c r="AG44" s="467"/>
      <c r="AH44" s="468"/>
      <c r="AI44" s="461" t="s">
        <v>535</v>
      </c>
      <c r="AJ44" s="466" t="s">
        <v>539</v>
      </c>
      <c r="AK44" s="467"/>
      <c r="AL44" s="467"/>
      <c r="AM44" s="468"/>
      <c r="AN44" s="461" t="s">
        <v>535</v>
      </c>
      <c r="AO44" s="466" t="s">
        <v>539</v>
      </c>
      <c r="AP44" s="467"/>
      <c r="AQ44" s="467"/>
      <c r="AR44" s="468"/>
      <c r="AS44" s="461" t="s">
        <v>535</v>
      </c>
      <c r="AT44" s="466" t="s">
        <v>539</v>
      </c>
      <c r="AU44" s="467"/>
      <c r="AV44" s="467"/>
      <c r="AW44" s="468"/>
      <c r="AX44" s="461" t="s">
        <v>535</v>
      </c>
      <c r="BA44" s="461" t="s">
        <v>396</v>
      </c>
    </row>
    <row r="45" spans="2:53">
      <c r="B45" s="461"/>
      <c r="C45" s="461"/>
      <c r="D45" s="461"/>
      <c r="E45" s="461" t="s">
        <v>540</v>
      </c>
      <c r="F45" s="461"/>
      <c r="G45" s="461"/>
      <c r="H45" s="483"/>
      <c r="I45" s="461" t="s">
        <v>540</v>
      </c>
      <c r="J45" s="461"/>
      <c r="K45" s="461"/>
      <c r="L45" s="483"/>
      <c r="M45" s="485"/>
      <c r="N45" s="461"/>
      <c r="O45" s="461"/>
      <c r="P45" s="466" t="s">
        <v>541</v>
      </c>
      <c r="Q45" s="467"/>
      <c r="R45" s="467"/>
      <c r="S45" s="468"/>
      <c r="T45" s="461"/>
      <c r="U45" s="466" t="s">
        <v>541</v>
      </c>
      <c r="V45" s="467"/>
      <c r="W45" s="467"/>
      <c r="X45" s="468"/>
      <c r="Y45" s="461"/>
      <c r="Z45" s="466" t="s">
        <v>541</v>
      </c>
      <c r="AA45" s="467"/>
      <c r="AB45" s="467"/>
      <c r="AC45" s="468"/>
      <c r="AD45" s="461"/>
      <c r="AE45" s="466" t="s">
        <v>541</v>
      </c>
      <c r="AF45" s="467"/>
      <c r="AG45" s="467"/>
      <c r="AH45" s="468"/>
      <c r="AI45" s="461"/>
      <c r="AJ45" s="466" t="s">
        <v>541</v>
      </c>
      <c r="AK45" s="467"/>
      <c r="AL45" s="467"/>
      <c r="AM45" s="468"/>
      <c r="AN45" s="461"/>
      <c r="AO45" s="466" t="s">
        <v>541</v>
      </c>
      <c r="AP45" s="467"/>
      <c r="AQ45" s="467"/>
      <c r="AR45" s="468"/>
      <c r="AS45" s="461"/>
      <c r="AT45" s="466" t="s">
        <v>541</v>
      </c>
      <c r="AU45" s="467"/>
      <c r="AV45" s="467"/>
      <c r="AW45" s="468"/>
      <c r="AX45" s="461"/>
      <c r="BA45" s="461"/>
    </row>
    <row r="46" spans="2:53">
      <c r="B46" s="461"/>
      <c r="C46" s="461"/>
      <c r="D46" s="461"/>
      <c r="E46" s="269" t="s">
        <v>542</v>
      </c>
      <c r="F46" s="269" t="s">
        <v>543</v>
      </c>
      <c r="G46" s="269" t="s">
        <v>544</v>
      </c>
      <c r="H46" s="484"/>
      <c r="I46" s="269" t="s">
        <v>542</v>
      </c>
      <c r="J46" s="269" t="s">
        <v>543</v>
      </c>
      <c r="K46" s="269" t="s">
        <v>544</v>
      </c>
      <c r="L46" s="484"/>
      <c r="M46" s="481"/>
      <c r="N46" s="461"/>
      <c r="O46" s="461"/>
      <c r="P46" s="269" t="s">
        <v>542</v>
      </c>
      <c r="Q46" s="269" t="s">
        <v>543</v>
      </c>
      <c r="R46" s="269" t="s">
        <v>544</v>
      </c>
      <c r="S46" s="269" t="s">
        <v>537</v>
      </c>
      <c r="T46" s="461"/>
      <c r="U46" s="269" t="s">
        <v>542</v>
      </c>
      <c r="V46" s="269" t="s">
        <v>543</v>
      </c>
      <c r="W46" s="269" t="s">
        <v>544</v>
      </c>
      <c r="X46" s="269" t="s">
        <v>537</v>
      </c>
      <c r="Y46" s="461"/>
      <c r="Z46" s="269" t="s">
        <v>542</v>
      </c>
      <c r="AA46" s="269" t="s">
        <v>543</v>
      </c>
      <c r="AB46" s="269" t="s">
        <v>544</v>
      </c>
      <c r="AC46" s="269" t="s">
        <v>537</v>
      </c>
      <c r="AD46" s="461"/>
      <c r="AE46" s="269" t="s">
        <v>542</v>
      </c>
      <c r="AF46" s="269" t="s">
        <v>543</v>
      </c>
      <c r="AG46" s="269" t="s">
        <v>544</v>
      </c>
      <c r="AH46" s="269" t="s">
        <v>537</v>
      </c>
      <c r="AI46" s="461"/>
      <c r="AJ46" s="269" t="s">
        <v>542</v>
      </c>
      <c r="AK46" s="269" t="s">
        <v>543</v>
      </c>
      <c r="AL46" s="269" t="s">
        <v>544</v>
      </c>
      <c r="AM46" s="269" t="s">
        <v>537</v>
      </c>
      <c r="AN46" s="461"/>
      <c r="AO46" s="269" t="s">
        <v>542</v>
      </c>
      <c r="AP46" s="269" t="s">
        <v>543</v>
      </c>
      <c r="AQ46" s="269" t="s">
        <v>544</v>
      </c>
      <c r="AR46" s="269" t="s">
        <v>537</v>
      </c>
      <c r="AS46" s="461"/>
      <c r="AT46" s="269" t="s">
        <v>542</v>
      </c>
      <c r="AU46" s="269" t="s">
        <v>543</v>
      </c>
      <c r="AV46" s="269" t="s">
        <v>544</v>
      </c>
      <c r="AW46" s="269" t="s">
        <v>537</v>
      </c>
      <c r="AX46" s="461"/>
      <c r="AZ46" s="269" t="s">
        <v>397</v>
      </c>
      <c r="BA46" s="461"/>
    </row>
    <row r="47" spans="2:53">
      <c r="B47" s="461" t="s">
        <v>545</v>
      </c>
      <c r="C47" s="182">
        <v>1</v>
      </c>
      <c r="D47" s="203"/>
      <c r="E47" s="166"/>
      <c r="F47" s="182"/>
      <c r="G47" s="180"/>
      <c r="H47" s="463" t="e">
        <f>AVERAGE(G47:G61)</f>
        <v>#DIV/0!</v>
      </c>
      <c r="I47" s="166" t="str">
        <f t="shared" ref="I47:I60" si="37">IFERROR(AVERAGE(P47,U47,Z47,AE47,AJ47,AO47,AT47),"-")</f>
        <v>-</v>
      </c>
      <c r="J47" s="166" t="str">
        <f t="shared" ref="J47:J60" si="38">IFERROR(AVERAGE(Q47,V47,AA47,AF47,AK47,AP47,AU47),"-")</f>
        <v>-</v>
      </c>
      <c r="K47" s="180" t="str">
        <f t="shared" ref="K47:K60" si="39">IFERROR(AVERAGE(R47,W47,AB47,AG47,AL47,AQ47,AV47),"-")</f>
        <v>-</v>
      </c>
      <c r="L47" s="463" t="str">
        <f>IFERROR(AVERAGE(K47:K61),"-")</f>
        <v>-</v>
      </c>
      <c r="M47" s="181" t="e">
        <f>RANK(K47, K$47:$K$61)</f>
        <v>#VALUE!</v>
      </c>
      <c r="N47" s="461"/>
      <c r="O47" s="461"/>
      <c r="P47" s="166"/>
      <c r="Q47" s="166"/>
      <c r="R47" s="180"/>
      <c r="S47" s="182" t="e">
        <f>RANK(R47, R$47:R$61)</f>
        <v>#N/A</v>
      </c>
      <c r="T47" s="487" t="e">
        <f>AVERAGE(R47:R61)</f>
        <v>#DIV/0!</v>
      </c>
      <c r="U47" s="166"/>
      <c r="V47" s="166"/>
      <c r="W47" s="180"/>
      <c r="X47" s="182" t="e">
        <f t="shared" ref="X47:X61" si="40">RANK(W47, W$47:W$61)</f>
        <v>#N/A</v>
      </c>
      <c r="Y47" s="487" t="e">
        <f t="shared" ref="Y47" si="41">AVERAGE(W47:W61)</f>
        <v>#DIV/0!</v>
      </c>
      <c r="Z47" s="166"/>
      <c r="AA47" s="166"/>
      <c r="AB47" s="180"/>
      <c r="AC47" s="182" t="e">
        <f t="shared" ref="AC47:AC61" si="42">RANK(AB47, AB$47:AB$61)</f>
        <v>#N/A</v>
      </c>
      <c r="AD47" s="487" t="e">
        <f t="shared" ref="AD47" si="43">AVERAGE(AB47:AB61)</f>
        <v>#DIV/0!</v>
      </c>
      <c r="AE47" s="166"/>
      <c r="AF47" s="166"/>
      <c r="AG47" s="180"/>
      <c r="AH47" s="182" t="e">
        <f t="shared" ref="AH47:AH61" si="44">RANK(AG47, AG$47:AG$61)</f>
        <v>#N/A</v>
      </c>
      <c r="AI47" s="487" t="e">
        <f t="shared" ref="AI47" si="45">AVERAGE(AG47:AG61)</f>
        <v>#DIV/0!</v>
      </c>
      <c r="AJ47" s="166"/>
      <c r="AK47" s="166"/>
      <c r="AL47" s="180"/>
      <c r="AM47" s="182" t="e">
        <f t="shared" ref="AM47:AM61" si="46">RANK(AL47, AL$47:AL$61)</f>
        <v>#N/A</v>
      </c>
      <c r="AN47" s="487" t="e">
        <f t="shared" ref="AN47" si="47">AVERAGE(AL47:AL61)</f>
        <v>#DIV/0!</v>
      </c>
      <c r="AO47" s="166"/>
      <c r="AP47" s="166"/>
      <c r="AQ47" s="180"/>
      <c r="AR47" s="182" t="e">
        <f t="shared" ref="AR47:AR61" si="48">RANK(AQ47, AQ$47:AQ$61)</f>
        <v>#N/A</v>
      </c>
      <c r="AS47" s="487" t="e">
        <f t="shared" ref="AS47" si="49">AVERAGE(AQ47:AQ61)</f>
        <v>#DIV/0!</v>
      </c>
      <c r="AT47" s="166"/>
      <c r="AU47" s="166"/>
      <c r="AV47" s="180"/>
      <c r="AW47" s="182" t="e">
        <f t="shared" ref="AW47:AW61" si="50">RANK(AV47, AV$47:AV$61)</f>
        <v>#N/A</v>
      </c>
      <c r="AX47" s="487" t="e">
        <f t="shared" ref="AX47" si="51">AVERAGE(AV47:AV61)</f>
        <v>#DIV/0!</v>
      </c>
      <c r="AZ47" s="182" t="e">
        <f t="shared" ref="AZ47:AZ61" si="52">RANK(AY47, AY$47:AY$61)</f>
        <v>#N/A</v>
      </c>
      <c r="BA47" s="487" t="e">
        <f t="shared" ref="BA47" si="53">AVERAGE(AY47:AY61)</f>
        <v>#DIV/0!</v>
      </c>
    </row>
    <row r="48" spans="2:53">
      <c r="B48" s="454"/>
      <c r="C48" s="182">
        <v>2</v>
      </c>
      <c r="D48" s="203"/>
      <c r="E48" s="166"/>
      <c r="F48" s="182"/>
      <c r="G48" s="180"/>
      <c r="H48" s="464"/>
      <c r="I48" s="166" t="str">
        <f t="shared" si="37"/>
        <v>-</v>
      </c>
      <c r="J48" s="166" t="str">
        <f t="shared" si="38"/>
        <v>-</v>
      </c>
      <c r="K48" s="180" t="str">
        <f t="shared" si="39"/>
        <v>-</v>
      </c>
      <c r="L48" s="464"/>
      <c r="M48" s="181" t="e">
        <f>RANK(K48, K$47:$K$61)</f>
        <v>#VALUE!</v>
      </c>
      <c r="N48" s="461"/>
      <c r="O48" s="461"/>
      <c r="P48" s="182"/>
      <c r="Q48" s="166"/>
      <c r="R48" s="180"/>
      <c r="S48" s="182" t="e">
        <f t="shared" ref="S48:S61" si="54">RANK(R48, R$47:R$61)</f>
        <v>#N/A</v>
      </c>
      <c r="T48" s="488"/>
      <c r="U48" s="182"/>
      <c r="V48" s="166"/>
      <c r="W48" s="180"/>
      <c r="X48" s="182" t="e">
        <f t="shared" si="40"/>
        <v>#N/A</v>
      </c>
      <c r="Y48" s="488"/>
      <c r="Z48" s="182"/>
      <c r="AA48" s="166"/>
      <c r="AB48" s="180"/>
      <c r="AC48" s="182" t="e">
        <f t="shared" si="42"/>
        <v>#N/A</v>
      </c>
      <c r="AD48" s="488"/>
      <c r="AE48" s="182"/>
      <c r="AF48" s="166"/>
      <c r="AG48" s="180"/>
      <c r="AH48" s="182" t="e">
        <f t="shared" si="44"/>
        <v>#N/A</v>
      </c>
      <c r="AI48" s="488"/>
      <c r="AJ48" s="182"/>
      <c r="AK48" s="166"/>
      <c r="AL48" s="180"/>
      <c r="AM48" s="182" t="e">
        <f t="shared" si="46"/>
        <v>#N/A</v>
      </c>
      <c r="AN48" s="488"/>
      <c r="AO48" s="182"/>
      <c r="AP48" s="166"/>
      <c r="AQ48" s="180"/>
      <c r="AR48" s="182" t="e">
        <f t="shared" si="48"/>
        <v>#N/A</v>
      </c>
      <c r="AS48" s="488"/>
      <c r="AT48" s="182"/>
      <c r="AU48" s="166"/>
      <c r="AV48" s="180"/>
      <c r="AW48" s="182" t="e">
        <f t="shared" si="50"/>
        <v>#N/A</v>
      </c>
      <c r="AX48" s="488"/>
      <c r="AZ48" s="182" t="e">
        <f t="shared" si="52"/>
        <v>#N/A</v>
      </c>
      <c r="BA48" s="488"/>
    </row>
    <row r="49" spans="2:53">
      <c r="B49" s="454"/>
      <c r="C49" s="182">
        <v>3</v>
      </c>
      <c r="D49" s="203"/>
      <c r="E49" s="166"/>
      <c r="F49" s="182"/>
      <c r="G49" s="180"/>
      <c r="H49" s="464"/>
      <c r="I49" s="166" t="str">
        <f t="shared" si="37"/>
        <v>-</v>
      </c>
      <c r="J49" s="166" t="str">
        <f t="shared" si="38"/>
        <v>-</v>
      </c>
      <c r="K49" s="180" t="str">
        <f t="shared" si="39"/>
        <v>-</v>
      </c>
      <c r="L49" s="464"/>
      <c r="M49" s="181" t="e">
        <f>RANK(K49, K$47:$K$61)</f>
        <v>#VALUE!</v>
      </c>
      <c r="N49" s="461"/>
      <c r="O49" s="461"/>
      <c r="P49" s="182"/>
      <c r="Q49" s="182"/>
      <c r="R49" s="182"/>
      <c r="S49" s="182" t="e">
        <f t="shared" si="54"/>
        <v>#N/A</v>
      </c>
      <c r="T49" s="488"/>
      <c r="U49" s="182"/>
      <c r="V49" s="182"/>
      <c r="W49" s="182"/>
      <c r="X49" s="182" t="e">
        <f t="shared" si="40"/>
        <v>#N/A</v>
      </c>
      <c r="Y49" s="488"/>
      <c r="Z49" s="182"/>
      <c r="AA49" s="182"/>
      <c r="AB49" s="182"/>
      <c r="AC49" s="182" t="e">
        <f t="shared" si="42"/>
        <v>#N/A</v>
      </c>
      <c r="AD49" s="488"/>
      <c r="AE49" s="182"/>
      <c r="AF49" s="182"/>
      <c r="AG49" s="182"/>
      <c r="AH49" s="182" t="e">
        <f t="shared" si="44"/>
        <v>#N/A</v>
      </c>
      <c r="AI49" s="488"/>
      <c r="AJ49" s="182"/>
      <c r="AK49" s="182"/>
      <c r="AL49" s="182"/>
      <c r="AM49" s="182" t="e">
        <f t="shared" si="46"/>
        <v>#N/A</v>
      </c>
      <c r="AN49" s="488"/>
      <c r="AO49" s="182"/>
      <c r="AP49" s="182"/>
      <c r="AQ49" s="182"/>
      <c r="AR49" s="182" t="e">
        <f t="shared" si="48"/>
        <v>#N/A</v>
      </c>
      <c r="AS49" s="488"/>
      <c r="AT49" s="182"/>
      <c r="AU49" s="182"/>
      <c r="AV49" s="182"/>
      <c r="AW49" s="182" t="e">
        <f t="shared" si="50"/>
        <v>#N/A</v>
      </c>
      <c r="AX49" s="488"/>
      <c r="AZ49" s="182" t="e">
        <f t="shared" si="52"/>
        <v>#N/A</v>
      </c>
      <c r="BA49" s="488"/>
    </row>
    <row r="50" spans="2:53">
      <c r="B50" s="454"/>
      <c r="C50" s="182">
        <v>4</v>
      </c>
      <c r="D50" s="203"/>
      <c r="E50" s="166"/>
      <c r="F50" s="182"/>
      <c r="G50" s="180"/>
      <c r="H50" s="464"/>
      <c r="I50" s="166" t="str">
        <f t="shared" si="37"/>
        <v>-</v>
      </c>
      <c r="J50" s="166" t="str">
        <f t="shared" si="38"/>
        <v>-</v>
      </c>
      <c r="K50" s="180" t="str">
        <f t="shared" si="39"/>
        <v>-</v>
      </c>
      <c r="L50" s="464"/>
      <c r="M50" s="181" t="e">
        <f>RANK(K50, K$47:$K$61)</f>
        <v>#VALUE!</v>
      </c>
      <c r="N50" s="461"/>
      <c r="O50" s="461"/>
      <c r="P50" s="182"/>
      <c r="Q50" s="182"/>
      <c r="R50" s="182"/>
      <c r="S50" s="182" t="e">
        <f t="shared" si="54"/>
        <v>#N/A</v>
      </c>
      <c r="T50" s="488"/>
      <c r="U50" s="182"/>
      <c r="V50" s="182"/>
      <c r="W50" s="182"/>
      <c r="X50" s="182" t="e">
        <f t="shared" si="40"/>
        <v>#N/A</v>
      </c>
      <c r="Y50" s="488"/>
      <c r="Z50" s="182"/>
      <c r="AA50" s="182"/>
      <c r="AB50" s="182"/>
      <c r="AC50" s="182" t="e">
        <f t="shared" si="42"/>
        <v>#N/A</v>
      </c>
      <c r="AD50" s="488"/>
      <c r="AE50" s="182"/>
      <c r="AF50" s="182"/>
      <c r="AG50" s="182"/>
      <c r="AH50" s="182" t="e">
        <f t="shared" si="44"/>
        <v>#N/A</v>
      </c>
      <c r="AI50" s="488"/>
      <c r="AJ50" s="182"/>
      <c r="AK50" s="182"/>
      <c r="AL50" s="182"/>
      <c r="AM50" s="182" t="e">
        <f t="shared" si="46"/>
        <v>#N/A</v>
      </c>
      <c r="AN50" s="488"/>
      <c r="AO50" s="182"/>
      <c r="AP50" s="182"/>
      <c r="AQ50" s="182"/>
      <c r="AR50" s="182" t="e">
        <f t="shared" si="48"/>
        <v>#N/A</v>
      </c>
      <c r="AS50" s="488"/>
      <c r="AT50" s="182"/>
      <c r="AU50" s="182"/>
      <c r="AV50" s="182"/>
      <c r="AW50" s="182" t="e">
        <f t="shared" si="50"/>
        <v>#N/A</v>
      </c>
      <c r="AX50" s="488"/>
      <c r="AZ50" s="182" t="e">
        <f t="shared" si="52"/>
        <v>#N/A</v>
      </c>
      <c r="BA50" s="488"/>
    </row>
    <row r="51" spans="2:53">
      <c r="B51" s="454"/>
      <c r="C51" s="182">
        <v>5</v>
      </c>
      <c r="D51" s="203"/>
      <c r="E51" s="166"/>
      <c r="F51" s="182"/>
      <c r="G51" s="180"/>
      <c r="H51" s="464"/>
      <c r="I51" s="166" t="str">
        <f t="shared" si="37"/>
        <v>-</v>
      </c>
      <c r="J51" s="166" t="str">
        <f t="shared" si="38"/>
        <v>-</v>
      </c>
      <c r="K51" s="180" t="str">
        <f t="shared" si="39"/>
        <v>-</v>
      </c>
      <c r="L51" s="464"/>
      <c r="M51" s="181" t="e">
        <f>RANK(K51, K$47:$K$61)</f>
        <v>#VALUE!</v>
      </c>
      <c r="N51" s="461"/>
      <c r="O51" s="461"/>
      <c r="P51" s="182"/>
      <c r="Q51" s="182"/>
      <c r="R51" s="182"/>
      <c r="S51" s="182" t="e">
        <f t="shared" si="54"/>
        <v>#N/A</v>
      </c>
      <c r="T51" s="488"/>
      <c r="U51" s="182"/>
      <c r="V51" s="182"/>
      <c r="W51" s="182"/>
      <c r="X51" s="182" t="e">
        <f t="shared" si="40"/>
        <v>#N/A</v>
      </c>
      <c r="Y51" s="488"/>
      <c r="Z51" s="182"/>
      <c r="AA51" s="182"/>
      <c r="AB51" s="182"/>
      <c r="AC51" s="182" t="e">
        <f t="shared" si="42"/>
        <v>#N/A</v>
      </c>
      <c r="AD51" s="488"/>
      <c r="AE51" s="182"/>
      <c r="AF51" s="182"/>
      <c r="AG51" s="182"/>
      <c r="AH51" s="182" t="e">
        <f t="shared" si="44"/>
        <v>#N/A</v>
      </c>
      <c r="AI51" s="488"/>
      <c r="AJ51" s="182"/>
      <c r="AK51" s="182"/>
      <c r="AL51" s="182"/>
      <c r="AM51" s="182" t="e">
        <f t="shared" si="46"/>
        <v>#N/A</v>
      </c>
      <c r="AN51" s="488"/>
      <c r="AO51" s="182"/>
      <c r="AP51" s="182"/>
      <c r="AQ51" s="182"/>
      <c r="AR51" s="182" t="e">
        <f t="shared" si="48"/>
        <v>#N/A</v>
      </c>
      <c r="AS51" s="488"/>
      <c r="AT51" s="182"/>
      <c r="AU51" s="182"/>
      <c r="AV51" s="182"/>
      <c r="AW51" s="182" t="e">
        <f t="shared" si="50"/>
        <v>#N/A</v>
      </c>
      <c r="AX51" s="488"/>
      <c r="AZ51" s="182" t="e">
        <f t="shared" si="52"/>
        <v>#N/A</v>
      </c>
      <c r="BA51" s="488"/>
    </row>
    <row r="52" spans="2:53">
      <c r="B52" s="454"/>
      <c r="C52" s="182">
        <v>6</v>
      </c>
      <c r="D52" s="203"/>
      <c r="E52" s="166"/>
      <c r="F52" s="182"/>
      <c r="G52" s="180"/>
      <c r="H52" s="464"/>
      <c r="I52" s="166" t="str">
        <f t="shared" si="37"/>
        <v>-</v>
      </c>
      <c r="J52" s="166" t="str">
        <f t="shared" si="38"/>
        <v>-</v>
      </c>
      <c r="K52" s="180" t="str">
        <f t="shared" si="39"/>
        <v>-</v>
      </c>
      <c r="L52" s="464"/>
      <c r="M52" s="181" t="e">
        <f>RANK(K52, K$47:$K$61)</f>
        <v>#VALUE!</v>
      </c>
      <c r="N52" s="461"/>
      <c r="O52" s="461"/>
      <c r="P52" s="182"/>
      <c r="Q52" s="182"/>
      <c r="R52" s="182"/>
      <c r="S52" s="182" t="e">
        <f t="shared" si="54"/>
        <v>#N/A</v>
      </c>
      <c r="T52" s="488"/>
      <c r="U52" s="182"/>
      <c r="V52" s="182"/>
      <c r="W52" s="182"/>
      <c r="X52" s="182" t="e">
        <f t="shared" si="40"/>
        <v>#N/A</v>
      </c>
      <c r="Y52" s="488"/>
      <c r="Z52" s="182"/>
      <c r="AA52" s="182"/>
      <c r="AB52" s="182"/>
      <c r="AC52" s="182" t="e">
        <f t="shared" si="42"/>
        <v>#N/A</v>
      </c>
      <c r="AD52" s="488"/>
      <c r="AE52" s="182"/>
      <c r="AF52" s="182"/>
      <c r="AG52" s="182"/>
      <c r="AH52" s="182" t="e">
        <f t="shared" si="44"/>
        <v>#N/A</v>
      </c>
      <c r="AI52" s="488"/>
      <c r="AJ52" s="182"/>
      <c r="AK52" s="182"/>
      <c r="AL52" s="182"/>
      <c r="AM52" s="182" t="e">
        <f t="shared" si="46"/>
        <v>#N/A</v>
      </c>
      <c r="AN52" s="488"/>
      <c r="AO52" s="182"/>
      <c r="AP52" s="182"/>
      <c r="AQ52" s="182"/>
      <c r="AR52" s="182" t="e">
        <f t="shared" si="48"/>
        <v>#N/A</v>
      </c>
      <c r="AS52" s="488"/>
      <c r="AT52" s="182"/>
      <c r="AU52" s="182"/>
      <c r="AV52" s="182"/>
      <c r="AW52" s="182" t="e">
        <f t="shared" si="50"/>
        <v>#N/A</v>
      </c>
      <c r="AX52" s="488"/>
      <c r="AZ52" s="182" t="e">
        <f t="shared" si="52"/>
        <v>#N/A</v>
      </c>
      <c r="BA52" s="488"/>
    </row>
    <row r="53" spans="2:53">
      <c r="B53" s="454"/>
      <c r="C53" s="182">
        <v>7</v>
      </c>
      <c r="D53" s="203"/>
      <c r="E53" s="166"/>
      <c r="F53" s="182"/>
      <c r="G53" s="180"/>
      <c r="H53" s="464"/>
      <c r="I53" s="166" t="str">
        <f t="shared" si="37"/>
        <v>-</v>
      </c>
      <c r="J53" s="166" t="str">
        <f t="shared" si="38"/>
        <v>-</v>
      </c>
      <c r="K53" s="180" t="str">
        <f t="shared" si="39"/>
        <v>-</v>
      </c>
      <c r="L53" s="464"/>
      <c r="M53" s="181" t="e">
        <f>RANK(K53, K$47:$K$61)</f>
        <v>#VALUE!</v>
      </c>
      <c r="N53" s="461"/>
      <c r="O53" s="461"/>
      <c r="P53" s="182"/>
      <c r="Q53" s="182"/>
      <c r="R53" s="182"/>
      <c r="S53" s="182" t="e">
        <f t="shared" si="54"/>
        <v>#N/A</v>
      </c>
      <c r="T53" s="488"/>
      <c r="U53" s="182"/>
      <c r="V53" s="182"/>
      <c r="W53" s="182"/>
      <c r="X53" s="182" t="e">
        <f t="shared" si="40"/>
        <v>#N/A</v>
      </c>
      <c r="Y53" s="488"/>
      <c r="Z53" s="182"/>
      <c r="AA53" s="182"/>
      <c r="AB53" s="182"/>
      <c r="AC53" s="182" t="e">
        <f t="shared" si="42"/>
        <v>#N/A</v>
      </c>
      <c r="AD53" s="488"/>
      <c r="AE53" s="182"/>
      <c r="AF53" s="182"/>
      <c r="AG53" s="182"/>
      <c r="AH53" s="182" t="e">
        <f t="shared" si="44"/>
        <v>#N/A</v>
      </c>
      <c r="AI53" s="488"/>
      <c r="AJ53" s="182"/>
      <c r="AK53" s="182"/>
      <c r="AL53" s="182"/>
      <c r="AM53" s="182" t="e">
        <f t="shared" si="46"/>
        <v>#N/A</v>
      </c>
      <c r="AN53" s="488"/>
      <c r="AO53" s="182"/>
      <c r="AP53" s="182"/>
      <c r="AQ53" s="182"/>
      <c r="AR53" s="182" t="e">
        <f t="shared" si="48"/>
        <v>#N/A</v>
      </c>
      <c r="AS53" s="488"/>
      <c r="AT53" s="182"/>
      <c r="AU53" s="182"/>
      <c r="AV53" s="182"/>
      <c r="AW53" s="182" t="e">
        <f t="shared" si="50"/>
        <v>#N/A</v>
      </c>
      <c r="AX53" s="488"/>
      <c r="AZ53" s="182" t="e">
        <f t="shared" si="52"/>
        <v>#N/A</v>
      </c>
      <c r="BA53" s="488"/>
    </row>
    <row r="54" spans="2:53">
      <c r="B54" s="454"/>
      <c r="C54" s="182">
        <v>8</v>
      </c>
      <c r="D54" s="203"/>
      <c r="E54" s="166"/>
      <c r="F54" s="182"/>
      <c r="G54" s="180"/>
      <c r="H54" s="464"/>
      <c r="I54" s="166" t="str">
        <f t="shared" si="37"/>
        <v>-</v>
      </c>
      <c r="J54" s="166" t="str">
        <f t="shared" si="38"/>
        <v>-</v>
      </c>
      <c r="K54" s="180" t="str">
        <f t="shared" si="39"/>
        <v>-</v>
      </c>
      <c r="L54" s="464"/>
      <c r="M54" s="181" t="e">
        <f>RANK(K54, K$47:$K$61)</f>
        <v>#VALUE!</v>
      </c>
      <c r="N54" s="461"/>
      <c r="O54" s="461"/>
      <c r="P54" s="182"/>
      <c r="Q54" s="182"/>
      <c r="R54" s="182"/>
      <c r="S54" s="182" t="e">
        <f t="shared" si="54"/>
        <v>#N/A</v>
      </c>
      <c r="T54" s="488"/>
      <c r="U54" s="182"/>
      <c r="V54" s="182"/>
      <c r="W54" s="182"/>
      <c r="X54" s="182" t="e">
        <f t="shared" si="40"/>
        <v>#N/A</v>
      </c>
      <c r="Y54" s="488"/>
      <c r="Z54" s="182"/>
      <c r="AA54" s="182"/>
      <c r="AB54" s="182"/>
      <c r="AC54" s="182" t="e">
        <f t="shared" si="42"/>
        <v>#N/A</v>
      </c>
      <c r="AD54" s="488"/>
      <c r="AE54" s="182"/>
      <c r="AF54" s="182"/>
      <c r="AG54" s="182"/>
      <c r="AH54" s="182" t="e">
        <f t="shared" si="44"/>
        <v>#N/A</v>
      </c>
      <c r="AI54" s="488"/>
      <c r="AJ54" s="182"/>
      <c r="AK54" s="182"/>
      <c r="AL54" s="182"/>
      <c r="AM54" s="182" t="e">
        <f t="shared" si="46"/>
        <v>#N/A</v>
      </c>
      <c r="AN54" s="488"/>
      <c r="AO54" s="182"/>
      <c r="AP54" s="182"/>
      <c r="AQ54" s="182"/>
      <c r="AR54" s="182" t="e">
        <f t="shared" si="48"/>
        <v>#N/A</v>
      </c>
      <c r="AS54" s="488"/>
      <c r="AT54" s="182"/>
      <c r="AU54" s="182"/>
      <c r="AV54" s="182"/>
      <c r="AW54" s="182" t="e">
        <f t="shared" si="50"/>
        <v>#N/A</v>
      </c>
      <c r="AX54" s="488"/>
      <c r="AZ54" s="182" t="e">
        <f t="shared" si="52"/>
        <v>#N/A</v>
      </c>
      <c r="BA54" s="488"/>
    </row>
    <row r="55" spans="2:53">
      <c r="B55" s="454"/>
      <c r="C55" s="182">
        <v>9</v>
      </c>
      <c r="D55" s="203"/>
      <c r="E55" s="166"/>
      <c r="F55" s="182"/>
      <c r="G55" s="180"/>
      <c r="H55" s="464"/>
      <c r="I55" s="166" t="str">
        <f t="shared" si="37"/>
        <v>-</v>
      </c>
      <c r="J55" s="166" t="str">
        <f t="shared" si="38"/>
        <v>-</v>
      </c>
      <c r="K55" s="180" t="str">
        <f t="shared" si="39"/>
        <v>-</v>
      </c>
      <c r="L55" s="464"/>
      <c r="M55" s="181" t="e">
        <f>RANK(K55, K$47:$K$61)</f>
        <v>#VALUE!</v>
      </c>
      <c r="N55" s="461"/>
      <c r="O55" s="461"/>
      <c r="P55" s="182"/>
      <c r="Q55" s="182"/>
      <c r="R55" s="182"/>
      <c r="S55" s="182" t="e">
        <f t="shared" si="54"/>
        <v>#N/A</v>
      </c>
      <c r="T55" s="488"/>
      <c r="U55" s="182"/>
      <c r="V55" s="182"/>
      <c r="W55" s="182"/>
      <c r="X55" s="182" t="e">
        <f t="shared" si="40"/>
        <v>#N/A</v>
      </c>
      <c r="Y55" s="488"/>
      <c r="Z55" s="182"/>
      <c r="AA55" s="182"/>
      <c r="AB55" s="182"/>
      <c r="AC55" s="182" t="e">
        <f t="shared" si="42"/>
        <v>#N/A</v>
      </c>
      <c r="AD55" s="488"/>
      <c r="AE55" s="182"/>
      <c r="AF55" s="182"/>
      <c r="AG55" s="182"/>
      <c r="AH55" s="182" t="e">
        <f t="shared" si="44"/>
        <v>#N/A</v>
      </c>
      <c r="AI55" s="488"/>
      <c r="AJ55" s="182"/>
      <c r="AK55" s="182"/>
      <c r="AL55" s="182"/>
      <c r="AM55" s="182" t="e">
        <f t="shared" si="46"/>
        <v>#N/A</v>
      </c>
      <c r="AN55" s="488"/>
      <c r="AO55" s="182"/>
      <c r="AP55" s="182"/>
      <c r="AQ55" s="182"/>
      <c r="AR55" s="182" t="e">
        <f t="shared" si="48"/>
        <v>#N/A</v>
      </c>
      <c r="AS55" s="488"/>
      <c r="AT55" s="182"/>
      <c r="AU55" s="182"/>
      <c r="AV55" s="182"/>
      <c r="AW55" s="182" t="e">
        <f t="shared" si="50"/>
        <v>#N/A</v>
      </c>
      <c r="AX55" s="488"/>
      <c r="AZ55" s="182" t="e">
        <f t="shared" si="52"/>
        <v>#N/A</v>
      </c>
      <c r="BA55" s="488"/>
    </row>
    <row r="56" spans="2:53">
      <c r="B56" s="454"/>
      <c r="C56" s="182">
        <v>10</v>
      </c>
      <c r="D56" s="203"/>
      <c r="E56" s="166"/>
      <c r="F56" s="182"/>
      <c r="G56" s="180"/>
      <c r="H56" s="464"/>
      <c r="I56" s="166" t="str">
        <f t="shared" si="37"/>
        <v>-</v>
      </c>
      <c r="J56" s="166" t="str">
        <f t="shared" si="38"/>
        <v>-</v>
      </c>
      <c r="K56" s="180" t="str">
        <f t="shared" si="39"/>
        <v>-</v>
      </c>
      <c r="L56" s="464"/>
      <c r="M56" s="181" t="e">
        <f>RANK(K56, K$47:$K$61)</f>
        <v>#VALUE!</v>
      </c>
      <c r="N56" s="461"/>
      <c r="O56" s="461"/>
      <c r="P56" s="182"/>
      <c r="Q56" s="182"/>
      <c r="R56" s="182"/>
      <c r="S56" s="182" t="e">
        <f t="shared" si="54"/>
        <v>#N/A</v>
      </c>
      <c r="T56" s="488"/>
      <c r="U56" s="182"/>
      <c r="V56" s="182"/>
      <c r="W56" s="182"/>
      <c r="X56" s="182" t="e">
        <f t="shared" si="40"/>
        <v>#N/A</v>
      </c>
      <c r="Y56" s="488"/>
      <c r="Z56" s="182"/>
      <c r="AA56" s="182"/>
      <c r="AB56" s="182"/>
      <c r="AC56" s="182" t="e">
        <f t="shared" si="42"/>
        <v>#N/A</v>
      </c>
      <c r="AD56" s="488"/>
      <c r="AE56" s="182"/>
      <c r="AF56" s="182"/>
      <c r="AG56" s="182"/>
      <c r="AH56" s="182" t="e">
        <f t="shared" si="44"/>
        <v>#N/A</v>
      </c>
      <c r="AI56" s="488"/>
      <c r="AJ56" s="182"/>
      <c r="AK56" s="182"/>
      <c r="AL56" s="182"/>
      <c r="AM56" s="182" t="e">
        <f t="shared" si="46"/>
        <v>#N/A</v>
      </c>
      <c r="AN56" s="488"/>
      <c r="AO56" s="182"/>
      <c r="AP56" s="182"/>
      <c r="AQ56" s="182"/>
      <c r="AR56" s="182" t="e">
        <f t="shared" si="48"/>
        <v>#N/A</v>
      </c>
      <c r="AS56" s="488"/>
      <c r="AT56" s="182"/>
      <c r="AU56" s="182"/>
      <c r="AV56" s="182"/>
      <c r="AW56" s="182" t="e">
        <f t="shared" si="50"/>
        <v>#N/A</v>
      </c>
      <c r="AX56" s="488"/>
      <c r="AZ56" s="182" t="e">
        <f t="shared" si="52"/>
        <v>#N/A</v>
      </c>
      <c r="BA56" s="488"/>
    </row>
    <row r="57" spans="2:53">
      <c r="B57" s="454"/>
      <c r="C57" s="182">
        <v>11</v>
      </c>
      <c r="D57" s="203"/>
      <c r="E57" s="166"/>
      <c r="F57" s="182"/>
      <c r="G57" s="180"/>
      <c r="H57" s="464"/>
      <c r="I57" s="166" t="str">
        <f t="shared" si="37"/>
        <v>-</v>
      </c>
      <c r="J57" s="166" t="str">
        <f t="shared" si="38"/>
        <v>-</v>
      </c>
      <c r="K57" s="180" t="str">
        <f t="shared" si="39"/>
        <v>-</v>
      </c>
      <c r="L57" s="464"/>
      <c r="M57" s="181" t="e">
        <f>RANK(K57, K$47:$K$61)</f>
        <v>#VALUE!</v>
      </c>
      <c r="N57" s="461"/>
      <c r="O57" s="461"/>
      <c r="P57" s="182"/>
      <c r="Q57" s="182"/>
      <c r="R57" s="182"/>
      <c r="S57" s="182" t="e">
        <f t="shared" si="54"/>
        <v>#N/A</v>
      </c>
      <c r="T57" s="488"/>
      <c r="U57" s="182"/>
      <c r="V57" s="182"/>
      <c r="W57" s="182"/>
      <c r="X57" s="182" t="e">
        <f t="shared" si="40"/>
        <v>#N/A</v>
      </c>
      <c r="Y57" s="488"/>
      <c r="Z57" s="182"/>
      <c r="AA57" s="182"/>
      <c r="AB57" s="182"/>
      <c r="AC57" s="182" t="e">
        <f t="shared" si="42"/>
        <v>#N/A</v>
      </c>
      <c r="AD57" s="488"/>
      <c r="AE57" s="182"/>
      <c r="AF57" s="182"/>
      <c r="AG57" s="182"/>
      <c r="AH57" s="182" t="e">
        <f t="shared" si="44"/>
        <v>#N/A</v>
      </c>
      <c r="AI57" s="488"/>
      <c r="AJ57" s="182"/>
      <c r="AK57" s="182"/>
      <c r="AL57" s="182"/>
      <c r="AM57" s="182" t="e">
        <f t="shared" si="46"/>
        <v>#N/A</v>
      </c>
      <c r="AN57" s="488"/>
      <c r="AO57" s="182"/>
      <c r="AP57" s="182"/>
      <c r="AQ57" s="182"/>
      <c r="AR57" s="182" t="e">
        <f t="shared" si="48"/>
        <v>#N/A</v>
      </c>
      <c r="AS57" s="488"/>
      <c r="AT57" s="182"/>
      <c r="AU57" s="182"/>
      <c r="AV57" s="182"/>
      <c r="AW57" s="182" t="e">
        <f t="shared" si="50"/>
        <v>#N/A</v>
      </c>
      <c r="AX57" s="488"/>
      <c r="AZ57" s="182" t="e">
        <f t="shared" si="52"/>
        <v>#N/A</v>
      </c>
      <c r="BA57" s="488"/>
    </row>
    <row r="58" spans="2:53">
      <c r="B58" s="454"/>
      <c r="C58" s="182">
        <v>12</v>
      </c>
      <c r="D58" s="203"/>
      <c r="E58" s="166"/>
      <c r="F58" s="182"/>
      <c r="G58" s="180"/>
      <c r="H58" s="464"/>
      <c r="I58" s="166" t="str">
        <f t="shared" si="37"/>
        <v>-</v>
      </c>
      <c r="J58" s="166" t="str">
        <f t="shared" si="38"/>
        <v>-</v>
      </c>
      <c r="K58" s="180" t="str">
        <f t="shared" si="39"/>
        <v>-</v>
      </c>
      <c r="L58" s="464"/>
      <c r="M58" s="181" t="e">
        <f>RANK(K58, K$47:$K$61)</f>
        <v>#VALUE!</v>
      </c>
      <c r="N58" s="461"/>
      <c r="O58" s="461"/>
      <c r="P58" s="182"/>
      <c r="Q58" s="182"/>
      <c r="R58" s="182"/>
      <c r="S58" s="182" t="e">
        <f t="shared" si="54"/>
        <v>#N/A</v>
      </c>
      <c r="T58" s="488"/>
      <c r="U58" s="182"/>
      <c r="V58" s="182"/>
      <c r="W58" s="182"/>
      <c r="X58" s="182" t="e">
        <f t="shared" si="40"/>
        <v>#N/A</v>
      </c>
      <c r="Y58" s="488"/>
      <c r="Z58" s="182"/>
      <c r="AA58" s="182"/>
      <c r="AB58" s="182"/>
      <c r="AC58" s="182" t="e">
        <f t="shared" si="42"/>
        <v>#N/A</v>
      </c>
      <c r="AD58" s="488"/>
      <c r="AE58" s="182"/>
      <c r="AF58" s="182"/>
      <c r="AG58" s="182"/>
      <c r="AH58" s="182" t="e">
        <f t="shared" si="44"/>
        <v>#N/A</v>
      </c>
      <c r="AI58" s="488"/>
      <c r="AJ58" s="182"/>
      <c r="AK58" s="182"/>
      <c r="AL58" s="182"/>
      <c r="AM58" s="182" t="e">
        <f t="shared" si="46"/>
        <v>#N/A</v>
      </c>
      <c r="AN58" s="488"/>
      <c r="AO58" s="182"/>
      <c r="AP58" s="182"/>
      <c r="AQ58" s="182"/>
      <c r="AR58" s="182" t="e">
        <f t="shared" si="48"/>
        <v>#N/A</v>
      </c>
      <c r="AS58" s="488"/>
      <c r="AT58" s="182"/>
      <c r="AU58" s="182"/>
      <c r="AV58" s="182"/>
      <c r="AW58" s="182" t="e">
        <f t="shared" si="50"/>
        <v>#N/A</v>
      </c>
      <c r="AX58" s="488"/>
      <c r="AZ58" s="182" t="e">
        <f t="shared" si="52"/>
        <v>#N/A</v>
      </c>
      <c r="BA58" s="488"/>
    </row>
    <row r="59" spans="2:53">
      <c r="B59" s="454"/>
      <c r="C59" s="182">
        <v>13</v>
      </c>
      <c r="D59" s="203"/>
      <c r="E59" s="166"/>
      <c r="F59" s="182"/>
      <c r="G59" s="180"/>
      <c r="H59" s="464"/>
      <c r="I59" s="166" t="str">
        <f t="shared" si="37"/>
        <v>-</v>
      </c>
      <c r="J59" s="166" t="str">
        <f t="shared" si="38"/>
        <v>-</v>
      </c>
      <c r="K59" s="180" t="str">
        <f t="shared" si="39"/>
        <v>-</v>
      </c>
      <c r="L59" s="464"/>
      <c r="M59" s="181" t="e">
        <f>RANK(K59, K$47:$K$61)</f>
        <v>#VALUE!</v>
      </c>
      <c r="N59" s="461"/>
      <c r="O59" s="461"/>
      <c r="P59" s="182"/>
      <c r="Q59" s="182"/>
      <c r="R59" s="182"/>
      <c r="S59" s="182" t="e">
        <f t="shared" si="54"/>
        <v>#N/A</v>
      </c>
      <c r="T59" s="488"/>
      <c r="U59" s="182"/>
      <c r="V59" s="182"/>
      <c r="W59" s="182"/>
      <c r="X59" s="182" t="e">
        <f t="shared" si="40"/>
        <v>#N/A</v>
      </c>
      <c r="Y59" s="488"/>
      <c r="Z59" s="182"/>
      <c r="AA59" s="182"/>
      <c r="AB59" s="182"/>
      <c r="AC59" s="182" t="e">
        <f t="shared" si="42"/>
        <v>#N/A</v>
      </c>
      <c r="AD59" s="488"/>
      <c r="AE59" s="182"/>
      <c r="AF59" s="182"/>
      <c r="AG59" s="182"/>
      <c r="AH59" s="182" t="e">
        <f t="shared" si="44"/>
        <v>#N/A</v>
      </c>
      <c r="AI59" s="488"/>
      <c r="AJ59" s="182"/>
      <c r="AK59" s="182"/>
      <c r="AL59" s="182"/>
      <c r="AM59" s="182" t="e">
        <f t="shared" si="46"/>
        <v>#N/A</v>
      </c>
      <c r="AN59" s="488"/>
      <c r="AO59" s="182"/>
      <c r="AP59" s="182"/>
      <c r="AQ59" s="182"/>
      <c r="AR59" s="182" t="e">
        <f t="shared" si="48"/>
        <v>#N/A</v>
      </c>
      <c r="AS59" s="488"/>
      <c r="AT59" s="182"/>
      <c r="AU59" s="182"/>
      <c r="AV59" s="182"/>
      <c r="AW59" s="182" t="e">
        <f t="shared" si="50"/>
        <v>#N/A</v>
      </c>
      <c r="AX59" s="488"/>
      <c r="AZ59" s="182" t="e">
        <f t="shared" si="52"/>
        <v>#N/A</v>
      </c>
      <c r="BA59" s="488"/>
    </row>
    <row r="60" spans="2:53">
      <c r="B60" s="454"/>
      <c r="C60" s="182">
        <v>14</v>
      </c>
      <c r="D60" s="203"/>
      <c r="E60" s="166"/>
      <c r="F60" s="182"/>
      <c r="G60" s="180"/>
      <c r="H60" s="464"/>
      <c r="I60" s="166" t="str">
        <f t="shared" si="37"/>
        <v>-</v>
      </c>
      <c r="J60" s="166" t="str">
        <f t="shared" si="38"/>
        <v>-</v>
      </c>
      <c r="K60" s="180" t="str">
        <f t="shared" si="39"/>
        <v>-</v>
      </c>
      <c r="L60" s="464"/>
      <c r="M60" s="181" t="e">
        <f>RANK(K60, K$47:$K$61)</f>
        <v>#VALUE!</v>
      </c>
      <c r="N60" s="461"/>
      <c r="O60" s="461"/>
      <c r="P60" s="182"/>
      <c r="Q60" s="182"/>
      <c r="R60" s="182"/>
      <c r="S60" s="182" t="e">
        <f t="shared" si="54"/>
        <v>#N/A</v>
      </c>
      <c r="T60" s="488"/>
      <c r="U60" s="182"/>
      <c r="V60" s="182"/>
      <c r="W60" s="182"/>
      <c r="X60" s="182" t="e">
        <f t="shared" si="40"/>
        <v>#N/A</v>
      </c>
      <c r="Y60" s="488"/>
      <c r="Z60" s="182"/>
      <c r="AA60" s="182"/>
      <c r="AB60" s="182"/>
      <c r="AC60" s="182" t="e">
        <f t="shared" si="42"/>
        <v>#N/A</v>
      </c>
      <c r="AD60" s="488"/>
      <c r="AE60" s="182"/>
      <c r="AF60" s="182"/>
      <c r="AG60" s="182"/>
      <c r="AH60" s="182" t="e">
        <f t="shared" si="44"/>
        <v>#N/A</v>
      </c>
      <c r="AI60" s="488"/>
      <c r="AJ60" s="182"/>
      <c r="AK60" s="182"/>
      <c r="AL60" s="182"/>
      <c r="AM60" s="182" t="e">
        <f t="shared" si="46"/>
        <v>#N/A</v>
      </c>
      <c r="AN60" s="488"/>
      <c r="AO60" s="182"/>
      <c r="AP60" s="182"/>
      <c r="AQ60" s="182"/>
      <c r="AR60" s="182" t="e">
        <f t="shared" si="48"/>
        <v>#N/A</v>
      </c>
      <c r="AS60" s="488"/>
      <c r="AT60" s="182"/>
      <c r="AU60" s="182"/>
      <c r="AV60" s="182"/>
      <c r="AW60" s="182" t="e">
        <f t="shared" si="50"/>
        <v>#N/A</v>
      </c>
      <c r="AX60" s="488"/>
      <c r="AZ60" s="182" t="e">
        <f t="shared" si="52"/>
        <v>#N/A</v>
      </c>
      <c r="BA60" s="488"/>
    </row>
    <row r="61" spans="2:53">
      <c r="B61" s="454"/>
      <c r="C61" s="182">
        <v>15</v>
      </c>
      <c r="D61" s="203"/>
      <c r="E61" s="166"/>
      <c r="F61" s="182"/>
      <c r="G61" s="180"/>
      <c r="H61" s="465"/>
      <c r="I61" s="182"/>
      <c r="J61" s="182"/>
      <c r="K61" s="182"/>
      <c r="L61" s="465"/>
      <c r="M61" s="181" t="e">
        <f>RANK(K61, K$47:$K$61)</f>
        <v>#N/A</v>
      </c>
      <c r="N61" s="461"/>
      <c r="O61" s="461"/>
      <c r="P61" s="182"/>
      <c r="Q61" s="182"/>
      <c r="R61" s="182"/>
      <c r="S61" s="182" t="e">
        <f t="shared" si="54"/>
        <v>#N/A</v>
      </c>
      <c r="T61" s="489"/>
      <c r="U61" s="182"/>
      <c r="V61" s="182"/>
      <c r="W61" s="182"/>
      <c r="X61" s="182" t="e">
        <f t="shared" si="40"/>
        <v>#N/A</v>
      </c>
      <c r="Y61" s="489"/>
      <c r="Z61" s="182"/>
      <c r="AA61" s="182"/>
      <c r="AB61" s="182"/>
      <c r="AC61" s="182" t="e">
        <f t="shared" si="42"/>
        <v>#N/A</v>
      </c>
      <c r="AD61" s="489"/>
      <c r="AE61" s="182"/>
      <c r="AF61" s="182"/>
      <c r="AG61" s="182"/>
      <c r="AH61" s="182" t="e">
        <f t="shared" si="44"/>
        <v>#N/A</v>
      </c>
      <c r="AI61" s="489"/>
      <c r="AJ61" s="182"/>
      <c r="AK61" s="182"/>
      <c r="AL61" s="182"/>
      <c r="AM61" s="182" t="e">
        <f t="shared" si="46"/>
        <v>#N/A</v>
      </c>
      <c r="AN61" s="489"/>
      <c r="AO61" s="182"/>
      <c r="AP61" s="182"/>
      <c r="AQ61" s="182"/>
      <c r="AR61" s="182" t="e">
        <f t="shared" si="48"/>
        <v>#N/A</v>
      </c>
      <c r="AS61" s="489"/>
      <c r="AT61" s="182"/>
      <c r="AU61" s="182"/>
      <c r="AV61" s="182"/>
      <c r="AW61" s="182" t="e">
        <f t="shared" si="50"/>
        <v>#N/A</v>
      </c>
      <c r="AX61" s="489"/>
      <c r="AZ61" s="182" t="e">
        <f t="shared" si="52"/>
        <v>#N/A</v>
      </c>
      <c r="BA61" s="489"/>
    </row>
    <row r="62" spans="2:53" ht="15.5">
      <c r="B62" s="477" t="s">
        <v>163</v>
      </c>
      <c r="C62" s="478"/>
      <c r="D62" s="478"/>
      <c r="E62" s="478"/>
      <c r="F62" s="478"/>
      <c r="G62" s="478"/>
      <c r="H62" s="478"/>
      <c r="I62" s="186"/>
      <c r="J62" s="186"/>
      <c r="K62" s="186"/>
      <c r="L62" s="186"/>
      <c r="M62" s="185"/>
      <c r="N62" s="480" t="s">
        <v>156</v>
      </c>
      <c r="O62" s="480" t="s">
        <v>105</v>
      </c>
      <c r="P62" s="476">
        <f>P42+7</f>
        <v>46133</v>
      </c>
      <c r="Q62" s="454"/>
      <c r="R62" s="454"/>
      <c r="S62" s="454"/>
      <c r="T62" s="454"/>
      <c r="U62" s="473">
        <f>P62+1</f>
        <v>46134</v>
      </c>
      <c r="V62" s="474"/>
      <c r="W62" s="474"/>
      <c r="X62" s="474"/>
      <c r="Y62" s="475"/>
      <c r="Z62" s="473">
        <f>U62+1</f>
        <v>46135</v>
      </c>
      <c r="AA62" s="474"/>
      <c r="AB62" s="474"/>
      <c r="AC62" s="474"/>
      <c r="AD62" s="475"/>
      <c r="AE62" s="473">
        <f>Z62+1</f>
        <v>46136</v>
      </c>
      <c r="AF62" s="474"/>
      <c r="AG62" s="474"/>
      <c r="AH62" s="474"/>
      <c r="AI62" s="475"/>
      <c r="AJ62" s="473">
        <f>AE62+1</f>
        <v>46137</v>
      </c>
      <c r="AK62" s="474"/>
      <c r="AL62" s="474"/>
      <c r="AM62" s="474"/>
      <c r="AN62" s="475"/>
      <c r="AO62" s="473">
        <f>AJ62+1</f>
        <v>46138</v>
      </c>
      <c r="AP62" s="474"/>
      <c r="AQ62" s="474"/>
      <c r="AR62" s="474"/>
      <c r="AS62" s="475"/>
      <c r="AT62" s="473">
        <f>AO62+1</f>
        <v>46139</v>
      </c>
      <c r="AU62" s="474"/>
      <c r="AV62" s="474"/>
      <c r="AW62" s="474"/>
      <c r="AX62" s="475"/>
    </row>
    <row r="63" spans="2:53" ht="15.5">
      <c r="B63" s="479"/>
      <c r="C63" s="479"/>
      <c r="D63" s="479"/>
      <c r="E63" s="479"/>
      <c r="F63" s="479"/>
      <c r="G63" s="479"/>
      <c r="H63" s="479"/>
      <c r="I63" s="184"/>
      <c r="J63" s="184"/>
      <c r="K63" s="184"/>
      <c r="L63" s="184"/>
      <c r="M63" s="179"/>
      <c r="N63" s="481"/>
      <c r="O63" s="481"/>
      <c r="P63" s="476" t="s">
        <v>336</v>
      </c>
      <c r="Q63" s="454"/>
      <c r="R63" s="454"/>
      <c r="S63" s="454"/>
      <c r="T63" s="454"/>
      <c r="U63" s="476" t="s">
        <v>337</v>
      </c>
      <c r="V63" s="454"/>
      <c r="W63" s="454"/>
      <c r="X63" s="454"/>
      <c r="Y63" s="454"/>
      <c r="Z63" s="476" t="s">
        <v>338</v>
      </c>
      <c r="AA63" s="454"/>
      <c r="AB63" s="454"/>
      <c r="AC63" s="454"/>
      <c r="AD63" s="454"/>
      <c r="AE63" s="476" t="s">
        <v>339</v>
      </c>
      <c r="AF63" s="454"/>
      <c r="AG63" s="454"/>
      <c r="AH63" s="454"/>
      <c r="AI63" s="454"/>
      <c r="AJ63" s="476" t="s">
        <v>340</v>
      </c>
      <c r="AK63" s="454"/>
      <c r="AL63" s="454"/>
      <c r="AM63" s="454"/>
      <c r="AN63" s="454"/>
      <c r="AO63" s="476" t="s">
        <v>341</v>
      </c>
      <c r="AP63" s="454"/>
      <c r="AQ63" s="454"/>
      <c r="AR63" s="454"/>
      <c r="AS63" s="454"/>
      <c r="AT63" s="476" t="s">
        <v>342</v>
      </c>
      <c r="AU63" s="454"/>
      <c r="AV63" s="454"/>
      <c r="AW63" s="454"/>
      <c r="AX63" s="454"/>
    </row>
    <row r="64" spans="2:53">
      <c r="B64" s="461" t="s">
        <v>399</v>
      </c>
      <c r="C64" s="461" t="s">
        <v>409</v>
      </c>
      <c r="D64" s="461"/>
      <c r="E64" s="461" t="s">
        <v>400</v>
      </c>
      <c r="F64" s="461"/>
      <c r="G64" s="461"/>
      <c r="H64" s="482" t="s">
        <v>396</v>
      </c>
      <c r="I64" s="461" t="s">
        <v>401</v>
      </c>
      <c r="J64" s="461"/>
      <c r="K64" s="461"/>
      <c r="L64" s="482" t="s">
        <v>396</v>
      </c>
      <c r="M64" s="480" t="s">
        <v>397</v>
      </c>
      <c r="N64" s="461"/>
      <c r="O64" s="461" t="s">
        <v>402</v>
      </c>
      <c r="P64" s="466" t="s">
        <v>398</v>
      </c>
      <c r="Q64" s="467"/>
      <c r="R64" s="467"/>
      <c r="S64" s="468"/>
      <c r="T64" s="461" t="s">
        <v>396</v>
      </c>
      <c r="U64" s="466" t="s">
        <v>398</v>
      </c>
      <c r="V64" s="467"/>
      <c r="W64" s="467"/>
      <c r="X64" s="468"/>
      <c r="Y64" s="461" t="s">
        <v>396</v>
      </c>
      <c r="Z64" s="466" t="s">
        <v>398</v>
      </c>
      <c r="AA64" s="467"/>
      <c r="AB64" s="467"/>
      <c r="AC64" s="468"/>
      <c r="AD64" s="461" t="s">
        <v>396</v>
      </c>
      <c r="AE64" s="466" t="s">
        <v>398</v>
      </c>
      <c r="AF64" s="467"/>
      <c r="AG64" s="467"/>
      <c r="AH64" s="468"/>
      <c r="AI64" s="461" t="s">
        <v>396</v>
      </c>
      <c r="AJ64" s="466" t="s">
        <v>398</v>
      </c>
      <c r="AK64" s="467"/>
      <c r="AL64" s="467"/>
      <c r="AM64" s="468"/>
      <c r="AN64" s="461" t="s">
        <v>396</v>
      </c>
      <c r="AO64" s="466" t="s">
        <v>398</v>
      </c>
      <c r="AP64" s="467"/>
      <c r="AQ64" s="467"/>
      <c r="AR64" s="468"/>
      <c r="AS64" s="461" t="s">
        <v>396</v>
      </c>
      <c r="AT64" s="466" t="s">
        <v>398</v>
      </c>
      <c r="AU64" s="467"/>
      <c r="AV64" s="467"/>
      <c r="AW64" s="468"/>
      <c r="AX64" s="461" t="s">
        <v>396</v>
      </c>
      <c r="BA64" s="461" t="s">
        <v>396</v>
      </c>
    </row>
    <row r="65" spans="2:53">
      <c r="B65" s="461"/>
      <c r="C65" s="461"/>
      <c r="D65" s="461"/>
      <c r="E65" s="461" t="s">
        <v>403</v>
      </c>
      <c r="F65" s="461"/>
      <c r="G65" s="461"/>
      <c r="H65" s="483"/>
      <c r="I65" s="461" t="s">
        <v>403</v>
      </c>
      <c r="J65" s="461"/>
      <c r="K65" s="461"/>
      <c r="L65" s="483"/>
      <c r="M65" s="485"/>
      <c r="N65" s="461"/>
      <c r="O65" s="461"/>
      <c r="P65" s="466" t="s">
        <v>404</v>
      </c>
      <c r="Q65" s="467"/>
      <c r="R65" s="467"/>
      <c r="S65" s="468"/>
      <c r="T65" s="461"/>
      <c r="U65" s="466" t="s">
        <v>404</v>
      </c>
      <c r="V65" s="467"/>
      <c r="W65" s="467"/>
      <c r="X65" s="468"/>
      <c r="Y65" s="461"/>
      <c r="Z65" s="466" t="s">
        <v>404</v>
      </c>
      <c r="AA65" s="467"/>
      <c r="AB65" s="467"/>
      <c r="AC65" s="468"/>
      <c r="AD65" s="461"/>
      <c r="AE65" s="466" t="s">
        <v>404</v>
      </c>
      <c r="AF65" s="467"/>
      <c r="AG65" s="467"/>
      <c r="AH65" s="468"/>
      <c r="AI65" s="461"/>
      <c r="AJ65" s="466" t="s">
        <v>404</v>
      </c>
      <c r="AK65" s="467"/>
      <c r="AL65" s="467"/>
      <c r="AM65" s="468"/>
      <c r="AN65" s="461"/>
      <c r="AO65" s="466" t="s">
        <v>404</v>
      </c>
      <c r="AP65" s="467"/>
      <c r="AQ65" s="467"/>
      <c r="AR65" s="468"/>
      <c r="AS65" s="461"/>
      <c r="AT65" s="466" t="s">
        <v>404</v>
      </c>
      <c r="AU65" s="467"/>
      <c r="AV65" s="467"/>
      <c r="AW65" s="468"/>
      <c r="AX65" s="461"/>
      <c r="BA65" s="461"/>
    </row>
    <row r="66" spans="2:53">
      <c r="B66" s="461"/>
      <c r="C66" s="461"/>
      <c r="D66" s="461"/>
      <c r="E66" s="269" t="s">
        <v>405</v>
      </c>
      <c r="F66" s="269" t="s">
        <v>406</v>
      </c>
      <c r="G66" s="269" t="s">
        <v>407</v>
      </c>
      <c r="H66" s="484"/>
      <c r="I66" s="269" t="s">
        <v>405</v>
      </c>
      <c r="J66" s="269" t="s">
        <v>406</v>
      </c>
      <c r="K66" s="269" t="s">
        <v>407</v>
      </c>
      <c r="L66" s="484"/>
      <c r="M66" s="481"/>
      <c r="N66" s="461"/>
      <c r="O66" s="461"/>
      <c r="P66" s="269" t="s">
        <v>405</v>
      </c>
      <c r="Q66" s="269" t="s">
        <v>406</v>
      </c>
      <c r="R66" s="269" t="s">
        <v>407</v>
      </c>
      <c r="S66" s="269" t="s">
        <v>397</v>
      </c>
      <c r="T66" s="461"/>
      <c r="U66" s="269" t="s">
        <v>405</v>
      </c>
      <c r="V66" s="269" t="s">
        <v>406</v>
      </c>
      <c r="W66" s="269" t="s">
        <v>407</v>
      </c>
      <c r="X66" s="269" t="s">
        <v>397</v>
      </c>
      <c r="Y66" s="461"/>
      <c r="Z66" s="269" t="s">
        <v>405</v>
      </c>
      <c r="AA66" s="269" t="s">
        <v>406</v>
      </c>
      <c r="AB66" s="269" t="s">
        <v>407</v>
      </c>
      <c r="AC66" s="269" t="s">
        <v>397</v>
      </c>
      <c r="AD66" s="461"/>
      <c r="AE66" s="269" t="s">
        <v>405</v>
      </c>
      <c r="AF66" s="269" t="s">
        <v>406</v>
      </c>
      <c r="AG66" s="269" t="s">
        <v>407</v>
      </c>
      <c r="AH66" s="269" t="s">
        <v>397</v>
      </c>
      <c r="AI66" s="461"/>
      <c r="AJ66" s="269" t="s">
        <v>405</v>
      </c>
      <c r="AK66" s="269" t="s">
        <v>406</v>
      </c>
      <c r="AL66" s="269" t="s">
        <v>407</v>
      </c>
      <c r="AM66" s="269" t="s">
        <v>397</v>
      </c>
      <c r="AN66" s="461"/>
      <c r="AO66" s="269" t="s">
        <v>405</v>
      </c>
      <c r="AP66" s="269" t="s">
        <v>406</v>
      </c>
      <c r="AQ66" s="269" t="s">
        <v>407</v>
      </c>
      <c r="AR66" s="269" t="s">
        <v>397</v>
      </c>
      <c r="AS66" s="461"/>
      <c r="AT66" s="269" t="s">
        <v>405</v>
      </c>
      <c r="AU66" s="269" t="s">
        <v>406</v>
      </c>
      <c r="AV66" s="269" t="s">
        <v>407</v>
      </c>
      <c r="AW66" s="269" t="s">
        <v>397</v>
      </c>
      <c r="AX66" s="461"/>
      <c r="AZ66" s="269" t="s">
        <v>397</v>
      </c>
      <c r="BA66" s="461"/>
    </row>
    <row r="67" spans="2:53">
      <c r="B67" s="461" t="s">
        <v>410</v>
      </c>
      <c r="C67" s="182">
        <v>1</v>
      </c>
      <c r="D67" s="203"/>
      <c r="E67" s="166"/>
      <c r="F67" s="182"/>
      <c r="G67" s="180"/>
      <c r="H67" s="463" t="e">
        <f>AVERAGE(G67:G81)</f>
        <v>#DIV/0!</v>
      </c>
      <c r="I67" s="166" t="str">
        <f t="shared" ref="I67:I80" si="55">IFERROR(AVERAGE(P67,U67,Z67,AE67,AJ67,AO67,AT67),"-")</f>
        <v>-</v>
      </c>
      <c r="J67" s="166" t="str">
        <f t="shared" ref="J67:J80" si="56">IFERROR(AVERAGE(Q67,V67,AA67,AF67,AK67,AP67,AU67),"-")</f>
        <v>-</v>
      </c>
      <c r="K67" s="180" t="str">
        <f t="shared" ref="K67:K80" si="57">IFERROR(AVERAGE(R67,W67,AB67,AG67,AL67,AQ67,AV67),"-")</f>
        <v>-</v>
      </c>
      <c r="L67" s="463" t="str">
        <f>IFERROR(AVERAGE(K67:K81),"-")</f>
        <v>-</v>
      </c>
      <c r="M67" s="181" t="e">
        <f>RANK(K67, K$67:$K$81)</f>
        <v>#VALUE!</v>
      </c>
      <c r="N67" s="461"/>
      <c r="O67" s="461"/>
      <c r="P67" s="166"/>
      <c r="Q67" s="166"/>
      <c r="R67" s="180"/>
      <c r="S67" s="182" t="e">
        <f>RANK(R67, R$67:R$81)</f>
        <v>#N/A</v>
      </c>
      <c r="T67" s="487" t="e">
        <f>AVERAGE(R67:R81)</f>
        <v>#DIV/0!</v>
      </c>
      <c r="U67" s="166"/>
      <c r="V67" s="166"/>
      <c r="W67" s="180"/>
      <c r="X67" s="182" t="e">
        <f t="shared" ref="X67:X81" si="58">RANK(W67, W$67:W$81)</f>
        <v>#N/A</v>
      </c>
      <c r="Y67" s="487" t="e">
        <f t="shared" ref="Y67" si="59">AVERAGE(W67:W81)</f>
        <v>#DIV/0!</v>
      </c>
      <c r="Z67" s="166"/>
      <c r="AA67" s="166"/>
      <c r="AB67" s="180"/>
      <c r="AC67" s="182" t="e">
        <f t="shared" ref="AC67:AC81" si="60">RANK(AB67, AB$67:AB$81)</f>
        <v>#N/A</v>
      </c>
      <c r="AD67" s="487" t="e">
        <f t="shared" ref="AD67" si="61">AVERAGE(AB67:AB81)</f>
        <v>#DIV/0!</v>
      </c>
      <c r="AE67" s="166"/>
      <c r="AF67" s="166"/>
      <c r="AG67" s="180"/>
      <c r="AH67" s="182" t="e">
        <f t="shared" ref="AH67:AH81" si="62">RANK(AG67, AG$67:AG$81)</f>
        <v>#N/A</v>
      </c>
      <c r="AI67" s="487" t="e">
        <f t="shared" ref="AI67" si="63">AVERAGE(AG67:AG81)</f>
        <v>#DIV/0!</v>
      </c>
      <c r="AJ67" s="166"/>
      <c r="AK67" s="166"/>
      <c r="AL67" s="180"/>
      <c r="AM67" s="182" t="e">
        <f t="shared" ref="AM67:AM81" si="64">RANK(AL67, AL$67:AL$81)</f>
        <v>#N/A</v>
      </c>
      <c r="AN67" s="487" t="e">
        <f t="shared" ref="AN67" si="65">AVERAGE(AL67:AL81)</f>
        <v>#DIV/0!</v>
      </c>
      <c r="AO67" s="166"/>
      <c r="AP67" s="166"/>
      <c r="AQ67" s="180"/>
      <c r="AR67" s="182" t="e">
        <f t="shared" ref="AR67:AR81" si="66">RANK(AQ67, AQ$67:AQ$81)</f>
        <v>#N/A</v>
      </c>
      <c r="AS67" s="487" t="e">
        <f t="shared" ref="AS67" si="67">AVERAGE(AQ67:AQ81)</f>
        <v>#DIV/0!</v>
      </c>
      <c r="AT67" s="166"/>
      <c r="AU67" s="166"/>
      <c r="AV67" s="180"/>
      <c r="AW67" s="182" t="e">
        <f t="shared" ref="AW67:AW81" si="68">RANK(AV67, AV$67:AV$81)</f>
        <v>#N/A</v>
      </c>
      <c r="AX67" s="487" t="e">
        <f t="shared" ref="AX67" si="69">AVERAGE(AV67:AV81)</f>
        <v>#DIV/0!</v>
      </c>
      <c r="AZ67" s="182" t="e">
        <f t="shared" ref="AZ67:AZ81" si="70">RANK(AY67, AY$67:AY$81)</f>
        <v>#N/A</v>
      </c>
      <c r="BA67" s="487" t="e">
        <f t="shared" ref="BA67" si="71">AVERAGE(AY67:AY81)</f>
        <v>#DIV/0!</v>
      </c>
    </row>
    <row r="68" spans="2:53">
      <c r="B68" s="454"/>
      <c r="C68" s="182">
        <v>2</v>
      </c>
      <c r="D68" s="203"/>
      <c r="E68" s="166"/>
      <c r="F68" s="182"/>
      <c r="G68" s="180"/>
      <c r="H68" s="464"/>
      <c r="I68" s="166" t="str">
        <f t="shared" si="55"/>
        <v>-</v>
      </c>
      <c r="J68" s="166" t="str">
        <f t="shared" si="56"/>
        <v>-</v>
      </c>
      <c r="K68" s="180" t="str">
        <f t="shared" si="57"/>
        <v>-</v>
      </c>
      <c r="L68" s="464"/>
      <c r="M68" s="181" t="e">
        <f>RANK(K68, K$67:$K$81)</f>
        <v>#VALUE!</v>
      </c>
      <c r="N68" s="461"/>
      <c r="O68" s="461"/>
      <c r="P68" s="182"/>
      <c r="Q68" s="166"/>
      <c r="R68" s="180"/>
      <c r="S68" s="182" t="e">
        <f t="shared" ref="S68:S81" si="72">RANK(R68, R$67:R$81)</f>
        <v>#N/A</v>
      </c>
      <c r="T68" s="488"/>
      <c r="U68" s="182"/>
      <c r="V68" s="166"/>
      <c r="W68" s="180"/>
      <c r="X68" s="182" t="e">
        <f t="shared" si="58"/>
        <v>#N/A</v>
      </c>
      <c r="Y68" s="488"/>
      <c r="Z68" s="182"/>
      <c r="AA68" s="166"/>
      <c r="AB68" s="180"/>
      <c r="AC68" s="182" t="e">
        <f t="shared" si="60"/>
        <v>#N/A</v>
      </c>
      <c r="AD68" s="488"/>
      <c r="AE68" s="182"/>
      <c r="AF68" s="166"/>
      <c r="AG68" s="180"/>
      <c r="AH68" s="182" t="e">
        <f t="shared" si="62"/>
        <v>#N/A</v>
      </c>
      <c r="AI68" s="488"/>
      <c r="AJ68" s="182"/>
      <c r="AK68" s="166"/>
      <c r="AL68" s="180"/>
      <c r="AM68" s="182" t="e">
        <f t="shared" si="64"/>
        <v>#N/A</v>
      </c>
      <c r="AN68" s="488"/>
      <c r="AO68" s="182"/>
      <c r="AP68" s="166"/>
      <c r="AQ68" s="180"/>
      <c r="AR68" s="182" t="e">
        <f t="shared" si="66"/>
        <v>#N/A</v>
      </c>
      <c r="AS68" s="488"/>
      <c r="AT68" s="182"/>
      <c r="AU68" s="166"/>
      <c r="AV68" s="180"/>
      <c r="AW68" s="182" t="e">
        <f t="shared" si="68"/>
        <v>#N/A</v>
      </c>
      <c r="AX68" s="488"/>
      <c r="AZ68" s="182" t="e">
        <f t="shared" si="70"/>
        <v>#N/A</v>
      </c>
      <c r="BA68" s="488"/>
    </row>
    <row r="69" spans="2:53">
      <c r="B69" s="454"/>
      <c r="C69" s="182">
        <v>3</v>
      </c>
      <c r="D69" s="203"/>
      <c r="E69" s="166"/>
      <c r="F69" s="182"/>
      <c r="G69" s="180"/>
      <c r="H69" s="464"/>
      <c r="I69" s="166" t="str">
        <f t="shared" si="55"/>
        <v>-</v>
      </c>
      <c r="J69" s="166" t="str">
        <f t="shared" si="56"/>
        <v>-</v>
      </c>
      <c r="K69" s="180" t="str">
        <f t="shared" si="57"/>
        <v>-</v>
      </c>
      <c r="L69" s="464"/>
      <c r="M69" s="181" t="e">
        <f>RANK(K69, K$67:$K$81)</f>
        <v>#VALUE!</v>
      </c>
      <c r="N69" s="461"/>
      <c r="O69" s="461"/>
      <c r="P69" s="182"/>
      <c r="Q69" s="182"/>
      <c r="R69" s="182"/>
      <c r="S69" s="182" t="e">
        <f t="shared" si="72"/>
        <v>#N/A</v>
      </c>
      <c r="T69" s="488"/>
      <c r="U69" s="182"/>
      <c r="V69" s="182"/>
      <c r="W69" s="182"/>
      <c r="X69" s="182" t="e">
        <f t="shared" si="58"/>
        <v>#N/A</v>
      </c>
      <c r="Y69" s="488"/>
      <c r="Z69" s="182"/>
      <c r="AA69" s="182"/>
      <c r="AB69" s="182"/>
      <c r="AC69" s="182" t="e">
        <f t="shared" si="60"/>
        <v>#N/A</v>
      </c>
      <c r="AD69" s="488"/>
      <c r="AE69" s="182"/>
      <c r="AF69" s="182"/>
      <c r="AG69" s="182"/>
      <c r="AH69" s="182" t="e">
        <f t="shared" si="62"/>
        <v>#N/A</v>
      </c>
      <c r="AI69" s="488"/>
      <c r="AJ69" s="182"/>
      <c r="AK69" s="182"/>
      <c r="AL69" s="182"/>
      <c r="AM69" s="182" t="e">
        <f t="shared" si="64"/>
        <v>#N/A</v>
      </c>
      <c r="AN69" s="488"/>
      <c r="AO69" s="182"/>
      <c r="AP69" s="182"/>
      <c r="AQ69" s="182"/>
      <c r="AR69" s="182" t="e">
        <f t="shared" si="66"/>
        <v>#N/A</v>
      </c>
      <c r="AS69" s="488"/>
      <c r="AT69" s="182"/>
      <c r="AU69" s="182"/>
      <c r="AV69" s="182"/>
      <c r="AW69" s="182" t="e">
        <f t="shared" si="68"/>
        <v>#N/A</v>
      </c>
      <c r="AX69" s="488"/>
      <c r="AZ69" s="182" t="e">
        <f t="shared" si="70"/>
        <v>#N/A</v>
      </c>
      <c r="BA69" s="488"/>
    </row>
    <row r="70" spans="2:53">
      <c r="B70" s="454"/>
      <c r="C70" s="182">
        <v>4</v>
      </c>
      <c r="D70" s="203"/>
      <c r="E70" s="166"/>
      <c r="F70" s="182"/>
      <c r="G70" s="180"/>
      <c r="H70" s="464"/>
      <c r="I70" s="166" t="str">
        <f t="shared" si="55"/>
        <v>-</v>
      </c>
      <c r="J70" s="166" t="str">
        <f t="shared" si="56"/>
        <v>-</v>
      </c>
      <c r="K70" s="180" t="str">
        <f t="shared" si="57"/>
        <v>-</v>
      </c>
      <c r="L70" s="464"/>
      <c r="M70" s="181" t="e">
        <f>RANK(K70, K$67:$K$81)</f>
        <v>#VALUE!</v>
      </c>
      <c r="N70" s="461"/>
      <c r="O70" s="461"/>
      <c r="P70" s="182"/>
      <c r="Q70" s="182"/>
      <c r="R70" s="182"/>
      <c r="S70" s="182" t="e">
        <f t="shared" si="72"/>
        <v>#N/A</v>
      </c>
      <c r="T70" s="488"/>
      <c r="U70" s="182"/>
      <c r="V70" s="182"/>
      <c r="W70" s="182"/>
      <c r="X70" s="182" t="e">
        <f t="shared" si="58"/>
        <v>#N/A</v>
      </c>
      <c r="Y70" s="488"/>
      <c r="Z70" s="182"/>
      <c r="AA70" s="182"/>
      <c r="AB70" s="182"/>
      <c r="AC70" s="182" t="e">
        <f t="shared" si="60"/>
        <v>#N/A</v>
      </c>
      <c r="AD70" s="488"/>
      <c r="AE70" s="182"/>
      <c r="AF70" s="182"/>
      <c r="AG70" s="182"/>
      <c r="AH70" s="182" t="e">
        <f t="shared" si="62"/>
        <v>#N/A</v>
      </c>
      <c r="AI70" s="488"/>
      <c r="AJ70" s="182"/>
      <c r="AK70" s="182"/>
      <c r="AL70" s="182"/>
      <c r="AM70" s="182" t="e">
        <f t="shared" si="64"/>
        <v>#N/A</v>
      </c>
      <c r="AN70" s="488"/>
      <c r="AO70" s="182"/>
      <c r="AP70" s="182"/>
      <c r="AQ70" s="182"/>
      <c r="AR70" s="182" t="e">
        <f t="shared" si="66"/>
        <v>#N/A</v>
      </c>
      <c r="AS70" s="488"/>
      <c r="AT70" s="182"/>
      <c r="AU70" s="182"/>
      <c r="AV70" s="182"/>
      <c r="AW70" s="182" t="e">
        <f t="shared" si="68"/>
        <v>#N/A</v>
      </c>
      <c r="AX70" s="488"/>
      <c r="AZ70" s="182" t="e">
        <f t="shared" si="70"/>
        <v>#N/A</v>
      </c>
      <c r="BA70" s="488"/>
    </row>
    <row r="71" spans="2:53">
      <c r="B71" s="454"/>
      <c r="C71" s="182">
        <v>5</v>
      </c>
      <c r="D71" s="203"/>
      <c r="E71" s="166"/>
      <c r="F71" s="182"/>
      <c r="G71" s="180"/>
      <c r="H71" s="464"/>
      <c r="I71" s="166" t="str">
        <f t="shared" si="55"/>
        <v>-</v>
      </c>
      <c r="J71" s="166" t="str">
        <f t="shared" si="56"/>
        <v>-</v>
      </c>
      <c r="K71" s="180" t="str">
        <f t="shared" si="57"/>
        <v>-</v>
      </c>
      <c r="L71" s="464"/>
      <c r="M71" s="181" t="e">
        <f>RANK(K71, K$67:$K$81)</f>
        <v>#VALUE!</v>
      </c>
      <c r="N71" s="461"/>
      <c r="O71" s="461"/>
      <c r="P71" s="182"/>
      <c r="Q71" s="182"/>
      <c r="R71" s="182"/>
      <c r="S71" s="182" t="e">
        <f t="shared" si="72"/>
        <v>#N/A</v>
      </c>
      <c r="T71" s="488"/>
      <c r="U71" s="182"/>
      <c r="V71" s="182"/>
      <c r="W71" s="182"/>
      <c r="X71" s="182" t="e">
        <f t="shared" si="58"/>
        <v>#N/A</v>
      </c>
      <c r="Y71" s="488"/>
      <c r="Z71" s="182"/>
      <c r="AA71" s="182"/>
      <c r="AB71" s="182"/>
      <c r="AC71" s="182" t="e">
        <f t="shared" si="60"/>
        <v>#N/A</v>
      </c>
      <c r="AD71" s="488"/>
      <c r="AE71" s="182"/>
      <c r="AF71" s="182"/>
      <c r="AG71" s="182"/>
      <c r="AH71" s="182" t="e">
        <f t="shared" si="62"/>
        <v>#N/A</v>
      </c>
      <c r="AI71" s="488"/>
      <c r="AJ71" s="182"/>
      <c r="AK71" s="182"/>
      <c r="AL71" s="182"/>
      <c r="AM71" s="182" t="e">
        <f t="shared" si="64"/>
        <v>#N/A</v>
      </c>
      <c r="AN71" s="488"/>
      <c r="AO71" s="182"/>
      <c r="AP71" s="182"/>
      <c r="AQ71" s="182"/>
      <c r="AR71" s="182" t="e">
        <f t="shared" si="66"/>
        <v>#N/A</v>
      </c>
      <c r="AS71" s="488"/>
      <c r="AT71" s="182"/>
      <c r="AU71" s="182"/>
      <c r="AV71" s="182"/>
      <c r="AW71" s="182" t="e">
        <f t="shared" si="68"/>
        <v>#N/A</v>
      </c>
      <c r="AX71" s="488"/>
      <c r="AZ71" s="182" t="e">
        <f t="shared" si="70"/>
        <v>#N/A</v>
      </c>
      <c r="BA71" s="488"/>
    </row>
    <row r="72" spans="2:53">
      <c r="B72" s="454"/>
      <c r="C72" s="182">
        <v>6</v>
      </c>
      <c r="D72" s="203"/>
      <c r="E72" s="166"/>
      <c r="F72" s="182"/>
      <c r="G72" s="180"/>
      <c r="H72" s="464"/>
      <c r="I72" s="166" t="str">
        <f t="shared" si="55"/>
        <v>-</v>
      </c>
      <c r="J72" s="166" t="str">
        <f t="shared" si="56"/>
        <v>-</v>
      </c>
      <c r="K72" s="180" t="str">
        <f t="shared" si="57"/>
        <v>-</v>
      </c>
      <c r="L72" s="464"/>
      <c r="M72" s="181" t="e">
        <f>RANK(K72, K$67:$K$81)</f>
        <v>#VALUE!</v>
      </c>
      <c r="N72" s="461"/>
      <c r="O72" s="461"/>
      <c r="P72" s="182"/>
      <c r="Q72" s="182"/>
      <c r="R72" s="182"/>
      <c r="S72" s="182" t="e">
        <f t="shared" si="72"/>
        <v>#N/A</v>
      </c>
      <c r="T72" s="488"/>
      <c r="U72" s="182"/>
      <c r="V72" s="182"/>
      <c r="W72" s="182"/>
      <c r="X72" s="182" t="e">
        <f t="shared" si="58"/>
        <v>#N/A</v>
      </c>
      <c r="Y72" s="488"/>
      <c r="Z72" s="182"/>
      <c r="AA72" s="182"/>
      <c r="AB72" s="182"/>
      <c r="AC72" s="182" t="e">
        <f t="shared" si="60"/>
        <v>#N/A</v>
      </c>
      <c r="AD72" s="488"/>
      <c r="AE72" s="182"/>
      <c r="AF72" s="182"/>
      <c r="AG72" s="182"/>
      <c r="AH72" s="182" t="e">
        <f t="shared" si="62"/>
        <v>#N/A</v>
      </c>
      <c r="AI72" s="488"/>
      <c r="AJ72" s="182"/>
      <c r="AK72" s="182"/>
      <c r="AL72" s="182"/>
      <c r="AM72" s="182" t="e">
        <f t="shared" si="64"/>
        <v>#N/A</v>
      </c>
      <c r="AN72" s="488"/>
      <c r="AO72" s="182"/>
      <c r="AP72" s="182"/>
      <c r="AQ72" s="182"/>
      <c r="AR72" s="182" t="e">
        <f t="shared" si="66"/>
        <v>#N/A</v>
      </c>
      <c r="AS72" s="488"/>
      <c r="AT72" s="182"/>
      <c r="AU72" s="182"/>
      <c r="AV72" s="182"/>
      <c r="AW72" s="182" t="e">
        <f t="shared" si="68"/>
        <v>#N/A</v>
      </c>
      <c r="AX72" s="488"/>
      <c r="AZ72" s="182" t="e">
        <f t="shared" si="70"/>
        <v>#N/A</v>
      </c>
      <c r="BA72" s="488"/>
    </row>
    <row r="73" spans="2:53">
      <c r="B73" s="454"/>
      <c r="C73" s="182">
        <v>7</v>
      </c>
      <c r="D73" s="203"/>
      <c r="E73" s="166"/>
      <c r="F73" s="182"/>
      <c r="G73" s="180"/>
      <c r="H73" s="464"/>
      <c r="I73" s="166" t="str">
        <f t="shared" si="55"/>
        <v>-</v>
      </c>
      <c r="J73" s="166" t="str">
        <f t="shared" si="56"/>
        <v>-</v>
      </c>
      <c r="K73" s="180" t="str">
        <f t="shared" si="57"/>
        <v>-</v>
      </c>
      <c r="L73" s="464"/>
      <c r="M73" s="181" t="e">
        <f>RANK(K73, K$67:$K$81)</f>
        <v>#VALUE!</v>
      </c>
      <c r="N73" s="461"/>
      <c r="O73" s="461"/>
      <c r="P73" s="182"/>
      <c r="Q73" s="182"/>
      <c r="R73" s="182"/>
      <c r="S73" s="182" t="e">
        <f t="shared" si="72"/>
        <v>#N/A</v>
      </c>
      <c r="T73" s="488"/>
      <c r="U73" s="182"/>
      <c r="V73" s="182"/>
      <c r="W73" s="182"/>
      <c r="X73" s="182" t="e">
        <f t="shared" si="58"/>
        <v>#N/A</v>
      </c>
      <c r="Y73" s="488"/>
      <c r="Z73" s="182"/>
      <c r="AA73" s="182"/>
      <c r="AB73" s="182"/>
      <c r="AC73" s="182" t="e">
        <f t="shared" si="60"/>
        <v>#N/A</v>
      </c>
      <c r="AD73" s="488"/>
      <c r="AE73" s="182"/>
      <c r="AF73" s="182"/>
      <c r="AG73" s="182"/>
      <c r="AH73" s="182" t="e">
        <f t="shared" si="62"/>
        <v>#N/A</v>
      </c>
      <c r="AI73" s="488"/>
      <c r="AJ73" s="182"/>
      <c r="AK73" s="182"/>
      <c r="AL73" s="182"/>
      <c r="AM73" s="182" t="e">
        <f t="shared" si="64"/>
        <v>#N/A</v>
      </c>
      <c r="AN73" s="488"/>
      <c r="AO73" s="182"/>
      <c r="AP73" s="182"/>
      <c r="AQ73" s="182"/>
      <c r="AR73" s="182" t="e">
        <f t="shared" si="66"/>
        <v>#N/A</v>
      </c>
      <c r="AS73" s="488"/>
      <c r="AT73" s="182"/>
      <c r="AU73" s="182"/>
      <c r="AV73" s="182"/>
      <c r="AW73" s="182" t="e">
        <f t="shared" si="68"/>
        <v>#N/A</v>
      </c>
      <c r="AX73" s="488"/>
      <c r="AZ73" s="182" t="e">
        <f t="shared" si="70"/>
        <v>#N/A</v>
      </c>
      <c r="BA73" s="488"/>
    </row>
    <row r="74" spans="2:53">
      <c r="B74" s="454"/>
      <c r="C74" s="182">
        <v>8</v>
      </c>
      <c r="D74" s="203"/>
      <c r="E74" s="166"/>
      <c r="F74" s="182"/>
      <c r="G74" s="180"/>
      <c r="H74" s="464"/>
      <c r="I74" s="166" t="str">
        <f t="shared" si="55"/>
        <v>-</v>
      </c>
      <c r="J74" s="166" t="str">
        <f t="shared" si="56"/>
        <v>-</v>
      </c>
      <c r="K74" s="180" t="str">
        <f t="shared" si="57"/>
        <v>-</v>
      </c>
      <c r="L74" s="464"/>
      <c r="M74" s="181" t="e">
        <f>RANK(K74, K$67:$K$81)</f>
        <v>#VALUE!</v>
      </c>
      <c r="N74" s="461"/>
      <c r="O74" s="461"/>
      <c r="P74" s="182"/>
      <c r="Q74" s="182"/>
      <c r="R74" s="182"/>
      <c r="S74" s="182" t="e">
        <f t="shared" si="72"/>
        <v>#N/A</v>
      </c>
      <c r="T74" s="488"/>
      <c r="U74" s="182"/>
      <c r="V74" s="182"/>
      <c r="W74" s="182"/>
      <c r="X74" s="182" t="e">
        <f t="shared" si="58"/>
        <v>#N/A</v>
      </c>
      <c r="Y74" s="488"/>
      <c r="Z74" s="182"/>
      <c r="AA74" s="182"/>
      <c r="AB74" s="182"/>
      <c r="AC74" s="182" t="e">
        <f t="shared" si="60"/>
        <v>#N/A</v>
      </c>
      <c r="AD74" s="488"/>
      <c r="AE74" s="182"/>
      <c r="AF74" s="182"/>
      <c r="AG74" s="182"/>
      <c r="AH74" s="182" t="e">
        <f t="shared" si="62"/>
        <v>#N/A</v>
      </c>
      <c r="AI74" s="488"/>
      <c r="AJ74" s="182"/>
      <c r="AK74" s="182"/>
      <c r="AL74" s="182"/>
      <c r="AM74" s="182" t="e">
        <f t="shared" si="64"/>
        <v>#N/A</v>
      </c>
      <c r="AN74" s="488"/>
      <c r="AO74" s="182"/>
      <c r="AP74" s="182"/>
      <c r="AQ74" s="182"/>
      <c r="AR74" s="182" t="e">
        <f t="shared" si="66"/>
        <v>#N/A</v>
      </c>
      <c r="AS74" s="488"/>
      <c r="AT74" s="182"/>
      <c r="AU74" s="182"/>
      <c r="AV74" s="182"/>
      <c r="AW74" s="182" t="e">
        <f t="shared" si="68"/>
        <v>#N/A</v>
      </c>
      <c r="AX74" s="488"/>
      <c r="AZ74" s="182" t="e">
        <f t="shared" si="70"/>
        <v>#N/A</v>
      </c>
      <c r="BA74" s="488"/>
    </row>
    <row r="75" spans="2:53">
      <c r="B75" s="454"/>
      <c r="C75" s="182">
        <v>9</v>
      </c>
      <c r="D75" s="203"/>
      <c r="E75" s="166"/>
      <c r="F75" s="182"/>
      <c r="G75" s="180"/>
      <c r="H75" s="464"/>
      <c r="I75" s="166" t="str">
        <f t="shared" si="55"/>
        <v>-</v>
      </c>
      <c r="J75" s="166" t="str">
        <f t="shared" si="56"/>
        <v>-</v>
      </c>
      <c r="K75" s="180" t="str">
        <f t="shared" si="57"/>
        <v>-</v>
      </c>
      <c r="L75" s="464"/>
      <c r="M75" s="181" t="e">
        <f>RANK(K75, K$67:$K$81)</f>
        <v>#VALUE!</v>
      </c>
      <c r="N75" s="461"/>
      <c r="O75" s="461"/>
      <c r="P75" s="182"/>
      <c r="Q75" s="182"/>
      <c r="R75" s="182"/>
      <c r="S75" s="182" t="e">
        <f t="shared" si="72"/>
        <v>#N/A</v>
      </c>
      <c r="T75" s="488"/>
      <c r="U75" s="182"/>
      <c r="V75" s="182"/>
      <c r="W75" s="182"/>
      <c r="X75" s="182" t="e">
        <f t="shared" si="58"/>
        <v>#N/A</v>
      </c>
      <c r="Y75" s="488"/>
      <c r="Z75" s="182"/>
      <c r="AA75" s="182"/>
      <c r="AB75" s="182"/>
      <c r="AC75" s="182" t="e">
        <f t="shared" si="60"/>
        <v>#N/A</v>
      </c>
      <c r="AD75" s="488"/>
      <c r="AE75" s="182"/>
      <c r="AF75" s="182"/>
      <c r="AG75" s="182"/>
      <c r="AH75" s="182" t="e">
        <f t="shared" si="62"/>
        <v>#N/A</v>
      </c>
      <c r="AI75" s="488"/>
      <c r="AJ75" s="182"/>
      <c r="AK75" s="182"/>
      <c r="AL75" s="182"/>
      <c r="AM75" s="182" t="e">
        <f t="shared" si="64"/>
        <v>#N/A</v>
      </c>
      <c r="AN75" s="488"/>
      <c r="AO75" s="182"/>
      <c r="AP75" s="182"/>
      <c r="AQ75" s="182"/>
      <c r="AR75" s="182" t="e">
        <f t="shared" si="66"/>
        <v>#N/A</v>
      </c>
      <c r="AS75" s="488"/>
      <c r="AT75" s="182"/>
      <c r="AU75" s="182"/>
      <c r="AV75" s="182"/>
      <c r="AW75" s="182" t="e">
        <f t="shared" si="68"/>
        <v>#N/A</v>
      </c>
      <c r="AX75" s="488"/>
      <c r="AZ75" s="182" t="e">
        <f t="shared" si="70"/>
        <v>#N/A</v>
      </c>
      <c r="BA75" s="488"/>
    </row>
    <row r="76" spans="2:53">
      <c r="B76" s="454"/>
      <c r="C76" s="182">
        <v>10</v>
      </c>
      <c r="D76" s="203"/>
      <c r="E76" s="166"/>
      <c r="F76" s="182"/>
      <c r="G76" s="180"/>
      <c r="H76" s="464"/>
      <c r="I76" s="166" t="str">
        <f t="shared" si="55"/>
        <v>-</v>
      </c>
      <c r="J76" s="166" t="str">
        <f t="shared" si="56"/>
        <v>-</v>
      </c>
      <c r="K76" s="180" t="str">
        <f t="shared" si="57"/>
        <v>-</v>
      </c>
      <c r="L76" s="464"/>
      <c r="M76" s="181" t="e">
        <f>RANK(K76, K$67:$K$81)</f>
        <v>#VALUE!</v>
      </c>
      <c r="N76" s="461"/>
      <c r="O76" s="461"/>
      <c r="P76" s="182"/>
      <c r="Q76" s="182"/>
      <c r="R76" s="182"/>
      <c r="S76" s="182" t="e">
        <f t="shared" si="72"/>
        <v>#N/A</v>
      </c>
      <c r="T76" s="488"/>
      <c r="U76" s="182"/>
      <c r="V76" s="182"/>
      <c r="W76" s="182"/>
      <c r="X76" s="182" t="e">
        <f t="shared" si="58"/>
        <v>#N/A</v>
      </c>
      <c r="Y76" s="488"/>
      <c r="Z76" s="182"/>
      <c r="AA76" s="182"/>
      <c r="AB76" s="182"/>
      <c r="AC76" s="182" t="e">
        <f t="shared" si="60"/>
        <v>#N/A</v>
      </c>
      <c r="AD76" s="488"/>
      <c r="AE76" s="182"/>
      <c r="AF76" s="182"/>
      <c r="AG76" s="182"/>
      <c r="AH76" s="182" t="e">
        <f t="shared" si="62"/>
        <v>#N/A</v>
      </c>
      <c r="AI76" s="488"/>
      <c r="AJ76" s="182"/>
      <c r="AK76" s="182"/>
      <c r="AL76" s="182"/>
      <c r="AM76" s="182" t="e">
        <f t="shared" si="64"/>
        <v>#N/A</v>
      </c>
      <c r="AN76" s="488"/>
      <c r="AO76" s="182"/>
      <c r="AP76" s="182"/>
      <c r="AQ76" s="182"/>
      <c r="AR76" s="182" t="e">
        <f t="shared" si="66"/>
        <v>#N/A</v>
      </c>
      <c r="AS76" s="488"/>
      <c r="AT76" s="182"/>
      <c r="AU76" s="182"/>
      <c r="AV76" s="182"/>
      <c r="AW76" s="182" t="e">
        <f t="shared" si="68"/>
        <v>#N/A</v>
      </c>
      <c r="AX76" s="488"/>
      <c r="AZ76" s="182" t="e">
        <f t="shared" si="70"/>
        <v>#N/A</v>
      </c>
      <c r="BA76" s="488"/>
    </row>
    <row r="77" spans="2:53">
      <c r="B77" s="454"/>
      <c r="C77" s="182">
        <v>11</v>
      </c>
      <c r="D77" s="203"/>
      <c r="E77" s="166"/>
      <c r="F77" s="182"/>
      <c r="G77" s="180"/>
      <c r="H77" s="464"/>
      <c r="I77" s="166" t="str">
        <f t="shared" si="55"/>
        <v>-</v>
      </c>
      <c r="J77" s="166" t="str">
        <f t="shared" si="56"/>
        <v>-</v>
      </c>
      <c r="K77" s="180" t="str">
        <f t="shared" si="57"/>
        <v>-</v>
      </c>
      <c r="L77" s="464"/>
      <c r="M77" s="181" t="e">
        <f>RANK(K77, K$67:$K$81)</f>
        <v>#VALUE!</v>
      </c>
      <c r="N77" s="461"/>
      <c r="O77" s="461"/>
      <c r="P77" s="182"/>
      <c r="Q77" s="182"/>
      <c r="R77" s="182"/>
      <c r="S77" s="182" t="e">
        <f t="shared" si="72"/>
        <v>#N/A</v>
      </c>
      <c r="T77" s="488"/>
      <c r="U77" s="182"/>
      <c r="V77" s="182"/>
      <c r="W77" s="182"/>
      <c r="X77" s="182" t="e">
        <f t="shared" si="58"/>
        <v>#N/A</v>
      </c>
      <c r="Y77" s="488"/>
      <c r="Z77" s="182"/>
      <c r="AA77" s="182"/>
      <c r="AB77" s="182"/>
      <c r="AC77" s="182" t="e">
        <f t="shared" si="60"/>
        <v>#N/A</v>
      </c>
      <c r="AD77" s="488"/>
      <c r="AE77" s="182"/>
      <c r="AF77" s="182"/>
      <c r="AG77" s="182"/>
      <c r="AH77" s="182" t="e">
        <f t="shared" si="62"/>
        <v>#N/A</v>
      </c>
      <c r="AI77" s="488"/>
      <c r="AJ77" s="182"/>
      <c r="AK77" s="182"/>
      <c r="AL77" s="182"/>
      <c r="AM77" s="182" t="e">
        <f t="shared" si="64"/>
        <v>#N/A</v>
      </c>
      <c r="AN77" s="488"/>
      <c r="AO77" s="182"/>
      <c r="AP77" s="182"/>
      <c r="AQ77" s="182"/>
      <c r="AR77" s="182" t="e">
        <f t="shared" si="66"/>
        <v>#N/A</v>
      </c>
      <c r="AS77" s="488"/>
      <c r="AT77" s="182"/>
      <c r="AU77" s="182"/>
      <c r="AV77" s="182"/>
      <c r="AW77" s="182" t="e">
        <f t="shared" si="68"/>
        <v>#N/A</v>
      </c>
      <c r="AX77" s="488"/>
      <c r="AZ77" s="182" t="e">
        <f t="shared" si="70"/>
        <v>#N/A</v>
      </c>
      <c r="BA77" s="488"/>
    </row>
    <row r="78" spans="2:53">
      <c r="B78" s="454"/>
      <c r="C78" s="182">
        <v>12</v>
      </c>
      <c r="D78" s="203"/>
      <c r="E78" s="166"/>
      <c r="F78" s="182"/>
      <c r="G78" s="180"/>
      <c r="H78" s="464"/>
      <c r="I78" s="166" t="str">
        <f t="shared" si="55"/>
        <v>-</v>
      </c>
      <c r="J78" s="166" t="str">
        <f t="shared" si="56"/>
        <v>-</v>
      </c>
      <c r="K78" s="180" t="str">
        <f t="shared" si="57"/>
        <v>-</v>
      </c>
      <c r="L78" s="464"/>
      <c r="M78" s="181" t="e">
        <f>RANK(K78, K$67:$K$81)</f>
        <v>#VALUE!</v>
      </c>
      <c r="N78" s="461"/>
      <c r="O78" s="461"/>
      <c r="P78" s="182"/>
      <c r="Q78" s="182"/>
      <c r="R78" s="182"/>
      <c r="S78" s="182" t="e">
        <f t="shared" si="72"/>
        <v>#N/A</v>
      </c>
      <c r="T78" s="488"/>
      <c r="U78" s="182"/>
      <c r="V78" s="182"/>
      <c r="W78" s="182"/>
      <c r="X78" s="182" t="e">
        <f t="shared" si="58"/>
        <v>#N/A</v>
      </c>
      <c r="Y78" s="488"/>
      <c r="Z78" s="182"/>
      <c r="AA78" s="182"/>
      <c r="AB78" s="182"/>
      <c r="AC78" s="182" t="e">
        <f t="shared" si="60"/>
        <v>#N/A</v>
      </c>
      <c r="AD78" s="488"/>
      <c r="AE78" s="182"/>
      <c r="AF78" s="182"/>
      <c r="AG78" s="182"/>
      <c r="AH78" s="182" t="e">
        <f t="shared" si="62"/>
        <v>#N/A</v>
      </c>
      <c r="AI78" s="488"/>
      <c r="AJ78" s="182"/>
      <c r="AK78" s="182"/>
      <c r="AL78" s="182"/>
      <c r="AM78" s="182" t="e">
        <f t="shared" si="64"/>
        <v>#N/A</v>
      </c>
      <c r="AN78" s="488"/>
      <c r="AO78" s="182"/>
      <c r="AP78" s="182"/>
      <c r="AQ78" s="182"/>
      <c r="AR78" s="182" t="e">
        <f t="shared" si="66"/>
        <v>#N/A</v>
      </c>
      <c r="AS78" s="488"/>
      <c r="AT78" s="182"/>
      <c r="AU78" s="182"/>
      <c r="AV78" s="182"/>
      <c r="AW78" s="182" t="e">
        <f t="shared" si="68"/>
        <v>#N/A</v>
      </c>
      <c r="AX78" s="488"/>
      <c r="AZ78" s="182" t="e">
        <f t="shared" si="70"/>
        <v>#N/A</v>
      </c>
      <c r="BA78" s="488"/>
    </row>
    <row r="79" spans="2:53">
      <c r="B79" s="454"/>
      <c r="C79" s="182">
        <v>13</v>
      </c>
      <c r="D79" s="203"/>
      <c r="E79" s="166"/>
      <c r="F79" s="182"/>
      <c r="G79" s="180"/>
      <c r="H79" s="464"/>
      <c r="I79" s="166" t="str">
        <f t="shared" si="55"/>
        <v>-</v>
      </c>
      <c r="J79" s="166" t="str">
        <f t="shared" si="56"/>
        <v>-</v>
      </c>
      <c r="K79" s="180" t="str">
        <f t="shared" si="57"/>
        <v>-</v>
      </c>
      <c r="L79" s="464"/>
      <c r="M79" s="181" t="e">
        <f>RANK(K79, K$67:$K$81)</f>
        <v>#VALUE!</v>
      </c>
      <c r="N79" s="461"/>
      <c r="O79" s="461"/>
      <c r="P79" s="182"/>
      <c r="Q79" s="182"/>
      <c r="R79" s="182"/>
      <c r="S79" s="182" t="e">
        <f t="shared" si="72"/>
        <v>#N/A</v>
      </c>
      <c r="T79" s="488"/>
      <c r="U79" s="182"/>
      <c r="V79" s="182"/>
      <c r="W79" s="182"/>
      <c r="X79" s="182" t="e">
        <f t="shared" si="58"/>
        <v>#N/A</v>
      </c>
      <c r="Y79" s="488"/>
      <c r="Z79" s="182"/>
      <c r="AA79" s="182"/>
      <c r="AB79" s="182"/>
      <c r="AC79" s="182" t="e">
        <f t="shared" si="60"/>
        <v>#N/A</v>
      </c>
      <c r="AD79" s="488"/>
      <c r="AE79" s="182"/>
      <c r="AF79" s="182"/>
      <c r="AG79" s="182"/>
      <c r="AH79" s="182" t="e">
        <f t="shared" si="62"/>
        <v>#N/A</v>
      </c>
      <c r="AI79" s="488"/>
      <c r="AJ79" s="182"/>
      <c r="AK79" s="182"/>
      <c r="AL79" s="182"/>
      <c r="AM79" s="182" t="e">
        <f t="shared" si="64"/>
        <v>#N/A</v>
      </c>
      <c r="AN79" s="488"/>
      <c r="AO79" s="182"/>
      <c r="AP79" s="182"/>
      <c r="AQ79" s="182"/>
      <c r="AR79" s="182" t="e">
        <f t="shared" si="66"/>
        <v>#N/A</v>
      </c>
      <c r="AS79" s="488"/>
      <c r="AT79" s="182"/>
      <c r="AU79" s="182"/>
      <c r="AV79" s="182"/>
      <c r="AW79" s="182" t="e">
        <f t="shared" si="68"/>
        <v>#N/A</v>
      </c>
      <c r="AX79" s="488"/>
      <c r="AZ79" s="182" t="e">
        <f t="shared" si="70"/>
        <v>#N/A</v>
      </c>
      <c r="BA79" s="488"/>
    </row>
    <row r="80" spans="2:53">
      <c r="B80" s="454"/>
      <c r="C80" s="182">
        <v>14</v>
      </c>
      <c r="D80" s="203"/>
      <c r="E80" s="166"/>
      <c r="F80" s="182"/>
      <c r="G80" s="180"/>
      <c r="H80" s="464"/>
      <c r="I80" s="166" t="str">
        <f t="shared" si="55"/>
        <v>-</v>
      </c>
      <c r="J80" s="166" t="str">
        <f t="shared" si="56"/>
        <v>-</v>
      </c>
      <c r="K80" s="180" t="str">
        <f t="shared" si="57"/>
        <v>-</v>
      </c>
      <c r="L80" s="464"/>
      <c r="M80" s="181" t="e">
        <f>RANK(K80, K$67:$K$81)</f>
        <v>#VALUE!</v>
      </c>
      <c r="N80" s="461"/>
      <c r="O80" s="461"/>
      <c r="P80" s="182"/>
      <c r="Q80" s="182"/>
      <c r="R80" s="182"/>
      <c r="S80" s="182" t="e">
        <f t="shared" si="72"/>
        <v>#N/A</v>
      </c>
      <c r="T80" s="488"/>
      <c r="U80" s="182"/>
      <c r="V80" s="182"/>
      <c r="W80" s="182"/>
      <c r="X80" s="182" t="e">
        <f t="shared" si="58"/>
        <v>#N/A</v>
      </c>
      <c r="Y80" s="488"/>
      <c r="Z80" s="182"/>
      <c r="AA80" s="182"/>
      <c r="AB80" s="182"/>
      <c r="AC80" s="182" t="e">
        <f t="shared" si="60"/>
        <v>#N/A</v>
      </c>
      <c r="AD80" s="488"/>
      <c r="AE80" s="182"/>
      <c r="AF80" s="182"/>
      <c r="AG80" s="182"/>
      <c r="AH80" s="182" t="e">
        <f t="shared" si="62"/>
        <v>#N/A</v>
      </c>
      <c r="AI80" s="488"/>
      <c r="AJ80" s="182"/>
      <c r="AK80" s="182"/>
      <c r="AL80" s="182"/>
      <c r="AM80" s="182" t="e">
        <f t="shared" si="64"/>
        <v>#N/A</v>
      </c>
      <c r="AN80" s="488"/>
      <c r="AO80" s="182"/>
      <c r="AP80" s="182"/>
      <c r="AQ80" s="182"/>
      <c r="AR80" s="182" t="e">
        <f t="shared" si="66"/>
        <v>#N/A</v>
      </c>
      <c r="AS80" s="488"/>
      <c r="AT80" s="182"/>
      <c r="AU80" s="182"/>
      <c r="AV80" s="182"/>
      <c r="AW80" s="182" t="e">
        <f t="shared" si="68"/>
        <v>#N/A</v>
      </c>
      <c r="AX80" s="488"/>
      <c r="AZ80" s="182" t="e">
        <f t="shared" si="70"/>
        <v>#N/A</v>
      </c>
      <c r="BA80" s="488"/>
    </row>
    <row r="81" spans="2:53">
      <c r="B81" s="454"/>
      <c r="C81" s="182">
        <v>15</v>
      </c>
      <c r="D81" s="203"/>
      <c r="E81" s="166"/>
      <c r="F81" s="182"/>
      <c r="G81" s="180"/>
      <c r="H81" s="465"/>
      <c r="I81" s="182"/>
      <c r="J81" s="182"/>
      <c r="K81" s="182"/>
      <c r="L81" s="465"/>
      <c r="M81" s="181" t="e">
        <f>RANK(K81, K$67:$K$81)</f>
        <v>#N/A</v>
      </c>
      <c r="N81" s="461"/>
      <c r="O81" s="461"/>
      <c r="P81" s="182"/>
      <c r="Q81" s="182"/>
      <c r="R81" s="182"/>
      <c r="S81" s="182" t="e">
        <f t="shared" si="72"/>
        <v>#N/A</v>
      </c>
      <c r="T81" s="489"/>
      <c r="U81" s="182"/>
      <c r="V81" s="182"/>
      <c r="W81" s="182"/>
      <c r="X81" s="182" t="e">
        <f t="shared" si="58"/>
        <v>#N/A</v>
      </c>
      <c r="Y81" s="489"/>
      <c r="Z81" s="182"/>
      <c r="AA81" s="182"/>
      <c r="AB81" s="182"/>
      <c r="AC81" s="182" t="e">
        <f t="shared" si="60"/>
        <v>#N/A</v>
      </c>
      <c r="AD81" s="489"/>
      <c r="AE81" s="182"/>
      <c r="AF81" s="182"/>
      <c r="AG81" s="182"/>
      <c r="AH81" s="182" t="e">
        <f t="shared" si="62"/>
        <v>#N/A</v>
      </c>
      <c r="AI81" s="489"/>
      <c r="AJ81" s="182"/>
      <c r="AK81" s="182"/>
      <c r="AL81" s="182"/>
      <c r="AM81" s="182" t="e">
        <f t="shared" si="64"/>
        <v>#N/A</v>
      </c>
      <c r="AN81" s="489"/>
      <c r="AO81" s="182"/>
      <c r="AP81" s="182"/>
      <c r="AQ81" s="182"/>
      <c r="AR81" s="182" t="e">
        <f t="shared" si="66"/>
        <v>#N/A</v>
      </c>
      <c r="AS81" s="489"/>
      <c r="AT81" s="182"/>
      <c r="AU81" s="182"/>
      <c r="AV81" s="182"/>
      <c r="AW81" s="182" t="e">
        <f t="shared" si="68"/>
        <v>#N/A</v>
      </c>
      <c r="AX81" s="489"/>
      <c r="AZ81" s="182" t="e">
        <f t="shared" si="70"/>
        <v>#N/A</v>
      </c>
      <c r="BA81" s="489"/>
    </row>
    <row r="82" spans="2:53" ht="15.5">
      <c r="B82" s="477" t="s">
        <v>163</v>
      </c>
      <c r="C82" s="478"/>
      <c r="D82" s="478"/>
      <c r="E82" s="478"/>
      <c r="F82" s="478"/>
      <c r="G82" s="478"/>
      <c r="H82" s="478"/>
      <c r="I82" s="186"/>
      <c r="J82" s="186"/>
      <c r="K82" s="186"/>
      <c r="L82" s="186"/>
      <c r="M82" s="185"/>
      <c r="N82" s="480" t="s">
        <v>156</v>
      </c>
      <c r="O82" s="480" t="s">
        <v>105</v>
      </c>
      <c r="P82" s="476">
        <f>P62+7</f>
        <v>46140</v>
      </c>
      <c r="Q82" s="454"/>
      <c r="R82" s="454"/>
      <c r="S82" s="454"/>
      <c r="T82" s="454"/>
      <c r="U82" s="473">
        <f>P82+1</f>
        <v>46141</v>
      </c>
      <c r="V82" s="474"/>
      <c r="W82" s="474"/>
      <c r="X82" s="474"/>
      <c r="Y82" s="475"/>
      <c r="Z82" s="473">
        <f>U82+1</f>
        <v>46142</v>
      </c>
      <c r="AA82" s="474"/>
      <c r="AB82" s="474"/>
      <c r="AC82" s="474"/>
      <c r="AD82" s="475"/>
      <c r="AE82" s="473">
        <f>Z82+1</f>
        <v>46143</v>
      </c>
      <c r="AF82" s="474"/>
      <c r="AG82" s="474"/>
      <c r="AH82" s="474"/>
      <c r="AI82" s="475"/>
      <c r="AJ82" s="473">
        <f>AE82+1</f>
        <v>46144</v>
      </c>
      <c r="AK82" s="474"/>
      <c r="AL82" s="474"/>
      <c r="AM82" s="474"/>
      <c r="AN82" s="475"/>
      <c r="AO82" s="473">
        <f>AJ82+1</f>
        <v>46145</v>
      </c>
      <c r="AP82" s="474"/>
      <c r="AQ82" s="474"/>
      <c r="AR82" s="474"/>
      <c r="AS82" s="475"/>
      <c r="AT82" s="473">
        <f>AO82+1</f>
        <v>46146</v>
      </c>
      <c r="AU82" s="474"/>
      <c r="AV82" s="474"/>
      <c r="AW82" s="474"/>
      <c r="AX82" s="475"/>
    </row>
    <row r="83" spans="2:53" ht="15.5">
      <c r="B83" s="479"/>
      <c r="C83" s="479"/>
      <c r="D83" s="479"/>
      <c r="E83" s="479"/>
      <c r="F83" s="479"/>
      <c r="G83" s="479"/>
      <c r="H83" s="479"/>
      <c r="I83" s="184"/>
      <c r="J83" s="184"/>
      <c r="K83" s="184"/>
      <c r="L83" s="184"/>
      <c r="M83" s="179"/>
      <c r="N83" s="481"/>
      <c r="O83" s="481"/>
      <c r="P83" s="476" t="s">
        <v>336</v>
      </c>
      <c r="Q83" s="454"/>
      <c r="R83" s="454"/>
      <c r="S83" s="454"/>
      <c r="T83" s="454"/>
      <c r="U83" s="476" t="s">
        <v>337</v>
      </c>
      <c r="V83" s="454"/>
      <c r="W83" s="454"/>
      <c r="X83" s="454"/>
      <c r="Y83" s="454"/>
      <c r="Z83" s="476" t="s">
        <v>338</v>
      </c>
      <c r="AA83" s="454"/>
      <c r="AB83" s="454"/>
      <c r="AC83" s="454"/>
      <c r="AD83" s="454"/>
      <c r="AE83" s="476" t="s">
        <v>339</v>
      </c>
      <c r="AF83" s="454"/>
      <c r="AG83" s="454"/>
      <c r="AH83" s="454"/>
      <c r="AI83" s="454"/>
      <c r="AJ83" s="476" t="s">
        <v>340</v>
      </c>
      <c r="AK83" s="454"/>
      <c r="AL83" s="454"/>
      <c r="AM83" s="454"/>
      <c r="AN83" s="454"/>
      <c r="AO83" s="476" t="s">
        <v>341</v>
      </c>
      <c r="AP83" s="454"/>
      <c r="AQ83" s="454"/>
      <c r="AR83" s="454"/>
      <c r="AS83" s="454"/>
      <c r="AT83" s="476" t="s">
        <v>342</v>
      </c>
      <c r="AU83" s="454"/>
      <c r="AV83" s="454"/>
      <c r="AW83" s="454"/>
      <c r="AX83" s="454"/>
    </row>
    <row r="84" spans="2:53">
      <c r="B84" s="461" t="s">
        <v>425</v>
      </c>
      <c r="C84" s="461" t="s">
        <v>426</v>
      </c>
      <c r="D84" s="461"/>
      <c r="E84" s="461" t="s">
        <v>427</v>
      </c>
      <c r="F84" s="461"/>
      <c r="G84" s="461"/>
      <c r="H84" s="482" t="s">
        <v>428</v>
      </c>
      <c r="I84" s="461" t="s">
        <v>429</v>
      </c>
      <c r="J84" s="461"/>
      <c r="K84" s="461"/>
      <c r="L84" s="482" t="s">
        <v>428</v>
      </c>
      <c r="M84" s="480" t="s">
        <v>430</v>
      </c>
      <c r="N84" s="461"/>
      <c r="O84" s="461" t="s">
        <v>431</v>
      </c>
      <c r="P84" s="466" t="s">
        <v>432</v>
      </c>
      <c r="Q84" s="467"/>
      <c r="R84" s="467"/>
      <c r="S84" s="468"/>
      <c r="T84" s="461" t="s">
        <v>428</v>
      </c>
      <c r="U84" s="466" t="s">
        <v>432</v>
      </c>
      <c r="V84" s="467"/>
      <c r="W84" s="467"/>
      <c r="X84" s="468"/>
      <c r="Y84" s="461" t="s">
        <v>428</v>
      </c>
      <c r="Z84" s="466" t="s">
        <v>432</v>
      </c>
      <c r="AA84" s="467"/>
      <c r="AB84" s="467"/>
      <c r="AC84" s="468"/>
      <c r="AD84" s="461" t="s">
        <v>428</v>
      </c>
      <c r="AE84" s="466" t="s">
        <v>432</v>
      </c>
      <c r="AF84" s="467"/>
      <c r="AG84" s="467"/>
      <c r="AH84" s="468"/>
      <c r="AI84" s="461" t="s">
        <v>428</v>
      </c>
      <c r="AJ84" s="466" t="s">
        <v>432</v>
      </c>
      <c r="AK84" s="467"/>
      <c r="AL84" s="467"/>
      <c r="AM84" s="468"/>
      <c r="AN84" s="461" t="s">
        <v>428</v>
      </c>
      <c r="AO84" s="466" t="s">
        <v>432</v>
      </c>
      <c r="AP84" s="467"/>
      <c r="AQ84" s="467"/>
      <c r="AR84" s="468"/>
      <c r="AS84" s="461" t="s">
        <v>428</v>
      </c>
      <c r="AT84" s="466" t="s">
        <v>432</v>
      </c>
      <c r="AU84" s="467"/>
      <c r="AV84" s="467"/>
      <c r="AW84" s="468"/>
      <c r="AX84" s="461" t="s">
        <v>428</v>
      </c>
      <c r="BA84" s="461" t="s">
        <v>396</v>
      </c>
    </row>
    <row r="85" spans="2:53">
      <c r="B85" s="461"/>
      <c r="C85" s="461"/>
      <c r="D85" s="461"/>
      <c r="E85" s="461" t="s">
        <v>433</v>
      </c>
      <c r="F85" s="461"/>
      <c r="G85" s="461"/>
      <c r="H85" s="483"/>
      <c r="I85" s="461" t="s">
        <v>433</v>
      </c>
      <c r="J85" s="461"/>
      <c r="K85" s="461"/>
      <c r="L85" s="483"/>
      <c r="M85" s="485"/>
      <c r="N85" s="461"/>
      <c r="O85" s="461"/>
      <c r="P85" s="466" t="s">
        <v>434</v>
      </c>
      <c r="Q85" s="467"/>
      <c r="R85" s="467"/>
      <c r="S85" s="468"/>
      <c r="T85" s="461"/>
      <c r="U85" s="466" t="s">
        <v>434</v>
      </c>
      <c r="V85" s="467"/>
      <c r="W85" s="467"/>
      <c r="X85" s="468"/>
      <c r="Y85" s="461"/>
      <c r="Z85" s="466" t="s">
        <v>434</v>
      </c>
      <c r="AA85" s="467"/>
      <c r="AB85" s="467"/>
      <c r="AC85" s="468"/>
      <c r="AD85" s="461"/>
      <c r="AE85" s="466" t="s">
        <v>434</v>
      </c>
      <c r="AF85" s="467"/>
      <c r="AG85" s="467"/>
      <c r="AH85" s="468"/>
      <c r="AI85" s="461"/>
      <c r="AJ85" s="466" t="s">
        <v>434</v>
      </c>
      <c r="AK85" s="467"/>
      <c r="AL85" s="467"/>
      <c r="AM85" s="468"/>
      <c r="AN85" s="461"/>
      <c r="AO85" s="466" t="s">
        <v>434</v>
      </c>
      <c r="AP85" s="467"/>
      <c r="AQ85" s="467"/>
      <c r="AR85" s="468"/>
      <c r="AS85" s="461"/>
      <c r="AT85" s="466" t="s">
        <v>434</v>
      </c>
      <c r="AU85" s="467"/>
      <c r="AV85" s="467"/>
      <c r="AW85" s="468"/>
      <c r="AX85" s="461"/>
      <c r="BA85" s="461"/>
    </row>
    <row r="86" spans="2:53">
      <c r="B86" s="461"/>
      <c r="C86" s="461"/>
      <c r="D86" s="461"/>
      <c r="E86" s="269" t="s">
        <v>435</v>
      </c>
      <c r="F86" s="269" t="s">
        <v>436</v>
      </c>
      <c r="G86" s="269" t="s">
        <v>437</v>
      </c>
      <c r="H86" s="484"/>
      <c r="I86" s="269" t="s">
        <v>435</v>
      </c>
      <c r="J86" s="269" t="s">
        <v>436</v>
      </c>
      <c r="K86" s="269" t="s">
        <v>437</v>
      </c>
      <c r="L86" s="484"/>
      <c r="M86" s="481"/>
      <c r="N86" s="461"/>
      <c r="O86" s="461"/>
      <c r="P86" s="269" t="s">
        <v>435</v>
      </c>
      <c r="Q86" s="269" t="s">
        <v>436</v>
      </c>
      <c r="R86" s="269" t="s">
        <v>437</v>
      </c>
      <c r="S86" s="269" t="s">
        <v>430</v>
      </c>
      <c r="T86" s="461"/>
      <c r="U86" s="269" t="s">
        <v>435</v>
      </c>
      <c r="V86" s="269" t="s">
        <v>436</v>
      </c>
      <c r="W86" s="269" t="s">
        <v>437</v>
      </c>
      <c r="X86" s="269" t="s">
        <v>430</v>
      </c>
      <c r="Y86" s="461"/>
      <c r="Z86" s="269" t="s">
        <v>435</v>
      </c>
      <c r="AA86" s="269" t="s">
        <v>436</v>
      </c>
      <c r="AB86" s="269" t="s">
        <v>437</v>
      </c>
      <c r="AC86" s="269" t="s">
        <v>430</v>
      </c>
      <c r="AD86" s="461"/>
      <c r="AE86" s="269" t="s">
        <v>435</v>
      </c>
      <c r="AF86" s="269" t="s">
        <v>436</v>
      </c>
      <c r="AG86" s="269" t="s">
        <v>437</v>
      </c>
      <c r="AH86" s="269" t="s">
        <v>430</v>
      </c>
      <c r="AI86" s="461"/>
      <c r="AJ86" s="269" t="s">
        <v>435</v>
      </c>
      <c r="AK86" s="269" t="s">
        <v>436</v>
      </c>
      <c r="AL86" s="269" t="s">
        <v>437</v>
      </c>
      <c r="AM86" s="269" t="s">
        <v>430</v>
      </c>
      <c r="AN86" s="461"/>
      <c r="AO86" s="269" t="s">
        <v>435</v>
      </c>
      <c r="AP86" s="269" t="s">
        <v>436</v>
      </c>
      <c r="AQ86" s="269" t="s">
        <v>437</v>
      </c>
      <c r="AR86" s="269" t="s">
        <v>430</v>
      </c>
      <c r="AS86" s="461"/>
      <c r="AT86" s="269" t="s">
        <v>435</v>
      </c>
      <c r="AU86" s="269" t="s">
        <v>436</v>
      </c>
      <c r="AV86" s="269" t="s">
        <v>437</v>
      </c>
      <c r="AW86" s="269" t="s">
        <v>430</v>
      </c>
      <c r="AX86" s="461"/>
      <c r="AZ86" s="269" t="s">
        <v>397</v>
      </c>
      <c r="BA86" s="461"/>
    </row>
    <row r="87" spans="2:53">
      <c r="B87" s="461" t="s">
        <v>440</v>
      </c>
      <c r="C87" s="182">
        <v>1</v>
      </c>
      <c r="D87" s="203"/>
      <c r="E87" s="166"/>
      <c r="F87" s="182"/>
      <c r="G87" s="180"/>
      <c r="H87" s="463" t="e">
        <f>AVERAGE(G87:G101)</f>
        <v>#DIV/0!</v>
      </c>
      <c r="I87" s="166" t="str">
        <f t="shared" ref="I87:I100" si="73">IFERROR(AVERAGE(P87,U87,Z87,AE87,AJ87,AO87,AT87),"-")</f>
        <v>-</v>
      </c>
      <c r="J87" s="166" t="str">
        <f t="shared" ref="J87:J100" si="74">IFERROR(AVERAGE(Q87,V87,AA87,AF87,AK87,AP87,AU87),"-")</f>
        <v>-</v>
      </c>
      <c r="K87" s="180" t="str">
        <f t="shared" ref="K87:K100" si="75">IFERROR(AVERAGE(R87,W87,AB87,AG87,AL87,AQ87,AV87),"-")</f>
        <v>-</v>
      </c>
      <c r="L87" s="463" t="str">
        <f>IFERROR(AVERAGE(K87:K101),"-")</f>
        <v>-</v>
      </c>
      <c r="M87" s="181" t="e">
        <f>RANK(K87, K$87:$K$101)</f>
        <v>#VALUE!</v>
      </c>
      <c r="N87" s="461"/>
      <c r="O87" s="461"/>
      <c r="P87" s="166"/>
      <c r="Q87" s="166"/>
      <c r="R87" s="180"/>
      <c r="S87" s="182" t="e">
        <f>RANK(R87, R$87:R$101)</f>
        <v>#N/A</v>
      </c>
      <c r="T87" s="455" t="e">
        <f>AVERAGE(R87:R101)</f>
        <v>#DIV/0!</v>
      </c>
      <c r="U87" s="166"/>
      <c r="V87" s="166"/>
      <c r="W87" s="180"/>
      <c r="X87" s="182">
        <v>1</v>
      </c>
      <c r="Y87" s="455" t="e">
        <f t="shared" ref="Y87" si="76">AVERAGE(W87:W101)</f>
        <v>#DIV/0!</v>
      </c>
      <c r="Z87" s="166"/>
      <c r="AA87" s="166"/>
      <c r="AB87" s="180"/>
      <c r="AC87" s="182" t="e">
        <f t="shared" ref="AC87:AC101" si="77">RANK(AB87, AB$87:AB$101)</f>
        <v>#N/A</v>
      </c>
      <c r="AD87" s="455" t="e">
        <f t="shared" ref="AD87" si="78">AVERAGE(AB87:AB101)</f>
        <v>#DIV/0!</v>
      </c>
      <c r="AE87" s="166"/>
      <c r="AF87" s="166"/>
      <c r="AG87" s="180"/>
      <c r="AH87" s="182" t="e">
        <f t="shared" ref="AH87:AH101" si="79">RANK(AG87, AG$87:AG$101)</f>
        <v>#N/A</v>
      </c>
      <c r="AI87" s="455" t="e">
        <f t="shared" ref="AI87" si="80">AVERAGE(AG87:AG101)</f>
        <v>#DIV/0!</v>
      </c>
      <c r="AJ87" s="166"/>
      <c r="AK87" s="166"/>
      <c r="AL87" s="180"/>
      <c r="AM87" s="182" t="e">
        <f t="shared" ref="AM87:AM101" si="81">RANK(AL87, AL$87:AL$101)</f>
        <v>#N/A</v>
      </c>
      <c r="AN87" s="455" t="e">
        <f t="shared" ref="AN87" si="82">AVERAGE(AL87:AL101)</f>
        <v>#DIV/0!</v>
      </c>
      <c r="AO87" s="166"/>
      <c r="AP87" s="166"/>
      <c r="AQ87" s="180"/>
      <c r="AR87" s="182" t="e">
        <f t="shared" ref="AR87:AR101" si="83">RANK(AQ87, AQ$87:AQ$101)</f>
        <v>#N/A</v>
      </c>
      <c r="AS87" s="455" t="e">
        <f t="shared" ref="AS87" si="84">AVERAGE(AQ87:AQ101)</f>
        <v>#DIV/0!</v>
      </c>
      <c r="AT87" s="166"/>
      <c r="AU87" s="166"/>
      <c r="AV87" s="180"/>
      <c r="AW87" s="182" t="e">
        <f t="shared" ref="AW87:AW101" si="85">RANK(AV87, AV$87:AV$101)</f>
        <v>#N/A</v>
      </c>
      <c r="AX87" s="455" t="e">
        <f t="shared" ref="AX87" si="86">AVERAGE(AV87:AV101)</f>
        <v>#DIV/0!</v>
      </c>
      <c r="AZ87" s="182" t="e">
        <f t="shared" ref="AZ87:AZ101" si="87">RANK(AY87, AY$87:AY$101)</f>
        <v>#N/A</v>
      </c>
      <c r="BA87" s="455" t="e">
        <f t="shared" ref="BA87" si="88">AVERAGE(AY87:AY101)</f>
        <v>#DIV/0!</v>
      </c>
    </row>
    <row r="88" spans="2:53">
      <c r="B88" s="454"/>
      <c r="C88" s="182">
        <v>2</v>
      </c>
      <c r="D88" s="203"/>
      <c r="E88" s="166"/>
      <c r="F88" s="182"/>
      <c r="G88" s="180"/>
      <c r="H88" s="464"/>
      <c r="I88" s="166" t="str">
        <f t="shared" si="73"/>
        <v>-</v>
      </c>
      <c r="J88" s="166" t="str">
        <f t="shared" si="74"/>
        <v>-</v>
      </c>
      <c r="K88" s="180" t="str">
        <f t="shared" si="75"/>
        <v>-</v>
      </c>
      <c r="L88" s="464"/>
      <c r="M88" s="181" t="e">
        <f>RANK(K88, K$87:$K$101)</f>
        <v>#VALUE!</v>
      </c>
      <c r="N88" s="461"/>
      <c r="O88" s="461"/>
      <c r="P88" s="182"/>
      <c r="Q88" s="166"/>
      <c r="R88" s="180"/>
      <c r="S88" s="182" t="e">
        <f t="shared" ref="S88:S101" si="89">RANK(R88, R$87:R$101)</f>
        <v>#N/A</v>
      </c>
      <c r="T88" s="455"/>
      <c r="U88" s="182"/>
      <c r="V88" s="166"/>
      <c r="W88" s="180"/>
      <c r="X88" s="182">
        <v>2</v>
      </c>
      <c r="Y88" s="455"/>
      <c r="Z88" s="182"/>
      <c r="AA88" s="166"/>
      <c r="AB88" s="180"/>
      <c r="AC88" s="182" t="e">
        <f t="shared" si="77"/>
        <v>#N/A</v>
      </c>
      <c r="AD88" s="455"/>
      <c r="AE88" s="182"/>
      <c r="AF88" s="166"/>
      <c r="AG88" s="180"/>
      <c r="AH88" s="182" t="e">
        <f t="shared" si="79"/>
        <v>#N/A</v>
      </c>
      <c r="AI88" s="455"/>
      <c r="AJ88" s="182"/>
      <c r="AK88" s="166"/>
      <c r="AL88" s="180"/>
      <c r="AM88" s="182" t="e">
        <f t="shared" si="81"/>
        <v>#N/A</v>
      </c>
      <c r="AN88" s="455"/>
      <c r="AO88" s="182"/>
      <c r="AP88" s="166"/>
      <c r="AQ88" s="180"/>
      <c r="AR88" s="182" t="e">
        <f t="shared" si="83"/>
        <v>#N/A</v>
      </c>
      <c r="AS88" s="455"/>
      <c r="AT88" s="182"/>
      <c r="AU88" s="166"/>
      <c r="AV88" s="180"/>
      <c r="AW88" s="182" t="e">
        <f t="shared" si="85"/>
        <v>#N/A</v>
      </c>
      <c r="AX88" s="455"/>
      <c r="AZ88" s="182" t="e">
        <f t="shared" si="87"/>
        <v>#N/A</v>
      </c>
      <c r="BA88" s="455"/>
    </row>
    <row r="89" spans="2:53">
      <c r="B89" s="454"/>
      <c r="C89" s="182">
        <v>3</v>
      </c>
      <c r="D89" s="203"/>
      <c r="E89" s="166"/>
      <c r="F89" s="182"/>
      <c r="G89" s="180"/>
      <c r="H89" s="464"/>
      <c r="I89" s="166" t="str">
        <f t="shared" si="73"/>
        <v>-</v>
      </c>
      <c r="J89" s="166" t="str">
        <f t="shared" si="74"/>
        <v>-</v>
      </c>
      <c r="K89" s="180" t="str">
        <f t="shared" si="75"/>
        <v>-</v>
      </c>
      <c r="L89" s="464"/>
      <c r="M89" s="181" t="e">
        <f>RANK(K89, K$87:$K$101)</f>
        <v>#VALUE!</v>
      </c>
      <c r="N89" s="461"/>
      <c r="O89" s="461"/>
      <c r="P89" s="182"/>
      <c r="Q89" s="182"/>
      <c r="R89" s="182"/>
      <c r="S89" s="182" t="e">
        <f t="shared" si="89"/>
        <v>#N/A</v>
      </c>
      <c r="T89" s="455"/>
      <c r="U89" s="182"/>
      <c r="V89" s="182"/>
      <c r="W89" s="182"/>
      <c r="X89" s="182" t="e">
        <f t="shared" ref="X89:X101" si="90">RANK(W89, W$87:W$101)</f>
        <v>#N/A</v>
      </c>
      <c r="Y89" s="455"/>
      <c r="Z89" s="182"/>
      <c r="AA89" s="182"/>
      <c r="AB89" s="182"/>
      <c r="AC89" s="182" t="e">
        <f t="shared" si="77"/>
        <v>#N/A</v>
      </c>
      <c r="AD89" s="455"/>
      <c r="AE89" s="182"/>
      <c r="AF89" s="182"/>
      <c r="AG89" s="182"/>
      <c r="AH89" s="182" t="e">
        <f t="shared" si="79"/>
        <v>#N/A</v>
      </c>
      <c r="AI89" s="455"/>
      <c r="AJ89" s="182"/>
      <c r="AK89" s="182"/>
      <c r="AL89" s="182"/>
      <c r="AM89" s="182" t="e">
        <f t="shared" si="81"/>
        <v>#N/A</v>
      </c>
      <c r="AN89" s="455"/>
      <c r="AO89" s="182"/>
      <c r="AP89" s="182"/>
      <c r="AQ89" s="182"/>
      <c r="AR89" s="182" t="e">
        <f t="shared" si="83"/>
        <v>#N/A</v>
      </c>
      <c r="AS89" s="455"/>
      <c r="AT89" s="182"/>
      <c r="AU89" s="182"/>
      <c r="AV89" s="182"/>
      <c r="AW89" s="182" t="e">
        <f t="shared" si="85"/>
        <v>#N/A</v>
      </c>
      <c r="AX89" s="455"/>
      <c r="AZ89" s="182" t="e">
        <f t="shared" si="87"/>
        <v>#N/A</v>
      </c>
      <c r="BA89" s="455"/>
    </row>
    <row r="90" spans="2:53">
      <c r="B90" s="454"/>
      <c r="C90" s="182">
        <v>4</v>
      </c>
      <c r="D90" s="203"/>
      <c r="E90" s="166"/>
      <c r="F90" s="182"/>
      <c r="G90" s="180"/>
      <c r="H90" s="464"/>
      <c r="I90" s="166" t="str">
        <f t="shared" si="73"/>
        <v>-</v>
      </c>
      <c r="J90" s="166" t="str">
        <f t="shared" si="74"/>
        <v>-</v>
      </c>
      <c r="K90" s="180" t="str">
        <f t="shared" si="75"/>
        <v>-</v>
      </c>
      <c r="L90" s="464"/>
      <c r="M90" s="181" t="e">
        <f>RANK(K90, K$87:$K$101)</f>
        <v>#VALUE!</v>
      </c>
      <c r="N90" s="461"/>
      <c r="O90" s="461"/>
      <c r="P90" s="182"/>
      <c r="Q90" s="182"/>
      <c r="R90" s="182"/>
      <c r="S90" s="182" t="e">
        <f t="shared" si="89"/>
        <v>#N/A</v>
      </c>
      <c r="T90" s="455"/>
      <c r="U90" s="182"/>
      <c r="V90" s="182"/>
      <c r="W90" s="182"/>
      <c r="X90" s="182" t="e">
        <f t="shared" si="90"/>
        <v>#N/A</v>
      </c>
      <c r="Y90" s="455"/>
      <c r="Z90" s="182"/>
      <c r="AA90" s="182"/>
      <c r="AB90" s="182"/>
      <c r="AC90" s="182" t="e">
        <f t="shared" si="77"/>
        <v>#N/A</v>
      </c>
      <c r="AD90" s="455"/>
      <c r="AE90" s="182"/>
      <c r="AF90" s="182"/>
      <c r="AG90" s="182"/>
      <c r="AH90" s="182" t="e">
        <f t="shared" si="79"/>
        <v>#N/A</v>
      </c>
      <c r="AI90" s="455"/>
      <c r="AJ90" s="182"/>
      <c r="AK90" s="182"/>
      <c r="AL90" s="182"/>
      <c r="AM90" s="182" t="e">
        <f t="shared" si="81"/>
        <v>#N/A</v>
      </c>
      <c r="AN90" s="455"/>
      <c r="AO90" s="182"/>
      <c r="AP90" s="182"/>
      <c r="AQ90" s="182"/>
      <c r="AR90" s="182" t="e">
        <f t="shared" si="83"/>
        <v>#N/A</v>
      </c>
      <c r="AS90" s="455"/>
      <c r="AT90" s="182"/>
      <c r="AU90" s="182"/>
      <c r="AV90" s="182"/>
      <c r="AW90" s="182" t="e">
        <f t="shared" si="85"/>
        <v>#N/A</v>
      </c>
      <c r="AX90" s="455"/>
      <c r="AZ90" s="182" t="e">
        <f t="shared" si="87"/>
        <v>#N/A</v>
      </c>
      <c r="BA90" s="455"/>
    </row>
    <row r="91" spans="2:53">
      <c r="B91" s="454"/>
      <c r="C91" s="182">
        <v>5</v>
      </c>
      <c r="D91" s="203"/>
      <c r="E91" s="166"/>
      <c r="F91" s="182"/>
      <c r="G91" s="180"/>
      <c r="H91" s="464"/>
      <c r="I91" s="166" t="str">
        <f t="shared" si="73"/>
        <v>-</v>
      </c>
      <c r="J91" s="166" t="str">
        <f t="shared" si="74"/>
        <v>-</v>
      </c>
      <c r="K91" s="180" t="str">
        <f t="shared" si="75"/>
        <v>-</v>
      </c>
      <c r="L91" s="464"/>
      <c r="M91" s="181" t="e">
        <f>RANK(K91, K$87:$K$101)</f>
        <v>#VALUE!</v>
      </c>
      <c r="N91" s="461"/>
      <c r="O91" s="461"/>
      <c r="P91" s="182"/>
      <c r="Q91" s="182"/>
      <c r="R91" s="182"/>
      <c r="S91" s="182" t="e">
        <f t="shared" si="89"/>
        <v>#N/A</v>
      </c>
      <c r="T91" s="455"/>
      <c r="U91" s="182"/>
      <c r="V91" s="182"/>
      <c r="W91" s="182"/>
      <c r="X91" s="182" t="e">
        <f t="shared" si="90"/>
        <v>#N/A</v>
      </c>
      <c r="Y91" s="455"/>
      <c r="Z91" s="182"/>
      <c r="AA91" s="182"/>
      <c r="AB91" s="182"/>
      <c r="AC91" s="182" t="e">
        <f t="shared" si="77"/>
        <v>#N/A</v>
      </c>
      <c r="AD91" s="455"/>
      <c r="AE91" s="182"/>
      <c r="AF91" s="182"/>
      <c r="AG91" s="182"/>
      <c r="AH91" s="182" t="e">
        <f t="shared" si="79"/>
        <v>#N/A</v>
      </c>
      <c r="AI91" s="455"/>
      <c r="AJ91" s="182"/>
      <c r="AK91" s="182"/>
      <c r="AL91" s="182"/>
      <c r="AM91" s="182" t="e">
        <f t="shared" si="81"/>
        <v>#N/A</v>
      </c>
      <c r="AN91" s="455"/>
      <c r="AO91" s="182"/>
      <c r="AP91" s="182"/>
      <c r="AQ91" s="182"/>
      <c r="AR91" s="182" t="e">
        <f t="shared" si="83"/>
        <v>#N/A</v>
      </c>
      <c r="AS91" s="455"/>
      <c r="AT91" s="182"/>
      <c r="AU91" s="182"/>
      <c r="AV91" s="182"/>
      <c r="AW91" s="182" t="e">
        <f t="shared" si="85"/>
        <v>#N/A</v>
      </c>
      <c r="AX91" s="455"/>
      <c r="AZ91" s="182" t="e">
        <f t="shared" si="87"/>
        <v>#N/A</v>
      </c>
      <c r="BA91" s="455"/>
    </row>
    <row r="92" spans="2:53">
      <c r="B92" s="454"/>
      <c r="C92" s="182">
        <v>6</v>
      </c>
      <c r="D92" s="203"/>
      <c r="E92" s="166"/>
      <c r="F92" s="182"/>
      <c r="G92" s="180"/>
      <c r="H92" s="464"/>
      <c r="I92" s="166" t="str">
        <f t="shared" si="73"/>
        <v>-</v>
      </c>
      <c r="J92" s="166" t="str">
        <f t="shared" si="74"/>
        <v>-</v>
      </c>
      <c r="K92" s="180" t="str">
        <f t="shared" si="75"/>
        <v>-</v>
      </c>
      <c r="L92" s="464"/>
      <c r="M92" s="181" t="e">
        <f>RANK(K92, K$87:$K$101)</f>
        <v>#VALUE!</v>
      </c>
      <c r="N92" s="461"/>
      <c r="O92" s="461"/>
      <c r="P92" s="182"/>
      <c r="Q92" s="182"/>
      <c r="R92" s="182"/>
      <c r="S92" s="182" t="e">
        <f t="shared" si="89"/>
        <v>#N/A</v>
      </c>
      <c r="T92" s="455"/>
      <c r="U92" s="182"/>
      <c r="V92" s="182"/>
      <c r="W92" s="182"/>
      <c r="X92" s="182" t="e">
        <f t="shared" si="90"/>
        <v>#N/A</v>
      </c>
      <c r="Y92" s="455"/>
      <c r="Z92" s="182"/>
      <c r="AA92" s="182"/>
      <c r="AB92" s="182"/>
      <c r="AC92" s="182" t="e">
        <f t="shared" si="77"/>
        <v>#N/A</v>
      </c>
      <c r="AD92" s="455"/>
      <c r="AE92" s="182"/>
      <c r="AF92" s="182"/>
      <c r="AG92" s="182"/>
      <c r="AH92" s="182" t="e">
        <f t="shared" si="79"/>
        <v>#N/A</v>
      </c>
      <c r="AI92" s="455"/>
      <c r="AJ92" s="182"/>
      <c r="AK92" s="182"/>
      <c r="AL92" s="182"/>
      <c r="AM92" s="182" t="e">
        <f t="shared" si="81"/>
        <v>#N/A</v>
      </c>
      <c r="AN92" s="455"/>
      <c r="AO92" s="182"/>
      <c r="AP92" s="182"/>
      <c r="AQ92" s="182"/>
      <c r="AR92" s="182" t="e">
        <f t="shared" si="83"/>
        <v>#N/A</v>
      </c>
      <c r="AS92" s="455"/>
      <c r="AT92" s="182"/>
      <c r="AU92" s="182"/>
      <c r="AV92" s="182"/>
      <c r="AW92" s="182" t="e">
        <f t="shared" si="85"/>
        <v>#N/A</v>
      </c>
      <c r="AX92" s="455"/>
      <c r="AZ92" s="182" t="e">
        <f t="shared" si="87"/>
        <v>#N/A</v>
      </c>
      <c r="BA92" s="455"/>
    </row>
    <row r="93" spans="2:53">
      <c r="B93" s="454"/>
      <c r="C93" s="182">
        <v>7</v>
      </c>
      <c r="D93" s="203"/>
      <c r="E93" s="166"/>
      <c r="F93" s="182"/>
      <c r="G93" s="180"/>
      <c r="H93" s="464"/>
      <c r="I93" s="166" t="str">
        <f t="shared" si="73"/>
        <v>-</v>
      </c>
      <c r="J93" s="166" t="str">
        <f t="shared" si="74"/>
        <v>-</v>
      </c>
      <c r="K93" s="180" t="str">
        <f t="shared" si="75"/>
        <v>-</v>
      </c>
      <c r="L93" s="464"/>
      <c r="M93" s="181" t="e">
        <f>RANK(K93, K$87:$K$101)</f>
        <v>#VALUE!</v>
      </c>
      <c r="N93" s="461"/>
      <c r="O93" s="461"/>
      <c r="P93" s="182"/>
      <c r="Q93" s="182"/>
      <c r="R93" s="182"/>
      <c r="S93" s="182" t="e">
        <f t="shared" si="89"/>
        <v>#N/A</v>
      </c>
      <c r="T93" s="455"/>
      <c r="U93" s="182"/>
      <c r="V93" s="182"/>
      <c r="W93" s="182"/>
      <c r="X93" s="182" t="e">
        <f t="shared" si="90"/>
        <v>#N/A</v>
      </c>
      <c r="Y93" s="455"/>
      <c r="Z93" s="182"/>
      <c r="AA93" s="182"/>
      <c r="AB93" s="182"/>
      <c r="AC93" s="182" t="e">
        <f t="shared" si="77"/>
        <v>#N/A</v>
      </c>
      <c r="AD93" s="455"/>
      <c r="AE93" s="182"/>
      <c r="AF93" s="182"/>
      <c r="AG93" s="182"/>
      <c r="AH93" s="182" t="e">
        <f t="shared" si="79"/>
        <v>#N/A</v>
      </c>
      <c r="AI93" s="455"/>
      <c r="AJ93" s="182"/>
      <c r="AK93" s="182"/>
      <c r="AL93" s="182"/>
      <c r="AM93" s="182" t="e">
        <f t="shared" si="81"/>
        <v>#N/A</v>
      </c>
      <c r="AN93" s="455"/>
      <c r="AO93" s="182"/>
      <c r="AP93" s="182"/>
      <c r="AQ93" s="182"/>
      <c r="AR93" s="182" t="e">
        <f t="shared" si="83"/>
        <v>#N/A</v>
      </c>
      <c r="AS93" s="455"/>
      <c r="AT93" s="182"/>
      <c r="AU93" s="182"/>
      <c r="AV93" s="182"/>
      <c r="AW93" s="182" t="e">
        <f t="shared" si="85"/>
        <v>#N/A</v>
      </c>
      <c r="AX93" s="455"/>
      <c r="AZ93" s="182" t="e">
        <f t="shared" si="87"/>
        <v>#N/A</v>
      </c>
      <c r="BA93" s="455"/>
    </row>
    <row r="94" spans="2:53">
      <c r="B94" s="454"/>
      <c r="C94" s="182">
        <v>8</v>
      </c>
      <c r="D94" s="203"/>
      <c r="E94" s="166"/>
      <c r="F94" s="182"/>
      <c r="G94" s="180"/>
      <c r="H94" s="464"/>
      <c r="I94" s="166" t="str">
        <f t="shared" si="73"/>
        <v>-</v>
      </c>
      <c r="J94" s="166" t="str">
        <f t="shared" si="74"/>
        <v>-</v>
      </c>
      <c r="K94" s="180" t="str">
        <f t="shared" si="75"/>
        <v>-</v>
      </c>
      <c r="L94" s="464"/>
      <c r="M94" s="181" t="e">
        <f>RANK(K94, K$87:$K$101)</f>
        <v>#VALUE!</v>
      </c>
      <c r="N94" s="461"/>
      <c r="O94" s="461"/>
      <c r="P94" s="182"/>
      <c r="Q94" s="182"/>
      <c r="R94" s="182"/>
      <c r="S94" s="182" t="e">
        <f t="shared" si="89"/>
        <v>#N/A</v>
      </c>
      <c r="T94" s="455"/>
      <c r="U94" s="182"/>
      <c r="V94" s="182"/>
      <c r="W94" s="182"/>
      <c r="X94" s="182" t="e">
        <f t="shared" si="90"/>
        <v>#N/A</v>
      </c>
      <c r="Y94" s="455"/>
      <c r="Z94" s="182"/>
      <c r="AA94" s="182"/>
      <c r="AB94" s="182"/>
      <c r="AC94" s="182" t="e">
        <f t="shared" si="77"/>
        <v>#N/A</v>
      </c>
      <c r="AD94" s="455"/>
      <c r="AE94" s="182"/>
      <c r="AF94" s="182"/>
      <c r="AG94" s="182"/>
      <c r="AH94" s="182" t="e">
        <f t="shared" si="79"/>
        <v>#N/A</v>
      </c>
      <c r="AI94" s="455"/>
      <c r="AJ94" s="182"/>
      <c r="AK94" s="182"/>
      <c r="AL94" s="182"/>
      <c r="AM94" s="182" t="e">
        <f t="shared" si="81"/>
        <v>#N/A</v>
      </c>
      <c r="AN94" s="455"/>
      <c r="AO94" s="182"/>
      <c r="AP94" s="182"/>
      <c r="AQ94" s="182"/>
      <c r="AR94" s="182" t="e">
        <f t="shared" si="83"/>
        <v>#N/A</v>
      </c>
      <c r="AS94" s="455"/>
      <c r="AT94" s="182"/>
      <c r="AU94" s="182"/>
      <c r="AV94" s="182"/>
      <c r="AW94" s="182" t="e">
        <f t="shared" si="85"/>
        <v>#N/A</v>
      </c>
      <c r="AX94" s="455"/>
      <c r="AZ94" s="182" t="e">
        <f t="shared" si="87"/>
        <v>#N/A</v>
      </c>
      <c r="BA94" s="455"/>
    </row>
    <row r="95" spans="2:53">
      <c r="B95" s="454"/>
      <c r="C95" s="182">
        <v>9</v>
      </c>
      <c r="D95" s="203"/>
      <c r="E95" s="166"/>
      <c r="F95" s="182"/>
      <c r="G95" s="180"/>
      <c r="H95" s="464"/>
      <c r="I95" s="166" t="str">
        <f t="shared" si="73"/>
        <v>-</v>
      </c>
      <c r="J95" s="166" t="str">
        <f t="shared" si="74"/>
        <v>-</v>
      </c>
      <c r="K95" s="180" t="str">
        <f t="shared" si="75"/>
        <v>-</v>
      </c>
      <c r="L95" s="464"/>
      <c r="M95" s="181" t="e">
        <f>RANK(K95, K$87:$K$101)</f>
        <v>#VALUE!</v>
      </c>
      <c r="N95" s="461"/>
      <c r="O95" s="461"/>
      <c r="P95" s="182"/>
      <c r="Q95" s="182"/>
      <c r="R95" s="182"/>
      <c r="S95" s="182" t="e">
        <f t="shared" si="89"/>
        <v>#N/A</v>
      </c>
      <c r="T95" s="455"/>
      <c r="U95" s="182"/>
      <c r="V95" s="182"/>
      <c r="W95" s="182"/>
      <c r="X95" s="182" t="e">
        <f t="shared" si="90"/>
        <v>#N/A</v>
      </c>
      <c r="Y95" s="455"/>
      <c r="Z95" s="182"/>
      <c r="AA95" s="182"/>
      <c r="AB95" s="182"/>
      <c r="AC95" s="182" t="e">
        <f t="shared" si="77"/>
        <v>#N/A</v>
      </c>
      <c r="AD95" s="455"/>
      <c r="AE95" s="182"/>
      <c r="AF95" s="182"/>
      <c r="AG95" s="182"/>
      <c r="AH95" s="182" t="e">
        <f t="shared" si="79"/>
        <v>#N/A</v>
      </c>
      <c r="AI95" s="455"/>
      <c r="AJ95" s="182"/>
      <c r="AK95" s="182"/>
      <c r="AL95" s="182"/>
      <c r="AM95" s="182" t="e">
        <f t="shared" si="81"/>
        <v>#N/A</v>
      </c>
      <c r="AN95" s="455"/>
      <c r="AO95" s="182"/>
      <c r="AP95" s="182"/>
      <c r="AQ95" s="182"/>
      <c r="AR95" s="182" t="e">
        <f t="shared" si="83"/>
        <v>#N/A</v>
      </c>
      <c r="AS95" s="455"/>
      <c r="AT95" s="182"/>
      <c r="AU95" s="182"/>
      <c r="AV95" s="182"/>
      <c r="AW95" s="182" t="e">
        <f t="shared" si="85"/>
        <v>#N/A</v>
      </c>
      <c r="AX95" s="455"/>
      <c r="AZ95" s="182" t="e">
        <f t="shared" si="87"/>
        <v>#N/A</v>
      </c>
      <c r="BA95" s="455"/>
    </row>
    <row r="96" spans="2:53">
      <c r="B96" s="454"/>
      <c r="C96" s="182">
        <v>10</v>
      </c>
      <c r="D96" s="203"/>
      <c r="E96" s="166"/>
      <c r="F96" s="182"/>
      <c r="G96" s="180"/>
      <c r="H96" s="464"/>
      <c r="I96" s="166" t="str">
        <f t="shared" si="73"/>
        <v>-</v>
      </c>
      <c r="J96" s="166" t="str">
        <f t="shared" si="74"/>
        <v>-</v>
      </c>
      <c r="K96" s="180" t="str">
        <f t="shared" si="75"/>
        <v>-</v>
      </c>
      <c r="L96" s="464"/>
      <c r="M96" s="181" t="e">
        <f>RANK(K96, K$87:$K$101)</f>
        <v>#VALUE!</v>
      </c>
      <c r="N96" s="461"/>
      <c r="O96" s="461"/>
      <c r="P96" s="182"/>
      <c r="Q96" s="182"/>
      <c r="R96" s="182"/>
      <c r="S96" s="182" t="e">
        <f t="shared" si="89"/>
        <v>#N/A</v>
      </c>
      <c r="T96" s="455"/>
      <c r="U96" s="182"/>
      <c r="V96" s="182"/>
      <c r="W96" s="182"/>
      <c r="X96" s="182" t="e">
        <f t="shared" si="90"/>
        <v>#N/A</v>
      </c>
      <c r="Y96" s="455"/>
      <c r="Z96" s="182"/>
      <c r="AA96" s="182"/>
      <c r="AB96" s="182"/>
      <c r="AC96" s="182" t="e">
        <f t="shared" si="77"/>
        <v>#N/A</v>
      </c>
      <c r="AD96" s="455"/>
      <c r="AE96" s="182"/>
      <c r="AF96" s="182"/>
      <c r="AG96" s="182"/>
      <c r="AH96" s="182" t="e">
        <f t="shared" si="79"/>
        <v>#N/A</v>
      </c>
      <c r="AI96" s="455"/>
      <c r="AJ96" s="182"/>
      <c r="AK96" s="182"/>
      <c r="AL96" s="182"/>
      <c r="AM96" s="182" t="e">
        <f t="shared" si="81"/>
        <v>#N/A</v>
      </c>
      <c r="AN96" s="455"/>
      <c r="AO96" s="182"/>
      <c r="AP96" s="182"/>
      <c r="AQ96" s="182"/>
      <c r="AR96" s="182" t="e">
        <f t="shared" si="83"/>
        <v>#N/A</v>
      </c>
      <c r="AS96" s="455"/>
      <c r="AT96" s="182"/>
      <c r="AU96" s="182"/>
      <c r="AV96" s="182"/>
      <c r="AW96" s="182" t="e">
        <f t="shared" si="85"/>
        <v>#N/A</v>
      </c>
      <c r="AX96" s="455"/>
      <c r="AZ96" s="182" t="e">
        <f t="shared" si="87"/>
        <v>#N/A</v>
      </c>
      <c r="BA96" s="455"/>
    </row>
    <row r="97" spans="2:53">
      <c r="B97" s="454"/>
      <c r="C97" s="182">
        <v>11</v>
      </c>
      <c r="D97" s="203"/>
      <c r="E97" s="166"/>
      <c r="F97" s="182"/>
      <c r="G97" s="180"/>
      <c r="H97" s="464"/>
      <c r="I97" s="166" t="str">
        <f t="shared" si="73"/>
        <v>-</v>
      </c>
      <c r="J97" s="166" t="str">
        <f t="shared" si="74"/>
        <v>-</v>
      </c>
      <c r="K97" s="180" t="str">
        <f t="shared" si="75"/>
        <v>-</v>
      </c>
      <c r="L97" s="464"/>
      <c r="M97" s="181" t="e">
        <f>RANK(K97, K$87:$K$101)</f>
        <v>#VALUE!</v>
      </c>
      <c r="N97" s="461"/>
      <c r="O97" s="461"/>
      <c r="P97" s="182"/>
      <c r="Q97" s="182"/>
      <c r="R97" s="182"/>
      <c r="S97" s="182" t="e">
        <f t="shared" si="89"/>
        <v>#N/A</v>
      </c>
      <c r="T97" s="455"/>
      <c r="U97" s="182"/>
      <c r="V97" s="182"/>
      <c r="W97" s="182"/>
      <c r="X97" s="182" t="e">
        <f t="shared" si="90"/>
        <v>#N/A</v>
      </c>
      <c r="Y97" s="455"/>
      <c r="Z97" s="182"/>
      <c r="AA97" s="182"/>
      <c r="AB97" s="182"/>
      <c r="AC97" s="182" t="e">
        <f t="shared" si="77"/>
        <v>#N/A</v>
      </c>
      <c r="AD97" s="455"/>
      <c r="AE97" s="182"/>
      <c r="AF97" s="182"/>
      <c r="AG97" s="182"/>
      <c r="AH97" s="182" t="e">
        <f t="shared" si="79"/>
        <v>#N/A</v>
      </c>
      <c r="AI97" s="455"/>
      <c r="AJ97" s="182"/>
      <c r="AK97" s="182"/>
      <c r="AL97" s="182"/>
      <c r="AM97" s="182" t="e">
        <f t="shared" si="81"/>
        <v>#N/A</v>
      </c>
      <c r="AN97" s="455"/>
      <c r="AO97" s="182"/>
      <c r="AP97" s="182"/>
      <c r="AQ97" s="182"/>
      <c r="AR97" s="182" t="e">
        <f t="shared" si="83"/>
        <v>#N/A</v>
      </c>
      <c r="AS97" s="455"/>
      <c r="AT97" s="182"/>
      <c r="AU97" s="182"/>
      <c r="AV97" s="182"/>
      <c r="AW97" s="182" t="e">
        <f t="shared" si="85"/>
        <v>#N/A</v>
      </c>
      <c r="AX97" s="455"/>
      <c r="AZ97" s="182" t="e">
        <f t="shared" si="87"/>
        <v>#N/A</v>
      </c>
      <c r="BA97" s="455"/>
    </row>
    <row r="98" spans="2:53">
      <c r="B98" s="454"/>
      <c r="C98" s="182">
        <v>12</v>
      </c>
      <c r="D98" s="203"/>
      <c r="E98" s="166"/>
      <c r="F98" s="182"/>
      <c r="G98" s="180"/>
      <c r="H98" s="464"/>
      <c r="I98" s="166" t="str">
        <f t="shared" si="73"/>
        <v>-</v>
      </c>
      <c r="J98" s="166" t="str">
        <f t="shared" si="74"/>
        <v>-</v>
      </c>
      <c r="K98" s="180" t="str">
        <f t="shared" si="75"/>
        <v>-</v>
      </c>
      <c r="L98" s="464"/>
      <c r="M98" s="181" t="e">
        <f>RANK(K98, K$87:$K$101)</f>
        <v>#VALUE!</v>
      </c>
      <c r="N98" s="461"/>
      <c r="O98" s="461"/>
      <c r="P98" s="182"/>
      <c r="Q98" s="182"/>
      <c r="R98" s="182"/>
      <c r="S98" s="182" t="e">
        <f t="shared" si="89"/>
        <v>#N/A</v>
      </c>
      <c r="T98" s="455"/>
      <c r="U98" s="182"/>
      <c r="V98" s="182"/>
      <c r="W98" s="182"/>
      <c r="X98" s="182" t="e">
        <f t="shared" si="90"/>
        <v>#N/A</v>
      </c>
      <c r="Y98" s="455"/>
      <c r="Z98" s="182"/>
      <c r="AA98" s="182"/>
      <c r="AB98" s="182"/>
      <c r="AC98" s="182" t="e">
        <f t="shared" si="77"/>
        <v>#N/A</v>
      </c>
      <c r="AD98" s="455"/>
      <c r="AE98" s="182"/>
      <c r="AF98" s="182"/>
      <c r="AG98" s="182"/>
      <c r="AH98" s="182" t="e">
        <f t="shared" si="79"/>
        <v>#N/A</v>
      </c>
      <c r="AI98" s="455"/>
      <c r="AJ98" s="182"/>
      <c r="AK98" s="182"/>
      <c r="AL98" s="182"/>
      <c r="AM98" s="182" t="e">
        <f t="shared" si="81"/>
        <v>#N/A</v>
      </c>
      <c r="AN98" s="455"/>
      <c r="AO98" s="182"/>
      <c r="AP98" s="182"/>
      <c r="AQ98" s="182"/>
      <c r="AR98" s="182" t="e">
        <f t="shared" si="83"/>
        <v>#N/A</v>
      </c>
      <c r="AS98" s="455"/>
      <c r="AT98" s="182"/>
      <c r="AU98" s="182"/>
      <c r="AV98" s="182"/>
      <c r="AW98" s="182" t="e">
        <f t="shared" si="85"/>
        <v>#N/A</v>
      </c>
      <c r="AX98" s="455"/>
      <c r="AZ98" s="182" t="e">
        <f t="shared" si="87"/>
        <v>#N/A</v>
      </c>
      <c r="BA98" s="455"/>
    </row>
    <row r="99" spans="2:53">
      <c r="B99" s="454"/>
      <c r="C99" s="182">
        <v>13</v>
      </c>
      <c r="D99" s="203"/>
      <c r="E99" s="166"/>
      <c r="F99" s="182"/>
      <c r="G99" s="180"/>
      <c r="H99" s="464"/>
      <c r="I99" s="166" t="str">
        <f t="shared" si="73"/>
        <v>-</v>
      </c>
      <c r="J99" s="166" t="str">
        <f t="shared" si="74"/>
        <v>-</v>
      </c>
      <c r="K99" s="180" t="str">
        <f t="shared" si="75"/>
        <v>-</v>
      </c>
      <c r="L99" s="464"/>
      <c r="M99" s="181" t="e">
        <f>RANK(K99, K$87:$K$101)</f>
        <v>#VALUE!</v>
      </c>
      <c r="N99" s="461"/>
      <c r="O99" s="461"/>
      <c r="P99" s="182"/>
      <c r="Q99" s="182"/>
      <c r="R99" s="182"/>
      <c r="S99" s="182" t="e">
        <f t="shared" si="89"/>
        <v>#N/A</v>
      </c>
      <c r="T99" s="455"/>
      <c r="U99" s="182"/>
      <c r="V99" s="182"/>
      <c r="W99" s="182"/>
      <c r="X99" s="182" t="e">
        <f t="shared" si="90"/>
        <v>#N/A</v>
      </c>
      <c r="Y99" s="455"/>
      <c r="Z99" s="182"/>
      <c r="AA99" s="182"/>
      <c r="AB99" s="182"/>
      <c r="AC99" s="182" t="e">
        <f t="shared" si="77"/>
        <v>#N/A</v>
      </c>
      <c r="AD99" s="455"/>
      <c r="AE99" s="182"/>
      <c r="AF99" s="182"/>
      <c r="AG99" s="182"/>
      <c r="AH99" s="182" t="e">
        <f t="shared" si="79"/>
        <v>#N/A</v>
      </c>
      <c r="AI99" s="455"/>
      <c r="AJ99" s="182"/>
      <c r="AK99" s="182"/>
      <c r="AL99" s="182"/>
      <c r="AM99" s="182" t="e">
        <f t="shared" si="81"/>
        <v>#N/A</v>
      </c>
      <c r="AN99" s="455"/>
      <c r="AO99" s="182"/>
      <c r="AP99" s="182"/>
      <c r="AQ99" s="182"/>
      <c r="AR99" s="182" t="e">
        <f t="shared" si="83"/>
        <v>#N/A</v>
      </c>
      <c r="AS99" s="455"/>
      <c r="AT99" s="182"/>
      <c r="AU99" s="182"/>
      <c r="AV99" s="182"/>
      <c r="AW99" s="182" t="e">
        <f t="shared" si="85"/>
        <v>#N/A</v>
      </c>
      <c r="AX99" s="455"/>
      <c r="AZ99" s="182" t="e">
        <f t="shared" si="87"/>
        <v>#N/A</v>
      </c>
      <c r="BA99" s="455"/>
    </row>
    <row r="100" spans="2:53">
      <c r="B100" s="454"/>
      <c r="C100" s="182">
        <v>14</v>
      </c>
      <c r="D100" s="203"/>
      <c r="E100" s="166"/>
      <c r="F100" s="182"/>
      <c r="G100" s="180"/>
      <c r="H100" s="464"/>
      <c r="I100" s="166" t="str">
        <f t="shared" si="73"/>
        <v>-</v>
      </c>
      <c r="J100" s="166" t="str">
        <f t="shared" si="74"/>
        <v>-</v>
      </c>
      <c r="K100" s="180" t="str">
        <f t="shared" si="75"/>
        <v>-</v>
      </c>
      <c r="L100" s="464"/>
      <c r="M100" s="181" t="e">
        <f>RANK(K100, K$87:$K$101)</f>
        <v>#VALUE!</v>
      </c>
      <c r="N100" s="461"/>
      <c r="O100" s="461"/>
      <c r="P100" s="182"/>
      <c r="Q100" s="182"/>
      <c r="R100" s="182"/>
      <c r="S100" s="182" t="e">
        <f t="shared" si="89"/>
        <v>#N/A</v>
      </c>
      <c r="T100" s="455"/>
      <c r="U100" s="182"/>
      <c r="V100" s="182"/>
      <c r="W100" s="182"/>
      <c r="X100" s="182" t="e">
        <f t="shared" si="90"/>
        <v>#N/A</v>
      </c>
      <c r="Y100" s="455"/>
      <c r="Z100" s="182"/>
      <c r="AA100" s="182"/>
      <c r="AB100" s="182"/>
      <c r="AC100" s="182" t="e">
        <f t="shared" si="77"/>
        <v>#N/A</v>
      </c>
      <c r="AD100" s="455"/>
      <c r="AE100" s="182"/>
      <c r="AF100" s="182"/>
      <c r="AG100" s="182"/>
      <c r="AH100" s="182" t="e">
        <f t="shared" si="79"/>
        <v>#N/A</v>
      </c>
      <c r="AI100" s="455"/>
      <c r="AJ100" s="182"/>
      <c r="AK100" s="182"/>
      <c r="AL100" s="182"/>
      <c r="AM100" s="182" t="e">
        <f t="shared" si="81"/>
        <v>#N/A</v>
      </c>
      <c r="AN100" s="455"/>
      <c r="AO100" s="182"/>
      <c r="AP100" s="182"/>
      <c r="AQ100" s="182"/>
      <c r="AR100" s="182" t="e">
        <f t="shared" si="83"/>
        <v>#N/A</v>
      </c>
      <c r="AS100" s="455"/>
      <c r="AT100" s="182"/>
      <c r="AU100" s="182"/>
      <c r="AV100" s="182"/>
      <c r="AW100" s="182" t="e">
        <f t="shared" si="85"/>
        <v>#N/A</v>
      </c>
      <c r="AX100" s="455"/>
      <c r="AZ100" s="182" t="e">
        <f t="shared" si="87"/>
        <v>#N/A</v>
      </c>
      <c r="BA100" s="455"/>
    </row>
    <row r="101" spans="2:53">
      <c r="B101" s="454"/>
      <c r="C101" s="182">
        <v>15</v>
      </c>
      <c r="D101" s="203"/>
      <c r="E101" s="166"/>
      <c r="F101" s="182"/>
      <c r="G101" s="180"/>
      <c r="H101" s="465"/>
      <c r="I101" s="182"/>
      <c r="J101" s="182"/>
      <c r="K101" s="182"/>
      <c r="L101" s="465"/>
      <c r="M101" s="166" t="e">
        <f>RANK(K101, K$87:$K$101)</f>
        <v>#N/A</v>
      </c>
      <c r="N101" s="461"/>
      <c r="O101" s="461"/>
      <c r="P101" s="182"/>
      <c r="Q101" s="182"/>
      <c r="R101" s="182"/>
      <c r="S101" s="182" t="e">
        <f t="shared" si="89"/>
        <v>#N/A</v>
      </c>
      <c r="T101" s="455"/>
      <c r="U101" s="182"/>
      <c r="V101" s="182"/>
      <c r="W101" s="182"/>
      <c r="X101" s="182" t="e">
        <f t="shared" si="90"/>
        <v>#N/A</v>
      </c>
      <c r="Y101" s="455"/>
      <c r="Z101" s="182"/>
      <c r="AA101" s="182"/>
      <c r="AB101" s="182"/>
      <c r="AC101" s="182" t="e">
        <f t="shared" si="77"/>
        <v>#N/A</v>
      </c>
      <c r="AD101" s="455"/>
      <c r="AE101" s="182"/>
      <c r="AF101" s="182"/>
      <c r="AG101" s="182"/>
      <c r="AH101" s="182" t="e">
        <f t="shared" si="79"/>
        <v>#N/A</v>
      </c>
      <c r="AI101" s="455"/>
      <c r="AJ101" s="182"/>
      <c r="AK101" s="182"/>
      <c r="AL101" s="182"/>
      <c r="AM101" s="182" t="e">
        <f t="shared" si="81"/>
        <v>#N/A</v>
      </c>
      <c r="AN101" s="455"/>
      <c r="AO101" s="182"/>
      <c r="AP101" s="182"/>
      <c r="AQ101" s="182"/>
      <c r="AR101" s="182" t="e">
        <f t="shared" si="83"/>
        <v>#N/A</v>
      </c>
      <c r="AS101" s="455"/>
      <c r="AT101" s="182"/>
      <c r="AU101" s="182"/>
      <c r="AV101" s="182"/>
      <c r="AW101" s="182" t="e">
        <f t="shared" si="85"/>
        <v>#N/A</v>
      </c>
      <c r="AX101" s="455"/>
      <c r="AZ101" s="182" t="e">
        <f t="shared" si="87"/>
        <v>#N/A</v>
      </c>
      <c r="BA101" s="455"/>
    </row>
    <row r="102" spans="2:53" ht="15.5">
      <c r="B102" s="477" t="s">
        <v>163</v>
      </c>
      <c r="C102" s="478"/>
      <c r="D102" s="478"/>
      <c r="E102" s="478"/>
      <c r="F102" s="478"/>
      <c r="G102" s="478"/>
      <c r="H102" s="478"/>
      <c r="I102" s="186"/>
      <c r="J102" s="186"/>
      <c r="K102" s="186"/>
      <c r="L102" s="186"/>
      <c r="M102" s="185"/>
      <c r="N102" s="480" t="s">
        <v>156</v>
      </c>
      <c r="O102" s="480" t="s">
        <v>105</v>
      </c>
      <c r="P102" s="476">
        <f>P82+7</f>
        <v>46147</v>
      </c>
      <c r="Q102" s="454"/>
      <c r="R102" s="454"/>
      <c r="S102" s="454"/>
      <c r="T102" s="454"/>
      <c r="U102" s="473">
        <f>P102+1</f>
        <v>46148</v>
      </c>
      <c r="V102" s="474"/>
      <c r="W102" s="474"/>
      <c r="X102" s="474"/>
      <c r="Y102" s="475"/>
      <c r="Z102" s="473">
        <f>U102+1</f>
        <v>46149</v>
      </c>
      <c r="AA102" s="474"/>
      <c r="AB102" s="474"/>
      <c r="AC102" s="474"/>
      <c r="AD102" s="475"/>
      <c r="AE102" s="473">
        <f>Z102+1</f>
        <v>46150</v>
      </c>
      <c r="AF102" s="474"/>
      <c r="AG102" s="474"/>
      <c r="AH102" s="474"/>
      <c r="AI102" s="475"/>
      <c r="AJ102" s="473">
        <f>AE102+1</f>
        <v>46151</v>
      </c>
      <c r="AK102" s="474"/>
      <c r="AL102" s="474"/>
      <c r="AM102" s="474"/>
      <c r="AN102" s="475"/>
      <c r="AO102" s="473">
        <f>AJ102+1</f>
        <v>46152</v>
      </c>
      <c r="AP102" s="474"/>
      <c r="AQ102" s="474"/>
      <c r="AR102" s="474"/>
      <c r="AS102" s="475"/>
      <c r="AT102" s="473">
        <f>AO102+1</f>
        <v>46153</v>
      </c>
      <c r="AU102" s="474"/>
      <c r="AV102" s="474"/>
      <c r="AW102" s="474"/>
      <c r="AX102" s="475"/>
    </row>
    <row r="103" spans="2:53" ht="15.5">
      <c r="B103" s="479"/>
      <c r="C103" s="479"/>
      <c r="D103" s="479"/>
      <c r="E103" s="479"/>
      <c r="F103" s="479"/>
      <c r="G103" s="479"/>
      <c r="H103" s="479"/>
      <c r="I103" s="184"/>
      <c r="J103" s="184"/>
      <c r="K103" s="184"/>
      <c r="L103" s="184"/>
      <c r="M103" s="179"/>
      <c r="N103" s="481"/>
      <c r="O103" s="481"/>
      <c r="P103" s="476" t="s">
        <v>158</v>
      </c>
      <c r="Q103" s="454"/>
      <c r="R103" s="454"/>
      <c r="S103" s="454"/>
      <c r="T103" s="454"/>
      <c r="U103" s="476" t="s">
        <v>114</v>
      </c>
      <c r="V103" s="454"/>
      <c r="W103" s="454"/>
      <c r="X103" s="454"/>
      <c r="Y103" s="454"/>
      <c r="Z103" s="476" t="s">
        <v>159</v>
      </c>
      <c r="AA103" s="454"/>
      <c r="AB103" s="454"/>
      <c r="AC103" s="454"/>
      <c r="AD103" s="454"/>
      <c r="AE103" s="476" t="s">
        <v>157</v>
      </c>
      <c r="AF103" s="454"/>
      <c r="AG103" s="454"/>
      <c r="AH103" s="454"/>
      <c r="AI103" s="454"/>
      <c r="AJ103" s="476" t="s">
        <v>160</v>
      </c>
      <c r="AK103" s="454"/>
      <c r="AL103" s="454"/>
      <c r="AM103" s="454"/>
      <c r="AN103" s="454"/>
      <c r="AO103" s="476" t="s">
        <v>115</v>
      </c>
      <c r="AP103" s="454"/>
      <c r="AQ103" s="454"/>
      <c r="AR103" s="454"/>
      <c r="AS103" s="454"/>
      <c r="AT103" s="476" t="s">
        <v>162</v>
      </c>
      <c r="AU103" s="454"/>
      <c r="AV103" s="454"/>
      <c r="AW103" s="454"/>
      <c r="AX103" s="454"/>
    </row>
    <row r="104" spans="2:53">
      <c r="B104" s="461" t="s">
        <v>154</v>
      </c>
      <c r="C104" s="461" t="s">
        <v>409</v>
      </c>
      <c r="D104" s="461"/>
      <c r="E104" s="461" t="s">
        <v>400</v>
      </c>
      <c r="F104" s="461"/>
      <c r="G104" s="461"/>
      <c r="H104" s="482" t="s">
        <v>396</v>
      </c>
      <c r="I104" s="461" t="s">
        <v>401</v>
      </c>
      <c r="J104" s="461"/>
      <c r="K104" s="461"/>
      <c r="L104" s="482" t="s">
        <v>396</v>
      </c>
      <c r="M104" s="480" t="s">
        <v>397</v>
      </c>
      <c r="N104" s="461"/>
      <c r="O104" s="461" t="s">
        <v>402</v>
      </c>
      <c r="P104" s="466" t="s">
        <v>398</v>
      </c>
      <c r="Q104" s="467"/>
      <c r="R104" s="467"/>
      <c r="S104" s="468"/>
      <c r="T104" s="461" t="s">
        <v>396</v>
      </c>
      <c r="U104" s="466" t="s">
        <v>398</v>
      </c>
      <c r="V104" s="467"/>
      <c r="W104" s="467"/>
      <c r="X104" s="468"/>
      <c r="Y104" s="461" t="s">
        <v>396</v>
      </c>
      <c r="Z104" s="466" t="s">
        <v>398</v>
      </c>
      <c r="AA104" s="467"/>
      <c r="AB104" s="467"/>
      <c r="AC104" s="468"/>
      <c r="AD104" s="461" t="s">
        <v>396</v>
      </c>
      <c r="AE104" s="466" t="s">
        <v>398</v>
      </c>
      <c r="AF104" s="467"/>
      <c r="AG104" s="467"/>
      <c r="AH104" s="468"/>
      <c r="AI104" s="461" t="s">
        <v>396</v>
      </c>
      <c r="AJ104" s="466" t="s">
        <v>398</v>
      </c>
      <c r="AK104" s="467"/>
      <c r="AL104" s="467"/>
      <c r="AM104" s="468"/>
      <c r="AN104" s="461" t="s">
        <v>396</v>
      </c>
      <c r="AO104" s="466" t="s">
        <v>398</v>
      </c>
      <c r="AP104" s="467"/>
      <c r="AQ104" s="467"/>
      <c r="AR104" s="468"/>
      <c r="AS104" s="461" t="s">
        <v>396</v>
      </c>
      <c r="AT104" s="466" t="s">
        <v>398</v>
      </c>
      <c r="AU104" s="467"/>
      <c r="AV104" s="467"/>
      <c r="AW104" s="468"/>
      <c r="AX104" s="461" t="s">
        <v>396</v>
      </c>
      <c r="BA104" s="461" t="s">
        <v>396</v>
      </c>
    </row>
    <row r="105" spans="2:53">
      <c r="B105" s="461"/>
      <c r="C105" s="461"/>
      <c r="D105" s="461"/>
      <c r="E105" s="461" t="s">
        <v>403</v>
      </c>
      <c r="F105" s="461"/>
      <c r="G105" s="461"/>
      <c r="H105" s="483"/>
      <c r="I105" s="461" t="s">
        <v>403</v>
      </c>
      <c r="J105" s="461"/>
      <c r="K105" s="461"/>
      <c r="L105" s="483"/>
      <c r="M105" s="485"/>
      <c r="N105" s="461"/>
      <c r="O105" s="461"/>
      <c r="P105" s="466" t="s">
        <v>404</v>
      </c>
      <c r="Q105" s="467"/>
      <c r="R105" s="467"/>
      <c r="S105" s="468"/>
      <c r="T105" s="461"/>
      <c r="U105" s="466" t="s">
        <v>404</v>
      </c>
      <c r="V105" s="467"/>
      <c r="W105" s="467"/>
      <c r="X105" s="468"/>
      <c r="Y105" s="461"/>
      <c r="Z105" s="466" t="s">
        <v>404</v>
      </c>
      <c r="AA105" s="467"/>
      <c r="AB105" s="467"/>
      <c r="AC105" s="468"/>
      <c r="AD105" s="461"/>
      <c r="AE105" s="466" t="s">
        <v>404</v>
      </c>
      <c r="AF105" s="467"/>
      <c r="AG105" s="467"/>
      <c r="AH105" s="468"/>
      <c r="AI105" s="461"/>
      <c r="AJ105" s="466" t="s">
        <v>404</v>
      </c>
      <c r="AK105" s="467"/>
      <c r="AL105" s="467"/>
      <c r="AM105" s="468"/>
      <c r="AN105" s="461"/>
      <c r="AO105" s="466" t="s">
        <v>404</v>
      </c>
      <c r="AP105" s="467"/>
      <c r="AQ105" s="467"/>
      <c r="AR105" s="468"/>
      <c r="AS105" s="461"/>
      <c r="AT105" s="466" t="s">
        <v>404</v>
      </c>
      <c r="AU105" s="467"/>
      <c r="AV105" s="467"/>
      <c r="AW105" s="468"/>
      <c r="AX105" s="461"/>
      <c r="BA105" s="461"/>
    </row>
    <row r="106" spans="2:53">
      <c r="B106" s="461"/>
      <c r="C106" s="461"/>
      <c r="D106" s="461"/>
      <c r="E106" s="269" t="s">
        <v>405</v>
      </c>
      <c r="F106" s="269" t="s">
        <v>406</v>
      </c>
      <c r="G106" s="269" t="s">
        <v>407</v>
      </c>
      <c r="H106" s="484"/>
      <c r="I106" s="269" t="s">
        <v>405</v>
      </c>
      <c r="J106" s="269" t="s">
        <v>406</v>
      </c>
      <c r="K106" s="269" t="s">
        <v>407</v>
      </c>
      <c r="L106" s="484"/>
      <c r="M106" s="481"/>
      <c r="N106" s="461"/>
      <c r="O106" s="461"/>
      <c r="P106" s="269" t="s">
        <v>405</v>
      </c>
      <c r="Q106" s="269" t="s">
        <v>406</v>
      </c>
      <c r="R106" s="269" t="s">
        <v>407</v>
      </c>
      <c r="S106" s="269" t="s">
        <v>397</v>
      </c>
      <c r="T106" s="461"/>
      <c r="U106" s="269" t="s">
        <v>405</v>
      </c>
      <c r="V106" s="269" t="s">
        <v>406</v>
      </c>
      <c r="W106" s="269" t="s">
        <v>407</v>
      </c>
      <c r="X106" s="269" t="s">
        <v>397</v>
      </c>
      <c r="Y106" s="461"/>
      <c r="Z106" s="269" t="s">
        <v>405</v>
      </c>
      <c r="AA106" s="269" t="s">
        <v>406</v>
      </c>
      <c r="AB106" s="269" t="s">
        <v>407</v>
      </c>
      <c r="AC106" s="269" t="s">
        <v>397</v>
      </c>
      <c r="AD106" s="461"/>
      <c r="AE106" s="269" t="s">
        <v>405</v>
      </c>
      <c r="AF106" s="269" t="s">
        <v>406</v>
      </c>
      <c r="AG106" s="269" t="s">
        <v>407</v>
      </c>
      <c r="AH106" s="269" t="s">
        <v>397</v>
      </c>
      <c r="AI106" s="461"/>
      <c r="AJ106" s="269" t="s">
        <v>405</v>
      </c>
      <c r="AK106" s="269" t="s">
        <v>406</v>
      </c>
      <c r="AL106" s="269" t="s">
        <v>407</v>
      </c>
      <c r="AM106" s="269" t="s">
        <v>397</v>
      </c>
      <c r="AN106" s="461"/>
      <c r="AO106" s="269" t="s">
        <v>405</v>
      </c>
      <c r="AP106" s="269" t="s">
        <v>406</v>
      </c>
      <c r="AQ106" s="269" t="s">
        <v>407</v>
      </c>
      <c r="AR106" s="269" t="s">
        <v>397</v>
      </c>
      <c r="AS106" s="461"/>
      <c r="AT106" s="269" t="s">
        <v>405</v>
      </c>
      <c r="AU106" s="269" t="s">
        <v>406</v>
      </c>
      <c r="AV106" s="269" t="s">
        <v>407</v>
      </c>
      <c r="AW106" s="269" t="s">
        <v>397</v>
      </c>
      <c r="AX106" s="461"/>
      <c r="AZ106" s="269" t="s">
        <v>397</v>
      </c>
      <c r="BA106" s="461"/>
    </row>
    <row r="107" spans="2:53">
      <c r="B107" s="461" t="s">
        <v>410</v>
      </c>
      <c r="C107" s="182">
        <v>1</v>
      </c>
      <c r="D107" s="203"/>
      <c r="E107" s="166"/>
      <c r="F107" s="182"/>
      <c r="G107" s="180"/>
      <c r="H107" s="463" t="e">
        <f>AVERAGE(G107:G121)</f>
        <v>#DIV/0!</v>
      </c>
      <c r="I107" s="166" t="str">
        <f t="shared" ref="I107:I120" si="91">IFERROR(AVERAGE(P107,U107,Z107,AE107,AJ107,AO107,AT107),"-")</f>
        <v>-</v>
      </c>
      <c r="J107" s="166" t="str">
        <f t="shared" ref="J107:J120" si="92">IFERROR(AVERAGE(Q107,V107,AA107,AF107,AK107,AP107,AU107),"-")</f>
        <v>-</v>
      </c>
      <c r="K107" s="180" t="str">
        <f t="shared" ref="K107:K120" si="93">IFERROR(AVERAGE(R107,W107,AB107,AG107,AL107,AQ107,AV107),"-")</f>
        <v>-</v>
      </c>
      <c r="L107" s="463" t="str">
        <f>IFERROR(AVERAGE(K107:K121),"-")</f>
        <v>-</v>
      </c>
      <c r="M107" s="181" t="e">
        <f>RANK(K107, K$87:$K$101)</f>
        <v>#VALUE!</v>
      </c>
      <c r="N107" s="461"/>
      <c r="O107" s="461"/>
      <c r="P107" s="166"/>
      <c r="Q107" s="166"/>
      <c r="R107" s="180"/>
      <c r="S107" s="182" t="e">
        <f>RANK(R107, R$107:R$121)</f>
        <v>#N/A</v>
      </c>
      <c r="T107" s="455" t="e">
        <f>AVERAGE(R107:R121)</f>
        <v>#DIV/0!</v>
      </c>
      <c r="U107" s="166"/>
      <c r="V107" s="166"/>
      <c r="W107" s="180"/>
      <c r="X107" s="182" t="e">
        <f>RANK(W107, W$107:W$121)</f>
        <v>#N/A</v>
      </c>
      <c r="Y107" s="455" t="e">
        <f>AVERAGE(W107:W121)</f>
        <v>#DIV/0!</v>
      </c>
      <c r="Z107" s="166"/>
      <c r="AA107" s="166"/>
      <c r="AB107" s="180"/>
      <c r="AC107" s="182" t="e">
        <f>RANK(AB107, AB$107:AB$121)</f>
        <v>#N/A</v>
      </c>
      <c r="AD107" s="455" t="e">
        <f>AVERAGE(AB107:AB121)</f>
        <v>#DIV/0!</v>
      </c>
      <c r="AE107" s="166"/>
      <c r="AF107" s="166"/>
      <c r="AG107" s="180"/>
      <c r="AH107" s="182" t="e">
        <f>RANK(AG107, AG$107:AG$121)</f>
        <v>#N/A</v>
      </c>
      <c r="AI107" s="455" t="e">
        <f>AVERAGE(AG107:AG121)</f>
        <v>#DIV/0!</v>
      </c>
      <c r="AJ107" s="166"/>
      <c r="AK107" s="166"/>
      <c r="AL107" s="180"/>
      <c r="AM107" s="182" t="e">
        <f>RANK(AL107, AL$107:AL$121)</f>
        <v>#N/A</v>
      </c>
      <c r="AN107" s="455" t="e">
        <f>AVERAGE(AL107:AL121)</f>
        <v>#DIV/0!</v>
      </c>
      <c r="AO107" s="166"/>
      <c r="AP107" s="166"/>
      <c r="AQ107" s="180"/>
      <c r="AR107" s="182" t="e">
        <f>RANK(AQ107, AQ$107:AQ$121)</f>
        <v>#N/A</v>
      </c>
      <c r="AS107" s="455" t="e">
        <f>AVERAGE(AQ107:AQ121)</f>
        <v>#DIV/0!</v>
      </c>
      <c r="AT107" s="166"/>
      <c r="AU107" s="166"/>
      <c r="AV107" s="180"/>
      <c r="AW107" s="182" t="e">
        <f>RANK(AV107, AV$107:AV$121)</f>
        <v>#N/A</v>
      </c>
      <c r="AX107" s="455" t="e">
        <f>AVERAGE(AV107:AV121)</f>
        <v>#DIV/0!</v>
      </c>
      <c r="AZ107" s="182" t="e">
        <f>RANK(AY107, AY$107:AY$121)</f>
        <v>#N/A</v>
      </c>
      <c r="BA107" s="455" t="e">
        <f>AVERAGE(AY107:AY121)</f>
        <v>#DIV/0!</v>
      </c>
    </row>
    <row r="108" spans="2:53">
      <c r="B108" s="454"/>
      <c r="C108" s="182">
        <v>2</v>
      </c>
      <c r="D108" s="203"/>
      <c r="E108" s="166"/>
      <c r="F108" s="182"/>
      <c r="G108" s="180"/>
      <c r="H108" s="464"/>
      <c r="I108" s="166" t="str">
        <f t="shared" si="91"/>
        <v>-</v>
      </c>
      <c r="J108" s="166" t="str">
        <f t="shared" si="92"/>
        <v>-</v>
      </c>
      <c r="K108" s="180" t="str">
        <f t="shared" si="93"/>
        <v>-</v>
      </c>
      <c r="L108" s="464"/>
      <c r="M108" s="181" t="e">
        <f>RANK(K108, K$87:$K$101)</f>
        <v>#VALUE!</v>
      </c>
      <c r="N108" s="461"/>
      <c r="O108" s="461"/>
      <c r="P108" s="182"/>
      <c r="Q108" s="166"/>
      <c r="R108" s="180"/>
      <c r="S108" s="182" t="e">
        <f t="shared" ref="S108:S121" si="94">RANK(R108, R$107:R$121)</f>
        <v>#N/A</v>
      </c>
      <c r="T108" s="455"/>
      <c r="U108" s="182"/>
      <c r="V108" s="166"/>
      <c r="W108" s="180"/>
      <c r="X108" s="182" t="e">
        <f t="shared" ref="X108:X121" si="95">RANK(W108, W$107:W$121)</f>
        <v>#N/A</v>
      </c>
      <c r="Y108" s="455"/>
      <c r="Z108" s="182"/>
      <c r="AA108" s="166"/>
      <c r="AB108" s="180"/>
      <c r="AC108" s="182" t="e">
        <f t="shared" ref="AC108:AC121" si="96">RANK(AB108, AB$107:AB$121)</f>
        <v>#N/A</v>
      </c>
      <c r="AD108" s="455"/>
      <c r="AE108" s="182"/>
      <c r="AF108" s="166"/>
      <c r="AG108" s="180"/>
      <c r="AH108" s="182" t="e">
        <f t="shared" ref="AH108:AH121" si="97">RANK(AG108, AG$107:AG$121)</f>
        <v>#N/A</v>
      </c>
      <c r="AI108" s="455"/>
      <c r="AJ108" s="182"/>
      <c r="AK108" s="166"/>
      <c r="AL108" s="180"/>
      <c r="AM108" s="182" t="e">
        <f t="shared" ref="AM108:AM121" si="98">RANK(AL108, AL$107:AL$121)</f>
        <v>#N/A</v>
      </c>
      <c r="AN108" s="455"/>
      <c r="AO108" s="182"/>
      <c r="AP108" s="166"/>
      <c r="AQ108" s="180"/>
      <c r="AR108" s="182" t="e">
        <f t="shared" ref="AR108:AR121" si="99">RANK(AQ108, AQ$107:AQ$121)</f>
        <v>#N/A</v>
      </c>
      <c r="AS108" s="455"/>
      <c r="AT108" s="182"/>
      <c r="AU108" s="166"/>
      <c r="AV108" s="180"/>
      <c r="AW108" s="182" t="e">
        <f t="shared" ref="AW108:AW121" si="100">RANK(AV108, AV$107:AV$121)</f>
        <v>#N/A</v>
      </c>
      <c r="AX108" s="455"/>
      <c r="AZ108" s="182" t="e">
        <f t="shared" ref="AZ108:AZ121" si="101">RANK(AY108, AY$107:AY$121)</f>
        <v>#N/A</v>
      </c>
      <c r="BA108" s="455"/>
    </row>
    <row r="109" spans="2:53">
      <c r="B109" s="454"/>
      <c r="C109" s="182">
        <v>3</v>
      </c>
      <c r="D109" s="203"/>
      <c r="E109" s="166"/>
      <c r="F109" s="182"/>
      <c r="G109" s="180"/>
      <c r="H109" s="464"/>
      <c r="I109" s="166" t="str">
        <f t="shared" si="91"/>
        <v>-</v>
      </c>
      <c r="J109" s="166" t="str">
        <f t="shared" si="92"/>
        <v>-</v>
      </c>
      <c r="K109" s="180" t="str">
        <f t="shared" si="93"/>
        <v>-</v>
      </c>
      <c r="L109" s="464"/>
      <c r="M109" s="181" t="e">
        <f>RANK(K109, K$87:$K$101)</f>
        <v>#VALUE!</v>
      </c>
      <c r="N109" s="461"/>
      <c r="O109" s="461"/>
      <c r="P109" s="182"/>
      <c r="Q109" s="182"/>
      <c r="R109" s="182"/>
      <c r="S109" s="182" t="e">
        <f t="shared" si="94"/>
        <v>#N/A</v>
      </c>
      <c r="T109" s="455"/>
      <c r="U109" s="182"/>
      <c r="V109" s="182"/>
      <c r="W109" s="182"/>
      <c r="X109" s="182" t="e">
        <f t="shared" si="95"/>
        <v>#N/A</v>
      </c>
      <c r="Y109" s="455"/>
      <c r="Z109" s="182"/>
      <c r="AA109" s="182"/>
      <c r="AB109" s="182"/>
      <c r="AC109" s="182" t="e">
        <f t="shared" si="96"/>
        <v>#N/A</v>
      </c>
      <c r="AD109" s="455"/>
      <c r="AE109" s="182"/>
      <c r="AF109" s="182"/>
      <c r="AG109" s="182"/>
      <c r="AH109" s="182" t="e">
        <f t="shared" si="97"/>
        <v>#N/A</v>
      </c>
      <c r="AI109" s="455"/>
      <c r="AJ109" s="182"/>
      <c r="AK109" s="182"/>
      <c r="AL109" s="182"/>
      <c r="AM109" s="182" t="e">
        <f t="shared" si="98"/>
        <v>#N/A</v>
      </c>
      <c r="AN109" s="455"/>
      <c r="AO109" s="182"/>
      <c r="AP109" s="182"/>
      <c r="AQ109" s="182"/>
      <c r="AR109" s="182" t="e">
        <f t="shared" si="99"/>
        <v>#N/A</v>
      </c>
      <c r="AS109" s="455"/>
      <c r="AT109" s="182"/>
      <c r="AU109" s="182"/>
      <c r="AV109" s="182"/>
      <c r="AW109" s="182" t="e">
        <f t="shared" si="100"/>
        <v>#N/A</v>
      </c>
      <c r="AX109" s="455"/>
      <c r="AZ109" s="182" t="e">
        <f t="shared" si="101"/>
        <v>#N/A</v>
      </c>
      <c r="BA109" s="455"/>
    </row>
    <row r="110" spans="2:53">
      <c r="B110" s="454"/>
      <c r="C110" s="182">
        <v>4</v>
      </c>
      <c r="D110" s="203"/>
      <c r="E110" s="166"/>
      <c r="F110" s="182"/>
      <c r="G110" s="180"/>
      <c r="H110" s="464"/>
      <c r="I110" s="166" t="str">
        <f t="shared" si="91"/>
        <v>-</v>
      </c>
      <c r="J110" s="166" t="str">
        <f t="shared" si="92"/>
        <v>-</v>
      </c>
      <c r="K110" s="180" t="str">
        <f t="shared" si="93"/>
        <v>-</v>
      </c>
      <c r="L110" s="464"/>
      <c r="M110" s="181" t="e">
        <f>RANK(K110, K$87:$K$101)</f>
        <v>#VALUE!</v>
      </c>
      <c r="N110" s="461"/>
      <c r="O110" s="461"/>
      <c r="P110" s="182"/>
      <c r="Q110" s="182"/>
      <c r="R110" s="182"/>
      <c r="S110" s="182" t="e">
        <f t="shared" si="94"/>
        <v>#N/A</v>
      </c>
      <c r="T110" s="455"/>
      <c r="U110" s="182"/>
      <c r="V110" s="182"/>
      <c r="W110" s="182"/>
      <c r="X110" s="182" t="e">
        <f t="shared" si="95"/>
        <v>#N/A</v>
      </c>
      <c r="Y110" s="455"/>
      <c r="Z110" s="182"/>
      <c r="AA110" s="182"/>
      <c r="AB110" s="182"/>
      <c r="AC110" s="182" t="e">
        <f t="shared" si="96"/>
        <v>#N/A</v>
      </c>
      <c r="AD110" s="455"/>
      <c r="AE110" s="182"/>
      <c r="AF110" s="182"/>
      <c r="AG110" s="182"/>
      <c r="AH110" s="182" t="e">
        <f t="shared" si="97"/>
        <v>#N/A</v>
      </c>
      <c r="AI110" s="455"/>
      <c r="AJ110" s="182"/>
      <c r="AK110" s="182"/>
      <c r="AL110" s="182"/>
      <c r="AM110" s="182" t="e">
        <f t="shared" si="98"/>
        <v>#N/A</v>
      </c>
      <c r="AN110" s="455"/>
      <c r="AO110" s="182"/>
      <c r="AP110" s="182"/>
      <c r="AQ110" s="182"/>
      <c r="AR110" s="182" t="e">
        <f t="shared" si="99"/>
        <v>#N/A</v>
      </c>
      <c r="AS110" s="455"/>
      <c r="AT110" s="182"/>
      <c r="AU110" s="182"/>
      <c r="AV110" s="182"/>
      <c r="AW110" s="182" t="e">
        <f t="shared" si="100"/>
        <v>#N/A</v>
      </c>
      <c r="AX110" s="455"/>
      <c r="AZ110" s="182" t="e">
        <f t="shared" si="101"/>
        <v>#N/A</v>
      </c>
      <c r="BA110" s="455"/>
    </row>
    <row r="111" spans="2:53">
      <c r="B111" s="454"/>
      <c r="C111" s="182">
        <v>5</v>
      </c>
      <c r="D111" s="203"/>
      <c r="E111" s="166"/>
      <c r="F111" s="182"/>
      <c r="G111" s="180"/>
      <c r="H111" s="464"/>
      <c r="I111" s="166" t="str">
        <f t="shared" si="91"/>
        <v>-</v>
      </c>
      <c r="J111" s="166" t="str">
        <f t="shared" si="92"/>
        <v>-</v>
      </c>
      <c r="K111" s="180" t="str">
        <f t="shared" si="93"/>
        <v>-</v>
      </c>
      <c r="L111" s="464"/>
      <c r="M111" s="181" t="e">
        <f>RANK(K111, K$87:$K$101)</f>
        <v>#VALUE!</v>
      </c>
      <c r="N111" s="461"/>
      <c r="O111" s="461"/>
      <c r="P111" s="182"/>
      <c r="Q111" s="182"/>
      <c r="R111" s="182"/>
      <c r="S111" s="182" t="e">
        <f t="shared" si="94"/>
        <v>#N/A</v>
      </c>
      <c r="T111" s="455"/>
      <c r="U111" s="182"/>
      <c r="V111" s="182"/>
      <c r="W111" s="182"/>
      <c r="X111" s="182" t="e">
        <f t="shared" si="95"/>
        <v>#N/A</v>
      </c>
      <c r="Y111" s="455"/>
      <c r="Z111" s="182"/>
      <c r="AA111" s="182"/>
      <c r="AB111" s="182"/>
      <c r="AC111" s="182" t="e">
        <f t="shared" si="96"/>
        <v>#N/A</v>
      </c>
      <c r="AD111" s="455"/>
      <c r="AE111" s="182"/>
      <c r="AF111" s="182"/>
      <c r="AG111" s="182"/>
      <c r="AH111" s="182" t="e">
        <f t="shared" si="97"/>
        <v>#N/A</v>
      </c>
      <c r="AI111" s="455"/>
      <c r="AJ111" s="182"/>
      <c r="AK111" s="182"/>
      <c r="AL111" s="182"/>
      <c r="AM111" s="182" t="e">
        <f t="shared" si="98"/>
        <v>#N/A</v>
      </c>
      <c r="AN111" s="455"/>
      <c r="AO111" s="182"/>
      <c r="AP111" s="182"/>
      <c r="AQ111" s="182"/>
      <c r="AR111" s="182" t="e">
        <f t="shared" si="99"/>
        <v>#N/A</v>
      </c>
      <c r="AS111" s="455"/>
      <c r="AT111" s="182"/>
      <c r="AU111" s="182"/>
      <c r="AV111" s="182"/>
      <c r="AW111" s="182" t="e">
        <f t="shared" si="100"/>
        <v>#N/A</v>
      </c>
      <c r="AX111" s="455"/>
      <c r="AZ111" s="182" t="e">
        <f t="shared" si="101"/>
        <v>#N/A</v>
      </c>
      <c r="BA111" s="455"/>
    </row>
    <row r="112" spans="2:53">
      <c r="B112" s="454"/>
      <c r="C112" s="182">
        <v>6</v>
      </c>
      <c r="D112" s="203"/>
      <c r="E112" s="166"/>
      <c r="F112" s="182"/>
      <c r="G112" s="180"/>
      <c r="H112" s="464"/>
      <c r="I112" s="166" t="str">
        <f t="shared" si="91"/>
        <v>-</v>
      </c>
      <c r="J112" s="166" t="str">
        <f t="shared" si="92"/>
        <v>-</v>
      </c>
      <c r="K112" s="180" t="str">
        <f t="shared" si="93"/>
        <v>-</v>
      </c>
      <c r="L112" s="464"/>
      <c r="M112" s="181" t="e">
        <f>RANK(K112, K$87:$K$101)</f>
        <v>#VALUE!</v>
      </c>
      <c r="N112" s="461"/>
      <c r="O112" s="461"/>
      <c r="P112" s="182"/>
      <c r="Q112" s="182"/>
      <c r="R112" s="182"/>
      <c r="S112" s="182" t="e">
        <f t="shared" si="94"/>
        <v>#N/A</v>
      </c>
      <c r="T112" s="455"/>
      <c r="U112" s="182"/>
      <c r="V112" s="182"/>
      <c r="W112" s="182"/>
      <c r="X112" s="182" t="e">
        <f t="shared" si="95"/>
        <v>#N/A</v>
      </c>
      <c r="Y112" s="455"/>
      <c r="Z112" s="182"/>
      <c r="AA112" s="182"/>
      <c r="AB112" s="182"/>
      <c r="AC112" s="182" t="e">
        <f t="shared" si="96"/>
        <v>#N/A</v>
      </c>
      <c r="AD112" s="455"/>
      <c r="AE112" s="182"/>
      <c r="AF112" s="182"/>
      <c r="AG112" s="182"/>
      <c r="AH112" s="182" t="e">
        <f t="shared" si="97"/>
        <v>#N/A</v>
      </c>
      <c r="AI112" s="455"/>
      <c r="AJ112" s="182"/>
      <c r="AK112" s="182"/>
      <c r="AL112" s="182"/>
      <c r="AM112" s="182" t="e">
        <f t="shared" si="98"/>
        <v>#N/A</v>
      </c>
      <c r="AN112" s="455"/>
      <c r="AO112" s="182"/>
      <c r="AP112" s="182"/>
      <c r="AQ112" s="182"/>
      <c r="AR112" s="182" t="e">
        <f t="shared" si="99"/>
        <v>#N/A</v>
      </c>
      <c r="AS112" s="455"/>
      <c r="AT112" s="182"/>
      <c r="AU112" s="182"/>
      <c r="AV112" s="182"/>
      <c r="AW112" s="182" t="e">
        <f t="shared" si="100"/>
        <v>#N/A</v>
      </c>
      <c r="AX112" s="455"/>
      <c r="AZ112" s="182" t="e">
        <f t="shared" si="101"/>
        <v>#N/A</v>
      </c>
      <c r="BA112" s="455"/>
    </row>
    <row r="113" spans="2:53">
      <c r="B113" s="454"/>
      <c r="C113" s="182">
        <v>7</v>
      </c>
      <c r="D113" s="203"/>
      <c r="E113" s="166"/>
      <c r="F113" s="182"/>
      <c r="G113" s="180"/>
      <c r="H113" s="464"/>
      <c r="I113" s="166" t="str">
        <f t="shared" si="91"/>
        <v>-</v>
      </c>
      <c r="J113" s="166" t="str">
        <f t="shared" si="92"/>
        <v>-</v>
      </c>
      <c r="K113" s="180" t="str">
        <f t="shared" si="93"/>
        <v>-</v>
      </c>
      <c r="L113" s="464"/>
      <c r="M113" s="181" t="e">
        <f>RANK(K113, K$87:$K$101)</f>
        <v>#VALUE!</v>
      </c>
      <c r="N113" s="461"/>
      <c r="O113" s="461"/>
      <c r="P113" s="182"/>
      <c r="Q113" s="182"/>
      <c r="R113" s="182"/>
      <c r="S113" s="182" t="e">
        <f t="shared" si="94"/>
        <v>#N/A</v>
      </c>
      <c r="T113" s="455"/>
      <c r="U113" s="182"/>
      <c r="V113" s="182"/>
      <c r="W113" s="182"/>
      <c r="X113" s="182" t="e">
        <f t="shared" si="95"/>
        <v>#N/A</v>
      </c>
      <c r="Y113" s="455"/>
      <c r="Z113" s="182"/>
      <c r="AA113" s="182"/>
      <c r="AB113" s="182"/>
      <c r="AC113" s="182" t="e">
        <f t="shared" si="96"/>
        <v>#N/A</v>
      </c>
      <c r="AD113" s="455"/>
      <c r="AE113" s="182"/>
      <c r="AF113" s="182"/>
      <c r="AG113" s="182"/>
      <c r="AH113" s="182" t="e">
        <f t="shared" si="97"/>
        <v>#N/A</v>
      </c>
      <c r="AI113" s="455"/>
      <c r="AJ113" s="182"/>
      <c r="AK113" s="182"/>
      <c r="AL113" s="182"/>
      <c r="AM113" s="182" t="e">
        <f t="shared" si="98"/>
        <v>#N/A</v>
      </c>
      <c r="AN113" s="455"/>
      <c r="AO113" s="182"/>
      <c r="AP113" s="182"/>
      <c r="AQ113" s="182"/>
      <c r="AR113" s="182" t="e">
        <f t="shared" si="99"/>
        <v>#N/A</v>
      </c>
      <c r="AS113" s="455"/>
      <c r="AT113" s="182"/>
      <c r="AU113" s="182"/>
      <c r="AV113" s="182"/>
      <c r="AW113" s="182" t="e">
        <f t="shared" si="100"/>
        <v>#N/A</v>
      </c>
      <c r="AX113" s="455"/>
      <c r="AZ113" s="182" t="e">
        <f t="shared" si="101"/>
        <v>#N/A</v>
      </c>
      <c r="BA113" s="455"/>
    </row>
    <row r="114" spans="2:53">
      <c r="B114" s="454"/>
      <c r="C114" s="182">
        <v>8</v>
      </c>
      <c r="D114" s="203"/>
      <c r="E114" s="166"/>
      <c r="F114" s="182"/>
      <c r="G114" s="180"/>
      <c r="H114" s="464"/>
      <c r="I114" s="166" t="str">
        <f t="shared" si="91"/>
        <v>-</v>
      </c>
      <c r="J114" s="166" t="str">
        <f t="shared" si="92"/>
        <v>-</v>
      </c>
      <c r="K114" s="180" t="str">
        <f t="shared" si="93"/>
        <v>-</v>
      </c>
      <c r="L114" s="464"/>
      <c r="M114" s="181" t="e">
        <f>RANK(K114, K$87:$K$101)</f>
        <v>#VALUE!</v>
      </c>
      <c r="N114" s="461"/>
      <c r="O114" s="461"/>
      <c r="P114" s="182"/>
      <c r="Q114" s="182"/>
      <c r="R114" s="182"/>
      <c r="S114" s="182" t="e">
        <f t="shared" si="94"/>
        <v>#N/A</v>
      </c>
      <c r="T114" s="455"/>
      <c r="U114" s="182"/>
      <c r="V114" s="182"/>
      <c r="W114" s="182"/>
      <c r="X114" s="182" t="e">
        <f t="shared" si="95"/>
        <v>#N/A</v>
      </c>
      <c r="Y114" s="455"/>
      <c r="Z114" s="182"/>
      <c r="AA114" s="182"/>
      <c r="AB114" s="182"/>
      <c r="AC114" s="182" t="e">
        <f t="shared" si="96"/>
        <v>#N/A</v>
      </c>
      <c r="AD114" s="455"/>
      <c r="AE114" s="182"/>
      <c r="AF114" s="182"/>
      <c r="AG114" s="182"/>
      <c r="AH114" s="182" t="e">
        <f t="shared" si="97"/>
        <v>#N/A</v>
      </c>
      <c r="AI114" s="455"/>
      <c r="AJ114" s="182"/>
      <c r="AK114" s="182"/>
      <c r="AL114" s="182"/>
      <c r="AM114" s="182" t="e">
        <f t="shared" si="98"/>
        <v>#N/A</v>
      </c>
      <c r="AN114" s="455"/>
      <c r="AO114" s="182"/>
      <c r="AP114" s="182"/>
      <c r="AQ114" s="182"/>
      <c r="AR114" s="182" t="e">
        <f t="shared" si="99"/>
        <v>#N/A</v>
      </c>
      <c r="AS114" s="455"/>
      <c r="AT114" s="182"/>
      <c r="AU114" s="182"/>
      <c r="AV114" s="182"/>
      <c r="AW114" s="182" t="e">
        <f t="shared" si="100"/>
        <v>#N/A</v>
      </c>
      <c r="AX114" s="455"/>
      <c r="AZ114" s="182" t="e">
        <f t="shared" si="101"/>
        <v>#N/A</v>
      </c>
      <c r="BA114" s="455"/>
    </row>
    <row r="115" spans="2:53">
      <c r="B115" s="454"/>
      <c r="C115" s="182">
        <v>9</v>
      </c>
      <c r="D115" s="203"/>
      <c r="E115" s="166"/>
      <c r="F115" s="182"/>
      <c r="G115" s="180"/>
      <c r="H115" s="464"/>
      <c r="I115" s="166" t="str">
        <f t="shared" si="91"/>
        <v>-</v>
      </c>
      <c r="J115" s="166" t="str">
        <f t="shared" si="92"/>
        <v>-</v>
      </c>
      <c r="K115" s="180" t="str">
        <f t="shared" si="93"/>
        <v>-</v>
      </c>
      <c r="L115" s="464"/>
      <c r="M115" s="181" t="e">
        <f>RANK(K115, K$87:$K$101)</f>
        <v>#VALUE!</v>
      </c>
      <c r="N115" s="461"/>
      <c r="O115" s="461"/>
      <c r="P115" s="182"/>
      <c r="Q115" s="182"/>
      <c r="R115" s="182"/>
      <c r="S115" s="182" t="e">
        <f t="shared" si="94"/>
        <v>#N/A</v>
      </c>
      <c r="T115" s="455"/>
      <c r="U115" s="182"/>
      <c r="V115" s="182"/>
      <c r="W115" s="182"/>
      <c r="X115" s="182" t="e">
        <f t="shared" si="95"/>
        <v>#N/A</v>
      </c>
      <c r="Y115" s="455"/>
      <c r="Z115" s="182"/>
      <c r="AA115" s="182"/>
      <c r="AB115" s="182"/>
      <c r="AC115" s="182" t="e">
        <f t="shared" si="96"/>
        <v>#N/A</v>
      </c>
      <c r="AD115" s="455"/>
      <c r="AE115" s="182"/>
      <c r="AF115" s="182"/>
      <c r="AG115" s="182"/>
      <c r="AH115" s="182" t="e">
        <f t="shared" si="97"/>
        <v>#N/A</v>
      </c>
      <c r="AI115" s="455"/>
      <c r="AJ115" s="182"/>
      <c r="AK115" s="182"/>
      <c r="AL115" s="182"/>
      <c r="AM115" s="182" t="e">
        <f t="shared" si="98"/>
        <v>#N/A</v>
      </c>
      <c r="AN115" s="455"/>
      <c r="AO115" s="182"/>
      <c r="AP115" s="182"/>
      <c r="AQ115" s="182"/>
      <c r="AR115" s="182" t="e">
        <f t="shared" si="99"/>
        <v>#N/A</v>
      </c>
      <c r="AS115" s="455"/>
      <c r="AT115" s="182"/>
      <c r="AU115" s="182"/>
      <c r="AV115" s="182"/>
      <c r="AW115" s="182" t="e">
        <f t="shared" si="100"/>
        <v>#N/A</v>
      </c>
      <c r="AX115" s="455"/>
      <c r="AZ115" s="182" t="e">
        <f t="shared" si="101"/>
        <v>#N/A</v>
      </c>
      <c r="BA115" s="455"/>
    </row>
    <row r="116" spans="2:53">
      <c r="B116" s="454"/>
      <c r="C116" s="182">
        <v>10</v>
      </c>
      <c r="D116" s="203"/>
      <c r="E116" s="166"/>
      <c r="F116" s="182"/>
      <c r="G116" s="180"/>
      <c r="H116" s="464"/>
      <c r="I116" s="166" t="str">
        <f t="shared" si="91"/>
        <v>-</v>
      </c>
      <c r="J116" s="166" t="str">
        <f t="shared" si="92"/>
        <v>-</v>
      </c>
      <c r="K116" s="180" t="str">
        <f t="shared" si="93"/>
        <v>-</v>
      </c>
      <c r="L116" s="464"/>
      <c r="M116" s="181" t="e">
        <f>RANK(K116, K$87:$K$101)</f>
        <v>#VALUE!</v>
      </c>
      <c r="N116" s="461"/>
      <c r="O116" s="461"/>
      <c r="P116" s="182"/>
      <c r="Q116" s="182"/>
      <c r="R116" s="182"/>
      <c r="S116" s="182" t="e">
        <f t="shared" si="94"/>
        <v>#N/A</v>
      </c>
      <c r="T116" s="455"/>
      <c r="U116" s="182"/>
      <c r="V116" s="182"/>
      <c r="W116" s="182"/>
      <c r="X116" s="182" t="e">
        <f t="shared" si="95"/>
        <v>#N/A</v>
      </c>
      <c r="Y116" s="455"/>
      <c r="Z116" s="182"/>
      <c r="AA116" s="182"/>
      <c r="AB116" s="182"/>
      <c r="AC116" s="182" t="e">
        <f t="shared" si="96"/>
        <v>#N/A</v>
      </c>
      <c r="AD116" s="455"/>
      <c r="AE116" s="182"/>
      <c r="AF116" s="182"/>
      <c r="AG116" s="182"/>
      <c r="AH116" s="182" t="e">
        <f t="shared" si="97"/>
        <v>#N/A</v>
      </c>
      <c r="AI116" s="455"/>
      <c r="AJ116" s="182"/>
      <c r="AK116" s="182"/>
      <c r="AL116" s="182"/>
      <c r="AM116" s="182" t="e">
        <f t="shared" si="98"/>
        <v>#N/A</v>
      </c>
      <c r="AN116" s="455"/>
      <c r="AO116" s="182"/>
      <c r="AP116" s="182"/>
      <c r="AQ116" s="182"/>
      <c r="AR116" s="182" t="e">
        <f t="shared" si="99"/>
        <v>#N/A</v>
      </c>
      <c r="AS116" s="455"/>
      <c r="AT116" s="182"/>
      <c r="AU116" s="182"/>
      <c r="AV116" s="182"/>
      <c r="AW116" s="182" t="e">
        <f t="shared" si="100"/>
        <v>#N/A</v>
      </c>
      <c r="AX116" s="455"/>
      <c r="AZ116" s="182" t="e">
        <f t="shared" si="101"/>
        <v>#N/A</v>
      </c>
      <c r="BA116" s="455"/>
    </row>
    <row r="117" spans="2:53">
      <c r="B117" s="454"/>
      <c r="C117" s="182">
        <v>11</v>
      </c>
      <c r="D117" s="203"/>
      <c r="E117" s="166"/>
      <c r="F117" s="182"/>
      <c r="G117" s="180"/>
      <c r="H117" s="464"/>
      <c r="I117" s="166" t="str">
        <f t="shared" si="91"/>
        <v>-</v>
      </c>
      <c r="J117" s="166" t="str">
        <f t="shared" si="92"/>
        <v>-</v>
      </c>
      <c r="K117" s="180" t="str">
        <f t="shared" si="93"/>
        <v>-</v>
      </c>
      <c r="L117" s="464"/>
      <c r="M117" s="181" t="e">
        <f>RANK(K117, K$87:$K$101)</f>
        <v>#VALUE!</v>
      </c>
      <c r="N117" s="461"/>
      <c r="O117" s="461"/>
      <c r="P117" s="182"/>
      <c r="Q117" s="182"/>
      <c r="R117" s="182"/>
      <c r="S117" s="182" t="e">
        <f t="shared" si="94"/>
        <v>#N/A</v>
      </c>
      <c r="T117" s="455"/>
      <c r="U117" s="182"/>
      <c r="V117" s="182"/>
      <c r="W117" s="182"/>
      <c r="X117" s="182" t="e">
        <f t="shared" si="95"/>
        <v>#N/A</v>
      </c>
      <c r="Y117" s="455"/>
      <c r="Z117" s="182"/>
      <c r="AA117" s="182"/>
      <c r="AB117" s="182"/>
      <c r="AC117" s="182" t="e">
        <f t="shared" si="96"/>
        <v>#N/A</v>
      </c>
      <c r="AD117" s="455"/>
      <c r="AE117" s="182"/>
      <c r="AF117" s="182"/>
      <c r="AG117" s="182"/>
      <c r="AH117" s="182" t="e">
        <f t="shared" si="97"/>
        <v>#N/A</v>
      </c>
      <c r="AI117" s="455"/>
      <c r="AJ117" s="182"/>
      <c r="AK117" s="182"/>
      <c r="AL117" s="182"/>
      <c r="AM117" s="182" t="e">
        <f t="shared" si="98"/>
        <v>#N/A</v>
      </c>
      <c r="AN117" s="455"/>
      <c r="AO117" s="182"/>
      <c r="AP117" s="182"/>
      <c r="AQ117" s="182"/>
      <c r="AR117" s="182" t="e">
        <f t="shared" si="99"/>
        <v>#N/A</v>
      </c>
      <c r="AS117" s="455"/>
      <c r="AT117" s="182"/>
      <c r="AU117" s="182"/>
      <c r="AV117" s="182"/>
      <c r="AW117" s="182" t="e">
        <f t="shared" si="100"/>
        <v>#N/A</v>
      </c>
      <c r="AX117" s="455"/>
      <c r="AZ117" s="182" t="e">
        <f t="shared" si="101"/>
        <v>#N/A</v>
      </c>
      <c r="BA117" s="455"/>
    </row>
    <row r="118" spans="2:53">
      <c r="B118" s="454"/>
      <c r="C118" s="182">
        <v>12</v>
      </c>
      <c r="D118" s="203"/>
      <c r="E118" s="166"/>
      <c r="F118" s="182"/>
      <c r="G118" s="180"/>
      <c r="H118" s="464"/>
      <c r="I118" s="166" t="str">
        <f t="shared" si="91"/>
        <v>-</v>
      </c>
      <c r="J118" s="166" t="str">
        <f t="shared" si="92"/>
        <v>-</v>
      </c>
      <c r="K118" s="180" t="str">
        <f t="shared" si="93"/>
        <v>-</v>
      </c>
      <c r="L118" s="464"/>
      <c r="M118" s="181" t="e">
        <f>RANK(K118, K$87:$K$101)</f>
        <v>#VALUE!</v>
      </c>
      <c r="N118" s="461"/>
      <c r="O118" s="461"/>
      <c r="P118" s="182"/>
      <c r="Q118" s="182"/>
      <c r="R118" s="182"/>
      <c r="S118" s="182" t="e">
        <f t="shared" si="94"/>
        <v>#N/A</v>
      </c>
      <c r="T118" s="455"/>
      <c r="U118" s="182"/>
      <c r="V118" s="182"/>
      <c r="W118" s="182"/>
      <c r="X118" s="182" t="e">
        <f t="shared" si="95"/>
        <v>#N/A</v>
      </c>
      <c r="Y118" s="455"/>
      <c r="Z118" s="182"/>
      <c r="AA118" s="182"/>
      <c r="AB118" s="182"/>
      <c r="AC118" s="182" t="e">
        <f t="shared" si="96"/>
        <v>#N/A</v>
      </c>
      <c r="AD118" s="455"/>
      <c r="AE118" s="182"/>
      <c r="AF118" s="182"/>
      <c r="AG118" s="182"/>
      <c r="AH118" s="182" t="e">
        <f t="shared" si="97"/>
        <v>#N/A</v>
      </c>
      <c r="AI118" s="455"/>
      <c r="AJ118" s="182"/>
      <c r="AK118" s="182"/>
      <c r="AL118" s="182"/>
      <c r="AM118" s="182" t="e">
        <f t="shared" si="98"/>
        <v>#N/A</v>
      </c>
      <c r="AN118" s="455"/>
      <c r="AO118" s="182"/>
      <c r="AP118" s="182"/>
      <c r="AQ118" s="182"/>
      <c r="AR118" s="182" t="e">
        <f t="shared" si="99"/>
        <v>#N/A</v>
      </c>
      <c r="AS118" s="455"/>
      <c r="AT118" s="182"/>
      <c r="AU118" s="182"/>
      <c r="AV118" s="182"/>
      <c r="AW118" s="182" t="e">
        <f t="shared" si="100"/>
        <v>#N/A</v>
      </c>
      <c r="AX118" s="455"/>
      <c r="AZ118" s="182" t="e">
        <f t="shared" si="101"/>
        <v>#N/A</v>
      </c>
      <c r="BA118" s="455"/>
    </row>
    <row r="119" spans="2:53">
      <c r="B119" s="454"/>
      <c r="C119" s="182">
        <v>13</v>
      </c>
      <c r="D119" s="203"/>
      <c r="E119" s="166"/>
      <c r="F119" s="182"/>
      <c r="G119" s="180"/>
      <c r="H119" s="464"/>
      <c r="I119" s="166" t="str">
        <f t="shared" si="91"/>
        <v>-</v>
      </c>
      <c r="J119" s="166" t="str">
        <f t="shared" si="92"/>
        <v>-</v>
      </c>
      <c r="K119" s="180" t="str">
        <f t="shared" si="93"/>
        <v>-</v>
      </c>
      <c r="L119" s="464"/>
      <c r="M119" s="181" t="e">
        <f>RANK(K119, K$87:$K$101)</f>
        <v>#VALUE!</v>
      </c>
      <c r="N119" s="461"/>
      <c r="O119" s="461"/>
      <c r="P119" s="182"/>
      <c r="Q119" s="182"/>
      <c r="R119" s="182"/>
      <c r="S119" s="182" t="e">
        <f t="shared" si="94"/>
        <v>#N/A</v>
      </c>
      <c r="T119" s="455"/>
      <c r="U119" s="182"/>
      <c r="V119" s="182"/>
      <c r="W119" s="182"/>
      <c r="X119" s="182" t="e">
        <f t="shared" si="95"/>
        <v>#N/A</v>
      </c>
      <c r="Y119" s="455"/>
      <c r="Z119" s="182"/>
      <c r="AA119" s="182"/>
      <c r="AB119" s="182"/>
      <c r="AC119" s="182" t="e">
        <f t="shared" si="96"/>
        <v>#N/A</v>
      </c>
      <c r="AD119" s="455"/>
      <c r="AE119" s="182"/>
      <c r="AF119" s="182"/>
      <c r="AG119" s="182"/>
      <c r="AH119" s="182" t="e">
        <f t="shared" si="97"/>
        <v>#N/A</v>
      </c>
      <c r="AI119" s="455"/>
      <c r="AJ119" s="182"/>
      <c r="AK119" s="182"/>
      <c r="AL119" s="182"/>
      <c r="AM119" s="182" t="e">
        <f t="shared" si="98"/>
        <v>#N/A</v>
      </c>
      <c r="AN119" s="455"/>
      <c r="AO119" s="182"/>
      <c r="AP119" s="182"/>
      <c r="AQ119" s="182"/>
      <c r="AR119" s="182" t="e">
        <f t="shared" si="99"/>
        <v>#N/A</v>
      </c>
      <c r="AS119" s="455"/>
      <c r="AT119" s="182"/>
      <c r="AU119" s="182"/>
      <c r="AV119" s="182"/>
      <c r="AW119" s="182" t="e">
        <f t="shared" si="100"/>
        <v>#N/A</v>
      </c>
      <c r="AX119" s="455"/>
      <c r="AZ119" s="182" t="e">
        <f t="shared" si="101"/>
        <v>#N/A</v>
      </c>
      <c r="BA119" s="455"/>
    </row>
    <row r="120" spans="2:53">
      <c r="B120" s="454"/>
      <c r="C120" s="182">
        <v>14</v>
      </c>
      <c r="D120" s="203"/>
      <c r="E120" s="166"/>
      <c r="F120" s="182"/>
      <c r="G120" s="180"/>
      <c r="H120" s="464"/>
      <c r="I120" s="166" t="str">
        <f t="shared" si="91"/>
        <v>-</v>
      </c>
      <c r="J120" s="166" t="str">
        <f t="shared" si="92"/>
        <v>-</v>
      </c>
      <c r="K120" s="180" t="str">
        <f t="shared" si="93"/>
        <v>-</v>
      </c>
      <c r="L120" s="464"/>
      <c r="M120" s="181" t="e">
        <f>RANK(K120, K$87:$K$101)</f>
        <v>#VALUE!</v>
      </c>
      <c r="N120" s="461"/>
      <c r="O120" s="461"/>
      <c r="P120" s="182"/>
      <c r="Q120" s="182"/>
      <c r="R120" s="182"/>
      <c r="S120" s="182" t="e">
        <f t="shared" si="94"/>
        <v>#N/A</v>
      </c>
      <c r="T120" s="455"/>
      <c r="U120" s="182"/>
      <c r="V120" s="182"/>
      <c r="W120" s="182"/>
      <c r="X120" s="182" t="e">
        <f t="shared" si="95"/>
        <v>#N/A</v>
      </c>
      <c r="Y120" s="455"/>
      <c r="Z120" s="182"/>
      <c r="AA120" s="182"/>
      <c r="AB120" s="182"/>
      <c r="AC120" s="182" t="e">
        <f t="shared" si="96"/>
        <v>#N/A</v>
      </c>
      <c r="AD120" s="455"/>
      <c r="AE120" s="182"/>
      <c r="AF120" s="182"/>
      <c r="AG120" s="182"/>
      <c r="AH120" s="182" t="e">
        <f t="shared" si="97"/>
        <v>#N/A</v>
      </c>
      <c r="AI120" s="455"/>
      <c r="AJ120" s="182"/>
      <c r="AK120" s="182"/>
      <c r="AL120" s="182"/>
      <c r="AM120" s="182" t="e">
        <f t="shared" si="98"/>
        <v>#N/A</v>
      </c>
      <c r="AN120" s="455"/>
      <c r="AO120" s="182"/>
      <c r="AP120" s="182"/>
      <c r="AQ120" s="182"/>
      <c r="AR120" s="182" t="e">
        <f t="shared" si="99"/>
        <v>#N/A</v>
      </c>
      <c r="AS120" s="455"/>
      <c r="AT120" s="182"/>
      <c r="AU120" s="182"/>
      <c r="AV120" s="182"/>
      <c r="AW120" s="182" t="e">
        <f t="shared" si="100"/>
        <v>#N/A</v>
      </c>
      <c r="AX120" s="455"/>
      <c r="AZ120" s="182" t="e">
        <f t="shared" si="101"/>
        <v>#N/A</v>
      </c>
      <c r="BA120" s="455"/>
    </row>
    <row r="121" spans="2:53">
      <c r="B121" s="454"/>
      <c r="C121" s="182">
        <v>15</v>
      </c>
      <c r="D121" s="203"/>
      <c r="E121" s="166"/>
      <c r="F121" s="182"/>
      <c r="G121" s="180"/>
      <c r="H121" s="465"/>
      <c r="I121" s="182"/>
      <c r="J121" s="182"/>
      <c r="K121" s="182"/>
      <c r="L121" s="465"/>
      <c r="M121" s="166" t="e">
        <f>RANK(K121, K$87:$K$101)</f>
        <v>#N/A</v>
      </c>
      <c r="N121" s="461"/>
      <c r="O121" s="461"/>
      <c r="P121" s="182"/>
      <c r="Q121" s="182"/>
      <c r="R121" s="182"/>
      <c r="S121" s="182" t="e">
        <f t="shared" si="94"/>
        <v>#N/A</v>
      </c>
      <c r="T121" s="455"/>
      <c r="U121" s="182"/>
      <c r="V121" s="182"/>
      <c r="W121" s="182"/>
      <c r="X121" s="182" t="e">
        <f t="shared" si="95"/>
        <v>#N/A</v>
      </c>
      <c r="Y121" s="455"/>
      <c r="Z121" s="182"/>
      <c r="AA121" s="182"/>
      <c r="AB121" s="182"/>
      <c r="AC121" s="182" t="e">
        <f t="shared" si="96"/>
        <v>#N/A</v>
      </c>
      <c r="AD121" s="455"/>
      <c r="AE121" s="182"/>
      <c r="AF121" s="182"/>
      <c r="AG121" s="182"/>
      <c r="AH121" s="182" t="e">
        <f t="shared" si="97"/>
        <v>#N/A</v>
      </c>
      <c r="AI121" s="455"/>
      <c r="AJ121" s="182"/>
      <c r="AK121" s="182"/>
      <c r="AL121" s="182"/>
      <c r="AM121" s="182" t="e">
        <f t="shared" si="98"/>
        <v>#N/A</v>
      </c>
      <c r="AN121" s="455"/>
      <c r="AO121" s="182"/>
      <c r="AP121" s="182"/>
      <c r="AQ121" s="182"/>
      <c r="AR121" s="182" t="e">
        <f t="shared" si="99"/>
        <v>#N/A</v>
      </c>
      <c r="AS121" s="455"/>
      <c r="AT121" s="182"/>
      <c r="AU121" s="182"/>
      <c r="AV121" s="182"/>
      <c r="AW121" s="182" t="e">
        <f t="shared" si="100"/>
        <v>#N/A</v>
      </c>
      <c r="AX121" s="455"/>
      <c r="AZ121" s="182" t="e">
        <f t="shared" si="101"/>
        <v>#N/A</v>
      </c>
      <c r="BA121" s="455"/>
    </row>
    <row r="123" spans="2:53" ht="15.5">
      <c r="B123" s="458" t="s">
        <v>561</v>
      </c>
      <c r="C123" s="459"/>
      <c r="D123" s="459"/>
      <c r="E123" s="459"/>
      <c r="F123" s="459"/>
      <c r="G123" s="459"/>
      <c r="H123" s="459"/>
      <c r="I123" s="285"/>
      <c r="J123" s="285"/>
      <c r="K123" s="285"/>
      <c r="L123" s="285"/>
      <c r="M123" s="286"/>
    </row>
    <row r="124" spans="2:53" ht="15.5">
      <c r="B124" s="460"/>
      <c r="C124" s="460"/>
      <c r="D124" s="460"/>
      <c r="E124" s="460"/>
      <c r="F124" s="460"/>
      <c r="G124" s="460"/>
      <c r="H124" s="460"/>
      <c r="I124" s="287"/>
      <c r="J124" s="287"/>
      <c r="K124" s="287"/>
      <c r="L124" s="287"/>
      <c r="M124" s="288"/>
    </row>
    <row r="125" spans="2:53">
      <c r="B125" s="461" t="s">
        <v>562</v>
      </c>
      <c r="C125" s="461" t="s">
        <v>563</v>
      </c>
      <c r="D125" s="461"/>
      <c r="E125" s="461" t="s">
        <v>564</v>
      </c>
      <c r="F125" s="461"/>
      <c r="G125" s="461"/>
      <c r="H125" s="482" t="s">
        <v>565</v>
      </c>
      <c r="I125" s="462" t="s">
        <v>566</v>
      </c>
      <c r="J125" s="462"/>
      <c r="K125" s="462"/>
      <c r="L125" s="505" t="s">
        <v>565</v>
      </c>
      <c r="M125" s="508" t="s">
        <v>567</v>
      </c>
    </row>
    <row r="126" spans="2:53">
      <c r="B126" s="461"/>
      <c r="C126" s="461"/>
      <c r="D126" s="461"/>
      <c r="E126" s="461" t="s">
        <v>568</v>
      </c>
      <c r="F126" s="461"/>
      <c r="G126" s="461"/>
      <c r="H126" s="483"/>
      <c r="I126" s="462" t="s">
        <v>568</v>
      </c>
      <c r="J126" s="462"/>
      <c r="K126" s="462"/>
      <c r="L126" s="506"/>
      <c r="M126" s="509"/>
    </row>
    <row r="127" spans="2:53">
      <c r="B127" s="461"/>
      <c r="C127" s="461"/>
      <c r="D127" s="461"/>
      <c r="E127" s="269" t="s">
        <v>569</v>
      </c>
      <c r="F127" s="269" t="s">
        <v>570</v>
      </c>
      <c r="G127" s="269" t="s">
        <v>571</v>
      </c>
      <c r="H127" s="484"/>
      <c r="I127" s="289" t="s">
        <v>569</v>
      </c>
      <c r="J127" s="289" t="s">
        <v>570</v>
      </c>
      <c r="K127" s="289" t="s">
        <v>571</v>
      </c>
      <c r="L127" s="507"/>
      <c r="M127" s="510"/>
    </row>
    <row r="128" spans="2:53">
      <c r="B128" s="461" t="s">
        <v>575</v>
      </c>
      <c r="C128" s="182">
        <v>1</v>
      </c>
      <c r="D128" s="203"/>
      <c r="E128" s="166"/>
      <c r="F128" s="182"/>
      <c r="G128" s="180"/>
      <c r="H128" s="463" t="e">
        <f>AVERAGE(G128:G142)</f>
        <v>#DIV/0!</v>
      </c>
      <c r="I128" s="166" t="e">
        <f t="shared" ref="I128:J128" si="102">AVERAGEIF($D$7:$D$121,$D128,I$7:I$121)</f>
        <v>#DIV/0!</v>
      </c>
      <c r="J128" s="166" t="e">
        <f t="shared" si="102"/>
        <v>#DIV/0!</v>
      </c>
      <c r="K128" s="166" t="e">
        <f>AVERAGEIF($D$7:$D$121,$D128,K$7:K$121)</f>
        <v>#DIV/0!</v>
      </c>
      <c r="L128" s="502" t="e">
        <f>AVERAGE(K128:K142)</f>
        <v>#DIV/0!</v>
      </c>
      <c r="M128" s="166" t="e">
        <f>RANK(K128, K$128:$K$142)</f>
        <v>#DIV/0!</v>
      </c>
    </row>
    <row r="129" spans="2:39">
      <c r="B129" s="454"/>
      <c r="C129" s="182">
        <v>2</v>
      </c>
      <c r="D129" s="203"/>
      <c r="E129" s="166"/>
      <c r="F129" s="182"/>
      <c r="G129" s="180"/>
      <c r="H129" s="464"/>
      <c r="I129" s="166"/>
      <c r="J129" s="166"/>
      <c r="K129" s="166"/>
      <c r="L129" s="503"/>
      <c r="M129" s="166" t="e">
        <f>RANK(K129, K$128:$K$142)</f>
        <v>#DIV/0!</v>
      </c>
      <c r="N129" s="103"/>
      <c r="O129" s="103"/>
      <c r="P129" s="103"/>
      <c r="Q129" s="103"/>
      <c r="R129" s="103"/>
      <c r="S129" s="103"/>
      <c r="T129" s="103"/>
      <c r="X129" s="103"/>
      <c r="AC129" s="103"/>
      <c r="AH129" s="103"/>
      <c r="AM129" s="103"/>
    </row>
    <row r="130" spans="2:39">
      <c r="B130" s="454"/>
      <c r="C130" s="182">
        <v>3</v>
      </c>
      <c r="D130" s="203"/>
      <c r="E130" s="166"/>
      <c r="F130" s="182"/>
      <c r="G130" s="180"/>
      <c r="H130" s="464"/>
      <c r="I130" s="166"/>
      <c r="J130" s="166"/>
      <c r="K130" s="166"/>
      <c r="L130" s="503"/>
      <c r="M130" s="166" t="e">
        <f>RANK(K130, K$128:$K$142)</f>
        <v>#DIV/0!</v>
      </c>
      <c r="N130" s="103"/>
      <c r="O130" s="103"/>
      <c r="P130" s="103"/>
      <c r="Q130" s="103"/>
      <c r="R130" s="103"/>
      <c r="S130" s="103"/>
      <c r="T130" s="103"/>
      <c r="X130" s="103"/>
      <c r="AC130" s="103"/>
      <c r="AH130" s="103"/>
      <c r="AM130" s="103"/>
    </row>
    <row r="131" spans="2:39">
      <c r="B131" s="454"/>
      <c r="C131" s="182">
        <v>4</v>
      </c>
      <c r="D131" s="203"/>
      <c r="E131" s="166"/>
      <c r="F131" s="182"/>
      <c r="G131" s="180"/>
      <c r="H131" s="464"/>
      <c r="I131" s="166"/>
      <c r="J131" s="166"/>
      <c r="K131" s="166"/>
      <c r="L131" s="503"/>
      <c r="M131" s="166" t="e">
        <f>RANK(K131, K$128:$K$142)</f>
        <v>#DIV/0!</v>
      </c>
      <c r="N131" s="103"/>
      <c r="O131" s="103"/>
      <c r="P131" s="103"/>
      <c r="Q131" s="103"/>
      <c r="R131" s="103"/>
      <c r="S131" s="103"/>
      <c r="T131" s="103"/>
      <c r="X131" s="103"/>
      <c r="AC131" s="103"/>
      <c r="AH131" s="103"/>
      <c r="AM131" s="103"/>
    </row>
    <row r="132" spans="2:39">
      <c r="B132" s="454"/>
      <c r="C132" s="182">
        <v>5</v>
      </c>
      <c r="D132" s="203"/>
      <c r="E132" s="166"/>
      <c r="F132" s="182"/>
      <c r="G132" s="180"/>
      <c r="H132" s="464"/>
      <c r="I132" s="166"/>
      <c r="J132" s="166"/>
      <c r="K132" s="166"/>
      <c r="L132" s="503"/>
      <c r="M132" s="166" t="e">
        <f>RANK(K132, K$128:$K$142)</f>
        <v>#DIV/0!</v>
      </c>
      <c r="N132" s="103"/>
      <c r="O132" s="103"/>
      <c r="P132" s="103"/>
      <c r="Q132" s="103"/>
      <c r="R132" s="103"/>
      <c r="S132" s="103"/>
      <c r="T132" s="103"/>
      <c r="X132" s="103"/>
      <c r="AC132" s="103"/>
      <c r="AH132" s="103"/>
      <c r="AM132" s="103"/>
    </row>
    <row r="133" spans="2:39">
      <c r="B133" s="454"/>
      <c r="C133" s="182">
        <v>6</v>
      </c>
      <c r="D133" s="290"/>
      <c r="E133" s="166"/>
      <c r="F133" s="182"/>
      <c r="G133" s="180"/>
      <c r="H133" s="464"/>
      <c r="I133" s="166"/>
      <c r="J133" s="166"/>
      <c r="K133" s="166"/>
      <c r="L133" s="503"/>
      <c r="M133" s="166" t="e">
        <f>RANK(K133, K$128:$K$142)</f>
        <v>#DIV/0!</v>
      </c>
      <c r="N133" s="103"/>
      <c r="O133" s="103"/>
      <c r="P133" s="103"/>
      <c r="Q133" s="103"/>
      <c r="R133" s="103"/>
      <c r="S133" s="103"/>
      <c r="T133" s="103"/>
      <c r="X133" s="103"/>
      <c r="AC133" s="103"/>
      <c r="AH133" s="103"/>
      <c r="AM133" s="103"/>
    </row>
    <row r="134" spans="2:39">
      <c r="B134" s="454"/>
      <c r="C134" s="182">
        <v>7</v>
      </c>
      <c r="D134" s="203"/>
      <c r="E134" s="166"/>
      <c r="F134" s="182"/>
      <c r="G134" s="180"/>
      <c r="H134" s="464"/>
      <c r="I134" s="166"/>
      <c r="J134" s="166"/>
      <c r="K134" s="166"/>
      <c r="L134" s="503"/>
      <c r="M134" s="166" t="e">
        <f>RANK(K134, K$128:$K$142)</f>
        <v>#DIV/0!</v>
      </c>
      <c r="N134" s="103"/>
      <c r="O134" s="103"/>
      <c r="P134" s="103"/>
      <c r="Q134" s="103"/>
      <c r="R134" s="103"/>
      <c r="S134" s="103"/>
      <c r="T134" s="103"/>
      <c r="X134" s="103"/>
      <c r="AC134" s="103"/>
      <c r="AH134" s="103"/>
      <c r="AM134" s="103"/>
    </row>
    <row r="135" spans="2:39">
      <c r="B135" s="454"/>
      <c r="C135" s="182">
        <v>8</v>
      </c>
      <c r="D135" s="203"/>
      <c r="E135" s="166"/>
      <c r="F135" s="182"/>
      <c r="G135" s="180"/>
      <c r="H135" s="464"/>
      <c r="I135" s="166"/>
      <c r="J135" s="166"/>
      <c r="K135" s="166"/>
      <c r="L135" s="503"/>
      <c r="M135" s="166" t="e">
        <f>RANK(K135, K$128:$K$142)</f>
        <v>#DIV/0!</v>
      </c>
      <c r="N135" s="103"/>
      <c r="O135" s="103"/>
      <c r="P135" s="103"/>
      <c r="Q135" s="103"/>
      <c r="R135" s="103"/>
      <c r="S135" s="103"/>
      <c r="T135" s="103"/>
      <c r="X135" s="103"/>
      <c r="AC135" s="103"/>
      <c r="AH135" s="103"/>
      <c r="AM135" s="103"/>
    </row>
    <row r="136" spans="2:39">
      <c r="B136" s="454"/>
      <c r="C136" s="182">
        <v>9</v>
      </c>
      <c r="D136" s="203"/>
      <c r="E136" s="182"/>
      <c r="F136" s="182"/>
      <c r="G136" s="182"/>
      <c r="H136" s="464"/>
      <c r="I136" s="166"/>
      <c r="J136" s="166"/>
      <c r="K136" s="166"/>
      <c r="L136" s="503"/>
      <c r="M136" s="166" t="e">
        <f>RANK(K136, K$128:$K$142)</f>
        <v>#DIV/0!</v>
      </c>
      <c r="N136" s="103"/>
      <c r="O136" s="103"/>
      <c r="P136" s="103"/>
      <c r="Q136" s="103"/>
      <c r="R136" s="103"/>
      <c r="S136" s="103"/>
      <c r="T136" s="103"/>
      <c r="X136" s="103"/>
      <c r="AC136" s="103"/>
      <c r="AH136" s="103"/>
      <c r="AM136" s="103"/>
    </row>
    <row r="137" spans="2:39">
      <c r="B137" s="454"/>
      <c r="C137" s="182">
        <v>10</v>
      </c>
      <c r="D137" s="203"/>
      <c r="E137" s="182"/>
      <c r="F137" s="182"/>
      <c r="G137" s="182"/>
      <c r="H137" s="464"/>
      <c r="I137" s="166"/>
      <c r="J137" s="166"/>
      <c r="K137" s="166"/>
      <c r="L137" s="503"/>
      <c r="M137" s="166" t="e">
        <f>RANK(K137, K$128:$K$142)</f>
        <v>#DIV/0!</v>
      </c>
      <c r="N137" s="103"/>
      <c r="O137" s="103"/>
      <c r="P137" s="103"/>
      <c r="Q137" s="103"/>
      <c r="R137" s="103"/>
      <c r="S137" s="103"/>
      <c r="T137" s="103"/>
      <c r="X137" s="103"/>
      <c r="AC137" s="103"/>
      <c r="AH137" s="103"/>
      <c r="AM137" s="103"/>
    </row>
    <row r="138" spans="2:39">
      <c r="B138" s="454"/>
      <c r="C138" s="182">
        <v>11</v>
      </c>
      <c r="D138" s="203"/>
      <c r="E138" s="182"/>
      <c r="F138" s="182"/>
      <c r="G138" s="182"/>
      <c r="H138" s="464"/>
      <c r="I138" s="166"/>
      <c r="J138" s="166"/>
      <c r="K138" s="166"/>
      <c r="L138" s="503"/>
      <c r="M138" s="166" t="e">
        <f>RANK(K138, K$128:$K$142)</f>
        <v>#DIV/0!</v>
      </c>
      <c r="N138" s="103"/>
      <c r="O138" s="103"/>
      <c r="P138" s="103"/>
      <c r="Q138" s="103"/>
      <c r="R138" s="103"/>
      <c r="S138" s="103"/>
      <c r="T138" s="103"/>
      <c r="X138" s="103"/>
      <c r="AC138" s="103"/>
      <c r="AH138" s="103"/>
      <c r="AM138" s="103"/>
    </row>
    <row r="139" spans="2:39">
      <c r="B139" s="454"/>
      <c r="C139" s="182">
        <v>12</v>
      </c>
      <c r="D139" s="203"/>
      <c r="E139" s="182"/>
      <c r="F139" s="182"/>
      <c r="G139" s="182"/>
      <c r="H139" s="464"/>
      <c r="I139" s="166"/>
      <c r="J139" s="166"/>
      <c r="K139" s="166"/>
      <c r="L139" s="503"/>
      <c r="M139" s="166" t="e">
        <f>RANK(K139, K$128:$K$142)</f>
        <v>#DIV/0!</v>
      </c>
      <c r="N139" s="103"/>
      <c r="O139" s="103"/>
      <c r="P139" s="103"/>
      <c r="Q139" s="103"/>
      <c r="R139" s="103"/>
      <c r="S139" s="103"/>
      <c r="T139" s="103"/>
      <c r="X139" s="103"/>
      <c r="AC139" s="103"/>
      <c r="AH139" s="103"/>
      <c r="AM139" s="103"/>
    </row>
    <row r="140" spans="2:39">
      <c r="B140" s="454"/>
      <c r="C140" s="182">
        <v>13</v>
      </c>
      <c r="D140" s="203"/>
      <c r="E140" s="182"/>
      <c r="F140" s="182"/>
      <c r="G140" s="182"/>
      <c r="H140" s="464"/>
      <c r="I140" s="166"/>
      <c r="J140" s="166"/>
      <c r="K140" s="166"/>
      <c r="L140" s="503"/>
      <c r="M140" s="166" t="e">
        <f>RANK(K140, K$128:$K$142)</f>
        <v>#DIV/0!</v>
      </c>
      <c r="N140" s="103"/>
      <c r="O140" s="103"/>
      <c r="P140" s="103"/>
      <c r="Q140" s="103"/>
      <c r="R140" s="103"/>
      <c r="S140" s="103"/>
      <c r="T140" s="103"/>
      <c r="X140" s="103"/>
      <c r="AC140" s="103"/>
      <c r="AH140" s="103"/>
      <c r="AM140" s="103"/>
    </row>
    <row r="141" spans="2:39">
      <c r="B141" s="454"/>
      <c r="C141" s="182">
        <v>14</v>
      </c>
      <c r="D141" s="203"/>
      <c r="E141" s="182"/>
      <c r="F141" s="182"/>
      <c r="G141" s="182"/>
      <c r="H141" s="464"/>
      <c r="I141" s="166"/>
      <c r="J141" s="166"/>
      <c r="K141" s="166"/>
      <c r="L141" s="503"/>
      <c r="M141" s="166" t="e">
        <f>RANK(K141, K$128:$K$142)</f>
        <v>#DIV/0!</v>
      </c>
      <c r="N141" s="103"/>
      <c r="O141" s="103"/>
      <c r="P141" s="103"/>
      <c r="Q141" s="103"/>
      <c r="R141" s="103"/>
      <c r="S141" s="103"/>
      <c r="T141" s="103"/>
      <c r="X141" s="103"/>
      <c r="AC141" s="103"/>
      <c r="AH141" s="103"/>
      <c r="AM141" s="103"/>
    </row>
    <row r="142" spans="2:39">
      <c r="B142" s="454"/>
      <c r="C142" s="182">
        <v>15</v>
      </c>
      <c r="D142" s="203"/>
      <c r="E142" s="182"/>
      <c r="F142" s="182"/>
      <c r="G142" s="182"/>
      <c r="H142" s="465"/>
      <c r="I142" s="166"/>
      <c r="J142" s="166"/>
      <c r="K142" s="166"/>
      <c r="L142" s="504"/>
      <c r="M142" s="166" t="e">
        <f>RANK(K142, K$128:$K$142)</f>
        <v>#DIV/0!</v>
      </c>
      <c r="N142" s="103"/>
      <c r="O142" s="103"/>
      <c r="P142" s="103"/>
      <c r="Q142" s="103"/>
      <c r="R142" s="103"/>
      <c r="S142" s="103"/>
      <c r="T142" s="103"/>
      <c r="X142" s="103"/>
      <c r="AC142" s="103"/>
      <c r="AH142" s="103"/>
      <c r="AM142" s="103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BA247"/>
  <sheetViews>
    <sheetView topLeftCell="A13" zoomScale="115" zoomScaleNormal="115" workbookViewId="0">
      <pane xSplit="15" topLeftCell="P1" activePane="topRight" state="frozen"/>
      <selection activeCell="K7" sqref="I7:K36"/>
      <selection pane="topRight" activeCell="D8" sqref="D8"/>
    </sheetView>
  </sheetViews>
  <sheetFormatPr defaultColWidth="8.81640625" defaultRowHeight="12.5"/>
  <cols>
    <col min="1" max="1" width="5.54296875" style="103" customWidth="1"/>
    <col min="2" max="2" width="12.453125" style="103" customWidth="1"/>
    <col min="3" max="3" width="8.81640625" style="102"/>
    <col min="4" max="4" width="26.453125" style="102" customWidth="1"/>
    <col min="5" max="7" width="8.453125" style="102" customWidth="1"/>
    <col min="8" max="8" width="11.1796875" style="102" bestFit="1" customWidth="1"/>
    <col min="9" max="12" width="11.1796875" style="102" customWidth="1"/>
    <col min="13" max="13" width="13.54296875" style="102" customWidth="1"/>
    <col min="14" max="14" width="9.81640625" style="102" customWidth="1"/>
    <col min="15" max="15" width="7.1796875" style="102" customWidth="1"/>
    <col min="16" max="18" width="12.81640625" style="102" customWidth="1"/>
    <col min="19" max="19" width="5.453125" style="102" customWidth="1"/>
    <col min="20" max="20" width="12.81640625" style="102" customWidth="1"/>
    <col min="21" max="23" width="12.81640625" style="103" customWidth="1"/>
    <col min="24" max="24" width="5.453125" style="102" customWidth="1"/>
    <col min="25" max="28" width="12.81640625" style="103" customWidth="1"/>
    <col min="29" max="29" width="5.453125" style="102" customWidth="1"/>
    <col min="30" max="30" width="12.81640625" style="103" customWidth="1"/>
    <col min="31" max="33" width="12.54296875" style="103" customWidth="1"/>
    <col min="34" max="34" width="5.453125" style="102" customWidth="1"/>
    <col min="35" max="35" width="13" style="103" customWidth="1"/>
    <col min="36" max="38" width="12.54296875" style="103" customWidth="1"/>
    <col min="39" max="39" width="5.453125" style="102" customWidth="1"/>
    <col min="40" max="40" width="13" style="103" customWidth="1"/>
    <col min="41" max="43" width="13.1796875" style="103" customWidth="1"/>
    <col min="44" max="44" width="5.453125" style="103" customWidth="1"/>
    <col min="45" max="48" width="13.1796875" style="103" customWidth="1"/>
    <col min="49" max="49" width="5.453125" style="103" customWidth="1"/>
    <col min="50" max="50" width="13.1796875" style="103" customWidth="1"/>
    <col min="51" max="51" width="8.81640625" style="103"/>
    <col min="52" max="52" width="5.453125" style="103" customWidth="1"/>
    <col min="53" max="53" width="13.1796875" style="103" customWidth="1"/>
    <col min="54" max="16384" width="8.81640625" style="103"/>
  </cols>
  <sheetData>
    <row r="1" spans="1:53" ht="24.5">
      <c r="A1" s="74"/>
      <c r="B1" s="198" t="s">
        <v>332</v>
      </c>
      <c r="C1" s="197">
        <f>AVERAGE(L7,L42,L77,L112,L147,L182)</f>
        <v>87.362432734179066</v>
      </c>
    </row>
    <row r="2" spans="1:53" ht="15.5">
      <c r="A2" s="79"/>
      <c r="B2" s="477" t="s">
        <v>163</v>
      </c>
      <c r="C2" s="477"/>
      <c r="D2" s="477"/>
      <c r="E2" s="477"/>
      <c r="F2" s="477"/>
      <c r="G2" s="477"/>
      <c r="H2" s="477"/>
      <c r="I2" s="183"/>
      <c r="J2" s="183"/>
      <c r="K2" s="183"/>
      <c r="L2" s="183"/>
      <c r="M2" s="178"/>
      <c r="N2" s="480" t="s">
        <v>156</v>
      </c>
      <c r="O2" s="480" t="s">
        <v>155</v>
      </c>
      <c r="P2" s="490">
        <v>46112</v>
      </c>
      <c r="Q2" s="491"/>
      <c r="R2" s="491"/>
      <c r="S2" s="491"/>
      <c r="T2" s="492"/>
      <c r="U2" s="476">
        <f>P2+1</f>
        <v>46113</v>
      </c>
      <c r="V2" s="454"/>
      <c r="W2" s="454"/>
      <c r="X2" s="454"/>
      <c r="Y2" s="454"/>
      <c r="Z2" s="476">
        <f>U2+1</f>
        <v>46114</v>
      </c>
      <c r="AA2" s="454"/>
      <c r="AB2" s="454"/>
      <c r="AC2" s="454"/>
      <c r="AD2" s="454"/>
      <c r="AE2" s="476">
        <f>Z2+1</f>
        <v>46115</v>
      </c>
      <c r="AF2" s="454"/>
      <c r="AG2" s="454"/>
      <c r="AH2" s="454"/>
      <c r="AI2" s="454"/>
      <c r="AJ2" s="476">
        <f>AE2+1</f>
        <v>46116</v>
      </c>
      <c r="AK2" s="454"/>
      <c r="AL2" s="454"/>
      <c r="AM2" s="454"/>
      <c r="AN2" s="454"/>
      <c r="AO2" s="476">
        <f>AJ2+1</f>
        <v>46117</v>
      </c>
      <c r="AP2" s="454"/>
      <c r="AQ2" s="454"/>
      <c r="AR2" s="454"/>
      <c r="AS2" s="454"/>
      <c r="AT2" s="473">
        <f>AO2+1</f>
        <v>46118</v>
      </c>
      <c r="AU2" s="474"/>
      <c r="AV2" s="474"/>
      <c r="AW2" s="474"/>
      <c r="AX2" s="475"/>
    </row>
    <row r="3" spans="1:53" ht="15.5">
      <c r="A3" s="79"/>
      <c r="B3" s="486"/>
      <c r="C3" s="486"/>
      <c r="D3" s="486"/>
      <c r="E3" s="486"/>
      <c r="F3" s="486"/>
      <c r="G3" s="486"/>
      <c r="H3" s="486"/>
      <c r="I3" s="184"/>
      <c r="J3" s="184"/>
      <c r="K3" s="184"/>
      <c r="L3" s="184"/>
      <c r="M3" s="179"/>
      <c r="N3" s="481"/>
      <c r="O3" s="481"/>
      <c r="P3" s="473" t="s">
        <v>158</v>
      </c>
      <c r="Q3" s="474"/>
      <c r="R3" s="474"/>
      <c r="S3" s="474"/>
      <c r="T3" s="475"/>
      <c r="U3" s="473" t="s">
        <v>114</v>
      </c>
      <c r="V3" s="474"/>
      <c r="W3" s="474"/>
      <c r="X3" s="474"/>
      <c r="Y3" s="475"/>
      <c r="Z3" s="473" t="s">
        <v>159</v>
      </c>
      <c r="AA3" s="474"/>
      <c r="AB3" s="474"/>
      <c r="AC3" s="474"/>
      <c r="AD3" s="475"/>
      <c r="AE3" s="473" t="s">
        <v>157</v>
      </c>
      <c r="AF3" s="474"/>
      <c r="AG3" s="474"/>
      <c r="AH3" s="474"/>
      <c r="AI3" s="475"/>
      <c r="AJ3" s="473" t="s">
        <v>160</v>
      </c>
      <c r="AK3" s="474"/>
      <c r="AL3" s="474"/>
      <c r="AM3" s="474"/>
      <c r="AN3" s="475"/>
      <c r="AO3" s="473" t="s">
        <v>161</v>
      </c>
      <c r="AP3" s="474"/>
      <c r="AQ3" s="474"/>
      <c r="AR3" s="474"/>
      <c r="AS3" s="475"/>
      <c r="AT3" s="473" t="s">
        <v>162</v>
      </c>
      <c r="AU3" s="474"/>
      <c r="AV3" s="474"/>
      <c r="AW3" s="474"/>
      <c r="AX3" s="475"/>
    </row>
    <row r="4" spans="1:53" ht="13.5">
      <c r="A4" s="79"/>
      <c r="B4" s="461" t="s">
        <v>154</v>
      </c>
      <c r="C4" s="461" t="s">
        <v>409</v>
      </c>
      <c r="D4" s="461"/>
      <c r="E4" s="461" t="s">
        <v>400</v>
      </c>
      <c r="F4" s="461"/>
      <c r="G4" s="461"/>
      <c r="H4" s="482" t="s">
        <v>396</v>
      </c>
      <c r="I4" s="461" t="s">
        <v>401</v>
      </c>
      <c r="J4" s="461"/>
      <c r="K4" s="461"/>
      <c r="L4" s="482" t="s">
        <v>396</v>
      </c>
      <c r="M4" s="480" t="s">
        <v>397</v>
      </c>
      <c r="N4" s="461"/>
      <c r="O4" s="461" t="s">
        <v>402</v>
      </c>
      <c r="P4" s="466" t="s">
        <v>398</v>
      </c>
      <c r="Q4" s="467"/>
      <c r="R4" s="467"/>
      <c r="S4" s="468"/>
      <c r="T4" s="461" t="s">
        <v>396</v>
      </c>
      <c r="U4" s="466" t="s">
        <v>398</v>
      </c>
      <c r="V4" s="467"/>
      <c r="W4" s="467"/>
      <c r="X4" s="468"/>
      <c r="Y4" s="461" t="s">
        <v>396</v>
      </c>
      <c r="Z4" s="466" t="s">
        <v>398</v>
      </c>
      <c r="AA4" s="467"/>
      <c r="AB4" s="467"/>
      <c r="AC4" s="468"/>
      <c r="AD4" s="461" t="s">
        <v>396</v>
      </c>
      <c r="AE4" s="466" t="s">
        <v>398</v>
      </c>
      <c r="AF4" s="467"/>
      <c r="AG4" s="467"/>
      <c r="AH4" s="468"/>
      <c r="AI4" s="461" t="s">
        <v>396</v>
      </c>
      <c r="AJ4" s="466" t="s">
        <v>398</v>
      </c>
      <c r="AK4" s="467"/>
      <c r="AL4" s="467"/>
      <c r="AM4" s="468"/>
      <c r="AN4" s="461" t="s">
        <v>396</v>
      </c>
      <c r="AO4" s="466" t="s">
        <v>398</v>
      </c>
      <c r="AP4" s="467"/>
      <c r="AQ4" s="467"/>
      <c r="AR4" s="468"/>
      <c r="AS4" s="461" t="s">
        <v>396</v>
      </c>
      <c r="AT4" s="466" t="s">
        <v>398</v>
      </c>
      <c r="AU4" s="467"/>
      <c r="AV4" s="467"/>
      <c r="AW4" s="468"/>
      <c r="AX4" s="461" t="s">
        <v>396</v>
      </c>
      <c r="BA4" s="461" t="s">
        <v>396</v>
      </c>
    </row>
    <row r="5" spans="1:53" ht="13.5">
      <c r="A5" s="79"/>
      <c r="B5" s="461"/>
      <c r="C5" s="461"/>
      <c r="D5" s="461"/>
      <c r="E5" s="461" t="s">
        <v>403</v>
      </c>
      <c r="F5" s="461"/>
      <c r="G5" s="461"/>
      <c r="H5" s="483"/>
      <c r="I5" s="461" t="s">
        <v>403</v>
      </c>
      <c r="J5" s="461"/>
      <c r="K5" s="461"/>
      <c r="L5" s="483"/>
      <c r="M5" s="485"/>
      <c r="N5" s="461"/>
      <c r="O5" s="461"/>
      <c r="P5" s="466" t="s">
        <v>404</v>
      </c>
      <c r="Q5" s="467"/>
      <c r="R5" s="467"/>
      <c r="S5" s="468"/>
      <c r="T5" s="461"/>
      <c r="U5" s="466" t="s">
        <v>404</v>
      </c>
      <c r="V5" s="467"/>
      <c r="W5" s="467"/>
      <c r="X5" s="468"/>
      <c r="Y5" s="461"/>
      <c r="Z5" s="466" t="s">
        <v>404</v>
      </c>
      <c r="AA5" s="467"/>
      <c r="AB5" s="467"/>
      <c r="AC5" s="468"/>
      <c r="AD5" s="461"/>
      <c r="AE5" s="466" t="s">
        <v>404</v>
      </c>
      <c r="AF5" s="467"/>
      <c r="AG5" s="467"/>
      <c r="AH5" s="468"/>
      <c r="AI5" s="461"/>
      <c r="AJ5" s="466" t="s">
        <v>404</v>
      </c>
      <c r="AK5" s="467"/>
      <c r="AL5" s="467"/>
      <c r="AM5" s="468"/>
      <c r="AN5" s="461"/>
      <c r="AO5" s="466" t="s">
        <v>404</v>
      </c>
      <c r="AP5" s="467"/>
      <c r="AQ5" s="467"/>
      <c r="AR5" s="468"/>
      <c r="AS5" s="461"/>
      <c r="AT5" s="466" t="s">
        <v>404</v>
      </c>
      <c r="AU5" s="467"/>
      <c r="AV5" s="467"/>
      <c r="AW5" s="468"/>
      <c r="AX5" s="461"/>
      <c r="BA5" s="461"/>
    </row>
    <row r="6" spans="1:53" ht="13.5">
      <c r="A6" s="77"/>
      <c r="B6" s="461"/>
      <c r="C6" s="461"/>
      <c r="D6" s="461"/>
      <c r="E6" s="269" t="s">
        <v>405</v>
      </c>
      <c r="F6" s="269" t="s">
        <v>406</v>
      </c>
      <c r="G6" s="269" t="s">
        <v>407</v>
      </c>
      <c r="H6" s="484"/>
      <c r="I6" s="269" t="s">
        <v>405</v>
      </c>
      <c r="J6" s="269" t="s">
        <v>406</v>
      </c>
      <c r="K6" s="269" t="s">
        <v>407</v>
      </c>
      <c r="L6" s="484"/>
      <c r="M6" s="481"/>
      <c r="N6" s="461"/>
      <c r="O6" s="461"/>
      <c r="P6" s="269" t="s">
        <v>405</v>
      </c>
      <c r="Q6" s="269" t="s">
        <v>406</v>
      </c>
      <c r="R6" s="269" t="s">
        <v>407</v>
      </c>
      <c r="S6" s="269" t="s">
        <v>397</v>
      </c>
      <c r="T6" s="461"/>
      <c r="U6" s="269" t="s">
        <v>405</v>
      </c>
      <c r="V6" s="269" t="s">
        <v>406</v>
      </c>
      <c r="W6" s="269" t="s">
        <v>407</v>
      </c>
      <c r="X6" s="269" t="s">
        <v>397</v>
      </c>
      <c r="Y6" s="461"/>
      <c r="Z6" s="269" t="s">
        <v>405</v>
      </c>
      <c r="AA6" s="269" t="s">
        <v>406</v>
      </c>
      <c r="AB6" s="269" t="s">
        <v>407</v>
      </c>
      <c r="AC6" s="269" t="s">
        <v>397</v>
      </c>
      <c r="AD6" s="461"/>
      <c r="AE6" s="269" t="s">
        <v>405</v>
      </c>
      <c r="AF6" s="269" t="s">
        <v>406</v>
      </c>
      <c r="AG6" s="269" t="s">
        <v>407</v>
      </c>
      <c r="AH6" s="269" t="s">
        <v>397</v>
      </c>
      <c r="AI6" s="461"/>
      <c r="AJ6" s="269" t="s">
        <v>405</v>
      </c>
      <c r="AK6" s="269" t="s">
        <v>406</v>
      </c>
      <c r="AL6" s="269" t="s">
        <v>407</v>
      </c>
      <c r="AM6" s="269" t="s">
        <v>397</v>
      </c>
      <c r="AN6" s="461"/>
      <c r="AO6" s="269" t="s">
        <v>405</v>
      </c>
      <c r="AP6" s="269" t="s">
        <v>406</v>
      </c>
      <c r="AQ6" s="269" t="s">
        <v>407</v>
      </c>
      <c r="AR6" s="269" t="s">
        <v>397</v>
      </c>
      <c r="AS6" s="461"/>
      <c r="AT6" s="269" t="s">
        <v>405</v>
      </c>
      <c r="AU6" s="269" t="s">
        <v>406</v>
      </c>
      <c r="AV6" s="269" t="s">
        <v>407</v>
      </c>
      <c r="AW6" s="269" t="s">
        <v>397</v>
      </c>
      <c r="AX6" s="461"/>
      <c r="AZ6" s="269" t="s">
        <v>397</v>
      </c>
      <c r="BA6" s="461"/>
    </row>
    <row r="7" spans="1:53" ht="13.5">
      <c r="A7" s="79"/>
      <c r="B7" s="461" t="s">
        <v>134</v>
      </c>
      <c r="C7" s="182">
        <v>1</v>
      </c>
      <c r="D7" s="203" t="s">
        <v>367</v>
      </c>
      <c r="E7" s="166">
        <v>6</v>
      </c>
      <c r="F7" s="182">
        <v>1500</v>
      </c>
      <c r="G7" s="180">
        <v>250</v>
      </c>
      <c r="H7" s="463">
        <f>AVERAGE(G7:G36)</f>
        <v>97.962962962962976</v>
      </c>
      <c r="I7" s="166">
        <f>IFERROR(AVERAGE(P7,U7,Z7,AE7,AJ7,AO7,AT7),"-")</f>
        <v>6.1428571428571432</v>
      </c>
      <c r="J7" s="166">
        <f>IFERROR(AVERAGE(Q7,V7,AA7,AF7,AK7,AP7,AU7),"-")</f>
        <v>1457.050921624</v>
      </c>
      <c r="K7" s="180">
        <f>IFERROR(AVERAGE(R7,W7,AB7,AG7,AL7,AQ7,AV7),"-")</f>
        <v>237.80450437343396</v>
      </c>
      <c r="L7" s="463">
        <f>IFERROR(AVERAGE(K7:K36),"-")</f>
        <v>87.362432734179066</v>
      </c>
      <c r="M7" s="181">
        <f>RANK(K7, K$7:$K$36)</f>
        <v>2</v>
      </c>
      <c r="N7" s="461"/>
      <c r="O7" s="461"/>
      <c r="P7" s="182">
        <v>7</v>
      </c>
      <c r="Q7" s="166">
        <v>1480.970873786408</v>
      </c>
      <c r="R7" s="166">
        <v>211.56726768377257</v>
      </c>
      <c r="S7" s="182">
        <f>RANK(R7, R$7:R$36)</f>
        <v>1</v>
      </c>
      <c r="T7" s="455">
        <f>AVERAGE(R7:R36)</f>
        <v>84.754779963634064</v>
      </c>
      <c r="U7" s="182">
        <v>6</v>
      </c>
      <c r="V7" s="166">
        <v>1464.2231707317069</v>
      </c>
      <c r="W7" s="166">
        <v>244.03719512195116</v>
      </c>
      <c r="X7" s="182">
        <f>RANK(W7, W$7:W$36)</f>
        <v>1</v>
      </c>
      <c r="Y7" s="455">
        <f>AVERAGE(W7:W36)</f>
        <v>87.806557601947802</v>
      </c>
      <c r="Z7" s="182">
        <v>6</v>
      </c>
      <c r="AA7" s="166">
        <v>1447.5712500000009</v>
      </c>
      <c r="AB7" s="166">
        <v>241.26187500000015</v>
      </c>
      <c r="AC7" s="182">
        <f>RANK(AB7, AB$7:AB$36)</f>
        <v>2</v>
      </c>
      <c r="AD7" s="455">
        <f>AVERAGE(AB7:AB36)</f>
        <v>87.189976934819853</v>
      </c>
      <c r="AE7" s="182">
        <v>6</v>
      </c>
      <c r="AF7" s="166">
        <v>1446.3529411764712</v>
      </c>
      <c r="AG7" s="166">
        <v>241.05882352941185</v>
      </c>
      <c r="AH7" s="182">
        <f>RANK(AG7, AG$7:AG$36)</f>
        <v>2</v>
      </c>
      <c r="AI7" s="455">
        <f>AVERAGE(AG7:AG36)</f>
        <v>88.085856127896122</v>
      </c>
      <c r="AJ7" s="182">
        <v>6</v>
      </c>
      <c r="AK7" s="166">
        <v>1447.8171428571438</v>
      </c>
      <c r="AL7" s="166">
        <v>241.30285714285731</v>
      </c>
      <c r="AM7" s="182">
        <f>RANK(AL7, AL$7:AL$36)</f>
        <v>2</v>
      </c>
      <c r="AN7" s="455">
        <f>AVERAGE(AL7:AL36)</f>
        <v>88.040913713225862</v>
      </c>
      <c r="AO7" s="182">
        <v>6</v>
      </c>
      <c r="AP7" s="166">
        <v>1459.096240601504</v>
      </c>
      <c r="AQ7" s="166">
        <v>243.18270676691733</v>
      </c>
      <c r="AR7" s="182">
        <f>RANK(AQ7, AQ$7:AQ$36)</f>
        <v>2</v>
      </c>
      <c r="AS7" s="455">
        <f>AVERAGE(AQ7:AQ36)</f>
        <v>87.732264558071066</v>
      </c>
      <c r="AT7" s="182">
        <v>6</v>
      </c>
      <c r="AU7" s="166">
        <v>1453.3248322147649</v>
      </c>
      <c r="AV7" s="166">
        <v>242.22080536912748</v>
      </c>
      <c r="AW7" s="182">
        <f>RANK(AV7, AV$7:AV$36)</f>
        <v>2</v>
      </c>
      <c r="AX7" s="455">
        <f>AVERAGE(AV7:AV36)</f>
        <v>87.926680239658822</v>
      </c>
      <c r="AZ7" s="182" t="e">
        <f>RANK(AY7, AY$7:AY$36)</f>
        <v>#N/A</v>
      </c>
      <c r="BA7" s="455" t="e">
        <f>AVERAGE(AY7:AY36)</f>
        <v>#DIV/0!</v>
      </c>
    </row>
    <row r="8" spans="1:53" ht="15" customHeight="1">
      <c r="A8" s="79"/>
      <c r="B8" s="454"/>
      <c r="C8" s="182">
        <v>2</v>
      </c>
      <c r="D8" s="203" t="s">
        <v>892</v>
      </c>
      <c r="E8" s="166">
        <v>6</v>
      </c>
      <c r="F8" s="182">
        <v>1500</v>
      </c>
      <c r="G8" s="180">
        <v>250</v>
      </c>
      <c r="H8" s="464"/>
      <c r="I8" s="166">
        <f t="shared" ref="I8:K36" si="0">IFERROR(AVERAGE(P8,U8,Z8,AE8,AJ8,AO8,AT8),"-")</f>
        <v>6.1428571428571432</v>
      </c>
      <c r="J8" s="166">
        <f t="shared" si="0"/>
        <v>1462.0756821341877</v>
      </c>
      <c r="K8" s="180">
        <f t="shared" si="0"/>
        <v>238.87361286577206</v>
      </c>
      <c r="L8" s="464"/>
      <c r="M8" s="181">
        <f>RANK(K8, K$7:$K$36)</f>
        <v>1</v>
      </c>
      <c r="N8" s="461"/>
      <c r="O8" s="461"/>
      <c r="P8" s="182">
        <v>7</v>
      </c>
      <c r="Q8" s="166">
        <v>1412.8662420382168</v>
      </c>
      <c r="R8" s="166">
        <v>201.83803457688811</v>
      </c>
      <c r="S8" s="182">
        <f t="shared" ref="S8:S36" si="1">RANK(R8, R$7:R$36)</f>
        <v>2</v>
      </c>
      <c r="T8" s="455"/>
      <c r="U8" s="182">
        <v>6</v>
      </c>
      <c r="V8" s="166">
        <v>1461.6986301369864</v>
      </c>
      <c r="W8" s="166">
        <v>243.61643835616439</v>
      </c>
      <c r="X8" s="182">
        <f t="shared" ref="X8:X36" si="2">RANK(W8, W$7:W$36)</f>
        <v>2</v>
      </c>
      <c r="Y8" s="455"/>
      <c r="Z8" s="182">
        <v>6</v>
      </c>
      <c r="AA8" s="166">
        <v>1468.4023668639054</v>
      </c>
      <c r="AB8" s="166">
        <v>244.73372781065089</v>
      </c>
      <c r="AC8" s="182">
        <f t="shared" ref="AC8:AC36" si="3">RANK(AB8, AB$7:AB$36)</f>
        <v>1</v>
      </c>
      <c r="AD8" s="455"/>
      <c r="AE8" s="182">
        <v>6</v>
      </c>
      <c r="AF8" s="166">
        <v>1476.9230769230769</v>
      </c>
      <c r="AG8" s="166">
        <v>246.15384615384616</v>
      </c>
      <c r="AH8" s="182">
        <f t="shared" ref="AH8:AH36" si="4">RANK(AG8, AG$7:AG$36)</f>
        <v>1</v>
      </c>
      <c r="AI8" s="455"/>
      <c r="AJ8" s="182">
        <v>6</v>
      </c>
      <c r="AK8" s="166">
        <v>1457.3831775700933</v>
      </c>
      <c r="AL8" s="166">
        <v>242.89719626168221</v>
      </c>
      <c r="AM8" s="182">
        <f t="shared" ref="AM8:AM36" si="5">RANK(AL8, AL$7:AL$36)</f>
        <v>1</v>
      </c>
      <c r="AN8" s="455"/>
      <c r="AO8" s="182">
        <v>6</v>
      </c>
      <c r="AP8" s="166">
        <v>1491.2562814070352</v>
      </c>
      <c r="AQ8" s="166">
        <v>248.5427135678392</v>
      </c>
      <c r="AR8" s="182">
        <f t="shared" ref="AR8:AR36" si="6">RANK(AQ8, AQ$7:AQ$36)</f>
        <v>1</v>
      </c>
      <c r="AS8" s="455"/>
      <c r="AT8" s="182">
        <v>6</v>
      </c>
      <c r="AU8" s="166">
        <v>1466.0000000000005</v>
      </c>
      <c r="AV8" s="166">
        <v>244.3333333333334</v>
      </c>
      <c r="AW8" s="182">
        <f t="shared" ref="AW8:AW36" si="7">RANK(AV8, AV$7:AV$36)</f>
        <v>1</v>
      </c>
      <c r="AX8" s="455"/>
      <c r="AZ8" s="182" t="e">
        <f t="shared" ref="AZ8:AZ36" si="8">RANK(AY8, AY$7:AY$36)</f>
        <v>#N/A</v>
      </c>
      <c r="BA8" s="455"/>
    </row>
    <row r="9" spans="1:53" ht="13.5">
      <c r="A9" s="79"/>
      <c r="B9" s="454"/>
      <c r="C9" s="182">
        <v>3</v>
      </c>
      <c r="D9" s="203" t="s">
        <v>809</v>
      </c>
      <c r="E9" s="166">
        <v>18</v>
      </c>
      <c r="F9" s="182">
        <v>1500</v>
      </c>
      <c r="G9" s="180">
        <v>83.3</v>
      </c>
      <c r="H9" s="464"/>
      <c r="I9" s="166">
        <f t="shared" si="0"/>
        <v>18</v>
      </c>
      <c r="J9" s="166">
        <f t="shared" si="0"/>
        <v>1310.9818279977719</v>
      </c>
      <c r="K9" s="180">
        <f t="shared" si="0"/>
        <v>72.832323777653997</v>
      </c>
      <c r="L9" s="464"/>
      <c r="M9" s="181">
        <f>RANK(K9, K$7:$K$36)</f>
        <v>17</v>
      </c>
      <c r="N9" s="461"/>
      <c r="O9" s="461"/>
      <c r="P9" s="182">
        <v>18</v>
      </c>
      <c r="Q9" s="166">
        <v>1261.7716535433069</v>
      </c>
      <c r="R9" s="166">
        <v>70.098425196850386</v>
      </c>
      <c r="S9" s="182">
        <f t="shared" si="1"/>
        <v>18</v>
      </c>
      <c r="T9" s="455"/>
      <c r="U9" s="182">
        <v>18</v>
      </c>
      <c r="V9" s="166">
        <v>1252.6153846153845</v>
      </c>
      <c r="W9" s="166">
        <v>69.589743589743591</v>
      </c>
      <c r="X9" s="182">
        <f t="shared" si="2"/>
        <v>19</v>
      </c>
      <c r="Y9" s="455"/>
      <c r="Z9" s="182">
        <v>18</v>
      </c>
      <c r="AA9" s="166">
        <v>1257.8365384615392</v>
      </c>
      <c r="AB9" s="166">
        <v>69.879807692307736</v>
      </c>
      <c r="AC9" s="182">
        <f t="shared" si="3"/>
        <v>20</v>
      </c>
      <c r="AD9" s="455"/>
      <c r="AE9" s="182">
        <v>18</v>
      </c>
      <c r="AF9" s="166">
        <v>1275.4067796610179</v>
      </c>
      <c r="AG9" s="166">
        <v>70.855932203389884</v>
      </c>
      <c r="AH9" s="182">
        <f t="shared" si="4"/>
        <v>19</v>
      </c>
      <c r="AI9" s="455"/>
      <c r="AJ9" s="182">
        <v>18</v>
      </c>
      <c r="AK9" s="166">
        <v>1378.390909090909</v>
      </c>
      <c r="AL9" s="166">
        <v>76.577272727272714</v>
      </c>
      <c r="AM9" s="182">
        <f t="shared" si="5"/>
        <v>14</v>
      </c>
      <c r="AN9" s="455"/>
      <c r="AO9" s="182">
        <v>18</v>
      </c>
      <c r="AP9" s="166">
        <v>1375.7250000000004</v>
      </c>
      <c r="AQ9" s="166">
        <v>76.429166666666688</v>
      </c>
      <c r="AR9" s="182">
        <f t="shared" si="6"/>
        <v>14</v>
      </c>
      <c r="AS9" s="455"/>
      <c r="AT9" s="182">
        <v>18</v>
      </c>
      <c r="AU9" s="166">
        <v>1375.1265306122452</v>
      </c>
      <c r="AV9" s="166">
        <v>76.395918367346951</v>
      </c>
      <c r="AW9" s="182">
        <f t="shared" si="7"/>
        <v>14</v>
      </c>
      <c r="AX9" s="455"/>
      <c r="AZ9" s="182" t="e">
        <f t="shared" si="8"/>
        <v>#N/A</v>
      </c>
      <c r="BA9" s="455"/>
    </row>
    <row r="10" spans="1:53" ht="13.5">
      <c r="A10" s="79"/>
      <c r="B10" s="454"/>
      <c r="C10" s="182">
        <v>4</v>
      </c>
      <c r="D10" s="203" t="s">
        <v>744</v>
      </c>
      <c r="E10" s="166">
        <v>18</v>
      </c>
      <c r="F10" s="182">
        <v>1500</v>
      </c>
      <c r="G10" s="180">
        <v>83.3</v>
      </c>
      <c r="H10" s="464"/>
      <c r="I10" s="166">
        <f t="shared" si="0"/>
        <v>18</v>
      </c>
      <c r="J10" s="166">
        <f t="shared" si="0"/>
        <v>1332.7527807652027</v>
      </c>
      <c r="K10" s="180">
        <f t="shared" si="0"/>
        <v>74.041821153622365</v>
      </c>
      <c r="L10" s="464"/>
      <c r="M10" s="181">
        <f>RANK(K10, K$7:$K$36)</f>
        <v>15</v>
      </c>
      <c r="N10" s="461"/>
      <c r="O10" s="461"/>
      <c r="P10" s="182">
        <v>18</v>
      </c>
      <c r="Q10" s="166">
        <v>1325.2173913043478</v>
      </c>
      <c r="R10" s="166">
        <v>73.623188405797094</v>
      </c>
      <c r="S10" s="182">
        <f t="shared" si="1"/>
        <v>15</v>
      </c>
      <c r="T10" s="455"/>
      <c r="U10" s="182">
        <v>18</v>
      </c>
      <c r="V10" s="166">
        <v>1326.1538461538455</v>
      </c>
      <c r="W10" s="166">
        <v>73.675213675213641</v>
      </c>
      <c r="X10" s="182">
        <f t="shared" si="2"/>
        <v>15</v>
      </c>
      <c r="Y10" s="455"/>
      <c r="Z10" s="182">
        <v>18</v>
      </c>
      <c r="AA10" s="166">
        <v>1327.6923076923069</v>
      </c>
      <c r="AB10" s="166">
        <v>73.760683760683719</v>
      </c>
      <c r="AC10" s="182">
        <f t="shared" si="3"/>
        <v>14</v>
      </c>
      <c r="AD10" s="455"/>
      <c r="AE10" s="182">
        <v>18</v>
      </c>
      <c r="AF10" s="166">
        <v>1325.9999999999995</v>
      </c>
      <c r="AG10" s="166">
        <v>73.666666666666643</v>
      </c>
      <c r="AH10" s="182">
        <f t="shared" si="4"/>
        <v>17</v>
      </c>
      <c r="AI10" s="455"/>
      <c r="AJ10" s="182">
        <v>18</v>
      </c>
      <c r="AK10" s="166">
        <v>1337.1428571428567</v>
      </c>
      <c r="AL10" s="166">
        <v>74.285714285714263</v>
      </c>
      <c r="AM10" s="182">
        <f t="shared" si="5"/>
        <v>16</v>
      </c>
      <c r="AN10" s="455"/>
      <c r="AO10" s="182">
        <v>18</v>
      </c>
      <c r="AP10" s="166">
        <v>1329.7297297297287</v>
      </c>
      <c r="AQ10" s="166">
        <v>73.873873873873819</v>
      </c>
      <c r="AR10" s="182">
        <f t="shared" si="6"/>
        <v>17</v>
      </c>
      <c r="AS10" s="455"/>
      <c r="AT10" s="182">
        <v>18</v>
      </c>
      <c r="AU10" s="166">
        <v>1357.3333333333335</v>
      </c>
      <c r="AV10" s="166">
        <v>75.407407407407419</v>
      </c>
      <c r="AW10" s="182">
        <f t="shared" si="7"/>
        <v>16</v>
      </c>
      <c r="AX10" s="455"/>
      <c r="AZ10" s="182" t="e">
        <f t="shared" si="8"/>
        <v>#N/A</v>
      </c>
      <c r="BA10" s="455"/>
    </row>
    <row r="11" spans="1:53" ht="13.5">
      <c r="A11" s="79"/>
      <c r="B11" s="454"/>
      <c r="C11" s="182">
        <v>5</v>
      </c>
      <c r="D11" s="203" t="s">
        <v>353</v>
      </c>
      <c r="E11" s="166">
        <v>16</v>
      </c>
      <c r="F11" s="182">
        <v>1500</v>
      </c>
      <c r="G11" s="180">
        <v>93.8</v>
      </c>
      <c r="H11" s="464"/>
      <c r="I11" s="166">
        <f t="shared" si="0"/>
        <v>16</v>
      </c>
      <c r="J11" s="166">
        <f t="shared" si="0"/>
        <v>1400.0564539037682</v>
      </c>
      <c r="K11" s="180">
        <f t="shared" si="0"/>
        <v>87.503528368985513</v>
      </c>
      <c r="L11" s="464"/>
      <c r="M11" s="181">
        <f>RANK(K11, K$7:$K$36)</f>
        <v>4</v>
      </c>
      <c r="N11" s="461"/>
      <c r="O11" s="461"/>
      <c r="P11" s="182">
        <v>16</v>
      </c>
      <c r="Q11" s="166">
        <v>1407.80487804878</v>
      </c>
      <c r="R11" s="166">
        <v>87.987804878048749</v>
      </c>
      <c r="S11" s="182">
        <f t="shared" si="1"/>
        <v>5</v>
      </c>
      <c r="T11" s="455"/>
      <c r="U11" s="182">
        <v>16</v>
      </c>
      <c r="V11" s="166">
        <v>1422.3529411764687</v>
      </c>
      <c r="W11" s="166">
        <v>88.897058823529292</v>
      </c>
      <c r="X11" s="182">
        <f t="shared" si="2"/>
        <v>4</v>
      </c>
      <c r="Y11" s="455"/>
      <c r="Z11" s="182">
        <v>16</v>
      </c>
      <c r="AA11" s="166">
        <v>1399.4117647058806</v>
      </c>
      <c r="AB11" s="166">
        <v>87.463235294117538</v>
      </c>
      <c r="AC11" s="182">
        <f t="shared" si="3"/>
        <v>4</v>
      </c>
      <c r="AD11" s="455"/>
      <c r="AE11" s="182">
        <v>16</v>
      </c>
      <c r="AF11" s="166">
        <v>1404.7058823529394</v>
      </c>
      <c r="AG11" s="166">
        <v>87.794117647058712</v>
      </c>
      <c r="AH11" s="182">
        <f t="shared" si="4"/>
        <v>4</v>
      </c>
      <c r="AI11" s="455"/>
      <c r="AJ11" s="182">
        <v>16</v>
      </c>
      <c r="AK11" s="166">
        <v>1386.315789473683</v>
      </c>
      <c r="AL11" s="166">
        <v>86.644736842105189</v>
      </c>
      <c r="AM11" s="182">
        <f t="shared" si="5"/>
        <v>5</v>
      </c>
      <c r="AN11" s="455"/>
      <c r="AO11" s="182">
        <v>16</v>
      </c>
      <c r="AP11" s="166">
        <v>1406.4705882352923</v>
      </c>
      <c r="AQ11" s="166">
        <v>87.90441176470577</v>
      </c>
      <c r="AR11" s="182">
        <f t="shared" si="6"/>
        <v>4</v>
      </c>
      <c r="AS11" s="455"/>
      <c r="AT11" s="182">
        <v>16</v>
      </c>
      <c r="AU11" s="166">
        <v>1373.3333333333333</v>
      </c>
      <c r="AV11" s="166">
        <v>85.833333333333329</v>
      </c>
      <c r="AW11" s="182">
        <f t="shared" si="7"/>
        <v>5</v>
      </c>
      <c r="AX11" s="455"/>
      <c r="AZ11" s="182" t="e">
        <f t="shared" si="8"/>
        <v>#N/A</v>
      </c>
      <c r="BA11" s="455"/>
    </row>
    <row r="12" spans="1:53" ht="13.5">
      <c r="A12" s="79"/>
      <c r="B12" s="454"/>
      <c r="C12" s="182">
        <v>6</v>
      </c>
      <c r="D12" s="203" t="s">
        <v>369</v>
      </c>
      <c r="E12" s="166">
        <v>16</v>
      </c>
      <c r="F12" s="182">
        <v>1565</v>
      </c>
      <c r="G12" s="180">
        <v>97.8</v>
      </c>
      <c r="H12" s="464"/>
      <c r="I12" s="166">
        <f t="shared" si="0"/>
        <v>16</v>
      </c>
      <c r="J12" s="166">
        <f t="shared" si="0"/>
        <v>1388.7521612837586</v>
      </c>
      <c r="K12" s="180">
        <f t="shared" si="0"/>
        <v>86.797010080234912</v>
      </c>
      <c r="L12" s="464"/>
      <c r="M12" s="181">
        <f>RANK(K12, K$7:$K$36)</f>
        <v>5</v>
      </c>
      <c r="N12" s="461"/>
      <c r="O12" s="461"/>
      <c r="P12" s="182">
        <v>16</v>
      </c>
      <c r="Q12" s="166">
        <v>1397.8378378378368</v>
      </c>
      <c r="R12" s="166">
        <v>87.364864864864799</v>
      </c>
      <c r="S12" s="182">
        <f t="shared" si="1"/>
        <v>6</v>
      </c>
      <c r="T12" s="455"/>
      <c r="U12" s="182">
        <v>16</v>
      </c>
      <c r="V12" s="166">
        <v>1376.3636363636379</v>
      </c>
      <c r="W12" s="166">
        <v>86.022727272727366</v>
      </c>
      <c r="X12" s="182">
        <f t="shared" si="2"/>
        <v>6</v>
      </c>
      <c r="Y12" s="455"/>
      <c r="Z12" s="182">
        <v>16</v>
      </c>
      <c r="AA12" s="166">
        <v>1388.5714285714273</v>
      </c>
      <c r="AB12" s="166">
        <v>86.785714285714207</v>
      </c>
      <c r="AC12" s="182">
        <f t="shared" si="3"/>
        <v>5</v>
      </c>
      <c r="AD12" s="455"/>
      <c r="AE12" s="182">
        <v>16</v>
      </c>
      <c r="AF12" s="166">
        <v>1395.4285714285702</v>
      </c>
      <c r="AG12" s="166">
        <v>87.214285714285637</v>
      </c>
      <c r="AH12" s="182">
        <f t="shared" si="4"/>
        <v>5</v>
      </c>
      <c r="AI12" s="455"/>
      <c r="AJ12" s="182">
        <v>16</v>
      </c>
      <c r="AK12" s="166">
        <v>1397.6470588235277</v>
      </c>
      <c r="AL12" s="166">
        <v>87.35294117647048</v>
      </c>
      <c r="AM12" s="182">
        <f t="shared" si="5"/>
        <v>4</v>
      </c>
      <c r="AN12" s="455"/>
      <c r="AO12" s="182">
        <v>16</v>
      </c>
      <c r="AP12" s="166">
        <v>1377.4647887323929</v>
      </c>
      <c r="AQ12" s="166">
        <v>86.091549295774556</v>
      </c>
      <c r="AR12" s="182">
        <f t="shared" si="6"/>
        <v>5</v>
      </c>
      <c r="AS12" s="455"/>
      <c r="AT12" s="182">
        <v>16</v>
      </c>
      <c r="AU12" s="166">
        <v>1387.9518072289152</v>
      </c>
      <c r="AV12" s="166">
        <v>86.746987951807199</v>
      </c>
      <c r="AW12" s="182">
        <f t="shared" si="7"/>
        <v>4</v>
      </c>
      <c r="AX12" s="455"/>
      <c r="AZ12" s="182" t="e">
        <f t="shared" si="8"/>
        <v>#N/A</v>
      </c>
      <c r="BA12" s="455"/>
    </row>
    <row r="13" spans="1:53" ht="13.5">
      <c r="A13" s="79"/>
      <c r="B13" s="454"/>
      <c r="C13" s="182">
        <v>7</v>
      </c>
      <c r="D13" s="203" t="s">
        <v>345</v>
      </c>
      <c r="E13" s="166">
        <v>14</v>
      </c>
      <c r="F13" s="182">
        <v>1440</v>
      </c>
      <c r="G13" s="180">
        <v>102.9</v>
      </c>
      <c r="H13" s="464"/>
      <c r="I13" s="166">
        <f t="shared" si="0"/>
        <v>15</v>
      </c>
      <c r="J13" s="166">
        <f t="shared" si="0"/>
        <v>1205.1397783251211</v>
      </c>
      <c r="K13" s="180">
        <f t="shared" si="0"/>
        <v>80.342651888341393</v>
      </c>
      <c r="L13" s="464"/>
      <c r="M13" s="181">
        <f>RANK(K13, K$7:$K$36)</f>
        <v>10</v>
      </c>
      <c r="N13" s="461"/>
      <c r="O13" s="461"/>
      <c r="P13" s="182">
        <v>15</v>
      </c>
      <c r="Q13" s="166">
        <v>1185.5172413793082</v>
      </c>
      <c r="R13" s="166">
        <v>79.034482758620541</v>
      </c>
      <c r="S13" s="182">
        <f t="shared" si="1"/>
        <v>13</v>
      </c>
      <c r="T13" s="455"/>
      <c r="U13" s="182">
        <v>15</v>
      </c>
      <c r="V13" s="166">
        <v>1277.9999999999977</v>
      </c>
      <c r="W13" s="166">
        <v>85.199999999999847</v>
      </c>
      <c r="X13" s="182">
        <f t="shared" si="2"/>
        <v>7</v>
      </c>
      <c r="Y13" s="455"/>
      <c r="Z13" s="182">
        <v>15</v>
      </c>
      <c r="AA13" s="166">
        <v>1096.8749999999984</v>
      </c>
      <c r="AB13" s="166">
        <v>73.124999999999901</v>
      </c>
      <c r="AC13" s="182">
        <f t="shared" si="3"/>
        <v>15</v>
      </c>
      <c r="AD13" s="455"/>
      <c r="AE13" s="182">
        <v>15</v>
      </c>
      <c r="AF13" s="166">
        <v>1267.9999999999977</v>
      </c>
      <c r="AG13" s="166">
        <v>84.533333333333175</v>
      </c>
      <c r="AH13" s="182">
        <f t="shared" si="4"/>
        <v>7</v>
      </c>
      <c r="AI13" s="455"/>
      <c r="AJ13" s="182">
        <v>15</v>
      </c>
      <c r="AK13" s="166">
        <v>1255.9999999999977</v>
      </c>
      <c r="AL13" s="166">
        <v>83.733333333333178</v>
      </c>
      <c r="AM13" s="182">
        <f t="shared" si="5"/>
        <v>9</v>
      </c>
      <c r="AN13" s="455"/>
      <c r="AO13" s="182">
        <v>15</v>
      </c>
      <c r="AP13" s="166">
        <v>1103.999999999998</v>
      </c>
      <c r="AQ13" s="166">
        <v>73.599999999999866</v>
      </c>
      <c r="AR13" s="182">
        <f t="shared" si="6"/>
        <v>18</v>
      </c>
      <c r="AS13" s="455"/>
      <c r="AT13" s="182">
        <v>15</v>
      </c>
      <c r="AU13" s="166">
        <v>1247.5862068965494</v>
      </c>
      <c r="AV13" s="166">
        <v>83.172413793103289</v>
      </c>
      <c r="AW13" s="182">
        <f t="shared" si="7"/>
        <v>9</v>
      </c>
      <c r="AX13" s="455"/>
      <c r="AZ13" s="182" t="e">
        <f t="shared" si="8"/>
        <v>#N/A</v>
      </c>
      <c r="BA13" s="455"/>
    </row>
    <row r="14" spans="1:53" ht="13.5">
      <c r="A14" s="79"/>
      <c r="B14" s="454"/>
      <c r="C14" s="182">
        <v>8</v>
      </c>
      <c r="D14" s="203" t="s">
        <v>788</v>
      </c>
      <c r="E14" s="166">
        <v>16</v>
      </c>
      <c r="F14" s="182">
        <v>1440</v>
      </c>
      <c r="G14" s="180">
        <v>90</v>
      </c>
      <c r="H14" s="464"/>
      <c r="I14" s="166">
        <f t="shared" si="0"/>
        <v>16</v>
      </c>
      <c r="J14" s="166">
        <f t="shared" si="0"/>
        <v>1280.2711392448225</v>
      </c>
      <c r="K14" s="180">
        <f t="shared" si="0"/>
        <v>80.016946202801407</v>
      </c>
      <c r="L14" s="464"/>
      <c r="M14" s="181">
        <f>RANK(K14, K$7:$K$36)</f>
        <v>11</v>
      </c>
      <c r="N14" s="461"/>
      <c r="O14" s="461"/>
      <c r="P14" s="182">
        <v>16</v>
      </c>
      <c r="Q14" s="166">
        <v>1341.0810810810799</v>
      </c>
      <c r="R14" s="166">
        <v>83.817567567567494</v>
      </c>
      <c r="S14" s="182">
        <f t="shared" si="1"/>
        <v>9</v>
      </c>
      <c r="T14" s="455"/>
      <c r="U14" s="182">
        <v>16</v>
      </c>
      <c r="V14" s="166">
        <v>1275.7894736842095</v>
      </c>
      <c r="W14" s="166">
        <v>79.736842105263094</v>
      </c>
      <c r="X14" s="182">
        <f t="shared" si="2"/>
        <v>11</v>
      </c>
      <c r="Y14" s="455"/>
      <c r="Z14" s="182">
        <v>16</v>
      </c>
      <c r="AA14" s="166">
        <v>1265.4545454545439</v>
      </c>
      <c r="AB14" s="166">
        <v>79.090909090908994</v>
      </c>
      <c r="AC14" s="182">
        <f t="shared" si="3"/>
        <v>11</v>
      </c>
      <c r="AD14" s="455"/>
      <c r="AE14" s="182">
        <v>16</v>
      </c>
      <c r="AF14" s="166">
        <v>1269.2307692307686</v>
      </c>
      <c r="AG14" s="166">
        <v>79.326923076923038</v>
      </c>
      <c r="AH14" s="182">
        <f t="shared" si="4"/>
        <v>12</v>
      </c>
      <c r="AI14" s="455"/>
      <c r="AJ14" s="182">
        <v>16</v>
      </c>
      <c r="AK14" s="166">
        <v>1286.842105263157</v>
      </c>
      <c r="AL14" s="166">
        <v>80.427631578947313</v>
      </c>
      <c r="AM14" s="182">
        <f t="shared" si="5"/>
        <v>12</v>
      </c>
      <c r="AN14" s="455"/>
      <c r="AO14" s="182">
        <v>16</v>
      </c>
      <c r="AP14" s="166">
        <v>1267.4999999999995</v>
      </c>
      <c r="AQ14" s="166">
        <v>79.218749999999972</v>
      </c>
      <c r="AR14" s="182">
        <f t="shared" si="6"/>
        <v>10</v>
      </c>
      <c r="AS14" s="455"/>
      <c r="AT14" s="182">
        <v>16</v>
      </c>
      <c r="AU14" s="166">
        <v>1256</v>
      </c>
      <c r="AV14" s="166">
        <v>78.5</v>
      </c>
      <c r="AW14" s="182">
        <f t="shared" si="7"/>
        <v>11</v>
      </c>
      <c r="AX14" s="455"/>
      <c r="AZ14" s="182" t="e">
        <f t="shared" si="8"/>
        <v>#N/A</v>
      </c>
      <c r="BA14" s="455"/>
    </row>
    <row r="15" spans="1:53" ht="13.5">
      <c r="A15" s="79"/>
      <c r="B15" s="454"/>
      <c r="C15" s="182">
        <v>9</v>
      </c>
      <c r="D15" s="203" t="s">
        <v>789</v>
      </c>
      <c r="E15" s="166">
        <v>16</v>
      </c>
      <c r="F15" s="182">
        <v>1440</v>
      </c>
      <c r="G15" s="180">
        <v>90</v>
      </c>
      <c r="H15" s="464"/>
      <c r="I15" s="166">
        <f t="shared" si="0"/>
        <v>16.714285714285715</v>
      </c>
      <c r="J15" s="166">
        <f t="shared" si="0"/>
        <v>1161.3749521681534</v>
      </c>
      <c r="K15" s="180">
        <f t="shared" si="0"/>
        <v>69.534310911852145</v>
      </c>
      <c r="L15" s="464"/>
      <c r="M15" s="181">
        <f>RANK(K15, K$7:$K$36)</f>
        <v>21</v>
      </c>
      <c r="N15" s="461"/>
      <c r="O15" s="461"/>
      <c r="P15" s="182">
        <v>17</v>
      </c>
      <c r="Q15" s="166">
        <v>1134.5454545454545</v>
      </c>
      <c r="R15" s="166">
        <v>66.737967914438499</v>
      </c>
      <c r="S15" s="182">
        <f t="shared" si="1"/>
        <v>23</v>
      </c>
      <c r="T15" s="455"/>
      <c r="U15" s="182">
        <v>17</v>
      </c>
      <c r="V15" s="166">
        <v>1177.8947368421045</v>
      </c>
      <c r="W15" s="166">
        <v>69.287925696594385</v>
      </c>
      <c r="X15" s="182">
        <f t="shared" si="2"/>
        <v>20</v>
      </c>
      <c r="Y15" s="455"/>
      <c r="Z15" s="182">
        <v>17</v>
      </c>
      <c r="AA15" s="166">
        <v>1219.4117647058808</v>
      </c>
      <c r="AB15" s="166">
        <v>71.730103806228286</v>
      </c>
      <c r="AC15" s="182">
        <f t="shared" si="3"/>
        <v>16</v>
      </c>
      <c r="AD15" s="455"/>
      <c r="AE15" s="182">
        <v>16</v>
      </c>
      <c r="AF15" s="166">
        <v>1205.9999999999995</v>
      </c>
      <c r="AG15" s="166">
        <v>75.374999999999972</v>
      </c>
      <c r="AH15" s="182">
        <f t="shared" si="4"/>
        <v>15</v>
      </c>
      <c r="AI15" s="455"/>
      <c r="AJ15" s="182">
        <v>16</v>
      </c>
      <c r="AK15" s="166">
        <v>1113.3333333333323</v>
      </c>
      <c r="AL15" s="166">
        <v>69.583333333333272</v>
      </c>
      <c r="AM15" s="182">
        <f t="shared" si="5"/>
        <v>21</v>
      </c>
      <c r="AN15" s="455"/>
      <c r="AO15" s="182">
        <v>17</v>
      </c>
      <c r="AP15" s="166">
        <v>1130.2040816326535</v>
      </c>
      <c r="AQ15" s="166">
        <v>66.482593037214912</v>
      </c>
      <c r="AR15" s="182">
        <f t="shared" si="6"/>
        <v>22</v>
      </c>
      <c r="AS15" s="455"/>
      <c r="AT15" s="182">
        <v>17</v>
      </c>
      <c r="AU15" s="166">
        <v>1148.2352941176475</v>
      </c>
      <c r="AV15" s="166">
        <v>67.543252595155735</v>
      </c>
      <c r="AW15" s="182">
        <f t="shared" si="7"/>
        <v>22</v>
      </c>
      <c r="AX15" s="455"/>
      <c r="AZ15" s="182" t="e">
        <f t="shared" si="8"/>
        <v>#N/A</v>
      </c>
      <c r="BA15" s="455"/>
    </row>
    <row r="16" spans="1:53" ht="13.5">
      <c r="A16" s="79"/>
      <c r="B16" s="454"/>
      <c r="C16" s="182">
        <v>10</v>
      </c>
      <c r="D16" s="203" t="s">
        <v>790</v>
      </c>
      <c r="E16" s="166">
        <v>18</v>
      </c>
      <c r="F16" s="182">
        <v>1636</v>
      </c>
      <c r="G16" s="180">
        <v>90.9</v>
      </c>
      <c r="H16" s="464"/>
      <c r="I16" s="166">
        <f t="shared" si="0"/>
        <v>18</v>
      </c>
      <c r="J16" s="166">
        <f t="shared" si="0"/>
        <v>1537.1983812440496</v>
      </c>
      <c r="K16" s="180">
        <f t="shared" si="0"/>
        <v>85.399910069113844</v>
      </c>
      <c r="L16" s="464"/>
      <c r="M16" s="181">
        <f>RANK(K16, K$7:$K$36)</f>
        <v>6</v>
      </c>
      <c r="N16" s="461"/>
      <c r="O16" s="461"/>
      <c r="P16" s="182">
        <v>18</v>
      </c>
      <c r="Q16" s="166">
        <v>1565.7692307692316</v>
      </c>
      <c r="R16" s="166">
        <v>86.987179487179532</v>
      </c>
      <c r="S16" s="182">
        <f t="shared" si="1"/>
        <v>7</v>
      </c>
      <c r="T16" s="455"/>
      <c r="U16" s="182">
        <v>18</v>
      </c>
      <c r="V16" s="166">
        <v>1514.6938775510209</v>
      </c>
      <c r="W16" s="166">
        <v>84.149659863945601</v>
      </c>
      <c r="X16" s="182">
        <f t="shared" si="2"/>
        <v>9</v>
      </c>
      <c r="Y16" s="455"/>
      <c r="Z16" s="182">
        <v>18</v>
      </c>
      <c r="AA16" s="166">
        <v>1552.8571428571424</v>
      </c>
      <c r="AB16" s="166">
        <v>86.269841269841251</v>
      </c>
      <c r="AC16" s="182">
        <f t="shared" si="3"/>
        <v>6</v>
      </c>
      <c r="AD16" s="455"/>
      <c r="AE16" s="182">
        <v>18</v>
      </c>
      <c r="AF16" s="166">
        <v>1537.5000000000005</v>
      </c>
      <c r="AG16" s="166">
        <v>85.416666666666686</v>
      </c>
      <c r="AH16" s="182">
        <f t="shared" si="4"/>
        <v>6</v>
      </c>
      <c r="AI16" s="455"/>
      <c r="AJ16" s="182">
        <v>18</v>
      </c>
      <c r="AK16" s="166">
        <v>1536.7346938775513</v>
      </c>
      <c r="AL16" s="166">
        <v>85.37414965986396</v>
      </c>
      <c r="AM16" s="182">
        <f t="shared" si="5"/>
        <v>8</v>
      </c>
      <c r="AN16" s="455"/>
      <c r="AO16" s="182">
        <v>18</v>
      </c>
      <c r="AP16" s="166">
        <v>1508.5714285714298</v>
      </c>
      <c r="AQ16" s="166">
        <v>83.809523809523881</v>
      </c>
      <c r="AR16" s="182">
        <f t="shared" si="6"/>
        <v>9</v>
      </c>
      <c r="AS16" s="455"/>
      <c r="AT16" s="182">
        <v>18</v>
      </c>
      <c r="AU16" s="166">
        <v>1544.2622950819687</v>
      </c>
      <c r="AV16" s="166">
        <v>85.792349726776038</v>
      </c>
      <c r="AW16" s="182">
        <f t="shared" si="7"/>
        <v>6</v>
      </c>
      <c r="AX16" s="455"/>
      <c r="AZ16" s="182" t="e">
        <f t="shared" si="8"/>
        <v>#N/A</v>
      </c>
      <c r="BA16" s="455"/>
    </row>
    <row r="17" spans="2:53">
      <c r="B17" s="454"/>
      <c r="C17" s="182">
        <v>11</v>
      </c>
      <c r="D17" s="203" t="s">
        <v>791</v>
      </c>
      <c r="E17" s="166">
        <v>18</v>
      </c>
      <c r="F17" s="182">
        <v>1636</v>
      </c>
      <c r="G17" s="180">
        <v>90.9</v>
      </c>
      <c r="H17" s="464"/>
      <c r="I17" s="166">
        <f t="shared" si="0"/>
        <v>18</v>
      </c>
      <c r="J17" s="166">
        <f t="shared" si="0"/>
        <v>1525.0125348819868</v>
      </c>
      <c r="K17" s="180">
        <f t="shared" si="0"/>
        <v>84.722918604554806</v>
      </c>
      <c r="L17" s="464"/>
      <c r="M17" s="181">
        <f>RANK(K17, K$7:$K$36)</f>
        <v>8</v>
      </c>
      <c r="N17" s="461"/>
      <c r="O17" s="461"/>
      <c r="P17" s="182">
        <v>18</v>
      </c>
      <c r="Q17" s="166">
        <v>1545.365853658536</v>
      </c>
      <c r="R17" s="166">
        <v>85.853658536585328</v>
      </c>
      <c r="S17" s="182">
        <f t="shared" si="1"/>
        <v>8</v>
      </c>
      <c r="T17" s="455"/>
      <c r="U17" s="182">
        <v>18</v>
      </c>
      <c r="V17" s="166">
        <v>1525.7142857142842</v>
      </c>
      <c r="W17" s="166">
        <v>84.761904761904674</v>
      </c>
      <c r="X17" s="182">
        <f t="shared" si="2"/>
        <v>8</v>
      </c>
      <c r="Y17" s="455"/>
      <c r="Z17" s="182">
        <v>18</v>
      </c>
      <c r="AA17" s="166">
        <v>1535.624999999998</v>
      </c>
      <c r="AB17" s="166">
        <v>85.312499999999886</v>
      </c>
      <c r="AC17" s="182">
        <f t="shared" si="3"/>
        <v>7</v>
      </c>
      <c r="AD17" s="455"/>
      <c r="AE17" s="182">
        <v>18</v>
      </c>
      <c r="AF17" s="166">
        <v>1492.1052631578937</v>
      </c>
      <c r="AG17" s="166">
        <v>82.894736842105203</v>
      </c>
      <c r="AH17" s="182">
        <f t="shared" si="4"/>
        <v>9</v>
      </c>
      <c r="AI17" s="455"/>
      <c r="AJ17" s="182">
        <v>18</v>
      </c>
      <c r="AK17" s="166">
        <v>1537.2972972972962</v>
      </c>
      <c r="AL17" s="166">
        <v>85.405405405405347</v>
      </c>
      <c r="AM17" s="182">
        <f t="shared" si="5"/>
        <v>7</v>
      </c>
      <c r="AN17" s="455"/>
      <c r="AO17" s="182">
        <v>18</v>
      </c>
      <c r="AP17" s="166">
        <v>1511.7073170731701</v>
      </c>
      <c r="AQ17" s="166">
        <v>83.983739837398332</v>
      </c>
      <c r="AR17" s="182">
        <f t="shared" si="6"/>
        <v>7</v>
      </c>
      <c r="AS17" s="455"/>
      <c r="AT17" s="182">
        <v>18</v>
      </c>
      <c r="AU17" s="166">
        <v>1527.2727272727273</v>
      </c>
      <c r="AV17" s="166">
        <v>84.848484848484844</v>
      </c>
      <c r="AW17" s="182">
        <f t="shared" si="7"/>
        <v>7</v>
      </c>
      <c r="AX17" s="455"/>
      <c r="AZ17" s="182" t="e">
        <f t="shared" si="8"/>
        <v>#N/A</v>
      </c>
      <c r="BA17" s="455"/>
    </row>
    <row r="18" spans="2:53">
      <c r="B18" s="454"/>
      <c r="C18" s="182">
        <v>12</v>
      </c>
      <c r="D18" s="203" t="s">
        <v>355</v>
      </c>
      <c r="E18" s="166">
        <v>17</v>
      </c>
      <c r="F18" s="182">
        <v>1500</v>
      </c>
      <c r="G18" s="180">
        <v>88.2</v>
      </c>
      <c r="H18" s="464"/>
      <c r="I18" s="166">
        <f t="shared" si="0"/>
        <v>17</v>
      </c>
      <c r="J18" s="166">
        <f t="shared" si="0"/>
        <v>1399.7579421526782</v>
      </c>
      <c r="K18" s="180">
        <f t="shared" si="0"/>
        <v>82.338702479569307</v>
      </c>
      <c r="L18" s="464"/>
      <c r="M18" s="181">
        <f>RANK(K18, K$7:$K$36)</f>
        <v>9</v>
      </c>
      <c r="N18" s="461"/>
      <c r="O18" s="461"/>
      <c r="P18" s="182">
        <v>17</v>
      </c>
      <c r="Q18" s="166">
        <v>1400.5263157894726</v>
      </c>
      <c r="R18" s="166">
        <v>82.383900928792514</v>
      </c>
      <c r="S18" s="182">
        <f t="shared" si="1"/>
        <v>10</v>
      </c>
      <c r="T18" s="455"/>
      <c r="U18" s="182">
        <v>17</v>
      </c>
      <c r="V18" s="166">
        <v>1403.3333333333323</v>
      </c>
      <c r="W18" s="166">
        <v>82.549019607843078</v>
      </c>
      <c r="X18" s="182">
        <f t="shared" si="2"/>
        <v>10</v>
      </c>
      <c r="Y18" s="455"/>
      <c r="Z18" s="182">
        <v>17</v>
      </c>
      <c r="AA18" s="166">
        <v>1374.9999999999991</v>
      </c>
      <c r="AB18" s="166">
        <v>80.882352941176421</v>
      </c>
      <c r="AC18" s="182">
        <f t="shared" si="3"/>
        <v>9</v>
      </c>
      <c r="AD18" s="455"/>
      <c r="AE18" s="182">
        <v>17</v>
      </c>
      <c r="AF18" s="166">
        <v>1378.4999999999995</v>
      </c>
      <c r="AG18" s="166">
        <v>81.088235294117624</v>
      </c>
      <c r="AH18" s="182">
        <f t="shared" si="4"/>
        <v>10</v>
      </c>
      <c r="AI18" s="455"/>
      <c r="AJ18" s="182">
        <v>17</v>
      </c>
      <c r="AK18" s="166">
        <v>1405.9459459459449</v>
      </c>
      <c r="AL18" s="166">
        <v>82.702702702702638</v>
      </c>
      <c r="AM18" s="182">
        <f t="shared" si="5"/>
        <v>10</v>
      </c>
      <c r="AN18" s="455"/>
      <c r="AO18" s="182">
        <v>17</v>
      </c>
      <c r="AP18" s="166">
        <v>1424.9999999999989</v>
      </c>
      <c r="AQ18" s="166">
        <v>83.823529411764639</v>
      </c>
      <c r="AR18" s="182">
        <f t="shared" si="6"/>
        <v>8</v>
      </c>
      <c r="AS18" s="455"/>
      <c r="AT18" s="182">
        <v>17</v>
      </c>
      <c r="AU18" s="166">
        <v>1409.9999999999995</v>
      </c>
      <c r="AV18" s="166">
        <v>82.941176470588204</v>
      </c>
      <c r="AW18" s="182">
        <f t="shared" si="7"/>
        <v>10</v>
      </c>
      <c r="AX18" s="455"/>
      <c r="AZ18" s="182" t="e">
        <f t="shared" si="8"/>
        <v>#N/A</v>
      </c>
      <c r="BA18" s="455"/>
    </row>
    <row r="19" spans="2:53">
      <c r="B19" s="454"/>
      <c r="C19" s="182">
        <v>13</v>
      </c>
      <c r="D19" s="203" t="s">
        <v>667</v>
      </c>
      <c r="E19" s="166">
        <v>20</v>
      </c>
      <c r="F19" s="182">
        <v>1440</v>
      </c>
      <c r="G19" s="180">
        <v>72</v>
      </c>
      <c r="H19" s="464"/>
      <c r="I19" s="166">
        <f t="shared" si="0"/>
        <v>20</v>
      </c>
      <c r="J19" s="166">
        <f t="shared" si="0"/>
        <v>1337.8806129642587</v>
      </c>
      <c r="K19" s="180">
        <f t="shared" si="0"/>
        <v>66.894030648212933</v>
      </c>
      <c r="L19" s="464"/>
      <c r="M19" s="181">
        <f>RANK(K19, K$7:$K$36)</f>
        <v>23</v>
      </c>
      <c r="N19" s="461"/>
      <c r="O19" s="461"/>
      <c r="P19" s="182">
        <v>20</v>
      </c>
      <c r="Q19" s="166">
        <v>1371.3043478260856</v>
      </c>
      <c r="R19" s="166">
        <v>68.565217391304287</v>
      </c>
      <c r="S19" s="182">
        <f t="shared" si="1"/>
        <v>21</v>
      </c>
      <c r="T19" s="455"/>
      <c r="U19" s="182">
        <v>20</v>
      </c>
      <c r="V19" s="166">
        <v>1326.176470588237</v>
      </c>
      <c r="W19" s="166">
        <v>66.308823529411853</v>
      </c>
      <c r="X19" s="182">
        <f t="shared" si="2"/>
        <v>23</v>
      </c>
      <c r="Y19" s="455"/>
      <c r="Z19" s="182">
        <v>20</v>
      </c>
      <c r="AA19" s="166">
        <v>1342.2580645161304</v>
      </c>
      <c r="AB19" s="166">
        <v>67.112903225806519</v>
      </c>
      <c r="AC19" s="182">
        <f t="shared" si="3"/>
        <v>22</v>
      </c>
      <c r="AD19" s="455"/>
      <c r="AE19" s="182">
        <v>20</v>
      </c>
      <c r="AF19" s="166">
        <v>1356.4864864864855</v>
      </c>
      <c r="AG19" s="166">
        <v>67.82432432432428</v>
      </c>
      <c r="AH19" s="182">
        <f t="shared" si="4"/>
        <v>22</v>
      </c>
      <c r="AI19" s="455"/>
      <c r="AJ19" s="182">
        <v>20</v>
      </c>
      <c r="AK19" s="166">
        <v>1319.1999999999989</v>
      </c>
      <c r="AL19" s="166">
        <v>65.959999999999951</v>
      </c>
      <c r="AM19" s="182">
        <f t="shared" si="5"/>
        <v>23</v>
      </c>
      <c r="AN19" s="455"/>
      <c r="AO19" s="182">
        <v>20</v>
      </c>
      <c r="AP19" s="166">
        <v>1321.6901408450692</v>
      </c>
      <c r="AQ19" s="166">
        <v>66.084507042253463</v>
      </c>
      <c r="AR19" s="182">
        <f t="shared" si="6"/>
        <v>23</v>
      </c>
      <c r="AS19" s="455"/>
      <c r="AT19" s="182">
        <v>20</v>
      </c>
      <c r="AU19" s="166">
        <v>1328.0487804878044</v>
      </c>
      <c r="AV19" s="166">
        <v>66.402439024390219</v>
      </c>
      <c r="AW19" s="182">
        <f t="shared" si="7"/>
        <v>23</v>
      </c>
      <c r="AX19" s="455"/>
      <c r="AZ19" s="182" t="e">
        <f t="shared" si="8"/>
        <v>#N/A</v>
      </c>
      <c r="BA19" s="455"/>
    </row>
    <row r="20" spans="2:53">
      <c r="B20" s="454"/>
      <c r="C20" s="182">
        <v>14</v>
      </c>
      <c r="D20" s="203" t="s">
        <v>370</v>
      </c>
      <c r="E20" s="166">
        <v>14</v>
      </c>
      <c r="F20" s="182">
        <v>1440</v>
      </c>
      <c r="G20" s="180">
        <v>102.9</v>
      </c>
      <c r="H20" s="464"/>
      <c r="I20" s="166">
        <f t="shared" si="0"/>
        <v>15</v>
      </c>
      <c r="J20" s="166">
        <f t="shared" si="0"/>
        <v>1345.3890336624081</v>
      </c>
      <c r="K20" s="180">
        <f t="shared" si="0"/>
        <v>89.69260224416054</v>
      </c>
      <c r="L20" s="464"/>
      <c r="M20" s="181">
        <f>RANK(K20, K$7:$K$36)</f>
        <v>3</v>
      </c>
      <c r="N20" s="461"/>
      <c r="O20" s="461"/>
      <c r="P20" s="182">
        <v>15</v>
      </c>
      <c r="Q20" s="166">
        <v>1365.5555555555561</v>
      </c>
      <c r="R20" s="166">
        <v>91.037037037037081</v>
      </c>
      <c r="S20" s="182">
        <f t="shared" si="1"/>
        <v>3</v>
      </c>
      <c r="T20" s="455"/>
      <c r="U20" s="182">
        <v>15</v>
      </c>
      <c r="V20" s="166">
        <v>1356.6101694915267</v>
      </c>
      <c r="W20" s="166">
        <v>90.440677966101774</v>
      </c>
      <c r="X20" s="182">
        <f t="shared" si="2"/>
        <v>3</v>
      </c>
      <c r="Y20" s="455"/>
      <c r="Z20" s="182">
        <v>15</v>
      </c>
      <c r="AA20" s="166">
        <v>1345.2631578947378</v>
      </c>
      <c r="AB20" s="166">
        <v>89.684210526315852</v>
      </c>
      <c r="AC20" s="182">
        <f t="shared" si="3"/>
        <v>3</v>
      </c>
      <c r="AD20" s="455"/>
      <c r="AE20" s="182">
        <v>15</v>
      </c>
      <c r="AF20" s="166">
        <v>1334.7368421052643</v>
      </c>
      <c r="AG20" s="166">
        <v>88.982456140350948</v>
      </c>
      <c r="AH20" s="182">
        <f t="shared" si="4"/>
        <v>3</v>
      </c>
      <c r="AI20" s="455"/>
      <c r="AJ20" s="182">
        <v>15</v>
      </c>
      <c r="AK20" s="166">
        <v>1327.6363636363646</v>
      </c>
      <c r="AL20" s="166">
        <v>88.509090909090972</v>
      </c>
      <c r="AM20" s="182">
        <f t="shared" si="5"/>
        <v>3</v>
      </c>
      <c r="AN20" s="455"/>
      <c r="AO20" s="182">
        <v>15</v>
      </c>
      <c r="AP20" s="166">
        <v>1338.8888888888896</v>
      </c>
      <c r="AQ20" s="166">
        <v>89.259259259259309</v>
      </c>
      <c r="AR20" s="182">
        <f t="shared" si="6"/>
        <v>3</v>
      </c>
      <c r="AS20" s="455"/>
      <c r="AT20" s="182">
        <v>15</v>
      </c>
      <c r="AU20" s="166">
        <v>1349.0322580645175</v>
      </c>
      <c r="AV20" s="166">
        <v>89.935483870967829</v>
      </c>
      <c r="AW20" s="182">
        <f t="shared" si="7"/>
        <v>3</v>
      </c>
      <c r="AX20" s="455"/>
      <c r="AZ20" s="182" t="e">
        <f t="shared" si="8"/>
        <v>#N/A</v>
      </c>
      <c r="BA20" s="455"/>
    </row>
    <row r="21" spans="2:53">
      <c r="B21" s="454"/>
      <c r="C21" s="182">
        <v>15</v>
      </c>
      <c r="D21" s="203" t="s">
        <v>347</v>
      </c>
      <c r="E21" s="166">
        <v>19</v>
      </c>
      <c r="F21" s="182">
        <v>1440</v>
      </c>
      <c r="G21" s="180">
        <v>75.8</v>
      </c>
      <c r="H21" s="464"/>
      <c r="I21" s="166">
        <f t="shared" si="0"/>
        <v>19</v>
      </c>
      <c r="J21" s="166">
        <f t="shared" si="0"/>
        <v>1339.9129371983793</v>
      </c>
      <c r="K21" s="180">
        <f t="shared" si="0"/>
        <v>70.521733536756798</v>
      </c>
      <c r="L21" s="464"/>
      <c r="M21" s="181">
        <f>RANK(K21, K$7:$K$36)</f>
        <v>19</v>
      </c>
      <c r="N21" s="461"/>
      <c r="O21" s="461"/>
      <c r="P21" s="182">
        <v>19</v>
      </c>
      <c r="Q21" s="166">
        <v>1350.3703703703698</v>
      </c>
      <c r="R21" s="166">
        <v>71.072124756335256</v>
      </c>
      <c r="S21" s="182">
        <f t="shared" si="1"/>
        <v>17</v>
      </c>
      <c r="T21" s="455"/>
      <c r="U21" s="182">
        <v>19</v>
      </c>
      <c r="V21" s="166">
        <v>1334.0740740740735</v>
      </c>
      <c r="W21" s="166">
        <v>70.21442495126702</v>
      </c>
      <c r="X21" s="182">
        <f t="shared" si="2"/>
        <v>18</v>
      </c>
      <c r="Y21" s="455"/>
      <c r="Z21" s="182">
        <v>19</v>
      </c>
      <c r="AA21" s="166">
        <v>1329.599999999999</v>
      </c>
      <c r="AB21" s="166">
        <v>69.978947368421004</v>
      </c>
      <c r="AC21" s="182">
        <f t="shared" si="3"/>
        <v>19</v>
      </c>
      <c r="AD21" s="455"/>
      <c r="AE21" s="182">
        <v>19</v>
      </c>
      <c r="AF21" s="166">
        <v>1330.2439024390239</v>
      </c>
      <c r="AG21" s="166">
        <v>70.01283697047495</v>
      </c>
      <c r="AH21" s="182">
        <f t="shared" si="4"/>
        <v>21</v>
      </c>
      <c r="AI21" s="455"/>
      <c r="AJ21" s="182">
        <v>19</v>
      </c>
      <c r="AK21" s="166">
        <v>1358.3720930232557</v>
      </c>
      <c r="AL21" s="166">
        <v>71.493268053855559</v>
      </c>
      <c r="AM21" s="182">
        <f t="shared" si="5"/>
        <v>19</v>
      </c>
      <c r="AN21" s="455"/>
      <c r="AO21" s="182">
        <v>19</v>
      </c>
      <c r="AP21" s="166">
        <v>1352.530120481927</v>
      </c>
      <c r="AQ21" s="166">
        <v>71.185795814838272</v>
      </c>
      <c r="AR21" s="182">
        <f t="shared" si="6"/>
        <v>20</v>
      </c>
      <c r="AS21" s="455"/>
      <c r="AT21" s="182">
        <v>19</v>
      </c>
      <c r="AU21" s="166">
        <v>1324.2000000000048</v>
      </c>
      <c r="AV21" s="166">
        <v>69.694736842105513</v>
      </c>
      <c r="AW21" s="182">
        <f t="shared" si="7"/>
        <v>21</v>
      </c>
      <c r="AX21" s="455"/>
      <c r="AZ21" s="182" t="e">
        <f t="shared" si="8"/>
        <v>#N/A</v>
      </c>
      <c r="BA21" s="455"/>
    </row>
    <row r="22" spans="2:53">
      <c r="B22" s="454"/>
      <c r="C22" s="182">
        <v>16</v>
      </c>
      <c r="D22" s="203" t="s">
        <v>368</v>
      </c>
      <c r="E22" s="166">
        <v>19</v>
      </c>
      <c r="F22" s="182">
        <v>1440</v>
      </c>
      <c r="G22" s="180">
        <v>75.8</v>
      </c>
      <c r="H22" s="464"/>
      <c r="I22" s="166">
        <f t="shared" si="0"/>
        <v>19</v>
      </c>
      <c r="J22" s="166">
        <f t="shared" si="0"/>
        <v>1331.0422400835039</v>
      </c>
      <c r="K22" s="180">
        <f t="shared" si="0"/>
        <v>70.054854741237051</v>
      </c>
      <c r="L22" s="464"/>
      <c r="M22" s="181">
        <f>RANK(K22, K$7:$K$36)</f>
        <v>20</v>
      </c>
      <c r="N22" s="461"/>
      <c r="O22" s="461"/>
      <c r="P22" s="182">
        <v>19</v>
      </c>
      <c r="Q22" s="166">
        <v>1328.709677419356</v>
      </c>
      <c r="R22" s="166">
        <v>69.93208828522927</v>
      </c>
      <c r="S22" s="182">
        <f t="shared" si="1"/>
        <v>19</v>
      </c>
      <c r="T22" s="455"/>
      <c r="U22" s="182">
        <v>19</v>
      </c>
      <c r="V22" s="166">
        <v>1315.6363636363644</v>
      </c>
      <c r="W22" s="166">
        <v>69.244019138756016</v>
      </c>
      <c r="X22" s="182">
        <f t="shared" si="2"/>
        <v>21</v>
      </c>
      <c r="Y22" s="455"/>
      <c r="Z22" s="182">
        <v>19</v>
      </c>
      <c r="AA22" s="166">
        <v>1317.5510204081636</v>
      </c>
      <c r="AB22" s="166">
        <v>69.344790547798084</v>
      </c>
      <c r="AC22" s="182">
        <f t="shared" si="3"/>
        <v>21</v>
      </c>
      <c r="AD22" s="455"/>
      <c r="AE22" s="182">
        <v>19</v>
      </c>
      <c r="AF22" s="166">
        <v>1345.5555555555563</v>
      </c>
      <c r="AG22" s="166">
        <v>70.818713450292435</v>
      </c>
      <c r="AH22" s="182">
        <f t="shared" si="4"/>
        <v>20</v>
      </c>
      <c r="AI22" s="455"/>
      <c r="AJ22" s="182">
        <v>19</v>
      </c>
      <c r="AK22" s="166">
        <v>1339.6363636363644</v>
      </c>
      <c r="AL22" s="166">
        <v>70.507177033492866</v>
      </c>
      <c r="AM22" s="182">
        <f t="shared" si="5"/>
        <v>20</v>
      </c>
      <c r="AN22" s="455"/>
      <c r="AO22" s="182">
        <v>19</v>
      </c>
      <c r="AP22" s="166">
        <v>1318.0327868852471</v>
      </c>
      <c r="AQ22" s="166">
        <v>69.370146678170897</v>
      </c>
      <c r="AR22" s="182">
        <f t="shared" si="6"/>
        <v>21</v>
      </c>
      <c r="AS22" s="455"/>
      <c r="AT22" s="182">
        <v>19</v>
      </c>
      <c r="AU22" s="166">
        <v>1352.1739130434769</v>
      </c>
      <c r="AV22" s="166">
        <v>71.167048054919832</v>
      </c>
      <c r="AW22" s="182">
        <f t="shared" si="7"/>
        <v>19</v>
      </c>
      <c r="AX22" s="455"/>
      <c r="AZ22" s="182" t="e">
        <f t="shared" si="8"/>
        <v>#N/A</v>
      </c>
      <c r="BA22" s="455"/>
    </row>
    <row r="23" spans="2:53">
      <c r="B23" s="454"/>
      <c r="C23" s="182">
        <v>17</v>
      </c>
      <c r="D23" s="203" t="s">
        <v>792</v>
      </c>
      <c r="E23" s="166">
        <v>19</v>
      </c>
      <c r="F23" s="182">
        <v>1500</v>
      </c>
      <c r="G23" s="180">
        <v>78.900000000000006</v>
      </c>
      <c r="H23" s="464"/>
      <c r="I23" s="166">
        <f t="shared" si="0"/>
        <v>19</v>
      </c>
      <c r="J23" s="166">
        <f t="shared" si="0"/>
        <v>1398.6242771536879</v>
      </c>
      <c r="K23" s="180">
        <f t="shared" si="0"/>
        <v>73.611804060720402</v>
      </c>
      <c r="L23" s="464"/>
      <c r="M23" s="181">
        <f>RANK(K23, K$7:$K$36)</f>
        <v>16</v>
      </c>
      <c r="N23" s="461"/>
      <c r="O23" s="461"/>
      <c r="P23" s="182">
        <v>19</v>
      </c>
      <c r="Q23" s="166">
        <v>1404.3243243243232</v>
      </c>
      <c r="R23" s="166">
        <v>73.911806543385438</v>
      </c>
      <c r="S23" s="182">
        <f t="shared" si="1"/>
        <v>14</v>
      </c>
      <c r="T23" s="455"/>
      <c r="U23" s="182">
        <v>19</v>
      </c>
      <c r="V23" s="166">
        <v>1394.9999999999989</v>
      </c>
      <c r="W23" s="166">
        <v>73.421052631578888</v>
      </c>
      <c r="X23" s="182">
        <f t="shared" si="2"/>
        <v>16</v>
      </c>
      <c r="Y23" s="455"/>
      <c r="Z23" s="182">
        <v>19</v>
      </c>
      <c r="AA23" s="166">
        <v>1360.588235294116</v>
      </c>
      <c r="AB23" s="166">
        <v>71.609907120742946</v>
      </c>
      <c r="AC23" s="182">
        <f t="shared" si="3"/>
        <v>17</v>
      </c>
      <c r="AD23" s="455"/>
      <c r="AE23" s="182">
        <v>19</v>
      </c>
      <c r="AF23" s="166">
        <v>1392.972972972972</v>
      </c>
      <c r="AG23" s="166">
        <v>73.314366998577469</v>
      </c>
      <c r="AH23" s="182">
        <f t="shared" si="4"/>
        <v>18</v>
      </c>
      <c r="AI23" s="455"/>
      <c r="AJ23" s="182">
        <v>19</v>
      </c>
      <c r="AK23" s="166">
        <v>1409.9999999999989</v>
      </c>
      <c r="AL23" s="166">
        <v>74.210526315789409</v>
      </c>
      <c r="AM23" s="182">
        <f t="shared" si="5"/>
        <v>17</v>
      </c>
      <c r="AN23" s="455"/>
      <c r="AO23" s="182">
        <v>19</v>
      </c>
      <c r="AP23" s="166">
        <v>1405.9459459459449</v>
      </c>
      <c r="AQ23" s="166">
        <v>73.997155049786571</v>
      </c>
      <c r="AR23" s="182">
        <f t="shared" si="6"/>
        <v>16</v>
      </c>
      <c r="AS23" s="455"/>
      <c r="AT23" s="182">
        <v>19</v>
      </c>
      <c r="AU23" s="166">
        <v>1421.5384615384608</v>
      </c>
      <c r="AV23" s="166">
        <v>74.817813765182152</v>
      </c>
      <c r="AW23" s="182">
        <f t="shared" si="7"/>
        <v>18</v>
      </c>
      <c r="AX23" s="455"/>
      <c r="AZ23" s="182" t="e">
        <f t="shared" si="8"/>
        <v>#N/A</v>
      </c>
      <c r="BA23" s="455"/>
    </row>
    <row r="24" spans="2:53">
      <c r="B24" s="454"/>
      <c r="C24" s="182">
        <v>18</v>
      </c>
      <c r="D24" s="203" t="s">
        <v>823</v>
      </c>
      <c r="E24" s="166">
        <v>18</v>
      </c>
      <c r="F24" s="182">
        <v>1500</v>
      </c>
      <c r="G24" s="180">
        <v>83.3</v>
      </c>
      <c r="H24" s="464"/>
      <c r="I24" s="166">
        <f t="shared" si="0"/>
        <v>18</v>
      </c>
      <c r="J24" s="166">
        <f t="shared" si="0"/>
        <v>1306.4660974683491</v>
      </c>
      <c r="K24" s="180">
        <f t="shared" si="0"/>
        <v>72.581449859352745</v>
      </c>
      <c r="L24" s="464"/>
      <c r="M24" s="181">
        <f>RANK(K24, K$7:$K$36)</f>
        <v>18</v>
      </c>
      <c r="N24" s="461"/>
      <c r="O24" s="461"/>
      <c r="P24" s="182">
        <v>18</v>
      </c>
      <c r="Q24" s="166">
        <v>1234.6153846153852</v>
      </c>
      <c r="R24" s="166">
        <v>68.58974358974362</v>
      </c>
      <c r="S24" s="182">
        <f t="shared" si="1"/>
        <v>20</v>
      </c>
      <c r="T24" s="455"/>
      <c r="U24" s="182">
        <v>18</v>
      </c>
      <c r="V24" s="166">
        <v>1274.4578313253007</v>
      </c>
      <c r="W24" s="166">
        <v>70.80321285140559</v>
      </c>
      <c r="X24" s="182">
        <f t="shared" si="2"/>
        <v>17</v>
      </c>
      <c r="Y24" s="455"/>
      <c r="Z24" s="182">
        <v>18</v>
      </c>
      <c r="AA24" s="166">
        <v>1265.5670103092787</v>
      </c>
      <c r="AB24" s="166">
        <v>70.309278350515484</v>
      </c>
      <c r="AC24" s="182">
        <f t="shared" si="3"/>
        <v>18</v>
      </c>
      <c r="AD24" s="455"/>
      <c r="AE24" s="182">
        <v>18</v>
      </c>
      <c r="AF24" s="166">
        <v>1329.9999999999993</v>
      </c>
      <c r="AG24" s="166">
        <v>73.888888888888857</v>
      </c>
      <c r="AH24" s="182">
        <f t="shared" si="4"/>
        <v>16</v>
      </c>
      <c r="AI24" s="455"/>
      <c r="AJ24" s="182">
        <v>18</v>
      </c>
      <c r="AK24" s="166">
        <v>1329.6296296296291</v>
      </c>
      <c r="AL24" s="166">
        <v>73.868312757201622</v>
      </c>
      <c r="AM24" s="182">
        <f t="shared" si="5"/>
        <v>18</v>
      </c>
      <c r="AN24" s="455"/>
      <c r="AO24" s="182">
        <v>18</v>
      </c>
      <c r="AP24" s="166">
        <v>1359.5294117647059</v>
      </c>
      <c r="AQ24" s="166">
        <v>75.529411764705884</v>
      </c>
      <c r="AR24" s="182">
        <f t="shared" si="6"/>
        <v>15</v>
      </c>
      <c r="AS24" s="455"/>
      <c r="AT24" s="182">
        <v>18</v>
      </c>
      <c r="AU24" s="166">
        <v>1351.4634146341459</v>
      </c>
      <c r="AV24" s="166">
        <v>75.081300813008113</v>
      </c>
      <c r="AW24" s="182">
        <f t="shared" si="7"/>
        <v>17</v>
      </c>
      <c r="AX24" s="455"/>
      <c r="AZ24" s="182" t="e">
        <f t="shared" si="8"/>
        <v>#N/A</v>
      </c>
      <c r="BA24" s="455"/>
    </row>
    <row r="25" spans="2:53">
      <c r="B25" s="454"/>
      <c r="C25" s="182">
        <v>19</v>
      </c>
      <c r="D25" s="203" t="s">
        <v>644</v>
      </c>
      <c r="E25" s="166">
        <v>17</v>
      </c>
      <c r="F25" s="182">
        <v>1440</v>
      </c>
      <c r="G25" s="180">
        <v>84.7</v>
      </c>
      <c r="H25" s="464"/>
      <c r="I25" s="166">
        <f t="shared" si="0"/>
        <v>17</v>
      </c>
      <c r="J25" s="166">
        <f t="shared" si="0"/>
        <v>1346.4541181050938</v>
      </c>
      <c r="K25" s="180">
        <f t="shared" si="0"/>
        <v>79.20318341794669</v>
      </c>
      <c r="L25" s="464"/>
      <c r="M25" s="181">
        <f>RANK(K25, K$7:$K$36)</f>
        <v>12</v>
      </c>
      <c r="N25" s="461"/>
      <c r="O25" s="461"/>
      <c r="P25" s="182">
        <v>17</v>
      </c>
      <c r="Q25" s="166">
        <v>1361.3333333333335</v>
      </c>
      <c r="R25" s="166">
        <v>80.078431372549034</v>
      </c>
      <c r="S25" s="182">
        <f t="shared" si="1"/>
        <v>11</v>
      </c>
      <c r="T25" s="455"/>
      <c r="U25" s="182">
        <v>17</v>
      </c>
      <c r="V25" s="166">
        <v>1305.4054054054045</v>
      </c>
      <c r="W25" s="166">
        <v>76.788553259141437</v>
      </c>
      <c r="X25" s="182">
        <f t="shared" si="2"/>
        <v>14</v>
      </c>
      <c r="Y25" s="455"/>
      <c r="Z25" s="182">
        <v>17</v>
      </c>
      <c r="AA25" s="166">
        <v>1341.8181818181802</v>
      </c>
      <c r="AB25" s="166">
        <v>78.930481283422367</v>
      </c>
      <c r="AC25" s="182">
        <f t="shared" si="3"/>
        <v>12</v>
      </c>
      <c r="AD25" s="455"/>
      <c r="AE25" s="182">
        <v>17</v>
      </c>
      <c r="AF25" s="166">
        <v>1372.1052631578937</v>
      </c>
      <c r="AG25" s="166">
        <v>80.712074303405515</v>
      </c>
      <c r="AH25" s="182">
        <f t="shared" si="4"/>
        <v>11</v>
      </c>
      <c r="AI25" s="455"/>
      <c r="AJ25" s="182">
        <v>17</v>
      </c>
      <c r="AK25" s="166">
        <v>1374.7058823529394</v>
      </c>
      <c r="AL25" s="166">
        <v>80.865051903114079</v>
      </c>
      <c r="AM25" s="182">
        <f t="shared" si="5"/>
        <v>11</v>
      </c>
      <c r="AN25" s="455"/>
      <c r="AO25" s="182">
        <v>17</v>
      </c>
      <c r="AP25" s="166">
        <v>1343.2653061224494</v>
      </c>
      <c r="AQ25" s="166">
        <v>79.015606242497029</v>
      </c>
      <c r="AR25" s="182">
        <f t="shared" si="6"/>
        <v>11</v>
      </c>
      <c r="AS25" s="455"/>
      <c r="AT25" s="182">
        <v>17</v>
      </c>
      <c r="AU25" s="166">
        <v>1326.5454545454554</v>
      </c>
      <c r="AV25" s="166">
        <v>78.032085561497382</v>
      </c>
      <c r="AW25" s="182">
        <f t="shared" si="7"/>
        <v>12</v>
      </c>
      <c r="AX25" s="455"/>
      <c r="AZ25" s="182" t="e">
        <f t="shared" si="8"/>
        <v>#N/A</v>
      </c>
      <c r="BA25" s="455"/>
    </row>
    <row r="26" spans="2:53">
      <c r="B26" s="454"/>
      <c r="C26" s="182">
        <v>20</v>
      </c>
      <c r="D26" s="203" t="s">
        <v>668</v>
      </c>
      <c r="E26" s="166">
        <v>18</v>
      </c>
      <c r="F26" s="182">
        <v>1500</v>
      </c>
      <c r="G26" s="180">
        <v>83.3</v>
      </c>
      <c r="H26" s="464"/>
      <c r="I26" s="166">
        <f t="shared" si="0"/>
        <v>18</v>
      </c>
      <c r="J26" s="166">
        <f t="shared" si="0"/>
        <v>1398.2474126324853</v>
      </c>
      <c r="K26" s="180">
        <f t="shared" si="0"/>
        <v>77.68041181291585</v>
      </c>
      <c r="L26" s="464"/>
      <c r="M26" s="181">
        <f>RANK(K26, K$7:$K$36)</f>
        <v>13</v>
      </c>
      <c r="N26" s="461"/>
      <c r="O26" s="461"/>
      <c r="P26" s="182">
        <v>18</v>
      </c>
      <c r="Q26" s="166">
        <v>1423.1578947368432</v>
      </c>
      <c r="R26" s="166">
        <v>79.064327485380176</v>
      </c>
      <c r="S26" s="182">
        <f t="shared" si="1"/>
        <v>12</v>
      </c>
      <c r="T26" s="455"/>
      <c r="U26" s="182">
        <v>18</v>
      </c>
      <c r="V26" s="166">
        <v>1403.0769230769238</v>
      </c>
      <c r="W26" s="166">
        <v>77.948717948717984</v>
      </c>
      <c r="X26" s="182">
        <f t="shared" si="2"/>
        <v>13</v>
      </c>
      <c r="Y26" s="455"/>
      <c r="Z26" s="182">
        <v>18</v>
      </c>
      <c r="AA26" s="166">
        <v>1385.3333333333333</v>
      </c>
      <c r="AB26" s="166">
        <v>76.962962962962962</v>
      </c>
      <c r="AC26" s="182">
        <f t="shared" si="3"/>
        <v>13</v>
      </c>
      <c r="AD26" s="455"/>
      <c r="AE26" s="182">
        <v>18</v>
      </c>
      <c r="AF26" s="166">
        <v>1410.0000000000005</v>
      </c>
      <c r="AG26" s="166">
        <v>78.333333333333357</v>
      </c>
      <c r="AH26" s="182">
        <f t="shared" si="4"/>
        <v>13</v>
      </c>
      <c r="AI26" s="455"/>
      <c r="AJ26" s="182">
        <v>18</v>
      </c>
      <c r="AK26" s="166">
        <v>1414.4680851063831</v>
      </c>
      <c r="AL26" s="166">
        <v>78.581560283687949</v>
      </c>
      <c r="AM26" s="182">
        <f t="shared" si="5"/>
        <v>13</v>
      </c>
      <c r="AN26" s="455"/>
      <c r="AO26" s="182">
        <v>18</v>
      </c>
      <c r="AP26" s="166">
        <v>1383.0000000000014</v>
      </c>
      <c r="AQ26" s="166">
        <v>76.833333333333414</v>
      </c>
      <c r="AR26" s="182">
        <f t="shared" si="6"/>
        <v>12</v>
      </c>
      <c r="AS26" s="455"/>
      <c r="AT26" s="182">
        <v>18</v>
      </c>
      <c r="AU26" s="166">
        <v>1368.6956521739116</v>
      </c>
      <c r="AV26" s="166">
        <v>76.038647342995091</v>
      </c>
      <c r="AW26" s="182">
        <f t="shared" si="7"/>
        <v>15</v>
      </c>
      <c r="AX26" s="455"/>
      <c r="AZ26" s="182" t="e">
        <f t="shared" si="8"/>
        <v>#N/A</v>
      </c>
      <c r="BA26" s="455"/>
    </row>
    <row r="27" spans="2:53">
      <c r="B27" s="454"/>
      <c r="C27" s="182">
        <v>21</v>
      </c>
      <c r="D27" s="203" t="s">
        <v>796</v>
      </c>
      <c r="E27" s="166">
        <v>18</v>
      </c>
      <c r="F27" s="182">
        <v>1636</v>
      </c>
      <c r="G27" s="180">
        <v>90.9</v>
      </c>
      <c r="H27" s="464"/>
      <c r="I27" s="166">
        <f t="shared" si="0"/>
        <v>18</v>
      </c>
      <c r="J27" s="166">
        <f t="shared" si="0"/>
        <v>1232.3202799524593</v>
      </c>
      <c r="K27" s="180">
        <f t="shared" si="0"/>
        <v>68.462237775136629</v>
      </c>
      <c r="L27" s="464"/>
      <c r="M27" s="181">
        <f>RANK(K27, K$7:$K$36)</f>
        <v>22</v>
      </c>
      <c r="N27" s="461"/>
      <c r="O27" s="461"/>
      <c r="P27" s="182">
        <v>18</v>
      </c>
      <c r="Q27" s="166">
        <v>1205.0442477876106</v>
      </c>
      <c r="R27" s="166">
        <v>66.946902654867259</v>
      </c>
      <c r="S27" s="182">
        <f t="shared" si="1"/>
        <v>22</v>
      </c>
      <c r="T27" s="455"/>
      <c r="U27" s="182">
        <v>18</v>
      </c>
      <c r="V27" s="166">
        <v>1218.7786259541983</v>
      </c>
      <c r="W27" s="166">
        <v>67.70992366412213</v>
      </c>
      <c r="X27" s="182">
        <f t="shared" si="2"/>
        <v>22</v>
      </c>
      <c r="Y27" s="455"/>
      <c r="Z27" s="182">
        <v>18</v>
      </c>
      <c r="AA27" s="166">
        <v>1193.3999999999994</v>
      </c>
      <c r="AB27" s="166">
        <v>66.299999999999969</v>
      </c>
      <c r="AC27" s="182">
        <f t="shared" si="3"/>
        <v>23</v>
      </c>
      <c r="AD27" s="455"/>
      <c r="AE27" s="182">
        <v>18</v>
      </c>
      <c r="AF27" s="166">
        <v>1200.6250000000002</v>
      </c>
      <c r="AG27" s="166">
        <v>66.7013888888889</v>
      </c>
      <c r="AH27" s="182">
        <f t="shared" si="4"/>
        <v>23</v>
      </c>
      <c r="AI27" s="455"/>
      <c r="AJ27" s="182">
        <v>18</v>
      </c>
      <c r="AK27" s="166">
        <v>1219.8165137614678</v>
      </c>
      <c r="AL27" s="166">
        <v>67.767584097859327</v>
      </c>
      <c r="AM27" s="182">
        <f t="shared" si="5"/>
        <v>22</v>
      </c>
      <c r="AN27" s="455"/>
      <c r="AO27" s="182">
        <v>18</v>
      </c>
      <c r="AP27" s="166">
        <v>1311.2621359223297</v>
      </c>
      <c r="AQ27" s="166">
        <v>72.847896440129432</v>
      </c>
      <c r="AR27" s="182">
        <f t="shared" si="6"/>
        <v>19</v>
      </c>
      <c r="AS27" s="455"/>
      <c r="AT27" s="182">
        <v>18</v>
      </c>
      <c r="AU27" s="166">
        <v>1277.3154362416099</v>
      </c>
      <c r="AV27" s="166">
        <v>70.961968680089441</v>
      </c>
      <c r="AW27" s="182">
        <f t="shared" si="7"/>
        <v>20</v>
      </c>
      <c r="AX27" s="455"/>
      <c r="AZ27" s="182" t="e">
        <f t="shared" si="8"/>
        <v>#N/A</v>
      </c>
      <c r="BA27" s="455"/>
    </row>
    <row r="28" spans="2:53">
      <c r="B28" s="454"/>
      <c r="C28" s="182">
        <v>22</v>
      </c>
      <c r="D28" s="203" t="s">
        <v>670</v>
      </c>
      <c r="E28" s="166">
        <v>20</v>
      </c>
      <c r="F28" s="182">
        <v>1500</v>
      </c>
      <c r="G28" s="180">
        <v>75</v>
      </c>
      <c r="H28" s="464"/>
      <c r="I28" s="166">
        <f t="shared" si="0"/>
        <v>20</v>
      </c>
      <c r="J28" s="166">
        <f t="shared" si="0"/>
        <v>1213.8798405242176</v>
      </c>
      <c r="K28" s="180">
        <f t="shared" si="0"/>
        <v>60.693992026210886</v>
      </c>
      <c r="L28" s="464"/>
      <c r="M28" s="181">
        <f>RANK(K28, K$7:$K$36)</f>
        <v>26</v>
      </c>
      <c r="N28" s="461"/>
      <c r="O28" s="461"/>
      <c r="P28" s="182">
        <v>20</v>
      </c>
      <c r="Q28" s="166">
        <v>1184.7272727272734</v>
      </c>
      <c r="R28" s="166">
        <v>59.23636363636367</v>
      </c>
      <c r="S28" s="182">
        <f t="shared" si="1"/>
        <v>26</v>
      </c>
      <c r="T28" s="455"/>
      <c r="U28" s="182">
        <v>20</v>
      </c>
      <c r="V28" s="166">
        <v>1227.5000000000005</v>
      </c>
      <c r="W28" s="166">
        <v>61.375000000000021</v>
      </c>
      <c r="X28" s="182">
        <f t="shared" si="2"/>
        <v>26</v>
      </c>
      <c r="Y28" s="455"/>
      <c r="Z28" s="182">
        <v>20</v>
      </c>
      <c r="AA28" s="166">
        <v>1262.8571428571424</v>
      </c>
      <c r="AB28" s="166">
        <v>63.142857142857125</v>
      </c>
      <c r="AC28" s="182">
        <f t="shared" si="3"/>
        <v>25</v>
      </c>
      <c r="AD28" s="455"/>
      <c r="AE28" s="182">
        <v>20</v>
      </c>
      <c r="AF28" s="166">
        <v>1239.5744680851067</v>
      </c>
      <c r="AG28" s="166">
        <v>61.978723404255334</v>
      </c>
      <c r="AH28" s="182">
        <f t="shared" si="4"/>
        <v>26</v>
      </c>
      <c r="AI28" s="455"/>
      <c r="AJ28" s="182">
        <v>20</v>
      </c>
      <c r="AK28" s="166">
        <v>1187.5000000000002</v>
      </c>
      <c r="AL28" s="166">
        <v>59.375000000000014</v>
      </c>
      <c r="AM28" s="182">
        <f t="shared" si="5"/>
        <v>27</v>
      </c>
      <c r="AN28" s="455"/>
      <c r="AO28" s="182">
        <v>20</v>
      </c>
      <c r="AP28" s="166">
        <v>1180.0000000000005</v>
      </c>
      <c r="AQ28" s="166">
        <v>59.000000000000021</v>
      </c>
      <c r="AR28" s="182">
        <f t="shared" si="6"/>
        <v>27</v>
      </c>
      <c r="AS28" s="455"/>
      <c r="AT28" s="182">
        <v>20</v>
      </c>
      <c r="AU28" s="166">
        <v>1215.0000000000009</v>
      </c>
      <c r="AV28" s="166">
        <v>60.750000000000043</v>
      </c>
      <c r="AW28" s="182">
        <f t="shared" si="7"/>
        <v>26</v>
      </c>
      <c r="AX28" s="455"/>
      <c r="AZ28" s="182" t="e">
        <f t="shared" si="8"/>
        <v>#N/A</v>
      </c>
      <c r="BA28" s="455"/>
    </row>
    <row r="29" spans="2:53">
      <c r="B29" s="454"/>
      <c r="C29" s="182">
        <v>23</v>
      </c>
      <c r="D29" s="203" t="s">
        <v>793</v>
      </c>
      <c r="E29" s="166">
        <v>17</v>
      </c>
      <c r="F29" s="182">
        <v>1565</v>
      </c>
      <c r="G29" s="180">
        <v>92.1</v>
      </c>
      <c r="H29" s="464"/>
      <c r="I29" s="166">
        <f t="shared" si="0"/>
        <v>18.285714285714285</v>
      </c>
      <c r="J29" s="166">
        <f t="shared" si="0"/>
        <v>1398.7632830365922</v>
      </c>
      <c r="K29" s="180">
        <f t="shared" si="0"/>
        <v>76.575073494650084</v>
      </c>
      <c r="L29" s="464"/>
      <c r="M29" s="181">
        <f>RANK(K29, K$7:$K$36)</f>
        <v>14</v>
      </c>
      <c r="N29" s="461"/>
      <c r="O29" s="461"/>
      <c r="P29" s="182">
        <v>20</v>
      </c>
      <c r="Q29" s="166">
        <v>1428.8372093023254</v>
      </c>
      <c r="R29" s="166">
        <v>71.441860465116264</v>
      </c>
      <c r="S29" s="182">
        <f t="shared" si="1"/>
        <v>16</v>
      </c>
      <c r="T29" s="455"/>
      <c r="U29" s="182">
        <v>18</v>
      </c>
      <c r="V29" s="166">
        <v>1414.736842105262</v>
      </c>
      <c r="W29" s="166">
        <v>78.596491228070107</v>
      </c>
      <c r="X29" s="182">
        <f t="shared" si="2"/>
        <v>12</v>
      </c>
      <c r="Y29" s="455"/>
      <c r="Z29" s="182">
        <v>18</v>
      </c>
      <c r="AA29" s="166">
        <v>1425.8823529411745</v>
      </c>
      <c r="AB29" s="166">
        <v>79.215686274509693</v>
      </c>
      <c r="AC29" s="182">
        <f t="shared" si="3"/>
        <v>10</v>
      </c>
      <c r="AD29" s="455"/>
      <c r="AE29" s="182">
        <v>18</v>
      </c>
      <c r="AF29" s="166">
        <v>1387.8947368421043</v>
      </c>
      <c r="AG29" s="166">
        <v>77.105263157894683</v>
      </c>
      <c r="AH29" s="182">
        <f t="shared" si="4"/>
        <v>14</v>
      </c>
      <c r="AI29" s="455"/>
      <c r="AJ29" s="182">
        <v>18</v>
      </c>
      <c r="AK29" s="166">
        <v>1375.2631578947357</v>
      </c>
      <c r="AL29" s="166">
        <v>76.403508771929765</v>
      </c>
      <c r="AM29" s="182">
        <f t="shared" si="5"/>
        <v>15</v>
      </c>
      <c r="AN29" s="455"/>
      <c r="AO29" s="182">
        <v>18</v>
      </c>
      <c r="AP29" s="166">
        <v>1381.395348837209</v>
      </c>
      <c r="AQ29" s="166">
        <v>76.744186046511615</v>
      </c>
      <c r="AR29" s="182">
        <f t="shared" si="6"/>
        <v>13</v>
      </c>
      <c r="AS29" s="455"/>
      <c r="AT29" s="182">
        <v>18</v>
      </c>
      <c r="AU29" s="166">
        <v>1377.3333333333333</v>
      </c>
      <c r="AV29" s="166">
        <v>76.518518518518519</v>
      </c>
      <c r="AW29" s="182">
        <f t="shared" si="7"/>
        <v>13</v>
      </c>
      <c r="AX29" s="455"/>
      <c r="AZ29" s="182" t="e">
        <f t="shared" si="8"/>
        <v>#N/A</v>
      </c>
      <c r="BA29" s="455"/>
    </row>
    <row r="30" spans="2:53">
      <c r="B30" s="454"/>
      <c r="C30" s="182">
        <v>24</v>
      </c>
      <c r="D30" s="203" t="s">
        <v>678</v>
      </c>
      <c r="E30" s="166">
        <v>19</v>
      </c>
      <c r="F30" s="182">
        <v>1385</v>
      </c>
      <c r="G30" s="180">
        <v>72.900000000000006</v>
      </c>
      <c r="H30" s="464"/>
      <c r="I30" s="166">
        <f t="shared" si="0"/>
        <v>19.571428571428573</v>
      </c>
      <c r="J30" s="166">
        <f t="shared" si="0"/>
        <v>1179.5830044618685</v>
      </c>
      <c r="K30" s="180">
        <f t="shared" si="0"/>
        <v>60.283160248156094</v>
      </c>
      <c r="L30" s="464"/>
      <c r="M30" s="181">
        <f>RANK(K30, K$7:$K$36)</f>
        <v>27</v>
      </c>
      <c r="N30" s="461"/>
      <c r="O30" s="461"/>
      <c r="P30" s="182">
        <v>20</v>
      </c>
      <c r="Q30" s="166">
        <v>1160.4545454545455</v>
      </c>
      <c r="R30" s="166">
        <v>58.022727272727273</v>
      </c>
      <c r="S30" s="182">
        <f t="shared" si="1"/>
        <v>27</v>
      </c>
      <c r="T30" s="455"/>
      <c r="U30" s="182">
        <v>20</v>
      </c>
      <c r="V30" s="166">
        <v>1224.2857142857138</v>
      </c>
      <c r="W30" s="166">
        <v>61.214285714285687</v>
      </c>
      <c r="X30" s="182">
        <f t="shared" si="2"/>
        <v>27</v>
      </c>
      <c r="Y30" s="455"/>
      <c r="Z30" s="182">
        <v>20</v>
      </c>
      <c r="AA30" s="166">
        <v>1208.7804878048776</v>
      </c>
      <c r="AB30" s="166">
        <v>60.43902439024388</v>
      </c>
      <c r="AC30" s="182">
        <f t="shared" si="3"/>
        <v>27</v>
      </c>
      <c r="AD30" s="455"/>
      <c r="AE30" s="182">
        <v>20</v>
      </c>
      <c r="AF30" s="166">
        <v>1194.8936170212769</v>
      </c>
      <c r="AG30" s="166">
        <v>59.744680851063848</v>
      </c>
      <c r="AH30" s="182">
        <f t="shared" si="4"/>
        <v>27</v>
      </c>
      <c r="AI30" s="455"/>
      <c r="AJ30" s="182">
        <v>19</v>
      </c>
      <c r="AK30" s="166">
        <v>1166.6666666666665</v>
      </c>
      <c r="AL30" s="166">
        <v>61.403508771929815</v>
      </c>
      <c r="AM30" s="182">
        <f t="shared" si="5"/>
        <v>26</v>
      </c>
      <c r="AN30" s="455"/>
      <c r="AO30" s="182">
        <v>19</v>
      </c>
      <c r="AP30" s="166">
        <v>1168</v>
      </c>
      <c r="AQ30" s="166">
        <v>61.473684210526315</v>
      </c>
      <c r="AR30" s="182">
        <f t="shared" si="6"/>
        <v>26</v>
      </c>
      <c r="AS30" s="455"/>
      <c r="AT30" s="182">
        <v>19</v>
      </c>
      <c r="AU30" s="166">
        <v>1134.0000000000005</v>
      </c>
      <c r="AV30" s="166">
        <v>59.684210526315816</v>
      </c>
      <c r="AW30" s="182">
        <f t="shared" si="7"/>
        <v>27</v>
      </c>
      <c r="AX30" s="455"/>
      <c r="AZ30" s="182" t="e">
        <f t="shared" si="8"/>
        <v>#N/A</v>
      </c>
      <c r="BA30" s="455"/>
    </row>
    <row r="31" spans="2:53">
      <c r="B31" s="454"/>
      <c r="C31" s="182">
        <v>25</v>
      </c>
      <c r="D31" s="203" t="s">
        <v>794</v>
      </c>
      <c r="E31" s="166">
        <v>15</v>
      </c>
      <c r="F31" s="182">
        <v>1440</v>
      </c>
      <c r="G31" s="180">
        <v>96</v>
      </c>
      <c r="H31" s="464"/>
      <c r="I31" s="166">
        <f t="shared" si="0"/>
        <v>15</v>
      </c>
      <c r="J31" s="166">
        <f t="shared" si="0"/>
        <v>1272.0139353038498</v>
      </c>
      <c r="K31" s="180">
        <f t="shared" si="0"/>
        <v>84.800929020256632</v>
      </c>
      <c r="L31" s="464"/>
      <c r="M31" s="181">
        <f>RANK(K31, K$7:$K$36)</f>
        <v>7</v>
      </c>
      <c r="N31" s="461"/>
      <c r="O31" s="461"/>
      <c r="P31" s="182">
        <v>15</v>
      </c>
      <c r="Q31" s="166">
        <v>1321.8749999999982</v>
      </c>
      <c r="R31" s="166">
        <v>88.124999999999872</v>
      </c>
      <c r="S31" s="182">
        <f t="shared" si="1"/>
        <v>4</v>
      </c>
      <c r="T31" s="455"/>
      <c r="U31" s="182">
        <v>15</v>
      </c>
      <c r="V31" s="166">
        <v>1291.8749999999982</v>
      </c>
      <c r="W31" s="166">
        <v>86.124999999999872</v>
      </c>
      <c r="X31" s="182">
        <f t="shared" si="2"/>
        <v>5</v>
      </c>
      <c r="Y31" s="455"/>
      <c r="Z31" s="182">
        <v>15</v>
      </c>
      <c r="AA31" s="166">
        <v>1233.7499999999982</v>
      </c>
      <c r="AB31" s="166">
        <v>82.249999999999872</v>
      </c>
      <c r="AC31" s="182">
        <f t="shared" si="3"/>
        <v>8</v>
      </c>
      <c r="AD31" s="455"/>
      <c r="AE31" s="182">
        <v>15</v>
      </c>
      <c r="AF31" s="166">
        <v>1254.9999999999991</v>
      </c>
      <c r="AG31" s="166">
        <v>83.6666666666666</v>
      </c>
      <c r="AH31" s="182">
        <f t="shared" si="4"/>
        <v>8</v>
      </c>
      <c r="AI31" s="455"/>
      <c r="AJ31" s="182">
        <v>15</v>
      </c>
      <c r="AK31" s="166">
        <v>1282.9411764705865</v>
      </c>
      <c r="AL31" s="166">
        <v>85.52941176470577</v>
      </c>
      <c r="AM31" s="182">
        <f t="shared" si="5"/>
        <v>6</v>
      </c>
      <c r="AN31" s="455"/>
      <c r="AO31" s="182">
        <v>15</v>
      </c>
      <c r="AP31" s="166">
        <v>1265.1428571428557</v>
      </c>
      <c r="AQ31" s="166">
        <v>84.342857142857056</v>
      </c>
      <c r="AR31" s="182">
        <f t="shared" si="6"/>
        <v>6</v>
      </c>
      <c r="AS31" s="455"/>
      <c r="AT31" s="182">
        <v>15</v>
      </c>
      <c r="AU31" s="166">
        <v>1253.5135135135126</v>
      </c>
      <c r="AV31" s="166">
        <v>83.567567567567508</v>
      </c>
      <c r="AW31" s="182">
        <f t="shared" si="7"/>
        <v>8</v>
      </c>
      <c r="AX31" s="455"/>
      <c r="AZ31" s="182" t="e">
        <f t="shared" si="8"/>
        <v>#N/A</v>
      </c>
      <c r="BA31" s="455"/>
    </row>
    <row r="32" spans="2:53">
      <c r="B32" s="454"/>
      <c r="C32" s="182">
        <v>26</v>
      </c>
      <c r="D32" s="203" t="s">
        <v>745</v>
      </c>
      <c r="E32" s="166">
        <v>21</v>
      </c>
      <c r="F32" s="182">
        <v>1500</v>
      </c>
      <c r="G32" s="180">
        <v>71.400000000000006</v>
      </c>
      <c r="H32" s="464"/>
      <c r="I32" s="166">
        <f t="shared" si="0"/>
        <v>21</v>
      </c>
      <c r="J32" s="166">
        <f t="shared" si="0"/>
        <v>1338.3229957790365</v>
      </c>
      <c r="K32" s="180">
        <f t="shared" si="0"/>
        <v>63.729666465668402</v>
      </c>
      <c r="L32" s="464"/>
      <c r="M32" s="181">
        <f>RANK(K32, K$7:$K$36)</f>
        <v>25</v>
      </c>
      <c r="N32" s="461"/>
      <c r="O32" s="461"/>
      <c r="P32" s="182">
        <v>21</v>
      </c>
      <c r="Q32" s="166">
        <v>1340.4545454545455</v>
      </c>
      <c r="R32" s="166">
        <v>63.831168831168831</v>
      </c>
      <c r="S32" s="182">
        <f t="shared" si="1"/>
        <v>24</v>
      </c>
      <c r="T32" s="455"/>
      <c r="U32" s="182">
        <v>21</v>
      </c>
      <c r="V32" s="166">
        <v>1318.6046511627903</v>
      </c>
      <c r="W32" s="166">
        <v>62.790697674418588</v>
      </c>
      <c r="X32" s="182">
        <f t="shared" si="2"/>
        <v>25</v>
      </c>
      <c r="Y32" s="455"/>
      <c r="Z32" s="182">
        <v>21</v>
      </c>
      <c r="AA32" s="166">
        <v>1309.9999999999995</v>
      </c>
      <c r="AB32" s="166">
        <v>62.380952380952358</v>
      </c>
      <c r="AC32" s="182">
        <f t="shared" si="3"/>
        <v>26</v>
      </c>
      <c r="AD32" s="455"/>
      <c r="AE32" s="182">
        <v>21</v>
      </c>
      <c r="AF32" s="166">
        <v>1352.1951219512191</v>
      </c>
      <c r="AG32" s="166">
        <v>64.390243902439011</v>
      </c>
      <c r="AH32" s="182">
        <f t="shared" si="4"/>
        <v>25</v>
      </c>
      <c r="AI32" s="455"/>
      <c r="AJ32" s="182">
        <v>21</v>
      </c>
      <c r="AK32" s="166">
        <v>1360.909090909091</v>
      </c>
      <c r="AL32" s="166">
        <v>64.805194805194816</v>
      </c>
      <c r="AM32" s="182">
        <f t="shared" si="5"/>
        <v>24</v>
      </c>
      <c r="AN32" s="455"/>
      <c r="AO32" s="182">
        <v>21</v>
      </c>
      <c r="AP32" s="166">
        <v>1336.0975609756094</v>
      </c>
      <c r="AQ32" s="166">
        <v>63.623693379790929</v>
      </c>
      <c r="AR32" s="182">
        <f t="shared" si="6"/>
        <v>24</v>
      </c>
      <c r="AS32" s="455"/>
      <c r="AT32" s="182">
        <v>21</v>
      </c>
      <c r="AU32" s="166">
        <v>1350.0000000000005</v>
      </c>
      <c r="AV32" s="166">
        <v>64.285714285714306</v>
      </c>
      <c r="AW32" s="182">
        <f t="shared" si="7"/>
        <v>24</v>
      </c>
      <c r="AX32" s="455"/>
      <c r="AZ32" s="182" t="e">
        <f t="shared" si="8"/>
        <v>#N/A</v>
      </c>
      <c r="BA32" s="455"/>
    </row>
    <row r="33" spans="2:53">
      <c r="B33" s="454"/>
      <c r="C33" s="182">
        <v>27</v>
      </c>
      <c r="D33" s="203" t="s">
        <v>795</v>
      </c>
      <c r="E33" s="166">
        <v>19</v>
      </c>
      <c r="F33" s="182">
        <v>1500</v>
      </c>
      <c r="G33" s="180">
        <v>78.900000000000006</v>
      </c>
      <c r="H33" s="464"/>
      <c r="I33" s="166">
        <f t="shared" si="0"/>
        <v>19</v>
      </c>
      <c r="J33" s="166">
        <f t="shared" si="0"/>
        <v>1212.0539602148363</v>
      </c>
      <c r="K33" s="180">
        <f t="shared" si="0"/>
        <v>63.792313695517699</v>
      </c>
      <c r="L33" s="464"/>
      <c r="M33" s="181">
        <f>RANK(K33, K$7:$K$36)</f>
        <v>24</v>
      </c>
      <c r="N33" s="461"/>
      <c r="O33" s="461"/>
      <c r="P33" s="182">
        <v>19</v>
      </c>
      <c r="Q33" s="166">
        <v>1163.3684210526317</v>
      </c>
      <c r="R33" s="166">
        <v>61.229916897506932</v>
      </c>
      <c r="S33" s="182">
        <f t="shared" si="1"/>
        <v>25</v>
      </c>
      <c r="T33" s="455"/>
      <c r="U33" s="182">
        <v>19</v>
      </c>
      <c r="V33" s="166">
        <v>1259.1764705882358</v>
      </c>
      <c r="W33" s="166">
        <v>66.272445820433461</v>
      </c>
      <c r="X33" s="182">
        <f t="shared" si="2"/>
        <v>24</v>
      </c>
      <c r="Y33" s="455"/>
      <c r="Z33" s="182">
        <v>19</v>
      </c>
      <c r="AA33" s="166">
        <v>1257.2608695652173</v>
      </c>
      <c r="AB33" s="166">
        <v>66.171624713958806</v>
      </c>
      <c r="AC33" s="182">
        <f t="shared" si="3"/>
        <v>24</v>
      </c>
      <c r="AD33" s="455"/>
      <c r="AE33" s="182">
        <v>19</v>
      </c>
      <c r="AF33" s="166">
        <v>1243.8461538461545</v>
      </c>
      <c r="AG33" s="166">
        <v>65.465587044534445</v>
      </c>
      <c r="AH33" s="182">
        <f t="shared" si="4"/>
        <v>24</v>
      </c>
      <c r="AI33" s="455"/>
      <c r="AJ33" s="182">
        <v>19</v>
      </c>
      <c r="AK33" s="166">
        <v>1169.2258064516138</v>
      </c>
      <c r="AL33" s="166">
        <v>61.538200339558621</v>
      </c>
      <c r="AM33" s="182">
        <f t="shared" si="5"/>
        <v>25</v>
      </c>
      <c r="AN33" s="455"/>
      <c r="AO33" s="182">
        <v>19</v>
      </c>
      <c r="AP33" s="166">
        <v>1187.900000000001</v>
      </c>
      <c r="AQ33" s="166">
        <v>62.521052631579003</v>
      </c>
      <c r="AR33" s="182">
        <f t="shared" si="6"/>
        <v>25</v>
      </c>
      <c r="AS33" s="455"/>
      <c r="AT33" s="182">
        <v>19</v>
      </c>
      <c r="AU33" s="166">
        <v>1203.6000000000004</v>
      </c>
      <c r="AV33" s="166">
        <v>63.34736842105265</v>
      </c>
      <c r="AW33" s="182">
        <f t="shared" si="7"/>
        <v>25</v>
      </c>
      <c r="AX33" s="455"/>
      <c r="AZ33" s="182" t="e">
        <f t="shared" si="8"/>
        <v>#N/A</v>
      </c>
      <c r="BA33" s="455"/>
    </row>
    <row r="34" spans="2:53">
      <c r="B34" s="454"/>
      <c r="C34" s="182">
        <v>28</v>
      </c>
      <c r="D34" s="203"/>
      <c r="E34" s="166"/>
      <c r="F34" s="182"/>
      <c r="G34" s="180"/>
      <c r="H34" s="464"/>
      <c r="I34" s="166" t="str">
        <f t="shared" si="0"/>
        <v>-</v>
      </c>
      <c r="J34" s="166" t="str">
        <f t="shared" si="0"/>
        <v>-</v>
      </c>
      <c r="K34" s="180" t="str">
        <f t="shared" si="0"/>
        <v>-</v>
      </c>
      <c r="L34" s="464"/>
      <c r="M34" s="181" t="e">
        <f>RANK(K34, K$7:$K$36)</f>
        <v>#VALUE!</v>
      </c>
      <c r="N34" s="461"/>
      <c r="O34" s="461"/>
      <c r="P34" s="182" t="s">
        <v>890</v>
      </c>
      <c r="Q34" s="166" t="s">
        <v>890</v>
      </c>
      <c r="R34" s="166" t="s">
        <v>890</v>
      </c>
      <c r="S34" s="182" t="e">
        <f t="shared" si="1"/>
        <v>#VALUE!</v>
      </c>
      <c r="T34" s="455"/>
      <c r="U34" s="182" t="s">
        <v>890</v>
      </c>
      <c r="V34" s="166" t="s">
        <v>890</v>
      </c>
      <c r="W34" s="166" t="s">
        <v>890</v>
      </c>
      <c r="X34" s="182" t="e">
        <f t="shared" si="2"/>
        <v>#VALUE!</v>
      </c>
      <c r="Y34" s="455"/>
      <c r="Z34" s="182" t="s">
        <v>890</v>
      </c>
      <c r="AA34" s="166" t="s">
        <v>890</v>
      </c>
      <c r="AB34" s="166" t="s">
        <v>890</v>
      </c>
      <c r="AC34" s="182" t="e">
        <f t="shared" si="3"/>
        <v>#VALUE!</v>
      </c>
      <c r="AD34" s="455"/>
      <c r="AE34" s="182" t="s">
        <v>890</v>
      </c>
      <c r="AF34" s="166" t="s">
        <v>890</v>
      </c>
      <c r="AG34" s="166" t="s">
        <v>890</v>
      </c>
      <c r="AH34" s="182" t="e">
        <f t="shared" si="4"/>
        <v>#VALUE!</v>
      </c>
      <c r="AI34" s="455"/>
      <c r="AJ34" s="182" t="s">
        <v>890</v>
      </c>
      <c r="AK34" s="166" t="s">
        <v>890</v>
      </c>
      <c r="AL34" s="166" t="s">
        <v>890</v>
      </c>
      <c r="AM34" s="182" t="e">
        <f t="shared" si="5"/>
        <v>#VALUE!</v>
      </c>
      <c r="AN34" s="455"/>
      <c r="AO34" s="182" t="s">
        <v>890</v>
      </c>
      <c r="AP34" s="166" t="s">
        <v>890</v>
      </c>
      <c r="AQ34" s="166" t="s">
        <v>890</v>
      </c>
      <c r="AR34" s="182" t="e">
        <f t="shared" si="6"/>
        <v>#VALUE!</v>
      </c>
      <c r="AS34" s="455"/>
      <c r="AT34" s="182" t="s">
        <v>890</v>
      </c>
      <c r="AU34" s="166" t="s">
        <v>890</v>
      </c>
      <c r="AV34" s="166" t="s">
        <v>890</v>
      </c>
      <c r="AW34" s="182" t="e">
        <f t="shared" si="7"/>
        <v>#VALUE!</v>
      </c>
      <c r="AX34" s="455"/>
      <c r="AZ34" s="182" t="e">
        <f t="shared" si="8"/>
        <v>#N/A</v>
      </c>
      <c r="BA34" s="455"/>
    </row>
    <row r="35" spans="2:53">
      <c r="B35" s="454"/>
      <c r="C35" s="182">
        <v>29</v>
      </c>
      <c r="D35" s="203"/>
      <c r="E35" s="166"/>
      <c r="F35" s="182"/>
      <c r="G35" s="180"/>
      <c r="H35" s="464"/>
      <c r="I35" s="166" t="str">
        <f t="shared" si="0"/>
        <v>-</v>
      </c>
      <c r="J35" s="166" t="str">
        <f t="shared" si="0"/>
        <v>-</v>
      </c>
      <c r="K35" s="180" t="str">
        <f t="shared" si="0"/>
        <v>-</v>
      </c>
      <c r="L35" s="464"/>
      <c r="M35" s="181" t="e">
        <f>RANK(K35, K$7:$K$36)</f>
        <v>#VALUE!</v>
      </c>
      <c r="N35" s="461"/>
      <c r="O35" s="461"/>
      <c r="P35" s="182" t="s">
        <v>890</v>
      </c>
      <c r="Q35" s="166" t="s">
        <v>890</v>
      </c>
      <c r="R35" s="166" t="s">
        <v>890</v>
      </c>
      <c r="S35" s="182" t="e">
        <f t="shared" si="1"/>
        <v>#VALUE!</v>
      </c>
      <c r="T35" s="455"/>
      <c r="U35" s="182" t="s">
        <v>890</v>
      </c>
      <c r="V35" s="166" t="s">
        <v>890</v>
      </c>
      <c r="W35" s="166" t="s">
        <v>890</v>
      </c>
      <c r="X35" s="182" t="e">
        <f t="shared" si="2"/>
        <v>#VALUE!</v>
      </c>
      <c r="Y35" s="455"/>
      <c r="Z35" s="182" t="s">
        <v>890</v>
      </c>
      <c r="AA35" s="166" t="s">
        <v>890</v>
      </c>
      <c r="AB35" s="166" t="s">
        <v>890</v>
      </c>
      <c r="AC35" s="182" t="e">
        <f t="shared" si="3"/>
        <v>#VALUE!</v>
      </c>
      <c r="AD35" s="455"/>
      <c r="AE35" s="182" t="s">
        <v>890</v>
      </c>
      <c r="AF35" s="166" t="s">
        <v>890</v>
      </c>
      <c r="AG35" s="166" t="s">
        <v>890</v>
      </c>
      <c r="AH35" s="182" t="e">
        <f t="shared" si="4"/>
        <v>#VALUE!</v>
      </c>
      <c r="AI35" s="455"/>
      <c r="AJ35" s="182" t="s">
        <v>890</v>
      </c>
      <c r="AK35" s="166" t="s">
        <v>890</v>
      </c>
      <c r="AL35" s="166" t="s">
        <v>890</v>
      </c>
      <c r="AM35" s="182" t="e">
        <f t="shared" si="5"/>
        <v>#VALUE!</v>
      </c>
      <c r="AN35" s="455"/>
      <c r="AO35" s="182" t="s">
        <v>890</v>
      </c>
      <c r="AP35" s="166" t="s">
        <v>890</v>
      </c>
      <c r="AQ35" s="166" t="s">
        <v>890</v>
      </c>
      <c r="AR35" s="182" t="e">
        <f t="shared" si="6"/>
        <v>#VALUE!</v>
      </c>
      <c r="AS35" s="455"/>
      <c r="AT35" s="182" t="s">
        <v>890</v>
      </c>
      <c r="AU35" s="166" t="s">
        <v>890</v>
      </c>
      <c r="AV35" s="166" t="s">
        <v>890</v>
      </c>
      <c r="AW35" s="182" t="e">
        <f t="shared" si="7"/>
        <v>#VALUE!</v>
      </c>
      <c r="AX35" s="455"/>
      <c r="AZ35" s="182" t="e">
        <f t="shared" si="8"/>
        <v>#N/A</v>
      </c>
      <c r="BA35" s="455"/>
    </row>
    <row r="36" spans="2:53">
      <c r="B36" s="454"/>
      <c r="C36" s="182">
        <v>30</v>
      </c>
      <c r="D36" s="203"/>
      <c r="E36" s="166"/>
      <c r="F36" s="182"/>
      <c r="G36" s="180"/>
      <c r="H36" s="465"/>
      <c r="I36" s="166" t="str">
        <f t="shared" si="0"/>
        <v>-</v>
      </c>
      <c r="J36" s="166" t="str">
        <f t="shared" si="0"/>
        <v>-</v>
      </c>
      <c r="K36" s="180" t="str">
        <f t="shared" si="0"/>
        <v>-</v>
      </c>
      <c r="L36" s="465"/>
      <c r="M36" s="181" t="e">
        <f>RANK(K36, K$7:$K$36)</f>
        <v>#VALUE!</v>
      </c>
      <c r="N36" s="461"/>
      <c r="O36" s="461"/>
      <c r="P36" s="182" t="s">
        <v>890</v>
      </c>
      <c r="Q36" s="166" t="s">
        <v>890</v>
      </c>
      <c r="R36" s="166" t="s">
        <v>890</v>
      </c>
      <c r="S36" s="182" t="e">
        <f t="shared" si="1"/>
        <v>#VALUE!</v>
      </c>
      <c r="T36" s="455"/>
      <c r="U36" s="182" t="s">
        <v>890</v>
      </c>
      <c r="V36" s="166" t="s">
        <v>890</v>
      </c>
      <c r="W36" s="166" t="s">
        <v>890</v>
      </c>
      <c r="X36" s="182" t="e">
        <f t="shared" si="2"/>
        <v>#VALUE!</v>
      </c>
      <c r="Y36" s="455"/>
      <c r="Z36" s="182" t="s">
        <v>890</v>
      </c>
      <c r="AA36" s="166" t="s">
        <v>890</v>
      </c>
      <c r="AB36" s="166" t="s">
        <v>890</v>
      </c>
      <c r="AC36" s="182" t="e">
        <f t="shared" si="3"/>
        <v>#VALUE!</v>
      </c>
      <c r="AD36" s="455"/>
      <c r="AE36" s="182" t="s">
        <v>890</v>
      </c>
      <c r="AF36" s="166" t="s">
        <v>890</v>
      </c>
      <c r="AG36" s="166" t="s">
        <v>890</v>
      </c>
      <c r="AH36" s="182" t="e">
        <f t="shared" si="4"/>
        <v>#VALUE!</v>
      </c>
      <c r="AI36" s="455"/>
      <c r="AJ36" s="182" t="s">
        <v>890</v>
      </c>
      <c r="AK36" s="166" t="s">
        <v>890</v>
      </c>
      <c r="AL36" s="166" t="s">
        <v>890</v>
      </c>
      <c r="AM36" s="182" t="e">
        <f t="shared" si="5"/>
        <v>#VALUE!</v>
      </c>
      <c r="AN36" s="455"/>
      <c r="AO36" s="182" t="s">
        <v>890</v>
      </c>
      <c r="AP36" s="166" t="s">
        <v>890</v>
      </c>
      <c r="AQ36" s="166" t="s">
        <v>890</v>
      </c>
      <c r="AR36" s="182" t="e">
        <f t="shared" si="6"/>
        <v>#VALUE!</v>
      </c>
      <c r="AS36" s="455"/>
      <c r="AT36" s="182" t="s">
        <v>890</v>
      </c>
      <c r="AU36" s="166" t="s">
        <v>890</v>
      </c>
      <c r="AV36" s="166" t="s">
        <v>890</v>
      </c>
      <c r="AW36" s="182" t="e">
        <f t="shared" si="7"/>
        <v>#VALUE!</v>
      </c>
      <c r="AX36" s="455"/>
      <c r="AZ36" s="182" t="e">
        <f t="shared" si="8"/>
        <v>#N/A</v>
      </c>
      <c r="BA36" s="455"/>
    </row>
    <row r="37" spans="2:53" ht="15.5">
      <c r="B37" s="493" t="s">
        <v>163</v>
      </c>
      <c r="C37" s="494"/>
      <c r="D37" s="494"/>
      <c r="E37" s="494"/>
      <c r="F37" s="494"/>
      <c r="G37" s="494"/>
      <c r="H37" s="494"/>
      <c r="I37" s="183"/>
      <c r="J37" s="183"/>
      <c r="K37" s="183"/>
      <c r="L37" s="183"/>
      <c r="M37" s="178"/>
      <c r="N37" s="480" t="s">
        <v>156</v>
      </c>
      <c r="O37" s="480" t="s">
        <v>105</v>
      </c>
      <c r="P37" s="476">
        <f>AT2+1</f>
        <v>46119</v>
      </c>
      <c r="Q37" s="454"/>
      <c r="R37" s="454"/>
      <c r="S37" s="454"/>
      <c r="T37" s="454"/>
      <c r="U37" s="476">
        <f>P37+1</f>
        <v>46120</v>
      </c>
      <c r="V37" s="454"/>
      <c r="W37" s="454"/>
      <c r="X37" s="454"/>
      <c r="Y37" s="454"/>
      <c r="Z37" s="476">
        <f>U37+1</f>
        <v>46121</v>
      </c>
      <c r="AA37" s="454"/>
      <c r="AB37" s="454"/>
      <c r="AC37" s="454"/>
      <c r="AD37" s="454"/>
      <c r="AE37" s="476">
        <f>Z37+1</f>
        <v>46122</v>
      </c>
      <c r="AF37" s="454"/>
      <c r="AG37" s="454"/>
      <c r="AH37" s="454"/>
      <c r="AI37" s="454"/>
      <c r="AJ37" s="476">
        <f>AE37+1</f>
        <v>46123</v>
      </c>
      <c r="AK37" s="454"/>
      <c r="AL37" s="454"/>
      <c r="AM37" s="454"/>
      <c r="AN37" s="454"/>
      <c r="AO37" s="476">
        <f>AJ37+1</f>
        <v>46124</v>
      </c>
      <c r="AP37" s="454"/>
      <c r="AQ37" s="454"/>
      <c r="AR37" s="454"/>
      <c r="AS37" s="454"/>
      <c r="AT37" s="476">
        <f>AO37+1</f>
        <v>46125</v>
      </c>
      <c r="AU37" s="454"/>
      <c r="AV37" s="454"/>
      <c r="AW37" s="454"/>
      <c r="AX37" s="454"/>
    </row>
    <row r="38" spans="2:53" ht="15.5">
      <c r="B38" s="479"/>
      <c r="C38" s="479"/>
      <c r="D38" s="479"/>
      <c r="E38" s="479"/>
      <c r="F38" s="479"/>
      <c r="G38" s="479"/>
      <c r="H38" s="479"/>
      <c r="I38" s="184"/>
      <c r="J38" s="184"/>
      <c r="K38" s="184"/>
      <c r="L38" s="184"/>
      <c r="M38" s="179"/>
      <c r="N38" s="481"/>
      <c r="O38" s="481"/>
      <c r="P38" s="476" t="s">
        <v>336</v>
      </c>
      <c r="Q38" s="454"/>
      <c r="R38" s="454"/>
      <c r="S38" s="454"/>
      <c r="T38" s="454"/>
      <c r="U38" s="476" t="s">
        <v>337</v>
      </c>
      <c r="V38" s="454"/>
      <c r="W38" s="454"/>
      <c r="X38" s="454"/>
      <c r="Y38" s="454"/>
      <c r="Z38" s="476" t="s">
        <v>338</v>
      </c>
      <c r="AA38" s="454"/>
      <c r="AB38" s="454"/>
      <c r="AC38" s="454"/>
      <c r="AD38" s="454"/>
      <c r="AE38" s="476" t="s">
        <v>339</v>
      </c>
      <c r="AF38" s="454"/>
      <c r="AG38" s="454"/>
      <c r="AH38" s="454"/>
      <c r="AI38" s="454"/>
      <c r="AJ38" s="476" t="s">
        <v>340</v>
      </c>
      <c r="AK38" s="454"/>
      <c r="AL38" s="454"/>
      <c r="AM38" s="454"/>
      <c r="AN38" s="454"/>
      <c r="AO38" s="476" t="s">
        <v>341</v>
      </c>
      <c r="AP38" s="454"/>
      <c r="AQ38" s="454"/>
      <c r="AR38" s="454"/>
      <c r="AS38" s="454"/>
      <c r="AT38" s="476" t="s">
        <v>342</v>
      </c>
      <c r="AU38" s="454"/>
      <c r="AV38" s="454"/>
      <c r="AW38" s="454"/>
      <c r="AX38" s="454"/>
    </row>
    <row r="39" spans="2:53">
      <c r="B39" s="461" t="s">
        <v>443</v>
      </c>
      <c r="C39" s="461" t="s">
        <v>444</v>
      </c>
      <c r="D39" s="461"/>
      <c r="E39" s="461" t="s">
        <v>445</v>
      </c>
      <c r="F39" s="461"/>
      <c r="G39" s="461"/>
      <c r="H39" s="482" t="s">
        <v>446</v>
      </c>
      <c r="I39" s="461" t="s">
        <v>447</v>
      </c>
      <c r="J39" s="461"/>
      <c r="K39" s="461"/>
      <c r="L39" s="482" t="s">
        <v>446</v>
      </c>
      <c r="M39" s="480" t="s">
        <v>448</v>
      </c>
      <c r="N39" s="461"/>
      <c r="O39" s="461" t="s">
        <v>449</v>
      </c>
      <c r="P39" s="466" t="s">
        <v>450</v>
      </c>
      <c r="Q39" s="467"/>
      <c r="R39" s="467"/>
      <c r="S39" s="468"/>
      <c r="T39" s="461" t="s">
        <v>446</v>
      </c>
      <c r="U39" s="466" t="s">
        <v>450</v>
      </c>
      <c r="V39" s="467"/>
      <c r="W39" s="467"/>
      <c r="X39" s="468"/>
      <c r="Y39" s="461" t="s">
        <v>446</v>
      </c>
      <c r="Z39" s="466" t="s">
        <v>450</v>
      </c>
      <c r="AA39" s="467"/>
      <c r="AB39" s="467"/>
      <c r="AC39" s="468"/>
      <c r="AD39" s="461" t="s">
        <v>446</v>
      </c>
      <c r="AE39" s="466" t="s">
        <v>450</v>
      </c>
      <c r="AF39" s="467"/>
      <c r="AG39" s="467"/>
      <c r="AH39" s="468"/>
      <c r="AI39" s="461" t="s">
        <v>446</v>
      </c>
      <c r="AJ39" s="466" t="s">
        <v>450</v>
      </c>
      <c r="AK39" s="467"/>
      <c r="AL39" s="467"/>
      <c r="AM39" s="468"/>
      <c r="AN39" s="461" t="s">
        <v>446</v>
      </c>
      <c r="AO39" s="466" t="s">
        <v>450</v>
      </c>
      <c r="AP39" s="467"/>
      <c r="AQ39" s="467"/>
      <c r="AR39" s="468"/>
      <c r="AS39" s="461" t="s">
        <v>446</v>
      </c>
      <c r="AT39" s="466" t="s">
        <v>450</v>
      </c>
      <c r="AU39" s="467"/>
      <c r="AV39" s="467"/>
      <c r="AW39" s="468"/>
      <c r="AX39" s="461" t="s">
        <v>446</v>
      </c>
      <c r="BA39" s="461" t="s">
        <v>396</v>
      </c>
    </row>
    <row r="40" spans="2:53">
      <c r="B40" s="461"/>
      <c r="C40" s="461"/>
      <c r="D40" s="461"/>
      <c r="E40" s="461" t="s">
        <v>451</v>
      </c>
      <c r="F40" s="461"/>
      <c r="G40" s="461"/>
      <c r="H40" s="483"/>
      <c r="I40" s="461" t="s">
        <v>451</v>
      </c>
      <c r="J40" s="461"/>
      <c r="K40" s="461"/>
      <c r="L40" s="483"/>
      <c r="M40" s="485"/>
      <c r="N40" s="461"/>
      <c r="O40" s="461"/>
      <c r="P40" s="466" t="s">
        <v>452</v>
      </c>
      <c r="Q40" s="467"/>
      <c r="R40" s="467"/>
      <c r="S40" s="468"/>
      <c r="T40" s="461"/>
      <c r="U40" s="466" t="s">
        <v>452</v>
      </c>
      <c r="V40" s="467"/>
      <c r="W40" s="467"/>
      <c r="X40" s="468"/>
      <c r="Y40" s="461"/>
      <c r="Z40" s="466" t="s">
        <v>452</v>
      </c>
      <c r="AA40" s="467"/>
      <c r="AB40" s="467"/>
      <c r="AC40" s="468"/>
      <c r="AD40" s="461"/>
      <c r="AE40" s="466" t="s">
        <v>452</v>
      </c>
      <c r="AF40" s="467"/>
      <c r="AG40" s="467"/>
      <c r="AH40" s="468"/>
      <c r="AI40" s="461"/>
      <c r="AJ40" s="466" t="s">
        <v>452</v>
      </c>
      <c r="AK40" s="467"/>
      <c r="AL40" s="467"/>
      <c r="AM40" s="468"/>
      <c r="AN40" s="461"/>
      <c r="AO40" s="466" t="s">
        <v>452</v>
      </c>
      <c r="AP40" s="467"/>
      <c r="AQ40" s="467"/>
      <c r="AR40" s="468"/>
      <c r="AS40" s="461"/>
      <c r="AT40" s="466" t="s">
        <v>452</v>
      </c>
      <c r="AU40" s="467"/>
      <c r="AV40" s="467"/>
      <c r="AW40" s="468"/>
      <c r="AX40" s="461"/>
      <c r="BA40" s="461"/>
    </row>
    <row r="41" spans="2:53">
      <c r="B41" s="461"/>
      <c r="C41" s="461"/>
      <c r="D41" s="461"/>
      <c r="E41" s="269" t="s">
        <v>453</v>
      </c>
      <c r="F41" s="269" t="s">
        <v>454</v>
      </c>
      <c r="G41" s="269" t="s">
        <v>455</v>
      </c>
      <c r="H41" s="484"/>
      <c r="I41" s="269" t="s">
        <v>453</v>
      </c>
      <c r="J41" s="269" t="s">
        <v>454</v>
      </c>
      <c r="K41" s="269" t="s">
        <v>455</v>
      </c>
      <c r="L41" s="484"/>
      <c r="M41" s="481"/>
      <c r="N41" s="461"/>
      <c r="O41" s="461"/>
      <c r="P41" s="269" t="s">
        <v>453</v>
      </c>
      <c r="Q41" s="269" t="s">
        <v>454</v>
      </c>
      <c r="R41" s="269" t="s">
        <v>455</v>
      </c>
      <c r="S41" s="269" t="s">
        <v>448</v>
      </c>
      <c r="T41" s="461"/>
      <c r="U41" s="269" t="s">
        <v>453</v>
      </c>
      <c r="V41" s="269" t="s">
        <v>454</v>
      </c>
      <c r="W41" s="269" t="s">
        <v>455</v>
      </c>
      <c r="X41" s="269" t="s">
        <v>448</v>
      </c>
      <c r="Y41" s="461"/>
      <c r="Z41" s="269" t="s">
        <v>453</v>
      </c>
      <c r="AA41" s="269" t="s">
        <v>454</v>
      </c>
      <c r="AB41" s="269" t="s">
        <v>455</v>
      </c>
      <c r="AC41" s="269" t="s">
        <v>448</v>
      </c>
      <c r="AD41" s="461"/>
      <c r="AE41" s="269" t="s">
        <v>453</v>
      </c>
      <c r="AF41" s="269" t="s">
        <v>454</v>
      </c>
      <c r="AG41" s="269" t="s">
        <v>455</v>
      </c>
      <c r="AH41" s="269" t="s">
        <v>448</v>
      </c>
      <c r="AI41" s="461"/>
      <c r="AJ41" s="269" t="s">
        <v>453</v>
      </c>
      <c r="AK41" s="269" t="s">
        <v>454</v>
      </c>
      <c r="AL41" s="269" t="s">
        <v>455</v>
      </c>
      <c r="AM41" s="269" t="s">
        <v>448</v>
      </c>
      <c r="AN41" s="461"/>
      <c r="AO41" s="269" t="s">
        <v>453</v>
      </c>
      <c r="AP41" s="269" t="s">
        <v>454</v>
      </c>
      <c r="AQ41" s="269" t="s">
        <v>455</v>
      </c>
      <c r="AR41" s="269" t="s">
        <v>448</v>
      </c>
      <c r="AS41" s="461"/>
      <c r="AT41" s="269" t="s">
        <v>453</v>
      </c>
      <c r="AU41" s="269" t="s">
        <v>454</v>
      </c>
      <c r="AV41" s="269" t="s">
        <v>455</v>
      </c>
      <c r="AW41" s="269" t="s">
        <v>448</v>
      </c>
      <c r="AX41" s="461"/>
      <c r="AZ41" s="269" t="s">
        <v>397</v>
      </c>
      <c r="BA41" s="461"/>
    </row>
    <row r="42" spans="2:53">
      <c r="B42" s="461" t="s">
        <v>456</v>
      </c>
      <c r="C42" s="182">
        <v>1</v>
      </c>
      <c r="D42" s="203"/>
      <c r="E42" s="166"/>
      <c r="F42" s="182"/>
      <c r="G42" s="180"/>
      <c r="H42" s="463" t="e">
        <f>AVERAGE(G42:G71)</f>
        <v>#DIV/0!</v>
      </c>
      <c r="I42" s="166" t="str">
        <f>IFERROR(AVERAGE(P42,U42,Z42,AE42,AJ42,AO42,AT42),"-")</f>
        <v>-</v>
      </c>
      <c r="J42" s="166" t="str">
        <f>IFERROR(AVERAGE(Q42,V42,AA42,AF42,AK42,AP42,AU42),"-")</f>
        <v>-</v>
      </c>
      <c r="K42" s="180" t="str">
        <f>IFERROR(AVERAGE(R42,W42,AB42,AG42,AL42,AQ42,AV42),"-")</f>
        <v>-</v>
      </c>
      <c r="L42" s="463" t="str">
        <f>IFERROR(AVERAGE(K42:K71),"-")</f>
        <v>-</v>
      </c>
      <c r="M42" s="181" t="e">
        <f>RANK(K42, K$42:$K$71)</f>
        <v>#VALUE!</v>
      </c>
      <c r="N42" s="461"/>
      <c r="O42" s="461"/>
      <c r="P42" s="166"/>
      <c r="Q42" s="166"/>
      <c r="R42" s="166"/>
      <c r="S42" s="182" t="e">
        <f t="shared" ref="S42:S71" si="9">RANK(R42, R$42:R$71)</f>
        <v>#N/A</v>
      </c>
      <c r="T42" s="455" t="e">
        <f>AVERAGE(R42:R71)</f>
        <v>#DIV/0!</v>
      </c>
      <c r="U42" s="166"/>
      <c r="V42" s="166"/>
      <c r="W42" s="166"/>
      <c r="X42" s="182" t="e">
        <f t="shared" ref="X42:X71" si="10">RANK(W42, W$42:W$71)</f>
        <v>#N/A</v>
      </c>
      <c r="Y42" s="455" t="e">
        <f>AVERAGE(W42:W71)</f>
        <v>#DIV/0!</v>
      </c>
      <c r="Z42" s="166"/>
      <c r="AA42" s="166"/>
      <c r="AB42" s="166"/>
      <c r="AC42" s="182" t="e">
        <f t="shared" ref="AC42:AC71" si="11">RANK(AB42, AB$42:AB$71)</f>
        <v>#N/A</v>
      </c>
      <c r="AD42" s="455" t="e">
        <f>AVERAGE(AB42:AB71)</f>
        <v>#DIV/0!</v>
      </c>
      <c r="AE42" s="166"/>
      <c r="AF42" s="166"/>
      <c r="AG42" s="166"/>
      <c r="AH42" s="182" t="e">
        <f t="shared" ref="AH42:AH71" si="12">RANK(AG42, AG$42:AG$71)</f>
        <v>#N/A</v>
      </c>
      <c r="AI42" s="455" t="e">
        <f>AVERAGE(AG42:AG71)</f>
        <v>#DIV/0!</v>
      </c>
      <c r="AJ42" s="166"/>
      <c r="AK42" s="166"/>
      <c r="AL42" s="166"/>
      <c r="AM42" s="182" t="e">
        <f t="shared" ref="AM42:AM71" si="13">RANK(AL42, AL$42:AL$71)</f>
        <v>#N/A</v>
      </c>
      <c r="AN42" s="455" t="e">
        <f>AVERAGE(AL42:AL71)</f>
        <v>#DIV/0!</v>
      </c>
      <c r="AO42" s="166"/>
      <c r="AP42" s="166"/>
      <c r="AQ42" s="166"/>
      <c r="AR42" s="182" t="e">
        <f t="shared" ref="AR42:AR71" si="14">RANK(AQ42, AQ$42:AQ$71)</f>
        <v>#N/A</v>
      </c>
      <c r="AS42" s="455" t="e">
        <f>AVERAGE(AQ42:AQ71)</f>
        <v>#DIV/0!</v>
      </c>
      <c r="AT42" s="166"/>
      <c r="AU42" s="166"/>
      <c r="AV42" s="166"/>
      <c r="AW42" s="182" t="e">
        <f t="shared" ref="AW42:AW71" si="15">RANK(AV42, AV$42:AV$71)</f>
        <v>#N/A</v>
      </c>
      <c r="AX42" s="455" t="e">
        <f>AVERAGE(AV42:AV71)</f>
        <v>#DIV/0!</v>
      </c>
      <c r="AZ42" s="182" t="e">
        <f t="shared" ref="AZ42:AZ71" si="16">RANK(AY42, AY$42:AY$71)</f>
        <v>#N/A</v>
      </c>
      <c r="BA42" s="455" t="e">
        <f>AVERAGE(AY42:AY71)</f>
        <v>#DIV/0!</v>
      </c>
    </row>
    <row r="43" spans="2:53">
      <c r="B43" s="454"/>
      <c r="C43" s="182">
        <v>2</v>
      </c>
      <c r="D43" s="203"/>
      <c r="E43" s="166"/>
      <c r="F43" s="182"/>
      <c r="G43" s="180"/>
      <c r="H43" s="464"/>
      <c r="I43" s="166" t="str">
        <f t="shared" ref="I43:I71" si="17">IFERROR(AVERAGE(P43,U43,Z43,AE43,AJ43,AO43,AT43),"-")</f>
        <v>-</v>
      </c>
      <c r="J43" s="166" t="str">
        <f t="shared" ref="J43:J71" si="18">IFERROR(AVERAGE(Q43,V43,AA43,AF43,AK43,AP43,AU43),"-")</f>
        <v>-</v>
      </c>
      <c r="K43" s="180" t="str">
        <f t="shared" ref="K43:K71" si="19">IFERROR(AVERAGE(R43,W43,AB43,AG43,AL43,AQ43,AV43),"-")</f>
        <v>-</v>
      </c>
      <c r="L43" s="464"/>
      <c r="M43" s="181" t="e">
        <f>RANK(K43, K$42:$K$71)</f>
        <v>#VALUE!</v>
      </c>
      <c r="N43" s="461"/>
      <c r="O43" s="461"/>
      <c r="P43" s="166"/>
      <c r="Q43" s="166"/>
      <c r="R43" s="166"/>
      <c r="S43" s="182" t="e">
        <f t="shared" si="9"/>
        <v>#N/A</v>
      </c>
      <c r="T43" s="455"/>
      <c r="U43" s="166"/>
      <c r="V43" s="166"/>
      <c r="W43" s="166"/>
      <c r="X43" s="182" t="e">
        <f t="shared" si="10"/>
        <v>#N/A</v>
      </c>
      <c r="Y43" s="455"/>
      <c r="Z43" s="166"/>
      <c r="AA43" s="166"/>
      <c r="AB43" s="166"/>
      <c r="AC43" s="182" t="e">
        <f t="shared" si="11"/>
        <v>#N/A</v>
      </c>
      <c r="AD43" s="455"/>
      <c r="AE43" s="166"/>
      <c r="AF43" s="166"/>
      <c r="AG43" s="166"/>
      <c r="AH43" s="182" t="e">
        <f t="shared" si="12"/>
        <v>#N/A</v>
      </c>
      <c r="AI43" s="455"/>
      <c r="AJ43" s="166"/>
      <c r="AK43" s="166"/>
      <c r="AL43" s="166"/>
      <c r="AM43" s="182" t="e">
        <f t="shared" si="13"/>
        <v>#N/A</v>
      </c>
      <c r="AN43" s="455"/>
      <c r="AO43" s="166"/>
      <c r="AP43" s="166"/>
      <c r="AQ43" s="166"/>
      <c r="AR43" s="182" t="e">
        <f t="shared" si="14"/>
        <v>#N/A</v>
      </c>
      <c r="AS43" s="455"/>
      <c r="AT43" s="166"/>
      <c r="AU43" s="166"/>
      <c r="AV43" s="166"/>
      <c r="AW43" s="182" t="e">
        <f t="shared" si="15"/>
        <v>#N/A</v>
      </c>
      <c r="AX43" s="455"/>
      <c r="AZ43" s="182" t="e">
        <f t="shared" si="16"/>
        <v>#N/A</v>
      </c>
      <c r="BA43" s="455"/>
    </row>
    <row r="44" spans="2:53">
      <c r="B44" s="454"/>
      <c r="C44" s="182">
        <v>3</v>
      </c>
      <c r="D44" s="203"/>
      <c r="E44" s="166"/>
      <c r="F44" s="182"/>
      <c r="G44" s="180"/>
      <c r="H44" s="464"/>
      <c r="I44" s="166" t="str">
        <f t="shared" si="17"/>
        <v>-</v>
      </c>
      <c r="J44" s="166" t="str">
        <f t="shared" si="18"/>
        <v>-</v>
      </c>
      <c r="K44" s="180" t="str">
        <f t="shared" si="19"/>
        <v>-</v>
      </c>
      <c r="L44" s="464"/>
      <c r="M44" s="181" t="e">
        <f>RANK(K44, K$42:$K$71)</f>
        <v>#VALUE!</v>
      </c>
      <c r="N44" s="461"/>
      <c r="O44" s="461"/>
      <c r="P44" s="166"/>
      <c r="Q44" s="166"/>
      <c r="R44" s="166"/>
      <c r="S44" s="182" t="e">
        <f t="shared" si="9"/>
        <v>#N/A</v>
      </c>
      <c r="T44" s="455"/>
      <c r="U44" s="166"/>
      <c r="V44" s="166"/>
      <c r="W44" s="166"/>
      <c r="X44" s="182" t="e">
        <f t="shared" si="10"/>
        <v>#N/A</v>
      </c>
      <c r="Y44" s="455"/>
      <c r="Z44" s="166"/>
      <c r="AA44" s="166"/>
      <c r="AB44" s="166"/>
      <c r="AC44" s="182" t="e">
        <f t="shared" si="11"/>
        <v>#N/A</v>
      </c>
      <c r="AD44" s="455"/>
      <c r="AE44" s="166"/>
      <c r="AF44" s="166"/>
      <c r="AG44" s="166"/>
      <c r="AH44" s="182" t="e">
        <f t="shared" si="12"/>
        <v>#N/A</v>
      </c>
      <c r="AI44" s="455"/>
      <c r="AJ44" s="166"/>
      <c r="AK44" s="166"/>
      <c r="AL44" s="166"/>
      <c r="AM44" s="182" t="e">
        <f t="shared" si="13"/>
        <v>#N/A</v>
      </c>
      <c r="AN44" s="455"/>
      <c r="AO44" s="166"/>
      <c r="AP44" s="166"/>
      <c r="AQ44" s="166"/>
      <c r="AR44" s="182" t="e">
        <f t="shared" si="14"/>
        <v>#N/A</v>
      </c>
      <c r="AS44" s="455"/>
      <c r="AT44" s="166"/>
      <c r="AU44" s="166"/>
      <c r="AV44" s="166"/>
      <c r="AW44" s="182" t="e">
        <f t="shared" si="15"/>
        <v>#N/A</v>
      </c>
      <c r="AX44" s="455"/>
      <c r="AZ44" s="182" t="e">
        <f t="shared" si="16"/>
        <v>#N/A</v>
      </c>
      <c r="BA44" s="455"/>
    </row>
    <row r="45" spans="2:53">
      <c r="B45" s="454"/>
      <c r="C45" s="182">
        <v>4</v>
      </c>
      <c r="D45" s="203"/>
      <c r="E45" s="166"/>
      <c r="F45" s="182"/>
      <c r="G45" s="180"/>
      <c r="H45" s="464"/>
      <c r="I45" s="166" t="str">
        <f t="shared" si="17"/>
        <v>-</v>
      </c>
      <c r="J45" s="166" t="str">
        <f t="shared" si="18"/>
        <v>-</v>
      </c>
      <c r="K45" s="180" t="str">
        <f t="shared" si="19"/>
        <v>-</v>
      </c>
      <c r="L45" s="464"/>
      <c r="M45" s="181" t="e">
        <f>RANK(K45, K$42:$K$71)</f>
        <v>#VALUE!</v>
      </c>
      <c r="N45" s="461"/>
      <c r="O45" s="461"/>
      <c r="P45" s="166"/>
      <c r="Q45" s="166"/>
      <c r="R45" s="166"/>
      <c r="S45" s="182" t="e">
        <f t="shared" si="9"/>
        <v>#N/A</v>
      </c>
      <c r="T45" s="455"/>
      <c r="U45" s="166"/>
      <c r="V45" s="166"/>
      <c r="W45" s="166"/>
      <c r="X45" s="182" t="e">
        <f t="shared" si="10"/>
        <v>#N/A</v>
      </c>
      <c r="Y45" s="455"/>
      <c r="Z45" s="166"/>
      <c r="AA45" s="166"/>
      <c r="AB45" s="166"/>
      <c r="AC45" s="182" t="e">
        <f t="shared" si="11"/>
        <v>#N/A</v>
      </c>
      <c r="AD45" s="455"/>
      <c r="AE45" s="166"/>
      <c r="AF45" s="166"/>
      <c r="AG45" s="166"/>
      <c r="AH45" s="182" t="e">
        <f t="shared" si="12"/>
        <v>#N/A</v>
      </c>
      <c r="AI45" s="455"/>
      <c r="AJ45" s="166"/>
      <c r="AK45" s="166"/>
      <c r="AL45" s="166"/>
      <c r="AM45" s="182" t="e">
        <f t="shared" si="13"/>
        <v>#N/A</v>
      </c>
      <c r="AN45" s="455"/>
      <c r="AO45" s="166"/>
      <c r="AP45" s="166"/>
      <c r="AQ45" s="166"/>
      <c r="AR45" s="182" t="e">
        <f t="shared" si="14"/>
        <v>#N/A</v>
      </c>
      <c r="AS45" s="455"/>
      <c r="AT45" s="166"/>
      <c r="AU45" s="166"/>
      <c r="AV45" s="166"/>
      <c r="AW45" s="182" t="e">
        <f t="shared" si="15"/>
        <v>#N/A</v>
      </c>
      <c r="AX45" s="455"/>
      <c r="AZ45" s="182" t="e">
        <f t="shared" si="16"/>
        <v>#N/A</v>
      </c>
      <c r="BA45" s="455"/>
    </row>
    <row r="46" spans="2:53">
      <c r="B46" s="454"/>
      <c r="C46" s="182">
        <v>5</v>
      </c>
      <c r="D46" s="203"/>
      <c r="E46" s="166"/>
      <c r="F46" s="182"/>
      <c r="G46" s="180"/>
      <c r="H46" s="464"/>
      <c r="I46" s="166" t="str">
        <f t="shared" si="17"/>
        <v>-</v>
      </c>
      <c r="J46" s="166" t="str">
        <f t="shared" si="18"/>
        <v>-</v>
      </c>
      <c r="K46" s="180" t="str">
        <f t="shared" si="19"/>
        <v>-</v>
      </c>
      <c r="L46" s="464"/>
      <c r="M46" s="181" t="e">
        <f>RANK(K46, K$42:$K$71)</f>
        <v>#VALUE!</v>
      </c>
      <c r="N46" s="461"/>
      <c r="O46" s="461"/>
      <c r="P46" s="166"/>
      <c r="Q46" s="166"/>
      <c r="R46" s="166"/>
      <c r="S46" s="182" t="e">
        <f t="shared" si="9"/>
        <v>#N/A</v>
      </c>
      <c r="T46" s="455"/>
      <c r="U46" s="166"/>
      <c r="V46" s="166"/>
      <c r="W46" s="166"/>
      <c r="X46" s="182" t="e">
        <f t="shared" si="10"/>
        <v>#N/A</v>
      </c>
      <c r="Y46" s="455"/>
      <c r="Z46" s="166"/>
      <c r="AA46" s="166"/>
      <c r="AB46" s="166"/>
      <c r="AC46" s="182" t="e">
        <f t="shared" si="11"/>
        <v>#N/A</v>
      </c>
      <c r="AD46" s="455"/>
      <c r="AE46" s="166"/>
      <c r="AF46" s="166"/>
      <c r="AG46" s="166"/>
      <c r="AH46" s="182" t="e">
        <f t="shared" si="12"/>
        <v>#N/A</v>
      </c>
      <c r="AI46" s="455"/>
      <c r="AJ46" s="166"/>
      <c r="AK46" s="166"/>
      <c r="AL46" s="166"/>
      <c r="AM46" s="182" t="e">
        <f t="shared" si="13"/>
        <v>#N/A</v>
      </c>
      <c r="AN46" s="455"/>
      <c r="AO46" s="166"/>
      <c r="AP46" s="166"/>
      <c r="AQ46" s="166"/>
      <c r="AR46" s="182" t="e">
        <f t="shared" si="14"/>
        <v>#N/A</v>
      </c>
      <c r="AS46" s="455"/>
      <c r="AT46" s="166"/>
      <c r="AU46" s="166"/>
      <c r="AV46" s="166"/>
      <c r="AW46" s="182" t="e">
        <f t="shared" si="15"/>
        <v>#N/A</v>
      </c>
      <c r="AX46" s="455"/>
      <c r="AZ46" s="182" t="e">
        <f t="shared" si="16"/>
        <v>#N/A</v>
      </c>
      <c r="BA46" s="455"/>
    </row>
    <row r="47" spans="2:53">
      <c r="B47" s="454"/>
      <c r="C47" s="182">
        <v>6</v>
      </c>
      <c r="D47" s="203"/>
      <c r="E47" s="166"/>
      <c r="F47" s="182"/>
      <c r="G47" s="180"/>
      <c r="H47" s="464"/>
      <c r="I47" s="166" t="str">
        <f t="shared" si="17"/>
        <v>-</v>
      </c>
      <c r="J47" s="166" t="str">
        <f t="shared" si="18"/>
        <v>-</v>
      </c>
      <c r="K47" s="180" t="str">
        <f t="shared" si="19"/>
        <v>-</v>
      </c>
      <c r="L47" s="464"/>
      <c r="M47" s="181" t="e">
        <f>RANK(K47, K$42:$K$71)</f>
        <v>#VALUE!</v>
      </c>
      <c r="N47" s="461"/>
      <c r="O47" s="461"/>
      <c r="P47" s="166"/>
      <c r="Q47" s="166"/>
      <c r="R47" s="166"/>
      <c r="S47" s="182" t="e">
        <f t="shared" si="9"/>
        <v>#N/A</v>
      </c>
      <c r="T47" s="455"/>
      <c r="U47" s="166"/>
      <c r="V47" s="166"/>
      <c r="W47" s="166"/>
      <c r="X47" s="182" t="e">
        <f t="shared" si="10"/>
        <v>#N/A</v>
      </c>
      <c r="Y47" s="455"/>
      <c r="Z47" s="166"/>
      <c r="AA47" s="166"/>
      <c r="AB47" s="166"/>
      <c r="AC47" s="182" t="e">
        <f t="shared" si="11"/>
        <v>#N/A</v>
      </c>
      <c r="AD47" s="455"/>
      <c r="AE47" s="166"/>
      <c r="AF47" s="166"/>
      <c r="AG47" s="166"/>
      <c r="AH47" s="182" t="e">
        <f t="shared" si="12"/>
        <v>#N/A</v>
      </c>
      <c r="AI47" s="455"/>
      <c r="AJ47" s="166"/>
      <c r="AK47" s="166"/>
      <c r="AL47" s="166"/>
      <c r="AM47" s="182" t="e">
        <f t="shared" si="13"/>
        <v>#N/A</v>
      </c>
      <c r="AN47" s="455"/>
      <c r="AO47" s="166"/>
      <c r="AP47" s="166"/>
      <c r="AQ47" s="166"/>
      <c r="AR47" s="182" t="e">
        <f t="shared" si="14"/>
        <v>#N/A</v>
      </c>
      <c r="AS47" s="455"/>
      <c r="AT47" s="166"/>
      <c r="AU47" s="166"/>
      <c r="AV47" s="166"/>
      <c r="AW47" s="182" t="e">
        <f t="shared" si="15"/>
        <v>#N/A</v>
      </c>
      <c r="AX47" s="455"/>
      <c r="AZ47" s="182" t="e">
        <f t="shared" si="16"/>
        <v>#N/A</v>
      </c>
      <c r="BA47" s="455"/>
    </row>
    <row r="48" spans="2:53">
      <c r="B48" s="454"/>
      <c r="C48" s="182">
        <v>7</v>
      </c>
      <c r="D48" s="203"/>
      <c r="E48" s="166"/>
      <c r="F48" s="182"/>
      <c r="G48" s="180"/>
      <c r="H48" s="464"/>
      <c r="I48" s="166" t="str">
        <f t="shared" si="17"/>
        <v>-</v>
      </c>
      <c r="J48" s="166" t="str">
        <f t="shared" si="18"/>
        <v>-</v>
      </c>
      <c r="K48" s="180" t="str">
        <f t="shared" si="19"/>
        <v>-</v>
      </c>
      <c r="L48" s="464"/>
      <c r="M48" s="181" t="e">
        <f>RANK(K48, K$42:$K$71)</f>
        <v>#VALUE!</v>
      </c>
      <c r="N48" s="461"/>
      <c r="O48" s="461"/>
      <c r="P48" s="166"/>
      <c r="Q48" s="166"/>
      <c r="R48" s="166"/>
      <c r="S48" s="182" t="e">
        <f t="shared" si="9"/>
        <v>#N/A</v>
      </c>
      <c r="T48" s="455"/>
      <c r="U48" s="166"/>
      <c r="V48" s="166"/>
      <c r="W48" s="166"/>
      <c r="X48" s="182" t="e">
        <f t="shared" si="10"/>
        <v>#N/A</v>
      </c>
      <c r="Y48" s="455"/>
      <c r="Z48" s="166"/>
      <c r="AA48" s="166"/>
      <c r="AB48" s="166"/>
      <c r="AC48" s="182" t="e">
        <f t="shared" si="11"/>
        <v>#N/A</v>
      </c>
      <c r="AD48" s="455"/>
      <c r="AE48" s="166"/>
      <c r="AF48" s="166"/>
      <c r="AG48" s="166"/>
      <c r="AH48" s="182" t="e">
        <f t="shared" si="12"/>
        <v>#N/A</v>
      </c>
      <c r="AI48" s="455"/>
      <c r="AJ48" s="166"/>
      <c r="AK48" s="166"/>
      <c r="AL48" s="166"/>
      <c r="AM48" s="182" t="e">
        <f t="shared" si="13"/>
        <v>#N/A</v>
      </c>
      <c r="AN48" s="455"/>
      <c r="AO48" s="166"/>
      <c r="AP48" s="166"/>
      <c r="AQ48" s="166"/>
      <c r="AR48" s="182" t="e">
        <f t="shared" si="14"/>
        <v>#N/A</v>
      </c>
      <c r="AS48" s="455"/>
      <c r="AT48" s="166"/>
      <c r="AU48" s="166"/>
      <c r="AV48" s="166"/>
      <c r="AW48" s="182" t="e">
        <f t="shared" si="15"/>
        <v>#N/A</v>
      </c>
      <c r="AX48" s="455"/>
      <c r="AZ48" s="182" t="e">
        <f t="shared" si="16"/>
        <v>#N/A</v>
      </c>
      <c r="BA48" s="455"/>
    </row>
    <row r="49" spans="2:53">
      <c r="B49" s="454"/>
      <c r="C49" s="182">
        <v>8</v>
      </c>
      <c r="D49" s="203"/>
      <c r="E49" s="166"/>
      <c r="F49" s="182"/>
      <c r="G49" s="180"/>
      <c r="H49" s="464"/>
      <c r="I49" s="166" t="str">
        <f t="shared" si="17"/>
        <v>-</v>
      </c>
      <c r="J49" s="166" t="str">
        <f t="shared" si="18"/>
        <v>-</v>
      </c>
      <c r="K49" s="180" t="str">
        <f t="shared" si="19"/>
        <v>-</v>
      </c>
      <c r="L49" s="464"/>
      <c r="M49" s="181" t="e">
        <f>RANK(K49, K$42:$K$71)</f>
        <v>#VALUE!</v>
      </c>
      <c r="N49" s="461"/>
      <c r="O49" s="461"/>
      <c r="P49" s="166"/>
      <c r="Q49" s="166"/>
      <c r="R49" s="166"/>
      <c r="S49" s="182" t="e">
        <f t="shared" si="9"/>
        <v>#N/A</v>
      </c>
      <c r="T49" s="455"/>
      <c r="U49" s="166"/>
      <c r="V49" s="166"/>
      <c r="W49" s="166"/>
      <c r="X49" s="182" t="e">
        <f t="shared" si="10"/>
        <v>#N/A</v>
      </c>
      <c r="Y49" s="455"/>
      <c r="Z49" s="166"/>
      <c r="AA49" s="166"/>
      <c r="AB49" s="166"/>
      <c r="AC49" s="182" t="e">
        <f t="shared" si="11"/>
        <v>#N/A</v>
      </c>
      <c r="AD49" s="455"/>
      <c r="AE49" s="166"/>
      <c r="AF49" s="166"/>
      <c r="AG49" s="166"/>
      <c r="AH49" s="182" t="e">
        <f t="shared" si="12"/>
        <v>#N/A</v>
      </c>
      <c r="AI49" s="455"/>
      <c r="AJ49" s="166"/>
      <c r="AK49" s="166"/>
      <c r="AL49" s="166"/>
      <c r="AM49" s="182" t="e">
        <f t="shared" si="13"/>
        <v>#N/A</v>
      </c>
      <c r="AN49" s="455"/>
      <c r="AO49" s="166"/>
      <c r="AP49" s="166"/>
      <c r="AQ49" s="166"/>
      <c r="AR49" s="182" t="e">
        <f t="shared" si="14"/>
        <v>#N/A</v>
      </c>
      <c r="AS49" s="455"/>
      <c r="AT49" s="166"/>
      <c r="AU49" s="166"/>
      <c r="AV49" s="166"/>
      <c r="AW49" s="182" t="e">
        <f t="shared" si="15"/>
        <v>#N/A</v>
      </c>
      <c r="AX49" s="455"/>
      <c r="AZ49" s="182" t="e">
        <f t="shared" si="16"/>
        <v>#N/A</v>
      </c>
      <c r="BA49" s="455"/>
    </row>
    <row r="50" spans="2:53">
      <c r="B50" s="454"/>
      <c r="C50" s="182">
        <v>9</v>
      </c>
      <c r="D50" s="203"/>
      <c r="E50" s="166"/>
      <c r="F50" s="182"/>
      <c r="G50" s="180"/>
      <c r="H50" s="464"/>
      <c r="I50" s="166" t="str">
        <f t="shared" si="17"/>
        <v>-</v>
      </c>
      <c r="J50" s="166" t="str">
        <f t="shared" si="18"/>
        <v>-</v>
      </c>
      <c r="K50" s="180" t="str">
        <f t="shared" si="19"/>
        <v>-</v>
      </c>
      <c r="L50" s="464"/>
      <c r="M50" s="181" t="e">
        <f>RANK(K50, K$42:$K$71)</f>
        <v>#VALUE!</v>
      </c>
      <c r="N50" s="461"/>
      <c r="O50" s="461"/>
      <c r="P50" s="166"/>
      <c r="Q50" s="166"/>
      <c r="R50" s="166"/>
      <c r="S50" s="182" t="e">
        <f t="shared" si="9"/>
        <v>#N/A</v>
      </c>
      <c r="T50" s="455"/>
      <c r="U50" s="166"/>
      <c r="V50" s="166"/>
      <c r="W50" s="166"/>
      <c r="X50" s="182" t="e">
        <f t="shared" si="10"/>
        <v>#N/A</v>
      </c>
      <c r="Y50" s="455"/>
      <c r="Z50" s="166"/>
      <c r="AA50" s="166"/>
      <c r="AB50" s="166"/>
      <c r="AC50" s="182" t="e">
        <f t="shared" si="11"/>
        <v>#N/A</v>
      </c>
      <c r="AD50" s="455"/>
      <c r="AE50" s="166"/>
      <c r="AF50" s="166"/>
      <c r="AG50" s="166"/>
      <c r="AH50" s="182" t="e">
        <f t="shared" si="12"/>
        <v>#N/A</v>
      </c>
      <c r="AI50" s="455"/>
      <c r="AJ50" s="166"/>
      <c r="AK50" s="166"/>
      <c r="AL50" s="166"/>
      <c r="AM50" s="182" t="e">
        <f t="shared" si="13"/>
        <v>#N/A</v>
      </c>
      <c r="AN50" s="455"/>
      <c r="AO50" s="166"/>
      <c r="AP50" s="166"/>
      <c r="AQ50" s="166"/>
      <c r="AR50" s="182" t="e">
        <f t="shared" si="14"/>
        <v>#N/A</v>
      </c>
      <c r="AS50" s="455"/>
      <c r="AT50" s="166"/>
      <c r="AU50" s="166"/>
      <c r="AV50" s="166"/>
      <c r="AW50" s="182" t="e">
        <f t="shared" si="15"/>
        <v>#N/A</v>
      </c>
      <c r="AX50" s="455"/>
      <c r="AZ50" s="182" t="e">
        <f t="shared" si="16"/>
        <v>#N/A</v>
      </c>
      <c r="BA50" s="455"/>
    </row>
    <row r="51" spans="2:53">
      <c r="B51" s="454"/>
      <c r="C51" s="182">
        <v>10</v>
      </c>
      <c r="D51" s="203"/>
      <c r="E51" s="166"/>
      <c r="F51" s="182"/>
      <c r="G51" s="180"/>
      <c r="H51" s="464"/>
      <c r="I51" s="166" t="str">
        <f t="shared" si="17"/>
        <v>-</v>
      </c>
      <c r="J51" s="166" t="str">
        <f t="shared" si="18"/>
        <v>-</v>
      </c>
      <c r="K51" s="180" t="str">
        <f t="shared" si="19"/>
        <v>-</v>
      </c>
      <c r="L51" s="464"/>
      <c r="M51" s="181" t="e">
        <f>RANK(K51, K$42:$K$71)</f>
        <v>#VALUE!</v>
      </c>
      <c r="N51" s="461"/>
      <c r="O51" s="461"/>
      <c r="P51" s="166"/>
      <c r="Q51" s="166"/>
      <c r="R51" s="166"/>
      <c r="S51" s="182" t="e">
        <f t="shared" si="9"/>
        <v>#N/A</v>
      </c>
      <c r="T51" s="455"/>
      <c r="U51" s="166"/>
      <c r="V51" s="166"/>
      <c r="W51" s="166"/>
      <c r="X51" s="182" t="e">
        <f t="shared" si="10"/>
        <v>#N/A</v>
      </c>
      <c r="Y51" s="455"/>
      <c r="Z51" s="166"/>
      <c r="AA51" s="166"/>
      <c r="AB51" s="166"/>
      <c r="AC51" s="182" t="e">
        <f t="shared" si="11"/>
        <v>#N/A</v>
      </c>
      <c r="AD51" s="455"/>
      <c r="AE51" s="166"/>
      <c r="AF51" s="166"/>
      <c r="AG51" s="166"/>
      <c r="AH51" s="182" t="e">
        <f t="shared" si="12"/>
        <v>#N/A</v>
      </c>
      <c r="AI51" s="455"/>
      <c r="AJ51" s="166"/>
      <c r="AK51" s="166"/>
      <c r="AL51" s="166"/>
      <c r="AM51" s="182" t="e">
        <f t="shared" si="13"/>
        <v>#N/A</v>
      </c>
      <c r="AN51" s="455"/>
      <c r="AO51" s="166"/>
      <c r="AP51" s="166"/>
      <c r="AQ51" s="166"/>
      <c r="AR51" s="182" t="e">
        <f t="shared" si="14"/>
        <v>#N/A</v>
      </c>
      <c r="AS51" s="455"/>
      <c r="AT51" s="166"/>
      <c r="AU51" s="166"/>
      <c r="AV51" s="166"/>
      <c r="AW51" s="182" t="e">
        <f t="shared" si="15"/>
        <v>#N/A</v>
      </c>
      <c r="AX51" s="455"/>
      <c r="AZ51" s="182" t="e">
        <f t="shared" si="16"/>
        <v>#N/A</v>
      </c>
      <c r="BA51" s="455"/>
    </row>
    <row r="52" spans="2:53">
      <c r="B52" s="454"/>
      <c r="C52" s="182">
        <v>11</v>
      </c>
      <c r="D52" s="203"/>
      <c r="E52" s="166"/>
      <c r="F52" s="182"/>
      <c r="G52" s="180"/>
      <c r="H52" s="464"/>
      <c r="I52" s="166" t="str">
        <f t="shared" si="17"/>
        <v>-</v>
      </c>
      <c r="J52" s="166" t="str">
        <f t="shared" si="18"/>
        <v>-</v>
      </c>
      <c r="K52" s="180" t="str">
        <f t="shared" si="19"/>
        <v>-</v>
      </c>
      <c r="L52" s="464"/>
      <c r="M52" s="181" t="e">
        <f>RANK(K52, K$42:$K$71)</f>
        <v>#VALUE!</v>
      </c>
      <c r="N52" s="461"/>
      <c r="O52" s="461"/>
      <c r="P52" s="166"/>
      <c r="Q52" s="166"/>
      <c r="R52" s="166"/>
      <c r="S52" s="182" t="e">
        <f t="shared" si="9"/>
        <v>#N/A</v>
      </c>
      <c r="T52" s="455"/>
      <c r="U52" s="166"/>
      <c r="V52" s="166"/>
      <c r="W52" s="166"/>
      <c r="X52" s="182" t="e">
        <f t="shared" si="10"/>
        <v>#N/A</v>
      </c>
      <c r="Y52" s="455"/>
      <c r="Z52" s="166"/>
      <c r="AA52" s="166"/>
      <c r="AB52" s="166"/>
      <c r="AC52" s="182" t="e">
        <f t="shared" si="11"/>
        <v>#N/A</v>
      </c>
      <c r="AD52" s="455"/>
      <c r="AE52" s="166"/>
      <c r="AF52" s="166"/>
      <c r="AG52" s="166"/>
      <c r="AH52" s="182" t="e">
        <f t="shared" si="12"/>
        <v>#N/A</v>
      </c>
      <c r="AI52" s="455"/>
      <c r="AJ52" s="166"/>
      <c r="AK52" s="166"/>
      <c r="AL52" s="166"/>
      <c r="AM52" s="182" t="e">
        <f t="shared" si="13"/>
        <v>#N/A</v>
      </c>
      <c r="AN52" s="455"/>
      <c r="AO52" s="166"/>
      <c r="AP52" s="166"/>
      <c r="AQ52" s="166"/>
      <c r="AR52" s="182" t="e">
        <f t="shared" si="14"/>
        <v>#N/A</v>
      </c>
      <c r="AS52" s="455"/>
      <c r="AT52" s="166"/>
      <c r="AU52" s="166"/>
      <c r="AV52" s="166"/>
      <c r="AW52" s="182" t="e">
        <f t="shared" si="15"/>
        <v>#N/A</v>
      </c>
      <c r="AX52" s="455"/>
      <c r="AZ52" s="182" t="e">
        <f t="shared" si="16"/>
        <v>#N/A</v>
      </c>
      <c r="BA52" s="455"/>
    </row>
    <row r="53" spans="2:53">
      <c r="B53" s="454"/>
      <c r="C53" s="182">
        <v>12</v>
      </c>
      <c r="D53" s="203"/>
      <c r="E53" s="166"/>
      <c r="F53" s="182"/>
      <c r="G53" s="180"/>
      <c r="H53" s="464"/>
      <c r="I53" s="166" t="str">
        <f t="shared" si="17"/>
        <v>-</v>
      </c>
      <c r="J53" s="166" t="str">
        <f t="shared" si="18"/>
        <v>-</v>
      </c>
      <c r="K53" s="180" t="str">
        <f t="shared" si="19"/>
        <v>-</v>
      </c>
      <c r="L53" s="464"/>
      <c r="M53" s="181" t="e">
        <f>RANK(K53, K$42:$K$71)</f>
        <v>#VALUE!</v>
      </c>
      <c r="N53" s="461"/>
      <c r="O53" s="461"/>
      <c r="P53" s="166"/>
      <c r="Q53" s="166"/>
      <c r="R53" s="166"/>
      <c r="S53" s="182" t="e">
        <f t="shared" si="9"/>
        <v>#N/A</v>
      </c>
      <c r="T53" s="455"/>
      <c r="U53" s="166"/>
      <c r="V53" s="166"/>
      <c r="W53" s="166"/>
      <c r="X53" s="182" t="e">
        <f t="shared" si="10"/>
        <v>#N/A</v>
      </c>
      <c r="Y53" s="455"/>
      <c r="Z53" s="166"/>
      <c r="AA53" s="166"/>
      <c r="AB53" s="166"/>
      <c r="AC53" s="182" t="e">
        <f t="shared" si="11"/>
        <v>#N/A</v>
      </c>
      <c r="AD53" s="455"/>
      <c r="AE53" s="166"/>
      <c r="AF53" s="166"/>
      <c r="AG53" s="166"/>
      <c r="AH53" s="182" t="e">
        <f t="shared" si="12"/>
        <v>#N/A</v>
      </c>
      <c r="AI53" s="455"/>
      <c r="AJ53" s="166"/>
      <c r="AK53" s="166"/>
      <c r="AL53" s="166"/>
      <c r="AM53" s="182" t="e">
        <f t="shared" si="13"/>
        <v>#N/A</v>
      </c>
      <c r="AN53" s="455"/>
      <c r="AO53" s="166"/>
      <c r="AP53" s="166"/>
      <c r="AQ53" s="166"/>
      <c r="AR53" s="182" t="e">
        <f t="shared" si="14"/>
        <v>#N/A</v>
      </c>
      <c r="AS53" s="455"/>
      <c r="AT53" s="166"/>
      <c r="AU53" s="166"/>
      <c r="AV53" s="166"/>
      <c r="AW53" s="182" t="e">
        <f t="shared" si="15"/>
        <v>#N/A</v>
      </c>
      <c r="AX53" s="455"/>
      <c r="AZ53" s="182" t="e">
        <f t="shared" si="16"/>
        <v>#N/A</v>
      </c>
      <c r="BA53" s="455"/>
    </row>
    <row r="54" spans="2:53">
      <c r="B54" s="454"/>
      <c r="C54" s="182">
        <v>13</v>
      </c>
      <c r="D54" s="203"/>
      <c r="E54" s="166"/>
      <c r="F54" s="182"/>
      <c r="G54" s="180"/>
      <c r="H54" s="464"/>
      <c r="I54" s="166" t="str">
        <f t="shared" si="17"/>
        <v>-</v>
      </c>
      <c r="J54" s="166" t="str">
        <f t="shared" si="18"/>
        <v>-</v>
      </c>
      <c r="K54" s="180" t="str">
        <f t="shared" si="19"/>
        <v>-</v>
      </c>
      <c r="L54" s="464"/>
      <c r="M54" s="181" t="e">
        <f>RANK(K54, K$42:$K$71)</f>
        <v>#VALUE!</v>
      </c>
      <c r="N54" s="461"/>
      <c r="O54" s="461"/>
      <c r="P54" s="166"/>
      <c r="Q54" s="166"/>
      <c r="R54" s="166"/>
      <c r="S54" s="182" t="e">
        <f t="shared" si="9"/>
        <v>#N/A</v>
      </c>
      <c r="T54" s="455"/>
      <c r="U54" s="166"/>
      <c r="V54" s="166"/>
      <c r="W54" s="166"/>
      <c r="X54" s="182" t="e">
        <f t="shared" si="10"/>
        <v>#N/A</v>
      </c>
      <c r="Y54" s="455"/>
      <c r="Z54" s="166"/>
      <c r="AA54" s="166"/>
      <c r="AB54" s="166"/>
      <c r="AC54" s="182" t="e">
        <f t="shared" si="11"/>
        <v>#N/A</v>
      </c>
      <c r="AD54" s="455"/>
      <c r="AE54" s="166"/>
      <c r="AF54" s="166"/>
      <c r="AG54" s="166"/>
      <c r="AH54" s="182" t="e">
        <f t="shared" si="12"/>
        <v>#N/A</v>
      </c>
      <c r="AI54" s="455"/>
      <c r="AJ54" s="166"/>
      <c r="AK54" s="166"/>
      <c r="AL54" s="166"/>
      <c r="AM54" s="182" t="e">
        <f t="shared" si="13"/>
        <v>#N/A</v>
      </c>
      <c r="AN54" s="455"/>
      <c r="AO54" s="166"/>
      <c r="AP54" s="166"/>
      <c r="AQ54" s="166"/>
      <c r="AR54" s="182" t="e">
        <f t="shared" si="14"/>
        <v>#N/A</v>
      </c>
      <c r="AS54" s="455"/>
      <c r="AT54" s="166"/>
      <c r="AU54" s="166"/>
      <c r="AV54" s="166"/>
      <c r="AW54" s="182" t="e">
        <f t="shared" si="15"/>
        <v>#N/A</v>
      </c>
      <c r="AX54" s="455"/>
      <c r="AZ54" s="182" t="e">
        <f t="shared" si="16"/>
        <v>#N/A</v>
      </c>
      <c r="BA54" s="455"/>
    </row>
    <row r="55" spans="2:53">
      <c r="B55" s="454"/>
      <c r="C55" s="182">
        <v>14</v>
      </c>
      <c r="D55" s="203"/>
      <c r="E55" s="166"/>
      <c r="F55" s="182"/>
      <c r="G55" s="180"/>
      <c r="H55" s="464"/>
      <c r="I55" s="166" t="str">
        <f t="shared" si="17"/>
        <v>-</v>
      </c>
      <c r="J55" s="166" t="str">
        <f t="shared" si="18"/>
        <v>-</v>
      </c>
      <c r="K55" s="180" t="str">
        <f t="shared" si="19"/>
        <v>-</v>
      </c>
      <c r="L55" s="464"/>
      <c r="M55" s="181" t="e">
        <f>RANK(K55, K$42:$K$71)</f>
        <v>#VALUE!</v>
      </c>
      <c r="N55" s="461"/>
      <c r="O55" s="461"/>
      <c r="P55" s="166"/>
      <c r="Q55" s="166"/>
      <c r="R55" s="166"/>
      <c r="S55" s="182" t="e">
        <f t="shared" si="9"/>
        <v>#N/A</v>
      </c>
      <c r="T55" s="455"/>
      <c r="U55" s="166"/>
      <c r="V55" s="166"/>
      <c r="W55" s="166"/>
      <c r="X55" s="182" t="e">
        <f t="shared" si="10"/>
        <v>#N/A</v>
      </c>
      <c r="Y55" s="455"/>
      <c r="Z55" s="166"/>
      <c r="AA55" s="166"/>
      <c r="AB55" s="166"/>
      <c r="AC55" s="182" t="e">
        <f t="shared" si="11"/>
        <v>#N/A</v>
      </c>
      <c r="AD55" s="455"/>
      <c r="AE55" s="166"/>
      <c r="AF55" s="166"/>
      <c r="AG55" s="166"/>
      <c r="AH55" s="182" t="e">
        <f t="shared" si="12"/>
        <v>#N/A</v>
      </c>
      <c r="AI55" s="455"/>
      <c r="AJ55" s="166"/>
      <c r="AK55" s="166"/>
      <c r="AL55" s="166"/>
      <c r="AM55" s="182" t="e">
        <f t="shared" si="13"/>
        <v>#N/A</v>
      </c>
      <c r="AN55" s="455"/>
      <c r="AO55" s="166"/>
      <c r="AP55" s="166"/>
      <c r="AQ55" s="166"/>
      <c r="AR55" s="182" t="e">
        <f t="shared" si="14"/>
        <v>#N/A</v>
      </c>
      <c r="AS55" s="455"/>
      <c r="AT55" s="166"/>
      <c r="AU55" s="166"/>
      <c r="AV55" s="166"/>
      <c r="AW55" s="182" t="e">
        <f t="shared" si="15"/>
        <v>#N/A</v>
      </c>
      <c r="AX55" s="455"/>
      <c r="AZ55" s="182" t="e">
        <f t="shared" si="16"/>
        <v>#N/A</v>
      </c>
      <c r="BA55" s="455"/>
    </row>
    <row r="56" spans="2:53">
      <c r="B56" s="454"/>
      <c r="C56" s="182">
        <v>15</v>
      </c>
      <c r="D56" s="203"/>
      <c r="E56" s="166"/>
      <c r="F56" s="182"/>
      <c r="G56" s="180"/>
      <c r="H56" s="464"/>
      <c r="I56" s="166" t="str">
        <f t="shared" si="17"/>
        <v>-</v>
      </c>
      <c r="J56" s="166" t="str">
        <f t="shared" si="18"/>
        <v>-</v>
      </c>
      <c r="K56" s="180" t="str">
        <f t="shared" si="19"/>
        <v>-</v>
      </c>
      <c r="L56" s="464"/>
      <c r="M56" s="166" t="e">
        <f>RANK(K56, K$42:$K$71)</f>
        <v>#VALUE!</v>
      </c>
      <c r="N56" s="461"/>
      <c r="O56" s="461"/>
      <c r="P56" s="166"/>
      <c r="Q56" s="166"/>
      <c r="R56" s="166"/>
      <c r="S56" s="182" t="e">
        <f t="shared" si="9"/>
        <v>#N/A</v>
      </c>
      <c r="T56" s="455"/>
      <c r="U56" s="166"/>
      <c r="V56" s="166"/>
      <c r="W56" s="166"/>
      <c r="X56" s="182" t="e">
        <f t="shared" si="10"/>
        <v>#N/A</v>
      </c>
      <c r="Y56" s="455"/>
      <c r="Z56" s="166"/>
      <c r="AA56" s="166"/>
      <c r="AB56" s="166"/>
      <c r="AC56" s="182" t="e">
        <f t="shared" si="11"/>
        <v>#N/A</v>
      </c>
      <c r="AD56" s="455"/>
      <c r="AE56" s="166"/>
      <c r="AF56" s="166"/>
      <c r="AG56" s="166"/>
      <c r="AH56" s="182" t="e">
        <f t="shared" si="12"/>
        <v>#N/A</v>
      </c>
      <c r="AI56" s="455"/>
      <c r="AJ56" s="166"/>
      <c r="AK56" s="166"/>
      <c r="AL56" s="166"/>
      <c r="AM56" s="182" t="e">
        <f t="shared" si="13"/>
        <v>#N/A</v>
      </c>
      <c r="AN56" s="455"/>
      <c r="AO56" s="166"/>
      <c r="AP56" s="166"/>
      <c r="AQ56" s="166"/>
      <c r="AR56" s="182" t="e">
        <f t="shared" si="14"/>
        <v>#N/A</v>
      </c>
      <c r="AS56" s="455"/>
      <c r="AT56" s="166"/>
      <c r="AU56" s="166"/>
      <c r="AV56" s="166"/>
      <c r="AW56" s="182" t="e">
        <f t="shared" si="15"/>
        <v>#N/A</v>
      </c>
      <c r="AX56" s="455"/>
      <c r="AZ56" s="182" t="e">
        <f t="shared" si="16"/>
        <v>#N/A</v>
      </c>
      <c r="BA56" s="455"/>
    </row>
    <row r="57" spans="2:53">
      <c r="B57" s="454"/>
      <c r="C57" s="182">
        <v>16</v>
      </c>
      <c r="D57" s="203"/>
      <c r="E57" s="166"/>
      <c r="F57" s="182"/>
      <c r="G57" s="180"/>
      <c r="H57" s="464"/>
      <c r="I57" s="166" t="str">
        <f t="shared" si="17"/>
        <v>-</v>
      </c>
      <c r="J57" s="166" t="str">
        <f t="shared" si="18"/>
        <v>-</v>
      </c>
      <c r="K57" s="180" t="str">
        <f t="shared" si="19"/>
        <v>-</v>
      </c>
      <c r="L57" s="464"/>
      <c r="M57" s="166" t="e">
        <f>RANK(K57, K$42:$K$71)</f>
        <v>#VALUE!</v>
      </c>
      <c r="N57" s="461"/>
      <c r="O57" s="461"/>
      <c r="P57" s="166"/>
      <c r="Q57" s="166"/>
      <c r="R57" s="166"/>
      <c r="S57" s="182" t="e">
        <f t="shared" si="9"/>
        <v>#N/A</v>
      </c>
      <c r="T57" s="455"/>
      <c r="U57" s="166"/>
      <c r="V57" s="166"/>
      <c r="W57" s="166"/>
      <c r="X57" s="182" t="e">
        <f t="shared" si="10"/>
        <v>#N/A</v>
      </c>
      <c r="Y57" s="455"/>
      <c r="Z57" s="166"/>
      <c r="AA57" s="166"/>
      <c r="AB57" s="166"/>
      <c r="AC57" s="182" t="e">
        <f t="shared" si="11"/>
        <v>#N/A</v>
      </c>
      <c r="AD57" s="455"/>
      <c r="AE57" s="166"/>
      <c r="AF57" s="166"/>
      <c r="AG57" s="166"/>
      <c r="AH57" s="182" t="e">
        <f t="shared" si="12"/>
        <v>#N/A</v>
      </c>
      <c r="AI57" s="455"/>
      <c r="AJ57" s="166"/>
      <c r="AK57" s="166"/>
      <c r="AL57" s="166"/>
      <c r="AM57" s="182" t="e">
        <f t="shared" si="13"/>
        <v>#N/A</v>
      </c>
      <c r="AN57" s="455"/>
      <c r="AO57" s="166"/>
      <c r="AP57" s="166"/>
      <c r="AQ57" s="166"/>
      <c r="AR57" s="182" t="e">
        <f t="shared" si="14"/>
        <v>#N/A</v>
      </c>
      <c r="AS57" s="455"/>
      <c r="AT57" s="166"/>
      <c r="AU57" s="166"/>
      <c r="AV57" s="166"/>
      <c r="AW57" s="182" t="e">
        <f t="shared" si="15"/>
        <v>#N/A</v>
      </c>
      <c r="AX57" s="455"/>
      <c r="AZ57" s="182" t="e">
        <f t="shared" si="16"/>
        <v>#N/A</v>
      </c>
      <c r="BA57" s="455"/>
    </row>
    <row r="58" spans="2:53">
      <c r="B58" s="454"/>
      <c r="C58" s="182">
        <v>17</v>
      </c>
      <c r="D58" s="203"/>
      <c r="E58" s="166"/>
      <c r="F58" s="182"/>
      <c r="G58" s="180"/>
      <c r="H58" s="464"/>
      <c r="I58" s="166" t="str">
        <f t="shared" si="17"/>
        <v>-</v>
      </c>
      <c r="J58" s="166" t="str">
        <f t="shared" si="18"/>
        <v>-</v>
      </c>
      <c r="K58" s="180" t="str">
        <f t="shared" si="19"/>
        <v>-</v>
      </c>
      <c r="L58" s="464"/>
      <c r="M58" s="166" t="e">
        <f>RANK(K58, K$42:$K$71)</f>
        <v>#VALUE!</v>
      </c>
      <c r="N58" s="461"/>
      <c r="O58" s="461"/>
      <c r="P58" s="166"/>
      <c r="Q58" s="166"/>
      <c r="R58" s="166"/>
      <c r="S58" s="182" t="e">
        <f t="shared" si="9"/>
        <v>#N/A</v>
      </c>
      <c r="T58" s="455"/>
      <c r="U58" s="166"/>
      <c r="V58" s="166"/>
      <c r="W58" s="166"/>
      <c r="X58" s="182" t="e">
        <f t="shared" si="10"/>
        <v>#N/A</v>
      </c>
      <c r="Y58" s="455"/>
      <c r="Z58" s="166"/>
      <c r="AA58" s="166"/>
      <c r="AB58" s="166"/>
      <c r="AC58" s="182" t="e">
        <f t="shared" si="11"/>
        <v>#N/A</v>
      </c>
      <c r="AD58" s="455"/>
      <c r="AE58" s="166"/>
      <c r="AF58" s="166"/>
      <c r="AG58" s="166"/>
      <c r="AH58" s="182" t="e">
        <f t="shared" si="12"/>
        <v>#N/A</v>
      </c>
      <c r="AI58" s="455"/>
      <c r="AJ58" s="166"/>
      <c r="AK58" s="166"/>
      <c r="AL58" s="166"/>
      <c r="AM58" s="182" t="e">
        <f t="shared" si="13"/>
        <v>#N/A</v>
      </c>
      <c r="AN58" s="455"/>
      <c r="AO58" s="166"/>
      <c r="AP58" s="166"/>
      <c r="AQ58" s="166"/>
      <c r="AR58" s="182" t="e">
        <f t="shared" si="14"/>
        <v>#N/A</v>
      </c>
      <c r="AS58" s="455"/>
      <c r="AT58" s="166"/>
      <c r="AU58" s="166"/>
      <c r="AV58" s="166"/>
      <c r="AW58" s="182" t="e">
        <f t="shared" si="15"/>
        <v>#N/A</v>
      </c>
      <c r="AX58" s="455"/>
      <c r="AZ58" s="182" t="e">
        <f t="shared" si="16"/>
        <v>#N/A</v>
      </c>
      <c r="BA58" s="455"/>
    </row>
    <row r="59" spans="2:53">
      <c r="B59" s="454"/>
      <c r="C59" s="182">
        <v>18</v>
      </c>
      <c r="D59" s="203"/>
      <c r="E59" s="166"/>
      <c r="F59" s="182"/>
      <c r="G59" s="180"/>
      <c r="H59" s="464"/>
      <c r="I59" s="166" t="str">
        <f t="shared" si="17"/>
        <v>-</v>
      </c>
      <c r="J59" s="166" t="str">
        <f t="shared" si="18"/>
        <v>-</v>
      </c>
      <c r="K59" s="180" t="str">
        <f t="shared" si="19"/>
        <v>-</v>
      </c>
      <c r="L59" s="464"/>
      <c r="M59" s="166" t="e">
        <f>RANK(K59, K$42:$K$71)</f>
        <v>#VALUE!</v>
      </c>
      <c r="N59" s="461"/>
      <c r="O59" s="461"/>
      <c r="P59" s="166"/>
      <c r="Q59" s="166"/>
      <c r="R59" s="166"/>
      <c r="S59" s="182" t="e">
        <f t="shared" si="9"/>
        <v>#N/A</v>
      </c>
      <c r="T59" s="455"/>
      <c r="U59" s="166"/>
      <c r="V59" s="166"/>
      <c r="W59" s="166"/>
      <c r="X59" s="182" t="e">
        <f t="shared" si="10"/>
        <v>#N/A</v>
      </c>
      <c r="Y59" s="455"/>
      <c r="Z59" s="166"/>
      <c r="AA59" s="166"/>
      <c r="AB59" s="166"/>
      <c r="AC59" s="182" t="e">
        <f t="shared" si="11"/>
        <v>#N/A</v>
      </c>
      <c r="AD59" s="455"/>
      <c r="AE59" s="166"/>
      <c r="AF59" s="166"/>
      <c r="AG59" s="166"/>
      <c r="AH59" s="182" t="e">
        <f t="shared" si="12"/>
        <v>#N/A</v>
      </c>
      <c r="AI59" s="455"/>
      <c r="AJ59" s="166"/>
      <c r="AK59" s="166"/>
      <c r="AL59" s="166"/>
      <c r="AM59" s="182" t="e">
        <f t="shared" si="13"/>
        <v>#N/A</v>
      </c>
      <c r="AN59" s="455"/>
      <c r="AO59" s="166"/>
      <c r="AP59" s="166"/>
      <c r="AQ59" s="166"/>
      <c r="AR59" s="182" t="e">
        <f t="shared" si="14"/>
        <v>#N/A</v>
      </c>
      <c r="AS59" s="455"/>
      <c r="AT59" s="166"/>
      <c r="AU59" s="166"/>
      <c r="AV59" s="166"/>
      <c r="AW59" s="182" t="e">
        <f t="shared" si="15"/>
        <v>#N/A</v>
      </c>
      <c r="AX59" s="455"/>
      <c r="AZ59" s="182" t="e">
        <f t="shared" si="16"/>
        <v>#N/A</v>
      </c>
      <c r="BA59" s="455"/>
    </row>
    <row r="60" spans="2:53">
      <c r="B60" s="454"/>
      <c r="C60" s="182">
        <v>19</v>
      </c>
      <c r="D60" s="203"/>
      <c r="E60" s="166"/>
      <c r="F60" s="182"/>
      <c r="G60" s="180"/>
      <c r="H60" s="464"/>
      <c r="I60" s="166" t="str">
        <f t="shared" si="17"/>
        <v>-</v>
      </c>
      <c r="J60" s="166" t="str">
        <f t="shared" si="18"/>
        <v>-</v>
      </c>
      <c r="K60" s="180" t="str">
        <f t="shared" si="19"/>
        <v>-</v>
      </c>
      <c r="L60" s="464"/>
      <c r="M60" s="166" t="e">
        <f>RANK(K60, K$42:$K$71)</f>
        <v>#VALUE!</v>
      </c>
      <c r="N60" s="461"/>
      <c r="O60" s="461"/>
      <c r="P60" s="166"/>
      <c r="Q60" s="166"/>
      <c r="R60" s="166"/>
      <c r="S60" s="182" t="e">
        <f t="shared" si="9"/>
        <v>#N/A</v>
      </c>
      <c r="T60" s="455"/>
      <c r="U60" s="166"/>
      <c r="V60" s="166"/>
      <c r="W60" s="166"/>
      <c r="X60" s="182" t="e">
        <f t="shared" si="10"/>
        <v>#N/A</v>
      </c>
      <c r="Y60" s="455"/>
      <c r="Z60" s="166"/>
      <c r="AA60" s="166"/>
      <c r="AB60" s="166"/>
      <c r="AC60" s="182" t="e">
        <f t="shared" si="11"/>
        <v>#N/A</v>
      </c>
      <c r="AD60" s="455"/>
      <c r="AE60" s="166"/>
      <c r="AF60" s="166"/>
      <c r="AG60" s="166"/>
      <c r="AH60" s="182" t="e">
        <f t="shared" si="12"/>
        <v>#N/A</v>
      </c>
      <c r="AI60" s="455"/>
      <c r="AJ60" s="166"/>
      <c r="AK60" s="166"/>
      <c r="AL60" s="166"/>
      <c r="AM60" s="182" t="e">
        <f t="shared" si="13"/>
        <v>#N/A</v>
      </c>
      <c r="AN60" s="455"/>
      <c r="AO60" s="166"/>
      <c r="AP60" s="166"/>
      <c r="AQ60" s="166"/>
      <c r="AR60" s="182" t="e">
        <f t="shared" si="14"/>
        <v>#N/A</v>
      </c>
      <c r="AS60" s="455"/>
      <c r="AT60" s="166"/>
      <c r="AU60" s="166"/>
      <c r="AV60" s="166"/>
      <c r="AW60" s="182" t="e">
        <f t="shared" si="15"/>
        <v>#N/A</v>
      </c>
      <c r="AX60" s="455"/>
      <c r="AZ60" s="182" t="e">
        <f t="shared" si="16"/>
        <v>#N/A</v>
      </c>
      <c r="BA60" s="455"/>
    </row>
    <row r="61" spans="2:53">
      <c r="B61" s="454"/>
      <c r="C61" s="182">
        <v>20</v>
      </c>
      <c r="D61" s="203"/>
      <c r="E61" s="166"/>
      <c r="F61" s="182"/>
      <c r="G61" s="180"/>
      <c r="H61" s="464"/>
      <c r="I61" s="166" t="str">
        <f t="shared" si="17"/>
        <v>-</v>
      </c>
      <c r="J61" s="166" t="str">
        <f t="shared" si="18"/>
        <v>-</v>
      </c>
      <c r="K61" s="180" t="str">
        <f t="shared" si="19"/>
        <v>-</v>
      </c>
      <c r="L61" s="464"/>
      <c r="M61" s="166" t="e">
        <f>RANK(K61, K$42:$K$71)</f>
        <v>#VALUE!</v>
      </c>
      <c r="N61" s="461"/>
      <c r="O61" s="461"/>
      <c r="P61" s="166"/>
      <c r="Q61" s="166"/>
      <c r="R61" s="166"/>
      <c r="S61" s="182" t="e">
        <f t="shared" si="9"/>
        <v>#N/A</v>
      </c>
      <c r="T61" s="455"/>
      <c r="U61" s="166"/>
      <c r="V61" s="166"/>
      <c r="W61" s="166"/>
      <c r="X61" s="182" t="e">
        <f t="shared" si="10"/>
        <v>#N/A</v>
      </c>
      <c r="Y61" s="455"/>
      <c r="Z61" s="166"/>
      <c r="AA61" s="166"/>
      <c r="AB61" s="166"/>
      <c r="AC61" s="182" t="e">
        <f t="shared" si="11"/>
        <v>#N/A</v>
      </c>
      <c r="AD61" s="455"/>
      <c r="AE61" s="166"/>
      <c r="AF61" s="166"/>
      <c r="AG61" s="166"/>
      <c r="AH61" s="182" t="e">
        <f t="shared" si="12"/>
        <v>#N/A</v>
      </c>
      <c r="AI61" s="455"/>
      <c r="AJ61" s="166"/>
      <c r="AK61" s="166"/>
      <c r="AL61" s="166"/>
      <c r="AM61" s="182" t="e">
        <f t="shared" si="13"/>
        <v>#N/A</v>
      </c>
      <c r="AN61" s="455"/>
      <c r="AO61" s="166"/>
      <c r="AP61" s="166"/>
      <c r="AQ61" s="166"/>
      <c r="AR61" s="182" t="e">
        <f t="shared" si="14"/>
        <v>#N/A</v>
      </c>
      <c r="AS61" s="455"/>
      <c r="AT61" s="166"/>
      <c r="AU61" s="166"/>
      <c r="AV61" s="166"/>
      <c r="AW61" s="182" t="e">
        <f t="shared" si="15"/>
        <v>#N/A</v>
      </c>
      <c r="AX61" s="455"/>
      <c r="AZ61" s="182" t="e">
        <f t="shared" si="16"/>
        <v>#N/A</v>
      </c>
      <c r="BA61" s="455"/>
    </row>
    <row r="62" spans="2:53">
      <c r="B62" s="454"/>
      <c r="C62" s="182">
        <v>21</v>
      </c>
      <c r="D62" s="203"/>
      <c r="E62" s="166"/>
      <c r="F62" s="182"/>
      <c r="G62" s="180"/>
      <c r="H62" s="464"/>
      <c r="I62" s="166" t="str">
        <f t="shared" si="17"/>
        <v>-</v>
      </c>
      <c r="J62" s="166" t="str">
        <f t="shared" si="18"/>
        <v>-</v>
      </c>
      <c r="K62" s="180" t="str">
        <f t="shared" si="19"/>
        <v>-</v>
      </c>
      <c r="L62" s="464"/>
      <c r="M62" s="166" t="e">
        <f>RANK(K62, K$42:$K$71)</f>
        <v>#VALUE!</v>
      </c>
      <c r="N62" s="461"/>
      <c r="O62" s="461"/>
      <c r="P62" s="166"/>
      <c r="Q62" s="166"/>
      <c r="R62" s="166"/>
      <c r="S62" s="182" t="e">
        <f t="shared" si="9"/>
        <v>#N/A</v>
      </c>
      <c r="T62" s="455"/>
      <c r="U62" s="166"/>
      <c r="V62" s="166"/>
      <c r="W62" s="166"/>
      <c r="X62" s="182" t="e">
        <f t="shared" si="10"/>
        <v>#N/A</v>
      </c>
      <c r="Y62" s="455"/>
      <c r="Z62" s="166"/>
      <c r="AA62" s="166"/>
      <c r="AB62" s="166"/>
      <c r="AC62" s="182" t="e">
        <f t="shared" si="11"/>
        <v>#N/A</v>
      </c>
      <c r="AD62" s="455"/>
      <c r="AE62" s="166"/>
      <c r="AF62" s="166"/>
      <c r="AG62" s="166"/>
      <c r="AH62" s="182" t="e">
        <f t="shared" si="12"/>
        <v>#N/A</v>
      </c>
      <c r="AI62" s="455"/>
      <c r="AJ62" s="166"/>
      <c r="AK62" s="166"/>
      <c r="AL62" s="166"/>
      <c r="AM62" s="182" t="e">
        <f t="shared" si="13"/>
        <v>#N/A</v>
      </c>
      <c r="AN62" s="455"/>
      <c r="AO62" s="166"/>
      <c r="AP62" s="166"/>
      <c r="AQ62" s="166"/>
      <c r="AR62" s="182" t="e">
        <f t="shared" si="14"/>
        <v>#N/A</v>
      </c>
      <c r="AS62" s="455"/>
      <c r="AT62" s="166"/>
      <c r="AU62" s="166"/>
      <c r="AV62" s="166"/>
      <c r="AW62" s="182" t="e">
        <f t="shared" si="15"/>
        <v>#N/A</v>
      </c>
      <c r="AX62" s="455"/>
      <c r="AZ62" s="182" t="e">
        <f t="shared" si="16"/>
        <v>#N/A</v>
      </c>
      <c r="BA62" s="455"/>
    </row>
    <row r="63" spans="2:53">
      <c r="B63" s="454"/>
      <c r="C63" s="182">
        <v>22</v>
      </c>
      <c r="D63" s="203"/>
      <c r="E63" s="166"/>
      <c r="F63" s="182"/>
      <c r="G63" s="180"/>
      <c r="H63" s="464"/>
      <c r="I63" s="166" t="str">
        <f t="shared" si="17"/>
        <v>-</v>
      </c>
      <c r="J63" s="166" t="str">
        <f t="shared" si="18"/>
        <v>-</v>
      </c>
      <c r="K63" s="180" t="str">
        <f t="shared" si="19"/>
        <v>-</v>
      </c>
      <c r="L63" s="464"/>
      <c r="M63" s="166" t="e">
        <f>RANK(K63, K$42:$K$71)</f>
        <v>#VALUE!</v>
      </c>
      <c r="N63" s="461"/>
      <c r="O63" s="461"/>
      <c r="P63" s="166"/>
      <c r="Q63" s="166"/>
      <c r="R63" s="166"/>
      <c r="S63" s="182" t="e">
        <f t="shared" si="9"/>
        <v>#N/A</v>
      </c>
      <c r="T63" s="455"/>
      <c r="U63" s="166"/>
      <c r="V63" s="166"/>
      <c r="W63" s="166"/>
      <c r="X63" s="182" t="e">
        <f t="shared" si="10"/>
        <v>#N/A</v>
      </c>
      <c r="Y63" s="455"/>
      <c r="Z63" s="166"/>
      <c r="AA63" s="166"/>
      <c r="AB63" s="166"/>
      <c r="AC63" s="182" t="e">
        <f t="shared" si="11"/>
        <v>#N/A</v>
      </c>
      <c r="AD63" s="455"/>
      <c r="AE63" s="166"/>
      <c r="AF63" s="166"/>
      <c r="AG63" s="166"/>
      <c r="AH63" s="182" t="e">
        <f t="shared" si="12"/>
        <v>#N/A</v>
      </c>
      <c r="AI63" s="455"/>
      <c r="AJ63" s="166"/>
      <c r="AK63" s="166"/>
      <c r="AL63" s="166"/>
      <c r="AM63" s="182" t="e">
        <f t="shared" si="13"/>
        <v>#N/A</v>
      </c>
      <c r="AN63" s="455"/>
      <c r="AO63" s="166"/>
      <c r="AP63" s="166"/>
      <c r="AQ63" s="166"/>
      <c r="AR63" s="182" t="e">
        <f t="shared" si="14"/>
        <v>#N/A</v>
      </c>
      <c r="AS63" s="455"/>
      <c r="AT63" s="166"/>
      <c r="AU63" s="166"/>
      <c r="AV63" s="166"/>
      <c r="AW63" s="182" t="e">
        <f t="shared" si="15"/>
        <v>#N/A</v>
      </c>
      <c r="AX63" s="455"/>
      <c r="AZ63" s="182" t="e">
        <f t="shared" si="16"/>
        <v>#N/A</v>
      </c>
      <c r="BA63" s="455"/>
    </row>
    <row r="64" spans="2:53">
      <c r="B64" s="454"/>
      <c r="C64" s="182">
        <v>23</v>
      </c>
      <c r="D64" s="203"/>
      <c r="E64" s="166"/>
      <c r="F64" s="182"/>
      <c r="G64" s="180"/>
      <c r="H64" s="464"/>
      <c r="I64" s="166" t="str">
        <f t="shared" si="17"/>
        <v>-</v>
      </c>
      <c r="J64" s="166" t="str">
        <f t="shared" si="18"/>
        <v>-</v>
      </c>
      <c r="K64" s="180" t="str">
        <f t="shared" si="19"/>
        <v>-</v>
      </c>
      <c r="L64" s="464"/>
      <c r="M64" s="166" t="e">
        <f>RANK(K64, K$42:$K$71)</f>
        <v>#VALUE!</v>
      </c>
      <c r="N64" s="461"/>
      <c r="O64" s="461"/>
      <c r="P64" s="166"/>
      <c r="Q64" s="166"/>
      <c r="R64" s="166"/>
      <c r="S64" s="182" t="e">
        <f t="shared" si="9"/>
        <v>#N/A</v>
      </c>
      <c r="T64" s="455"/>
      <c r="U64" s="166"/>
      <c r="V64" s="166"/>
      <c r="W64" s="166"/>
      <c r="X64" s="182" t="e">
        <f t="shared" si="10"/>
        <v>#N/A</v>
      </c>
      <c r="Y64" s="455"/>
      <c r="Z64" s="166"/>
      <c r="AA64" s="166"/>
      <c r="AB64" s="166"/>
      <c r="AC64" s="182" t="e">
        <f t="shared" si="11"/>
        <v>#N/A</v>
      </c>
      <c r="AD64" s="455"/>
      <c r="AE64" s="166"/>
      <c r="AF64" s="166"/>
      <c r="AG64" s="166"/>
      <c r="AH64" s="182" t="e">
        <f t="shared" si="12"/>
        <v>#N/A</v>
      </c>
      <c r="AI64" s="455"/>
      <c r="AJ64" s="166"/>
      <c r="AK64" s="166"/>
      <c r="AL64" s="166"/>
      <c r="AM64" s="182" t="e">
        <f t="shared" si="13"/>
        <v>#N/A</v>
      </c>
      <c r="AN64" s="455"/>
      <c r="AO64" s="166"/>
      <c r="AP64" s="166"/>
      <c r="AQ64" s="166"/>
      <c r="AR64" s="182" t="e">
        <f t="shared" si="14"/>
        <v>#N/A</v>
      </c>
      <c r="AS64" s="455"/>
      <c r="AT64" s="166"/>
      <c r="AU64" s="166"/>
      <c r="AV64" s="166"/>
      <c r="AW64" s="182" t="e">
        <f t="shared" si="15"/>
        <v>#N/A</v>
      </c>
      <c r="AX64" s="455"/>
      <c r="AZ64" s="182" t="e">
        <f t="shared" si="16"/>
        <v>#N/A</v>
      </c>
      <c r="BA64" s="455"/>
    </row>
    <row r="65" spans="2:53">
      <c r="B65" s="454"/>
      <c r="C65" s="182">
        <v>24</v>
      </c>
      <c r="D65" s="203"/>
      <c r="E65" s="166"/>
      <c r="F65" s="182"/>
      <c r="G65" s="180"/>
      <c r="H65" s="464"/>
      <c r="I65" s="166" t="str">
        <f t="shared" si="17"/>
        <v>-</v>
      </c>
      <c r="J65" s="166" t="str">
        <f t="shared" si="18"/>
        <v>-</v>
      </c>
      <c r="K65" s="180" t="str">
        <f t="shared" si="19"/>
        <v>-</v>
      </c>
      <c r="L65" s="464"/>
      <c r="M65" s="166" t="e">
        <f>RANK(K65, K$42:$K$71)</f>
        <v>#VALUE!</v>
      </c>
      <c r="N65" s="461"/>
      <c r="O65" s="461"/>
      <c r="P65" s="182"/>
      <c r="Q65" s="180"/>
      <c r="R65" s="180"/>
      <c r="S65" s="182" t="e">
        <f t="shared" si="9"/>
        <v>#N/A</v>
      </c>
      <c r="T65" s="455"/>
      <c r="U65" s="182"/>
      <c r="V65" s="180"/>
      <c r="W65" s="180"/>
      <c r="X65" s="182" t="e">
        <f t="shared" si="10"/>
        <v>#N/A</v>
      </c>
      <c r="Y65" s="455"/>
      <c r="Z65" s="182"/>
      <c r="AA65" s="180"/>
      <c r="AB65" s="180"/>
      <c r="AC65" s="182" t="e">
        <f t="shared" si="11"/>
        <v>#N/A</v>
      </c>
      <c r="AD65" s="455"/>
      <c r="AE65" s="182"/>
      <c r="AF65" s="180"/>
      <c r="AG65" s="180"/>
      <c r="AH65" s="182" t="e">
        <f t="shared" si="12"/>
        <v>#N/A</v>
      </c>
      <c r="AI65" s="455"/>
      <c r="AJ65" s="182"/>
      <c r="AK65" s="180"/>
      <c r="AL65" s="180"/>
      <c r="AM65" s="182" t="e">
        <f t="shared" si="13"/>
        <v>#N/A</v>
      </c>
      <c r="AN65" s="455"/>
      <c r="AO65" s="182"/>
      <c r="AP65" s="180"/>
      <c r="AQ65" s="180"/>
      <c r="AR65" s="182" t="e">
        <f t="shared" si="14"/>
        <v>#N/A</v>
      </c>
      <c r="AS65" s="455"/>
      <c r="AT65" s="182"/>
      <c r="AU65" s="180"/>
      <c r="AV65" s="180"/>
      <c r="AW65" s="182" t="e">
        <f t="shared" si="15"/>
        <v>#N/A</v>
      </c>
      <c r="AX65" s="455"/>
      <c r="AZ65" s="182" t="e">
        <f t="shared" si="16"/>
        <v>#N/A</v>
      </c>
      <c r="BA65" s="455"/>
    </row>
    <row r="66" spans="2:53">
      <c r="B66" s="454"/>
      <c r="C66" s="182">
        <v>25</v>
      </c>
      <c r="D66" s="203"/>
      <c r="E66" s="166"/>
      <c r="F66" s="182"/>
      <c r="G66" s="180"/>
      <c r="H66" s="464"/>
      <c r="I66" s="166" t="str">
        <f t="shared" si="17"/>
        <v>-</v>
      </c>
      <c r="J66" s="166" t="str">
        <f t="shared" si="18"/>
        <v>-</v>
      </c>
      <c r="K66" s="180" t="str">
        <f t="shared" si="19"/>
        <v>-</v>
      </c>
      <c r="L66" s="464"/>
      <c r="M66" s="166" t="e">
        <f>RANK(K66, K$42:$K$71)</f>
        <v>#VALUE!</v>
      </c>
      <c r="N66" s="461"/>
      <c r="O66" s="461"/>
      <c r="P66" s="182"/>
      <c r="Q66" s="180"/>
      <c r="R66" s="180"/>
      <c r="S66" s="182" t="e">
        <f t="shared" si="9"/>
        <v>#N/A</v>
      </c>
      <c r="T66" s="455"/>
      <c r="U66" s="182"/>
      <c r="V66" s="180"/>
      <c r="W66" s="180"/>
      <c r="X66" s="182" t="e">
        <f t="shared" si="10"/>
        <v>#N/A</v>
      </c>
      <c r="Y66" s="455"/>
      <c r="Z66" s="182"/>
      <c r="AA66" s="180"/>
      <c r="AB66" s="180"/>
      <c r="AC66" s="182" t="e">
        <f t="shared" si="11"/>
        <v>#N/A</v>
      </c>
      <c r="AD66" s="455"/>
      <c r="AE66" s="182"/>
      <c r="AF66" s="180"/>
      <c r="AG66" s="180"/>
      <c r="AH66" s="182" t="e">
        <f t="shared" si="12"/>
        <v>#N/A</v>
      </c>
      <c r="AI66" s="455"/>
      <c r="AJ66" s="182"/>
      <c r="AK66" s="180"/>
      <c r="AL66" s="180"/>
      <c r="AM66" s="182" t="e">
        <f t="shared" si="13"/>
        <v>#N/A</v>
      </c>
      <c r="AN66" s="455"/>
      <c r="AO66" s="182"/>
      <c r="AP66" s="180"/>
      <c r="AQ66" s="180"/>
      <c r="AR66" s="182" t="e">
        <f t="shared" si="14"/>
        <v>#N/A</v>
      </c>
      <c r="AS66" s="455"/>
      <c r="AT66" s="182"/>
      <c r="AU66" s="180"/>
      <c r="AV66" s="180"/>
      <c r="AW66" s="182" t="e">
        <f t="shared" si="15"/>
        <v>#N/A</v>
      </c>
      <c r="AX66" s="455"/>
      <c r="AZ66" s="182" t="e">
        <f t="shared" si="16"/>
        <v>#N/A</v>
      </c>
      <c r="BA66" s="455"/>
    </row>
    <row r="67" spans="2:53">
      <c r="B67" s="454"/>
      <c r="C67" s="182">
        <v>26</v>
      </c>
      <c r="D67" s="203"/>
      <c r="E67" s="166"/>
      <c r="F67" s="182"/>
      <c r="G67" s="180"/>
      <c r="H67" s="464"/>
      <c r="I67" s="166" t="str">
        <f t="shared" si="17"/>
        <v>-</v>
      </c>
      <c r="J67" s="166" t="str">
        <f t="shared" si="18"/>
        <v>-</v>
      </c>
      <c r="K67" s="180" t="str">
        <f t="shared" si="19"/>
        <v>-</v>
      </c>
      <c r="L67" s="464"/>
      <c r="M67" s="166" t="e">
        <f>RANK(K67, K$42:$K$71)</f>
        <v>#VALUE!</v>
      </c>
      <c r="N67" s="461"/>
      <c r="O67" s="461"/>
      <c r="P67" s="182"/>
      <c r="Q67" s="180"/>
      <c r="R67" s="180"/>
      <c r="S67" s="182" t="e">
        <f t="shared" si="9"/>
        <v>#N/A</v>
      </c>
      <c r="T67" s="455"/>
      <c r="U67" s="182"/>
      <c r="V67" s="180"/>
      <c r="W67" s="180"/>
      <c r="X67" s="182" t="e">
        <f t="shared" si="10"/>
        <v>#N/A</v>
      </c>
      <c r="Y67" s="455"/>
      <c r="Z67" s="182"/>
      <c r="AA67" s="180"/>
      <c r="AB67" s="180"/>
      <c r="AC67" s="182" t="e">
        <f t="shared" si="11"/>
        <v>#N/A</v>
      </c>
      <c r="AD67" s="455"/>
      <c r="AE67" s="182"/>
      <c r="AF67" s="180"/>
      <c r="AG67" s="180"/>
      <c r="AH67" s="182" t="e">
        <f t="shared" si="12"/>
        <v>#N/A</v>
      </c>
      <c r="AI67" s="455"/>
      <c r="AJ67" s="182"/>
      <c r="AK67" s="180"/>
      <c r="AL67" s="180"/>
      <c r="AM67" s="182" t="e">
        <f t="shared" si="13"/>
        <v>#N/A</v>
      </c>
      <c r="AN67" s="455"/>
      <c r="AO67" s="182"/>
      <c r="AP67" s="180"/>
      <c r="AQ67" s="180"/>
      <c r="AR67" s="182" t="e">
        <f t="shared" si="14"/>
        <v>#N/A</v>
      </c>
      <c r="AS67" s="455"/>
      <c r="AT67" s="182"/>
      <c r="AU67" s="180"/>
      <c r="AV67" s="180"/>
      <c r="AW67" s="182" t="e">
        <f t="shared" si="15"/>
        <v>#N/A</v>
      </c>
      <c r="AX67" s="455"/>
      <c r="AZ67" s="182" t="e">
        <f t="shared" si="16"/>
        <v>#N/A</v>
      </c>
      <c r="BA67" s="455"/>
    </row>
    <row r="68" spans="2:53">
      <c r="B68" s="454"/>
      <c r="C68" s="182">
        <v>27</v>
      </c>
      <c r="D68" s="203"/>
      <c r="E68" s="166"/>
      <c r="F68" s="182"/>
      <c r="G68" s="180"/>
      <c r="H68" s="464"/>
      <c r="I68" s="166" t="str">
        <f t="shared" si="17"/>
        <v>-</v>
      </c>
      <c r="J68" s="166" t="str">
        <f t="shared" si="18"/>
        <v>-</v>
      </c>
      <c r="K68" s="180" t="str">
        <f t="shared" si="19"/>
        <v>-</v>
      </c>
      <c r="L68" s="464"/>
      <c r="M68" s="166" t="e">
        <f>RANK(K68, K$42:$K$71)</f>
        <v>#VALUE!</v>
      </c>
      <c r="N68" s="461"/>
      <c r="O68" s="461"/>
      <c r="P68" s="182"/>
      <c r="Q68" s="180"/>
      <c r="R68" s="180"/>
      <c r="S68" s="182" t="e">
        <f t="shared" si="9"/>
        <v>#N/A</v>
      </c>
      <c r="T68" s="455"/>
      <c r="U68" s="182"/>
      <c r="V68" s="180"/>
      <c r="W68" s="180"/>
      <c r="X68" s="182" t="e">
        <f t="shared" si="10"/>
        <v>#N/A</v>
      </c>
      <c r="Y68" s="455"/>
      <c r="Z68" s="182"/>
      <c r="AA68" s="180"/>
      <c r="AB68" s="180"/>
      <c r="AC68" s="182" t="e">
        <f t="shared" si="11"/>
        <v>#N/A</v>
      </c>
      <c r="AD68" s="455"/>
      <c r="AE68" s="182"/>
      <c r="AF68" s="180"/>
      <c r="AG68" s="180"/>
      <c r="AH68" s="182" t="e">
        <f t="shared" si="12"/>
        <v>#N/A</v>
      </c>
      <c r="AI68" s="455"/>
      <c r="AJ68" s="182"/>
      <c r="AK68" s="180"/>
      <c r="AL68" s="180"/>
      <c r="AM68" s="182" t="e">
        <f t="shared" si="13"/>
        <v>#N/A</v>
      </c>
      <c r="AN68" s="455"/>
      <c r="AO68" s="182"/>
      <c r="AP68" s="180"/>
      <c r="AQ68" s="180"/>
      <c r="AR68" s="182" t="e">
        <f t="shared" si="14"/>
        <v>#N/A</v>
      </c>
      <c r="AS68" s="455"/>
      <c r="AT68" s="182"/>
      <c r="AU68" s="180"/>
      <c r="AV68" s="180"/>
      <c r="AW68" s="182" t="e">
        <f t="shared" si="15"/>
        <v>#N/A</v>
      </c>
      <c r="AX68" s="455"/>
      <c r="AZ68" s="182" t="e">
        <f t="shared" si="16"/>
        <v>#N/A</v>
      </c>
      <c r="BA68" s="455"/>
    </row>
    <row r="69" spans="2:53">
      <c r="B69" s="454"/>
      <c r="C69" s="182">
        <v>28</v>
      </c>
      <c r="D69" s="203"/>
      <c r="E69" s="166"/>
      <c r="F69" s="182"/>
      <c r="G69" s="180"/>
      <c r="H69" s="464"/>
      <c r="I69" s="166" t="str">
        <f t="shared" si="17"/>
        <v>-</v>
      </c>
      <c r="J69" s="166" t="str">
        <f t="shared" si="18"/>
        <v>-</v>
      </c>
      <c r="K69" s="180" t="str">
        <f t="shared" si="19"/>
        <v>-</v>
      </c>
      <c r="L69" s="464"/>
      <c r="M69" s="166" t="e">
        <f>RANK(K69, K$42:$K$71)</f>
        <v>#VALUE!</v>
      </c>
      <c r="N69" s="461"/>
      <c r="O69" s="461"/>
      <c r="P69" s="182"/>
      <c r="Q69" s="180"/>
      <c r="R69" s="180"/>
      <c r="S69" s="182" t="e">
        <f t="shared" si="9"/>
        <v>#N/A</v>
      </c>
      <c r="T69" s="455"/>
      <c r="U69" s="182"/>
      <c r="V69" s="180"/>
      <c r="W69" s="180"/>
      <c r="X69" s="182" t="e">
        <f t="shared" si="10"/>
        <v>#N/A</v>
      </c>
      <c r="Y69" s="455"/>
      <c r="Z69" s="182"/>
      <c r="AA69" s="180"/>
      <c r="AB69" s="180"/>
      <c r="AC69" s="182" t="e">
        <f t="shared" si="11"/>
        <v>#N/A</v>
      </c>
      <c r="AD69" s="455"/>
      <c r="AE69" s="182"/>
      <c r="AF69" s="180"/>
      <c r="AG69" s="180"/>
      <c r="AH69" s="182" t="e">
        <f t="shared" si="12"/>
        <v>#N/A</v>
      </c>
      <c r="AI69" s="455"/>
      <c r="AJ69" s="182"/>
      <c r="AK69" s="180"/>
      <c r="AL69" s="180"/>
      <c r="AM69" s="182" t="e">
        <f t="shared" si="13"/>
        <v>#N/A</v>
      </c>
      <c r="AN69" s="455"/>
      <c r="AO69" s="182"/>
      <c r="AP69" s="180"/>
      <c r="AQ69" s="180"/>
      <c r="AR69" s="182" t="e">
        <f t="shared" si="14"/>
        <v>#N/A</v>
      </c>
      <c r="AS69" s="455"/>
      <c r="AT69" s="182"/>
      <c r="AU69" s="180"/>
      <c r="AV69" s="180"/>
      <c r="AW69" s="182" t="e">
        <f t="shared" si="15"/>
        <v>#N/A</v>
      </c>
      <c r="AX69" s="455"/>
      <c r="AZ69" s="182" t="e">
        <f t="shared" si="16"/>
        <v>#N/A</v>
      </c>
      <c r="BA69" s="455"/>
    </row>
    <row r="70" spans="2:53">
      <c r="B70" s="454"/>
      <c r="C70" s="182">
        <v>29</v>
      </c>
      <c r="D70" s="203"/>
      <c r="E70" s="166"/>
      <c r="F70" s="182"/>
      <c r="G70" s="180"/>
      <c r="H70" s="464"/>
      <c r="I70" s="166" t="str">
        <f t="shared" si="17"/>
        <v>-</v>
      </c>
      <c r="J70" s="166" t="str">
        <f t="shared" si="18"/>
        <v>-</v>
      </c>
      <c r="K70" s="180" t="str">
        <f t="shared" si="19"/>
        <v>-</v>
      </c>
      <c r="L70" s="464"/>
      <c r="M70" s="166" t="e">
        <f>RANK(K70, K$42:$K$71)</f>
        <v>#VALUE!</v>
      </c>
      <c r="N70" s="461"/>
      <c r="O70" s="461"/>
      <c r="P70" s="182"/>
      <c r="Q70" s="182"/>
      <c r="R70" s="182"/>
      <c r="S70" s="182" t="e">
        <f t="shared" si="9"/>
        <v>#N/A</v>
      </c>
      <c r="T70" s="455"/>
      <c r="U70" s="182"/>
      <c r="V70" s="182"/>
      <c r="W70" s="182"/>
      <c r="X70" s="182" t="e">
        <f t="shared" si="10"/>
        <v>#N/A</v>
      </c>
      <c r="Y70" s="455"/>
      <c r="Z70" s="182"/>
      <c r="AA70" s="182"/>
      <c r="AB70" s="182"/>
      <c r="AC70" s="182" t="e">
        <f t="shared" si="11"/>
        <v>#N/A</v>
      </c>
      <c r="AD70" s="455"/>
      <c r="AE70" s="182"/>
      <c r="AF70" s="182"/>
      <c r="AG70" s="182"/>
      <c r="AH70" s="182" t="e">
        <f t="shared" si="12"/>
        <v>#N/A</v>
      </c>
      <c r="AI70" s="455"/>
      <c r="AJ70" s="182"/>
      <c r="AK70" s="182"/>
      <c r="AL70" s="182"/>
      <c r="AM70" s="182" t="e">
        <f t="shared" si="13"/>
        <v>#N/A</v>
      </c>
      <c r="AN70" s="455"/>
      <c r="AO70" s="182"/>
      <c r="AP70" s="182"/>
      <c r="AQ70" s="182"/>
      <c r="AR70" s="182" t="e">
        <f t="shared" si="14"/>
        <v>#N/A</v>
      </c>
      <c r="AS70" s="455"/>
      <c r="AT70" s="182"/>
      <c r="AU70" s="182"/>
      <c r="AV70" s="182"/>
      <c r="AW70" s="182" t="e">
        <f t="shared" si="15"/>
        <v>#N/A</v>
      </c>
      <c r="AX70" s="455"/>
      <c r="AZ70" s="182" t="e">
        <f t="shared" si="16"/>
        <v>#N/A</v>
      </c>
      <c r="BA70" s="455"/>
    </row>
    <row r="71" spans="2:53">
      <c r="B71" s="454"/>
      <c r="C71" s="182">
        <v>30</v>
      </c>
      <c r="D71" s="203"/>
      <c r="E71" s="166"/>
      <c r="F71" s="182"/>
      <c r="G71" s="180"/>
      <c r="H71" s="465"/>
      <c r="I71" s="166" t="str">
        <f t="shared" si="17"/>
        <v>-</v>
      </c>
      <c r="J71" s="166" t="str">
        <f t="shared" si="18"/>
        <v>-</v>
      </c>
      <c r="K71" s="180" t="str">
        <f t="shared" si="19"/>
        <v>-</v>
      </c>
      <c r="L71" s="465"/>
      <c r="M71" s="166" t="e">
        <f>RANK(K71, K$42:$K$71)</f>
        <v>#VALUE!</v>
      </c>
      <c r="N71" s="461"/>
      <c r="O71" s="461"/>
      <c r="P71" s="182"/>
      <c r="Q71" s="182"/>
      <c r="R71" s="182"/>
      <c r="S71" s="182" t="e">
        <f t="shared" si="9"/>
        <v>#N/A</v>
      </c>
      <c r="T71" s="455"/>
      <c r="U71" s="182"/>
      <c r="V71" s="182"/>
      <c r="W71" s="182"/>
      <c r="X71" s="182" t="e">
        <f t="shared" si="10"/>
        <v>#N/A</v>
      </c>
      <c r="Y71" s="455"/>
      <c r="Z71" s="182"/>
      <c r="AA71" s="182"/>
      <c r="AB71" s="182"/>
      <c r="AC71" s="182" t="e">
        <f t="shared" si="11"/>
        <v>#N/A</v>
      </c>
      <c r="AD71" s="455"/>
      <c r="AE71" s="182"/>
      <c r="AF71" s="182"/>
      <c r="AG71" s="182"/>
      <c r="AH71" s="182" t="e">
        <f t="shared" si="12"/>
        <v>#N/A</v>
      </c>
      <c r="AI71" s="455"/>
      <c r="AJ71" s="182"/>
      <c r="AK71" s="182"/>
      <c r="AL71" s="182"/>
      <c r="AM71" s="182" t="e">
        <f t="shared" si="13"/>
        <v>#N/A</v>
      </c>
      <c r="AN71" s="455"/>
      <c r="AO71" s="182"/>
      <c r="AP71" s="182"/>
      <c r="AQ71" s="182"/>
      <c r="AR71" s="182" t="e">
        <f t="shared" si="14"/>
        <v>#N/A</v>
      </c>
      <c r="AS71" s="455"/>
      <c r="AT71" s="182"/>
      <c r="AU71" s="182"/>
      <c r="AV71" s="182"/>
      <c r="AW71" s="182" t="e">
        <f t="shared" si="15"/>
        <v>#N/A</v>
      </c>
      <c r="AX71" s="455"/>
      <c r="AZ71" s="182" t="e">
        <f t="shared" si="16"/>
        <v>#N/A</v>
      </c>
      <c r="BA71" s="455"/>
    </row>
    <row r="72" spans="2:53" ht="15.5">
      <c r="B72" s="493" t="s">
        <v>163</v>
      </c>
      <c r="C72" s="494"/>
      <c r="D72" s="494"/>
      <c r="E72" s="494"/>
      <c r="F72" s="494"/>
      <c r="G72" s="494"/>
      <c r="H72" s="494"/>
      <c r="I72" s="186"/>
      <c r="J72" s="183"/>
      <c r="K72" s="186"/>
      <c r="L72" s="186"/>
      <c r="M72" s="178"/>
      <c r="N72" s="480" t="s">
        <v>156</v>
      </c>
      <c r="O72" s="480" t="s">
        <v>105</v>
      </c>
      <c r="P72" s="476">
        <f>P37+7</f>
        <v>46126</v>
      </c>
      <c r="Q72" s="454"/>
      <c r="R72" s="454"/>
      <c r="S72" s="454"/>
      <c r="T72" s="454"/>
      <c r="U72" s="473">
        <f>P72+1</f>
        <v>46127</v>
      </c>
      <c r="V72" s="474"/>
      <c r="W72" s="474"/>
      <c r="X72" s="474"/>
      <c r="Y72" s="475"/>
      <c r="Z72" s="473">
        <f>U72+1</f>
        <v>46128</v>
      </c>
      <c r="AA72" s="474"/>
      <c r="AB72" s="474"/>
      <c r="AC72" s="474"/>
      <c r="AD72" s="475"/>
      <c r="AE72" s="473">
        <f>Z72+1</f>
        <v>46129</v>
      </c>
      <c r="AF72" s="474"/>
      <c r="AG72" s="474"/>
      <c r="AH72" s="474"/>
      <c r="AI72" s="475"/>
      <c r="AJ72" s="473">
        <f>AE72+1</f>
        <v>46130</v>
      </c>
      <c r="AK72" s="474"/>
      <c r="AL72" s="474"/>
      <c r="AM72" s="474"/>
      <c r="AN72" s="475"/>
      <c r="AO72" s="473">
        <f>AJ72+1</f>
        <v>46131</v>
      </c>
      <c r="AP72" s="474"/>
      <c r="AQ72" s="474"/>
      <c r="AR72" s="474"/>
      <c r="AS72" s="475"/>
      <c r="AT72" s="473">
        <f>AO72+1</f>
        <v>46132</v>
      </c>
      <c r="AU72" s="474"/>
      <c r="AV72" s="474"/>
      <c r="AW72" s="474"/>
      <c r="AX72" s="475"/>
    </row>
    <row r="73" spans="2:53" ht="15.5">
      <c r="B73" s="479"/>
      <c r="C73" s="479"/>
      <c r="D73" s="479"/>
      <c r="E73" s="479"/>
      <c r="F73" s="479"/>
      <c r="G73" s="479"/>
      <c r="H73" s="479"/>
      <c r="I73" s="184"/>
      <c r="J73" s="184"/>
      <c r="K73" s="184"/>
      <c r="L73" s="184"/>
      <c r="M73" s="179"/>
      <c r="N73" s="481"/>
      <c r="O73" s="481"/>
      <c r="P73" s="476" t="s">
        <v>336</v>
      </c>
      <c r="Q73" s="454"/>
      <c r="R73" s="454"/>
      <c r="S73" s="454"/>
      <c r="T73" s="454"/>
      <c r="U73" s="476" t="s">
        <v>337</v>
      </c>
      <c r="V73" s="454"/>
      <c r="W73" s="454"/>
      <c r="X73" s="454"/>
      <c r="Y73" s="454"/>
      <c r="Z73" s="476" t="s">
        <v>338</v>
      </c>
      <c r="AA73" s="454"/>
      <c r="AB73" s="454"/>
      <c r="AC73" s="454"/>
      <c r="AD73" s="454"/>
      <c r="AE73" s="476" t="s">
        <v>339</v>
      </c>
      <c r="AF73" s="454"/>
      <c r="AG73" s="454"/>
      <c r="AH73" s="454"/>
      <c r="AI73" s="454"/>
      <c r="AJ73" s="476" t="s">
        <v>340</v>
      </c>
      <c r="AK73" s="454"/>
      <c r="AL73" s="454"/>
      <c r="AM73" s="454"/>
      <c r="AN73" s="454"/>
      <c r="AO73" s="476" t="s">
        <v>341</v>
      </c>
      <c r="AP73" s="454"/>
      <c r="AQ73" s="454"/>
      <c r="AR73" s="454"/>
      <c r="AS73" s="454"/>
      <c r="AT73" s="476" t="s">
        <v>342</v>
      </c>
      <c r="AU73" s="454"/>
      <c r="AV73" s="454"/>
      <c r="AW73" s="454"/>
      <c r="AX73" s="454"/>
    </row>
    <row r="74" spans="2:53">
      <c r="B74" s="461" t="s">
        <v>443</v>
      </c>
      <c r="C74" s="461" t="s">
        <v>444</v>
      </c>
      <c r="D74" s="461"/>
      <c r="E74" s="461" t="s">
        <v>445</v>
      </c>
      <c r="F74" s="461"/>
      <c r="G74" s="461"/>
      <c r="H74" s="482" t="s">
        <v>446</v>
      </c>
      <c r="I74" s="461" t="s">
        <v>447</v>
      </c>
      <c r="J74" s="461"/>
      <c r="K74" s="461"/>
      <c r="L74" s="482" t="s">
        <v>446</v>
      </c>
      <c r="M74" s="480" t="s">
        <v>448</v>
      </c>
      <c r="N74" s="461"/>
      <c r="O74" s="461" t="s">
        <v>449</v>
      </c>
      <c r="P74" s="466" t="s">
        <v>450</v>
      </c>
      <c r="Q74" s="467"/>
      <c r="R74" s="467"/>
      <c r="S74" s="468"/>
      <c r="T74" s="461" t="s">
        <v>446</v>
      </c>
      <c r="U74" s="466" t="s">
        <v>450</v>
      </c>
      <c r="V74" s="467"/>
      <c r="W74" s="467"/>
      <c r="X74" s="468"/>
      <c r="Y74" s="461" t="s">
        <v>446</v>
      </c>
      <c r="Z74" s="466" t="s">
        <v>450</v>
      </c>
      <c r="AA74" s="467"/>
      <c r="AB74" s="467"/>
      <c r="AC74" s="468"/>
      <c r="AD74" s="461" t="s">
        <v>446</v>
      </c>
      <c r="AE74" s="466" t="s">
        <v>450</v>
      </c>
      <c r="AF74" s="467"/>
      <c r="AG74" s="467"/>
      <c r="AH74" s="468"/>
      <c r="AI74" s="461" t="s">
        <v>446</v>
      </c>
      <c r="AJ74" s="466" t="s">
        <v>450</v>
      </c>
      <c r="AK74" s="467"/>
      <c r="AL74" s="467"/>
      <c r="AM74" s="468"/>
      <c r="AN74" s="461" t="s">
        <v>446</v>
      </c>
      <c r="AO74" s="466" t="s">
        <v>450</v>
      </c>
      <c r="AP74" s="467"/>
      <c r="AQ74" s="467"/>
      <c r="AR74" s="468"/>
      <c r="AS74" s="461" t="s">
        <v>446</v>
      </c>
      <c r="AT74" s="466" t="s">
        <v>450</v>
      </c>
      <c r="AU74" s="467"/>
      <c r="AV74" s="467"/>
      <c r="AW74" s="468"/>
      <c r="AX74" s="461" t="s">
        <v>446</v>
      </c>
      <c r="BA74" s="461" t="s">
        <v>396</v>
      </c>
    </row>
    <row r="75" spans="2:53">
      <c r="B75" s="461"/>
      <c r="C75" s="461"/>
      <c r="D75" s="461"/>
      <c r="E75" s="461" t="s">
        <v>451</v>
      </c>
      <c r="F75" s="461"/>
      <c r="G75" s="461"/>
      <c r="H75" s="483"/>
      <c r="I75" s="461" t="s">
        <v>451</v>
      </c>
      <c r="J75" s="461"/>
      <c r="K75" s="461"/>
      <c r="L75" s="483"/>
      <c r="M75" s="485"/>
      <c r="N75" s="461"/>
      <c r="O75" s="461"/>
      <c r="P75" s="466" t="s">
        <v>452</v>
      </c>
      <c r="Q75" s="467"/>
      <c r="R75" s="467"/>
      <c r="S75" s="468"/>
      <c r="T75" s="461"/>
      <c r="U75" s="466" t="s">
        <v>452</v>
      </c>
      <c r="V75" s="467"/>
      <c r="W75" s="467"/>
      <c r="X75" s="468"/>
      <c r="Y75" s="461"/>
      <c r="Z75" s="466" t="s">
        <v>452</v>
      </c>
      <c r="AA75" s="467"/>
      <c r="AB75" s="467"/>
      <c r="AC75" s="468"/>
      <c r="AD75" s="461"/>
      <c r="AE75" s="466" t="s">
        <v>452</v>
      </c>
      <c r="AF75" s="467"/>
      <c r="AG75" s="467"/>
      <c r="AH75" s="468"/>
      <c r="AI75" s="461"/>
      <c r="AJ75" s="466" t="s">
        <v>452</v>
      </c>
      <c r="AK75" s="467"/>
      <c r="AL75" s="467"/>
      <c r="AM75" s="468"/>
      <c r="AN75" s="461"/>
      <c r="AO75" s="466" t="s">
        <v>452</v>
      </c>
      <c r="AP75" s="467"/>
      <c r="AQ75" s="467"/>
      <c r="AR75" s="468"/>
      <c r="AS75" s="461"/>
      <c r="AT75" s="466" t="s">
        <v>452</v>
      </c>
      <c r="AU75" s="467"/>
      <c r="AV75" s="467"/>
      <c r="AW75" s="468"/>
      <c r="AX75" s="461"/>
      <c r="BA75" s="461"/>
    </row>
    <row r="76" spans="2:53">
      <c r="B76" s="461"/>
      <c r="C76" s="461"/>
      <c r="D76" s="461"/>
      <c r="E76" s="269" t="s">
        <v>453</v>
      </c>
      <c r="F76" s="269" t="s">
        <v>454</v>
      </c>
      <c r="G76" s="269" t="s">
        <v>455</v>
      </c>
      <c r="H76" s="484"/>
      <c r="I76" s="269" t="s">
        <v>453</v>
      </c>
      <c r="J76" s="269" t="s">
        <v>454</v>
      </c>
      <c r="K76" s="269" t="s">
        <v>455</v>
      </c>
      <c r="L76" s="484"/>
      <c r="M76" s="481"/>
      <c r="N76" s="461"/>
      <c r="O76" s="461"/>
      <c r="P76" s="269" t="s">
        <v>453</v>
      </c>
      <c r="Q76" s="269" t="s">
        <v>454</v>
      </c>
      <c r="R76" s="269" t="s">
        <v>455</v>
      </c>
      <c r="S76" s="269" t="s">
        <v>448</v>
      </c>
      <c r="T76" s="461"/>
      <c r="U76" s="269" t="s">
        <v>453</v>
      </c>
      <c r="V76" s="269" t="s">
        <v>454</v>
      </c>
      <c r="W76" s="269" t="s">
        <v>455</v>
      </c>
      <c r="X76" s="269" t="s">
        <v>448</v>
      </c>
      <c r="Y76" s="461"/>
      <c r="Z76" s="269" t="s">
        <v>453</v>
      </c>
      <c r="AA76" s="269" t="s">
        <v>454</v>
      </c>
      <c r="AB76" s="269" t="s">
        <v>455</v>
      </c>
      <c r="AC76" s="269" t="s">
        <v>448</v>
      </c>
      <c r="AD76" s="461"/>
      <c r="AE76" s="269" t="s">
        <v>453</v>
      </c>
      <c r="AF76" s="269" t="s">
        <v>454</v>
      </c>
      <c r="AG76" s="269" t="s">
        <v>455</v>
      </c>
      <c r="AH76" s="269" t="s">
        <v>448</v>
      </c>
      <c r="AI76" s="461"/>
      <c r="AJ76" s="269" t="s">
        <v>453</v>
      </c>
      <c r="AK76" s="269" t="s">
        <v>454</v>
      </c>
      <c r="AL76" s="269" t="s">
        <v>455</v>
      </c>
      <c r="AM76" s="269" t="s">
        <v>448</v>
      </c>
      <c r="AN76" s="461"/>
      <c r="AO76" s="269" t="s">
        <v>453</v>
      </c>
      <c r="AP76" s="269" t="s">
        <v>454</v>
      </c>
      <c r="AQ76" s="269" t="s">
        <v>455</v>
      </c>
      <c r="AR76" s="269" t="s">
        <v>448</v>
      </c>
      <c r="AS76" s="461"/>
      <c r="AT76" s="269" t="s">
        <v>453</v>
      </c>
      <c r="AU76" s="269" t="s">
        <v>454</v>
      </c>
      <c r="AV76" s="269" t="s">
        <v>455</v>
      </c>
      <c r="AW76" s="269" t="s">
        <v>448</v>
      </c>
      <c r="AX76" s="461"/>
      <c r="AZ76" s="269" t="s">
        <v>397</v>
      </c>
      <c r="BA76" s="461"/>
    </row>
    <row r="77" spans="2:53">
      <c r="B77" s="461" t="s">
        <v>456</v>
      </c>
      <c r="C77" s="182">
        <v>1</v>
      </c>
      <c r="D77" s="203"/>
      <c r="E77" s="166"/>
      <c r="F77" s="182"/>
      <c r="G77" s="180"/>
      <c r="H77" s="463" t="e">
        <f>AVERAGE(G77:G106)</f>
        <v>#DIV/0!</v>
      </c>
      <c r="I77" s="166" t="str">
        <f>IFERROR(AVERAGE(P77,U77,Z77,AE77,AJ77,AO77,AT77),"-")</f>
        <v>-</v>
      </c>
      <c r="J77" s="166" t="str">
        <f>IFERROR(AVERAGE(Q77,V77,AA77,AF77,AK77,AP77,AU77),"-")</f>
        <v>-</v>
      </c>
      <c r="K77" s="180" t="str">
        <f>IFERROR(AVERAGE(R77,W77,AB77,AG77,AL77,AQ77,AV77),"-")</f>
        <v>-</v>
      </c>
      <c r="L77" s="463" t="str">
        <f>IFERROR(AVERAGE(K77:K106),"-")</f>
        <v>-</v>
      </c>
      <c r="M77" s="181" t="e">
        <f>RANK(K77, K$77:$K$106)</f>
        <v>#VALUE!</v>
      </c>
      <c r="N77" s="461"/>
      <c r="O77" s="461"/>
      <c r="P77" s="166"/>
      <c r="Q77" s="166"/>
      <c r="R77" s="166"/>
      <c r="S77" s="182" t="e">
        <f>RANK(R77, R$77:R$106)</f>
        <v>#N/A</v>
      </c>
      <c r="T77" s="455" t="e">
        <f>AVERAGE(R77:R106)</f>
        <v>#DIV/0!</v>
      </c>
      <c r="U77" s="166"/>
      <c r="V77" s="166"/>
      <c r="W77" s="166"/>
      <c r="X77" s="182" t="e">
        <f>RANK(W77, W$77:W$106)</f>
        <v>#N/A</v>
      </c>
      <c r="Y77" s="455" t="e">
        <f>AVERAGE(W77:W106)</f>
        <v>#DIV/0!</v>
      </c>
      <c r="Z77" s="166"/>
      <c r="AA77" s="166"/>
      <c r="AB77" s="166"/>
      <c r="AC77" s="182" t="e">
        <f>RANK(AB77, AB$77:AB$106)</f>
        <v>#N/A</v>
      </c>
      <c r="AD77" s="455" t="e">
        <f>AVERAGE(AB77:AB106)</f>
        <v>#DIV/0!</v>
      </c>
      <c r="AE77" s="166"/>
      <c r="AF77" s="166"/>
      <c r="AG77" s="166"/>
      <c r="AH77" s="182" t="e">
        <f>RANK(AG77, AG$77:AG$106)</f>
        <v>#N/A</v>
      </c>
      <c r="AI77" s="455" t="e">
        <f>AVERAGE(AG77:AG106)</f>
        <v>#DIV/0!</v>
      </c>
      <c r="AJ77" s="166"/>
      <c r="AK77" s="166"/>
      <c r="AL77" s="166"/>
      <c r="AM77" s="182" t="e">
        <f>RANK(AL77, AL$77:AL$106)</f>
        <v>#N/A</v>
      </c>
      <c r="AN77" s="455" t="e">
        <f>AVERAGE(AL77:AL106)</f>
        <v>#DIV/0!</v>
      </c>
      <c r="AO77" s="166"/>
      <c r="AP77" s="166"/>
      <c r="AQ77" s="166"/>
      <c r="AR77" s="182" t="e">
        <f>RANK(AQ77, AQ$77:AQ$106)</f>
        <v>#N/A</v>
      </c>
      <c r="AS77" s="455" t="e">
        <f>AVERAGE(AQ77:AQ106)</f>
        <v>#DIV/0!</v>
      </c>
      <c r="AT77" s="166"/>
      <c r="AU77" s="166"/>
      <c r="AV77" s="166"/>
      <c r="AW77" s="182" t="e">
        <f>RANK(AV77, AV$77:AV$106)</f>
        <v>#N/A</v>
      </c>
      <c r="AX77" s="455" t="e">
        <f>AVERAGE(AV77:AV106)</f>
        <v>#DIV/0!</v>
      </c>
      <c r="AZ77" s="182" t="e">
        <f>RANK(AY77, AY$77:AY$106)</f>
        <v>#N/A</v>
      </c>
      <c r="BA77" s="455" t="e">
        <f>AVERAGE(AY77:AY106)</f>
        <v>#DIV/0!</v>
      </c>
    </row>
    <row r="78" spans="2:53">
      <c r="B78" s="454"/>
      <c r="C78" s="182">
        <v>2</v>
      </c>
      <c r="D78" s="203"/>
      <c r="E78" s="166"/>
      <c r="F78" s="182"/>
      <c r="G78" s="180"/>
      <c r="H78" s="464"/>
      <c r="I78" s="166" t="str">
        <f t="shared" ref="I78:I106" si="20">IFERROR(AVERAGE(P78,U78,Z78,AE78,AJ78,AO78,AT78),"-")</f>
        <v>-</v>
      </c>
      <c r="J78" s="166" t="str">
        <f t="shared" ref="J78:J106" si="21">IFERROR(AVERAGE(Q78,V78,AA78,AF78,AK78,AP78,AU78),"-")</f>
        <v>-</v>
      </c>
      <c r="K78" s="180" t="str">
        <f t="shared" ref="K78:K106" si="22">IFERROR(AVERAGE(R78,W78,AB78,AG78,AL78,AQ78,AV78),"-")</f>
        <v>-</v>
      </c>
      <c r="L78" s="464"/>
      <c r="M78" s="181" t="e">
        <f>RANK(K78, K$77:$K$106)</f>
        <v>#VALUE!</v>
      </c>
      <c r="N78" s="461"/>
      <c r="O78" s="461"/>
      <c r="P78" s="166"/>
      <c r="Q78" s="166"/>
      <c r="R78" s="166"/>
      <c r="S78" s="182" t="e">
        <f t="shared" ref="S78:S106" si="23">RANK(R78, R$77:R$106)</f>
        <v>#N/A</v>
      </c>
      <c r="T78" s="455"/>
      <c r="U78" s="166"/>
      <c r="V78" s="166"/>
      <c r="W78" s="166"/>
      <c r="X78" s="182" t="e">
        <f t="shared" ref="X78:X106" si="24">RANK(W78, W$77:W$106)</f>
        <v>#N/A</v>
      </c>
      <c r="Y78" s="455"/>
      <c r="Z78" s="166"/>
      <c r="AA78" s="166"/>
      <c r="AB78" s="166"/>
      <c r="AC78" s="182" t="e">
        <f t="shared" ref="AC78:AC106" si="25">RANK(AB78, AB$77:AB$106)</f>
        <v>#N/A</v>
      </c>
      <c r="AD78" s="455"/>
      <c r="AE78" s="166"/>
      <c r="AF78" s="166"/>
      <c r="AG78" s="166"/>
      <c r="AH78" s="182" t="e">
        <f t="shared" ref="AH78:AH106" si="26">RANK(AG78, AG$77:AG$106)</f>
        <v>#N/A</v>
      </c>
      <c r="AI78" s="455"/>
      <c r="AJ78" s="166"/>
      <c r="AK78" s="166"/>
      <c r="AL78" s="166"/>
      <c r="AM78" s="182" t="e">
        <f t="shared" ref="AM78:AM106" si="27">RANK(AL78, AL$77:AL$106)</f>
        <v>#N/A</v>
      </c>
      <c r="AN78" s="455"/>
      <c r="AO78" s="166"/>
      <c r="AP78" s="166"/>
      <c r="AQ78" s="166"/>
      <c r="AR78" s="182" t="e">
        <f t="shared" ref="AR78:AR106" si="28">RANK(AQ78, AQ$77:AQ$106)</f>
        <v>#N/A</v>
      </c>
      <c r="AS78" s="455"/>
      <c r="AT78" s="166"/>
      <c r="AU78" s="166"/>
      <c r="AV78" s="166"/>
      <c r="AW78" s="182" t="e">
        <f t="shared" ref="AW78:AW106" si="29">RANK(AV78, AV$77:AV$106)</f>
        <v>#N/A</v>
      </c>
      <c r="AX78" s="455"/>
      <c r="AZ78" s="182" t="e">
        <f t="shared" ref="AZ78:AZ106" si="30">RANK(AY78, AY$77:AY$106)</f>
        <v>#N/A</v>
      </c>
      <c r="BA78" s="455"/>
    </row>
    <row r="79" spans="2:53">
      <c r="B79" s="454"/>
      <c r="C79" s="182">
        <v>3</v>
      </c>
      <c r="D79" s="203"/>
      <c r="E79" s="166"/>
      <c r="F79" s="182"/>
      <c r="G79" s="180"/>
      <c r="H79" s="464"/>
      <c r="I79" s="166" t="str">
        <f t="shared" si="20"/>
        <v>-</v>
      </c>
      <c r="J79" s="166" t="str">
        <f t="shared" si="21"/>
        <v>-</v>
      </c>
      <c r="K79" s="180" t="str">
        <f t="shared" si="22"/>
        <v>-</v>
      </c>
      <c r="L79" s="464"/>
      <c r="M79" s="181" t="e">
        <f>RANK(K79, K$77:$K$106)</f>
        <v>#VALUE!</v>
      </c>
      <c r="N79" s="461"/>
      <c r="O79" s="461"/>
      <c r="P79" s="166"/>
      <c r="Q79" s="166"/>
      <c r="R79" s="166"/>
      <c r="S79" s="182" t="e">
        <f t="shared" si="23"/>
        <v>#N/A</v>
      </c>
      <c r="T79" s="455"/>
      <c r="U79" s="166"/>
      <c r="V79" s="166"/>
      <c r="W79" s="166"/>
      <c r="X79" s="182" t="e">
        <f t="shared" si="24"/>
        <v>#N/A</v>
      </c>
      <c r="Y79" s="455"/>
      <c r="Z79" s="166"/>
      <c r="AA79" s="166"/>
      <c r="AB79" s="166"/>
      <c r="AC79" s="182" t="e">
        <f t="shared" si="25"/>
        <v>#N/A</v>
      </c>
      <c r="AD79" s="455"/>
      <c r="AE79" s="166"/>
      <c r="AF79" s="166"/>
      <c r="AG79" s="166"/>
      <c r="AH79" s="182" t="e">
        <f t="shared" si="26"/>
        <v>#N/A</v>
      </c>
      <c r="AI79" s="455"/>
      <c r="AJ79" s="166"/>
      <c r="AK79" s="166"/>
      <c r="AL79" s="166"/>
      <c r="AM79" s="182" t="e">
        <f t="shared" si="27"/>
        <v>#N/A</v>
      </c>
      <c r="AN79" s="455"/>
      <c r="AO79" s="166"/>
      <c r="AP79" s="166"/>
      <c r="AQ79" s="166"/>
      <c r="AR79" s="182" t="e">
        <f t="shared" si="28"/>
        <v>#N/A</v>
      </c>
      <c r="AS79" s="455"/>
      <c r="AT79" s="166"/>
      <c r="AU79" s="166"/>
      <c r="AV79" s="166"/>
      <c r="AW79" s="182" t="e">
        <f t="shared" si="29"/>
        <v>#N/A</v>
      </c>
      <c r="AX79" s="455"/>
      <c r="AZ79" s="182" t="e">
        <f t="shared" si="30"/>
        <v>#N/A</v>
      </c>
      <c r="BA79" s="455"/>
    </row>
    <row r="80" spans="2:53">
      <c r="B80" s="454"/>
      <c r="C80" s="182">
        <v>4</v>
      </c>
      <c r="D80" s="203"/>
      <c r="E80" s="166"/>
      <c r="F80" s="182"/>
      <c r="G80" s="180"/>
      <c r="H80" s="464"/>
      <c r="I80" s="166" t="str">
        <f t="shared" si="20"/>
        <v>-</v>
      </c>
      <c r="J80" s="166" t="str">
        <f t="shared" si="21"/>
        <v>-</v>
      </c>
      <c r="K80" s="180" t="str">
        <f t="shared" si="22"/>
        <v>-</v>
      </c>
      <c r="L80" s="464"/>
      <c r="M80" s="181" t="e">
        <f>RANK(K80, K$77:$K$106)</f>
        <v>#VALUE!</v>
      </c>
      <c r="N80" s="461"/>
      <c r="O80" s="461"/>
      <c r="P80" s="166"/>
      <c r="Q80" s="166"/>
      <c r="R80" s="166"/>
      <c r="S80" s="182" t="e">
        <f t="shared" si="23"/>
        <v>#N/A</v>
      </c>
      <c r="T80" s="455"/>
      <c r="U80" s="166"/>
      <c r="V80" s="166"/>
      <c r="W80" s="166"/>
      <c r="X80" s="182" t="e">
        <f t="shared" si="24"/>
        <v>#N/A</v>
      </c>
      <c r="Y80" s="455"/>
      <c r="Z80" s="166"/>
      <c r="AA80" s="166"/>
      <c r="AB80" s="166"/>
      <c r="AC80" s="182" t="e">
        <f t="shared" si="25"/>
        <v>#N/A</v>
      </c>
      <c r="AD80" s="455"/>
      <c r="AE80" s="166"/>
      <c r="AF80" s="166"/>
      <c r="AG80" s="166"/>
      <c r="AH80" s="182" t="e">
        <f t="shared" si="26"/>
        <v>#N/A</v>
      </c>
      <c r="AI80" s="455"/>
      <c r="AJ80" s="166"/>
      <c r="AK80" s="166"/>
      <c r="AL80" s="166"/>
      <c r="AM80" s="182" t="e">
        <f t="shared" si="27"/>
        <v>#N/A</v>
      </c>
      <c r="AN80" s="455"/>
      <c r="AO80" s="166"/>
      <c r="AP80" s="166"/>
      <c r="AQ80" s="166"/>
      <c r="AR80" s="182" t="e">
        <f t="shared" si="28"/>
        <v>#N/A</v>
      </c>
      <c r="AS80" s="455"/>
      <c r="AT80" s="166"/>
      <c r="AU80" s="166"/>
      <c r="AV80" s="166"/>
      <c r="AW80" s="182" t="e">
        <f t="shared" si="29"/>
        <v>#N/A</v>
      </c>
      <c r="AX80" s="455"/>
      <c r="AZ80" s="182" t="e">
        <f t="shared" si="30"/>
        <v>#N/A</v>
      </c>
      <c r="BA80" s="455"/>
    </row>
    <row r="81" spans="2:53">
      <c r="B81" s="454"/>
      <c r="C81" s="182">
        <v>5</v>
      </c>
      <c r="D81" s="203"/>
      <c r="E81" s="166"/>
      <c r="F81" s="182"/>
      <c r="G81" s="180"/>
      <c r="H81" s="464"/>
      <c r="I81" s="166" t="str">
        <f t="shared" si="20"/>
        <v>-</v>
      </c>
      <c r="J81" s="166" t="str">
        <f t="shared" si="21"/>
        <v>-</v>
      </c>
      <c r="K81" s="180" t="str">
        <f t="shared" si="22"/>
        <v>-</v>
      </c>
      <c r="L81" s="464"/>
      <c r="M81" s="181" t="e">
        <f>RANK(K81, K$77:$K$106)</f>
        <v>#VALUE!</v>
      </c>
      <c r="N81" s="461"/>
      <c r="O81" s="461"/>
      <c r="P81" s="166"/>
      <c r="Q81" s="166"/>
      <c r="R81" s="166"/>
      <c r="S81" s="182" t="e">
        <f t="shared" si="23"/>
        <v>#N/A</v>
      </c>
      <c r="T81" s="455"/>
      <c r="U81" s="166"/>
      <c r="V81" s="166"/>
      <c r="W81" s="166"/>
      <c r="X81" s="182" t="e">
        <f t="shared" si="24"/>
        <v>#N/A</v>
      </c>
      <c r="Y81" s="455"/>
      <c r="Z81" s="166"/>
      <c r="AA81" s="166"/>
      <c r="AB81" s="166"/>
      <c r="AC81" s="182" t="e">
        <f t="shared" si="25"/>
        <v>#N/A</v>
      </c>
      <c r="AD81" s="455"/>
      <c r="AE81" s="166"/>
      <c r="AF81" s="166"/>
      <c r="AG81" s="166"/>
      <c r="AH81" s="182" t="e">
        <f t="shared" si="26"/>
        <v>#N/A</v>
      </c>
      <c r="AI81" s="455"/>
      <c r="AJ81" s="166"/>
      <c r="AK81" s="166"/>
      <c r="AL81" s="166"/>
      <c r="AM81" s="182" t="e">
        <f t="shared" si="27"/>
        <v>#N/A</v>
      </c>
      <c r="AN81" s="455"/>
      <c r="AO81" s="166"/>
      <c r="AP81" s="166"/>
      <c r="AQ81" s="166"/>
      <c r="AR81" s="182" t="e">
        <f t="shared" si="28"/>
        <v>#N/A</v>
      </c>
      <c r="AS81" s="455"/>
      <c r="AT81" s="166"/>
      <c r="AU81" s="166"/>
      <c r="AV81" s="166"/>
      <c r="AW81" s="182" t="e">
        <f t="shared" si="29"/>
        <v>#N/A</v>
      </c>
      <c r="AX81" s="455"/>
      <c r="AZ81" s="182" t="e">
        <f t="shared" si="30"/>
        <v>#N/A</v>
      </c>
      <c r="BA81" s="455"/>
    </row>
    <row r="82" spans="2:53">
      <c r="B82" s="454"/>
      <c r="C82" s="182">
        <v>6</v>
      </c>
      <c r="D82" s="203"/>
      <c r="E82" s="166"/>
      <c r="F82" s="182"/>
      <c r="G82" s="180"/>
      <c r="H82" s="464"/>
      <c r="I82" s="166" t="str">
        <f t="shared" si="20"/>
        <v>-</v>
      </c>
      <c r="J82" s="166" t="str">
        <f t="shared" si="21"/>
        <v>-</v>
      </c>
      <c r="K82" s="180" t="str">
        <f t="shared" si="22"/>
        <v>-</v>
      </c>
      <c r="L82" s="464"/>
      <c r="M82" s="181" t="e">
        <f>RANK(K82, K$77:$K$106)</f>
        <v>#VALUE!</v>
      </c>
      <c r="N82" s="461"/>
      <c r="O82" s="461"/>
      <c r="P82" s="166"/>
      <c r="Q82" s="166"/>
      <c r="R82" s="166"/>
      <c r="S82" s="182" t="e">
        <f t="shared" si="23"/>
        <v>#N/A</v>
      </c>
      <c r="T82" s="455"/>
      <c r="U82" s="166"/>
      <c r="V82" s="166"/>
      <c r="W82" s="166"/>
      <c r="X82" s="182" t="e">
        <f t="shared" si="24"/>
        <v>#N/A</v>
      </c>
      <c r="Y82" s="455"/>
      <c r="Z82" s="166"/>
      <c r="AA82" s="166"/>
      <c r="AB82" s="166"/>
      <c r="AC82" s="182" t="e">
        <f t="shared" si="25"/>
        <v>#N/A</v>
      </c>
      <c r="AD82" s="455"/>
      <c r="AE82" s="166"/>
      <c r="AF82" s="166"/>
      <c r="AG82" s="166"/>
      <c r="AH82" s="182" t="e">
        <f t="shared" si="26"/>
        <v>#N/A</v>
      </c>
      <c r="AI82" s="455"/>
      <c r="AJ82" s="166"/>
      <c r="AK82" s="166"/>
      <c r="AL82" s="166"/>
      <c r="AM82" s="182" t="e">
        <f t="shared" si="27"/>
        <v>#N/A</v>
      </c>
      <c r="AN82" s="455"/>
      <c r="AO82" s="166"/>
      <c r="AP82" s="166"/>
      <c r="AQ82" s="166"/>
      <c r="AR82" s="182" t="e">
        <f t="shared" si="28"/>
        <v>#N/A</v>
      </c>
      <c r="AS82" s="455"/>
      <c r="AT82" s="166"/>
      <c r="AU82" s="166"/>
      <c r="AV82" s="166"/>
      <c r="AW82" s="182" t="e">
        <f t="shared" si="29"/>
        <v>#N/A</v>
      </c>
      <c r="AX82" s="455"/>
      <c r="AZ82" s="182" t="e">
        <f t="shared" si="30"/>
        <v>#N/A</v>
      </c>
      <c r="BA82" s="455"/>
    </row>
    <row r="83" spans="2:53">
      <c r="B83" s="454"/>
      <c r="C83" s="182">
        <v>7</v>
      </c>
      <c r="D83" s="203"/>
      <c r="E83" s="166"/>
      <c r="F83" s="182"/>
      <c r="G83" s="180"/>
      <c r="H83" s="464"/>
      <c r="I83" s="166" t="str">
        <f t="shared" si="20"/>
        <v>-</v>
      </c>
      <c r="J83" s="166" t="str">
        <f t="shared" si="21"/>
        <v>-</v>
      </c>
      <c r="K83" s="180" t="str">
        <f t="shared" si="22"/>
        <v>-</v>
      </c>
      <c r="L83" s="464"/>
      <c r="M83" s="181" t="e">
        <f>RANK(K83, K$77:$K$106)</f>
        <v>#VALUE!</v>
      </c>
      <c r="N83" s="461"/>
      <c r="O83" s="461"/>
      <c r="P83" s="166"/>
      <c r="Q83" s="166"/>
      <c r="R83" s="166"/>
      <c r="S83" s="182" t="e">
        <f t="shared" si="23"/>
        <v>#N/A</v>
      </c>
      <c r="T83" s="455"/>
      <c r="U83" s="166"/>
      <c r="V83" s="166"/>
      <c r="W83" s="166"/>
      <c r="X83" s="182" t="e">
        <f t="shared" si="24"/>
        <v>#N/A</v>
      </c>
      <c r="Y83" s="455"/>
      <c r="Z83" s="166"/>
      <c r="AA83" s="166"/>
      <c r="AB83" s="166"/>
      <c r="AC83" s="182" t="e">
        <f t="shared" si="25"/>
        <v>#N/A</v>
      </c>
      <c r="AD83" s="455"/>
      <c r="AE83" s="166"/>
      <c r="AF83" s="166"/>
      <c r="AG83" s="166"/>
      <c r="AH83" s="182" t="e">
        <f t="shared" si="26"/>
        <v>#N/A</v>
      </c>
      <c r="AI83" s="455"/>
      <c r="AJ83" s="166"/>
      <c r="AK83" s="166"/>
      <c r="AL83" s="166"/>
      <c r="AM83" s="182" t="e">
        <f t="shared" si="27"/>
        <v>#N/A</v>
      </c>
      <c r="AN83" s="455"/>
      <c r="AO83" s="166"/>
      <c r="AP83" s="166"/>
      <c r="AQ83" s="166"/>
      <c r="AR83" s="182" t="e">
        <f t="shared" si="28"/>
        <v>#N/A</v>
      </c>
      <c r="AS83" s="455"/>
      <c r="AT83" s="166"/>
      <c r="AU83" s="166"/>
      <c r="AV83" s="166"/>
      <c r="AW83" s="182" t="e">
        <f t="shared" si="29"/>
        <v>#N/A</v>
      </c>
      <c r="AX83" s="455"/>
      <c r="AZ83" s="182" t="e">
        <f t="shared" si="30"/>
        <v>#N/A</v>
      </c>
      <c r="BA83" s="455"/>
    </row>
    <row r="84" spans="2:53">
      <c r="B84" s="454"/>
      <c r="C84" s="182">
        <v>8</v>
      </c>
      <c r="D84" s="203"/>
      <c r="E84" s="166"/>
      <c r="F84" s="182"/>
      <c r="G84" s="180"/>
      <c r="H84" s="464"/>
      <c r="I84" s="166" t="str">
        <f t="shared" si="20"/>
        <v>-</v>
      </c>
      <c r="J84" s="166" t="str">
        <f t="shared" si="21"/>
        <v>-</v>
      </c>
      <c r="K84" s="180" t="str">
        <f t="shared" si="22"/>
        <v>-</v>
      </c>
      <c r="L84" s="464"/>
      <c r="M84" s="181" t="e">
        <f>RANK(K84, K$77:$K$106)</f>
        <v>#VALUE!</v>
      </c>
      <c r="N84" s="461"/>
      <c r="O84" s="461"/>
      <c r="P84" s="166"/>
      <c r="Q84" s="166"/>
      <c r="R84" s="166"/>
      <c r="S84" s="182" t="e">
        <f t="shared" si="23"/>
        <v>#N/A</v>
      </c>
      <c r="T84" s="455"/>
      <c r="U84" s="166"/>
      <c r="V84" s="166"/>
      <c r="W84" s="166"/>
      <c r="X84" s="182" t="e">
        <f t="shared" si="24"/>
        <v>#N/A</v>
      </c>
      <c r="Y84" s="455"/>
      <c r="Z84" s="166"/>
      <c r="AA84" s="166"/>
      <c r="AB84" s="166"/>
      <c r="AC84" s="182" t="e">
        <f t="shared" si="25"/>
        <v>#N/A</v>
      </c>
      <c r="AD84" s="455"/>
      <c r="AE84" s="166"/>
      <c r="AF84" s="166"/>
      <c r="AG84" s="166"/>
      <c r="AH84" s="182" t="e">
        <f t="shared" si="26"/>
        <v>#N/A</v>
      </c>
      <c r="AI84" s="455"/>
      <c r="AJ84" s="166"/>
      <c r="AK84" s="166"/>
      <c r="AL84" s="166"/>
      <c r="AM84" s="182" t="e">
        <f t="shared" si="27"/>
        <v>#N/A</v>
      </c>
      <c r="AN84" s="455"/>
      <c r="AO84" s="166"/>
      <c r="AP84" s="166"/>
      <c r="AQ84" s="166"/>
      <c r="AR84" s="182" t="e">
        <f t="shared" si="28"/>
        <v>#N/A</v>
      </c>
      <c r="AS84" s="455"/>
      <c r="AT84" s="166"/>
      <c r="AU84" s="166"/>
      <c r="AV84" s="166"/>
      <c r="AW84" s="182" t="e">
        <f t="shared" si="29"/>
        <v>#N/A</v>
      </c>
      <c r="AX84" s="455"/>
      <c r="AZ84" s="182" t="e">
        <f t="shared" si="30"/>
        <v>#N/A</v>
      </c>
      <c r="BA84" s="455"/>
    </row>
    <row r="85" spans="2:53">
      <c r="B85" s="454"/>
      <c r="C85" s="182">
        <v>9</v>
      </c>
      <c r="D85" s="203"/>
      <c r="E85" s="166"/>
      <c r="F85" s="182"/>
      <c r="G85" s="180"/>
      <c r="H85" s="464"/>
      <c r="I85" s="166" t="str">
        <f t="shared" si="20"/>
        <v>-</v>
      </c>
      <c r="J85" s="166" t="str">
        <f t="shared" si="21"/>
        <v>-</v>
      </c>
      <c r="K85" s="180" t="str">
        <f t="shared" si="22"/>
        <v>-</v>
      </c>
      <c r="L85" s="464"/>
      <c r="M85" s="181" t="e">
        <f>RANK(K85, K$77:$K$106)</f>
        <v>#VALUE!</v>
      </c>
      <c r="N85" s="461"/>
      <c r="O85" s="461"/>
      <c r="P85" s="166"/>
      <c r="Q85" s="166"/>
      <c r="R85" s="166"/>
      <c r="S85" s="182" t="e">
        <f t="shared" si="23"/>
        <v>#N/A</v>
      </c>
      <c r="T85" s="455"/>
      <c r="U85" s="166"/>
      <c r="V85" s="166"/>
      <c r="W85" s="166"/>
      <c r="X85" s="182" t="e">
        <f t="shared" si="24"/>
        <v>#N/A</v>
      </c>
      <c r="Y85" s="455"/>
      <c r="Z85" s="166"/>
      <c r="AA85" s="166"/>
      <c r="AB85" s="166"/>
      <c r="AC85" s="182" t="e">
        <f t="shared" si="25"/>
        <v>#N/A</v>
      </c>
      <c r="AD85" s="455"/>
      <c r="AE85" s="166"/>
      <c r="AF85" s="166"/>
      <c r="AG85" s="166"/>
      <c r="AH85" s="182" t="e">
        <f t="shared" si="26"/>
        <v>#N/A</v>
      </c>
      <c r="AI85" s="455"/>
      <c r="AJ85" s="166"/>
      <c r="AK85" s="166"/>
      <c r="AL85" s="166"/>
      <c r="AM85" s="182" t="e">
        <f t="shared" si="27"/>
        <v>#N/A</v>
      </c>
      <c r="AN85" s="455"/>
      <c r="AO85" s="166"/>
      <c r="AP85" s="166"/>
      <c r="AQ85" s="166"/>
      <c r="AR85" s="182" t="e">
        <f t="shared" si="28"/>
        <v>#N/A</v>
      </c>
      <c r="AS85" s="455"/>
      <c r="AT85" s="166"/>
      <c r="AU85" s="166"/>
      <c r="AV85" s="166"/>
      <c r="AW85" s="182" t="e">
        <f t="shared" si="29"/>
        <v>#N/A</v>
      </c>
      <c r="AX85" s="455"/>
      <c r="AZ85" s="182" t="e">
        <f t="shared" si="30"/>
        <v>#N/A</v>
      </c>
      <c r="BA85" s="455"/>
    </row>
    <row r="86" spans="2:53">
      <c r="B86" s="454"/>
      <c r="C86" s="182">
        <v>10</v>
      </c>
      <c r="D86" s="203"/>
      <c r="E86" s="166"/>
      <c r="F86" s="182"/>
      <c r="G86" s="180"/>
      <c r="H86" s="464"/>
      <c r="I86" s="166" t="str">
        <f t="shared" si="20"/>
        <v>-</v>
      </c>
      <c r="J86" s="166" t="str">
        <f t="shared" si="21"/>
        <v>-</v>
      </c>
      <c r="K86" s="180" t="str">
        <f t="shared" si="22"/>
        <v>-</v>
      </c>
      <c r="L86" s="464"/>
      <c r="M86" s="181" t="e">
        <f>RANK(K86, K$77:$K$106)</f>
        <v>#VALUE!</v>
      </c>
      <c r="N86" s="461"/>
      <c r="O86" s="461"/>
      <c r="P86" s="166"/>
      <c r="Q86" s="166"/>
      <c r="R86" s="166"/>
      <c r="S86" s="182" t="e">
        <f t="shared" si="23"/>
        <v>#N/A</v>
      </c>
      <c r="T86" s="455"/>
      <c r="U86" s="166"/>
      <c r="V86" s="166"/>
      <c r="W86" s="166"/>
      <c r="X86" s="182" t="e">
        <f t="shared" si="24"/>
        <v>#N/A</v>
      </c>
      <c r="Y86" s="455"/>
      <c r="Z86" s="166"/>
      <c r="AA86" s="166"/>
      <c r="AB86" s="166"/>
      <c r="AC86" s="182" t="e">
        <f t="shared" si="25"/>
        <v>#N/A</v>
      </c>
      <c r="AD86" s="455"/>
      <c r="AE86" s="166"/>
      <c r="AF86" s="166"/>
      <c r="AG86" s="166"/>
      <c r="AH86" s="182" t="e">
        <f t="shared" si="26"/>
        <v>#N/A</v>
      </c>
      <c r="AI86" s="455"/>
      <c r="AJ86" s="166"/>
      <c r="AK86" s="166"/>
      <c r="AL86" s="166"/>
      <c r="AM86" s="182" t="e">
        <f t="shared" si="27"/>
        <v>#N/A</v>
      </c>
      <c r="AN86" s="455"/>
      <c r="AO86" s="166"/>
      <c r="AP86" s="166"/>
      <c r="AQ86" s="166"/>
      <c r="AR86" s="182" t="e">
        <f t="shared" si="28"/>
        <v>#N/A</v>
      </c>
      <c r="AS86" s="455"/>
      <c r="AT86" s="166"/>
      <c r="AU86" s="166"/>
      <c r="AV86" s="166"/>
      <c r="AW86" s="182" t="e">
        <f t="shared" si="29"/>
        <v>#N/A</v>
      </c>
      <c r="AX86" s="455"/>
      <c r="AZ86" s="182" t="e">
        <f t="shared" si="30"/>
        <v>#N/A</v>
      </c>
      <c r="BA86" s="455"/>
    </row>
    <row r="87" spans="2:53">
      <c r="B87" s="454"/>
      <c r="C87" s="182">
        <v>11</v>
      </c>
      <c r="D87" s="203"/>
      <c r="E87" s="166"/>
      <c r="F87" s="182"/>
      <c r="G87" s="180"/>
      <c r="H87" s="464"/>
      <c r="I87" s="166" t="str">
        <f t="shared" si="20"/>
        <v>-</v>
      </c>
      <c r="J87" s="166" t="str">
        <f t="shared" si="21"/>
        <v>-</v>
      </c>
      <c r="K87" s="180" t="str">
        <f t="shared" si="22"/>
        <v>-</v>
      </c>
      <c r="L87" s="464"/>
      <c r="M87" s="181" t="e">
        <f>RANK(K87, K$77:$K$106)</f>
        <v>#VALUE!</v>
      </c>
      <c r="N87" s="461"/>
      <c r="O87" s="461"/>
      <c r="P87" s="166"/>
      <c r="Q87" s="166"/>
      <c r="R87" s="166"/>
      <c r="S87" s="182" t="e">
        <f t="shared" si="23"/>
        <v>#N/A</v>
      </c>
      <c r="T87" s="455"/>
      <c r="U87" s="166"/>
      <c r="V87" s="166"/>
      <c r="W87" s="166"/>
      <c r="X87" s="182" t="e">
        <f t="shared" si="24"/>
        <v>#N/A</v>
      </c>
      <c r="Y87" s="455"/>
      <c r="Z87" s="166"/>
      <c r="AA87" s="166"/>
      <c r="AB87" s="166"/>
      <c r="AC87" s="182" t="e">
        <f t="shared" si="25"/>
        <v>#N/A</v>
      </c>
      <c r="AD87" s="455"/>
      <c r="AE87" s="166"/>
      <c r="AF87" s="166"/>
      <c r="AG87" s="166"/>
      <c r="AH87" s="182" t="e">
        <f t="shared" si="26"/>
        <v>#N/A</v>
      </c>
      <c r="AI87" s="455"/>
      <c r="AJ87" s="166"/>
      <c r="AK87" s="166"/>
      <c r="AL87" s="166"/>
      <c r="AM87" s="182" t="e">
        <f t="shared" si="27"/>
        <v>#N/A</v>
      </c>
      <c r="AN87" s="455"/>
      <c r="AO87" s="166"/>
      <c r="AP87" s="166"/>
      <c r="AQ87" s="166"/>
      <c r="AR87" s="182" t="e">
        <f t="shared" si="28"/>
        <v>#N/A</v>
      </c>
      <c r="AS87" s="455"/>
      <c r="AT87" s="166"/>
      <c r="AU87" s="166"/>
      <c r="AV87" s="166"/>
      <c r="AW87" s="182" t="e">
        <f t="shared" si="29"/>
        <v>#N/A</v>
      </c>
      <c r="AX87" s="455"/>
      <c r="AZ87" s="182" t="e">
        <f t="shared" si="30"/>
        <v>#N/A</v>
      </c>
      <c r="BA87" s="455"/>
    </row>
    <row r="88" spans="2:53">
      <c r="B88" s="454"/>
      <c r="C88" s="182">
        <v>12</v>
      </c>
      <c r="D88" s="203"/>
      <c r="E88" s="166"/>
      <c r="F88" s="182"/>
      <c r="G88" s="180"/>
      <c r="H88" s="464"/>
      <c r="I88" s="166" t="str">
        <f t="shared" si="20"/>
        <v>-</v>
      </c>
      <c r="J88" s="166" t="str">
        <f t="shared" si="21"/>
        <v>-</v>
      </c>
      <c r="K88" s="180" t="str">
        <f t="shared" si="22"/>
        <v>-</v>
      </c>
      <c r="L88" s="464"/>
      <c r="M88" s="181" t="e">
        <f>RANK(K88, K$77:$K$106)</f>
        <v>#VALUE!</v>
      </c>
      <c r="N88" s="461"/>
      <c r="O88" s="461"/>
      <c r="P88" s="166"/>
      <c r="Q88" s="166"/>
      <c r="R88" s="166"/>
      <c r="S88" s="182" t="e">
        <f t="shared" si="23"/>
        <v>#N/A</v>
      </c>
      <c r="T88" s="455"/>
      <c r="U88" s="166"/>
      <c r="V88" s="166"/>
      <c r="W88" s="166"/>
      <c r="X88" s="182" t="e">
        <f t="shared" si="24"/>
        <v>#N/A</v>
      </c>
      <c r="Y88" s="455"/>
      <c r="Z88" s="166"/>
      <c r="AA88" s="166"/>
      <c r="AB88" s="166"/>
      <c r="AC88" s="182" t="e">
        <f t="shared" si="25"/>
        <v>#N/A</v>
      </c>
      <c r="AD88" s="455"/>
      <c r="AE88" s="166"/>
      <c r="AF88" s="166"/>
      <c r="AG88" s="166"/>
      <c r="AH88" s="182" t="e">
        <f t="shared" si="26"/>
        <v>#N/A</v>
      </c>
      <c r="AI88" s="455"/>
      <c r="AJ88" s="166"/>
      <c r="AK88" s="166"/>
      <c r="AL88" s="166"/>
      <c r="AM88" s="182" t="e">
        <f t="shared" si="27"/>
        <v>#N/A</v>
      </c>
      <c r="AN88" s="455"/>
      <c r="AO88" s="166"/>
      <c r="AP88" s="166"/>
      <c r="AQ88" s="166"/>
      <c r="AR88" s="182" t="e">
        <f t="shared" si="28"/>
        <v>#N/A</v>
      </c>
      <c r="AS88" s="455"/>
      <c r="AT88" s="166"/>
      <c r="AU88" s="166"/>
      <c r="AV88" s="166"/>
      <c r="AW88" s="182" t="e">
        <f t="shared" si="29"/>
        <v>#N/A</v>
      </c>
      <c r="AX88" s="455"/>
      <c r="AZ88" s="182" t="e">
        <f t="shared" si="30"/>
        <v>#N/A</v>
      </c>
      <c r="BA88" s="455"/>
    </row>
    <row r="89" spans="2:53">
      <c r="B89" s="454"/>
      <c r="C89" s="182">
        <v>13</v>
      </c>
      <c r="D89" s="203"/>
      <c r="E89" s="166"/>
      <c r="F89" s="182"/>
      <c r="G89" s="180"/>
      <c r="H89" s="464"/>
      <c r="I89" s="166" t="str">
        <f t="shared" si="20"/>
        <v>-</v>
      </c>
      <c r="J89" s="166" t="str">
        <f t="shared" si="21"/>
        <v>-</v>
      </c>
      <c r="K89" s="180" t="str">
        <f t="shared" si="22"/>
        <v>-</v>
      </c>
      <c r="L89" s="464"/>
      <c r="M89" s="181" t="e">
        <f>RANK(K89, K$77:$K$106)</f>
        <v>#VALUE!</v>
      </c>
      <c r="N89" s="461"/>
      <c r="O89" s="461"/>
      <c r="P89" s="166"/>
      <c r="Q89" s="166"/>
      <c r="R89" s="166"/>
      <c r="S89" s="182" t="e">
        <f t="shared" si="23"/>
        <v>#N/A</v>
      </c>
      <c r="T89" s="455"/>
      <c r="U89" s="166"/>
      <c r="V89" s="166"/>
      <c r="W89" s="166"/>
      <c r="X89" s="182" t="e">
        <f t="shared" si="24"/>
        <v>#N/A</v>
      </c>
      <c r="Y89" s="455"/>
      <c r="Z89" s="166"/>
      <c r="AA89" s="166"/>
      <c r="AB89" s="166"/>
      <c r="AC89" s="182" t="e">
        <f t="shared" si="25"/>
        <v>#N/A</v>
      </c>
      <c r="AD89" s="455"/>
      <c r="AE89" s="166"/>
      <c r="AF89" s="166"/>
      <c r="AG89" s="166"/>
      <c r="AH89" s="182" t="e">
        <f t="shared" si="26"/>
        <v>#N/A</v>
      </c>
      <c r="AI89" s="455"/>
      <c r="AJ89" s="166"/>
      <c r="AK89" s="166"/>
      <c r="AL89" s="166"/>
      <c r="AM89" s="182" t="e">
        <f t="shared" si="27"/>
        <v>#N/A</v>
      </c>
      <c r="AN89" s="455"/>
      <c r="AO89" s="166"/>
      <c r="AP89" s="166"/>
      <c r="AQ89" s="166"/>
      <c r="AR89" s="182" t="e">
        <f t="shared" si="28"/>
        <v>#N/A</v>
      </c>
      <c r="AS89" s="455"/>
      <c r="AT89" s="166"/>
      <c r="AU89" s="166"/>
      <c r="AV89" s="166"/>
      <c r="AW89" s="182" t="e">
        <f t="shared" si="29"/>
        <v>#N/A</v>
      </c>
      <c r="AX89" s="455"/>
      <c r="AZ89" s="182" t="e">
        <f t="shared" si="30"/>
        <v>#N/A</v>
      </c>
      <c r="BA89" s="455"/>
    </row>
    <row r="90" spans="2:53">
      <c r="B90" s="454"/>
      <c r="C90" s="182">
        <v>14</v>
      </c>
      <c r="D90" s="203"/>
      <c r="E90" s="166"/>
      <c r="F90" s="182"/>
      <c r="G90" s="180"/>
      <c r="H90" s="464"/>
      <c r="I90" s="166" t="str">
        <f t="shared" si="20"/>
        <v>-</v>
      </c>
      <c r="J90" s="166" t="str">
        <f t="shared" si="21"/>
        <v>-</v>
      </c>
      <c r="K90" s="180" t="str">
        <f t="shared" si="22"/>
        <v>-</v>
      </c>
      <c r="L90" s="464"/>
      <c r="M90" s="181" t="e">
        <f>RANK(K90, K$77:$K$106)</f>
        <v>#VALUE!</v>
      </c>
      <c r="N90" s="461"/>
      <c r="O90" s="461"/>
      <c r="P90" s="166"/>
      <c r="Q90" s="166"/>
      <c r="R90" s="166"/>
      <c r="S90" s="182" t="e">
        <f t="shared" si="23"/>
        <v>#N/A</v>
      </c>
      <c r="T90" s="455"/>
      <c r="U90" s="166"/>
      <c r="V90" s="166"/>
      <c r="W90" s="166"/>
      <c r="X90" s="182" t="e">
        <f t="shared" si="24"/>
        <v>#N/A</v>
      </c>
      <c r="Y90" s="455"/>
      <c r="Z90" s="166"/>
      <c r="AA90" s="166"/>
      <c r="AB90" s="166"/>
      <c r="AC90" s="182" t="e">
        <f t="shared" si="25"/>
        <v>#N/A</v>
      </c>
      <c r="AD90" s="455"/>
      <c r="AE90" s="166"/>
      <c r="AF90" s="166"/>
      <c r="AG90" s="166"/>
      <c r="AH90" s="182" t="e">
        <f t="shared" si="26"/>
        <v>#N/A</v>
      </c>
      <c r="AI90" s="455"/>
      <c r="AJ90" s="166"/>
      <c r="AK90" s="166"/>
      <c r="AL90" s="166"/>
      <c r="AM90" s="182" t="e">
        <f t="shared" si="27"/>
        <v>#N/A</v>
      </c>
      <c r="AN90" s="455"/>
      <c r="AO90" s="166"/>
      <c r="AP90" s="166"/>
      <c r="AQ90" s="166"/>
      <c r="AR90" s="182" t="e">
        <f t="shared" si="28"/>
        <v>#N/A</v>
      </c>
      <c r="AS90" s="455"/>
      <c r="AT90" s="166"/>
      <c r="AU90" s="166"/>
      <c r="AV90" s="166"/>
      <c r="AW90" s="182" t="e">
        <f t="shared" si="29"/>
        <v>#N/A</v>
      </c>
      <c r="AX90" s="455"/>
      <c r="AZ90" s="182" t="e">
        <f t="shared" si="30"/>
        <v>#N/A</v>
      </c>
      <c r="BA90" s="455"/>
    </row>
    <row r="91" spans="2:53">
      <c r="B91" s="454"/>
      <c r="C91" s="182">
        <v>15</v>
      </c>
      <c r="D91" s="203"/>
      <c r="E91" s="166"/>
      <c r="F91" s="182"/>
      <c r="G91" s="180"/>
      <c r="H91" s="464"/>
      <c r="I91" s="166" t="str">
        <f t="shared" si="20"/>
        <v>-</v>
      </c>
      <c r="J91" s="166" t="str">
        <f t="shared" si="21"/>
        <v>-</v>
      </c>
      <c r="K91" s="180" t="str">
        <f t="shared" si="22"/>
        <v>-</v>
      </c>
      <c r="L91" s="464"/>
      <c r="M91" s="181" t="e">
        <f>RANK(K91, K$77:$K$106)</f>
        <v>#VALUE!</v>
      </c>
      <c r="N91" s="461"/>
      <c r="O91" s="461"/>
      <c r="P91" s="166"/>
      <c r="Q91" s="166"/>
      <c r="R91" s="166"/>
      <c r="S91" s="182" t="e">
        <f t="shared" si="23"/>
        <v>#N/A</v>
      </c>
      <c r="T91" s="455"/>
      <c r="U91" s="166"/>
      <c r="V91" s="166"/>
      <c r="W91" s="166"/>
      <c r="X91" s="182" t="e">
        <f t="shared" si="24"/>
        <v>#N/A</v>
      </c>
      <c r="Y91" s="455"/>
      <c r="Z91" s="166"/>
      <c r="AA91" s="166"/>
      <c r="AB91" s="166"/>
      <c r="AC91" s="182" t="e">
        <f t="shared" si="25"/>
        <v>#N/A</v>
      </c>
      <c r="AD91" s="455"/>
      <c r="AE91" s="166"/>
      <c r="AF91" s="166"/>
      <c r="AG91" s="166"/>
      <c r="AH91" s="182" t="e">
        <f t="shared" si="26"/>
        <v>#N/A</v>
      </c>
      <c r="AI91" s="455"/>
      <c r="AJ91" s="166"/>
      <c r="AK91" s="166"/>
      <c r="AL91" s="166"/>
      <c r="AM91" s="182" t="e">
        <f t="shared" si="27"/>
        <v>#N/A</v>
      </c>
      <c r="AN91" s="455"/>
      <c r="AO91" s="166"/>
      <c r="AP91" s="166"/>
      <c r="AQ91" s="166"/>
      <c r="AR91" s="182" t="e">
        <f t="shared" si="28"/>
        <v>#N/A</v>
      </c>
      <c r="AS91" s="455"/>
      <c r="AT91" s="166"/>
      <c r="AU91" s="166"/>
      <c r="AV91" s="166"/>
      <c r="AW91" s="182" t="e">
        <f t="shared" si="29"/>
        <v>#N/A</v>
      </c>
      <c r="AX91" s="455"/>
      <c r="AZ91" s="182" t="e">
        <f t="shared" si="30"/>
        <v>#N/A</v>
      </c>
      <c r="BA91" s="455"/>
    </row>
    <row r="92" spans="2:53">
      <c r="B92" s="454"/>
      <c r="C92" s="182">
        <v>16</v>
      </c>
      <c r="D92" s="203"/>
      <c r="E92" s="166"/>
      <c r="F92" s="182"/>
      <c r="G92" s="180"/>
      <c r="H92" s="464"/>
      <c r="I92" s="166" t="str">
        <f t="shared" si="20"/>
        <v>-</v>
      </c>
      <c r="J92" s="166" t="str">
        <f t="shared" si="21"/>
        <v>-</v>
      </c>
      <c r="K92" s="180" t="str">
        <f t="shared" si="22"/>
        <v>-</v>
      </c>
      <c r="L92" s="464"/>
      <c r="M92" s="181" t="e">
        <f>RANK(K92, K$77:$K$106)</f>
        <v>#VALUE!</v>
      </c>
      <c r="N92" s="461"/>
      <c r="O92" s="461"/>
      <c r="P92" s="166"/>
      <c r="Q92" s="166"/>
      <c r="R92" s="166"/>
      <c r="S92" s="182" t="e">
        <f t="shared" si="23"/>
        <v>#N/A</v>
      </c>
      <c r="T92" s="455"/>
      <c r="U92" s="166"/>
      <c r="V92" s="166"/>
      <c r="W92" s="166"/>
      <c r="X92" s="182" t="e">
        <f t="shared" si="24"/>
        <v>#N/A</v>
      </c>
      <c r="Y92" s="455"/>
      <c r="Z92" s="166"/>
      <c r="AA92" s="166"/>
      <c r="AB92" s="166"/>
      <c r="AC92" s="182" t="e">
        <f t="shared" si="25"/>
        <v>#N/A</v>
      </c>
      <c r="AD92" s="455"/>
      <c r="AE92" s="166"/>
      <c r="AF92" s="166"/>
      <c r="AG92" s="166"/>
      <c r="AH92" s="182" t="e">
        <f t="shared" si="26"/>
        <v>#N/A</v>
      </c>
      <c r="AI92" s="455"/>
      <c r="AJ92" s="166"/>
      <c r="AK92" s="166"/>
      <c r="AL92" s="166"/>
      <c r="AM92" s="182" t="e">
        <f t="shared" si="27"/>
        <v>#N/A</v>
      </c>
      <c r="AN92" s="455"/>
      <c r="AO92" s="166"/>
      <c r="AP92" s="166"/>
      <c r="AQ92" s="166"/>
      <c r="AR92" s="182" t="e">
        <f t="shared" si="28"/>
        <v>#N/A</v>
      </c>
      <c r="AS92" s="455"/>
      <c r="AT92" s="166"/>
      <c r="AU92" s="166"/>
      <c r="AV92" s="166"/>
      <c r="AW92" s="182" t="e">
        <f t="shared" si="29"/>
        <v>#N/A</v>
      </c>
      <c r="AX92" s="455"/>
      <c r="AZ92" s="182" t="e">
        <f t="shared" si="30"/>
        <v>#N/A</v>
      </c>
      <c r="BA92" s="455"/>
    </row>
    <row r="93" spans="2:53">
      <c r="B93" s="454"/>
      <c r="C93" s="182">
        <v>17</v>
      </c>
      <c r="D93" s="203"/>
      <c r="E93" s="166"/>
      <c r="F93" s="182"/>
      <c r="G93" s="180"/>
      <c r="H93" s="464"/>
      <c r="I93" s="166" t="str">
        <f t="shared" si="20"/>
        <v>-</v>
      </c>
      <c r="J93" s="166" t="str">
        <f t="shared" si="21"/>
        <v>-</v>
      </c>
      <c r="K93" s="180" t="str">
        <f t="shared" si="22"/>
        <v>-</v>
      </c>
      <c r="L93" s="464"/>
      <c r="M93" s="181" t="e">
        <f>RANK(K93, K$77:$K$106)</f>
        <v>#VALUE!</v>
      </c>
      <c r="N93" s="461"/>
      <c r="O93" s="461"/>
      <c r="P93" s="166"/>
      <c r="Q93" s="166"/>
      <c r="R93" s="166"/>
      <c r="S93" s="182" t="e">
        <f t="shared" si="23"/>
        <v>#N/A</v>
      </c>
      <c r="T93" s="455"/>
      <c r="U93" s="166"/>
      <c r="V93" s="166"/>
      <c r="W93" s="166"/>
      <c r="X93" s="182" t="e">
        <f t="shared" si="24"/>
        <v>#N/A</v>
      </c>
      <c r="Y93" s="455"/>
      <c r="Z93" s="166"/>
      <c r="AA93" s="166"/>
      <c r="AB93" s="166"/>
      <c r="AC93" s="182" t="e">
        <f t="shared" si="25"/>
        <v>#N/A</v>
      </c>
      <c r="AD93" s="455"/>
      <c r="AE93" s="166"/>
      <c r="AF93" s="166"/>
      <c r="AG93" s="166"/>
      <c r="AH93" s="182" t="e">
        <f t="shared" si="26"/>
        <v>#N/A</v>
      </c>
      <c r="AI93" s="455"/>
      <c r="AJ93" s="166"/>
      <c r="AK93" s="166"/>
      <c r="AL93" s="166"/>
      <c r="AM93" s="182" t="e">
        <f t="shared" si="27"/>
        <v>#N/A</v>
      </c>
      <c r="AN93" s="455"/>
      <c r="AO93" s="166"/>
      <c r="AP93" s="166"/>
      <c r="AQ93" s="166"/>
      <c r="AR93" s="182" t="e">
        <f t="shared" si="28"/>
        <v>#N/A</v>
      </c>
      <c r="AS93" s="455"/>
      <c r="AT93" s="166"/>
      <c r="AU93" s="166"/>
      <c r="AV93" s="166"/>
      <c r="AW93" s="182" t="e">
        <f t="shared" si="29"/>
        <v>#N/A</v>
      </c>
      <c r="AX93" s="455"/>
      <c r="AZ93" s="182" t="e">
        <f t="shared" si="30"/>
        <v>#N/A</v>
      </c>
      <c r="BA93" s="455"/>
    </row>
    <row r="94" spans="2:53">
      <c r="B94" s="454"/>
      <c r="C94" s="182">
        <v>18</v>
      </c>
      <c r="D94" s="203"/>
      <c r="E94" s="166"/>
      <c r="F94" s="182"/>
      <c r="G94" s="180"/>
      <c r="H94" s="464"/>
      <c r="I94" s="166" t="str">
        <f t="shared" si="20"/>
        <v>-</v>
      </c>
      <c r="J94" s="166" t="str">
        <f t="shared" si="21"/>
        <v>-</v>
      </c>
      <c r="K94" s="180" t="str">
        <f t="shared" si="22"/>
        <v>-</v>
      </c>
      <c r="L94" s="464"/>
      <c r="M94" s="181" t="e">
        <f>RANK(K94, K$77:$K$106)</f>
        <v>#VALUE!</v>
      </c>
      <c r="N94" s="461"/>
      <c r="O94" s="461"/>
      <c r="P94" s="166"/>
      <c r="Q94" s="166"/>
      <c r="R94" s="166"/>
      <c r="S94" s="182" t="e">
        <f t="shared" si="23"/>
        <v>#N/A</v>
      </c>
      <c r="T94" s="455"/>
      <c r="U94" s="166"/>
      <c r="V94" s="166"/>
      <c r="W94" s="166"/>
      <c r="X94" s="182" t="e">
        <f t="shared" si="24"/>
        <v>#N/A</v>
      </c>
      <c r="Y94" s="455"/>
      <c r="Z94" s="166"/>
      <c r="AA94" s="166"/>
      <c r="AB94" s="166"/>
      <c r="AC94" s="182" t="e">
        <f t="shared" si="25"/>
        <v>#N/A</v>
      </c>
      <c r="AD94" s="455"/>
      <c r="AE94" s="166"/>
      <c r="AF94" s="166"/>
      <c r="AG94" s="166"/>
      <c r="AH94" s="182" t="e">
        <f t="shared" si="26"/>
        <v>#N/A</v>
      </c>
      <c r="AI94" s="455"/>
      <c r="AJ94" s="166"/>
      <c r="AK94" s="166"/>
      <c r="AL94" s="166"/>
      <c r="AM94" s="182" t="e">
        <f t="shared" si="27"/>
        <v>#N/A</v>
      </c>
      <c r="AN94" s="455"/>
      <c r="AO94" s="166"/>
      <c r="AP94" s="166"/>
      <c r="AQ94" s="166"/>
      <c r="AR94" s="182" t="e">
        <f t="shared" si="28"/>
        <v>#N/A</v>
      </c>
      <c r="AS94" s="455"/>
      <c r="AT94" s="166"/>
      <c r="AU94" s="166"/>
      <c r="AV94" s="166"/>
      <c r="AW94" s="182" t="e">
        <f t="shared" si="29"/>
        <v>#N/A</v>
      </c>
      <c r="AX94" s="455"/>
      <c r="AZ94" s="182" t="e">
        <f t="shared" si="30"/>
        <v>#N/A</v>
      </c>
      <c r="BA94" s="455"/>
    </row>
    <row r="95" spans="2:53">
      <c r="B95" s="454"/>
      <c r="C95" s="182">
        <v>19</v>
      </c>
      <c r="D95" s="203"/>
      <c r="E95" s="166"/>
      <c r="F95" s="182"/>
      <c r="G95" s="180"/>
      <c r="H95" s="464"/>
      <c r="I95" s="166" t="str">
        <f t="shared" si="20"/>
        <v>-</v>
      </c>
      <c r="J95" s="166" t="str">
        <f t="shared" si="21"/>
        <v>-</v>
      </c>
      <c r="K95" s="180" t="str">
        <f t="shared" si="22"/>
        <v>-</v>
      </c>
      <c r="L95" s="464"/>
      <c r="M95" s="181" t="e">
        <f>RANK(K95, K$77:$K$106)</f>
        <v>#VALUE!</v>
      </c>
      <c r="N95" s="461"/>
      <c r="O95" s="461"/>
      <c r="P95" s="166"/>
      <c r="Q95" s="166"/>
      <c r="R95" s="166"/>
      <c r="S95" s="182" t="e">
        <f t="shared" si="23"/>
        <v>#N/A</v>
      </c>
      <c r="T95" s="455"/>
      <c r="U95" s="166"/>
      <c r="V95" s="166"/>
      <c r="W95" s="166"/>
      <c r="X95" s="182" t="e">
        <f t="shared" si="24"/>
        <v>#N/A</v>
      </c>
      <c r="Y95" s="455"/>
      <c r="Z95" s="166"/>
      <c r="AA95" s="166"/>
      <c r="AB95" s="166"/>
      <c r="AC95" s="182" t="e">
        <f t="shared" si="25"/>
        <v>#N/A</v>
      </c>
      <c r="AD95" s="455"/>
      <c r="AE95" s="166"/>
      <c r="AF95" s="166"/>
      <c r="AG95" s="166"/>
      <c r="AH95" s="182" t="e">
        <f t="shared" si="26"/>
        <v>#N/A</v>
      </c>
      <c r="AI95" s="455"/>
      <c r="AJ95" s="166"/>
      <c r="AK95" s="166"/>
      <c r="AL95" s="166"/>
      <c r="AM95" s="182" t="e">
        <f t="shared" si="27"/>
        <v>#N/A</v>
      </c>
      <c r="AN95" s="455"/>
      <c r="AO95" s="166"/>
      <c r="AP95" s="166"/>
      <c r="AQ95" s="166"/>
      <c r="AR95" s="182" t="e">
        <f t="shared" si="28"/>
        <v>#N/A</v>
      </c>
      <c r="AS95" s="455"/>
      <c r="AT95" s="166"/>
      <c r="AU95" s="166"/>
      <c r="AV95" s="166"/>
      <c r="AW95" s="182" t="e">
        <f t="shared" si="29"/>
        <v>#N/A</v>
      </c>
      <c r="AX95" s="455"/>
      <c r="AZ95" s="182" t="e">
        <f t="shared" si="30"/>
        <v>#N/A</v>
      </c>
      <c r="BA95" s="455"/>
    </row>
    <row r="96" spans="2:53">
      <c r="B96" s="454"/>
      <c r="C96" s="182">
        <v>20</v>
      </c>
      <c r="D96" s="203"/>
      <c r="E96" s="166"/>
      <c r="F96" s="182"/>
      <c r="G96" s="180"/>
      <c r="H96" s="464"/>
      <c r="I96" s="166" t="str">
        <f t="shared" si="20"/>
        <v>-</v>
      </c>
      <c r="J96" s="166" t="str">
        <f t="shared" si="21"/>
        <v>-</v>
      </c>
      <c r="K96" s="180" t="str">
        <f t="shared" si="22"/>
        <v>-</v>
      </c>
      <c r="L96" s="464"/>
      <c r="M96" s="181" t="e">
        <f>RANK(K96, K$77:$K$106)</f>
        <v>#VALUE!</v>
      </c>
      <c r="N96" s="461"/>
      <c r="O96" s="461"/>
      <c r="P96" s="166"/>
      <c r="Q96" s="166"/>
      <c r="R96" s="166"/>
      <c r="S96" s="182" t="e">
        <f t="shared" si="23"/>
        <v>#N/A</v>
      </c>
      <c r="T96" s="455"/>
      <c r="U96" s="166"/>
      <c r="V96" s="166"/>
      <c r="W96" s="166"/>
      <c r="X96" s="182" t="e">
        <f t="shared" si="24"/>
        <v>#N/A</v>
      </c>
      <c r="Y96" s="455"/>
      <c r="Z96" s="166"/>
      <c r="AA96" s="166"/>
      <c r="AB96" s="166"/>
      <c r="AC96" s="182" t="e">
        <f t="shared" si="25"/>
        <v>#N/A</v>
      </c>
      <c r="AD96" s="455"/>
      <c r="AE96" s="166"/>
      <c r="AF96" s="166"/>
      <c r="AG96" s="166"/>
      <c r="AH96" s="182" t="e">
        <f t="shared" si="26"/>
        <v>#N/A</v>
      </c>
      <c r="AI96" s="455"/>
      <c r="AJ96" s="166"/>
      <c r="AK96" s="166"/>
      <c r="AL96" s="166"/>
      <c r="AM96" s="182" t="e">
        <f t="shared" si="27"/>
        <v>#N/A</v>
      </c>
      <c r="AN96" s="455"/>
      <c r="AO96" s="166"/>
      <c r="AP96" s="166"/>
      <c r="AQ96" s="166"/>
      <c r="AR96" s="182" t="e">
        <f t="shared" si="28"/>
        <v>#N/A</v>
      </c>
      <c r="AS96" s="455"/>
      <c r="AT96" s="166"/>
      <c r="AU96" s="166"/>
      <c r="AV96" s="166"/>
      <c r="AW96" s="182" t="e">
        <f t="shared" si="29"/>
        <v>#N/A</v>
      </c>
      <c r="AX96" s="455"/>
      <c r="AZ96" s="182" t="e">
        <f t="shared" si="30"/>
        <v>#N/A</v>
      </c>
      <c r="BA96" s="455"/>
    </row>
    <row r="97" spans="2:53">
      <c r="B97" s="454"/>
      <c r="C97" s="182">
        <v>21</v>
      </c>
      <c r="D97" s="203"/>
      <c r="E97" s="166"/>
      <c r="F97" s="182"/>
      <c r="G97" s="180"/>
      <c r="H97" s="464"/>
      <c r="I97" s="166" t="str">
        <f t="shared" si="20"/>
        <v>-</v>
      </c>
      <c r="J97" s="166" t="str">
        <f t="shared" si="21"/>
        <v>-</v>
      </c>
      <c r="K97" s="180" t="str">
        <f t="shared" si="22"/>
        <v>-</v>
      </c>
      <c r="L97" s="464"/>
      <c r="M97" s="181" t="e">
        <f>RANK(K97, K$77:$K$106)</f>
        <v>#VALUE!</v>
      </c>
      <c r="N97" s="461"/>
      <c r="O97" s="461"/>
      <c r="P97" s="166"/>
      <c r="Q97" s="166"/>
      <c r="R97" s="166"/>
      <c r="S97" s="182" t="e">
        <f t="shared" si="23"/>
        <v>#N/A</v>
      </c>
      <c r="T97" s="455"/>
      <c r="U97" s="166"/>
      <c r="V97" s="166"/>
      <c r="W97" s="166"/>
      <c r="X97" s="182" t="e">
        <f t="shared" si="24"/>
        <v>#N/A</v>
      </c>
      <c r="Y97" s="455"/>
      <c r="Z97" s="166"/>
      <c r="AA97" s="166"/>
      <c r="AB97" s="166"/>
      <c r="AC97" s="182" t="e">
        <f t="shared" si="25"/>
        <v>#N/A</v>
      </c>
      <c r="AD97" s="455"/>
      <c r="AE97" s="166"/>
      <c r="AF97" s="166"/>
      <c r="AG97" s="166"/>
      <c r="AH97" s="182" t="e">
        <f t="shared" si="26"/>
        <v>#N/A</v>
      </c>
      <c r="AI97" s="455"/>
      <c r="AJ97" s="166"/>
      <c r="AK97" s="166"/>
      <c r="AL97" s="166"/>
      <c r="AM97" s="182" t="e">
        <f t="shared" si="27"/>
        <v>#N/A</v>
      </c>
      <c r="AN97" s="455"/>
      <c r="AO97" s="166"/>
      <c r="AP97" s="166"/>
      <c r="AQ97" s="166"/>
      <c r="AR97" s="182" t="e">
        <f t="shared" si="28"/>
        <v>#N/A</v>
      </c>
      <c r="AS97" s="455"/>
      <c r="AT97" s="166"/>
      <c r="AU97" s="166"/>
      <c r="AV97" s="166"/>
      <c r="AW97" s="182" t="e">
        <f t="shared" si="29"/>
        <v>#N/A</v>
      </c>
      <c r="AX97" s="455"/>
      <c r="AZ97" s="182" t="e">
        <f t="shared" si="30"/>
        <v>#N/A</v>
      </c>
      <c r="BA97" s="455"/>
    </row>
    <row r="98" spans="2:53">
      <c r="B98" s="454"/>
      <c r="C98" s="182">
        <v>22</v>
      </c>
      <c r="D98" s="203"/>
      <c r="E98" s="166"/>
      <c r="F98" s="182"/>
      <c r="G98" s="180"/>
      <c r="H98" s="464"/>
      <c r="I98" s="166" t="str">
        <f t="shared" si="20"/>
        <v>-</v>
      </c>
      <c r="J98" s="166" t="str">
        <f t="shared" si="21"/>
        <v>-</v>
      </c>
      <c r="K98" s="180" t="str">
        <f t="shared" si="22"/>
        <v>-</v>
      </c>
      <c r="L98" s="464"/>
      <c r="M98" s="181" t="e">
        <f>RANK(K98, K$77:$K$106)</f>
        <v>#VALUE!</v>
      </c>
      <c r="N98" s="461"/>
      <c r="O98" s="461"/>
      <c r="P98" s="166"/>
      <c r="Q98" s="166"/>
      <c r="R98" s="166"/>
      <c r="S98" s="182" t="e">
        <f t="shared" si="23"/>
        <v>#N/A</v>
      </c>
      <c r="T98" s="455"/>
      <c r="U98" s="166"/>
      <c r="V98" s="166"/>
      <c r="W98" s="166"/>
      <c r="X98" s="182" t="e">
        <f t="shared" si="24"/>
        <v>#N/A</v>
      </c>
      <c r="Y98" s="455"/>
      <c r="Z98" s="166"/>
      <c r="AA98" s="166"/>
      <c r="AB98" s="166"/>
      <c r="AC98" s="182" t="e">
        <f t="shared" si="25"/>
        <v>#N/A</v>
      </c>
      <c r="AD98" s="455"/>
      <c r="AE98" s="166"/>
      <c r="AF98" s="166"/>
      <c r="AG98" s="166"/>
      <c r="AH98" s="182" t="e">
        <f t="shared" si="26"/>
        <v>#N/A</v>
      </c>
      <c r="AI98" s="455"/>
      <c r="AJ98" s="166"/>
      <c r="AK98" s="166"/>
      <c r="AL98" s="166"/>
      <c r="AM98" s="182" t="e">
        <f t="shared" si="27"/>
        <v>#N/A</v>
      </c>
      <c r="AN98" s="455"/>
      <c r="AO98" s="166"/>
      <c r="AP98" s="166"/>
      <c r="AQ98" s="166"/>
      <c r="AR98" s="182" t="e">
        <f t="shared" si="28"/>
        <v>#N/A</v>
      </c>
      <c r="AS98" s="455"/>
      <c r="AT98" s="166"/>
      <c r="AU98" s="166"/>
      <c r="AV98" s="166"/>
      <c r="AW98" s="182" t="e">
        <f t="shared" si="29"/>
        <v>#N/A</v>
      </c>
      <c r="AX98" s="455"/>
      <c r="AZ98" s="182" t="e">
        <f t="shared" si="30"/>
        <v>#N/A</v>
      </c>
      <c r="BA98" s="455"/>
    </row>
    <row r="99" spans="2:53">
      <c r="B99" s="454"/>
      <c r="C99" s="182">
        <v>23</v>
      </c>
      <c r="D99" s="203"/>
      <c r="E99" s="166"/>
      <c r="F99" s="182"/>
      <c r="G99" s="180"/>
      <c r="H99" s="464"/>
      <c r="I99" s="166" t="str">
        <f t="shared" si="20"/>
        <v>-</v>
      </c>
      <c r="J99" s="166" t="str">
        <f t="shared" si="21"/>
        <v>-</v>
      </c>
      <c r="K99" s="180" t="str">
        <f t="shared" si="22"/>
        <v>-</v>
      </c>
      <c r="L99" s="464"/>
      <c r="M99" s="181" t="e">
        <f>RANK(K99, K$77:$K$106)</f>
        <v>#VALUE!</v>
      </c>
      <c r="N99" s="461"/>
      <c r="O99" s="461"/>
      <c r="P99" s="166"/>
      <c r="Q99" s="166"/>
      <c r="R99" s="166"/>
      <c r="S99" s="182" t="e">
        <f t="shared" si="23"/>
        <v>#N/A</v>
      </c>
      <c r="T99" s="455"/>
      <c r="U99" s="166"/>
      <c r="V99" s="166"/>
      <c r="W99" s="166"/>
      <c r="X99" s="182" t="e">
        <f t="shared" si="24"/>
        <v>#N/A</v>
      </c>
      <c r="Y99" s="455"/>
      <c r="Z99" s="166"/>
      <c r="AA99" s="166"/>
      <c r="AB99" s="166"/>
      <c r="AC99" s="182" t="e">
        <f t="shared" si="25"/>
        <v>#N/A</v>
      </c>
      <c r="AD99" s="455"/>
      <c r="AE99" s="166"/>
      <c r="AF99" s="166"/>
      <c r="AG99" s="166"/>
      <c r="AH99" s="182" t="e">
        <f t="shared" si="26"/>
        <v>#N/A</v>
      </c>
      <c r="AI99" s="455"/>
      <c r="AJ99" s="166"/>
      <c r="AK99" s="166"/>
      <c r="AL99" s="166"/>
      <c r="AM99" s="182" t="e">
        <f t="shared" si="27"/>
        <v>#N/A</v>
      </c>
      <c r="AN99" s="455"/>
      <c r="AO99" s="166"/>
      <c r="AP99" s="166"/>
      <c r="AQ99" s="166"/>
      <c r="AR99" s="182" t="e">
        <f t="shared" si="28"/>
        <v>#N/A</v>
      </c>
      <c r="AS99" s="455"/>
      <c r="AT99" s="166"/>
      <c r="AU99" s="166"/>
      <c r="AV99" s="166"/>
      <c r="AW99" s="182" t="e">
        <f t="shared" si="29"/>
        <v>#N/A</v>
      </c>
      <c r="AX99" s="455"/>
      <c r="AZ99" s="182" t="e">
        <f t="shared" si="30"/>
        <v>#N/A</v>
      </c>
      <c r="BA99" s="455"/>
    </row>
    <row r="100" spans="2:53">
      <c r="B100" s="454"/>
      <c r="C100" s="182">
        <v>24</v>
      </c>
      <c r="D100" s="203"/>
      <c r="E100" s="166"/>
      <c r="F100" s="182"/>
      <c r="G100" s="180"/>
      <c r="H100" s="464"/>
      <c r="I100" s="166" t="str">
        <f t="shared" si="20"/>
        <v>-</v>
      </c>
      <c r="J100" s="166" t="str">
        <f t="shared" si="21"/>
        <v>-</v>
      </c>
      <c r="K100" s="180" t="str">
        <f t="shared" si="22"/>
        <v>-</v>
      </c>
      <c r="L100" s="464"/>
      <c r="M100" s="181" t="e">
        <f>RANK(K100, K$77:$K$106)</f>
        <v>#VALUE!</v>
      </c>
      <c r="N100" s="461"/>
      <c r="O100" s="461"/>
      <c r="P100" s="182"/>
      <c r="Q100" s="180"/>
      <c r="R100" s="180"/>
      <c r="S100" s="182" t="e">
        <f t="shared" si="23"/>
        <v>#N/A</v>
      </c>
      <c r="T100" s="455"/>
      <c r="U100" s="182"/>
      <c r="V100" s="180"/>
      <c r="W100" s="180"/>
      <c r="X100" s="182" t="e">
        <f t="shared" si="24"/>
        <v>#N/A</v>
      </c>
      <c r="Y100" s="455"/>
      <c r="Z100" s="182"/>
      <c r="AA100" s="180"/>
      <c r="AB100" s="180"/>
      <c r="AC100" s="182" t="e">
        <f t="shared" si="25"/>
        <v>#N/A</v>
      </c>
      <c r="AD100" s="455"/>
      <c r="AE100" s="182"/>
      <c r="AF100" s="180"/>
      <c r="AG100" s="180"/>
      <c r="AH100" s="182" t="e">
        <f t="shared" si="26"/>
        <v>#N/A</v>
      </c>
      <c r="AI100" s="455"/>
      <c r="AJ100" s="182"/>
      <c r="AK100" s="180"/>
      <c r="AL100" s="180"/>
      <c r="AM100" s="182" t="e">
        <f t="shared" si="27"/>
        <v>#N/A</v>
      </c>
      <c r="AN100" s="455"/>
      <c r="AO100" s="182"/>
      <c r="AP100" s="180"/>
      <c r="AQ100" s="180"/>
      <c r="AR100" s="182" t="e">
        <f t="shared" si="28"/>
        <v>#N/A</v>
      </c>
      <c r="AS100" s="455"/>
      <c r="AT100" s="182"/>
      <c r="AU100" s="180"/>
      <c r="AV100" s="180"/>
      <c r="AW100" s="182" t="e">
        <f t="shared" si="29"/>
        <v>#N/A</v>
      </c>
      <c r="AX100" s="455"/>
      <c r="AZ100" s="182" t="e">
        <f t="shared" si="30"/>
        <v>#N/A</v>
      </c>
      <c r="BA100" s="455"/>
    </row>
    <row r="101" spans="2:53">
      <c r="B101" s="454"/>
      <c r="C101" s="182">
        <v>25</v>
      </c>
      <c r="D101" s="203"/>
      <c r="E101" s="166"/>
      <c r="F101" s="182"/>
      <c r="G101" s="180"/>
      <c r="H101" s="464"/>
      <c r="I101" s="166" t="str">
        <f t="shared" si="20"/>
        <v>-</v>
      </c>
      <c r="J101" s="166" t="str">
        <f t="shared" si="21"/>
        <v>-</v>
      </c>
      <c r="K101" s="180" t="str">
        <f t="shared" si="22"/>
        <v>-</v>
      </c>
      <c r="L101" s="464"/>
      <c r="M101" s="181" t="e">
        <f>RANK(K101, K$77:$K$106)</f>
        <v>#VALUE!</v>
      </c>
      <c r="N101" s="461"/>
      <c r="O101" s="461"/>
      <c r="P101" s="182"/>
      <c r="Q101" s="180"/>
      <c r="R101" s="180"/>
      <c r="S101" s="182" t="e">
        <f t="shared" si="23"/>
        <v>#N/A</v>
      </c>
      <c r="T101" s="455"/>
      <c r="U101" s="182"/>
      <c r="V101" s="180"/>
      <c r="W101" s="180"/>
      <c r="X101" s="182" t="e">
        <f t="shared" si="24"/>
        <v>#N/A</v>
      </c>
      <c r="Y101" s="455"/>
      <c r="Z101" s="182"/>
      <c r="AA101" s="180"/>
      <c r="AB101" s="180"/>
      <c r="AC101" s="182" t="e">
        <f t="shared" si="25"/>
        <v>#N/A</v>
      </c>
      <c r="AD101" s="455"/>
      <c r="AE101" s="182"/>
      <c r="AF101" s="180"/>
      <c r="AG101" s="180"/>
      <c r="AH101" s="182" t="e">
        <f t="shared" si="26"/>
        <v>#N/A</v>
      </c>
      <c r="AI101" s="455"/>
      <c r="AJ101" s="182"/>
      <c r="AK101" s="180"/>
      <c r="AL101" s="180"/>
      <c r="AM101" s="182" t="e">
        <f t="shared" si="27"/>
        <v>#N/A</v>
      </c>
      <c r="AN101" s="455"/>
      <c r="AO101" s="182"/>
      <c r="AP101" s="180"/>
      <c r="AQ101" s="180"/>
      <c r="AR101" s="182" t="e">
        <f t="shared" si="28"/>
        <v>#N/A</v>
      </c>
      <c r="AS101" s="455"/>
      <c r="AT101" s="182"/>
      <c r="AU101" s="180"/>
      <c r="AV101" s="180"/>
      <c r="AW101" s="182" t="e">
        <f t="shared" si="29"/>
        <v>#N/A</v>
      </c>
      <c r="AX101" s="455"/>
      <c r="AZ101" s="182" t="e">
        <f t="shared" si="30"/>
        <v>#N/A</v>
      </c>
      <c r="BA101" s="455"/>
    </row>
    <row r="102" spans="2:53">
      <c r="B102" s="454"/>
      <c r="C102" s="182">
        <v>26</v>
      </c>
      <c r="D102" s="203"/>
      <c r="E102" s="166"/>
      <c r="F102" s="182"/>
      <c r="G102" s="180"/>
      <c r="H102" s="464"/>
      <c r="I102" s="166" t="str">
        <f t="shared" si="20"/>
        <v>-</v>
      </c>
      <c r="J102" s="166" t="str">
        <f t="shared" si="21"/>
        <v>-</v>
      </c>
      <c r="K102" s="180" t="str">
        <f t="shared" si="22"/>
        <v>-</v>
      </c>
      <c r="L102" s="464"/>
      <c r="M102" s="181" t="e">
        <f>RANK(K102, K$77:$K$106)</f>
        <v>#VALUE!</v>
      </c>
      <c r="N102" s="461"/>
      <c r="O102" s="461"/>
      <c r="P102" s="182"/>
      <c r="Q102" s="180"/>
      <c r="R102" s="180"/>
      <c r="S102" s="182" t="e">
        <f t="shared" si="23"/>
        <v>#N/A</v>
      </c>
      <c r="T102" s="455"/>
      <c r="U102" s="182"/>
      <c r="V102" s="180"/>
      <c r="W102" s="180"/>
      <c r="X102" s="182" t="e">
        <f t="shared" si="24"/>
        <v>#N/A</v>
      </c>
      <c r="Y102" s="455"/>
      <c r="Z102" s="182"/>
      <c r="AA102" s="180"/>
      <c r="AB102" s="180"/>
      <c r="AC102" s="182" t="e">
        <f t="shared" si="25"/>
        <v>#N/A</v>
      </c>
      <c r="AD102" s="455"/>
      <c r="AE102" s="182"/>
      <c r="AF102" s="180"/>
      <c r="AG102" s="180"/>
      <c r="AH102" s="182" t="e">
        <f t="shared" si="26"/>
        <v>#N/A</v>
      </c>
      <c r="AI102" s="455"/>
      <c r="AJ102" s="182"/>
      <c r="AK102" s="180"/>
      <c r="AL102" s="180"/>
      <c r="AM102" s="182" t="e">
        <f t="shared" si="27"/>
        <v>#N/A</v>
      </c>
      <c r="AN102" s="455"/>
      <c r="AO102" s="182"/>
      <c r="AP102" s="180"/>
      <c r="AQ102" s="180"/>
      <c r="AR102" s="182" t="e">
        <f t="shared" si="28"/>
        <v>#N/A</v>
      </c>
      <c r="AS102" s="455"/>
      <c r="AT102" s="182"/>
      <c r="AU102" s="180"/>
      <c r="AV102" s="180"/>
      <c r="AW102" s="182" t="e">
        <f t="shared" si="29"/>
        <v>#N/A</v>
      </c>
      <c r="AX102" s="455"/>
      <c r="AZ102" s="182" t="e">
        <f t="shared" si="30"/>
        <v>#N/A</v>
      </c>
      <c r="BA102" s="455"/>
    </row>
    <row r="103" spans="2:53">
      <c r="B103" s="454"/>
      <c r="C103" s="182">
        <v>27</v>
      </c>
      <c r="D103" s="203"/>
      <c r="E103" s="166"/>
      <c r="F103" s="182"/>
      <c r="G103" s="180"/>
      <c r="H103" s="464"/>
      <c r="I103" s="166" t="str">
        <f t="shared" si="20"/>
        <v>-</v>
      </c>
      <c r="J103" s="166" t="str">
        <f t="shared" si="21"/>
        <v>-</v>
      </c>
      <c r="K103" s="180" t="str">
        <f t="shared" si="22"/>
        <v>-</v>
      </c>
      <c r="L103" s="464"/>
      <c r="M103" s="181" t="e">
        <f>RANK(K103, K$77:$K$106)</f>
        <v>#VALUE!</v>
      </c>
      <c r="N103" s="461"/>
      <c r="O103" s="461"/>
      <c r="P103" s="182"/>
      <c r="Q103" s="180"/>
      <c r="R103" s="180"/>
      <c r="S103" s="182" t="e">
        <f t="shared" si="23"/>
        <v>#N/A</v>
      </c>
      <c r="T103" s="455"/>
      <c r="U103" s="182"/>
      <c r="V103" s="180"/>
      <c r="W103" s="180"/>
      <c r="X103" s="182" t="e">
        <f t="shared" si="24"/>
        <v>#N/A</v>
      </c>
      <c r="Y103" s="455"/>
      <c r="Z103" s="182"/>
      <c r="AA103" s="180"/>
      <c r="AB103" s="180"/>
      <c r="AC103" s="182" t="e">
        <f t="shared" si="25"/>
        <v>#N/A</v>
      </c>
      <c r="AD103" s="455"/>
      <c r="AE103" s="182"/>
      <c r="AF103" s="180"/>
      <c r="AG103" s="180"/>
      <c r="AH103" s="182" t="e">
        <f t="shared" si="26"/>
        <v>#N/A</v>
      </c>
      <c r="AI103" s="455"/>
      <c r="AJ103" s="182"/>
      <c r="AK103" s="180"/>
      <c r="AL103" s="180"/>
      <c r="AM103" s="182" t="e">
        <f t="shared" si="27"/>
        <v>#N/A</v>
      </c>
      <c r="AN103" s="455"/>
      <c r="AO103" s="182"/>
      <c r="AP103" s="180"/>
      <c r="AQ103" s="180"/>
      <c r="AR103" s="182" t="e">
        <f t="shared" si="28"/>
        <v>#N/A</v>
      </c>
      <c r="AS103" s="455"/>
      <c r="AT103" s="182"/>
      <c r="AU103" s="180"/>
      <c r="AV103" s="180"/>
      <c r="AW103" s="182" t="e">
        <f t="shared" si="29"/>
        <v>#N/A</v>
      </c>
      <c r="AX103" s="455"/>
      <c r="AZ103" s="182" t="e">
        <f t="shared" si="30"/>
        <v>#N/A</v>
      </c>
      <c r="BA103" s="455"/>
    </row>
    <row r="104" spans="2:53">
      <c r="B104" s="454"/>
      <c r="C104" s="182">
        <v>28</v>
      </c>
      <c r="D104" s="203"/>
      <c r="E104" s="166"/>
      <c r="F104" s="182"/>
      <c r="G104" s="180"/>
      <c r="H104" s="464"/>
      <c r="I104" s="166" t="str">
        <f t="shared" si="20"/>
        <v>-</v>
      </c>
      <c r="J104" s="166" t="str">
        <f t="shared" si="21"/>
        <v>-</v>
      </c>
      <c r="K104" s="180" t="str">
        <f t="shared" si="22"/>
        <v>-</v>
      </c>
      <c r="L104" s="464"/>
      <c r="M104" s="181" t="e">
        <f>RANK(K104, K$77:$K$106)</f>
        <v>#VALUE!</v>
      </c>
      <c r="N104" s="461"/>
      <c r="O104" s="461"/>
      <c r="P104" s="182"/>
      <c r="Q104" s="180"/>
      <c r="R104" s="180"/>
      <c r="S104" s="182" t="e">
        <f t="shared" si="23"/>
        <v>#N/A</v>
      </c>
      <c r="T104" s="455"/>
      <c r="U104" s="182"/>
      <c r="V104" s="180"/>
      <c r="W104" s="180"/>
      <c r="X104" s="182" t="e">
        <f t="shared" si="24"/>
        <v>#N/A</v>
      </c>
      <c r="Y104" s="455"/>
      <c r="Z104" s="182"/>
      <c r="AA104" s="180"/>
      <c r="AB104" s="180"/>
      <c r="AC104" s="182" t="e">
        <f t="shared" si="25"/>
        <v>#N/A</v>
      </c>
      <c r="AD104" s="455"/>
      <c r="AE104" s="182"/>
      <c r="AF104" s="180"/>
      <c r="AG104" s="180"/>
      <c r="AH104" s="182" t="e">
        <f t="shared" si="26"/>
        <v>#N/A</v>
      </c>
      <c r="AI104" s="455"/>
      <c r="AJ104" s="182"/>
      <c r="AK104" s="180"/>
      <c r="AL104" s="180"/>
      <c r="AM104" s="182" t="e">
        <f t="shared" si="27"/>
        <v>#N/A</v>
      </c>
      <c r="AN104" s="455"/>
      <c r="AO104" s="182"/>
      <c r="AP104" s="180"/>
      <c r="AQ104" s="180"/>
      <c r="AR104" s="182" t="e">
        <f t="shared" si="28"/>
        <v>#N/A</v>
      </c>
      <c r="AS104" s="455"/>
      <c r="AT104" s="182"/>
      <c r="AU104" s="180"/>
      <c r="AV104" s="180"/>
      <c r="AW104" s="182" t="e">
        <f t="shared" si="29"/>
        <v>#N/A</v>
      </c>
      <c r="AX104" s="455"/>
      <c r="AZ104" s="182" t="e">
        <f t="shared" si="30"/>
        <v>#N/A</v>
      </c>
      <c r="BA104" s="455"/>
    </row>
    <row r="105" spans="2:53">
      <c r="B105" s="454"/>
      <c r="C105" s="182">
        <v>29</v>
      </c>
      <c r="D105" s="203"/>
      <c r="E105" s="166"/>
      <c r="F105" s="182"/>
      <c r="G105" s="180"/>
      <c r="H105" s="464"/>
      <c r="I105" s="166" t="str">
        <f t="shared" si="20"/>
        <v>-</v>
      </c>
      <c r="J105" s="166" t="str">
        <f t="shared" si="21"/>
        <v>-</v>
      </c>
      <c r="K105" s="180" t="str">
        <f t="shared" si="22"/>
        <v>-</v>
      </c>
      <c r="L105" s="464"/>
      <c r="M105" s="181" t="e">
        <f>RANK(K105, K$77:$K$106)</f>
        <v>#VALUE!</v>
      </c>
      <c r="N105" s="461"/>
      <c r="O105" s="461"/>
      <c r="P105" s="182"/>
      <c r="Q105" s="182"/>
      <c r="R105" s="182"/>
      <c r="S105" s="182" t="e">
        <f t="shared" si="23"/>
        <v>#N/A</v>
      </c>
      <c r="T105" s="455"/>
      <c r="U105" s="182"/>
      <c r="V105" s="182"/>
      <c r="W105" s="182"/>
      <c r="X105" s="182" t="e">
        <f t="shared" si="24"/>
        <v>#N/A</v>
      </c>
      <c r="Y105" s="455"/>
      <c r="Z105" s="182"/>
      <c r="AA105" s="182"/>
      <c r="AB105" s="182"/>
      <c r="AC105" s="182" t="e">
        <f t="shared" si="25"/>
        <v>#N/A</v>
      </c>
      <c r="AD105" s="455"/>
      <c r="AE105" s="182"/>
      <c r="AF105" s="182"/>
      <c r="AG105" s="182"/>
      <c r="AH105" s="182" t="e">
        <f t="shared" si="26"/>
        <v>#N/A</v>
      </c>
      <c r="AI105" s="455"/>
      <c r="AJ105" s="182"/>
      <c r="AK105" s="182"/>
      <c r="AL105" s="182"/>
      <c r="AM105" s="182" t="e">
        <f t="shared" si="27"/>
        <v>#N/A</v>
      </c>
      <c r="AN105" s="455"/>
      <c r="AO105" s="182"/>
      <c r="AP105" s="182"/>
      <c r="AQ105" s="182"/>
      <c r="AR105" s="182" t="e">
        <f t="shared" si="28"/>
        <v>#N/A</v>
      </c>
      <c r="AS105" s="455"/>
      <c r="AT105" s="182"/>
      <c r="AU105" s="182"/>
      <c r="AV105" s="182"/>
      <c r="AW105" s="182" t="e">
        <f t="shared" si="29"/>
        <v>#N/A</v>
      </c>
      <c r="AX105" s="455"/>
      <c r="AZ105" s="182" t="e">
        <f t="shared" si="30"/>
        <v>#N/A</v>
      </c>
      <c r="BA105" s="455"/>
    </row>
    <row r="106" spans="2:53">
      <c r="B106" s="454"/>
      <c r="C106" s="182">
        <v>30</v>
      </c>
      <c r="D106" s="203"/>
      <c r="E106" s="166"/>
      <c r="F106" s="182"/>
      <c r="G106" s="180"/>
      <c r="H106" s="465"/>
      <c r="I106" s="166" t="str">
        <f t="shared" si="20"/>
        <v>-</v>
      </c>
      <c r="J106" s="166" t="str">
        <f t="shared" si="21"/>
        <v>-</v>
      </c>
      <c r="K106" s="180" t="str">
        <f t="shared" si="22"/>
        <v>-</v>
      </c>
      <c r="L106" s="465"/>
      <c r="M106" s="181" t="e">
        <f>RANK(K106, K$77:$K$106)</f>
        <v>#VALUE!</v>
      </c>
      <c r="N106" s="461"/>
      <c r="O106" s="461"/>
      <c r="P106" s="182"/>
      <c r="Q106" s="182"/>
      <c r="R106" s="182"/>
      <c r="S106" s="182" t="e">
        <f t="shared" si="23"/>
        <v>#N/A</v>
      </c>
      <c r="T106" s="455"/>
      <c r="U106" s="182"/>
      <c r="V106" s="182"/>
      <c r="W106" s="182"/>
      <c r="X106" s="182" t="e">
        <f t="shared" si="24"/>
        <v>#N/A</v>
      </c>
      <c r="Y106" s="455"/>
      <c r="Z106" s="182"/>
      <c r="AA106" s="182"/>
      <c r="AB106" s="182"/>
      <c r="AC106" s="182" t="e">
        <f t="shared" si="25"/>
        <v>#N/A</v>
      </c>
      <c r="AD106" s="455"/>
      <c r="AE106" s="182"/>
      <c r="AF106" s="182"/>
      <c r="AG106" s="182"/>
      <c r="AH106" s="182" t="e">
        <f t="shared" si="26"/>
        <v>#N/A</v>
      </c>
      <c r="AI106" s="455"/>
      <c r="AJ106" s="182"/>
      <c r="AK106" s="182"/>
      <c r="AL106" s="182"/>
      <c r="AM106" s="182" t="e">
        <f t="shared" si="27"/>
        <v>#N/A</v>
      </c>
      <c r="AN106" s="455"/>
      <c r="AO106" s="182"/>
      <c r="AP106" s="182"/>
      <c r="AQ106" s="182"/>
      <c r="AR106" s="182" t="e">
        <f t="shared" si="28"/>
        <v>#N/A</v>
      </c>
      <c r="AS106" s="455"/>
      <c r="AT106" s="182"/>
      <c r="AU106" s="182"/>
      <c r="AV106" s="182"/>
      <c r="AW106" s="182" t="e">
        <f t="shared" si="29"/>
        <v>#N/A</v>
      </c>
      <c r="AX106" s="455"/>
      <c r="AZ106" s="182" t="e">
        <f t="shared" si="30"/>
        <v>#N/A</v>
      </c>
      <c r="BA106" s="455"/>
    </row>
    <row r="107" spans="2:53" ht="15.5">
      <c r="B107" s="477" t="s">
        <v>163</v>
      </c>
      <c r="C107" s="478"/>
      <c r="D107" s="478"/>
      <c r="E107" s="478"/>
      <c r="F107" s="478"/>
      <c r="G107" s="478"/>
      <c r="H107" s="478"/>
      <c r="I107" s="186"/>
      <c r="J107" s="186"/>
      <c r="K107" s="186"/>
      <c r="L107" s="186"/>
      <c r="M107" s="185"/>
      <c r="N107" s="480" t="s">
        <v>156</v>
      </c>
      <c r="O107" s="480" t="s">
        <v>105</v>
      </c>
      <c r="P107" s="476">
        <f>P72+7</f>
        <v>46133</v>
      </c>
      <c r="Q107" s="454"/>
      <c r="R107" s="454"/>
      <c r="S107" s="454"/>
      <c r="T107" s="454"/>
      <c r="U107" s="473">
        <f>P107+1</f>
        <v>46134</v>
      </c>
      <c r="V107" s="474"/>
      <c r="W107" s="474"/>
      <c r="X107" s="474"/>
      <c r="Y107" s="475"/>
      <c r="Z107" s="473">
        <f>U107+1</f>
        <v>46135</v>
      </c>
      <c r="AA107" s="474"/>
      <c r="AB107" s="474"/>
      <c r="AC107" s="474"/>
      <c r="AD107" s="475"/>
      <c r="AE107" s="473">
        <f>Z107+1</f>
        <v>46136</v>
      </c>
      <c r="AF107" s="474"/>
      <c r="AG107" s="474"/>
      <c r="AH107" s="474"/>
      <c r="AI107" s="475"/>
      <c r="AJ107" s="473">
        <f>AE107+1</f>
        <v>46137</v>
      </c>
      <c r="AK107" s="474"/>
      <c r="AL107" s="474"/>
      <c r="AM107" s="474"/>
      <c r="AN107" s="475"/>
      <c r="AO107" s="473">
        <f>AJ107+1</f>
        <v>46138</v>
      </c>
      <c r="AP107" s="474"/>
      <c r="AQ107" s="474"/>
      <c r="AR107" s="474"/>
      <c r="AS107" s="475"/>
      <c r="AT107" s="473">
        <f>AO107+1</f>
        <v>46139</v>
      </c>
      <c r="AU107" s="474"/>
      <c r="AV107" s="474"/>
      <c r="AW107" s="474"/>
      <c r="AX107" s="475"/>
    </row>
    <row r="108" spans="2:53" ht="15.5">
      <c r="B108" s="479"/>
      <c r="C108" s="479"/>
      <c r="D108" s="479"/>
      <c r="E108" s="479"/>
      <c r="F108" s="479"/>
      <c r="G108" s="479"/>
      <c r="H108" s="479"/>
      <c r="I108" s="184"/>
      <c r="J108" s="184"/>
      <c r="K108" s="184"/>
      <c r="L108" s="184"/>
      <c r="M108" s="179"/>
      <c r="N108" s="481"/>
      <c r="O108" s="481"/>
      <c r="P108" s="476" t="s">
        <v>336</v>
      </c>
      <c r="Q108" s="454"/>
      <c r="R108" s="454"/>
      <c r="S108" s="454"/>
      <c r="T108" s="454"/>
      <c r="U108" s="476" t="s">
        <v>337</v>
      </c>
      <c r="V108" s="454"/>
      <c r="W108" s="454"/>
      <c r="X108" s="454"/>
      <c r="Y108" s="454"/>
      <c r="Z108" s="476" t="s">
        <v>338</v>
      </c>
      <c r="AA108" s="454"/>
      <c r="AB108" s="454"/>
      <c r="AC108" s="454"/>
      <c r="AD108" s="454"/>
      <c r="AE108" s="476" t="s">
        <v>339</v>
      </c>
      <c r="AF108" s="454"/>
      <c r="AG108" s="454"/>
      <c r="AH108" s="454"/>
      <c r="AI108" s="454"/>
      <c r="AJ108" s="476" t="s">
        <v>340</v>
      </c>
      <c r="AK108" s="454"/>
      <c r="AL108" s="454"/>
      <c r="AM108" s="454"/>
      <c r="AN108" s="454"/>
      <c r="AO108" s="476" t="s">
        <v>341</v>
      </c>
      <c r="AP108" s="454"/>
      <c r="AQ108" s="454"/>
      <c r="AR108" s="454"/>
      <c r="AS108" s="454"/>
      <c r="AT108" s="476" t="s">
        <v>342</v>
      </c>
      <c r="AU108" s="454"/>
      <c r="AV108" s="454"/>
      <c r="AW108" s="454"/>
      <c r="AX108" s="454"/>
    </row>
    <row r="109" spans="2:53">
      <c r="B109" s="461" t="s">
        <v>443</v>
      </c>
      <c r="C109" s="461" t="s">
        <v>444</v>
      </c>
      <c r="D109" s="461"/>
      <c r="E109" s="461" t="s">
        <v>445</v>
      </c>
      <c r="F109" s="461"/>
      <c r="G109" s="461"/>
      <c r="H109" s="482" t="s">
        <v>446</v>
      </c>
      <c r="I109" s="461" t="s">
        <v>447</v>
      </c>
      <c r="J109" s="461"/>
      <c r="K109" s="461"/>
      <c r="L109" s="482" t="s">
        <v>446</v>
      </c>
      <c r="M109" s="480" t="s">
        <v>448</v>
      </c>
      <c r="N109" s="461"/>
      <c r="O109" s="461" t="s">
        <v>449</v>
      </c>
      <c r="P109" s="466" t="s">
        <v>450</v>
      </c>
      <c r="Q109" s="467"/>
      <c r="R109" s="467"/>
      <c r="S109" s="468"/>
      <c r="T109" s="461" t="s">
        <v>446</v>
      </c>
      <c r="U109" s="466" t="s">
        <v>450</v>
      </c>
      <c r="V109" s="467"/>
      <c r="W109" s="467"/>
      <c r="X109" s="468"/>
      <c r="Y109" s="461" t="s">
        <v>446</v>
      </c>
      <c r="Z109" s="466" t="s">
        <v>450</v>
      </c>
      <c r="AA109" s="467"/>
      <c r="AB109" s="467"/>
      <c r="AC109" s="468"/>
      <c r="AD109" s="461" t="s">
        <v>446</v>
      </c>
      <c r="AE109" s="466" t="s">
        <v>450</v>
      </c>
      <c r="AF109" s="467"/>
      <c r="AG109" s="467"/>
      <c r="AH109" s="468"/>
      <c r="AI109" s="461" t="s">
        <v>446</v>
      </c>
      <c r="AJ109" s="466" t="s">
        <v>450</v>
      </c>
      <c r="AK109" s="467"/>
      <c r="AL109" s="467"/>
      <c r="AM109" s="468"/>
      <c r="AN109" s="461" t="s">
        <v>446</v>
      </c>
      <c r="AO109" s="466" t="s">
        <v>450</v>
      </c>
      <c r="AP109" s="467"/>
      <c r="AQ109" s="467"/>
      <c r="AR109" s="468"/>
      <c r="AS109" s="461" t="s">
        <v>446</v>
      </c>
      <c r="AT109" s="466" t="s">
        <v>450</v>
      </c>
      <c r="AU109" s="467"/>
      <c r="AV109" s="467"/>
      <c r="AW109" s="468"/>
      <c r="AX109" s="461" t="s">
        <v>446</v>
      </c>
      <c r="BA109" s="461" t="s">
        <v>396</v>
      </c>
    </row>
    <row r="110" spans="2:53">
      <c r="B110" s="461"/>
      <c r="C110" s="461"/>
      <c r="D110" s="461"/>
      <c r="E110" s="461" t="s">
        <v>451</v>
      </c>
      <c r="F110" s="461"/>
      <c r="G110" s="461"/>
      <c r="H110" s="483"/>
      <c r="I110" s="461" t="s">
        <v>451</v>
      </c>
      <c r="J110" s="461"/>
      <c r="K110" s="461"/>
      <c r="L110" s="483"/>
      <c r="M110" s="485"/>
      <c r="N110" s="461"/>
      <c r="O110" s="461"/>
      <c r="P110" s="466" t="s">
        <v>452</v>
      </c>
      <c r="Q110" s="467"/>
      <c r="R110" s="467"/>
      <c r="S110" s="468"/>
      <c r="T110" s="461"/>
      <c r="U110" s="466" t="s">
        <v>452</v>
      </c>
      <c r="V110" s="467"/>
      <c r="W110" s="467"/>
      <c r="X110" s="468"/>
      <c r="Y110" s="461"/>
      <c r="Z110" s="466" t="s">
        <v>452</v>
      </c>
      <c r="AA110" s="467"/>
      <c r="AB110" s="467"/>
      <c r="AC110" s="468"/>
      <c r="AD110" s="461"/>
      <c r="AE110" s="466" t="s">
        <v>452</v>
      </c>
      <c r="AF110" s="467"/>
      <c r="AG110" s="467"/>
      <c r="AH110" s="468"/>
      <c r="AI110" s="461"/>
      <c r="AJ110" s="466" t="s">
        <v>452</v>
      </c>
      <c r="AK110" s="467"/>
      <c r="AL110" s="467"/>
      <c r="AM110" s="468"/>
      <c r="AN110" s="461"/>
      <c r="AO110" s="466" t="s">
        <v>452</v>
      </c>
      <c r="AP110" s="467"/>
      <c r="AQ110" s="467"/>
      <c r="AR110" s="468"/>
      <c r="AS110" s="461"/>
      <c r="AT110" s="466" t="s">
        <v>452</v>
      </c>
      <c r="AU110" s="467"/>
      <c r="AV110" s="467"/>
      <c r="AW110" s="468"/>
      <c r="AX110" s="461"/>
      <c r="BA110" s="461"/>
    </row>
    <row r="111" spans="2:53">
      <c r="B111" s="461"/>
      <c r="C111" s="461"/>
      <c r="D111" s="461"/>
      <c r="E111" s="269" t="s">
        <v>453</v>
      </c>
      <c r="F111" s="269" t="s">
        <v>454</v>
      </c>
      <c r="G111" s="269" t="s">
        <v>455</v>
      </c>
      <c r="H111" s="484"/>
      <c r="I111" s="269" t="s">
        <v>453</v>
      </c>
      <c r="J111" s="269" t="s">
        <v>454</v>
      </c>
      <c r="K111" s="269" t="s">
        <v>455</v>
      </c>
      <c r="L111" s="484"/>
      <c r="M111" s="481"/>
      <c r="N111" s="461"/>
      <c r="O111" s="461"/>
      <c r="P111" s="269" t="s">
        <v>453</v>
      </c>
      <c r="Q111" s="269" t="s">
        <v>454</v>
      </c>
      <c r="R111" s="269" t="s">
        <v>455</v>
      </c>
      <c r="S111" s="269" t="s">
        <v>448</v>
      </c>
      <c r="T111" s="461"/>
      <c r="U111" s="269" t="s">
        <v>453</v>
      </c>
      <c r="V111" s="269" t="s">
        <v>454</v>
      </c>
      <c r="W111" s="269" t="s">
        <v>455</v>
      </c>
      <c r="X111" s="269" t="s">
        <v>448</v>
      </c>
      <c r="Y111" s="461"/>
      <c r="Z111" s="269" t="s">
        <v>453</v>
      </c>
      <c r="AA111" s="269" t="s">
        <v>454</v>
      </c>
      <c r="AB111" s="269" t="s">
        <v>455</v>
      </c>
      <c r="AC111" s="269" t="s">
        <v>448</v>
      </c>
      <c r="AD111" s="461"/>
      <c r="AE111" s="269" t="s">
        <v>453</v>
      </c>
      <c r="AF111" s="269" t="s">
        <v>454</v>
      </c>
      <c r="AG111" s="269" t="s">
        <v>455</v>
      </c>
      <c r="AH111" s="269" t="s">
        <v>448</v>
      </c>
      <c r="AI111" s="461"/>
      <c r="AJ111" s="269" t="s">
        <v>453</v>
      </c>
      <c r="AK111" s="269" t="s">
        <v>454</v>
      </c>
      <c r="AL111" s="269" t="s">
        <v>455</v>
      </c>
      <c r="AM111" s="269" t="s">
        <v>448</v>
      </c>
      <c r="AN111" s="461"/>
      <c r="AO111" s="269" t="s">
        <v>453</v>
      </c>
      <c r="AP111" s="269" t="s">
        <v>454</v>
      </c>
      <c r="AQ111" s="269" t="s">
        <v>455</v>
      </c>
      <c r="AR111" s="269" t="s">
        <v>448</v>
      </c>
      <c r="AS111" s="461"/>
      <c r="AT111" s="269" t="s">
        <v>453</v>
      </c>
      <c r="AU111" s="269" t="s">
        <v>454</v>
      </c>
      <c r="AV111" s="269" t="s">
        <v>455</v>
      </c>
      <c r="AW111" s="269" t="s">
        <v>448</v>
      </c>
      <c r="AX111" s="461"/>
      <c r="AZ111" s="269" t="s">
        <v>397</v>
      </c>
      <c r="BA111" s="461"/>
    </row>
    <row r="112" spans="2:53">
      <c r="B112" s="461" t="s">
        <v>456</v>
      </c>
      <c r="C112" s="182">
        <v>1</v>
      </c>
      <c r="D112" s="203"/>
      <c r="E112" s="166"/>
      <c r="F112" s="182"/>
      <c r="G112" s="180"/>
      <c r="H112" s="463" t="e">
        <f>AVERAGE(G112:G141)</f>
        <v>#DIV/0!</v>
      </c>
      <c r="I112" s="166" t="str">
        <f>IFERROR(AVERAGE(P112,U112,Z112,AE112,AJ112,AO112,AT112),"-")</f>
        <v>-</v>
      </c>
      <c r="J112" s="166" t="str">
        <f>IFERROR(AVERAGE(Q112,V112,AA112,AF112,AK112,AP112,AU112),"-")</f>
        <v>-</v>
      </c>
      <c r="K112" s="180" t="str">
        <f>IFERROR(AVERAGE(R112,W112,AB112,AG112,AL112,AQ112,AV112),"-")</f>
        <v>-</v>
      </c>
      <c r="L112" s="463" t="str">
        <f>IFERROR(AVERAGE(K112:K141),"-")</f>
        <v>-</v>
      </c>
      <c r="M112" s="181" t="e">
        <f>RANK(K112, K$112:$K$141)</f>
        <v>#VALUE!</v>
      </c>
      <c r="N112" s="461"/>
      <c r="O112" s="461"/>
      <c r="P112" s="166"/>
      <c r="Q112" s="166"/>
      <c r="R112" s="166"/>
      <c r="S112" s="182" t="e">
        <f>RANK(R112, R$112:R$141)</f>
        <v>#N/A</v>
      </c>
      <c r="T112" s="455" t="e">
        <f>AVERAGE(R112:R141)</f>
        <v>#DIV/0!</v>
      </c>
      <c r="U112" s="166"/>
      <c r="V112" s="166"/>
      <c r="W112" s="166"/>
      <c r="X112" s="182" t="e">
        <f>RANK(W112, W$112:W$141)</f>
        <v>#N/A</v>
      </c>
      <c r="Y112" s="455" t="e">
        <f>AVERAGE(W112:W141)</f>
        <v>#DIV/0!</v>
      </c>
      <c r="Z112" s="166"/>
      <c r="AA112" s="166"/>
      <c r="AB112" s="166"/>
      <c r="AC112" s="182" t="e">
        <f>RANK(AB112, AB$112:AB$141)</f>
        <v>#N/A</v>
      </c>
      <c r="AD112" s="455" t="e">
        <f>AVERAGE(AB112:AB141)</f>
        <v>#DIV/0!</v>
      </c>
      <c r="AE112" s="166"/>
      <c r="AF112" s="166"/>
      <c r="AG112" s="166"/>
      <c r="AH112" s="182" t="e">
        <f>RANK(AG112, AG$112:AG$141)</f>
        <v>#N/A</v>
      </c>
      <c r="AI112" s="455" t="e">
        <f>AVERAGE(AG112:AG141)</f>
        <v>#DIV/0!</v>
      </c>
      <c r="AJ112" s="166"/>
      <c r="AK112" s="166"/>
      <c r="AL112" s="166"/>
      <c r="AM112" s="182" t="e">
        <f>RANK(AL112, AL$112:AL$141)</f>
        <v>#N/A</v>
      </c>
      <c r="AN112" s="455" t="e">
        <f>AVERAGE(AL112:AL141)</f>
        <v>#DIV/0!</v>
      </c>
      <c r="AO112" s="166"/>
      <c r="AP112" s="166"/>
      <c r="AQ112" s="166"/>
      <c r="AR112" s="182" t="e">
        <f>RANK(AQ112, AQ$112:AQ$141)</f>
        <v>#N/A</v>
      </c>
      <c r="AS112" s="455" t="e">
        <f>AVERAGE(AQ112:AQ141)</f>
        <v>#DIV/0!</v>
      </c>
      <c r="AT112" s="166"/>
      <c r="AU112" s="166"/>
      <c r="AV112" s="166"/>
      <c r="AW112" s="182" t="e">
        <f>RANK(AV112, AV$112:AV$141)</f>
        <v>#N/A</v>
      </c>
      <c r="AX112" s="455" t="e">
        <f>AVERAGE(AV112:AV141)</f>
        <v>#DIV/0!</v>
      </c>
      <c r="AZ112" s="182" t="e">
        <f>RANK(AY112, AY$112:AY$141)</f>
        <v>#N/A</v>
      </c>
      <c r="BA112" s="455" t="e">
        <f>AVERAGE(AY112:AY141)</f>
        <v>#DIV/0!</v>
      </c>
    </row>
    <row r="113" spans="2:53">
      <c r="B113" s="454"/>
      <c r="C113" s="182">
        <v>2</v>
      </c>
      <c r="D113" s="203"/>
      <c r="E113" s="166"/>
      <c r="F113" s="182"/>
      <c r="G113" s="180"/>
      <c r="H113" s="464"/>
      <c r="I113" s="166" t="str">
        <f t="shared" ref="I113:I141" si="31">IFERROR(AVERAGE(P113,U113,Z113,AE113,AJ113,AO113,AT113),"-")</f>
        <v>-</v>
      </c>
      <c r="J113" s="166" t="str">
        <f t="shared" ref="J113:J141" si="32">IFERROR(AVERAGE(Q113,V113,AA113,AF113,AK113,AP113,AU113),"-")</f>
        <v>-</v>
      </c>
      <c r="K113" s="180" t="str">
        <f t="shared" ref="K113:K141" si="33">IFERROR(AVERAGE(R113,W113,AB113,AG113,AL113,AQ113,AV113),"-")</f>
        <v>-</v>
      </c>
      <c r="L113" s="464"/>
      <c r="M113" s="181" t="e">
        <f>RANK(K113, K$112:$K$141)</f>
        <v>#VALUE!</v>
      </c>
      <c r="N113" s="461"/>
      <c r="O113" s="461"/>
      <c r="P113" s="166"/>
      <c r="Q113" s="166"/>
      <c r="R113" s="166"/>
      <c r="S113" s="182" t="e">
        <f t="shared" ref="S113:S141" si="34">RANK(R113, R$112:R$141)</f>
        <v>#N/A</v>
      </c>
      <c r="T113" s="455"/>
      <c r="U113" s="166"/>
      <c r="V113" s="166"/>
      <c r="W113" s="166"/>
      <c r="X113" s="182" t="e">
        <f t="shared" ref="X113:X141" si="35">RANK(W113, W$112:W$141)</f>
        <v>#N/A</v>
      </c>
      <c r="Y113" s="455"/>
      <c r="Z113" s="166"/>
      <c r="AA113" s="166"/>
      <c r="AB113" s="166"/>
      <c r="AC113" s="182" t="e">
        <f t="shared" ref="AC113:AC141" si="36">RANK(AB113, AB$112:AB$141)</f>
        <v>#N/A</v>
      </c>
      <c r="AD113" s="455"/>
      <c r="AE113" s="166"/>
      <c r="AF113" s="166"/>
      <c r="AG113" s="166"/>
      <c r="AH113" s="182" t="e">
        <f t="shared" ref="AH113:AH141" si="37">RANK(AG113, AG$112:AG$141)</f>
        <v>#N/A</v>
      </c>
      <c r="AI113" s="455"/>
      <c r="AJ113" s="166"/>
      <c r="AK113" s="166"/>
      <c r="AL113" s="166"/>
      <c r="AM113" s="182" t="e">
        <f t="shared" ref="AM113:AM141" si="38">RANK(AL113, AL$112:AL$141)</f>
        <v>#N/A</v>
      </c>
      <c r="AN113" s="455"/>
      <c r="AO113" s="166"/>
      <c r="AP113" s="166"/>
      <c r="AQ113" s="166"/>
      <c r="AR113" s="182" t="e">
        <f t="shared" ref="AR113:AR141" si="39">RANK(AQ113, AQ$112:AQ$141)</f>
        <v>#N/A</v>
      </c>
      <c r="AS113" s="455"/>
      <c r="AT113" s="166"/>
      <c r="AU113" s="166"/>
      <c r="AV113" s="166"/>
      <c r="AW113" s="182" t="e">
        <f t="shared" ref="AW113:AW141" si="40">RANK(AV113, AV$112:AV$141)</f>
        <v>#N/A</v>
      </c>
      <c r="AX113" s="455"/>
      <c r="AZ113" s="182" t="e">
        <f t="shared" ref="AZ113:AZ141" si="41">RANK(AY113, AY$112:AY$141)</f>
        <v>#N/A</v>
      </c>
      <c r="BA113" s="455"/>
    </row>
    <row r="114" spans="2:53">
      <c r="B114" s="454"/>
      <c r="C114" s="182">
        <v>3</v>
      </c>
      <c r="D114" s="203"/>
      <c r="E114" s="166"/>
      <c r="F114" s="182"/>
      <c r="G114" s="180"/>
      <c r="H114" s="464"/>
      <c r="I114" s="166" t="str">
        <f t="shared" si="31"/>
        <v>-</v>
      </c>
      <c r="J114" s="166" t="str">
        <f t="shared" si="32"/>
        <v>-</v>
      </c>
      <c r="K114" s="180" t="str">
        <f t="shared" si="33"/>
        <v>-</v>
      </c>
      <c r="L114" s="464"/>
      <c r="M114" s="181" t="e">
        <f>RANK(K114, K$112:$K$141)</f>
        <v>#VALUE!</v>
      </c>
      <c r="N114" s="461"/>
      <c r="O114" s="461"/>
      <c r="P114" s="166"/>
      <c r="Q114" s="166"/>
      <c r="R114" s="166"/>
      <c r="S114" s="182" t="e">
        <f t="shared" si="34"/>
        <v>#N/A</v>
      </c>
      <c r="T114" s="455"/>
      <c r="U114" s="166"/>
      <c r="V114" s="166"/>
      <c r="W114" s="166"/>
      <c r="X114" s="182" t="e">
        <f t="shared" si="35"/>
        <v>#N/A</v>
      </c>
      <c r="Y114" s="455"/>
      <c r="Z114" s="166"/>
      <c r="AA114" s="166"/>
      <c r="AB114" s="166"/>
      <c r="AC114" s="182" t="e">
        <f t="shared" si="36"/>
        <v>#N/A</v>
      </c>
      <c r="AD114" s="455"/>
      <c r="AE114" s="166"/>
      <c r="AF114" s="166"/>
      <c r="AG114" s="166"/>
      <c r="AH114" s="182" t="e">
        <f t="shared" si="37"/>
        <v>#N/A</v>
      </c>
      <c r="AI114" s="455"/>
      <c r="AJ114" s="166"/>
      <c r="AK114" s="166"/>
      <c r="AL114" s="166"/>
      <c r="AM114" s="182" t="e">
        <f t="shared" si="38"/>
        <v>#N/A</v>
      </c>
      <c r="AN114" s="455"/>
      <c r="AO114" s="166"/>
      <c r="AP114" s="166"/>
      <c r="AQ114" s="166"/>
      <c r="AR114" s="182" t="e">
        <f t="shared" si="39"/>
        <v>#N/A</v>
      </c>
      <c r="AS114" s="455"/>
      <c r="AT114" s="166"/>
      <c r="AU114" s="166"/>
      <c r="AV114" s="166"/>
      <c r="AW114" s="182" t="e">
        <f t="shared" si="40"/>
        <v>#N/A</v>
      </c>
      <c r="AX114" s="455"/>
      <c r="AZ114" s="182" t="e">
        <f t="shared" si="41"/>
        <v>#N/A</v>
      </c>
      <c r="BA114" s="455"/>
    </row>
    <row r="115" spans="2:53">
      <c r="B115" s="454"/>
      <c r="C115" s="182">
        <v>4</v>
      </c>
      <c r="D115" s="203"/>
      <c r="E115" s="166"/>
      <c r="F115" s="182"/>
      <c r="G115" s="180"/>
      <c r="H115" s="464"/>
      <c r="I115" s="166" t="str">
        <f t="shared" si="31"/>
        <v>-</v>
      </c>
      <c r="J115" s="166" t="str">
        <f t="shared" si="32"/>
        <v>-</v>
      </c>
      <c r="K115" s="180" t="str">
        <f t="shared" si="33"/>
        <v>-</v>
      </c>
      <c r="L115" s="464"/>
      <c r="M115" s="181" t="e">
        <f>RANK(K115, K$112:$K$141)</f>
        <v>#VALUE!</v>
      </c>
      <c r="N115" s="461"/>
      <c r="O115" s="461"/>
      <c r="P115" s="166"/>
      <c r="Q115" s="166"/>
      <c r="R115" s="166"/>
      <c r="S115" s="182" t="e">
        <f t="shared" si="34"/>
        <v>#N/A</v>
      </c>
      <c r="T115" s="455"/>
      <c r="U115" s="166"/>
      <c r="V115" s="166"/>
      <c r="W115" s="166"/>
      <c r="X115" s="182" t="e">
        <f t="shared" si="35"/>
        <v>#N/A</v>
      </c>
      <c r="Y115" s="455"/>
      <c r="Z115" s="166"/>
      <c r="AA115" s="166"/>
      <c r="AB115" s="166"/>
      <c r="AC115" s="182" t="e">
        <f t="shared" si="36"/>
        <v>#N/A</v>
      </c>
      <c r="AD115" s="455"/>
      <c r="AE115" s="166"/>
      <c r="AF115" s="166"/>
      <c r="AG115" s="166"/>
      <c r="AH115" s="182" t="e">
        <f t="shared" si="37"/>
        <v>#N/A</v>
      </c>
      <c r="AI115" s="455"/>
      <c r="AJ115" s="166"/>
      <c r="AK115" s="166"/>
      <c r="AL115" s="166"/>
      <c r="AM115" s="182" t="e">
        <f t="shared" si="38"/>
        <v>#N/A</v>
      </c>
      <c r="AN115" s="455"/>
      <c r="AO115" s="166"/>
      <c r="AP115" s="166"/>
      <c r="AQ115" s="166"/>
      <c r="AR115" s="182" t="e">
        <f t="shared" si="39"/>
        <v>#N/A</v>
      </c>
      <c r="AS115" s="455"/>
      <c r="AT115" s="166"/>
      <c r="AU115" s="166"/>
      <c r="AV115" s="166"/>
      <c r="AW115" s="182" t="e">
        <f t="shared" si="40"/>
        <v>#N/A</v>
      </c>
      <c r="AX115" s="455"/>
      <c r="AZ115" s="182" t="e">
        <f t="shared" si="41"/>
        <v>#N/A</v>
      </c>
      <c r="BA115" s="455"/>
    </row>
    <row r="116" spans="2:53">
      <c r="B116" s="454"/>
      <c r="C116" s="182">
        <v>5</v>
      </c>
      <c r="D116" s="203"/>
      <c r="E116" s="166"/>
      <c r="F116" s="182"/>
      <c r="G116" s="180"/>
      <c r="H116" s="464"/>
      <c r="I116" s="166" t="str">
        <f t="shared" si="31"/>
        <v>-</v>
      </c>
      <c r="J116" s="166" t="str">
        <f t="shared" si="32"/>
        <v>-</v>
      </c>
      <c r="K116" s="180" t="str">
        <f t="shared" si="33"/>
        <v>-</v>
      </c>
      <c r="L116" s="464"/>
      <c r="M116" s="181" t="e">
        <f>RANK(K116, K$112:$K$141)</f>
        <v>#VALUE!</v>
      </c>
      <c r="N116" s="461"/>
      <c r="O116" s="461"/>
      <c r="P116" s="166"/>
      <c r="Q116" s="166"/>
      <c r="R116" s="166"/>
      <c r="S116" s="182" t="e">
        <f t="shared" si="34"/>
        <v>#N/A</v>
      </c>
      <c r="T116" s="455"/>
      <c r="U116" s="166"/>
      <c r="V116" s="166"/>
      <c r="W116" s="166"/>
      <c r="X116" s="182" t="e">
        <f t="shared" si="35"/>
        <v>#N/A</v>
      </c>
      <c r="Y116" s="455"/>
      <c r="Z116" s="166"/>
      <c r="AA116" s="166"/>
      <c r="AB116" s="166"/>
      <c r="AC116" s="182" t="e">
        <f t="shared" si="36"/>
        <v>#N/A</v>
      </c>
      <c r="AD116" s="455"/>
      <c r="AE116" s="166"/>
      <c r="AF116" s="166"/>
      <c r="AG116" s="166"/>
      <c r="AH116" s="182" t="e">
        <f t="shared" si="37"/>
        <v>#N/A</v>
      </c>
      <c r="AI116" s="455"/>
      <c r="AJ116" s="166"/>
      <c r="AK116" s="166"/>
      <c r="AL116" s="166"/>
      <c r="AM116" s="182" t="e">
        <f t="shared" si="38"/>
        <v>#N/A</v>
      </c>
      <c r="AN116" s="455"/>
      <c r="AO116" s="166"/>
      <c r="AP116" s="166"/>
      <c r="AQ116" s="166"/>
      <c r="AR116" s="182" t="e">
        <f t="shared" si="39"/>
        <v>#N/A</v>
      </c>
      <c r="AS116" s="455"/>
      <c r="AT116" s="166"/>
      <c r="AU116" s="166"/>
      <c r="AV116" s="166"/>
      <c r="AW116" s="182" t="e">
        <f t="shared" si="40"/>
        <v>#N/A</v>
      </c>
      <c r="AX116" s="455"/>
      <c r="AZ116" s="182" t="e">
        <f t="shared" si="41"/>
        <v>#N/A</v>
      </c>
      <c r="BA116" s="455"/>
    </row>
    <row r="117" spans="2:53">
      <c r="B117" s="454"/>
      <c r="C117" s="182">
        <v>6</v>
      </c>
      <c r="D117" s="203"/>
      <c r="E117" s="166"/>
      <c r="F117" s="182"/>
      <c r="G117" s="180"/>
      <c r="H117" s="464"/>
      <c r="I117" s="166" t="str">
        <f t="shared" si="31"/>
        <v>-</v>
      </c>
      <c r="J117" s="166" t="str">
        <f t="shared" si="32"/>
        <v>-</v>
      </c>
      <c r="K117" s="180" t="str">
        <f t="shared" si="33"/>
        <v>-</v>
      </c>
      <c r="L117" s="464"/>
      <c r="M117" s="181" t="e">
        <f>RANK(K117, K$112:$K$141)</f>
        <v>#VALUE!</v>
      </c>
      <c r="N117" s="461"/>
      <c r="O117" s="461"/>
      <c r="P117" s="166"/>
      <c r="Q117" s="166"/>
      <c r="R117" s="166"/>
      <c r="S117" s="182" t="e">
        <f t="shared" si="34"/>
        <v>#N/A</v>
      </c>
      <c r="T117" s="455"/>
      <c r="U117" s="166"/>
      <c r="V117" s="166"/>
      <c r="W117" s="166"/>
      <c r="X117" s="182" t="e">
        <f t="shared" si="35"/>
        <v>#N/A</v>
      </c>
      <c r="Y117" s="455"/>
      <c r="Z117" s="166"/>
      <c r="AA117" s="166"/>
      <c r="AB117" s="166"/>
      <c r="AC117" s="182" t="e">
        <f t="shared" si="36"/>
        <v>#N/A</v>
      </c>
      <c r="AD117" s="455"/>
      <c r="AE117" s="166"/>
      <c r="AF117" s="166"/>
      <c r="AG117" s="166"/>
      <c r="AH117" s="182" t="e">
        <f t="shared" si="37"/>
        <v>#N/A</v>
      </c>
      <c r="AI117" s="455"/>
      <c r="AJ117" s="166"/>
      <c r="AK117" s="166"/>
      <c r="AL117" s="166"/>
      <c r="AM117" s="182" t="e">
        <f t="shared" si="38"/>
        <v>#N/A</v>
      </c>
      <c r="AN117" s="455"/>
      <c r="AO117" s="166"/>
      <c r="AP117" s="166"/>
      <c r="AQ117" s="166"/>
      <c r="AR117" s="182" t="e">
        <f t="shared" si="39"/>
        <v>#N/A</v>
      </c>
      <c r="AS117" s="455"/>
      <c r="AT117" s="166"/>
      <c r="AU117" s="166"/>
      <c r="AV117" s="166"/>
      <c r="AW117" s="182" t="e">
        <f t="shared" si="40"/>
        <v>#N/A</v>
      </c>
      <c r="AX117" s="455"/>
      <c r="AZ117" s="182" t="e">
        <f t="shared" si="41"/>
        <v>#N/A</v>
      </c>
      <c r="BA117" s="455"/>
    </row>
    <row r="118" spans="2:53">
      <c r="B118" s="454"/>
      <c r="C118" s="182">
        <v>7</v>
      </c>
      <c r="D118" s="203"/>
      <c r="E118" s="166"/>
      <c r="F118" s="182"/>
      <c r="G118" s="180"/>
      <c r="H118" s="464"/>
      <c r="I118" s="166" t="str">
        <f t="shared" si="31"/>
        <v>-</v>
      </c>
      <c r="J118" s="166" t="str">
        <f t="shared" si="32"/>
        <v>-</v>
      </c>
      <c r="K118" s="180" t="str">
        <f t="shared" si="33"/>
        <v>-</v>
      </c>
      <c r="L118" s="464"/>
      <c r="M118" s="181" t="e">
        <f>RANK(K118, K$112:$K$141)</f>
        <v>#VALUE!</v>
      </c>
      <c r="N118" s="461"/>
      <c r="O118" s="461"/>
      <c r="P118" s="166"/>
      <c r="Q118" s="166"/>
      <c r="R118" s="166"/>
      <c r="S118" s="182" t="e">
        <f t="shared" si="34"/>
        <v>#N/A</v>
      </c>
      <c r="T118" s="455"/>
      <c r="U118" s="166"/>
      <c r="V118" s="166"/>
      <c r="W118" s="166"/>
      <c r="X118" s="182" t="e">
        <f t="shared" si="35"/>
        <v>#N/A</v>
      </c>
      <c r="Y118" s="455"/>
      <c r="Z118" s="166"/>
      <c r="AA118" s="166"/>
      <c r="AB118" s="166"/>
      <c r="AC118" s="182" t="e">
        <f t="shared" si="36"/>
        <v>#N/A</v>
      </c>
      <c r="AD118" s="455"/>
      <c r="AE118" s="166"/>
      <c r="AF118" s="166"/>
      <c r="AG118" s="166"/>
      <c r="AH118" s="182" t="e">
        <f t="shared" si="37"/>
        <v>#N/A</v>
      </c>
      <c r="AI118" s="455"/>
      <c r="AJ118" s="166"/>
      <c r="AK118" s="166"/>
      <c r="AL118" s="166"/>
      <c r="AM118" s="182" t="e">
        <f t="shared" si="38"/>
        <v>#N/A</v>
      </c>
      <c r="AN118" s="455"/>
      <c r="AO118" s="166"/>
      <c r="AP118" s="166"/>
      <c r="AQ118" s="166"/>
      <c r="AR118" s="182" t="e">
        <f t="shared" si="39"/>
        <v>#N/A</v>
      </c>
      <c r="AS118" s="455"/>
      <c r="AT118" s="166"/>
      <c r="AU118" s="166"/>
      <c r="AV118" s="166"/>
      <c r="AW118" s="182" t="e">
        <f t="shared" si="40"/>
        <v>#N/A</v>
      </c>
      <c r="AX118" s="455"/>
      <c r="AZ118" s="182" t="e">
        <f t="shared" si="41"/>
        <v>#N/A</v>
      </c>
      <c r="BA118" s="455"/>
    </row>
    <row r="119" spans="2:53">
      <c r="B119" s="454"/>
      <c r="C119" s="182">
        <v>8</v>
      </c>
      <c r="D119" s="203"/>
      <c r="E119" s="166"/>
      <c r="F119" s="182"/>
      <c r="G119" s="180"/>
      <c r="H119" s="464"/>
      <c r="I119" s="166" t="str">
        <f t="shared" si="31"/>
        <v>-</v>
      </c>
      <c r="J119" s="166" t="str">
        <f t="shared" si="32"/>
        <v>-</v>
      </c>
      <c r="K119" s="180" t="str">
        <f t="shared" si="33"/>
        <v>-</v>
      </c>
      <c r="L119" s="464"/>
      <c r="M119" s="181" t="e">
        <f>RANK(K119, K$112:$K$141)</f>
        <v>#VALUE!</v>
      </c>
      <c r="N119" s="461"/>
      <c r="O119" s="461"/>
      <c r="P119" s="166"/>
      <c r="Q119" s="166"/>
      <c r="R119" s="166"/>
      <c r="S119" s="182" t="e">
        <f t="shared" si="34"/>
        <v>#N/A</v>
      </c>
      <c r="T119" s="455"/>
      <c r="U119" s="166"/>
      <c r="V119" s="166"/>
      <c r="W119" s="166"/>
      <c r="X119" s="182" t="e">
        <f t="shared" si="35"/>
        <v>#N/A</v>
      </c>
      <c r="Y119" s="455"/>
      <c r="Z119" s="166"/>
      <c r="AA119" s="166"/>
      <c r="AB119" s="166"/>
      <c r="AC119" s="182" t="e">
        <f t="shared" si="36"/>
        <v>#N/A</v>
      </c>
      <c r="AD119" s="455"/>
      <c r="AE119" s="166"/>
      <c r="AF119" s="166"/>
      <c r="AG119" s="166"/>
      <c r="AH119" s="182" t="e">
        <f t="shared" si="37"/>
        <v>#N/A</v>
      </c>
      <c r="AI119" s="455"/>
      <c r="AJ119" s="166"/>
      <c r="AK119" s="166"/>
      <c r="AL119" s="166"/>
      <c r="AM119" s="182" t="e">
        <f t="shared" si="38"/>
        <v>#N/A</v>
      </c>
      <c r="AN119" s="455"/>
      <c r="AO119" s="166"/>
      <c r="AP119" s="166"/>
      <c r="AQ119" s="166"/>
      <c r="AR119" s="182" t="e">
        <f t="shared" si="39"/>
        <v>#N/A</v>
      </c>
      <c r="AS119" s="455"/>
      <c r="AT119" s="166"/>
      <c r="AU119" s="166"/>
      <c r="AV119" s="166"/>
      <c r="AW119" s="182" t="e">
        <f t="shared" si="40"/>
        <v>#N/A</v>
      </c>
      <c r="AX119" s="455"/>
      <c r="AZ119" s="182" t="e">
        <f t="shared" si="41"/>
        <v>#N/A</v>
      </c>
      <c r="BA119" s="455"/>
    </row>
    <row r="120" spans="2:53">
      <c r="B120" s="454"/>
      <c r="C120" s="182">
        <v>9</v>
      </c>
      <c r="D120" s="203"/>
      <c r="E120" s="166"/>
      <c r="F120" s="182"/>
      <c r="G120" s="180"/>
      <c r="H120" s="464"/>
      <c r="I120" s="166" t="str">
        <f t="shared" si="31"/>
        <v>-</v>
      </c>
      <c r="J120" s="166" t="str">
        <f t="shared" si="32"/>
        <v>-</v>
      </c>
      <c r="K120" s="180" t="str">
        <f t="shared" si="33"/>
        <v>-</v>
      </c>
      <c r="L120" s="464"/>
      <c r="M120" s="181" t="e">
        <f>RANK(K120, K$112:$K$141)</f>
        <v>#VALUE!</v>
      </c>
      <c r="N120" s="461"/>
      <c r="O120" s="461"/>
      <c r="P120" s="166"/>
      <c r="Q120" s="166"/>
      <c r="R120" s="166"/>
      <c r="S120" s="182" t="e">
        <f t="shared" si="34"/>
        <v>#N/A</v>
      </c>
      <c r="T120" s="455"/>
      <c r="U120" s="166"/>
      <c r="V120" s="166"/>
      <c r="W120" s="166"/>
      <c r="X120" s="182" t="e">
        <f t="shared" si="35"/>
        <v>#N/A</v>
      </c>
      <c r="Y120" s="455"/>
      <c r="Z120" s="166"/>
      <c r="AA120" s="166"/>
      <c r="AB120" s="166"/>
      <c r="AC120" s="182" t="e">
        <f t="shared" si="36"/>
        <v>#N/A</v>
      </c>
      <c r="AD120" s="455"/>
      <c r="AE120" s="166"/>
      <c r="AF120" s="166"/>
      <c r="AG120" s="166"/>
      <c r="AH120" s="182" t="e">
        <f t="shared" si="37"/>
        <v>#N/A</v>
      </c>
      <c r="AI120" s="455"/>
      <c r="AJ120" s="166"/>
      <c r="AK120" s="166"/>
      <c r="AL120" s="166"/>
      <c r="AM120" s="182" t="e">
        <f t="shared" si="38"/>
        <v>#N/A</v>
      </c>
      <c r="AN120" s="455"/>
      <c r="AO120" s="166"/>
      <c r="AP120" s="166"/>
      <c r="AQ120" s="166"/>
      <c r="AR120" s="182" t="e">
        <f t="shared" si="39"/>
        <v>#N/A</v>
      </c>
      <c r="AS120" s="455"/>
      <c r="AT120" s="166"/>
      <c r="AU120" s="166"/>
      <c r="AV120" s="166"/>
      <c r="AW120" s="182" t="e">
        <f t="shared" si="40"/>
        <v>#N/A</v>
      </c>
      <c r="AX120" s="455"/>
      <c r="AZ120" s="182" t="e">
        <f t="shared" si="41"/>
        <v>#N/A</v>
      </c>
      <c r="BA120" s="455"/>
    </row>
    <row r="121" spans="2:53">
      <c r="B121" s="454"/>
      <c r="C121" s="182">
        <v>10</v>
      </c>
      <c r="D121" s="203"/>
      <c r="E121" s="166"/>
      <c r="F121" s="182"/>
      <c r="G121" s="180"/>
      <c r="H121" s="464"/>
      <c r="I121" s="166" t="str">
        <f t="shared" si="31"/>
        <v>-</v>
      </c>
      <c r="J121" s="166" t="str">
        <f t="shared" si="32"/>
        <v>-</v>
      </c>
      <c r="K121" s="180" t="str">
        <f t="shared" si="33"/>
        <v>-</v>
      </c>
      <c r="L121" s="464"/>
      <c r="M121" s="181" t="e">
        <f>RANK(K121, K$112:$K$141)</f>
        <v>#VALUE!</v>
      </c>
      <c r="N121" s="461"/>
      <c r="O121" s="461"/>
      <c r="P121" s="166"/>
      <c r="Q121" s="166"/>
      <c r="R121" s="166"/>
      <c r="S121" s="182" t="e">
        <f t="shared" si="34"/>
        <v>#N/A</v>
      </c>
      <c r="T121" s="455"/>
      <c r="U121" s="166"/>
      <c r="V121" s="166"/>
      <c r="W121" s="166"/>
      <c r="X121" s="182" t="e">
        <f t="shared" si="35"/>
        <v>#N/A</v>
      </c>
      <c r="Y121" s="455"/>
      <c r="Z121" s="166"/>
      <c r="AA121" s="166"/>
      <c r="AB121" s="166"/>
      <c r="AC121" s="182" t="e">
        <f t="shared" si="36"/>
        <v>#N/A</v>
      </c>
      <c r="AD121" s="455"/>
      <c r="AE121" s="166"/>
      <c r="AF121" s="166"/>
      <c r="AG121" s="166"/>
      <c r="AH121" s="182" t="e">
        <f t="shared" si="37"/>
        <v>#N/A</v>
      </c>
      <c r="AI121" s="455"/>
      <c r="AJ121" s="166"/>
      <c r="AK121" s="166"/>
      <c r="AL121" s="166"/>
      <c r="AM121" s="182" t="e">
        <f t="shared" si="38"/>
        <v>#N/A</v>
      </c>
      <c r="AN121" s="455"/>
      <c r="AO121" s="166"/>
      <c r="AP121" s="166"/>
      <c r="AQ121" s="166"/>
      <c r="AR121" s="182" t="e">
        <f t="shared" si="39"/>
        <v>#N/A</v>
      </c>
      <c r="AS121" s="455"/>
      <c r="AT121" s="166"/>
      <c r="AU121" s="166"/>
      <c r="AV121" s="166"/>
      <c r="AW121" s="182" t="e">
        <f t="shared" si="40"/>
        <v>#N/A</v>
      </c>
      <c r="AX121" s="455"/>
      <c r="AZ121" s="182" t="e">
        <f t="shared" si="41"/>
        <v>#N/A</v>
      </c>
      <c r="BA121" s="455"/>
    </row>
    <row r="122" spans="2:53">
      <c r="B122" s="454"/>
      <c r="C122" s="182">
        <v>11</v>
      </c>
      <c r="D122" s="203"/>
      <c r="E122" s="166"/>
      <c r="F122" s="182"/>
      <c r="G122" s="180"/>
      <c r="H122" s="464"/>
      <c r="I122" s="166" t="str">
        <f t="shared" si="31"/>
        <v>-</v>
      </c>
      <c r="J122" s="166" t="str">
        <f t="shared" si="32"/>
        <v>-</v>
      </c>
      <c r="K122" s="180" t="str">
        <f t="shared" si="33"/>
        <v>-</v>
      </c>
      <c r="L122" s="464"/>
      <c r="M122" s="181" t="e">
        <f>RANK(K122, K$112:$K$141)</f>
        <v>#VALUE!</v>
      </c>
      <c r="N122" s="461"/>
      <c r="O122" s="461"/>
      <c r="P122" s="166"/>
      <c r="Q122" s="166"/>
      <c r="R122" s="166"/>
      <c r="S122" s="182" t="e">
        <f t="shared" si="34"/>
        <v>#N/A</v>
      </c>
      <c r="T122" s="455"/>
      <c r="U122" s="166"/>
      <c r="V122" s="166"/>
      <c r="W122" s="166"/>
      <c r="X122" s="182" t="e">
        <f t="shared" si="35"/>
        <v>#N/A</v>
      </c>
      <c r="Y122" s="455"/>
      <c r="Z122" s="166"/>
      <c r="AA122" s="166"/>
      <c r="AB122" s="166"/>
      <c r="AC122" s="182" t="e">
        <f t="shared" si="36"/>
        <v>#N/A</v>
      </c>
      <c r="AD122" s="455"/>
      <c r="AE122" s="166"/>
      <c r="AF122" s="166"/>
      <c r="AG122" s="166"/>
      <c r="AH122" s="182" t="e">
        <f t="shared" si="37"/>
        <v>#N/A</v>
      </c>
      <c r="AI122" s="455"/>
      <c r="AJ122" s="166"/>
      <c r="AK122" s="166"/>
      <c r="AL122" s="166"/>
      <c r="AM122" s="182" t="e">
        <f t="shared" si="38"/>
        <v>#N/A</v>
      </c>
      <c r="AN122" s="455"/>
      <c r="AO122" s="166"/>
      <c r="AP122" s="166"/>
      <c r="AQ122" s="166"/>
      <c r="AR122" s="182" t="e">
        <f t="shared" si="39"/>
        <v>#N/A</v>
      </c>
      <c r="AS122" s="455"/>
      <c r="AT122" s="166"/>
      <c r="AU122" s="166"/>
      <c r="AV122" s="166"/>
      <c r="AW122" s="182" t="e">
        <f t="shared" si="40"/>
        <v>#N/A</v>
      </c>
      <c r="AX122" s="455"/>
      <c r="AZ122" s="182" t="e">
        <f t="shared" si="41"/>
        <v>#N/A</v>
      </c>
      <c r="BA122" s="455"/>
    </row>
    <row r="123" spans="2:53">
      <c r="B123" s="454"/>
      <c r="C123" s="182">
        <v>12</v>
      </c>
      <c r="D123" s="203"/>
      <c r="E123" s="166"/>
      <c r="F123" s="182"/>
      <c r="G123" s="180"/>
      <c r="H123" s="464"/>
      <c r="I123" s="166" t="str">
        <f t="shared" si="31"/>
        <v>-</v>
      </c>
      <c r="J123" s="166" t="str">
        <f t="shared" si="32"/>
        <v>-</v>
      </c>
      <c r="K123" s="180" t="str">
        <f t="shared" si="33"/>
        <v>-</v>
      </c>
      <c r="L123" s="464"/>
      <c r="M123" s="181" t="e">
        <f>RANK(K123, K$112:$K$141)</f>
        <v>#VALUE!</v>
      </c>
      <c r="N123" s="461"/>
      <c r="O123" s="461"/>
      <c r="P123" s="166"/>
      <c r="Q123" s="166"/>
      <c r="R123" s="166"/>
      <c r="S123" s="182" t="e">
        <f t="shared" si="34"/>
        <v>#N/A</v>
      </c>
      <c r="T123" s="455"/>
      <c r="U123" s="166"/>
      <c r="V123" s="166"/>
      <c r="W123" s="166"/>
      <c r="X123" s="182" t="e">
        <f t="shared" si="35"/>
        <v>#N/A</v>
      </c>
      <c r="Y123" s="455"/>
      <c r="Z123" s="166"/>
      <c r="AA123" s="166"/>
      <c r="AB123" s="166"/>
      <c r="AC123" s="182" t="e">
        <f t="shared" si="36"/>
        <v>#N/A</v>
      </c>
      <c r="AD123" s="455"/>
      <c r="AE123" s="166"/>
      <c r="AF123" s="166"/>
      <c r="AG123" s="166"/>
      <c r="AH123" s="182" t="e">
        <f t="shared" si="37"/>
        <v>#N/A</v>
      </c>
      <c r="AI123" s="455"/>
      <c r="AJ123" s="166"/>
      <c r="AK123" s="166"/>
      <c r="AL123" s="166"/>
      <c r="AM123" s="182" t="e">
        <f t="shared" si="38"/>
        <v>#N/A</v>
      </c>
      <c r="AN123" s="455"/>
      <c r="AO123" s="166"/>
      <c r="AP123" s="166"/>
      <c r="AQ123" s="166"/>
      <c r="AR123" s="182" t="e">
        <f t="shared" si="39"/>
        <v>#N/A</v>
      </c>
      <c r="AS123" s="455"/>
      <c r="AT123" s="166"/>
      <c r="AU123" s="166"/>
      <c r="AV123" s="166"/>
      <c r="AW123" s="182" t="e">
        <f t="shared" si="40"/>
        <v>#N/A</v>
      </c>
      <c r="AX123" s="455"/>
      <c r="AZ123" s="182" t="e">
        <f t="shared" si="41"/>
        <v>#N/A</v>
      </c>
      <c r="BA123" s="455"/>
    </row>
    <row r="124" spans="2:53">
      <c r="B124" s="454"/>
      <c r="C124" s="182">
        <v>13</v>
      </c>
      <c r="D124" s="203"/>
      <c r="E124" s="166"/>
      <c r="F124" s="182"/>
      <c r="G124" s="180"/>
      <c r="H124" s="464"/>
      <c r="I124" s="166" t="str">
        <f t="shared" si="31"/>
        <v>-</v>
      </c>
      <c r="J124" s="166" t="str">
        <f t="shared" si="32"/>
        <v>-</v>
      </c>
      <c r="K124" s="180" t="str">
        <f t="shared" si="33"/>
        <v>-</v>
      </c>
      <c r="L124" s="464"/>
      <c r="M124" s="181" t="e">
        <f>RANK(K124, K$112:$K$141)</f>
        <v>#VALUE!</v>
      </c>
      <c r="N124" s="461"/>
      <c r="O124" s="461"/>
      <c r="P124" s="166"/>
      <c r="Q124" s="166"/>
      <c r="R124" s="166"/>
      <c r="S124" s="182" t="e">
        <f t="shared" si="34"/>
        <v>#N/A</v>
      </c>
      <c r="T124" s="455"/>
      <c r="U124" s="166"/>
      <c r="V124" s="166"/>
      <c r="W124" s="166"/>
      <c r="X124" s="182" t="e">
        <f t="shared" si="35"/>
        <v>#N/A</v>
      </c>
      <c r="Y124" s="455"/>
      <c r="Z124" s="166"/>
      <c r="AA124" s="166"/>
      <c r="AB124" s="166"/>
      <c r="AC124" s="182" t="e">
        <f t="shared" si="36"/>
        <v>#N/A</v>
      </c>
      <c r="AD124" s="455"/>
      <c r="AE124" s="166"/>
      <c r="AF124" s="166"/>
      <c r="AG124" s="166"/>
      <c r="AH124" s="182" t="e">
        <f t="shared" si="37"/>
        <v>#N/A</v>
      </c>
      <c r="AI124" s="455"/>
      <c r="AJ124" s="166"/>
      <c r="AK124" s="166"/>
      <c r="AL124" s="166"/>
      <c r="AM124" s="182" t="e">
        <f t="shared" si="38"/>
        <v>#N/A</v>
      </c>
      <c r="AN124" s="455"/>
      <c r="AO124" s="166"/>
      <c r="AP124" s="166"/>
      <c r="AQ124" s="166"/>
      <c r="AR124" s="182" t="e">
        <f t="shared" si="39"/>
        <v>#N/A</v>
      </c>
      <c r="AS124" s="455"/>
      <c r="AT124" s="166"/>
      <c r="AU124" s="166"/>
      <c r="AV124" s="166"/>
      <c r="AW124" s="182" t="e">
        <f t="shared" si="40"/>
        <v>#N/A</v>
      </c>
      <c r="AX124" s="455"/>
      <c r="AZ124" s="182" t="e">
        <f t="shared" si="41"/>
        <v>#N/A</v>
      </c>
      <c r="BA124" s="455"/>
    </row>
    <row r="125" spans="2:53">
      <c r="B125" s="454"/>
      <c r="C125" s="182">
        <v>14</v>
      </c>
      <c r="D125" s="203"/>
      <c r="E125" s="166"/>
      <c r="F125" s="182"/>
      <c r="G125" s="180"/>
      <c r="H125" s="464"/>
      <c r="I125" s="166" t="str">
        <f t="shared" si="31"/>
        <v>-</v>
      </c>
      <c r="J125" s="166" t="str">
        <f t="shared" si="32"/>
        <v>-</v>
      </c>
      <c r="K125" s="180" t="str">
        <f t="shared" si="33"/>
        <v>-</v>
      </c>
      <c r="L125" s="464"/>
      <c r="M125" s="181" t="e">
        <f>RANK(K125, K$112:$K$141)</f>
        <v>#VALUE!</v>
      </c>
      <c r="N125" s="461"/>
      <c r="O125" s="461"/>
      <c r="P125" s="166"/>
      <c r="Q125" s="166"/>
      <c r="R125" s="166"/>
      <c r="S125" s="182" t="e">
        <f t="shared" si="34"/>
        <v>#N/A</v>
      </c>
      <c r="T125" s="455"/>
      <c r="U125" s="166"/>
      <c r="V125" s="166"/>
      <c r="W125" s="166"/>
      <c r="X125" s="182" t="e">
        <f t="shared" si="35"/>
        <v>#N/A</v>
      </c>
      <c r="Y125" s="455"/>
      <c r="Z125" s="166"/>
      <c r="AA125" s="166"/>
      <c r="AB125" s="166"/>
      <c r="AC125" s="182" t="e">
        <f t="shared" si="36"/>
        <v>#N/A</v>
      </c>
      <c r="AD125" s="455"/>
      <c r="AE125" s="166"/>
      <c r="AF125" s="166"/>
      <c r="AG125" s="166"/>
      <c r="AH125" s="182" t="e">
        <f t="shared" si="37"/>
        <v>#N/A</v>
      </c>
      <c r="AI125" s="455"/>
      <c r="AJ125" s="166"/>
      <c r="AK125" s="166"/>
      <c r="AL125" s="166"/>
      <c r="AM125" s="182" t="e">
        <f t="shared" si="38"/>
        <v>#N/A</v>
      </c>
      <c r="AN125" s="455"/>
      <c r="AO125" s="166"/>
      <c r="AP125" s="166"/>
      <c r="AQ125" s="166"/>
      <c r="AR125" s="182" t="e">
        <f t="shared" si="39"/>
        <v>#N/A</v>
      </c>
      <c r="AS125" s="455"/>
      <c r="AT125" s="166"/>
      <c r="AU125" s="166"/>
      <c r="AV125" s="166"/>
      <c r="AW125" s="182" t="e">
        <f t="shared" si="40"/>
        <v>#N/A</v>
      </c>
      <c r="AX125" s="455"/>
      <c r="AZ125" s="182" t="e">
        <f t="shared" si="41"/>
        <v>#N/A</v>
      </c>
      <c r="BA125" s="455"/>
    </row>
    <row r="126" spans="2:53">
      <c r="B126" s="454"/>
      <c r="C126" s="182">
        <v>15</v>
      </c>
      <c r="D126" s="203"/>
      <c r="E126" s="166"/>
      <c r="F126" s="182"/>
      <c r="G126" s="180"/>
      <c r="H126" s="464"/>
      <c r="I126" s="166" t="str">
        <f t="shared" si="31"/>
        <v>-</v>
      </c>
      <c r="J126" s="166" t="str">
        <f t="shared" si="32"/>
        <v>-</v>
      </c>
      <c r="K126" s="180" t="str">
        <f t="shared" si="33"/>
        <v>-</v>
      </c>
      <c r="L126" s="464"/>
      <c r="M126" s="181" t="e">
        <f>RANK(K126, K$112:$K$141)</f>
        <v>#VALUE!</v>
      </c>
      <c r="N126" s="461"/>
      <c r="O126" s="461"/>
      <c r="P126" s="166"/>
      <c r="Q126" s="166"/>
      <c r="R126" s="166"/>
      <c r="S126" s="182" t="e">
        <f t="shared" si="34"/>
        <v>#N/A</v>
      </c>
      <c r="T126" s="455"/>
      <c r="U126" s="166"/>
      <c r="V126" s="166"/>
      <c r="W126" s="166"/>
      <c r="X126" s="182" t="e">
        <f t="shared" si="35"/>
        <v>#N/A</v>
      </c>
      <c r="Y126" s="455"/>
      <c r="Z126" s="166"/>
      <c r="AA126" s="166"/>
      <c r="AB126" s="166"/>
      <c r="AC126" s="182" t="e">
        <f t="shared" si="36"/>
        <v>#N/A</v>
      </c>
      <c r="AD126" s="455"/>
      <c r="AE126" s="166"/>
      <c r="AF126" s="166"/>
      <c r="AG126" s="166"/>
      <c r="AH126" s="182" t="e">
        <f t="shared" si="37"/>
        <v>#N/A</v>
      </c>
      <c r="AI126" s="455"/>
      <c r="AJ126" s="166"/>
      <c r="AK126" s="166"/>
      <c r="AL126" s="166"/>
      <c r="AM126" s="182" t="e">
        <f t="shared" si="38"/>
        <v>#N/A</v>
      </c>
      <c r="AN126" s="455"/>
      <c r="AO126" s="166"/>
      <c r="AP126" s="166"/>
      <c r="AQ126" s="166"/>
      <c r="AR126" s="182" t="e">
        <f t="shared" si="39"/>
        <v>#N/A</v>
      </c>
      <c r="AS126" s="455"/>
      <c r="AT126" s="166"/>
      <c r="AU126" s="166"/>
      <c r="AV126" s="166"/>
      <c r="AW126" s="182" t="e">
        <f t="shared" si="40"/>
        <v>#N/A</v>
      </c>
      <c r="AX126" s="455"/>
      <c r="AZ126" s="182" t="e">
        <f t="shared" si="41"/>
        <v>#N/A</v>
      </c>
      <c r="BA126" s="455"/>
    </row>
    <row r="127" spans="2:53">
      <c r="B127" s="454"/>
      <c r="C127" s="182">
        <v>16</v>
      </c>
      <c r="D127" s="203"/>
      <c r="E127" s="166"/>
      <c r="F127" s="182"/>
      <c r="G127" s="180"/>
      <c r="H127" s="464"/>
      <c r="I127" s="166" t="str">
        <f t="shared" si="31"/>
        <v>-</v>
      </c>
      <c r="J127" s="166" t="str">
        <f t="shared" si="32"/>
        <v>-</v>
      </c>
      <c r="K127" s="180" t="str">
        <f t="shared" si="33"/>
        <v>-</v>
      </c>
      <c r="L127" s="464"/>
      <c r="M127" s="181" t="e">
        <f>RANK(K127, K$112:$K$141)</f>
        <v>#VALUE!</v>
      </c>
      <c r="N127" s="461"/>
      <c r="O127" s="461"/>
      <c r="P127" s="166"/>
      <c r="Q127" s="166"/>
      <c r="R127" s="166"/>
      <c r="S127" s="182" t="e">
        <f t="shared" si="34"/>
        <v>#N/A</v>
      </c>
      <c r="T127" s="455"/>
      <c r="U127" s="166"/>
      <c r="V127" s="166"/>
      <c r="W127" s="166"/>
      <c r="X127" s="182" t="e">
        <f t="shared" si="35"/>
        <v>#N/A</v>
      </c>
      <c r="Y127" s="455"/>
      <c r="Z127" s="166"/>
      <c r="AA127" s="166"/>
      <c r="AB127" s="166"/>
      <c r="AC127" s="182" t="e">
        <f t="shared" si="36"/>
        <v>#N/A</v>
      </c>
      <c r="AD127" s="455"/>
      <c r="AE127" s="166"/>
      <c r="AF127" s="166"/>
      <c r="AG127" s="166"/>
      <c r="AH127" s="182" t="e">
        <f t="shared" si="37"/>
        <v>#N/A</v>
      </c>
      <c r="AI127" s="455"/>
      <c r="AJ127" s="166"/>
      <c r="AK127" s="166"/>
      <c r="AL127" s="166"/>
      <c r="AM127" s="182" t="e">
        <f t="shared" si="38"/>
        <v>#N/A</v>
      </c>
      <c r="AN127" s="455"/>
      <c r="AO127" s="166"/>
      <c r="AP127" s="166"/>
      <c r="AQ127" s="166"/>
      <c r="AR127" s="182" t="e">
        <f t="shared" si="39"/>
        <v>#N/A</v>
      </c>
      <c r="AS127" s="455"/>
      <c r="AT127" s="166"/>
      <c r="AU127" s="166"/>
      <c r="AV127" s="166"/>
      <c r="AW127" s="182" t="e">
        <f t="shared" si="40"/>
        <v>#N/A</v>
      </c>
      <c r="AX127" s="455"/>
      <c r="AZ127" s="182" t="e">
        <f t="shared" si="41"/>
        <v>#N/A</v>
      </c>
      <c r="BA127" s="455"/>
    </row>
    <row r="128" spans="2:53">
      <c r="B128" s="454"/>
      <c r="C128" s="182">
        <v>17</v>
      </c>
      <c r="D128" s="203"/>
      <c r="E128" s="166"/>
      <c r="F128" s="182"/>
      <c r="G128" s="180"/>
      <c r="H128" s="464"/>
      <c r="I128" s="166" t="str">
        <f t="shared" si="31"/>
        <v>-</v>
      </c>
      <c r="J128" s="166" t="str">
        <f t="shared" si="32"/>
        <v>-</v>
      </c>
      <c r="K128" s="180" t="str">
        <f t="shared" si="33"/>
        <v>-</v>
      </c>
      <c r="L128" s="464"/>
      <c r="M128" s="181" t="e">
        <f>RANK(K128, K$112:$K$141)</f>
        <v>#VALUE!</v>
      </c>
      <c r="N128" s="461"/>
      <c r="O128" s="461"/>
      <c r="P128" s="166"/>
      <c r="Q128" s="166"/>
      <c r="R128" s="166"/>
      <c r="S128" s="182" t="e">
        <f t="shared" si="34"/>
        <v>#N/A</v>
      </c>
      <c r="T128" s="455"/>
      <c r="U128" s="166"/>
      <c r="V128" s="166"/>
      <c r="W128" s="166"/>
      <c r="X128" s="182" t="e">
        <f t="shared" si="35"/>
        <v>#N/A</v>
      </c>
      <c r="Y128" s="455"/>
      <c r="Z128" s="166"/>
      <c r="AA128" s="166"/>
      <c r="AB128" s="166"/>
      <c r="AC128" s="182" t="e">
        <f t="shared" si="36"/>
        <v>#N/A</v>
      </c>
      <c r="AD128" s="455"/>
      <c r="AE128" s="166"/>
      <c r="AF128" s="166"/>
      <c r="AG128" s="166"/>
      <c r="AH128" s="182" t="e">
        <f t="shared" si="37"/>
        <v>#N/A</v>
      </c>
      <c r="AI128" s="455"/>
      <c r="AJ128" s="166"/>
      <c r="AK128" s="166"/>
      <c r="AL128" s="166"/>
      <c r="AM128" s="182" t="e">
        <f t="shared" si="38"/>
        <v>#N/A</v>
      </c>
      <c r="AN128" s="455"/>
      <c r="AO128" s="166"/>
      <c r="AP128" s="166"/>
      <c r="AQ128" s="166"/>
      <c r="AR128" s="182" t="e">
        <f t="shared" si="39"/>
        <v>#N/A</v>
      </c>
      <c r="AS128" s="455"/>
      <c r="AT128" s="166"/>
      <c r="AU128" s="166"/>
      <c r="AV128" s="166"/>
      <c r="AW128" s="182" t="e">
        <f t="shared" si="40"/>
        <v>#N/A</v>
      </c>
      <c r="AX128" s="455"/>
      <c r="AZ128" s="182" t="e">
        <f t="shared" si="41"/>
        <v>#N/A</v>
      </c>
      <c r="BA128" s="455"/>
    </row>
    <row r="129" spans="2:53">
      <c r="B129" s="454"/>
      <c r="C129" s="182">
        <v>18</v>
      </c>
      <c r="D129" s="203"/>
      <c r="E129" s="166"/>
      <c r="F129" s="182"/>
      <c r="G129" s="180"/>
      <c r="H129" s="464"/>
      <c r="I129" s="166" t="str">
        <f t="shared" si="31"/>
        <v>-</v>
      </c>
      <c r="J129" s="166" t="str">
        <f t="shared" si="32"/>
        <v>-</v>
      </c>
      <c r="K129" s="180" t="str">
        <f t="shared" si="33"/>
        <v>-</v>
      </c>
      <c r="L129" s="464"/>
      <c r="M129" s="181" t="e">
        <f>RANK(K129, K$112:$K$141)</f>
        <v>#VALUE!</v>
      </c>
      <c r="N129" s="461"/>
      <c r="O129" s="461"/>
      <c r="P129" s="166"/>
      <c r="Q129" s="166"/>
      <c r="R129" s="166"/>
      <c r="S129" s="182" t="e">
        <f t="shared" si="34"/>
        <v>#N/A</v>
      </c>
      <c r="T129" s="455"/>
      <c r="U129" s="166"/>
      <c r="V129" s="166"/>
      <c r="W129" s="166"/>
      <c r="X129" s="182" t="e">
        <f t="shared" si="35"/>
        <v>#N/A</v>
      </c>
      <c r="Y129" s="455"/>
      <c r="Z129" s="166"/>
      <c r="AA129" s="166"/>
      <c r="AB129" s="166"/>
      <c r="AC129" s="182" t="e">
        <f t="shared" si="36"/>
        <v>#N/A</v>
      </c>
      <c r="AD129" s="455"/>
      <c r="AE129" s="166"/>
      <c r="AF129" s="166"/>
      <c r="AG129" s="166"/>
      <c r="AH129" s="182" t="e">
        <f t="shared" si="37"/>
        <v>#N/A</v>
      </c>
      <c r="AI129" s="455"/>
      <c r="AJ129" s="166"/>
      <c r="AK129" s="166"/>
      <c r="AL129" s="166"/>
      <c r="AM129" s="182" t="e">
        <f t="shared" si="38"/>
        <v>#N/A</v>
      </c>
      <c r="AN129" s="455"/>
      <c r="AO129" s="166"/>
      <c r="AP129" s="166"/>
      <c r="AQ129" s="166"/>
      <c r="AR129" s="182" t="e">
        <f t="shared" si="39"/>
        <v>#N/A</v>
      </c>
      <c r="AS129" s="455"/>
      <c r="AT129" s="166"/>
      <c r="AU129" s="166"/>
      <c r="AV129" s="166"/>
      <c r="AW129" s="182" t="e">
        <f t="shared" si="40"/>
        <v>#N/A</v>
      </c>
      <c r="AX129" s="455"/>
      <c r="AZ129" s="182" t="e">
        <f t="shared" si="41"/>
        <v>#N/A</v>
      </c>
      <c r="BA129" s="455"/>
    </row>
    <row r="130" spans="2:53">
      <c r="B130" s="454"/>
      <c r="C130" s="182">
        <v>19</v>
      </c>
      <c r="D130" s="203"/>
      <c r="E130" s="166"/>
      <c r="F130" s="182"/>
      <c r="G130" s="180"/>
      <c r="H130" s="464"/>
      <c r="I130" s="166" t="str">
        <f t="shared" si="31"/>
        <v>-</v>
      </c>
      <c r="J130" s="166" t="str">
        <f t="shared" si="32"/>
        <v>-</v>
      </c>
      <c r="K130" s="180" t="str">
        <f t="shared" si="33"/>
        <v>-</v>
      </c>
      <c r="L130" s="464"/>
      <c r="M130" s="181" t="e">
        <f>RANK(K130, K$112:$K$141)</f>
        <v>#VALUE!</v>
      </c>
      <c r="N130" s="461"/>
      <c r="O130" s="461"/>
      <c r="P130" s="166"/>
      <c r="Q130" s="166"/>
      <c r="R130" s="166"/>
      <c r="S130" s="182" t="e">
        <f t="shared" si="34"/>
        <v>#N/A</v>
      </c>
      <c r="T130" s="455"/>
      <c r="U130" s="166"/>
      <c r="V130" s="166"/>
      <c r="W130" s="166"/>
      <c r="X130" s="182" t="e">
        <f t="shared" si="35"/>
        <v>#N/A</v>
      </c>
      <c r="Y130" s="455"/>
      <c r="Z130" s="166"/>
      <c r="AA130" s="166"/>
      <c r="AB130" s="166"/>
      <c r="AC130" s="182" t="e">
        <f t="shared" si="36"/>
        <v>#N/A</v>
      </c>
      <c r="AD130" s="455"/>
      <c r="AE130" s="166"/>
      <c r="AF130" s="166"/>
      <c r="AG130" s="166"/>
      <c r="AH130" s="182" t="e">
        <f t="shared" si="37"/>
        <v>#N/A</v>
      </c>
      <c r="AI130" s="455"/>
      <c r="AJ130" s="166"/>
      <c r="AK130" s="166"/>
      <c r="AL130" s="166"/>
      <c r="AM130" s="182" t="e">
        <f t="shared" si="38"/>
        <v>#N/A</v>
      </c>
      <c r="AN130" s="455"/>
      <c r="AO130" s="166"/>
      <c r="AP130" s="166"/>
      <c r="AQ130" s="166"/>
      <c r="AR130" s="182" t="e">
        <f t="shared" si="39"/>
        <v>#N/A</v>
      </c>
      <c r="AS130" s="455"/>
      <c r="AT130" s="166"/>
      <c r="AU130" s="166"/>
      <c r="AV130" s="166"/>
      <c r="AW130" s="182" t="e">
        <f t="shared" si="40"/>
        <v>#N/A</v>
      </c>
      <c r="AX130" s="455"/>
      <c r="AZ130" s="182" t="e">
        <f t="shared" si="41"/>
        <v>#N/A</v>
      </c>
      <c r="BA130" s="455"/>
    </row>
    <row r="131" spans="2:53">
      <c r="B131" s="454"/>
      <c r="C131" s="182">
        <v>20</v>
      </c>
      <c r="D131" s="203"/>
      <c r="E131" s="166"/>
      <c r="F131" s="182"/>
      <c r="G131" s="180"/>
      <c r="H131" s="464"/>
      <c r="I131" s="166" t="str">
        <f t="shared" si="31"/>
        <v>-</v>
      </c>
      <c r="J131" s="166" t="str">
        <f t="shared" si="32"/>
        <v>-</v>
      </c>
      <c r="K131" s="180" t="str">
        <f t="shared" si="33"/>
        <v>-</v>
      </c>
      <c r="L131" s="464"/>
      <c r="M131" s="181" t="e">
        <f>RANK(K131, K$112:$K$141)</f>
        <v>#VALUE!</v>
      </c>
      <c r="N131" s="461"/>
      <c r="O131" s="461"/>
      <c r="P131" s="166"/>
      <c r="Q131" s="166"/>
      <c r="R131" s="166"/>
      <c r="S131" s="182" t="e">
        <f t="shared" si="34"/>
        <v>#N/A</v>
      </c>
      <c r="T131" s="455"/>
      <c r="U131" s="166"/>
      <c r="V131" s="166"/>
      <c r="W131" s="166"/>
      <c r="X131" s="182" t="e">
        <f t="shared" si="35"/>
        <v>#N/A</v>
      </c>
      <c r="Y131" s="455"/>
      <c r="Z131" s="166"/>
      <c r="AA131" s="166"/>
      <c r="AB131" s="166"/>
      <c r="AC131" s="182" t="e">
        <f t="shared" si="36"/>
        <v>#N/A</v>
      </c>
      <c r="AD131" s="455"/>
      <c r="AE131" s="166"/>
      <c r="AF131" s="166"/>
      <c r="AG131" s="166"/>
      <c r="AH131" s="182" t="e">
        <f t="shared" si="37"/>
        <v>#N/A</v>
      </c>
      <c r="AI131" s="455"/>
      <c r="AJ131" s="166"/>
      <c r="AK131" s="166"/>
      <c r="AL131" s="166"/>
      <c r="AM131" s="182" t="e">
        <f t="shared" si="38"/>
        <v>#N/A</v>
      </c>
      <c r="AN131" s="455"/>
      <c r="AO131" s="166"/>
      <c r="AP131" s="166"/>
      <c r="AQ131" s="166"/>
      <c r="AR131" s="182" t="e">
        <f t="shared" si="39"/>
        <v>#N/A</v>
      </c>
      <c r="AS131" s="455"/>
      <c r="AT131" s="166"/>
      <c r="AU131" s="166"/>
      <c r="AV131" s="166"/>
      <c r="AW131" s="182" t="e">
        <f t="shared" si="40"/>
        <v>#N/A</v>
      </c>
      <c r="AX131" s="455"/>
      <c r="AZ131" s="182" t="e">
        <f t="shared" si="41"/>
        <v>#N/A</v>
      </c>
      <c r="BA131" s="455"/>
    </row>
    <row r="132" spans="2:53">
      <c r="B132" s="454"/>
      <c r="C132" s="182">
        <v>21</v>
      </c>
      <c r="D132" s="203"/>
      <c r="E132" s="166"/>
      <c r="F132" s="182"/>
      <c r="G132" s="180"/>
      <c r="H132" s="464"/>
      <c r="I132" s="166" t="str">
        <f t="shared" si="31"/>
        <v>-</v>
      </c>
      <c r="J132" s="166" t="str">
        <f t="shared" si="32"/>
        <v>-</v>
      </c>
      <c r="K132" s="180" t="str">
        <f t="shared" si="33"/>
        <v>-</v>
      </c>
      <c r="L132" s="464"/>
      <c r="M132" s="181" t="e">
        <f>RANK(K132, K$112:$K$141)</f>
        <v>#VALUE!</v>
      </c>
      <c r="N132" s="461"/>
      <c r="O132" s="461"/>
      <c r="P132" s="166"/>
      <c r="Q132" s="166"/>
      <c r="R132" s="166"/>
      <c r="S132" s="182" t="e">
        <f t="shared" si="34"/>
        <v>#N/A</v>
      </c>
      <c r="T132" s="455"/>
      <c r="U132" s="166"/>
      <c r="V132" s="166"/>
      <c r="W132" s="166"/>
      <c r="X132" s="182" t="e">
        <f t="shared" si="35"/>
        <v>#N/A</v>
      </c>
      <c r="Y132" s="455"/>
      <c r="Z132" s="166"/>
      <c r="AA132" s="166"/>
      <c r="AB132" s="166"/>
      <c r="AC132" s="182" t="e">
        <f t="shared" si="36"/>
        <v>#N/A</v>
      </c>
      <c r="AD132" s="455"/>
      <c r="AE132" s="166"/>
      <c r="AF132" s="166"/>
      <c r="AG132" s="166"/>
      <c r="AH132" s="182" t="e">
        <f t="shared" si="37"/>
        <v>#N/A</v>
      </c>
      <c r="AI132" s="455"/>
      <c r="AJ132" s="166"/>
      <c r="AK132" s="166"/>
      <c r="AL132" s="166"/>
      <c r="AM132" s="182" t="e">
        <f t="shared" si="38"/>
        <v>#N/A</v>
      </c>
      <c r="AN132" s="455"/>
      <c r="AO132" s="166"/>
      <c r="AP132" s="166"/>
      <c r="AQ132" s="166"/>
      <c r="AR132" s="182" t="e">
        <f t="shared" si="39"/>
        <v>#N/A</v>
      </c>
      <c r="AS132" s="455"/>
      <c r="AT132" s="166"/>
      <c r="AU132" s="166"/>
      <c r="AV132" s="166"/>
      <c r="AW132" s="182" t="e">
        <f t="shared" si="40"/>
        <v>#N/A</v>
      </c>
      <c r="AX132" s="455"/>
      <c r="AZ132" s="182" t="e">
        <f t="shared" si="41"/>
        <v>#N/A</v>
      </c>
      <c r="BA132" s="455"/>
    </row>
    <row r="133" spans="2:53">
      <c r="B133" s="454"/>
      <c r="C133" s="182">
        <v>22</v>
      </c>
      <c r="D133" s="203"/>
      <c r="E133" s="166"/>
      <c r="F133" s="182"/>
      <c r="G133" s="180"/>
      <c r="H133" s="464"/>
      <c r="I133" s="166" t="str">
        <f t="shared" si="31"/>
        <v>-</v>
      </c>
      <c r="J133" s="166" t="str">
        <f t="shared" si="32"/>
        <v>-</v>
      </c>
      <c r="K133" s="180" t="str">
        <f t="shared" si="33"/>
        <v>-</v>
      </c>
      <c r="L133" s="464"/>
      <c r="M133" s="181" t="e">
        <f>RANK(K133, K$112:$K$141)</f>
        <v>#VALUE!</v>
      </c>
      <c r="N133" s="461"/>
      <c r="O133" s="461"/>
      <c r="P133" s="166"/>
      <c r="Q133" s="166"/>
      <c r="R133" s="166"/>
      <c r="S133" s="182" t="e">
        <f t="shared" si="34"/>
        <v>#N/A</v>
      </c>
      <c r="T133" s="455"/>
      <c r="U133" s="166"/>
      <c r="V133" s="166"/>
      <c r="W133" s="166"/>
      <c r="X133" s="182" t="e">
        <f t="shared" si="35"/>
        <v>#N/A</v>
      </c>
      <c r="Y133" s="455"/>
      <c r="Z133" s="166"/>
      <c r="AA133" s="166"/>
      <c r="AB133" s="166"/>
      <c r="AC133" s="182" t="e">
        <f t="shared" si="36"/>
        <v>#N/A</v>
      </c>
      <c r="AD133" s="455"/>
      <c r="AE133" s="166"/>
      <c r="AF133" s="166"/>
      <c r="AG133" s="166"/>
      <c r="AH133" s="182" t="e">
        <f t="shared" si="37"/>
        <v>#N/A</v>
      </c>
      <c r="AI133" s="455"/>
      <c r="AJ133" s="166"/>
      <c r="AK133" s="166"/>
      <c r="AL133" s="166"/>
      <c r="AM133" s="182" t="e">
        <f t="shared" si="38"/>
        <v>#N/A</v>
      </c>
      <c r="AN133" s="455"/>
      <c r="AO133" s="166"/>
      <c r="AP133" s="166"/>
      <c r="AQ133" s="166"/>
      <c r="AR133" s="182" t="e">
        <f t="shared" si="39"/>
        <v>#N/A</v>
      </c>
      <c r="AS133" s="455"/>
      <c r="AT133" s="166"/>
      <c r="AU133" s="166"/>
      <c r="AV133" s="166"/>
      <c r="AW133" s="182" t="e">
        <f t="shared" si="40"/>
        <v>#N/A</v>
      </c>
      <c r="AX133" s="455"/>
      <c r="AZ133" s="182" t="e">
        <f t="shared" si="41"/>
        <v>#N/A</v>
      </c>
      <c r="BA133" s="455"/>
    </row>
    <row r="134" spans="2:53">
      <c r="B134" s="454"/>
      <c r="C134" s="182">
        <v>23</v>
      </c>
      <c r="D134" s="203"/>
      <c r="E134" s="166"/>
      <c r="F134" s="182"/>
      <c r="G134" s="180"/>
      <c r="H134" s="464"/>
      <c r="I134" s="166" t="str">
        <f t="shared" si="31"/>
        <v>-</v>
      </c>
      <c r="J134" s="166" t="str">
        <f t="shared" si="32"/>
        <v>-</v>
      </c>
      <c r="K134" s="180" t="str">
        <f t="shared" si="33"/>
        <v>-</v>
      </c>
      <c r="L134" s="464"/>
      <c r="M134" s="181" t="e">
        <f>RANK(K134, K$112:$K$141)</f>
        <v>#VALUE!</v>
      </c>
      <c r="N134" s="461"/>
      <c r="O134" s="461"/>
      <c r="P134" s="166"/>
      <c r="Q134" s="166"/>
      <c r="R134" s="166"/>
      <c r="S134" s="182" t="e">
        <f t="shared" si="34"/>
        <v>#N/A</v>
      </c>
      <c r="T134" s="455"/>
      <c r="U134" s="166"/>
      <c r="V134" s="166"/>
      <c r="W134" s="166"/>
      <c r="X134" s="182" t="e">
        <f t="shared" si="35"/>
        <v>#N/A</v>
      </c>
      <c r="Y134" s="455"/>
      <c r="Z134" s="166"/>
      <c r="AA134" s="166"/>
      <c r="AB134" s="166"/>
      <c r="AC134" s="182" t="e">
        <f t="shared" si="36"/>
        <v>#N/A</v>
      </c>
      <c r="AD134" s="455"/>
      <c r="AE134" s="166"/>
      <c r="AF134" s="166"/>
      <c r="AG134" s="166"/>
      <c r="AH134" s="182" t="e">
        <f t="shared" si="37"/>
        <v>#N/A</v>
      </c>
      <c r="AI134" s="455"/>
      <c r="AJ134" s="166"/>
      <c r="AK134" s="166"/>
      <c r="AL134" s="166"/>
      <c r="AM134" s="182" t="e">
        <f t="shared" si="38"/>
        <v>#N/A</v>
      </c>
      <c r="AN134" s="455"/>
      <c r="AO134" s="166"/>
      <c r="AP134" s="166"/>
      <c r="AQ134" s="166"/>
      <c r="AR134" s="182" t="e">
        <f t="shared" si="39"/>
        <v>#N/A</v>
      </c>
      <c r="AS134" s="455"/>
      <c r="AT134" s="166"/>
      <c r="AU134" s="166"/>
      <c r="AV134" s="166"/>
      <c r="AW134" s="182" t="e">
        <f t="shared" si="40"/>
        <v>#N/A</v>
      </c>
      <c r="AX134" s="455"/>
      <c r="AZ134" s="182" t="e">
        <f t="shared" si="41"/>
        <v>#N/A</v>
      </c>
      <c r="BA134" s="455"/>
    </row>
    <row r="135" spans="2:53">
      <c r="B135" s="454"/>
      <c r="C135" s="182">
        <v>24</v>
      </c>
      <c r="D135" s="203"/>
      <c r="E135" s="166"/>
      <c r="F135" s="182"/>
      <c r="G135" s="180"/>
      <c r="H135" s="464"/>
      <c r="I135" s="166" t="str">
        <f t="shared" si="31"/>
        <v>-</v>
      </c>
      <c r="J135" s="166" t="str">
        <f t="shared" si="32"/>
        <v>-</v>
      </c>
      <c r="K135" s="180" t="str">
        <f t="shared" si="33"/>
        <v>-</v>
      </c>
      <c r="L135" s="464"/>
      <c r="M135" s="181" t="e">
        <f>RANK(K135, K$112:$K$141)</f>
        <v>#VALUE!</v>
      </c>
      <c r="N135" s="461"/>
      <c r="O135" s="461"/>
      <c r="P135" s="182"/>
      <c r="Q135" s="180"/>
      <c r="R135" s="180"/>
      <c r="S135" s="182" t="e">
        <f t="shared" si="34"/>
        <v>#N/A</v>
      </c>
      <c r="T135" s="455"/>
      <c r="U135" s="182"/>
      <c r="V135" s="180"/>
      <c r="W135" s="180"/>
      <c r="X135" s="182" t="e">
        <f t="shared" si="35"/>
        <v>#N/A</v>
      </c>
      <c r="Y135" s="455"/>
      <c r="Z135" s="182"/>
      <c r="AA135" s="180"/>
      <c r="AB135" s="180"/>
      <c r="AC135" s="182" t="e">
        <f t="shared" si="36"/>
        <v>#N/A</v>
      </c>
      <c r="AD135" s="455"/>
      <c r="AE135" s="182"/>
      <c r="AF135" s="180"/>
      <c r="AG135" s="180"/>
      <c r="AH135" s="182" t="e">
        <f t="shared" si="37"/>
        <v>#N/A</v>
      </c>
      <c r="AI135" s="455"/>
      <c r="AJ135" s="182"/>
      <c r="AK135" s="180"/>
      <c r="AL135" s="180"/>
      <c r="AM135" s="182" t="e">
        <f t="shared" si="38"/>
        <v>#N/A</v>
      </c>
      <c r="AN135" s="455"/>
      <c r="AO135" s="182"/>
      <c r="AP135" s="180"/>
      <c r="AQ135" s="180"/>
      <c r="AR135" s="182" t="e">
        <f t="shared" si="39"/>
        <v>#N/A</v>
      </c>
      <c r="AS135" s="455"/>
      <c r="AT135" s="182"/>
      <c r="AU135" s="180"/>
      <c r="AV135" s="180"/>
      <c r="AW135" s="182" t="e">
        <f t="shared" si="40"/>
        <v>#N/A</v>
      </c>
      <c r="AX135" s="455"/>
      <c r="AZ135" s="182" t="e">
        <f t="shared" si="41"/>
        <v>#N/A</v>
      </c>
      <c r="BA135" s="455"/>
    </row>
    <row r="136" spans="2:53">
      <c r="B136" s="454"/>
      <c r="C136" s="182">
        <v>25</v>
      </c>
      <c r="D136" s="203"/>
      <c r="E136" s="166"/>
      <c r="F136" s="182"/>
      <c r="G136" s="180"/>
      <c r="H136" s="464"/>
      <c r="I136" s="166" t="str">
        <f t="shared" si="31"/>
        <v>-</v>
      </c>
      <c r="J136" s="166" t="str">
        <f t="shared" si="32"/>
        <v>-</v>
      </c>
      <c r="K136" s="180" t="str">
        <f t="shared" si="33"/>
        <v>-</v>
      </c>
      <c r="L136" s="464"/>
      <c r="M136" s="181" t="e">
        <f>RANK(K136, K$112:$K$141)</f>
        <v>#VALUE!</v>
      </c>
      <c r="N136" s="461"/>
      <c r="O136" s="461"/>
      <c r="P136" s="182"/>
      <c r="Q136" s="180"/>
      <c r="R136" s="180"/>
      <c r="S136" s="182" t="e">
        <f t="shared" si="34"/>
        <v>#N/A</v>
      </c>
      <c r="T136" s="455"/>
      <c r="U136" s="182"/>
      <c r="V136" s="180"/>
      <c r="W136" s="180"/>
      <c r="X136" s="182" t="e">
        <f t="shared" si="35"/>
        <v>#N/A</v>
      </c>
      <c r="Y136" s="455"/>
      <c r="Z136" s="182"/>
      <c r="AA136" s="180"/>
      <c r="AB136" s="180"/>
      <c r="AC136" s="182" t="e">
        <f t="shared" si="36"/>
        <v>#N/A</v>
      </c>
      <c r="AD136" s="455"/>
      <c r="AE136" s="182"/>
      <c r="AF136" s="180"/>
      <c r="AG136" s="180"/>
      <c r="AH136" s="182" t="e">
        <f t="shared" si="37"/>
        <v>#N/A</v>
      </c>
      <c r="AI136" s="455"/>
      <c r="AJ136" s="182"/>
      <c r="AK136" s="180"/>
      <c r="AL136" s="180"/>
      <c r="AM136" s="182" t="e">
        <f t="shared" si="38"/>
        <v>#N/A</v>
      </c>
      <c r="AN136" s="455"/>
      <c r="AO136" s="182"/>
      <c r="AP136" s="180"/>
      <c r="AQ136" s="180"/>
      <c r="AR136" s="182" t="e">
        <f t="shared" si="39"/>
        <v>#N/A</v>
      </c>
      <c r="AS136" s="455"/>
      <c r="AT136" s="182"/>
      <c r="AU136" s="180"/>
      <c r="AV136" s="180"/>
      <c r="AW136" s="182" t="e">
        <f t="shared" si="40"/>
        <v>#N/A</v>
      </c>
      <c r="AX136" s="455"/>
      <c r="AZ136" s="182" t="e">
        <f t="shared" si="41"/>
        <v>#N/A</v>
      </c>
      <c r="BA136" s="455"/>
    </row>
    <row r="137" spans="2:53">
      <c r="B137" s="454"/>
      <c r="C137" s="182">
        <v>26</v>
      </c>
      <c r="D137" s="203"/>
      <c r="E137" s="166"/>
      <c r="F137" s="182"/>
      <c r="G137" s="180"/>
      <c r="H137" s="464"/>
      <c r="I137" s="166" t="str">
        <f t="shared" si="31"/>
        <v>-</v>
      </c>
      <c r="J137" s="166" t="str">
        <f t="shared" si="32"/>
        <v>-</v>
      </c>
      <c r="K137" s="180" t="str">
        <f t="shared" si="33"/>
        <v>-</v>
      </c>
      <c r="L137" s="464"/>
      <c r="M137" s="181" t="e">
        <f>RANK(K137, K$112:$K$141)</f>
        <v>#VALUE!</v>
      </c>
      <c r="N137" s="461"/>
      <c r="O137" s="461"/>
      <c r="P137" s="182"/>
      <c r="Q137" s="180"/>
      <c r="R137" s="180"/>
      <c r="S137" s="182" t="e">
        <f t="shared" si="34"/>
        <v>#N/A</v>
      </c>
      <c r="T137" s="455"/>
      <c r="U137" s="182"/>
      <c r="V137" s="180"/>
      <c r="W137" s="180"/>
      <c r="X137" s="182" t="e">
        <f t="shared" si="35"/>
        <v>#N/A</v>
      </c>
      <c r="Y137" s="455"/>
      <c r="Z137" s="182"/>
      <c r="AA137" s="180"/>
      <c r="AB137" s="180"/>
      <c r="AC137" s="182" t="e">
        <f t="shared" si="36"/>
        <v>#N/A</v>
      </c>
      <c r="AD137" s="455"/>
      <c r="AE137" s="182"/>
      <c r="AF137" s="180"/>
      <c r="AG137" s="180"/>
      <c r="AH137" s="182" t="e">
        <f t="shared" si="37"/>
        <v>#N/A</v>
      </c>
      <c r="AI137" s="455"/>
      <c r="AJ137" s="182"/>
      <c r="AK137" s="180"/>
      <c r="AL137" s="180"/>
      <c r="AM137" s="182" t="e">
        <f t="shared" si="38"/>
        <v>#N/A</v>
      </c>
      <c r="AN137" s="455"/>
      <c r="AO137" s="182"/>
      <c r="AP137" s="180"/>
      <c r="AQ137" s="180"/>
      <c r="AR137" s="182" t="e">
        <f t="shared" si="39"/>
        <v>#N/A</v>
      </c>
      <c r="AS137" s="455"/>
      <c r="AT137" s="182"/>
      <c r="AU137" s="180"/>
      <c r="AV137" s="180"/>
      <c r="AW137" s="182" t="e">
        <f t="shared" si="40"/>
        <v>#N/A</v>
      </c>
      <c r="AX137" s="455"/>
      <c r="AZ137" s="182" t="e">
        <f t="shared" si="41"/>
        <v>#N/A</v>
      </c>
      <c r="BA137" s="455"/>
    </row>
    <row r="138" spans="2:53">
      <c r="B138" s="454"/>
      <c r="C138" s="182">
        <v>27</v>
      </c>
      <c r="D138" s="203"/>
      <c r="E138" s="166"/>
      <c r="F138" s="182"/>
      <c r="G138" s="180"/>
      <c r="H138" s="464"/>
      <c r="I138" s="166" t="str">
        <f t="shared" si="31"/>
        <v>-</v>
      </c>
      <c r="J138" s="166" t="str">
        <f t="shared" si="32"/>
        <v>-</v>
      </c>
      <c r="K138" s="180" t="str">
        <f t="shared" si="33"/>
        <v>-</v>
      </c>
      <c r="L138" s="464"/>
      <c r="M138" s="181" t="e">
        <f>RANK(K138, K$112:$K$141)</f>
        <v>#VALUE!</v>
      </c>
      <c r="N138" s="461"/>
      <c r="O138" s="461"/>
      <c r="P138" s="182"/>
      <c r="Q138" s="180"/>
      <c r="R138" s="180"/>
      <c r="S138" s="182" t="e">
        <f t="shared" si="34"/>
        <v>#N/A</v>
      </c>
      <c r="T138" s="455"/>
      <c r="U138" s="182"/>
      <c r="V138" s="180"/>
      <c r="W138" s="180"/>
      <c r="X138" s="182" t="e">
        <f t="shared" si="35"/>
        <v>#N/A</v>
      </c>
      <c r="Y138" s="455"/>
      <c r="Z138" s="182"/>
      <c r="AA138" s="180"/>
      <c r="AB138" s="180"/>
      <c r="AC138" s="182" t="e">
        <f t="shared" si="36"/>
        <v>#N/A</v>
      </c>
      <c r="AD138" s="455"/>
      <c r="AE138" s="182"/>
      <c r="AF138" s="180"/>
      <c r="AG138" s="180"/>
      <c r="AH138" s="182" t="e">
        <f t="shared" si="37"/>
        <v>#N/A</v>
      </c>
      <c r="AI138" s="455"/>
      <c r="AJ138" s="182"/>
      <c r="AK138" s="180"/>
      <c r="AL138" s="180"/>
      <c r="AM138" s="182" t="e">
        <f t="shared" si="38"/>
        <v>#N/A</v>
      </c>
      <c r="AN138" s="455"/>
      <c r="AO138" s="182"/>
      <c r="AP138" s="180"/>
      <c r="AQ138" s="180"/>
      <c r="AR138" s="182" t="e">
        <f t="shared" si="39"/>
        <v>#N/A</v>
      </c>
      <c r="AS138" s="455"/>
      <c r="AT138" s="182"/>
      <c r="AU138" s="180"/>
      <c r="AV138" s="180"/>
      <c r="AW138" s="182" t="e">
        <f t="shared" si="40"/>
        <v>#N/A</v>
      </c>
      <c r="AX138" s="455"/>
      <c r="AZ138" s="182" t="e">
        <f t="shared" si="41"/>
        <v>#N/A</v>
      </c>
      <c r="BA138" s="455"/>
    </row>
    <row r="139" spans="2:53">
      <c r="B139" s="454"/>
      <c r="C139" s="182">
        <v>28</v>
      </c>
      <c r="D139" s="203"/>
      <c r="E139" s="166"/>
      <c r="F139" s="182"/>
      <c r="G139" s="180"/>
      <c r="H139" s="464"/>
      <c r="I139" s="166" t="str">
        <f t="shared" si="31"/>
        <v>-</v>
      </c>
      <c r="J139" s="166" t="str">
        <f t="shared" si="32"/>
        <v>-</v>
      </c>
      <c r="K139" s="180" t="str">
        <f t="shared" si="33"/>
        <v>-</v>
      </c>
      <c r="L139" s="464"/>
      <c r="M139" s="181" t="e">
        <f>RANK(K139, K$112:$K$141)</f>
        <v>#VALUE!</v>
      </c>
      <c r="N139" s="461"/>
      <c r="O139" s="461"/>
      <c r="P139" s="182"/>
      <c r="Q139" s="180"/>
      <c r="R139" s="180"/>
      <c r="S139" s="182" t="e">
        <f t="shared" si="34"/>
        <v>#N/A</v>
      </c>
      <c r="T139" s="455"/>
      <c r="U139" s="182"/>
      <c r="V139" s="180"/>
      <c r="W139" s="180"/>
      <c r="X139" s="182" t="e">
        <f t="shared" si="35"/>
        <v>#N/A</v>
      </c>
      <c r="Y139" s="455"/>
      <c r="Z139" s="182"/>
      <c r="AA139" s="180"/>
      <c r="AB139" s="180"/>
      <c r="AC139" s="182" t="e">
        <f t="shared" si="36"/>
        <v>#N/A</v>
      </c>
      <c r="AD139" s="455"/>
      <c r="AE139" s="182"/>
      <c r="AF139" s="180"/>
      <c r="AG139" s="180"/>
      <c r="AH139" s="182" t="e">
        <f t="shared" si="37"/>
        <v>#N/A</v>
      </c>
      <c r="AI139" s="455"/>
      <c r="AJ139" s="182"/>
      <c r="AK139" s="180"/>
      <c r="AL139" s="180"/>
      <c r="AM139" s="182" t="e">
        <f t="shared" si="38"/>
        <v>#N/A</v>
      </c>
      <c r="AN139" s="455"/>
      <c r="AO139" s="182"/>
      <c r="AP139" s="180"/>
      <c r="AQ139" s="180"/>
      <c r="AR139" s="182" t="e">
        <f t="shared" si="39"/>
        <v>#N/A</v>
      </c>
      <c r="AS139" s="455"/>
      <c r="AT139" s="182"/>
      <c r="AU139" s="180"/>
      <c r="AV139" s="180"/>
      <c r="AW139" s="182" t="e">
        <f t="shared" si="40"/>
        <v>#N/A</v>
      </c>
      <c r="AX139" s="455"/>
      <c r="AZ139" s="182" t="e">
        <f t="shared" si="41"/>
        <v>#N/A</v>
      </c>
      <c r="BA139" s="455"/>
    </row>
    <row r="140" spans="2:53">
      <c r="B140" s="454"/>
      <c r="C140" s="182">
        <v>29</v>
      </c>
      <c r="D140" s="203"/>
      <c r="E140" s="166"/>
      <c r="F140" s="182"/>
      <c r="G140" s="180"/>
      <c r="H140" s="464"/>
      <c r="I140" s="166" t="str">
        <f t="shared" si="31"/>
        <v>-</v>
      </c>
      <c r="J140" s="166" t="str">
        <f t="shared" si="32"/>
        <v>-</v>
      </c>
      <c r="K140" s="180" t="str">
        <f t="shared" si="33"/>
        <v>-</v>
      </c>
      <c r="L140" s="464"/>
      <c r="M140" s="181" t="e">
        <f>RANK(K140, K$112:$K$141)</f>
        <v>#VALUE!</v>
      </c>
      <c r="N140" s="461"/>
      <c r="O140" s="461"/>
      <c r="P140" s="182"/>
      <c r="Q140" s="182"/>
      <c r="R140" s="182"/>
      <c r="S140" s="182" t="e">
        <f t="shared" si="34"/>
        <v>#N/A</v>
      </c>
      <c r="T140" s="455"/>
      <c r="U140" s="182"/>
      <c r="V140" s="182"/>
      <c r="W140" s="182"/>
      <c r="X140" s="182" t="e">
        <f t="shared" si="35"/>
        <v>#N/A</v>
      </c>
      <c r="Y140" s="455"/>
      <c r="Z140" s="182"/>
      <c r="AA140" s="182"/>
      <c r="AB140" s="182"/>
      <c r="AC140" s="182" t="e">
        <f t="shared" si="36"/>
        <v>#N/A</v>
      </c>
      <c r="AD140" s="455"/>
      <c r="AE140" s="182"/>
      <c r="AF140" s="182"/>
      <c r="AG140" s="182"/>
      <c r="AH140" s="182" t="e">
        <f t="shared" si="37"/>
        <v>#N/A</v>
      </c>
      <c r="AI140" s="455"/>
      <c r="AJ140" s="182"/>
      <c r="AK140" s="182"/>
      <c r="AL140" s="182"/>
      <c r="AM140" s="182" t="e">
        <f t="shared" si="38"/>
        <v>#N/A</v>
      </c>
      <c r="AN140" s="455"/>
      <c r="AO140" s="182"/>
      <c r="AP140" s="182"/>
      <c r="AQ140" s="182"/>
      <c r="AR140" s="182" t="e">
        <f t="shared" si="39"/>
        <v>#N/A</v>
      </c>
      <c r="AS140" s="455"/>
      <c r="AT140" s="182"/>
      <c r="AU140" s="182"/>
      <c r="AV140" s="182"/>
      <c r="AW140" s="182" t="e">
        <f t="shared" si="40"/>
        <v>#N/A</v>
      </c>
      <c r="AX140" s="455"/>
      <c r="AZ140" s="182" t="e">
        <f t="shared" si="41"/>
        <v>#N/A</v>
      </c>
      <c r="BA140" s="455"/>
    </row>
    <row r="141" spans="2:53">
      <c r="B141" s="454"/>
      <c r="C141" s="182">
        <v>30</v>
      </c>
      <c r="D141" s="203"/>
      <c r="E141" s="166"/>
      <c r="F141" s="182"/>
      <c r="G141" s="180"/>
      <c r="H141" s="465"/>
      <c r="I141" s="166" t="str">
        <f t="shared" si="31"/>
        <v>-</v>
      </c>
      <c r="J141" s="166" t="str">
        <f t="shared" si="32"/>
        <v>-</v>
      </c>
      <c r="K141" s="180" t="str">
        <f t="shared" si="33"/>
        <v>-</v>
      </c>
      <c r="L141" s="465"/>
      <c r="M141" s="181" t="e">
        <f>RANK(K141, K$112:$K$141)</f>
        <v>#VALUE!</v>
      </c>
      <c r="N141" s="461"/>
      <c r="O141" s="461"/>
      <c r="P141" s="182"/>
      <c r="Q141" s="182"/>
      <c r="R141" s="182"/>
      <c r="S141" s="182" t="e">
        <f t="shared" si="34"/>
        <v>#N/A</v>
      </c>
      <c r="T141" s="455"/>
      <c r="U141" s="182"/>
      <c r="V141" s="182"/>
      <c r="W141" s="182"/>
      <c r="X141" s="182" t="e">
        <f t="shared" si="35"/>
        <v>#N/A</v>
      </c>
      <c r="Y141" s="455"/>
      <c r="Z141" s="182"/>
      <c r="AA141" s="182"/>
      <c r="AB141" s="182"/>
      <c r="AC141" s="182" t="e">
        <f t="shared" si="36"/>
        <v>#N/A</v>
      </c>
      <c r="AD141" s="455"/>
      <c r="AE141" s="182"/>
      <c r="AF141" s="182"/>
      <c r="AG141" s="182"/>
      <c r="AH141" s="182" t="e">
        <f t="shared" si="37"/>
        <v>#N/A</v>
      </c>
      <c r="AI141" s="455"/>
      <c r="AJ141" s="182"/>
      <c r="AK141" s="182"/>
      <c r="AL141" s="182"/>
      <c r="AM141" s="182" t="e">
        <f t="shared" si="38"/>
        <v>#N/A</v>
      </c>
      <c r="AN141" s="455"/>
      <c r="AO141" s="182"/>
      <c r="AP141" s="182"/>
      <c r="AQ141" s="182"/>
      <c r="AR141" s="182" t="e">
        <f t="shared" si="39"/>
        <v>#N/A</v>
      </c>
      <c r="AS141" s="455"/>
      <c r="AT141" s="182"/>
      <c r="AU141" s="182"/>
      <c r="AV141" s="182"/>
      <c r="AW141" s="182" t="e">
        <f t="shared" si="40"/>
        <v>#N/A</v>
      </c>
      <c r="AX141" s="455"/>
      <c r="AZ141" s="182" t="e">
        <f t="shared" si="41"/>
        <v>#N/A</v>
      </c>
      <c r="BA141" s="455"/>
    </row>
    <row r="142" spans="2:53" ht="15.5">
      <c r="B142" s="477" t="s">
        <v>163</v>
      </c>
      <c r="C142" s="478"/>
      <c r="D142" s="478"/>
      <c r="E142" s="478"/>
      <c r="F142" s="478"/>
      <c r="G142" s="478"/>
      <c r="H142" s="478"/>
      <c r="I142" s="186"/>
      <c r="J142" s="186"/>
      <c r="K142" s="186"/>
      <c r="L142" s="186"/>
      <c r="M142" s="185"/>
      <c r="N142" s="480" t="s">
        <v>156</v>
      </c>
      <c r="O142" s="480" t="s">
        <v>105</v>
      </c>
      <c r="P142" s="476">
        <f>P107+7</f>
        <v>46140</v>
      </c>
      <c r="Q142" s="454"/>
      <c r="R142" s="454"/>
      <c r="S142" s="454"/>
      <c r="T142" s="454"/>
      <c r="U142" s="473">
        <f>P142+1</f>
        <v>46141</v>
      </c>
      <c r="V142" s="474"/>
      <c r="W142" s="474"/>
      <c r="X142" s="474"/>
      <c r="Y142" s="475"/>
      <c r="Z142" s="473">
        <f>U142+1</f>
        <v>46142</v>
      </c>
      <c r="AA142" s="474"/>
      <c r="AB142" s="474"/>
      <c r="AC142" s="474"/>
      <c r="AD142" s="475"/>
      <c r="AE142" s="473">
        <f>Z142+1</f>
        <v>46143</v>
      </c>
      <c r="AF142" s="474"/>
      <c r="AG142" s="474"/>
      <c r="AH142" s="474"/>
      <c r="AI142" s="475"/>
      <c r="AJ142" s="473">
        <f>AE142+1</f>
        <v>46144</v>
      </c>
      <c r="AK142" s="474"/>
      <c r="AL142" s="474"/>
      <c r="AM142" s="474"/>
      <c r="AN142" s="475"/>
      <c r="AO142" s="473">
        <f>AJ142+1</f>
        <v>46145</v>
      </c>
      <c r="AP142" s="474"/>
      <c r="AQ142" s="474"/>
      <c r="AR142" s="474"/>
      <c r="AS142" s="475"/>
      <c r="AT142" s="473">
        <f>AO142+1</f>
        <v>46146</v>
      </c>
      <c r="AU142" s="474"/>
      <c r="AV142" s="474"/>
      <c r="AW142" s="474"/>
      <c r="AX142" s="475"/>
    </row>
    <row r="143" spans="2:53" ht="15.5">
      <c r="B143" s="479"/>
      <c r="C143" s="479"/>
      <c r="D143" s="479"/>
      <c r="E143" s="479"/>
      <c r="F143" s="479"/>
      <c r="G143" s="479"/>
      <c r="H143" s="479"/>
      <c r="I143" s="184"/>
      <c r="J143" s="184"/>
      <c r="K143" s="184"/>
      <c r="L143" s="184"/>
      <c r="M143" s="179"/>
      <c r="N143" s="481"/>
      <c r="O143" s="481"/>
      <c r="P143" s="476" t="s">
        <v>336</v>
      </c>
      <c r="Q143" s="454"/>
      <c r="R143" s="454"/>
      <c r="S143" s="454"/>
      <c r="T143" s="454"/>
      <c r="U143" s="476" t="s">
        <v>337</v>
      </c>
      <c r="V143" s="454"/>
      <c r="W143" s="454"/>
      <c r="X143" s="454"/>
      <c r="Y143" s="454"/>
      <c r="Z143" s="476" t="s">
        <v>338</v>
      </c>
      <c r="AA143" s="454"/>
      <c r="AB143" s="454"/>
      <c r="AC143" s="454"/>
      <c r="AD143" s="454"/>
      <c r="AE143" s="476" t="s">
        <v>339</v>
      </c>
      <c r="AF143" s="454"/>
      <c r="AG143" s="454"/>
      <c r="AH143" s="454"/>
      <c r="AI143" s="454"/>
      <c r="AJ143" s="476" t="s">
        <v>340</v>
      </c>
      <c r="AK143" s="454"/>
      <c r="AL143" s="454"/>
      <c r="AM143" s="454"/>
      <c r="AN143" s="454"/>
      <c r="AO143" s="476" t="s">
        <v>341</v>
      </c>
      <c r="AP143" s="454"/>
      <c r="AQ143" s="454"/>
      <c r="AR143" s="454"/>
      <c r="AS143" s="454"/>
      <c r="AT143" s="476" t="s">
        <v>342</v>
      </c>
      <c r="AU143" s="454"/>
      <c r="AV143" s="454"/>
      <c r="AW143" s="454"/>
      <c r="AX143" s="454"/>
    </row>
    <row r="144" spans="2:53">
      <c r="B144" s="461" t="s">
        <v>443</v>
      </c>
      <c r="C144" s="461" t="s">
        <v>444</v>
      </c>
      <c r="D144" s="461"/>
      <c r="E144" s="461" t="s">
        <v>445</v>
      </c>
      <c r="F144" s="461"/>
      <c r="G144" s="461"/>
      <c r="H144" s="482" t="s">
        <v>446</v>
      </c>
      <c r="I144" s="461" t="s">
        <v>447</v>
      </c>
      <c r="J144" s="461"/>
      <c r="K144" s="461"/>
      <c r="L144" s="482" t="s">
        <v>446</v>
      </c>
      <c r="M144" s="480" t="s">
        <v>448</v>
      </c>
      <c r="N144" s="461"/>
      <c r="O144" s="461" t="s">
        <v>449</v>
      </c>
      <c r="P144" s="466" t="s">
        <v>450</v>
      </c>
      <c r="Q144" s="467"/>
      <c r="R144" s="467"/>
      <c r="S144" s="468"/>
      <c r="T144" s="461" t="s">
        <v>446</v>
      </c>
      <c r="U144" s="466" t="s">
        <v>450</v>
      </c>
      <c r="V144" s="467"/>
      <c r="W144" s="467"/>
      <c r="X144" s="468"/>
      <c r="Y144" s="461" t="s">
        <v>446</v>
      </c>
      <c r="Z144" s="466" t="s">
        <v>450</v>
      </c>
      <c r="AA144" s="467"/>
      <c r="AB144" s="467"/>
      <c r="AC144" s="468"/>
      <c r="AD144" s="461" t="s">
        <v>446</v>
      </c>
      <c r="AE144" s="466" t="s">
        <v>450</v>
      </c>
      <c r="AF144" s="467"/>
      <c r="AG144" s="467"/>
      <c r="AH144" s="468"/>
      <c r="AI144" s="461" t="s">
        <v>446</v>
      </c>
      <c r="AJ144" s="466" t="s">
        <v>450</v>
      </c>
      <c r="AK144" s="467"/>
      <c r="AL144" s="467"/>
      <c r="AM144" s="468"/>
      <c r="AN144" s="461" t="s">
        <v>446</v>
      </c>
      <c r="AO144" s="466" t="s">
        <v>450</v>
      </c>
      <c r="AP144" s="467"/>
      <c r="AQ144" s="467"/>
      <c r="AR144" s="468"/>
      <c r="AS144" s="461" t="s">
        <v>446</v>
      </c>
      <c r="AT144" s="466" t="s">
        <v>450</v>
      </c>
      <c r="AU144" s="467"/>
      <c r="AV144" s="467"/>
      <c r="AW144" s="468"/>
      <c r="AX144" s="461" t="s">
        <v>446</v>
      </c>
      <c r="BA144" s="461" t="s">
        <v>396</v>
      </c>
    </row>
    <row r="145" spans="2:53">
      <c r="B145" s="461"/>
      <c r="C145" s="461"/>
      <c r="D145" s="461"/>
      <c r="E145" s="461" t="s">
        <v>451</v>
      </c>
      <c r="F145" s="461"/>
      <c r="G145" s="461"/>
      <c r="H145" s="483"/>
      <c r="I145" s="461" t="s">
        <v>451</v>
      </c>
      <c r="J145" s="461"/>
      <c r="K145" s="461"/>
      <c r="L145" s="483"/>
      <c r="M145" s="485"/>
      <c r="N145" s="461"/>
      <c r="O145" s="461"/>
      <c r="P145" s="466" t="s">
        <v>452</v>
      </c>
      <c r="Q145" s="467"/>
      <c r="R145" s="467"/>
      <c r="S145" s="468"/>
      <c r="T145" s="461"/>
      <c r="U145" s="466" t="s">
        <v>452</v>
      </c>
      <c r="V145" s="467"/>
      <c r="W145" s="467"/>
      <c r="X145" s="468"/>
      <c r="Y145" s="461"/>
      <c r="Z145" s="466" t="s">
        <v>452</v>
      </c>
      <c r="AA145" s="467"/>
      <c r="AB145" s="467"/>
      <c r="AC145" s="468"/>
      <c r="AD145" s="461"/>
      <c r="AE145" s="466" t="s">
        <v>452</v>
      </c>
      <c r="AF145" s="467"/>
      <c r="AG145" s="467"/>
      <c r="AH145" s="468"/>
      <c r="AI145" s="461"/>
      <c r="AJ145" s="466" t="s">
        <v>452</v>
      </c>
      <c r="AK145" s="467"/>
      <c r="AL145" s="467"/>
      <c r="AM145" s="468"/>
      <c r="AN145" s="461"/>
      <c r="AO145" s="466" t="s">
        <v>452</v>
      </c>
      <c r="AP145" s="467"/>
      <c r="AQ145" s="467"/>
      <c r="AR145" s="468"/>
      <c r="AS145" s="461"/>
      <c r="AT145" s="466" t="s">
        <v>452</v>
      </c>
      <c r="AU145" s="467"/>
      <c r="AV145" s="467"/>
      <c r="AW145" s="468"/>
      <c r="AX145" s="461"/>
      <c r="BA145" s="461"/>
    </row>
    <row r="146" spans="2:53">
      <c r="B146" s="461"/>
      <c r="C146" s="461"/>
      <c r="D146" s="461"/>
      <c r="E146" s="269" t="s">
        <v>453</v>
      </c>
      <c r="F146" s="269" t="s">
        <v>454</v>
      </c>
      <c r="G146" s="269" t="s">
        <v>455</v>
      </c>
      <c r="H146" s="484"/>
      <c r="I146" s="269" t="s">
        <v>453</v>
      </c>
      <c r="J146" s="269" t="s">
        <v>454</v>
      </c>
      <c r="K146" s="269" t="s">
        <v>455</v>
      </c>
      <c r="L146" s="484"/>
      <c r="M146" s="481"/>
      <c r="N146" s="461"/>
      <c r="O146" s="461"/>
      <c r="P146" s="269" t="s">
        <v>453</v>
      </c>
      <c r="Q146" s="269" t="s">
        <v>454</v>
      </c>
      <c r="R146" s="269" t="s">
        <v>455</v>
      </c>
      <c r="S146" s="269" t="s">
        <v>448</v>
      </c>
      <c r="T146" s="461"/>
      <c r="U146" s="269" t="s">
        <v>453</v>
      </c>
      <c r="V146" s="269" t="s">
        <v>454</v>
      </c>
      <c r="W146" s="269" t="s">
        <v>455</v>
      </c>
      <c r="X146" s="269" t="s">
        <v>448</v>
      </c>
      <c r="Y146" s="461"/>
      <c r="Z146" s="269" t="s">
        <v>453</v>
      </c>
      <c r="AA146" s="269" t="s">
        <v>454</v>
      </c>
      <c r="AB146" s="269" t="s">
        <v>455</v>
      </c>
      <c r="AC146" s="269" t="s">
        <v>448</v>
      </c>
      <c r="AD146" s="461"/>
      <c r="AE146" s="269" t="s">
        <v>453</v>
      </c>
      <c r="AF146" s="269" t="s">
        <v>454</v>
      </c>
      <c r="AG146" s="269" t="s">
        <v>455</v>
      </c>
      <c r="AH146" s="269" t="s">
        <v>448</v>
      </c>
      <c r="AI146" s="461"/>
      <c r="AJ146" s="269" t="s">
        <v>453</v>
      </c>
      <c r="AK146" s="269" t="s">
        <v>454</v>
      </c>
      <c r="AL146" s="269" t="s">
        <v>455</v>
      </c>
      <c r="AM146" s="269" t="s">
        <v>448</v>
      </c>
      <c r="AN146" s="461"/>
      <c r="AO146" s="269" t="s">
        <v>453</v>
      </c>
      <c r="AP146" s="269" t="s">
        <v>454</v>
      </c>
      <c r="AQ146" s="269" t="s">
        <v>455</v>
      </c>
      <c r="AR146" s="269" t="s">
        <v>448</v>
      </c>
      <c r="AS146" s="461"/>
      <c r="AT146" s="269" t="s">
        <v>453</v>
      </c>
      <c r="AU146" s="269" t="s">
        <v>454</v>
      </c>
      <c r="AV146" s="269" t="s">
        <v>455</v>
      </c>
      <c r="AW146" s="269" t="s">
        <v>448</v>
      </c>
      <c r="AX146" s="461"/>
      <c r="AZ146" s="269" t="s">
        <v>397</v>
      </c>
      <c r="BA146" s="461"/>
    </row>
    <row r="147" spans="2:53">
      <c r="B147" s="461" t="s">
        <v>456</v>
      </c>
      <c r="C147" s="182">
        <v>1</v>
      </c>
      <c r="D147" s="203"/>
      <c r="E147" s="166"/>
      <c r="F147" s="182"/>
      <c r="G147" s="180"/>
      <c r="H147" s="463" t="e">
        <f>AVERAGE(G147:G176)</f>
        <v>#DIV/0!</v>
      </c>
      <c r="I147" s="166" t="str">
        <f>IFERROR(AVERAGE(P147,U147,Z147,AE147,AJ147,AO147,AT147),"-")</f>
        <v>-</v>
      </c>
      <c r="J147" s="166" t="str">
        <f>IFERROR(AVERAGE(Q147,V147,AA147,AF147,AK147,AP147,AU147),"-")</f>
        <v>-</v>
      </c>
      <c r="K147" s="180" t="str">
        <f>IFERROR(AVERAGE(R147,W147,AB147,AG147,AL147,AQ147,AV147),"-")</f>
        <v>-</v>
      </c>
      <c r="L147" s="463" t="str">
        <f>IFERROR(AVERAGE(K147:K176),"-")</f>
        <v>-</v>
      </c>
      <c r="M147" s="181" t="e">
        <f>RANK(K147, K$147:$K$176)</f>
        <v>#VALUE!</v>
      </c>
      <c r="N147" s="461"/>
      <c r="O147" s="461"/>
      <c r="P147" s="166"/>
      <c r="Q147" s="166"/>
      <c r="R147" s="166"/>
      <c r="S147" s="182" t="e">
        <f>RANK(R147, R$147:R$176)</f>
        <v>#N/A</v>
      </c>
      <c r="T147" s="455" t="e">
        <f>AVERAGE(R147:R176)</f>
        <v>#DIV/0!</v>
      </c>
      <c r="U147" s="166"/>
      <c r="V147" s="166"/>
      <c r="W147" s="166"/>
      <c r="X147" s="182" t="e">
        <f>RANK(W147, W$147:W$176)</f>
        <v>#N/A</v>
      </c>
      <c r="Y147" s="455" t="e">
        <f>AVERAGE(W147:W176)</f>
        <v>#DIV/0!</v>
      </c>
      <c r="Z147" s="166"/>
      <c r="AA147" s="166"/>
      <c r="AB147" s="166"/>
      <c r="AC147" s="182" t="e">
        <f>RANK(AB147, AB$147:AB$176)</f>
        <v>#N/A</v>
      </c>
      <c r="AD147" s="455" t="e">
        <f>AVERAGE(AB147:AB176)</f>
        <v>#DIV/0!</v>
      </c>
      <c r="AE147" s="166"/>
      <c r="AF147" s="166"/>
      <c r="AG147" s="166"/>
      <c r="AH147" s="182" t="e">
        <f>RANK(AG147, AG$147:AG$176)</f>
        <v>#N/A</v>
      </c>
      <c r="AI147" s="455" t="e">
        <f>AVERAGE(AG147:AG176)</f>
        <v>#DIV/0!</v>
      </c>
      <c r="AJ147" s="166"/>
      <c r="AK147" s="166"/>
      <c r="AL147" s="166"/>
      <c r="AM147" s="182" t="e">
        <f>RANK(AL147, AL$147:AL$176)</f>
        <v>#N/A</v>
      </c>
      <c r="AN147" s="455" t="e">
        <f>AVERAGE(AL147:AL176)</f>
        <v>#DIV/0!</v>
      </c>
      <c r="AO147" s="166"/>
      <c r="AP147" s="166"/>
      <c r="AQ147" s="166"/>
      <c r="AR147" s="182" t="e">
        <f>RANK(AQ147, AQ$147:AQ$176)</f>
        <v>#N/A</v>
      </c>
      <c r="AS147" s="455" t="e">
        <f>AVERAGE(AQ147:AQ176)</f>
        <v>#DIV/0!</v>
      </c>
      <c r="AT147" s="166"/>
      <c r="AU147" s="166"/>
      <c r="AV147" s="166"/>
      <c r="AW147" s="182" t="e">
        <f>RANK(AV147, AV$147:AV$176)</f>
        <v>#N/A</v>
      </c>
      <c r="AX147" s="455" t="e">
        <f>AVERAGE(AV147:AV176)</f>
        <v>#DIV/0!</v>
      </c>
      <c r="AZ147" s="182" t="e">
        <f>RANK(AY147, AY$147:AY$176)</f>
        <v>#N/A</v>
      </c>
      <c r="BA147" s="455" t="e">
        <f>AVERAGE(AY147:AY176)</f>
        <v>#DIV/0!</v>
      </c>
    </row>
    <row r="148" spans="2:53">
      <c r="B148" s="454"/>
      <c r="C148" s="182">
        <v>2</v>
      </c>
      <c r="D148" s="203"/>
      <c r="E148" s="166"/>
      <c r="F148" s="182"/>
      <c r="G148" s="180"/>
      <c r="H148" s="464"/>
      <c r="I148" s="166" t="str">
        <f t="shared" ref="I148:I176" si="42">IFERROR(AVERAGE(P148,U148,Z148,AE148,AJ148,AO148,AT148),"-")</f>
        <v>-</v>
      </c>
      <c r="J148" s="166" t="str">
        <f t="shared" ref="J148:J176" si="43">IFERROR(AVERAGE(Q148,V148,AA148,AF148,AK148,AP148,AU148),"-")</f>
        <v>-</v>
      </c>
      <c r="K148" s="180" t="str">
        <f t="shared" ref="K148:K176" si="44">IFERROR(AVERAGE(R148,W148,AB148,AG148,AL148,AQ148,AV148),"-")</f>
        <v>-</v>
      </c>
      <c r="L148" s="464"/>
      <c r="M148" s="181" t="e">
        <f>RANK(K148, K$147:$K$176)</f>
        <v>#VALUE!</v>
      </c>
      <c r="N148" s="461"/>
      <c r="O148" s="461"/>
      <c r="P148" s="166"/>
      <c r="Q148" s="166"/>
      <c r="R148" s="166"/>
      <c r="S148" s="182" t="e">
        <f t="shared" ref="S148:S176" si="45">RANK(R148, R$147:R$176)</f>
        <v>#N/A</v>
      </c>
      <c r="T148" s="455"/>
      <c r="U148" s="166"/>
      <c r="V148" s="166"/>
      <c r="W148" s="166"/>
      <c r="X148" s="182" t="e">
        <f t="shared" ref="X148:X176" si="46">RANK(W148, W$147:W$176)</f>
        <v>#N/A</v>
      </c>
      <c r="Y148" s="455"/>
      <c r="Z148" s="166"/>
      <c r="AA148" s="166"/>
      <c r="AB148" s="166"/>
      <c r="AC148" s="182" t="e">
        <f t="shared" ref="AC148:AC176" si="47">RANK(AB148, AB$147:AB$176)</f>
        <v>#N/A</v>
      </c>
      <c r="AD148" s="455"/>
      <c r="AE148" s="166"/>
      <c r="AF148" s="166"/>
      <c r="AG148" s="166"/>
      <c r="AH148" s="182" t="e">
        <f t="shared" ref="AH148:AH176" si="48">RANK(AG148, AG$147:AG$176)</f>
        <v>#N/A</v>
      </c>
      <c r="AI148" s="455"/>
      <c r="AJ148" s="166"/>
      <c r="AK148" s="166"/>
      <c r="AL148" s="166"/>
      <c r="AM148" s="182" t="e">
        <f t="shared" ref="AM148:AM176" si="49">RANK(AL148, AL$147:AL$176)</f>
        <v>#N/A</v>
      </c>
      <c r="AN148" s="455"/>
      <c r="AO148" s="166"/>
      <c r="AP148" s="166"/>
      <c r="AQ148" s="166"/>
      <c r="AR148" s="182" t="e">
        <f t="shared" ref="AR148:AR176" si="50">RANK(AQ148, AQ$147:AQ$176)</f>
        <v>#N/A</v>
      </c>
      <c r="AS148" s="455"/>
      <c r="AT148" s="166"/>
      <c r="AU148" s="166"/>
      <c r="AV148" s="166"/>
      <c r="AW148" s="182" t="e">
        <f t="shared" ref="AW148:AW176" si="51">RANK(AV148, AV$147:AV$176)</f>
        <v>#N/A</v>
      </c>
      <c r="AX148" s="455"/>
      <c r="AZ148" s="182" t="e">
        <f t="shared" ref="AZ148:AZ176" si="52">RANK(AY148, AY$147:AY$176)</f>
        <v>#N/A</v>
      </c>
      <c r="BA148" s="455"/>
    </row>
    <row r="149" spans="2:53">
      <c r="B149" s="454"/>
      <c r="C149" s="182">
        <v>3</v>
      </c>
      <c r="D149" s="203"/>
      <c r="E149" s="166"/>
      <c r="F149" s="182"/>
      <c r="G149" s="180"/>
      <c r="H149" s="464"/>
      <c r="I149" s="166" t="str">
        <f t="shared" si="42"/>
        <v>-</v>
      </c>
      <c r="J149" s="166" t="str">
        <f t="shared" si="43"/>
        <v>-</v>
      </c>
      <c r="K149" s="180" t="str">
        <f t="shared" si="44"/>
        <v>-</v>
      </c>
      <c r="L149" s="464"/>
      <c r="M149" s="181" t="e">
        <f>RANK(K149, K$147:$K$176)</f>
        <v>#VALUE!</v>
      </c>
      <c r="N149" s="461"/>
      <c r="O149" s="461"/>
      <c r="P149" s="166"/>
      <c r="Q149" s="166"/>
      <c r="R149" s="166"/>
      <c r="S149" s="182" t="e">
        <f t="shared" si="45"/>
        <v>#N/A</v>
      </c>
      <c r="T149" s="455"/>
      <c r="U149" s="166"/>
      <c r="V149" s="166"/>
      <c r="W149" s="166"/>
      <c r="X149" s="182" t="e">
        <f t="shared" si="46"/>
        <v>#N/A</v>
      </c>
      <c r="Y149" s="455"/>
      <c r="Z149" s="166"/>
      <c r="AA149" s="166"/>
      <c r="AB149" s="166"/>
      <c r="AC149" s="182" t="e">
        <f t="shared" si="47"/>
        <v>#N/A</v>
      </c>
      <c r="AD149" s="455"/>
      <c r="AE149" s="166"/>
      <c r="AF149" s="166"/>
      <c r="AG149" s="166"/>
      <c r="AH149" s="182" t="e">
        <f t="shared" si="48"/>
        <v>#N/A</v>
      </c>
      <c r="AI149" s="455"/>
      <c r="AJ149" s="166"/>
      <c r="AK149" s="166"/>
      <c r="AL149" s="166"/>
      <c r="AM149" s="182" t="e">
        <f t="shared" si="49"/>
        <v>#N/A</v>
      </c>
      <c r="AN149" s="455"/>
      <c r="AO149" s="166"/>
      <c r="AP149" s="166"/>
      <c r="AQ149" s="166"/>
      <c r="AR149" s="182" t="e">
        <f t="shared" si="50"/>
        <v>#N/A</v>
      </c>
      <c r="AS149" s="455"/>
      <c r="AT149" s="166"/>
      <c r="AU149" s="166"/>
      <c r="AV149" s="166"/>
      <c r="AW149" s="182" t="e">
        <f t="shared" si="51"/>
        <v>#N/A</v>
      </c>
      <c r="AX149" s="455"/>
      <c r="AZ149" s="182" t="e">
        <f t="shared" si="52"/>
        <v>#N/A</v>
      </c>
      <c r="BA149" s="455"/>
    </row>
    <row r="150" spans="2:53">
      <c r="B150" s="454"/>
      <c r="C150" s="182">
        <v>4</v>
      </c>
      <c r="D150" s="203"/>
      <c r="E150" s="166"/>
      <c r="F150" s="182"/>
      <c r="G150" s="180"/>
      <c r="H150" s="464"/>
      <c r="I150" s="166" t="str">
        <f t="shared" si="42"/>
        <v>-</v>
      </c>
      <c r="J150" s="166" t="str">
        <f t="shared" si="43"/>
        <v>-</v>
      </c>
      <c r="K150" s="180" t="str">
        <f t="shared" si="44"/>
        <v>-</v>
      </c>
      <c r="L150" s="464"/>
      <c r="M150" s="181" t="e">
        <f>RANK(K150, K$147:$K$176)</f>
        <v>#VALUE!</v>
      </c>
      <c r="N150" s="461"/>
      <c r="O150" s="461"/>
      <c r="P150" s="166"/>
      <c r="Q150" s="166"/>
      <c r="R150" s="166"/>
      <c r="S150" s="182" t="e">
        <f t="shared" si="45"/>
        <v>#N/A</v>
      </c>
      <c r="T150" s="455"/>
      <c r="U150" s="166"/>
      <c r="V150" s="166"/>
      <c r="W150" s="166"/>
      <c r="X150" s="182" t="e">
        <f t="shared" si="46"/>
        <v>#N/A</v>
      </c>
      <c r="Y150" s="455"/>
      <c r="Z150" s="166"/>
      <c r="AA150" s="166"/>
      <c r="AB150" s="166"/>
      <c r="AC150" s="182" t="e">
        <f t="shared" si="47"/>
        <v>#N/A</v>
      </c>
      <c r="AD150" s="455"/>
      <c r="AE150" s="166"/>
      <c r="AF150" s="166"/>
      <c r="AG150" s="166"/>
      <c r="AH150" s="182" t="e">
        <f t="shared" si="48"/>
        <v>#N/A</v>
      </c>
      <c r="AI150" s="455"/>
      <c r="AJ150" s="166"/>
      <c r="AK150" s="166"/>
      <c r="AL150" s="166"/>
      <c r="AM150" s="182" t="e">
        <f t="shared" si="49"/>
        <v>#N/A</v>
      </c>
      <c r="AN150" s="455"/>
      <c r="AO150" s="166"/>
      <c r="AP150" s="166"/>
      <c r="AQ150" s="166"/>
      <c r="AR150" s="182" t="e">
        <f t="shared" si="50"/>
        <v>#N/A</v>
      </c>
      <c r="AS150" s="455"/>
      <c r="AT150" s="166"/>
      <c r="AU150" s="166"/>
      <c r="AV150" s="166"/>
      <c r="AW150" s="182" t="e">
        <f t="shared" si="51"/>
        <v>#N/A</v>
      </c>
      <c r="AX150" s="455"/>
      <c r="AZ150" s="182" t="e">
        <f t="shared" si="52"/>
        <v>#N/A</v>
      </c>
      <c r="BA150" s="455"/>
    </row>
    <row r="151" spans="2:53">
      <c r="B151" s="454"/>
      <c r="C151" s="182">
        <v>5</v>
      </c>
      <c r="D151" s="203"/>
      <c r="E151" s="166"/>
      <c r="F151" s="182"/>
      <c r="G151" s="180"/>
      <c r="H151" s="464"/>
      <c r="I151" s="166" t="str">
        <f t="shared" si="42"/>
        <v>-</v>
      </c>
      <c r="J151" s="166" t="str">
        <f t="shared" si="43"/>
        <v>-</v>
      </c>
      <c r="K151" s="180" t="str">
        <f t="shared" si="44"/>
        <v>-</v>
      </c>
      <c r="L151" s="464"/>
      <c r="M151" s="181" t="e">
        <f>RANK(K151, K$147:$K$176)</f>
        <v>#VALUE!</v>
      </c>
      <c r="N151" s="461"/>
      <c r="O151" s="461"/>
      <c r="P151" s="166"/>
      <c r="Q151" s="166"/>
      <c r="R151" s="166"/>
      <c r="S151" s="182" t="e">
        <f t="shared" si="45"/>
        <v>#N/A</v>
      </c>
      <c r="T151" s="455"/>
      <c r="U151" s="166"/>
      <c r="V151" s="166"/>
      <c r="W151" s="166"/>
      <c r="X151" s="182" t="e">
        <f t="shared" si="46"/>
        <v>#N/A</v>
      </c>
      <c r="Y151" s="455"/>
      <c r="Z151" s="166"/>
      <c r="AA151" s="166"/>
      <c r="AB151" s="166"/>
      <c r="AC151" s="182" t="e">
        <f t="shared" si="47"/>
        <v>#N/A</v>
      </c>
      <c r="AD151" s="455"/>
      <c r="AE151" s="166"/>
      <c r="AF151" s="166"/>
      <c r="AG151" s="166"/>
      <c r="AH151" s="182" t="e">
        <f t="shared" si="48"/>
        <v>#N/A</v>
      </c>
      <c r="AI151" s="455"/>
      <c r="AJ151" s="166"/>
      <c r="AK151" s="166"/>
      <c r="AL151" s="166"/>
      <c r="AM151" s="182" t="e">
        <f t="shared" si="49"/>
        <v>#N/A</v>
      </c>
      <c r="AN151" s="455"/>
      <c r="AO151" s="166"/>
      <c r="AP151" s="166"/>
      <c r="AQ151" s="166"/>
      <c r="AR151" s="182" t="e">
        <f t="shared" si="50"/>
        <v>#N/A</v>
      </c>
      <c r="AS151" s="455"/>
      <c r="AT151" s="166"/>
      <c r="AU151" s="166"/>
      <c r="AV151" s="166"/>
      <c r="AW151" s="182" t="e">
        <f t="shared" si="51"/>
        <v>#N/A</v>
      </c>
      <c r="AX151" s="455"/>
      <c r="AZ151" s="182" t="e">
        <f t="shared" si="52"/>
        <v>#N/A</v>
      </c>
      <c r="BA151" s="455"/>
    </row>
    <row r="152" spans="2:53">
      <c r="B152" s="454"/>
      <c r="C152" s="182">
        <v>6</v>
      </c>
      <c r="D152" s="203"/>
      <c r="E152" s="166"/>
      <c r="F152" s="182"/>
      <c r="G152" s="180"/>
      <c r="H152" s="464"/>
      <c r="I152" s="166" t="str">
        <f t="shared" si="42"/>
        <v>-</v>
      </c>
      <c r="J152" s="166" t="str">
        <f t="shared" si="43"/>
        <v>-</v>
      </c>
      <c r="K152" s="180" t="str">
        <f t="shared" si="44"/>
        <v>-</v>
      </c>
      <c r="L152" s="464"/>
      <c r="M152" s="181" t="e">
        <f>RANK(K152, K$147:$K$176)</f>
        <v>#VALUE!</v>
      </c>
      <c r="N152" s="461"/>
      <c r="O152" s="461"/>
      <c r="P152" s="166"/>
      <c r="Q152" s="166"/>
      <c r="R152" s="166"/>
      <c r="S152" s="182" t="e">
        <f t="shared" si="45"/>
        <v>#N/A</v>
      </c>
      <c r="T152" s="455"/>
      <c r="U152" s="166"/>
      <c r="V152" s="166"/>
      <c r="W152" s="166"/>
      <c r="X152" s="182" t="e">
        <f t="shared" si="46"/>
        <v>#N/A</v>
      </c>
      <c r="Y152" s="455"/>
      <c r="Z152" s="166"/>
      <c r="AA152" s="166"/>
      <c r="AB152" s="166"/>
      <c r="AC152" s="182" t="e">
        <f t="shared" si="47"/>
        <v>#N/A</v>
      </c>
      <c r="AD152" s="455"/>
      <c r="AE152" s="166"/>
      <c r="AF152" s="166"/>
      <c r="AG152" s="166"/>
      <c r="AH152" s="182" t="e">
        <f t="shared" si="48"/>
        <v>#N/A</v>
      </c>
      <c r="AI152" s="455"/>
      <c r="AJ152" s="166"/>
      <c r="AK152" s="166"/>
      <c r="AL152" s="166"/>
      <c r="AM152" s="182" t="e">
        <f t="shared" si="49"/>
        <v>#N/A</v>
      </c>
      <c r="AN152" s="455"/>
      <c r="AO152" s="166"/>
      <c r="AP152" s="166"/>
      <c r="AQ152" s="166"/>
      <c r="AR152" s="182" t="e">
        <f t="shared" si="50"/>
        <v>#N/A</v>
      </c>
      <c r="AS152" s="455"/>
      <c r="AT152" s="166"/>
      <c r="AU152" s="166"/>
      <c r="AV152" s="166"/>
      <c r="AW152" s="182" t="e">
        <f t="shared" si="51"/>
        <v>#N/A</v>
      </c>
      <c r="AX152" s="455"/>
      <c r="AZ152" s="182" t="e">
        <f t="shared" si="52"/>
        <v>#N/A</v>
      </c>
      <c r="BA152" s="455"/>
    </row>
    <row r="153" spans="2:53">
      <c r="B153" s="454"/>
      <c r="C153" s="182">
        <v>7</v>
      </c>
      <c r="D153" s="203"/>
      <c r="E153" s="166"/>
      <c r="F153" s="182"/>
      <c r="G153" s="180"/>
      <c r="H153" s="464"/>
      <c r="I153" s="166" t="str">
        <f t="shared" si="42"/>
        <v>-</v>
      </c>
      <c r="J153" s="166" t="str">
        <f t="shared" si="43"/>
        <v>-</v>
      </c>
      <c r="K153" s="180" t="str">
        <f t="shared" si="44"/>
        <v>-</v>
      </c>
      <c r="L153" s="464"/>
      <c r="M153" s="181" t="e">
        <f>RANK(K153, K$147:$K$176)</f>
        <v>#VALUE!</v>
      </c>
      <c r="N153" s="461"/>
      <c r="O153" s="461"/>
      <c r="P153" s="166"/>
      <c r="Q153" s="166"/>
      <c r="R153" s="166"/>
      <c r="S153" s="182" t="e">
        <f t="shared" si="45"/>
        <v>#N/A</v>
      </c>
      <c r="T153" s="455"/>
      <c r="U153" s="166"/>
      <c r="V153" s="166"/>
      <c r="W153" s="166"/>
      <c r="X153" s="182" t="e">
        <f t="shared" si="46"/>
        <v>#N/A</v>
      </c>
      <c r="Y153" s="455"/>
      <c r="Z153" s="166"/>
      <c r="AA153" s="166"/>
      <c r="AB153" s="166"/>
      <c r="AC153" s="182" t="e">
        <f t="shared" si="47"/>
        <v>#N/A</v>
      </c>
      <c r="AD153" s="455"/>
      <c r="AE153" s="166"/>
      <c r="AF153" s="166"/>
      <c r="AG153" s="166"/>
      <c r="AH153" s="182" t="e">
        <f t="shared" si="48"/>
        <v>#N/A</v>
      </c>
      <c r="AI153" s="455"/>
      <c r="AJ153" s="166"/>
      <c r="AK153" s="166"/>
      <c r="AL153" s="166"/>
      <c r="AM153" s="182" t="e">
        <f t="shared" si="49"/>
        <v>#N/A</v>
      </c>
      <c r="AN153" s="455"/>
      <c r="AO153" s="166"/>
      <c r="AP153" s="166"/>
      <c r="AQ153" s="166"/>
      <c r="AR153" s="182" t="e">
        <f t="shared" si="50"/>
        <v>#N/A</v>
      </c>
      <c r="AS153" s="455"/>
      <c r="AT153" s="166"/>
      <c r="AU153" s="166"/>
      <c r="AV153" s="166"/>
      <c r="AW153" s="182" t="e">
        <f t="shared" si="51"/>
        <v>#N/A</v>
      </c>
      <c r="AX153" s="455"/>
      <c r="AZ153" s="182" t="e">
        <f t="shared" si="52"/>
        <v>#N/A</v>
      </c>
      <c r="BA153" s="455"/>
    </row>
    <row r="154" spans="2:53">
      <c r="B154" s="454"/>
      <c r="C154" s="182">
        <v>8</v>
      </c>
      <c r="D154" s="203"/>
      <c r="E154" s="166"/>
      <c r="F154" s="182"/>
      <c r="G154" s="180"/>
      <c r="H154" s="464"/>
      <c r="I154" s="166" t="str">
        <f t="shared" si="42"/>
        <v>-</v>
      </c>
      <c r="J154" s="166" t="str">
        <f t="shared" si="43"/>
        <v>-</v>
      </c>
      <c r="K154" s="180" t="str">
        <f t="shared" si="44"/>
        <v>-</v>
      </c>
      <c r="L154" s="464"/>
      <c r="M154" s="181" t="e">
        <f>RANK(K154, K$147:$K$176)</f>
        <v>#VALUE!</v>
      </c>
      <c r="N154" s="461"/>
      <c r="O154" s="461"/>
      <c r="P154" s="166"/>
      <c r="Q154" s="166"/>
      <c r="R154" s="166"/>
      <c r="S154" s="182" t="e">
        <f t="shared" si="45"/>
        <v>#N/A</v>
      </c>
      <c r="T154" s="455"/>
      <c r="U154" s="166"/>
      <c r="V154" s="166"/>
      <c r="W154" s="166"/>
      <c r="X154" s="182" t="e">
        <f t="shared" si="46"/>
        <v>#N/A</v>
      </c>
      <c r="Y154" s="455"/>
      <c r="Z154" s="166"/>
      <c r="AA154" s="166"/>
      <c r="AB154" s="166"/>
      <c r="AC154" s="182" t="e">
        <f t="shared" si="47"/>
        <v>#N/A</v>
      </c>
      <c r="AD154" s="455"/>
      <c r="AE154" s="166"/>
      <c r="AF154" s="166"/>
      <c r="AG154" s="166"/>
      <c r="AH154" s="182" t="e">
        <f t="shared" si="48"/>
        <v>#N/A</v>
      </c>
      <c r="AI154" s="455"/>
      <c r="AJ154" s="166"/>
      <c r="AK154" s="166"/>
      <c r="AL154" s="166"/>
      <c r="AM154" s="182" t="e">
        <f t="shared" si="49"/>
        <v>#N/A</v>
      </c>
      <c r="AN154" s="455"/>
      <c r="AO154" s="166"/>
      <c r="AP154" s="166"/>
      <c r="AQ154" s="166"/>
      <c r="AR154" s="182" t="e">
        <f t="shared" si="50"/>
        <v>#N/A</v>
      </c>
      <c r="AS154" s="455"/>
      <c r="AT154" s="166"/>
      <c r="AU154" s="166"/>
      <c r="AV154" s="166"/>
      <c r="AW154" s="182" t="e">
        <f t="shared" si="51"/>
        <v>#N/A</v>
      </c>
      <c r="AX154" s="455"/>
      <c r="AZ154" s="182" t="e">
        <f t="shared" si="52"/>
        <v>#N/A</v>
      </c>
      <c r="BA154" s="455"/>
    </row>
    <row r="155" spans="2:53">
      <c r="B155" s="454"/>
      <c r="C155" s="182">
        <v>9</v>
      </c>
      <c r="D155" s="203"/>
      <c r="E155" s="166"/>
      <c r="F155" s="182"/>
      <c r="G155" s="180"/>
      <c r="H155" s="464"/>
      <c r="I155" s="166" t="str">
        <f t="shared" si="42"/>
        <v>-</v>
      </c>
      <c r="J155" s="166" t="str">
        <f t="shared" si="43"/>
        <v>-</v>
      </c>
      <c r="K155" s="180" t="str">
        <f t="shared" si="44"/>
        <v>-</v>
      </c>
      <c r="L155" s="464"/>
      <c r="M155" s="181" t="e">
        <f>RANK(K155, K$147:$K$176)</f>
        <v>#VALUE!</v>
      </c>
      <c r="N155" s="461"/>
      <c r="O155" s="461"/>
      <c r="P155" s="166"/>
      <c r="Q155" s="166"/>
      <c r="R155" s="166"/>
      <c r="S155" s="182" t="e">
        <f t="shared" si="45"/>
        <v>#N/A</v>
      </c>
      <c r="T155" s="455"/>
      <c r="U155" s="166"/>
      <c r="V155" s="166"/>
      <c r="W155" s="166"/>
      <c r="X155" s="182" t="e">
        <f t="shared" si="46"/>
        <v>#N/A</v>
      </c>
      <c r="Y155" s="455"/>
      <c r="Z155" s="166"/>
      <c r="AA155" s="166"/>
      <c r="AB155" s="166"/>
      <c r="AC155" s="182" t="e">
        <f t="shared" si="47"/>
        <v>#N/A</v>
      </c>
      <c r="AD155" s="455"/>
      <c r="AE155" s="166"/>
      <c r="AF155" s="166"/>
      <c r="AG155" s="166"/>
      <c r="AH155" s="182" t="e">
        <f t="shared" si="48"/>
        <v>#N/A</v>
      </c>
      <c r="AI155" s="455"/>
      <c r="AJ155" s="166"/>
      <c r="AK155" s="166"/>
      <c r="AL155" s="166"/>
      <c r="AM155" s="182" t="e">
        <f t="shared" si="49"/>
        <v>#N/A</v>
      </c>
      <c r="AN155" s="455"/>
      <c r="AO155" s="166"/>
      <c r="AP155" s="166"/>
      <c r="AQ155" s="166"/>
      <c r="AR155" s="182" t="e">
        <f t="shared" si="50"/>
        <v>#N/A</v>
      </c>
      <c r="AS155" s="455"/>
      <c r="AT155" s="166"/>
      <c r="AU155" s="166"/>
      <c r="AV155" s="166"/>
      <c r="AW155" s="182" t="e">
        <f t="shared" si="51"/>
        <v>#N/A</v>
      </c>
      <c r="AX155" s="455"/>
      <c r="AZ155" s="182" t="e">
        <f t="shared" si="52"/>
        <v>#N/A</v>
      </c>
      <c r="BA155" s="455"/>
    </row>
    <row r="156" spans="2:53">
      <c r="B156" s="454"/>
      <c r="C156" s="182">
        <v>10</v>
      </c>
      <c r="D156" s="203"/>
      <c r="E156" s="166"/>
      <c r="F156" s="182"/>
      <c r="G156" s="180"/>
      <c r="H156" s="464"/>
      <c r="I156" s="166" t="str">
        <f t="shared" si="42"/>
        <v>-</v>
      </c>
      <c r="J156" s="166" t="str">
        <f t="shared" si="43"/>
        <v>-</v>
      </c>
      <c r="K156" s="180" t="str">
        <f t="shared" si="44"/>
        <v>-</v>
      </c>
      <c r="L156" s="464"/>
      <c r="M156" s="181" t="e">
        <f>RANK(K156, K$147:$K$176)</f>
        <v>#VALUE!</v>
      </c>
      <c r="N156" s="461"/>
      <c r="O156" s="461"/>
      <c r="P156" s="166"/>
      <c r="Q156" s="166"/>
      <c r="R156" s="166"/>
      <c r="S156" s="182" t="e">
        <f t="shared" si="45"/>
        <v>#N/A</v>
      </c>
      <c r="T156" s="455"/>
      <c r="U156" s="166"/>
      <c r="V156" s="166"/>
      <c r="W156" s="166"/>
      <c r="X156" s="182" t="e">
        <f t="shared" si="46"/>
        <v>#N/A</v>
      </c>
      <c r="Y156" s="455"/>
      <c r="Z156" s="166"/>
      <c r="AA156" s="166"/>
      <c r="AB156" s="166"/>
      <c r="AC156" s="182" t="e">
        <f t="shared" si="47"/>
        <v>#N/A</v>
      </c>
      <c r="AD156" s="455"/>
      <c r="AE156" s="166"/>
      <c r="AF156" s="166"/>
      <c r="AG156" s="166"/>
      <c r="AH156" s="182" t="e">
        <f t="shared" si="48"/>
        <v>#N/A</v>
      </c>
      <c r="AI156" s="455"/>
      <c r="AJ156" s="166"/>
      <c r="AK156" s="166"/>
      <c r="AL156" s="166"/>
      <c r="AM156" s="182" t="e">
        <f t="shared" si="49"/>
        <v>#N/A</v>
      </c>
      <c r="AN156" s="455"/>
      <c r="AO156" s="166"/>
      <c r="AP156" s="166"/>
      <c r="AQ156" s="166"/>
      <c r="AR156" s="182" t="e">
        <f t="shared" si="50"/>
        <v>#N/A</v>
      </c>
      <c r="AS156" s="455"/>
      <c r="AT156" s="166"/>
      <c r="AU156" s="166"/>
      <c r="AV156" s="166"/>
      <c r="AW156" s="182" t="e">
        <f t="shared" si="51"/>
        <v>#N/A</v>
      </c>
      <c r="AX156" s="455"/>
      <c r="AZ156" s="182" t="e">
        <f t="shared" si="52"/>
        <v>#N/A</v>
      </c>
      <c r="BA156" s="455"/>
    </row>
    <row r="157" spans="2:53">
      <c r="B157" s="454"/>
      <c r="C157" s="182">
        <v>11</v>
      </c>
      <c r="D157" s="203"/>
      <c r="E157" s="166"/>
      <c r="F157" s="182"/>
      <c r="G157" s="180"/>
      <c r="H157" s="464"/>
      <c r="I157" s="166" t="str">
        <f t="shared" si="42"/>
        <v>-</v>
      </c>
      <c r="J157" s="166" t="str">
        <f t="shared" si="43"/>
        <v>-</v>
      </c>
      <c r="K157" s="180" t="str">
        <f t="shared" si="44"/>
        <v>-</v>
      </c>
      <c r="L157" s="464"/>
      <c r="M157" s="181" t="e">
        <f>RANK(K157, K$147:$K$176)</f>
        <v>#VALUE!</v>
      </c>
      <c r="N157" s="461"/>
      <c r="O157" s="461"/>
      <c r="P157" s="166"/>
      <c r="Q157" s="166"/>
      <c r="R157" s="166"/>
      <c r="S157" s="182" t="e">
        <f t="shared" si="45"/>
        <v>#N/A</v>
      </c>
      <c r="T157" s="455"/>
      <c r="U157" s="166"/>
      <c r="V157" s="166"/>
      <c r="W157" s="166"/>
      <c r="X157" s="182" t="e">
        <f t="shared" si="46"/>
        <v>#N/A</v>
      </c>
      <c r="Y157" s="455"/>
      <c r="Z157" s="166"/>
      <c r="AA157" s="166"/>
      <c r="AB157" s="166"/>
      <c r="AC157" s="182" t="e">
        <f t="shared" si="47"/>
        <v>#N/A</v>
      </c>
      <c r="AD157" s="455"/>
      <c r="AE157" s="166"/>
      <c r="AF157" s="166"/>
      <c r="AG157" s="166"/>
      <c r="AH157" s="182" t="e">
        <f t="shared" si="48"/>
        <v>#N/A</v>
      </c>
      <c r="AI157" s="455"/>
      <c r="AJ157" s="166"/>
      <c r="AK157" s="166"/>
      <c r="AL157" s="166"/>
      <c r="AM157" s="182" t="e">
        <f t="shared" si="49"/>
        <v>#N/A</v>
      </c>
      <c r="AN157" s="455"/>
      <c r="AO157" s="166"/>
      <c r="AP157" s="166"/>
      <c r="AQ157" s="166"/>
      <c r="AR157" s="182" t="e">
        <f t="shared" si="50"/>
        <v>#N/A</v>
      </c>
      <c r="AS157" s="455"/>
      <c r="AT157" s="166"/>
      <c r="AU157" s="166"/>
      <c r="AV157" s="166"/>
      <c r="AW157" s="182" t="e">
        <f t="shared" si="51"/>
        <v>#N/A</v>
      </c>
      <c r="AX157" s="455"/>
      <c r="AZ157" s="182" t="e">
        <f t="shared" si="52"/>
        <v>#N/A</v>
      </c>
      <c r="BA157" s="455"/>
    </row>
    <row r="158" spans="2:53">
      <c r="B158" s="454"/>
      <c r="C158" s="182">
        <v>12</v>
      </c>
      <c r="D158" s="203"/>
      <c r="E158" s="166"/>
      <c r="F158" s="182"/>
      <c r="G158" s="180"/>
      <c r="H158" s="464"/>
      <c r="I158" s="166" t="str">
        <f t="shared" si="42"/>
        <v>-</v>
      </c>
      <c r="J158" s="166" t="str">
        <f t="shared" si="43"/>
        <v>-</v>
      </c>
      <c r="K158" s="180" t="str">
        <f t="shared" si="44"/>
        <v>-</v>
      </c>
      <c r="L158" s="464"/>
      <c r="M158" s="181" t="e">
        <f>RANK(K158, K$147:$K$176)</f>
        <v>#VALUE!</v>
      </c>
      <c r="N158" s="461"/>
      <c r="O158" s="461"/>
      <c r="P158" s="166"/>
      <c r="Q158" s="166"/>
      <c r="R158" s="166"/>
      <c r="S158" s="182" t="e">
        <f t="shared" si="45"/>
        <v>#N/A</v>
      </c>
      <c r="T158" s="455"/>
      <c r="U158" s="166"/>
      <c r="V158" s="166"/>
      <c r="W158" s="166"/>
      <c r="X158" s="182" t="e">
        <f t="shared" si="46"/>
        <v>#N/A</v>
      </c>
      <c r="Y158" s="455"/>
      <c r="Z158" s="166"/>
      <c r="AA158" s="166"/>
      <c r="AB158" s="166"/>
      <c r="AC158" s="182" t="e">
        <f t="shared" si="47"/>
        <v>#N/A</v>
      </c>
      <c r="AD158" s="455"/>
      <c r="AE158" s="166"/>
      <c r="AF158" s="166"/>
      <c r="AG158" s="166"/>
      <c r="AH158" s="182" t="e">
        <f t="shared" si="48"/>
        <v>#N/A</v>
      </c>
      <c r="AI158" s="455"/>
      <c r="AJ158" s="166"/>
      <c r="AK158" s="166"/>
      <c r="AL158" s="166"/>
      <c r="AM158" s="182" t="e">
        <f t="shared" si="49"/>
        <v>#N/A</v>
      </c>
      <c r="AN158" s="455"/>
      <c r="AO158" s="166"/>
      <c r="AP158" s="166"/>
      <c r="AQ158" s="166"/>
      <c r="AR158" s="182" t="e">
        <f t="shared" si="50"/>
        <v>#N/A</v>
      </c>
      <c r="AS158" s="455"/>
      <c r="AT158" s="166"/>
      <c r="AU158" s="166"/>
      <c r="AV158" s="166"/>
      <c r="AW158" s="182" t="e">
        <f t="shared" si="51"/>
        <v>#N/A</v>
      </c>
      <c r="AX158" s="455"/>
      <c r="AZ158" s="182" t="e">
        <f t="shared" si="52"/>
        <v>#N/A</v>
      </c>
      <c r="BA158" s="455"/>
    </row>
    <row r="159" spans="2:53">
      <c r="B159" s="454"/>
      <c r="C159" s="182">
        <v>13</v>
      </c>
      <c r="D159" s="203"/>
      <c r="E159" s="166"/>
      <c r="F159" s="182"/>
      <c r="G159" s="180"/>
      <c r="H159" s="464"/>
      <c r="I159" s="166" t="str">
        <f t="shared" si="42"/>
        <v>-</v>
      </c>
      <c r="J159" s="166" t="str">
        <f t="shared" si="43"/>
        <v>-</v>
      </c>
      <c r="K159" s="180" t="str">
        <f t="shared" si="44"/>
        <v>-</v>
      </c>
      <c r="L159" s="464"/>
      <c r="M159" s="181" t="e">
        <f>RANK(K159, K$147:$K$176)</f>
        <v>#VALUE!</v>
      </c>
      <c r="N159" s="461"/>
      <c r="O159" s="461"/>
      <c r="P159" s="166"/>
      <c r="Q159" s="166"/>
      <c r="R159" s="166"/>
      <c r="S159" s="182" t="e">
        <f t="shared" si="45"/>
        <v>#N/A</v>
      </c>
      <c r="T159" s="455"/>
      <c r="U159" s="166"/>
      <c r="V159" s="166"/>
      <c r="W159" s="166"/>
      <c r="X159" s="182" t="e">
        <f t="shared" si="46"/>
        <v>#N/A</v>
      </c>
      <c r="Y159" s="455"/>
      <c r="Z159" s="166"/>
      <c r="AA159" s="166"/>
      <c r="AB159" s="166"/>
      <c r="AC159" s="182" t="e">
        <f t="shared" si="47"/>
        <v>#N/A</v>
      </c>
      <c r="AD159" s="455"/>
      <c r="AE159" s="166"/>
      <c r="AF159" s="166"/>
      <c r="AG159" s="166"/>
      <c r="AH159" s="182" t="e">
        <f t="shared" si="48"/>
        <v>#N/A</v>
      </c>
      <c r="AI159" s="455"/>
      <c r="AJ159" s="166"/>
      <c r="AK159" s="166"/>
      <c r="AL159" s="166"/>
      <c r="AM159" s="182" t="e">
        <f t="shared" si="49"/>
        <v>#N/A</v>
      </c>
      <c r="AN159" s="455"/>
      <c r="AO159" s="166"/>
      <c r="AP159" s="166"/>
      <c r="AQ159" s="166"/>
      <c r="AR159" s="182" t="e">
        <f t="shared" si="50"/>
        <v>#N/A</v>
      </c>
      <c r="AS159" s="455"/>
      <c r="AT159" s="166"/>
      <c r="AU159" s="166"/>
      <c r="AV159" s="166"/>
      <c r="AW159" s="182" t="e">
        <f t="shared" si="51"/>
        <v>#N/A</v>
      </c>
      <c r="AX159" s="455"/>
      <c r="AZ159" s="182" t="e">
        <f t="shared" si="52"/>
        <v>#N/A</v>
      </c>
      <c r="BA159" s="455"/>
    </row>
    <row r="160" spans="2:53">
      <c r="B160" s="454"/>
      <c r="C160" s="182">
        <v>14</v>
      </c>
      <c r="D160" s="203"/>
      <c r="E160" s="166"/>
      <c r="F160" s="182"/>
      <c r="G160" s="180"/>
      <c r="H160" s="464"/>
      <c r="I160" s="166" t="str">
        <f t="shared" si="42"/>
        <v>-</v>
      </c>
      <c r="J160" s="166" t="str">
        <f t="shared" si="43"/>
        <v>-</v>
      </c>
      <c r="K160" s="180" t="str">
        <f t="shared" si="44"/>
        <v>-</v>
      </c>
      <c r="L160" s="464"/>
      <c r="M160" s="181" t="e">
        <f>RANK(K160, K$147:$K$176)</f>
        <v>#VALUE!</v>
      </c>
      <c r="N160" s="461"/>
      <c r="O160" s="461"/>
      <c r="P160" s="166"/>
      <c r="Q160" s="166"/>
      <c r="R160" s="166"/>
      <c r="S160" s="182" t="e">
        <f t="shared" si="45"/>
        <v>#N/A</v>
      </c>
      <c r="T160" s="455"/>
      <c r="U160" s="166"/>
      <c r="V160" s="166"/>
      <c r="W160" s="166"/>
      <c r="X160" s="182" t="e">
        <f t="shared" si="46"/>
        <v>#N/A</v>
      </c>
      <c r="Y160" s="455"/>
      <c r="Z160" s="166"/>
      <c r="AA160" s="166"/>
      <c r="AB160" s="166"/>
      <c r="AC160" s="182" t="e">
        <f t="shared" si="47"/>
        <v>#N/A</v>
      </c>
      <c r="AD160" s="455"/>
      <c r="AE160" s="166"/>
      <c r="AF160" s="166"/>
      <c r="AG160" s="166"/>
      <c r="AH160" s="182" t="e">
        <f t="shared" si="48"/>
        <v>#N/A</v>
      </c>
      <c r="AI160" s="455"/>
      <c r="AJ160" s="166"/>
      <c r="AK160" s="166"/>
      <c r="AL160" s="166"/>
      <c r="AM160" s="182" t="e">
        <f t="shared" si="49"/>
        <v>#N/A</v>
      </c>
      <c r="AN160" s="455"/>
      <c r="AO160" s="166"/>
      <c r="AP160" s="166"/>
      <c r="AQ160" s="166"/>
      <c r="AR160" s="182" t="e">
        <f t="shared" si="50"/>
        <v>#N/A</v>
      </c>
      <c r="AS160" s="455"/>
      <c r="AT160" s="166"/>
      <c r="AU160" s="166"/>
      <c r="AV160" s="166"/>
      <c r="AW160" s="182" t="e">
        <f t="shared" si="51"/>
        <v>#N/A</v>
      </c>
      <c r="AX160" s="455"/>
      <c r="AZ160" s="182" t="e">
        <f t="shared" si="52"/>
        <v>#N/A</v>
      </c>
      <c r="BA160" s="455"/>
    </row>
    <row r="161" spans="2:53">
      <c r="B161" s="454"/>
      <c r="C161" s="182">
        <v>15</v>
      </c>
      <c r="D161" s="203"/>
      <c r="E161" s="166"/>
      <c r="F161" s="182"/>
      <c r="G161" s="180"/>
      <c r="H161" s="464"/>
      <c r="I161" s="166" t="str">
        <f t="shared" si="42"/>
        <v>-</v>
      </c>
      <c r="J161" s="166" t="str">
        <f t="shared" si="43"/>
        <v>-</v>
      </c>
      <c r="K161" s="180" t="str">
        <f t="shared" si="44"/>
        <v>-</v>
      </c>
      <c r="L161" s="464"/>
      <c r="M161" s="166" t="e">
        <f>RANK(K161, K$147:$K$176)</f>
        <v>#VALUE!</v>
      </c>
      <c r="N161" s="461"/>
      <c r="O161" s="461"/>
      <c r="P161" s="166"/>
      <c r="Q161" s="166"/>
      <c r="R161" s="166"/>
      <c r="S161" s="182" t="e">
        <f t="shared" ref="S161:S175" si="53">RANK(R161, R$147:R$176)</f>
        <v>#N/A</v>
      </c>
      <c r="T161" s="455"/>
      <c r="U161" s="166"/>
      <c r="V161" s="166"/>
      <c r="W161" s="166"/>
      <c r="X161" s="182" t="e">
        <f t="shared" ref="X161:X175" si="54">RANK(W161, W$147:W$176)</f>
        <v>#N/A</v>
      </c>
      <c r="Y161" s="455"/>
      <c r="Z161" s="166"/>
      <c r="AA161" s="166"/>
      <c r="AB161" s="166"/>
      <c r="AC161" s="182" t="e">
        <f t="shared" ref="AC161:AC175" si="55">RANK(AB161, AB$147:AB$176)</f>
        <v>#N/A</v>
      </c>
      <c r="AD161" s="455"/>
      <c r="AE161" s="166"/>
      <c r="AF161" s="166"/>
      <c r="AG161" s="166"/>
      <c r="AH161" s="182" t="e">
        <f t="shared" ref="AH161:AH175" si="56">RANK(AG161, AG$147:AG$176)</f>
        <v>#N/A</v>
      </c>
      <c r="AI161" s="455"/>
      <c r="AJ161" s="166"/>
      <c r="AK161" s="166"/>
      <c r="AL161" s="166"/>
      <c r="AM161" s="182" t="e">
        <f t="shared" ref="AM161:AM175" si="57">RANK(AL161, AL$147:AL$176)</f>
        <v>#N/A</v>
      </c>
      <c r="AN161" s="455"/>
      <c r="AO161" s="166"/>
      <c r="AP161" s="166"/>
      <c r="AQ161" s="166"/>
      <c r="AR161" s="182" t="e">
        <f t="shared" ref="AR161:AR175" si="58">RANK(AQ161, AQ$147:AQ$176)</f>
        <v>#N/A</v>
      </c>
      <c r="AS161" s="455"/>
      <c r="AT161" s="166"/>
      <c r="AU161" s="166"/>
      <c r="AV161" s="166"/>
      <c r="AW161" s="182" t="e">
        <f t="shared" ref="AW161:AW175" si="59">RANK(AV161, AV$147:AV$176)</f>
        <v>#N/A</v>
      </c>
      <c r="AX161" s="455"/>
      <c r="AZ161" s="182" t="e">
        <f t="shared" si="52"/>
        <v>#N/A</v>
      </c>
      <c r="BA161" s="455"/>
    </row>
    <row r="162" spans="2:53">
      <c r="B162" s="454"/>
      <c r="C162" s="182">
        <v>16</v>
      </c>
      <c r="D162" s="203"/>
      <c r="E162" s="166"/>
      <c r="F162" s="182"/>
      <c r="G162" s="180"/>
      <c r="H162" s="464"/>
      <c r="I162" s="166" t="str">
        <f t="shared" si="42"/>
        <v>-</v>
      </c>
      <c r="J162" s="166" t="str">
        <f t="shared" si="43"/>
        <v>-</v>
      </c>
      <c r="K162" s="180" t="str">
        <f t="shared" si="44"/>
        <v>-</v>
      </c>
      <c r="L162" s="464"/>
      <c r="M162" s="166" t="e">
        <f>RANK(K162, K$147:$K$176)</f>
        <v>#VALUE!</v>
      </c>
      <c r="N162" s="461"/>
      <c r="O162" s="461"/>
      <c r="P162" s="166"/>
      <c r="Q162" s="166"/>
      <c r="R162" s="166"/>
      <c r="S162" s="182" t="e">
        <f t="shared" si="53"/>
        <v>#N/A</v>
      </c>
      <c r="T162" s="455"/>
      <c r="U162" s="166"/>
      <c r="V162" s="166"/>
      <c r="W162" s="166"/>
      <c r="X162" s="182" t="e">
        <f t="shared" si="54"/>
        <v>#N/A</v>
      </c>
      <c r="Y162" s="455"/>
      <c r="Z162" s="166"/>
      <c r="AA162" s="166"/>
      <c r="AB162" s="166"/>
      <c r="AC162" s="182" t="e">
        <f t="shared" si="55"/>
        <v>#N/A</v>
      </c>
      <c r="AD162" s="455"/>
      <c r="AE162" s="166"/>
      <c r="AF162" s="166"/>
      <c r="AG162" s="166"/>
      <c r="AH162" s="182" t="e">
        <f t="shared" si="56"/>
        <v>#N/A</v>
      </c>
      <c r="AI162" s="455"/>
      <c r="AJ162" s="166"/>
      <c r="AK162" s="166"/>
      <c r="AL162" s="166"/>
      <c r="AM162" s="182" t="e">
        <f t="shared" si="57"/>
        <v>#N/A</v>
      </c>
      <c r="AN162" s="455"/>
      <c r="AO162" s="166"/>
      <c r="AP162" s="166"/>
      <c r="AQ162" s="166"/>
      <c r="AR162" s="182" t="e">
        <f t="shared" si="58"/>
        <v>#N/A</v>
      </c>
      <c r="AS162" s="455"/>
      <c r="AT162" s="166"/>
      <c r="AU162" s="166"/>
      <c r="AV162" s="166"/>
      <c r="AW162" s="182" t="e">
        <f t="shared" si="59"/>
        <v>#N/A</v>
      </c>
      <c r="AX162" s="455"/>
      <c r="AZ162" s="182" t="e">
        <f t="shared" si="52"/>
        <v>#N/A</v>
      </c>
      <c r="BA162" s="455"/>
    </row>
    <row r="163" spans="2:53">
      <c r="B163" s="454"/>
      <c r="C163" s="182">
        <v>17</v>
      </c>
      <c r="D163" s="203"/>
      <c r="E163" s="166"/>
      <c r="F163" s="182"/>
      <c r="G163" s="180"/>
      <c r="H163" s="464"/>
      <c r="I163" s="166" t="str">
        <f t="shared" si="42"/>
        <v>-</v>
      </c>
      <c r="J163" s="166" t="str">
        <f t="shared" si="43"/>
        <v>-</v>
      </c>
      <c r="K163" s="180" t="str">
        <f t="shared" si="44"/>
        <v>-</v>
      </c>
      <c r="L163" s="464"/>
      <c r="M163" s="166" t="e">
        <f>RANK(K163, K$147:$K$176)</f>
        <v>#VALUE!</v>
      </c>
      <c r="N163" s="461"/>
      <c r="O163" s="461"/>
      <c r="P163" s="166"/>
      <c r="Q163" s="166"/>
      <c r="R163" s="166"/>
      <c r="S163" s="182" t="e">
        <f t="shared" si="53"/>
        <v>#N/A</v>
      </c>
      <c r="T163" s="455"/>
      <c r="U163" s="166"/>
      <c r="V163" s="166"/>
      <c r="W163" s="166"/>
      <c r="X163" s="182" t="e">
        <f t="shared" si="54"/>
        <v>#N/A</v>
      </c>
      <c r="Y163" s="455"/>
      <c r="Z163" s="166"/>
      <c r="AA163" s="166"/>
      <c r="AB163" s="166"/>
      <c r="AC163" s="182" t="e">
        <f t="shared" si="55"/>
        <v>#N/A</v>
      </c>
      <c r="AD163" s="455"/>
      <c r="AE163" s="166"/>
      <c r="AF163" s="166"/>
      <c r="AG163" s="166"/>
      <c r="AH163" s="182" t="e">
        <f t="shared" si="56"/>
        <v>#N/A</v>
      </c>
      <c r="AI163" s="455"/>
      <c r="AJ163" s="166"/>
      <c r="AK163" s="166"/>
      <c r="AL163" s="166"/>
      <c r="AM163" s="182" t="e">
        <f t="shared" si="57"/>
        <v>#N/A</v>
      </c>
      <c r="AN163" s="455"/>
      <c r="AO163" s="166"/>
      <c r="AP163" s="166"/>
      <c r="AQ163" s="166"/>
      <c r="AR163" s="182" t="e">
        <f t="shared" si="58"/>
        <v>#N/A</v>
      </c>
      <c r="AS163" s="455"/>
      <c r="AT163" s="166"/>
      <c r="AU163" s="166"/>
      <c r="AV163" s="166"/>
      <c r="AW163" s="182" t="e">
        <f t="shared" si="59"/>
        <v>#N/A</v>
      </c>
      <c r="AX163" s="455"/>
      <c r="AZ163" s="182" t="e">
        <f t="shared" si="52"/>
        <v>#N/A</v>
      </c>
      <c r="BA163" s="455"/>
    </row>
    <row r="164" spans="2:53">
      <c r="B164" s="454"/>
      <c r="C164" s="182">
        <v>18</v>
      </c>
      <c r="D164" s="203"/>
      <c r="E164" s="166"/>
      <c r="F164" s="182"/>
      <c r="G164" s="180"/>
      <c r="H164" s="464"/>
      <c r="I164" s="166" t="str">
        <f t="shared" si="42"/>
        <v>-</v>
      </c>
      <c r="J164" s="166" t="str">
        <f t="shared" si="43"/>
        <v>-</v>
      </c>
      <c r="K164" s="180" t="str">
        <f t="shared" si="44"/>
        <v>-</v>
      </c>
      <c r="L164" s="464"/>
      <c r="M164" s="166" t="e">
        <f>RANK(K164, K$147:$K$176)</f>
        <v>#VALUE!</v>
      </c>
      <c r="N164" s="461"/>
      <c r="O164" s="461"/>
      <c r="P164" s="166"/>
      <c r="Q164" s="166"/>
      <c r="R164" s="166"/>
      <c r="S164" s="182" t="e">
        <f t="shared" si="53"/>
        <v>#N/A</v>
      </c>
      <c r="T164" s="455"/>
      <c r="U164" s="166"/>
      <c r="V164" s="166"/>
      <c r="W164" s="166"/>
      <c r="X164" s="182" t="e">
        <f t="shared" si="54"/>
        <v>#N/A</v>
      </c>
      <c r="Y164" s="455"/>
      <c r="Z164" s="166"/>
      <c r="AA164" s="166"/>
      <c r="AB164" s="166"/>
      <c r="AC164" s="182" t="e">
        <f t="shared" si="55"/>
        <v>#N/A</v>
      </c>
      <c r="AD164" s="455"/>
      <c r="AE164" s="166"/>
      <c r="AF164" s="166"/>
      <c r="AG164" s="166"/>
      <c r="AH164" s="182" t="e">
        <f t="shared" si="56"/>
        <v>#N/A</v>
      </c>
      <c r="AI164" s="455"/>
      <c r="AJ164" s="166"/>
      <c r="AK164" s="166"/>
      <c r="AL164" s="166"/>
      <c r="AM164" s="182" t="e">
        <f t="shared" si="57"/>
        <v>#N/A</v>
      </c>
      <c r="AN164" s="455"/>
      <c r="AO164" s="166"/>
      <c r="AP164" s="166"/>
      <c r="AQ164" s="166"/>
      <c r="AR164" s="182" t="e">
        <f t="shared" si="58"/>
        <v>#N/A</v>
      </c>
      <c r="AS164" s="455"/>
      <c r="AT164" s="166"/>
      <c r="AU164" s="166"/>
      <c r="AV164" s="166"/>
      <c r="AW164" s="182" t="e">
        <f t="shared" si="59"/>
        <v>#N/A</v>
      </c>
      <c r="AX164" s="455"/>
      <c r="AZ164" s="182" t="e">
        <f t="shared" si="52"/>
        <v>#N/A</v>
      </c>
      <c r="BA164" s="455"/>
    </row>
    <row r="165" spans="2:53">
      <c r="B165" s="454"/>
      <c r="C165" s="182">
        <v>19</v>
      </c>
      <c r="D165" s="203"/>
      <c r="E165" s="166"/>
      <c r="F165" s="182"/>
      <c r="G165" s="180"/>
      <c r="H165" s="464"/>
      <c r="I165" s="166" t="str">
        <f t="shared" si="42"/>
        <v>-</v>
      </c>
      <c r="J165" s="166" t="str">
        <f t="shared" si="43"/>
        <v>-</v>
      </c>
      <c r="K165" s="180" t="str">
        <f t="shared" si="44"/>
        <v>-</v>
      </c>
      <c r="L165" s="464"/>
      <c r="M165" s="166" t="e">
        <f>RANK(K165, K$147:$K$176)</f>
        <v>#VALUE!</v>
      </c>
      <c r="N165" s="461"/>
      <c r="O165" s="461"/>
      <c r="P165" s="166"/>
      <c r="Q165" s="166"/>
      <c r="R165" s="166"/>
      <c r="S165" s="182" t="e">
        <f t="shared" si="53"/>
        <v>#N/A</v>
      </c>
      <c r="T165" s="455"/>
      <c r="U165" s="166"/>
      <c r="V165" s="166"/>
      <c r="W165" s="166"/>
      <c r="X165" s="182" t="e">
        <f t="shared" si="54"/>
        <v>#N/A</v>
      </c>
      <c r="Y165" s="455"/>
      <c r="Z165" s="166"/>
      <c r="AA165" s="166"/>
      <c r="AB165" s="166"/>
      <c r="AC165" s="182" t="e">
        <f t="shared" si="55"/>
        <v>#N/A</v>
      </c>
      <c r="AD165" s="455"/>
      <c r="AE165" s="166"/>
      <c r="AF165" s="166"/>
      <c r="AG165" s="166"/>
      <c r="AH165" s="182" t="e">
        <f t="shared" si="56"/>
        <v>#N/A</v>
      </c>
      <c r="AI165" s="455"/>
      <c r="AJ165" s="166"/>
      <c r="AK165" s="166"/>
      <c r="AL165" s="166"/>
      <c r="AM165" s="182" t="e">
        <f t="shared" si="57"/>
        <v>#N/A</v>
      </c>
      <c r="AN165" s="455"/>
      <c r="AO165" s="166"/>
      <c r="AP165" s="166"/>
      <c r="AQ165" s="166"/>
      <c r="AR165" s="182" t="e">
        <f t="shared" si="58"/>
        <v>#N/A</v>
      </c>
      <c r="AS165" s="455"/>
      <c r="AT165" s="166"/>
      <c r="AU165" s="166"/>
      <c r="AV165" s="166"/>
      <c r="AW165" s="182" t="e">
        <f t="shared" si="59"/>
        <v>#N/A</v>
      </c>
      <c r="AX165" s="455"/>
      <c r="AZ165" s="182" t="e">
        <f t="shared" si="52"/>
        <v>#N/A</v>
      </c>
      <c r="BA165" s="455"/>
    </row>
    <row r="166" spans="2:53">
      <c r="B166" s="454"/>
      <c r="C166" s="182">
        <v>20</v>
      </c>
      <c r="D166" s="203"/>
      <c r="E166" s="166"/>
      <c r="F166" s="182"/>
      <c r="G166" s="180"/>
      <c r="H166" s="464"/>
      <c r="I166" s="166" t="str">
        <f t="shared" si="42"/>
        <v>-</v>
      </c>
      <c r="J166" s="166" t="str">
        <f t="shared" si="43"/>
        <v>-</v>
      </c>
      <c r="K166" s="180" t="str">
        <f t="shared" si="44"/>
        <v>-</v>
      </c>
      <c r="L166" s="464"/>
      <c r="M166" s="166" t="e">
        <f>RANK(K166, K$147:$K$176)</f>
        <v>#VALUE!</v>
      </c>
      <c r="N166" s="461"/>
      <c r="O166" s="461"/>
      <c r="P166" s="166"/>
      <c r="Q166" s="166"/>
      <c r="R166" s="166"/>
      <c r="S166" s="182" t="e">
        <f t="shared" si="53"/>
        <v>#N/A</v>
      </c>
      <c r="T166" s="455"/>
      <c r="U166" s="166"/>
      <c r="V166" s="166"/>
      <c r="W166" s="166"/>
      <c r="X166" s="182" t="e">
        <f t="shared" si="54"/>
        <v>#N/A</v>
      </c>
      <c r="Y166" s="455"/>
      <c r="Z166" s="166"/>
      <c r="AA166" s="166"/>
      <c r="AB166" s="166"/>
      <c r="AC166" s="182" t="e">
        <f t="shared" si="55"/>
        <v>#N/A</v>
      </c>
      <c r="AD166" s="455"/>
      <c r="AE166" s="166"/>
      <c r="AF166" s="166"/>
      <c r="AG166" s="166"/>
      <c r="AH166" s="182" t="e">
        <f t="shared" si="56"/>
        <v>#N/A</v>
      </c>
      <c r="AI166" s="455"/>
      <c r="AJ166" s="166"/>
      <c r="AK166" s="166"/>
      <c r="AL166" s="166"/>
      <c r="AM166" s="182" t="e">
        <f t="shared" si="57"/>
        <v>#N/A</v>
      </c>
      <c r="AN166" s="455"/>
      <c r="AO166" s="166"/>
      <c r="AP166" s="166"/>
      <c r="AQ166" s="166"/>
      <c r="AR166" s="182" t="e">
        <f t="shared" si="58"/>
        <v>#N/A</v>
      </c>
      <c r="AS166" s="455"/>
      <c r="AT166" s="166"/>
      <c r="AU166" s="166"/>
      <c r="AV166" s="166"/>
      <c r="AW166" s="182" t="e">
        <f t="shared" si="59"/>
        <v>#N/A</v>
      </c>
      <c r="AX166" s="455"/>
      <c r="AZ166" s="182" t="e">
        <f t="shared" si="52"/>
        <v>#N/A</v>
      </c>
      <c r="BA166" s="455"/>
    </row>
    <row r="167" spans="2:53">
      <c r="B167" s="454"/>
      <c r="C167" s="182">
        <v>21</v>
      </c>
      <c r="D167" s="203"/>
      <c r="E167" s="166"/>
      <c r="F167" s="182"/>
      <c r="G167" s="180"/>
      <c r="H167" s="464"/>
      <c r="I167" s="166" t="str">
        <f t="shared" si="42"/>
        <v>-</v>
      </c>
      <c r="J167" s="166" t="str">
        <f t="shared" si="43"/>
        <v>-</v>
      </c>
      <c r="K167" s="180" t="str">
        <f t="shared" si="44"/>
        <v>-</v>
      </c>
      <c r="L167" s="464"/>
      <c r="M167" s="166" t="e">
        <f>RANK(K167, K$147:$K$176)</f>
        <v>#VALUE!</v>
      </c>
      <c r="N167" s="461"/>
      <c r="O167" s="461"/>
      <c r="P167" s="166"/>
      <c r="Q167" s="166"/>
      <c r="R167" s="166"/>
      <c r="S167" s="182" t="e">
        <f t="shared" si="53"/>
        <v>#N/A</v>
      </c>
      <c r="T167" s="455"/>
      <c r="U167" s="166"/>
      <c r="V167" s="166"/>
      <c r="W167" s="166"/>
      <c r="X167" s="182" t="e">
        <f t="shared" si="54"/>
        <v>#N/A</v>
      </c>
      <c r="Y167" s="455"/>
      <c r="Z167" s="166"/>
      <c r="AA167" s="166"/>
      <c r="AB167" s="166"/>
      <c r="AC167" s="182" t="e">
        <f t="shared" si="55"/>
        <v>#N/A</v>
      </c>
      <c r="AD167" s="455"/>
      <c r="AE167" s="166"/>
      <c r="AF167" s="166"/>
      <c r="AG167" s="166"/>
      <c r="AH167" s="182" t="e">
        <f t="shared" si="56"/>
        <v>#N/A</v>
      </c>
      <c r="AI167" s="455"/>
      <c r="AJ167" s="166"/>
      <c r="AK167" s="166"/>
      <c r="AL167" s="166"/>
      <c r="AM167" s="182" t="e">
        <f t="shared" si="57"/>
        <v>#N/A</v>
      </c>
      <c r="AN167" s="455"/>
      <c r="AO167" s="166"/>
      <c r="AP167" s="166"/>
      <c r="AQ167" s="166"/>
      <c r="AR167" s="182" t="e">
        <f t="shared" si="58"/>
        <v>#N/A</v>
      </c>
      <c r="AS167" s="455"/>
      <c r="AT167" s="166"/>
      <c r="AU167" s="166"/>
      <c r="AV167" s="166"/>
      <c r="AW167" s="182" t="e">
        <f t="shared" si="59"/>
        <v>#N/A</v>
      </c>
      <c r="AX167" s="455"/>
      <c r="AZ167" s="182" t="e">
        <f t="shared" si="52"/>
        <v>#N/A</v>
      </c>
      <c r="BA167" s="455"/>
    </row>
    <row r="168" spans="2:53">
      <c r="B168" s="454"/>
      <c r="C168" s="182">
        <v>22</v>
      </c>
      <c r="D168" s="203"/>
      <c r="E168" s="166"/>
      <c r="F168" s="182"/>
      <c r="G168" s="180"/>
      <c r="H168" s="464"/>
      <c r="I168" s="166" t="str">
        <f t="shared" si="42"/>
        <v>-</v>
      </c>
      <c r="J168" s="166" t="str">
        <f t="shared" si="43"/>
        <v>-</v>
      </c>
      <c r="K168" s="180" t="str">
        <f t="shared" si="44"/>
        <v>-</v>
      </c>
      <c r="L168" s="464"/>
      <c r="M168" s="166" t="e">
        <f>RANK(K168, K$147:$K$176)</f>
        <v>#VALUE!</v>
      </c>
      <c r="N168" s="461"/>
      <c r="O168" s="461"/>
      <c r="P168" s="166"/>
      <c r="Q168" s="166"/>
      <c r="R168" s="166"/>
      <c r="S168" s="182" t="e">
        <f t="shared" si="53"/>
        <v>#N/A</v>
      </c>
      <c r="T168" s="455"/>
      <c r="U168" s="166"/>
      <c r="V168" s="166"/>
      <c r="W168" s="166"/>
      <c r="X168" s="182" t="e">
        <f t="shared" si="54"/>
        <v>#N/A</v>
      </c>
      <c r="Y168" s="455"/>
      <c r="Z168" s="166"/>
      <c r="AA168" s="166"/>
      <c r="AB168" s="166"/>
      <c r="AC168" s="182" t="e">
        <f t="shared" si="55"/>
        <v>#N/A</v>
      </c>
      <c r="AD168" s="455"/>
      <c r="AE168" s="166"/>
      <c r="AF168" s="166"/>
      <c r="AG168" s="166"/>
      <c r="AH168" s="182" t="e">
        <f t="shared" si="56"/>
        <v>#N/A</v>
      </c>
      <c r="AI168" s="455"/>
      <c r="AJ168" s="166"/>
      <c r="AK168" s="166"/>
      <c r="AL168" s="166"/>
      <c r="AM168" s="182" t="e">
        <f t="shared" si="57"/>
        <v>#N/A</v>
      </c>
      <c r="AN168" s="455"/>
      <c r="AO168" s="166"/>
      <c r="AP168" s="166"/>
      <c r="AQ168" s="166"/>
      <c r="AR168" s="182" t="e">
        <f t="shared" si="58"/>
        <v>#N/A</v>
      </c>
      <c r="AS168" s="455"/>
      <c r="AT168" s="166"/>
      <c r="AU168" s="166"/>
      <c r="AV168" s="166"/>
      <c r="AW168" s="182" t="e">
        <f t="shared" si="59"/>
        <v>#N/A</v>
      </c>
      <c r="AX168" s="455"/>
      <c r="AZ168" s="182" t="e">
        <f t="shared" si="52"/>
        <v>#N/A</v>
      </c>
      <c r="BA168" s="455"/>
    </row>
    <row r="169" spans="2:53">
      <c r="B169" s="454"/>
      <c r="C169" s="182">
        <v>23</v>
      </c>
      <c r="D169" s="203"/>
      <c r="E169" s="166"/>
      <c r="F169" s="182"/>
      <c r="G169" s="180"/>
      <c r="H169" s="464"/>
      <c r="I169" s="166" t="str">
        <f t="shared" si="42"/>
        <v>-</v>
      </c>
      <c r="J169" s="166" t="str">
        <f t="shared" si="43"/>
        <v>-</v>
      </c>
      <c r="K169" s="180" t="str">
        <f t="shared" si="44"/>
        <v>-</v>
      </c>
      <c r="L169" s="464"/>
      <c r="M169" s="166" t="e">
        <f>RANK(K169, K$147:$K$176)</f>
        <v>#VALUE!</v>
      </c>
      <c r="N169" s="461"/>
      <c r="O169" s="461"/>
      <c r="P169" s="166"/>
      <c r="Q169" s="166"/>
      <c r="R169" s="166"/>
      <c r="S169" s="182" t="e">
        <f t="shared" si="53"/>
        <v>#N/A</v>
      </c>
      <c r="T169" s="455"/>
      <c r="U169" s="166"/>
      <c r="V169" s="166"/>
      <c r="W169" s="166"/>
      <c r="X169" s="182" t="e">
        <f t="shared" si="54"/>
        <v>#N/A</v>
      </c>
      <c r="Y169" s="455"/>
      <c r="Z169" s="166"/>
      <c r="AA169" s="166"/>
      <c r="AB169" s="166"/>
      <c r="AC169" s="182" t="e">
        <f t="shared" si="55"/>
        <v>#N/A</v>
      </c>
      <c r="AD169" s="455"/>
      <c r="AE169" s="166"/>
      <c r="AF169" s="166"/>
      <c r="AG169" s="166"/>
      <c r="AH169" s="182" t="e">
        <f t="shared" si="56"/>
        <v>#N/A</v>
      </c>
      <c r="AI169" s="455"/>
      <c r="AJ169" s="166"/>
      <c r="AK169" s="166"/>
      <c r="AL169" s="166"/>
      <c r="AM169" s="182" t="e">
        <f t="shared" si="57"/>
        <v>#N/A</v>
      </c>
      <c r="AN169" s="455"/>
      <c r="AO169" s="166"/>
      <c r="AP169" s="166"/>
      <c r="AQ169" s="166"/>
      <c r="AR169" s="182" t="e">
        <f t="shared" si="58"/>
        <v>#N/A</v>
      </c>
      <c r="AS169" s="455"/>
      <c r="AT169" s="166"/>
      <c r="AU169" s="166"/>
      <c r="AV169" s="166"/>
      <c r="AW169" s="182" t="e">
        <f t="shared" si="59"/>
        <v>#N/A</v>
      </c>
      <c r="AX169" s="455"/>
      <c r="AZ169" s="182" t="e">
        <f t="shared" si="52"/>
        <v>#N/A</v>
      </c>
      <c r="BA169" s="455"/>
    </row>
    <row r="170" spans="2:53">
      <c r="B170" s="454"/>
      <c r="C170" s="182">
        <v>24</v>
      </c>
      <c r="D170" s="203"/>
      <c r="E170" s="166"/>
      <c r="F170" s="182"/>
      <c r="G170" s="180"/>
      <c r="H170" s="464"/>
      <c r="I170" s="166" t="str">
        <f t="shared" si="42"/>
        <v>-</v>
      </c>
      <c r="J170" s="166" t="str">
        <f t="shared" si="43"/>
        <v>-</v>
      </c>
      <c r="K170" s="180" t="str">
        <f t="shared" si="44"/>
        <v>-</v>
      </c>
      <c r="L170" s="464"/>
      <c r="M170" s="166" t="e">
        <f>RANK(K170, K$147:$K$176)</f>
        <v>#VALUE!</v>
      </c>
      <c r="N170" s="461"/>
      <c r="O170" s="461"/>
      <c r="P170" s="166"/>
      <c r="Q170" s="166"/>
      <c r="R170" s="166"/>
      <c r="S170" s="182" t="e">
        <f t="shared" si="53"/>
        <v>#N/A</v>
      </c>
      <c r="T170" s="455"/>
      <c r="U170" s="166"/>
      <c r="V170" s="166"/>
      <c r="W170" s="166"/>
      <c r="X170" s="182" t="e">
        <f t="shared" si="54"/>
        <v>#N/A</v>
      </c>
      <c r="Y170" s="455"/>
      <c r="Z170" s="166"/>
      <c r="AA170" s="166"/>
      <c r="AB170" s="166"/>
      <c r="AC170" s="182" t="e">
        <f t="shared" si="55"/>
        <v>#N/A</v>
      </c>
      <c r="AD170" s="455"/>
      <c r="AE170" s="166"/>
      <c r="AF170" s="166"/>
      <c r="AG170" s="166"/>
      <c r="AH170" s="182" t="e">
        <f t="shared" si="56"/>
        <v>#N/A</v>
      </c>
      <c r="AI170" s="455"/>
      <c r="AJ170" s="166"/>
      <c r="AK170" s="166"/>
      <c r="AL170" s="166"/>
      <c r="AM170" s="182" t="e">
        <f t="shared" si="57"/>
        <v>#N/A</v>
      </c>
      <c r="AN170" s="455"/>
      <c r="AO170" s="166"/>
      <c r="AP170" s="166"/>
      <c r="AQ170" s="166"/>
      <c r="AR170" s="182" t="e">
        <f t="shared" si="58"/>
        <v>#N/A</v>
      </c>
      <c r="AS170" s="455"/>
      <c r="AT170" s="166"/>
      <c r="AU170" s="166"/>
      <c r="AV170" s="166"/>
      <c r="AW170" s="182" t="e">
        <f t="shared" si="59"/>
        <v>#N/A</v>
      </c>
      <c r="AX170" s="455"/>
      <c r="AZ170" s="182" t="e">
        <f t="shared" si="52"/>
        <v>#N/A</v>
      </c>
      <c r="BA170" s="455"/>
    </row>
    <row r="171" spans="2:53">
      <c r="B171" s="454"/>
      <c r="C171" s="182">
        <v>25</v>
      </c>
      <c r="D171" s="203"/>
      <c r="E171" s="166"/>
      <c r="F171" s="182"/>
      <c r="G171" s="180"/>
      <c r="H171" s="464"/>
      <c r="I171" s="166" t="str">
        <f t="shared" si="42"/>
        <v>-</v>
      </c>
      <c r="J171" s="166" t="str">
        <f t="shared" si="43"/>
        <v>-</v>
      </c>
      <c r="K171" s="180" t="str">
        <f t="shared" si="44"/>
        <v>-</v>
      </c>
      <c r="L171" s="464"/>
      <c r="M171" s="166" t="e">
        <f>RANK(K171, K$147:$K$176)</f>
        <v>#VALUE!</v>
      </c>
      <c r="N171" s="461"/>
      <c r="O171" s="461"/>
      <c r="P171" s="166"/>
      <c r="Q171" s="166"/>
      <c r="R171" s="166"/>
      <c r="S171" s="182" t="e">
        <f t="shared" si="53"/>
        <v>#N/A</v>
      </c>
      <c r="T171" s="455"/>
      <c r="U171" s="166"/>
      <c r="V171" s="166"/>
      <c r="W171" s="166"/>
      <c r="X171" s="182" t="e">
        <f t="shared" si="54"/>
        <v>#N/A</v>
      </c>
      <c r="Y171" s="455"/>
      <c r="Z171" s="166"/>
      <c r="AA171" s="166"/>
      <c r="AB171" s="166"/>
      <c r="AC171" s="182" t="e">
        <f t="shared" si="55"/>
        <v>#N/A</v>
      </c>
      <c r="AD171" s="455"/>
      <c r="AE171" s="166"/>
      <c r="AF171" s="166"/>
      <c r="AG171" s="166"/>
      <c r="AH171" s="182" t="e">
        <f t="shared" si="56"/>
        <v>#N/A</v>
      </c>
      <c r="AI171" s="455"/>
      <c r="AJ171" s="166"/>
      <c r="AK171" s="166"/>
      <c r="AL171" s="166"/>
      <c r="AM171" s="182" t="e">
        <f t="shared" si="57"/>
        <v>#N/A</v>
      </c>
      <c r="AN171" s="455"/>
      <c r="AO171" s="166"/>
      <c r="AP171" s="166"/>
      <c r="AQ171" s="166"/>
      <c r="AR171" s="182" t="e">
        <f t="shared" si="58"/>
        <v>#N/A</v>
      </c>
      <c r="AS171" s="455"/>
      <c r="AT171" s="166"/>
      <c r="AU171" s="166"/>
      <c r="AV171" s="166"/>
      <c r="AW171" s="182" t="e">
        <f t="shared" si="59"/>
        <v>#N/A</v>
      </c>
      <c r="AX171" s="455"/>
      <c r="AZ171" s="182" t="e">
        <f t="shared" si="52"/>
        <v>#N/A</v>
      </c>
      <c r="BA171" s="455"/>
    </row>
    <row r="172" spans="2:53">
      <c r="B172" s="454"/>
      <c r="C172" s="182">
        <v>26</v>
      </c>
      <c r="D172" s="203"/>
      <c r="E172" s="166"/>
      <c r="F172" s="182"/>
      <c r="G172" s="180"/>
      <c r="H172" s="464"/>
      <c r="I172" s="166" t="str">
        <f t="shared" si="42"/>
        <v>-</v>
      </c>
      <c r="J172" s="166" t="str">
        <f t="shared" si="43"/>
        <v>-</v>
      </c>
      <c r="K172" s="180" t="str">
        <f t="shared" si="44"/>
        <v>-</v>
      </c>
      <c r="L172" s="464"/>
      <c r="M172" s="166" t="e">
        <f>RANK(K172, K$147:$K$176)</f>
        <v>#VALUE!</v>
      </c>
      <c r="N172" s="461"/>
      <c r="O172" s="461"/>
      <c r="P172" s="166"/>
      <c r="Q172" s="166"/>
      <c r="R172" s="166"/>
      <c r="S172" s="182" t="e">
        <f t="shared" si="53"/>
        <v>#N/A</v>
      </c>
      <c r="T172" s="455"/>
      <c r="U172" s="166"/>
      <c r="V172" s="166"/>
      <c r="W172" s="166"/>
      <c r="X172" s="182" t="e">
        <f t="shared" si="54"/>
        <v>#N/A</v>
      </c>
      <c r="Y172" s="455"/>
      <c r="Z172" s="166"/>
      <c r="AA172" s="166"/>
      <c r="AB172" s="166"/>
      <c r="AC172" s="182" t="e">
        <f t="shared" si="55"/>
        <v>#N/A</v>
      </c>
      <c r="AD172" s="455"/>
      <c r="AE172" s="166"/>
      <c r="AF172" s="166"/>
      <c r="AG172" s="166"/>
      <c r="AH172" s="182" t="e">
        <f t="shared" si="56"/>
        <v>#N/A</v>
      </c>
      <c r="AI172" s="455"/>
      <c r="AJ172" s="166"/>
      <c r="AK172" s="166"/>
      <c r="AL172" s="166"/>
      <c r="AM172" s="182" t="e">
        <f t="shared" si="57"/>
        <v>#N/A</v>
      </c>
      <c r="AN172" s="455"/>
      <c r="AO172" s="166"/>
      <c r="AP172" s="166"/>
      <c r="AQ172" s="166"/>
      <c r="AR172" s="182" t="e">
        <f t="shared" si="58"/>
        <v>#N/A</v>
      </c>
      <c r="AS172" s="455"/>
      <c r="AT172" s="166"/>
      <c r="AU172" s="166"/>
      <c r="AV172" s="166"/>
      <c r="AW172" s="182" t="e">
        <f t="shared" si="59"/>
        <v>#N/A</v>
      </c>
      <c r="AX172" s="455"/>
      <c r="AZ172" s="182" t="e">
        <f t="shared" si="52"/>
        <v>#N/A</v>
      </c>
      <c r="BA172" s="455"/>
    </row>
    <row r="173" spans="2:53">
      <c r="B173" s="454"/>
      <c r="C173" s="182">
        <v>27</v>
      </c>
      <c r="D173" s="203"/>
      <c r="E173" s="166"/>
      <c r="F173" s="182"/>
      <c r="G173" s="180"/>
      <c r="H173" s="464"/>
      <c r="I173" s="166" t="str">
        <f t="shared" si="42"/>
        <v>-</v>
      </c>
      <c r="J173" s="166" t="str">
        <f t="shared" si="43"/>
        <v>-</v>
      </c>
      <c r="K173" s="180" t="str">
        <f t="shared" si="44"/>
        <v>-</v>
      </c>
      <c r="L173" s="464"/>
      <c r="M173" s="166" t="e">
        <f>RANK(K173, K$147:$K$176)</f>
        <v>#VALUE!</v>
      </c>
      <c r="N173" s="461"/>
      <c r="O173" s="461"/>
      <c r="P173" s="166"/>
      <c r="Q173" s="166"/>
      <c r="R173" s="166"/>
      <c r="S173" s="182" t="e">
        <f t="shared" si="53"/>
        <v>#N/A</v>
      </c>
      <c r="T173" s="455"/>
      <c r="U173" s="166"/>
      <c r="V173" s="166"/>
      <c r="W173" s="166"/>
      <c r="X173" s="182" t="e">
        <f t="shared" si="54"/>
        <v>#N/A</v>
      </c>
      <c r="Y173" s="455"/>
      <c r="Z173" s="166"/>
      <c r="AA173" s="166"/>
      <c r="AB173" s="166"/>
      <c r="AC173" s="182" t="e">
        <f t="shared" si="55"/>
        <v>#N/A</v>
      </c>
      <c r="AD173" s="455"/>
      <c r="AE173" s="166"/>
      <c r="AF173" s="166"/>
      <c r="AG173" s="166"/>
      <c r="AH173" s="182" t="e">
        <f t="shared" si="56"/>
        <v>#N/A</v>
      </c>
      <c r="AI173" s="455"/>
      <c r="AJ173" s="166"/>
      <c r="AK173" s="166"/>
      <c r="AL173" s="166"/>
      <c r="AM173" s="182" t="e">
        <f t="shared" si="57"/>
        <v>#N/A</v>
      </c>
      <c r="AN173" s="455"/>
      <c r="AO173" s="166"/>
      <c r="AP173" s="166"/>
      <c r="AQ173" s="166"/>
      <c r="AR173" s="182" t="e">
        <f t="shared" si="58"/>
        <v>#N/A</v>
      </c>
      <c r="AS173" s="455"/>
      <c r="AT173" s="166"/>
      <c r="AU173" s="166"/>
      <c r="AV173" s="166"/>
      <c r="AW173" s="182" t="e">
        <f t="shared" si="59"/>
        <v>#N/A</v>
      </c>
      <c r="AX173" s="455"/>
      <c r="AZ173" s="182" t="e">
        <f t="shared" si="52"/>
        <v>#N/A</v>
      </c>
      <c r="BA173" s="455"/>
    </row>
    <row r="174" spans="2:53">
      <c r="B174" s="454"/>
      <c r="C174" s="182">
        <v>28</v>
      </c>
      <c r="D174" s="203"/>
      <c r="E174" s="166"/>
      <c r="F174" s="182"/>
      <c r="G174" s="180"/>
      <c r="H174" s="464"/>
      <c r="I174" s="166" t="str">
        <f t="shared" si="42"/>
        <v>-</v>
      </c>
      <c r="J174" s="166" t="str">
        <f t="shared" si="43"/>
        <v>-</v>
      </c>
      <c r="K174" s="180" t="str">
        <f t="shared" si="44"/>
        <v>-</v>
      </c>
      <c r="L174" s="464"/>
      <c r="M174" s="166" t="e">
        <f>RANK(K174, K$147:$K$176)</f>
        <v>#VALUE!</v>
      </c>
      <c r="N174" s="461"/>
      <c r="O174" s="461"/>
      <c r="P174" s="166"/>
      <c r="Q174" s="166"/>
      <c r="R174" s="166"/>
      <c r="S174" s="182" t="e">
        <f t="shared" si="53"/>
        <v>#N/A</v>
      </c>
      <c r="T174" s="455"/>
      <c r="U174" s="166"/>
      <c r="V174" s="166"/>
      <c r="W174" s="166"/>
      <c r="X174" s="182" t="e">
        <f t="shared" si="54"/>
        <v>#N/A</v>
      </c>
      <c r="Y174" s="455"/>
      <c r="Z174" s="166"/>
      <c r="AA174" s="166"/>
      <c r="AB174" s="166"/>
      <c r="AC174" s="182" t="e">
        <f t="shared" si="55"/>
        <v>#N/A</v>
      </c>
      <c r="AD174" s="455"/>
      <c r="AE174" s="166"/>
      <c r="AF174" s="166"/>
      <c r="AG174" s="166"/>
      <c r="AH174" s="182" t="e">
        <f t="shared" si="56"/>
        <v>#N/A</v>
      </c>
      <c r="AI174" s="455"/>
      <c r="AJ174" s="166"/>
      <c r="AK174" s="166"/>
      <c r="AL174" s="166"/>
      <c r="AM174" s="182" t="e">
        <f t="shared" si="57"/>
        <v>#N/A</v>
      </c>
      <c r="AN174" s="455"/>
      <c r="AO174" s="166"/>
      <c r="AP174" s="166"/>
      <c r="AQ174" s="166"/>
      <c r="AR174" s="182" t="e">
        <f t="shared" si="58"/>
        <v>#N/A</v>
      </c>
      <c r="AS174" s="455"/>
      <c r="AT174" s="166"/>
      <c r="AU174" s="166"/>
      <c r="AV174" s="166"/>
      <c r="AW174" s="182" t="e">
        <f t="shared" si="59"/>
        <v>#N/A</v>
      </c>
      <c r="AX174" s="455"/>
      <c r="AZ174" s="182" t="e">
        <f t="shared" si="52"/>
        <v>#N/A</v>
      </c>
      <c r="BA174" s="455"/>
    </row>
    <row r="175" spans="2:53">
      <c r="B175" s="454"/>
      <c r="C175" s="182">
        <v>29</v>
      </c>
      <c r="D175" s="203"/>
      <c r="E175" s="166"/>
      <c r="F175" s="182"/>
      <c r="G175" s="180"/>
      <c r="H175" s="464"/>
      <c r="I175" s="166" t="str">
        <f t="shared" si="42"/>
        <v>-</v>
      </c>
      <c r="J175" s="166" t="str">
        <f t="shared" si="43"/>
        <v>-</v>
      </c>
      <c r="K175" s="180" t="str">
        <f t="shared" si="44"/>
        <v>-</v>
      </c>
      <c r="L175" s="464"/>
      <c r="M175" s="166" t="e">
        <f>RANK(K175, K$147:$K$176)</f>
        <v>#VALUE!</v>
      </c>
      <c r="N175" s="461"/>
      <c r="O175" s="461"/>
      <c r="P175" s="166"/>
      <c r="Q175" s="166"/>
      <c r="R175" s="166"/>
      <c r="S175" s="182" t="e">
        <f t="shared" si="53"/>
        <v>#N/A</v>
      </c>
      <c r="T175" s="455"/>
      <c r="U175" s="166"/>
      <c r="V175" s="166"/>
      <c r="W175" s="166"/>
      <c r="X175" s="182" t="e">
        <f t="shared" si="54"/>
        <v>#N/A</v>
      </c>
      <c r="Y175" s="455"/>
      <c r="Z175" s="166"/>
      <c r="AA175" s="166"/>
      <c r="AB175" s="166"/>
      <c r="AC175" s="182" t="e">
        <f t="shared" si="55"/>
        <v>#N/A</v>
      </c>
      <c r="AD175" s="455"/>
      <c r="AE175" s="166"/>
      <c r="AF175" s="166"/>
      <c r="AG175" s="166"/>
      <c r="AH175" s="182" t="e">
        <f t="shared" si="56"/>
        <v>#N/A</v>
      </c>
      <c r="AI175" s="455"/>
      <c r="AJ175" s="166"/>
      <c r="AK175" s="166"/>
      <c r="AL175" s="166"/>
      <c r="AM175" s="182" t="e">
        <f t="shared" si="57"/>
        <v>#N/A</v>
      </c>
      <c r="AN175" s="455"/>
      <c r="AO175" s="166"/>
      <c r="AP175" s="166"/>
      <c r="AQ175" s="166"/>
      <c r="AR175" s="182" t="e">
        <f t="shared" si="58"/>
        <v>#N/A</v>
      </c>
      <c r="AS175" s="455"/>
      <c r="AT175" s="166"/>
      <c r="AU175" s="166"/>
      <c r="AV175" s="166"/>
      <c r="AW175" s="182" t="e">
        <f t="shared" si="59"/>
        <v>#N/A</v>
      </c>
      <c r="AX175" s="455"/>
      <c r="AZ175" s="182" t="e">
        <f t="shared" si="52"/>
        <v>#N/A</v>
      </c>
      <c r="BA175" s="455"/>
    </row>
    <row r="176" spans="2:53">
      <c r="B176" s="454"/>
      <c r="C176" s="182">
        <v>30</v>
      </c>
      <c r="D176" s="203"/>
      <c r="E176" s="166"/>
      <c r="F176" s="182"/>
      <c r="G176" s="180"/>
      <c r="H176" s="465"/>
      <c r="I176" s="166" t="str">
        <f t="shared" si="42"/>
        <v>-</v>
      </c>
      <c r="J176" s="166" t="str">
        <f t="shared" si="43"/>
        <v>-</v>
      </c>
      <c r="K176" s="180" t="str">
        <f t="shared" si="44"/>
        <v>-</v>
      </c>
      <c r="L176" s="465"/>
      <c r="M176" s="166" t="e">
        <f>RANK(K176, K$147:$K$176)</f>
        <v>#VALUE!</v>
      </c>
      <c r="N176" s="461"/>
      <c r="O176" s="461"/>
      <c r="P176" s="166"/>
      <c r="Q176" s="166"/>
      <c r="R176" s="166"/>
      <c r="S176" s="182" t="e">
        <f t="shared" si="45"/>
        <v>#N/A</v>
      </c>
      <c r="T176" s="455"/>
      <c r="U176" s="166"/>
      <c r="V176" s="166"/>
      <c r="W176" s="166"/>
      <c r="X176" s="182" t="e">
        <f t="shared" si="46"/>
        <v>#N/A</v>
      </c>
      <c r="Y176" s="455"/>
      <c r="Z176" s="166"/>
      <c r="AA176" s="166"/>
      <c r="AB176" s="166"/>
      <c r="AC176" s="182" t="e">
        <f t="shared" si="47"/>
        <v>#N/A</v>
      </c>
      <c r="AD176" s="455"/>
      <c r="AE176" s="166"/>
      <c r="AF176" s="166"/>
      <c r="AG176" s="166"/>
      <c r="AH176" s="182" t="e">
        <f t="shared" si="48"/>
        <v>#N/A</v>
      </c>
      <c r="AI176" s="455"/>
      <c r="AJ176" s="166"/>
      <c r="AK176" s="166"/>
      <c r="AL176" s="166"/>
      <c r="AM176" s="182" t="e">
        <f t="shared" si="49"/>
        <v>#N/A</v>
      </c>
      <c r="AN176" s="455"/>
      <c r="AO176" s="166"/>
      <c r="AP176" s="166"/>
      <c r="AQ176" s="166"/>
      <c r="AR176" s="182" t="e">
        <f t="shared" si="50"/>
        <v>#N/A</v>
      </c>
      <c r="AS176" s="455"/>
      <c r="AT176" s="166"/>
      <c r="AU176" s="166"/>
      <c r="AV176" s="166"/>
      <c r="AW176" s="182" t="e">
        <f t="shared" si="51"/>
        <v>#N/A</v>
      </c>
      <c r="AX176" s="455"/>
      <c r="AZ176" s="182" t="e">
        <f t="shared" si="52"/>
        <v>#N/A</v>
      </c>
      <c r="BA176" s="455"/>
    </row>
    <row r="177" spans="2:53" ht="15.5">
      <c r="B177" s="477" t="s">
        <v>163</v>
      </c>
      <c r="C177" s="478"/>
      <c r="D177" s="478"/>
      <c r="E177" s="478"/>
      <c r="F177" s="478"/>
      <c r="G177" s="478"/>
      <c r="H177" s="478"/>
      <c r="I177" s="186"/>
      <c r="J177" s="186"/>
      <c r="K177" s="186"/>
      <c r="L177" s="186"/>
      <c r="M177" s="185"/>
      <c r="N177" s="480" t="s">
        <v>156</v>
      </c>
      <c r="O177" s="480" t="s">
        <v>105</v>
      </c>
      <c r="P177" s="476">
        <f>P142+7</f>
        <v>46147</v>
      </c>
      <c r="Q177" s="454"/>
      <c r="R177" s="454"/>
      <c r="S177" s="454"/>
      <c r="T177" s="454"/>
      <c r="U177" s="473">
        <f>P177+1</f>
        <v>46148</v>
      </c>
      <c r="V177" s="474"/>
      <c r="W177" s="474"/>
      <c r="X177" s="474"/>
      <c r="Y177" s="475"/>
      <c r="Z177" s="473">
        <f>U177+1</f>
        <v>46149</v>
      </c>
      <c r="AA177" s="474"/>
      <c r="AB177" s="474"/>
      <c r="AC177" s="474"/>
      <c r="AD177" s="475"/>
      <c r="AE177" s="473">
        <f>Z177+1</f>
        <v>46150</v>
      </c>
      <c r="AF177" s="474"/>
      <c r="AG177" s="474"/>
      <c r="AH177" s="474"/>
      <c r="AI177" s="475"/>
      <c r="AJ177" s="473">
        <f>AE177+1</f>
        <v>46151</v>
      </c>
      <c r="AK177" s="474"/>
      <c r="AL177" s="474"/>
      <c r="AM177" s="474"/>
      <c r="AN177" s="475"/>
      <c r="AO177" s="473">
        <f>AJ177+1</f>
        <v>46152</v>
      </c>
      <c r="AP177" s="474"/>
      <c r="AQ177" s="474"/>
      <c r="AR177" s="474"/>
      <c r="AS177" s="475"/>
      <c r="AT177" s="473">
        <f>AO177+1</f>
        <v>46153</v>
      </c>
      <c r="AU177" s="474"/>
      <c r="AV177" s="474"/>
      <c r="AW177" s="474"/>
      <c r="AX177" s="475"/>
    </row>
    <row r="178" spans="2:53" ht="15.5">
      <c r="B178" s="479"/>
      <c r="C178" s="479"/>
      <c r="D178" s="479"/>
      <c r="E178" s="479"/>
      <c r="F178" s="479"/>
      <c r="G178" s="479"/>
      <c r="H178" s="479"/>
      <c r="I178" s="184"/>
      <c r="J178" s="184"/>
      <c r="K178" s="184"/>
      <c r="L178" s="184"/>
      <c r="M178" s="179"/>
      <c r="N178" s="481"/>
      <c r="O178" s="481"/>
      <c r="P178" s="476" t="s">
        <v>158</v>
      </c>
      <c r="Q178" s="454"/>
      <c r="R178" s="454"/>
      <c r="S178" s="454"/>
      <c r="T178" s="454"/>
      <c r="U178" s="476" t="s">
        <v>114</v>
      </c>
      <c r="V178" s="454"/>
      <c r="W178" s="454"/>
      <c r="X178" s="454"/>
      <c r="Y178" s="454"/>
      <c r="Z178" s="476" t="s">
        <v>159</v>
      </c>
      <c r="AA178" s="454"/>
      <c r="AB178" s="454"/>
      <c r="AC178" s="454"/>
      <c r="AD178" s="454"/>
      <c r="AE178" s="476" t="s">
        <v>157</v>
      </c>
      <c r="AF178" s="454"/>
      <c r="AG178" s="454"/>
      <c r="AH178" s="454"/>
      <c r="AI178" s="454"/>
      <c r="AJ178" s="476" t="s">
        <v>160</v>
      </c>
      <c r="AK178" s="454"/>
      <c r="AL178" s="454"/>
      <c r="AM178" s="454"/>
      <c r="AN178" s="454"/>
      <c r="AO178" s="476" t="s">
        <v>115</v>
      </c>
      <c r="AP178" s="454"/>
      <c r="AQ178" s="454"/>
      <c r="AR178" s="454"/>
      <c r="AS178" s="454"/>
      <c r="AT178" s="476" t="s">
        <v>162</v>
      </c>
      <c r="AU178" s="454"/>
      <c r="AV178" s="454"/>
      <c r="AW178" s="454"/>
      <c r="AX178" s="454"/>
    </row>
    <row r="179" spans="2:53">
      <c r="B179" s="461" t="s">
        <v>154</v>
      </c>
      <c r="C179" s="461" t="s">
        <v>409</v>
      </c>
      <c r="D179" s="461"/>
      <c r="E179" s="461" t="s">
        <v>400</v>
      </c>
      <c r="F179" s="461"/>
      <c r="G179" s="461"/>
      <c r="H179" s="482" t="s">
        <v>396</v>
      </c>
      <c r="I179" s="461" t="s">
        <v>401</v>
      </c>
      <c r="J179" s="461"/>
      <c r="K179" s="461"/>
      <c r="L179" s="482" t="s">
        <v>396</v>
      </c>
      <c r="M179" s="480" t="s">
        <v>397</v>
      </c>
      <c r="N179" s="461"/>
      <c r="O179" s="461" t="s">
        <v>402</v>
      </c>
      <c r="P179" s="466" t="s">
        <v>398</v>
      </c>
      <c r="Q179" s="467"/>
      <c r="R179" s="467"/>
      <c r="S179" s="468"/>
      <c r="T179" s="461" t="s">
        <v>396</v>
      </c>
      <c r="U179" s="466" t="s">
        <v>398</v>
      </c>
      <c r="V179" s="467"/>
      <c r="W179" s="467"/>
      <c r="X179" s="468"/>
      <c r="Y179" s="461" t="s">
        <v>396</v>
      </c>
      <c r="Z179" s="466" t="s">
        <v>398</v>
      </c>
      <c r="AA179" s="467"/>
      <c r="AB179" s="467"/>
      <c r="AC179" s="468"/>
      <c r="AD179" s="461" t="s">
        <v>396</v>
      </c>
      <c r="AE179" s="466" t="s">
        <v>398</v>
      </c>
      <c r="AF179" s="467"/>
      <c r="AG179" s="467"/>
      <c r="AH179" s="468"/>
      <c r="AI179" s="461" t="s">
        <v>396</v>
      </c>
      <c r="AJ179" s="466" t="s">
        <v>398</v>
      </c>
      <c r="AK179" s="467"/>
      <c r="AL179" s="467"/>
      <c r="AM179" s="468"/>
      <c r="AN179" s="461" t="s">
        <v>396</v>
      </c>
      <c r="AO179" s="466" t="s">
        <v>398</v>
      </c>
      <c r="AP179" s="467"/>
      <c r="AQ179" s="467"/>
      <c r="AR179" s="468"/>
      <c r="AS179" s="461" t="s">
        <v>396</v>
      </c>
      <c r="AT179" s="466" t="s">
        <v>398</v>
      </c>
      <c r="AU179" s="467"/>
      <c r="AV179" s="467"/>
      <c r="AW179" s="468"/>
      <c r="AX179" s="461" t="s">
        <v>396</v>
      </c>
      <c r="BA179" s="461" t="s">
        <v>396</v>
      </c>
    </row>
    <row r="180" spans="2:53">
      <c r="B180" s="461"/>
      <c r="C180" s="461"/>
      <c r="D180" s="461"/>
      <c r="E180" s="461" t="s">
        <v>403</v>
      </c>
      <c r="F180" s="461"/>
      <c r="G180" s="461"/>
      <c r="H180" s="483"/>
      <c r="I180" s="461" t="s">
        <v>403</v>
      </c>
      <c r="J180" s="461"/>
      <c r="K180" s="461"/>
      <c r="L180" s="483"/>
      <c r="M180" s="485"/>
      <c r="N180" s="461"/>
      <c r="O180" s="461"/>
      <c r="P180" s="466" t="s">
        <v>404</v>
      </c>
      <c r="Q180" s="467"/>
      <c r="R180" s="467"/>
      <c r="S180" s="468"/>
      <c r="T180" s="461"/>
      <c r="U180" s="466" t="s">
        <v>404</v>
      </c>
      <c r="V180" s="467"/>
      <c r="W180" s="467"/>
      <c r="X180" s="468"/>
      <c r="Y180" s="461"/>
      <c r="Z180" s="466" t="s">
        <v>404</v>
      </c>
      <c r="AA180" s="467"/>
      <c r="AB180" s="467"/>
      <c r="AC180" s="468"/>
      <c r="AD180" s="461"/>
      <c r="AE180" s="466" t="s">
        <v>404</v>
      </c>
      <c r="AF180" s="467"/>
      <c r="AG180" s="467"/>
      <c r="AH180" s="468"/>
      <c r="AI180" s="461"/>
      <c r="AJ180" s="466" t="s">
        <v>404</v>
      </c>
      <c r="AK180" s="467"/>
      <c r="AL180" s="467"/>
      <c r="AM180" s="468"/>
      <c r="AN180" s="461"/>
      <c r="AO180" s="466" t="s">
        <v>404</v>
      </c>
      <c r="AP180" s="467"/>
      <c r="AQ180" s="467"/>
      <c r="AR180" s="468"/>
      <c r="AS180" s="461"/>
      <c r="AT180" s="466" t="s">
        <v>404</v>
      </c>
      <c r="AU180" s="467"/>
      <c r="AV180" s="467"/>
      <c r="AW180" s="468"/>
      <c r="AX180" s="461"/>
      <c r="BA180" s="461"/>
    </row>
    <row r="181" spans="2:53">
      <c r="B181" s="461"/>
      <c r="C181" s="461"/>
      <c r="D181" s="461"/>
      <c r="E181" s="269" t="s">
        <v>405</v>
      </c>
      <c r="F181" s="269" t="s">
        <v>406</v>
      </c>
      <c r="G181" s="269" t="s">
        <v>407</v>
      </c>
      <c r="H181" s="484"/>
      <c r="I181" s="269" t="s">
        <v>405</v>
      </c>
      <c r="J181" s="269" t="s">
        <v>406</v>
      </c>
      <c r="K181" s="269" t="s">
        <v>407</v>
      </c>
      <c r="L181" s="484"/>
      <c r="M181" s="481"/>
      <c r="N181" s="461"/>
      <c r="O181" s="461"/>
      <c r="P181" s="269" t="s">
        <v>405</v>
      </c>
      <c r="Q181" s="269" t="s">
        <v>406</v>
      </c>
      <c r="R181" s="269" t="s">
        <v>407</v>
      </c>
      <c r="S181" s="269" t="s">
        <v>397</v>
      </c>
      <c r="T181" s="461"/>
      <c r="U181" s="269" t="s">
        <v>405</v>
      </c>
      <c r="V181" s="269" t="s">
        <v>406</v>
      </c>
      <c r="W181" s="269" t="s">
        <v>407</v>
      </c>
      <c r="X181" s="269" t="s">
        <v>397</v>
      </c>
      <c r="Y181" s="461"/>
      <c r="Z181" s="269" t="s">
        <v>405</v>
      </c>
      <c r="AA181" s="269" t="s">
        <v>406</v>
      </c>
      <c r="AB181" s="269" t="s">
        <v>407</v>
      </c>
      <c r="AC181" s="269" t="s">
        <v>397</v>
      </c>
      <c r="AD181" s="461"/>
      <c r="AE181" s="269" t="s">
        <v>405</v>
      </c>
      <c r="AF181" s="269" t="s">
        <v>406</v>
      </c>
      <c r="AG181" s="269" t="s">
        <v>407</v>
      </c>
      <c r="AH181" s="269" t="s">
        <v>397</v>
      </c>
      <c r="AI181" s="461"/>
      <c r="AJ181" s="269" t="s">
        <v>405</v>
      </c>
      <c r="AK181" s="269" t="s">
        <v>406</v>
      </c>
      <c r="AL181" s="269" t="s">
        <v>407</v>
      </c>
      <c r="AM181" s="269" t="s">
        <v>397</v>
      </c>
      <c r="AN181" s="461"/>
      <c r="AO181" s="269" t="s">
        <v>405</v>
      </c>
      <c r="AP181" s="269" t="s">
        <v>406</v>
      </c>
      <c r="AQ181" s="269" t="s">
        <v>407</v>
      </c>
      <c r="AR181" s="269" t="s">
        <v>397</v>
      </c>
      <c r="AS181" s="461"/>
      <c r="AT181" s="269" t="s">
        <v>405</v>
      </c>
      <c r="AU181" s="269" t="s">
        <v>406</v>
      </c>
      <c r="AV181" s="269" t="s">
        <v>407</v>
      </c>
      <c r="AW181" s="269" t="s">
        <v>397</v>
      </c>
      <c r="AX181" s="461"/>
      <c r="AZ181" s="269" t="s">
        <v>397</v>
      </c>
      <c r="BA181" s="461"/>
    </row>
    <row r="182" spans="2:53">
      <c r="B182" s="461" t="s">
        <v>134</v>
      </c>
      <c r="C182" s="182">
        <v>1</v>
      </c>
      <c r="D182" s="203"/>
      <c r="E182" s="166"/>
      <c r="F182" s="182"/>
      <c r="G182" s="180"/>
      <c r="H182" s="463" t="e">
        <f>AVERAGE(G182:G211)</f>
        <v>#DIV/0!</v>
      </c>
      <c r="I182" s="166" t="str">
        <f>IFERROR(AVERAGE(P182,U182,Z182,AE182,AJ182,AO182,AT182),"-")</f>
        <v>-</v>
      </c>
      <c r="J182" s="166" t="str">
        <f>IFERROR(AVERAGE(Q182,V182,AA182,AF182,AK182,AP182,AU182),"-")</f>
        <v>-</v>
      </c>
      <c r="K182" s="180" t="str">
        <f>IFERROR(AVERAGE(R182,W182,AB182,AG182,AL182,AQ182,AV182),"-")</f>
        <v>-</v>
      </c>
      <c r="L182" s="463" t="str">
        <f>IFERROR(AVERAGE(K182:K211),"-")</f>
        <v>-</v>
      </c>
      <c r="M182" s="181" t="e">
        <f>RANK(K182, K$147:$K$176)</f>
        <v>#VALUE!</v>
      </c>
      <c r="N182" s="461"/>
      <c r="O182" s="461"/>
      <c r="P182" s="166"/>
      <c r="Q182" s="166"/>
      <c r="R182" s="166"/>
      <c r="S182" s="182" t="e">
        <f>RANK(R182, R$182:R$211)</f>
        <v>#N/A</v>
      </c>
      <c r="T182" s="455" t="e">
        <f>AVERAGE(R182:R211)</f>
        <v>#DIV/0!</v>
      </c>
      <c r="U182" s="166"/>
      <c r="V182" s="166"/>
      <c r="W182" s="166"/>
      <c r="X182" s="182" t="e">
        <f>RANK(W182, W$182:W$211)</f>
        <v>#N/A</v>
      </c>
      <c r="Y182" s="455" t="e">
        <f>AVERAGE(W182:W211)</f>
        <v>#DIV/0!</v>
      </c>
      <c r="Z182" s="166"/>
      <c r="AA182" s="166"/>
      <c r="AB182" s="166"/>
      <c r="AC182" s="182" t="e">
        <f>RANK(AB182, AB$182:AB$211)</f>
        <v>#N/A</v>
      </c>
      <c r="AD182" s="455" t="e">
        <f>AVERAGE(AB182:AB211)</f>
        <v>#DIV/0!</v>
      </c>
      <c r="AE182" s="166"/>
      <c r="AF182" s="166"/>
      <c r="AG182" s="166"/>
      <c r="AH182" s="182" t="e">
        <f>RANK(AG182, AG$182:AG$211)</f>
        <v>#N/A</v>
      </c>
      <c r="AI182" s="455" t="e">
        <f>AVERAGE(AG182:AG211)</f>
        <v>#DIV/0!</v>
      </c>
      <c r="AJ182" s="166"/>
      <c r="AK182" s="166"/>
      <c r="AL182" s="166"/>
      <c r="AM182" s="182" t="e">
        <f>RANK(AL182, AL$182:AL$211)</f>
        <v>#N/A</v>
      </c>
      <c r="AN182" s="455" t="e">
        <f>AVERAGE(AL182:AL211)</f>
        <v>#DIV/0!</v>
      </c>
      <c r="AO182" s="166"/>
      <c r="AP182" s="166"/>
      <c r="AQ182" s="166"/>
      <c r="AR182" s="182" t="e">
        <f>RANK(AQ182, AQ$182:AQ$211)</f>
        <v>#N/A</v>
      </c>
      <c r="AS182" s="455" t="e">
        <f>AVERAGE(AQ182:AQ211)</f>
        <v>#DIV/0!</v>
      </c>
      <c r="AT182" s="166"/>
      <c r="AU182" s="166"/>
      <c r="AV182" s="166"/>
      <c r="AW182" s="182" t="e">
        <f>RANK(AV182, AV$182:AV$211)</f>
        <v>#N/A</v>
      </c>
      <c r="AX182" s="455" t="e">
        <f>AVERAGE(AV182:AV211)</f>
        <v>#DIV/0!</v>
      </c>
      <c r="AZ182" s="182" t="e">
        <f>RANK(AY182, AY$182:AY$211)</f>
        <v>#N/A</v>
      </c>
      <c r="BA182" s="455" t="e">
        <f>AVERAGE(AY182:AY211)</f>
        <v>#DIV/0!</v>
      </c>
    </row>
    <row r="183" spans="2:53">
      <c r="B183" s="454"/>
      <c r="C183" s="182">
        <v>2</v>
      </c>
      <c r="D183" s="203"/>
      <c r="E183" s="166"/>
      <c r="F183" s="182"/>
      <c r="G183" s="180"/>
      <c r="H183" s="464"/>
      <c r="I183" s="166" t="str">
        <f t="shared" ref="I183:I211" si="60">IFERROR(AVERAGE(P183,U183,Z183,AE183,AJ183,AO183,AT183),"-")</f>
        <v>-</v>
      </c>
      <c r="J183" s="166" t="str">
        <f t="shared" ref="J183:J211" si="61">IFERROR(AVERAGE(Q183,V183,AA183,AF183,AK183,AP183,AU183),"-")</f>
        <v>-</v>
      </c>
      <c r="K183" s="180" t="str">
        <f t="shared" ref="K183:K211" si="62">IFERROR(AVERAGE(R183,W183,AB183,AG183,AL183,AQ183,AV183),"-")</f>
        <v>-</v>
      </c>
      <c r="L183" s="464"/>
      <c r="M183" s="181" t="e">
        <f>RANK(K183, K$147:$K$176)</f>
        <v>#VALUE!</v>
      </c>
      <c r="N183" s="461"/>
      <c r="O183" s="461"/>
      <c r="P183" s="166"/>
      <c r="Q183" s="166"/>
      <c r="R183" s="166"/>
      <c r="S183" s="182" t="e">
        <f t="shared" ref="S183:S211" si="63">RANK(R183, R$182:R$211)</f>
        <v>#N/A</v>
      </c>
      <c r="T183" s="455"/>
      <c r="U183" s="166"/>
      <c r="V183" s="166"/>
      <c r="W183" s="166"/>
      <c r="X183" s="182" t="e">
        <f t="shared" ref="X183:X211" si="64">RANK(W183, W$182:W$211)</f>
        <v>#N/A</v>
      </c>
      <c r="Y183" s="455"/>
      <c r="Z183" s="166"/>
      <c r="AA183" s="166"/>
      <c r="AB183" s="166"/>
      <c r="AC183" s="182" t="e">
        <f t="shared" ref="AC183:AC211" si="65">RANK(AB183, AB$182:AB$211)</f>
        <v>#N/A</v>
      </c>
      <c r="AD183" s="455"/>
      <c r="AE183" s="166"/>
      <c r="AF183" s="166"/>
      <c r="AG183" s="166"/>
      <c r="AH183" s="182" t="e">
        <f t="shared" ref="AH183:AH211" si="66">RANK(AG183, AG$182:AG$211)</f>
        <v>#N/A</v>
      </c>
      <c r="AI183" s="455"/>
      <c r="AJ183" s="166"/>
      <c r="AK183" s="166"/>
      <c r="AL183" s="166"/>
      <c r="AM183" s="182" t="e">
        <f t="shared" ref="AM183:AM211" si="67">RANK(AL183, AL$182:AL$211)</f>
        <v>#N/A</v>
      </c>
      <c r="AN183" s="455"/>
      <c r="AO183" s="166"/>
      <c r="AP183" s="166"/>
      <c r="AQ183" s="166"/>
      <c r="AR183" s="182" t="e">
        <f t="shared" ref="AR183:AR211" si="68">RANK(AQ183, AQ$182:AQ$211)</f>
        <v>#N/A</v>
      </c>
      <c r="AS183" s="455"/>
      <c r="AT183" s="166"/>
      <c r="AU183" s="166"/>
      <c r="AV183" s="166"/>
      <c r="AW183" s="182" t="e">
        <f t="shared" ref="AW183:AW211" si="69">RANK(AV183, AV$182:AV$211)</f>
        <v>#N/A</v>
      </c>
      <c r="AX183" s="455"/>
      <c r="AZ183" s="182" t="e">
        <f t="shared" ref="AZ183:AZ211" si="70">RANK(AY183, AY$182:AY$211)</f>
        <v>#N/A</v>
      </c>
      <c r="BA183" s="455"/>
    </row>
    <row r="184" spans="2:53">
      <c r="B184" s="454"/>
      <c r="C184" s="182">
        <v>3</v>
      </c>
      <c r="D184" s="203"/>
      <c r="E184" s="166"/>
      <c r="F184" s="182"/>
      <c r="G184" s="180"/>
      <c r="H184" s="464"/>
      <c r="I184" s="166" t="str">
        <f t="shared" si="60"/>
        <v>-</v>
      </c>
      <c r="J184" s="166" t="str">
        <f t="shared" si="61"/>
        <v>-</v>
      </c>
      <c r="K184" s="180" t="str">
        <f t="shared" si="62"/>
        <v>-</v>
      </c>
      <c r="L184" s="464"/>
      <c r="M184" s="181" t="e">
        <f>RANK(K184, K$147:$K$176)</f>
        <v>#VALUE!</v>
      </c>
      <c r="N184" s="461"/>
      <c r="O184" s="461"/>
      <c r="P184" s="166"/>
      <c r="Q184" s="166"/>
      <c r="R184" s="166"/>
      <c r="S184" s="182" t="e">
        <f t="shared" si="63"/>
        <v>#N/A</v>
      </c>
      <c r="T184" s="455"/>
      <c r="U184" s="166"/>
      <c r="V184" s="166"/>
      <c r="W184" s="166"/>
      <c r="X184" s="182" t="e">
        <f t="shared" si="64"/>
        <v>#N/A</v>
      </c>
      <c r="Y184" s="455"/>
      <c r="Z184" s="166"/>
      <c r="AA184" s="166"/>
      <c r="AB184" s="166"/>
      <c r="AC184" s="182" t="e">
        <f t="shared" si="65"/>
        <v>#N/A</v>
      </c>
      <c r="AD184" s="455"/>
      <c r="AE184" s="166"/>
      <c r="AF184" s="166"/>
      <c r="AG184" s="166"/>
      <c r="AH184" s="182" t="e">
        <f t="shared" si="66"/>
        <v>#N/A</v>
      </c>
      <c r="AI184" s="455"/>
      <c r="AJ184" s="166"/>
      <c r="AK184" s="166"/>
      <c r="AL184" s="166"/>
      <c r="AM184" s="182" t="e">
        <f t="shared" si="67"/>
        <v>#N/A</v>
      </c>
      <c r="AN184" s="455"/>
      <c r="AO184" s="166"/>
      <c r="AP184" s="166"/>
      <c r="AQ184" s="166"/>
      <c r="AR184" s="182" t="e">
        <f t="shared" si="68"/>
        <v>#N/A</v>
      </c>
      <c r="AS184" s="455"/>
      <c r="AT184" s="166"/>
      <c r="AU184" s="166"/>
      <c r="AV184" s="166"/>
      <c r="AW184" s="182" t="e">
        <f t="shared" si="69"/>
        <v>#N/A</v>
      </c>
      <c r="AX184" s="455"/>
      <c r="AZ184" s="182" t="e">
        <f t="shared" si="70"/>
        <v>#N/A</v>
      </c>
      <c r="BA184" s="455"/>
    </row>
    <row r="185" spans="2:53">
      <c r="B185" s="454"/>
      <c r="C185" s="182">
        <v>4</v>
      </c>
      <c r="D185" s="203"/>
      <c r="E185" s="166"/>
      <c r="F185" s="182"/>
      <c r="G185" s="180"/>
      <c r="H185" s="464"/>
      <c r="I185" s="166" t="str">
        <f t="shared" si="60"/>
        <v>-</v>
      </c>
      <c r="J185" s="166" t="str">
        <f t="shared" si="61"/>
        <v>-</v>
      </c>
      <c r="K185" s="180" t="str">
        <f t="shared" si="62"/>
        <v>-</v>
      </c>
      <c r="L185" s="464"/>
      <c r="M185" s="181" t="e">
        <f>RANK(K185, K$147:$K$176)</f>
        <v>#VALUE!</v>
      </c>
      <c r="N185" s="461"/>
      <c r="O185" s="461"/>
      <c r="P185" s="166"/>
      <c r="Q185" s="166"/>
      <c r="R185" s="166"/>
      <c r="S185" s="182" t="e">
        <f t="shared" si="63"/>
        <v>#N/A</v>
      </c>
      <c r="T185" s="455"/>
      <c r="U185" s="166"/>
      <c r="V185" s="166"/>
      <c r="W185" s="166"/>
      <c r="X185" s="182" t="e">
        <f t="shared" si="64"/>
        <v>#N/A</v>
      </c>
      <c r="Y185" s="455"/>
      <c r="Z185" s="166"/>
      <c r="AA185" s="166"/>
      <c r="AB185" s="166"/>
      <c r="AC185" s="182" t="e">
        <f t="shared" si="65"/>
        <v>#N/A</v>
      </c>
      <c r="AD185" s="455"/>
      <c r="AE185" s="166"/>
      <c r="AF185" s="166"/>
      <c r="AG185" s="166"/>
      <c r="AH185" s="182" t="e">
        <f t="shared" si="66"/>
        <v>#N/A</v>
      </c>
      <c r="AI185" s="455"/>
      <c r="AJ185" s="166"/>
      <c r="AK185" s="166"/>
      <c r="AL185" s="166"/>
      <c r="AM185" s="182" t="e">
        <f t="shared" si="67"/>
        <v>#N/A</v>
      </c>
      <c r="AN185" s="455"/>
      <c r="AO185" s="166"/>
      <c r="AP185" s="166"/>
      <c r="AQ185" s="166"/>
      <c r="AR185" s="182" t="e">
        <f t="shared" si="68"/>
        <v>#N/A</v>
      </c>
      <c r="AS185" s="455"/>
      <c r="AT185" s="166"/>
      <c r="AU185" s="166"/>
      <c r="AV185" s="166"/>
      <c r="AW185" s="182" t="e">
        <f t="shared" si="69"/>
        <v>#N/A</v>
      </c>
      <c r="AX185" s="455"/>
      <c r="AZ185" s="182" t="e">
        <f t="shared" si="70"/>
        <v>#N/A</v>
      </c>
      <c r="BA185" s="455"/>
    </row>
    <row r="186" spans="2:53">
      <c r="B186" s="454"/>
      <c r="C186" s="182">
        <v>5</v>
      </c>
      <c r="D186" s="203"/>
      <c r="E186" s="166"/>
      <c r="F186" s="182"/>
      <c r="G186" s="180"/>
      <c r="H186" s="464"/>
      <c r="I186" s="166" t="str">
        <f t="shared" si="60"/>
        <v>-</v>
      </c>
      <c r="J186" s="166" t="str">
        <f t="shared" si="61"/>
        <v>-</v>
      </c>
      <c r="K186" s="180" t="str">
        <f t="shared" si="62"/>
        <v>-</v>
      </c>
      <c r="L186" s="464"/>
      <c r="M186" s="181" t="e">
        <f>RANK(K186, K$147:$K$176)</f>
        <v>#VALUE!</v>
      </c>
      <c r="N186" s="461"/>
      <c r="O186" s="461"/>
      <c r="P186" s="166"/>
      <c r="Q186" s="166"/>
      <c r="R186" s="166"/>
      <c r="S186" s="182" t="e">
        <f t="shared" si="63"/>
        <v>#N/A</v>
      </c>
      <c r="T186" s="455"/>
      <c r="U186" s="166"/>
      <c r="V186" s="166"/>
      <c r="W186" s="166"/>
      <c r="X186" s="182" t="e">
        <f t="shared" si="64"/>
        <v>#N/A</v>
      </c>
      <c r="Y186" s="455"/>
      <c r="Z186" s="166"/>
      <c r="AA186" s="166"/>
      <c r="AB186" s="166"/>
      <c r="AC186" s="182" t="e">
        <f t="shared" si="65"/>
        <v>#N/A</v>
      </c>
      <c r="AD186" s="455"/>
      <c r="AE186" s="166"/>
      <c r="AF186" s="166"/>
      <c r="AG186" s="166"/>
      <c r="AH186" s="182" t="e">
        <f t="shared" si="66"/>
        <v>#N/A</v>
      </c>
      <c r="AI186" s="455"/>
      <c r="AJ186" s="166"/>
      <c r="AK186" s="166"/>
      <c r="AL186" s="166"/>
      <c r="AM186" s="182" t="e">
        <f t="shared" si="67"/>
        <v>#N/A</v>
      </c>
      <c r="AN186" s="455"/>
      <c r="AO186" s="166"/>
      <c r="AP186" s="166"/>
      <c r="AQ186" s="166"/>
      <c r="AR186" s="182" t="e">
        <f t="shared" si="68"/>
        <v>#N/A</v>
      </c>
      <c r="AS186" s="455"/>
      <c r="AT186" s="166"/>
      <c r="AU186" s="166"/>
      <c r="AV186" s="166"/>
      <c r="AW186" s="182" t="e">
        <f t="shared" si="69"/>
        <v>#N/A</v>
      </c>
      <c r="AX186" s="455"/>
      <c r="AZ186" s="182" t="e">
        <f t="shared" si="70"/>
        <v>#N/A</v>
      </c>
      <c r="BA186" s="455"/>
    </row>
    <row r="187" spans="2:53">
      <c r="B187" s="454"/>
      <c r="C187" s="182">
        <v>6</v>
      </c>
      <c r="D187" s="203"/>
      <c r="E187" s="166"/>
      <c r="F187" s="182"/>
      <c r="G187" s="180"/>
      <c r="H187" s="464"/>
      <c r="I187" s="166" t="str">
        <f t="shared" si="60"/>
        <v>-</v>
      </c>
      <c r="J187" s="166" t="str">
        <f t="shared" si="61"/>
        <v>-</v>
      </c>
      <c r="K187" s="180" t="str">
        <f t="shared" si="62"/>
        <v>-</v>
      </c>
      <c r="L187" s="464"/>
      <c r="M187" s="181" t="e">
        <f>RANK(K187, K$147:$K$176)</f>
        <v>#VALUE!</v>
      </c>
      <c r="N187" s="461"/>
      <c r="O187" s="461"/>
      <c r="P187" s="166"/>
      <c r="Q187" s="166"/>
      <c r="R187" s="166"/>
      <c r="S187" s="182" t="e">
        <f t="shared" si="63"/>
        <v>#N/A</v>
      </c>
      <c r="T187" s="455"/>
      <c r="U187" s="166"/>
      <c r="V187" s="166"/>
      <c r="W187" s="166"/>
      <c r="X187" s="182" t="e">
        <f t="shared" si="64"/>
        <v>#N/A</v>
      </c>
      <c r="Y187" s="455"/>
      <c r="Z187" s="166"/>
      <c r="AA187" s="166"/>
      <c r="AB187" s="166"/>
      <c r="AC187" s="182" t="e">
        <f t="shared" si="65"/>
        <v>#N/A</v>
      </c>
      <c r="AD187" s="455"/>
      <c r="AE187" s="166"/>
      <c r="AF187" s="166"/>
      <c r="AG187" s="166"/>
      <c r="AH187" s="182" t="e">
        <f t="shared" si="66"/>
        <v>#N/A</v>
      </c>
      <c r="AI187" s="455"/>
      <c r="AJ187" s="166"/>
      <c r="AK187" s="166"/>
      <c r="AL187" s="166"/>
      <c r="AM187" s="182" t="e">
        <f t="shared" si="67"/>
        <v>#N/A</v>
      </c>
      <c r="AN187" s="455"/>
      <c r="AO187" s="166"/>
      <c r="AP187" s="166"/>
      <c r="AQ187" s="166"/>
      <c r="AR187" s="182" t="e">
        <f t="shared" si="68"/>
        <v>#N/A</v>
      </c>
      <c r="AS187" s="455"/>
      <c r="AT187" s="166"/>
      <c r="AU187" s="166"/>
      <c r="AV187" s="166"/>
      <c r="AW187" s="182" t="e">
        <f t="shared" si="69"/>
        <v>#N/A</v>
      </c>
      <c r="AX187" s="455"/>
      <c r="AZ187" s="182" t="e">
        <f t="shared" si="70"/>
        <v>#N/A</v>
      </c>
      <c r="BA187" s="455"/>
    </row>
    <row r="188" spans="2:53">
      <c r="B188" s="454"/>
      <c r="C188" s="182">
        <v>7</v>
      </c>
      <c r="D188" s="203"/>
      <c r="E188" s="166"/>
      <c r="F188" s="182"/>
      <c r="G188" s="180"/>
      <c r="H188" s="464"/>
      <c r="I188" s="166" t="str">
        <f t="shared" si="60"/>
        <v>-</v>
      </c>
      <c r="J188" s="166" t="str">
        <f t="shared" si="61"/>
        <v>-</v>
      </c>
      <c r="K188" s="180" t="str">
        <f t="shared" si="62"/>
        <v>-</v>
      </c>
      <c r="L188" s="464"/>
      <c r="M188" s="181" t="e">
        <f>RANK(K188, K$147:$K$176)</f>
        <v>#VALUE!</v>
      </c>
      <c r="N188" s="461"/>
      <c r="O188" s="461"/>
      <c r="P188" s="166"/>
      <c r="Q188" s="166"/>
      <c r="R188" s="166"/>
      <c r="S188" s="182" t="e">
        <f t="shared" si="63"/>
        <v>#N/A</v>
      </c>
      <c r="T188" s="455"/>
      <c r="U188" s="166"/>
      <c r="V188" s="166"/>
      <c r="W188" s="166"/>
      <c r="X188" s="182" t="e">
        <f t="shared" si="64"/>
        <v>#N/A</v>
      </c>
      <c r="Y188" s="455"/>
      <c r="Z188" s="166"/>
      <c r="AA188" s="166"/>
      <c r="AB188" s="166"/>
      <c r="AC188" s="182" t="e">
        <f t="shared" si="65"/>
        <v>#N/A</v>
      </c>
      <c r="AD188" s="455"/>
      <c r="AE188" s="166"/>
      <c r="AF188" s="166"/>
      <c r="AG188" s="166"/>
      <c r="AH188" s="182" t="e">
        <f t="shared" si="66"/>
        <v>#N/A</v>
      </c>
      <c r="AI188" s="455"/>
      <c r="AJ188" s="166"/>
      <c r="AK188" s="166"/>
      <c r="AL188" s="166"/>
      <c r="AM188" s="182" t="e">
        <f t="shared" si="67"/>
        <v>#N/A</v>
      </c>
      <c r="AN188" s="455"/>
      <c r="AO188" s="166"/>
      <c r="AP188" s="166"/>
      <c r="AQ188" s="166"/>
      <c r="AR188" s="182" t="e">
        <f t="shared" si="68"/>
        <v>#N/A</v>
      </c>
      <c r="AS188" s="455"/>
      <c r="AT188" s="166"/>
      <c r="AU188" s="166"/>
      <c r="AV188" s="166"/>
      <c r="AW188" s="182" t="e">
        <f t="shared" si="69"/>
        <v>#N/A</v>
      </c>
      <c r="AX188" s="455"/>
      <c r="AZ188" s="182" t="e">
        <f t="shared" si="70"/>
        <v>#N/A</v>
      </c>
      <c r="BA188" s="455"/>
    </row>
    <row r="189" spans="2:53">
      <c r="B189" s="454"/>
      <c r="C189" s="182">
        <v>8</v>
      </c>
      <c r="D189" s="203"/>
      <c r="E189" s="166"/>
      <c r="F189" s="182"/>
      <c r="G189" s="180"/>
      <c r="H189" s="464"/>
      <c r="I189" s="166" t="str">
        <f t="shared" si="60"/>
        <v>-</v>
      </c>
      <c r="J189" s="166" t="str">
        <f t="shared" si="61"/>
        <v>-</v>
      </c>
      <c r="K189" s="180" t="str">
        <f t="shared" si="62"/>
        <v>-</v>
      </c>
      <c r="L189" s="464"/>
      <c r="M189" s="181" t="e">
        <f>RANK(K189, K$147:$K$176)</f>
        <v>#VALUE!</v>
      </c>
      <c r="N189" s="461"/>
      <c r="O189" s="461"/>
      <c r="P189" s="166"/>
      <c r="Q189" s="166"/>
      <c r="R189" s="166"/>
      <c r="S189" s="182" t="e">
        <f t="shared" si="63"/>
        <v>#N/A</v>
      </c>
      <c r="T189" s="455"/>
      <c r="U189" s="166"/>
      <c r="V189" s="166"/>
      <c r="W189" s="166"/>
      <c r="X189" s="182" t="e">
        <f t="shared" si="64"/>
        <v>#N/A</v>
      </c>
      <c r="Y189" s="455"/>
      <c r="Z189" s="166"/>
      <c r="AA189" s="166"/>
      <c r="AB189" s="166"/>
      <c r="AC189" s="182" t="e">
        <f t="shared" si="65"/>
        <v>#N/A</v>
      </c>
      <c r="AD189" s="455"/>
      <c r="AE189" s="166"/>
      <c r="AF189" s="166"/>
      <c r="AG189" s="166"/>
      <c r="AH189" s="182" t="e">
        <f t="shared" si="66"/>
        <v>#N/A</v>
      </c>
      <c r="AI189" s="455"/>
      <c r="AJ189" s="166"/>
      <c r="AK189" s="166"/>
      <c r="AL189" s="166"/>
      <c r="AM189" s="182" t="e">
        <f t="shared" si="67"/>
        <v>#N/A</v>
      </c>
      <c r="AN189" s="455"/>
      <c r="AO189" s="166"/>
      <c r="AP189" s="166"/>
      <c r="AQ189" s="166"/>
      <c r="AR189" s="182" t="e">
        <f t="shared" si="68"/>
        <v>#N/A</v>
      </c>
      <c r="AS189" s="455"/>
      <c r="AT189" s="166"/>
      <c r="AU189" s="166"/>
      <c r="AV189" s="166"/>
      <c r="AW189" s="182" t="e">
        <f t="shared" si="69"/>
        <v>#N/A</v>
      </c>
      <c r="AX189" s="455"/>
      <c r="AZ189" s="182" t="e">
        <f t="shared" si="70"/>
        <v>#N/A</v>
      </c>
      <c r="BA189" s="455"/>
    </row>
    <row r="190" spans="2:53">
      <c r="B190" s="454"/>
      <c r="C190" s="182">
        <v>9</v>
      </c>
      <c r="D190" s="203"/>
      <c r="E190" s="166"/>
      <c r="F190" s="182"/>
      <c r="G190" s="180"/>
      <c r="H190" s="464"/>
      <c r="I190" s="166" t="str">
        <f t="shared" si="60"/>
        <v>-</v>
      </c>
      <c r="J190" s="166" t="str">
        <f t="shared" si="61"/>
        <v>-</v>
      </c>
      <c r="K190" s="180" t="str">
        <f t="shared" si="62"/>
        <v>-</v>
      </c>
      <c r="L190" s="464"/>
      <c r="M190" s="181" t="e">
        <f>RANK(K190, K$147:$K$176)</f>
        <v>#VALUE!</v>
      </c>
      <c r="N190" s="461"/>
      <c r="O190" s="461"/>
      <c r="P190" s="166"/>
      <c r="Q190" s="166"/>
      <c r="R190" s="166"/>
      <c r="S190" s="182" t="e">
        <f t="shared" si="63"/>
        <v>#N/A</v>
      </c>
      <c r="T190" s="455"/>
      <c r="U190" s="166"/>
      <c r="V190" s="166"/>
      <c r="W190" s="166"/>
      <c r="X190" s="182" t="e">
        <f t="shared" si="64"/>
        <v>#N/A</v>
      </c>
      <c r="Y190" s="455"/>
      <c r="Z190" s="166"/>
      <c r="AA190" s="166"/>
      <c r="AB190" s="166"/>
      <c r="AC190" s="182" t="e">
        <f t="shared" si="65"/>
        <v>#N/A</v>
      </c>
      <c r="AD190" s="455"/>
      <c r="AE190" s="166"/>
      <c r="AF190" s="166"/>
      <c r="AG190" s="166"/>
      <c r="AH190" s="182" t="e">
        <f t="shared" si="66"/>
        <v>#N/A</v>
      </c>
      <c r="AI190" s="455"/>
      <c r="AJ190" s="166"/>
      <c r="AK190" s="166"/>
      <c r="AL190" s="166"/>
      <c r="AM190" s="182" t="e">
        <f t="shared" si="67"/>
        <v>#N/A</v>
      </c>
      <c r="AN190" s="455"/>
      <c r="AO190" s="166"/>
      <c r="AP190" s="166"/>
      <c r="AQ190" s="166"/>
      <c r="AR190" s="182" t="e">
        <f t="shared" si="68"/>
        <v>#N/A</v>
      </c>
      <c r="AS190" s="455"/>
      <c r="AT190" s="166"/>
      <c r="AU190" s="166"/>
      <c r="AV190" s="166"/>
      <c r="AW190" s="182" t="e">
        <f t="shared" si="69"/>
        <v>#N/A</v>
      </c>
      <c r="AX190" s="455"/>
      <c r="AZ190" s="182" t="e">
        <f t="shared" si="70"/>
        <v>#N/A</v>
      </c>
      <c r="BA190" s="455"/>
    </row>
    <row r="191" spans="2:53">
      <c r="B191" s="454"/>
      <c r="C191" s="182">
        <v>10</v>
      </c>
      <c r="D191" s="203"/>
      <c r="E191" s="166"/>
      <c r="F191" s="182"/>
      <c r="G191" s="180"/>
      <c r="H191" s="464"/>
      <c r="I191" s="166" t="str">
        <f t="shared" si="60"/>
        <v>-</v>
      </c>
      <c r="J191" s="166" t="str">
        <f t="shared" si="61"/>
        <v>-</v>
      </c>
      <c r="K191" s="180" t="str">
        <f t="shared" si="62"/>
        <v>-</v>
      </c>
      <c r="L191" s="464"/>
      <c r="M191" s="181" t="e">
        <f>RANK(K191, K$147:$K$176)</f>
        <v>#VALUE!</v>
      </c>
      <c r="N191" s="461"/>
      <c r="O191" s="461"/>
      <c r="P191" s="166"/>
      <c r="Q191" s="166"/>
      <c r="R191" s="166"/>
      <c r="S191" s="182" t="e">
        <f t="shared" si="63"/>
        <v>#N/A</v>
      </c>
      <c r="T191" s="455"/>
      <c r="U191" s="166"/>
      <c r="V191" s="166"/>
      <c r="W191" s="166"/>
      <c r="X191" s="182" t="e">
        <f t="shared" si="64"/>
        <v>#N/A</v>
      </c>
      <c r="Y191" s="455"/>
      <c r="Z191" s="166"/>
      <c r="AA191" s="166"/>
      <c r="AB191" s="166"/>
      <c r="AC191" s="182" t="e">
        <f t="shared" si="65"/>
        <v>#N/A</v>
      </c>
      <c r="AD191" s="455"/>
      <c r="AE191" s="166"/>
      <c r="AF191" s="166"/>
      <c r="AG191" s="166"/>
      <c r="AH191" s="182" t="e">
        <f t="shared" si="66"/>
        <v>#N/A</v>
      </c>
      <c r="AI191" s="455"/>
      <c r="AJ191" s="166"/>
      <c r="AK191" s="166"/>
      <c r="AL191" s="166"/>
      <c r="AM191" s="182" t="e">
        <f t="shared" si="67"/>
        <v>#N/A</v>
      </c>
      <c r="AN191" s="455"/>
      <c r="AO191" s="166"/>
      <c r="AP191" s="166"/>
      <c r="AQ191" s="166"/>
      <c r="AR191" s="182" t="e">
        <f t="shared" si="68"/>
        <v>#N/A</v>
      </c>
      <c r="AS191" s="455"/>
      <c r="AT191" s="166"/>
      <c r="AU191" s="166"/>
      <c r="AV191" s="166"/>
      <c r="AW191" s="182" t="e">
        <f t="shared" si="69"/>
        <v>#N/A</v>
      </c>
      <c r="AX191" s="455"/>
      <c r="AZ191" s="182" t="e">
        <f t="shared" si="70"/>
        <v>#N/A</v>
      </c>
      <c r="BA191" s="455"/>
    </row>
    <row r="192" spans="2:53">
      <c r="B192" s="454"/>
      <c r="C192" s="182">
        <v>11</v>
      </c>
      <c r="D192" s="203"/>
      <c r="E192" s="166"/>
      <c r="F192" s="182"/>
      <c r="G192" s="180"/>
      <c r="H192" s="464"/>
      <c r="I192" s="166" t="str">
        <f t="shared" si="60"/>
        <v>-</v>
      </c>
      <c r="J192" s="166" t="str">
        <f t="shared" si="61"/>
        <v>-</v>
      </c>
      <c r="K192" s="180" t="str">
        <f t="shared" si="62"/>
        <v>-</v>
      </c>
      <c r="L192" s="464"/>
      <c r="M192" s="181" t="e">
        <f>RANK(K192, K$147:$K$176)</f>
        <v>#VALUE!</v>
      </c>
      <c r="N192" s="461"/>
      <c r="O192" s="461"/>
      <c r="P192" s="166"/>
      <c r="Q192" s="166"/>
      <c r="R192" s="166"/>
      <c r="S192" s="182" t="e">
        <f t="shared" si="63"/>
        <v>#N/A</v>
      </c>
      <c r="T192" s="455"/>
      <c r="U192" s="166"/>
      <c r="V192" s="166"/>
      <c r="W192" s="166"/>
      <c r="X192" s="182" t="e">
        <f t="shared" si="64"/>
        <v>#N/A</v>
      </c>
      <c r="Y192" s="455"/>
      <c r="Z192" s="166"/>
      <c r="AA192" s="166"/>
      <c r="AB192" s="166"/>
      <c r="AC192" s="182" t="e">
        <f t="shared" si="65"/>
        <v>#N/A</v>
      </c>
      <c r="AD192" s="455"/>
      <c r="AE192" s="166"/>
      <c r="AF192" s="166"/>
      <c r="AG192" s="166"/>
      <c r="AH192" s="182" t="e">
        <f t="shared" si="66"/>
        <v>#N/A</v>
      </c>
      <c r="AI192" s="455"/>
      <c r="AJ192" s="166"/>
      <c r="AK192" s="166"/>
      <c r="AL192" s="166"/>
      <c r="AM192" s="182" t="e">
        <f t="shared" si="67"/>
        <v>#N/A</v>
      </c>
      <c r="AN192" s="455"/>
      <c r="AO192" s="166"/>
      <c r="AP192" s="166"/>
      <c r="AQ192" s="166"/>
      <c r="AR192" s="182" t="e">
        <f t="shared" si="68"/>
        <v>#N/A</v>
      </c>
      <c r="AS192" s="455"/>
      <c r="AT192" s="166"/>
      <c r="AU192" s="166"/>
      <c r="AV192" s="166"/>
      <c r="AW192" s="182" t="e">
        <f t="shared" si="69"/>
        <v>#N/A</v>
      </c>
      <c r="AX192" s="455"/>
      <c r="AZ192" s="182" t="e">
        <f t="shared" si="70"/>
        <v>#N/A</v>
      </c>
      <c r="BA192" s="455"/>
    </row>
    <row r="193" spans="2:53">
      <c r="B193" s="454"/>
      <c r="C193" s="182">
        <v>12</v>
      </c>
      <c r="D193" s="203"/>
      <c r="E193" s="166"/>
      <c r="F193" s="182"/>
      <c r="G193" s="180"/>
      <c r="H193" s="464"/>
      <c r="I193" s="166" t="str">
        <f t="shared" si="60"/>
        <v>-</v>
      </c>
      <c r="J193" s="166" t="str">
        <f t="shared" si="61"/>
        <v>-</v>
      </c>
      <c r="K193" s="180" t="str">
        <f t="shared" si="62"/>
        <v>-</v>
      </c>
      <c r="L193" s="464"/>
      <c r="M193" s="181" t="e">
        <f>RANK(K193, K$147:$K$176)</f>
        <v>#VALUE!</v>
      </c>
      <c r="N193" s="461"/>
      <c r="O193" s="461"/>
      <c r="P193" s="166"/>
      <c r="Q193" s="166"/>
      <c r="R193" s="166"/>
      <c r="S193" s="182" t="e">
        <f t="shared" si="63"/>
        <v>#N/A</v>
      </c>
      <c r="T193" s="455"/>
      <c r="U193" s="166"/>
      <c r="V193" s="166"/>
      <c r="W193" s="166"/>
      <c r="X193" s="182" t="e">
        <f t="shared" si="64"/>
        <v>#N/A</v>
      </c>
      <c r="Y193" s="455"/>
      <c r="Z193" s="166"/>
      <c r="AA193" s="166"/>
      <c r="AB193" s="166"/>
      <c r="AC193" s="182" t="e">
        <f t="shared" si="65"/>
        <v>#N/A</v>
      </c>
      <c r="AD193" s="455"/>
      <c r="AE193" s="166"/>
      <c r="AF193" s="166"/>
      <c r="AG193" s="166"/>
      <c r="AH193" s="182" t="e">
        <f t="shared" si="66"/>
        <v>#N/A</v>
      </c>
      <c r="AI193" s="455"/>
      <c r="AJ193" s="166"/>
      <c r="AK193" s="166"/>
      <c r="AL193" s="166"/>
      <c r="AM193" s="182" t="e">
        <f t="shared" si="67"/>
        <v>#N/A</v>
      </c>
      <c r="AN193" s="455"/>
      <c r="AO193" s="166"/>
      <c r="AP193" s="166"/>
      <c r="AQ193" s="166"/>
      <c r="AR193" s="182" t="e">
        <f t="shared" si="68"/>
        <v>#N/A</v>
      </c>
      <c r="AS193" s="455"/>
      <c r="AT193" s="166"/>
      <c r="AU193" s="166"/>
      <c r="AV193" s="166"/>
      <c r="AW193" s="182" t="e">
        <f t="shared" si="69"/>
        <v>#N/A</v>
      </c>
      <c r="AX193" s="455"/>
      <c r="AZ193" s="182" t="e">
        <f t="shared" si="70"/>
        <v>#N/A</v>
      </c>
      <c r="BA193" s="455"/>
    </row>
    <row r="194" spans="2:53">
      <c r="B194" s="454"/>
      <c r="C194" s="182">
        <v>13</v>
      </c>
      <c r="D194" s="203"/>
      <c r="E194" s="166"/>
      <c r="F194" s="182"/>
      <c r="G194" s="180"/>
      <c r="H194" s="464"/>
      <c r="I194" s="166" t="str">
        <f t="shared" si="60"/>
        <v>-</v>
      </c>
      <c r="J194" s="166" t="str">
        <f t="shared" si="61"/>
        <v>-</v>
      </c>
      <c r="K194" s="180" t="str">
        <f t="shared" si="62"/>
        <v>-</v>
      </c>
      <c r="L194" s="464"/>
      <c r="M194" s="181" t="e">
        <f>RANK(K194, K$147:$K$176)</f>
        <v>#VALUE!</v>
      </c>
      <c r="N194" s="461"/>
      <c r="O194" s="461"/>
      <c r="P194" s="166"/>
      <c r="Q194" s="166"/>
      <c r="R194" s="166"/>
      <c r="S194" s="182" t="e">
        <f t="shared" si="63"/>
        <v>#N/A</v>
      </c>
      <c r="T194" s="455"/>
      <c r="U194" s="166"/>
      <c r="V194" s="166"/>
      <c r="W194" s="166"/>
      <c r="X194" s="182" t="e">
        <f t="shared" si="64"/>
        <v>#N/A</v>
      </c>
      <c r="Y194" s="455"/>
      <c r="Z194" s="166"/>
      <c r="AA194" s="166"/>
      <c r="AB194" s="166"/>
      <c r="AC194" s="182" t="e">
        <f t="shared" si="65"/>
        <v>#N/A</v>
      </c>
      <c r="AD194" s="455"/>
      <c r="AE194" s="166"/>
      <c r="AF194" s="166"/>
      <c r="AG194" s="166"/>
      <c r="AH194" s="182" t="e">
        <f t="shared" si="66"/>
        <v>#N/A</v>
      </c>
      <c r="AI194" s="455"/>
      <c r="AJ194" s="166"/>
      <c r="AK194" s="166"/>
      <c r="AL194" s="166"/>
      <c r="AM194" s="182" t="e">
        <f t="shared" si="67"/>
        <v>#N/A</v>
      </c>
      <c r="AN194" s="455"/>
      <c r="AO194" s="166"/>
      <c r="AP194" s="166"/>
      <c r="AQ194" s="166"/>
      <c r="AR194" s="182" t="e">
        <f t="shared" si="68"/>
        <v>#N/A</v>
      </c>
      <c r="AS194" s="455"/>
      <c r="AT194" s="166"/>
      <c r="AU194" s="166"/>
      <c r="AV194" s="166"/>
      <c r="AW194" s="182" t="e">
        <f t="shared" si="69"/>
        <v>#N/A</v>
      </c>
      <c r="AX194" s="455"/>
      <c r="AZ194" s="182" t="e">
        <f t="shared" si="70"/>
        <v>#N/A</v>
      </c>
      <c r="BA194" s="455"/>
    </row>
    <row r="195" spans="2:53">
      <c r="B195" s="454"/>
      <c r="C195" s="182">
        <v>14</v>
      </c>
      <c r="D195" s="203"/>
      <c r="E195" s="166"/>
      <c r="F195" s="182"/>
      <c r="G195" s="180"/>
      <c r="H195" s="464"/>
      <c r="I195" s="166" t="str">
        <f t="shared" si="60"/>
        <v>-</v>
      </c>
      <c r="J195" s="166" t="str">
        <f t="shared" si="61"/>
        <v>-</v>
      </c>
      <c r="K195" s="180" t="str">
        <f t="shared" si="62"/>
        <v>-</v>
      </c>
      <c r="L195" s="464"/>
      <c r="M195" s="181" t="e">
        <f>RANK(K195, K$147:$K$176)</f>
        <v>#VALUE!</v>
      </c>
      <c r="N195" s="461"/>
      <c r="O195" s="461"/>
      <c r="P195" s="166"/>
      <c r="Q195" s="166"/>
      <c r="R195" s="166"/>
      <c r="S195" s="182" t="e">
        <f t="shared" si="63"/>
        <v>#N/A</v>
      </c>
      <c r="T195" s="455"/>
      <c r="U195" s="166"/>
      <c r="V195" s="166"/>
      <c r="W195" s="166"/>
      <c r="X195" s="182" t="e">
        <f t="shared" si="64"/>
        <v>#N/A</v>
      </c>
      <c r="Y195" s="455"/>
      <c r="Z195" s="166"/>
      <c r="AA195" s="166"/>
      <c r="AB195" s="166"/>
      <c r="AC195" s="182" t="e">
        <f t="shared" si="65"/>
        <v>#N/A</v>
      </c>
      <c r="AD195" s="455"/>
      <c r="AE195" s="166"/>
      <c r="AF195" s="166"/>
      <c r="AG195" s="166"/>
      <c r="AH195" s="182" t="e">
        <f t="shared" si="66"/>
        <v>#N/A</v>
      </c>
      <c r="AI195" s="455"/>
      <c r="AJ195" s="166"/>
      <c r="AK195" s="166"/>
      <c r="AL195" s="166"/>
      <c r="AM195" s="182" t="e">
        <f t="shared" si="67"/>
        <v>#N/A</v>
      </c>
      <c r="AN195" s="455"/>
      <c r="AO195" s="166"/>
      <c r="AP195" s="166"/>
      <c r="AQ195" s="166"/>
      <c r="AR195" s="182" t="e">
        <f t="shared" si="68"/>
        <v>#N/A</v>
      </c>
      <c r="AS195" s="455"/>
      <c r="AT195" s="166"/>
      <c r="AU195" s="166"/>
      <c r="AV195" s="166"/>
      <c r="AW195" s="182" t="e">
        <f t="shared" si="69"/>
        <v>#N/A</v>
      </c>
      <c r="AX195" s="455"/>
      <c r="AZ195" s="182" t="e">
        <f t="shared" si="70"/>
        <v>#N/A</v>
      </c>
      <c r="BA195" s="455"/>
    </row>
    <row r="196" spans="2:53">
      <c r="B196" s="454"/>
      <c r="C196" s="182">
        <v>15</v>
      </c>
      <c r="D196" s="203"/>
      <c r="E196" s="166"/>
      <c r="F196" s="182"/>
      <c r="G196" s="180"/>
      <c r="H196" s="464"/>
      <c r="I196" s="166" t="str">
        <f t="shared" si="60"/>
        <v>-</v>
      </c>
      <c r="J196" s="166" t="str">
        <f t="shared" si="61"/>
        <v>-</v>
      </c>
      <c r="K196" s="180" t="str">
        <f t="shared" si="62"/>
        <v>-</v>
      </c>
      <c r="L196" s="464"/>
      <c r="M196" s="166" t="e">
        <f>RANK(K196, K$147:$K$176)</f>
        <v>#VALUE!</v>
      </c>
      <c r="N196" s="461"/>
      <c r="O196" s="461"/>
      <c r="P196" s="166"/>
      <c r="Q196" s="166"/>
      <c r="R196" s="166"/>
      <c r="S196" s="182" t="e">
        <f t="shared" si="63"/>
        <v>#N/A</v>
      </c>
      <c r="T196" s="455"/>
      <c r="U196" s="166"/>
      <c r="V196" s="166"/>
      <c r="W196" s="166"/>
      <c r="X196" s="182" t="e">
        <f t="shared" si="64"/>
        <v>#N/A</v>
      </c>
      <c r="Y196" s="455"/>
      <c r="Z196" s="166"/>
      <c r="AA196" s="166"/>
      <c r="AB196" s="166"/>
      <c r="AC196" s="182" t="e">
        <f t="shared" si="65"/>
        <v>#N/A</v>
      </c>
      <c r="AD196" s="455"/>
      <c r="AE196" s="166"/>
      <c r="AF196" s="166"/>
      <c r="AG196" s="166"/>
      <c r="AH196" s="182" t="e">
        <f t="shared" si="66"/>
        <v>#N/A</v>
      </c>
      <c r="AI196" s="455"/>
      <c r="AJ196" s="166"/>
      <c r="AK196" s="166"/>
      <c r="AL196" s="166"/>
      <c r="AM196" s="182" t="e">
        <f t="shared" si="67"/>
        <v>#N/A</v>
      </c>
      <c r="AN196" s="455"/>
      <c r="AO196" s="166"/>
      <c r="AP196" s="166"/>
      <c r="AQ196" s="166"/>
      <c r="AR196" s="182" t="e">
        <f t="shared" si="68"/>
        <v>#N/A</v>
      </c>
      <c r="AS196" s="455"/>
      <c r="AT196" s="166"/>
      <c r="AU196" s="166"/>
      <c r="AV196" s="166"/>
      <c r="AW196" s="182" t="e">
        <f t="shared" si="69"/>
        <v>#N/A</v>
      </c>
      <c r="AX196" s="455"/>
      <c r="AZ196" s="182" t="e">
        <f t="shared" si="70"/>
        <v>#N/A</v>
      </c>
      <c r="BA196" s="455"/>
    </row>
    <row r="197" spans="2:53">
      <c r="B197" s="454"/>
      <c r="C197" s="182">
        <v>16</v>
      </c>
      <c r="D197" s="203"/>
      <c r="E197" s="166"/>
      <c r="F197" s="182"/>
      <c r="G197" s="180"/>
      <c r="H197" s="464"/>
      <c r="I197" s="166" t="str">
        <f t="shared" si="60"/>
        <v>-</v>
      </c>
      <c r="J197" s="166" t="str">
        <f t="shared" si="61"/>
        <v>-</v>
      </c>
      <c r="K197" s="180" t="str">
        <f t="shared" si="62"/>
        <v>-</v>
      </c>
      <c r="L197" s="464"/>
      <c r="M197" s="166" t="e">
        <f>RANK(K197, K$147:$K$176)</f>
        <v>#VALUE!</v>
      </c>
      <c r="N197" s="461"/>
      <c r="O197" s="461"/>
      <c r="P197" s="166"/>
      <c r="Q197" s="166"/>
      <c r="R197" s="166"/>
      <c r="S197" s="182" t="e">
        <f t="shared" si="63"/>
        <v>#N/A</v>
      </c>
      <c r="T197" s="455"/>
      <c r="U197" s="166"/>
      <c r="V197" s="166"/>
      <c r="W197" s="166"/>
      <c r="X197" s="182" t="e">
        <f t="shared" si="64"/>
        <v>#N/A</v>
      </c>
      <c r="Y197" s="455"/>
      <c r="Z197" s="166"/>
      <c r="AA197" s="166"/>
      <c r="AB197" s="166"/>
      <c r="AC197" s="182" t="e">
        <f t="shared" si="65"/>
        <v>#N/A</v>
      </c>
      <c r="AD197" s="455"/>
      <c r="AE197" s="166"/>
      <c r="AF197" s="166"/>
      <c r="AG197" s="166"/>
      <c r="AH197" s="182" t="e">
        <f t="shared" si="66"/>
        <v>#N/A</v>
      </c>
      <c r="AI197" s="455"/>
      <c r="AJ197" s="166"/>
      <c r="AK197" s="166"/>
      <c r="AL197" s="166"/>
      <c r="AM197" s="182" t="e">
        <f t="shared" si="67"/>
        <v>#N/A</v>
      </c>
      <c r="AN197" s="455"/>
      <c r="AO197" s="166"/>
      <c r="AP197" s="166"/>
      <c r="AQ197" s="166"/>
      <c r="AR197" s="182" t="e">
        <f t="shared" si="68"/>
        <v>#N/A</v>
      </c>
      <c r="AS197" s="455"/>
      <c r="AT197" s="166"/>
      <c r="AU197" s="166"/>
      <c r="AV197" s="166"/>
      <c r="AW197" s="182" t="e">
        <f t="shared" si="69"/>
        <v>#N/A</v>
      </c>
      <c r="AX197" s="455"/>
      <c r="AZ197" s="182" t="e">
        <f t="shared" si="70"/>
        <v>#N/A</v>
      </c>
      <c r="BA197" s="455"/>
    </row>
    <row r="198" spans="2:53">
      <c r="B198" s="454"/>
      <c r="C198" s="182">
        <v>17</v>
      </c>
      <c r="D198" s="203"/>
      <c r="E198" s="166"/>
      <c r="F198" s="182"/>
      <c r="G198" s="180"/>
      <c r="H198" s="464"/>
      <c r="I198" s="166" t="str">
        <f t="shared" si="60"/>
        <v>-</v>
      </c>
      <c r="J198" s="166" t="str">
        <f t="shared" si="61"/>
        <v>-</v>
      </c>
      <c r="K198" s="180" t="str">
        <f t="shared" si="62"/>
        <v>-</v>
      </c>
      <c r="L198" s="464"/>
      <c r="M198" s="166" t="e">
        <f>RANK(K198, K$147:$K$176)</f>
        <v>#VALUE!</v>
      </c>
      <c r="N198" s="461"/>
      <c r="O198" s="461"/>
      <c r="P198" s="166"/>
      <c r="Q198" s="166"/>
      <c r="R198" s="166"/>
      <c r="S198" s="182" t="e">
        <f t="shared" si="63"/>
        <v>#N/A</v>
      </c>
      <c r="T198" s="455"/>
      <c r="U198" s="166"/>
      <c r="V198" s="166"/>
      <c r="W198" s="166"/>
      <c r="X198" s="182" t="e">
        <f t="shared" si="64"/>
        <v>#N/A</v>
      </c>
      <c r="Y198" s="455"/>
      <c r="Z198" s="166"/>
      <c r="AA198" s="166"/>
      <c r="AB198" s="166"/>
      <c r="AC198" s="182" t="e">
        <f t="shared" si="65"/>
        <v>#N/A</v>
      </c>
      <c r="AD198" s="455"/>
      <c r="AE198" s="166"/>
      <c r="AF198" s="166"/>
      <c r="AG198" s="166"/>
      <c r="AH198" s="182" t="e">
        <f t="shared" si="66"/>
        <v>#N/A</v>
      </c>
      <c r="AI198" s="455"/>
      <c r="AJ198" s="166"/>
      <c r="AK198" s="166"/>
      <c r="AL198" s="166"/>
      <c r="AM198" s="182" t="e">
        <f t="shared" si="67"/>
        <v>#N/A</v>
      </c>
      <c r="AN198" s="455"/>
      <c r="AO198" s="166"/>
      <c r="AP198" s="166"/>
      <c r="AQ198" s="166"/>
      <c r="AR198" s="182" t="e">
        <f t="shared" si="68"/>
        <v>#N/A</v>
      </c>
      <c r="AS198" s="455"/>
      <c r="AT198" s="166"/>
      <c r="AU198" s="166"/>
      <c r="AV198" s="166"/>
      <c r="AW198" s="182" t="e">
        <f t="shared" si="69"/>
        <v>#N/A</v>
      </c>
      <c r="AX198" s="455"/>
      <c r="AZ198" s="182" t="e">
        <f t="shared" si="70"/>
        <v>#N/A</v>
      </c>
      <c r="BA198" s="455"/>
    </row>
    <row r="199" spans="2:53">
      <c r="B199" s="454"/>
      <c r="C199" s="182">
        <v>18</v>
      </c>
      <c r="D199" s="203"/>
      <c r="E199" s="166"/>
      <c r="F199" s="182"/>
      <c r="G199" s="180"/>
      <c r="H199" s="464"/>
      <c r="I199" s="166" t="str">
        <f t="shared" si="60"/>
        <v>-</v>
      </c>
      <c r="J199" s="166" t="str">
        <f t="shared" si="61"/>
        <v>-</v>
      </c>
      <c r="K199" s="180" t="str">
        <f t="shared" si="62"/>
        <v>-</v>
      </c>
      <c r="L199" s="464"/>
      <c r="M199" s="166" t="e">
        <f>RANK(K199, K$147:$K$176)</f>
        <v>#VALUE!</v>
      </c>
      <c r="N199" s="461"/>
      <c r="O199" s="461"/>
      <c r="P199" s="166"/>
      <c r="Q199" s="166"/>
      <c r="R199" s="166"/>
      <c r="S199" s="182" t="e">
        <f t="shared" si="63"/>
        <v>#N/A</v>
      </c>
      <c r="T199" s="455"/>
      <c r="U199" s="166"/>
      <c r="V199" s="166"/>
      <c r="W199" s="166"/>
      <c r="X199" s="182" t="e">
        <f t="shared" si="64"/>
        <v>#N/A</v>
      </c>
      <c r="Y199" s="455"/>
      <c r="Z199" s="166"/>
      <c r="AA199" s="166"/>
      <c r="AB199" s="166"/>
      <c r="AC199" s="182" t="e">
        <f t="shared" si="65"/>
        <v>#N/A</v>
      </c>
      <c r="AD199" s="455"/>
      <c r="AE199" s="166"/>
      <c r="AF199" s="166"/>
      <c r="AG199" s="166"/>
      <c r="AH199" s="182" t="e">
        <f t="shared" si="66"/>
        <v>#N/A</v>
      </c>
      <c r="AI199" s="455"/>
      <c r="AJ199" s="166"/>
      <c r="AK199" s="166"/>
      <c r="AL199" s="166"/>
      <c r="AM199" s="182" t="e">
        <f t="shared" si="67"/>
        <v>#N/A</v>
      </c>
      <c r="AN199" s="455"/>
      <c r="AO199" s="166"/>
      <c r="AP199" s="166"/>
      <c r="AQ199" s="166"/>
      <c r="AR199" s="182" t="e">
        <f t="shared" si="68"/>
        <v>#N/A</v>
      </c>
      <c r="AS199" s="455"/>
      <c r="AT199" s="166"/>
      <c r="AU199" s="166"/>
      <c r="AV199" s="166"/>
      <c r="AW199" s="182" t="e">
        <f t="shared" si="69"/>
        <v>#N/A</v>
      </c>
      <c r="AX199" s="455"/>
      <c r="AZ199" s="182" t="e">
        <f t="shared" si="70"/>
        <v>#N/A</v>
      </c>
      <c r="BA199" s="455"/>
    </row>
    <row r="200" spans="2:53">
      <c r="B200" s="454"/>
      <c r="C200" s="182">
        <v>19</v>
      </c>
      <c r="D200" s="203"/>
      <c r="E200" s="166"/>
      <c r="F200" s="182"/>
      <c r="G200" s="180"/>
      <c r="H200" s="464"/>
      <c r="I200" s="166" t="str">
        <f t="shared" si="60"/>
        <v>-</v>
      </c>
      <c r="J200" s="166" t="str">
        <f t="shared" si="61"/>
        <v>-</v>
      </c>
      <c r="K200" s="180" t="str">
        <f t="shared" si="62"/>
        <v>-</v>
      </c>
      <c r="L200" s="464"/>
      <c r="M200" s="166" t="e">
        <f>RANK(K200, K$147:$K$176)</f>
        <v>#VALUE!</v>
      </c>
      <c r="N200" s="461"/>
      <c r="O200" s="461"/>
      <c r="P200" s="166"/>
      <c r="Q200" s="166"/>
      <c r="R200" s="166"/>
      <c r="S200" s="182" t="e">
        <f t="shared" si="63"/>
        <v>#N/A</v>
      </c>
      <c r="T200" s="455"/>
      <c r="U200" s="166"/>
      <c r="V200" s="166"/>
      <c r="W200" s="166"/>
      <c r="X200" s="182" t="e">
        <f t="shared" si="64"/>
        <v>#N/A</v>
      </c>
      <c r="Y200" s="455"/>
      <c r="Z200" s="166"/>
      <c r="AA200" s="166"/>
      <c r="AB200" s="166"/>
      <c r="AC200" s="182" t="e">
        <f t="shared" si="65"/>
        <v>#N/A</v>
      </c>
      <c r="AD200" s="455"/>
      <c r="AE200" s="166"/>
      <c r="AF200" s="166"/>
      <c r="AG200" s="166"/>
      <c r="AH200" s="182" t="e">
        <f t="shared" si="66"/>
        <v>#N/A</v>
      </c>
      <c r="AI200" s="455"/>
      <c r="AJ200" s="166"/>
      <c r="AK200" s="166"/>
      <c r="AL200" s="166"/>
      <c r="AM200" s="182" t="e">
        <f t="shared" si="67"/>
        <v>#N/A</v>
      </c>
      <c r="AN200" s="455"/>
      <c r="AO200" s="166"/>
      <c r="AP200" s="166"/>
      <c r="AQ200" s="166"/>
      <c r="AR200" s="182" t="e">
        <f t="shared" si="68"/>
        <v>#N/A</v>
      </c>
      <c r="AS200" s="455"/>
      <c r="AT200" s="166"/>
      <c r="AU200" s="166"/>
      <c r="AV200" s="166"/>
      <c r="AW200" s="182" t="e">
        <f t="shared" si="69"/>
        <v>#N/A</v>
      </c>
      <c r="AX200" s="455"/>
      <c r="AZ200" s="182" t="e">
        <f t="shared" si="70"/>
        <v>#N/A</v>
      </c>
      <c r="BA200" s="455"/>
    </row>
    <row r="201" spans="2:53">
      <c r="B201" s="454"/>
      <c r="C201" s="182">
        <v>20</v>
      </c>
      <c r="D201" s="203"/>
      <c r="E201" s="166"/>
      <c r="F201" s="182"/>
      <c r="G201" s="180"/>
      <c r="H201" s="464"/>
      <c r="I201" s="166" t="str">
        <f t="shared" si="60"/>
        <v>-</v>
      </c>
      <c r="J201" s="166" t="str">
        <f t="shared" si="61"/>
        <v>-</v>
      </c>
      <c r="K201" s="180" t="str">
        <f t="shared" si="62"/>
        <v>-</v>
      </c>
      <c r="L201" s="464"/>
      <c r="M201" s="166" t="e">
        <f>RANK(K201, K$147:$K$176)</f>
        <v>#VALUE!</v>
      </c>
      <c r="N201" s="461"/>
      <c r="O201" s="461"/>
      <c r="P201" s="166"/>
      <c r="Q201" s="166"/>
      <c r="R201" s="166"/>
      <c r="S201" s="182" t="e">
        <f t="shared" si="63"/>
        <v>#N/A</v>
      </c>
      <c r="T201" s="455"/>
      <c r="U201" s="166"/>
      <c r="V201" s="166"/>
      <c r="W201" s="166"/>
      <c r="X201" s="182" t="e">
        <f t="shared" si="64"/>
        <v>#N/A</v>
      </c>
      <c r="Y201" s="455"/>
      <c r="Z201" s="166"/>
      <c r="AA201" s="166"/>
      <c r="AB201" s="166"/>
      <c r="AC201" s="182" t="e">
        <f t="shared" si="65"/>
        <v>#N/A</v>
      </c>
      <c r="AD201" s="455"/>
      <c r="AE201" s="166"/>
      <c r="AF201" s="166"/>
      <c r="AG201" s="166"/>
      <c r="AH201" s="182" t="e">
        <f t="shared" si="66"/>
        <v>#N/A</v>
      </c>
      <c r="AI201" s="455"/>
      <c r="AJ201" s="166"/>
      <c r="AK201" s="166"/>
      <c r="AL201" s="166"/>
      <c r="AM201" s="182" t="e">
        <f t="shared" si="67"/>
        <v>#N/A</v>
      </c>
      <c r="AN201" s="455"/>
      <c r="AO201" s="166"/>
      <c r="AP201" s="166"/>
      <c r="AQ201" s="166"/>
      <c r="AR201" s="182" t="e">
        <f t="shared" si="68"/>
        <v>#N/A</v>
      </c>
      <c r="AS201" s="455"/>
      <c r="AT201" s="166"/>
      <c r="AU201" s="166"/>
      <c r="AV201" s="166"/>
      <c r="AW201" s="182" t="e">
        <f t="shared" si="69"/>
        <v>#N/A</v>
      </c>
      <c r="AX201" s="455"/>
      <c r="AZ201" s="182" t="e">
        <f t="shared" si="70"/>
        <v>#N/A</v>
      </c>
      <c r="BA201" s="455"/>
    </row>
    <row r="202" spans="2:53">
      <c r="B202" s="454"/>
      <c r="C202" s="182">
        <v>21</v>
      </c>
      <c r="D202" s="203"/>
      <c r="E202" s="166"/>
      <c r="F202" s="182"/>
      <c r="G202" s="180"/>
      <c r="H202" s="464"/>
      <c r="I202" s="166" t="str">
        <f t="shared" si="60"/>
        <v>-</v>
      </c>
      <c r="J202" s="166" t="str">
        <f t="shared" si="61"/>
        <v>-</v>
      </c>
      <c r="K202" s="180" t="str">
        <f t="shared" si="62"/>
        <v>-</v>
      </c>
      <c r="L202" s="464"/>
      <c r="M202" s="166" t="e">
        <f>RANK(K202, K$147:$K$176)</f>
        <v>#VALUE!</v>
      </c>
      <c r="N202" s="461"/>
      <c r="O202" s="461"/>
      <c r="P202" s="166"/>
      <c r="Q202" s="166"/>
      <c r="R202" s="166"/>
      <c r="S202" s="182" t="e">
        <f t="shared" si="63"/>
        <v>#N/A</v>
      </c>
      <c r="T202" s="455"/>
      <c r="U202" s="166"/>
      <c r="V202" s="166"/>
      <c r="W202" s="166"/>
      <c r="X202" s="182" t="e">
        <f t="shared" si="64"/>
        <v>#N/A</v>
      </c>
      <c r="Y202" s="455"/>
      <c r="Z202" s="166"/>
      <c r="AA202" s="166"/>
      <c r="AB202" s="166"/>
      <c r="AC202" s="182" t="e">
        <f t="shared" si="65"/>
        <v>#N/A</v>
      </c>
      <c r="AD202" s="455"/>
      <c r="AE202" s="166"/>
      <c r="AF202" s="166"/>
      <c r="AG202" s="166"/>
      <c r="AH202" s="182" t="e">
        <f t="shared" si="66"/>
        <v>#N/A</v>
      </c>
      <c r="AI202" s="455"/>
      <c r="AJ202" s="166"/>
      <c r="AK202" s="166"/>
      <c r="AL202" s="166"/>
      <c r="AM202" s="182" t="e">
        <f t="shared" si="67"/>
        <v>#N/A</v>
      </c>
      <c r="AN202" s="455"/>
      <c r="AO202" s="166"/>
      <c r="AP202" s="166"/>
      <c r="AQ202" s="166"/>
      <c r="AR202" s="182" t="e">
        <f t="shared" si="68"/>
        <v>#N/A</v>
      </c>
      <c r="AS202" s="455"/>
      <c r="AT202" s="166"/>
      <c r="AU202" s="166"/>
      <c r="AV202" s="166"/>
      <c r="AW202" s="182" t="e">
        <f t="shared" si="69"/>
        <v>#N/A</v>
      </c>
      <c r="AX202" s="455"/>
      <c r="AZ202" s="182" t="e">
        <f t="shared" si="70"/>
        <v>#N/A</v>
      </c>
      <c r="BA202" s="455"/>
    </row>
    <row r="203" spans="2:53">
      <c r="B203" s="454"/>
      <c r="C203" s="182">
        <v>22</v>
      </c>
      <c r="D203" s="203"/>
      <c r="E203" s="166"/>
      <c r="F203" s="182"/>
      <c r="G203" s="180"/>
      <c r="H203" s="464"/>
      <c r="I203" s="166" t="str">
        <f t="shared" si="60"/>
        <v>-</v>
      </c>
      <c r="J203" s="166" t="str">
        <f t="shared" si="61"/>
        <v>-</v>
      </c>
      <c r="K203" s="180" t="str">
        <f t="shared" si="62"/>
        <v>-</v>
      </c>
      <c r="L203" s="464"/>
      <c r="M203" s="166" t="e">
        <f>RANK(K203, K$147:$K$176)</f>
        <v>#VALUE!</v>
      </c>
      <c r="N203" s="461"/>
      <c r="O203" s="461"/>
      <c r="P203" s="166"/>
      <c r="Q203" s="166"/>
      <c r="R203" s="166"/>
      <c r="S203" s="182" t="e">
        <f t="shared" si="63"/>
        <v>#N/A</v>
      </c>
      <c r="T203" s="455"/>
      <c r="U203" s="166"/>
      <c r="V203" s="166"/>
      <c r="W203" s="166"/>
      <c r="X203" s="182" t="e">
        <f t="shared" si="64"/>
        <v>#N/A</v>
      </c>
      <c r="Y203" s="455"/>
      <c r="Z203" s="166"/>
      <c r="AA203" s="166"/>
      <c r="AB203" s="166"/>
      <c r="AC203" s="182" t="e">
        <f t="shared" si="65"/>
        <v>#N/A</v>
      </c>
      <c r="AD203" s="455"/>
      <c r="AE203" s="166"/>
      <c r="AF203" s="166"/>
      <c r="AG203" s="166"/>
      <c r="AH203" s="182" t="e">
        <f t="shared" si="66"/>
        <v>#N/A</v>
      </c>
      <c r="AI203" s="455"/>
      <c r="AJ203" s="166"/>
      <c r="AK203" s="166"/>
      <c r="AL203" s="166"/>
      <c r="AM203" s="182" t="e">
        <f t="shared" si="67"/>
        <v>#N/A</v>
      </c>
      <c r="AN203" s="455"/>
      <c r="AO203" s="166"/>
      <c r="AP203" s="166"/>
      <c r="AQ203" s="166"/>
      <c r="AR203" s="182" t="e">
        <f t="shared" si="68"/>
        <v>#N/A</v>
      </c>
      <c r="AS203" s="455"/>
      <c r="AT203" s="166"/>
      <c r="AU203" s="166"/>
      <c r="AV203" s="166"/>
      <c r="AW203" s="182" t="e">
        <f t="shared" si="69"/>
        <v>#N/A</v>
      </c>
      <c r="AX203" s="455"/>
      <c r="AZ203" s="182" t="e">
        <f t="shared" si="70"/>
        <v>#N/A</v>
      </c>
      <c r="BA203" s="455"/>
    </row>
    <row r="204" spans="2:53">
      <c r="B204" s="454"/>
      <c r="C204" s="182">
        <v>23</v>
      </c>
      <c r="D204" s="203"/>
      <c r="E204" s="166"/>
      <c r="F204" s="182"/>
      <c r="G204" s="180"/>
      <c r="H204" s="464"/>
      <c r="I204" s="166" t="str">
        <f t="shared" si="60"/>
        <v>-</v>
      </c>
      <c r="J204" s="166" t="str">
        <f t="shared" si="61"/>
        <v>-</v>
      </c>
      <c r="K204" s="180" t="str">
        <f t="shared" si="62"/>
        <v>-</v>
      </c>
      <c r="L204" s="464"/>
      <c r="M204" s="166" t="e">
        <f>RANK(K204, K$147:$K$176)</f>
        <v>#VALUE!</v>
      </c>
      <c r="N204" s="461"/>
      <c r="O204" s="461"/>
      <c r="P204" s="166"/>
      <c r="Q204" s="166"/>
      <c r="R204" s="166"/>
      <c r="S204" s="182" t="e">
        <f t="shared" si="63"/>
        <v>#N/A</v>
      </c>
      <c r="T204" s="455"/>
      <c r="U204" s="166"/>
      <c r="V204" s="166"/>
      <c r="W204" s="166"/>
      <c r="X204" s="182" t="e">
        <f t="shared" si="64"/>
        <v>#N/A</v>
      </c>
      <c r="Y204" s="455"/>
      <c r="Z204" s="166"/>
      <c r="AA204" s="166"/>
      <c r="AB204" s="166"/>
      <c r="AC204" s="182" t="e">
        <f t="shared" si="65"/>
        <v>#N/A</v>
      </c>
      <c r="AD204" s="455"/>
      <c r="AE204" s="166"/>
      <c r="AF204" s="166"/>
      <c r="AG204" s="166"/>
      <c r="AH204" s="182" t="e">
        <f t="shared" si="66"/>
        <v>#N/A</v>
      </c>
      <c r="AI204" s="455"/>
      <c r="AJ204" s="166"/>
      <c r="AK204" s="166"/>
      <c r="AL204" s="166"/>
      <c r="AM204" s="182" t="e">
        <f t="shared" si="67"/>
        <v>#N/A</v>
      </c>
      <c r="AN204" s="455"/>
      <c r="AO204" s="166"/>
      <c r="AP204" s="166"/>
      <c r="AQ204" s="166"/>
      <c r="AR204" s="182" t="e">
        <f t="shared" si="68"/>
        <v>#N/A</v>
      </c>
      <c r="AS204" s="455"/>
      <c r="AT204" s="166"/>
      <c r="AU204" s="166"/>
      <c r="AV204" s="166"/>
      <c r="AW204" s="182" t="e">
        <f t="shared" si="69"/>
        <v>#N/A</v>
      </c>
      <c r="AX204" s="455"/>
      <c r="AZ204" s="182" t="e">
        <f t="shared" si="70"/>
        <v>#N/A</v>
      </c>
      <c r="BA204" s="455"/>
    </row>
    <row r="205" spans="2:53">
      <c r="B205" s="454"/>
      <c r="C205" s="182">
        <v>24</v>
      </c>
      <c r="D205" s="203"/>
      <c r="E205" s="166"/>
      <c r="F205" s="182"/>
      <c r="G205" s="180"/>
      <c r="H205" s="464"/>
      <c r="I205" s="166" t="str">
        <f t="shared" si="60"/>
        <v>-</v>
      </c>
      <c r="J205" s="166" t="str">
        <f t="shared" si="61"/>
        <v>-</v>
      </c>
      <c r="K205" s="180" t="str">
        <f t="shared" si="62"/>
        <v>-</v>
      </c>
      <c r="L205" s="464"/>
      <c r="M205" s="166" t="e">
        <f>RANK(K205, K$147:$K$176)</f>
        <v>#VALUE!</v>
      </c>
      <c r="N205" s="461"/>
      <c r="O205" s="461"/>
      <c r="P205" s="182"/>
      <c r="Q205" s="180"/>
      <c r="R205" s="180"/>
      <c r="S205" s="182" t="e">
        <f t="shared" si="63"/>
        <v>#N/A</v>
      </c>
      <c r="T205" s="455"/>
      <c r="U205" s="182"/>
      <c r="V205" s="180"/>
      <c r="W205" s="180"/>
      <c r="X205" s="182" t="e">
        <f t="shared" si="64"/>
        <v>#N/A</v>
      </c>
      <c r="Y205" s="455"/>
      <c r="Z205" s="182"/>
      <c r="AA205" s="180"/>
      <c r="AB205" s="180"/>
      <c r="AC205" s="182" t="e">
        <f t="shared" si="65"/>
        <v>#N/A</v>
      </c>
      <c r="AD205" s="455"/>
      <c r="AE205" s="182"/>
      <c r="AF205" s="180"/>
      <c r="AG205" s="180"/>
      <c r="AH205" s="182" t="e">
        <f t="shared" si="66"/>
        <v>#N/A</v>
      </c>
      <c r="AI205" s="455"/>
      <c r="AJ205" s="182"/>
      <c r="AK205" s="180"/>
      <c r="AL205" s="180"/>
      <c r="AM205" s="182" t="e">
        <f t="shared" si="67"/>
        <v>#N/A</v>
      </c>
      <c r="AN205" s="455"/>
      <c r="AO205" s="182"/>
      <c r="AP205" s="180"/>
      <c r="AQ205" s="180"/>
      <c r="AR205" s="182" t="e">
        <f t="shared" si="68"/>
        <v>#N/A</v>
      </c>
      <c r="AS205" s="455"/>
      <c r="AT205" s="182"/>
      <c r="AU205" s="180"/>
      <c r="AV205" s="180"/>
      <c r="AW205" s="182" t="e">
        <f t="shared" si="69"/>
        <v>#N/A</v>
      </c>
      <c r="AX205" s="455"/>
      <c r="AZ205" s="182" t="e">
        <f t="shared" si="70"/>
        <v>#N/A</v>
      </c>
      <c r="BA205" s="455"/>
    </row>
    <row r="206" spans="2:53">
      <c r="B206" s="454"/>
      <c r="C206" s="182">
        <v>25</v>
      </c>
      <c r="D206" s="203"/>
      <c r="E206" s="166"/>
      <c r="F206" s="182"/>
      <c r="G206" s="180"/>
      <c r="H206" s="464"/>
      <c r="I206" s="166" t="str">
        <f t="shared" si="60"/>
        <v>-</v>
      </c>
      <c r="J206" s="166" t="str">
        <f t="shared" si="61"/>
        <v>-</v>
      </c>
      <c r="K206" s="180" t="str">
        <f t="shared" si="62"/>
        <v>-</v>
      </c>
      <c r="L206" s="464"/>
      <c r="M206" s="166" t="e">
        <f>RANK(K206, K$147:$K$176)</f>
        <v>#VALUE!</v>
      </c>
      <c r="N206" s="461"/>
      <c r="O206" s="461"/>
      <c r="P206" s="182"/>
      <c r="Q206" s="180"/>
      <c r="R206" s="180"/>
      <c r="S206" s="182" t="e">
        <f t="shared" si="63"/>
        <v>#N/A</v>
      </c>
      <c r="T206" s="455"/>
      <c r="U206" s="182"/>
      <c r="V206" s="180"/>
      <c r="W206" s="180"/>
      <c r="X206" s="182" t="e">
        <f t="shared" si="64"/>
        <v>#N/A</v>
      </c>
      <c r="Y206" s="455"/>
      <c r="Z206" s="182"/>
      <c r="AA206" s="180"/>
      <c r="AB206" s="180"/>
      <c r="AC206" s="182" t="e">
        <f t="shared" si="65"/>
        <v>#N/A</v>
      </c>
      <c r="AD206" s="455"/>
      <c r="AE206" s="182"/>
      <c r="AF206" s="180"/>
      <c r="AG206" s="180"/>
      <c r="AH206" s="182" t="e">
        <f t="shared" si="66"/>
        <v>#N/A</v>
      </c>
      <c r="AI206" s="455"/>
      <c r="AJ206" s="182"/>
      <c r="AK206" s="180"/>
      <c r="AL206" s="180"/>
      <c r="AM206" s="182" t="e">
        <f t="shared" si="67"/>
        <v>#N/A</v>
      </c>
      <c r="AN206" s="455"/>
      <c r="AO206" s="182"/>
      <c r="AP206" s="180"/>
      <c r="AQ206" s="180"/>
      <c r="AR206" s="182" t="e">
        <f t="shared" si="68"/>
        <v>#N/A</v>
      </c>
      <c r="AS206" s="455"/>
      <c r="AT206" s="182"/>
      <c r="AU206" s="180"/>
      <c r="AV206" s="180"/>
      <c r="AW206" s="182" t="e">
        <f t="shared" si="69"/>
        <v>#N/A</v>
      </c>
      <c r="AX206" s="455"/>
      <c r="AZ206" s="182" t="e">
        <f t="shared" si="70"/>
        <v>#N/A</v>
      </c>
      <c r="BA206" s="455"/>
    </row>
    <row r="207" spans="2:53">
      <c r="B207" s="454"/>
      <c r="C207" s="182">
        <v>26</v>
      </c>
      <c r="D207" s="203"/>
      <c r="E207" s="166"/>
      <c r="F207" s="182"/>
      <c r="G207" s="180"/>
      <c r="H207" s="464"/>
      <c r="I207" s="166" t="str">
        <f t="shared" si="60"/>
        <v>-</v>
      </c>
      <c r="J207" s="166" t="str">
        <f t="shared" si="61"/>
        <v>-</v>
      </c>
      <c r="K207" s="180" t="str">
        <f t="shared" si="62"/>
        <v>-</v>
      </c>
      <c r="L207" s="464"/>
      <c r="M207" s="166" t="e">
        <f>RANK(K207, K$147:$K$176)</f>
        <v>#VALUE!</v>
      </c>
      <c r="N207" s="461"/>
      <c r="O207" s="461"/>
      <c r="P207" s="182"/>
      <c r="Q207" s="180"/>
      <c r="R207" s="180"/>
      <c r="S207" s="182" t="e">
        <f t="shared" si="63"/>
        <v>#N/A</v>
      </c>
      <c r="T207" s="455"/>
      <c r="U207" s="182"/>
      <c r="V207" s="180"/>
      <c r="W207" s="180"/>
      <c r="X207" s="182" t="e">
        <f t="shared" si="64"/>
        <v>#N/A</v>
      </c>
      <c r="Y207" s="455"/>
      <c r="Z207" s="182"/>
      <c r="AA207" s="180"/>
      <c r="AB207" s="180"/>
      <c r="AC207" s="182" t="e">
        <f t="shared" si="65"/>
        <v>#N/A</v>
      </c>
      <c r="AD207" s="455"/>
      <c r="AE207" s="182"/>
      <c r="AF207" s="180"/>
      <c r="AG207" s="180"/>
      <c r="AH207" s="182" t="e">
        <f t="shared" si="66"/>
        <v>#N/A</v>
      </c>
      <c r="AI207" s="455"/>
      <c r="AJ207" s="182"/>
      <c r="AK207" s="180"/>
      <c r="AL207" s="180"/>
      <c r="AM207" s="182" t="e">
        <f t="shared" si="67"/>
        <v>#N/A</v>
      </c>
      <c r="AN207" s="455"/>
      <c r="AO207" s="182"/>
      <c r="AP207" s="180"/>
      <c r="AQ207" s="180"/>
      <c r="AR207" s="182" t="e">
        <f t="shared" si="68"/>
        <v>#N/A</v>
      </c>
      <c r="AS207" s="455"/>
      <c r="AT207" s="182"/>
      <c r="AU207" s="180"/>
      <c r="AV207" s="180"/>
      <c r="AW207" s="182" t="e">
        <f t="shared" si="69"/>
        <v>#N/A</v>
      </c>
      <c r="AX207" s="455"/>
      <c r="AZ207" s="182" t="e">
        <f t="shared" si="70"/>
        <v>#N/A</v>
      </c>
      <c r="BA207" s="455"/>
    </row>
    <row r="208" spans="2:53">
      <c r="B208" s="454"/>
      <c r="C208" s="182">
        <v>27</v>
      </c>
      <c r="D208" s="203"/>
      <c r="E208" s="166"/>
      <c r="F208" s="182"/>
      <c r="G208" s="180"/>
      <c r="H208" s="464"/>
      <c r="I208" s="166" t="str">
        <f t="shared" si="60"/>
        <v>-</v>
      </c>
      <c r="J208" s="166" t="str">
        <f t="shared" si="61"/>
        <v>-</v>
      </c>
      <c r="K208" s="180" t="str">
        <f t="shared" si="62"/>
        <v>-</v>
      </c>
      <c r="L208" s="464"/>
      <c r="M208" s="166" t="e">
        <f>RANK(K208, K$147:$K$176)</f>
        <v>#VALUE!</v>
      </c>
      <c r="N208" s="461"/>
      <c r="O208" s="461"/>
      <c r="P208" s="182"/>
      <c r="Q208" s="180"/>
      <c r="R208" s="180"/>
      <c r="S208" s="182" t="e">
        <f t="shared" si="63"/>
        <v>#N/A</v>
      </c>
      <c r="T208" s="455"/>
      <c r="U208" s="182"/>
      <c r="V208" s="180"/>
      <c r="W208" s="180"/>
      <c r="X208" s="182" t="e">
        <f t="shared" si="64"/>
        <v>#N/A</v>
      </c>
      <c r="Y208" s="455"/>
      <c r="Z208" s="182"/>
      <c r="AA208" s="180"/>
      <c r="AB208" s="180"/>
      <c r="AC208" s="182" t="e">
        <f t="shared" si="65"/>
        <v>#N/A</v>
      </c>
      <c r="AD208" s="455"/>
      <c r="AE208" s="182"/>
      <c r="AF208" s="180"/>
      <c r="AG208" s="180"/>
      <c r="AH208" s="182" t="e">
        <f t="shared" si="66"/>
        <v>#N/A</v>
      </c>
      <c r="AI208" s="455"/>
      <c r="AJ208" s="182"/>
      <c r="AK208" s="180"/>
      <c r="AL208" s="180"/>
      <c r="AM208" s="182" t="e">
        <f t="shared" si="67"/>
        <v>#N/A</v>
      </c>
      <c r="AN208" s="455"/>
      <c r="AO208" s="182"/>
      <c r="AP208" s="180"/>
      <c r="AQ208" s="180"/>
      <c r="AR208" s="182" t="e">
        <f t="shared" si="68"/>
        <v>#N/A</v>
      </c>
      <c r="AS208" s="455"/>
      <c r="AT208" s="182"/>
      <c r="AU208" s="180"/>
      <c r="AV208" s="180"/>
      <c r="AW208" s="182" t="e">
        <f t="shared" si="69"/>
        <v>#N/A</v>
      </c>
      <c r="AX208" s="455"/>
      <c r="AZ208" s="182" t="e">
        <f t="shared" si="70"/>
        <v>#N/A</v>
      </c>
      <c r="BA208" s="455"/>
    </row>
    <row r="209" spans="2:53">
      <c r="B209" s="454"/>
      <c r="C209" s="182">
        <v>28</v>
      </c>
      <c r="D209" s="203"/>
      <c r="E209" s="166"/>
      <c r="F209" s="182"/>
      <c r="G209" s="180"/>
      <c r="H209" s="464"/>
      <c r="I209" s="166" t="str">
        <f t="shared" si="60"/>
        <v>-</v>
      </c>
      <c r="J209" s="166" t="str">
        <f t="shared" si="61"/>
        <v>-</v>
      </c>
      <c r="K209" s="180" t="str">
        <f t="shared" si="62"/>
        <v>-</v>
      </c>
      <c r="L209" s="464"/>
      <c r="M209" s="166" t="e">
        <f>RANK(K209, K$147:$K$176)</f>
        <v>#VALUE!</v>
      </c>
      <c r="N209" s="461"/>
      <c r="O209" s="461"/>
      <c r="P209" s="182"/>
      <c r="Q209" s="180"/>
      <c r="R209" s="180"/>
      <c r="S209" s="182" t="e">
        <f t="shared" si="63"/>
        <v>#N/A</v>
      </c>
      <c r="T209" s="455"/>
      <c r="U209" s="182"/>
      <c r="V209" s="180"/>
      <c r="W209" s="180"/>
      <c r="X209" s="182" t="e">
        <f t="shared" si="64"/>
        <v>#N/A</v>
      </c>
      <c r="Y209" s="455"/>
      <c r="Z209" s="182"/>
      <c r="AA209" s="180"/>
      <c r="AB209" s="180"/>
      <c r="AC209" s="182" t="e">
        <f t="shared" si="65"/>
        <v>#N/A</v>
      </c>
      <c r="AD209" s="455"/>
      <c r="AE209" s="182"/>
      <c r="AF209" s="180"/>
      <c r="AG209" s="180"/>
      <c r="AH209" s="182" t="e">
        <f t="shared" si="66"/>
        <v>#N/A</v>
      </c>
      <c r="AI209" s="455"/>
      <c r="AJ209" s="182"/>
      <c r="AK209" s="180"/>
      <c r="AL209" s="180"/>
      <c r="AM209" s="182" t="e">
        <f t="shared" si="67"/>
        <v>#N/A</v>
      </c>
      <c r="AN209" s="455"/>
      <c r="AO209" s="182"/>
      <c r="AP209" s="180"/>
      <c r="AQ209" s="180"/>
      <c r="AR209" s="182" t="e">
        <f t="shared" si="68"/>
        <v>#N/A</v>
      </c>
      <c r="AS209" s="455"/>
      <c r="AT209" s="182"/>
      <c r="AU209" s="180"/>
      <c r="AV209" s="180"/>
      <c r="AW209" s="182" t="e">
        <f t="shared" si="69"/>
        <v>#N/A</v>
      </c>
      <c r="AX209" s="455"/>
      <c r="AZ209" s="182" t="e">
        <f t="shared" si="70"/>
        <v>#N/A</v>
      </c>
      <c r="BA209" s="455"/>
    </row>
    <row r="210" spans="2:53">
      <c r="B210" s="454"/>
      <c r="C210" s="182">
        <v>29</v>
      </c>
      <c r="D210" s="203"/>
      <c r="E210" s="166"/>
      <c r="F210" s="182"/>
      <c r="G210" s="180"/>
      <c r="H210" s="464"/>
      <c r="I210" s="166" t="str">
        <f t="shared" si="60"/>
        <v>-</v>
      </c>
      <c r="J210" s="166" t="str">
        <f t="shared" si="61"/>
        <v>-</v>
      </c>
      <c r="K210" s="180" t="str">
        <f t="shared" si="62"/>
        <v>-</v>
      </c>
      <c r="L210" s="464"/>
      <c r="M210" s="166" t="e">
        <f>RANK(K210, K$147:$K$176)</f>
        <v>#VALUE!</v>
      </c>
      <c r="N210" s="461"/>
      <c r="O210" s="461"/>
      <c r="P210" s="182"/>
      <c r="Q210" s="182"/>
      <c r="R210" s="182"/>
      <c r="S210" s="182" t="e">
        <f t="shared" si="63"/>
        <v>#N/A</v>
      </c>
      <c r="T210" s="455"/>
      <c r="U210" s="182"/>
      <c r="V210" s="182"/>
      <c r="W210" s="182"/>
      <c r="X210" s="182" t="e">
        <f t="shared" si="64"/>
        <v>#N/A</v>
      </c>
      <c r="Y210" s="455"/>
      <c r="Z210" s="182"/>
      <c r="AA210" s="182"/>
      <c r="AB210" s="182"/>
      <c r="AC210" s="182" t="e">
        <f t="shared" si="65"/>
        <v>#N/A</v>
      </c>
      <c r="AD210" s="455"/>
      <c r="AE210" s="182"/>
      <c r="AF210" s="182"/>
      <c r="AG210" s="182"/>
      <c r="AH210" s="182" t="e">
        <f t="shared" si="66"/>
        <v>#N/A</v>
      </c>
      <c r="AI210" s="455"/>
      <c r="AJ210" s="182"/>
      <c r="AK210" s="182"/>
      <c r="AL210" s="182"/>
      <c r="AM210" s="182" t="e">
        <f t="shared" si="67"/>
        <v>#N/A</v>
      </c>
      <c r="AN210" s="455"/>
      <c r="AO210" s="182"/>
      <c r="AP210" s="182"/>
      <c r="AQ210" s="182"/>
      <c r="AR210" s="182" t="e">
        <f t="shared" si="68"/>
        <v>#N/A</v>
      </c>
      <c r="AS210" s="455"/>
      <c r="AT210" s="182"/>
      <c r="AU210" s="182"/>
      <c r="AV210" s="182"/>
      <c r="AW210" s="182" t="e">
        <f t="shared" si="69"/>
        <v>#N/A</v>
      </c>
      <c r="AX210" s="455"/>
      <c r="AZ210" s="182" t="e">
        <f t="shared" si="70"/>
        <v>#N/A</v>
      </c>
      <c r="BA210" s="455"/>
    </row>
    <row r="211" spans="2:53">
      <c r="B211" s="454"/>
      <c r="C211" s="182">
        <v>30</v>
      </c>
      <c r="D211" s="203"/>
      <c r="E211" s="166"/>
      <c r="F211" s="182"/>
      <c r="G211" s="180"/>
      <c r="H211" s="465"/>
      <c r="I211" s="166" t="str">
        <f t="shared" si="60"/>
        <v>-</v>
      </c>
      <c r="J211" s="166" t="str">
        <f t="shared" si="61"/>
        <v>-</v>
      </c>
      <c r="K211" s="180" t="str">
        <f t="shared" si="62"/>
        <v>-</v>
      </c>
      <c r="L211" s="465"/>
      <c r="M211" s="166" t="e">
        <f>RANK(K211, K$147:$K$176)</f>
        <v>#VALUE!</v>
      </c>
      <c r="N211" s="461"/>
      <c r="O211" s="461"/>
      <c r="P211" s="182"/>
      <c r="Q211" s="182"/>
      <c r="R211" s="182"/>
      <c r="S211" s="182" t="e">
        <f t="shared" si="63"/>
        <v>#N/A</v>
      </c>
      <c r="T211" s="455"/>
      <c r="U211" s="182"/>
      <c r="V211" s="182"/>
      <c r="W211" s="182"/>
      <c r="X211" s="182" t="e">
        <f t="shared" si="64"/>
        <v>#N/A</v>
      </c>
      <c r="Y211" s="455"/>
      <c r="Z211" s="182"/>
      <c r="AA211" s="182"/>
      <c r="AB211" s="182"/>
      <c r="AC211" s="182" t="e">
        <f t="shared" si="65"/>
        <v>#N/A</v>
      </c>
      <c r="AD211" s="455"/>
      <c r="AE211" s="182"/>
      <c r="AF211" s="182"/>
      <c r="AG211" s="182"/>
      <c r="AH211" s="182" t="e">
        <f t="shared" si="66"/>
        <v>#N/A</v>
      </c>
      <c r="AI211" s="455"/>
      <c r="AJ211" s="182"/>
      <c r="AK211" s="182"/>
      <c r="AL211" s="182"/>
      <c r="AM211" s="182" t="e">
        <f t="shared" si="67"/>
        <v>#N/A</v>
      </c>
      <c r="AN211" s="455"/>
      <c r="AO211" s="182"/>
      <c r="AP211" s="182"/>
      <c r="AQ211" s="182"/>
      <c r="AR211" s="182" t="e">
        <f t="shared" si="68"/>
        <v>#N/A</v>
      </c>
      <c r="AS211" s="455"/>
      <c r="AT211" s="182"/>
      <c r="AU211" s="182"/>
      <c r="AV211" s="182"/>
      <c r="AW211" s="182" t="e">
        <f t="shared" si="69"/>
        <v>#N/A</v>
      </c>
      <c r="AX211" s="455"/>
      <c r="AZ211" s="182" t="e">
        <f t="shared" si="70"/>
        <v>#N/A</v>
      </c>
      <c r="BA211" s="455"/>
    </row>
    <row r="213" spans="2:53" ht="15.5">
      <c r="B213" s="458" t="s">
        <v>561</v>
      </c>
      <c r="C213" s="459"/>
      <c r="D213" s="459"/>
      <c r="E213" s="459"/>
      <c r="F213" s="459"/>
      <c r="G213" s="459"/>
      <c r="H213" s="459"/>
      <c r="I213" s="285"/>
      <c r="J213" s="285"/>
      <c r="K213" s="285"/>
      <c r="L213" s="285"/>
      <c r="M213" s="286"/>
    </row>
    <row r="214" spans="2:53" ht="15.5">
      <c r="B214" s="460"/>
      <c r="C214" s="460"/>
      <c r="D214" s="460"/>
      <c r="E214" s="460"/>
      <c r="F214" s="460"/>
      <c r="G214" s="460"/>
      <c r="H214" s="460"/>
      <c r="I214" s="287"/>
      <c r="J214" s="287"/>
      <c r="K214" s="287"/>
      <c r="L214" s="287"/>
      <c r="M214" s="288"/>
    </row>
    <row r="215" spans="2:53">
      <c r="B215" s="461" t="s">
        <v>562</v>
      </c>
      <c r="C215" s="461" t="s">
        <v>563</v>
      </c>
      <c r="D215" s="461"/>
      <c r="E215" s="461" t="s">
        <v>564</v>
      </c>
      <c r="F215" s="461"/>
      <c r="G215" s="461"/>
      <c r="H215" s="461" t="s">
        <v>565</v>
      </c>
      <c r="I215" s="462" t="s">
        <v>566</v>
      </c>
      <c r="J215" s="462"/>
      <c r="K215" s="462"/>
      <c r="L215" s="462" t="s">
        <v>565</v>
      </c>
      <c r="M215" s="462" t="s">
        <v>567</v>
      </c>
    </row>
    <row r="216" spans="2:53">
      <c r="B216" s="461"/>
      <c r="C216" s="461"/>
      <c r="D216" s="461"/>
      <c r="E216" s="461" t="s">
        <v>568</v>
      </c>
      <c r="F216" s="461"/>
      <c r="G216" s="461"/>
      <c r="H216" s="461"/>
      <c r="I216" s="462" t="s">
        <v>568</v>
      </c>
      <c r="J216" s="462"/>
      <c r="K216" s="462"/>
      <c r="L216" s="462"/>
      <c r="M216" s="462"/>
    </row>
    <row r="217" spans="2:53">
      <c r="B217" s="461"/>
      <c r="C217" s="461"/>
      <c r="D217" s="461"/>
      <c r="E217" s="269" t="s">
        <v>569</v>
      </c>
      <c r="F217" s="269" t="s">
        <v>570</v>
      </c>
      <c r="G217" s="269" t="s">
        <v>571</v>
      </c>
      <c r="H217" s="461"/>
      <c r="I217" s="289" t="s">
        <v>569</v>
      </c>
      <c r="J217" s="289" t="s">
        <v>570</v>
      </c>
      <c r="K217" s="289" t="s">
        <v>571</v>
      </c>
      <c r="L217" s="462"/>
      <c r="M217" s="462"/>
    </row>
    <row r="218" spans="2:53">
      <c r="B218" s="461" t="s">
        <v>576</v>
      </c>
      <c r="C218" s="182">
        <v>1</v>
      </c>
      <c r="D218" s="182"/>
      <c r="E218" s="166"/>
      <c r="F218" s="182"/>
      <c r="G218" s="180"/>
      <c r="H218" s="455" t="e">
        <f>AVERAGE(G218:G247)</f>
        <v>#DIV/0!</v>
      </c>
      <c r="I218" s="166" t="e">
        <f t="shared" ref="I218:J241" si="71">AVERAGEIF($D$7:$D$211,$D218,I$7:I$211)</f>
        <v>#DIV/0!</v>
      </c>
      <c r="J218" s="166" t="e">
        <f t="shared" si="71"/>
        <v>#DIV/0!</v>
      </c>
      <c r="K218" s="166" t="e">
        <f t="shared" ref="K218:K241" si="72">AVERAGEIF($D$7:$D$211,$D218,K$7:K$211)</f>
        <v>#DIV/0!</v>
      </c>
      <c r="L218" s="456" t="e">
        <f>AVERAGE(K218:K247)</f>
        <v>#DIV/0!</v>
      </c>
      <c r="M218" s="166" t="e">
        <f>RANK(K218, K$218:$K$247)</f>
        <v>#DIV/0!</v>
      </c>
    </row>
    <row r="219" spans="2:53">
      <c r="B219" s="454"/>
      <c r="C219" s="182">
        <v>2</v>
      </c>
      <c r="D219" s="182"/>
      <c r="E219" s="166"/>
      <c r="F219" s="182"/>
      <c r="G219" s="180"/>
      <c r="H219" s="455"/>
      <c r="I219" s="166" t="e">
        <f t="shared" si="71"/>
        <v>#DIV/0!</v>
      </c>
      <c r="J219" s="166" t="e">
        <f t="shared" si="71"/>
        <v>#DIV/0!</v>
      </c>
      <c r="K219" s="166" t="e">
        <f t="shared" si="72"/>
        <v>#DIV/0!</v>
      </c>
      <c r="L219" s="456"/>
      <c r="M219" s="166" t="e">
        <f>RANK(K219, K$218:$K$247)</f>
        <v>#DIV/0!</v>
      </c>
    </row>
    <row r="220" spans="2:53">
      <c r="B220" s="454"/>
      <c r="C220" s="182">
        <v>3</v>
      </c>
      <c r="D220" s="182"/>
      <c r="E220" s="166"/>
      <c r="F220" s="182"/>
      <c r="G220" s="180"/>
      <c r="H220" s="455"/>
      <c r="I220" s="166" t="e">
        <f t="shared" si="71"/>
        <v>#DIV/0!</v>
      </c>
      <c r="J220" s="166" t="e">
        <f t="shared" si="71"/>
        <v>#DIV/0!</v>
      </c>
      <c r="K220" s="166" t="e">
        <f t="shared" si="72"/>
        <v>#DIV/0!</v>
      </c>
      <c r="L220" s="456"/>
      <c r="M220" s="166" t="e">
        <f>RANK(K220, K$218:$K$247)</f>
        <v>#DIV/0!</v>
      </c>
    </row>
    <row r="221" spans="2:53">
      <c r="B221" s="454"/>
      <c r="C221" s="182">
        <v>4</v>
      </c>
      <c r="D221" s="182"/>
      <c r="E221" s="166"/>
      <c r="F221" s="182"/>
      <c r="G221" s="180"/>
      <c r="H221" s="455"/>
      <c r="I221" s="166" t="e">
        <f t="shared" si="71"/>
        <v>#DIV/0!</v>
      </c>
      <c r="J221" s="166" t="e">
        <f t="shared" si="71"/>
        <v>#DIV/0!</v>
      </c>
      <c r="K221" s="166" t="e">
        <f t="shared" si="72"/>
        <v>#DIV/0!</v>
      </c>
      <c r="L221" s="456"/>
      <c r="M221" s="166" t="e">
        <f>RANK(K221, K$218:$K$247)</f>
        <v>#DIV/0!</v>
      </c>
    </row>
    <row r="222" spans="2:53">
      <c r="B222" s="454"/>
      <c r="C222" s="182">
        <v>5</v>
      </c>
      <c r="D222" s="182"/>
      <c r="E222" s="166"/>
      <c r="F222" s="182"/>
      <c r="G222" s="180"/>
      <c r="H222" s="455"/>
      <c r="I222" s="166" t="e">
        <f t="shared" si="71"/>
        <v>#DIV/0!</v>
      </c>
      <c r="J222" s="166" t="e">
        <f t="shared" si="71"/>
        <v>#DIV/0!</v>
      </c>
      <c r="K222" s="166" t="e">
        <f t="shared" si="72"/>
        <v>#DIV/0!</v>
      </c>
      <c r="L222" s="456"/>
      <c r="M222" s="166" t="e">
        <f>RANK(K222, K$218:$K$247)</f>
        <v>#DIV/0!</v>
      </c>
    </row>
    <row r="223" spans="2:53">
      <c r="B223" s="454"/>
      <c r="C223" s="182">
        <v>6</v>
      </c>
      <c r="D223" s="182"/>
      <c r="E223" s="166"/>
      <c r="F223" s="182"/>
      <c r="G223" s="180"/>
      <c r="H223" s="455"/>
      <c r="I223" s="166" t="e">
        <f t="shared" si="71"/>
        <v>#DIV/0!</v>
      </c>
      <c r="J223" s="166" t="e">
        <f t="shared" si="71"/>
        <v>#DIV/0!</v>
      </c>
      <c r="K223" s="166" t="e">
        <f t="shared" si="72"/>
        <v>#DIV/0!</v>
      </c>
      <c r="L223" s="456"/>
      <c r="M223" s="166" t="e">
        <f>RANK(K223, K$218:$K$247)</f>
        <v>#DIV/0!</v>
      </c>
    </row>
    <row r="224" spans="2:53">
      <c r="B224" s="454"/>
      <c r="C224" s="182">
        <v>7</v>
      </c>
      <c r="D224" s="182"/>
      <c r="E224" s="166"/>
      <c r="F224" s="182"/>
      <c r="G224" s="180"/>
      <c r="H224" s="455"/>
      <c r="I224" s="166" t="e">
        <f t="shared" si="71"/>
        <v>#DIV/0!</v>
      </c>
      <c r="J224" s="166" t="e">
        <f t="shared" si="71"/>
        <v>#DIV/0!</v>
      </c>
      <c r="K224" s="166" t="e">
        <f t="shared" si="72"/>
        <v>#DIV/0!</v>
      </c>
      <c r="L224" s="456"/>
      <c r="M224" s="166" t="e">
        <f>RANK(K224, K$218:$K$247)</f>
        <v>#DIV/0!</v>
      </c>
    </row>
    <row r="225" spans="2:39">
      <c r="B225" s="454"/>
      <c r="C225" s="182">
        <v>8</v>
      </c>
      <c r="D225" s="182"/>
      <c r="E225" s="166"/>
      <c r="F225" s="182"/>
      <c r="G225" s="180"/>
      <c r="H225" s="455"/>
      <c r="I225" s="166" t="e">
        <f t="shared" si="71"/>
        <v>#DIV/0!</v>
      </c>
      <c r="J225" s="166" t="e">
        <f t="shared" si="71"/>
        <v>#DIV/0!</v>
      </c>
      <c r="K225" s="166" t="e">
        <f t="shared" si="72"/>
        <v>#DIV/0!</v>
      </c>
      <c r="L225" s="456"/>
      <c r="M225" s="166" t="e">
        <f>RANK(K225, K$218:$K$247)</f>
        <v>#DIV/0!</v>
      </c>
      <c r="N225" s="103"/>
      <c r="O225" s="103"/>
      <c r="P225" s="103"/>
      <c r="Q225" s="103"/>
      <c r="R225" s="103"/>
      <c r="S225" s="103"/>
      <c r="T225" s="103"/>
      <c r="X225" s="103"/>
      <c r="AC225" s="103"/>
      <c r="AH225" s="103"/>
      <c r="AM225" s="103"/>
    </row>
    <row r="226" spans="2:39">
      <c r="B226" s="454"/>
      <c r="C226" s="182">
        <v>9</v>
      </c>
      <c r="D226" s="182"/>
      <c r="E226" s="166"/>
      <c r="F226" s="182"/>
      <c r="G226" s="180"/>
      <c r="H226" s="455"/>
      <c r="I226" s="166" t="e">
        <f t="shared" si="71"/>
        <v>#DIV/0!</v>
      </c>
      <c r="J226" s="166" t="e">
        <f t="shared" si="71"/>
        <v>#DIV/0!</v>
      </c>
      <c r="K226" s="166" t="e">
        <f t="shared" si="72"/>
        <v>#DIV/0!</v>
      </c>
      <c r="L226" s="456"/>
      <c r="M226" s="166" t="e">
        <f>RANK(K226, K$218:$K$247)</f>
        <v>#DIV/0!</v>
      </c>
      <c r="N226" s="103"/>
      <c r="O226" s="103"/>
      <c r="P226" s="103"/>
      <c r="Q226" s="103"/>
      <c r="R226" s="103"/>
      <c r="S226" s="103"/>
      <c r="T226" s="103"/>
      <c r="X226" s="103"/>
      <c r="AC226" s="103"/>
      <c r="AH226" s="103"/>
      <c r="AM226" s="103"/>
    </row>
    <row r="227" spans="2:39">
      <c r="B227" s="454"/>
      <c r="C227" s="182">
        <v>10</v>
      </c>
      <c r="D227" s="182"/>
      <c r="E227" s="166"/>
      <c r="F227" s="182"/>
      <c r="G227" s="180"/>
      <c r="H227" s="455"/>
      <c r="I227" s="166" t="e">
        <f t="shared" si="71"/>
        <v>#DIV/0!</v>
      </c>
      <c r="J227" s="166" t="e">
        <f t="shared" si="71"/>
        <v>#DIV/0!</v>
      </c>
      <c r="K227" s="166" t="e">
        <f t="shared" si="72"/>
        <v>#DIV/0!</v>
      </c>
      <c r="L227" s="456"/>
      <c r="M227" s="166" t="e">
        <f>RANK(K227, K$218:$K$247)</f>
        <v>#DIV/0!</v>
      </c>
      <c r="N227" s="103"/>
      <c r="O227" s="103"/>
      <c r="P227" s="103"/>
      <c r="Q227" s="103"/>
      <c r="R227" s="103"/>
      <c r="S227" s="103"/>
      <c r="T227" s="103"/>
      <c r="X227" s="103"/>
      <c r="AC227" s="103"/>
      <c r="AH227" s="103"/>
      <c r="AM227" s="103"/>
    </row>
    <row r="228" spans="2:39">
      <c r="B228" s="454"/>
      <c r="C228" s="182">
        <v>11</v>
      </c>
      <c r="D228" s="182"/>
      <c r="E228" s="166"/>
      <c r="F228" s="182"/>
      <c r="G228" s="180"/>
      <c r="H228" s="455"/>
      <c r="I228" s="166" t="e">
        <f t="shared" si="71"/>
        <v>#DIV/0!</v>
      </c>
      <c r="J228" s="166" t="e">
        <f t="shared" si="71"/>
        <v>#DIV/0!</v>
      </c>
      <c r="K228" s="166" t="e">
        <f t="shared" si="72"/>
        <v>#DIV/0!</v>
      </c>
      <c r="L228" s="456"/>
      <c r="M228" s="166" t="e">
        <f>RANK(K228, K$218:$K$247)</f>
        <v>#DIV/0!</v>
      </c>
      <c r="N228" s="103"/>
      <c r="O228" s="103"/>
      <c r="P228" s="103"/>
      <c r="Q228" s="103"/>
      <c r="R228" s="103"/>
      <c r="S228" s="103"/>
      <c r="T228" s="103"/>
      <c r="X228" s="103"/>
      <c r="AC228" s="103"/>
      <c r="AH228" s="103"/>
      <c r="AM228" s="103"/>
    </row>
    <row r="229" spans="2:39">
      <c r="B229" s="454"/>
      <c r="C229" s="182">
        <v>12</v>
      </c>
      <c r="D229" s="182"/>
      <c r="E229" s="166"/>
      <c r="F229" s="182"/>
      <c r="G229" s="180"/>
      <c r="H229" s="455"/>
      <c r="I229" s="166" t="e">
        <f t="shared" si="71"/>
        <v>#DIV/0!</v>
      </c>
      <c r="J229" s="166" t="e">
        <f t="shared" si="71"/>
        <v>#DIV/0!</v>
      </c>
      <c r="K229" s="166" t="e">
        <f t="shared" si="72"/>
        <v>#DIV/0!</v>
      </c>
      <c r="L229" s="456"/>
      <c r="M229" s="166" t="e">
        <f>RANK(K229, K$218:$K$247)</f>
        <v>#DIV/0!</v>
      </c>
      <c r="N229" s="103"/>
      <c r="O229" s="103"/>
      <c r="P229" s="103"/>
      <c r="Q229" s="103"/>
      <c r="R229" s="103"/>
      <c r="S229" s="103"/>
      <c r="T229" s="103"/>
      <c r="X229" s="103"/>
      <c r="AC229" s="103"/>
      <c r="AH229" s="103"/>
      <c r="AM229" s="103"/>
    </row>
    <row r="230" spans="2:39">
      <c r="B230" s="454"/>
      <c r="C230" s="182">
        <v>13</v>
      </c>
      <c r="D230" s="182"/>
      <c r="E230" s="166"/>
      <c r="F230" s="182"/>
      <c r="G230" s="180"/>
      <c r="H230" s="455"/>
      <c r="I230" s="166" t="e">
        <f t="shared" si="71"/>
        <v>#DIV/0!</v>
      </c>
      <c r="J230" s="166" t="e">
        <f t="shared" si="71"/>
        <v>#DIV/0!</v>
      </c>
      <c r="K230" s="166" t="e">
        <f t="shared" si="72"/>
        <v>#DIV/0!</v>
      </c>
      <c r="L230" s="456"/>
      <c r="M230" s="166" t="e">
        <f>RANK(K230, K$218:$K$247)</f>
        <v>#DIV/0!</v>
      </c>
      <c r="N230" s="103"/>
      <c r="O230" s="103"/>
      <c r="P230" s="103"/>
      <c r="Q230" s="103"/>
      <c r="R230" s="103"/>
      <c r="S230" s="103"/>
      <c r="T230" s="103"/>
      <c r="X230" s="103"/>
      <c r="AC230" s="103"/>
      <c r="AH230" s="103"/>
      <c r="AM230" s="103"/>
    </row>
    <row r="231" spans="2:39">
      <c r="B231" s="454"/>
      <c r="C231" s="182">
        <v>14</v>
      </c>
      <c r="D231" s="182"/>
      <c r="E231" s="166"/>
      <c r="F231" s="182"/>
      <c r="G231" s="180"/>
      <c r="H231" s="455"/>
      <c r="I231" s="166" t="e">
        <f t="shared" si="71"/>
        <v>#DIV/0!</v>
      </c>
      <c r="J231" s="166" t="e">
        <f t="shared" si="71"/>
        <v>#DIV/0!</v>
      </c>
      <c r="K231" s="166" t="e">
        <f t="shared" si="72"/>
        <v>#DIV/0!</v>
      </c>
      <c r="L231" s="456"/>
      <c r="M231" s="166" t="e">
        <f>RANK(K231, K$218:$K$247)</f>
        <v>#DIV/0!</v>
      </c>
      <c r="N231" s="103"/>
      <c r="O231" s="103"/>
      <c r="P231" s="103"/>
      <c r="Q231" s="103"/>
      <c r="R231" s="103"/>
      <c r="S231" s="103"/>
      <c r="T231" s="103"/>
      <c r="X231" s="103"/>
      <c r="AC231" s="103"/>
      <c r="AH231" s="103"/>
      <c r="AM231" s="103"/>
    </row>
    <row r="232" spans="2:39">
      <c r="B232" s="454"/>
      <c r="C232" s="182">
        <v>15</v>
      </c>
      <c r="D232" s="182"/>
      <c r="E232" s="166"/>
      <c r="F232" s="182"/>
      <c r="G232" s="180"/>
      <c r="H232" s="455"/>
      <c r="I232" s="166" t="e">
        <f t="shared" si="71"/>
        <v>#DIV/0!</v>
      </c>
      <c r="J232" s="166" t="e">
        <f t="shared" si="71"/>
        <v>#DIV/0!</v>
      </c>
      <c r="K232" s="166" t="e">
        <f t="shared" si="72"/>
        <v>#DIV/0!</v>
      </c>
      <c r="L232" s="456"/>
      <c r="M232" s="166" t="e">
        <f>RANK(K232, K$218:$K$247)</f>
        <v>#DIV/0!</v>
      </c>
      <c r="N232" s="103"/>
      <c r="O232" s="103"/>
      <c r="P232" s="103"/>
      <c r="Q232" s="103"/>
      <c r="R232" s="103"/>
      <c r="S232" s="103"/>
      <c r="T232" s="103"/>
      <c r="X232" s="103"/>
      <c r="AC232" s="103"/>
      <c r="AH232" s="103"/>
      <c r="AM232" s="103"/>
    </row>
    <row r="233" spans="2:39">
      <c r="B233" s="454"/>
      <c r="C233" s="182">
        <v>16</v>
      </c>
      <c r="D233" s="182"/>
      <c r="E233" s="166"/>
      <c r="F233" s="182"/>
      <c r="G233" s="180"/>
      <c r="H233" s="455"/>
      <c r="I233" s="166" t="e">
        <f t="shared" si="71"/>
        <v>#DIV/0!</v>
      </c>
      <c r="J233" s="166" t="e">
        <f t="shared" si="71"/>
        <v>#DIV/0!</v>
      </c>
      <c r="K233" s="166" t="e">
        <f t="shared" si="72"/>
        <v>#DIV/0!</v>
      </c>
      <c r="L233" s="456"/>
      <c r="M233" s="166" t="e">
        <f>RANK(K233, K$218:$K$247)</f>
        <v>#DIV/0!</v>
      </c>
      <c r="N233" s="103"/>
      <c r="O233" s="103"/>
      <c r="P233" s="103"/>
      <c r="Q233" s="103"/>
      <c r="R233" s="103"/>
      <c r="S233" s="103"/>
      <c r="T233" s="103"/>
      <c r="X233" s="103"/>
      <c r="AC233" s="103"/>
      <c r="AH233" s="103"/>
      <c r="AM233" s="103"/>
    </row>
    <row r="234" spans="2:39">
      <c r="B234" s="454"/>
      <c r="C234" s="182">
        <v>17</v>
      </c>
      <c r="D234" s="182"/>
      <c r="E234" s="166"/>
      <c r="F234" s="182"/>
      <c r="G234" s="180"/>
      <c r="H234" s="455"/>
      <c r="I234" s="166" t="e">
        <f t="shared" si="71"/>
        <v>#DIV/0!</v>
      </c>
      <c r="J234" s="166" t="e">
        <f t="shared" si="71"/>
        <v>#DIV/0!</v>
      </c>
      <c r="K234" s="166" t="e">
        <f t="shared" si="72"/>
        <v>#DIV/0!</v>
      </c>
      <c r="L234" s="456"/>
      <c r="M234" s="166" t="e">
        <f>RANK(K234, K$218:$K$247)</f>
        <v>#DIV/0!</v>
      </c>
      <c r="N234" s="103"/>
      <c r="O234" s="103"/>
      <c r="P234" s="103"/>
      <c r="Q234" s="103"/>
      <c r="R234" s="103"/>
      <c r="S234" s="103"/>
      <c r="T234" s="103"/>
      <c r="X234" s="103"/>
      <c r="AC234" s="103"/>
      <c r="AH234" s="103"/>
      <c r="AM234" s="103"/>
    </row>
    <row r="235" spans="2:39">
      <c r="B235" s="454"/>
      <c r="C235" s="182">
        <v>18</v>
      </c>
      <c r="D235" s="182"/>
      <c r="E235" s="166"/>
      <c r="F235" s="182"/>
      <c r="G235" s="180"/>
      <c r="H235" s="455"/>
      <c r="I235" s="166" t="e">
        <f t="shared" si="71"/>
        <v>#DIV/0!</v>
      </c>
      <c r="J235" s="166" t="e">
        <f t="shared" si="71"/>
        <v>#DIV/0!</v>
      </c>
      <c r="K235" s="166" t="e">
        <f t="shared" si="72"/>
        <v>#DIV/0!</v>
      </c>
      <c r="L235" s="456"/>
      <c r="M235" s="166" t="e">
        <f>RANK(K235, K$218:$K$247)</f>
        <v>#DIV/0!</v>
      </c>
      <c r="N235" s="103"/>
      <c r="O235" s="103"/>
      <c r="P235" s="103"/>
      <c r="Q235" s="103"/>
      <c r="R235" s="103"/>
      <c r="S235" s="103"/>
      <c r="T235" s="103"/>
      <c r="X235" s="103"/>
      <c r="AC235" s="103"/>
      <c r="AH235" s="103"/>
      <c r="AM235" s="103"/>
    </row>
    <row r="236" spans="2:39">
      <c r="B236" s="454"/>
      <c r="C236" s="182">
        <v>19</v>
      </c>
      <c r="D236" s="182"/>
      <c r="E236" s="166"/>
      <c r="F236" s="182"/>
      <c r="G236" s="180"/>
      <c r="H236" s="455"/>
      <c r="I236" s="166" t="e">
        <f t="shared" si="71"/>
        <v>#DIV/0!</v>
      </c>
      <c r="J236" s="166" t="e">
        <f t="shared" si="71"/>
        <v>#DIV/0!</v>
      </c>
      <c r="K236" s="166" t="e">
        <f t="shared" si="72"/>
        <v>#DIV/0!</v>
      </c>
      <c r="L236" s="456"/>
      <c r="M236" s="166" t="e">
        <f>RANK(K236, K$218:$K$247)</f>
        <v>#DIV/0!</v>
      </c>
      <c r="N236" s="103"/>
      <c r="O236" s="103"/>
      <c r="P236" s="103"/>
      <c r="Q236" s="103"/>
      <c r="R236" s="103"/>
      <c r="S236" s="103"/>
      <c r="T236" s="103"/>
      <c r="X236" s="103"/>
      <c r="AC236" s="103"/>
      <c r="AH236" s="103"/>
      <c r="AM236" s="103"/>
    </row>
    <row r="237" spans="2:39">
      <c r="B237" s="454"/>
      <c r="C237" s="182">
        <v>20</v>
      </c>
      <c r="D237" s="182"/>
      <c r="E237" s="166"/>
      <c r="F237" s="182"/>
      <c r="G237" s="180"/>
      <c r="H237" s="455"/>
      <c r="I237" s="166" t="e">
        <f t="shared" si="71"/>
        <v>#DIV/0!</v>
      </c>
      <c r="J237" s="166" t="e">
        <f t="shared" si="71"/>
        <v>#DIV/0!</v>
      </c>
      <c r="K237" s="166" t="e">
        <f t="shared" si="72"/>
        <v>#DIV/0!</v>
      </c>
      <c r="L237" s="456"/>
      <c r="M237" s="166" t="e">
        <f>RANK(K237, K$218:$K$247)</f>
        <v>#DIV/0!</v>
      </c>
      <c r="N237" s="103"/>
      <c r="O237" s="103"/>
      <c r="P237" s="103"/>
      <c r="Q237" s="103"/>
      <c r="R237" s="103"/>
      <c r="S237" s="103"/>
      <c r="T237" s="103"/>
      <c r="X237" s="103"/>
      <c r="AC237" s="103"/>
      <c r="AH237" s="103"/>
      <c r="AM237" s="103"/>
    </row>
    <row r="238" spans="2:39">
      <c r="B238" s="454"/>
      <c r="C238" s="182">
        <v>21</v>
      </c>
      <c r="D238" s="182"/>
      <c r="E238" s="166"/>
      <c r="F238" s="182"/>
      <c r="G238" s="180"/>
      <c r="H238" s="455"/>
      <c r="I238" s="166" t="e">
        <f t="shared" si="71"/>
        <v>#DIV/0!</v>
      </c>
      <c r="J238" s="166" t="e">
        <f t="shared" si="71"/>
        <v>#DIV/0!</v>
      </c>
      <c r="K238" s="166" t="e">
        <f t="shared" si="72"/>
        <v>#DIV/0!</v>
      </c>
      <c r="L238" s="456"/>
      <c r="M238" s="166" t="e">
        <f>RANK(K238, K$218:$K$247)</f>
        <v>#DIV/0!</v>
      </c>
      <c r="N238" s="103"/>
      <c r="O238" s="103"/>
      <c r="P238" s="103"/>
      <c r="Q238" s="103"/>
      <c r="R238" s="103"/>
      <c r="S238" s="103"/>
      <c r="T238" s="103"/>
      <c r="X238" s="103"/>
      <c r="AC238" s="103"/>
      <c r="AH238" s="103"/>
      <c r="AM238" s="103"/>
    </row>
    <row r="239" spans="2:39">
      <c r="B239" s="454"/>
      <c r="C239" s="182">
        <v>22</v>
      </c>
      <c r="D239" s="182"/>
      <c r="E239" s="166"/>
      <c r="F239" s="182"/>
      <c r="G239" s="180"/>
      <c r="H239" s="455"/>
      <c r="I239" s="166" t="e">
        <f t="shared" si="71"/>
        <v>#DIV/0!</v>
      </c>
      <c r="J239" s="166" t="e">
        <f t="shared" si="71"/>
        <v>#DIV/0!</v>
      </c>
      <c r="K239" s="166" t="e">
        <f t="shared" si="72"/>
        <v>#DIV/0!</v>
      </c>
      <c r="L239" s="456"/>
      <c r="M239" s="166" t="e">
        <f>RANK(K239, K$218:$K$247)</f>
        <v>#DIV/0!</v>
      </c>
      <c r="N239" s="103"/>
      <c r="O239" s="103"/>
      <c r="P239" s="103"/>
      <c r="Q239" s="103"/>
      <c r="R239" s="103"/>
      <c r="S239" s="103"/>
      <c r="T239" s="103"/>
      <c r="X239" s="103"/>
      <c r="AC239" s="103"/>
      <c r="AH239" s="103"/>
      <c r="AM239" s="103"/>
    </row>
    <row r="240" spans="2:39">
      <c r="B240" s="454"/>
      <c r="C240" s="182">
        <v>23</v>
      </c>
      <c r="D240" s="182"/>
      <c r="E240" s="166"/>
      <c r="F240" s="182"/>
      <c r="G240" s="180"/>
      <c r="H240" s="455"/>
      <c r="I240" s="166" t="e">
        <f t="shared" si="71"/>
        <v>#DIV/0!</v>
      </c>
      <c r="J240" s="166" t="e">
        <f t="shared" si="71"/>
        <v>#DIV/0!</v>
      </c>
      <c r="K240" s="166" t="e">
        <f t="shared" si="72"/>
        <v>#DIV/0!</v>
      </c>
      <c r="L240" s="456"/>
      <c r="M240" s="166" t="e">
        <f>RANK(K240, K$218:$K$247)</f>
        <v>#DIV/0!</v>
      </c>
      <c r="N240" s="103"/>
      <c r="O240" s="103"/>
      <c r="P240" s="103"/>
      <c r="Q240" s="103"/>
      <c r="R240" s="103"/>
      <c r="S240" s="103"/>
      <c r="T240" s="103"/>
      <c r="X240" s="103"/>
      <c r="AC240" s="103"/>
      <c r="AH240" s="103"/>
      <c r="AM240" s="103"/>
    </row>
    <row r="241" spans="2:39">
      <c r="B241" s="454"/>
      <c r="C241" s="182">
        <v>24</v>
      </c>
      <c r="D241" s="182"/>
      <c r="E241" s="166"/>
      <c r="F241" s="182"/>
      <c r="G241" s="180"/>
      <c r="H241" s="455"/>
      <c r="I241" s="166" t="e">
        <f t="shared" si="71"/>
        <v>#DIV/0!</v>
      </c>
      <c r="J241" s="166" t="e">
        <f t="shared" si="71"/>
        <v>#DIV/0!</v>
      </c>
      <c r="K241" s="166" t="e">
        <f t="shared" si="72"/>
        <v>#DIV/0!</v>
      </c>
      <c r="L241" s="456"/>
      <c r="M241" s="166" t="e">
        <f>RANK(K241, K$218:$K$247)</f>
        <v>#DIV/0!</v>
      </c>
      <c r="N241" s="103"/>
      <c r="O241" s="103"/>
      <c r="P241" s="103"/>
      <c r="Q241" s="103"/>
      <c r="R241" s="103"/>
      <c r="S241" s="103"/>
      <c r="T241" s="103"/>
      <c r="X241" s="103"/>
      <c r="AC241" s="103"/>
      <c r="AH241" s="103"/>
      <c r="AM241" s="103"/>
    </row>
    <row r="242" spans="2:39">
      <c r="B242" s="454"/>
      <c r="C242" s="182">
        <v>25</v>
      </c>
      <c r="D242" s="182"/>
      <c r="E242" s="166"/>
      <c r="F242" s="182"/>
      <c r="G242" s="180"/>
      <c r="H242" s="455"/>
      <c r="I242" s="166"/>
      <c r="J242" s="166"/>
      <c r="K242" s="166"/>
      <c r="L242" s="456"/>
      <c r="M242" s="166" t="e">
        <f>RANK(K242, K$218:$K$247)</f>
        <v>#DIV/0!</v>
      </c>
      <c r="N242" s="103"/>
      <c r="O242" s="103"/>
      <c r="P242" s="103"/>
      <c r="Q242" s="103"/>
      <c r="R242" s="103"/>
      <c r="S242" s="103"/>
      <c r="T242" s="103"/>
      <c r="X242" s="103"/>
      <c r="AC242" s="103"/>
      <c r="AH242" s="103"/>
      <c r="AM242" s="103"/>
    </row>
    <row r="243" spans="2:39">
      <c r="B243" s="454"/>
      <c r="C243" s="182">
        <v>26</v>
      </c>
      <c r="D243" s="182"/>
      <c r="E243" s="166"/>
      <c r="F243" s="182"/>
      <c r="G243" s="180"/>
      <c r="H243" s="455"/>
      <c r="I243" s="166"/>
      <c r="J243" s="166"/>
      <c r="K243" s="166"/>
      <c r="L243" s="456"/>
      <c r="M243" s="166" t="e">
        <f>RANK(K243, K$218:$K$247)</f>
        <v>#DIV/0!</v>
      </c>
      <c r="N243" s="103"/>
      <c r="O243" s="103"/>
      <c r="P243" s="103"/>
      <c r="Q243" s="103"/>
      <c r="R243" s="103"/>
      <c r="S243" s="103"/>
      <c r="T243" s="103"/>
      <c r="X243" s="103"/>
      <c r="AC243" s="103"/>
      <c r="AH243" s="103"/>
      <c r="AM243" s="103"/>
    </row>
    <row r="244" spans="2:39">
      <c r="B244" s="454"/>
      <c r="C244" s="182">
        <v>27</v>
      </c>
      <c r="D244" s="182"/>
      <c r="E244" s="166"/>
      <c r="F244" s="182"/>
      <c r="G244" s="180"/>
      <c r="H244" s="455"/>
      <c r="I244" s="166"/>
      <c r="J244" s="166"/>
      <c r="K244" s="166"/>
      <c r="L244" s="456"/>
      <c r="M244" s="166" t="e">
        <f>RANK(K244, K$218:$K$247)</f>
        <v>#DIV/0!</v>
      </c>
      <c r="N244" s="103"/>
      <c r="O244" s="103"/>
      <c r="P244" s="103"/>
      <c r="Q244" s="103"/>
      <c r="R244" s="103"/>
      <c r="S244" s="103"/>
      <c r="T244" s="103"/>
      <c r="X244" s="103"/>
      <c r="AC244" s="103"/>
      <c r="AH244" s="103"/>
      <c r="AM244" s="103"/>
    </row>
    <row r="245" spans="2:39">
      <c r="B245" s="454"/>
      <c r="C245" s="182">
        <v>28</v>
      </c>
      <c r="D245" s="182"/>
      <c r="E245" s="166"/>
      <c r="F245" s="182"/>
      <c r="G245" s="180"/>
      <c r="H245" s="455"/>
      <c r="I245" s="166"/>
      <c r="J245" s="166"/>
      <c r="K245" s="166"/>
      <c r="L245" s="456"/>
      <c r="M245" s="166" t="e">
        <f>RANK(K245, K$218:$K$247)</f>
        <v>#DIV/0!</v>
      </c>
      <c r="N245" s="103"/>
      <c r="O245" s="103"/>
      <c r="P245" s="103"/>
      <c r="Q245" s="103"/>
      <c r="R245" s="103"/>
      <c r="S245" s="103"/>
      <c r="T245" s="103"/>
      <c r="X245" s="103"/>
      <c r="AC245" s="103"/>
      <c r="AH245" s="103"/>
      <c r="AM245" s="103"/>
    </row>
    <row r="246" spans="2:39">
      <c r="B246" s="454"/>
      <c r="C246" s="182">
        <v>29</v>
      </c>
      <c r="D246" s="182"/>
      <c r="E246" s="166"/>
      <c r="F246" s="182"/>
      <c r="G246" s="180"/>
      <c r="H246" s="455"/>
      <c r="I246" s="166"/>
      <c r="J246" s="166"/>
      <c r="K246" s="166"/>
      <c r="L246" s="456"/>
      <c r="M246" s="166" t="e">
        <f>RANK(K246, K$218:$K$247)</f>
        <v>#DIV/0!</v>
      </c>
      <c r="N246" s="103"/>
      <c r="O246" s="103"/>
      <c r="P246" s="103"/>
      <c r="Q246" s="103"/>
      <c r="R246" s="103"/>
      <c r="S246" s="103"/>
      <c r="T246" s="103"/>
      <c r="X246" s="103"/>
      <c r="AC246" s="103"/>
      <c r="AH246" s="103"/>
      <c r="AM246" s="103"/>
    </row>
    <row r="247" spans="2:39">
      <c r="B247" s="454"/>
      <c r="C247" s="182">
        <v>30</v>
      </c>
      <c r="D247" s="182"/>
      <c r="E247" s="166"/>
      <c r="F247" s="182"/>
      <c r="G247" s="180"/>
      <c r="H247" s="455"/>
      <c r="I247" s="166"/>
      <c r="J247" s="166"/>
      <c r="K247" s="166"/>
      <c r="L247" s="456"/>
      <c r="M247" s="166" t="e">
        <f>RANK(K247, K$218:$K$247)</f>
        <v>#DIV/0!</v>
      </c>
      <c r="N247" s="103"/>
      <c r="O247" s="103"/>
      <c r="P247" s="103"/>
      <c r="Q247" s="103"/>
      <c r="R247" s="103"/>
      <c r="S247" s="103"/>
      <c r="T247" s="103"/>
      <c r="X247" s="103"/>
      <c r="AC247" s="103"/>
      <c r="AH247" s="103"/>
      <c r="AM247" s="103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I107" activeCellId="2" sqref="I67:K81 I87:K101 I107:K121"/>
      <selection pane="topRight" activeCell="T7" activeCellId="6" sqref="AW7:AX21 AR7:AS21 AM7:AN21 AH7:AI21 AC7:AD21 X7:Y21 S7:T21"/>
    </sheetView>
  </sheetViews>
  <sheetFormatPr defaultColWidth="8.81640625" defaultRowHeight="12.5"/>
  <cols>
    <col min="1" max="1" width="5.54296875" style="103" customWidth="1"/>
    <col min="2" max="2" width="12.453125" style="103" customWidth="1"/>
    <col min="3" max="3" width="8.81640625" style="102"/>
    <col min="4" max="4" width="26.453125" style="102" customWidth="1"/>
    <col min="5" max="7" width="8.453125" style="102" customWidth="1"/>
    <col min="8" max="8" width="11.1796875" style="102" bestFit="1" customWidth="1"/>
    <col min="9" max="12" width="11.1796875" style="102" customWidth="1"/>
    <col min="13" max="13" width="13.54296875" style="102" customWidth="1"/>
    <col min="14" max="14" width="9.81640625" style="102" customWidth="1"/>
    <col min="15" max="15" width="7.1796875" style="102" customWidth="1"/>
    <col min="16" max="18" width="12.81640625" style="102" customWidth="1"/>
    <col min="19" max="19" width="5.453125" style="102" customWidth="1"/>
    <col min="20" max="20" width="12.81640625" style="102" customWidth="1"/>
    <col min="21" max="23" width="12.81640625" style="103" customWidth="1"/>
    <col min="24" max="24" width="5.453125" style="102" customWidth="1"/>
    <col min="25" max="28" width="12.81640625" style="103" customWidth="1"/>
    <col min="29" max="29" width="5.453125" style="102" customWidth="1"/>
    <col min="30" max="30" width="12.81640625" style="103" customWidth="1"/>
    <col min="31" max="33" width="12.54296875" style="103" customWidth="1"/>
    <col min="34" max="34" width="5.453125" style="102" customWidth="1"/>
    <col min="35" max="35" width="13" style="103" customWidth="1"/>
    <col min="36" max="38" width="12.54296875" style="103" customWidth="1"/>
    <col min="39" max="39" width="5.453125" style="102" customWidth="1"/>
    <col min="40" max="40" width="13" style="103" customWidth="1"/>
    <col min="41" max="43" width="13.1796875" style="103" customWidth="1"/>
    <col min="44" max="44" width="5.453125" style="103" customWidth="1"/>
    <col min="45" max="48" width="13.1796875" style="103" customWidth="1"/>
    <col min="49" max="49" width="5.453125" style="103" customWidth="1"/>
    <col min="50" max="50" width="13.1796875" style="103" customWidth="1"/>
    <col min="51" max="51" width="8.81640625" style="103"/>
    <col min="52" max="52" width="5.453125" style="103" customWidth="1"/>
    <col min="53" max="53" width="13.1796875" style="103" customWidth="1"/>
    <col min="54" max="16384" width="8.81640625" style="103"/>
  </cols>
  <sheetData>
    <row r="1" spans="1:53" ht="24.5">
      <c r="A1" s="74"/>
      <c r="B1" s="198" t="s">
        <v>332</v>
      </c>
      <c r="C1" s="197">
        <f>AVERAGE(L7,L27,L47,L67,L87,L107)</f>
        <v>72.684044900052385</v>
      </c>
    </row>
    <row r="2" spans="1:53" ht="15.5">
      <c r="A2" s="79"/>
      <c r="B2" s="477" t="s">
        <v>163</v>
      </c>
      <c r="C2" s="477"/>
      <c r="D2" s="477"/>
      <c r="E2" s="477"/>
      <c r="F2" s="477"/>
      <c r="G2" s="477"/>
      <c r="H2" s="477"/>
      <c r="I2" s="183"/>
      <c r="J2" s="183"/>
      <c r="K2" s="183"/>
      <c r="L2" s="183"/>
      <c r="M2" s="178"/>
      <c r="N2" s="480" t="s">
        <v>156</v>
      </c>
      <c r="O2" s="480" t="s">
        <v>155</v>
      </c>
      <c r="P2" s="490">
        <v>46112</v>
      </c>
      <c r="Q2" s="491"/>
      <c r="R2" s="491"/>
      <c r="S2" s="491"/>
      <c r="T2" s="492"/>
      <c r="U2" s="476">
        <f>P2+1</f>
        <v>46113</v>
      </c>
      <c r="V2" s="454"/>
      <c r="W2" s="454"/>
      <c r="X2" s="454"/>
      <c r="Y2" s="454"/>
      <c r="Z2" s="476">
        <f>U2+1</f>
        <v>46114</v>
      </c>
      <c r="AA2" s="454"/>
      <c r="AB2" s="454"/>
      <c r="AC2" s="454"/>
      <c r="AD2" s="454"/>
      <c r="AE2" s="476">
        <f>Z2+1</f>
        <v>46115</v>
      </c>
      <c r="AF2" s="454"/>
      <c r="AG2" s="454"/>
      <c r="AH2" s="454"/>
      <c r="AI2" s="454"/>
      <c r="AJ2" s="476">
        <f>AE2+1</f>
        <v>46116</v>
      </c>
      <c r="AK2" s="454"/>
      <c r="AL2" s="454"/>
      <c r="AM2" s="454"/>
      <c r="AN2" s="454"/>
      <c r="AO2" s="476">
        <f>AJ2+1</f>
        <v>46117</v>
      </c>
      <c r="AP2" s="454"/>
      <c r="AQ2" s="454"/>
      <c r="AR2" s="454"/>
      <c r="AS2" s="454"/>
      <c r="AT2" s="473">
        <f>AO2+1</f>
        <v>46118</v>
      </c>
      <c r="AU2" s="474"/>
      <c r="AV2" s="474"/>
      <c r="AW2" s="474"/>
      <c r="AX2" s="475"/>
    </row>
    <row r="3" spans="1:53" ht="15.5">
      <c r="A3" s="79"/>
      <c r="B3" s="486"/>
      <c r="C3" s="486"/>
      <c r="D3" s="486"/>
      <c r="E3" s="486"/>
      <c r="F3" s="486"/>
      <c r="G3" s="486"/>
      <c r="H3" s="486"/>
      <c r="I3" s="184"/>
      <c r="J3" s="184"/>
      <c r="K3" s="184"/>
      <c r="L3" s="184"/>
      <c r="M3" s="179"/>
      <c r="N3" s="481"/>
      <c r="O3" s="481"/>
      <c r="P3" s="473" t="s">
        <v>158</v>
      </c>
      <c r="Q3" s="474"/>
      <c r="R3" s="474"/>
      <c r="S3" s="474"/>
      <c r="T3" s="475"/>
      <c r="U3" s="473" t="s">
        <v>114</v>
      </c>
      <c r="V3" s="474"/>
      <c r="W3" s="474"/>
      <c r="X3" s="474"/>
      <c r="Y3" s="475"/>
      <c r="Z3" s="473" t="s">
        <v>159</v>
      </c>
      <c r="AA3" s="474"/>
      <c r="AB3" s="474"/>
      <c r="AC3" s="474"/>
      <c r="AD3" s="475"/>
      <c r="AE3" s="473" t="s">
        <v>157</v>
      </c>
      <c r="AF3" s="474"/>
      <c r="AG3" s="474"/>
      <c r="AH3" s="474"/>
      <c r="AI3" s="475"/>
      <c r="AJ3" s="473" t="s">
        <v>160</v>
      </c>
      <c r="AK3" s="474"/>
      <c r="AL3" s="474"/>
      <c r="AM3" s="474"/>
      <c r="AN3" s="475"/>
      <c r="AO3" s="473" t="s">
        <v>161</v>
      </c>
      <c r="AP3" s="474"/>
      <c r="AQ3" s="474"/>
      <c r="AR3" s="474"/>
      <c r="AS3" s="475"/>
      <c r="AT3" s="473" t="s">
        <v>162</v>
      </c>
      <c r="AU3" s="474"/>
      <c r="AV3" s="474"/>
      <c r="AW3" s="474"/>
      <c r="AX3" s="475"/>
    </row>
    <row r="4" spans="1:53" ht="13.5">
      <c r="A4" s="79"/>
      <c r="B4" s="461" t="s">
        <v>154</v>
      </c>
      <c r="C4" s="461" t="s">
        <v>409</v>
      </c>
      <c r="D4" s="461"/>
      <c r="E4" s="461" t="s">
        <v>400</v>
      </c>
      <c r="F4" s="461"/>
      <c r="G4" s="461"/>
      <c r="H4" s="482" t="s">
        <v>396</v>
      </c>
      <c r="I4" s="461" t="s">
        <v>401</v>
      </c>
      <c r="J4" s="461"/>
      <c r="K4" s="461"/>
      <c r="L4" s="482" t="s">
        <v>396</v>
      </c>
      <c r="M4" s="480" t="s">
        <v>397</v>
      </c>
      <c r="N4" s="461"/>
      <c r="O4" s="461" t="s">
        <v>402</v>
      </c>
      <c r="P4" s="466" t="s">
        <v>398</v>
      </c>
      <c r="Q4" s="467"/>
      <c r="R4" s="467"/>
      <c r="S4" s="468"/>
      <c r="T4" s="461" t="s">
        <v>396</v>
      </c>
      <c r="U4" s="466" t="s">
        <v>398</v>
      </c>
      <c r="V4" s="467"/>
      <c r="W4" s="467"/>
      <c r="X4" s="468"/>
      <c r="Y4" s="461" t="s">
        <v>396</v>
      </c>
      <c r="Z4" s="466" t="s">
        <v>398</v>
      </c>
      <c r="AA4" s="467"/>
      <c r="AB4" s="467"/>
      <c r="AC4" s="468"/>
      <c r="AD4" s="461" t="s">
        <v>396</v>
      </c>
      <c r="AE4" s="466" t="s">
        <v>398</v>
      </c>
      <c r="AF4" s="467"/>
      <c r="AG4" s="467"/>
      <c r="AH4" s="468"/>
      <c r="AI4" s="461" t="s">
        <v>396</v>
      </c>
      <c r="AJ4" s="466" t="s">
        <v>398</v>
      </c>
      <c r="AK4" s="467"/>
      <c r="AL4" s="467"/>
      <c r="AM4" s="468"/>
      <c r="AN4" s="461" t="s">
        <v>396</v>
      </c>
      <c r="AO4" s="466" t="s">
        <v>398</v>
      </c>
      <c r="AP4" s="467"/>
      <c r="AQ4" s="467"/>
      <c r="AR4" s="468"/>
      <c r="AS4" s="461" t="s">
        <v>396</v>
      </c>
      <c r="AT4" s="466" t="s">
        <v>398</v>
      </c>
      <c r="AU4" s="467"/>
      <c r="AV4" s="467"/>
      <c r="AW4" s="468"/>
      <c r="AX4" s="461" t="s">
        <v>396</v>
      </c>
      <c r="BA4" s="461" t="s">
        <v>396</v>
      </c>
    </row>
    <row r="5" spans="1:53" ht="13.5">
      <c r="A5" s="79"/>
      <c r="B5" s="461"/>
      <c r="C5" s="461"/>
      <c r="D5" s="461"/>
      <c r="E5" s="461" t="s">
        <v>403</v>
      </c>
      <c r="F5" s="461"/>
      <c r="G5" s="461"/>
      <c r="H5" s="483"/>
      <c r="I5" s="461" t="s">
        <v>403</v>
      </c>
      <c r="J5" s="461"/>
      <c r="K5" s="461"/>
      <c r="L5" s="483"/>
      <c r="M5" s="485"/>
      <c r="N5" s="461"/>
      <c r="O5" s="461"/>
      <c r="P5" s="466" t="s">
        <v>404</v>
      </c>
      <c r="Q5" s="467"/>
      <c r="R5" s="467"/>
      <c r="S5" s="468"/>
      <c r="T5" s="461"/>
      <c r="U5" s="466" t="s">
        <v>404</v>
      </c>
      <c r="V5" s="467"/>
      <c r="W5" s="467"/>
      <c r="X5" s="468"/>
      <c r="Y5" s="461"/>
      <c r="Z5" s="466" t="s">
        <v>404</v>
      </c>
      <c r="AA5" s="467"/>
      <c r="AB5" s="467"/>
      <c r="AC5" s="468"/>
      <c r="AD5" s="461"/>
      <c r="AE5" s="466" t="s">
        <v>404</v>
      </c>
      <c r="AF5" s="467"/>
      <c r="AG5" s="467"/>
      <c r="AH5" s="468"/>
      <c r="AI5" s="461"/>
      <c r="AJ5" s="466" t="s">
        <v>404</v>
      </c>
      <c r="AK5" s="467"/>
      <c r="AL5" s="467"/>
      <c r="AM5" s="468"/>
      <c r="AN5" s="461"/>
      <c r="AO5" s="466" t="s">
        <v>404</v>
      </c>
      <c r="AP5" s="467"/>
      <c r="AQ5" s="467"/>
      <c r="AR5" s="468"/>
      <c r="AS5" s="461"/>
      <c r="AT5" s="466" t="s">
        <v>404</v>
      </c>
      <c r="AU5" s="467"/>
      <c r="AV5" s="467"/>
      <c r="AW5" s="468"/>
      <c r="AX5" s="461"/>
      <c r="BA5" s="461"/>
    </row>
    <row r="6" spans="1:53" ht="13.5">
      <c r="A6" s="77"/>
      <c r="B6" s="461"/>
      <c r="C6" s="461"/>
      <c r="D6" s="461"/>
      <c r="E6" s="269" t="s">
        <v>405</v>
      </c>
      <c r="F6" s="269" t="s">
        <v>406</v>
      </c>
      <c r="G6" s="269" t="s">
        <v>407</v>
      </c>
      <c r="H6" s="484"/>
      <c r="I6" s="269" t="s">
        <v>405</v>
      </c>
      <c r="J6" s="269" t="s">
        <v>406</v>
      </c>
      <c r="K6" s="269" t="s">
        <v>407</v>
      </c>
      <c r="L6" s="484"/>
      <c r="M6" s="481"/>
      <c r="N6" s="461"/>
      <c r="O6" s="461"/>
      <c r="P6" s="269" t="s">
        <v>405</v>
      </c>
      <c r="Q6" s="269" t="s">
        <v>406</v>
      </c>
      <c r="R6" s="269" t="s">
        <v>407</v>
      </c>
      <c r="S6" s="269" t="s">
        <v>397</v>
      </c>
      <c r="T6" s="461"/>
      <c r="U6" s="269" t="s">
        <v>405</v>
      </c>
      <c r="V6" s="269" t="s">
        <v>406</v>
      </c>
      <c r="W6" s="269" t="s">
        <v>407</v>
      </c>
      <c r="X6" s="269" t="s">
        <v>397</v>
      </c>
      <c r="Y6" s="461"/>
      <c r="Z6" s="269" t="s">
        <v>405</v>
      </c>
      <c r="AA6" s="269" t="s">
        <v>406</v>
      </c>
      <c r="AB6" s="269" t="s">
        <v>407</v>
      </c>
      <c r="AC6" s="269" t="s">
        <v>397</v>
      </c>
      <c r="AD6" s="461"/>
      <c r="AE6" s="269" t="s">
        <v>405</v>
      </c>
      <c r="AF6" s="269" t="s">
        <v>406</v>
      </c>
      <c r="AG6" s="269" t="s">
        <v>407</v>
      </c>
      <c r="AH6" s="269" t="s">
        <v>397</v>
      </c>
      <c r="AI6" s="461"/>
      <c r="AJ6" s="269" t="s">
        <v>405</v>
      </c>
      <c r="AK6" s="269" t="s">
        <v>406</v>
      </c>
      <c r="AL6" s="269" t="s">
        <v>407</v>
      </c>
      <c r="AM6" s="269" t="s">
        <v>397</v>
      </c>
      <c r="AN6" s="461"/>
      <c r="AO6" s="269" t="s">
        <v>405</v>
      </c>
      <c r="AP6" s="269" t="s">
        <v>406</v>
      </c>
      <c r="AQ6" s="269" t="s">
        <v>407</v>
      </c>
      <c r="AR6" s="269" t="s">
        <v>397</v>
      </c>
      <c r="AS6" s="461"/>
      <c r="AT6" s="269" t="s">
        <v>405</v>
      </c>
      <c r="AU6" s="269" t="s">
        <v>406</v>
      </c>
      <c r="AV6" s="269" t="s">
        <v>407</v>
      </c>
      <c r="AW6" s="269" t="s">
        <v>397</v>
      </c>
      <c r="AX6" s="461"/>
      <c r="AZ6" s="269" t="s">
        <v>397</v>
      </c>
      <c r="BA6" s="461"/>
    </row>
    <row r="7" spans="1:53" ht="13.5">
      <c r="A7" s="79"/>
      <c r="B7" s="461" t="s">
        <v>132</v>
      </c>
      <c r="C7" s="182">
        <v>1</v>
      </c>
      <c r="D7" s="203" t="s">
        <v>371</v>
      </c>
      <c r="E7" s="166">
        <v>18</v>
      </c>
      <c r="F7" s="182">
        <v>1440</v>
      </c>
      <c r="G7" s="180">
        <v>80</v>
      </c>
      <c r="H7" s="463">
        <f>AVERAGE(G7:G21)</f>
        <v>78.772727272727266</v>
      </c>
      <c r="I7" s="166">
        <f t="shared" ref="I7:I20" si="0">IFERROR(AVERAGE(P7,U7,Z7,AE7,AJ7,AO7,AT7),"-")</f>
        <v>18</v>
      </c>
      <c r="J7" s="166">
        <f t="shared" ref="J7:J20" si="1">IFERROR(AVERAGE(Q7,V7,AA7,AF7,AK7,AP7,AU7),"-")</f>
        <v>1353.6442475210952</v>
      </c>
      <c r="K7" s="180">
        <f t="shared" ref="K7:K20" si="2">IFERROR(AVERAGE(R7,W7,AB7,AG7,AL7,AQ7,AV7),"-")</f>
        <v>75.202458195616387</v>
      </c>
      <c r="L7" s="463">
        <f>IFERROR(AVERAGE(K7:K21),"-")</f>
        <v>72.684044900052385</v>
      </c>
      <c r="M7" s="181">
        <f>RANK(K7, K$7:$K$21)</f>
        <v>3</v>
      </c>
      <c r="N7" s="461"/>
      <c r="O7" s="461"/>
      <c r="P7" s="182">
        <v>18</v>
      </c>
      <c r="Q7" s="166">
        <v>1364.7169811320753</v>
      </c>
      <c r="R7" s="166">
        <v>75.817610062893067</v>
      </c>
      <c r="S7" s="182">
        <f t="shared" ref="S7:S21" si="3">RANK(R7, R$7:R$21)</f>
        <v>3</v>
      </c>
      <c r="T7" s="455">
        <f t="shared" ref="T7" si="4">AVERAGE(R7:R21)</f>
        <v>72.445810313003207</v>
      </c>
      <c r="U7" s="182">
        <v>18</v>
      </c>
      <c r="V7" s="166">
        <v>1357.8260869565217</v>
      </c>
      <c r="W7" s="166">
        <v>75.434782608695656</v>
      </c>
      <c r="X7" s="182">
        <f t="shared" ref="X7:X21" si="5">RANK(W7, W$7:W$21)</f>
        <v>3</v>
      </c>
      <c r="Y7" s="455">
        <f t="shared" ref="Y7" si="6">AVERAGE(W7:W21)</f>
        <v>72.575133383643205</v>
      </c>
      <c r="Z7" s="182">
        <v>18</v>
      </c>
      <c r="AA7" s="166">
        <v>1359.4936708860753</v>
      </c>
      <c r="AB7" s="166">
        <v>75.527426160337512</v>
      </c>
      <c r="AC7" s="182">
        <f t="shared" ref="AC7:AC21" si="7">RANK(AB7, AB$7:AB$21)</f>
        <v>4</v>
      </c>
      <c r="AD7" s="455">
        <f t="shared" ref="AD7" si="8">AVERAGE(AB7:AB21)</f>
        <v>72.919843590525602</v>
      </c>
      <c r="AE7" s="182">
        <v>18</v>
      </c>
      <c r="AF7" s="166">
        <v>1346.4935064935069</v>
      </c>
      <c r="AG7" s="166">
        <v>74.80519480519483</v>
      </c>
      <c r="AH7" s="182">
        <f t="shared" ref="AH7:AH21" si="9">RANK(AG7, AG$7:AG$21)</f>
        <v>3</v>
      </c>
      <c r="AI7" s="455">
        <f t="shared" ref="AI7" si="10">AVERAGE(AG7:AG21)</f>
        <v>72.225971962338861</v>
      </c>
      <c r="AJ7" s="182">
        <v>18</v>
      </c>
      <c r="AK7" s="166">
        <v>1339.7999999999997</v>
      </c>
      <c r="AL7" s="166">
        <v>74.433333333333323</v>
      </c>
      <c r="AM7" s="182">
        <f t="shared" ref="AM7:AM21" si="11">RANK(AL7, AL$7:AL$21)</f>
        <v>4</v>
      </c>
      <c r="AN7" s="455">
        <f t="shared" ref="AN7" si="12">AVERAGE(AL7:AL21)</f>
        <v>72.994731434278123</v>
      </c>
      <c r="AO7" s="182">
        <v>18</v>
      </c>
      <c r="AP7" s="166">
        <v>1333.8461538461531</v>
      </c>
      <c r="AQ7" s="166">
        <v>74.10256410256406</v>
      </c>
      <c r="AR7" s="182">
        <f t="shared" ref="AR7:AR21" si="13">RANK(AQ7, AQ$7:AQ$21)</f>
        <v>4</v>
      </c>
      <c r="AS7" s="455">
        <f t="shared" ref="AS7" si="14">AVERAGE(AQ7:AQ21)</f>
        <v>72.693129078381489</v>
      </c>
      <c r="AT7" s="182">
        <v>18</v>
      </c>
      <c r="AU7" s="166">
        <v>1373.3333333333335</v>
      </c>
      <c r="AV7" s="166">
        <v>76.296296296296305</v>
      </c>
      <c r="AW7" s="182">
        <f t="shared" ref="AW7:AW21" si="15">RANK(AV7, AV$7:AV$21)</f>
        <v>3</v>
      </c>
      <c r="AX7" s="455">
        <f t="shared" ref="AX7" si="16">AVERAGE(AV7:AV21)</f>
        <v>72.933694538196221</v>
      </c>
      <c r="AZ7" s="182" t="e">
        <f t="shared" ref="AZ7:AZ21" si="17">RANK(AY7, AY$7:AY$21)</f>
        <v>#N/A</v>
      </c>
      <c r="BA7" s="455" t="e">
        <f t="shared" ref="BA7" si="18">AVERAGE(AY7:AY21)</f>
        <v>#DIV/0!</v>
      </c>
    </row>
    <row r="8" spans="1:53" ht="15" customHeight="1">
      <c r="A8" s="79"/>
      <c r="B8" s="454"/>
      <c r="C8" s="182">
        <v>2</v>
      </c>
      <c r="D8" s="203" t="s">
        <v>372</v>
      </c>
      <c r="E8" s="166">
        <v>18</v>
      </c>
      <c r="F8" s="182">
        <v>1440</v>
      </c>
      <c r="G8" s="180">
        <v>80</v>
      </c>
      <c r="H8" s="464"/>
      <c r="I8" s="166">
        <f t="shared" si="0"/>
        <v>18</v>
      </c>
      <c r="J8" s="166">
        <f t="shared" si="1"/>
        <v>1280.9835418038172</v>
      </c>
      <c r="K8" s="180">
        <f t="shared" si="2"/>
        <v>71.165752322434301</v>
      </c>
      <c r="L8" s="464"/>
      <c r="M8" s="181">
        <f>RANK(K8, K$7:$K$21)</f>
        <v>7</v>
      </c>
      <c r="N8" s="461"/>
      <c r="O8" s="461"/>
      <c r="P8" s="182">
        <v>18</v>
      </c>
      <c r="Q8" s="166">
        <v>1290</v>
      </c>
      <c r="R8" s="166">
        <v>71.666666666666671</v>
      </c>
      <c r="S8" s="182">
        <f t="shared" si="3"/>
        <v>6</v>
      </c>
      <c r="T8" s="455"/>
      <c r="U8" s="182">
        <v>18</v>
      </c>
      <c r="V8" s="166">
        <v>1299.9999999999995</v>
      </c>
      <c r="W8" s="166">
        <v>72.2222222222222</v>
      </c>
      <c r="X8" s="182">
        <f t="shared" si="5"/>
        <v>5</v>
      </c>
      <c r="Y8" s="455"/>
      <c r="Z8" s="182">
        <v>18</v>
      </c>
      <c r="AA8" s="166">
        <v>1299.9999999999993</v>
      </c>
      <c r="AB8" s="166">
        <v>72.222222222222186</v>
      </c>
      <c r="AC8" s="182">
        <f t="shared" si="7"/>
        <v>6</v>
      </c>
      <c r="AD8" s="455"/>
      <c r="AE8" s="182">
        <v>18</v>
      </c>
      <c r="AF8" s="166">
        <v>1275.4285714285702</v>
      </c>
      <c r="AG8" s="166">
        <v>70.85714285714279</v>
      </c>
      <c r="AH8" s="182">
        <f t="shared" si="9"/>
        <v>6</v>
      </c>
      <c r="AI8" s="455"/>
      <c r="AJ8" s="182">
        <v>18</v>
      </c>
      <c r="AK8" s="166">
        <v>1282.2857142857129</v>
      </c>
      <c r="AL8" s="166">
        <v>71.238095238095156</v>
      </c>
      <c r="AM8" s="182">
        <f t="shared" si="11"/>
        <v>7</v>
      </c>
      <c r="AN8" s="455"/>
      <c r="AO8" s="182">
        <v>18</v>
      </c>
      <c r="AP8" s="166">
        <v>1267.7419354838689</v>
      </c>
      <c r="AQ8" s="166">
        <v>70.430107526881613</v>
      </c>
      <c r="AR8" s="182">
        <f t="shared" si="13"/>
        <v>9</v>
      </c>
      <c r="AS8" s="455"/>
      <c r="AT8" s="182">
        <v>18</v>
      </c>
      <c r="AU8" s="166">
        <v>1251.4285714285711</v>
      </c>
      <c r="AV8" s="166">
        <v>69.523809523809504</v>
      </c>
      <c r="AW8" s="182">
        <f t="shared" si="15"/>
        <v>9</v>
      </c>
      <c r="AX8" s="455"/>
      <c r="AZ8" s="182" t="e">
        <f t="shared" si="17"/>
        <v>#N/A</v>
      </c>
      <c r="BA8" s="455"/>
    </row>
    <row r="9" spans="1:53" ht="13.5">
      <c r="A9" s="79"/>
      <c r="B9" s="454"/>
      <c r="C9" s="182">
        <v>3</v>
      </c>
      <c r="D9" s="203" t="s">
        <v>373</v>
      </c>
      <c r="E9" s="166">
        <v>17</v>
      </c>
      <c r="F9" s="182">
        <v>1440</v>
      </c>
      <c r="G9" s="180">
        <v>84.7</v>
      </c>
      <c r="H9" s="464"/>
      <c r="I9" s="166">
        <f t="shared" si="0"/>
        <v>17</v>
      </c>
      <c r="J9" s="166">
        <f t="shared" si="1"/>
        <v>1355.0737088744434</v>
      </c>
      <c r="K9" s="180">
        <f t="shared" si="2"/>
        <v>79.710218169084911</v>
      </c>
      <c r="L9" s="464"/>
      <c r="M9" s="181">
        <f>RANK(K9, K$7:$K$21)</f>
        <v>2</v>
      </c>
      <c r="N9" s="461"/>
      <c r="O9" s="461"/>
      <c r="P9" s="182">
        <v>17</v>
      </c>
      <c r="Q9" s="166">
        <v>1351.3274336283175</v>
      </c>
      <c r="R9" s="166">
        <v>79.489849036959853</v>
      </c>
      <c r="S9" s="182">
        <f t="shared" si="3"/>
        <v>2</v>
      </c>
      <c r="T9" s="455"/>
      <c r="U9" s="182">
        <v>17</v>
      </c>
      <c r="V9" s="166">
        <v>1373.3333333333337</v>
      </c>
      <c r="W9" s="166">
        <v>80.784313725490222</v>
      </c>
      <c r="X9" s="182">
        <f t="shared" si="5"/>
        <v>2</v>
      </c>
      <c r="Y9" s="455"/>
      <c r="Z9" s="182">
        <v>17</v>
      </c>
      <c r="AA9" s="166">
        <v>1353.8297872340427</v>
      </c>
      <c r="AB9" s="166">
        <v>79.637046307884859</v>
      </c>
      <c r="AC9" s="182">
        <f t="shared" si="7"/>
        <v>2</v>
      </c>
      <c r="AD9" s="455"/>
      <c r="AE9" s="182">
        <v>17</v>
      </c>
      <c r="AF9" s="166">
        <v>1341.6000000000004</v>
      </c>
      <c r="AG9" s="166">
        <v>78.917647058823547</v>
      </c>
      <c r="AH9" s="182">
        <f t="shared" si="9"/>
        <v>2</v>
      </c>
      <c r="AI9" s="455"/>
      <c r="AJ9" s="182">
        <v>17</v>
      </c>
      <c r="AK9" s="166">
        <v>1357.575757575758</v>
      </c>
      <c r="AL9" s="166">
        <v>79.857397504456344</v>
      </c>
      <c r="AM9" s="182">
        <f t="shared" si="11"/>
        <v>2</v>
      </c>
      <c r="AN9" s="455"/>
      <c r="AO9" s="182">
        <v>17</v>
      </c>
      <c r="AP9" s="166">
        <v>1350.5769230769238</v>
      </c>
      <c r="AQ9" s="166">
        <v>79.445701357466106</v>
      </c>
      <c r="AR9" s="182">
        <f t="shared" si="13"/>
        <v>2</v>
      </c>
      <c r="AS9" s="455"/>
      <c r="AT9" s="182">
        <v>17</v>
      </c>
      <c r="AU9" s="166">
        <v>1357.2727272727273</v>
      </c>
      <c r="AV9" s="166">
        <v>79.839572192513373</v>
      </c>
      <c r="AW9" s="182">
        <f t="shared" si="15"/>
        <v>2</v>
      </c>
      <c r="AX9" s="455"/>
      <c r="AZ9" s="182" t="e">
        <f t="shared" si="17"/>
        <v>#N/A</v>
      </c>
      <c r="BA9" s="455"/>
    </row>
    <row r="10" spans="1:53" ht="13.5">
      <c r="A10" s="79"/>
      <c r="B10" s="454"/>
      <c r="C10" s="182">
        <v>4</v>
      </c>
      <c r="D10" s="203" t="s">
        <v>374</v>
      </c>
      <c r="E10" s="166">
        <v>17</v>
      </c>
      <c r="F10" s="182">
        <v>1440</v>
      </c>
      <c r="G10" s="180">
        <v>84.7</v>
      </c>
      <c r="H10" s="464"/>
      <c r="I10" s="166">
        <f t="shared" si="0"/>
        <v>17</v>
      </c>
      <c r="J10" s="166">
        <f t="shared" si="1"/>
        <v>1274.7603584172955</v>
      </c>
      <c r="K10" s="180">
        <f t="shared" si="2"/>
        <v>74.985903436311489</v>
      </c>
      <c r="L10" s="464"/>
      <c r="M10" s="181">
        <f>RANK(K10, K$7:$K$21)</f>
        <v>4</v>
      </c>
      <c r="N10" s="461"/>
      <c r="O10" s="461"/>
      <c r="P10" s="182">
        <v>17</v>
      </c>
      <c r="Q10" s="166">
        <v>1269.0566037735857</v>
      </c>
      <c r="R10" s="166">
        <v>74.650388457269742</v>
      </c>
      <c r="S10" s="182">
        <f t="shared" si="3"/>
        <v>4</v>
      </c>
      <c r="T10" s="455"/>
      <c r="U10" s="182">
        <v>17</v>
      </c>
      <c r="V10" s="166">
        <v>1271.5384615384623</v>
      </c>
      <c r="W10" s="166">
        <v>74.796380090497792</v>
      </c>
      <c r="X10" s="182">
        <f t="shared" si="5"/>
        <v>4</v>
      </c>
      <c r="Y10" s="455"/>
      <c r="Z10" s="182">
        <v>17</v>
      </c>
      <c r="AA10" s="166">
        <v>1285.714285714286</v>
      </c>
      <c r="AB10" s="166">
        <v>75.630252100840352</v>
      </c>
      <c r="AC10" s="182">
        <f t="shared" si="7"/>
        <v>3</v>
      </c>
      <c r="AD10" s="455"/>
      <c r="AE10" s="182">
        <v>17</v>
      </c>
      <c r="AF10" s="166">
        <v>1250.9999999999995</v>
      </c>
      <c r="AG10" s="166">
        <v>73.588235294117624</v>
      </c>
      <c r="AH10" s="182">
        <f t="shared" si="9"/>
        <v>4</v>
      </c>
      <c r="AI10" s="455"/>
      <c r="AJ10" s="182">
        <v>17</v>
      </c>
      <c r="AK10" s="166">
        <v>1285.2631578947357</v>
      </c>
      <c r="AL10" s="166">
        <v>75.603715170278576</v>
      </c>
      <c r="AM10" s="182">
        <f t="shared" si="11"/>
        <v>3</v>
      </c>
      <c r="AN10" s="455"/>
      <c r="AO10" s="182">
        <v>17</v>
      </c>
      <c r="AP10" s="166">
        <v>1271.9999999999986</v>
      </c>
      <c r="AQ10" s="166">
        <v>74.823529411764625</v>
      </c>
      <c r="AR10" s="182">
        <f t="shared" si="13"/>
        <v>3</v>
      </c>
      <c r="AS10" s="455"/>
      <c r="AT10" s="182">
        <v>17</v>
      </c>
      <c r="AU10" s="166">
        <v>1288.7500000000002</v>
      </c>
      <c r="AV10" s="166">
        <v>75.808823529411782</v>
      </c>
      <c r="AW10" s="182">
        <f t="shared" si="15"/>
        <v>4</v>
      </c>
      <c r="AX10" s="455"/>
      <c r="AZ10" s="182" t="e">
        <f t="shared" si="17"/>
        <v>#N/A</v>
      </c>
      <c r="BA10" s="455"/>
    </row>
    <row r="11" spans="1:53" ht="13.5">
      <c r="A11" s="79"/>
      <c r="B11" s="454"/>
      <c r="C11" s="182">
        <v>5</v>
      </c>
      <c r="D11" s="203" t="s">
        <v>375</v>
      </c>
      <c r="E11" s="166">
        <v>21</v>
      </c>
      <c r="F11" s="182">
        <v>1385</v>
      </c>
      <c r="G11" s="180">
        <v>65.900000000000006</v>
      </c>
      <c r="H11" s="464"/>
      <c r="I11" s="166">
        <f t="shared" si="0"/>
        <v>21</v>
      </c>
      <c r="J11" s="166">
        <f t="shared" si="1"/>
        <v>1291.8425224982109</v>
      </c>
      <c r="K11" s="180">
        <f t="shared" si="2"/>
        <v>61.516310595152895</v>
      </c>
      <c r="L11" s="464"/>
      <c r="M11" s="181">
        <f>RANK(K11, K$7:$K$21)</f>
        <v>11</v>
      </c>
      <c r="N11" s="461"/>
      <c r="O11" s="461"/>
      <c r="P11" s="182">
        <v>21</v>
      </c>
      <c r="Q11" s="166">
        <v>1224.4500000000041</v>
      </c>
      <c r="R11" s="166">
        <v>58.307142857143056</v>
      </c>
      <c r="S11" s="182">
        <f t="shared" si="3"/>
        <v>11</v>
      </c>
      <c r="T11" s="455"/>
      <c r="U11" s="182">
        <v>21</v>
      </c>
      <c r="V11" s="166">
        <v>1305.5769230769238</v>
      </c>
      <c r="W11" s="166">
        <v>62.170329670329707</v>
      </c>
      <c r="X11" s="182">
        <f t="shared" si="5"/>
        <v>11</v>
      </c>
      <c r="Y11" s="455"/>
      <c r="Z11" s="182">
        <v>21</v>
      </c>
      <c r="AA11" s="166">
        <v>1308</v>
      </c>
      <c r="AB11" s="166">
        <v>62.285714285714285</v>
      </c>
      <c r="AC11" s="182">
        <f t="shared" si="7"/>
        <v>11</v>
      </c>
      <c r="AD11" s="455"/>
      <c r="AE11" s="182">
        <v>21</v>
      </c>
      <c r="AF11" s="166">
        <v>1284.9999999999995</v>
      </c>
      <c r="AG11" s="166">
        <v>61.190476190476168</v>
      </c>
      <c r="AH11" s="182">
        <f t="shared" si="9"/>
        <v>11</v>
      </c>
      <c r="AI11" s="455"/>
      <c r="AJ11" s="182">
        <v>21</v>
      </c>
      <c r="AK11" s="166">
        <v>1316.2025316455688</v>
      </c>
      <c r="AL11" s="166">
        <v>62.676311030741374</v>
      </c>
      <c r="AM11" s="182">
        <f t="shared" si="11"/>
        <v>11</v>
      </c>
      <c r="AN11" s="455"/>
      <c r="AO11" s="182">
        <v>21</v>
      </c>
      <c r="AP11" s="166">
        <v>1307.0967741935485</v>
      </c>
      <c r="AQ11" s="166">
        <v>62.242703533026123</v>
      </c>
      <c r="AR11" s="182">
        <f t="shared" si="13"/>
        <v>11</v>
      </c>
      <c r="AS11" s="455"/>
      <c r="AT11" s="182">
        <v>21</v>
      </c>
      <c r="AU11" s="166">
        <v>1296.5714285714294</v>
      </c>
      <c r="AV11" s="166">
        <v>61.741496598639493</v>
      </c>
      <c r="AW11" s="182">
        <f t="shared" si="15"/>
        <v>11</v>
      </c>
      <c r="AX11" s="455"/>
      <c r="AZ11" s="182" t="e">
        <f t="shared" si="17"/>
        <v>#N/A</v>
      </c>
      <c r="BA11" s="455"/>
    </row>
    <row r="12" spans="1:53" ht="13.5">
      <c r="A12" s="79"/>
      <c r="B12" s="454"/>
      <c r="C12" s="182">
        <v>6</v>
      </c>
      <c r="D12" s="203" t="s">
        <v>376</v>
      </c>
      <c r="E12" s="166">
        <v>19</v>
      </c>
      <c r="F12" s="182">
        <v>1440</v>
      </c>
      <c r="G12" s="180">
        <v>75.8</v>
      </c>
      <c r="H12" s="464"/>
      <c r="I12" s="166">
        <f t="shared" si="0"/>
        <v>19</v>
      </c>
      <c r="J12" s="166">
        <f t="shared" si="1"/>
        <v>1355.3016341984544</v>
      </c>
      <c r="K12" s="180">
        <f t="shared" si="2"/>
        <v>71.331664957813388</v>
      </c>
      <c r="L12" s="464"/>
      <c r="M12" s="181">
        <f>RANK(K12, K$7:$K$21)</f>
        <v>6</v>
      </c>
      <c r="N12" s="461"/>
      <c r="O12" s="461"/>
      <c r="P12" s="182">
        <v>19</v>
      </c>
      <c r="Q12" s="166">
        <v>1377.41935483871</v>
      </c>
      <c r="R12" s="166">
        <v>72.495755517826836</v>
      </c>
      <c r="S12" s="182">
        <f t="shared" si="3"/>
        <v>5</v>
      </c>
      <c r="T12" s="455"/>
      <c r="U12" s="182">
        <v>19</v>
      </c>
      <c r="V12" s="166">
        <v>1351.1392405063284</v>
      </c>
      <c r="W12" s="166">
        <v>71.112591605596236</v>
      </c>
      <c r="X12" s="182">
        <f t="shared" si="5"/>
        <v>6</v>
      </c>
      <c r="Y12" s="455"/>
      <c r="Z12" s="182">
        <v>19</v>
      </c>
      <c r="AA12" s="166">
        <v>1366.1538461538453</v>
      </c>
      <c r="AB12" s="166">
        <v>71.902834008097116</v>
      </c>
      <c r="AC12" s="182">
        <f t="shared" si="7"/>
        <v>7</v>
      </c>
      <c r="AD12" s="455"/>
      <c r="AE12" s="182">
        <v>19</v>
      </c>
      <c r="AF12" s="166">
        <v>1330.3125000000016</v>
      </c>
      <c r="AG12" s="166">
        <v>70.01644736842114</v>
      </c>
      <c r="AH12" s="182">
        <f t="shared" si="9"/>
        <v>9</v>
      </c>
      <c r="AI12" s="455"/>
      <c r="AJ12" s="182">
        <v>19</v>
      </c>
      <c r="AK12" s="166">
        <v>1376.0000000000014</v>
      </c>
      <c r="AL12" s="166">
        <v>72.421052631579016</v>
      </c>
      <c r="AM12" s="182">
        <f t="shared" si="11"/>
        <v>6</v>
      </c>
      <c r="AN12" s="455"/>
      <c r="AO12" s="182">
        <v>19</v>
      </c>
      <c r="AP12" s="166">
        <v>1360.2531645569613</v>
      </c>
      <c r="AQ12" s="166">
        <v>71.592271818787438</v>
      </c>
      <c r="AR12" s="182">
        <f t="shared" si="13"/>
        <v>6</v>
      </c>
      <c r="AS12" s="455"/>
      <c r="AT12" s="182">
        <v>19</v>
      </c>
      <c r="AU12" s="166">
        <v>1325.8333333333321</v>
      </c>
      <c r="AV12" s="166">
        <v>69.780701754385902</v>
      </c>
      <c r="AW12" s="182">
        <f t="shared" si="15"/>
        <v>7</v>
      </c>
      <c r="AX12" s="455"/>
      <c r="AZ12" s="182" t="e">
        <f t="shared" si="17"/>
        <v>#N/A</v>
      </c>
      <c r="BA12" s="455"/>
    </row>
    <row r="13" spans="1:53" ht="13.5">
      <c r="A13" s="79"/>
      <c r="B13" s="454"/>
      <c r="C13" s="182">
        <v>7</v>
      </c>
      <c r="D13" s="203" t="s">
        <v>580</v>
      </c>
      <c r="E13" s="166">
        <v>18</v>
      </c>
      <c r="F13" s="182">
        <v>1385</v>
      </c>
      <c r="G13" s="180">
        <v>76.900000000000006</v>
      </c>
      <c r="H13" s="464"/>
      <c r="I13" s="166">
        <f t="shared" si="0"/>
        <v>18</v>
      </c>
      <c r="J13" s="166">
        <f t="shared" si="1"/>
        <v>1271.3368251161357</v>
      </c>
      <c r="K13" s="180">
        <f t="shared" si="2"/>
        <v>70.629823617563105</v>
      </c>
      <c r="L13" s="464"/>
      <c r="M13" s="181">
        <f>RANK(K13, K$7:$K$21)</f>
        <v>8</v>
      </c>
      <c r="N13" s="461"/>
      <c r="O13" s="461"/>
      <c r="P13" s="182">
        <v>18</v>
      </c>
      <c r="Q13" s="166">
        <v>1278.4615384615377</v>
      </c>
      <c r="R13" s="166">
        <v>71.025641025640979</v>
      </c>
      <c r="S13" s="182">
        <f t="shared" si="3"/>
        <v>8</v>
      </c>
      <c r="T13" s="455"/>
      <c r="U13" s="182">
        <v>18</v>
      </c>
      <c r="V13" s="166">
        <v>1251.1999999999991</v>
      </c>
      <c r="W13" s="166">
        <v>69.511111111111063</v>
      </c>
      <c r="X13" s="182">
        <f t="shared" si="5"/>
        <v>8</v>
      </c>
      <c r="Y13" s="455"/>
      <c r="Z13" s="182">
        <v>18</v>
      </c>
      <c r="AA13" s="166">
        <v>1267.3846153846168</v>
      </c>
      <c r="AB13" s="166">
        <v>70.410256410256494</v>
      </c>
      <c r="AC13" s="182">
        <f t="shared" si="7"/>
        <v>8</v>
      </c>
      <c r="AD13" s="455"/>
      <c r="AE13" s="182">
        <v>18</v>
      </c>
      <c r="AF13" s="166">
        <v>1271.3793103448284</v>
      </c>
      <c r="AG13" s="166">
        <v>70.632183908046017</v>
      </c>
      <c r="AH13" s="182">
        <f t="shared" si="9"/>
        <v>7</v>
      </c>
      <c r="AI13" s="455"/>
      <c r="AJ13" s="182">
        <v>18</v>
      </c>
      <c r="AK13" s="166">
        <v>1272.4137931034493</v>
      </c>
      <c r="AL13" s="166">
        <v>70.68965517241385</v>
      </c>
      <c r="AM13" s="182">
        <f t="shared" si="11"/>
        <v>8</v>
      </c>
      <c r="AN13" s="455"/>
      <c r="AO13" s="182">
        <v>18</v>
      </c>
      <c r="AP13" s="166">
        <v>1280.0000000000009</v>
      </c>
      <c r="AQ13" s="166">
        <v>71.111111111111157</v>
      </c>
      <c r="AR13" s="182">
        <f t="shared" si="13"/>
        <v>7</v>
      </c>
      <c r="AS13" s="455"/>
      <c r="AT13" s="182">
        <v>18</v>
      </c>
      <c r="AU13" s="166">
        <v>1278.518518518518</v>
      </c>
      <c r="AV13" s="166">
        <v>71.028806584362115</v>
      </c>
      <c r="AW13" s="182">
        <f t="shared" si="15"/>
        <v>6</v>
      </c>
      <c r="AX13" s="455"/>
      <c r="AZ13" s="182" t="e">
        <f t="shared" si="17"/>
        <v>#N/A</v>
      </c>
      <c r="BA13" s="455"/>
    </row>
    <row r="14" spans="1:53" ht="13.5">
      <c r="A14" s="79"/>
      <c r="B14" s="454"/>
      <c r="C14" s="182">
        <v>8</v>
      </c>
      <c r="D14" s="203" t="s">
        <v>583</v>
      </c>
      <c r="E14" s="166">
        <v>18</v>
      </c>
      <c r="F14" s="182">
        <v>1385</v>
      </c>
      <c r="G14" s="180">
        <v>76.900000000000006</v>
      </c>
      <c r="H14" s="464"/>
      <c r="I14" s="166">
        <f t="shared" si="0"/>
        <v>18</v>
      </c>
      <c r="J14" s="166">
        <f t="shared" si="1"/>
        <v>1234.1550443355864</v>
      </c>
      <c r="K14" s="180">
        <f t="shared" si="2"/>
        <v>68.564169129754802</v>
      </c>
      <c r="L14" s="464"/>
      <c r="M14" s="181">
        <f>RANK(K14, K$7:$K$21)</f>
        <v>10</v>
      </c>
      <c r="N14" s="461"/>
      <c r="O14" s="461"/>
      <c r="P14" s="182">
        <v>18</v>
      </c>
      <c r="Q14" s="166">
        <v>1280.7692307692314</v>
      </c>
      <c r="R14" s="166">
        <v>71.153846153846189</v>
      </c>
      <c r="S14" s="182">
        <f t="shared" si="3"/>
        <v>7</v>
      </c>
      <c r="T14" s="455"/>
      <c r="U14" s="182">
        <v>18</v>
      </c>
      <c r="V14" s="166">
        <v>1223.2653061224491</v>
      </c>
      <c r="W14" s="166">
        <v>67.959183673469397</v>
      </c>
      <c r="X14" s="182">
        <f t="shared" si="5"/>
        <v>10</v>
      </c>
      <c r="Y14" s="455"/>
      <c r="Z14" s="182">
        <v>18</v>
      </c>
      <c r="AA14" s="166">
        <v>1220.9302325581393</v>
      </c>
      <c r="AB14" s="166">
        <v>67.829457364341067</v>
      </c>
      <c r="AC14" s="182">
        <f t="shared" si="7"/>
        <v>10</v>
      </c>
      <c r="AD14" s="455"/>
      <c r="AE14" s="182">
        <v>18</v>
      </c>
      <c r="AF14" s="166">
        <v>1214.6341463414628</v>
      </c>
      <c r="AG14" s="166">
        <v>67.479674796747929</v>
      </c>
      <c r="AH14" s="182">
        <f t="shared" si="9"/>
        <v>10</v>
      </c>
      <c r="AI14" s="455"/>
      <c r="AJ14" s="182">
        <v>18</v>
      </c>
      <c r="AK14" s="166">
        <v>1221.3333333333333</v>
      </c>
      <c r="AL14" s="166">
        <v>67.851851851851848</v>
      </c>
      <c r="AM14" s="182">
        <f t="shared" si="11"/>
        <v>10</v>
      </c>
      <c r="AN14" s="455"/>
      <c r="AO14" s="182">
        <v>18</v>
      </c>
      <c r="AP14" s="166">
        <v>1225.4999999999995</v>
      </c>
      <c r="AQ14" s="166">
        <v>68.083333333333314</v>
      </c>
      <c r="AR14" s="182">
        <f t="shared" si="13"/>
        <v>10</v>
      </c>
      <c r="AS14" s="455"/>
      <c r="AT14" s="182">
        <v>18</v>
      </c>
      <c r="AU14" s="166">
        <v>1252.6530612244901</v>
      </c>
      <c r="AV14" s="166">
        <v>69.591836734693899</v>
      </c>
      <c r="AW14" s="182">
        <f t="shared" si="15"/>
        <v>8</v>
      </c>
      <c r="AX14" s="455"/>
      <c r="AZ14" s="182" t="e">
        <f t="shared" si="17"/>
        <v>#N/A</v>
      </c>
      <c r="BA14" s="455"/>
    </row>
    <row r="15" spans="1:53" ht="13.5">
      <c r="A15" s="79"/>
      <c r="B15" s="454"/>
      <c r="C15" s="182">
        <v>9</v>
      </c>
      <c r="D15" s="203" t="s">
        <v>645</v>
      </c>
      <c r="E15" s="166">
        <v>16</v>
      </c>
      <c r="F15" s="182">
        <v>1440</v>
      </c>
      <c r="G15" s="180">
        <v>90</v>
      </c>
      <c r="H15" s="464"/>
      <c r="I15" s="166">
        <f t="shared" si="0"/>
        <v>16</v>
      </c>
      <c r="J15" s="166">
        <f t="shared" si="1"/>
        <v>1345.2874378167812</v>
      </c>
      <c r="K15" s="180">
        <f t="shared" si="2"/>
        <v>84.080464863548826</v>
      </c>
      <c r="L15" s="464"/>
      <c r="M15" s="181">
        <f>RANK(K15, K$7:$K$21)</f>
        <v>1</v>
      </c>
      <c r="N15" s="461"/>
      <c r="O15" s="461"/>
      <c r="P15" s="182">
        <v>16</v>
      </c>
      <c r="Q15" s="166">
        <v>1341.3913043478253</v>
      </c>
      <c r="R15" s="166">
        <v>83.836956521739083</v>
      </c>
      <c r="S15" s="182">
        <f t="shared" si="3"/>
        <v>1</v>
      </c>
      <c r="T15" s="455"/>
      <c r="U15" s="182">
        <v>16</v>
      </c>
      <c r="V15" s="166">
        <v>1354.2857142857151</v>
      </c>
      <c r="W15" s="166">
        <v>84.642857142857196</v>
      </c>
      <c r="X15" s="182">
        <f t="shared" si="5"/>
        <v>1</v>
      </c>
      <c r="Y15" s="455"/>
      <c r="Z15" s="182">
        <v>16</v>
      </c>
      <c r="AA15" s="166">
        <v>1335.882352941177</v>
      </c>
      <c r="AB15" s="166">
        <v>83.492647058823565</v>
      </c>
      <c r="AC15" s="182">
        <f t="shared" si="7"/>
        <v>1</v>
      </c>
      <c r="AD15" s="455"/>
      <c r="AE15" s="182">
        <v>16</v>
      </c>
      <c r="AF15" s="166">
        <v>1343.5443037974678</v>
      </c>
      <c r="AG15" s="166">
        <v>83.971518987341739</v>
      </c>
      <c r="AH15" s="182">
        <f t="shared" si="9"/>
        <v>1</v>
      </c>
      <c r="AI15" s="455"/>
      <c r="AJ15" s="182">
        <v>16</v>
      </c>
      <c r="AK15" s="166">
        <v>1355.3333333333333</v>
      </c>
      <c r="AL15" s="166">
        <v>84.708333333333329</v>
      </c>
      <c r="AM15" s="182">
        <f t="shared" si="11"/>
        <v>1</v>
      </c>
      <c r="AN15" s="455"/>
      <c r="AO15" s="182">
        <v>16</v>
      </c>
      <c r="AP15" s="166">
        <v>1339.805825242719</v>
      </c>
      <c r="AQ15" s="166">
        <v>83.73786407766994</v>
      </c>
      <c r="AR15" s="182">
        <f t="shared" si="13"/>
        <v>1</v>
      </c>
      <c r="AS15" s="455"/>
      <c r="AT15" s="182">
        <v>16</v>
      </c>
      <c r="AU15" s="166">
        <v>1346.7692307692305</v>
      </c>
      <c r="AV15" s="166">
        <v>84.173076923076906</v>
      </c>
      <c r="AW15" s="182">
        <f t="shared" si="15"/>
        <v>1</v>
      </c>
      <c r="AX15" s="455"/>
      <c r="AZ15" s="182" t="e">
        <f t="shared" si="17"/>
        <v>#N/A</v>
      </c>
      <c r="BA15" s="455"/>
    </row>
    <row r="16" spans="1:53" ht="13.5">
      <c r="A16" s="79"/>
      <c r="B16" s="454"/>
      <c r="C16" s="182">
        <v>10</v>
      </c>
      <c r="D16" s="203" t="s">
        <v>769</v>
      </c>
      <c r="E16" s="166">
        <v>19</v>
      </c>
      <c r="F16" s="182">
        <v>1440</v>
      </c>
      <c r="G16" s="180">
        <v>75.8</v>
      </c>
      <c r="H16" s="464"/>
      <c r="I16" s="166">
        <f t="shared" si="0"/>
        <v>18.857142857142858</v>
      </c>
      <c r="J16" s="166">
        <f t="shared" si="1"/>
        <v>1317.8647496233921</v>
      </c>
      <c r="K16" s="180">
        <f t="shared" si="2"/>
        <v>69.891438928158237</v>
      </c>
      <c r="L16" s="464"/>
      <c r="M16" s="181">
        <f>RANK(K16, K$7:$K$21)</f>
        <v>9</v>
      </c>
      <c r="N16" s="461"/>
      <c r="O16" s="461"/>
      <c r="P16" s="182">
        <v>18</v>
      </c>
      <c r="Q16" s="166">
        <v>1269.1463414634143</v>
      </c>
      <c r="R16" s="166">
        <v>70.508130081300791</v>
      </c>
      <c r="S16" s="182">
        <f t="shared" si="3"/>
        <v>9</v>
      </c>
      <c r="T16" s="455"/>
      <c r="U16" s="182">
        <v>19</v>
      </c>
      <c r="V16" s="166">
        <v>1316.6854838709683</v>
      </c>
      <c r="W16" s="166">
        <v>69.299235993208853</v>
      </c>
      <c r="X16" s="182">
        <f t="shared" si="5"/>
        <v>9</v>
      </c>
      <c r="Y16" s="455"/>
      <c r="Z16" s="182">
        <v>19</v>
      </c>
      <c r="AA16" s="166">
        <v>1315.0052631578947</v>
      </c>
      <c r="AB16" s="166">
        <v>69.210803324099714</v>
      </c>
      <c r="AC16" s="182">
        <f t="shared" si="7"/>
        <v>9</v>
      </c>
      <c r="AD16" s="455"/>
      <c r="AE16" s="182">
        <v>19</v>
      </c>
      <c r="AF16" s="166">
        <v>1330.4936170212768</v>
      </c>
      <c r="AG16" s="166">
        <v>70.025979843225102</v>
      </c>
      <c r="AH16" s="182">
        <f t="shared" si="9"/>
        <v>8</v>
      </c>
      <c r="AI16" s="455"/>
      <c r="AJ16" s="182">
        <v>19</v>
      </c>
      <c r="AK16" s="166">
        <v>1323.8140127388535</v>
      </c>
      <c r="AL16" s="166">
        <v>69.674421723097552</v>
      </c>
      <c r="AM16" s="182">
        <f t="shared" si="11"/>
        <v>9</v>
      </c>
      <c r="AN16" s="455"/>
      <c r="AO16" s="182">
        <v>19</v>
      </c>
      <c r="AP16" s="166">
        <v>1349.0494382022466</v>
      </c>
      <c r="AQ16" s="166">
        <v>71.002602010644566</v>
      </c>
      <c r="AR16" s="182">
        <f t="shared" si="13"/>
        <v>8</v>
      </c>
      <c r="AS16" s="455"/>
      <c r="AT16" s="182">
        <v>19</v>
      </c>
      <c r="AU16" s="166">
        <v>1320.8590909090908</v>
      </c>
      <c r="AV16" s="166">
        <v>69.518899521531097</v>
      </c>
      <c r="AW16" s="182">
        <f t="shared" si="15"/>
        <v>10</v>
      </c>
      <c r="AX16" s="455"/>
      <c r="AZ16" s="182" t="e">
        <f t="shared" si="17"/>
        <v>#N/A</v>
      </c>
      <c r="BA16" s="455"/>
    </row>
    <row r="17" spans="2:53">
      <c r="B17" s="454"/>
      <c r="C17" s="182">
        <v>11</v>
      </c>
      <c r="D17" s="203" t="s">
        <v>856</v>
      </c>
      <c r="E17" s="166">
        <v>19</v>
      </c>
      <c r="F17" s="182">
        <v>1440</v>
      </c>
      <c r="G17" s="180">
        <v>75.8</v>
      </c>
      <c r="H17" s="464"/>
      <c r="I17" s="166">
        <f t="shared" si="0"/>
        <v>18.285714285714285</v>
      </c>
      <c r="J17" s="166">
        <f t="shared" si="1"/>
        <v>1323.7968409665307</v>
      </c>
      <c r="K17" s="180">
        <f t="shared" si="2"/>
        <v>72.446289685137842</v>
      </c>
      <c r="L17" s="464"/>
      <c r="M17" s="181">
        <f>RANK(K17, K$7:$K$21)</f>
        <v>5</v>
      </c>
      <c r="N17" s="461"/>
      <c r="O17" s="461"/>
      <c r="P17" s="182">
        <v>19</v>
      </c>
      <c r="Q17" s="166">
        <v>1291.0866141732279</v>
      </c>
      <c r="R17" s="166">
        <v>67.951927061748833</v>
      </c>
      <c r="S17" s="182">
        <f t="shared" si="3"/>
        <v>10</v>
      </c>
      <c r="T17" s="455"/>
      <c r="U17" s="182">
        <v>19</v>
      </c>
      <c r="V17" s="166">
        <v>1337.4757281553402</v>
      </c>
      <c r="W17" s="166">
        <v>70.393459376596851</v>
      </c>
      <c r="X17" s="182">
        <f t="shared" si="5"/>
        <v>7</v>
      </c>
      <c r="Y17" s="455"/>
      <c r="Z17" s="182">
        <v>18</v>
      </c>
      <c r="AA17" s="166">
        <v>1331.4531645569612</v>
      </c>
      <c r="AB17" s="166">
        <v>73.969620253164507</v>
      </c>
      <c r="AC17" s="182">
        <f t="shared" si="7"/>
        <v>5</v>
      </c>
      <c r="AD17" s="455"/>
      <c r="AE17" s="182">
        <v>18</v>
      </c>
      <c r="AF17" s="166">
        <v>1314.0214285714296</v>
      </c>
      <c r="AG17" s="166">
        <v>73.00119047619053</v>
      </c>
      <c r="AH17" s="182">
        <f t="shared" si="9"/>
        <v>5</v>
      </c>
      <c r="AI17" s="455"/>
      <c r="AJ17" s="182">
        <v>18</v>
      </c>
      <c r="AK17" s="166">
        <v>1328.1818181818196</v>
      </c>
      <c r="AL17" s="166">
        <v>73.787878787878867</v>
      </c>
      <c r="AM17" s="182">
        <f t="shared" si="11"/>
        <v>5</v>
      </c>
      <c r="AN17" s="455"/>
      <c r="AO17" s="182">
        <v>18</v>
      </c>
      <c r="AP17" s="166">
        <v>1314.9473684210529</v>
      </c>
      <c r="AQ17" s="166">
        <v>73.052631578947384</v>
      </c>
      <c r="AR17" s="182">
        <f t="shared" si="13"/>
        <v>5</v>
      </c>
      <c r="AS17" s="455"/>
      <c r="AT17" s="182">
        <v>18</v>
      </c>
      <c r="AU17" s="166">
        <v>1349.4117647058829</v>
      </c>
      <c r="AV17" s="166">
        <v>74.967320261437933</v>
      </c>
      <c r="AW17" s="182">
        <f t="shared" si="15"/>
        <v>5</v>
      </c>
      <c r="AX17" s="455"/>
      <c r="AZ17" s="182" t="e">
        <f t="shared" si="17"/>
        <v>#N/A</v>
      </c>
      <c r="BA17" s="455"/>
    </row>
    <row r="18" spans="2:53">
      <c r="B18" s="454"/>
      <c r="C18" s="182">
        <v>12</v>
      </c>
      <c r="D18" s="203"/>
      <c r="E18" s="166"/>
      <c r="F18" s="182"/>
      <c r="G18" s="180"/>
      <c r="H18" s="464"/>
      <c r="I18" s="166" t="str">
        <f t="shared" si="0"/>
        <v>-</v>
      </c>
      <c r="J18" s="166" t="str">
        <f t="shared" si="1"/>
        <v>-</v>
      </c>
      <c r="K18" s="180" t="str">
        <f t="shared" si="2"/>
        <v>-</v>
      </c>
      <c r="L18" s="464"/>
      <c r="M18" s="181" t="e">
        <f>RANK(K18, K$7:$K$21)</f>
        <v>#VALUE!</v>
      </c>
      <c r="N18" s="461"/>
      <c r="O18" s="461"/>
      <c r="P18" s="182" t="s">
        <v>890</v>
      </c>
      <c r="Q18" s="166" t="s">
        <v>890</v>
      </c>
      <c r="R18" s="166" t="s">
        <v>890</v>
      </c>
      <c r="S18" s="182" t="e">
        <f t="shared" si="3"/>
        <v>#VALUE!</v>
      </c>
      <c r="T18" s="455"/>
      <c r="U18" s="182" t="s">
        <v>890</v>
      </c>
      <c r="V18" s="166" t="s">
        <v>890</v>
      </c>
      <c r="W18" s="166" t="s">
        <v>890</v>
      </c>
      <c r="X18" s="182" t="e">
        <f t="shared" si="5"/>
        <v>#VALUE!</v>
      </c>
      <c r="Y18" s="455"/>
      <c r="Z18" s="182" t="s">
        <v>890</v>
      </c>
      <c r="AA18" s="166" t="s">
        <v>890</v>
      </c>
      <c r="AB18" s="166" t="s">
        <v>890</v>
      </c>
      <c r="AC18" s="182" t="e">
        <f t="shared" si="7"/>
        <v>#VALUE!</v>
      </c>
      <c r="AD18" s="455"/>
      <c r="AE18" s="182" t="s">
        <v>890</v>
      </c>
      <c r="AF18" s="166" t="s">
        <v>890</v>
      </c>
      <c r="AG18" s="166" t="s">
        <v>890</v>
      </c>
      <c r="AH18" s="182" t="e">
        <f t="shared" si="9"/>
        <v>#VALUE!</v>
      </c>
      <c r="AI18" s="455"/>
      <c r="AJ18" s="182" t="s">
        <v>890</v>
      </c>
      <c r="AK18" s="166" t="s">
        <v>890</v>
      </c>
      <c r="AL18" s="166" t="s">
        <v>890</v>
      </c>
      <c r="AM18" s="182" t="e">
        <f t="shared" si="11"/>
        <v>#VALUE!</v>
      </c>
      <c r="AN18" s="455"/>
      <c r="AO18" s="182" t="s">
        <v>890</v>
      </c>
      <c r="AP18" s="166" t="s">
        <v>890</v>
      </c>
      <c r="AQ18" s="166" t="s">
        <v>890</v>
      </c>
      <c r="AR18" s="182" t="e">
        <f t="shared" si="13"/>
        <v>#VALUE!</v>
      </c>
      <c r="AS18" s="455"/>
      <c r="AT18" s="182" t="s">
        <v>890</v>
      </c>
      <c r="AU18" s="166" t="s">
        <v>890</v>
      </c>
      <c r="AV18" s="166" t="s">
        <v>890</v>
      </c>
      <c r="AW18" s="182" t="e">
        <f t="shared" si="15"/>
        <v>#VALUE!</v>
      </c>
      <c r="AX18" s="455"/>
      <c r="AZ18" s="182" t="e">
        <f t="shared" si="17"/>
        <v>#N/A</v>
      </c>
      <c r="BA18" s="455"/>
    </row>
    <row r="19" spans="2:53">
      <c r="B19" s="454"/>
      <c r="C19" s="182">
        <v>13</v>
      </c>
      <c r="D19" s="203"/>
      <c r="E19" s="166"/>
      <c r="F19" s="182"/>
      <c r="G19" s="180"/>
      <c r="H19" s="464"/>
      <c r="I19" s="166" t="str">
        <f t="shared" si="0"/>
        <v>-</v>
      </c>
      <c r="J19" s="166" t="str">
        <f t="shared" si="1"/>
        <v>-</v>
      </c>
      <c r="K19" s="180" t="str">
        <f t="shared" si="2"/>
        <v>-</v>
      </c>
      <c r="L19" s="464"/>
      <c r="M19" s="181" t="e">
        <f>RANK(K19, K$7:$K$21)</f>
        <v>#VALUE!</v>
      </c>
      <c r="N19" s="461"/>
      <c r="O19" s="461"/>
      <c r="P19" s="182" t="s">
        <v>890</v>
      </c>
      <c r="Q19" s="166" t="s">
        <v>890</v>
      </c>
      <c r="R19" s="166" t="s">
        <v>890</v>
      </c>
      <c r="S19" s="182" t="e">
        <f t="shared" si="3"/>
        <v>#VALUE!</v>
      </c>
      <c r="T19" s="455"/>
      <c r="U19" s="182" t="s">
        <v>890</v>
      </c>
      <c r="V19" s="166" t="s">
        <v>890</v>
      </c>
      <c r="W19" s="166" t="s">
        <v>890</v>
      </c>
      <c r="X19" s="182" t="e">
        <f t="shared" si="5"/>
        <v>#VALUE!</v>
      </c>
      <c r="Y19" s="455"/>
      <c r="Z19" s="182" t="s">
        <v>890</v>
      </c>
      <c r="AA19" s="166" t="s">
        <v>890</v>
      </c>
      <c r="AB19" s="166" t="s">
        <v>890</v>
      </c>
      <c r="AC19" s="182" t="e">
        <f t="shared" si="7"/>
        <v>#VALUE!</v>
      </c>
      <c r="AD19" s="455"/>
      <c r="AE19" s="182" t="s">
        <v>890</v>
      </c>
      <c r="AF19" s="166" t="s">
        <v>890</v>
      </c>
      <c r="AG19" s="166" t="s">
        <v>890</v>
      </c>
      <c r="AH19" s="182" t="e">
        <f t="shared" si="9"/>
        <v>#VALUE!</v>
      </c>
      <c r="AI19" s="455"/>
      <c r="AJ19" s="182" t="s">
        <v>890</v>
      </c>
      <c r="AK19" s="166" t="s">
        <v>890</v>
      </c>
      <c r="AL19" s="166" t="s">
        <v>890</v>
      </c>
      <c r="AM19" s="182" t="e">
        <f t="shared" si="11"/>
        <v>#VALUE!</v>
      </c>
      <c r="AN19" s="455"/>
      <c r="AO19" s="182" t="s">
        <v>890</v>
      </c>
      <c r="AP19" s="166" t="s">
        <v>890</v>
      </c>
      <c r="AQ19" s="166" t="s">
        <v>890</v>
      </c>
      <c r="AR19" s="182" t="e">
        <f t="shared" si="13"/>
        <v>#VALUE!</v>
      </c>
      <c r="AS19" s="455"/>
      <c r="AT19" s="182" t="s">
        <v>890</v>
      </c>
      <c r="AU19" s="166" t="s">
        <v>890</v>
      </c>
      <c r="AV19" s="166" t="s">
        <v>890</v>
      </c>
      <c r="AW19" s="182" t="e">
        <f t="shared" si="15"/>
        <v>#VALUE!</v>
      </c>
      <c r="AX19" s="455"/>
      <c r="AZ19" s="182" t="e">
        <f t="shared" si="17"/>
        <v>#N/A</v>
      </c>
      <c r="BA19" s="455"/>
    </row>
    <row r="20" spans="2:53">
      <c r="B20" s="454"/>
      <c r="C20" s="182">
        <v>14</v>
      </c>
      <c r="D20" s="203"/>
      <c r="E20" s="166"/>
      <c r="F20" s="182"/>
      <c r="G20" s="180"/>
      <c r="H20" s="464"/>
      <c r="I20" s="166" t="str">
        <f t="shared" si="0"/>
        <v>-</v>
      </c>
      <c r="J20" s="166" t="str">
        <f t="shared" si="1"/>
        <v>-</v>
      </c>
      <c r="K20" s="180" t="str">
        <f t="shared" si="2"/>
        <v>-</v>
      </c>
      <c r="L20" s="464"/>
      <c r="M20" s="181" t="e">
        <f>RANK(K20, K$7:$K$21)</f>
        <v>#VALUE!</v>
      </c>
      <c r="N20" s="461"/>
      <c r="O20" s="461"/>
      <c r="P20" s="182" t="s">
        <v>890</v>
      </c>
      <c r="Q20" s="166" t="s">
        <v>890</v>
      </c>
      <c r="R20" s="166" t="s">
        <v>890</v>
      </c>
      <c r="S20" s="182" t="e">
        <f t="shared" si="3"/>
        <v>#VALUE!</v>
      </c>
      <c r="T20" s="455"/>
      <c r="U20" s="182" t="s">
        <v>890</v>
      </c>
      <c r="V20" s="166" t="s">
        <v>890</v>
      </c>
      <c r="W20" s="166" t="s">
        <v>890</v>
      </c>
      <c r="X20" s="182" t="e">
        <f t="shared" si="5"/>
        <v>#VALUE!</v>
      </c>
      <c r="Y20" s="455"/>
      <c r="Z20" s="182" t="s">
        <v>890</v>
      </c>
      <c r="AA20" s="166" t="s">
        <v>890</v>
      </c>
      <c r="AB20" s="166" t="s">
        <v>890</v>
      </c>
      <c r="AC20" s="182" t="e">
        <f t="shared" si="7"/>
        <v>#VALUE!</v>
      </c>
      <c r="AD20" s="455"/>
      <c r="AE20" s="182" t="s">
        <v>890</v>
      </c>
      <c r="AF20" s="166" t="s">
        <v>890</v>
      </c>
      <c r="AG20" s="166" t="s">
        <v>890</v>
      </c>
      <c r="AH20" s="182" t="e">
        <f t="shared" si="9"/>
        <v>#VALUE!</v>
      </c>
      <c r="AI20" s="455"/>
      <c r="AJ20" s="182" t="s">
        <v>890</v>
      </c>
      <c r="AK20" s="166" t="s">
        <v>890</v>
      </c>
      <c r="AL20" s="166" t="s">
        <v>890</v>
      </c>
      <c r="AM20" s="182" t="e">
        <f t="shared" si="11"/>
        <v>#VALUE!</v>
      </c>
      <c r="AN20" s="455"/>
      <c r="AO20" s="182" t="s">
        <v>890</v>
      </c>
      <c r="AP20" s="166" t="s">
        <v>890</v>
      </c>
      <c r="AQ20" s="166" t="s">
        <v>890</v>
      </c>
      <c r="AR20" s="182" t="e">
        <f t="shared" si="13"/>
        <v>#VALUE!</v>
      </c>
      <c r="AS20" s="455"/>
      <c r="AT20" s="182" t="s">
        <v>890</v>
      </c>
      <c r="AU20" s="166" t="s">
        <v>890</v>
      </c>
      <c r="AV20" s="166" t="s">
        <v>890</v>
      </c>
      <c r="AW20" s="182" t="e">
        <f t="shared" si="15"/>
        <v>#VALUE!</v>
      </c>
      <c r="AX20" s="455"/>
      <c r="AZ20" s="182" t="e">
        <f t="shared" si="17"/>
        <v>#N/A</v>
      </c>
      <c r="BA20" s="455"/>
    </row>
    <row r="21" spans="2:53">
      <c r="B21" s="454"/>
      <c r="C21" s="182">
        <v>15</v>
      </c>
      <c r="D21" s="203"/>
      <c r="E21" s="166"/>
      <c r="F21" s="182"/>
      <c r="G21" s="180"/>
      <c r="H21" s="465"/>
      <c r="I21" s="182"/>
      <c r="J21" s="182"/>
      <c r="K21" s="182"/>
      <c r="L21" s="465"/>
      <c r="M21" s="181" t="e">
        <f>RANK(K21, K$7:$K$21)</f>
        <v>#N/A</v>
      </c>
      <c r="N21" s="461"/>
      <c r="O21" s="461"/>
      <c r="P21" s="182" t="s">
        <v>890</v>
      </c>
      <c r="Q21" s="166" t="s">
        <v>890</v>
      </c>
      <c r="R21" s="166" t="s">
        <v>890</v>
      </c>
      <c r="S21" s="182" t="e">
        <f t="shared" si="3"/>
        <v>#VALUE!</v>
      </c>
      <c r="T21" s="455"/>
      <c r="U21" s="182" t="s">
        <v>890</v>
      </c>
      <c r="V21" s="166" t="s">
        <v>890</v>
      </c>
      <c r="W21" s="166" t="s">
        <v>890</v>
      </c>
      <c r="X21" s="182" t="e">
        <f t="shared" si="5"/>
        <v>#VALUE!</v>
      </c>
      <c r="Y21" s="455"/>
      <c r="Z21" s="182" t="s">
        <v>890</v>
      </c>
      <c r="AA21" s="166" t="s">
        <v>890</v>
      </c>
      <c r="AB21" s="166" t="s">
        <v>890</v>
      </c>
      <c r="AC21" s="182" t="e">
        <f t="shared" si="7"/>
        <v>#VALUE!</v>
      </c>
      <c r="AD21" s="455"/>
      <c r="AE21" s="182" t="s">
        <v>890</v>
      </c>
      <c r="AF21" s="166" t="s">
        <v>890</v>
      </c>
      <c r="AG21" s="166" t="s">
        <v>890</v>
      </c>
      <c r="AH21" s="182" t="e">
        <f t="shared" si="9"/>
        <v>#VALUE!</v>
      </c>
      <c r="AI21" s="455"/>
      <c r="AJ21" s="182" t="s">
        <v>890</v>
      </c>
      <c r="AK21" s="166" t="s">
        <v>890</v>
      </c>
      <c r="AL21" s="166" t="s">
        <v>890</v>
      </c>
      <c r="AM21" s="182" t="e">
        <f t="shared" si="11"/>
        <v>#VALUE!</v>
      </c>
      <c r="AN21" s="455"/>
      <c r="AO21" s="182" t="s">
        <v>890</v>
      </c>
      <c r="AP21" s="166" t="s">
        <v>890</v>
      </c>
      <c r="AQ21" s="166" t="s">
        <v>890</v>
      </c>
      <c r="AR21" s="182" t="e">
        <f t="shared" si="13"/>
        <v>#VALUE!</v>
      </c>
      <c r="AS21" s="455"/>
      <c r="AT21" s="182" t="s">
        <v>890</v>
      </c>
      <c r="AU21" s="166" t="s">
        <v>890</v>
      </c>
      <c r="AV21" s="166" t="s">
        <v>890</v>
      </c>
      <c r="AW21" s="182" t="e">
        <f t="shared" si="15"/>
        <v>#VALUE!</v>
      </c>
      <c r="AX21" s="455"/>
      <c r="AZ21" s="182" t="e">
        <f t="shared" si="17"/>
        <v>#N/A</v>
      </c>
      <c r="BA21" s="455"/>
    </row>
    <row r="22" spans="2:53" ht="15.5">
      <c r="B22" s="493" t="s">
        <v>163</v>
      </c>
      <c r="C22" s="494"/>
      <c r="D22" s="494"/>
      <c r="E22" s="494"/>
      <c r="F22" s="494"/>
      <c r="G22" s="494"/>
      <c r="H22" s="494"/>
      <c r="I22" s="183"/>
      <c r="J22" s="183"/>
      <c r="K22" s="183"/>
      <c r="L22" s="183"/>
      <c r="M22" s="178"/>
      <c r="N22" s="480" t="s">
        <v>156</v>
      </c>
      <c r="O22" s="480" t="s">
        <v>105</v>
      </c>
      <c r="P22" s="476">
        <f>P2+7</f>
        <v>46119</v>
      </c>
      <c r="Q22" s="454"/>
      <c r="R22" s="454"/>
      <c r="S22" s="454"/>
      <c r="T22" s="454"/>
      <c r="U22" s="473">
        <f>P22+1</f>
        <v>46120</v>
      </c>
      <c r="V22" s="474"/>
      <c r="W22" s="474"/>
      <c r="X22" s="474"/>
      <c r="Y22" s="475"/>
      <c r="Z22" s="473">
        <f>U22+1</f>
        <v>46121</v>
      </c>
      <c r="AA22" s="474"/>
      <c r="AB22" s="474"/>
      <c r="AC22" s="474"/>
      <c r="AD22" s="475"/>
      <c r="AE22" s="473">
        <f>Z22+1</f>
        <v>46122</v>
      </c>
      <c r="AF22" s="474"/>
      <c r="AG22" s="474"/>
      <c r="AH22" s="474"/>
      <c r="AI22" s="475"/>
      <c r="AJ22" s="473">
        <f>AE22+1</f>
        <v>46123</v>
      </c>
      <c r="AK22" s="474"/>
      <c r="AL22" s="474"/>
      <c r="AM22" s="474"/>
      <c r="AN22" s="475"/>
      <c r="AO22" s="473">
        <f>AJ22+1</f>
        <v>46124</v>
      </c>
      <c r="AP22" s="474"/>
      <c r="AQ22" s="474"/>
      <c r="AR22" s="474"/>
      <c r="AS22" s="475"/>
      <c r="AT22" s="473">
        <f>AO22+1</f>
        <v>46125</v>
      </c>
      <c r="AU22" s="474"/>
      <c r="AV22" s="474"/>
      <c r="AW22" s="474"/>
      <c r="AX22" s="475"/>
    </row>
    <row r="23" spans="2:53" ht="15.5">
      <c r="B23" s="479"/>
      <c r="C23" s="479"/>
      <c r="D23" s="479"/>
      <c r="E23" s="479"/>
      <c r="F23" s="479"/>
      <c r="G23" s="479"/>
      <c r="H23" s="479"/>
      <c r="I23" s="184"/>
      <c r="J23" s="184"/>
      <c r="K23" s="184"/>
      <c r="L23" s="184"/>
      <c r="M23" s="179"/>
      <c r="N23" s="481"/>
      <c r="O23" s="481"/>
      <c r="P23" s="476" t="s">
        <v>336</v>
      </c>
      <c r="Q23" s="454"/>
      <c r="R23" s="454"/>
      <c r="S23" s="454"/>
      <c r="T23" s="454"/>
      <c r="U23" s="476" t="s">
        <v>337</v>
      </c>
      <c r="V23" s="454"/>
      <c r="W23" s="454"/>
      <c r="X23" s="454"/>
      <c r="Y23" s="454"/>
      <c r="Z23" s="476" t="s">
        <v>338</v>
      </c>
      <c r="AA23" s="454"/>
      <c r="AB23" s="454"/>
      <c r="AC23" s="454"/>
      <c r="AD23" s="454"/>
      <c r="AE23" s="476" t="s">
        <v>339</v>
      </c>
      <c r="AF23" s="454"/>
      <c r="AG23" s="454"/>
      <c r="AH23" s="454"/>
      <c r="AI23" s="454"/>
      <c r="AJ23" s="476" t="s">
        <v>340</v>
      </c>
      <c r="AK23" s="454"/>
      <c r="AL23" s="454"/>
      <c r="AM23" s="454"/>
      <c r="AN23" s="454"/>
      <c r="AO23" s="476" t="s">
        <v>341</v>
      </c>
      <c r="AP23" s="454"/>
      <c r="AQ23" s="454"/>
      <c r="AR23" s="454"/>
      <c r="AS23" s="454"/>
      <c r="AT23" s="476" t="s">
        <v>342</v>
      </c>
      <c r="AU23" s="454"/>
      <c r="AV23" s="454"/>
      <c r="AW23" s="454"/>
      <c r="AX23" s="454"/>
    </row>
    <row r="24" spans="2:53">
      <c r="B24" s="461" t="s">
        <v>154</v>
      </c>
      <c r="C24" s="461" t="s">
        <v>409</v>
      </c>
      <c r="D24" s="461"/>
      <c r="E24" s="461" t="s">
        <v>483</v>
      </c>
      <c r="F24" s="461"/>
      <c r="G24" s="461"/>
      <c r="H24" s="482" t="s">
        <v>396</v>
      </c>
      <c r="I24" s="461" t="s">
        <v>484</v>
      </c>
      <c r="J24" s="461"/>
      <c r="K24" s="461"/>
      <c r="L24" s="482" t="s">
        <v>396</v>
      </c>
      <c r="M24" s="480" t="s">
        <v>397</v>
      </c>
      <c r="N24" s="461"/>
      <c r="O24" s="461" t="s">
        <v>485</v>
      </c>
      <c r="P24" s="466" t="s">
        <v>486</v>
      </c>
      <c r="Q24" s="467"/>
      <c r="R24" s="467"/>
      <c r="S24" s="468"/>
      <c r="T24" s="461" t="s">
        <v>487</v>
      </c>
      <c r="U24" s="466" t="s">
        <v>486</v>
      </c>
      <c r="V24" s="467"/>
      <c r="W24" s="467"/>
      <c r="X24" s="468"/>
      <c r="Y24" s="461" t="s">
        <v>487</v>
      </c>
      <c r="Z24" s="466" t="s">
        <v>486</v>
      </c>
      <c r="AA24" s="467"/>
      <c r="AB24" s="467"/>
      <c r="AC24" s="468"/>
      <c r="AD24" s="461" t="s">
        <v>488</v>
      </c>
      <c r="AE24" s="466" t="s">
        <v>486</v>
      </c>
      <c r="AF24" s="467"/>
      <c r="AG24" s="467"/>
      <c r="AH24" s="468"/>
      <c r="AI24" s="461" t="s">
        <v>488</v>
      </c>
      <c r="AJ24" s="466" t="s">
        <v>398</v>
      </c>
      <c r="AK24" s="467"/>
      <c r="AL24" s="467"/>
      <c r="AM24" s="468"/>
      <c r="AN24" s="461" t="s">
        <v>488</v>
      </c>
      <c r="AO24" s="466" t="s">
        <v>489</v>
      </c>
      <c r="AP24" s="467"/>
      <c r="AQ24" s="467"/>
      <c r="AR24" s="468"/>
      <c r="AS24" s="461" t="s">
        <v>488</v>
      </c>
      <c r="AT24" s="466" t="s">
        <v>489</v>
      </c>
      <c r="AU24" s="467"/>
      <c r="AV24" s="467"/>
      <c r="AW24" s="468"/>
      <c r="AX24" s="461" t="s">
        <v>396</v>
      </c>
      <c r="BA24" s="461" t="s">
        <v>396</v>
      </c>
    </row>
    <row r="25" spans="2:53">
      <c r="B25" s="461"/>
      <c r="C25" s="461"/>
      <c r="D25" s="461"/>
      <c r="E25" s="461" t="s">
        <v>490</v>
      </c>
      <c r="F25" s="461"/>
      <c r="G25" s="461"/>
      <c r="H25" s="483"/>
      <c r="I25" s="461" t="s">
        <v>491</v>
      </c>
      <c r="J25" s="461"/>
      <c r="K25" s="461"/>
      <c r="L25" s="483"/>
      <c r="M25" s="485"/>
      <c r="N25" s="461"/>
      <c r="O25" s="461"/>
      <c r="P25" s="466" t="s">
        <v>404</v>
      </c>
      <c r="Q25" s="467"/>
      <c r="R25" s="467"/>
      <c r="S25" s="468"/>
      <c r="T25" s="461"/>
      <c r="U25" s="466" t="s">
        <v>404</v>
      </c>
      <c r="V25" s="467"/>
      <c r="W25" s="467"/>
      <c r="X25" s="468"/>
      <c r="Y25" s="461"/>
      <c r="Z25" s="466" t="s">
        <v>492</v>
      </c>
      <c r="AA25" s="467"/>
      <c r="AB25" s="467"/>
      <c r="AC25" s="468"/>
      <c r="AD25" s="461"/>
      <c r="AE25" s="466" t="s">
        <v>492</v>
      </c>
      <c r="AF25" s="467"/>
      <c r="AG25" s="467"/>
      <c r="AH25" s="468"/>
      <c r="AI25" s="461"/>
      <c r="AJ25" s="466" t="s">
        <v>404</v>
      </c>
      <c r="AK25" s="467"/>
      <c r="AL25" s="467"/>
      <c r="AM25" s="468"/>
      <c r="AN25" s="461"/>
      <c r="AO25" s="466" t="s">
        <v>492</v>
      </c>
      <c r="AP25" s="467"/>
      <c r="AQ25" s="467"/>
      <c r="AR25" s="468"/>
      <c r="AS25" s="461"/>
      <c r="AT25" s="466" t="s">
        <v>493</v>
      </c>
      <c r="AU25" s="467"/>
      <c r="AV25" s="467"/>
      <c r="AW25" s="468"/>
      <c r="AX25" s="461"/>
      <c r="BA25" s="461"/>
    </row>
    <row r="26" spans="2:53">
      <c r="B26" s="461"/>
      <c r="C26" s="461"/>
      <c r="D26" s="461"/>
      <c r="E26" s="269" t="s">
        <v>405</v>
      </c>
      <c r="F26" s="269" t="s">
        <v>406</v>
      </c>
      <c r="G26" s="269" t="s">
        <v>407</v>
      </c>
      <c r="H26" s="484"/>
      <c r="I26" s="269" t="s">
        <v>494</v>
      </c>
      <c r="J26" s="269" t="s">
        <v>406</v>
      </c>
      <c r="K26" s="269" t="s">
        <v>495</v>
      </c>
      <c r="L26" s="484"/>
      <c r="M26" s="481"/>
      <c r="N26" s="461"/>
      <c r="O26" s="461"/>
      <c r="P26" s="269" t="s">
        <v>496</v>
      </c>
      <c r="Q26" s="269" t="s">
        <v>406</v>
      </c>
      <c r="R26" s="269" t="s">
        <v>497</v>
      </c>
      <c r="S26" s="269" t="s">
        <v>498</v>
      </c>
      <c r="T26" s="461"/>
      <c r="U26" s="269" t="s">
        <v>405</v>
      </c>
      <c r="V26" s="269" t="s">
        <v>406</v>
      </c>
      <c r="W26" s="269" t="s">
        <v>407</v>
      </c>
      <c r="X26" s="269" t="s">
        <v>397</v>
      </c>
      <c r="Y26" s="461"/>
      <c r="Z26" s="269" t="s">
        <v>405</v>
      </c>
      <c r="AA26" s="269" t="s">
        <v>499</v>
      </c>
      <c r="AB26" s="269" t="s">
        <v>407</v>
      </c>
      <c r="AC26" s="269" t="s">
        <v>500</v>
      </c>
      <c r="AD26" s="461"/>
      <c r="AE26" s="269" t="s">
        <v>405</v>
      </c>
      <c r="AF26" s="269" t="s">
        <v>406</v>
      </c>
      <c r="AG26" s="269" t="s">
        <v>407</v>
      </c>
      <c r="AH26" s="269" t="s">
        <v>397</v>
      </c>
      <c r="AI26" s="461"/>
      <c r="AJ26" s="269" t="s">
        <v>501</v>
      </c>
      <c r="AK26" s="269" t="s">
        <v>406</v>
      </c>
      <c r="AL26" s="269" t="s">
        <v>497</v>
      </c>
      <c r="AM26" s="269" t="s">
        <v>498</v>
      </c>
      <c r="AN26" s="461"/>
      <c r="AO26" s="269" t="s">
        <v>405</v>
      </c>
      <c r="AP26" s="269" t="s">
        <v>406</v>
      </c>
      <c r="AQ26" s="269" t="s">
        <v>407</v>
      </c>
      <c r="AR26" s="269" t="s">
        <v>397</v>
      </c>
      <c r="AS26" s="461"/>
      <c r="AT26" s="269" t="s">
        <v>405</v>
      </c>
      <c r="AU26" s="269" t="s">
        <v>502</v>
      </c>
      <c r="AV26" s="269" t="s">
        <v>407</v>
      </c>
      <c r="AW26" s="269" t="s">
        <v>397</v>
      </c>
      <c r="AX26" s="461"/>
      <c r="AZ26" s="269" t="s">
        <v>397</v>
      </c>
      <c r="BA26" s="461"/>
    </row>
    <row r="27" spans="2:53">
      <c r="B27" s="461" t="s">
        <v>132</v>
      </c>
      <c r="C27" s="182">
        <v>1</v>
      </c>
      <c r="D27" s="203"/>
      <c r="E27" s="166"/>
      <c r="F27" s="182"/>
      <c r="G27" s="180"/>
      <c r="H27" s="463" t="e">
        <f>AVERAGE(G27:G41)</f>
        <v>#DIV/0!</v>
      </c>
      <c r="I27" s="166" t="str">
        <f t="shared" ref="I27:I40" si="19">IFERROR(AVERAGE(P27,U27,Z27,AE27,AJ27,AO27,AT27),"-")</f>
        <v>-</v>
      </c>
      <c r="J27" s="166" t="str">
        <f t="shared" ref="J27:J40" si="20">IFERROR(AVERAGE(Q27,V27,AA27,AF27,AK27,AP27,AU27),"-")</f>
        <v>-</v>
      </c>
      <c r="K27" s="180" t="str">
        <f t="shared" ref="K27:K40" si="21">IFERROR(AVERAGE(R27,W27,AB27,AG27,AL27,AQ27,AV27),"-")</f>
        <v>-</v>
      </c>
      <c r="L27" s="463" t="str">
        <f>IFERROR(AVERAGE(K27:K41),"-")</f>
        <v>-</v>
      </c>
      <c r="M27" s="181" t="e">
        <f>RANK(K27, K$27:$K$41)</f>
        <v>#VALUE!</v>
      </c>
      <c r="N27" s="461"/>
      <c r="O27" s="461"/>
      <c r="P27" s="166"/>
      <c r="Q27" s="180"/>
      <c r="R27" s="180"/>
      <c r="S27" s="182" t="e">
        <f t="shared" ref="S27:S41" si="22">RANK(R27, R$27:R$41)</f>
        <v>#N/A</v>
      </c>
      <c r="T27" s="487" t="e">
        <f>AVERAGE(R27:R41)</f>
        <v>#DIV/0!</v>
      </c>
      <c r="U27" s="166"/>
      <c r="V27" s="180"/>
      <c r="W27" s="180"/>
      <c r="X27" s="182" t="e">
        <f t="shared" ref="X27:X41" si="23">RANK(W27, W$27:W$41)</f>
        <v>#N/A</v>
      </c>
      <c r="Y27" s="487" t="e">
        <f t="shared" ref="Y27" si="24">AVERAGE(W27:W41)</f>
        <v>#DIV/0!</v>
      </c>
      <c r="Z27" s="166"/>
      <c r="AA27" s="180"/>
      <c r="AB27" s="180"/>
      <c r="AC27" s="182" t="e">
        <f t="shared" ref="AC27:AC41" si="25">RANK(AB27, AB$27:AB$41)</f>
        <v>#N/A</v>
      </c>
      <c r="AD27" s="487" t="e">
        <f t="shared" ref="AD27" si="26">AVERAGE(AB27:AB41)</f>
        <v>#DIV/0!</v>
      </c>
      <c r="AE27" s="166"/>
      <c r="AF27" s="180"/>
      <c r="AG27" s="180"/>
      <c r="AH27" s="182" t="e">
        <f t="shared" ref="AH27:AH41" si="27">RANK(AG27, AG$27:AG$41)</f>
        <v>#N/A</v>
      </c>
      <c r="AI27" s="487" t="e">
        <f t="shared" ref="AI27" si="28">AVERAGE(AG27:AG41)</f>
        <v>#DIV/0!</v>
      </c>
      <c r="AJ27" s="166"/>
      <c r="AK27" s="180"/>
      <c r="AL27" s="180"/>
      <c r="AM27" s="182" t="e">
        <f t="shared" ref="AM27:AM41" si="29">RANK(AL27, AL$27:AL$41)</f>
        <v>#N/A</v>
      </c>
      <c r="AN27" s="487" t="e">
        <f t="shared" ref="AN27" si="30">AVERAGE(AL27:AL41)</f>
        <v>#DIV/0!</v>
      </c>
      <c r="AO27" s="166"/>
      <c r="AP27" s="180"/>
      <c r="AQ27" s="180"/>
      <c r="AR27" s="182" t="e">
        <f t="shared" ref="AR27:AR41" si="31">RANK(AQ27, AQ$27:AQ$41)</f>
        <v>#N/A</v>
      </c>
      <c r="AS27" s="487" t="e">
        <f t="shared" ref="AS27" si="32">AVERAGE(AQ27:AQ41)</f>
        <v>#DIV/0!</v>
      </c>
      <c r="AT27" s="166"/>
      <c r="AU27" s="180"/>
      <c r="AV27" s="180"/>
      <c r="AW27" s="182" t="e">
        <f t="shared" ref="AW27:AW41" si="33">RANK(AV27, AV$27:AV$41)</f>
        <v>#N/A</v>
      </c>
      <c r="AX27" s="487" t="e">
        <f t="shared" ref="AX27" si="34">AVERAGE(AV27:AV41)</f>
        <v>#DIV/0!</v>
      </c>
      <c r="AZ27" s="182" t="e">
        <f t="shared" ref="AZ27:AZ41" si="35">RANK(AY27, AY$27:AY$41)</f>
        <v>#N/A</v>
      </c>
      <c r="BA27" s="487" t="e">
        <f t="shared" ref="BA27" si="36">AVERAGE(AY27:AY41)</f>
        <v>#DIV/0!</v>
      </c>
    </row>
    <row r="28" spans="2:53">
      <c r="B28" s="454"/>
      <c r="C28" s="182">
        <v>2</v>
      </c>
      <c r="D28" s="203"/>
      <c r="E28" s="166"/>
      <c r="F28" s="182"/>
      <c r="G28" s="180"/>
      <c r="H28" s="464"/>
      <c r="I28" s="166" t="str">
        <f t="shared" si="19"/>
        <v>-</v>
      </c>
      <c r="J28" s="166" t="str">
        <f t="shared" si="20"/>
        <v>-</v>
      </c>
      <c r="K28" s="180" t="str">
        <f t="shared" si="21"/>
        <v>-</v>
      </c>
      <c r="L28" s="464"/>
      <c r="M28" s="181" t="e">
        <f>RANK(K28, K$27:$K$41)</f>
        <v>#VALUE!</v>
      </c>
      <c r="N28" s="461"/>
      <c r="O28" s="461"/>
      <c r="P28" s="182"/>
      <c r="Q28" s="180"/>
      <c r="R28" s="180"/>
      <c r="S28" s="182" t="e">
        <f t="shared" si="22"/>
        <v>#N/A</v>
      </c>
      <c r="T28" s="488"/>
      <c r="U28" s="182"/>
      <c r="V28" s="180"/>
      <c r="W28" s="180"/>
      <c r="X28" s="182" t="e">
        <f t="shared" si="23"/>
        <v>#N/A</v>
      </c>
      <c r="Y28" s="488"/>
      <c r="Z28" s="182"/>
      <c r="AA28" s="180"/>
      <c r="AB28" s="180"/>
      <c r="AC28" s="182" t="e">
        <f t="shared" si="25"/>
        <v>#N/A</v>
      </c>
      <c r="AD28" s="488"/>
      <c r="AE28" s="182"/>
      <c r="AF28" s="180"/>
      <c r="AG28" s="180"/>
      <c r="AH28" s="182" t="e">
        <f t="shared" si="27"/>
        <v>#N/A</v>
      </c>
      <c r="AI28" s="488"/>
      <c r="AJ28" s="182"/>
      <c r="AK28" s="180"/>
      <c r="AL28" s="180"/>
      <c r="AM28" s="182" t="e">
        <f t="shared" si="29"/>
        <v>#N/A</v>
      </c>
      <c r="AN28" s="488"/>
      <c r="AO28" s="182"/>
      <c r="AP28" s="180"/>
      <c r="AQ28" s="180"/>
      <c r="AR28" s="182" t="e">
        <f t="shared" si="31"/>
        <v>#N/A</v>
      </c>
      <c r="AS28" s="488"/>
      <c r="AT28" s="182"/>
      <c r="AU28" s="180"/>
      <c r="AV28" s="180"/>
      <c r="AW28" s="182" t="e">
        <f t="shared" si="33"/>
        <v>#N/A</v>
      </c>
      <c r="AX28" s="488"/>
      <c r="AZ28" s="182" t="e">
        <f t="shared" si="35"/>
        <v>#N/A</v>
      </c>
      <c r="BA28" s="488"/>
    </row>
    <row r="29" spans="2:53">
      <c r="B29" s="454"/>
      <c r="C29" s="182">
        <v>3</v>
      </c>
      <c r="D29" s="203"/>
      <c r="E29" s="166"/>
      <c r="F29" s="182"/>
      <c r="G29" s="180"/>
      <c r="H29" s="464"/>
      <c r="I29" s="166" t="str">
        <f t="shared" si="19"/>
        <v>-</v>
      </c>
      <c r="J29" s="166" t="str">
        <f t="shared" si="20"/>
        <v>-</v>
      </c>
      <c r="K29" s="180" t="str">
        <f t="shared" si="21"/>
        <v>-</v>
      </c>
      <c r="L29" s="464"/>
      <c r="M29" s="181" t="e">
        <f>RANK(K29, K$27:$K$41)</f>
        <v>#VALUE!</v>
      </c>
      <c r="N29" s="461"/>
      <c r="O29" s="461"/>
      <c r="P29" s="182"/>
      <c r="Q29" s="180"/>
      <c r="R29" s="180"/>
      <c r="S29" s="182" t="e">
        <f t="shared" si="22"/>
        <v>#N/A</v>
      </c>
      <c r="T29" s="488"/>
      <c r="U29" s="182"/>
      <c r="V29" s="180"/>
      <c r="W29" s="180"/>
      <c r="X29" s="182" t="e">
        <f t="shared" si="23"/>
        <v>#N/A</v>
      </c>
      <c r="Y29" s="488"/>
      <c r="Z29" s="182"/>
      <c r="AA29" s="180"/>
      <c r="AB29" s="180"/>
      <c r="AC29" s="182" t="e">
        <f t="shared" si="25"/>
        <v>#N/A</v>
      </c>
      <c r="AD29" s="488"/>
      <c r="AE29" s="182"/>
      <c r="AF29" s="180"/>
      <c r="AG29" s="180"/>
      <c r="AH29" s="182" t="e">
        <f t="shared" si="27"/>
        <v>#N/A</v>
      </c>
      <c r="AI29" s="488"/>
      <c r="AJ29" s="182"/>
      <c r="AK29" s="180"/>
      <c r="AL29" s="180"/>
      <c r="AM29" s="182" t="e">
        <f t="shared" si="29"/>
        <v>#N/A</v>
      </c>
      <c r="AN29" s="488"/>
      <c r="AO29" s="182"/>
      <c r="AP29" s="180"/>
      <c r="AQ29" s="180"/>
      <c r="AR29" s="182" t="e">
        <f t="shared" si="31"/>
        <v>#N/A</v>
      </c>
      <c r="AS29" s="488"/>
      <c r="AT29" s="182"/>
      <c r="AU29" s="180"/>
      <c r="AV29" s="180"/>
      <c r="AW29" s="182" t="e">
        <f t="shared" si="33"/>
        <v>#N/A</v>
      </c>
      <c r="AX29" s="488"/>
      <c r="AZ29" s="182" t="e">
        <f t="shared" si="35"/>
        <v>#N/A</v>
      </c>
      <c r="BA29" s="488"/>
    </row>
    <row r="30" spans="2:53">
      <c r="B30" s="454"/>
      <c r="C30" s="182">
        <v>4</v>
      </c>
      <c r="D30" s="203"/>
      <c r="E30" s="166"/>
      <c r="F30" s="182"/>
      <c r="G30" s="180"/>
      <c r="H30" s="464"/>
      <c r="I30" s="166" t="str">
        <f t="shared" si="19"/>
        <v>-</v>
      </c>
      <c r="J30" s="166" t="str">
        <f t="shared" si="20"/>
        <v>-</v>
      </c>
      <c r="K30" s="180" t="str">
        <f t="shared" si="21"/>
        <v>-</v>
      </c>
      <c r="L30" s="464"/>
      <c r="M30" s="181" t="e">
        <f>RANK(K30, K$27:$K$41)</f>
        <v>#VALUE!</v>
      </c>
      <c r="N30" s="461"/>
      <c r="O30" s="461"/>
      <c r="P30" s="182"/>
      <c r="Q30" s="180"/>
      <c r="R30" s="180"/>
      <c r="S30" s="182" t="e">
        <f t="shared" si="22"/>
        <v>#N/A</v>
      </c>
      <c r="T30" s="488"/>
      <c r="U30" s="182"/>
      <c r="V30" s="180"/>
      <c r="W30" s="180"/>
      <c r="X30" s="182" t="e">
        <f t="shared" si="23"/>
        <v>#N/A</v>
      </c>
      <c r="Y30" s="488"/>
      <c r="Z30" s="182"/>
      <c r="AA30" s="180"/>
      <c r="AB30" s="180"/>
      <c r="AC30" s="182" t="e">
        <f t="shared" si="25"/>
        <v>#N/A</v>
      </c>
      <c r="AD30" s="488"/>
      <c r="AE30" s="182"/>
      <c r="AF30" s="180"/>
      <c r="AG30" s="180"/>
      <c r="AH30" s="182" t="e">
        <f t="shared" si="27"/>
        <v>#N/A</v>
      </c>
      <c r="AI30" s="488"/>
      <c r="AJ30" s="182"/>
      <c r="AK30" s="180"/>
      <c r="AL30" s="180"/>
      <c r="AM30" s="182" t="e">
        <f t="shared" si="29"/>
        <v>#N/A</v>
      </c>
      <c r="AN30" s="488"/>
      <c r="AO30" s="182"/>
      <c r="AP30" s="180"/>
      <c r="AQ30" s="180"/>
      <c r="AR30" s="182" t="e">
        <f t="shared" si="31"/>
        <v>#N/A</v>
      </c>
      <c r="AS30" s="488"/>
      <c r="AT30" s="182"/>
      <c r="AU30" s="180"/>
      <c r="AV30" s="180"/>
      <c r="AW30" s="182" t="e">
        <f t="shared" si="33"/>
        <v>#N/A</v>
      </c>
      <c r="AX30" s="488"/>
      <c r="AZ30" s="182" t="e">
        <f t="shared" si="35"/>
        <v>#N/A</v>
      </c>
      <c r="BA30" s="488"/>
    </row>
    <row r="31" spans="2:53">
      <c r="B31" s="454"/>
      <c r="C31" s="182">
        <v>5</v>
      </c>
      <c r="D31" s="203"/>
      <c r="E31" s="166"/>
      <c r="F31" s="182"/>
      <c r="G31" s="180"/>
      <c r="H31" s="464"/>
      <c r="I31" s="166" t="str">
        <f t="shared" si="19"/>
        <v>-</v>
      </c>
      <c r="J31" s="166" t="str">
        <f t="shared" si="20"/>
        <v>-</v>
      </c>
      <c r="K31" s="180" t="str">
        <f t="shared" si="21"/>
        <v>-</v>
      </c>
      <c r="L31" s="464"/>
      <c r="M31" s="181" t="e">
        <f>RANK(K31, K$27:$K$41)</f>
        <v>#VALUE!</v>
      </c>
      <c r="N31" s="461"/>
      <c r="O31" s="461"/>
      <c r="P31" s="182"/>
      <c r="Q31" s="180"/>
      <c r="R31" s="180"/>
      <c r="S31" s="182" t="e">
        <f t="shared" si="22"/>
        <v>#N/A</v>
      </c>
      <c r="T31" s="488"/>
      <c r="U31" s="182"/>
      <c r="V31" s="180"/>
      <c r="W31" s="180"/>
      <c r="X31" s="182" t="e">
        <f t="shared" si="23"/>
        <v>#N/A</v>
      </c>
      <c r="Y31" s="488"/>
      <c r="Z31" s="182"/>
      <c r="AA31" s="180"/>
      <c r="AB31" s="180"/>
      <c r="AC31" s="182" t="e">
        <f t="shared" si="25"/>
        <v>#N/A</v>
      </c>
      <c r="AD31" s="488"/>
      <c r="AE31" s="182"/>
      <c r="AF31" s="180"/>
      <c r="AG31" s="180"/>
      <c r="AH31" s="182" t="e">
        <f t="shared" si="27"/>
        <v>#N/A</v>
      </c>
      <c r="AI31" s="488"/>
      <c r="AJ31" s="182"/>
      <c r="AK31" s="180"/>
      <c r="AL31" s="180"/>
      <c r="AM31" s="182" t="e">
        <f t="shared" si="29"/>
        <v>#N/A</v>
      </c>
      <c r="AN31" s="488"/>
      <c r="AO31" s="182"/>
      <c r="AP31" s="180"/>
      <c r="AQ31" s="180"/>
      <c r="AR31" s="182" t="e">
        <f t="shared" si="31"/>
        <v>#N/A</v>
      </c>
      <c r="AS31" s="488"/>
      <c r="AT31" s="182"/>
      <c r="AU31" s="180"/>
      <c r="AV31" s="180"/>
      <c r="AW31" s="182" t="e">
        <f t="shared" si="33"/>
        <v>#N/A</v>
      </c>
      <c r="AX31" s="488"/>
      <c r="AZ31" s="182" t="e">
        <f t="shared" si="35"/>
        <v>#N/A</v>
      </c>
      <c r="BA31" s="488"/>
    </row>
    <row r="32" spans="2:53">
      <c r="B32" s="454"/>
      <c r="C32" s="182">
        <v>6</v>
      </c>
      <c r="D32" s="203"/>
      <c r="E32" s="166"/>
      <c r="F32" s="182"/>
      <c r="G32" s="180"/>
      <c r="H32" s="464"/>
      <c r="I32" s="166" t="str">
        <f t="shared" si="19"/>
        <v>-</v>
      </c>
      <c r="J32" s="166" t="str">
        <f t="shared" si="20"/>
        <v>-</v>
      </c>
      <c r="K32" s="180" t="str">
        <f t="shared" si="21"/>
        <v>-</v>
      </c>
      <c r="L32" s="464"/>
      <c r="M32" s="181" t="e">
        <f>RANK(K32, K$27:$K$41)</f>
        <v>#VALUE!</v>
      </c>
      <c r="N32" s="461"/>
      <c r="O32" s="461"/>
      <c r="P32" s="182"/>
      <c r="Q32" s="180"/>
      <c r="R32" s="180"/>
      <c r="S32" s="182" t="e">
        <f t="shared" si="22"/>
        <v>#N/A</v>
      </c>
      <c r="T32" s="488"/>
      <c r="U32" s="182"/>
      <c r="V32" s="180"/>
      <c r="W32" s="180"/>
      <c r="X32" s="182" t="e">
        <f t="shared" si="23"/>
        <v>#N/A</v>
      </c>
      <c r="Y32" s="488"/>
      <c r="Z32" s="182"/>
      <c r="AA32" s="180"/>
      <c r="AB32" s="180"/>
      <c r="AC32" s="182" t="e">
        <f t="shared" si="25"/>
        <v>#N/A</v>
      </c>
      <c r="AD32" s="488"/>
      <c r="AE32" s="182"/>
      <c r="AF32" s="180"/>
      <c r="AG32" s="180"/>
      <c r="AH32" s="182" t="e">
        <f t="shared" si="27"/>
        <v>#N/A</v>
      </c>
      <c r="AI32" s="488"/>
      <c r="AJ32" s="182"/>
      <c r="AK32" s="180"/>
      <c r="AL32" s="180"/>
      <c r="AM32" s="182" t="e">
        <f t="shared" si="29"/>
        <v>#N/A</v>
      </c>
      <c r="AN32" s="488"/>
      <c r="AO32" s="182"/>
      <c r="AP32" s="180"/>
      <c r="AQ32" s="180"/>
      <c r="AR32" s="182" t="e">
        <f t="shared" si="31"/>
        <v>#N/A</v>
      </c>
      <c r="AS32" s="488"/>
      <c r="AT32" s="182"/>
      <c r="AU32" s="180"/>
      <c r="AV32" s="180"/>
      <c r="AW32" s="182" t="e">
        <f t="shared" si="33"/>
        <v>#N/A</v>
      </c>
      <c r="AX32" s="488"/>
      <c r="AZ32" s="182" t="e">
        <f t="shared" si="35"/>
        <v>#N/A</v>
      </c>
      <c r="BA32" s="488"/>
    </row>
    <row r="33" spans="2:53">
      <c r="B33" s="454"/>
      <c r="C33" s="182">
        <v>7</v>
      </c>
      <c r="D33" s="203"/>
      <c r="E33" s="166"/>
      <c r="F33" s="182"/>
      <c r="G33" s="180"/>
      <c r="H33" s="464"/>
      <c r="I33" s="166" t="str">
        <f t="shared" si="19"/>
        <v>-</v>
      </c>
      <c r="J33" s="166" t="str">
        <f t="shared" si="20"/>
        <v>-</v>
      </c>
      <c r="K33" s="180" t="str">
        <f t="shared" si="21"/>
        <v>-</v>
      </c>
      <c r="L33" s="464"/>
      <c r="M33" s="181" t="e">
        <f>RANK(K33, K$27:$K$41)</f>
        <v>#VALUE!</v>
      </c>
      <c r="N33" s="461"/>
      <c r="O33" s="461"/>
      <c r="P33" s="182"/>
      <c r="Q33" s="180"/>
      <c r="R33" s="180"/>
      <c r="S33" s="182" t="e">
        <f t="shared" si="22"/>
        <v>#N/A</v>
      </c>
      <c r="T33" s="488"/>
      <c r="U33" s="182"/>
      <c r="V33" s="180"/>
      <c r="W33" s="180"/>
      <c r="X33" s="182" t="e">
        <f t="shared" si="23"/>
        <v>#N/A</v>
      </c>
      <c r="Y33" s="488"/>
      <c r="Z33" s="182"/>
      <c r="AA33" s="180"/>
      <c r="AB33" s="180"/>
      <c r="AC33" s="182" t="e">
        <f t="shared" si="25"/>
        <v>#N/A</v>
      </c>
      <c r="AD33" s="488"/>
      <c r="AE33" s="182"/>
      <c r="AF33" s="180"/>
      <c r="AG33" s="180"/>
      <c r="AH33" s="182" t="e">
        <f t="shared" si="27"/>
        <v>#N/A</v>
      </c>
      <c r="AI33" s="488"/>
      <c r="AJ33" s="182"/>
      <c r="AK33" s="180"/>
      <c r="AL33" s="180"/>
      <c r="AM33" s="182" t="e">
        <f t="shared" si="29"/>
        <v>#N/A</v>
      </c>
      <c r="AN33" s="488"/>
      <c r="AO33" s="182"/>
      <c r="AP33" s="180"/>
      <c r="AQ33" s="180"/>
      <c r="AR33" s="182" t="e">
        <f t="shared" si="31"/>
        <v>#N/A</v>
      </c>
      <c r="AS33" s="488"/>
      <c r="AT33" s="182"/>
      <c r="AU33" s="180"/>
      <c r="AV33" s="180"/>
      <c r="AW33" s="182" t="e">
        <f t="shared" si="33"/>
        <v>#N/A</v>
      </c>
      <c r="AX33" s="488"/>
      <c r="AZ33" s="182" t="e">
        <f t="shared" si="35"/>
        <v>#N/A</v>
      </c>
      <c r="BA33" s="488"/>
    </row>
    <row r="34" spans="2:53">
      <c r="B34" s="454"/>
      <c r="C34" s="182">
        <v>8</v>
      </c>
      <c r="D34" s="203"/>
      <c r="E34" s="166"/>
      <c r="F34" s="182"/>
      <c r="G34" s="180"/>
      <c r="H34" s="464"/>
      <c r="I34" s="166" t="str">
        <f t="shared" si="19"/>
        <v>-</v>
      </c>
      <c r="J34" s="166" t="str">
        <f t="shared" si="20"/>
        <v>-</v>
      </c>
      <c r="K34" s="180" t="str">
        <f t="shared" si="21"/>
        <v>-</v>
      </c>
      <c r="L34" s="464"/>
      <c r="M34" s="181" t="e">
        <f>RANK(K34, K$27:$K$41)</f>
        <v>#VALUE!</v>
      </c>
      <c r="N34" s="461"/>
      <c r="O34" s="461"/>
      <c r="P34" s="182"/>
      <c r="Q34" s="180"/>
      <c r="R34" s="180"/>
      <c r="S34" s="182" t="e">
        <f t="shared" si="22"/>
        <v>#N/A</v>
      </c>
      <c r="T34" s="488"/>
      <c r="U34" s="182"/>
      <c r="V34" s="180"/>
      <c r="W34" s="180"/>
      <c r="X34" s="182" t="e">
        <f t="shared" si="23"/>
        <v>#N/A</v>
      </c>
      <c r="Y34" s="488"/>
      <c r="Z34" s="182"/>
      <c r="AA34" s="180"/>
      <c r="AB34" s="180"/>
      <c r="AC34" s="182" t="e">
        <f t="shared" si="25"/>
        <v>#N/A</v>
      </c>
      <c r="AD34" s="488"/>
      <c r="AE34" s="182"/>
      <c r="AF34" s="180"/>
      <c r="AG34" s="180"/>
      <c r="AH34" s="182" t="e">
        <f t="shared" si="27"/>
        <v>#N/A</v>
      </c>
      <c r="AI34" s="488"/>
      <c r="AJ34" s="182"/>
      <c r="AK34" s="180"/>
      <c r="AL34" s="180"/>
      <c r="AM34" s="182" t="e">
        <f t="shared" si="29"/>
        <v>#N/A</v>
      </c>
      <c r="AN34" s="488"/>
      <c r="AO34" s="182"/>
      <c r="AP34" s="180"/>
      <c r="AQ34" s="180"/>
      <c r="AR34" s="182" t="e">
        <f t="shared" si="31"/>
        <v>#N/A</v>
      </c>
      <c r="AS34" s="488"/>
      <c r="AT34" s="182"/>
      <c r="AU34" s="180"/>
      <c r="AV34" s="180"/>
      <c r="AW34" s="182" t="e">
        <f t="shared" si="33"/>
        <v>#N/A</v>
      </c>
      <c r="AX34" s="488"/>
      <c r="AZ34" s="182" t="e">
        <f t="shared" si="35"/>
        <v>#N/A</v>
      </c>
      <c r="BA34" s="488"/>
    </row>
    <row r="35" spans="2:53">
      <c r="B35" s="454"/>
      <c r="C35" s="182">
        <v>9</v>
      </c>
      <c r="D35" s="203"/>
      <c r="E35" s="166"/>
      <c r="F35" s="182"/>
      <c r="G35" s="180"/>
      <c r="H35" s="464"/>
      <c r="I35" s="166" t="str">
        <f t="shared" si="19"/>
        <v>-</v>
      </c>
      <c r="J35" s="166" t="str">
        <f t="shared" si="20"/>
        <v>-</v>
      </c>
      <c r="K35" s="180" t="str">
        <f t="shared" si="21"/>
        <v>-</v>
      </c>
      <c r="L35" s="464"/>
      <c r="M35" s="181" t="e">
        <f>RANK(K35, K$27:$K$41)</f>
        <v>#VALUE!</v>
      </c>
      <c r="N35" s="461"/>
      <c r="O35" s="461"/>
      <c r="P35" s="182"/>
      <c r="Q35" s="180"/>
      <c r="R35" s="180"/>
      <c r="S35" s="182" t="e">
        <f t="shared" si="22"/>
        <v>#N/A</v>
      </c>
      <c r="T35" s="488"/>
      <c r="U35" s="182"/>
      <c r="V35" s="180"/>
      <c r="W35" s="180"/>
      <c r="X35" s="182" t="e">
        <f t="shared" si="23"/>
        <v>#N/A</v>
      </c>
      <c r="Y35" s="488"/>
      <c r="Z35" s="182"/>
      <c r="AA35" s="180"/>
      <c r="AB35" s="180"/>
      <c r="AC35" s="182" t="e">
        <f t="shared" si="25"/>
        <v>#N/A</v>
      </c>
      <c r="AD35" s="488"/>
      <c r="AE35" s="182"/>
      <c r="AF35" s="180"/>
      <c r="AG35" s="180"/>
      <c r="AH35" s="182" t="e">
        <f t="shared" si="27"/>
        <v>#N/A</v>
      </c>
      <c r="AI35" s="488"/>
      <c r="AJ35" s="182"/>
      <c r="AK35" s="180"/>
      <c r="AL35" s="180"/>
      <c r="AM35" s="182" t="e">
        <f t="shared" si="29"/>
        <v>#N/A</v>
      </c>
      <c r="AN35" s="488"/>
      <c r="AO35" s="182"/>
      <c r="AP35" s="180"/>
      <c r="AQ35" s="180"/>
      <c r="AR35" s="182" t="e">
        <f t="shared" si="31"/>
        <v>#N/A</v>
      </c>
      <c r="AS35" s="488"/>
      <c r="AT35" s="182"/>
      <c r="AU35" s="180"/>
      <c r="AV35" s="180"/>
      <c r="AW35" s="182" t="e">
        <f t="shared" si="33"/>
        <v>#N/A</v>
      </c>
      <c r="AX35" s="488"/>
      <c r="AZ35" s="182" t="e">
        <f t="shared" si="35"/>
        <v>#N/A</v>
      </c>
      <c r="BA35" s="488"/>
    </row>
    <row r="36" spans="2:53">
      <c r="B36" s="454"/>
      <c r="C36" s="182">
        <v>10</v>
      </c>
      <c r="D36" s="203"/>
      <c r="E36" s="166"/>
      <c r="F36" s="182"/>
      <c r="G36" s="180"/>
      <c r="H36" s="464"/>
      <c r="I36" s="166" t="str">
        <f t="shared" si="19"/>
        <v>-</v>
      </c>
      <c r="J36" s="166" t="str">
        <f t="shared" si="20"/>
        <v>-</v>
      </c>
      <c r="K36" s="180" t="str">
        <f t="shared" si="21"/>
        <v>-</v>
      </c>
      <c r="L36" s="464"/>
      <c r="M36" s="181" t="e">
        <f>RANK(K36, K$27:$K$41)</f>
        <v>#VALUE!</v>
      </c>
      <c r="N36" s="461"/>
      <c r="O36" s="461"/>
      <c r="P36" s="182"/>
      <c r="Q36" s="180"/>
      <c r="R36" s="180"/>
      <c r="S36" s="182" t="e">
        <f t="shared" si="22"/>
        <v>#N/A</v>
      </c>
      <c r="T36" s="488"/>
      <c r="U36" s="182"/>
      <c r="V36" s="180"/>
      <c r="W36" s="180"/>
      <c r="X36" s="182" t="e">
        <f t="shared" si="23"/>
        <v>#N/A</v>
      </c>
      <c r="Y36" s="488"/>
      <c r="Z36" s="182"/>
      <c r="AA36" s="180"/>
      <c r="AB36" s="180"/>
      <c r="AC36" s="182" t="e">
        <f t="shared" si="25"/>
        <v>#N/A</v>
      </c>
      <c r="AD36" s="488"/>
      <c r="AE36" s="182"/>
      <c r="AF36" s="180"/>
      <c r="AG36" s="180"/>
      <c r="AH36" s="182" t="e">
        <f t="shared" si="27"/>
        <v>#N/A</v>
      </c>
      <c r="AI36" s="488"/>
      <c r="AJ36" s="182"/>
      <c r="AK36" s="180"/>
      <c r="AL36" s="180"/>
      <c r="AM36" s="182" t="e">
        <f t="shared" si="29"/>
        <v>#N/A</v>
      </c>
      <c r="AN36" s="488"/>
      <c r="AO36" s="182"/>
      <c r="AP36" s="180"/>
      <c r="AQ36" s="180"/>
      <c r="AR36" s="182" t="e">
        <f t="shared" si="31"/>
        <v>#N/A</v>
      </c>
      <c r="AS36" s="488"/>
      <c r="AT36" s="182"/>
      <c r="AU36" s="180"/>
      <c r="AV36" s="180"/>
      <c r="AW36" s="182" t="e">
        <f t="shared" si="33"/>
        <v>#N/A</v>
      </c>
      <c r="AX36" s="488"/>
      <c r="AZ36" s="182" t="e">
        <f t="shared" si="35"/>
        <v>#N/A</v>
      </c>
      <c r="BA36" s="488"/>
    </row>
    <row r="37" spans="2:53">
      <c r="B37" s="454"/>
      <c r="C37" s="182">
        <v>11</v>
      </c>
      <c r="D37" s="203"/>
      <c r="E37" s="166"/>
      <c r="F37" s="182"/>
      <c r="G37" s="180"/>
      <c r="H37" s="464"/>
      <c r="I37" s="166" t="str">
        <f t="shared" si="19"/>
        <v>-</v>
      </c>
      <c r="J37" s="166" t="str">
        <f t="shared" si="20"/>
        <v>-</v>
      </c>
      <c r="K37" s="180" t="str">
        <f t="shared" si="21"/>
        <v>-</v>
      </c>
      <c r="L37" s="464"/>
      <c r="M37" s="181" t="e">
        <f>RANK(K37, K$27:$K$41)</f>
        <v>#VALUE!</v>
      </c>
      <c r="N37" s="461"/>
      <c r="O37" s="461"/>
      <c r="P37" s="182"/>
      <c r="Q37" s="180"/>
      <c r="R37" s="180"/>
      <c r="S37" s="182" t="e">
        <f t="shared" si="22"/>
        <v>#N/A</v>
      </c>
      <c r="T37" s="488"/>
      <c r="U37" s="182"/>
      <c r="V37" s="180"/>
      <c r="W37" s="180"/>
      <c r="X37" s="182" t="e">
        <f t="shared" si="23"/>
        <v>#N/A</v>
      </c>
      <c r="Y37" s="488"/>
      <c r="Z37" s="182"/>
      <c r="AA37" s="180"/>
      <c r="AB37" s="180"/>
      <c r="AC37" s="182" t="e">
        <f t="shared" si="25"/>
        <v>#N/A</v>
      </c>
      <c r="AD37" s="488"/>
      <c r="AE37" s="182"/>
      <c r="AF37" s="180"/>
      <c r="AG37" s="180"/>
      <c r="AH37" s="182" t="e">
        <f t="shared" si="27"/>
        <v>#N/A</v>
      </c>
      <c r="AI37" s="488"/>
      <c r="AJ37" s="182"/>
      <c r="AK37" s="180"/>
      <c r="AL37" s="180"/>
      <c r="AM37" s="182" t="e">
        <f t="shared" si="29"/>
        <v>#N/A</v>
      </c>
      <c r="AN37" s="488"/>
      <c r="AO37" s="182"/>
      <c r="AP37" s="180"/>
      <c r="AQ37" s="180"/>
      <c r="AR37" s="182" t="e">
        <f t="shared" si="31"/>
        <v>#N/A</v>
      </c>
      <c r="AS37" s="488"/>
      <c r="AT37" s="182"/>
      <c r="AU37" s="180"/>
      <c r="AV37" s="180"/>
      <c r="AW37" s="182" t="e">
        <f t="shared" si="33"/>
        <v>#N/A</v>
      </c>
      <c r="AX37" s="488"/>
      <c r="AZ37" s="182" t="e">
        <f t="shared" si="35"/>
        <v>#N/A</v>
      </c>
      <c r="BA37" s="488"/>
    </row>
    <row r="38" spans="2:53">
      <c r="B38" s="454"/>
      <c r="C38" s="182">
        <v>12</v>
      </c>
      <c r="D38" s="203"/>
      <c r="E38" s="166"/>
      <c r="F38" s="182"/>
      <c r="G38" s="180"/>
      <c r="H38" s="464"/>
      <c r="I38" s="166" t="str">
        <f t="shared" si="19"/>
        <v>-</v>
      </c>
      <c r="J38" s="166" t="str">
        <f t="shared" si="20"/>
        <v>-</v>
      </c>
      <c r="K38" s="180" t="str">
        <f t="shared" si="21"/>
        <v>-</v>
      </c>
      <c r="L38" s="464"/>
      <c r="M38" s="181" t="e">
        <f>RANK(K38, K$27:$K$41)</f>
        <v>#VALUE!</v>
      </c>
      <c r="N38" s="461"/>
      <c r="O38" s="461"/>
      <c r="P38" s="182"/>
      <c r="Q38" s="180"/>
      <c r="R38" s="180"/>
      <c r="S38" s="182" t="e">
        <f t="shared" si="22"/>
        <v>#N/A</v>
      </c>
      <c r="T38" s="488"/>
      <c r="U38" s="182"/>
      <c r="V38" s="180"/>
      <c r="W38" s="180"/>
      <c r="X38" s="182" t="e">
        <f t="shared" si="23"/>
        <v>#N/A</v>
      </c>
      <c r="Y38" s="488"/>
      <c r="Z38" s="182"/>
      <c r="AA38" s="180"/>
      <c r="AB38" s="180"/>
      <c r="AC38" s="182" t="e">
        <f t="shared" si="25"/>
        <v>#N/A</v>
      </c>
      <c r="AD38" s="488"/>
      <c r="AE38" s="182"/>
      <c r="AF38" s="180"/>
      <c r="AG38" s="180"/>
      <c r="AH38" s="182" t="e">
        <f t="shared" si="27"/>
        <v>#N/A</v>
      </c>
      <c r="AI38" s="488"/>
      <c r="AJ38" s="182"/>
      <c r="AK38" s="180"/>
      <c r="AL38" s="180"/>
      <c r="AM38" s="182" t="e">
        <f t="shared" si="29"/>
        <v>#N/A</v>
      </c>
      <c r="AN38" s="488"/>
      <c r="AO38" s="182"/>
      <c r="AP38" s="180"/>
      <c r="AQ38" s="180"/>
      <c r="AR38" s="182" t="e">
        <f t="shared" si="31"/>
        <v>#N/A</v>
      </c>
      <c r="AS38" s="488"/>
      <c r="AT38" s="182"/>
      <c r="AU38" s="180"/>
      <c r="AV38" s="180"/>
      <c r="AW38" s="182" t="e">
        <f t="shared" si="33"/>
        <v>#N/A</v>
      </c>
      <c r="AX38" s="488"/>
      <c r="AZ38" s="182" t="e">
        <f t="shared" si="35"/>
        <v>#N/A</v>
      </c>
      <c r="BA38" s="488"/>
    </row>
    <row r="39" spans="2:53">
      <c r="B39" s="454"/>
      <c r="C39" s="182">
        <v>13</v>
      </c>
      <c r="D39" s="203"/>
      <c r="E39" s="166"/>
      <c r="F39" s="182"/>
      <c r="G39" s="180"/>
      <c r="H39" s="464"/>
      <c r="I39" s="166" t="str">
        <f t="shared" si="19"/>
        <v>-</v>
      </c>
      <c r="J39" s="166" t="str">
        <f t="shared" si="20"/>
        <v>-</v>
      </c>
      <c r="K39" s="180" t="str">
        <f t="shared" si="21"/>
        <v>-</v>
      </c>
      <c r="L39" s="464"/>
      <c r="M39" s="181" t="e">
        <f>RANK(K39, K$27:$K$41)</f>
        <v>#VALUE!</v>
      </c>
      <c r="N39" s="461"/>
      <c r="O39" s="461"/>
      <c r="P39" s="182"/>
      <c r="Q39" s="180"/>
      <c r="R39" s="180"/>
      <c r="S39" s="182" t="e">
        <f t="shared" si="22"/>
        <v>#N/A</v>
      </c>
      <c r="T39" s="488"/>
      <c r="U39" s="182"/>
      <c r="V39" s="180"/>
      <c r="W39" s="180"/>
      <c r="X39" s="182" t="e">
        <f t="shared" si="23"/>
        <v>#N/A</v>
      </c>
      <c r="Y39" s="488"/>
      <c r="Z39" s="182"/>
      <c r="AA39" s="180"/>
      <c r="AB39" s="180"/>
      <c r="AC39" s="182" t="e">
        <f t="shared" si="25"/>
        <v>#N/A</v>
      </c>
      <c r="AD39" s="488"/>
      <c r="AE39" s="182"/>
      <c r="AF39" s="180"/>
      <c r="AG39" s="180"/>
      <c r="AH39" s="182" t="e">
        <f t="shared" si="27"/>
        <v>#N/A</v>
      </c>
      <c r="AI39" s="488"/>
      <c r="AJ39" s="182"/>
      <c r="AK39" s="180"/>
      <c r="AL39" s="180"/>
      <c r="AM39" s="182" t="e">
        <f t="shared" si="29"/>
        <v>#N/A</v>
      </c>
      <c r="AN39" s="488"/>
      <c r="AO39" s="182"/>
      <c r="AP39" s="180"/>
      <c r="AQ39" s="180"/>
      <c r="AR39" s="182" t="e">
        <f t="shared" si="31"/>
        <v>#N/A</v>
      </c>
      <c r="AS39" s="488"/>
      <c r="AT39" s="182"/>
      <c r="AU39" s="180"/>
      <c r="AV39" s="180"/>
      <c r="AW39" s="182" t="e">
        <f t="shared" si="33"/>
        <v>#N/A</v>
      </c>
      <c r="AX39" s="488"/>
      <c r="AZ39" s="182" t="e">
        <f t="shared" si="35"/>
        <v>#N/A</v>
      </c>
      <c r="BA39" s="488"/>
    </row>
    <row r="40" spans="2:53">
      <c r="B40" s="454"/>
      <c r="C40" s="182">
        <v>14</v>
      </c>
      <c r="D40" s="203"/>
      <c r="E40" s="166"/>
      <c r="F40" s="182"/>
      <c r="G40" s="180"/>
      <c r="H40" s="464"/>
      <c r="I40" s="166" t="str">
        <f t="shared" si="19"/>
        <v>-</v>
      </c>
      <c r="J40" s="166" t="str">
        <f t="shared" si="20"/>
        <v>-</v>
      </c>
      <c r="K40" s="180" t="str">
        <f t="shared" si="21"/>
        <v>-</v>
      </c>
      <c r="L40" s="464"/>
      <c r="M40" s="181" t="e">
        <f>RANK(K40, K$27:$K$41)</f>
        <v>#VALUE!</v>
      </c>
      <c r="N40" s="461"/>
      <c r="O40" s="461"/>
      <c r="P40" s="182"/>
      <c r="Q40" s="180"/>
      <c r="R40" s="180"/>
      <c r="S40" s="182" t="e">
        <f t="shared" si="22"/>
        <v>#N/A</v>
      </c>
      <c r="T40" s="488"/>
      <c r="U40" s="182"/>
      <c r="V40" s="180"/>
      <c r="W40" s="180"/>
      <c r="X40" s="182" t="e">
        <f t="shared" si="23"/>
        <v>#N/A</v>
      </c>
      <c r="Y40" s="488"/>
      <c r="Z40" s="182"/>
      <c r="AA40" s="180"/>
      <c r="AB40" s="180"/>
      <c r="AC40" s="182" t="e">
        <f t="shared" si="25"/>
        <v>#N/A</v>
      </c>
      <c r="AD40" s="488"/>
      <c r="AE40" s="182"/>
      <c r="AF40" s="180"/>
      <c r="AG40" s="180"/>
      <c r="AH40" s="182" t="e">
        <f t="shared" si="27"/>
        <v>#N/A</v>
      </c>
      <c r="AI40" s="488"/>
      <c r="AJ40" s="182"/>
      <c r="AK40" s="180"/>
      <c r="AL40" s="180"/>
      <c r="AM40" s="182" t="e">
        <f t="shared" si="29"/>
        <v>#N/A</v>
      </c>
      <c r="AN40" s="488"/>
      <c r="AO40" s="182"/>
      <c r="AP40" s="180"/>
      <c r="AQ40" s="180"/>
      <c r="AR40" s="182" t="e">
        <f t="shared" si="31"/>
        <v>#N/A</v>
      </c>
      <c r="AS40" s="488"/>
      <c r="AT40" s="182"/>
      <c r="AU40" s="180"/>
      <c r="AV40" s="180"/>
      <c r="AW40" s="182" t="e">
        <f t="shared" si="33"/>
        <v>#N/A</v>
      </c>
      <c r="AX40" s="488"/>
      <c r="AZ40" s="182" t="e">
        <f t="shared" si="35"/>
        <v>#N/A</v>
      </c>
      <c r="BA40" s="488"/>
    </row>
    <row r="41" spans="2:53">
      <c r="B41" s="454"/>
      <c r="C41" s="182">
        <v>15</v>
      </c>
      <c r="D41" s="203"/>
      <c r="E41" s="166"/>
      <c r="F41" s="182"/>
      <c r="G41" s="180"/>
      <c r="H41" s="465"/>
      <c r="I41" s="182"/>
      <c r="J41" s="182"/>
      <c r="K41" s="182"/>
      <c r="L41" s="465"/>
      <c r="M41" s="166" t="e">
        <f>RANK(K41, K$27:$K$41)</f>
        <v>#N/A</v>
      </c>
      <c r="N41" s="461"/>
      <c r="O41" s="461"/>
      <c r="P41" s="182"/>
      <c r="Q41" s="180"/>
      <c r="R41" s="180"/>
      <c r="S41" s="182" t="e">
        <f t="shared" si="22"/>
        <v>#N/A</v>
      </c>
      <c r="T41" s="489"/>
      <c r="U41" s="182"/>
      <c r="V41" s="180"/>
      <c r="W41" s="180"/>
      <c r="X41" s="182" t="e">
        <f t="shared" si="23"/>
        <v>#N/A</v>
      </c>
      <c r="Y41" s="489"/>
      <c r="Z41" s="182"/>
      <c r="AA41" s="180"/>
      <c r="AB41" s="180"/>
      <c r="AC41" s="182" t="e">
        <f t="shared" si="25"/>
        <v>#N/A</v>
      </c>
      <c r="AD41" s="489"/>
      <c r="AE41" s="182"/>
      <c r="AF41" s="180"/>
      <c r="AG41" s="180"/>
      <c r="AH41" s="182" t="e">
        <f t="shared" si="27"/>
        <v>#N/A</v>
      </c>
      <c r="AI41" s="489"/>
      <c r="AJ41" s="182"/>
      <c r="AK41" s="180"/>
      <c r="AL41" s="180"/>
      <c r="AM41" s="182" t="e">
        <f t="shared" si="29"/>
        <v>#N/A</v>
      </c>
      <c r="AN41" s="489"/>
      <c r="AO41" s="182"/>
      <c r="AP41" s="180"/>
      <c r="AQ41" s="180"/>
      <c r="AR41" s="182" t="e">
        <f t="shared" si="31"/>
        <v>#N/A</v>
      </c>
      <c r="AS41" s="489"/>
      <c r="AT41" s="182"/>
      <c r="AU41" s="180"/>
      <c r="AV41" s="180"/>
      <c r="AW41" s="182" t="e">
        <f t="shared" si="33"/>
        <v>#N/A</v>
      </c>
      <c r="AX41" s="489"/>
      <c r="AZ41" s="182" t="e">
        <f t="shared" si="35"/>
        <v>#N/A</v>
      </c>
      <c r="BA41" s="489"/>
    </row>
    <row r="42" spans="2:53" ht="15.5">
      <c r="B42" s="493" t="s">
        <v>163</v>
      </c>
      <c r="C42" s="494"/>
      <c r="D42" s="494"/>
      <c r="E42" s="494"/>
      <c r="F42" s="494"/>
      <c r="G42" s="494"/>
      <c r="H42" s="494"/>
      <c r="I42" s="186"/>
      <c r="J42" s="183"/>
      <c r="K42" s="186"/>
      <c r="L42" s="186"/>
      <c r="M42" s="178"/>
      <c r="N42" s="480" t="s">
        <v>156</v>
      </c>
      <c r="O42" s="480" t="s">
        <v>105</v>
      </c>
      <c r="P42" s="476">
        <f>P22+7</f>
        <v>46126</v>
      </c>
      <c r="Q42" s="454"/>
      <c r="R42" s="454"/>
      <c r="S42" s="454"/>
      <c r="T42" s="454"/>
      <c r="U42" s="473">
        <f>P42+1</f>
        <v>46127</v>
      </c>
      <c r="V42" s="474"/>
      <c r="W42" s="474"/>
      <c r="X42" s="474"/>
      <c r="Y42" s="475"/>
      <c r="Z42" s="473">
        <f>U42+1</f>
        <v>46128</v>
      </c>
      <c r="AA42" s="474"/>
      <c r="AB42" s="474"/>
      <c r="AC42" s="474"/>
      <c r="AD42" s="475"/>
      <c r="AE42" s="473">
        <f>Z42+1</f>
        <v>46129</v>
      </c>
      <c r="AF42" s="474"/>
      <c r="AG42" s="474"/>
      <c r="AH42" s="474"/>
      <c r="AI42" s="475"/>
      <c r="AJ42" s="473">
        <f>AE42+1</f>
        <v>46130</v>
      </c>
      <c r="AK42" s="474"/>
      <c r="AL42" s="474"/>
      <c r="AM42" s="474"/>
      <c r="AN42" s="475"/>
      <c r="AO42" s="473">
        <f>AJ42+1</f>
        <v>46131</v>
      </c>
      <c r="AP42" s="474"/>
      <c r="AQ42" s="474"/>
      <c r="AR42" s="474"/>
      <c r="AS42" s="475"/>
      <c r="AT42" s="473">
        <f>AO42+1</f>
        <v>46132</v>
      </c>
      <c r="AU42" s="474"/>
      <c r="AV42" s="474"/>
      <c r="AW42" s="474"/>
      <c r="AX42" s="475"/>
    </row>
    <row r="43" spans="2:53" ht="15.5">
      <c r="B43" s="479"/>
      <c r="C43" s="479"/>
      <c r="D43" s="479"/>
      <c r="E43" s="479"/>
      <c r="F43" s="479"/>
      <c r="G43" s="479"/>
      <c r="H43" s="479"/>
      <c r="I43" s="184"/>
      <c r="J43" s="184"/>
      <c r="K43" s="184"/>
      <c r="L43" s="184"/>
      <c r="M43" s="179"/>
      <c r="N43" s="481"/>
      <c r="O43" s="481"/>
      <c r="P43" s="476" t="s">
        <v>336</v>
      </c>
      <c r="Q43" s="454"/>
      <c r="R43" s="454"/>
      <c r="S43" s="454"/>
      <c r="T43" s="454"/>
      <c r="U43" s="476" t="s">
        <v>337</v>
      </c>
      <c r="V43" s="454"/>
      <c r="W43" s="454"/>
      <c r="X43" s="454"/>
      <c r="Y43" s="454"/>
      <c r="Z43" s="476" t="s">
        <v>338</v>
      </c>
      <c r="AA43" s="454"/>
      <c r="AB43" s="454"/>
      <c r="AC43" s="454"/>
      <c r="AD43" s="454"/>
      <c r="AE43" s="476" t="s">
        <v>339</v>
      </c>
      <c r="AF43" s="454"/>
      <c r="AG43" s="454"/>
      <c r="AH43" s="454"/>
      <c r="AI43" s="454"/>
      <c r="AJ43" s="476" t="s">
        <v>340</v>
      </c>
      <c r="AK43" s="454"/>
      <c r="AL43" s="454"/>
      <c r="AM43" s="454"/>
      <c r="AN43" s="454"/>
      <c r="AO43" s="476" t="s">
        <v>341</v>
      </c>
      <c r="AP43" s="454"/>
      <c r="AQ43" s="454"/>
      <c r="AR43" s="454"/>
      <c r="AS43" s="454"/>
      <c r="AT43" s="476" t="s">
        <v>342</v>
      </c>
      <c r="AU43" s="454"/>
      <c r="AV43" s="454"/>
      <c r="AW43" s="454"/>
      <c r="AX43" s="454"/>
    </row>
    <row r="44" spans="2:53">
      <c r="B44" s="461" t="s">
        <v>532</v>
      </c>
      <c r="C44" s="461" t="s">
        <v>533</v>
      </c>
      <c r="D44" s="461"/>
      <c r="E44" s="461" t="s">
        <v>534</v>
      </c>
      <c r="F44" s="461"/>
      <c r="G44" s="461"/>
      <c r="H44" s="482" t="s">
        <v>535</v>
      </c>
      <c r="I44" s="461" t="s">
        <v>536</v>
      </c>
      <c r="J44" s="461"/>
      <c r="K44" s="461"/>
      <c r="L44" s="482" t="s">
        <v>535</v>
      </c>
      <c r="M44" s="480" t="s">
        <v>537</v>
      </c>
      <c r="N44" s="461"/>
      <c r="O44" s="461" t="s">
        <v>538</v>
      </c>
      <c r="P44" s="466" t="s">
        <v>760</v>
      </c>
      <c r="Q44" s="467"/>
      <c r="R44" s="467"/>
      <c r="S44" s="468"/>
      <c r="T44" s="461" t="s">
        <v>761</v>
      </c>
      <c r="U44" s="466" t="s">
        <v>760</v>
      </c>
      <c r="V44" s="467"/>
      <c r="W44" s="467"/>
      <c r="X44" s="468"/>
      <c r="Y44" s="461" t="s">
        <v>761</v>
      </c>
      <c r="Z44" s="466" t="s">
        <v>760</v>
      </c>
      <c r="AA44" s="467"/>
      <c r="AB44" s="467"/>
      <c r="AC44" s="468"/>
      <c r="AD44" s="461" t="s">
        <v>761</v>
      </c>
      <c r="AE44" s="466" t="s">
        <v>760</v>
      </c>
      <c r="AF44" s="467"/>
      <c r="AG44" s="467"/>
      <c r="AH44" s="468"/>
      <c r="AI44" s="461" t="s">
        <v>761</v>
      </c>
      <c r="AJ44" s="466" t="s">
        <v>760</v>
      </c>
      <c r="AK44" s="467"/>
      <c r="AL44" s="467"/>
      <c r="AM44" s="468"/>
      <c r="AN44" s="461" t="s">
        <v>761</v>
      </c>
      <c r="AO44" s="466" t="s">
        <v>760</v>
      </c>
      <c r="AP44" s="467"/>
      <c r="AQ44" s="467"/>
      <c r="AR44" s="468"/>
      <c r="AS44" s="461" t="s">
        <v>761</v>
      </c>
      <c r="AT44" s="466" t="s">
        <v>760</v>
      </c>
      <c r="AU44" s="467"/>
      <c r="AV44" s="467"/>
      <c r="AW44" s="468"/>
      <c r="AX44" s="461" t="s">
        <v>761</v>
      </c>
      <c r="BA44" s="461" t="s">
        <v>396</v>
      </c>
    </row>
    <row r="45" spans="2:53">
      <c r="B45" s="461"/>
      <c r="C45" s="461"/>
      <c r="D45" s="461"/>
      <c r="E45" s="461" t="s">
        <v>540</v>
      </c>
      <c r="F45" s="461"/>
      <c r="G45" s="461"/>
      <c r="H45" s="483"/>
      <c r="I45" s="461" t="s">
        <v>540</v>
      </c>
      <c r="J45" s="461"/>
      <c r="K45" s="461"/>
      <c r="L45" s="483"/>
      <c r="M45" s="485"/>
      <c r="N45" s="461"/>
      <c r="O45" s="461"/>
      <c r="P45" s="466" t="s">
        <v>762</v>
      </c>
      <c r="Q45" s="467"/>
      <c r="R45" s="467"/>
      <c r="S45" s="468"/>
      <c r="T45" s="461"/>
      <c r="U45" s="466" t="s">
        <v>762</v>
      </c>
      <c r="V45" s="467"/>
      <c r="W45" s="467"/>
      <c r="X45" s="468"/>
      <c r="Y45" s="461"/>
      <c r="Z45" s="466" t="s">
        <v>762</v>
      </c>
      <c r="AA45" s="467"/>
      <c r="AB45" s="467"/>
      <c r="AC45" s="468"/>
      <c r="AD45" s="461"/>
      <c r="AE45" s="466" t="s">
        <v>762</v>
      </c>
      <c r="AF45" s="467"/>
      <c r="AG45" s="467"/>
      <c r="AH45" s="468"/>
      <c r="AI45" s="461"/>
      <c r="AJ45" s="466" t="s">
        <v>762</v>
      </c>
      <c r="AK45" s="467"/>
      <c r="AL45" s="467"/>
      <c r="AM45" s="468"/>
      <c r="AN45" s="461"/>
      <c r="AO45" s="466" t="s">
        <v>762</v>
      </c>
      <c r="AP45" s="467"/>
      <c r="AQ45" s="467"/>
      <c r="AR45" s="468"/>
      <c r="AS45" s="461"/>
      <c r="AT45" s="466" t="s">
        <v>762</v>
      </c>
      <c r="AU45" s="467"/>
      <c r="AV45" s="467"/>
      <c r="AW45" s="468"/>
      <c r="AX45" s="461"/>
      <c r="BA45" s="461"/>
    </row>
    <row r="46" spans="2:53">
      <c r="B46" s="461"/>
      <c r="C46" s="461"/>
      <c r="D46" s="461"/>
      <c r="E46" s="269" t="s">
        <v>542</v>
      </c>
      <c r="F46" s="269" t="s">
        <v>543</v>
      </c>
      <c r="G46" s="269" t="s">
        <v>544</v>
      </c>
      <c r="H46" s="484"/>
      <c r="I46" s="269" t="s">
        <v>542</v>
      </c>
      <c r="J46" s="269" t="s">
        <v>543</v>
      </c>
      <c r="K46" s="269" t="s">
        <v>544</v>
      </c>
      <c r="L46" s="484"/>
      <c r="M46" s="481"/>
      <c r="N46" s="461"/>
      <c r="O46" s="461"/>
      <c r="P46" s="269" t="s">
        <v>763</v>
      </c>
      <c r="Q46" s="269" t="s">
        <v>764</v>
      </c>
      <c r="R46" s="269" t="s">
        <v>765</v>
      </c>
      <c r="S46" s="269" t="s">
        <v>766</v>
      </c>
      <c r="T46" s="461"/>
      <c r="U46" s="269" t="s">
        <v>763</v>
      </c>
      <c r="V46" s="269" t="s">
        <v>764</v>
      </c>
      <c r="W46" s="269" t="s">
        <v>765</v>
      </c>
      <c r="X46" s="269" t="s">
        <v>766</v>
      </c>
      <c r="Y46" s="461"/>
      <c r="Z46" s="269" t="s">
        <v>763</v>
      </c>
      <c r="AA46" s="269" t="s">
        <v>764</v>
      </c>
      <c r="AB46" s="269" t="s">
        <v>765</v>
      </c>
      <c r="AC46" s="269" t="s">
        <v>766</v>
      </c>
      <c r="AD46" s="461"/>
      <c r="AE46" s="269" t="s">
        <v>763</v>
      </c>
      <c r="AF46" s="269" t="s">
        <v>764</v>
      </c>
      <c r="AG46" s="269" t="s">
        <v>765</v>
      </c>
      <c r="AH46" s="269" t="s">
        <v>766</v>
      </c>
      <c r="AI46" s="461"/>
      <c r="AJ46" s="269" t="s">
        <v>763</v>
      </c>
      <c r="AK46" s="269" t="s">
        <v>764</v>
      </c>
      <c r="AL46" s="269" t="s">
        <v>765</v>
      </c>
      <c r="AM46" s="269" t="s">
        <v>766</v>
      </c>
      <c r="AN46" s="461"/>
      <c r="AO46" s="269" t="s">
        <v>763</v>
      </c>
      <c r="AP46" s="269" t="s">
        <v>764</v>
      </c>
      <c r="AQ46" s="269" t="s">
        <v>765</v>
      </c>
      <c r="AR46" s="269" t="s">
        <v>766</v>
      </c>
      <c r="AS46" s="461"/>
      <c r="AT46" s="269" t="s">
        <v>763</v>
      </c>
      <c r="AU46" s="269" t="s">
        <v>764</v>
      </c>
      <c r="AV46" s="269" t="s">
        <v>765</v>
      </c>
      <c r="AW46" s="269" t="s">
        <v>766</v>
      </c>
      <c r="AX46" s="461"/>
      <c r="AZ46" s="269" t="s">
        <v>766</v>
      </c>
      <c r="BA46" s="461"/>
    </row>
    <row r="47" spans="2:53">
      <c r="B47" s="461" t="s">
        <v>546</v>
      </c>
      <c r="C47" s="182">
        <v>1</v>
      </c>
      <c r="D47" s="203"/>
      <c r="E47" s="166"/>
      <c r="F47" s="182"/>
      <c r="G47" s="180"/>
      <c r="H47" s="463" t="e">
        <f>AVERAGE(G47:G61)</f>
        <v>#DIV/0!</v>
      </c>
      <c r="I47" s="166" t="str">
        <f t="shared" ref="I47:I60" si="37">IFERROR(AVERAGE(P47,U47,Z47,AE47,AJ47,AO47,AT47),"-")</f>
        <v>-</v>
      </c>
      <c r="J47" s="166" t="str">
        <f t="shared" ref="J47:J60" si="38">IFERROR(AVERAGE(Q47,V47,AA47,AF47,AK47,AP47,AU47),"-")</f>
        <v>-</v>
      </c>
      <c r="K47" s="180" t="str">
        <f t="shared" ref="K47:K60" si="39">IFERROR(AVERAGE(R47,W47,AB47,AG47,AL47,AQ47,AV47),"-")</f>
        <v>-</v>
      </c>
      <c r="L47" s="463" t="str">
        <f>IFERROR(AVERAGE(K47:K61),"-")</f>
        <v>-</v>
      </c>
      <c r="M47" s="181" t="e">
        <f>RANK(K47, K$47:$K$61)</f>
        <v>#VALUE!</v>
      </c>
      <c r="N47" s="461"/>
      <c r="O47" s="461"/>
      <c r="P47" s="166"/>
      <c r="Q47" s="180"/>
      <c r="R47" s="180"/>
      <c r="S47" s="182" t="e">
        <f>RANK(R47, R$47:R$61)</f>
        <v>#N/A</v>
      </c>
      <c r="T47" s="487" t="e">
        <f>AVERAGE(R47:R61)</f>
        <v>#DIV/0!</v>
      </c>
      <c r="U47" s="166"/>
      <c r="V47" s="180"/>
      <c r="W47" s="180"/>
      <c r="X47" s="182" t="e">
        <f t="shared" ref="X47:X61" si="40">RANK(W47, W$47:W$61)</f>
        <v>#N/A</v>
      </c>
      <c r="Y47" s="487" t="e">
        <f t="shared" ref="Y47" si="41">AVERAGE(W47:W61)</f>
        <v>#DIV/0!</v>
      </c>
      <c r="Z47" s="166"/>
      <c r="AA47" s="180"/>
      <c r="AB47" s="180"/>
      <c r="AC47" s="182" t="e">
        <f t="shared" ref="AC47:AC61" si="42">RANK(AB47, AB$47:AB$61)</f>
        <v>#N/A</v>
      </c>
      <c r="AD47" s="487" t="e">
        <f t="shared" ref="AD47" si="43">AVERAGE(AB47:AB61)</f>
        <v>#DIV/0!</v>
      </c>
      <c r="AE47" s="166"/>
      <c r="AF47" s="180"/>
      <c r="AG47" s="180"/>
      <c r="AH47" s="182" t="e">
        <f t="shared" ref="AH47:AH61" si="44">RANK(AG47, AG$47:AG$61)</f>
        <v>#N/A</v>
      </c>
      <c r="AI47" s="487" t="e">
        <f t="shared" ref="AI47" si="45">AVERAGE(AG47:AG61)</f>
        <v>#DIV/0!</v>
      </c>
      <c r="AJ47" s="166"/>
      <c r="AK47" s="180"/>
      <c r="AL47" s="180"/>
      <c r="AM47" s="182" t="e">
        <f t="shared" ref="AM47:AM61" si="46">RANK(AL47, AL$47:AL$61)</f>
        <v>#N/A</v>
      </c>
      <c r="AN47" s="487" t="e">
        <f t="shared" ref="AN47" si="47">AVERAGE(AL47:AL61)</f>
        <v>#DIV/0!</v>
      </c>
      <c r="AO47" s="166"/>
      <c r="AP47" s="180"/>
      <c r="AQ47" s="180"/>
      <c r="AR47" s="182" t="e">
        <f t="shared" ref="AR47:AR61" si="48">RANK(AQ47, AQ$47:AQ$61)</f>
        <v>#N/A</v>
      </c>
      <c r="AS47" s="487" t="e">
        <f t="shared" ref="AS47" si="49">AVERAGE(AQ47:AQ61)</f>
        <v>#DIV/0!</v>
      </c>
      <c r="AT47" s="166"/>
      <c r="AU47" s="180"/>
      <c r="AV47" s="180"/>
      <c r="AW47" s="182" t="e">
        <f t="shared" ref="AW47:AW61" si="50">RANK(AV47, AV$47:AV$61)</f>
        <v>#N/A</v>
      </c>
      <c r="AX47" s="487" t="e">
        <f t="shared" ref="AX47" si="51">AVERAGE(AV47:AV61)</f>
        <v>#DIV/0!</v>
      </c>
      <c r="AZ47" s="182" t="e">
        <f t="shared" ref="AZ47:AZ61" si="52">RANK(AY47, AY$47:AY$61)</f>
        <v>#N/A</v>
      </c>
      <c r="BA47" s="487" t="e">
        <f t="shared" ref="BA47" si="53">AVERAGE(AY47:AY61)</f>
        <v>#DIV/0!</v>
      </c>
    </row>
    <row r="48" spans="2:53">
      <c r="B48" s="454"/>
      <c r="C48" s="182">
        <v>2</v>
      </c>
      <c r="D48" s="203"/>
      <c r="E48" s="166"/>
      <c r="F48" s="182"/>
      <c r="G48" s="180"/>
      <c r="H48" s="464"/>
      <c r="I48" s="166" t="str">
        <f t="shared" si="37"/>
        <v>-</v>
      </c>
      <c r="J48" s="166" t="str">
        <f t="shared" si="38"/>
        <v>-</v>
      </c>
      <c r="K48" s="180" t="str">
        <f t="shared" si="39"/>
        <v>-</v>
      </c>
      <c r="L48" s="464"/>
      <c r="M48" s="181" t="e">
        <f>RANK(K48, K$47:$K$61)</f>
        <v>#VALUE!</v>
      </c>
      <c r="N48" s="461"/>
      <c r="O48" s="461"/>
      <c r="P48" s="182"/>
      <c r="Q48" s="180"/>
      <c r="R48" s="180"/>
      <c r="S48" s="182" t="e">
        <f t="shared" ref="S48:S61" si="54">RANK(R48, R$47:R$61)</f>
        <v>#N/A</v>
      </c>
      <c r="T48" s="488"/>
      <c r="U48" s="182"/>
      <c r="V48" s="180"/>
      <c r="W48" s="180"/>
      <c r="X48" s="182" t="e">
        <f t="shared" si="40"/>
        <v>#N/A</v>
      </c>
      <c r="Y48" s="488"/>
      <c r="Z48" s="182"/>
      <c r="AA48" s="180"/>
      <c r="AB48" s="180"/>
      <c r="AC48" s="182" t="e">
        <f t="shared" si="42"/>
        <v>#N/A</v>
      </c>
      <c r="AD48" s="488"/>
      <c r="AE48" s="182"/>
      <c r="AF48" s="180"/>
      <c r="AG48" s="180"/>
      <c r="AH48" s="182" t="e">
        <f t="shared" si="44"/>
        <v>#N/A</v>
      </c>
      <c r="AI48" s="488"/>
      <c r="AJ48" s="182"/>
      <c r="AK48" s="180"/>
      <c r="AL48" s="180"/>
      <c r="AM48" s="182" t="e">
        <f t="shared" si="46"/>
        <v>#N/A</v>
      </c>
      <c r="AN48" s="488"/>
      <c r="AO48" s="182"/>
      <c r="AP48" s="180"/>
      <c r="AQ48" s="180"/>
      <c r="AR48" s="182" t="e">
        <f t="shared" si="48"/>
        <v>#N/A</v>
      </c>
      <c r="AS48" s="488"/>
      <c r="AT48" s="182"/>
      <c r="AU48" s="180"/>
      <c r="AV48" s="180"/>
      <c r="AW48" s="182" t="e">
        <f t="shared" si="50"/>
        <v>#N/A</v>
      </c>
      <c r="AX48" s="488"/>
      <c r="AZ48" s="182" t="e">
        <f t="shared" si="52"/>
        <v>#N/A</v>
      </c>
      <c r="BA48" s="488"/>
    </row>
    <row r="49" spans="2:53">
      <c r="B49" s="454"/>
      <c r="C49" s="182">
        <v>3</v>
      </c>
      <c r="D49" s="203"/>
      <c r="E49" s="166"/>
      <c r="F49" s="182"/>
      <c r="G49" s="180"/>
      <c r="H49" s="464"/>
      <c r="I49" s="166" t="str">
        <f t="shared" si="37"/>
        <v>-</v>
      </c>
      <c r="J49" s="166" t="str">
        <f t="shared" si="38"/>
        <v>-</v>
      </c>
      <c r="K49" s="180" t="str">
        <f t="shared" si="39"/>
        <v>-</v>
      </c>
      <c r="L49" s="464"/>
      <c r="M49" s="181" t="e">
        <f>RANK(K49, K$47:$K$61)</f>
        <v>#VALUE!</v>
      </c>
      <c r="N49" s="461"/>
      <c r="O49" s="461"/>
      <c r="P49" s="182"/>
      <c r="Q49" s="180"/>
      <c r="R49" s="180"/>
      <c r="S49" s="182" t="e">
        <f t="shared" si="54"/>
        <v>#N/A</v>
      </c>
      <c r="T49" s="488"/>
      <c r="U49" s="182"/>
      <c r="V49" s="180"/>
      <c r="W49" s="180"/>
      <c r="X49" s="182" t="e">
        <f t="shared" si="40"/>
        <v>#N/A</v>
      </c>
      <c r="Y49" s="488"/>
      <c r="Z49" s="182"/>
      <c r="AA49" s="180"/>
      <c r="AB49" s="180"/>
      <c r="AC49" s="182" t="e">
        <f t="shared" si="42"/>
        <v>#N/A</v>
      </c>
      <c r="AD49" s="488"/>
      <c r="AE49" s="182"/>
      <c r="AF49" s="180"/>
      <c r="AG49" s="180"/>
      <c r="AH49" s="182" t="e">
        <f t="shared" si="44"/>
        <v>#N/A</v>
      </c>
      <c r="AI49" s="488"/>
      <c r="AJ49" s="182"/>
      <c r="AK49" s="180"/>
      <c r="AL49" s="180"/>
      <c r="AM49" s="182" t="e">
        <f t="shared" si="46"/>
        <v>#N/A</v>
      </c>
      <c r="AN49" s="488"/>
      <c r="AO49" s="182"/>
      <c r="AP49" s="180"/>
      <c r="AQ49" s="180"/>
      <c r="AR49" s="182" t="e">
        <f t="shared" si="48"/>
        <v>#N/A</v>
      </c>
      <c r="AS49" s="488"/>
      <c r="AT49" s="182"/>
      <c r="AU49" s="180"/>
      <c r="AV49" s="180"/>
      <c r="AW49" s="182" t="e">
        <f t="shared" si="50"/>
        <v>#N/A</v>
      </c>
      <c r="AX49" s="488"/>
      <c r="AZ49" s="182" t="e">
        <f t="shared" si="52"/>
        <v>#N/A</v>
      </c>
      <c r="BA49" s="488"/>
    </row>
    <row r="50" spans="2:53">
      <c r="B50" s="454"/>
      <c r="C50" s="182">
        <v>4</v>
      </c>
      <c r="D50" s="203"/>
      <c r="E50" s="166"/>
      <c r="F50" s="182"/>
      <c r="G50" s="180"/>
      <c r="H50" s="464"/>
      <c r="I50" s="166" t="str">
        <f t="shared" si="37"/>
        <v>-</v>
      </c>
      <c r="J50" s="166" t="str">
        <f t="shared" si="38"/>
        <v>-</v>
      </c>
      <c r="K50" s="180" t="str">
        <f t="shared" si="39"/>
        <v>-</v>
      </c>
      <c r="L50" s="464"/>
      <c r="M50" s="181" t="e">
        <f>RANK(K50, K$47:$K$61)</f>
        <v>#VALUE!</v>
      </c>
      <c r="N50" s="461"/>
      <c r="O50" s="461"/>
      <c r="P50" s="182"/>
      <c r="Q50" s="180"/>
      <c r="R50" s="180"/>
      <c r="S50" s="182" t="e">
        <f t="shared" si="54"/>
        <v>#N/A</v>
      </c>
      <c r="T50" s="488"/>
      <c r="U50" s="182"/>
      <c r="V50" s="180"/>
      <c r="W50" s="180"/>
      <c r="X50" s="182" t="e">
        <f t="shared" si="40"/>
        <v>#N/A</v>
      </c>
      <c r="Y50" s="488"/>
      <c r="Z50" s="182"/>
      <c r="AA50" s="180"/>
      <c r="AB50" s="180"/>
      <c r="AC50" s="182" t="e">
        <f t="shared" si="42"/>
        <v>#N/A</v>
      </c>
      <c r="AD50" s="488"/>
      <c r="AE50" s="182"/>
      <c r="AF50" s="180"/>
      <c r="AG50" s="180"/>
      <c r="AH50" s="182" t="e">
        <f t="shared" si="44"/>
        <v>#N/A</v>
      </c>
      <c r="AI50" s="488"/>
      <c r="AJ50" s="182"/>
      <c r="AK50" s="180"/>
      <c r="AL50" s="180"/>
      <c r="AM50" s="182" t="e">
        <f t="shared" si="46"/>
        <v>#N/A</v>
      </c>
      <c r="AN50" s="488"/>
      <c r="AO50" s="182"/>
      <c r="AP50" s="180"/>
      <c r="AQ50" s="180"/>
      <c r="AR50" s="182" t="e">
        <f t="shared" si="48"/>
        <v>#N/A</v>
      </c>
      <c r="AS50" s="488"/>
      <c r="AT50" s="182"/>
      <c r="AU50" s="180"/>
      <c r="AV50" s="180"/>
      <c r="AW50" s="182" t="e">
        <f t="shared" si="50"/>
        <v>#N/A</v>
      </c>
      <c r="AX50" s="488"/>
      <c r="AZ50" s="182" t="e">
        <f t="shared" si="52"/>
        <v>#N/A</v>
      </c>
      <c r="BA50" s="488"/>
    </row>
    <row r="51" spans="2:53">
      <c r="B51" s="454"/>
      <c r="C51" s="182">
        <v>5</v>
      </c>
      <c r="D51" s="203"/>
      <c r="E51" s="166"/>
      <c r="F51" s="182"/>
      <c r="G51" s="180"/>
      <c r="H51" s="464"/>
      <c r="I51" s="166" t="str">
        <f t="shared" si="37"/>
        <v>-</v>
      </c>
      <c r="J51" s="166" t="str">
        <f t="shared" si="38"/>
        <v>-</v>
      </c>
      <c r="K51" s="180" t="str">
        <f t="shared" si="39"/>
        <v>-</v>
      </c>
      <c r="L51" s="464"/>
      <c r="M51" s="181" t="e">
        <f>RANK(K51, K$47:$K$61)</f>
        <v>#VALUE!</v>
      </c>
      <c r="N51" s="461"/>
      <c r="O51" s="461"/>
      <c r="P51" s="182"/>
      <c r="Q51" s="180"/>
      <c r="R51" s="180"/>
      <c r="S51" s="182" t="e">
        <f t="shared" si="54"/>
        <v>#N/A</v>
      </c>
      <c r="T51" s="488"/>
      <c r="U51" s="182"/>
      <c r="V51" s="180"/>
      <c r="W51" s="180"/>
      <c r="X51" s="182" t="e">
        <f t="shared" si="40"/>
        <v>#N/A</v>
      </c>
      <c r="Y51" s="488"/>
      <c r="Z51" s="182"/>
      <c r="AA51" s="180"/>
      <c r="AB51" s="180"/>
      <c r="AC51" s="182" t="e">
        <f t="shared" si="42"/>
        <v>#N/A</v>
      </c>
      <c r="AD51" s="488"/>
      <c r="AE51" s="182"/>
      <c r="AF51" s="180"/>
      <c r="AG51" s="180"/>
      <c r="AH51" s="182" t="e">
        <f t="shared" si="44"/>
        <v>#N/A</v>
      </c>
      <c r="AI51" s="488"/>
      <c r="AJ51" s="182"/>
      <c r="AK51" s="180"/>
      <c r="AL51" s="180"/>
      <c r="AM51" s="182" t="e">
        <f t="shared" si="46"/>
        <v>#N/A</v>
      </c>
      <c r="AN51" s="488"/>
      <c r="AO51" s="182"/>
      <c r="AP51" s="180"/>
      <c r="AQ51" s="180"/>
      <c r="AR51" s="182" t="e">
        <f t="shared" si="48"/>
        <v>#N/A</v>
      </c>
      <c r="AS51" s="488"/>
      <c r="AT51" s="182"/>
      <c r="AU51" s="180"/>
      <c r="AV51" s="180"/>
      <c r="AW51" s="182" t="e">
        <f t="shared" si="50"/>
        <v>#N/A</v>
      </c>
      <c r="AX51" s="488"/>
      <c r="AZ51" s="182" t="e">
        <f t="shared" si="52"/>
        <v>#N/A</v>
      </c>
      <c r="BA51" s="488"/>
    </row>
    <row r="52" spans="2:53">
      <c r="B52" s="454"/>
      <c r="C52" s="182">
        <v>6</v>
      </c>
      <c r="D52" s="203"/>
      <c r="E52" s="166"/>
      <c r="F52" s="182"/>
      <c r="G52" s="180"/>
      <c r="H52" s="464"/>
      <c r="I52" s="166" t="str">
        <f t="shared" si="37"/>
        <v>-</v>
      </c>
      <c r="J52" s="166" t="str">
        <f t="shared" si="38"/>
        <v>-</v>
      </c>
      <c r="K52" s="180" t="str">
        <f t="shared" si="39"/>
        <v>-</v>
      </c>
      <c r="L52" s="464"/>
      <c r="M52" s="181" t="e">
        <f>RANK(K52, K$47:$K$61)</f>
        <v>#VALUE!</v>
      </c>
      <c r="N52" s="461"/>
      <c r="O52" s="461"/>
      <c r="P52" s="182"/>
      <c r="Q52" s="180"/>
      <c r="R52" s="180"/>
      <c r="S52" s="182" t="e">
        <f t="shared" si="54"/>
        <v>#N/A</v>
      </c>
      <c r="T52" s="488"/>
      <c r="U52" s="182"/>
      <c r="V52" s="180"/>
      <c r="W52" s="180"/>
      <c r="X52" s="182" t="e">
        <f t="shared" si="40"/>
        <v>#N/A</v>
      </c>
      <c r="Y52" s="488"/>
      <c r="Z52" s="182"/>
      <c r="AA52" s="180"/>
      <c r="AB52" s="180"/>
      <c r="AC52" s="182" t="e">
        <f t="shared" si="42"/>
        <v>#N/A</v>
      </c>
      <c r="AD52" s="488"/>
      <c r="AE52" s="182"/>
      <c r="AF52" s="180"/>
      <c r="AG52" s="180"/>
      <c r="AH52" s="182" t="e">
        <f t="shared" si="44"/>
        <v>#N/A</v>
      </c>
      <c r="AI52" s="488"/>
      <c r="AJ52" s="182"/>
      <c r="AK52" s="180"/>
      <c r="AL52" s="180"/>
      <c r="AM52" s="182" t="e">
        <f t="shared" si="46"/>
        <v>#N/A</v>
      </c>
      <c r="AN52" s="488"/>
      <c r="AO52" s="182"/>
      <c r="AP52" s="180"/>
      <c r="AQ52" s="180"/>
      <c r="AR52" s="182" t="e">
        <f t="shared" si="48"/>
        <v>#N/A</v>
      </c>
      <c r="AS52" s="488"/>
      <c r="AT52" s="182"/>
      <c r="AU52" s="180"/>
      <c r="AV52" s="180"/>
      <c r="AW52" s="182" t="e">
        <f t="shared" si="50"/>
        <v>#N/A</v>
      </c>
      <c r="AX52" s="488"/>
      <c r="AZ52" s="182" t="e">
        <f t="shared" si="52"/>
        <v>#N/A</v>
      </c>
      <c r="BA52" s="488"/>
    </row>
    <row r="53" spans="2:53">
      <c r="B53" s="454"/>
      <c r="C53" s="182">
        <v>7</v>
      </c>
      <c r="D53" s="203"/>
      <c r="E53" s="166"/>
      <c r="F53" s="182"/>
      <c r="G53" s="180"/>
      <c r="H53" s="464"/>
      <c r="I53" s="166" t="str">
        <f t="shared" si="37"/>
        <v>-</v>
      </c>
      <c r="J53" s="166" t="str">
        <f t="shared" si="38"/>
        <v>-</v>
      </c>
      <c r="K53" s="180" t="str">
        <f t="shared" si="39"/>
        <v>-</v>
      </c>
      <c r="L53" s="464"/>
      <c r="M53" s="181" t="e">
        <f>RANK(K53, K$47:$K$61)</f>
        <v>#VALUE!</v>
      </c>
      <c r="N53" s="461"/>
      <c r="O53" s="461"/>
      <c r="P53" s="182"/>
      <c r="Q53" s="180"/>
      <c r="R53" s="180"/>
      <c r="S53" s="182" t="e">
        <f t="shared" si="54"/>
        <v>#N/A</v>
      </c>
      <c r="T53" s="488"/>
      <c r="U53" s="182"/>
      <c r="V53" s="180"/>
      <c r="W53" s="180"/>
      <c r="X53" s="182" t="e">
        <f t="shared" si="40"/>
        <v>#N/A</v>
      </c>
      <c r="Y53" s="488"/>
      <c r="Z53" s="182"/>
      <c r="AA53" s="180"/>
      <c r="AB53" s="180"/>
      <c r="AC53" s="182" t="e">
        <f t="shared" si="42"/>
        <v>#N/A</v>
      </c>
      <c r="AD53" s="488"/>
      <c r="AE53" s="182"/>
      <c r="AF53" s="180"/>
      <c r="AG53" s="180"/>
      <c r="AH53" s="182" t="e">
        <f t="shared" si="44"/>
        <v>#N/A</v>
      </c>
      <c r="AI53" s="488"/>
      <c r="AJ53" s="182"/>
      <c r="AK53" s="180"/>
      <c r="AL53" s="180"/>
      <c r="AM53" s="182" t="e">
        <f t="shared" si="46"/>
        <v>#N/A</v>
      </c>
      <c r="AN53" s="488"/>
      <c r="AO53" s="182"/>
      <c r="AP53" s="180"/>
      <c r="AQ53" s="180"/>
      <c r="AR53" s="182" t="e">
        <f t="shared" si="48"/>
        <v>#N/A</v>
      </c>
      <c r="AS53" s="488"/>
      <c r="AT53" s="182"/>
      <c r="AU53" s="180"/>
      <c r="AV53" s="180"/>
      <c r="AW53" s="182" t="e">
        <f t="shared" si="50"/>
        <v>#N/A</v>
      </c>
      <c r="AX53" s="488"/>
      <c r="AZ53" s="182" t="e">
        <f t="shared" si="52"/>
        <v>#N/A</v>
      </c>
      <c r="BA53" s="488"/>
    </row>
    <row r="54" spans="2:53">
      <c r="B54" s="454"/>
      <c r="C54" s="182">
        <v>8</v>
      </c>
      <c r="D54" s="203"/>
      <c r="E54" s="166"/>
      <c r="F54" s="182"/>
      <c r="G54" s="180"/>
      <c r="H54" s="464"/>
      <c r="I54" s="166" t="str">
        <f t="shared" si="37"/>
        <v>-</v>
      </c>
      <c r="J54" s="166" t="str">
        <f t="shared" si="38"/>
        <v>-</v>
      </c>
      <c r="K54" s="180" t="str">
        <f t="shared" si="39"/>
        <v>-</v>
      </c>
      <c r="L54" s="464"/>
      <c r="M54" s="181" t="e">
        <f>RANK(K54, K$47:$K$61)</f>
        <v>#VALUE!</v>
      </c>
      <c r="N54" s="461"/>
      <c r="O54" s="461"/>
      <c r="P54" s="182"/>
      <c r="Q54" s="180"/>
      <c r="R54" s="180"/>
      <c r="S54" s="182" t="e">
        <f t="shared" si="54"/>
        <v>#N/A</v>
      </c>
      <c r="T54" s="488"/>
      <c r="U54" s="182"/>
      <c r="V54" s="180"/>
      <c r="W54" s="180"/>
      <c r="X54" s="182" t="e">
        <f t="shared" si="40"/>
        <v>#N/A</v>
      </c>
      <c r="Y54" s="488"/>
      <c r="Z54" s="182"/>
      <c r="AA54" s="180"/>
      <c r="AB54" s="180"/>
      <c r="AC54" s="182" t="e">
        <f t="shared" si="42"/>
        <v>#N/A</v>
      </c>
      <c r="AD54" s="488"/>
      <c r="AE54" s="182"/>
      <c r="AF54" s="180"/>
      <c r="AG54" s="180"/>
      <c r="AH54" s="182" t="e">
        <f t="shared" si="44"/>
        <v>#N/A</v>
      </c>
      <c r="AI54" s="488"/>
      <c r="AJ54" s="182"/>
      <c r="AK54" s="180"/>
      <c r="AL54" s="180"/>
      <c r="AM54" s="182" t="e">
        <f t="shared" si="46"/>
        <v>#N/A</v>
      </c>
      <c r="AN54" s="488"/>
      <c r="AO54" s="182"/>
      <c r="AP54" s="180"/>
      <c r="AQ54" s="180"/>
      <c r="AR54" s="182" t="e">
        <f t="shared" si="48"/>
        <v>#N/A</v>
      </c>
      <c r="AS54" s="488"/>
      <c r="AT54" s="182"/>
      <c r="AU54" s="180"/>
      <c r="AV54" s="180"/>
      <c r="AW54" s="182" t="e">
        <f t="shared" si="50"/>
        <v>#N/A</v>
      </c>
      <c r="AX54" s="488"/>
      <c r="AZ54" s="182" t="e">
        <f t="shared" si="52"/>
        <v>#N/A</v>
      </c>
      <c r="BA54" s="488"/>
    </row>
    <row r="55" spans="2:53">
      <c r="B55" s="454"/>
      <c r="C55" s="182">
        <v>9</v>
      </c>
      <c r="D55" s="203"/>
      <c r="E55" s="166"/>
      <c r="F55" s="182"/>
      <c r="G55" s="180"/>
      <c r="H55" s="464"/>
      <c r="I55" s="166" t="str">
        <f t="shared" si="37"/>
        <v>-</v>
      </c>
      <c r="J55" s="166" t="str">
        <f t="shared" si="38"/>
        <v>-</v>
      </c>
      <c r="K55" s="180" t="str">
        <f t="shared" si="39"/>
        <v>-</v>
      </c>
      <c r="L55" s="464"/>
      <c r="M55" s="181" t="e">
        <f>RANK(K55, K$47:$K$61)</f>
        <v>#VALUE!</v>
      </c>
      <c r="N55" s="461"/>
      <c r="O55" s="461"/>
      <c r="P55" s="182"/>
      <c r="Q55" s="180"/>
      <c r="R55" s="180"/>
      <c r="S55" s="182" t="e">
        <f t="shared" si="54"/>
        <v>#N/A</v>
      </c>
      <c r="T55" s="488"/>
      <c r="U55" s="182"/>
      <c r="V55" s="180"/>
      <c r="W55" s="180"/>
      <c r="X55" s="182" t="e">
        <f t="shared" si="40"/>
        <v>#N/A</v>
      </c>
      <c r="Y55" s="488"/>
      <c r="Z55" s="182"/>
      <c r="AA55" s="180"/>
      <c r="AB55" s="180"/>
      <c r="AC55" s="182" t="e">
        <f t="shared" si="42"/>
        <v>#N/A</v>
      </c>
      <c r="AD55" s="488"/>
      <c r="AE55" s="182"/>
      <c r="AF55" s="180"/>
      <c r="AG55" s="180"/>
      <c r="AH55" s="182" t="e">
        <f t="shared" si="44"/>
        <v>#N/A</v>
      </c>
      <c r="AI55" s="488"/>
      <c r="AJ55" s="182"/>
      <c r="AK55" s="180"/>
      <c r="AL55" s="180"/>
      <c r="AM55" s="182" t="e">
        <f t="shared" si="46"/>
        <v>#N/A</v>
      </c>
      <c r="AN55" s="488"/>
      <c r="AO55" s="182"/>
      <c r="AP55" s="180"/>
      <c r="AQ55" s="180"/>
      <c r="AR55" s="182" t="e">
        <f t="shared" si="48"/>
        <v>#N/A</v>
      </c>
      <c r="AS55" s="488"/>
      <c r="AT55" s="182"/>
      <c r="AU55" s="180"/>
      <c r="AV55" s="180"/>
      <c r="AW55" s="182" t="e">
        <f t="shared" si="50"/>
        <v>#N/A</v>
      </c>
      <c r="AX55" s="488"/>
      <c r="AZ55" s="182" t="e">
        <f t="shared" si="52"/>
        <v>#N/A</v>
      </c>
      <c r="BA55" s="488"/>
    </row>
    <row r="56" spans="2:53">
      <c r="B56" s="454"/>
      <c r="C56" s="182">
        <v>10</v>
      </c>
      <c r="D56" s="203"/>
      <c r="E56" s="166"/>
      <c r="F56" s="182"/>
      <c r="G56" s="180"/>
      <c r="H56" s="464"/>
      <c r="I56" s="166" t="str">
        <f t="shared" si="37"/>
        <v>-</v>
      </c>
      <c r="J56" s="166" t="str">
        <f t="shared" si="38"/>
        <v>-</v>
      </c>
      <c r="K56" s="180" t="str">
        <f t="shared" si="39"/>
        <v>-</v>
      </c>
      <c r="L56" s="464"/>
      <c r="M56" s="181" t="e">
        <f>RANK(K56, K$47:$K$61)</f>
        <v>#VALUE!</v>
      </c>
      <c r="N56" s="461"/>
      <c r="O56" s="461"/>
      <c r="P56" s="182"/>
      <c r="Q56" s="180"/>
      <c r="R56" s="180"/>
      <c r="S56" s="182" t="e">
        <f t="shared" si="54"/>
        <v>#N/A</v>
      </c>
      <c r="T56" s="488"/>
      <c r="U56" s="182"/>
      <c r="V56" s="180"/>
      <c r="W56" s="180"/>
      <c r="X56" s="182" t="e">
        <f t="shared" si="40"/>
        <v>#N/A</v>
      </c>
      <c r="Y56" s="488"/>
      <c r="Z56" s="182"/>
      <c r="AA56" s="180"/>
      <c r="AB56" s="180"/>
      <c r="AC56" s="182" t="e">
        <f t="shared" si="42"/>
        <v>#N/A</v>
      </c>
      <c r="AD56" s="488"/>
      <c r="AE56" s="182"/>
      <c r="AF56" s="180"/>
      <c r="AG56" s="180"/>
      <c r="AH56" s="182" t="e">
        <f t="shared" si="44"/>
        <v>#N/A</v>
      </c>
      <c r="AI56" s="488"/>
      <c r="AJ56" s="182"/>
      <c r="AK56" s="180"/>
      <c r="AL56" s="180"/>
      <c r="AM56" s="182" t="e">
        <f t="shared" si="46"/>
        <v>#N/A</v>
      </c>
      <c r="AN56" s="488"/>
      <c r="AO56" s="182"/>
      <c r="AP56" s="180"/>
      <c r="AQ56" s="180"/>
      <c r="AR56" s="182" t="e">
        <f t="shared" si="48"/>
        <v>#N/A</v>
      </c>
      <c r="AS56" s="488"/>
      <c r="AT56" s="182"/>
      <c r="AU56" s="180"/>
      <c r="AV56" s="180"/>
      <c r="AW56" s="182" t="e">
        <f t="shared" si="50"/>
        <v>#N/A</v>
      </c>
      <c r="AX56" s="488"/>
      <c r="AZ56" s="182" t="e">
        <f t="shared" si="52"/>
        <v>#N/A</v>
      </c>
      <c r="BA56" s="488"/>
    </row>
    <row r="57" spans="2:53">
      <c r="B57" s="454"/>
      <c r="C57" s="182">
        <v>11</v>
      </c>
      <c r="D57" s="203"/>
      <c r="E57" s="166"/>
      <c r="F57" s="182"/>
      <c r="G57" s="180"/>
      <c r="H57" s="464"/>
      <c r="I57" s="166" t="str">
        <f t="shared" si="37"/>
        <v>-</v>
      </c>
      <c r="J57" s="166" t="str">
        <f t="shared" si="38"/>
        <v>-</v>
      </c>
      <c r="K57" s="180" t="str">
        <f t="shared" si="39"/>
        <v>-</v>
      </c>
      <c r="L57" s="464"/>
      <c r="M57" s="181" t="e">
        <f>RANK(K57, K$47:$K$61)</f>
        <v>#VALUE!</v>
      </c>
      <c r="N57" s="461"/>
      <c r="O57" s="461"/>
      <c r="P57" s="182"/>
      <c r="Q57" s="180"/>
      <c r="R57" s="180"/>
      <c r="S57" s="182" t="e">
        <f t="shared" si="54"/>
        <v>#N/A</v>
      </c>
      <c r="T57" s="488"/>
      <c r="U57" s="182"/>
      <c r="V57" s="180"/>
      <c r="W57" s="180"/>
      <c r="X57" s="182" t="e">
        <f t="shared" si="40"/>
        <v>#N/A</v>
      </c>
      <c r="Y57" s="488"/>
      <c r="Z57" s="182"/>
      <c r="AA57" s="180"/>
      <c r="AB57" s="180"/>
      <c r="AC57" s="182" t="e">
        <f t="shared" si="42"/>
        <v>#N/A</v>
      </c>
      <c r="AD57" s="488"/>
      <c r="AE57" s="182"/>
      <c r="AF57" s="180"/>
      <c r="AG57" s="180"/>
      <c r="AH57" s="182" t="e">
        <f t="shared" si="44"/>
        <v>#N/A</v>
      </c>
      <c r="AI57" s="488"/>
      <c r="AJ57" s="182"/>
      <c r="AK57" s="180"/>
      <c r="AL57" s="180"/>
      <c r="AM57" s="182" t="e">
        <f t="shared" si="46"/>
        <v>#N/A</v>
      </c>
      <c r="AN57" s="488"/>
      <c r="AO57" s="182"/>
      <c r="AP57" s="180"/>
      <c r="AQ57" s="180"/>
      <c r="AR57" s="182" t="e">
        <f t="shared" si="48"/>
        <v>#N/A</v>
      </c>
      <c r="AS57" s="488"/>
      <c r="AT57" s="182"/>
      <c r="AU57" s="180"/>
      <c r="AV57" s="180"/>
      <c r="AW57" s="182" t="e">
        <f t="shared" si="50"/>
        <v>#N/A</v>
      </c>
      <c r="AX57" s="488"/>
      <c r="AZ57" s="182" t="e">
        <f t="shared" si="52"/>
        <v>#N/A</v>
      </c>
      <c r="BA57" s="488"/>
    </row>
    <row r="58" spans="2:53">
      <c r="B58" s="454"/>
      <c r="C58" s="182">
        <v>12</v>
      </c>
      <c r="D58" s="203"/>
      <c r="E58" s="166"/>
      <c r="F58" s="182"/>
      <c r="G58" s="180"/>
      <c r="H58" s="464"/>
      <c r="I58" s="166" t="str">
        <f t="shared" si="37"/>
        <v>-</v>
      </c>
      <c r="J58" s="166" t="str">
        <f t="shared" si="38"/>
        <v>-</v>
      </c>
      <c r="K58" s="180" t="str">
        <f t="shared" si="39"/>
        <v>-</v>
      </c>
      <c r="L58" s="464"/>
      <c r="M58" s="181" t="e">
        <f>RANK(K58, K$47:$K$61)</f>
        <v>#VALUE!</v>
      </c>
      <c r="N58" s="461"/>
      <c r="O58" s="461"/>
      <c r="P58" s="182"/>
      <c r="Q58" s="180"/>
      <c r="R58" s="180"/>
      <c r="S58" s="182" t="e">
        <f t="shared" si="54"/>
        <v>#N/A</v>
      </c>
      <c r="T58" s="488"/>
      <c r="U58" s="182"/>
      <c r="V58" s="180"/>
      <c r="W58" s="180"/>
      <c r="X58" s="182" t="e">
        <f t="shared" si="40"/>
        <v>#N/A</v>
      </c>
      <c r="Y58" s="488"/>
      <c r="Z58" s="182"/>
      <c r="AA58" s="180"/>
      <c r="AB58" s="180"/>
      <c r="AC58" s="182" t="e">
        <f t="shared" si="42"/>
        <v>#N/A</v>
      </c>
      <c r="AD58" s="488"/>
      <c r="AE58" s="182"/>
      <c r="AF58" s="180"/>
      <c r="AG58" s="180"/>
      <c r="AH58" s="182" t="e">
        <f t="shared" si="44"/>
        <v>#N/A</v>
      </c>
      <c r="AI58" s="488"/>
      <c r="AJ58" s="182"/>
      <c r="AK58" s="180"/>
      <c r="AL58" s="180"/>
      <c r="AM58" s="182" t="e">
        <f t="shared" si="46"/>
        <v>#N/A</v>
      </c>
      <c r="AN58" s="488"/>
      <c r="AO58" s="182"/>
      <c r="AP58" s="180"/>
      <c r="AQ58" s="180"/>
      <c r="AR58" s="182" t="e">
        <f t="shared" si="48"/>
        <v>#N/A</v>
      </c>
      <c r="AS58" s="488"/>
      <c r="AT58" s="182"/>
      <c r="AU58" s="180"/>
      <c r="AV58" s="180"/>
      <c r="AW58" s="182" t="e">
        <f t="shared" si="50"/>
        <v>#N/A</v>
      </c>
      <c r="AX58" s="488"/>
      <c r="AZ58" s="182" t="e">
        <f t="shared" si="52"/>
        <v>#N/A</v>
      </c>
      <c r="BA58" s="488"/>
    </row>
    <row r="59" spans="2:53">
      <c r="B59" s="454"/>
      <c r="C59" s="182">
        <v>13</v>
      </c>
      <c r="D59" s="203"/>
      <c r="E59" s="166"/>
      <c r="F59" s="182"/>
      <c r="G59" s="180"/>
      <c r="H59" s="464"/>
      <c r="I59" s="166" t="str">
        <f t="shared" si="37"/>
        <v>-</v>
      </c>
      <c r="J59" s="166" t="str">
        <f t="shared" si="38"/>
        <v>-</v>
      </c>
      <c r="K59" s="180" t="str">
        <f t="shared" si="39"/>
        <v>-</v>
      </c>
      <c r="L59" s="464"/>
      <c r="M59" s="181" t="e">
        <f>RANK(K59, K$47:$K$61)</f>
        <v>#VALUE!</v>
      </c>
      <c r="N59" s="461"/>
      <c r="O59" s="461"/>
      <c r="P59" s="182"/>
      <c r="Q59" s="180"/>
      <c r="R59" s="180"/>
      <c r="S59" s="182" t="e">
        <f t="shared" si="54"/>
        <v>#N/A</v>
      </c>
      <c r="T59" s="488"/>
      <c r="U59" s="182"/>
      <c r="V59" s="180"/>
      <c r="W59" s="180"/>
      <c r="X59" s="182" t="e">
        <f t="shared" si="40"/>
        <v>#N/A</v>
      </c>
      <c r="Y59" s="488"/>
      <c r="Z59" s="182"/>
      <c r="AA59" s="180"/>
      <c r="AB59" s="180"/>
      <c r="AC59" s="182" t="e">
        <f t="shared" si="42"/>
        <v>#N/A</v>
      </c>
      <c r="AD59" s="488"/>
      <c r="AE59" s="182"/>
      <c r="AF59" s="180"/>
      <c r="AG59" s="180"/>
      <c r="AH59" s="182" t="e">
        <f t="shared" si="44"/>
        <v>#N/A</v>
      </c>
      <c r="AI59" s="488"/>
      <c r="AJ59" s="182"/>
      <c r="AK59" s="180"/>
      <c r="AL59" s="180"/>
      <c r="AM59" s="182" t="e">
        <f t="shared" si="46"/>
        <v>#N/A</v>
      </c>
      <c r="AN59" s="488"/>
      <c r="AO59" s="182"/>
      <c r="AP59" s="180"/>
      <c r="AQ59" s="180"/>
      <c r="AR59" s="182" t="e">
        <f t="shared" si="48"/>
        <v>#N/A</v>
      </c>
      <c r="AS59" s="488"/>
      <c r="AT59" s="182"/>
      <c r="AU59" s="180"/>
      <c r="AV59" s="180"/>
      <c r="AW59" s="182" t="e">
        <f t="shared" si="50"/>
        <v>#N/A</v>
      </c>
      <c r="AX59" s="488"/>
      <c r="AZ59" s="182" t="e">
        <f t="shared" si="52"/>
        <v>#N/A</v>
      </c>
      <c r="BA59" s="488"/>
    </row>
    <row r="60" spans="2:53">
      <c r="B60" s="454"/>
      <c r="C60" s="182">
        <v>14</v>
      </c>
      <c r="D60" s="203"/>
      <c r="E60" s="166"/>
      <c r="F60" s="182"/>
      <c r="G60" s="180"/>
      <c r="H60" s="464"/>
      <c r="I60" s="166" t="str">
        <f t="shared" si="37"/>
        <v>-</v>
      </c>
      <c r="J60" s="166" t="str">
        <f t="shared" si="38"/>
        <v>-</v>
      </c>
      <c r="K60" s="180" t="str">
        <f t="shared" si="39"/>
        <v>-</v>
      </c>
      <c r="L60" s="464"/>
      <c r="M60" s="181" t="e">
        <f>RANK(K60, K$47:$K$61)</f>
        <v>#VALUE!</v>
      </c>
      <c r="N60" s="461"/>
      <c r="O60" s="461"/>
      <c r="P60" s="182"/>
      <c r="Q60" s="180"/>
      <c r="R60" s="180"/>
      <c r="S60" s="182" t="e">
        <f t="shared" si="54"/>
        <v>#N/A</v>
      </c>
      <c r="T60" s="488"/>
      <c r="U60" s="182"/>
      <c r="V60" s="180"/>
      <c r="W60" s="180"/>
      <c r="X60" s="182" t="e">
        <f t="shared" si="40"/>
        <v>#N/A</v>
      </c>
      <c r="Y60" s="488"/>
      <c r="Z60" s="182"/>
      <c r="AA60" s="180"/>
      <c r="AB60" s="180"/>
      <c r="AC60" s="182" t="e">
        <f t="shared" si="42"/>
        <v>#N/A</v>
      </c>
      <c r="AD60" s="488"/>
      <c r="AE60" s="182"/>
      <c r="AF60" s="180"/>
      <c r="AG60" s="180"/>
      <c r="AH60" s="182" t="e">
        <f t="shared" si="44"/>
        <v>#N/A</v>
      </c>
      <c r="AI60" s="488"/>
      <c r="AJ60" s="182"/>
      <c r="AK60" s="180"/>
      <c r="AL60" s="180"/>
      <c r="AM60" s="182" t="e">
        <f t="shared" si="46"/>
        <v>#N/A</v>
      </c>
      <c r="AN60" s="488"/>
      <c r="AO60" s="182"/>
      <c r="AP60" s="180"/>
      <c r="AQ60" s="180"/>
      <c r="AR60" s="182" t="e">
        <f t="shared" si="48"/>
        <v>#N/A</v>
      </c>
      <c r="AS60" s="488"/>
      <c r="AT60" s="182"/>
      <c r="AU60" s="180"/>
      <c r="AV60" s="180"/>
      <c r="AW60" s="182" t="e">
        <f t="shared" si="50"/>
        <v>#N/A</v>
      </c>
      <c r="AX60" s="488"/>
      <c r="AZ60" s="182" t="e">
        <f t="shared" si="52"/>
        <v>#N/A</v>
      </c>
      <c r="BA60" s="488"/>
    </row>
    <row r="61" spans="2:53">
      <c r="B61" s="454"/>
      <c r="C61" s="182">
        <v>15</v>
      </c>
      <c r="D61" s="203"/>
      <c r="E61" s="166"/>
      <c r="F61" s="182"/>
      <c r="G61" s="180"/>
      <c r="H61" s="465"/>
      <c r="I61" s="182"/>
      <c r="J61" s="182"/>
      <c r="K61" s="182"/>
      <c r="L61" s="465"/>
      <c r="M61" s="181" t="e">
        <f>RANK(K61, K$47:$K$61)</f>
        <v>#N/A</v>
      </c>
      <c r="N61" s="461"/>
      <c r="O61" s="461"/>
      <c r="P61" s="182"/>
      <c r="Q61" s="180"/>
      <c r="R61" s="180"/>
      <c r="S61" s="182" t="e">
        <f t="shared" si="54"/>
        <v>#N/A</v>
      </c>
      <c r="T61" s="489"/>
      <c r="U61" s="182"/>
      <c r="V61" s="180"/>
      <c r="W61" s="180"/>
      <c r="X61" s="182" t="e">
        <f t="shared" si="40"/>
        <v>#N/A</v>
      </c>
      <c r="Y61" s="489"/>
      <c r="Z61" s="182"/>
      <c r="AA61" s="180"/>
      <c r="AB61" s="180"/>
      <c r="AC61" s="182" t="e">
        <f t="shared" si="42"/>
        <v>#N/A</v>
      </c>
      <c r="AD61" s="489"/>
      <c r="AE61" s="182"/>
      <c r="AF61" s="180"/>
      <c r="AG61" s="180"/>
      <c r="AH61" s="182" t="e">
        <f t="shared" si="44"/>
        <v>#N/A</v>
      </c>
      <c r="AI61" s="489"/>
      <c r="AJ61" s="182"/>
      <c r="AK61" s="180"/>
      <c r="AL61" s="180"/>
      <c r="AM61" s="182" t="e">
        <f t="shared" si="46"/>
        <v>#N/A</v>
      </c>
      <c r="AN61" s="489"/>
      <c r="AO61" s="182"/>
      <c r="AP61" s="180"/>
      <c r="AQ61" s="180"/>
      <c r="AR61" s="182" t="e">
        <f t="shared" si="48"/>
        <v>#N/A</v>
      </c>
      <c r="AS61" s="489"/>
      <c r="AT61" s="182"/>
      <c r="AU61" s="180"/>
      <c r="AV61" s="180"/>
      <c r="AW61" s="182" t="e">
        <f t="shared" si="50"/>
        <v>#N/A</v>
      </c>
      <c r="AX61" s="489"/>
      <c r="AZ61" s="182" t="e">
        <f t="shared" si="52"/>
        <v>#N/A</v>
      </c>
      <c r="BA61" s="489"/>
    </row>
    <row r="62" spans="2:53" ht="15.5">
      <c r="B62" s="477" t="s">
        <v>163</v>
      </c>
      <c r="C62" s="478"/>
      <c r="D62" s="478"/>
      <c r="E62" s="478"/>
      <c r="F62" s="478"/>
      <c r="G62" s="478"/>
      <c r="H62" s="478"/>
      <c r="I62" s="186"/>
      <c r="J62" s="186"/>
      <c r="K62" s="186"/>
      <c r="L62" s="186"/>
      <c r="M62" s="185"/>
      <c r="N62" s="480" t="s">
        <v>156</v>
      </c>
      <c r="O62" s="480" t="s">
        <v>105</v>
      </c>
      <c r="P62" s="476">
        <f>P42+7</f>
        <v>46133</v>
      </c>
      <c r="Q62" s="454"/>
      <c r="R62" s="454"/>
      <c r="S62" s="454"/>
      <c r="T62" s="454"/>
      <c r="U62" s="473">
        <f>P62+1</f>
        <v>46134</v>
      </c>
      <c r="V62" s="474"/>
      <c r="W62" s="474"/>
      <c r="X62" s="474"/>
      <c r="Y62" s="475"/>
      <c r="Z62" s="473">
        <f>U62+1</f>
        <v>46135</v>
      </c>
      <c r="AA62" s="474"/>
      <c r="AB62" s="474"/>
      <c r="AC62" s="474"/>
      <c r="AD62" s="475"/>
      <c r="AE62" s="473">
        <f>Z62+1</f>
        <v>46136</v>
      </c>
      <c r="AF62" s="474"/>
      <c r="AG62" s="474"/>
      <c r="AH62" s="474"/>
      <c r="AI62" s="475"/>
      <c r="AJ62" s="473">
        <f>AE62+1</f>
        <v>46137</v>
      </c>
      <c r="AK62" s="474"/>
      <c r="AL62" s="474"/>
      <c r="AM62" s="474"/>
      <c r="AN62" s="475"/>
      <c r="AO62" s="473">
        <f>AJ62+1</f>
        <v>46138</v>
      </c>
      <c r="AP62" s="474"/>
      <c r="AQ62" s="474"/>
      <c r="AR62" s="474"/>
      <c r="AS62" s="475"/>
      <c r="AT62" s="473">
        <f>AO62+1</f>
        <v>46139</v>
      </c>
      <c r="AU62" s="474"/>
      <c r="AV62" s="474"/>
      <c r="AW62" s="474"/>
      <c r="AX62" s="475"/>
    </row>
    <row r="63" spans="2:53" ht="15.5">
      <c r="B63" s="479"/>
      <c r="C63" s="479"/>
      <c r="D63" s="479"/>
      <c r="E63" s="479"/>
      <c r="F63" s="479"/>
      <c r="G63" s="479"/>
      <c r="H63" s="479"/>
      <c r="I63" s="184"/>
      <c r="J63" s="184"/>
      <c r="K63" s="184"/>
      <c r="L63" s="184"/>
      <c r="M63" s="179"/>
      <c r="N63" s="481"/>
      <c r="O63" s="481"/>
      <c r="P63" s="476" t="s">
        <v>336</v>
      </c>
      <c r="Q63" s="454"/>
      <c r="R63" s="454"/>
      <c r="S63" s="454"/>
      <c r="T63" s="454"/>
      <c r="U63" s="476" t="s">
        <v>337</v>
      </c>
      <c r="V63" s="454"/>
      <c r="W63" s="454"/>
      <c r="X63" s="454"/>
      <c r="Y63" s="454"/>
      <c r="Z63" s="476" t="s">
        <v>338</v>
      </c>
      <c r="AA63" s="454"/>
      <c r="AB63" s="454"/>
      <c r="AC63" s="454"/>
      <c r="AD63" s="454"/>
      <c r="AE63" s="476" t="s">
        <v>339</v>
      </c>
      <c r="AF63" s="454"/>
      <c r="AG63" s="454"/>
      <c r="AH63" s="454"/>
      <c r="AI63" s="454"/>
      <c r="AJ63" s="476" t="s">
        <v>340</v>
      </c>
      <c r="AK63" s="454"/>
      <c r="AL63" s="454"/>
      <c r="AM63" s="454"/>
      <c r="AN63" s="454"/>
      <c r="AO63" s="476" t="s">
        <v>341</v>
      </c>
      <c r="AP63" s="454"/>
      <c r="AQ63" s="454"/>
      <c r="AR63" s="454"/>
      <c r="AS63" s="454"/>
      <c r="AT63" s="476" t="s">
        <v>342</v>
      </c>
      <c r="AU63" s="454"/>
      <c r="AV63" s="454"/>
      <c r="AW63" s="454"/>
      <c r="AX63" s="454"/>
    </row>
    <row r="64" spans="2:53">
      <c r="B64" s="461" t="s">
        <v>399</v>
      </c>
      <c r="C64" s="461" t="s">
        <v>409</v>
      </c>
      <c r="D64" s="461"/>
      <c r="E64" s="461" t="s">
        <v>400</v>
      </c>
      <c r="F64" s="461"/>
      <c r="G64" s="461"/>
      <c r="H64" s="482" t="s">
        <v>396</v>
      </c>
      <c r="I64" s="461" t="s">
        <v>401</v>
      </c>
      <c r="J64" s="461"/>
      <c r="K64" s="461"/>
      <c r="L64" s="482" t="s">
        <v>396</v>
      </c>
      <c r="M64" s="480" t="s">
        <v>397</v>
      </c>
      <c r="N64" s="461"/>
      <c r="O64" s="461" t="s">
        <v>402</v>
      </c>
      <c r="P64" s="466" t="s">
        <v>398</v>
      </c>
      <c r="Q64" s="467"/>
      <c r="R64" s="467"/>
      <c r="S64" s="468"/>
      <c r="T64" s="461" t="s">
        <v>396</v>
      </c>
      <c r="U64" s="466" t="s">
        <v>398</v>
      </c>
      <c r="V64" s="467"/>
      <c r="W64" s="467"/>
      <c r="X64" s="468"/>
      <c r="Y64" s="461" t="s">
        <v>396</v>
      </c>
      <c r="Z64" s="466" t="s">
        <v>398</v>
      </c>
      <c r="AA64" s="467"/>
      <c r="AB64" s="467"/>
      <c r="AC64" s="468"/>
      <c r="AD64" s="461" t="s">
        <v>396</v>
      </c>
      <c r="AE64" s="466" t="s">
        <v>398</v>
      </c>
      <c r="AF64" s="467"/>
      <c r="AG64" s="467"/>
      <c r="AH64" s="468"/>
      <c r="AI64" s="461" t="s">
        <v>396</v>
      </c>
      <c r="AJ64" s="466" t="s">
        <v>398</v>
      </c>
      <c r="AK64" s="467"/>
      <c r="AL64" s="467"/>
      <c r="AM64" s="468"/>
      <c r="AN64" s="461" t="s">
        <v>396</v>
      </c>
      <c r="AO64" s="466" t="s">
        <v>398</v>
      </c>
      <c r="AP64" s="467"/>
      <c r="AQ64" s="467"/>
      <c r="AR64" s="468"/>
      <c r="AS64" s="461" t="s">
        <v>396</v>
      </c>
      <c r="AT64" s="466" t="s">
        <v>398</v>
      </c>
      <c r="AU64" s="467"/>
      <c r="AV64" s="467"/>
      <c r="AW64" s="468"/>
      <c r="AX64" s="461" t="s">
        <v>396</v>
      </c>
      <c r="BA64" s="461" t="s">
        <v>396</v>
      </c>
    </row>
    <row r="65" spans="2:53">
      <c r="B65" s="461"/>
      <c r="C65" s="461"/>
      <c r="D65" s="461"/>
      <c r="E65" s="461" t="s">
        <v>403</v>
      </c>
      <c r="F65" s="461"/>
      <c r="G65" s="461"/>
      <c r="H65" s="483"/>
      <c r="I65" s="461" t="s">
        <v>403</v>
      </c>
      <c r="J65" s="461"/>
      <c r="K65" s="461"/>
      <c r="L65" s="483"/>
      <c r="M65" s="485"/>
      <c r="N65" s="461"/>
      <c r="O65" s="461"/>
      <c r="P65" s="466" t="s">
        <v>404</v>
      </c>
      <c r="Q65" s="467"/>
      <c r="R65" s="467"/>
      <c r="S65" s="468"/>
      <c r="T65" s="461"/>
      <c r="U65" s="466" t="s">
        <v>404</v>
      </c>
      <c r="V65" s="467"/>
      <c r="W65" s="467"/>
      <c r="X65" s="468"/>
      <c r="Y65" s="461"/>
      <c r="Z65" s="466" t="s">
        <v>404</v>
      </c>
      <c r="AA65" s="467"/>
      <c r="AB65" s="467"/>
      <c r="AC65" s="468"/>
      <c r="AD65" s="461"/>
      <c r="AE65" s="466" t="s">
        <v>404</v>
      </c>
      <c r="AF65" s="467"/>
      <c r="AG65" s="467"/>
      <c r="AH65" s="468"/>
      <c r="AI65" s="461"/>
      <c r="AJ65" s="466" t="s">
        <v>404</v>
      </c>
      <c r="AK65" s="467"/>
      <c r="AL65" s="467"/>
      <c r="AM65" s="468"/>
      <c r="AN65" s="461"/>
      <c r="AO65" s="466" t="s">
        <v>404</v>
      </c>
      <c r="AP65" s="467"/>
      <c r="AQ65" s="467"/>
      <c r="AR65" s="468"/>
      <c r="AS65" s="461"/>
      <c r="AT65" s="466" t="s">
        <v>404</v>
      </c>
      <c r="AU65" s="467"/>
      <c r="AV65" s="467"/>
      <c r="AW65" s="468"/>
      <c r="AX65" s="461"/>
      <c r="BA65" s="461"/>
    </row>
    <row r="66" spans="2:53">
      <c r="B66" s="461"/>
      <c r="C66" s="461"/>
      <c r="D66" s="461"/>
      <c r="E66" s="269" t="s">
        <v>405</v>
      </c>
      <c r="F66" s="269" t="s">
        <v>406</v>
      </c>
      <c r="G66" s="269" t="s">
        <v>407</v>
      </c>
      <c r="H66" s="484"/>
      <c r="I66" s="269" t="s">
        <v>405</v>
      </c>
      <c r="J66" s="269" t="s">
        <v>406</v>
      </c>
      <c r="K66" s="269" t="s">
        <v>407</v>
      </c>
      <c r="L66" s="484"/>
      <c r="M66" s="481"/>
      <c r="N66" s="461"/>
      <c r="O66" s="461"/>
      <c r="P66" s="269" t="s">
        <v>405</v>
      </c>
      <c r="Q66" s="269" t="s">
        <v>406</v>
      </c>
      <c r="R66" s="269" t="s">
        <v>407</v>
      </c>
      <c r="S66" s="269" t="s">
        <v>397</v>
      </c>
      <c r="T66" s="461"/>
      <c r="U66" s="269" t="s">
        <v>405</v>
      </c>
      <c r="V66" s="269" t="s">
        <v>406</v>
      </c>
      <c r="W66" s="269" t="s">
        <v>407</v>
      </c>
      <c r="X66" s="269" t="s">
        <v>397</v>
      </c>
      <c r="Y66" s="461"/>
      <c r="Z66" s="269" t="s">
        <v>405</v>
      </c>
      <c r="AA66" s="269" t="s">
        <v>406</v>
      </c>
      <c r="AB66" s="269" t="s">
        <v>407</v>
      </c>
      <c r="AC66" s="269" t="s">
        <v>397</v>
      </c>
      <c r="AD66" s="461"/>
      <c r="AE66" s="269" t="s">
        <v>405</v>
      </c>
      <c r="AF66" s="269" t="s">
        <v>406</v>
      </c>
      <c r="AG66" s="269" t="s">
        <v>407</v>
      </c>
      <c r="AH66" s="269" t="s">
        <v>397</v>
      </c>
      <c r="AI66" s="461"/>
      <c r="AJ66" s="269" t="s">
        <v>405</v>
      </c>
      <c r="AK66" s="269" t="s">
        <v>406</v>
      </c>
      <c r="AL66" s="269" t="s">
        <v>407</v>
      </c>
      <c r="AM66" s="269" t="s">
        <v>397</v>
      </c>
      <c r="AN66" s="461"/>
      <c r="AO66" s="269" t="s">
        <v>405</v>
      </c>
      <c r="AP66" s="269" t="s">
        <v>406</v>
      </c>
      <c r="AQ66" s="269" t="s">
        <v>407</v>
      </c>
      <c r="AR66" s="269" t="s">
        <v>397</v>
      </c>
      <c r="AS66" s="461"/>
      <c r="AT66" s="269" t="s">
        <v>405</v>
      </c>
      <c r="AU66" s="269" t="s">
        <v>406</v>
      </c>
      <c r="AV66" s="269" t="s">
        <v>407</v>
      </c>
      <c r="AW66" s="269" t="s">
        <v>397</v>
      </c>
      <c r="AX66" s="461"/>
      <c r="AZ66" s="269" t="s">
        <v>397</v>
      </c>
      <c r="BA66" s="461"/>
    </row>
    <row r="67" spans="2:53">
      <c r="B67" s="461" t="s">
        <v>422</v>
      </c>
      <c r="C67" s="182">
        <v>1</v>
      </c>
      <c r="D67" s="203"/>
      <c r="E67" s="166"/>
      <c r="F67" s="182"/>
      <c r="G67" s="180"/>
      <c r="H67" s="463" t="e">
        <f>AVERAGE(G67:G81)</f>
        <v>#DIV/0!</v>
      </c>
      <c r="I67" s="166" t="str">
        <f t="shared" ref="I67:I80" si="55">IFERROR(AVERAGE(P67,U67,Z67,AE67,AJ67,AO67,AT67),"-")</f>
        <v>-</v>
      </c>
      <c r="J67" s="166" t="str">
        <f t="shared" ref="J67:J80" si="56">IFERROR(AVERAGE(Q67,V67,AA67,AF67,AK67,AP67,AU67),"-")</f>
        <v>-</v>
      </c>
      <c r="K67" s="180" t="str">
        <f t="shared" ref="K67:K80" si="57">IFERROR(AVERAGE(R67,W67,AB67,AG67,AL67,AQ67,AV67),"-")</f>
        <v>-</v>
      </c>
      <c r="L67" s="463" t="str">
        <f>IFERROR(AVERAGE(K67:K81),"-")</f>
        <v>-</v>
      </c>
      <c r="M67" s="181" t="e">
        <f>RANK(K67, K$67:$K$81)</f>
        <v>#VALUE!</v>
      </c>
      <c r="N67" s="461"/>
      <c r="O67" s="461"/>
      <c r="P67" s="166"/>
      <c r="Q67" s="180"/>
      <c r="R67" s="180"/>
      <c r="S67" s="182" t="e">
        <f>RANK(R67, R$67:R$81)</f>
        <v>#N/A</v>
      </c>
      <c r="T67" s="487" t="e">
        <f>AVERAGE(R67:R81)</f>
        <v>#DIV/0!</v>
      </c>
      <c r="U67" s="166"/>
      <c r="V67" s="180"/>
      <c r="W67" s="180"/>
      <c r="X67" s="182" t="e">
        <f t="shared" ref="X67:X81" si="58">RANK(W67, W$67:W$81)</f>
        <v>#N/A</v>
      </c>
      <c r="Y67" s="487" t="e">
        <f t="shared" ref="Y67" si="59">AVERAGE(W67:W81)</f>
        <v>#DIV/0!</v>
      </c>
      <c r="Z67" s="166"/>
      <c r="AA67" s="180"/>
      <c r="AB67" s="180"/>
      <c r="AC67" s="182" t="e">
        <f t="shared" ref="AC67:AC81" si="60">RANK(AB67, AB$67:AB$81)</f>
        <v>#N/A</v>
      </c>
      <c r="AD67" s="487" t="e">
        <f t="shared" ref="AD67" si="61">AVERAGE(AB67:AB81)</f>
        <v>#DIV/0!</v>
      </c>
      <c r="AE67" s="166"/>
      <c r="AF67" s="180"/>
      <c r="AG67" s="180"/>
      <c r="AH67" s="182" t="e">
        <f t="shared" ref="AH67:AH81" si="62">RANK(AG67, AG$67:AG$81)</f>
        <v>#N/A</v>
      </c>
      <c r="AI67" s="487" t="e">
        <f t="shared" ref="AI67" si="63">AVERAGE(AG67:AG81)</f>
        <v>#DIV/0!</v>
      </c>
      <c r="AJ67" s="166"/>
      <c r="AK67" s="180"/>
      <c r="AL67" s="180"/>
      <c r="AM67" s="182" t="e">
        <f t="shared" ref="AM67:AM81" si="64">RANK(AL67, AL$67:AL$81)</f>
        <v>#N/A</v>
      </c>
      <c r="AN67" s="487" t="e">
        <f t="shared" ref="AN67" si="65">AVERAGE(AL67:AL81)</f>
        <v>#DIV/0!</v>
      </c>
      <c r="AO67" s="166"/>
      <c r="AP67" s="180"/>
      <c r="AQ67" s="180"/>
      <c r="AR67" s="182" t="e">
        <f t="shared" ref="AR67:AR81" si="66">RANK(AQ67, AQ$67:AQ$81)</f>
        <v>#N/A</v>
      </c>
      <c r="AS67" s="487" t="e">
        <f t="shared" ref="AS67" si="67">AVERAGE(AQ67:AQ81)</f>
        <v>#DIV/0!</v>
      </c>
      <c r="AT67" s="166"/>
      <c r="AU67" s="180"/>
      <c r="AV67" s="180"/>
      <c r="AW67" s="182" t="e">
        <f t="shared" ref="AW67:AW81" si="68">RANK(AV67, AV$67:AV$81)</f>
        <v>#N/A</v>
      </c>
      <c r="AX67" s="487" t="e">
        <f t="shared" ref="AX67" si="69">AVERAGE(AV67:AV81)</f>
        <v>#DIV/0!</v>
      </c>
      <c r="AZ67" s="182" t="e">
        <f t="shared" ref="AZ67:AZ81" si="70">RANK(AY67, AY$67:AY$81)</f>
        <v>#N/A</v>
      </c>
      <c r="BA67" s="487" t="e">
        <f t="shared" ref="BA67" si="71">AVERAGE(AY67:AY81)</f>
        <v>#DIV/0!</v>
      </c>
    </row>
    <row r="68" spans="2:53">
      <c r="B68" s="454"/>
      <c r="C68" s="182">
        <v>2</v>
      </c>
      <c r="D68" s="203"/>
      <c r="E68" s="166"/>
      <c r="F68" s="182"/>
      <c r="G68" s="180"/>
      <c r="H68" s="464"/>
      <c r="I68" s="166" t="str">
        <f t="shared" si="55"/>
        <v>-</v>
      </c>
      <c r="J68" s="166" t="str">
        <f t="shared" si="56"/>
        <v>-</v>
      </c>
      <c r="K68" s="180" t="str">
        <f t="shared" si="57"/>
        <v>-</v>
      </c>
      <c r="L68" s="464"/>
      <c r="M68" s="181" t="e">
        <f>RANK(K68, K$67:$K$81)</f>
        <v>#VALUE!</v>
      </c>
      <c r="N68" s="461"/>
      <c r="O68" s="461"/>
      <c r="P68" s="182"/>
      <c r="Q68" s="180"/>
      <c r="R68" s="180"/>
      <c r="S68" s="182" t="e">
        <f t="shared" ref="S68:S81" si="72">RANK(R68, R$67:R$81)</f>
        <v>#N/A</v>
      </c>
      <c r="T68" s="488"/>
      <c r="U68" s="182"/>
      <c r="V68" s="180"/>
      <c r="W68" s="180"/>
      <c r="X68" s="182" t="e">
        <f t="shared" si="58"/>
        <v>#N/A</v>
      </c>
      <c r="Y68" s="488"/>
      <c r="Z68" s="182"/>
      <c r="AA68" s="180"/>
      <c r="AB68" s="180"/>
      <c r="AC68" s="182" t="e">
        <f t="shared" si="60"/>
        <v>#N/A</v>
      </c>
      <c r="AD68" s="488"/>
      <c r="AE68" s="182"/>
      <c r="AF68" s="180"/>
      <c r="AG68" s="180"/>
      <c r="AH68" s="182" t="e">
        <f t="shared" si="62"/>
        <v>#N/A</v>
      </c>
      <c r="AI68" s="488"/>
      <c r="AJ68" s="182"/>
      <c r="AK68" s="180"/>
      <c r="AL68" s="180"/>
      <c r="AM68" s="182" t="e">
        <f t="shared" si="64"/>
        <v>#N/A</v>
      </c>
      <c r="AN68" s="488"/>
      <c r="AO68" s="182"/>
      <c r="AP68" s="180"/>
      <c r="AQ68" s="180"/>
      <c r="AR68" s="182" t="e">
        <f t="shared" si="66"/>
        <v>#N/A</v>
      </c>
      <c r="AS68" s="488"/>
      <c r="AT68" s="182"/>
      <c r="AU68" s="180"/>
      <c r="AV68" s="180"/>
      <c r="AW68" s="182" t="e">
        <f t="shared" si="68"/>
        <v>#N/A</v>
      </c>
      <c r="AX68" s="488"/>
      <c r="AZ68" s="182" t="e">
        <f t="shared" si="70"/>
        <v>#N/A</v>
      </c>
      <c r="BA68" s="488"/>
    </row>
    <row r="69" spans="2:53">
      <c r="B69" s="454"/>
      <c r="C69" s="182">
        <v>3</v>
      </c>
      <c r="D69" s="203"/>
      <c r="E69" s="166"/>
      <c r="F69" s="182"/>
      <c r="G69" s="180"/>
      <c r="H69" s="464"/>
      <c r="I69" s="166" t="str">
        <f t="shared" si="55"/>
        <v>-</v>
      </c>
      <c r="J69" s="166" t="str">
        <f t="shared" si="56"/>
        <v>-</v>
      </c>
      <c r="K69" s="180" t="str">
        <f t="shared" si="57"/>
        <v>-</v>
      </c>
      <c r="L69" s="464"/>
      <c r="M69" s="181" t="e">
        <f>RANK(K69, K$67:$K$81)</f>
        <v>#VALUE!</v>
      </c>
      <c r="N69" s="461"/>
      <c r="O69" s="461"/>
      <c r="P69" s="182"/>
      <c r="Q69" s="180"/>
      <c r="R69" s="180"/>
      <c r="S69" s="182" t="e">
        <f t="shared" si="72"/>
        <v>#N/A</v>
      </c>
      <c r="T69" s="488"/>
      <c r="U69" s="182"/>
      <c r="V69" s="180"/>
      <c r="W69" s="180"/>
      <c r="X69" s="182" t="e">
        <f t="shared" si="58"/>
        <v>#N/A</v>
      </c>
      <c r="Y69" s="488"/>
      <c r="Z69" s="182"/>
      <c r="AA69" s="180"/>
      <c r="AB69" s="180"/>
      <c r="AC69" s="182" t="e">
        <f t="shared" si="60"/>
        <v>#N/A</v>
      </c>
      <c r="AD69" s="488"/>
      <c r="AE69" s="182"/>
      <c r="AF69" s="180"/>
      <c r="AG69" s="180"/>
      <c r="AH69" s="182" t="e">
        <f t="shared" si="62"/>
        <v>#N/A</v>
      </c>
      <c r="AI69" s="488"/>
      <c r="AJ69" s="182"/>
      <c r="AK69" s="180"/>
      <c r="AL69" s="180"/>
      <c r="AM69" s="182" t="e">
        <f t="shared" si="64"/>
        <v>#N/A</v>
      </c>
      <c r="AN69" s="488"/>
      <c r="AO69" s="182"/>
      <c r="AP69" s="180"/>
      <c r="AQ69" s="180"/>
      <c r="AR69" s="182" t="e">
        <f t="shared" si="66"/>
        <v>#N/A</v>
      </c>
      <c r="AS69" s="488"/>
      <c r="AT69" s="182"/>
      <c r="AU69" s="180"/>
      <c r="AV69" s="180"/>
      <c r="AW69" s="182" t="e">
        <f t="shared" si="68"/>
        <v>#N/A</v>
      </c>
      <c r="AX69" s="488"/>
      <c r="AZ69" s="182" t="e">
        <f t="shared" si="70"/>
        <v>#N/A</v>
      </c>
      <c r="BA69" s="488"/>
    </row>
    <row r="70" spans="2:53">
      <c r="B70" s="454"/>
      <c r="C70" s="182">
        <v>4</v>
      </c>
      <c r="D70" s="203"/>
      <c r="E70" s="166"/>
      <c r="F70" s="182"/>
      <c r="G70" s="180"/>
      <c r="H70" s="464"/>
      <c r="I70" s="166" t="str">
        <f t="shared" si="55"/>
        <v>-</v>
      </c>
      <c r="J70" s="166" t="str">
        <f t="shared" si="56"/>
        <v>-</v>
      </c>
      <c r="K70" s="180" t="str">
        <f t="shared" si="57"/>
        <v>-</v>
      </c>
      <c r="L70" s="464"/>
      <c r="M70" s="181" t="e">
        <f>RANK(K70, K$67:$K$81)</f>
        <v>#VALUE!</v>
      </c>
      <c r="N70" s="461"/>
      <c r="O70" s="461"/>
      <c r="P70" s="182"/>
      <c r="Q70" s="180"/>
      <c r="R70" s="180"/>
      <c r="S70" s="182" t="e">
        <f t="shared" si="72"/>
        <v>#N/A</v>
      </c>
      <c r="T70" s="488"/>
      <c r="U70" s="182"/>
      <c r="V70" s="180"/>
      <c r="W70" s="180"/>
      <c r="X70" s="182" t="e">
        <f t="shared" si="58"/>
        <v>#N/A</v>
      </c>
      <c r="Y70" s="488"/>
      <c r="Z70" s="182"/>
      <c r="AA70" s="180"/>
      <c r="AB70" s="180"/>
      <c r="AC70" s="182" t="e">
        <f t="shared" si="60"/>
        <v>#N/A</v>
      </c>
      <c r="AD70" s="488"/>
      <c r="AE70" s="182"/>
      <c r="AF70" s="180"/>
      <c r="AG70" s="180"/>
      <c r="AH70" s="182" t="e">
        <f t="shared" si="62"/>
        <v>#N/A</v>
      </c>
      <c r="AI70" s="488"/>
      <c r="AJ70" s="182"/>
      <c r="AK70" s="180"/>
      <c r="AL70" s="180"/>
      <c r="AM70" s="182" t="e">
        <f t="shared" si="64"/>
        <v>#N/A</v>
      </c>
      <c r="AN70" s="488"/>
      <c r="AO70" s="182"/>
      <c r="AP70" s="180"/>
      <c r="AQ70" s="180"/>
      <c r="AR70" s="182" t="e">
        <f t="shared" si="66"/>
        <v>#N/A</v>
      </c>
      <c r="AS70" s="488"/>
      <c r="AT70" s="182"/>
      <c r="AU70" s="180"/>
      <c r="AV70" s="180"/>
      <c r="AW70" s="182" t="e">
        <f t="shared" si="68"/>
        <v>#N/A</v>
      </c>
      <c r="AX70" s="488"/>
      <c r="AZ70" s="182" t="e">
        <f t="shared" si="70"/>
        <v>#N/A</v>
      </c>
      <c r="BA70" s="488"/>
    </row>
    <row r="71" spans="2:53">
      <c r="B71" s="454"/>
      <c r="C71" s="182">
        <v>5</v>
      </c>
      <c r="D71" s="203"/>
      <c r="E71" s="166"/>
      <c r="F71" s="182"/>
      <c r="G71" s="180"/>
      <c r="H71" s="464"/>
      <c r="I71" s="166" t="str">
        <f t="shared" si="55"/>
        <v>-</v>
      </c>
      <c r="J71" s="166" t="str">
        <f t="shared" si="56"/>
        <v>-</v>
      </c>
      <c r="K71" s="180" t="str">
        <f t="shared" si="57"/>
        <v>-</v>
      </c>
      <c r="L71" s="464"/>
      <c r="M71" s="181" t="e">
        <f>RANK(K71, K$67:$K$81)</f>
        <v>#VALUE!</v>
      </c>
      <c r="N71" s="461"/>
      <c r="O71" s="461"/>
      <c r="P71" s="182"/>
      <c r="Q71" s="180"/>
      <c r="R71" s="180"/>
      <c r="S71" s="182" t="e">
        <f t="shared" si="72"/>
        <v>#N/A</v>
      </c>
      <c r="T71" s="488"/>
      <c r="U71" s="182"/>
      <c r="V71" s="180"/>
      <c r="W71" s="180"/>
      <c r="X71" s="182" t="e">
        <f t="shared" si="58"/>
        <v>#N/A</v>
      </c>
      <c r="Y71" s="488"/>
      <c r="Z71" s="182"/>
      <c r="AA71" s="180"/>
      <c r="AB71" s="180"/>
      <c r="AC71" s="182" t="e">
        <f t="shared" si="60"/>
        <v>#N/A</v>
      </c>
      <c r="AD71" s="488"/>
      <c r="AE71" s="182"/>
      <c r="AF71" s="180"/>
      <c r="AG71" s="180"/>
      <c r="AH71" s="182" t="e">
        <f t="shared" si="62"/>
        <v>#N/A</v>
      </c>
      <c r="AI71" s="488"/>
      <c r="AJ71" s="182"/>
      <c r="AK71" s="180"/>
      <c r="AL71" s="180"/>
      <c r="AM71" s="182" t="e">
        <f t="shared" si="64"/>
        <v>#N/A</v>
      </c>
      <c r="AN71" s="488"/>
      <c r="AO71" s="182"/>
      <c r="AP71" s="180"/>
      <c r="AQ71" s="180"/>
      <c r="AR71" s="182" t="e">
        <f t="shared" si="66"/>
        <v>#N/A</v>
      </c>
      <c r="AS71" s="488"/>
      <c r="AT71" s="182"/>
      <c r="AU71" s="180"/>
      <c r="AV71" s="180"/>
      <c r="AW71" s="182" t="e">
        <f t="shared" si="68"/>
        <v>#N/A</v>
      </c>
      <c r="AX71" s="488"/>
      <c r="AZ71" s="182" t="e">
        <f t="shared" si="70"/>
        <v>#N/A</v>
      </c>
      <c r="BA71" s="488"/>
    </row>
    <row r="72" spans="2:53">
      <c r="B72" s="454"/>
      <c r="C72" s="182">
        <v>6</v>
      </c>
      <c r="D72" s="203"/>
      <c r="E72" s="166"/>
      <c r="F72" s="182"/>
      <c r="G72" s="180"/>
      <c r="H72" s="464"/>
      <c r="I72" s="166" t="str">
        <f t="shared" si="55"/>
        <v>-</v>
      </c>
      <c r="J72" s="166" t="str">
        <f t="shared" si="56"/>
        <v>-</v>
      </c>
      <c r="K72" s="180" t="str">
        <f t="shared" si="57"/>
        <v>-</v>
      </c>
      <c r="L72" s="464"/>
      <c r="M72" s="181" t="e">
        <f>RANK(K72, K$67:$K$81)</f>
        <v>#VALUE!</v>
      </c>
      <c r="N72" s="461"/>
      <c r="O72" s="461"/>
      <c r="P72" s="182"/>
      <c r="Q72" s="180"/>
      <c r="R72" s="180"/>
      <c r="S72" s="182" t="e">
        <f t="shared" si="72"/>
        <v>#N/A</v>
      </c>
      <c r="T72" s="488"/>
      <c r="U72" s="182"/>
      <c r="V72" s="180"/>
      <c r="W72" s="180"/>
      <c r="X72" s="182" t="e">
        <f t="shared" si="58"/>
        <v>#N/A</v>
      </c>
      <c r="Y72" s="488"/>
      <c r="Z72" s="182"/>
      <c r="AA72" s="180"/>
      <c r="AB72" s="180"/>
      <c r="AC72" s="182" t="e">
        <f t="shared" si="60"/>
        <v>#N/A</v>
      </c>
      <c r="AD72" s="488"/>
      <c r="AE72" s="182"/>
      <c r="AF72" s="180"/>
      <c r="AG72" s="180"/>
      <c r="AH72" s="182" t="e">
        <f t="shared" si="62"/>
        <v>#N/A</v>
      </c>
      <c r="AI72" s="488"/>
      <c r="AJ72" s="182"/>
      <c r="AK72" s="180"/>
      <c r="AL72" s="180"/>
      <c r="AM72" s="182" t="e">
        <f t="shared" si="64"/>
        <v>#N/A</v>
      </c>
      <c r="AN72" s="488"/>
      <c r="AO72" s="182"/>
      <c r="AP72" s="180"/>
      <c r="AQ72" s="180"/>
      <c r="AR72" s="182" t="e">
        <f t="shared" si="66"/>
        <v>#N/A</v>
      </c>
      <c r="AS72" s="488"/>
      <c r="AT72" s="182"/>
      <c r="AU72" s="180"/>
      <c r="AV72" s="180"/>
      <c r="AW72" s="182" t="e">
        <f t="shared" si="68"/>
        <v>#N/A</v>
      </c>
      <c r="AX72" s="488"/>
      <c r="AZ72" s="182" t="e">
        <f t="shared" si="70"/>
        <v>#N/A</v>
      </c>
      <c r="BA72" s="488"/>
    </row>
    <row r="73" spans="2:53">
      <c r="B73" s="454"/>
      <c r="C73" s="182">
        <v>7</v>
      </c>
      <c r="D73" s="203"/>
      <c r="E73" s="166"/>
      <c r="F73" s="182"/>
      <c r="G73" s="180"/>
      <c r="H73" s="464"/>
      <c r="I73" s="166" t="str">
        <f t="shared" si="55"/>
        <v>-</v>
      </c>
      <c r="J73" s="166" t="str">
        <f t="shared" si="56"/>
        <v>-</v>
      </c>
      <c r="K73" s="180" t="str">
        <f t="shared" si="57"/>
        <v>-</v>
      </c>
      <c r="L73" s="464"/>
      <c r="M73" s="181" t="e">
        <f>RANK(K73, K$67:$K$81)</f>
        <v>#VALUE!</v>
      </c>
      <c r="N73" s="461"/>
      <c r="O73" s="461"/>
      <c r="P73" s="182"/>
      <c r="Q73" s="180"/>
      <c r="R73" s="180"/>
      <c r="S73" s="182" t="e">
        <f t="shared" si="72"/>
        <v>#N/A</v>
      </c>
      <c r="T73" s="488"/>
      <c r="U73" s="182"/>
      <c r="V73" s="180"/>
      <c r="W73" s="180"/>
      <c r="X73" s="182" t="e">
        <f t="shared" si="58"/>
        <v>#N/A</v>
      </c>
      <c r="Y73" s="488"/>
      <c r="Z73" s="182"/>
      <c r="AA73" s="180"/>
      <c r="AB73" s="180"/>
      <c r="AC73" s="182" t="e">
        <f t="shared" si="60"/>
        <v>#N/A</v>
      </c>
      <c r="AD73" s="488"/>
      <c r="AE73" s="182"/>
      <c r="AF73" s="180"/>
      <c r="AG73" s="180"/>
      <c r="AH73" s="182" t="e">
        <f t="shared" si="62"/>
        <v>#N/A</v>
      </c>
      <c r="AI73" s="488"/>
      <c r="AJ73" s="182"/>
      <c r="AK73" s="180"/>
      <c r="AL73" s="180"/>
      <c r="AM73" s="182" t="e">
        <f t="shared" si="64"/>
        <v>#N/A</v>
      </c>
      <c r="AN73" s="488"/>
      <c r="AO73" s="182"/>
      <c r="AP73" s="180"/>
      <c r="AQ73" s="180"/>
      <c r="AR73" s="182" t="e">
        <f t="shared" si="66"/>
        <v>#N/A</v>
      </c>
      <c r="AS73" s="488"/>
      <c r="AT73" s="182"/>
      <c r="AU73" s="180"/>
      <c r="AV73" s="180"/>
      <c r="AW73" s="182" t="e">
        <f t="shared" si="68"/>
        <v>#N/A</v>
      </c>
      <c r="AX73" s="488"/>
      <c r="AZ73" s="182" t="e">
        <f t="shared" si="70"/>
        <v>#N/A</v>
      </c>
      <c r="BA73" s="488"/>
    </row>
    <row r="74" spans="2:53">
      <c r="B74" s="454"/>
      <c r="C74" s="182">
        <v>8</v>
      </c>
      <c r="D74" s="203"/>
      <c r="E74" s="166"/>
      <c r="F74" s="182"/>
      <c r="G74" s="180"/>
      <c r="H74" s="464"/>
      <c r="I74" s="166" t="str">
        <f t="shared" si="55"/>
        <v>-</v>
      </c>
      <c r="J74" s="166" t="str">
        <f t="shared" si="56"/>
        <v>-</v>
      </c>
      <c r="K74" s="180" t="str">
        <f t="shared" si="57"/>
        <v>-</v>
      </c>
      <c r="L74" s="464"/>
      <c r="M74" s="181" t="e">
        <f>RANK(K74, K$67:$K$81)</f>
        <v>#VALUE!</v>
      </c>
      <c r="N74" s="461"/>
      <c r="O74" s="461"/>
      <c r="P74" s="182"/>
      <c r="Q74" s="180"/>
      <c r="R74" s="180"/>
      <c r="S74" s="182" t="e">
        <f t="shared" si="72"/>
        <v>#N/A</v>
      </c>
      <c r="T74" s="488"/>
      <c r="U74" s="182"/>
      <c r="V74" s="180"/>
      <c r="W74" s="180"/>
      <c r="X74" s="182" t="e">
        <f t="shared" si="58"/>
        <v>#N/A</v>
      </c>
      <c r="Y74" s="488"/>
      <c r="Z74" s="182"/>
      <c r="AA74" s="180"/>
      <c r="AB74" s="180"/>
      <c r="AC74" s="182" t="e">
        <f t="shared" si="60"/>
        <v>#N/A</v>
      </c>
      <c r="AD74" s="488"/>
      <c r="AE74" s="182"/>
      <c r="AF74" s="180"/>
      <c r="AG74" s="180"/>
      <c r="AH74" s="182" t="e">
        <f t="shared" si="62"/>
        <v>#N/A</v>
      </c>
      <c r="AI74" s="488"/>
      <c r="AJ74" s="182"/>
      <c r="AK74" s="180"/>
      <c r="AL74" s="180"/>
      <c r="AM74" s="182" t="e">
        <f t="shared" si="64"/>
        <v>#N/A</v>
      </c>
      <c r="AN74" s="488"/>
      <c r="AO74" s="182"/>
      <c r="AP74" s="180"/>
      <c r="AQ74" s="180"/>
      <c r="AR74" s="182" t="e">
        <f t="shared" si="66"/>
        <v>#N/A</v>
      </c>
      <c r="AS74" s="488"/>
      <c r="AT74" s="182"/>
      <c r="AU74" s="180"/>
      <c r="AV74" s="180"/>
      <c r="AW74" s="182" t="e">
        <f t="shared" si="68"/>
        <v>#N/A</v>
      </c>
      <c r="AX74" s="488"/>
      <c r="AZ74" s="182" t="e">
        <f t="shared" si="70"/>
        <v>#N/A</v>
      </c>
      <c r="BA74" s="488"/>
    </row>
    <row r="75" spans="2:53">
      <c r="B75" s="454"/>
      <c r="C75" s="182">
        <v>9</v>
      </c>
      <c r="D75" s="203"/>
      <c r="E75" s="166"/>
      <c r="F75" s="182"/>
      <c r="G75" s="180"/>
      <c r="H75" s="464"/>
      <c r="I75" s="166" t="str">
        <f t="shared" si="55"/>
        <v>-</v>
      </c>
      <c r="J75" s="166" t="str">
        <f t="shared" si="56"/>
        <v>-</v>
      </c>
      <c r="K75" s="180" t="str">
        <f t="shared" si="57"/>
        <v>-</v>
      </c>
      <c r="L75" s="464"/>
      <c r="M75" s="181" t="e">
        <f>RANK(K75, K$67:$K$81)</f>
        <v>#VALUE!</v>
      </c>
      <c r="N75" s="461"/>
      <c r="O75" s="461"/>
      <c r="P75" s="182"/>
      <c r="Q75" s="180"/>
      <c r="R75" s="180"/>
      <c r="S75" s="182" t="e">
        <f t="shared" si="72"/>
        <v>#N/A</v>
      </c>
      <c r="T75" s="488"/>
      <c r="U75" s="182"/>
      <c r="V75" s="180"/>
      <c r="W75" s="180"/>
      <c r="X75" s="182" t="e">
        <f t="shared" si="58"/>
        <v>#N/A</v>
      </c>
      <c r="Y75" s="488"/>
      <c r="Z75" s="182"/>
      <c r="AA75" s="180"/>
      <c r="AB75" s="180"/>
      <c r="AC75" s="182" t="e">
        <f t="shared" si="60"/>
        <v>#N/A</v>
      </c>
      <c r="AD75" s="488"/>
      <c r="AE75" s="182"/>
      <c r="AF75" s="180"/>
      <c r="AG75" s="180"/>
      <c r="AH75" s="182" t="e">
        <f t="shared" si="62"/>
        <v>#N/A</v>
      </c>
      <c r="AI75" s="488"/>
      <c r="AJ75" s="182"/>
      <c r="AK75" s="180"/>
      <c r="AL75" s="180"/>
      <c r="AM75" s="182" t="e">
        <f t="shared" si="64"/>
        <v>#N/A</v>
      </c>
      <c r="AN75" s="488"/>
      <c r="AO75" s="182"/>
      <c r="AP75" s="180"/>
      <c r="AQ75" s="180"/>
      <c r="AR75" s="182" t="e">
        <f t="shared" si="66"/>
        <v>#N/A</v>
      </c>
      <c r="AS75" s="488"/>
      <c r="AT75" s="182"/>
      <c r="AU75" s="180"/>
      <c r="AV75" s="180"/>
      <c r="AW75" s="182" t="e">
        <f t="shared" si="68"/>
        <v>#N/A</v>
      </c>
      <c r="AX75" s="488"/>
      <c r="AZ75" s="182" t="e">
        <f t="shared" si="70"/>
        <v>#N/A</v>
      </c>
      <c r="BA75" s="488"/>
    </row>
    <row r="76" spans="2:53">
      <c r="B76" s="454"/>
      <c r="C76" s="182">
        <v>10</v>
      </c>
      <c r="D76" s="203"/>
      <c r="E76" s="166"/>
      <c r="F76" s="182"/>
      <c r="G76" s="180"/>
      <c r="H76" s="464"/>
      <c r="I76" s="166" t="str">
        <f t="shared" si="55"/>
        <v>-</v>
      </c>
      <c r="J76" s="166" t="str">
        <f t="shared" si="56"/>
        <v>-</v>
      </c>
      <c r="K76" s="180" t="str">
        <f t="shared" si="57"/>
        <v>-</v>
      </c>
      <c r="L76" s="464"/>
      <c r="M76" s="181" t="e">
        <f>RANK(K76, K$67:$K$81)</f>
        <v>#VALUE!</v>
      </c>
      <c r="N76" s="461"/>
      <c r="O76" s="461"/>
      <c r="P76" s="182"/>
      <c r="Q76" s="180"/>
      <c r="R76" s="180"/>
      <c r="S76" s="182" t="e">
        <f t="shared" si="72"/>
        <v>#N/A</v>
      </c>
      <c r="T76" s="488"/>
      <c r="U76" s="182"/>
      <c r="V76" s="180"/>
      <c r="W76" s="180"/>
      <c r="X76" s="182" t="e">
        <f t="shared" si="58"/>
        <v>#N/A</v>
      </c>
      <c r="Y76" s="488"/>
      <c r="Z76" s="182"/>
      <c r="AA76" s="180"/>
      <c r="AB76" s="180"/>
      <c r="AC76" s="182" t="e">
        <f t="shared" si="60"/>
        <v>#N/A</v>
      </c>
      <c r="AD76" s="488"/>
      <c r="AE76" s="182"/>
      <c r="AF76" s="180"/>
      <c r="AG76" s="180"/>
      <c r="AH76" s="182" t="e">
        <f t="shared" si="62"/>
        <v>#N/A</v>
      </c>
      <c r="AI76" s="488"/>
      <c r="AJ76" s="182"/>
      <c r="AK76" s="180"/>
      <c r="AL76" s="180"/>
      <c r="AM76" s="182" t="e">
        <f t="shared" si="64"/>
        <v>#N/A</v>
      </c>
      <c r="AN76" s="488"/>
      <c r="AO76" s="182"/>
      <c r="AP76" s="180"/>
      <c r="AQ76" s="180"/>
      <c r="AR76" s="182" t="e">
        <f t="shared" si="66"/>
        <v>#N/A</v>
      </c>
      <c r="AS76" s="488"/>
      <c r="AT76" s="182"/>
      <c r="AU76" s="180"/>
      <c r="AV76" s="180"/>
      <c r="AW76" s="182" t="e">
        <f t="shared" si="68"/>
        <v>#N/A</v>
      </c>
      <c r="AX76" s="488"/>
      <c r="AZ76" s="182" t="e">
        <f t="shared" si="70"/>
        <v>#N/A</v>
      </c>
      <c r="BA76" s="488"/>
    </row>
    <row r="77" spans="2:53">
      <c r="B77" s="454"/>
      <c r="C77" s="182">
        <v>11</v>
      </c>
      <c r="D77" s="203"/>
      <c r="E77" s="166"/>
      <c r="F77" s="182"/>
      <c r="G77" s="180"/>
      <c r="H77" s="464"/>
      <c r="I77" s="166" t="str">
        <f t="shared" si="55"/>
        <v>-</v>
      </c>
      <c r="J77" s="166" t="str">
        <f t="shared" si="56"/>
        <v>-</v>
      </c>
      <c r="K77" s="180" t="str">
        <f t="shared" si="57"/>
        <v>-</v>
      </c>
      <c r="L77" s="464"/>
      <c r="M77" s="181" t="e">
        <f>RANK(K77, K$67:$K$81)</f>
        <v>#VALUE!</v>
      </c>
      <c r="N77" s="461"/>
      <c r="O77" s="461"/>
      <c r="P77" s="182"/>
      <c r="Q77" s="180"/>
      <c r="R77" s="180"/>
      <c r="S77" s="182" t="e">
        <f t="shared" si="72"/>
        <v>#N/A</v>
      </c>
      <c r="T77" s="488"/>
      <c r="U77" s="182"/>
      <c r="V77" s="180"/>
      <c r="W77" s="180"/>
      <c r="X77" s="182" t="e">
        <f t="shared" si="58"/>
        <v>#N/A</v>
      </c>
      <c r="Y77" s="488"/>
      <c r="Z77" s="182"/>
      <c r="AA77" s="180"/>
      <c r="AB77" s="180"/>
      <c r="AC77" s="182" t="e">
        <f t="shared" si="60"/>
        <v>#N/A</v>
      </c>
      <c r="AD77" s="488"/>
      <c r="AE77" s="182"/>
      <c r="AF77" s="180"/>
      <c r="AG77" s="180"/>
      <c r="AH77" s="182" t="e">
        <f t="shared" si="62"/>
        <v>#N/A</v>
      </c>
      <c r="AI77" s="488"/>
      <c r="AJ77" s="182"/>
      <c r="AK77" s="180"/>
      <c r="AL77" s="180"/>
      <c r="AM77" s="182" t="e">
        <f t="shared" si="64"/>
        <v>#N/A</v>
      </c>
      <c r="AN77" s="488"/>
      <c r="AO77" s="182"/>
      <c r="AP77" s="180"/>
      <c r="AQ77" s="180"/>
      <c r="AR77" s="182" t="e">
        <f t="shared" si="66"/>
        <v>#N/A</v>
      </c>
      <c r="AS77" s="488"/>
      <c r="AT77" s="182"/>
      <c r="AU77" s="180"/>
      <c r="AV77" s="180"/>
      <c r="AW77" s="182" t="e">
        <f t="shared" si="68"/>
        <v>#N/A</v>
      </c>
      <c r="AX77" s="488"/>
      <c r="AZ77" s="182" t="e">
        <f t="shared" si="70"/>
        <v>#N/A</v>
      </c>
      <c r="BA77" s="488"/>
    </row>
    <row r="78" spans="2:53">
      <c r="B78" s="454"/>
      <c r="C78" s="182">
        <v>12</v>
      </c>
      <c r="D78" s="203"/>
      <c r="E78" s="166"/>
      <c r="F78" s="182"/>
      <c r="G78" s="180"/>
      <c r="H78" s="464"/>
      <c r="I78" s="166" t="str">
        <f t="shared" si="55"/>
        <v>-</v>
      </c>
      <c r="J78" s="166" t="str">
        <f t="shared" si="56"/>
        <v>-</v>
      </c>
      <c r="K78" s="180" t="str">
        <f t="shared" si="57"/>
        <v>-</v>
      </c>
      <c r="L78" s="464"/>
      <c r="M78" s="181" t="e">
        <f>RANK(K78, K$67:$K$81)</f>
        <v>#VALUE!</v>
      </c>
      <c r="N78" s="461"/>
      <c r="O78" s="461"/>
      <c r="P78" s="182"/>
      <c r="Q78" s="180"/>
      <c r="R78" s="180"/>
      <c r="S78" s="182" t="e">
        <f t="shared" si="72"/>
        <v>#N/A</v>
      </c>
      <c r="T78" s="488"/>
      <c r="U78" s="182"/>
      <c r="V78" s="180"/>
      <c r="W78" s="180"/>
      <c r="X78" s="182" t="e">
        <f t="shared" si="58"/>
        <v>#N/A</v>
      </c>
      <c r="Y78" s="488"/>
      <c r="Z78" s="182"/>
      <c r="AA78" s="180"/>
      <c r="AB78" s="180"/>
      <c r="AC78" s="182" t="e">
        <f t="shared" si="60"/>
        <v>#N/A</v>
      </c>
      <c r="AD78" s="488"/>
      <c r="AE78" s="182"/>
      <c r="AF78" s="180"/>
      <c r="AG78" s="180"/>
      <c r="AH78" s="182" t="e">
        <f t="shared" si="62"/>
        <v>#N/A</v>
      </c>
      <c r="AI78" s="488"/>
      <c r="AJ78" s="182"/>
      <c r="AK78" s="180"/>
      <c r="AL78" s="180"/>
      <c r="AM78" s="182" t="e">
        <f t="shared" si="64"/>
        <v>#N/A</v>
      </c>
      <c r="AN78" s="488"/>
      <c r="AO78" s="182"/>
      <c r="AP78" s="180"/>
      <c r="AQ78" s="180"/>
      <c r="AR78" s="182" t="e">
        <f t="shared" si="66"/>
        <v>#N/A</v>
      </c>
      <c r="AS78" s="488"/>
      <c r="AT78" s="182"/>
      <c r="AU78" s="180"/>
      <c r="AV78" s="180"/>
      <c r="AW78" s="182" t="e">
        <f t="shared" si="68"/>
        <v>#N/A</v>
      </c>
      <c r="AX78" s="488"/>
      <c r="AZ78" s="182" t="e">
        <f t="shared" si="70"/>
        <v>#N/A</v>
      </c>
      <c r="BA78" s="488"/>
    </row>
    <row r="79" spans="2:53">
      <c r="B79" s="454"/>
      <c r="C79" s="182">
        <v>13</v>
      </c>
      <c r="D79" s="203"/>
      <c r="E79" s="166"/>
      <c r="F79" s="182"/>
      <c r="G79" s="180"/>
      <c r="H79" s="464"/>
      <c r="I79" s="166" t="str">
        <f t="shared" si="55"/>
        <v>-</v>
      </c>
      <c r="J79" s="166" t="str">
        <f t="shared" si="56"/>
        <v>-</v>
      </c>
      <c r="K79" s="180" t="str">
        <f t="shared" si="57"/>
        <v>-</v>
      </c>
      <c r="L79" s="464"/>
      <c r="M79" s="181" t="e">
        <f>RANK(K79, K$67:$K$81)</f>
        <v>#VALUE!</v>
      </c>
      <c r="N79" s="461"/>
      <c r="O79" s="461"/>
      <c r="P79" s="182"/>
      <c r="Q79" s="180"/>
      <c r="R79" s="180"/>
      <c r="S79" s="182" t="e">
        <f t="shared" si="72"/>
        <v>#N/A</v>
      </c>
      <c r="T79" s="488"/>
      <c r="U79" s="182"/>
      <c r="V79" s="180"/>
      <c r="W79" s="180"/>
      <c r="X79" s="182" t="e">
        <f t="shared" si="58"/>
        <v>#N/A</v>
      </c>
      <c r="Y79" s="488"/>
      <c r="Z79" s="182"/>
      <c r="AA79" s="180"/>
      <c r="AB79" s="180"/>
      <c r="AC79" s="182" t="e">
        <f t="shared" si="60"/>
        <v>#N/A</v>
      </c>
      <c r="AD79" s="488"/>
      <c r="AE79" s="182"/>
      <c r="AF79" s="180"/>
      <c r="AG79" s="180"/>
      <c r="AH79" s="182" t="e">
        <f t="shared" si="62"/>
        <v>#N/A</v>
      </c>
      <c r="AI79" s="488"/>
      <c r="AJ79" s="182"/>
      <c r="AK79" s="180"/>
      <c r="AL79" s="180"/>
      <c r="AM79" s="182" t="e">
        <f t="shared" si="64"/>
        <v>#N/A</v>
      </c>
      <c r="AN79" s="488"/>
      <c r="AO79" s="182"/>
      <c r="AP79" s="180"/>
      <c r="AQ79" s="180"/>
      <c r="AR79" s="182" t="e">
        <f t="shared" si="66"/>
        <v>#N/A</v>
      </c>
      <c r="AS79" s="488"/>
      <c r="AT79" s="182"/>
      <c r="AU79" s="180"/>
      <c r="AV79" s="180"/>
      <c r="AW79" s="182" t="e">
        <f t="shared" si="68"/>
        <v>#N/A</v>
      </c>
      <c r="AX79" s="488"/>
      <c r="AZ79" s="182" t="e">
        <f t="shared" si="70"/>
        <v>#N/A</v>
      </c>
      <c r="BA79" s="488"/>
    </row>
    <row r="80" spans="2:53">
      <c r="B80" s="454"/>
      <c r="C80" s="182">
        <v>14</v>
      </c>
      <c r="D80" s="203"/>
      <c r="E80" s="166"/>
      <c r="F80" s="182"/>
      <c r="G80" s="180"/>
      <c r="H80" s="464"/>
      <c r="I80" s="166" t="str">
        <f t="shared" si="55"/>
        <v>-</v>
      </c>
      <c r="J80" s="166" t="str">
        <f t="shared" si="56"/>
        <v>-</v>
      </c>
      <c r="K80" s="180" t="str">
        <f t="shared" si="57"/>
        <v>-</v>
      </c>
      <c r="L80" s="464"/>
      <c r="M80" s="181" t="e">
        <f>RANK(K80, K$67:$K$81)</f>
        <v>#VALUE!</v>
      </c>
      <c r="N80" s="461"/>
      <c r="O80" s="461"/>
      <c r="P80" s="182"/>
      <c r="Q80" s="180"/>
      <c r="R80" s="180"/>
      <c r="S80" s="182" t="e">
        <f t="shared" si="72"/>
        <v>#N/A</v>
      </c>
      <c r="T80" s="488"/>
      <c r="U80" s="182"/>
      <c r="V80" s="180"/>
      <c r="W80" s="180"/>
      <c r="X80" s="182" t="e">
        <f t="shared" si="58"/>
        <v>#N/A</v>
      </c>
      <c r="Y80" s="488"/>
      <c r="Z80" s="182"/>
      <c r="AA80" s="180"/>
      <c r="AB80" s="180"/>
      <c r="AC80" s="182" t="e">
        <f t="shared" si="60"/>
        <v>#N/A</v>
      </c>
      <c r="AD80" s="488"/>
      <c r="AE80" s="182"/>
      <c r="AF80" s="180"/>
      <c r="AG80" s="180"/>
      <c r="AH80" s="182" t="e">
        <f t="shared" si="62"/>
        <v>#N/A</v>
      </c>
      <c r="AI80" s="488"/>
      <c r="AJ80" s="182"/>
      <c r="AK80" s="180"/>
      <c r="AL80" s="180"/>
      <c r="AM80" s="182" t="e">
        <f t="shared" si="64"/>
        <v>#N/A</v>
      </c>
      <c r="AN80" s="488"/>
      <c r="AO80" s="182"/>
      <c r="AP80" s="180"/>
      <c r="AQ80" s="180"/>
      <c r="AR80" s="182" t="e">
        <f t="shared" si="66"/>
        <v>#N/A</v>
      </c>
      <c r="AS80" s="488"/>
      <c r="AT80" s="182"/>
      <c r="AU80" s="180"/>
      <c r="AV80" s="180"/>
      <c r="AW80" s="182" t="e">
        <f t="shared" si="68"/>
        <v>#N/A</v>
      </c>
      <c r="AX80" s="488"/>
      <c r="AZ80" s="182" t="e">
        <f t="shared" si="70"/>
        <v>#N/A</v>
      </c>
      <c r="BA80" s="488"/>
    </row>
    <row r="81" spans="2:53">
      <c r="B81" s="454"/>
      <c r="C81" s="182">
        <v>15</v>
      </c>
      <c r="D81" s="203"/>
      <c r="E81" s="166"/>
      <c r="F81" s="182"/>
      <c r="G81" s="180"/>
      <c r="H81" s="465"/>
      <c r="I81" s="182"/>
      <c r="J81" s="182"/>
      <c r="K81" s="182"/>
      <c r="L81" s="465"/>
      <c r="M81" s="181" t="e">
        <f>RANK(K81, K$67:$K$81)</f>
        <v>#N/A</v>
      </c>
      <c r="N81" s="461"/>
      <c r="O81" s="461"/>
      <c r="P81" s="182"/>
      <c r="Q81" s="180"/>
      <c r="R81" s="180"/>
      <c r="S81" s="182" t="e">
        <f t="shared" si="72"/>
        <v>#N/A</v>
      </c>
      <c r="T81" s="489"/>
      <c r="U81" s="182"/>
      <c r="V81" s="180"/>
      <c r="W81" s="180"/>
      <c r="X81" s="182" t="e">
        <f t="shared" si="58"/>
        <v>#N/A</v>
      </c>
      <c r="Y81" s="489"/>
      <c r="Z81" s="182"/>
      <c r="AA81" s="180"/>
      <c r="AB81" s="180"/>
      <c r="AC81" s="182" t="e">
        <f t="shared" si="60"/>
        <v>#N/A</v>
      </c>
      <c r="AD81" s="489"/>
      <c r="AE81" s="182"/>
      <c r="AF81" s="180"/>
      <c r="AG81" s="180"/>
      <c r="AH81" s="182" t="e">
        <f t="shared" si="62"/>
        <v>#N/A</v>
      </c>
      <c r="AI81" s="489"/>
      <c r="AJ81" s="182"/>
      <c r="AK81" s="180"/>
      <c r="AL81" s="180"/>
      <c r="AM81" s="182" t="e">
        <f t="shared" si="64"/>
        <v>#N/A</v>
      </c>
      <c r="AN81" s="489"/>
      <c r="AO81" s="182"/>
      <c r="AP81" s="180"/>
      <c r="AQ81" s="180"/>
      <c r="AR81" s="182" t="e">
        <f t="shared" si="66"/>
        <v>#N/A</v>
      </c>
      <c r="AS81" s="489"/>
      <c r="AT81" s="182"/>
      <c r="AU81" s="180"/>
      <c r="AV81" s="180"/>
      <c r="AW81" s="182" t="e">
        <f t="shared" si="68"/>
        <v>#N/A</v>
      </c>
      <c r="AX81" s="489"/>
      <c r="AZ81" s="182" t="e">
        <f t="shared" si="70"/>
        <v>#N/A</v>
      </c>
      <c r="BA81" s="489"/>
    </row>
    <row r="82" spans="2:53" ht="15.5">
      <c r="B82" s="477" t="s">
        <v>163</v>
      </c>
      <c r="C82" s="478"/>
      <c r="D82" s="478"/>
      <c r="E82" s="478"/>
      <c r="F82" s="478"/>
      <c r="G82" s="478"/>
      <c r="H82" s="478"/>
      <c r="I82" s="186"/>
      <c r="J82" s="186"/>
      <c r="K82" s="186"/>
      <c r="L82" s="186"/>
      <c r="M82" s="185"/>
      <c r="N82" s="480" t="s">
        <v>156</v>
      </c>
      <c r="O82" s="480" t="s">
        <v>105</v>
      </c>
      <c r="P82" s="476">
        <f>P62+7</f>
        <v>46140</v>
      </c>
      <c r="Q82" s="454"/>
      <c r="R82" s="454"/>
      <c r="S82" s="454"/>
      <c r="T82" s="454"/>
      <c r="U82" s="473">
        <f>P82+1</f>
        <v>46141</v>
      </c>
      <c r="V82" s="474"/>
      <c r="W82" s="474"/>
      <c r="X82" s="474"/>
      <c r="Y82" s="475"/>
      <c r="Z82" s="473">
        <f>U82+1</f>
        <v>46142</v>
      </c>
      <c r="AA82" s="474"/>
      <c r="AB82" s="474"/>
      <c r="AC82" s="474"/>
      <c r="AD82" s="475"/>
      <c r="AE82" s="473">
        <f>Z82+1</f>
        <v>46143</v>
      </c>
      <c r="AF82" s="474"/>
      <c r="AG82" s="474"/>
      <c r="AH82" s="474"/>
      <c r="AI82" s="475"/>
      <c r="AJ82" s="473">
        <f>AE82+1</f>
        <v>46144</v>
      </c>
      <c r="AK82" s="474"/>
      <c r="AL82" s="474"/>
      <c r="AM82" s="474"/>
      <c r="AN82" s="475"/>
      <c r="AO82" s="473">
        <f>AJ82+1</f>
        <v>46145</v>
      </c>
      <c r="AP82" s="474"/>
      <c r="AQ82" s="474"/>
      <c r="AR82" s="474"/>
      <c r="AS82" s="475"/>
      <c r="AT82" s="473">
        <f>AO82+1</f>
        <v>46146</v>
      </c>
      <c r="AU82" s="474"/>
      <c r="AV82" s="474"/>
      <c r="AW82" s="474"/>
      <c r="AX82" s="475"/>
    </row>
    <row r="83" spans="2:53" ht="15.5">
      <c r="B83" s="479"/>
      <c r="C83" s="479"/>
      <c r="D83" s="479"/>
      <c r="E83" s="479"/>
      <c r="F83" s="479"/>
      <c r="G83" s="479"/>
      <c r="H83" s="479"/>
      <c r="I83" s="184"/>
      <c r="J83" s="184"/>
      <c r="K83" s="184"/>
      <c r="L83" s="184"/>
      <c r="M83" s="179"/>
      <c r="N83" s="481"/>
      <c r="O83" s="481"/>
      <c r="P83" s="476" t="s">
        <v>336</v>
      </c>
      <c r="Q83" s="454"/>
      <c r="R83" s="454"/>
      <c r="S83" s="454"/>
      <c r="T83" s="454"/>
      <c r="U83" s="476" t="s">
        <v>337</v>
      </c>
      <c r="V83" s="454"/>
      <c r="W83" s="454"/>
      <c r="X83" s="454"/>
      <c r="Y83" s="454"/>
      <c r="Z83" s="476" t="s">
        <v>338</v>
      </c>
      <c r="AA83" s="454"/>
      <c r="AB83" s="454"/>
      <c r="AC83" s="454"/>
      <c r="AD83" s="454"/>
      <c r="AE83" s="476" t="s">
        <v>339</v>
      </c>
      <c r="AF83" s="454"/>
      <c r="AG83" s="454"/>
      <c r="AH83" s="454"/>
      <c r="AI83" s="454"/>
      <c r="AJ83" s="476" t="s">
        <v>340</v>
      </c>
      <c r="AK83" s="454"/>
      <c r="AL83" s="454"/>
      <c r="AM83" s="454"/>
      <c r="AN83" s="454"/>
      <c r="AO83" s="476" t="s">
        <v>341</v>
      </c>
      <c r="AP83" s="454"/>
      <c r="AQ83" s="454"/>
      <c r="AR83" s="454"/>
      <c r="AS83" s="454"/>
      <c r="AT83" s="476" t="s">
        <v>342</v>
      </c>
      <c r="AU83" s="454"/>
      <c r="AV83" s="454"/>
      <c r="AW83" s="454"/>
      <c r="AX83" s="454"/>
    </row>
    <row r="84" spans="2:53">
      <c r="B84" s="461" t="s">
        <v>425</v>
      </c>
      <c r="C84" s="461" t="s">
        <v>426</v>
      </c>
      <c r="D84" s="461"/>
      <c r="E84" s="461" t="s">
        <v>427</v>
      </c>
      <c r="F84" s="461"/>
      <c r="G84" s="461"/>
      <c r="H84" s="482" t="s">
        <v>428</v>
      </c>
      <c r="I84" s="461" t="s">
        <v>429</v>
      </c>
      <c r="J84" s="461"/>
      <c r="K84" s="461"/>
      <c r="L84" s="482" t="s">
        <v>428</v>
      </c>
      <c r="M84" s="480" t="s">
        <v>430</v>
      </c>
      <c r="N84" s="461"/>
      <c r="O84" s="461" t="s">
        <v>431</v>
      </c>
      <c r="P84" s="466" t="s">
        <v>432</v>
      </c>
      <c r="Q84" s="467"/>
      <c r="R84" s="467"/>
      <c r="S84" s="468"/>
      <c r="T84" s="461" t="s">
        <v>428</v>
      </c>
      <c r="U84" s="466" t="s">
        <v>432</v>
      </c>
      <c r="V84" s="467"/>
      <c r="W84" s="467"/>
      <c r="X84" s="468"/>
      <c r="Y84" s="461" t="s">
        <v>428</v>
      </c>
      <c r="Z84" s="466" t="s">
        <v>432</v>
      </c>
      <c r="AA84" s="467"/>
      <c r="AB84" s="467"/>
      <c r="AC84" s="468"/>
      <c r="AD84" s="461" t="s">
        <v>428</v>
      </c>
      <c r="AE84" s="466" t="s">
        <v>432</v>
      </c>
      <c r="AF84" s="467"/>
      <c r="AG84" s="467"/>
      <c r="AH84" s="468"/>
      <c r="AI84" s="461" t="s">
        <v>428</v>
      </c>
      <c r="AJ84" s="466" t="s">
        <v>432</v>
      </c>
      <c r="AK84" s="467"/>
      <c r="AL84" s="467"/>
      <c r="AM84" s="468"/>
      <c r="AN84" s="461" t="s">
        <v>428</v>
      </c>
      <c r="AO84" s="466" t="s">
        <v>432</v>
      </c>
      <c r="AP84" s="467"/>
      <c r="AQ84" s="467"/>
      <c r="AR84" s="468"/>
      <c r="AS84" s="461" t="s">
        <v>428</v>
      </c>
      <c r="AT84" s="466" t="s">
        <v>432</v>
      </c>
      <c r="AU84" s="467"/>
      <c r="AV84" s="467"/>
      <c r="AW84" s="468"/>
      <c r="AX84" s="461" t="s">
        <v>428</v>
      </c>
      <c r="BA84" s="461" t="s">
        <v>396</v>
      </c>
    </row>
    <row r="85" spans="2:53">
      <c r="B85" s="461"/>
      <c r="C85" s="461"/>
      <c r="D85" s="461"/>
      <c r="E85" s="461" t="s">
        <v>433</v>
      </c>
      <c r="F85" s="461"/>
      <c r="G85" s="461"/>
      <c r="H85" s="483"/>
      <c r="I85" s="461" t="s">
        <v>433</v>
      </c>
      <c r="J85" s="461"/>
      <c r="K85" s="461"/>
      <c r="L85" s="483"/>
      <c r="M85" s="485"/>
      <c r="N85" s="461"/>
      <c r="O85" s="461"/>
      <c r="P85" s="466" t="s">
        <v>434</v>
      </c>
      <c r="Q85" s="467"/>
      <c r="R85" s="467"/>
      <c r="S85" s="468"/>
      <c r="T85" s="461"/>
      <c r="U85" s="466" t="s">
        <v>434</v>
      </c>
      <c r="V85" s="467"/>
      <c r="W85" s="467"/>
      <c r="X85" s="468"/>
      <c r="Y85" s="461"/>
      <c r="Z85" s="466" t="s">
        <v>434</v>
      </c>
      <c r="AA85" s="467"/>
      <c r="AB85" s="467"/>
      <c r="AC85" s="468"/>
      <c r="AD85" s="461"/>
      <c r="AE85" s="466" t="s">
        <v>434</v>
      </c>
      <c r="AF85" s="467"/>
      <c r="AG85" s="467"/>
      <c r="AH85" s="468"/>
      <c r="AI85" s="461"/>
      <c r="AJ85" s="466" t="s">
        <v>434</v>
      </c>
      <c r="AK85" s="467"/>
      <c r="AL85" s="467"/>
      <c r="AM85" s="468"/>
      <c r="AN85" s="461"/>
      <c r="AO85" s="466" t="s">
        <v>434</v>
      </c>
      <c r="AP85" s="467"/>
      <c r="AQ85" s="467"/>
      <c r="AR85" s="468"/>
      <c r="AS85" s="461"/>
      <c r="AT85" s="466" t="s">
        <v>434</v>
      </c>
      <c r="AU85" s="467"/>
      <c r="AV85" s="467"/>
      <c r="AW85" s="468"/>
      <c r="AX85" s="461"/>
      <c r="BA85" s="461"/>
    </row>
    <row r="86" spans="2:53">
      <c r="B86" s="461"/>
      <c r="C86" s="461"/>
      <c r="D86" s="461"/>
      <c r="E86" s="269" t="s">
        <v>435</v>
      </c>
      <c r="F86" s="269" t="s">
        <v>436</v>
      </c>
      <c r="G86" s="269" t="s">
        <v>437</v>
      </c>
      <c r="H86" s="484"/>
      <c r="I86" s="269" t="s">
        <v>435</v>
      </c>
      <c r="J86" s="269" t="s">
        <v>436</v>
      </c>
      <c r="K86" s="269" t="s">
        <v>437</v>
      </c>
      <c r="L86" s="484"/>
      <c r="M86" s="481"/>
      <c r="N86" s="461"/>
      <c r="O86" s="461"/>
      <c r="P86" s="269" t="s">
        <v>435</v>
      </c>
      <c r="Q86" s="269" t="s">
        <v>436</v>
      </c>
      <c r="R86" s="269" t="s">
        <v>437</v>
      </c>
      <c r="S86" s="269" t="s">
        <v>430</v>
      </c>
      <c r="T86" s="461"/>
      <c r="U86" s="269" t="s">
        <v>435</v>
      </c>
      <c r="V86" s="269" t="s">
        <v>436</v>
      </c>
      <c r="W86" s="269" t="s">
        <v>437</v>
      </c>
      <c r="X86" s="269" t="s">
        <v>430</v>
      </c>
      <c r="Y86" s="461"/>
      <c r="Z86" s="269" t="s">
        <v>435</v>
      </c>
      <c r="AA86" s="269" t="s">
        <v>436</v>
      </c>
      <c r="AB86" s="269" t="s">
        <v>437</v>
      </c>
      <c r="AC86" s="269" t="s">
        <v>430</v>
      </c>
      <c r="AD86" s="461"/>
      <c r="AE86" s="269" t="s">
        <v>435</v>
      </c>
      <c r="AF86" s="269" t="s">
        <v>436</v>
      </c>
      <c r="AG86" s="269" t="s">
        <v>437</v>
      </c>
      <c r="AH86" s="269" t="s">
        <v>430</v>
      </c>
      <c r="AI86" s="461"/>
      <c r="AJ86" s="269" t="s">
        <v>435</v>
      </c>
      <c r="AK86" s="269" t="s">
        <v>436</v>
      </c>
      <c r="AL86" s="269" t="s">
        <v>437</v>
      </c>
      <c r="AM86" s="269" t="s">
        <v>430</v>
      </c>
      <c r="AN86" s="461"/>
      <c r="AO86" s="269" t="s">
        <v>435</v>
      </c>
      <c r="AP86" s="269" t="s">
        <v>436</v>
      </c>
      <c r="AQ86" s="269" t="s">
        <v>437</v>
      </c>
      <c r="AR86" s="269" t="s">
        <v>430</v>
      </c>
      <c r="AS86" s="461"/>
      <c r="AT86" s="269" t="s">
        <v>435</v>
      </c>
      <c r="AU86" s="269" t="s">
        <v>436</v>
      </c>
      <c r="AV86" s="269" t="s">
        <v>437</v>
      </c>
      <c r="AW86" s="269" t="s">
        <v>430</v>
      </c>
      <c r="AX86" s="461"/>
      <c r="AZ86" s="269" t="s">
        <v>397</v>
      </c>
      <c r="BA86" s="461"/>
    </row>
    <row r="87" spans="2:53">
      <c r="B87" s="461" t="s">
        <v>441</v>
      </c>
      <c r="C87" s="182">
        <v>1</v>
      </c>
      <c r="D87" s="203"/>
      <c r="E87" s="166"/>
      <c r="F87" s="182"/>
      <c r="G87" s="180"/>
      <c r="H87" s="463" t="e">
        <f>AVERAGE(G87:G101)</f>
        <v>#DIV/0!</v>
      </c>
      <c r="I87" s="166" t="str">
        <f t="shared" ref="I87:I100" si="73">IFERROR(AVERAGE(P87,U87,Z87,AE87,AJ87,AO87,AT87),"-")</f>
        <v>-</v>
      </c>
      <c r="J87" s="166" t="str">
        <f t="shared" ref="J87:J100" si="74">IFERROR(AVERAGE(Q87,V87,AA87,AF87,AK87,AP87,AU87),"-")</f>
        <v>-</v>
      </c>
      <c r="K87" s="180" t="str">
        <f t="shared" ref="K87:K100" si="75">IFERROR(AVERAGE(R87,W87,AB87,AG87,AL87,AQ87,AV87),"-")</f>
        <v>-</v>
      </c>
      <c r="L87" s="463" t="str">
        <f>IFERROR(AVERAGE(K87:K101),"-")</f>
        <v>-</v>
      </c>
      <c r="M87" s="181" t="e">
        <f>RANK(K87, K$87:$K$101)</f>
        <v>#VALUE!</v>
      </c>
      <c r="N87" s="461"/>
      <c r="O87" s="461"/>
      <c r="P87" s="166"/>
      <c r="Q87" s="180"/>
      <c r="R87" s="180"/>
      <c r="S87" s="182" t="e">
        <f>RANK(R87, R$87:R$101)</f>
        <v>#N/A</v>
      </c>
      <c r="T87" s="463" t="e">
        <f>AVERAGE(R87:R101)</f>
        <v>#DIV/0!</v>
      </c>
      <c r="U87" s="166"/>
      <c r="V87" s="180"/>
      <c r="W87" s="180"/>
      <c r="X87" s="182" t="e">
        <f t="shared" ref="X87:X101" si="76">RANK(W87, W$87:W$101)</f>
        <v>#N/A</v>
      </c>
      <c r="Y87" s="463" t="e">
        <f t="shared" ref="Y87" si="77">AVERAGE(W87:W101)</f>
        <v>#DIV/0!</v>
      </c>
      <c r="Z87" s="166"/>
      <c r="AA87" s="180"/>
      <c r="AB87" s="180"/>
      <c r="AC87" s="182" t="e">
        <f t="shared" ref="AC87:AC101" si="78">RANK(AB87, AB$87:AB$101)</f>
        <v>#N/A</v>
      </c>
      <c r="AD87" s="463" t="e">
        <f t="shared" ref="AD87" si="79">AVERAGE(AB87:AB101)</f>
        <v>#DIV/0!</v>
      </c>
      <c r="AE87" s="166"/>
      <c r="AF87" s="180"/>
      <c r="AG87" s="180"/>
      <c r="AH87" s="182" t="e">
        <f t="shared" ref="AH87:AH101" si="80">RANK(AG87, AG$87:AG$101)</f>
        <v>#N/A</v>
      </c>
      <c r="AI87" s="463" t="e">
        <f t="shared" ref="AI87" si="81">AVERAGE(AG87:AG101)</f>
        <v>#DIV/0!</v>
      </c>
      <c r="AJ87" s="166"/>
      <c r="AK87" s="180"/>
      <c r="AL87" s="180"/>
      <c r="AM87" s="182" t="e">
        <f t="shared" ref="AM87:AM101" si="82">RANK(AL87, AL$87:AL$101)</f>
        <v>#N/A</v>
      </c>
      <c r="AN87" s="463" t="e">
        <f t="shared" ref="AN87" si="83">AVERAGE(AL87:AL101)</f>
        <v>#DIV/0!</v>
      </c>
      <c r="AO87" s="166"/>
      <c r="AP87" s="180"/>
      <c r="AQ87" s="180"/>
      <c r="AR87" s="182" t="e">
        <f t="shared" ref="AR87:AR101" si="84">RANK(AQ87, AQ$87:AQ$101)</f>
        <v>#N/A</v>
      </c>
      <c r="AS87" s="463" t="e">
        <f t="shared" ref="AS87" si="85">AVERAGE(AQ87:AQ101)</f>
        <v>#DIV/0!</v>
      </c>
      <c r="AT87" s="166"/>
      <c r="AU87" s="180"/>
      <c r="AV87" s="180"/>
      <c r="AW87" s="182" t="e">
        <f t="shared" ref="AW87:AW101" si="86">RANK(AV87, AV$87:AV$101)</f>
        <v>#N/A</v>
      </c>
      <c r="AX87" s="455" t="e">
        <f t="shared" ref="AX87" si="87">AVERAGE(AV87:AV101)</f>
        <v>#DIV/0!</v>
      </c>
      <c r="AZ87" s="182" t="e">
        <f t="shared" ref="AZ87:AZ101" si="88">RANK(AY87, AY$87:AY$101)</f>
        <v>#N/A</v>
      </c>
      <c r="BA87" s="455" t="e">
        <f t="shared" ref="BA87" si="89">AVERAGE(AY87:AY101)</f>
        <v>#DIV/0!</v>
      </c>
    </row>
    <row r="88" spans="2:53">
      <c r="B88" s="454"/>
      <c r="C88" s="182">
        <v>2</v>
      </c>
      <c r="D88" s="203"/>
      <c r="E88" s="166"/>
      <c r="F88" s="182"/>
      <c r="G88" s="180"/>
      <c r="H88" s="464"/>
      <c r="I88" s="166" t="str">
        <f t="shared" si="73"/>
        <v>-</v>
      </c>
      <c r="J88" s="166" t="str">
        <f t="shared" si="74"/>
        <v>-</v>
      </c>
      <c r="K88" s="180" t="str">
        <f t="shared" si="75"/>
        <v>-</v>
      </c>
      <c r="L88" s="464"/>
      <c r="M88" s="181" t="e">
        <f>RANK(K88, K$87:$K$101)</f>
        <v>#VALUE!</v>
      </c>
      <c r="N88" s="461"/>
      <c r="O88" s="461"/>
      <c r="P88" s="182"/>
      <c r="Q88" s="180"/>
      <c r="R88" s="180"/>
      <c r="S88" s="182" t="e">
        <f t="shared" ref="S88:S101" si="90">RANK(R88, R$87:R$101)</f>
        <v>#N/A</v>
      </c>
      <c r="T88" s="464"/>
      <c r="U88" s="182"/>
      <c r="V88" s="180"/>
      <c r="W88" s="180"/>
      <c r="X88" s="182" t="e">
        <f t="shared" si="76"/>
        <v>#N/A</v>
      </c>
      <c r="Y88" s="464"/>
      <c r="Z88" s="182"/>
      <c r="AA88" s="180"/>
      <c r="AB88" s="180"/>
      <c r="AC88" s="182" t="e">
        <f t="shared" si="78"/>
        <v>#N/A</v>
      </c>
      <c r="AD88" s="464"/>
      <c r="AE88" s="182"/>
      <c r="AF88" s="180"/>
      <c r="AG88" s="180"/>
      <c r="AH88" s="182" t="e">
        <f t="shared" si="80"/>
        <v>#N/A</v>
      </c>
      <c r="AI88" s="464"/>
      <c r="AJ88" s="182"/>
      <c r="AK88" s="180"/>
      <c r="AL88" s="180"/>
      <c r="AM88" s="182" t="e">
        <f t="shared" si="82"/>
        <v>#N/A</v>
      </c>
      <c r="AN88" s="464"/>
      <c r="AO88" s="182"/>
      <c r="AP88" s="180"/>
      <c r="AQ88" s="180"/>
      <c r="AR88" s="182" t="e">
        <f t="shared" si="84"/>
        <v>#N/A</v>
      </c>
      <c r="AS88" s="464"/>
      <c r="AT88" s="182"/>
      <c r="AU88" s="180"/>
      <c r="AV88" s="180"/>
      <c r="AW88" s="182" t="e">
        <f t="shared" si="86"/>
        <v>#N/A</v>
      </c>
      <c r="AX88" s="455"/>
      <c r="AZ88" s="182" t="e">
        <f t="shared" si="88"/>
        <v>#N/A</v>
      </c>
      <c r="BA88" s="455"/>
    </row>
    <row r="89" spans="2:53">
      <c r="B89" s="454"/>
      <c r="C89" s="182">
        <v>3</v>
      </c>
      <c r="D89" s="203"/>
      <c r="E89" s="166"/>
      <c r="F89" s="182"/>
      <c r="G89" s="180"/>
      <c r="H89" s="464"/>
      <c r="I89" s="166" t="str">
        <f t="shared" si="73"/>
        <v>-</v>
      </c>
      <c r="J89" s="166" t="str">
        <f t="shared" si="74"/>
        <v>-</v>
      </c>
      <c r="K89" s="180" t="str">
        <f t="shared" si="75"/>
        <v>-</v>
      </c>
      <c r="L89" s="464"/>
      <c r="M89" s="181" t="e">
        <f>RANK(K89, K$87:$K$101)</f>
        <v>#VALUE!</v>
      </c>
      <c r="N89" s="461"/>
      <c r="O89" s="461"/>
      <c r="P89" s="182"/>
      <c r="Q89" s="180"/>
      <c r="R89" s="180"/>
      <c r="S89" s="182" t="e">
        <f t="shared" si="90"/>
        <v>#N/A</v>
      </c>
      <c r="T89" s="464"/>
      <c r="U89" s="182"/>
      <c r="V89" s="180"/>
      <c r="W89" s="180"/>
      <c r="X89" s="182" t="e">
        <f t="shared" si="76"/>
        <v>#N/A</v>
      </c>
      <c r="Y89" s="464"/>
      <c r="Z89" s="182"/>
      <c r="AA89" s="180"/>
      <c r="AB89" s="180"/>
      <c r="AC89" s="182" t="e">
        <f t="shared" si="78"/>
        <v>#N/A</v>
      </c>
      <c r="AD89" s="464"/>
      <c r="AE89" s="182"/>
      <c r="AF89" s="180"/>
      <c r="AG89" s="180"/>
      <c r="AH89" s="182" t="e">
        <f t="shared" si="80"/>
        <v>#N/A</v>
      </c>
      <c r="AI89" s="464"/>
      <c r="AJ89" s="182"/>
      <c r="AK89" s="180"/>
      <c r="AL89" s="180"/>
      <c r="AM89" s="182" t="e">
        <f t="shared" si="82"/>
        <v>#N/A</v>
      </c>
      <c r="AN89" s="464"/>
      <c r="AO89" s="182"/>
      <c r="AP89" s="180"/>
      <c r="AQ89" s="180"/>
      <c r="AR89" s="182" t="e">
        <f t="shared" si="84"/>
        <v>#N/A</v>
      </c>
      <c r="AS89" s="464"/>
      <c r="AT89" s="182"/>
      <c r="AU89" s="180"/>
      <c r="AV89" s="180"/>
      <c r="AW89" s="182" t="e">
        <f t="shared" si="86"/>
        <v>#N/A</v>
      </c>
      <c r="AX89" s="455"/>
      <c r="AZ89" s="182" t="e">
        <f t="shared" si="88"/>
        <v>#N/A</v>
      </c>
      <c r="BA89" s="455"/>
    </row>
    <row r="90" spans="2:53">
      <c r="B90" s="454"/>
      <c r="C90" s="182">
        <v>4</v>
      </c>
      <c r="D90" s="203"/>
      <c r="E90" s="166"/>
      <c r="F90" s="182"/>
      <c r="G90" s="180"/>
      <c r="H90" s="464"/>
      <c r="I90" s="166" t="str">
        <f t="shared" si="73"/>
        <v>-</v>
      </c>
      <c r="J90" s="166" t="str">
        <f t="shared" si="74"/>
        <v>-</v>
      </c>
      <c r="K90" s="180" t="str">
        <f t="shared" si="75"/>
        <v>-</v>
      </c>
      <c r="L90" s="464"/>
      <c r="M90" s="181" t="e">
        <f>RANK(K90, K$87:$K$101)</f>
        <v>#VALUE!</v>
      </c>
      <c r="N90" s="461"/>
      <c r="O90" s="461"/>
      <c r="P90" s="182"/>
      <c r="Q90" s="180"/>
      <c r="R90" s="180"/>
      <c r="S90" s="182" t="e">
        <f t="shared" si="90"/>
        <v>#N/A</v>
      </c>
      <c r="T90" s="464"/>
      <c r="U90" s="182"/>
      <c r="V90" s="180"/>
      <c r="W90" s="180"/>
      <c r="X90" s="182" t="e">
        <f t="shared" si="76"/>
        <v>#N/A</v>
      </c>
      <c r="Y90" s="464"/>
      <c r="Z90" s="182"/>
      <c r="AA90" s="180"/>
      <c r="AB90" s="180"/>
      <c r="AC90" s="182" t="e">
        <f t="shared" si="78"/>
        <v>#N/A</v>
      </c>
      <c r="AD90" s="464"/>
      <c r="AE90" s="182"/>
      <c r="AF90" s="180"/>
      <c r="AG90" s="180"/>
      <c r="AH90" s="182" t="e">
        <f t="shared" si="80"/>
        <v>#N/A</v>
      </c>
      <c r="AI90" s="464"/>
      <c r="AJ90" s="182"/>
      <c r="AK90" s="180"/>
      <c r="AL90" s="180"/>
      <c r="AM90" s="182" t="e">
        <f t="shared" si="82"/>
        <v>#N/A</v>
      </c>
      <c r="AN90" s="464"/>
      <c r="AO90" s="182"/>
      <c r="AP90" s="180"/>
      <c r="AQ90" s="180"/>
      <c r="AR90" s="182" t="e">
        <f t="shared" si="84"/>
        <v>#N/A</v>
      </c>
      <c r="AS90" s="464"/>
      <c r="AT90" s="182"/>
      <c r="AU90" s="180"/>
      <c r="AV90" s="180"/>
      <c r="AW90" s="182" t="e">
        <f t="shared" si="86"/>
        <v>#N/A</v>
      </c>
      <c r="AX90" s="455"/>
      <c r="AZ90" s="182" t="e">
        <f t="shared" si="88"/>
        <v>#N/A</v>
      </c>
      <c r="BA90" s="455"/>
    </row>
    <row r="91" spans="2:53">
      <c r="B91" s="454"/>
      <c r="C91" s="182">
        <v>5</v>
      </c>
      <c r="D91" s="203"/>
      <c r="E91" s="166"/>
      <c r="F91" s="182"/>
      <c r="G91" s="180"/>
      <c r="H91" s="464"/>
      <c r="I91" s="166" t="str">
        <f t="shared" si="73"/>
        <v>-</v>
      </c>
      <c r="J91" s="166" t="str">
        <f t="shared" si="74"/>
        <v>-</v>
      </c>
      <c r="K91" s="180" t="str">
        <f t="shared" si="75"/>
        <v>-</v>
      </c>
      <c r="L91" s="464"/>
      <c r="M91" s="181" t="e">
        <f>RANK(K91, K$87:$K$101)</f>
        <v>#VALUE!</v>
      </c>
      <c r="N91" s="461"/>
      <c r="O91" s="461"/>
      <c r="P91" s="182"/>
      <c r="Q91" s="180"/>
      <c r="R91" s="180"/>
      <c r="S91" s="182" t="e">
        <f t="shared" si="90"/>
        <v>#N/A</v>
      </c>
      <c r="T91" s="464"/>
      <c r="U91" s="182"/>
      <c r="V91" s="180"/>
      <c r="W91" s="180"/>
      <c r="X91" s="182" t="e">
        <f t="shared" si="76"/>
        <v>#N/A</v>
      </c>
      <c r="Y91" s="464"/>
      <c r="Z91" s="182"/>
      <c r="AA91" s="180"/>
      <c r="AB91" s="180"/>
      <c r="AC91" s="182" t="e">
        <f t="shared" si="78"/>
        <v>#N/A</v>
      </c>
      <c r="AD91" s="464"/>
      <c r="AE91" s="182"/>
      <c r="AF91" s="180"/>
      <c r="AG91" s="180"/>
      <c r="AH91" s="182" t="e">
        <f t="shared" si="80"/>
        <v>#N/A</v>
      </c>
      <c r="AI91" s="464"/>
      <c r="AJ91" s="182"/>
      <c r="AK91" s="180"/>
      <c r="AL91" s="180"/>
      <c r="AM91" s="182" t="e">
        <f t="shared" si="82"/>
        <v>#N/A</v>
      </c>
      <c r="AN91" s="464"/>
      <c r="AO91" s="182"/>
      <c r="AP91" s="180"/>
      <c r="AQ91" s="180"/>
      <c r="AR91" s="182" t="e">
        <f t="shared" si="84"/>
        <v>#N/A</v>
      </c>
      <c r="AS91" s="464"/>
      <c r="AT91" s="182"/>
      <c r="AU91" s="180"/>
      <c r="AV91" s="180"/>
      <c r="AW91" s="182" t="e">
        <f t="shared" si="86"/>
        <v>#N/A</v>
      </c>
      <c r="AX91" s="455"/>
      <c r="AZ91" s="182" t="e">
        <f t="shared" si="88"/>
        <v>#N/A</v>
      </c>
      <c r="BA91" s="455"/>
    </row>
    <row r="92" spans="2:53">
      <c r="B92" s="454"/>
      <c r="C92" s="182">
        <v>6</v>
      </c>
      <c r="D92" s="203"/>
      <c r="E92" s="166"/>
      <c r="F92" s="182"/>
      <c r="G92" s="180"/>
      <c r="H92" s="464"/>
      <c r="I92" s="166" t="str">
        <f t="shared" si="73"/>
        <v>-</v>
      </c>
      <c r="J92" s="166" t="str">
        <f t="shared" si="74"/>
        <v>-</v>
      </c>
      <c r="K92" s="180" t="str">
        <f t="shared" si="75"/>
        <v>-</v>
      </c>
      <c r="L92" s="464"/>
      <c r="M92" s="181" t="e">
        <f>RANK(K92, K$87:$K$101)</f>
        <v>#VALUE!</v>
      </c>
      <c r="N92" s="461"/>
      <c r="O92" s="461"/>
      <c r="P92" s="182"/>
      <c r="Q92" s="180"/>
      <c r="R92" s="180"/>
      <c r="S92" s="182" t="e">
        <f t="shared" si="90"/>
        <v>#N/A</v>
      </c>
      <c r="T92" s="464"/>
      <c r="U92" s="182"/>
      <c r="V92" s="180"/>
      <c r="W92" s="180"/>
      <c r="X92" s="182" t="e">
        <f t="shared" si="76"/>
        <v>#N/A</v>
      </c>
      <c r="Y92" s="464"/>
      <c r="Z92" s="182"/>
      <c r="AA92" s="180"/>
      <c r="AB92" s="180"/>
      <c r="AC92" s="182" t="e">
        <f t="shared" si="78"/>
        <v>#N/A</v>
      </c>
      <c r="AD92" s="464"/>
      <c r="AE92" s="182"/>
      <c r="AF92" s="180"/>
      <c r="AG92" s="180"/>
      <c r="AH92" s="182" t="e">
        <f t="shared" si="80"/>
        <v>#N/A</v>
      </c>
      <c r="AI92" s="464"/>
      <c r="AJ92" s="182"/>
      <c r="AK92" s="180"/>
      <c r="AL92" s="180"/>
      <c r="AM92" s="182" t="e">
        <f t="shared" si="82"/>
        <v>#N/A</v>
      </c>
      <c r="AN92" s="464"/>
      <c r="AO92" s="182"/>
      <c r="AP92" s="180"/>
      <c r="AQ92" s="180"/>
      <c r="AR92" s="182" t="e">
        <f t="shared" si="84"/>
        <v>#N/A</v>
      </c>
      <c r="AS92" s="464"/>
      <c r="AT92" s="182"/>
      <c r="AU92" s="180"/>
      <c r="AV92" s="180"/>
      <c r="AW92" s="182" t="e">
        <f t="shared" si="86"/>
        <v>#N/A</v>
      </c>
      <c r="AX92" s="455"/>
      <c r="AZ92" s="182" t="e">
        <f t="shared" si="88"/>
        <v>#N/A</v>
      </c>
      <c r="BA92" s="455"/>
    </row>
    <row r="93" spans="2:53">
      <c r="B93" s="454"/>
      <c r="C93" s="182">
        <v>7</v>
      </c>
      <c r="D93" s="203"/>
      <c r="E93" s="166"/>
      <c r="F93" s="182"/>
      <c r="G93" s="180"/>
      <c r="H93" s="464"/>
      <c r="I93" s="166" t="str">
        <f t="shared" si="73"/>
        <v>-</v>
      </c>
      <c r="J93" s="166" t="str">
        <f t="shared" si="74"/>
        <v>-</v>
      </c>
      <c r="K93" s="180" t="str">
        <f t="shared" si="75"/>
        <v>-</v>
      </c>
      <c r="L93" s="464"/>
      <c r="M93" s="181" t="e">
        <f>RANK(K93, K$87:$K$101)</f>
        <v>#VALUE!</v>
      </c>
      <c r="N93" s="461"/>
      <c r="O93" s="461"/>
      <c r="P93" s="182"/>
      <c r="Q93" s="180"/>
      <c r="R93" s="180"/>
      <c r="S93" s="182" t="e">
        <f t="shared" si="90"/>
        <v>#N/A</v>
      </c>
      <c r="T93" s="464"/>
      <c r="U93" s="182"/>
      <c r="V93" s="180"/>
      <c r="W93" s="180"/>
      <c r="X93" s="182" t="e">
        <f t="shared" si="76"/>
        <v>#N/A</v>
      </c>
      <c r="Y93" s="464"/>
      <c r="Z93" s="182"/>
      <c r="AA93" s="180"/>
      <c r="AB93" s="180"/>
      <c r="AC93" s="182" t="e">
        <f t="shared" si="78"/>
        <v>#N/A</v>
      </c>
      <c r="AD93" s="464"/>
      <c r="AE93" s="182"/>
      <c r="AF93" s="180"/>
      <c r="AG93" s="180"/>
      <c r="AH93" s="182" t="e">
        <f t="shared" si="80"/>
        <v>#N/A</v>
      </c>
      <c r="AI93" s="464"/>
      <c r="AJ93" s="182"/>
      <c r="AK93" s="180"/>
      <c r="AL93" s="180"/>
      <c r="AM93" s="182" t="e">
        <f t="shared" si="82"/>
        <v>#N/A</v>
      </c>
      <c r="AN93" s="464"/>
      <c r="AO93" s="182"/>
      <c r="AP93" s="180"/>
      <c r="AQ93" s="180"/>
      <c r="AR93" s="182" t="e">
        <f t="shared" si="84"/>
        <v>#N/A</v>
      </c>
      <c r="AS93" s="464"/>
      <c r="AT93" s="182"/>
      <c r="AU93" s="180"/>
      <c r="AV93" s="180"/>
      <c r="AW93" s="182" t="e">
        <f t="shared" si="86"/>
        <v>#N/A</v>
      </c>
      <c r="AX93" s="455"/>
      <c r="AZ93" s="182" t="e">
        <f t="shared" si="88"/>
        <v>#N/A</v>
      </c>
      <c r="BA93" s="455"/>
    </row>
    <row r="94" spans="2:53">
      <c r="B94" s="454"/>
      <c r="C94" s="182">
        <v>8</v>
      </c>
      <c r="D94" s="203"/>
      <c r="E94" s="166"/>
      <c r="F94" s="182"/>
      <c r="G94" s="180"/>
      <c r="H94" s="464"/>
      <c r="I94" s="166" t="str">
        <f t="shared" si="73"/>
        <v>-</v>
      </c>
      <c r="J94" s="166" t="str">
        <f t="shared" si="74"/>
        <v>-</v>
      </c>
      <c r="K94" s="180" t="str">
        <f t="shared" si="75"/>
        <v>-</v>
      </c>
      <c r="L94" s="464"/>
      <c r="M94" s="181" t="e">
        <f>RANK(K94, K$87:$K$101)</f>
        <v>#VALUE!</v>
      </c>
      <c r="N94" s="461"/>
      <c r="O94" s="461"/>
      <c r="P94" s="182"/>
      <c r="Q94" s="180"/>
      <c r="R94" s="180"/>
      <c r="S94" s="182" t="e">
        <f t="shared" si="90"/>
        <v>#N/A</v>
      </c>
      <c r="T94" s="464"/>
      <c r="U94" s="182"/>
      <c r="V94" s="180"/>
      <c r="W94" s="180"/>
      <c r="X94" s="182" t="e">
        <f t="shared" si="76"/>
        <v>#N/A</v>
      </c>
      <c r="Y94" s="464"/>
      <c r="Z94" s="182"/>
      <c r="AA94" s="180"/>
      <c r="AB94" s="180"/>
      <c r="AC94" s="182" t="e">
        <f t="shared" si="78"/>
        <v>#N/A</v>
      </c>
      <c r="AD94" s="464"/>
      <c r="AE94" s="182"/>
      <c r="AF94" s="180"/>
      <c r="AG94" s="180"/>
      <c r="AH94" s="182" t="e">
        <f t="shared" si="80"/>
        <v>#N/A</v>
      </c>
      <c r="AI94" s="464"/>
      <c r="AJ94" s="182"/>
      <c r="AK94" s="180"/>
      <c r="AL94" s="180"/>
      <c r="AM94" s="182" t="e">
        <f t="shared" si="82"/>
        <v>#N/A</v>
      </c>
      <c r="AN94" s="464"/>
      <c r="AO94" s="182"/>
      <c r="AP94" s="180"/>
      <c r="AQ94" s="180"/>
      <c r="AR94" s="182" t="e">
        <f t="shared" si="84"/>
        <v>#N/A</v>
      </c>
      <c r="AS94" s="464"/>
      <c r="AT94" s="182"/>
      <c r="AU94" s="180"/>
      <c r="AV94" s="180"/>
      <c r="AW94" s="182" t="e">
        <f t="shared" si="86"/>
        <v>#N/A</v>
      </c>
      <c r="AX94" s="455"/>
      <c r="AZ94" s="182" t="e">
        <f t="shared" si="88"/>
        <v>#N/A</v>
      </c>
      <c r="BA94" s="455"/>
    </row>
    <row r="95" spans="2:53">
      <c r="B95" s="454"/>
      <c r="C95" s="182">
        <v>9</v>
      </c>
      <c r="D95" s="203"/>
      <c r="E95" s="166"/>
      <c r="F95" s="182"/>
      <c r="G95" s="180"/>
      <c r="H95" s="464"/>
      <c r="I95" s="166" t="str">
        <f t="shared" si="73"/>
        <v>-</v>
      </c>
      <c r="J95" s="166" t="str">
        <f t="shared" si="74"/>
        <v>-</v>
      </c>
      <c r="K95" s="180" t="str">
        <f t="shared" si="75"/>
        <v>-</v>
      </c>
      <c r="L95" s="464"/>
      <c r="M95" s="181" t="e">
        <f>RANK(K95, K$87:$K$101)</f>
        <v>#VALUE!</v>
      </c>
      <c r="N95" s="461"/>
      <c r="O95" s="461"/>
      <c r="P95" s="182"/>
      <c r="Q95" s="180"/>
      <c r="R95" s="180"/>
      <c r="S95" s="182" t="e">
        <f t="shared" si="90"/>
        <v>#N/A</v>
      </c>
      <c r="T95" s="464"/>
      <c r="U95" s="182"/>
      <c r="V95" s="180"/>
      <c r="W95" s="180"/>
      <c r="X95" s="182" t="e">
        <f t="shared" si="76"/>
        <v>#N/A</v>
      </c>
      <c r="Y95" s="464"/>
      <c r="Z95" s="182"/>
      <c r="AA95" s="180"/>
      <c r="AB95" s="180"/>
      <c r="AC95" s="182" t="e">
        <f t="shared" si="78"/>
        <v>#N/A</v>
      </c>
      <c r="AD95" s="464"/>
      <c r="AE95" s="182"/>
      <c r="AF95" s="180"/>
      <c r="AG95" s="180"/>
      <c r="AH95" s="182" t="e">
        <f t="shared" si="80"/>
        <v>#N/A</v>
      </c>
      <c r="AI95" s="464"/>
      <c r="AJ95" s="182"/>
      <c r="AK95" s="180"/>
      <c r="AL95" s="180"/>
      <c r="AM95" s="182" t="e">
        <f t="shared" si="82"/>
        <v>#N/A</v>
      </c>
      <c r="AN95" s="464"/>
      <c r="AO95" s="182"/>
      <c r="AP95" s="180"/>
      <c r="AQ95" s="180"/>
      <c r="AR95" s="182" t="e">
        <f t="shared" si="84"/>
        <v>#N/A</v>
      </c>
      <c r="AS95" s="464"/>
      <c r="AT95" s="182"/>
      <c r="AU95" s="180"/>
      <c r="AV95" s="180"/>
      <c r="AW95" s="182" t="e">
        <f t="shared" si="86"/>
        <v>#N/A</v>
      </c>
      <c r="AX95" s="455"/>
      <c r="AZ95" s="182" t="e">
        <f t="shared" si="88"/>
        <v>#N/A</v>
      </c>
      <c r="BA95" s="455"/>
    </row>
    <row r="96" spans="2:53">
      <c r="B96" s="454"/>
      <c r="C96" s="182">
        <v>10</v>
      </c>
      <c r="D96" s="203"/>
      <c r="E96" s="166"/>
      <c r="F96" s="182"/>
      <c r="G96" s="180"/>
      <c r="H96" s="464"/>
      <c r="I96" s="166" t="str">
        <f t="shared" si="73"/>
        <v>-</v>
      </c>
      <c r="J96" s="166" t="str">
        <f t="shared" si="74"/>
        <v>-</v>
      </c>
      <c r="K96" s="180" t="str">
        <f t="shared" si="75"/>
        <v>-</v>
      </c>
      <c r="L96" s="464"/>
      <c r="M96" s="181" t="e">
        <f>RANK(K96, K$87:$K$101)</f>
        <v>#VALUE!</v>
      </c>
      <c r="N96" s="461"/>
      <c r="O96" s="461"/>
      <c r="P96" s="182"/>
      <c r="Q96" s="180"/>
      <c r="R96" s="180"/>
      <c r="S96" s="182" t="e">
        <f t="shared" si="90"/>
        <v>#N/A</v>
      </c>
      <c r="T96" s="464"/>
      <c r="U96" s="182"/>
      <c r="V96" s="180"/>
      <c r="W96" s="180"/>
      <c r="X96" s="182" t="e">
        <f t="shared" si="76"/>
        <v>#N/A</v>
      </c>
      <c r="Y96" s="464"/>
      <c r="Z96" s="182"/>
      <c r="AA96" s="180"/>
      <c r="AB96" s="180"/>
      <c r="AC96" s="182" t="e">
        <f t="shared" si="78"/>
        <v>#N/A</v>
      </c>
      <c r="AD96" s="464"/>
      <c r="AE96" s="182"/>
      <c r="AF96" s="180"/>
      <c r="AG96" s="180"/>
      <c r="AH96" s="182" t="e">
        <f t="shared" si="80"/>
        <v>#N/A</v>
      </c>
      <c r="AI96" s="464"/>
      <c r="AJ96" s="182"/>
      <c r="AK96" s="180"/>
      <c r="AL96" s="180"/>
      <c r="AM96" s="182" t="e">
        <f t="shared" si="82"/>
        <v>#N/A</v>
      </c>
      <c r="AN96" s="464"/>
      <c r="AO96" s="182"/>
      <c r="AP96" s="180"/>
      <c r="AQ96" s="180"/>
      <c r="AR96" s="182" t="e">
        <f t="shared" si="84"/>
        <v>#N/A</v>
      </c>
      <c r="AS96" s="464"/>
      <c r="AT96" s="182"/>
      <c r="AU96" s="180"/>
      <c r="AV96" s="180"/>
      <c r="AW96" s="182" t="e">
        <f t="shared" si="86"/>
        <v>#N/A</v>
      </c>
      <c r="AX96" s="455"/>
      <c r="AZ96" s="182" t="e">
        <f t="shared" si="88"/>
        <v>#N/A</v>
      </c>
      <c r="BA96" s="455"/>
    </row>
    <row r="97" spans="2:53">
      <c r="B97" s="454"/>
      <c r="C97" s="182">
        <v>11</v>
      </c>
      <c r="D97" s="203"/>
      <c r="E97" s="166"/>
      <c r="F97" s="182"/>
      <c r="G97" s="180"/>
      <c r="H97" s="464"/>
      <c r="I97" s="166" t="str">
        <f t="shared" si="73"/>
        <v>-</v>
      </c>
      <c r="J97" s="166" t="str">
        <f t="shared" si="74"/>
        <v>-</v>
      </c>
      <c r="K97" s="180" t="str">
        <f t="shared" si="75"/>
        <v>-</v>
      </c>
      <c r="L97" s="464"/>
      <c r="M97" s="181" t="e">
        <f>RANK(K97, K$87:$K$101)</f>
        <v>#VALUE!</v>
      </c>
      <c r="N97" s="461"/>
      <c r="O97" s="461"/>
      <c r="P97" s="182"/>
      <c r="Q97" s="180"/>
      <c r="R97" s="180"/>
      <c r="S97" s="182" t="e">
        <f t="shared" si="90"/>
        <v>#N/A</v>
      </c>
      <c r="T97" s="464"/>
      <c r="U97" s="182"/>
      <c r="V97" s="180"/>
      <c r="W97" s="180"/>
      <c r="X97" s="182" t="e">
        <f t="shared" si="76"/>
        <v>#N/A</v>
      </c>
      <c r="Y97" s="464"/>
      <c r="Z97" s="182"/>
      <c r="AA97" s="180"/>
      <c r="AB97" s="180"/>
      <c r="AC97" s="182" t="e">
        <f t="shared" si="78"/>
        <v>#N/A</v>
      </c>
      <c r="AD97" s="464"/>
      <c r="AE97" s="182"/>
      <c r="AF97" s="180"/>
      <c r="AG97" s="180"/>
      <c r="AH97" s="182" t="e">
        <f t="shared" si="80"/>
        <v>#N/A</v>
      </c>
      <c r="AI97" s="464"/>
      <c r="AJ97" s="182"/>
      <c r="AK97" s="180"/>
      <c r="AL97" s="180"/>
      <c r="AM97" s="182" t="e">
        <f t="shared" si="82"/>
        <v>#N/A</v>
      </c>
      <c r="AN97" s="464"/>
      <c r="AO97" s="182"/>
      <c r="AP97" s="180"/>
      <c r="AQ97" s="180"/>
      <c r="AR97" s="182" t="e">
        <f t="shared" si="84"/>
        <v>#N/A</v>
      </c>
      <c r="AS97" s="464"/>
      <c r="AT97" s="182"/>
      <c r="AU97" s="180"/>
      <c r="AV97" s="180"/>
      <c r="AW97" s="182" t="e">
        <f t="shared" si="86"/>
        <v>#N/A</v>
      </c>
      <c r="AX97" s="455"/>
      <c r="AZ97" s="182" t="e">
        <f t="shared" si="88"/>
        <v>#N/A</v>
      </c>
      <c r="BA97" s="455"/>
    </row>
    <row r="98" spans="2:53">
      <c r="B98" s="454"/>
      <c r="C98" s="182">
        <v>12</v>
      </c>
      <c r="D98" s="203"/>
      <c r="E98" s="166"/>
      <c r="F98" s="182"/>
      <c r="G98" s="180"/>
      <c r="H98" s="464"/>
      <c r="I98" s="166" t="str">
        <f t="shared" si="73"/>
        <v>-</v>
      </c>
      <c r="J98" s="166" t="str">
        <f t="shared" si="74"/>
        <v>-</v>
      </c>
      <c r="K98" s="180" t="str">
        <f t="shared" si="75"/>
        <v>-</v>
      </c>
      <c r="L98" s="464"/>
      <c r="M98" s="181" t="e">
        <f>RANK(K98, K$87:$K$101)</f>
        <v>#VALUE!</v>
      </c>
      <c r="N98" s="461"/>
      <c r="O98" s="461"/>
      <c r="P98" s="182"/>
      <c r="Q98" s="180"/>
      <c r="R98" s="180"/>
      <c r="S98" s="182" t="e">
        <f t="shared" si="90"/>
        <v>#N/A</v>
      </c>
      <c r="T98" s="464"/>
      <c r="U98" s="182"/>
      <c r="V98" s="180"/>
      <c r="W98" s="180"/>
      <c r="X98" s="182" t="e">
        <f t="shared" si="76"/>
        <v>#N/A</v>
      </c>
      <c r="Y98" s="464"/>
      <c r="Z98" s="182"/>
      <c r="AA98" s="180"/>
      <c r="AB98" s="180"/>
      <c r="AC98" s="182" t="e">
        <f t="shared" si="78"/>
        <v>#N/A</v>
      </c>
      <c r="AD98" s="464"/>
      <c r="AE98" s="182"/>
      <c r="AF98" s="180"/>
      <c r="AG98" s="180"/>
      <c r="AH98" s="182" t="e">
        <f t="shared" si="80"/>
        <v>#N/A</v>
      </c>
      <c r="AI98" s="464"/>
      <c r="AJ98" s="182"/>
      <c r="AK98" s="180"/>
      <c r="AL98" s="180"/>
      <c r="AM98" s="182" t="e">
        <f t="shared" si="82"/>
        <v>#N/A</v>
      </c>
      <c r="AN98" s="464"/>
      <c r="AO98" s="182"/>
      <c r="AP98" s="180"/>
      <c r="AQ98" s="180"/>
      <c r="AR98" s="182" t="e">
        <f t="shared" si="84"/>
        <v>#N/A</v>
      </c>
      <c r="AS98" s="464"/>
      <c r="AT98" s="182"/>
      <c r="AU98" s="180"/>
      <c r="AV98" s="180"/>
      <c r="AW98" s="182" t="e">
        <f t="shared" si="86"/>
        <v>#N/A</v>
      </c>
      <c r="AX98" s="455"/>
      <c r="AZ98" s="182" t="e">
        <f t="shared" si="88"/>
        <v>#N/A</v>
      </c>
      <c r="BA98" s="455"/>
    </row>
    <row r="99" spans="2:53">
      <c r="B99" s="454"/>
      <c r="C99" s="182">
        <v>13</v>
      </c>
      <c r="D99" s="203"/>
      <c r="E99" s="166"/>
      <c r="F99" s="182"/>
      <c r="G99" s="180"/>
      <c r="H99" s="464"/>
      <c r="I99" s="166" t="str">
        <f t="shared" si="73"/>
        <v>-</v>
      </c>
      <c r="J99" s="166" t="str">
        <f t="shared" si="74"/>
        <v>-</v>
      </c>
      <c r="K99" s="180" t="str">
        <f t="shared" si="75"/>
        <v>-</v>
      </c>
      <c r="L99" s="464"/>
      <c r="M99" s="181" t="e">
        <f>RANK(K99, K$87:$K$101)</f>
        <v>#VALUE!</v>
      </c>
      <c r="N99" s="461"/>
      <c r="O99" s="461"/>
      <c r="P99" s="182"/>
      <c r="Q99" s="180"/>
      <c r="R99" s="180"/>
      <c r="S99" s="182" t="e">
        <f t="shared" si="90"/>
        <v>#N/A</v>
      </c>
      <c r="T99" s="464"/>
      <c r="U99" s="182"/>
      <c r="V99" s="180"/>
      <c r="W99" s="180"/>
      <c r="X99" s="182" t="e">
        <f t="shared" si="76"/>
        <v>#N/A</v>
      </c>
      <c r="Y99" s="464"/>
      <c r="Z99" s="182"/>
      <c r="AA99" s="180"/>
      <c r="AB99" s="180"/>
      <c r="AC99" s="182" t="e">
        <f t="shared" si="78"/>
        <v>#N/A</v>
      </c>
      <c r="AD99" s="464"/>
      <c r="AE99" s="182"/>
      <c r="AF99" s="180"/>
      <c r="AG99" s="180"/>
      <c r="AH99" s="182" t="e">
        <f t="shared" si="80"/>
        <v>#N/A</v>
      </c>
      <c r="AI99" s="464"/>
      <c r="AJ99" s="182"/>
      <c r="AK99" s="180"/>
      <c r="AL99" s="180"/>
      <c r="AM99" s="182" t="e">
        <f t="shared" si="82"/>
        <v>#N/A</v>
      </c>
      <c r="AN99" s="464"/>
      <c r="AO99" s="182"/>
      <c r="AP99" s="180"/>
      <c r="AQ99" s="180"/>
      <c r="AR99" s="182" t="e">
        <f t="shared" si="84"/>
        <v>#N/A</v>
      </c>
      <c r="AS99" s="464"/>
      <c r="AT99" s="182"/>
      <c r="AU99" s="180"/>
      <c r="AV99" s="180"/>
      <c r="AW99" s="182" t="e">
        <f t="shared" si="86"/>
        <v>#N/A</v>
      </c>
      <c r="AX99" s="455"/>
      <c r="AZ99" s="182" t="e">
        <f t="shared" si="88"/>
        <v>#N/A</v>
      </c>
      <c r="BA99" s="455"/>
    </row>
    <row r="100" spans="2:53">
      <c r="B100" s="454"/>
      <c r="C100" s="182">
        <v>14</v>
      </c>
      <c r="D100" s="203"/>
      <c r="E100" s="166"/>
      <c r="F100" s="182"/>
      <c r="G100" s="180"/>
      <c r="H100" s="464"/>
      <c r="I100" s="166" t="str">
        <f t="shared" si="73"/>
        <v>-</v>
      </c>
      <c r="J100" s="166" t="str">
        <f t="shared" si="74"/>
        <v>-</v>
      </c>
      <c r="K100" s="180" t="str">
        <f t="shared" si="75"/>
        <v>-</v>
      </c>
      <c r="L100" s="464"/>
      <c r="M100" s="181" t="e">
        <f>RANK(K100, K$87:$K$101)</f>
        <v>#VALUE!</v>
      </c>
      <c r="N100" s="461"/>
      <c r="O100" s="461"/>
      <c r="P100" s="182"/>
      <c r="Q100" s="180"/>
      <c r="R100" s="180"/>
      <c r="S100" s="182" t="e">
        <f t="shared" si="90"/>
        <v>#N/A</v>
      </c>
      <c r="T100" s="464"/>
      <c r="U100" s="182"/>
      <c r="V100" s="180"/>
      <c r="W100" s="180"/>
      <c r="X100" s="182" t="e">
        <f t="shared" si="76"/>
        <v>#N/A</v>
      </c>
      <c r="Y100" s="464"/>
      <c r="Z100" s="182"/>
      <c r="AA100" s="180"/>
      <c r="AB100" s="180"/>
      <c r="AC100" s="182" t="e">
        <f t="shared" si="78"/>
        <v>#N/A</v>
      </c>
      <c r="AD100" s="464"/>
      <c r="AE100" s="182"/>
      <c r="AF100" s="180"/>
      <c r="AG100" s="180"/>
      <c r="AH100" s="182" t="e">
        <f t="shared" si="80"/>
        <v>#N/A</v>
      </c>
      <c r="AI100" s="464"/>
      <c r="AJ100" s="182"/>
      <c r="AK100" s="180"/>
      <c r="AL100" s="180"/>
      <c r="AM100" s="182" t="e">
        <f t="shared" si="82"/>
        <v>#N/A</v>
      </c>
      <c r="AN100" s="464"/>
      <c r="AO100" s="182"/>
      <c r="AP100" s="180"/>
      <c r="AQ100" s="180"/>
      <c r="AR100" s="182" t="e">
        <f t="shared" si="84"/>
        <v>#N/A</v>
      </c>
      <c r="AS100" s="464"/>
      <c r="AT100" s="182"/>
      <c r="AU100" s="180"/>
      <c r="AV100" s="180"/>
      <c r="AW100" s="182" t="e">
        <f t="shared" si="86"/>
        <v>#N/A</v>
      </c>
      <c r="AX100" s="455"/>
      <c r="AZ100" s="182" t="e">
        <f t="shared" si="88"/>
        <v>#N/A</v>
      </c>
      <c r="BA100" s="455"/>
    </row>
    <row r="101" spans="2:53">
      <c r="B101" s="454"/>
      <c r="C101" s="182">
        <v>15</v>
      </c>
      <c r="D101" s="203"/>
      <c r="E101" s="166"/>
      <c r="F101" s="182"/>
      <c r="G101" s="180"/>
      <c r="H101" s="465"/>
      <c r="I101" s="182"/>
      <c r="J101" s="182"/>
      <c r="K101" s="182"/>
      <c r="L101" s="465"/>
      <c r="M101" s="166" t="e">
        <f>RANK(K101, K$87:$K$101)</f>
        <v>#N/A</v>
      </c>
      <c r="N101" s="461"/>
      <c r="O101" s="461"/>
      <c r="P101" s="182"/>
      <c r="Q101" s="180"/>
      <c r="R101" s="180"/>
      <c r="S101" s="182" t="e">
        <f t="shared" si="90"/>
        <v>#N/A</v>
      </c>
      <c r="T101" s="465"/>
      <c r="U101" s="182"/>
      <c r="V101" s="180"/>
      <c r="W101" s="180"/>
      <c r="X101" s="182" t="e">
        <f t="shared" si="76"/>
        <v>#N/A</v>
      </c>
      <c r="Y101" s="465"/>
      <c r="Z101" s="182"/>
      <c r="AA101" s="180"/>
      <c r="AB101" s="180"/>
      <c r="AC101" s="182" t="e">
        <f t="shared" si="78"/>
        <v>#N/A</v>
      </c>
      <c r="AD101" s="465"/>
      <c r="AE101" s="182"/>
      <c r="AF101" s="180"/>
      <c r="AG101" s="180"/>
      <c r="AH101" s="182" t="e">
        <f t="shared" si="80"/>
        <v>#N/A</v>
      </c>
      <c r="AI101" s="465"/>
      <c r="AJ101" s="182"/>
      <c r="AK101" s="180"/>
      <c r="AL101" s="180"/>
      <c r="AM101" s="182" t="e">
        <f t="shared" si="82"/>
        <v>#N/A</v>
      </c>
      <c r="AN101" s="465"/>
      <c r="AO101" s="182"/>
      <c r="AP101" s="180"/>
      <c r="AQ101" s="180"/>
      <c r="AR101" s="182" t="e">
        <f t="shared" si="84"/>
        <v>#N/A</v>
      </c>
      <c r="AS101" s="465"/>
      <c r="AT101" s="182"/>
      <c r="AU101" s="180"/>
      <c r="AV101" s="180"/>
      <c r="AW101" s="182" t="e">
        <f t="shared" si="86"/>
        <v>#N/A</v>
      </c>
      <c r="AX101" s="455"/>
      <c r="AZ101" s="182" t="e">
        <f t="shared" si="88"/>
        <v>#N/A</v>
      </c>
      <c r="BA101" s="455"/>
    </row>
    <row r="102" spans="2:53" ht="15.5">
      <c r="B102" s="477" t="s">
        <v>163</v>
      </c>
      <c r="C102" s="478"/>
      <c r="D102" s="478"/>
      <c r="E102" s="478"/>
      <c r="F102" s="478"/>
      <c r="G102" s="478"/>
      <c r="H102" s="478"/>
      <c r="I102" s="186"/>
      <c r="J102" s="186"/>
      <c r="K102" s="186"/>
      <c r="L102" s="186"/>
      <c r="M102" s="185"/>
      <c r="N102" s="480" t="s">
        <v>156</v>
      </c>
      <c r="O102" s="480" t="s">
        <v>105</v>
      </c>
      <c r="P102" s="476">
        <f>P82+7</f>
        <v>46147</v>
      </c>
      <c r="Q102" s="454"/>
      <c r="R102" s="454"/>
      <c r="S102" s="454"/>
      <c r="T102" s="454"/>
      <c r="U102" s="473">
        <f>P102+1</f>
        <v>46148</v>
      </c>
      <c r="V102" s="474"/>
      <c r="W102" s="474"/>
      <c r="X102" s="474"/>
      <c r="Y102" s="475"/>
      <c r="Z102" s="473">
        <f>U102+1</f>
        <v>46149</v>
      </c>
      <c r="AA102" s="474"/>
      <c r="AB102" s="474"/>
      <c r="AC102" s="474"/>
      <c r="AD102" s="475"/>
      <c r="AE102" s="473">
        <f>Z102+1</f>
        <v>46150</v>
      </c>
      <c r="AF102" s="474"/>
      <c r="AG102" s="474"/>
      <c r="AH102" s="474"/>
      <c r="AI102" s="475"/>
      <c r="AJ102" s="473">
        <f>AE102+1</f>
        <v>46151</v>
      </c>
      <c r="AK102" s="474"/>
      <c r="AL102" s="474"/>
      <c r="AM102" s="474"/>
      <c r="AN102" s="475"/>
      <c r="AO102" s="473">
        <f>AJ102+1</f>
        <v>46152</v>
      </c>
      <c r="AP102" s="474"/>
      <c r="AQ102" s="474"/>
      <c r="AR102" s="474"/>
      <c r="AS102" s="475"/>
      <c r="AT102" s="473">
        <f>AO102+1</f>
        <v>46153</v>
      </c>
      <c r="AU102" s="474"/>
      <c r="AV102" s="474"/>
      <c r="AW102" s="474"/>
      <c r="AX102" s="475"/>
    </row>
    <row r="103" spans="2:53" ht="15.5">
      <c r="B103" s="479"/>
      <c r="C103" s="479"/>
      <c r="D103" s="479"/>
      <c r="E103" s="479"/>
      <c r="F103" s="479"/>
      <c r="G103" s="479"/>
      <c r="H103" s="479"/>
      <c r="I103" s="184"/>
      <c r="J103" s="184"/>
      <c r="K103" s="184"/>
      <c r="L103" s="184"/>
      <c r="M103" s="179"/>
      <c r="N103" s="481"/>
      <c r="O103" s="481"/>
      <c r="P103" s="476" t="s">
        <v>158</v>
      </c>
      <c r="Q103" s="454"/>
      <c r="R103" s="454"/>
      <c r="S103" s="454"/>
      <c r="T103" s="454"/>
      <c r="U103" s="476" t="s">
        <v>114</v>
      </c>
      <c r="V103" s="454"/>
      <c r="W103" s="454"/>
      <c r="X103" s="454"/>
      <c r="Y103" s="454"/>
      <c r="Z103" s="476" t="s">
        <v>159</v>
      </c>
      <c r="AA103" s="454"/>
      <c r="AB103" s="454"/>
      <c r="AC103" s="454"/>
      <c r="AD103" s="454"/>
      <c r="AE103" s="476" t="s">
        <v>157</v>
      </c>
      <c r="AF103" s="454"/>
      <c r="AG103" s="454"/>
      <c r="AH103" s="454"/>
      <c r="AI103" s="454"/>
      <c r="AJ103" s="476" t="s">
        <v>160</v>
      </c>
      <c r="AK103" s="454"/>
      <c r="AL103" s="454"/>
      <c r="AM103" s="454"/>
      <c r="AN103" s="454"/>
      <c r="AO103" s="476" t="s">
        <v>115</v>
      </c>
      <c r="AP103" s="454"/>
      <c r="AQ103" s="454"/>
      <c r="AR103" s="454"/>
      <c r="AS103" s="454"/>
      <c r="AT103" s="476" t="s">
        <v>162</v>
      </c>
      <c r="AU103" s="454"/>
      <c r="AV103" s="454"/>
      <c r="AW103" s="454"/>
      <c r="AX103" s="454"/>
    </row>
    <row r="104" spans="2:53">
      <c r="B104" s="461" t="s">
        <v>154</v>
      </c>
      <c r="C104" s="461" t="s">
        <v>409</v>
      </c>
      <c r="D104" s="461"/>
      <c r="E104" s="461" t="s">
        <v>400</v>
      </c>
      <c r="F104" s="461"/>
      <c r="G104" s="461"/>
      <c r="H104" s="482" t="s">
        <v>396</v>
      </c>
      <c r="I104" s="461" t="s">
        <v>401</v>
      </c>
      <c r="J104" s="461"/>
      <c r="K104" s="461"/>
      <c r="L104" s="482" t="s">
        <v>396</v>
      </c>
      <c r="M104" s="480" t="s">
        <v>397</v>
      </c>
      <c r="N104" s="461"/>
      <c r="O104" s="461" t="s">
        <v>402</v>
      </c>
      <c r="P104" s="466" t="s">
        <v>398</v>
      </c>
      <c r="Q104" s="467"/>
      <c r="R104" s="467"/>
      <c r="S104" s="468"/>
      <c r="T104" s="461" t="s">
        <v>396</v>
      </c>
      <c r="U104" s="466" t="s">
        <v>398</v>
      </c>
      <c r="V104" s="467"/>
      <c r="W104" s="467"/>
      <c r="X104" s="468"/>
      <c r="Y104" s="461" t="s">
        <v>396</v>
      </c>
      <c r="Z104" s="466" t="s">
        <v>398</v>
      </c>
      <c r="AA104" s="467"/>
      <c r="AB104" s="467"/>
      <c r="AC104" s="468"/>
      <c r="AD104" s="461" t="s">
        <v>396</v>
      </c>
      <c r="AE104" s="466" t="s">
        <v>398</v>
      </c>
      <c r="AF104" s="467"/>
      <c r="AG104" s="467"/>
      <c r="AH104" s="468"/>
      <c r="AI104" s="461" t="s">
        <v>396</v>
      </c>
      <c r="AJ104" s="466" t="s">
        <v>398</v>
      </c>
      <c r="AK104" s="467"/>
      <c r="AL104" s="467"/>
      <c r="AM104" s="468"/>
      <c r="AN104" s="461" t="s">
        <v>396</v>
      </c>
      <c r="AO104" s="466" t="s">
        <v>398</v>
      </c>
      <c r="AP104" s="467"/>
      <c r="AQ104" s="467"/>
      <c r="AR104" s="468"/>
      <c r="AS104" s="461" t="s">
        <v>396</v>
      </c>
      <c r="AT104" s="466" t="s">
        <v>398</v>
      </c>
      <c r="AU104" s="467"/>
      <c r="AV104" s="467"/>
      <c r="AW104" s="468"/>
      <c r="AX104" s="461" t="s">
        <v>396</v>
      </c>
      <c r="BA104" s="461" t="s">
        <v>396</v>
      </c>
    </row>
    <row r="105" spans="2:53">
      <c r="B105" s="461"/>
      <c r="C105" s="461"/>
      <c r="D105" s="461"/>
      <c r="E105" s="461" t="s">
        <v>403</v>
      </c>
      <c r="F105" s="461"/>
      <c r="G105" s="461"/>
      <c r="H105" s="483"/>
      <c r="I105" s="461" t="s">
        <v>403</v>
      </c>
      <c r="J105" s="461"/>
      <c r="K105" s="461"/>
      <c r="L105" s="483"/>
      <c r="M105" s="485"/>
      <c r="N105" s="461"/>
      <c r="O105" s="461"/>
      <c r="P105" s="466" t="s">
        <v>404</v>
      </c>
      <c r="Q105" s="467"/>
      <c r="R105" s="467"/>
      <c r="S105" s="468"/>
      <c r="T105" s="461"/>
      <c r="U105" s="466" t="s">
        <v>404</v>
      </c>
      <c r="V105" s="467"/>
      <c r="W105" s="467"/>
      <c r="X105" s="468"/>
      <c r="Y105" s="461"/>
      <c r="Z105" s="466" t="s">
        <v>404</v>
      </c>
      <c r="AA105" s="467"/>
      <c r="AB105" s="467"/>
      <c r="AC105" s="468"/>
      <c r="AD105" s="461"/>
      <c r="AE105" s="466" t="s">
        <v>404</v>
      </c>
      <c r="AF105" s="467"/>
      <c r="AG105" s="467"/>
      <c r="AH105" s="468"/>
      <c r="AI105" s="461"/>
      <c r="AJ105" s="466" t="s">
        <v>404</v>
      </c>
      <c r="AK105" s="467"/>
      <c r="AL105" s="467"/>
      <c r="AM105" s="468"/>
      <c r="AN105" s="461"/>
      <c r="AO105" s="466" t="s">
        <v>404</v>
      </c>
      <c r="AP105" s="467"/>
      <c r="AQ105" s="467"/>
      <c r="AR105" s="468"/>
      <c r="AS105" s="461"/>
      <c r="AT105" s="466" t="s">
        <v>404</v>
      </c>
      <c r="AU105" s="467"/>
      <c r="AV105" s="467"/>
      <c r="AW105" s="468"/>
      <c r="AX105" s="461"/>
      <c r="BA105" s="461"/>
    </row>
    <row r="106" spans="2:53">
      <c r="B106" s="461"/>
      <c r="C106" s="461"/>
      <c r="D106" s="461"/>
      <c r="E106" s="269" t="s">
        <v>405</v>
      </c>
      <c r="F106" s="269" t="s">
        <v>406</v>
      </c>
      <c r="G106" s="269" t="s">
        <v>407</v>
      </c>
      <c r="H106" s="484"/>
      <c r="I106" s="269" t="s">
        <v>405</v>
      </c>
      <c r="J106" s="269" t="s">
        <v>406</v>
      </c>
      <c r="K106" s="269" t="s">
        <v>407</v>
      </c>
      <c r="L106" s="484"/>
      <c r="M106" s="481"/>
      <c r="N106" s="461"/>
      <c r="O106" s="461"/>
      <c r="P106" s="269" t="s">
        <v>405</v>
      </c>
      <c r="Q106" s="269" t="s">
        <v>406</v>
      </c>
      <c r="R106" s="269" t="s">
        <v>407</v>
      </c>
      <c r="S106" s="269" t="s">
        <v>397</v>
      </c>
      <c r="T106" s="461"/>
      <c r="U106" s="269" t="s">
        <v>405</v>
      </c>
      <c r="V106" s="269" t="s">
        <v>406</v>
      </c>
      <c r="W106" s="269" t="s">
        <v>407</v>
      </c>
      <c r="X106" s="269" t="s">
        <v>397</v>
      </c>
      <c r="Y106" s="461"/>
      <c r="Z106" s="269" t="s">
        <v>405</v>
      </c>
      <c r="AA106" s="269" t="s">
        <v>406</v>
      </c>
      <c r="AB106" s="269" t="s">
        <v>407</v>
      </c>
      <c r="AC106" s="269" t="s">
        <v>397</v>
      </c>
      <c r="AD106" s="461"/>
      <c r="AE106" s="269" t="s">
        <v>405</v>
      </c>
      <c r="AF106" s="269" t="s">
        <v>406</v>
      </c>
      <c r="AG106" s="269" t="s">
        <v>407</v>
      </c>
      <c r="AH106" s="269" t="s">
        <v>397</v>
      </c>
      <c r="AI106" s="461"/>
      <c r="AJ106" s="269" t="s">
        <v>405</v>
      </c>
      <c r="AK106" s="269" t="s">
        <v>406</v>
      </c>
      <c r="AL106" s="269" t="s">
        <v>407</v>
      </c>
      <c r="AM106" s="269" t="s">
        <v>397</v>
      </c>
      <c r="AN106" s="461"/>
      <c r="AO106" s="269" t="s">
        <v>405</v>
      </c>
      <c r="AP106" s="269" t="s">
        <v>406</v>
      </c>
      <c r="AQ106" s="269" t="s">
        <v>407</v>
      </c>
      <c r="AR106" s="269" t="s">
        <v>397</v>
      </c>
      <c r="AS106" s="461"/>
      <c r="AT106" s="269" t="s">
        <v>405</v>
      </c>
      <c r="AU106" s="269" t="s">
        <v>406</v>
      </c>
      <c r="AV106" s="269" t="s">
        <v>407</v>
      </c>
      <c r="AW106" s="269" t="s">
        <v>397</v>
      </c>
      <c r="AX106" s="461"/>
      <c r="AZ106" s="269" t="s">
        <v>397</v>
      </c>
      <c r="BA106" s="461"/>
    </row>
    <row r="107" spans="2:53">
      <c r="B107" s="461" t="s">
        <v>132</v>
      </c>
      <c r="C107" s="182">
        <v>1</v>
      </c>
      <c r="D107" s="203"/>
      <c r="E107" s="166"/>
      <c r="F107" s="182"/>
      <c r="G107" s="180"/>
      <c r="H107" s="463" t="e">
        <f>AVERAGE(G107:G121)</f>
        <v>#DIV/0!</v>
      </c>
      <c r="I107" s="166" t="str">
        <f t="shared" ref="I107:I120" si="91">IFERROR(AVERAGE(P107,U107,Z107,AE107,AJ107,AO107,AT107),"-")</f>
        <v>-</v>
      </c>
      <c r="J107" s="166" t="str">
        <f t="shared" ref="J107:J120" si="92">IFERROR(AVERAGE(Q107,V107,AA107,AF107,AK107,AP107,AU107),"-")</f>
        <v>-</v>
      </c>
      <c r="K107" s="180" t="str">
        <f t="shared" ref="K107:K120" si="93">IFERROR(AVERAGE(R107,W107,AB107,AG107,AL107,AQ107,AV107),"-")</f>
        <v>-</v>
      </c>
      <c r="L107" s="463" t="str">
        <f>IFERROR(AVERAGE(K107:K121),"-")</f>
        <v>-</v>
      </c>
      <c r="M107" s="181" t="e">
        <f>RANK(K107, K$107:$K$121)</f>
        <v>#VALUE!</v>
      </c>
      <c r="N107" s="461"/>
      <c r="O107" s="461"/>
      <c r="P107" s="166"/>
      <c r="Q107" s="180"/>
      <c r="R107" s="180"/>
      <c r="S107" s="182" t="e">
        <f>RANK(R107, R$107:R$121)</f>
        <v>#N/A</v>
      </c>
      <c r="T107" s="463" t="e">
        <f>AVERAGE(R107:R121)</f>
        <v>#DIV/0!</v>
      </c>
      <c r="U107" s="166"/>
      <c r="V107" s="180"/>
      <c r="W107" s="180"/>
      <c r="X107" s="182" t="e">
        <f>RANK(W107, W$107:W$121)</f>
        <v>#N/A</v>
      </c>
      <c r="Y107" s="463" t="e">
        <f>AVERAGE(W107:W121)</f>
        <v>#DIV/0!</v>
      </c>
      <c r="Z107" s="166"/>
      <c r="AA107" s="180"/>
      <c r="AB107" s="180"/>
      <c r="AC107" s="182" t="e">
        <f>RANK(AB107, AB$107:AB$121)</f>
        <v>#N/A</v>
      </c>
      <c r="AD107" s="463" t="e">
        <f>AVERAGE(AB107:AB121)</f>
        <v>#DIV/0!</v>
      </c>
      <c r="AE107" s="166"/>
      <c r="AF107" s="180"/>
      <c r="AG107" s="180"/>
      <c r="AH107" s="182" t="e">
        <f>RANK(AG107, AG$107:AG$121)</f>
        <v>#N/A</v>
      </c>
      <c r="AI107" s="463" t="e">
        <f>AVERAGE(AG107:AG121)</f>
        <v>#DIV/0!</v>
      </c>
      <c r="AJ107" s="166"/>
      <c r="AK107" s="180"/>
      <c r="AL107" s="180"/>
      <c r="AM107" s="182" t="e">
        <f>RANK(AL107, AL$107:AL$121)</f>
        <v>#N/A</v>
      </c>
      <c r="AN107" s="463" t="e">
        <f>AVERAGE(AL107:AL121)</f>
        <v>#DIV/0!</v>
      </c>
      <c r="AO107" s="166"/>
      <c r="AP107" s="180"/>
      <c r="AQ107" s="180"/>
      <c r="AR107" s="182" t="e">
        <f>RANK(AQ107, AQ$107:AQ$121)</f>
        <v>#N/A</v>
      </c>
      <c r="AS107" s="463" t="e">
        <f>AVERAGE(AQ107:AQ121)</f>
        <v>#DIV/0!</v>
      </c>
      <c r="AT107" s="166"/>
      <c r="AU107" s="180"/>
      <c r="AV107" s="180"/>
      <c r="AW107" s="182" t="e">
        <f>RANK(AV107, AV$107:AV$121)</f>
        <v>#N/A</v>
      </c>
      <c r="AX107" s="455" t="e">
        <f>AVERAGE(AV107:AV121)</f>
        <v>#DIV/0!</v>
      </c>
      <c r="AZ107" s="182" t="e">
        <f>RANK(AY107, AY$107:AY$121)</f>
        <v>#N/A</v>
      </c>
      <c r="BA107" s="455" t="e">
        <f>AVERAGE(AY107:AY121)</f>
        <v>#DIV/0!</v>
      </c>
    </row>
    <row r="108" spans="2:53">
      <c r="B108" s="454"/>
      <c r="C108" s="182">
        <v>2</v>
      </c>
      <c r="D108" s="203"/>
      <c r="E108" s="166"/>
      <c r="F108" s="182"/>
      <c r="G108" s="180"/>
      <c r="H108" s="464"/>
      <c r="I108" s="166" t="str">
        <f t="shared" si="91"/>
        <v>-</v>
      </c>
      <c r="J108" s="166" t="str">
        <f t="shared" si="92"/>
        <v>-</v>
      </c>
      <c r="K108" s="180" t="str">
        <f t="shared" si="93"/>
        <v>-</v>
      </c>
      <c r="L108" s="464"/>
      <c r="M108" s="181" t="e">
        <f>RANK(K108, K$107:$K$121)</f>
        <v>#VALUE!</v>
      </c>
      <c r="N108" s="461"/>
      <c r="O108" s="461"/>
      <c r="P108" s="182"/>
      <c r="Q108" s="180"/>
      <c r="R108" s="180"/>
      <c r="S108" s="182" t="e">
        <f t="shared" ref="S108:S121" si="94">RANK(R108, R$107:R$121)</f>
        <v>#N/A</v>
      </c>
      <c r="T108" s="464"/>
      <c r="U108" s="182"/>
      <c r="V108" s="180"/>
      <c r="W108" s="180"/>
      <c r="X108" s="182" t="e">
        <f t="shared" ref="X108:X121" si="95">RANK(W108, W$107:W$121)</f>
        <v>#N/A</v>
      </c>
      <c r="Y108" s="464"/>
      <c r="Z108" s="182"/>
      <c r="AA108" s="180"/>
      <c r="AB108" s="180"/>
      <c r="AC108" s="182" t="e">
        <f t="shared" ref="AC108:AC121" si="96">RANK(AB108, AB$107:AB$121)</f>
        <v>#N/A</v>
      </c>
      <c r="AD108" s="464"/>
      <c r="AE108" s="182"/>
      <c r="AF108" s="180"/>
      <c r="AG108" s="180"/>
      <c r="AH108" s="182" t="e">
        <f t="shared" ref="AH108:AH121" si="97">RANK(AG108, AG$107:AG$121)</f>
        <v>#N/A</v>
      </c>
      <c r="AI108" s="464"/>
      <c r="AJ108" s="182"/>
      <c r="AK108" s="180"/>
      <c r="AL108" s="180"/>
      <c r="AM108" s="182" t="e">
        <f t="shared" ref="AM108:AM121" si="98">RANK(AL108, AL$107:AL$121)</f>
        <v>#N/A</v>
      </c>
      <c r="AN108" s="464"/>
      <c r="AO108" s="182"/>
      <c r="AP108" s="180"/>
      <c r="AQ108" s="180"/>
      <c r="AR108" s="182" t="e">
        <f t="shared" ref="AR108:AR121" si="99">RANK(AQ108, AQ$107:AQ$121)</f>
        <v>#N/A</v>
      </c>
      <c r="AS108" s="464"/>
      <c r="AT108" s="182"/>
      <c r="AU108" s="180"/>
      <c r="AV108" s="180"/>
      <c r="AW108" s="182" t="e">
        <f t="shared" ref="AW108:AW121" si="100">RANK(AV108, AV$107:AV$121)</f>
        <v>#N/A</v>
      </c>
      <c r="AX108" s="455"/>
      <c r="AZ108" s="182" t="e">
        <f t="shared" ref="AZ108:AZ121" si="101">RANK(AY108, AY$107:AY$121)</f>
        <v>#N/A</v>
      </c>
      <c r="BA108" s="455"/>
    </row>
    <row r="109" spans="2:53">
      <c r="B109" s="454"/>
      <c r="C109" s="182">
        <v>3</v>
      </c>
      <c r="D109" s="203"/>
      <c r="E109" s="166"/>
      <c r="F109" s="182"/>
      <c r="G109" s="180"/>
      <c r="H109" s="464"/>
      <c r="I109" s="166" t="str">
        <f t="shared" si="91"/>
        <v>-</v>
      </c>
      <c r="J109" s="166" t="str">
        <f t="shared" si="92"/>
        <v>-</v>
      </c>
      <c r="K109" s="180" t="str">
        <f t="shared" si="93"/>
        <v>-</v>
      </c>
      <c r="L109" s="464"/>
      <c r="M109" s="181" t="e">
        <f>RANK(K109, K$107:$K$121)</f>
        <v>#VALUE!</v>
      </c>
      <c r="N109" s="461"/>
      <c r="O109" s="461"/>
      <c r="P109" s="182"/>
      <c r="Q109" s="180"/>
      <c r="R109" s="180"/>
      <c r="S109" s="182" t="e">
        <f t="shared" si="94"/>
        <v>#N/A</v>
      </c>
      <c r="T109" s="464"/>
      <c r="U109" s="182"/>
      <c r="V109" s="180"/>
      <c r="W109" s="180"/>
      <c r="X109" s="182" t="e">
        <f t="shared" si="95"/>
        <v>#N/A</v>
      </c>
      <c r="Y109" s="464"/>
      <c r="Z109" s="182"/>
      <c r="AA109" s="180"/>
      <c r="AB109" s="180"/>
      <c r="AC109" s="182" t="e">
        <f t="shared" si="96"/>
        <v>#N/A</v>
      </c>
      <c r="AD109" s="464"/>
      <c r="AE109" s="182"/>
      <c r="AF109" s="180"/>
      <c r="AG109" s="180"/>
      <c r="AH109" s="182" t="e">
        <f t="shared" si="97"/>
        <v>#N/A</v>
      </c>
      <c r="AI109" s="464"/>
      <c r="AJ109" s="182"/>
      <c r="AK109" s="180"/>
      <c r="AL109" s="180"/>
      <c r="AM109" s="182" t="e">
        <f t="shared" si="98"/>
        <v>#N/A</v>
      </c>
      <c r="AN109" s="464"/>
      <c r="AO109" s="182"/>
      <c r="AP109" s="180"/>
      <c r="AQ109" s="180"/>
      <c r="AR109" s="182" t="e">
        <f t="shared" si="99"/>
        <v>#N/A</v>
      </c>
      <c r="AS109" s="464"/>
      <c r="AT109" s="182"/>
      <c r="AU109" s="180"/>
      <c r="AV109" s="180"/>
      <c r="AW109" s="182" t="e">
        <f t="shared" si="100"/>
        <v>#N/A</v>
      </c>
      <c r="AX109" s="455"/>
      <c r="AZ109" s="182" t="e">
        <f t="shared" si="101"/>
        <v>#N/A</v>
      </c>
      <c r="BA109" s="455"/>
    </row>
    <row r="110" spans="2:53">
      <c r="B110" s="454"/>
      <c r="C110" s="182">
        <v>4</v>
      </c>
      <c r="D110" s="203"/>
      <c r="E110" s="166"/>
      <c r="F110" s="182"/>
      <c r="G110" s="180"/>
      <c r="H110" s="464"/>
      <c r="I110" s="166" t="str">
        <f t="shared" si="91"/>
        <v>-</v>
      </c>
      <c r="J110" s="166" t="str">
        <f t="shared" si="92"/>
        <v>-</v>
      </c>
      <c r="K110" s="180" t="str">
        <f t="shared" si="93"/>
        <v>-</v>
      </c>
      <c r="L110" s="464"/>
      <c r="M110" s="181" t="e">
        <f>RANK(K110, K$107:$K$121)</f>
        <v>#VALUE!</v>
      </c>
      <c r="N110" s="461"/>
      <c r="O110" s="461"/>
      <c r="P110" s="182"/>
      <c r="Q110" s="180"/>
      <c r="R110" s="180"/>
      <c r="S110" s="182" t="e">
        <f t="shared" si="94"/>
        <v>#N/A</v>
      </c>
      <c r="T110" s="464"/>
      <c r="U110" s="182"/>
      <c r="V110" s="180"/>
      <c r="W110" s="180"/>
      <c r="X110" s="182" t="e">
        <f t="shared" si="95"/>
        <v>#N/A</v>
      </c>
      <c r="Y110" s="464"/>
      <c r="Z110" s="182"/>
      <c r="AA110" s="180"/>
      <c r="AB110" s="180"/>
      <c r="AC110" s="182" t="e">
        <f t="shared" si="96"/>
        <v>#N/A</v>
      </c>
      <c r="AD110" s="464"/>
      <c r="AE110" s="182"/>
      <c r="AF110" s="180"/>
      <c r="AG110" s="180"/>
      <c r="AH110" s="182" t="e">
        <f t="shared" si="97"/>
        <v>#N/A</v>
      </c>
      <c r="AI110" s="464"/>
      <c r="AJ110" s="182"/>
      <c r="AK110" s="180"/>
      <c r="AL110" s="180"/>
      <c r="AM110" s="182" t="e">
        <f t="shared" si="98"/>
        <v>#N/A</v>
      </c>
      <c r="AN110" s="464"/>
      <c r="AO110" s="182"/>
      <c r="AP110" s="180"/>
      <c r="AQ110" s="180"/>
      <c r="AR110" s="182" t="e">
        <f t="shared" si="99"/>
        <v>#N/A</v>
      </c>
      <c r="AS110" s="464"/>
      <c r="AT110" s="182"/>
      <c r="AU110" s="180"/>
      <c r="AV110" s="180"/>
      <c r="AW110" s="182" t="e">
        <f t="shared" si="100"/>
        <v>#N/A</v>
      </c>
      <c r="AX110" s="455"/>
      <c r="AZ110" s="182" t="e">
        <f t="shared" si="101"/>
        <v>#N/A</v>
      </c>
      <c r="BA110" s="455"/>
    </row>
    <row r="111" spans="2:53">
      <c r="B111" s="454"/>
      <c r="C111" s="182">
        <v>5</v>
      </c>
      <c r="D111" s="203"/>
      <c r="E111" s="166"/>
      <c r="F111" s="182"/>
      <c r="G111" s="180"/>
      <c r="H111" s="464"/>
      <c r="I111" s="166" t="str">
        <f t="shared" si="91"/>
        <v>-</v>
      </c>
      <c r="J111" s="166" t="str">
        <f t="shared" si="92"/>
        <v>-</v>
      </c>
      <c r="K111" s="180" t="str">
        <f t="shared" si="93"/>
        <v>-</v>
      </c>
      <c r="L111" s="464"/>
      <c r="M111" s="181" t="e">
        <f>RANK(K111, K$107:$K$121)</f>
        <v>#VALUE!</v>
      </c>
      <c r="N111" s="461"/>
      <c r="O111" s="461"/>
      <c r="P111" s="182"/>
      <c r="Q111" s="180"/>
      <c r="R111" s="180"/>
      <c r="S111" s="182" t="e">
        <f t="shared" si="94"/>
        <v>#N/A</v>
      </c>
      <c r="T111" s="464"/>
      <c r="U111" s="182"/>
      <c r="V111" s="180"/>
      <c r="W111" s="180"/>
      <c r="X111" s="182" t="e">
        <f t="shared" si="95"/>
        <v>#N/A</v>
      </c>
      <c r="Y111" s="464"/>
      <c r="Z111" s="182"/>
      <c r="AA111" s="180"/>
      <c r="AB111" s="180"/>
      <c r="AC111" s="182" t="e">
        <f t="shared" si="96"/>
        <v>#N/A</v>
      </c>
      <c r="AD111" s="464"/>
      <c r="AE111" s="182"/>
      <c r="AF111" s="180"/>
      <c r="AG111" s="180"/>
      <c r="AH111" s="182" t="e">
        <f t="shared" si="97"/>
        <v>#N/A</v>
      </c>
      <c r="AI111" s="464"/>
      <c r="AJ111" s="182"/>
      <c r="AK111" s="180"/>
      <c r="AL111" s="180"/>
      <c r="AM111" s="182" t="e">
        <f t="shared" si="98"/>
        <v>#N/A</v>
      </c>
      <c r="AN111" s="464"/>
      <c r="AO111" s="182"/>
      <c r="AP111" s="180"/>
      <c r="AQ111" s="180"/>
      <c r="AR111" s="182" t="e">
        <f t="shared" si="99"/>
        <v>#N/A</v>
      </c>
      <c r="AS111" s="464"/>
      <c r="AT111" s="182"/>
      <c r="AU111" s="180"/>
      <c r="AV111" s="180"/>
      <c r="AW111" s="182" t="e">
        <f t="shared" si="100"/>
        <v>#N/A</v>
      </c>
      <c r="AX111" s="455"/>
      <c r="AZ111" s="182" t="e">
        <f t="shared" si="101"/>
        <v>#N/A</v>
      </c>
      <c r="BA111" s="455"/>
    </row>
    <row r="112" spans="2:53">
      <c r="B112" s="454"/>
      <c r="C112" s="182">
        <v>6</v>
      </c>
      <c r="D112" s="203"/>
      <c r="E112" s="166"/>
      <c r="F112" s="182"/>
      <c r="G112" s="180"/>
      <c r="H112" s="464"/>
      <c r="I112" s="166" t="str">
        <f t="shared" si="91"/>
        <v>-</v>
      </c>
      <c r="J112" s="166" t="str">
        <f t="shared" si="92"/>
        <v>-</v>
      </c>
      <c r="K112" s="180" t="str">
        <f t="shared" si="93"/>
        <v>-</v>
      </c>
      <c r="L112" s="464"/>
      <c r="M112" s="181" t="e">
        <f>RANK(K112, K$107:$K$121)</f>
        <v>#VALUE!</v>
      </c>
      <c r="N112" s="461"/>
      <c r="O112" s="461"/>
      <c r="P112" s="182"/>
      <c r="Q112" s="180"/>
      <c r="R112" s="180"/>
      <c r="S112" s="182" t="e">
        <f t="shared" si="94"/>
        <v>#N/A</v>
      </c>
      <c r="T112" s="464"/>
      <c r="U112" s="182"/>
      <c r="V112" s="180"/>
      <c r="W112" s="180"/>
      <c r="X112" s="182" t="e">
        <f t="shared" si="95"/>
        <v>#N/A</v>
      </c>
      <c r="Y112" s="464"/>
      <c r="Z112" s="182"/>
      <c r="AA112" s="180"/>
      <c r="AB112" s="180"/>
      <c r="AC112" s="182" t="e">
        <f t="shared" si="96"/>
        <v>#N/A</v>
      </c>
      <c r="AD112" s="464"/>
      <c r="AE112" s="182"/>
      <c r="AF112" s="180"/>
      <c r="AG112" s="180"/>
      <c r="AH112" s="182" t="e">
        <f t="shared" si="97"/>
        <v>#N/A</v>
      </c>
      <c r="AI112" s="464"/>
      <c r="AJ112" s="182"/>
      <c r="AK112" s="180"/>
      <c r="AL112" s="180"/>
      <c r="AM112" s="182" t="e">
        <f t="shared" si="98"/>
        <v>#N/A</v>
      </c>
      <c r="AN112" s="464"/>
      <c r="AO112" s="182"/>
      <c r="AP112" s="180"/>
      <c r="AQ112" s="180"/>
      <c r="AR112" s="182" t="e">
        <f t="shared" si="99"/>
        <v>#N/A</v>
      </c>
      <c r="AS112" s="464"/>
      <c r="AT112" s="182"/>
      <c r="AU112" s="180"/>
      <c r="AV112" s="180"/>
      <c r="AW112" s="182" t="e">
        <f t="shared" si="100"/>
        <v>#N/A</v>
      </c>
      <c r="AX112" s="455"/>
      <c r="AZ112" s="182" t="e">
        <f t="shared" si="101"/>
        <v>#N/A</v>
      </c>
      <c r="BA112" s="455"/>
    </row>
    <row r="113" spans="2:53">
      <c r="B113" s="454"/>
      <c r="C113" s="182">
        <v>7</v>
      </c>
      <c r="D113" s="203"/>
      <c r="E113" s="166"/>
      <c r="F113" s="182"/>
      <c r="G113" s="180"/>
      <c r="H113" s="464"/>
      <c r="I113" s="166" t="str">
        <f t="shared" si="91"/>
        <v>-</v>
      </c>
      <c r="J113" s="166" t="str">
        <f t="shared" si="92"/>
        <v>-</v>
      </c>
      <c r="K113" s="180" t="str">
        <f t="shared" si="93"/>
        <v>-</v>
      </c>
      <c r="L113" s="464"/>
      <c r="M113" s="181" t="e">
        <f>RANK(K113, K$107:$K$121)</f>
        <v>#VALUE!</v>
      </c>
      <c r="N113" s="461"/>
      <c r="O113" s="461"/>
      <c r="P113" s="182"/>
      <c r="Q113" s="180"/>
      <c r="R113" s="180"/>
      <c r="S113" s="182" t="e">
        <f t="shared" si="94"/>
        <v>#N/A</v>
      </c>
      <c r="T113" s="464"/>
      <c r="U113" s="182"/>
      <c r="V113" s="180"/>
      <c r="W113" s="180"/>
      <c r="X113" s="182" t="e">
        <f t="shared" si="95"/>
        <v>#N/A</v>
      </c>
      <c r="Y113" s="464"/>
      <c r="Z113" s="182"/>
      <c r="AA113" s="180"/>
      <c r="AB113" s="180"/>
      <c r="AC113" s="182" t="e">
        <f t="shared" si="96"/>
        <v>#N/A</v>
      </c>
      <c r="AD113" s="464"/>
      <c r="AE113" s="182"/>
      <c r="AF113" s="180"/>
      <c r="AG113" s="180"/>
      <c r="AH113" s="182" t="e">
        <f t="shared" si="97"/>
        <v>#N/A</v>
      </c>
      <c r="AI113" s="464"/>
      <c r="AJ113" s="182"/>
      <c r="AK113" s="180"/>
      <c r="AL113" s="180"/>
      <c r="AM113" s="182" t="e">
        <f t="shared" si="98"/>
        <v>#N/A</v>
      </c>
      <c r="AN113" s="464"/>
      <c r="AO113" s="182"/>
      <c r="AP113" s="180"/>
      <c r="AQ113" s="180"/>
      <c r="AR113" s="182" t="e">
        <f t="shared" si="99"/>
        <v>#N/A</v>
      </c>
      <c r="AS113" s="464"/>
      <c r="AT113" s="182"/>
      <c r="AU113" s="180"/>
      <c r="AV113" s="180"/>
      <c r="AW113" s="182" t="e">
        <f t="shared" si="100"/>
        <v>#N/A</v>
      </c>
      <c r="AX113" s="455"/>
      <c r="AZ113" s="182" t="e">
        <f t="shared" si="101"/>
        <v>#N/A</v>
      </c>
      <c r="BA113" s="455"/>
    </row>
    <row r="114" spans="2:53">
      <c r="B114" s="454"/>
      <c r="C114" s="182">
        <v>8</v>
      </c>
      <c r="D114" s="203"/>
      <c r="E114" s="166"/>
      <c r="F114" s="182"/>
      <c r="G114" s="180"/>
      <c r="H114" s="464"/>
      <c r="I114" s="166" t="str">
        <f t="shared" si="91"/>
        <v>-</v>
      </c>
      <c r="J114" s="166" t="str">
        <f t="shared" si="92"/>
        <v>-</v>
      </c>
      <c r="K114" s="180" t="str">
        <f t="shared" si="93"/>
        <v>-</v>
      </c>
      <c r="L114" s="464"/>
      <c r="M114" s="181" t="e">
        <f>RANK(K114, K$107:$K$121)</f>
        <v>#VALUE!</v>
      </c>
      <c r="N114" s="461"/>
      <c r="O114" s="461"/>
      <c r="P114" s="182"/>
      <c r="Q114" s="180"/>
      <c r="R114" s="180"/>
      <c r="S114" s="182" t="e">
        <f t="shared" si="94"/>
        <v>#N/A</v>
      </c>
      <c r="T114" s="464"/>
      <c r="U114" s="182"/>
      <c r="V114" s="180"/>
      <c r="W114" s="180"/>
      <c r="X114" s="182" t="e">
        <f t="shared" si="95"/>
        <v>#N/A</v>
      </c>
      <c r="Y114" s="464"/>
      <c r="Z114" s="182"/>
      <c r="AA114" s="180"/>
      <c r="AB114" s="180"/>
      <c r="AC114" s="182" t="e">
        <f t="shared" si="96"/>
        <v>#N/A</v>
      </c>
      <c r="AD114" s="464"/>
      <c r="AE114" s="182"/>
      <c r="AF114" s="180"/>
      <c r="AG114" s="180"/>
      <c r="AH114" s="182" t="e">
        <f t="shared" si="97"/>
        <v>#N/A</v>
      </c>
      <c r="AI114" s="464"/>
      <c r="AJ114" s="182"/>
      <c r="AK114" s="180"/>
      <c r="AL114" s="180"/>
      <c r="AM114" s="182" t="e">
        <f t="shared" si="98"/>
        <v>#N/A</v>
      </c>
      <c r="AN114" s="464"/>
      <c r="AO114" s="182"/>
      <c r="AP114" s="180"/>
      <c r="AQ114" s="180"/>
      <c r="AR114" s="182" t="e">
        <f t="shared" si="99"/>
        <v>#N/A</v>
      </c>
      <c r="AS114" s="464"/>
      <c r="AT114" s="182"/>
      <c r="AU114" s="180"/>
      <c r="AV114" s="180"/>
      <c r="AW114" s="182" t="e">
        <f t="shared" si="100"/>
        <v>#N/A</v>
      </c>
      <c r="AX114" s="455"/>
      <c r="AZ114" s="182" t="e">
        <f t="shared" si="101"/>
        <v>#N/A</v>
      </c>
      <c r="BA114" s="455"/>
    </row>
    <row r="115" spans="2:53">
      <c r="B115" s="454"/>
      <c r="C115" s="182">
        <v>9</v>
      </c>
      <c r="D115" s="203"/>
      <c r="E115" s="166"/>
      <c r="F115" s="182"/>
      <c r="G115" s="180"/>
      <c r="H115" s="464"/>
      <c r="I115" s="166" t="str">
        <f t="shared" si="91"/>
        <v>-</v>
      </c>
      <c r="J115" s="166" t="str">
        <f t="shared" si="92"/>
        <v>-</v>
      </c>
      <c r="K115" s="180" t="str">
        <f t="shared" si="93"/>
        <v>-</v>
      </c>
      <c r="L115" s="464"/>
      <c r="M115" s="181" t="e">
        <f>RANK(K115, K$107:$K$121)</f>
        <v>#VALUE!</v>
      </c>
      <c r="N115" s="461"/>
      <c r="O115" s="461"/>
      <c r="P115" s="182"/>
      <c r="Q115" s="180"/>
      <c r="R115" s="180"/>
      <c r="S115" s="182" t="e">
        <f t="shared" si="94"/>
        <v>#N/A</v>
      </c>
      <c r="T115" s="464"/>
      <c r="U115" s="182"/>
      <c r="V115" s="180"/>
      <c r="W115" s="180"/>
      <c r="X115" s="182" t="e">
        <f t="shared" si="95"/>
        <v>#N/A</v>
      </c>
      <c r="Y115" s="464"/>
      <c r="Z115" s="182"/>
      <c r="AA115" s="180"/>
      <c r="AB115" s="180"/>
      <c r="AC115" s="182" t="e">
        <f t="shared" si="96"/>
        <v>#N/A</v>
      </c>
      <c r="AD115" s="464"/>
      <c r="AE115" s="182"/>
      <c r="AF115" s="180"/>
      <c r="AG115" s="180"/>
      <c r="AH115" s="182" t="e">
        <f t="shared" si="97"/>
        <v>#N/A</v>
      </c>
      <c r="AI115" s="464"/>
      <c r="AJ115" s="182"/>
      <c r="AK115" s="180"/>
      <c r="AL115" s="180"/>
      <c r="AM115" s="182" t="e">
        <f t="shared" si="98"/>
        <v>#N/A</v>
      </c>
      <c r="AN115" s="464"/>
      <c r="AO115" s="182"/>
      <c r="AP115" s="180"/>
      <c r="AQ115" s="180"/>
      <c r="AR115" s="182" t="e">
        <f t="shared" si="99"/>
        <v>#N/A</v>
      </c>
      <c r="AS115" s="464"/>
      <c r="AT115" s="182"/>
      <c r="AU115" s="180"/>
      <c r="AV115" s="180"/>
      <c r="AW115" s="182" t="e">
        <f t="shared" si="100"/>
        <v>#N/A</v>
      </c>
      <c r="AX115" s="455"/>
      <c r="AZ115" s="182" t="e">
        <f t="shared" si="101"/>
        <v>#N/A</v>
      </c>
      <c r="BA115" s="455"/>
    </row>
    <row r="116" spans="2:53">
      <c r="B116" s="454"/>
      <c r="C116" s="182">
        <v>10</v>
      </c>
      <c r="D116" s="203"/>
      <c r="E116" s="166"/>
      <c r="F116" s="182"/>
      <c r="G116" s="180"/>
      <c r="H116" s="464"/>
      <c r="I116" s="166" t="str">
        <f t="shared" si="91"/>
        <v>-</v>
      </c>
      <c r="J116" s="166" t="str">
        <f t="shared" si="92"/>
        <v>-</v>
      </c>
      <c r="K116" s="180" t="str">
        <f t="shared" si="93"/>
        <v>-</v>
      </c>
      <c r="L116" s="464"/>
      <c r="M116" s="181" t="e">
        <f>RANK(K116, K$107:$K$121)</f>
        <v>#VALUE!</v>
      </c>
      <c r="N116" s="461"/>
      <c r="O116" s="461"/>
      <c r="P116" s="182"/>
      <c r="Q116" s="180"/>
      <c r="R116" s="180"/>
      <c r="S116" s="182" t="e">
        <f t="shared" si="94"/>
        <v>#N/A</v>
      </c>
      <c r="T116" s="464"/>
      <c r="U116" s="182"/>
      <c r="V116" s="180"/>
      <c r="W116" s="180"/>
      <c r="X116" s="182" t="e">
        <f t="shared" si="95"/>
        <v>#N/A</v>
      </c>
      <c r="Y116" s="464"/>
      <c r="Z116" s="182"/>
      <c r="AA116" s="180"/>
      <c r="AB116" s="180"/>
      <c r="AC116" s="182" t="e">
        <f t="shared" si="96"/>
        <v>#N/A</v>
      </c>
      <c r="AD116" s="464"/>
      <c r="AE116" s="182"/>
      <c r="AF116" s="180"/>
      <c r="AG116" s="180"/>
      <c r="AH116" s="182" t="e">
        <f t="shared" si="97"/>
        <v>#N/A</v>
      </c>
      <c r="AI116" s="464"/>
      <c r="AJ116" s="182"/>
      <c r="AK116" s="180"/>
      <c r="AL116" s="180"/>
      <c r="AM116" s="182" t="e">
        <f t="shared" si="98"/>
        <v>#N/A</v>
      </c>
      <c r="AN116" s="464"/>
      <c r="AO116" s="182"/>
      <c r="AP116" s="180"/>
      <c r="AQ116" s="180"/>
      <c r="AR116" s="182" t="e">
        <f t="shared" si="99"/>
        <v>#N/A</v>
      </c>
      <c r="AS116" s="464"/>
      <c r="AT116" s="182"/>
      <c r="AU116" s="180"/>
      <c r="AV116" s="180"/>
      <c r="AW116" s="182" t="e">
        <f t="shared" si="100"/>
        <v>#N/A</v>
      </c>
      <c r="AX116" s="455"/>
      <c r="AZ116" s="182" t="e">
        <f t="shared" si="101"/>
        <v>#N/A</v>
      </c>
      <c r="BA116" s="455"/>
    </row>
    <row r="117" spans="2:53">
      <c r="B117" s="454"/>
      <c r="C117" s="182">
        <v>11</v>
      </c>
      <c r="D117" s="203"/>
      <c r="E117" s="166"/>
      <c r="F117" s="182"/>
      <c r="G117" s="180"/>
      <c r="H117" s="464"/>
      <c r="I117" s="166" t="str">
        <f t="shared" si="91"/>
        <v>-</v>
      </c>
      <c r="J117" s="166" t="str">
        <f t="shared" si="92"/>
        <v>-</v>
      </c>
      <c r="K117" s="180" t="str">
        <f t="shared" si="93"/>
        <v>-</v>
      </c>
      <c r="L117" s="464"/>
      <c r="M117" s="181" t="e">
        <f>RANK(K117, K$107:$K$121)</f>
        <v>#VALUE!</v>
      </c>
      <c r="N117" s="461"/>
      <c r="O117" s="461"/>
      <c r="P117" s="182"/>
      <c r="Q117" s="180"/>
      <c r="R117" s="180"/>
      <c r="S117" s="182" t="e">
        <f t="shared" si="94"/>
        <v>#N/A</v>
      </c>
      <c r="T117" s="464"/>
      <c r="U117" s="182"/>
      <c r="V117" s="180"/>
      <c r="W117" s="180"/>
      <c r="X117" s="182" t="e">
        <f t="shared" si="95"/>
        <v>#N/A</v>
      </c>
      <c r="Y117" s="464"/>
      <c r="Z117" s="182"/>
      <c r="AA117" s="180"/>
      <c r="AB117" s="180"/>
      <c r="AC117" s="182" t="e">
        <f t="shared" si="96"/>
        <v>#N/A</v>
      </c>
      <c r="AD117" s="464"/>
      <c r="AE117" s="182"/>
      <c r="AF117" s="180"/>
      <c r="AG117" s="180"/>
      <c r="AH117" s="182" t="e">
        <f t="shared" si="97"/>
        <v>#N/A</v>
      </c>
      <c r="AI117" s="464"/>
      <c r="AJ117" s="182"/>
      <c r="AK117" s="180"/>
      <c r="AL117" s="180"/>
      <c r="AM117" s="182" t="e">
        <f t="shared" si="98"/>
        <v>#N/A</v>
      </c>
      <c r="AN117" s="464"/>
      <c r="AO117" s="182"/>
      <c r="AP117" s="180"/>
      <c r="AQ117" s="180"/>
      <c r="AR117" s="182" t="e">
        <f t="shared" si="99"/>
        <v>#N/A</v>
      </c>
      <c r="AS117" s="464"/>
      <c r="AT117" s="182"/>
      <c r="AU117" s="180"/>
      <c r="AV117" s="180"/>
      <c r="AW117" s="182" t="e">
        <f t="shared" si="100"/>
        <v>#N/A</v>
      </c>
      <c r="AX117" s="455"/>
      <c r="AZ117" s="182" t="e">
        <f t="shared" si="101"/>
        <v>#N/A</v>
      </c>
      <c r="BA117" s="455"/>
    </row>
    <row r="118" spans="2:53">
      <c r="B118" s="454"/>
      <c r="C118" s="182">
        <v>12</v>
      </c>
      <c r="D118" s="203"/>
      <c r="E118" s="166"/>
      <c r="F118" s="182"/>
      <c r="G118" s="180"/>
      <c r="H118" s="464"/>
      <c r="I118" s="166" t="str">
        <f t="shared" si="91"/>
        <v>-</v>
      </c>
      <c r="J118" s="166" t="str">
        <f t="shared" si="92"/>
        <v>-</v>
      </c>
      <c r="K118" s="180" t="str">
        <f t="shared" si="93"/>
        <v>-</v>
      </c>
      <c r="L118" s="464"/>
      <c r="M118" s="181" t="e">
        <f>RANK(K118, K$107:$K$121)</f>
        <v>#VALUE!</v>
      </c>
      <c r="N118" s="461"/>
      <c r="O118" s="461"/>
      <c r="P118" s="182"/>
      <c r="Q118" s="180"/>
      <c r="R118" s="180"/>
      <c r="S118" s="182" t="e">
        <f t="shared" si="94"/>
        <v>#N/A</v>
      </c>
      <c r="T118" s="464"/>
      <c r="U118" s="182"/>
      <c r="V118" s="180"/>
      <c r="W118" s="180"/>
      <c r="X118" s="182" t="e">
        <f t="shared" si="95"/>
        <v>#N/A</v>
      </c>
      <c r="Y118" s="464"/>
      <c r="Z118" s="182"/>
      <c r="AA118" s="180"/>
      <c r="AB118" s="180"/>
      <c r="AC118" s="182" t="e">
        <f t="shared" si="96"/>
        <v>#N/A</v>
      </c>
      <c r="AD118" s="464"/>
      <c r="AE118" s="182"/>
      <c r="AF118" s="180"/>
      <c r="AG118" s="180"/>
      <c r="AH118" s="182" t="e">
        <f t="shared" si="97"/>
        <v>#N/A</v>
      </c>
      <c r="AI118" s="464"/>
      <c r="AJ118" s="182"/>
      <c r="AK118" s="180"/>
      <c r="AL118" s="180"/>
      <c r="AM118" s="182" t="e">
        <f t="shared" si="98"/>
        <v>#N/A</v>
      </c>
      <c r="AN118" s="464"/>
      <c r="AO118" s="182"/>
      <c r="AP118" s="180"/>
      <c r="AQ118" s="180"/>
      <c r="AR118" s="182" t="e">
        <f t="shared" si="99"/>
        <v>#N/A</v>
      </c>
      <c r="AS118" s="464"/>
      <c r="AT118" s="182"/>
      <c r="AU118" s="180"/>
      <c r="AV118" s="180"/>
      <c r="AW118" s="182" t="e">
        <f t="shared" si="100"/>
        <v>#N/A</v>
      </c>
      <c r="AX118" s="455"/>
      <c r="AZ118" s="182" t="e">
        <f t="shared" si="101"/>
        <v>#N/A</v>
      </c>
      <c r="BA118" s="455"/>
    </row>
    <row r="119" spans="2:53">
      <c r="B119" s="454"/>
      <c r="C119" s="182">
        <v>13</v>
      </c>
      <c r="D119" s="203"/>
      <c r="E119" s="166"/>
      <c r="F119" s="182"/>
      <c r="G119" s="180"/>
      <c r="H119" s="464"/>
      <c r="I119" s="166" t="str">
        <f t="shared" si="91"/>
        <v>-</v>
      </c>
      <c r="J119" s="166" t="str">
        <f t="shared" si="92"/>
        <v>-</v>
      </c>
      <c r="K119" s="180" t="str">
        <f t="shared" si="93"/>
        <v>-</v>
      </c>
      <c r="L119" s="464"/>
      <c r="M119" s="181" t="e">
        <f>RANK(K119, K$107:$K$121)</f>
        <v>#VALUE!</v>
      </c>
      <c r="N119" s="461"/>
      <c r="O119" s="461"/>
      <c r="P119" s="182"/>
      <c r="Q119" s="180"/>
      <c r="R119" s="180"/>
      <c r="S119" s="182" t="e">
        <f t="shared" si="94"/>
        <v>#N/A</v>
      </c>
      <c r="T119" s="464"/>
      <c r="U119" s="182"/>
      <c r="V119" s="180"/>
      <c r="W119" s="180"/>
      <c r="X119" s="182" t="e">
        <f t="shared" si="95"/>
        <v>#N/A</v>
      </c>
      <c r="Y119" s="464"/>
      <c r="Z119" s="182"/>
      <c r="AA119" s="180"/>
      <c r="AB119" s="180"/>
      <c r="AC119" s="182" t="e">
        <f t="shared" si="96"/>
        <v>#N/A</v>
      </c>
      <c r="AD119" s="464"/>
      <c r="AE119" s="182"/>
      <c r="AF119" s="180"/>
      <c r="AG119" s="180"/>
      <c r="AH119" s="182" t="e">
        <f t="shared" si="97"/>
        <v>#N/A</v>
      </c>
      <c r="AI119" s="464"/>
      <c r="AJ119" s="182"/>
      <c r="AK119" s="180"/>
      <c r="AL119" s="180"/>
      <c r="AM119" s="182" t="e">
        <f t="shared" si="98"/>
        <v>#N/A</v>
      </c>
      <c r="AN119" s="464"/>
      <c r="AO119" s="182"/>
      <c r="AP119" s="180"/>
      <c r="AQ119" s="180"/>
      <c r="AR119" s="182" t="e">
        <f t="shared" si="99"/>
        <v>#N/A</v>
      </c>
      <c r="AS119" s="464"/>
      <c r="AT119" s="182"/>
      <c r="AU119" s="180"/>
      <c r="AV119" s="180"/>
      <c r="AW119" s="182" t="e">
        <f t="shared" si="100"/>
        <v>#N/A</v>
      </c>
      <c r="AX119" s="455"/>
      <c r="AZ119" s="182" t="e">
        <f t="shared" si="101"/>
        <v>#N/A</v>
      </c>
      <c r="BA119" s="455"/>
    </row>
    <row r="120" spans="2:53">
      <c r="B120" s="454"/>
      <c r="C120" s="182">
        <v>14</v>
      </c>
      <c r="D120" s="203"/>
      <c r="E120" s="166"/>
      <c r="F120" s="182"/>
      <c r="G120" s="180"/>
      <c r="H120" s="464"/>
      <c r="I120" s="166" t="str">
        <f t="shared" si="91"/>
        <v>-</v>
      </c>
      <c r="J120" s="166" t="str">
        <f t="shared" si="92"/>
        <v>-</v>
      </c>
      <c r="K120" s="180" t="str">
        <f t="shared" si="93"/>
        <v>-</v>
      </c>
      <c r="L120" s="464"/>
      <c r="M120" s="181" t="e">
        <f>RANK(K120, K$107:$K$121)</f>
        <v>#VALUE!</v>
      </c>
      <c r="N120" s="461"/>
      <c r="O120" s="461"/>
      <c r="P120" s="182"/>
      <c r="Q120" s="180"/>
      <c r="R120" s="180"/>
      <c r="S120" s="182" t="e">
        <f t="shared" si="94"/>
        <v>#N/A</v>
      </c>
      <c r="T120" s="464"/>
      <c r="U120" s="182"/>
      <c r="V120" s="180"/>
      <c r="W120" s="180"/>
      <c r="X120" s="182" t="e">
        <f t="shared" si="95"/>
        <v>#N/A</v>
      </c>
      <c r="Y120" s="464"/>
      <c r="Z120" s="182"/>
      <c r="AA120" s="180"/>
      <c r="AB120" s="180"/>
      <c r="AC120" s="182" t="e">
        <f t="shared" si="96"/>
        <v>#N/A</v>
      </c>
      <c r="AD120" s="464"/>
      <c r="AE120" s="182"/>
      <c r="AF120" s="180"/>
      <c r="AG120" s="180"/>
      <c r="AH120" s="182" t="e">
        <f t="shared" si="97"/>
        <v>#N/A</v>
      </c>
      <c r="AI120" s="464"/>
      <c r="AJ120" s="182"/>
      <c r="AK120" s="180"/>
      <c r="AL120" s="180"/>
      <c r="AM120" s="182" t="e">
        <f t="shared" si="98"/>
        <v>#N/A</v>
      </c>
      <c r="AN120" s="464"/>
      <c r="AO120" s="182"/>
      <c r="AP120" s="180"/>
      <c r="AQ120" s="180"/>
      <c r="AR120" s="182" t="e">
        <f t="shared" si="99"/>
        <v>#N/A</v>
      </c>
      <c r="AS120" s="464"/>
      <c r="AT120" s="182"/>
      <c r="AU120" s="180"/>
      <c r="AV120" s="180"/>
      <c r="AW120" s="182" t="e">
        <f t="shared" si="100"/>
        <v>#N/A</v>
      </c>
      <c r="AX120" s="455"/>
      <c r="AZ120" s="182" t="e">
        <f t="shared" si="101"/>
        <v>#N/A</v>
      </c>
      <c r="BA120" s="455"/>
    </row>
    <row r="121" spans="2:53">
      <c r="B121" s="454"/>
      <c r="C121" s="182">
        <v>15</v>
      </c>
      <c r="D121" s="203"/>
      <c r="E121" s="166"/>
      <c r="F121" s="182"/>
      <c r="G121" s="180"/>
      <c r="H121" s="465"/>
      <c r="I121" s="182"/>
      <c r="J121" s="182"/>
      <c r="K121" s="182"/>
      <c r="L121" s="465"/>
      <c r="M121" s="181" t="e">
        <f>RANK(K121, K$107:$K$121)</f>
        <v>#N/A</v>
      </c>
      <c r="N121" s="461"/>
      <c r="O121" s="461"/>
      <c r="P121" s="182"/>
      <c r="Q121" s="180"/>
      <c r="R121" s="180"/>
      <c r="S121" s="182" t="e">
        <f t="shared" si="94"/>
        <v>#N/A</v>
      </c>
      <c r="T121" s="465"/>
      <c r="U121" s="182"/>
      <c r="V121" s="180"/>
      <c r="W121" s="180"/>
      <c r="X121" s="182" t="e">
        <f t="shared" si="95"/>
        <v>#N/A</v>
      </c>
      <c r="Y121" s="465"/>
      <c r="Z121" s="182"/>
      <c r="AA121" s="180"/>
      <c r="AB121" s="180"/>
      <c r="AC121" s="182" t="e">
        <f t="shared" si="96"/>
        <v>#N/A</v>
      </c>
      <c r="AD121" s="465"/>
      <c r="AE121" s="182"/>
      <c r="AF121" s="180"/>
      <c r="AG121" s="180"/>
      <c r="AH121" s="182" t="e">
        <f t="shared" si="97"/>
        <v>#N/A</v>
      </c>
      <c r="AI121" s="465"/>
      <c r="AJ121" s="182"/>
      <c r="AK121" s="180"/>
      <c r="AL121" s="180"/>
      <c r="AM121" s="182" t="e">
        <f t="shared" si="98"/>
        <v>#N/A</v>
      </c>
      <c r="AN121" s="465"/>
      <c r="AO121" s="182"/>
      <c r="AP121" s="180"/>
      <c r="AQ121" s="180"/>
      <c r="AR121" s="182" t="e">
        <f t="shared" si="99"/>
        <v>#N/A</v>
      </c>
      <c r="AS121" s="465"/>
      <c r="AT121" s="182"/>
      <c r="AU121" s="180"/>
      <c r="AV121" s="180"/>
      <c r="AW121" s="182" t="e">
        <f t="shared" si="100"/>
        <v>#N/A</v>
      </c>
      <c r="AX121" s="455"/>
      <c r="AZ121" s="182" t="e">
        <f t="shared" si="101"/>
        <v>#N/A</v>
      </c>
      <c r="BA121" s="455"/>
    </row>
    <row r="123" spans="2:53" ht="15.5">
      <c r="B123" s="458" t="s">
        <v>561</v>
      </c>
      <c r="C123" s="459"/>
      <c r="D123" s="459"/>
      <c r="E123" s="459"/>
      <c r="F123" s="459"/>
      <c r="G123" s="459"/>
      <c r="H123" s="459"/>
      <c r="I123" s="285"/>
      <c r="J123" s="285"/>
      <c r="K123" s="285"/>
      <c r="L123" s="285"/>
      <c r="M123" s="286"/>
    </row>
    <row r="124" spans="2:53" ht="15.5">
      <c r="B124" s="460"/>
      <c r="C124" s="460"/>
      <c r="D124" s="460"/>
      <c r="E124" s="460"/>
      <c r="F124" s="460"/>
      <c r="G124" s="460"/>
      <c r="H124" s="460"/>
      <c r="I124" s="287"/>
      <c r="J124" s="287"/>
      <c r="K124" s="287"/>
      <c r="L124" s="287"/>
      <c r="M124" s="288"/>
    </row>
    <row r="125" spans="2:53">
      <c r="B125" s="461" t="s">
        <v>562</v>
      </c>
      <c r="C125" s="461" t="s">
        <v>563</v>
      </c>
      <c r="D125" s="461"/>
      <c r="E125" s="461" t="s">
        <v>564</v>
      </c>
      <c r="F125" s="461"/>
      <c r="G125" s="461"/>
      <c r="H125" s="482" t="s">
        <v>565</v>
      </c>
      <c r="I125" s="462" t="s">
        <v>566</v>
      </c>
      <c r="J125" s="462"/>
      <c r="K125" s="462"/>
      <c r="L125" s="505" t="s">
        <v>565</v>
      </c>
      <c r="M125" s="508" t="s">
        <v>567</v>
      </c>
    </row>
    <row r="126" spans="2:53">
      <c r="B126" s="461"/>
      <c r="C126" s="461"/>
      <c r="D126" s="461"/>
      <c r="E126" s="461" t="s">
        <v>568</v>
      </c>
      <c r="F126" s="461"/>
      <c r="G126" s="461"/>
      <c r="H126" s="483"/>
      <c r="I126" s="462" t="s">
        <v>568</v>
      </c>
      <c r="J126" s="462"/>
      <c r="K126" s="462"/>
      <c r="L126" s="506"/>
      <c r="M126" s="509"/>
    </row>
    <row r="127" spans="2:53">
      <c r="B127" s="461"/>
      <c r="C127" s="461"/>
      <c r="D127" s="461"/>
      <c r="E127" s="269" t="s">
        <v>569</v>
      </c>
      <c r="F127" s="269" t="s">
        <v>570</v>
      </c>
      <c r="G127" s="269" t="s">
        <v>571</v>
      </c>
      <c r="H127" s="484"/>
      <c r="I127" s="289" t="s">
        <v>569</v>
      </c>
      <c r="J127" s="289" t="s">
        <v>570</v>
      </c>
      <c r="K127" s="289" t="s">
        <v>571</v>
      </c>
      <c r="L127" s="507"/>
      <c r="M127" s="510"/>
    </row>
    <row r="128" spans="2:53">
      <c r="B128" s="461" t="s">
        <v>577</v>
      </c>
      <c r="C128" s="182">
        <v>1</v>
      </c>
      <c r="D128" s="203"/>
      <c r="E128" s="166"/>
      <c r="F128" s="182"/>
      <c r="G128" s="180"/>
      <c r="H128" s="463" t="e">
        <f>AVERAGE(G128:G142)</f>
        <v>#DIV/0!</v>
      </c>
      <c r="I128" s="166" t="e">
        <f t="shared" ref="I128:J135" si="102">AVERAGEIF($D$7:$D$121,$D128,I$7:I$121)</f>
        <v>#DIV/0!</v>
      </c>
      <c r="J128" s="166" t="e">
        <f t="shared" si="102"/>
        <v>#DIV/0!</v>
      </c>
      <c r="K128" s="166" t="e">
        <f t="shared" ref="K128:K135" si="103">AVERAGEIF($D$7:$D$121,$D128,K$7:K$121)</f>
        <v>#DIV/0!</v>
      </c>
      <c r="L128" s="502" t="e">
        <f>AVERAGE(K128:K142)</f>
        <v>#DIV/0!</v>
      </c>
      <c r="M128" s="166" t="e">
        <f>RANK(K128, K$128:$K$142)</f>
        <v>#DIV/0!</v>
      </c>
    </row>
    <row r="129" spans="2:39">
      <c r="B129" s="454"/>
      <c r="C129" s="182">
        <v>2</v>
      </c>
      <c r="D129" s="203"/>
      <c r="E129" s="166"/>
      <c r="F129" s="182"/>
      <c r="G129" s="180"/>
      <c r="H129" s="464"/>
      <c r="I129" s="166" t="e">
        <f t="shared" si="102"/>
        <v>#DIV/0!</v>
      </c>
      <c r="J129" s="166" t="e">
        <f t="shared" si="102"/>
        <v>#DIV/0!</v>
      </c>
      <c r="K129" s="166" t="e">
        <f t="shared" si="103"/>
        <v>#DIV/0!</v>
      </c>
      <c r="L129" s="503"/>
      <c r="M129" s="166" t="e">
        <f>RANK(K129, K$128:$K$142)</f>
        <v>#DIV/0!</v>
      </c>
      <c r="N129" s="103"/>
      <c r="O129" s="103"/>
      <c r="P129" s="103"/>
      <c r="Q129" s="103"/>
      <c r="R129" s="103"/>
      <c r="S129" s="103"/>
      <c r="T129" s="103"/>
      <c r="X129" s="103"/>
      <c r="AC129" s="103"/>
      <c r="AH129" s="103"/>
      <c r="AM129" s="103"/>
    </row>
    <row r="130" spans="2:39">
      <c r="B130" s="454"/>
      <c r="C130" s="182">
        <v>3</v>
      </c>
      <c r="D130" s="203"/>
      <c r="E130" s="166"/>
      <c r="F130" s="182"/>
      <c r="G130" s="180"/>
      <c r="H130" s="464"/>
      <c r="I130" s="166" t="e">
        <f t="shared" si="102"/>
        <v>#DIV/0!</v>
      </c>
      <c r="J130" s="166" t="e">
        <f t="shared" si="102"/>
        <v>#DIV/0!</v>
      </c>
      <c r="K130" s="166" t="e">
        <f t="shared" si="103"/>
        <v>#DIV/0!</v>
      </c>
      <c r="L130" s="503"/>
      <c r="M130" s="166" t="e">
        <f>RANK(K130, K$128:$K$142)</f>
        <v>#DIV/0!</v>
      </c>
      <c r="N130" s="103"/>
      <c r="O130" s="103"/>
      <c r="P130" s="103"/>
      <c r="Q130" s="103"/>
      <c r="R130" s="103"/>
      <c r="S130" s="103"/>
      <c r="T130" s="103"/>
      <c r="X130" s="103"/>
      <c r="AC130" s="103"/>
      <c r="AH130" s="103"/>
      <c r="AM130" s="103"/>
    </row>
    <row r="131" spans="2:39">
      <c r="B131" s="454"/>
      <c r="C131" s="182">
        <v>4</v>
      </c>
      <c r="D131" s="203"/>
      <c r="E131" s="166"/>
      <c r="F131" s="182"/>
      <c r="G131" s="180"/>
      <c r="H131" s="464"/>
      <c r="I131" s="166" t="e">
        <f t="shared" si="102"/>
        <v>#DIV/0!</v>
      </c>
      <c r="J131" s="166" t="e">
        <f t="shared" si="102"/>
        <v>#DIV/0!</v>
      </c>
      <c r="K131" s="166" t="e">
        <f t="shared" si="103"/>
        <v>#DIV/0!</v>
      </c>
      <c r="L131" s="503"/>
      <c r="M131" s="166" t="e">
        <f>RANK(K131, K$128:$K$142)</f>
        <v>#DIV/0!</v>
      </c>
      <c r="N131" s="103"/>
      <c r="O131" s="103"/>
      <c r="P131" s="103"/>
      <c r="Q131" s="103"/>
      <c r="R131" s="103"/>
      <c r="S131" s="103"/>
      <c r="T131" s="103"/>
      <c r="X131" s="103"/>
      <c r="AC131" s="103"/>
      <c r="AH131" s="103"/>
      <c r="AM131" s="103"/>
    </row>
    <row r="132" spans="2:39">
      <c r="B132" s="454"/>
      <c r="C132" s="182">
        <v>5</v>
      </c>
      <c r="D132" s="203"/>
      <c r="E132" s="166"/>
      <c r="F132" s="182"/>
      <c r="G132" s="180"/>
      <c r="H132" s="464"/>
      <c r="I132" s="166" t="e">
        <f t="shared" si="102"/>
        <v>#DIV/0!</v>
      </c>
      <c r="J132" s="166" t="e">
        <f t="shared" si="102"/>
        <v>#DIV/0!</v>
      </c>
      <c r="K132" s="166" t="e">
        <f t="shared" si="103"/>
        <v>#DIV/0!</v>
      </c>
      <c r="L132" s="503"/>
      <c r="M132" s="166" t="e">
        <f>RANK(K132, K$128:$K$142)</f>
        <v>#DIV/0!</v>
      </c>
      <c r="N132" s="103"/>
      <c r="O132" s="103"/>
      <c r="P132" s="103"/>
      <c r="Q132" s="103"/>
      <c r="R132" s="103"/>
      <c r="S132" s="103"/>
      <c r="T132" s="103"/>
      <c r="X132" s="103"/>
      <c r="AC132" s="103"/>
      <c r="AH132" s="103"/>
      <c r="AM132" s="103"/>
    </row>
    <row r="133" spans="2:39">
      <c r="B133" s="454"/>
      <c r="C133" s="182">
        <v>6</v>
      </c>
      <c r="D133" s="290"/>
      <c r="E133" s="166"/>
      <c r="F133" s="182"/>
      <c r="G133" s="180"/>
      <c r="H133" s="464"/>
      <c r="I133" s="166" t="e">
        <f t="shared" si="102"/>
        <v>#DIV/0!</v>
      </c>
      <c r="J133" s="166" t="e">
        <f t="shared" si="102"/>
        <v>#DIV/0!</v>
      </c>
      <c r="K133" s="166" t="e">
        <f t="shared" si="103"/>
        <v>#DIV/0!</v>
      </c>
      <c r="L133" s="503"/>
      <c r="M133" s="166" t="e">
        <f>RANK(K133, K$128:$K$142)</f>
        <v>#DIV/0!</v>
      </c>
      <c r="N133" s="103"/>
      <c r="O133" s="103"/>
      <c r="P133" s="103"/>
      <c r="Q133" s="103"/>
      <c r="R133" s="103"/>
      <c r="S133" s="103"/>
      <c r="T133" s="103"/>
      <c r="X133" s="103"/>
      <c r="AC133" s="103"/>
      <c r="AH133" s="103"/>
      <c r="AM133" s="103"/>
    </row>
    <row r="134" spans="2:39">
      <c r="B134" s="454"/>
      <c r="C134" s="182">
        <v>7</v>
      </c>
      <c r="D134" s="203"/>
      <c r="E134" s="166"/>
      <c r="F134" s="182"/>
      <c r="G134" s="180"/>
      <c r="H134" s="464"/>
      <c r="I134" s="166" t="e">
        <f t="shared" si="102"/>
        <v>#DIV/0!</v>
      </c>
      <c r="J134" s="166" t="e">
        <f t="shared" si="102"/>
        <v>#DIV/0!</v>
      </c>
      <c r="K134" s="166" t="e">
        <f t="shared" si="103"/>
        <v>#DIV/0!</v>
      </c>
      <c r="L134" s="503"/>
      <c r="M134" s="166" t="e">
        <f>RANK(K134, K$128:$K$142)</f>
        <v>#DIV/0!</v>
      </c>
      <c r="N134" s="103"/>
      <c r="O134" s="103"/>
      <c r="P134" s="103"/>
      <c r="Q134" s="103"/>
      <c r="R134" s="103"/>
      <c r="S134" s="103"/>
      <c r="T134" s="103"/>
      <c r="X134" s="103"/>
      <c r="AC134" s="103"/>
      <c r="AH134" s="103"/>
      <c r="AM134" s="103"/>
    </row>
    <row r="135" spans="2:39">
      <c r="B135" s="454"/>
      <c r="C135" s="182">
        <v>8</v>
      </c>
      <c r="D135" s="203"/>
      <c r="E135" s="166"/>
      <c r="F135" s="182"/>
      <c r="G135" s="180"/>
      <c r="H135" s="464"/>
      <c r="I135" s="166" t="e">
        <f t="shared" si="102"/>
        <v>#DIV/0!</v>
      </c>
      <c r="J135" s="166" t="e">
        <f t="shared" si="102"/>
        <v>#DIV/0!</v>
      </c>
      <c r="K135" s="166" t="e">
        <f t="shared" si="103"/>
        <v>#DIV/0!</v>
      </c>
      <c r="L135" s="503"/>
      <c r="M135" s="166" t="e">
        <f>RANK(K135, K$128:$K$142)</f>
        <v>#DIV/0!</v>
      </c>
      <c r="N135" s="103"/>
      <c r="O135" s="103"/>
      <c r="P135" s="103"/>
      <c r="Q135" s="103"/>
      <c r="R135" s="103"/>
      <c r="S135" s="103"/>
      <c r="T135" s="103"/>
      <c r="X135" s="103"/>
      <c r="AC135" s="103"/>
      <c r="AH135" s="103"/>
      <c r="AM135" s="103"/>
    </row>
    <row r="136" spans="2:39">
      <c r="B136" s="454"/>
      <c r="C136" s="182">
        <v>9</v>
      </c>
      <c r="D136" s="203"/>
      <c r="E136" s="182"/>
      <c r="F136" s="182"/>
      <c r="G136" s="182"/>
      <c r="H136" s="464"/>
      <c r="I136" s="166"/>
      <c r="J136" s="166"/>
      <c r="K136" s="166"/>
      <c r="L136" s="503"/>
      <c r="M136" s="166" t="e">
        <f>RANK(K136, K$128:$K$142)</f>
        <v>#DIV/0!</v>
      </c>
      <c r="N136" s="103"/>
      <c r="O136" s="103"/>
      <c r="P136" s="103"/>
      <c r="Q136" s="103"/>
      <c r="R136" s="103"/>
      <c r="S136" s="103"/>
      <c r="T136" s="103"/>
      <c r="X136" s="103"/>
      <c r="AC136" s="103"/>
      <c r="AH136" s="103"/>
      <c r="AM136" s="103"/>
    </row>
    <row r="137" spans="2:39">
      <c r="B137" s="454"/>
      <c r="C137" s="182">
        <v>10</v>
      </c>
      <c r="D137" s="203"/>
      <c r="E137" s="182"/>
      <c r="F137" s="182"/>
      <c r="G137" s="182"/>
      <c r="H137" s="464"/>
      <c r="I137" s="166"/>
      <c r="J137" s="166"/>
      <c r="K137" s="166"/>
      <c r="L137" s="503"/>
      <c r="M137" s="166" t="e">
        <f>RANK(K137, K$128:$K$142)</f>
        <v>#DIV/0!</v>
      </c>
      <c r="N137" s="103"/>
      <c r="O137" s="103"/>
      <c r="P137" s="103"/>
      <c r="Q137" s="103"/>
      <c r="R137" s="103"/>
      <c r="S137" s="103"/>
      <c r="T137" s="103"/>
      <c r="X137" s="103"/>
      <c r="AC137" s="103"/>
      <c r="AH137" s="103"/>
      <c r="AM137" s="103"/>
    </row>
    <row r="138" spans="2:39">
      <c r="B138" s="454"/>
      <c r="C138" s="182">
        <v>11</v>
      </c>
      <c r="D138" s="203"/>
      <c r="E138" s="182"/>
      <c r="F138" s="182"/>
      <c r="G138" s="182"/>
      <c r="H138" s="464"/>
      <c r="I138" s="166"/>
      <c r="J138" s="166"/>
      <c r="K138" s="166"/>
      <c r="L138" s="503"/>
      <c r="M138" s="166" t="e">
        <f>RANK(K138, K$128:$K$142)</f>
        <v>#DIV/0!</v>
      </c>
      <c r="N138" s="103"/>
      <c r="O138" s="103"/>
      <c r="P138" s="103"/>
      <c r="Q138" s="103"/>
      <c r="R138" s="103"/>
      <c r="S138" s="103"/>
      <c r="T138" s="103"/>
      <c r="X138" s="103"/>
      <c r="AC138" s="103"/>
      <c r="AH138" s="103"/>
      <c r="AM138" s="103"/>
    </row>
    <row r="139" spans="2:39">
      <c r="B139" s="454"/>
      <c r="C139" s="182">
        <v>12</v>
      </c>
      <c r="D139" s="203"/>
      <c r="E139" s="182"/>
      <c r="F139" s="182"/>
      <c r="G139" s="182"/>
      <c r="H139" s="464"/>
      <c r="I139" s="166"/>
      <c r="J139" s="166"/>
      <c r="K139" s="166"/>
      <c r="L139" s="503"/>
      <c r="M139" s="166" t="e">
        <f>RANK(K139, K$128:$K$142)</f>
        <v>#DIV/0!</v>
      </c>
      <c r="N139" s="103"/>
      <c r="O139" s="103"/>
      <c r="P139" s="103"/>
      <c r="Q139" s="103"/>
      <c r="R139" s="103"/>
      <c r="S139" s="103"/>
      <c r="T139" s="103"/>
      <c r="X139" s="103"/>
      <c r="AC139" s="103"/>
      <c r="AH139" s="103"/>
      <c r="AM139" s="103"/>
    </row>
    <row r="140" spans="2:39">
      <c r="B140" s="454"/>
      <c r="C140" s="182">
        <v>13</v>
      </c>
      <c r="D140" s="203"/>
      <c r="E140" s="182"/>
      <c r="F140" s="182"/>
      <c r="G140" s="182"/>
      <c r="H140" s="464"/>
      <c r="I140" s="166"/>
      <c r="J140" s="166"/>
      <c r="K140" s="166"/>
      <c r="L140" s="503"/>
      <c r="M140" s="166" t="e">
        <f>RANK(K140, K$128:$K$142)</f>
        <v>#DIV/0!</v>
      </c>
      <c r="N140" s="103"/>
      <c r="O140" s="103"/>
      <c r="P140" s="103"/>
      <c r="Q140" s="103"/>
      <c r="R140" s="103"/>
      <c r="S140" s="103"/>
      <c r="T140" s="103"/>
      <c r="X140" s="103"/>
      <c r="AC140" s="103"/>
      <c r="AH140" s="103"/>
      <c r="AM140" s="103"/>
    </row>
    <row r="141" spans="2:39">
      <c r="B141" s="454"/>
      <c r="C141" s="182">
        <v>14</v>
      </c>
      <c r="D141" s="203"/>
      <c r="E141" s="182"/>
      <c r="F141" s="182"/>
      <c r="G141" s="182"/>
      <c r="H141" s="464"/>
      <c r="I141" s="166"/>
      <c r="J141" s="166"/>
      <c r="K141" s="166"/>
      <c r="L141" s="503"/>
      <c r="M141" s="166" t="e">
        <f>RANK(K141, K$128:$K$142)</f>
        <v>#DIV/0!</v>
      </c>
      <c r="N141" s="103"/>
      <c r="O141" s="103"/>
      <c r="P141" s="103"/>
      <c r="Q141" s="103"/>
      <c r="R141" s="103"/>
      <c r="S141" s="103"/>
      <c r="T141" s="103"/>
      <c r="X141" s="103"/>
      <c r="AC141" s="103"/>
      <c r="AH141" s="103"/>
      <c r="AM141" s="103"/>
    </row>
    <row r="142" spans="2:39">
      <c r="B142" s="454"/>
      <c r="C142" s="182">
        <v>15</v>
      </c>
      <c r="D142" s="203"/>
      <c r="E142" s="182"/>
      <c r="F142" s="182"/>
      <c r="G142" s="182"/>
      <c r="H142" s="465"/>
      <c r="I142" s="166"/>
      <c r="J142" s="166"/>
      <c r="K142" s="166"/>
      <c r="L142" s="504"/>
      <c r="M142" s="166" t="e">
        <f>RANK(K142, K$128:$K$142)</f>
        <v>#DIV/0!</v>
      </c>
      <c r="N142" s="103"/>
      <c r="O142" s="103"/>
      <c r="P142" s="103"/>
      <c r="Q142" s="103"/>
      <c r="R142" s="103"/>
      <c r="S142" s="103"/>
      <c r="T142" s="103"/>
      <c r="X142" s="103"/>
      <c r="AC142" s="103"/>
      <c r="AH142" s="103"/>
      <c r="AM142" s="103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I107" sqref="I107:K120"/>
      <selection pane="topRight" activeCell="I19" sqref="I19"/>
    </sheetView>
  </sheetViews>
  <sheetFormatPr defaultColWidth="8.81640625" defaultRowHeight="12.5"/>
  <cols>
    <col min="1" max="1" width="5.54296875" style="103" customWidth="1"/>
    <col min="2" max="2" width="12.453125" style="103" customWidth="1"/>
    <col min="3" max="3" width="8.81640625" style="102"/>
    <col min="4" max="4" width="26.453125" style="102" customWidth="1"/>
    <col min="5" max="7" width="8.453125" style="102" customWidth="1"/>
    <col min="8" max="8" width="11.1796875" style="102" bestFit="1" customWidth="1"/>
    <col min="9" max="12" width="11.1796875" style="102" customWidth="1"/>
    <col min="13" max="13" width="13.54296875" style="102" customWidth="1"/>
    <col min="14" max="14" width="9.81640625" style="102" customWidth="1"/>
    <col min="15" max="15" width="7.1796875" style="102" customWidth="1"/>
    <col min="16" max="18" width="12.81640625" style="102" customWidth="1"/>
    <col min="19" max="19" width="5.453125" style="102" customWidth="1"/>
    <col min="20" max="20" width="12.81640625" style="102" customWidth="1"/>
    <col min="21" max="23" width="12.81640625" style="103" customWidth="1"/>
    <col min="24" max="24" width="5.453125" style="102" customWidth="1"/>
    <col min="25" max="28" width="12.81640625" style="103" customWidth="1"/>
    <col min="29" max="29" width="5.453125" style="102" customWidth="1"/>
    <col min="30" max="30" width="12.81640625" style="103" customWidth="1"/>
    <col min="31" max="33" width="12.54296875" style="103" customWidth="1"/>
    <col min="34" max="34" width="5.453125" style="102" customWidth="1"/>
    <col min="35" max="35" width="13" style="103" customWidth="1"/>
    <col min="36" max="38" width="12.54296875" style="103" customWidth="1"/>
    <col min="39" max="39" width="5.453125" style="102" customWidth="1"/>
    <col min="40" max="40" width="13" style="103" customWidth="1"/>
    <col min="41" max="43" width="13.1796875" style="103" customWidth="1"/>
    <col min="44" max="44" width="5.453125" style="103" customWidth="1"/>
    <col min="45" max="48" width="13.1796875" style="103" customWidth="1"/>
    <col min="49" max="49" width="5.453125" style="103" customWidth="1"/>
    <col min="50" max="50" width="13.1796875" style="103" customWidth="1"/>
    <col min="51" max="51" width="8.81640625" style="103"/>
    <col min="52" max="52" width="5.453125" style="103" customWidth="1"/>
    <col min="53" max="53" width="13.1796875" style="103" customWidth="1"/>
    <col min="54" max="16384" width="8.81640625" style="103"/>
  </cols>
  <sheetData>
    <row r="1" spans="1:53" ht="24.5">
      <c r="A1" s="74"/>
      <c r="B1" s="198" t="s">
        <v>332</v>
      </c>
      <c r="C1" s="197">
        <f>AVERAGE(L7,L27,L47,L67,L87,L107)</f>
        <v>86.416426295417338</v>
      </c>
    </row>
    <row r="2" spans="1:53" ht="15.5">
      <c r="A2" s="79"/>
      <c r="B2" s="477" t="s">
        <v>163</v>
      </c>
      <c r="C2" s="477"/>
      <c r="D2" s="477"/>
      <c r="E2" s="477"/>
      <c r="F2" s="477"/>
      <c r="G2" s="477"/>
      <c r="H2" s="477"/>
      <c r="I2" s="183"/>
      <c r="J2" s="183"/>
      <c r="K2" s="183"/>
      <c r="L2" s="183"/>
      <c r="M2" s="178"/>
      <c r="N2" s="480" t="s">
        <v>156</v>
      </c>
      <c r="O2" s="480" t="s">
        <v>155</v>
      </c>
      <c r="P2" s="490">
        <v>46112</v>
      </c>
      <c r="Q2" s="491"/>
      <c r="R2" s="491"/>
      <c r="S2" s="491"/>
      <c r="T2" s="492"/>
      <c r="U2" s="476">
        <f>P2+1</f>
        <v>46113</v>
      </c>
      <c r="V2" s="454"/>
      <c r="W2" s="454"/>
      <c r="X2" s="454"/>
      <c r="Y2" s="454"/>
      <c r="Z2" s="476">
        <f>U2+1</f>
        <v>46114</v>
      </c>
      <c r="AA2" s="454"/>
      <c r="AB2" s="454"/>
      <c r="AC2" s="454"/>
      <c r="AD2" s="454"/>
      <c r="AE2" s="476">
        <f>Z2+1</f>
        <v>46115</v>
      </c>
      <c r="AF2" s="454"/>
      <c r="AG2" s="454"/>
      <c r="AH2" s="454"/>
      <c r="AI2" s="454"/>
      <c r="AJ2" s="476">
        <f>AE2+1</f>
        <v>46116</v>
      </c>
      <c r="AK2" s="454"/>
      <c r="AL2" s="454"/>
      <c r="AM2" s="454"/>
      <c r="AN2" s="454"/>
      <c r="AO2" s="476">
        <f>AJ2+1</f>
        <v>46117</v>
      </c>
      <c r="AP2" s="454"/>
      <c r="AQ2" s="454"/>
      <c r="AR2" s="454"/>
      <c r="AS2" s="454"/>
      <c r="AT2" s="473">
        <f>AO2+1</f>
        <v>46118</v>
      </c>
      <c r="AU2" s="474"/>
      <c r="AV2" s="474"/>
      <c r="AW2" s="474"/>
      <c r="AX2" s="475"/>
    </row>
    <row r="3" spans="1:53" ht="15.5">
      <c r="A3" s="79"/>
      <c r="B3" s="486"/>
      <c r="C3" s="486"/>
      <c r="D3" s="486"/>
      <c r="E3" s="486"/>
      <c r="F3" s="486"/>
      <c r="G3" s="486"/>
      <c r="H3" s="486"/>
      <c r="I3" s="184"/>
      <c r="J3" s="184"/>
      <c r="K3" s="184"/>
      <c r="L3" s="184"/>
      <c r="M3" s="179"/>
      <c r="N3" s="481"/>
      <c r="O3" s="481"/>
      <c r="P3" s="473" t="s">
        <v>158</v>
      </c>
      <c r="Q3" s="474"/>
      <c r="R3" s="474"/>
      <c r="S3" s="474"/>
      <c r="T3" s="475"/>
      <c r="U3" s="473" t="s">
        <v>114</v>
      </c>
      <c r="V3" s="474"/>
      <c r="W3" s="474"/>
      <c r="X3" s="474"/>
      <c r="Y3" s="475"/>
      <c r="Z3" s="473" t="s">
        <v>159</v>
      </c>
      <c r="AA3" s="474"/>
      <c r="AB3" s="474"/>
      <c r="AC3" s="474"/>
      <c r="AD3" s="475"/>
      <c r="AE3" s="473" t="s">
        <v>157</v>
      </c>
      <c r="AF3" s="474"/>
      <c r="AG3" s="474"/>
      <c r="AH3" s="474"/>
      <c r="AI3" s="475"/>
      <c r="AJ3" s="473" t="s">
        <v>160</v>
      </c>
      <c r="AK3" s="474"/>
      <c r="AL3" s="474"/>
      <c r="AM3" s="474"/>
      <c r="AN3" s="475"/>
      <c r="AO3" s="473" t="s">
        <v>161</v>
      </c>
      <c r="AP3" s="474"/>
      <c r="AQ3" s="474"/>
      <c r="AR3" s="474"/>
      <c r="AS3" s="475"/>
      <c r="AT3" s="473" t="s">
        <v>162</v>
      </c>
      <c r="AU3" s="474"/>
      <c r="AV3" s="474"/>
      <c r="AW3" s="474"/>
      <c r="AX3" s="475"/>
    </row>
    <row r="4" spans="1:53" ht="13.5">
      <c r="A4" s="79"/>
      <c r="B4" s="461" t="s">
        <v>696</v>
      </c>
      <c r="C4" s="461" t="s">
        <v>697</v>
      </c>
      <c r="D4" s="461"/>
      <c r="E4" s="461" t="s">
        <v>698</v>
      </c>
      <c r="F4" s="461"/>
      <c r="G4" s="461"/>
      <c r="H4" s="482" t="s">
        <v>699</v>
      </c>
      <c r="I4" s="461" t="s">
        <v>700</v>
      </c>
      <c r="J4" s="461"/>
      <c r="K4" s="461"/>
      <c r="L4" s="482" t="s">
        <v>396</v>
      </c>
      <c r="M4" s="480" t="s">
        <v>701</v>
      </c>
      <c r="N4" s="461"/>
      <c r="O4" s="461" t="s">
        <v>702</v>
      </c>
      <c r="P4" s="466" t="s">
        <v>398</v>
      </c>
      <c r="Q4" s="467"/>
      <c r="R4" s="467"/>
      <c r="S4" s="468"/>
      <c r="T4" s="461" t="s">
        <v>396</v>
      </c>
      <c r="U4" s="466" t="s">
        <v>398</v>
      </c>
      <c r="V4" s="467"/>
      <c r="W4" s="467"/>
      <c r="X4" s="468"/>
      <c r="Y4" s="461" t="s">
        <v>396</v>
      </c>
      <c r="Z4" s="466" t="s">
        <v>398</v>
      </c>
      <c r="AA4" s="467"/>
      <c r="AB4" s="467"/>
      <c r="AC4" s="468"/>
      <c r="AD4" s="461" t="s">
        <v>396</v>
      </c>
      <c r="AE4" s="466" t="s">
        <v>398</v>
      </c>
      <c r="AF4" s="467"/>
      <c r="AG4" s="467"/>
      <c r="AH4" s="468"/>
      <c r="AI4" s="461" t="s">
        <v>396</v>
      </c>
      <c r="AJ4" s="466" t="s">
        <v>398</v>
      </c>
      <c r="AK4" s="467"/>
      <c r="AL4" s="467"/>
      <c r="AM4" s="468"/>
      <c r="AN4" s="461" t="s">
        <v>396</v>
      </c>
      <c r="AO4" s="466" t="s">
        <v>398</v>
      </c>
      <c r="AP4" s="467"/>
      <c r="AQ4" s="467"/>
      <c r="AR4" s="468"/>
      <c r="AS4" s="461" t="s">
        <v>396</v>
      </c>
      <c r="AT4" s="466" t="s">
        <v>398</v>
      </c>
      <c r="AU4" s="467"/>
      <c r="AV4" s="467"/>
      <c r="AW4" s="468"/>
      <c r="AX4" s="461" t="s">
        <v>396</v>
      </c>
      <c r="BA4" s="461" t="s">
        <v>396</v>
      </c>
    </row>
    <row r="5" spans="1:53" ht="13.5">
      <c r="A5" s="79"/>
      <c r="B5" s="461"/>
      <c r="C5" s="461"/>
      <c r="D5" s="461"/>
      <c r="E5" s="461" t="s">
        <v>703</v>
      </c>
      <c r="F5" s="461"/>
      <c r="G5" s="461"/>
      <c r="H5" s="483"/>
      <c r="I5" s="461" t="s">
        <v>703</v>
      </c>
      <c r="J5" s="461"/>
      <c r="K5" s="461"/>
      <c r="L5" s="483"/>
      <c r="M5" s="485"/>
      <c r="N5" s="461"/>
      <c r="O5" s="461"/>
      <c r="P5" s="466" t="s">
        <v>690</v>
      </c>
      <c r="Q5" s="467"/>
      <c r="R5" s="467"/>
      <c r="S5" s="468"/>
      <c r="T5" s="461"/>
      <c r="U5" s="466" t="s">
        <v>690</v>
      </c>
      <c r="V5" s="467"/>
      <c r="W5" s="467"/>
      <c r="X5" s="468"/>
      <c r="Y5" s="461"/>
      <c r="Z5" s="466" t="s">
        <v>690</v>
      </c>
      <c r="AA5" s="467"/>
      <c r="AB5" s="467"/>
      <c r="AC5" s="468"/>
      <c r="AD5" s="461"/>
      <c r="AE5" s="466" t="s">
        <v>690</v>
      </c>
      <c r="AF5" s="467"/>
      <c r="AG5" s="467"/>
      <c r="AH5" s="468"/>
      <c r="AI5" s="461"/>
      <c r="AJ5" s="466" t="s">
        <v>690</v>
      </c>
      <c r="AK5" s="467"/>
      <c r="AL5" s="467"/>
      <c r="AM5" s="468"/>
      <c r="AN5" s="461"/>
      <c r="AO5" s="466" t="s">
        <v>690</v>
      </c>
      <c r="AP5" s="467"/>
      <c r="AQ5" s="467"/>
      <c r="AR5" s="468"/>
      <c r="AS5" s="461"/>
      <c r="AT5" s="466" t="s">
        <v>690</v>
      </c>
      <c r="AU5" s="467"/>
      <c r="AV5" s="467"/>
      <c r="AW5" s="468"/>
      <c r="AX5" s="461"/>
      <c r="BA5" s="461"/>
    </row>
    <row r="6" spans="1:53" ht="13.5">
      <c r="A6" s="77"/>
      <c r="B6" s="461"/>
      <c r="C6" s="461"/>
      <c r="D6" s="461"/>
      <c r="E6" s="269" t="s">
        <v>704</v>
      </c>
      <c r="F6" s="269" t="s">
        <v>705</v>
      </c>
      <c r="G6" s="269" t="s">
        <v>706</v>
      </c>
      <c r="H6" s="484"/>
      <c r="I6" s="269" t="s">
        <v>704</v>
      </c>
      <c r="J6" s="269" t="s">
        <v>705</v>
      </c>
      <c r="K6" s="269" t="s">
        <v>706</v>
      </c>
      <c r="L6" s="484"/>
      <c r="M6" s="481"/>
      <c r="N6" s="461"/>
      <c r="O6" s="461"/>
      <c r="P6" s="269" t="s">
        <v>405</v>
      </c>
      <c r="Q6" s="269" t="s">
        <v>692</v>
      </c>
      <c r="R6" s="269" t="s">
        <v>693</v>
      </c>
      <c r="S6" s="269" t="s">
        <v>397</v>
      </c>
      <c r="T6" s="461"/>
      <c r="U6" s="269" t="s">
        <v>405</v>
      </c>
      <c r="V6" s="269" t="s">
        <v>692</v>
      </c>
      <c r="W6" s="269" t="s">
        <v>693</v>
      </c>
      <c r="X6" s="269" t="s">
        <v>397</v>
      </c>
      <c r="Y6" s="461"/>
      <c r="Z6" s="269" t="s">
        <v>405</v>
      </c>
      <c r="AA6" s="269" t="s">
        <v>692</v>
      </c>
      <c r="AB6" s="269" t="s">
        <v>693</v>
      </c>
      <c r="AC6" s="269" t="s">
        <v>397</v>
      </c>
      <c r="AD6" s="461"/>
      <c r="AE6" s="269" t="s">
        <v>405</v>
      </c>
      <c r="AF6" s="269" t="s">
        <v>692</v>
      </c>
      <c r="AG6" s="269" t="s">
        <v>693</v>
      </c>
      <c r="AH6" s="269" t="s">
        <v>397</v>
      </c>
      <c r="AI6" s="461"/>
      <c r="AJ6" s="269" t="s">
        <v>405</v>
      </c>
      <c r="AK6" s="269" t="s">
        <v>692</v>
      </c>
      <c r="AL6" s="269" t="s">
        <v>693</v>
      </c>
      <c r="AM6" s="269" t="s">
        <v>397</v>
      </c>
      <c r="AN6" s="461"/>
      <c r="AO6" s="269" t="s">
        <v>405</v>
      </c>
      <c r="AP6" s="269" t="s">
        <v>692</v>
      </c>
      <c r="AQ6" s="269" t="s">
        <v>693</v>
      </c>
      <c r="AR6" s="269" t="s">
        <v>397</v>
      </c>
      <c r="AS6" s="461"/>
      <c r="AT6" s="269" t="s">
        <v>405</v>
      </c>
      <c r="AU6" s="269" t="s">
        <v>692</v>
      </c>
      <c r="AV6" s="269" t="s">
        <v>693</v>
      </c>
      <c r="AW6" s="269" t="s">
        <v>397</v>
      </c>
      <c r="AX6" s="461"/>
      <c r="AZ6" s="269" t="s">
        <v>397</v>
      </c>
      <c r="BA6" s="461"/>
    </row>
    <row r="7" spans="1:53" ht="13.5">
      <c r="A7" s="79"/>
      <c r="B7" s="461" t="s">
        <v>135</v>
      </c>
      <c r="C7" s="182">
        <v>1</v>
      </c>
      <c r="D7" s="203" t="s">
        <v>641</v>
      </c>
      <c r="E7" s="166">
        <v>14</v>
      </c>
      <c r="F7" s="182">
        <v>1500</v>
      </c>
      <c r="G7" s="180">
        <v>107.1</v>
      </c>
      <c r="H7" s="463">
        <f>AVERAGE(G7:G21)</f>
        <v>99.199999999999989</v>
      </c>
      <c r="I7" s="166">
        <f t="shared" ref="I7:I20" si="0">IFERROR(AVERAGE(P7,U7,Z7,AE7,AJ7,AO7,AT7),"-")</f>
        <v>13.428571428571429</v>
      </c>
      <c r="J7" s="166">
        <f t="shared" ref="J7:J20" si="1">IFERROR(AVERAGE(Q7,V7,AA7,AF7,AK7,AP7,AU7),"-")</f>
        <v>1251.9791131555592</v>
      </c>
      <c r="K7" s="180">
        <f t="shared" ref="K7:K20" si="2">IFERROR(AVERAGE(R7,W7,AB7,AG7,AL7,AQ7,AV7),"-")</f>
        <v>93.350700868271915</v>
      </c>
      <c r="L7" s="463">
        <f>IFERROR(AVERAGE(K7:K21),"-")</f>
        <v>86.416426295417338</v>
      </c>
      <c r="M7" s="181">
        <f>RANK(K7, K$7:$K$21)</f>
        <v>1</v>
      </c>
      <c r="N7" s="461"/>
      <c r="O7" s="461"/>
      <c r="P7" s="182">
        <v>14</v>
      </c>
      <c r="Q7" s="166">
        <v>1241.7391304347825</v>
      </c>
      <c r="R7" s="166">
        <v>88.695652173913032</v>
      </c>
      <c r="S7" s="166">
        <v>1</v>
      </c>
      <c r="T7" s="456">
        <v>85.813020463255313</v>
      </c>
      <c r="U7" s="182">
        <v>13</v>
      </c>
      <c r="V7" s="166">
        <v>1263.1578947368412</v>
      </c>
      <c r="W7" s="166">
        <v>97.165991902833937</v>
      </c>
      <c r="X7" s="166">
        <v>1</v>
      </c>
      <c r="Y7" s="456">
        <v>87.587193379376004</v>
      </c>
      <c r="Z7" s="182">
        <v>13</v>
      </c>
      <c r="AA7" s="166">
        <v>1241.2499999999982</v>
      </c>
      <c r="AB7" s="166">
        <v>95.480769230769084</v>
      </c>
      <c r="AC7" s="166">
        <v>1</v>
      </c>
      <c r="AD7" s="456">
        <v>87.218914590705481</v>
      </c>
      <c r="AE7" s="182">
        <v>13</v>
      </c>
      <c r="AF7" s="166">
        <v>1259.9999999999991</v>
      </c>
      <c r="AG7" s="166">
        <v>96.923076923076849</v>
      </c>
      <c r="AH7" s="166">
        <v>1</v>
      </c>
      <c r="AI7" s="456">
        <v>87.194759574790496</v>
      </c>
      <c r="AJ7" s="182">
        <v>13</v>
      </c>
      <c r="AK7" s="166">
        <v>1234.285714285714</v>
      </c>
      <c r="AL7" s="166">
        <v>94.94505494505492</v>
      </c>
      <c r="AM7" s="166">
        <v>1</v>
      </c>
      <c r="AN7" s="456">
        <v>87.378743805214398</v>
      </c>
      <c r="AO7" s="182">
        <v>14</v>
      </c>
      <c r="AP7" s="166">
        <v>1228.421052631578</v>
      </c>
      <c r="AQ7" s="166">
        <v>87.744360902255579</v>
      </c>
      <c r="AR7" s="166">
        <v>1</v>
      </c>
      <c r="AS7" s="456">
        <v>83.929530849467454</v>
      </c>
      <c r="AT7" s="182">
        <v>14</v>
      </c>
      <c r="AU7" s="166">
        <v>1295.0000000000005</v>
      </c>
      <c r="AV7" s="166">
        <v>92.500000000000028</v>
      </c>
      <c r="AW7" s="166">
        <v>1</v>
      </c>
      <c r="AX7" s="456">
        <v>85.792821405112264</v>
      </c>
      <c r="AZ7" s="166" t="e">
        <f t="shared" ref="AZ7:AZ21" si="3">RANK(AY7, AY$7:AY$21)</f>
        <v>#N/A</v>
      </c>
      <c r="BA7" s="518" t="e">
        <f t="shared" ref="BA7" si="4">AVERAGE(AY7:AY21)</f>
        <v>#DIV/0!</v>
      </c>
    </row>
    <row r="8" spans="1:53" ht="15" customHeight="1">
      <c r="A8" s="79"/>
      <c r="B8" s="454"/>
      <c r="C8" s="182">
        <v>2</v>
      </c>
      <c r="D8" s="203" t="s">
        <v>677</v>
      </c>
      <c r="E8" s="166">
        <v>16</v>
      </c>
      <c r="F8" s="182">
        <v>1636</v>
      </c>
      <c r="G8" s="180">
        <v>102.3</v>
      </c>
      <c r="H8" s="464"/>
      <c r="I8" s="166">
        <f t="shared" si="0"/>
        <v>17</v>
      </c>
      <c r="J8" s="166">
        <f t="shared" si="1"/>
        <v>1436.6332329414174</v>
      </c>
      <c r="K8" s="180">
        <f t="shared" si="2"/>
        <v>84.507837231848072</v>
      </c>
      <c r="L8" s="464"/>
      <c r="M8" s="181">
        <f>RANK(K8, K$7:$K$21)</f>
        <v>2</v>
      </c>
      <c r="N8" s="461"/>
      <c r="O8" s="461"/>
      <c r="P8" s="182">
        <v>17</v>
      </c>
      <c r="Q8" s="166">
        <v>1461.3084112149534</v>
      </c>
      <c r="R8" s="166">
        <v>85.959318306761958</v>
      </c>
      <c r="S8" s="166">
        <v>2</v>
      </c>
      <c r="T8" s="456"/>
      <c r="U8" s="182">
        <v>17</v>
      </c>
      <c r="V8" s="166">
        <v>1436.9999999999993</v>
      </c>
      <c r="W8" s="166">
        <v>84.529411764705841</v>
      </c>
      <c r="X8" s="166">
        <v>2</v>
      </c>
      <c r="Y8" s="456"/>
      <c r="Z8" s="182">
        <v>17</v>
      </c>
      <c r="AA8" s="166">
        <v>1450.9756097560969</v>
      </c>
      <c r="AB8" s="166">
        <v>85.351506456240998</v>
      </c>
      <c r="AC8" s="166">
        <v>2</v>
      </c>
      <c r="AD8" s="456"/>
      <c r="AE8" s="182">
        <v>17</v>
      </c>
      <c r="AF8" s="166">
        <v>1420.2272727272727</v>
      </c>
      <c r="AG8" s="166">
        <v>83.542780748663105</v>
      </c>
      <c r="AH8" s="166">
        <v>2</v>
      </c>
      <c r="AI8" s="456"/>
      <c r="AJ8" s="182">
        <v>17</v>
      </c>
      <c r="AK8" s="166">
        <v>1432.6666666666665</v>
      </c>
      <c r="AL8" s="166">
        <v>84.274509803921561</v>
      </c>
      <c r="AM8" s="166">
        <v>2</v>
      </c>
      <c r="AN8" s="456"/>
      <c r="AO8" s="182">
        <v>17</v>
      </c>
      <c r="AP8" s="166">
        <v>1434.4186046511625</v>
      </c>
      <c r="AQ8" s="166">
        <v>84.377564979480141</v>
      </c>
      <c r="AR8" s="166">
        <v>2</v>
      </c>
      <c r="AS8" s="456"/>
      <c r="AT8" s="182">
        <v>17</v>
      </c>
      <c r="AU8" s="166">
        <v>1419.8360655737699</v>
      </c>
      <c r="AV8" s="166">
        <v>83.519768563162941</v>
      </c>
      <c r="AW8" s="166">
        <v>2</v>
      </c>
      <c r="AX8" s="456"/>
      <c r="AZ8" s="166" t="e">
        <f t="shared" si="3"/>
        <v>#N/A</v>
      </c>
      <c r="BA8" s="519"/>
    </row>
    <row r="9" spans="1:53" ht="13.5">
      <c r="A9" s="79"/>
      <c r="B9" s="454"/>
      <c r="C9" s="182">
        <v>3</v>
      </c>
      <c r="D9" s="203" t="s">
        <v>797</v>
      </c>
      <c r="E9" s="166">
        <v>17</v>
      </c>
      <c r="F9" s="182">
        <v>1500</v>
      </c>
      <c r="G9" s="180">
        <v>88.2</v>
      </c>
      <c r="H9" s="464"/>
      <c r="I9" s="166">
        <f t="shared" si="0"/>
        <v>16</v>
      </c>
      <c r="J9" s="166">
        <f t="shared" si="1"/>
        <v>1302.2518525781127</v>
      </c>
      <c r="K9" s="180">
        <f t="shared" si="2"/>
        <v>81.390740786132042</v>
      </c>
      <c r="L9" s="464"/>
      <c r="M9" s="181">
        <f>RANK(K9, K$7:$K$21)</f>
        <v>3</v>
      </c>
      <c r="N9" s="461"/>
      <c r="O9" s="461"/>
      <c r="P9" s="182">
        <v>16</v>
      </c>
      <c r="Q9" s="166">
        <v>1324.5454545454545</v>
      </c>
      <c r="R9" s="166">
        <v>82.784090909090907</v>
      </c>
      <c r="S9" s="166">
        <v>3</v>
      </c>
      <c r="T9" s="456"/>
      <c r="U9" s="182">
        <v>16</v>
      </c>
      <c r="V9" s="166">
        <v>1297.0588235294117</v>
      </c>
      <c r="W9" s="166">
        <v>81.066176470588232</v>
      </c>
      <c r="X9" s="166">
        <v>3</v>
      </c>
      <c r="Y9" s="456"/>
      <c r="Z9" s="182">
        <v>16</v>
      </c>
      <c r="AA9" s="166">
        <v>1293.1914893617022</v>
      </c>
      <c r="AB9" s="166">
        <v>80.824468085106389</v>
      </c>
      <c r="AC9" s="166">
        <v>3</v>
      </c>
      <c r="AD9" s="456"/>
      <c r="AE9" s="182">
        <v>16</v>
      </c>
      <c r="AF9" s="166">
        <v>1297.8947368421043</v>
      </c>
      <c r="AG9" s="166">
        <v>81.118421052631518</v>
      </c>
      <c r="AH9" s="166">
        <v>3</v>
      </c>
      <c r="AI9" s="456"/>
      <c r="AJ9" s="182">
        <v>16</v>
      </c>
      <c r="AK9" s="166">
        <v>1326.6666666666672</v>
      </c>
      <c r="AL9" s="166">
        <v>82.9166666666667</v>
      </c>
      <c r="AM9" s="166">
        <v>3</v>
      </c>
      <c r="AN9" s="456"/>
      <c r="AO9" s="182">
        <v>16</v>
      </c>
      <c r="AP9" s="166">
        <v>1274.6666666666665</v>
      </c>
      <c r="AQ9" s="166">
        <v>79.666666666666657</v>
      </c>
      <c r="AR9" s="166">
        <v>3</v>
      </c>
      <c r="AS9" s="456"/>
      <c r="AT9" s="182">
        <v>16</v>
      </c>
      <c r="AU9" s="166">
        <v>1301.7391304347814</v>
      </c>
      <c r="AV9" s="166">
        <v>81.358695652173836</v>
      </c>
      <c r="AW9" s="166">
        <v>3</v>
      </c>
      <c r="AX9" s="456"/>
      <c r="AZ9" s="166" t="e">
        <f t="shared" si="3"/>
        <v>#N/A</v>
      </c>
      <c r="BA9" s="519"/>
    </row>
    <row r="10" spans="1:53" ht="13.5">
      <c r="A10" s="79"/>
      <c r="B10" s="454"/>
      <c r="C10" s="182">
        <v>4</v>
      </c>
      <c r="D10" s="203"/>
      <c r="E10" s="166"/>
      <c r="F10" s="182"/>
      <c r="G10" s="180"/>
      <c r="H10" s="464"/>
      <c r="I10" s="166" t="str">
        <f t="shared" si="0"/>
        <v>-</v>
      </c>
      <c r="J10" s="166" t="str">
        <f t="shared" si="1"/>
        <v>-</v>
      </c>
      <c r="K10" s="180" t="str">
        <f t="shared" si="2"/>
        <v>-</v>
      </c>
      <c r="L10" s="464"/>
      <c r="M10" s="181" t="e">
        <f>RANK(K10, K$7:$K$21)</f>
        <v>#VALUE!</v>
      </c>
      <c r="N10" s="461"/>
      <c r="O10" s="461"/>
      <c r="P10" s="182" t="s">
        <v>890</v>
      </c>
      <c r="Q10" s="166" t="s">
        <v>890</v>
      </c>
      <c r="R10" s="166" t="s">
        <v>890</v>
      </c>
      <c r="S10" s="166" t="e">
        <v>#VALUE!</v>
      </c>
      <c r="T10" s="456"/>
      <c r="U10" s="182" t="s">
        <v>890</v>
      </c>
      <c r="V10" s="166" t="s">
        <v>890</v>
      </c>
      <c r="W10" s="166" t="s">
        <v>890</v>
      </c>
      <c r="X10" s="166" t="e">
        <v>#VALUE!</v>
      </c>
      <c r="Y10" s="456"/>
      <c r="Z10" s="182" t="s">
        <v>890</v>
      </c>
      <c r="AA10" s="166" t="s">
        <v>890</v>
      </c>
      <c r="AB10" s="166" t="s">
        <v>890</v>
      </c>
      <c r="AC10" s="166" t="e">
        <v>#VALUE!</v>
      </c>
      <c r="AD10" s="456"/>
      <c r="AE10" s="182" t="s">
        <v>890</v>
      </c>
      <c r="AF10" s="166" t="s">
        <v>890</v>
      </c>
      <c r="AG10" s="166" t="s">
        <v>890</v>
      </c>
      <c r="AH10" s="166" t="e">
        <v>#VALUE!</v>
      </c>
      <c r="AI10" s="456"/>
      <c r="AJ10" s="182" t="s">
        <v>890</v>
      </c>
      <c r="AK10" s="166" t="s">
        <v>890</v>
      </c>
      <c r="AL10" s="166" t="s">
        <v>890</v>
      </c>
      <c r="AM10" s="166" t="e">
        <v>#VALUE!</v>
      </c>
      <c r="AN10" s="456"/>
      <c r="AO10" s="182" t="s">
        <v>890</v>
      </c>
      <c r="AP10" s="166" t="s">
        <v>890</v>
      </c>
      <c r="AQ10" s="166" t="s">
        <v>890</v>
      </c>
      <c r="AR10" s="166" t="e">
        <v>#VALUE!</v>
      </c>
      <c r="AS10" s="456"/>
      <c r="AT10" s="182" t="s">
        <v>890</v>
      </c>
      <c r="AU10" s="166" t="s">
        <v>890</v>
      </c>
      <c r="AV10" s="166" t="s">
        <v>890</v>
      </c>
      <c r="AW10" s="166" t="e">
        <v>#VALUE!</v>
      </c>
      <c r="AX10" s="456"/>
      <c r="AZ10" s="166" t="e">
        <f t="shared" si="3"/>
        <v>#N/A</v>
      </c>
      <c r="BA10" s="519"/>
    </row>
    <row r="11" spans="1:53" ht="13.5">
      <c r="A11" s="79"/>
      <c r="B11" s="454"/>
      <c r="C11" s="182">
        <v>5</v>
      </c>
      <c r="D11" s="203"/>
      <c r="E11" s="166"/>
      <c r="F11" s="182"/>
      <c r="G11" s="180"/>
      <c r="H11" s="464"/>
      <c r="I11" s="166" t="str">
        <f t="shared" si="0"/>
        <v>-</v>
      </c>
      <c r="J11" s="166" t="str">
        <f t="shared" si="1"/>
        <v>-</v>
      </c>
      <c r="K11" s="180" t="str">
        <f t="shared" si="2"/>
        <v>-</v>
      </c>
      <c r="L11" s="464"/>
      <c r="M11" s="181" t="e">
        <f>RANK(K11, K$7:$K$21)</f>
        <v>#VALUE!</v>
      </c>
      <c r="N11" s="461"/>
      <c r="O11" s="461"/>
      <c r="P11" s="182" t="s">
        <v>890</v>
      </c>
      <c r="Q11" s="166" t="s">
        <v>890</v>
      </c>
      <c r="R11" s="166" t="s">
        <v>890</v>
      </c>
      <c r="S11" s="166" t="e">
        <v>#VALUE!</v>
      </c>
      <c r="T11" s="456"/>
      <c r="U11" s="182" t="s">
        <v>890</v>
      </c>
      <c r="V11" s="166" t="s">
        <v>890</v>
      </c>
      <c r="W11" s="166" t="s">
        <v>890</v>
      </c>
      <c r="X11" s="166" t="e">
        <v>#VALUE!</v>
      </c>
      <c r="Y11" s="456"/>
      <c r="Z11" s="182" t="s">
        <v>890</v>
      </c>
      <c r="AA11" s="166" t="s">
        <v>890</v>
      </c>
      <c r="AB11" s="166" t="s">
        <v>890</v>
      </c>
      <c r="AC11" s="166" t="e">
        <v>#VALUE!</v>
      </c>
      <c r="AD11" s="456"/>
      <c r="AE11" s="182" t="s">
        <v>890</v>
      </c>
      <c r="AF11" s="166" t="s">
        <v>890</v>
      </c>
      <c r="AG11" s="166" t="s">
        <v>890</v>
      </c>
      <c r="AH11" s="166" t="e">
        <v>#VALUE!</v>
      </c>
      <c r="AI11" s="456"/>
      <c r="AJ11" s="182" t="s">
        <v>890</v>
      </c>
      <c r="AK11" s="166" t="s">
        <v>890</v>
      </c>
      <c r="AL11" s="166" t="s">
        <v>890</v>
      </c>
      <c r="AM11" s="166" t="e">
        <v>#VALUE!</v>
      </c>
      <c r="AN11" s="456"/>
      <c r="AO11" s="182" t="s">
        <v>890</v>
      </c>
      <c r="AP11" s="166" t="s">
        <v>890</v>
      </c>
      <c r="AQ11" s="166" t="s">
        <v>890</v>
      </c>
      <c r="AR11" s="166" t="e">
        <v>#VALUE!</v>
      </c>
      <c r="AS11" s="456"/>
      <c r="AT11" s="182" t="s">
        <v>890</v>
      </c>
      <c r="AU11" s="166" t="s">
        <v>890</v>
      </c>
      <c r="AV11" s="166" t="s">
        <v>890</v>
      </c>
      <c r="AW11" s="166" t="e">
        <v>#VALUE!</v>
      </c>
      <c r="AX11" s="456"/>
      <c r="AZ11" s="166" t="e">
        <f t="shared" si="3"/>
        <v>#N/A</v>
      </c>
      <c r="BA11" s="519"/>
    </row>
    <row r="12" spans="1:53" ht="13.5">
      <c r="A12" s="79"/>
      <c r="B12" s="454"/>
      <c r="C12" s="182">
        <v>6</v>
      </c>
      <c r="D12" s="203"/>
      <c r="E12" s="166"/>
      <c r="F12" s="182"/>
      <c r="G12" s="180"/>
      <c r="H12" s="464"/>
      <c r="I12" s="166" t="str">
        <f t="shared" si="0"/>
        <v>-</v>
      </c>
      <c r="J12" s="166" t="str">
        <f t="shared" si="1"/>
        <v>-</v>
      </c>
      <c r="K12" s="180" t="str">
        <f t="shared" si="2"/>
        <v>-</v>
      </c>
      <c r="L12" s="464"/>
      <c r="M12" s="181" t="e">
        <f>RANK(K12, K$7:$K$21)</f>
        <v>#VALUE!</v>
      </c>
      <c r="N12" s="461"/>
      <c r="O12" s="461"/>
      <c r="P12" s="182" t="s">
        <v>890</v>
      </c>
      <c r="Q12" s="166" t="s">
        <v>890</v>
      </c>
      <c r="R12" s="166" t="s">
        <v>890</v>
      </c>
      <c r="S12" s="166" t="e">
        <v>#VALUE!</v>
      </c>
      <c r="T12" s="456"/>
      <c r="U12" s="182" t="s">
        <v>890</v>
      </c>
      <c r="V12" s="166" t="s">
        <v>890</v>
      </c>
      <c r="W12" s="166" t="s">
        <v>890</v>
      </c>
      <c r="X12" s="166" t="e">
        <v>#VALUE!</v>
      </c>
      <c r="Y12" s="456"/>
      <c r="Z12" s="182" t="s">
        <v>890</v>
      </c>
      <c r="AA12" s="166" t="s">
        <v>890</v>
      </c>
      <c r="AB12" s="166" t="s">
        <v>890</v>
      </c>
      <c r="AC12" s="166" t="e">
        <v>#VALUE!</v>
      </c>
      <c r="AD12" s="456"/>
      <c r="AE12" s="182" t="s">
        <v>890</v>
      </c>
      <c r="AF12" s="166" t="s">
        <v>890</v>
      </c>
      <c r="AG12" s="166" t="s">
        <v>890</v>
      </c>
      <c r="AH12" s="166" t="e">
        <v>#VALUE!</v>
      </c>
      <c r="AI12" s="456"/>
      <c r="AJ12" s="182" t="s">
        <v>890</v>
      </c>
      <c r="AK12" s="166" t="s">
        <v>890</v>
      </c>
      <c r="AL12" s="166" t="s">
        <v>890</v>
      </c>
      <c r="AM12" s="166" t="e">
        <v>#VALUE!</v>
      </c>
      <c r="AN12" s="456"/>
      <c r="AO12" s="182" t="s">
        <v>890</v>
      </c>
      <c r="AP12" s="166" t="s">
        <v>890</v>
      </c>
      <c r="AQ12" s="166" t="s">
        <v>890</v>
      </c>
      <c r="AR12" s="166" t="e">
        <v>#VALUE!</v>
      </c>
      <c r="AS12" s="456"/>
      <c r="AT12" s="182" t="s">
        <v>890</v>
      </c>
      <c r="AU12" s="166" t="s">
        <v>890</v>
      </c>
      <c r="AV12" s="166" t="s">
        <v>890</v>
      </c>
      <c r="AW12" s="166" t="e">
        <v>#VALUE!</v>
      </c>
      <c r="AX12" s="456"/>
      <c r="AZ12" s="166" t="e">
        <f t="shared" si="3"/>
        <v>#N/A</v>
      </c>
      <c r="BA12" s="519"/>
    </row>
    <row r="13" spans="1:53" ht="13.5">
      <c r="A13" s="79"/>
      <c r="B13" s="454"/>
      <c r="C13" s="182">
        <v>7</v>
      </c>
      <c r="D13" s="203"/>
      <c r="E13" s="166"/>
      <c r="F13" s="166"/>
      <c r="G13" s="166"/>
      <c r="H13" s="464"/>
      <c r="I13" s="166" t="str">
        <f t="shared" si="0"/>
        <v>-</v>
      </c>
      <c r="J13" s="166" t="str">
        <f t="shared" si="1"/>
        <v>-</v>
      </c>
      <c r="K13" s="180" t="str">
        <f t="shared" si="2"/>
        <v>-</v>
      </c>
      <c r="L13" s="464"/>
      <c r="M13" s="181" t="e">
        <f>RANK(K13, K$7:$K$21)</f>
        <v>#VALUE!</v>
      </c>
      <c r="N13" s="461"/>
      <c r="O13" s="461"/>
      <c r="P13" s="182" t="s">
        <v>890</v>
      </c>
      <c r="Q13" s="166" t="s">
        <v>890</v>
      </c>
      <c r="R13" s="166" t="s">
        <v>890</v>
      </c>
      <c r="S13" s="166" t="e">
        <v>#VALUE!</v>
      </c>
      <c r="T13" s="456"/>
      <c r="U13" s="182" t="s">
        <v>890</v>
      </c>
      <c r="V13" s="166" t="s">
        <v>890</v>
      </c>
      <c r="W13" s="166" t="s">
        <v>890</v>
      </c>
      <c r="X13" s="166"/>
      <c r="Y13" s="456"/>
      <c r="Z13" s="182" t="s">
        <v>890</v>
      </c>
      <c r="AA13" s="166" t="s">
        <v>890</v>
      </c>
      <c r="AB13" s="166" t="s">
        <v>890</v>
      </c>
      <c r="AC13" s="166"/>
      <c r="AD13" s="456"/>
      <c r="AE13" s="182" t="s">
        <v>890</v>
      </c>
      <c r="AF13" s="166" t="s">
        <v>890</v>
      </c>
      <c r="AG13" s="166" t="s">
        <v>890</v>
      </c>
      <c r="AH13" s="166"/>
      <c r="AI13" s="456"/>
      <c r="AJ13" s="182" t="s">
        <v>890</v>
      </c>
      <c r="AK13" s="166" t="s">
        <v>890</v>
      </c>
      <c r="AL13" s="166" t="s">
        <v>890</v>
      </c>
      <c r="AM13" s="166"/>
      <c r="AN13" s="456"/>
      <c r="AO13" s="182" t="s">
        <v>890</v>
      </c>
      <c r="AP13" s="166" t="s">
        <v>890</v>
      </c>
      <c r="AQ13" s="166" t="s">
        <v>890</v>
      </c>
      <c r="AR13" s="166"/>
      <c r="AS13" s="456"/>
      <c r="AT13" s="182" t="s">
        <v>890</v>
      </c>
      <c r="AU13" s="166" t="s">
        <v>890</v>
      </c>
      <c r="AV13" s="166" t="s">
        <v>890</v>
      </c>
      <c r="AW13" s="166"/>
      <c r="AX13" s="456"/>
      <c r="AZ13" s="166" t="e">
        <f t="shared" si="3"/>
        <v>#N/A</v>
      </c>
      <c r="BA13" s="519"/>
    </row>
    <row r="14" spans="1:53" ht="13.5">
      <c r="A14" s="79"/>
      <c r="B14" s="454"/>
      <c r="C14" s="182">
        <v>8</v>
      </c>
      <c r="D14" s="203"/>
      <c r="E14" s="166"/>
      <c r="F14" s="166"/>
      <c r="G14" s="166"/>
      <c r="H14" s="464"/>
      <c r="I14" s="166" t="str">
        <f t="shared" si="0"/>
        <v>-</v>
      </c>
      <c r="J14" s="166" t="str">
        <f t="shared" si="1"/>
        <v>-</v>
      </c>
      <c r="K14" s="180" t="str">
        <f t="shared" si="2"/>
        <v>-</v>
      </c>
      <c r="L14" s="464"/>
      <c r="M14" s="181" t="e">
        <f>RANK(K14, K$7:$K$21)</f>
        <v>#VALUE!</v>
      </c>
      <c r="N14" s="461"/>
      <c r="O14" s="461"/>
      <c r="P14" s="182" t="s">
        <v>890</v>
      </c>
      <c r="Q14" s="166" t="s">
        <v>890</v>
      </c>
      <c r="R14" s="166" t="s">
        <v>890</v>
      </c>
      <c r="S14" s="166" t="e">
        <v>#VALUE!</v>
      </c>
      <c r="T14" s="456"/>
      <c r="U14" s="182" t="s">
        <v>890</v>
      </c>
      <c r="V14" s="166" t="s">
        <v>890</v>
      </c>
      <c r="W14" s="166" t="s">
        <v>890</v>
      </c>
      <c r="X14" s="166"/>
      <c r="Y14" s="456"/>
      <c r="Z14" s="182" t="s">
        <v>890</v>
      </c>
      <c r="AA14" s="166" t="s">
        <v>890</v>
      </c>
      <c r="AB14" s="166" t="s">
        <v>890</v>
      </c>
      <c r="AC14" s="166"/>
      <c r="AD14" s="456"/>
      <c r="AE14" s="182" t="s">
        <v>890</v>
      </c>
      <c r="AF14" s="166" t="s">
        <v>890</v>
      </c>
      <c r="AG14" s="166" t="s">
        <v>890</v>
      </c>
      <c r="AH14" s="166"/>
      <c r="AI14" s="456"/>
      <c r="AJ14" s="182" t="s">
        <v>890</v>
      </c>
      <c r="AK14" s="166" t="s">
        <v>890</v>
      </c>
      <c r="AL14" s="166" t="s">
        <v>890</v>
      </c>
      <c r="AM14" s="166"/>
      <c r="AN14" s="456"/>
      <c r="AO14" s="182" t="s">
        <v>890</v>
      </c>
      <c r="AP14" s="166" t="s">
        <v>890</v>
      </c>
      <c r="AQ14" s="166" t="s">
        <v>890</v>
      </c>
      <c r="AR14" s="166"/>
      <c r="AS14" s="456"/>
      <c r="AT14" s="182" t="s">
        <v>890</v>
      </c>
      <c r="AU14" s="166" t="s">
        <v>890</v>
      </c>
      <c r="AV14" s="166" t="s">
        <v>890</v>
      </c>
      <c r="AW14" s="166"/>
      <c r="AX14" s="456"/>
      <c r="AZ14" s="166" t="e">
        <f t="shared" si="3"/>
        <v>#N/A</v>
      </c>
      <c r="BA14" s="519"/>
    </row>
    <row r="15" spans="1:53" ht="13.5">
      <c r="A15" s="79"/>
      <c r="B15" s="454"/>
      <c r="C15" s="182">
        <v>9</v>
      </c>
      <c r="D15" s="203"/>
      <c r="E15" s="166"/>
      <c r="F15" s="166"/>
      <c r="G15" s="166"/>
      <c r="H15" s="464"/>
      <c r="I15" s="166" t="str">
        <f t="shared" si="0"/>
        <v>-</v>
      </c>
      <c r="J15" s="166" t="str">
        <f t="shared" si="1"/>
        <v>-</v>
      </c>
      <c r="K15" s="180" t="str">
        <f t="shared" si="2"/>
        <v>-</v>
      </c>
      <c r="L15" s="464"/>
      <c r="M15" s="181" t="e">
        <f>RANK(K15, K$7:$K$21)</f>
        <v>#VALUE!</v>
      </c>
      <c r="N15" s="461"/>
      <c r="O15" s="461"/>
      <c r="P15" s="182" t="s">
        <v>890</v>
      </c>
      <c r="Q15" s="166" t="s">
        <v>890</v>
      </c>
      <c r="R15" s="166" t="s">
        <v>890</v>
      </c>
      <c r="S15" s="166" t="e">
        <v>#VALUE!</v>
      </c>
      <c r="T15" s="456"/>
      <c r="U15" s="182" t="s">
        <v>890</v>
      </c>
      <c r="V15" s="166" t="s">
        <v>890</v>
      </c>
      <c r="W15" s="166" t="s">
        <v>890</v>
      </c>
      <c r="X15" s="166"/>
      <c r="Y15" s="456"/>
      <c r="Z15" s="182" t="s">
        <v>890</v>
      </c>
      <c r="AA15" s="166" t="s">
        <v>890</v>
      </c>
      <c r="AB15" s="166" t="s">
        <v>890</v>
      </c>
      <c r="AC15" s="166"/>
      <c r="AD15" s="456"/>
      <c r="AE15" s="182" t="s">
        <v>890</v>
      </c>
      <c r="AF15" s="166" t="s">
        <v>890</v>
      </c>
      <c r="AG15" s="166" t="s">
        <v>890</v>
      </c>
      <c r="AH15" s="166"/>
      <c r="AI15" s="456"/>
      <c r="AJ15" s="182" t="s">
        <v>890</v>
      </c>
      <c r="AK15" s="166" t="s">
        <v>890</v>
      </c>
      <c r="AL15" s="166" t="s">
        <v>890</v>
      </c>
      <c r="AM15" s="166"/>
      <c r="AN15" s="456"/>
      <c r="AO15" s="182" t="s">
        <v>890</v>
      </c>
      <c r="AP15" s="166" t="s">
        <v>890</v>
      </c>
      <c r="AQ15" s="166" t="s">
        <v>890</v>
      </c>
      <c r="AR15" s="166"/>
      <c r="AS15" s="456"/>
      <c r="AT15" s="182" t="s">
        <v>890</v>
      </c>
      <c r="AU15" s="166" t="s">
        <v>890</v>
      </c>
      <c r="AV15" s="166" t="s">
        <v>890</v>
      </c>
      <c r="AW15" s="166"/>
      <c r="AX15" s="456"/>
      <c r="AZ15" s="166" t="e">
        <f t="shared" si="3"/>
        <v>#N/A</v>
      </c>
      <c r="BA15" s="519"/>
    </row>
    <row r="16" spans="1:53" ht="13.5">
      <c r="A16" s="79"/>
      <c r="B16" s="454"/>
      <c r="C16" s="182">
        <v>10</v>
      </c>
      <c r="D16" s="203"/>
      <c r="E16" s="166"/>
      <c r="F16" s="166"/>
      <c r="G16" s="166"/>
      <c r="H16" s="464"/>
      <c r="I16" s="166" t="str">
        <f t="shared" si="0"/>
        <v>-</v>
      </c>
      <c r="J16" s="166" t="str">
        <f t="shared" si="1"/>
        <v>-</v>
      </c>
      <c r="K16" s="180" t="str">
        <f t="shared" si="2"/>
        <v>-</v>
      </c>
      <c r="L16" s="464"/>
      <c r="M16" s="181" t="e">
        <f>RANK(K16, K$7:$K$21)</f>
        <v>#VALUE!</v>
      </c>
      <c r="N16" s="461"/>
      <c r="O16" s="461"/>
      <c r="P16" s="182" t="s">
        <v>890</v>
      </c>
      <c r="Q16" s="166" t="s">
        <v>890</v>
      </c>
      <c r="R16" s="166" t="s">
        <v>890</v>
      </c>
      <c r="S16" s="166" t="e">
        <v>#VALUE!</v>
      </c>
      <c r="T16" s="456"/>
      <c r="U16" s="182" t="s">
        <v>890</v>
      </c>
      <c r="V16" s="166" t="s">
        <v>890</v>
      </c>
      <c r="W16" s="166" t="s">
        <v>890</v>
      </c>
      <c r="X16" s="166"/>
      <c r="Y16" s="456"/>
      <c r="Z16" s="182" t="s">
        <v>890</v>
      </c>
      <c r="AA16" s="166" t="s">
        <v>890</v>
      </c>
      <c r="AB16" s="166" t="s">
        <v>890</v>
      </c>
      <c r="AC16" s="166"/>
      <c r="AD16" s="456"/>
      <c r="AE16" s="182" t="s">
        <v>890</v>
      </c>
      <c r="AF16" s="166" t="s">
        <v>890</v>
      </c>
      <c r="AG16" s="166" t="s">
        <v>890</v>
      </c>
      <c r="AH16" s="166"/>
      <c r="AI16" s="456"/>
      <c r="AJ16" s="182" t="s">
        <v>890</v>
      </c>
      <c r="AK16" s="166" t="s">
        <v>890</v>
      </c>
      <c r="AL16" s="166" t="s">
        <v>890</v>
      </c>
      <c r="AM16" s="166"/>
      <c r="AN16" s="456"/>
      <c r="AO16" s="182" t="s">
        <v>890</v>
      </c>
      <c r="AP16" s="166" t="s">
        <v>890</v>
      </c>
      <c r="AQ16" s="166" t="s">
        <v>890</v>
      </c>
      <c r="AR16" s="166"/>
      <c r="AS16" s="456"/>
      <c r="AT16" s="182" t="s">
        <v>890</v>
      </c>
      <c r="AU16" s="166" t="s">
        <v>890</v>
      </c>
      <c r="AV16" s="166" t="s">
        <v>890</v>
      </c>
      <c r="AW16" s="166"/>
      <c r="AX16" s="456"/>
      <c r="AZ16" s="166" t="e">
        <f t="shared" si="3"/>
        <v>#N/A</v>
      </c>
      <c r="BA16" s="519"/>
    </row>
    <row r="17" spans="2:53">
      <c r="B17" s="454"/>
      <c r="C17" s="182">
        <v>11</v>
      </c>
      <c r="D17" s="203"/>
      <c r="E17" s="166"/>
      <c r="F17" s="166"/>
      <c r="G17" s="166"/>
      <c r="H17" s="464"/>
      <c r="I17" s="166" t="str">
        <f t="shared" si="0"/>
        <v>-</v>
      </c>
      <c r="J17" s="166" t="str">
        <f t="shared" si="1"/>
        <v>-</v>
      </c>
      <c r="K17" s="180" t="str">
        <f t="shared" si="2"/>
        <v>-</v>
      </c>
      <c r="L17" s="464"/>
      <c r="M17" s="181" t="e">
        <f>RANK(K17, K$7:$K$21)</f>
        <v>#VALUE!</v>
      </c>
      <c r="N17" s="461"/>
      <c r="O17" s="461"/>
      <c r="P17" s="182" t="s">
        <v>890</v>
      </c>
      <c r="Q17" s="166" t="s">
        <v>890</v>
      </c>
      <c r="R17" s="166" t="s">
        <v>890</v>
      </c>
      <c r="S17" s="166"/>
      <c r="T17" s="456"/>
      <c r="U17" s="182" t="s">
        <v>890</v>
      </c>
      <c r="V17" s="166" t="s">
        <v>890</v>
      </c>
      <c r="W17" s="166" t="s">
        <v>890</v>
      </c>
      <c r="X17" s="166"/>
      <c r="Y17" s="456"/>
      <c r="Z17" s="182" t="s">
        <v>890</v>
      </c>
      <c r="AA17" s="166" t="s">
        <v>890</v>
      </c>
      <c r="AB17" s="166" t="s">
        <v>890</v>
      </c>
      <c r="AC17" s="166"/>
      <c r="AD17" s="456"/>
      <c r="AE17" s="182" t="s">
        <v>890</v>
      </c>
      <c r="AF17" s="166" t="s">
        <v>890</v>
      </c>
      <c r="AG17" s="166" t="s">
        <v>890</v>
      </c>
      <c r="AH17" s="166"/>
      <c r="AI17" s="456"/>
      <c r="AJ17" s="182" t="s">
        <v>890</v>
      </c>
      <c r="AK17" s="166" t="s">
        <v>890</v>
      </c>
      <c r="AL17" s="166" t="s">
        <v>890</v>
      </c>
      <c r="AM17" s="166"/>
      <c r="AN17" s="456"/>
      <c r="AO17" s="182" t="s">
        <v>890</v>
      </c>
      <c r="AP17" s="166" t="s">
        <v>890</v>
      </c>
      <c r="AQ17" s="166" t="s">
        <v>890</v>
      </c>
      <c r="AR17" s="166"/>
      <c r="AS17" s="456"/>
      <c r="AT17" s="182" t="s">
        <v>890</v>
      </c>
      <c r="AU17" s="166" t="s">
        <v>890</v>
      </c>
      <c r="AV17" s="166" t="s">
        <v>890</v>
      </c>
      <c r="AW17" s="166"/>
      <c r="AX17" s="456"/>
      <c r="AZ17" s="166" t="e">
        <f t="shared" si="3"/>
        <v>#N/A</v>
      </c>
      <c r="BA17" s="519"/>
    </row>
    <row r="18" spans="2:53">
      <c r="B18" s="454"/>
      <c r="C18" s="182">
        <v>12</v>
      </c>
      <c r="D18" s="203"/>
      <c r="E18" s="166"/>
      <c r="F18" s="166"/>
      <c r="G18" s="166"/>
      <c r="H18" s="464"/>
      <c r="I18" s="166" t="str">
        <f t="shared" si="0"/>
        <v>-</v>
      </c>
      <c r="J18" s="166" t="str">
        <f t="shared" si="1"/>
        <v>-</v>
      </c>
      <c r="K18" s="180" t="str">
        <f t="shared" si="2"/>
        <v>-</v>
      </c>
      <c r="L18" s="464"/>
      <c r="M18" s="181" t="e">
        <f>RANK(K18, K$7:$K$21)</f>
        <v>#VALUE!</v>
      </c>
      <c r="N18" s="461"/>
      <c r="O18" s="461"/>
      <c r="P18" s="182" t="s">
        <v>890</v>
      </c>
      <c r="Q18" s="166" t="s">
        <v>890</v>
      </c>
      <c r="R18" s="166" t="s">
        <v>890</v>
      </c>
      <c r="S18" s="166"/>
      <c r="T18" s="456"/>
      <c r="U18" s="182" t="s">
        <v>890</v>
      </c>
      <c r="V18" s="166" t="s">
        <v>890</v>
      </c>
      <c r="W18" s="166" t="s">
        <v>890</v>
      </c>
      <c r="X18" s="166"/>
      <c r="Y18" s="456"/>
      <c r="Z18" s="182" t="s">
        <v>890</v>
      </c>
      <c r="AA18" s="166" t="s">
        <v>890</v>
      </c>
      <c r="AB18" s="166" t="s">
        <v>890</v>
      </c>
      <c r="AC18" s="166"/>
      <c r="AD18" s="456"/>
      <c r="AE18" s="182" t="s">
        <v>890</v>
      </c>
      <c r="AF18" s="166" t="s">
        <v>890</v>
      </c>
      <c r="AG18" s="166" t="s">
        <v>890</v>
      </c>
      <c r="AH18" s="166"/>
      <c r="AI18" s="456"/>
      <c r="AJ18" s="182" t="s">
        <v>890</v>
      </c>
      <c r="AK18" s="166" t="s">
        <v>890</v>
      </c>
      <c r="AL18" s="166" t="s">
        <v>890</v>
      </c>
      <c r="AM18" s="166"/>
      <c r="AN18" s="456"/>
      <c r="AO18" s="182" t="s">
        <v>890</v>
      </c>
      <c r="AP18" s="166" t="s">
        <v>890</v>
      </c>
      <c r="AQ18" s="166" t="s">
        <v>890</v>
      </c>
      <c r="AR18" s="166"/>
      <c r="AS18" s="456"/>
      <c r="AT18" s="182" t="s">
        <v>890</v>
      </c>
      <c r="AU18" s="166" t="s">
        <v>890</v>
      </c>
      <c r="AV18" s="166" t="s">
        <v>890</v>
      </c>
      <c r="AW18" s="166"/>
      <c r="AX18" s="456"/>
      <c r="AZ18" s="166" t="e">
        <f t="shared" si="3"/>
        <v>#N/A</v>
      </c>
      <c r="BA18" s="519"/>
    </row>
    <row r="19" spans="2:53">
      <c r="B19" s="454"/>
      <c r="C19" s="182">
        <v>13</v>
      </c>
      <c r="D19" s="203"/>
      <c r="E19" s="166"/>
      <c r="F19" s="166"/>
      <c r="G19" s="166"/>
      <c r="H19" s="464"/>
      <c r="I19" s="166" t="str">
        <f t="shared" si="0"/>
        <v>-</v>
      </c>
      <c r="J19" s="166" t="str">
        <f t="shared" si="1"/>
        <v>-</v>
      </c>
      <c r="K19" s="180" t="str">
        <f t="shared" si="2"/>
        <v>-</v>
      </c>
      <c r="L19" s="464"/>
      <c r="M19" s="181" t="e">
        <f>RANK(K19, K$7:$K$21)</f>
        <v>#VALUE!</v>
      </c>
      <c r="N19" s="461"/>
      <c r="O19" s="461"/>
      <c r="P19" s="182" t="s">
        <v>890</v>
      </c>
      <c r="Q19" s="166" t="s">
        <v>890</v>
      </c>
      <c r="R19" s="166" t="s">
        <v>890</v>
      </c>
      <c r="S19" s="166"/>
      <c r="T19" s="456"/>
      <c r="U19" s="182" t="s">
        <v>890</v>
      </c>
      <c r="V19" s="166" t="s">
        <v>890</v>
      </c>
      <c r="W19" s="166" t="s">
        <v>890</v>
      </c>
      <c r="X19" s="166"/>
      <c r="Y19" s="456"/>
      <c r="Z19" s="182" t="s">
        <v>890</v>
      </c>
      <c r="AA19" s="166" t="s">
        <v>890</v>
      </c>
      <c r="AB19" s="166" t="s">
        <v>890</v>
      </c>
      <c r="AC19" s="166"/>
      <c r="AD19" s="456"/>
      <c r="AE19" s="182" t="s">
        <v>890</v>
      </c>
      <c r="AF19" s="166" t="s">
        <v>890</v>
      </c>
      <c r="AG19" s="166" t="s">
        <v>890</v>
      </c>
      <c r="AH19" s="166"/>
      <c r="AI19" s="456"/>
      <c r="AJ19" s="182" t="s">
        <v>890</v>
      </c>
      <c r="AK19" s="166" t="s">
        <v>890</v>
      </c>
      <c r="AL19" s="166" t="s">
        <v>890</v>
      </c>
      <c r="AM19" s="166"/>
      <c r="AN19" s="456"/>
      <c r="AO19" s="182" t="s">
        <v>890</v>
      </c>
      <c r="AP19" s="166" t="s">
        <v>890</v>
      </c>
      <c r="AQ19" s="166" t="s">
        <v>890</v>
      </c>
      <c r="AR19" s="166"/>
      <c r="AS19" s="456"/>
      <c r="AT19" s="182" t="s">
        <v>890</v>
      </c>
      <c r="AU19" s="166" t="s">
        <v>890</v>
      </c>
      <c r="AV19" s="166" t="s">
        <v>890</v>
      </c>
      <c r="AW19" s="166"/>
      <c r="AX19" s="456"/>
      <c r="AZ19" s="166" t="e">
        <f t="shared" si="3"/>
        <v>#N/A</v>
      </c>
      <c r="BA19" s="519"/>
    </row>
    <row r="20" spans="2:53">
      <c r="B20" s="454"/>
      <c r="C20" s="182">
        <v>14</v>
      </c>
      <c r="D20" s="203"/>
      <c r="E20" s="166"/>
      <c r="F20" s="166"/>
      <c r="G20" s="166"/>
      <c r="H20" s="464"/>
      <c r="I20" s="166" t="str">
        <f t="shared" si="0"/>
        <v>-</v>
      </c>
      <c r="J20" s="166" t="str">
        <f t="shared" si="1"/>
        <v>-</v>
      </c>
      <c r="K20" s="180" t="str">
        <f t="shared" si="2"/>
        <v>-</v>
      </c>
      <c r="L20" s="464"/>
      <c r="M20" s="181" t="e">
        <f>RANK(K20, K$7:$K$21)</f>
        <v>#VALUE!</v>
      </c>
      <c r="N20" s="461"/>
      <c r="O20" s="461"/>
      <c r="P20" s="182" t="s">
        <v>890</v>
      </c>
      <c r="Q20" s="166" t="s">
        <v>890</v>
      </c>
      <c r="R20" s="166" t="s">
        <v>890</v>
      </c>
      <c r="S20" s="166"/>
      <c r="T20" s="456"/>
      <c r="U20" s="182" t="s">
        <v>890</v>
      </c>
      <c r="V20" s="166" t="s">
        <v>890</v>
      </c>
      <c r="W20" s="166" t="s">
        <v>890</v>
      </c>
      <c r="X20" s="166"/>
      <c r="Y20" s="456"/>
      <c r="Z20" s="182" t="s">
        <v>890</v>
      </c>
      <c r="AA20" s="166" t="s">
        <v>890</v>
      </c>
      <c r="AB20" s="166" t="s">
        <v>890</v>
      </c>
      <c r="AC20" s="166"/>
      <c r="AD20" s="456"/>
      <c r="AE20" s="182" t="s">
        <v>890</v>
      </c>
      <c r="AF20" s="166" t="s">
        <v>890</v>
      </c>
      <c r="AG20" s="166" t="s">
        <v>890</v>
      </c>
      <c r="AH20" s="166"/>
      <c r="AI20" s="456"/>
      <c r="AJ20" s="182" t="s">
        <v>890</v>
      </c>
      <c r="AK20" s="166" t="s">
        <v>890</v>
      </c>
      <c r="AL20" s="166" t="s">
        <v>890</v>
      </c>
      <c r="AM20" s="166"/>
      <c r="AN20" s="456"/>
      <c r="AO20" s="182" t="s">
        <v>890</v>
      </c>
      <c r="AP20" s="166" t="s">
        <v>890</v>
      </c>
      <c r="AQ20" s="166" t="s">
        <v>890</v>
      </c>
      <c r="AR20" s="166"/>
      <c r="AS20" s="456"/>
      <c r="AT20" s="182" t="s">
        <v>890</v>
      </c>
      <c r="AU20" s="166" t="s">
        <v>890</v>
      </c>
      <c r="AV20" s="166" t="s">
        <v>890</v>
      </c>
      <c r="AW20" s="166"/>
      <c r="AX20" s="456"/>
      <c r="AZ20" s="166" t="e">
        <f t="shared" si="3"/>
        <v>#N/A</v>
      </c>
      <c r="BA20" s="519"/>
    </row>
    <row r="21" spans="2:53">
      <c r="B21" s="454"/>
      <c r="C21" s="182">
        <v>15</v>
      </c>
      <c r="D21" s="203"/>
      <c r="E21" s="166"/>
      <c r="F21" s="166"/>
      <c r="G21" s="166"/>
      <c r="H21" s="465"/>
      <c r="I21" s="182"/>
      <c r="J21" s="182"/>
      <c r="K21" s="182"/>
      <c r="L21" s="465"/>
      <c r="M21" s="181" t="e">
        <f>RANK(K21, K$7:$K$21)</f>
        <v>#N/A</v>
      </c>
      <c r="N21" s="461"/>
      <c r="O21" s="461"/>
      <c r="P21" s="182" t="s">
        <v>890</v>
      </c>
      <c r="Q21" s="166" t="s">
        <v>890</v>
      </c>
      <c r="R21" s="166" t="s">
        <v>890</v>
      </c>
      <c r="S21" s="166"/>
      <c r="T21" s="456"/>
      <c r="U21" s="182" t="s">
        <v>890</v>
      </c>
      <c r="V21" s="166" t="s">
        <v>890</v>
      </c>
      <c r="W21" s="166" t="s">
        <v>890</v>
      </c>
      <c r="X21" s="166"/>
      <c r="Y21" s="456"/>
      <c r="Z21" s="182" t="s">
        <v>890</v>
      </c>
      <c r="AA21" s="166" t="s">
        <v>890</v>
      </c>
      <c r="AB21" s="166" t="s">
        <v>890</v>
      </c>
      <c r="AC21" s="166"/>
      <c r="AD21" s="456"/>
      <c r="AE21" s="182" t="s">
        <v>890</v>
      </c>
      <c r="AF21" s="166" t="s">
        <v>890</v>
      </c>
      <c r="AG21" s="166" t="s">
        <v>890</v>
      </c>
      <c r="AH21" s="166"/>
      <c r="AI21" s="456"/>
      <c r="AJ21" s="182" t="s">
        <v>890</v>
      </c>
      <c r="AK21" s="166" t="s">
        <v>890</v>
      </c>
      <c r="AL21" s="166" t="s">
        <v>890</v>
      </c>
      <c r="AM21" s="166"/>
      <c r="AN21" s="456"/>
      <c r="AO21" s="182" t="s">
        <v>890</v>
      </c>
      <c r="AP21" s="166" t="s">
        <v>890</v>
      </c>
      <c r="AQ21" s="166" t="s">
        <v>890</v>
      </c>
      <c r="AR21" s="166"/>
      <c r="AS21" s="456"/>
      <c r="AT21" s="182" t="s">
        <v>890</v>
      </c>
      <c r="AU21" s="166" t="s">
        <v>890</v>
      </c>
      <c r="AV21" s="166" t="s">
        <v>890</v>
      </c>
      <c r="AW21" s="166"/>
      <c r="AX21" s="456"/>
      <c r="AZ21" s="166" t="e">
        <f t="shared" si="3"/>
        <v>#N/A</v>
      </c>
      <c r="BA21" s="520"/>
    </row>
    <row r="22" spans="2:53" ht="15.5">
      <c r="B22" s="493" t="s">
        <v>163</v>
      </c>
      <c r="C22" s="494"/>
      <c r="D22" s="494"/>
      <c r="E22" s="494"/>
      <c r="F22" s="494"/>
      <c r="G22" s="494"/>
      <c r="H22" s="494"/>
      <c r="I22" s="183"/>
      <c r="J22" s="183"/>
      <c r="K22" s="183"/>
      <c r="L22" s="183"/>
      <c r="M22" s="178"/>
      <c r="N22" s="480" t="s">
        <v>156</v>
      </c>
      <c r="O22" s="480" t="s">
        <v>105</v>
      </c>
      <c r="P22" s="476">
        <f>P2+7</f>
        <v>46119</v>
      </c>
      <c r="Q22" s="454"/>
      <c r="R22" s="454"/>
      <c r="S22" s="454"/>
      <c r="T22" s="454"/>
      <c r="U22" s="473">
        <f>P22+1</f>
        <v>46120</v>
      </c>
      <c r="V22" s="474"/>
      <c r="W22" s="474"/>
      <c r="X22" s="474"/>
      <c r="Y22" s="475"/>
      <c r="Z22" s="473">
        <f>U22+1</f>
        <v>46121</v>
      </c>
      <c r="AA22" s="474"/>
      <c r="AB22" s="474"/>
      <c r="AC22" s="474"/>
      <c r="AD22" s="475"/>
      <c r="AE22" s="473">
        <f>Z22+1</f>
        <v>46122</v>
      </c>
      <c r="AF22" s="474"/>
      <c r="AG22" s="474"/>
      <c r="AH22" s="474"/>
      <c r="AI22" s="475"/>
      <c r="AJ22" s="473">
        <f>AE22+1</f>
        <v>46123</v>
      </c>
      <c r="AK22" s="474"/>
      <c r="AL22" s="474"/>
      <c r="AM22" s="474"/>
      <c r="AN22" s="475"/>
      <c r="AO22" s="473">
        <f>AJ22+1</f>
        <v>46124</v>
      </c>
      <c r="AP22" s="474"/>
      <c r="AQ22" s="474"/>
      <c r="AR22" s="474"/>
      <c r="AS22" s="475"/>
      <c r="AT22" s="473">
        <f>AO22+1</f>
        <v>46125</v>
      </c>
      <c r="AU22" s="474"/>
      <c r="AV22" s="474"/>
      <c r="AW22" s="474"/>
      <c r="AX22" s="475"/>
    </row>
    <row r="23" spans="2:53" ht="15.5">
      <c r="B23" s="479"/>
      <c r="C23" s="479"/>
      <c r="D23" s="479"/>
      <c r="E23" s="479"/>
      <c r="F23" s="479"/>
      <c r="G23" s="479"/>
      <c r="H23" s="479"/>
      <c r="I23" s="184"/>
      <c r="J23" s="184"/>
      <c r="K23" s="184"/>
      <c r="L23" s="184"/>
      <c r="M23" s="179"/>
      <c r="N23" s="481"/>
      <c r="O23" s="481"/>
      <c r="P23" s="476" t="s">
        <v>336</v>
      </c>
      <c r="Q23" s="454"/>
      <c r="R23" s="454"/>
      <c r="S23" s="454"/>
      <c r="T23" s="454"/>
      <c r="U23" s="476" t="s">
        <v>337</v>
      </c>
      <c r="V23" s="454"/>
      <c r="W23" s="454"/>
      <c r="X23" s="454"/>
      <c r="Y23" s="454"/>
      <c r="Z23" s="476" t="s">
        <v>338</v>
      </c>
      <c r="AA23" s="454"/>
      <c r="AB23" s="454"/>
      <c r="AC23" s="454"/>
      <c r="AD23" s="454"/>
      <c r="AE23" s="476" t="s">
        <v>339</v>
      </c>
      <c r="AF23" s="454"/>
      <c r="AG23" s="454"/>
      <c r="AH23" s="454"/>
      <c r="AI23" s="454"/>
      <c r="AJ23" s="476" t="s">
        <v>340</v>
      </c>
      <c r="AK23" s="454"/>
      <c r="AL23" s="454"/>
      <c r="AM23" s="454"/>
      <c r="AN23" s="454"/>
      <c r="AO23" s="476" t="s">
        <v>341</v>
      </c>
      <c r="AP23" s="454"/>
      <c r="AQ23" s="454"/>
      <c r="AR23" s="454"/>
      <c r="AS23" s="454"/>
      <c r="AT23" s="476" t="s">
        <v>342</v>
      </c>
      <c r="AU23" s="454"/>
      <c r="AV23" s="454"/>
      <c r="AW23" s="454"/>
      <c r="AX23" s="454"/>
    </row>
    <row r="24" spans="2:53">
      <c r="B24" s="461" t="s">
        <v>399</v>
      </c>
      <c r="C24" s="461" t="s">
        <v>409</v>
      </c>
      <c r="D24" s="461"/>
      <c r="E24" s="461" t="s">
        <v>400</v>
      </c>
      <c r="F24" s="461"/>
      <c r="G24" s="461"/>
      <c r="H24" s="482" t="s">
        <v>396</v>
      </c>
      <c r="I24" s="461" t="s">
        <v>401</v>
      </c>
      <c r="J24" s="461"/>
      <c r="K24" s="461"/>
      <c r="L24" s="482" t="s">
        <v>396</v>
      </c>
      <c r="M24" s="480" t="s">
        <v>397</v>
      </c>
      <c r="N24" s="461"/>
      <c r="O24" s="461" t="s">
        <v>402</v>
      </c>
      <c r="P24" s="466" t="s">
        <v>398</v>
      </c>
      <c r="Q24" s="467"/>
      <c r="R24" s="467"/>
      <c r="S24" s="468"/>
      <c r="T24" s="461" t="s">
        <v>396</v>
      </c>
      <c r="U24" s="466" t="s">
        <v>398</v>
      </c>
      <c r="V24" s="467"/>
      <c r="W24" s="467"/>
      <c r="X24" s="468"/>
      <c r="Y24" s="461" t="s">
        <v>396</v>
      </c>
      <c r="Z24" s="466" t="s">
        <v>398</v>
      </c>
      <c r="AA24" s="467"/>
      <c r="AB24" s="467"/>
      <c r="AC24" s="468"/>
      <c r="AD24" s="461" t="s">
        <v>396</v>
      </c>
      <c r="AE24" s="466" t="s">
        <v>398</v>
      </c>
      <c r="AF24" s="467"/>
      <c r="AG24" s="467"/>
      <c r="AH24" s="468"/>
      <c r="AI24" s="461" t="s">
        <v>396</v>
      </c>
      <c r="AJ24" s="466" t="s">
        <v>398</v>
      </c>
      <c r="AK24" s="467"/>
      <c r="AL24" s="467"/>
      <c r="AM24" s="468"/>
      <c r="AN24" s="461" t="s">
        <v>396</v>
      </c>
      <c r="AO24" s="466" t="s">
        <v>398</v>
      </c>
      <c r="AP24" s="467"/>
      <c r="AQ24" s="467"/>
      <c r="AR24" s="468"/>
      <c r="AS24" s="461" t="s">
        <v>396</v>
      </c>
      <c r="AT24" s="466" t="s">
        <v>398</v>
      </c>
      <c r="AU24" s="467"/>
      <c r="AV24" s="467"/>
      <c r="AW24" s="468"/>
      <c r="AX24" s="461" t="s">
        <v>396</v>
      </c>
      <c r="BA24" s="461" t="s">
        <v>396</v>
      </c>
    </row>
    <row r="25" spans="2:53">
      <c r="B25" s="461"/>
      <c r="C25" s="461"/>
      <c r="D25" s="461"/>
      <c r="E25" s="461" t="s">
        <v>403</v>
      </c>
      <c r="F25" s="461"/>
      <c r="G25" s="461"/>
      <c r="H25" s="483"/>
      <c r="I25" s="461" t="s">
        <v>403</v>
      </c>
      <c r="J25" s="461"/>
      <c r="K25" s="461"/>
      <c r="L25" s="483"/>
      <c r="M25" s="485"/>
      <c r="N25" s="461"/>
      <c r="O25" s="461"/>
      <c r="P25" s="466" t="s">
        <v>404</v>
      </c>
      <c r="Q25" s="467"/>
      <c r="R25" s="467"/>
      <c r="S25" s="468"/>
      <c r="T25" s="461"/>
      <c r="U25" s="466" t="s">
        <v>404</v>
      </c>
      <c r="V25" s="467"/>
      <c r="W25" s="467"/>
      <c r="X25" s="468"/>
      <c r="Y25" s="461"/>
      <c r="Z25" s="466" t="s">
        <v>404</v>
      </c>
      <c r="AA25" s="467"/>
      <c r="AB25" s="467"/>
      <c r="AC25" s="468"/>
      <c r="AD25" s="461"/>
      <c r="AE25" s="466" t="s">
        <v>404</v>
      </c>
      <c r="AF25" s="467"/>
      <c r="AG25" s="467"/>
      <c r="AH25" s="468"/>
      <c r="AI25" s="461"/>
      <c r="AJ25" s="466" t="s">
        <v>404</v>
      </c>
      <c r="AK25" s="467"/>
      <c r="AL25" s="467"/>
      <c r="AM25" s="468"/>
      <c r="AN25" s="461"/>
      <c r="AO25" s="466" t="s">
        <v>404</v>
      </c>
      <c r="AP25" s="467"/>
      <c r="AQ25" s="467"/>
      <c r="AR25" s="468"/>
      <c r="AS25" s="461"/>
      <c r="AT25" s="466" t="s">
        <v>404</v>
      </c>
      <c r="AU25" s="467"/>
      <c r="AV25" s="467"/>
      <c r="AW25" s="468"/>
      <c r="AX25" s="461"/>
      <c r="BA25" s="461"/>
    </row>
    <row r="26" spans="2:53">
      <c r="B26" s="461"/>
      <c r="C26" s="461"/>
      <c r="D26" s="461"/>
      <c r="E26" s="269" t="s">
        <v>405</v>
      </c>
      <c r="F26" s="269" t="s">
        <v>406</v>
      </c>
      <c r="G26" s="269" t="s">
        <v>407</v>
      </c>
      <c r="H26" s="484"/>
      <c r="I26" s="269" t="s">
        <v>405</v>
      </c>
      <c r="J26" s="269" t="s">
        <v>406</v>
      </c>
      <c r="K26" s="269" t="s">
        <v>407</v>
      </c>
      <c r="L26" s="484"/>
      <c r="M26" s="481"/>
      <c r="N26" s="461"/>
      <c r="O26" s="461"/>
      <c r="P26" s="269" t="s">
        <v>405</v>
      </c>
      <c r="Q26" s="269" t="s">
        <v>406</v>
      </c>
      <c r="R26" s="269" t="s">
        <v>407</v>
      </c>
      <c r="S26" s="269" t="s">
        <v>397</v>
      </c>
      <c r="T26" s="461"/>
      <c r="U26" s="269" t="s">
        <v>405</v>
      </c>
      <c r="V26" s="269" t="s">
        <v>406</v>
      </c>
      <c r="W26" s="269" t="s">
        <v>407</v>
      </c>
      <c r="X26" s="269" t="s">
        <v>397</v>
      </c>
      <c r="Y26" s="461"/>
      <c r="Z26" s="269" t="s">
        <v>405</v>
      </c>
      <c r="AA26" s="269" t="s">
        <v>406</v>
      </c>
      <c r="AB26" s="269" t="s">
        <v>407</v>
      </c>
      <c r="AC26" s="269" t="s">
        <v>397</v>
      </c>
      <c r="AD26" s="461"/>
      <c r="AE26" s="269" t="s">
        <v>405</v>
      </c>
      <c r="AF26" s="269" t="s">
        <v>406</v>
      </c>
      <c r="AG26" s="269" t="s">
        <v>407</v>
      </c>
      <c r="AH26" s="269" t="s">
        <v>397</v>
      </c>
      <c r="AI26" s="461"/>
      <c r="AJ26" s="269" t="s">
        <v>405</v>
      </c>
      <c r="AK26" s="269" t="s">
        <v>406</v>
      </c>
      <c r="AL26" s="269" t="s">
        <v>407</v>
      </c>
      <c r="AM26" s="269" t="s">
        <v>397</v>
      </c>
      <c r="AN26" s="461"/>
      <c r="AO26" s="269" t="s">
        <v>405</v>
      </c>
      <c r="AP26" s="269" t="s">
        <v>406</v>
      </c>
      <c r="AQ26" s="269" t="s">
        <v>407</v>
      </c>
      <c r="AR26" s="269" t="s">
        <v>397</v>
      </c>
      <c r="AS26" s="461"/>
      <c r="AT26" s="269" t="s">
        <v>405</v>
      </c>
      <c r="AU26" s="269" t="s">
        <v>406</v>
      </c>
      <c r="AV26" s="269" t="s">
        <v>407</v>
      </c>
      <c r="AW26" s="269" t="s">
        <v>397</v>
      </c>
      <c r="AX26" s="461"/>
      <c r="AZ26" s="269" t="s">
        <v>397</v>
      </c>
      <c r="BA26" s="461"/>
    </row>
    <row r="27" spans="2:53">
      <c r="B27" s="461" t="s">
        <v>411</v>
      </c>
      <c r="C27" s="182">
        <v>1</v>
      </c>
      <c r="D27" s="203"/>
      <c r="E27" s="166"/>
      <c r="F27" s="182"/>
      <c r="G27" s="180"/>
      <c r="H27" s="463" t="e">
        <f>AVERAGE(G27:G41)</f>
        <v>#DIV/0!</v>
      </c>
      <c r="I27" s="166" t="str">
        <f t="shared" ref="I27:I40" si="5">IFERROR(AVERAGE(P27,U27,Z27,AE27,AJ27,AO27,AT27),"-")</f>
        <v>-</v>
      </c>
      <c r="J27" s="166" t="str">
        <f t="shared" ref="J27:J40" si="6">IFERROR(AVERAGE(Q27,V27,AA27,AF27,AK27,AP27,AU27),"-")</f>
        <v>-</v>
      </c>
      <c r="K27" s="180" t="str">
        <f t="shared" ref="K27:K40" si="7">IFERROR(AVERAGE(R27,W27,AB27,AG27,AL27,AQ27,AV27),"-")</f>
        <v>-</v>
      </c>
      <c r="L27" s="463" t="str">
        <f>IFERROR(AVERAGE(K27:K41),"-")</f>
        <v>-</v>
      </c>
      <c r="M27" s="181" t="e">
        <f>RANK(K27, K$27:$K$41)</f>
        <v>#VALUE!</v>
      </c>
      <c r="N27" s="461"/>
      <c r="O27" s="461"/>
      <c r="P27" s="182"/>
      <c r="Q27" s="166"/>
      <c r="R27" s="166"/>
      <c r="S27" s="182" t="e">
        <f t="shared" ref="S27:S41" si="8">RANK(R27, R$27:R$41)</f>
        <v>#N/A</v>
      </c>
      <c r="T27" s="487" t="e">
        <f>AVERAGE(R27:R41)</f>
        <v>#DIV/0!</v>
      </c>
      <c r="U27" s="182"/>
      <c r="V27" s="166"/>
      <c r="W27" s="166"/>
      <c r="X27" s="182" t="e">
        <f t="shared" ref="X27:X41" si="9">RANK(W27, W$27:W$41)</f>
        <v>#N/A</v>
      </c>
      <c r="Y27" s="487" t="e">
        <f t="shared" ref="Y27" si="10">AVERAGE(W27:W41)</f>
        <v>#DIV/0!</v>
      </c>
      <c r="Z27" s="182"/>
      <c r="AA27" s="166"/>
      <c r="AB27" s="166"/>
      <c r="AC27" s="182" t="e">
        <f t="shared" ref="AC27:AC41" si="11">RANK(AB27, AB$27:AB$41)</f>
        <v>#N/A</v>
      </c>
      <c r="AD27" s="487" t="e">
        <f t="shared" ref="AD27" si="12">AVERAGE(AB27:AB41)</f>
        <v>#DIV/0!</v>
      </c>
      <c r="AE27" s="182"/>
      <c r="AF27" s="166"/>
      <c r="AG27" s="166"/>
      <c r="AH27" s="182" t="e">
        <f t="shared" ref="AH27:AH41" si="13">RANK(AG27, AG$27:AG$41)</f>
        <v>#N/A</v>
      </c>
      <c r="AI27" s="487" t="e">
        <f t="shared" ref="AI27" si="14">AVERAGE(AG27:AG41)</f>
        <v>#DIV/0!</v>
      </c>
      <c r="AJ27" s="182"/>
      <c r="AK27" s="166"/>
      <c r="AL27" s="166"/>
      <c r="AM27" s="182" t="e">
        <f t="shared" ref="AM27:AM41" si="15">RANK(AL27, AL$27:AL$41)</f>
        <v>#N/A</v>
      </c>
      <c r="AN27" s="487" t="e">
        <f t="shared" ref="AN27" si="16">AVERAGE(AL27:AL41)</f>
        <v>#DIV/0!</v>
      </c>
      <c r="AO27" s="182"/>
      <c r="AP27" s="166"/>
      <c r="AQ27" s="166"/>
      <c r="AR27" s="182" t="e">
        <f t="shared" ref="AR27:AR41" si="17">RANK(AQ27, AQ$27:AQ$41)</f>
        <v>#N/A</v>
      </c>
      <c r="AS27" s="487" t="e">
        <f t="shared" ref="AS27" si="18">AVERAGE(AQ27:AQ41)</f>
        <v>#DIV/0!</v>
      </c>
      <c r="AT27" s="182"/>
      <c r="AU27" s="166"/>
      <c r="AV27" s="166"/>
      <c r="AW27" s="182" t="e">
        <f t="shared" ref="AW27:AW41" si="19">RANK(AV27, AV$27:AV$41)</f>
        <v>#N/A</v>
      </c>
      <c r="AX27" s="487" t="e">
        <f t="shared" ref="AX27" si="20">AVERAGE(AV27:AV41)</f>
        <v>#DIV/0!</v>
      </c>
      <c r="AZ27" s="182" t="e">
        <f t="shared" ref="AZ27:AZ41" si="21">RANK(AY27, AY$27:AY$41)</f>
        <v>#N/A</v>
      </c>
      <c r="BA27" s="487" t="e">
        <f t="shared" ref="BA27" si="22">AVERAGE(AY27:AY41)</f>
        <v>#DIV/0!</v>
      </c>
    </row>
    <row r="28" spans="2:53">
      <c r="B28" s="454"/>
      <c r="C28" s="182">
        <v>2</v>
      </c>
      <c r="D28" s="203"/>
      <c r="E28" s="166"/>
      <c r="F28" s="182"/>
      <c r="G28" s="180"/>
      <c r="H28" s="464"/>
      <c r="I28" s="166" t="str">
        <f t="shared" si="5"/>
        <v>-</v>
      </c>
      <c r="J28" s="166" t="str">
        <f t="shared" si="6"/>
        <v>-</v>
      </c>
      <c r="K28" s="180" t="str">
        <f t="shared" si="7"/>
        <v>-</v>
      </c>
      <c r="L28" s="464"/>
      <c r="M28" s="181" t="e">
        <f>RANK(K28, K$27:$K$41)</f>
        <v>#VALUE!</v>
      </c>
      <c r="N28" s="461"/>
      <c r="O28" s="461"/>
      <c r="P28" s="182"/>
      <c r="Q28" s="166"/>
      <c r="R28" s="166"/>
      <c r="S28" s="182" t="e">
        <f t="shared" si="8"/>
        <v>#N/A</v>
      </c>
      <c r="T28" s="488"/>
      <c r="U28" s="182"/>
      <c r="V28" s="166"/>
      <c r="W28" s="166"/>
      <c r="X28" s="182" t="e">
        <f t="shared" si="9"/>
        <v>#N/A</v>
      </c>
      <c r="Y28" s="488"/>
      <c r="Z28" s="182"/>
      <c r="AA28" s="166"/>
      <c r="AB28" s="166"/>
      <c r="AC28" s="182" t="e">
        <f t="shared" si="11"/>
        <v>#N/A</v>
      </c>
      <c r="AD28" s="488"/>
      <c r="AE28" s="182"/>
      <c r="AF28" s="166"/>
      <c r="AG28" s="166"/>
      <c r="AH28" s="182" t="e">
        <f t="shared" si="13"/>
        <v>#N/A</v>
      </c>
      <c r="AI28" s="488"/>
      <c r="AJ28" s="182"/>
      <c r="AK28" s="166"/>
      <c r="AL28" s="166"/>
      <c r="AM28" s="182" t="e">
        <f t="shared" si="15"/>
        <v>#N/A</v>
      </c>
      <c r="AN28" s="488"/>
      <c r="AO28" s="182"/>
      <c r="AP28" s="166"/>
      <c r="AQ28" s="166"/>
      <c r="AR28" s="182" t="e">
        <f t="shared" si="17"/>
        <v>#N/A</v>
      </c>
      <c r="AS28" s="488"/>
      <c r="AT28" s="182"/>
      <c r="AU28" s="166"/>
      <c r="AV28" s="166"/>
      <c r="AW28" s="182" t="e">
        <f t="shared" si="19"/>
        <v>#N/A</v>
      </c>
      <c r="AX28" s="488"/>
      <c r="AZ28" s="182" t="e">
        <f t="shared" si="21"/>
        <v>#N/A</v>
      </c>
      <c r="BA28" s="488"/>
    </row>
    <row r="29" spans="2:53">
      <c r="B29" s="454"/>
      <c r="C29" s="182">
        <v>3</v>
      </c>
      <c r="D29" s="203"/>
      <c r="E29" s="166"/>
      <c r="F29" s="182"/>
      <c r="G29" s="180"/>
      <c r="H29" s="464"/>
      <c r="I29" s="166" t="str">
        <f t="shared" si="5"/>
        <v>-</v>
      </c>
      <c r="J29" s="166" t="str">
        <f t="shared" si="6"/>
        <v>-</v>
      </c>
      <c r="K29" s="180" t="str">
        <f t="shared" si="7"/>
        <v>-</v>
      </c>
      <c r="L29" s="464"/>
      <c r="M29" s="181" t="e">
        <f>RANK(K29, K$27:$K$41)</f>
        <v>#VALUE!</v>
      </c>
      <c r="N29" s="461"/>
      <c r="O29" s="461"/>
      <c r="P29" s="182"/>
      <c r="Q29" s="166"/>
      <c r="R29" s="166"/>
      <c r="S29" s="182" t="e">
        <f t="shared" si="8"/>
        <v>#N/A</v>
      </c>
      <c r="T29" s="488"/>
      <c r="U29" s="182"/>
      <c r="V29" s="166"/>
      <c r="W29" s="166"/>
      <c r="X29" s="182" t="e">
        <f t="shared" si="9"/>
        <v>#N/A</v>
      </c>
      <c r="Y29" s="488"/>
      <c r="Z29" s="182"/>
      <c r="AA29" s="166"/>
      <c r="AB29" s="166"/>
      <c r="AC29" s="182" t="e">
        <f t="shared" si="11"/>
        <v>#N/A</v>
      </c>
      <c r="AD29" s="488"/>
      <c r="AE29" s="182"/>
      <c r="AF29" s="166"/>
      <c r="AG29" s="166"/>
      <c r="AH29" s="182" t="e">
        <f t="shared" si="13"/>
        <v>#N/A</v>
      </c>
      <c r="AI29" s="488"/>
      <c r="AJ29" s="182"/>
      <c r="AK29" s="166"/>
      <c r="AL29" s="166"/>
      <c r="AM29" s="182" t="e">
        <f t="shared" si="15"/>
        <v>#N/A</v>
      </c>
      <c r="AN29" s="488"/>
      <c r="AO29" s="182"/>
      <c r="AP29" s="166"/>
      <c r="AQ29" s="166"/>
      <c r="AR29" s="182" t="e">
        <f t="shared" si="17"/>
        <v>#N/A</v>
      </c>
      <c r="AS29" s="488"/>
      <c r="AT29" s="182"/>
      <c r="AU29" s="166"/>
      <c r="AV29" s="166"/>
      <c r="AW29" s="182" t="e">
        <f t="shared" si="19"/>
        <v>#N/A</v>
      </c>
      <c r="AX29" s="488"/>
      <c r="AZ29" s="182" t="e">
        <f t="shared" si="21"/>
        <v>#N/A</v>
      </c>
      <c r="BA29" s="488"/>
    </row>
    <row r="30" spans="2:53">
      <c r="B30" s="454"/>
      <c r="C30" s="182">
        <v>4</v>
      </c>
      <c r="D30" s="203"/>
      <c r="E30" s="166"/>
      <c r="F30" s="182"/>
      <c r="G30" s="180"/>
      <c r="H30" s="464"/>
      <c r="I30" s="166" t="str">
        <f t="shared" si="5"/>
        <v>-</v>
      </c>
      <c r="J30" s="166" t="str">
        <f t="shared" si="6"/>
        <v>-</v>
      </c>
      <c r="K30" s="180" t="str">
        <f t="shared" si="7"/>
        <v>-</v>
      </c>
      <c r="L30" s="464"/>
      <c r="M30" s="181" t="e">
        <f>RANK(K30, K$27:$K$41)</f>
        <v>#VALUE!</v>
      </c>
      <c r="N30" s="461"/>
      <c r="O30" s="461"/>
      <c r="P30" s="182"/>
      <c r="Q30" s="166"/>
      <c r="R30" s="166"/>
      <c r="S30" s="182" t="e">
        <f t="shared" si="8"/>
        <v>#N/A</v>
      </c>
      <c r="T30" s="488"/>
      <c r="U30" s="182"/>
      <c r="V30" s="166"/>
      <c r="W30" s="166"/>
      <c r="X30" s="182" t="e">
        <f t="shared" si="9"/>
        <v>#N/A</v>
      </c>
      <c r="Y30" s="488"/>
      <c r="Z30" s="182"/>
      <c r="AA30" s="166"/>
      <c r="AB30" s="166"/>
      <c r="AC30" s="182" t="e">
        <f t="shared" si="11"/>
        <v>#N/A</v>
      </c>
      <c r="AD30" s="488"/>
      <c r="AE30" s="182"/>
      <c r="AF30" s="166"/>
      <c r="AG30" s="166"/>
      <c r="AH30" s="182" t="e">
        <f t="shared" si="13"/>
        <v>#N/A</v>
      </c>
      <c r="AI30" s="488"/>
      <c r="AJ30" s="182"/>
      <c r="AK30" s="166"/>
      <c r="AL30" s="166"/>
      <c r="AM30" s="182" t="e">
        <f t="shared" si="15"/>
        <v>#N/A</v>
      </c>
      <c r="AN30" s="488"/>
      <c r="AO30" s="182"/>
      <c r="AP30" s="166"/>
      <c r="AQ30" s="166"/>
      <c r="AR30" s="182" t="e">
        <f t="shared" si="17"/>
        <v>#N/A</v>
      </c>
      <c r="AS30" s="488"/>
      <c r="AT30" s="182"/>
      <c r="AU30" s="166"/>
      <c r="AV30" s="166"/>
      <c r="AW30" s="182" t="e">
        <f t="shared" si="19"/>
        <v>#N/A</v>
      </c>
      <c r="AX30" s="488"/>
      <c r="AZ30" s="182" t="e">
        <f t="shared" si="21"/>
        <v>#N/A</v>
      </c>
      <c r="BA30" s="488"/>
    </row>
    <row r="31" spans="2:53">
      <c r="B31" s="454"/>
      <c r="C31" s="182">
        <v>5</v>
      </c>
      <c r="D31" s="203"/>
      <c r="E31" s="166"/>
      <c r="F31" s="182"/>
      <c r="G31" s="180"/>
      <c r="H31" s="464"/>
      <c r="I31" s="166" t="str">
        <f t="shared" si="5"/>
        <v>-</v>
      </c>
      <c r="J31" s="166" t="str">
        <f t="shared" si="6"/>
        <v>-</v>
      </c>
      <c r="K31" s="180" t="str">
        <f t="shared" si="7"/>
        <v>-</v>
      </c>
      <c r="L31" s="464"/>
      <c r="M31" s="181" t="e">
        <f>RANK(K31, K$27:$K$41)</f>
        <v>#VALUE!</v>
      </c>
      <c r="N31" s="461"/>
      <c r="O31" s="461"/>
      <c r="P31" s="182"/>
      <c r="Q31" s="166"/>
      <c r="R31" s="166"/>
      <c r="S31" s="182" t="e">
        <f t="shared" si="8"/>
        <v>#N/A</v>
      </c>
      <c r="T31" s="488"/>
      <c r="U31" s="182"/>
      <c r="V31" s="166"/>
      <c r="W31" s="166"/>
      <c r="X31" s="182" t="e">
        <f t="shared" si="9"/>
        <v>#N/A</v>
      </c>
      <c r="Y31" s="488"/>
      <c r="Z31" s="182"/>
      <c r="AA31" s="166"/>
      <c r="AB31" s="166"/>
      <c r="AC31" s="182" t="e">
        <f t="shared" si="11"/>
        <v>#N/A</v>
      </c>
      <c r="AD31" s="488"/>
      <c r="AE31" s="182"/>
      <c r="AF31" s="166"/>
      <c r="AG31" s="166"/>
      <c r="AH31" s="182" t="e">
        <f t="shared" si="13"/>
        <v>#N/A</v>
      </c>
      <c r="AI31" s="488"/>
      <c r="AJ31" s="182"/>
      <c r="AK31" s="166"/>
      <c r="AL31" s="166"/>
      <c r="AM31" s="182" t="e">
        <f t="shared" si="15"/>
        <v>#N/A</v>
      </c>
      <c r="AN31" s="488"/>
      <c r="AO31" s="182"/>
      <c r="AP31" s="166"/>
      <c r="AQ31" s="166"/>
      <c r="AR31" s="182" t="e">
        <f t="shared" si="17"/>
        <v>#N/A</v>
      </c>
      <c r="AS31" s="488"/>
      <c r="AT31" s="182"/>
      <c r="AU31" s="166"/>
      <c r="AV31" s="166"/>
      <c r="AW31" s="182" t="e">
        <f t="shared" si="19"/>
        <v>#N/A</v>
      </c>
      <c r="AX31" s="488"/>
      <c r="AZ31" s="182" t="e">
        <f t="shared" si="21"/>
        <v>#N/A</v>
      </c>
      <c r="BA31" s="488"/>
    </row>
    <row r="32" spans="2:53">
      <c r="B32" s="454"/>
      <c r="C32" s="182">
        <v>6</v>
      </c>
      <c r="D32" s="203"/>
      <c r="E32" s="166"/>
      <c r="F32" s="182"/>
      <c r="G32" s="180"/>
      <c r="H32" s="464"/>
      <c r="I32" s="166" t="str">
        <f t="shared" si="5"/>
        <v>-</v>
      </c>
      <c r="J32" s="166" t="str">
        <f t="shared" si="6"/>
        <v>-</v>
      </c>
      <c r="K32" s="180" t="str">
        <f t="shared" si="7"/>
        <v>-</v>
      </c>
      <c r="L32" s="464"/>
      <c r="M32" s="181" t="e">
        <f>RANK(K32, K$27:$K$41)</f>
        <v>#VALUE!</v>
      </c>
      <c r="N32" s="461"/>
      <c r="O32" s="461"/>
      <c r="P32" s="182"/>
      <c r="Q32" s="166"/>
      <c r="R32" s="166"/>
      <c r="S32" s="182" t="e">
        <f t="shared" si="8"/>
        <v>#N/A</v>
      </c>
      <c r="T32" s="488"/>
      <c r="U32" s="182"/>
      <c r="V32" s="166"/>
      <c r="W32" s="166"/>
      <c r="X32" s="182" t="e">
        <f t="shared" si="9"/>
        <v>#N/A</v>
      </c>
      <c r="Y32" s="488"/>
      <c r="Z32" s="182"/>
      <c r="AA32" s="166"/>
      <c r="AB32" s="166"/>
      <c r="AC32" s="182" t="e">
        <f t="shared" si="11"/>
        <v>#N/A</v>
      </c>
      <c r="AD32" s="488"/>
      <c r="AE32" s="182"/>
      <c r="AF32" s="166"/>
      <c r="AG32" s="166"/>
      <c r="AH32" s="182" t="e">
        <f t="shared" si="13"/>
        <v>#N/A</v>
      </c>
      <c r="AI32" s="488"/>
      <c r="AJ32" s="182"/>
      <c r="AK32" s="166"/>
      <c r="AL32" s="166"/>
      <c r="AM32" s="182" t="e">
        <f t="shared" si="15"/>
        <v>#N/A</v>
      </c>
      <c r="AN32" s="488"/>
      <c r="AO32" s="182"/>
      <c r="AP32" s="166"/>
      <c r="AQ32" s="166"/>
      <c r="AR32" s="182" t="e">
        <f t="shared" si="17"/>
        <v>#N/A</v>
      </c>
      <c r="AS32" s="488"/>
      <c r="AT32" s="182"/>
      <c r="AU32" s="166"/>
      <c r="AV32" s="166"/>
      <c r="AW32" s="182" t="e">
        <f t="shared" si="19"/>
        <v>#N/A</v>
      </c>
      <c r="AX32" s="488"/>
      <c r="AZ32" s="182" t="e">
        <f t="shared" si="21"/>
        <v>#N/A</v>
      </c>
      <c r="BA32" s="488"/>
    </row>
    <row r="33" spans="2:53">
      <c r="B33" s="454"/>
      <c r="C33" s="182">
        <v>7</v>
      </c>
      <c r="D33" s="203"/>
      <c r="E33" s="166"/>
      <c r="F33" s="166"/>
      <c r="G33" s="166"/>
      <c r="H33" s="464"/>
      <c r="I33" s="166" t="str">
        <f t="shared" si="5"/>
        <v>-</v>
      </c>
      <c r="J33" s="166" t="str">
        <f t="shared" si="6"/>
        <v>-</v>
      </c>
      <c r="K33" s="180" t="str">
        <f t="shared" si="7"/>
        <v>-</v>
      </c>
      <c r="L33" s="464"/>
      <c r="M33" s="181" t="e">
        <f>RANK(K33, K$27:$K$41)</f>
        <v>#VALUE!</v>
      </c>
      <c r="N33" s="461"/>
      <c r="O33" s="461"/>
      <c r="P33" s="182"/>
      <c r="Q33" s="166"/>
      <c r="R33" s="166"/>
      <c r="S33" s="182" t="e">
        <f t="shared" si="8"/>
        <v>#N/A</v>
      </c>
      <c r="T33" s="488"/>
      <c r="U33" s="182"/>
      <c r="V33" s="166"/>
      <c r="W33" s="166"/>
      <c r="X33" s="182" t="e">
        <f t="shared" si="9"/>
        <v>#N/A</v>
      </c>
      <c r="Y33" s="488"/>
      <c r="Z33" s="182"/>
      <c r="AA33" s="166"/>
      <c r="AB33" s="166"/>
      <c r="AC33" s="182" t="e">
        <f t="shared" si="11"/>
        <v>#N/A</v>
      </c>
      <c r="AD33" s="488"/>
      <c r="AE33" s="182"/>
      <c r="AF33" s="166"/>
      <c r="AG33" s="166"/>
      <c r="AH33" s="182" t="e">
        <f t="shared" si="13"/>
        <v>#N/A</v>
      </c>
      <c r="AI33" s="488"/>
      <c r="AJ33" s="182"/>
      <c r="AK33" s="166"/>
      <c r="AL33" s="166"/>
      <c r="AM33" s="182" t="e">
        <f t="shared" si="15"/>
        <v>#N/A</v>
      </c>
      <c r="AN33" s="488"/>
      <c r="AO33" s="182"/>
      <c r="AP33" s="166"/>
      <c r="AQ33" s="166"/>
      <c r="AR33" s="182" t="e">
        <f t="shared" si="17"/>
        <v>#N/A</v>
      </c>
      <c r="AS33" s="488"/>
      <c r="AT33" s="182"/>
      <c r="AU33" s="166"/>
      <c r="AV33" s="166"/>
      <c r="AW33" s="182" t="e">
        <f t="shared" si="19"/>
        <v>#N/A</v>
      </c>
      <c r="AX33" s="488"/>
      <c r="AZ33" s="182" t="e">
        <f t="shared" si="21"/>
        <v>#N/A</v>
      </c>
      <c r="BA33" s="488"/>
    </row>
    <row r="34" spans="2:53">
      <c r="B34" s="454"/>
      <c r="C34" s="182">
        <v>8</v>
      </c>
      <c r="D34" s="203"/>
      <c r="E34" s="166"/>
      <c r="F34" s="166"/>
      <c r="G34" s="166"/>
      <c r="H34" s="464"/>
      <c r="I34" s="166" t="str">
        <f t="shared" si="5"/>
        <v>-</v>
      </c>
      <c r="J34" s="166" t="str">
        <f t="shared" si="6"/>
        <v>-</v>
      </c>
      <c r="K34" s="180" t="str">
        <f t="shared" si="7"/>
        <v>-</v>
      </c>
      <c r="L34" s="464"/>
      <c r="M34" s="181" t="e">
        <f>RANK(K34, K$27:$K$41)</f>
        <v>#VALUE!</v>
      </c>
      <c r="N34" s="461"/>
      <c r="O34" s="461"/>
      <c r="P34" s="182"/>
      <c r="Q34" s="166"/>
      <c r="R34" s="166"/>
      <c r="S34" s="182" t="e">
        <f t="shared" si="8"/>
        <v>#N/A</v>
      </c>
      <c r="T34" s="488"/>
      <c r="U34" s="182"/>
      <c r="V34" s="166"/>
      <c r="W34" s="166"/>
      <c r="X34" s="182" t="e">
        <f t="shared" si="9"/>
        <v>#N/A</v>
      </c>
      <c r="Y34" s="488"/>
      <c r="Z34" s="182"/>
      <c r="AA34" s="166"/>
      <c r="AB34" s="166"/>
      <c r="AC34" s="182" t="e">
        <f t="shared" si="11"/>
        <v>#N/A</v>
      </c>
      <c r="AD34" s="488"/>
      <c r="AE34" s="182"/>
      <c r="AF34" s="166"/>
      <c r="AG34" s="166"/>
      <c r="AH34" s="182" t="e">
        <f t="shared" si="13"/>
        <v>#N/A</v>
      </c>
      <c r="AI34" s="488"/>
      <c r="AJ34" s="182"/>
      <c r="AK34" s="166"/>
      <c r="AL34" s="166"/>
      <c r="AM34" s="182" t="e">
        <f t="shared" si="15"/>
        <v>#N/A</v>
      </c>
      <c r="AN34" s="488"/>
      <c r="AO34" s="182"/>
      <c r="AP34" s="166"/>
      <c r="AQ34" s="166"/>
      <c r="AR34" s="182" t="e">
        <f t="shared" si="17"/>
        <v>#N/A</v>
      </c>
      <c r="AS34" s="488"/>
      <c r="AT34" s="182"/>
      <c r="AU34" s="166"/>
      <c r="AV34" s="166"/>
      <c r="AW34" s="182" t="e">
        <f t="shared" si="19"/>
        <v>#N/A</v>
      </c>
      <c r="AX34" s="488"/>
      <c r="AZ34" s="182" t="e">
        <f t="shared" si="21"/>
        <v>#N/A</v>
      </c>
      <c r="BA34" s="488"/>
    </row>
    <row r="35" spans="2:53">
      <c r="B35" s="454"/>
      <c r="C35" s="182">
        <v>9</v>
      </c>
      <c r="D35" s="203"/>
      <c r="E35" s="166"/>
      <c r="F35" s="166"/>
      <c r="G35" s="166"/>
      <c r="H35" s="464"/>
      <c r="I35" s="166" t="str">
        <f t="shared" si="5"/>
        <v>-</v>
      </c>
      <c r="J35" s="166" t="str">
        <f t="shared" si="6"/>
        <v>-</v>
      </c>
      <c r="K35" s="180" t="str">
        <f t="shared" si="7"/>
        <v>-</v>
      </c>
      <c r="L35" s="464"/>
      <c r="M35" s="181" t="e">
        <f>RANK(K35, K$27:$K$41)</f>
        <v>#VALUE!</v>
      </c>
      <c r="N35" s="461"/>
      <c r="O35" s="461"/>
      <c r="P35" s="182"/>
      <c r="Q35" s="166"/>
      <c r="R35" s="166"/>
      <c r="S35" s="182" t="e">
        <f t="shared" si="8"/>
        <v>#N/A</v>
      </c>
      <c r="T35" s="488"/>
      <c r="U35" s="182"/>
      <c r="V35" s="166"/>
      <c r="W35" s="166"/>
      <c r="X35" s="182" t="e">
        <f t="shared" si="9"/>
        <v>#N/A</v>
      </c>
      <c r="Y35" s="488"/>
      <c r="Z35" s="182"/>
      <c r="AA35" s="166"/>
      <c r="AB35" s="166"/>
      <c r="AC35" s="182" t="e">
        <f t="shared" si="11"/>
        <v>#N/A</v>
      </c>
      <c r="AD35" s="488"/>
      <c r="AE35" s="182"/>
      <c r="AF35" s="166"/>
      <c r="AG35" s="166"/>
      <c r="AH35" s="182" t="e">
        <f t="shared" si="13"/>
        <v>#N/A</v>
      </c>
      <c r="AI35" s="488"/>
      <c r="AJ35" s="182"/>
      <c r="AK35" s="166"/>
      <c r="AL35" s="166"/>
      <c r="AM35" s="182" t="e">
        <f t="shared" si="15"/>
        <v>#N/A</v>
      </c>
      <c r="AN35" s="488"/>
      <c r="AO35" s="182"/>
      <c r="AP35" s="166"/>
      <c r="AQ35" s="166"/>
      <c r="AR35" s="182" t="e">
        <f t="shared" si="17"/>
        <v>#N/A</v>
      </c>
      <c r="AS35" s="488"/>
      <c r="AT35" s="182"/>
      <c r="AU35" s="166"/>
      <c r="AV35" s="166"/>
      <c r="AW35" s="182" t="e">
        <f t="shared" si="19"/>
        <v>#N/A</v>
      </c>
      <c r="AX35" s="488"/>
      <c r="AZ35" s="182" t="e">
        <f t="shared" si="21"/>
        <v>#N/A</v>
      </c>
      <c r="BA35" s="488"/>
    </row>
    <row r="36" spans="2:53">
      <c r="B36" s="454"/>
      <c r="C36" s="182">
        <v>10</v>
      </c>
      <c r="D36" s="203"/>
      <c r="E36" s="166"/>
      <c r="F36" s="166"/>
      <c r="G36" s="166"/>
      <c r="H36" s="464"/>
      <c r="I36" s="166" t="str">
        <f t="shared" si="5"/>
        <v>-</v>
      </c>
      <c r="J36" s="166" t="str">
        <f t="shared" si="6"/>
        <v>-</v>
      </c>
      <c r="K36" s="180" t="str">
        <f t="shared" si="7"/>
        <v>-</v>
      </c>
      <c r="L36" s="464"/>
      <c r="M36" s="181" t="e">
        <f>RANK(K36, K$27:$K$41)</f>
        <v>#VALUE!</v>
      </c>
      <c r="N36" s="461"/>
      <c r="O36" s="461"/>
      <c r="P36" s="182"/>
      <c r="Q36" s="166"/>
      <c r="R36" s="166"/>
      <c r="S36" s="182" t="e">
        <f t="shared" si="8"/>
        <v>#N/A</v>
      </c>
      <c r="T36" s="488"/>
      <c r="U36" s="182"/>
      <c r="V36" s="166"/>
      <c r="W36" s="166"/>
      <c r="X36" s="182" t="e">
        <f t="shared" si="9"/>
        <v>#N/A</v>
      </c>
      <c r="Y36" s="488"/>
      <c r="Z36" s="182"/>
      <c r="AA36" s="166"/>
      <c r="AB36" s="166"/>
      <c r="AC36" s="182" t="e">
        <f t="shared" si="11"/>
        <v>#N/A</v>
      </c>
      <c r="AD36" s="488"/>
      <c r="AE36" s="182"/>
      <c r="AF36" s="166"/>
      <c r="AG36" s="166"/>
      <c r="AH36" s="182" t="e">
        <f t="shared" si="13"/>
        <v>#N/A</v>
      </c>
      <c r="AI36" s="488"/>
      <c r="AJ36" s="182"/>
      <c r="AK36" s="166"/>
      <c r="AL36" s="166"/>
      <c r="AM36" s="182" t="e">
        <f t="shared" si="15"/>
        <v>#N/A</v>
      </c>
      <c r="AN36" s="488"/>
      <c r="AO36" s="182"/>
      <c r="AP36" s="166"/>
      <c r="AQ36" s="166"/>
      <c r="AR36" s="182" t="e">
        <f t="shared" si="17"/>
        <v>#N/A</v>
      </c>
      <c r="AS36" s="488"/>
      <c r="AT36" s="182"/>
      <c r="AU36" s="166"/>
      <c r="AV36" s="166"/>
      <c r="AW36" s="182" t="e">
        <f t="shared" si="19"/>
        <v>#N/A</v>
      </c>
      <c r="AX36" s="488"/>
      <c r="AZ36" s="182" t="e">
        <f t="shared" si="21"/>
        <v>#N/A</v>
      </c>
      <c r="BA36" s="488"/>
    </row>
    <row r="37" spans="2:53">
      <c r="B37" s="454"/>
      <c r="C37" s="182">
        <v>11</v>
      </c>
      <c r="D37" s="203"/>
      <c r="E37" s="166"/>
      <c r="F37" s="166"/>
      <c r="G37" s="166"/>
      <c r="H37" s="464"/>
      <c r="I37" s="166" t="str">
        <f t="shared" si="5"/>
        <v>-</v>
      </c>
      <c r="J37" s="166" t="str">
        <f t="shared" si="6"/>
        <v>-</v>
      </c>
      <c r="K37" s="180" t="str">
        <f t="shared" si="7"/>
        <v>-</v>
      </c>
      <c r="L37" s="464"/>
      <c r="M37" s="181" t="e">
        <f>RANK(K37, K$27:$K$41)</f>
        <v>#VALUE!</v>
      </c>
      <c r="N37" s="461"/>
      <c r="O37" s="461"/>
      <c r="P37" s="182"/>
      <c r="Q37" s="166"/>
      <c r="R37" s="166"/>
      <c r="S37" s="182" t="e">
        <f t="shared" si="8"/>
        <v>#N/A</v>
      </c>
      <c r="T37" s="488"/>
      <c r="U37" s="182"/>
      <c r="V37" s="166"/>
      <c r="W37" s="166"/>
      <c r="X37" s="182" t="e">
        <f t="shared" si="9"/>
        <v>#N/A</v>
      </c>
      <c r="Y37" s="488"/>
      <c r="Z37" s="182"/>
      <c r="AA37" s="166"/>
      <c r="AB37" s="166"/>
      <c r="AC37" s="182" t="e">
        <f t="shared" si="11"/>
        <v>#N/A</v>
      </c>
      <c r="AD37" s="488"/>
      <c r="AE37" s="182"/>
      <c r="AF37" s="166"/>
      <c r="AG37" s="166"/>
      <c r="AH37" s="182" t="e">
        <f t="shared" si="13"/>
        <v>#N/A</v>
      </c>
      <c r="AI37" s="488"/>
      <c r="AJ37" s="182"/>
      <c r="AK37" s="166"/>
      <c r="AL37" s="166"/>
      <c r="AM37" s="182" t="e">
        <f t="shared" si="15"/>
        <v>#N/A</v>
      </c>
      <c r="AN37" s="488"/>
      <c r="AO37" s="182"/>
      <c r="AP37" s="166"/>
      <c r="AQ37" s="166"/>
      <c r="AR37" s="182" t="e">
        <f t="shared" si="17"/>
        <v>#N/A</v>
      </c>
      <c r="AS37" s="488"/>
      <c r="AT37" s="182"/>
      <c r="AU37" s="166"/>
      <c r="AV37" s="166"/>
      <c r="AW37" s="182" t="e">
        <f t="shared" si="19"/>
        <v>#N/A</v>
      </c>
      <c r="AX37" s="488"/>
      <c r="AZ37" s="182" t="e">
        <f t="shared" si="21"/>
        <v>#N/A</v>
      </c>
      <c r="BA37" s="488"/>
    </row>
    <row r="38" spans="2:53">
      <c r="B38" s="454"/>
      <c r="C38" s="182">
        <v>12</v>
      </c>
      <c r="D38" s="203"/>
      <c r="E38" s="166"/>
      <c r="F38" s="166"/>
      <c r="G38" s="166"/>
      <c r="H38" s="464"/>
      <c r="I38" s="166" t="str">
        <f t="shared" si="5"/>
        <v>-</v>
      </c>
      <c r="J38" s="166" t="str">
        <f t="shared" si="6"/>
        <v>-</v>
      </c>
      <c r="K38" s="180" t="str">
        <f t="shared" si="7"/>
        <v>-</v>
      </c>
      <c r="L38" s="464"/>
      <c r="M38" s="181" t="e">
        <f>RANK(K38, K$27:$K$41)</f>
        <v>#VALUE!</v>
      </c>
      <c r="N38" s="461"/>
      <c r="O38" s="461"/>
      <c r="P38" s="182"/>
      <c r="Q38" s="166"/>
      <c r="R38" s="166"/>
      <c r="S38" s="182" t="e">
        <f t="shared" si="8"/>
        <v>#N/A</v>
      </c>
      <c r="T38" s="488"/>
      <c r="U38" s="182"/>
      <c r="V38" s="166"/>
      <c r="W38" s="166"/>
      <c r="X38" s="182" t="e">
        <f t="shared" si="9"/>
        <v>#N/A</v>
      </c>
      <c r="Y38" s="488"/>
      <c r="Z38" s="182"/>
      <c r="AA38" s="166"/>
      <c r="AB38" s="166"/>
      <c r="AC38" s="182" t="e">
        <f t="shared" si="11"/>
        <v>#N/A</v>
      </c>
      <c r="AD38" s="488"/>
      <c r="AE38" s="182"/>
      <c r="AF38" s="166"/>
      <c r="AG38" s="166"/>
      <c r="AH38" s="182" t="e">
        <f t="shared" si="13"/>
        <v>#N/A</v>
      </c>
      <c r="AI38" s="488"/>
      <c r="AJ38" s="182"/>
      <c r="AK38" s="166"/>
      <c r="AL38" s="166"/>
      <c r="AM38" s="182" t="e">
        <f t="shared" si="15"/>
        <v>#N/A</v>
      </c>
      <c r="AN38" s="488"/>
      <c r="AO38" s="182"/>
      <c r="AP38" s="166"/>
      <c r="AQ38" s="166"/>
      <c r="AR38" s="182" t="e">
        <f t="shared" si="17"/>
        <v>#N/A</v>
      </c>
      <c r="AS38" s="488"/>
      <c r="AT38" s="182"/>
      <c r="AU38" s="166"/>
      <c r="AV38" s="166"/>
      <c r="AW38" s="182" t="e">
        <f t="shared" si="19"/>
        <v>#N/A</v>
      </c>
      <c r="AX38" s="488"/>
      <c r="AZ38" s="182" t="e">
        <f t="shared" si="21"/>
        <v>#N/A</v>
      </c>
      <c r="BA38" s="488"/>
    </row>
    <row r="39" spans="2:53">
      <c r="B39" s="454"/>
      <c r="C39" s="182">
        <v>13</v>
      </c>
      <c r="D39" s="203"/>
      <c r="E39" s="166"/>
      <c r="F39" s="166"/>
      <c r="G39" s="166"/>
      <c r="H39" s="464"/>
      <c r="I39" s="166" t="str">
        <f t="shared" si="5"/>
        <v>-</v>
      </c>
      <c r="J39" s="166" t="str">
        <f t="shared" si="6"/>
        <v>-</v>
      </c>
      <c r="K39" s="180" t="str">
        <f t="shared" si="7"/>
        <v>-</v>
      </c>
      <c r="L39" s="464"/>
      <c r="M39" s="181" t="e">
        <f>RANK(K39, K$27:$K$41)</f>
        <v>#VALUE!</v>
      </c>
      <c r="N39" s="461"/>
      <c r="O39" s="461"/>
      <c r="P39" s="182"/>
      <c r="Q39" s="166"/>
      <c r="R39" s="166"/>
      <c r="S39" s="182" t="e">
        <f t="shared" si="8"/>
        <v>#N/A</v>
      </c>
      <c r="T39" s="488"/>
      <c r="U39" s="182"/>
      <c r="V39" s="166"/>
      <c r="W39" s="166"/>
      <c r="X39" s="182" t="e">
        <f t="shared" si="9"/>
        <v>#N/A</v>
      </c>
      <c r="Y39" s="488"/>
      <c r="Z39" s="182"/>
      <c r="AA39" s="166"/>
      <c r="AB39" s="166"/>
      <c r="AC39" s="182" t="e">
        <f t="shared" si="11"/>
        <v>#N/A</v>
      </c>
      <c r="AD39" s="488"/>
      <c r="AE39" s="182"/>
      <c r="AF39" s="166"/>
      <c r="AG39" s="166"/>
      <c r="AH39" s="182" t="e">
        <f t="shared" si="13"/>
        <v>#N/A</v>
      </c>
      <c r="AI39" s="488"/>
      <c r="AJ39" s="182"/>
      <c r="AK39" s="166"/>
      <c r="AL39" s="166"/>
      <c r="AM39" s="182" t="e">
        <f t="shared" si="15"/>
        <v>#N/A</v>
      </c>
      <c r="AN39" s="488"/>
      <c r="AO39" s="182"/>
      <c r="AP39" s="166"/>
      <c r="AQ39" s="166"/>
      <c r="AR39" s="182" t="e">
        <f t="shared" si="17"/>
        <v>#N/A</v>
      </c>
      <c r="AS39" s="488"/>
      <c r="AT39" s="182"/>
      <c r="AU39" s="166"/>
      <c r="AV39" s="166"/>
      <c r="AW39" s="182" t="e">
        <f t="shared" si="19"/>
        <v>#N/A</v>
      </c>
      <c r="AX39" s="488"/>
      <c r="AZ39" s="182" t="e">
        <f t="shared" si="21"/>
        <v>#N/A</v>
      </c>
      <c r="BA39" s="488"/>
    </row>
    <row r="40" spans="2:53">
      <c r="B40" s="454"/>
      <c r="C40" s="182">
        <v>14</v>
      </c>
      <c r="D40" s="203"/>
      <c r="E40" s="166"/>
      <c r="F40" s="166"/>
      <c r="G40" s="166"/>
      <c r="H40" s="464"/>
      <c r="I40" s="166" t="str">
        <f t="shared" si="5"/>
        <v>-</v>
      </c>
      <c r="J40" s="166" t="str">
        <f t="shared" si="6"/>
        <v>-</v>
      </c>
      <c r="K40" s="180" t="str">
        <f t="shared" si="7"/>
        <v>-</v>
      </c>
      <c r="L40" s="464"/>
      <c r="M40" s="181" t="e">
        <f>RANK(K40, K$27:$K$41)</f>
        <v>#VALUE!</v>
      </c>
      <c r="N40" s="461"/>
      <c r="O40" s="461"/>
      <c r="P40" s="182"/>
      <c r="Q40" s="166"/>
      <c r="R40" s="166"/>
      <c r="S40" s="182" t="e">
        <f t="shared" si="8"/>
        <v>#N/A</v>
      </c>
      <c r="T40" s="488"/>
      <c r="U40" s="182"/>
      <c r="V40" s="166"/>
      <c r="W40" s="166"/>
      <c r="X40" s="182" t="e">
        <f t="shared" si="9"/>
        <v>#N/A</v>
      </c>
      <c r="Y40" s="488"/>
      <c r="Z40" s="182"/>
      <c r="AA40" s="166"/>
      <c r="AB40" s="166"/>
      <c r="AC40" s="182" t="e">
        <f t="shared" si="11"/>
        <v>#N/A</v>
      </c>
      <c r="AD40" s="488"/>
      <c r="AE40" s="182"/>
      <c r="AF40" s="166"/>
      <c r="AG40" s="166"/>
      <c r="AH40" s="182" t="e">
        <f t="shared" si="13"/>
        <v>#N/A</v>
      </c>
      <c r="AI40" s="488"/>
      <c r="AJ40" s="182"/>
      <c r="AK40" s="166"/>
      <c r="AL40" s="166"/>
      <c r="AM40" s="182" t="e">
        <f t="shared" si="15"/>
        <v>#N/A</v>
      </c>
      <c r="AN40" s="488"/>
      <c r="AO40" s="182"/>
      <c r="AP40" s="166"/>
      <c r="AQ40" s="166"/>
      <c r="AR40" s="182" t="e">
        <f t="shared" si="17"/>
        <v>#N/A</v>
      </c>
      <c r="AS40" s="488"/>
      <c r="AT40" s="182"/>
      <c r="AU40" s="166"/>
      <c r="AV40" s="166"/>
      <c r="AW40" s="182" t="e">
        <f t="shared" si="19"/>
        <v>#N/A</v>
      </c>
      <c r="AX40" s="488"/>
      <c r="AZ40" s="182" t="e">
        <f t="shared" si="21"/>
        <v>#N/A</v>
      </c>
      <c r="BA40" s="488"/>
    </row>
    <row r="41" spans="2:53">
      <c r="B41" s="454"/>
      <c r="C41" s="182">
        <v>15</v>
      </c>
      <c r="D41" s="203"/>
      <c r="E41" s="166"/>
      <c r="F41" s="166"/>
      <c r="G41" s="166"/>
      <c r="H41" s="465"/>
      <c r="I41" s="182"/>
      <c r="J41" s="182"/>
      <c r="K41" s="182"/>
      <c r="L41" s="465"/>
      <c r="M41" s="166" t="e">
        <f>RANK(K41, K$27:$K$41)</f>
        <v>#N/A</v>
      </c>
      <c r="N41" s="461"/>
      <c r="O41" s="461"/>
      <c r="P41" s="182"/>
      <c r="Q41" s="166"/>
      <c r="R41" s="166"/>
      <c r="S41" s="182" t="e">
        <f t="shared" si="8"/>
        <v>#N/A</v>
      </c>
      <c r="T41" s="489"/>
      <c r="U41" s="182"/>
      <c r="V41" s="166"/>
      <c r="W41" s="166"/>
      <c r="X41" s="182" t="e">
        <f t="shared" si="9"/>
        <v>#N/A</v>
      </c>
      <c r="Y41" s="489"/>
      <c r="Z41" s="182"/>
      <c r="AA41" s="166"/>
      <c r="AB41" s="166"/>
      <c r="AC41" s="182" t="e">
        <f t="shared" si="11"/>
        <v>#N/A</v>
      </c>
      <c r="AD41" s="489"/>
      <c r="AE41" s="182"/>
      <c r="AF41" s="166"/>
      <c r="AG41" s="166"/>
      <c r="AH41" s="182" t="e">
        <f t="shared" si="13"/>
        <v>#N/A</v>
      </c>
      <c r="AI41" s="489"/>
      <c r="AJ41" s="182"/>
      <c r="AK41" s="166"/>
      <c r="AL41" s="166"/>
      <c r="AM41" s="182" t="e">
        <f t="shared" si="15"/>
        <v>#N/A</v>
      </c>
      <c r="AN41" s="489"/>
      <c r="AO41" s="182"/>
      <c r="AP41" s="166"/>
      <c r="AQ41" s="166"/>
      <c r="AR41" s="182" t="e">
        <f t="shared" si="17"/>
        <v>#N/A</v>
      </c>
      <c r="AS41" s="489"/>
      <c r="AT41" s="182"/>
      <c r="AU41" s="166"/>
      <c r="AV41" s="166"/>
      <c r="AW41" s="182" t="e">
        <f t="shared" si="19"/>
        <v>#N/A</v>
      </c>
      <c r="AX41" s="489"/>
      <c r="AZ41" s="182" t="e">
        <f t="shared" si="21"/>
        <v>#N/A</v>
      </c>
      <c r="BA41" s="489"/>
    </row>
    <row r="42" spans="2:53" ht="15.5">
      <c r="B42" s="493" t="s">
        <v>163</v>
      </c>
      <c r="C42" s="494"/>
      <c r="D42" s="494"/>
      <c r="E42" s="494"/>
      <c r="F42" s="494"/>
      <c r="G42" s="494"/>
      <c r="H42" s="494"/>
      <c r="I42" s="186"/>
      <c r="J42" s="183"/>
      <c r="K42" s="186"/>
      <c r="L42" s="186"/>
      <c r="M42" s="178"/>
      <c r="N42" s="480" t="s">
        <v>156</v>
      </c>
      <c r="O42" s="480" t="s">
        <v>105</v>
      </c>
      <c r="P42" s="476">
        <f>P22+7</f>
        <v>46126</v>
      </c>
      <c r="Q42" s="454"/>
      <c r="R42" s="454"/>
      <c r="S42" s="454"/>
      <c r="T42" s="454"/>
      <c r="U42" s="473">
        <f>P42+1</f>
        <v>46127</v>
      </c>
      <c r="V42" s="474"/>
      <c r="W42" s="474"/>
      <c r="X42" s="474"/>
      <c r="Y42" s="475"/>
      <c r="Z42" s="473">
        <f>U42+1</f>
        <v>46128</v>
      </c>
      <c r="AA42" s="474"/>
      <c r="AB42" s="474"/>
      <c r="AC42" s="474"/>
      <c r="AD42" s="475"/>
      <c r="AE42" s="473">
        <f>Z42+1</f>
        <v>46129</v>
      </c>
      <c r="AF42" s="474"/>
      <c r="AG42" s="474"/>
      <c r="AH42" s="474"/>
      <c r="AI42" s="475"/>
      <c r="AJ42" s="473">
        <f>AE42+1</f>
        <v>46130</v>
      </c>
      <c r="AK42" s="474"/>
      <c r="AL42" s="474"/>
      <c r="AM42" s="474"/>
      <c r="AN42" s="475"/>
      <c r="AO42" s="473">
        <f>AJ42+1</f>
        <v>46131</v>
      </c>
      <c r="AP42" s="474"/>
      <c r="AQ42" s="474"/>
      <c r="AR42" s="474"/>
      <c r="AS42" s="475"/>
      <c r="AT42" s="473">
        <f>AO42+1</f>
        <v>46132</v>
      </c>
      <c r="AU42" s="474"/>
      <c r="AV42" s="474"/>
      <c r="AW42" s="474"/>
      <c r="AX42" s="475"/>
    </row>
    <row r="43" spans="2:53" ht="15.5">
      <c r="B43" s="479"/>
      <c r="C43" s="479"/>
      <c r="D43" s="479"/>
      <c r="E43" s="479"/>
      <c r="F43" s="479"/>
      <c r="G43" s="479"/>
      <c r="H43" s="479"/>
      <c r="I43" s="184"/>
      <c r="J43" s="184"/>
      <c r="K43" s="184"/>
      <c r="L43" s="184"/>
      <c r="M43" s="179"/>
      <c r="N43" s="481"/>
      <c r="O43" s="481"/>
      <c r="P43" s="476" t="s">
        <v>336</v>
      </c>
      <c r="Q43" s="454"/>
      <c r="R43" s="454"/>
      <c r="S43" s="454"/>
      <c r="T43" s="454"/>
      <c r="U43" s="476" t="s">
        <v>337</v>
      </c>
      <c r="V43" s="454"/>
      <c r="W43" s="454"/>
      <c r="X43" s="454"/>
      <c r="Y43" s="454"/>
      <c r="Z43" s="476" t="s">
        <v>338</v>
      </c>
      <c r="AA43" s="454"/>
      <c r="AB43" s="454"/>
      <c r="AC43" s="454"/>
      <c r="AD43" s="454"/>
      <c r="AE43" s="476" t="s">
        <v>339</v>
      </c>
      <c r="AF43" s="454"/>
      <c r="AG43" s="454"/>
      <c r="AH43" s="454"/>
      <c r="AI43" s="454"/>
      <c r="AJ43" s="476" t="s">
        <v>340</v>
      </c>
      <c r="AK43" s="454"/>
      <c r="AL43" s="454"/>
      <c r="AM43" s="454"/>
      <c r="AN43" s="454"/>
      <c r="AO43" s="476" t="s">
        <v>341</v>
      </c>
      <c r="AP43" s="454"/>
      <c r="AQ43" s="454"/>
      <c r="AR43" s="454"/>
      <c r="AS43" s="454"/>
      <c r="AT43" s="476" t="s">
        <v>342</v>
      </c>
      <c r="AU43" s="454"/>
      <c r="AV43" s="454"/>
      <c r="AW43" s="454"/>
      <c r="AX43" s="454"/>
    </row>
    <row r="44" spans="2:53">
      <c r="B44" s="461" t="s">
        <v>399</v>
      </c>
      <c r="C44" s="461" t="s">
        <v>409</v>
      </c>
      <c r="D44" s="461"/>
      <c r="E44" s="461" t="s">
        <v>400</v>
      </c>
      <c r="F44" s="461"/>
      <c r="G44" s="461"/>
      <c r="H44" s="482" t="s">
        <v>396</v>
      </c>
      <c r="I44" s="461" t="s">
        <v>401</v>
      </c>
      <c r="J44" s="461"/>
      <c r="K44" s="461"/>
      <c r="L44" s="482" t="s">
        <v>396</v>
      </c>
      <c r="M44" s="480" t="s">
        <v>397</v>
      </c>
      <c r="N44" s="461"/>
      <c r="O44" s="461" t="s">
        <v>402</v>
      </c>
      <c r="P44" s="466" t="s">
        <v>760</v>
      </c>
      <c r="Q44" s="467"/>
      <c r="R44" s="467"/>
      <c r="S44" s="468"/>
      <c r="T44" s="461" t="s">
        <v>761</v>
      </c>
      <c r="U44" s="466" t="s">
        <v>760</v>
      </c>
      <c r="V44" s="467"/>
      <c r="W44" s="467"/>
      <c r="X44" s="468"/>
      <c r="Y44" s="461" t="s">
        <v>761</v>
      </c>
      <c r="Z44" s="466" t="s">
        <v>760</v>
      </c>
      <c r="AA44" s="467"/>
      <c r="AB44" s="467"/>
      <c r="AC44" s="468"/>
      <c r="AD44" s="461" t="s">
        <v>761</v>
      </c>
      <c r="AE44" s="466" t="s">
        <v>760</v>
      </c>
      <c r="AF44" s="467"/>
      <c r="AG44" s="467"/>
      <c r="AH44" s="468"/>
      <c r="AI44" s="461" t="s">
        <v>761</v>
      </c>
      <c r="AJ44" s="466" t="s">
        <v>760</v>
      </c>
      <c r="AK44" s="467"/>
      <c r="AL44" s="467"/>
      <c r="AM44" s="468"/>
      <c r="AN44" s="461" t="s">
        <v>761</v>
      </c>
      <c r="AO44" s="466" t="s">
        <v>760</v>
      </c>
      <c r="AP44" s="467"/>
      <c r="AQ44" s="467"/>
      <c r="AR44" s="468"/>
      <c r="AS44" s="461" t="s">
        <v>761</v>
      </c>
      <c r="AT44" s="466" t="s">
        <v>760</v>
      </c>
      <c r="AU44" s="467"/>
      <c r="AV44" s="467"/>
      <c r="AW44" s="468"/>
      <c r="AX44" s="461" t="s">
        <v>761</v>
      </c>
      <c r="BA44" s="461" t="s">
        <v>396</v>
      </c>
    </row>
    <row r="45" spans="2:53">
      <c r="B45" s="461"/>
      <c r="C45" s="461"/>
      <c r="D45" s="461"/>
      <c r="E45" s="461" t="s">
        <v>403</v>
      </c>
      <c r="F45" s="461"/>
      <c r="G45" s="461"/>
      <c r="H45" s="483"/>
      <c r="I45" s="461" t="s">
        <v>403</v>
      </c>
      <c r="J45" s="461"/>
      <c r="K45" s="461"/>
      <c r="L45" s="483"/>
      <c r="M45" s="485"/>
      <c r="N45" s="461"/>
      <c r="O45" s="461"/>
      <c r="P45" s="466" t="s">
        <v>762</v>
      </c>
      <c r="Q45" s="467"/>
      <c r="R45" s="467"/>
      <c r="S45" s="468"/>
      <c r="T45" s="461"/>
      <c r="U45" s="466" t="s">
        <v>762</v>
      </c>
      <c r="V45" s="467"/>
      <c r="W45" s="467"/>
      <c r="X45" s="468"/>
      <c r="Y45" s="461"/>
      <c r="Z45" s="466" t="s">
        <v>762</v>
      </c>
      <c r="AA45" s="467"/>
      <c r="AB45" s="467"/>
      <c r="AC45" s="468"/>
      <c r="AD45" s="461"/>
      <c r="AE45" s="466" t="s">
        <v>762</v>
      </c>
      <c r="AF45" s="467"/>
      <c r="AG45" s="467"/>
      <c r="AH45" s="468"/>
      <c r="AI45" s="461"/>
      <c r="AJ45" s="466" t="s">
        <v>762</v>
      </c>
      <c r="AK45" s="467"/>
      <c r="AL45" s="467"/>
      <c r="AM45" s="468"/>
      <c r="AN45" s="461"/>
      <c r="AO45" s="466" t="s">
        <v>762</v>
      </c>
      <c r="AP45" s="467"/>
      <c r="AQ45" s="467"/>
      <c r="AR45" s="468"/>
      <c r="AS45" s="461"/>
      <c r="AT45" s="466" t="s">
        <v>762</v>
      </c>
      <c r="AU45" s="467"/>
      <c r="AV45" s="467"/>
      <c r="AW45" s="468"/>
      <c r="AX45" s="461"/>
      <c r="BA45" s="461"/>
    </row>
    <row r="46" spans="2:53">
      <c r="B46" s="461"/>
      <c r="C46" s="461"/>
      <c r="D46" s="461"/>
      <c r="E46" s="269" t="s">
        <v>405</v>
      </c>
      <c r="F46" s="269" t="s">
        <v>406</v>
      </c>
      <c r="G46" s="269" t="s">
        <v>407</v>
      </c>
      <c r="H46" s="484"/>
      <c r="I46" s="269" t="s">
        <v>405</v>
      </c>
      <c r="J46" s="269" t="s">
        <v>406</v>
      </c>
      <c r="K46" s="269" t="s">
        <v>407</v>
      </c>
      <c r="L46" s="484"/>
      <c r="M46" s="481"/>
      <c r="N46" s="461"/>
      <c r="O46" s="461"/>
      <c r="P46" s="269" t="s">
        <v>763</v>
      </c>
      <c r="Q46" s="269" t="s">
        <v>764</v>
      </c>
      <c r="R46" s="269" t="s">
        <v>765</v>
      </c>
      <c r="S46" s="269" t="s">
        <v>766</v>
      </c>
      <c r="T46" s="461"/>
      <c r="U46" s="269" t="s">
        <v>763</v>
      </c>
      <c r="V46" s="269" t="s">
        <v>764</v>
      </c>
      <c r="W46" s="269" t="s">
        <v>765</v>
      </c>
      <c r="X46" s="269" t="s">
        <v>766</v>
      </c>
      <c r="Y46" s="461"/>
      <c r="Z46" s="269" t="s">
        <v>763</v>
      </c>
      <c r="AA46" s="269" t="s">
        <v>764</v>
      </c>
      <c r="AB46" s="269" t="s">
        <v>765</v>
      </c>
      <c r="AC46" s="269" t="s">
        <v>766</v>
      </c>
      <c r="AD46" s="461"/>
      <c r="AE46" s="269" t="s">
        <v>763</v>
      </c>
      <c r="AF46" s="269" t="s">
        <v>764</v>
      </c>
      <c r="AG46" s="269" t="s">
        <v>765</v>
      </c>
      <c r="AH46" s="269" t="s">
        <v>766</v>
      </c>
      <c r="AI46" s="461"/>
      <c r="AJ46" s="269" t="s">
        <v>763</v>
      </c>
      <c r="AK46" s="269" t="s">
        <v>764</v>
      </c>
      <c r="AL46" s="269" t="s">
        <v>765</v>
      </c>
      <c r="AM46" s="269" t="s">
        <v>766</v>
      </c>
      <c r="AN46" s="461"/>
      <c r="AO46" s="269" t="s">
        <v>763</v>
      </c>
      <c r="AP46" s="269" t="s">
        <v>764</v>
      </c>
      <c r="AQ46" s="269" t="s">
        <v>765</v>
      </c>
      <c r="AR46" s="269" t="s">
        <v>766</v>
      </c>
      <c r="AS46" s="461"/>
      <c r="AT46" s="269" t="s">
        <v>763</v>
      </c>
      <c r="AU46" s="269" t="s">
        <v>764</v>
      </c>
      <c r="AV46" s="269" t="s">
        <v>765</v>
      </c>
      <c r="AW46" s="269" t="s">
        <v>766</v>
      </c>
      <c r="AX46" s="461"/>
      <c r="AZ46" s="269" t="s">
        <v>766</v>
      </c>
      <c r="BA46" s="461"/>
    </row>
    <row r="47" spans="2:53">
      <c r="B47" s="461" t="s">
        <v>411</v>
      </c>
      <c r="C47" s="182">
        <v>1</v>
      </c>
      <c r="D47" s="203"/>
      <c r="E47" s="166"/>
      <c r="F47" s="182"/>
      <c r="G47" s="180"/>
      <c r="H47" s="463" t="e">
        <f>AVERAGE(G47:G61)</f>
        <v>#DIV/0!</v>
      </c>
      <c r="I47" s="166" t="str">
        <f t="shared" ref="I47:I60" si="23">IFERROR(AVERAGE(P47,U47,Z47,AE47,AJ47,AO47,AT47),"-")</f>
        <v>-</v>
      </c>
      <c r="J47" s="166" t="str">
        <f t="shared" ref="J47:J60" si="24">IFERROR(AVERAGE(Q47,V47,AA47,AF47,AK47,AP47,AU47),"-")</f>
        <v>-</v>
      </c>
      <c r="K47" s="180" t="str">
        <f t="shared" ref="K47:K60" si="25">IFERROR(AVERAGE(R47,W47,AB47,AG47,AL47,AQ47,AV47),"-")</f>
        <v>-</v>
      </c>
      <c r="L47" s="463" t="str">
        <f>IFERROR(AVERAGE(K47:K61),"-")</f>
        <v>-</v>
      </c>
      <c r="M47" s="181" t="e">
        <f>RANK(K47, K$47:$K$61)</f>
        <v>#VALUE!</v>
      </c>
      <c r="N47" s="461"/>
      <c r="O47" s="461"/>
      <c r="P47" s="182"/>
      <c r="Q47" s="166"/>
      <c r="R47" s="166"/>
      <c r="S47" s="182" t="e">
        <f>RANK(R47, R$47:R$61)</f>
        <v>#N/A</v>
      </c>
      <c r="T47" s="495" t="e">
        <f>AVERAGE(R47:R61)</f>
        <v>#DIV/0!</v>
      </c>
      <c r="U47" s="182"/>
      <c r="V47" s="166"/>
      <c r="W47" s="166"/>
      <c r="X47" s="182" t="e">
        <f t="shared" ref="X47:X61" si="26">RANK(W47, W$47:W$61)</f>
        <v>#N/A</v>
      </c>
      <c r="Y47" s="495" t="e">
        <f t="shared" ref="Y47" si="27">AVERAGE(W47:W61)</f>
        <v>#DIV/0!</v>
      </c>
      <c r="Z47" s="182"/>
      <c r="AA47" s="166"/>
      <c r="AB47" s="166"/>
      <c r="AC47" s="182" t="e">
        <f t="shared" ref="AC47:AC61" si="28">RANK(AB47, AB$47:AB$61)</f>
        <v>#N/A</v>
      </c>
      <c r="AD47" s="495" t="e">
        <f t="shared" ref="AD47" si="29">AVERAGE(AB47:AB61)</f>
        <v>#DIV/0!</v>
      </c>
      <c r="AE47" s="182"/>
      <c r="AF47" s="166"/>
      <c r="AG47" s="166"/>
      <c r="AH47" s="182" t="e">
        <f t="shared" ref="AH47:AH61" si="30">RANK(AG47, AG$47:AG$61)</f>
        <v>#N/A</v>
      </c>
      <c r="AI47" s="495" t="e">
        <f t="shared" ref="AI47" si="31">AVERAGE(AG47:AG61)</f>
        <v>#DIV/0!</v>
      </c>
      <c r="AJ47" s="182"/>
      <c r="AK47" s="166"/>
      <c r="AL47" s="166"/>
      <c r="AM47" s="182" t="e">
        <f t="shared" ref="AM47:AM61" si="32">RANK(AL47, AL$47:AL$61)</f>
        <v>#N/A</v>
      </c>
      <c r="AN47" s="495" t="e">
        <f t="shared" ref="AN47" si="33">AVERAGE(AL47:AL61)</f>
        <v>#DIV/0!</v>
      </c>
      <c r="AO47" s="182"/>
      <c r="AP47" s="166"/>
      <c r="AQ47" s="166"/>
      <c r="AR47" s="182" t="e">
        <f t="shared" ref="AR47:AR61" si="34">RANK(AQ47, AQ$47:AQ$61)</f>
        <v>#N/A</v>
      </c>
      <c r="AS47" s="495" t="e">
        <f t="shared" ref="AS47" si="35">AVERAGE(AQ47:AQ61)</f>
        <v>#DIV/0!</v>
      </c>
      <c r="AT47" s="182"/>
      <c r="AU47" s="166"/>
      <c r="AV47" s="166"/>
      <c r="AW47" s="182" t="e">
        <f t="shared" ref="AW47:AW61" si="36">RANK(AV47, AV$47:AV$61)</f>
        <v>#N/A</v>
      </c>
      <c r="AX47" s="495" t="e">
        <f t="shared" ref="AX47" si="37">AVERAGE(AV47:AV61)</f>
        <v>#DIV/0!</v>
      </c>
      <c r="AZ47" s="182" t="e">
        <f t="shared" ref="AZ47:AZ61" si="38">RANK(AY47, AY$47:AY$61)</f>
        <v>#N/A</v>
      </c>
      <c r="BA47" s="495" t="e">
        <f t="shared" ref="BA47" si="39">AVERAGE(AY47:AY61)</f>
        <v>#DIV/0!</v>
      </c>
    </row>
    <row r="48" spans="2:53">
      <c r="B48" s="454"/>
      <c r="C48" s="182">
        <v>2</v>
      </c>
      <c r="D48" s="203"/>
      <c r="E48" s="166"/>
      <c r="F48" s="182"/>
      <c r="G48" s="180"/>
      <c r="H48" s="464"/>
      <c r="I48" s="166" t="str">
        <f t="shared" si="23"/>
        <v>-</v>
      </c>
      <c r="J48" s="166" t="str">
        <f t="shared" si="24"/>
        <v>-</v>
      </c>
      <c r="K48" s="180" t="str">
        <f t="shared" si="25"/>
        <v>-</v>
      </c>
      <c r="L48" s="464"/>
      <c r="M48" s="181" t="e">
        <f>RANK(K48, K$47:$K$61)</f>
        <v>#VALUE!</v>
      </c>
      <c r="N48" s="461"/>
      <c r="O48" s="461"/>
      <c r="P48" s="182"/>
      <c r="Q48" s="166"/>
      <c r="R48" s="166"/>
      <c r="S48" s="182" t="e">
        <f t="shared" ref="S48:S61" si="40">RANK(R48, R$47:R$61)</f>
        <v>#N/A</v>
      </c>
      <c r="T48" s="496"/>
      <c r="U48" s="182"/>
      <c r="V48" s="166"/>
      <c r="W48" s="166"/>
      <c r="X48" s="182" t="e">
        <f t="shared" si="26"/>
        <v>#N/A</v>
      </c>
      <c r="Y48" s="496"/>
      <c r="Z48" s="182"/>
      <c r="AA48" s="166"/>
      <c r="AB48" s="166"/>
      <c r="AC48" s="182" t="e">
        <f t="shared" si="28"/>
        <v>#N/A</v>
      </c>
      <c r="AD48" s="496"/>
      <c r="AE48" s="182"/>
      <c r="AF48" s="166"/>
      <c r="AG48" s="166"/>
      <c r="AH48" s="182" t="e">
        <f t="shared" si="30"/>
        <v>#N/A</v>
      </c>
      <c r="AI48" s="496"/>
      <c r="AJ48" s="182"/>
      <c r="AK48" s="166"/>
      <c r="AL48" s="166"/>
      <c r="AM48" s="182" t="e">
        <f t="shared" si="32"/>
        <v>#N/A</v>
      </c>
      <c r="AN48" s="496"/>
      <c r="AO48" s="182"/>
      <c r="AP48" s="166"/>
      <c r="AQ48" s="166"/>
      <c r="AR48" s="182" t="e">
        <f t="shared" si="34"/>
        <v>#N/A</v>
      </c>
      <c r="AS48" s="496"/>
      <c r="AT48" s="182"/>
      <c r="AU48" s="166"/>
      <c r="AV48" s="166"/>
      <c r="AW48" s="182" t="e">
        <f t="shared" si="36"/>
        <v>#N/A</v>
      </c>
      <c r="AX48" s="496"/>
      <c r="AZ48" s="182" t="e">
        <f t="shared" si="38"/>
        <v>#N/A</v>
      </c>
      <c r="BA48" s="496"/>
    </row>
    <row r="49" spans="2:53">
      <c r="B49" s="454"/>
      <c r="C49" s="182">
        <v>3</v>
      </c>
      <c r="D49" s="203"/>
      <c r="E49" s="166"/>
      <c r="F49" s="182"/>
      <c r="G49" s="180"/>
      <c r="H49" s="464"/>
      <c r="I49" s="166" t="str">
        <f t="shared" si="23"/>
        <v>-</v>
      </c>
      <c r="J49" s="166" t="str">
        <f t="shared" si="24"/>
        <v>-</v>
      </c>
      <c r="K49" s="180" t="str">
        <f t="shared" si="25"/>
        <v>-</v>
      </c>
      <c r="L49" s="464"/>
      <c r="M49" s="181" t="e">
        <f>RANK(K49, K$47:$K$61)</f>
        <v>#VALUE!</v>
      </c>
      <c r="N49" s="461"/>
      <c r="O49" s="461"/>
      <c r="P49" s="182"/>
      <c r="Q49" s="166"/>
      <c r="R49" s="166"/>
      <c r="S49" s="182" t="e">
        <f t="shared" si="40"/>
        <v>#N/A</v>
      </c>
      <c r="T49" s="496"/>
      <c r="U49" s="182"/>
      <c r="V49" s="166"/>
      <c r="W49" s="166"/>
      <c r="X49" s="182" t="e">
        <f t="shared" si="26"/>
        <v>#N/A</v>
      </c>
      <c r="Y49" s="496"/>
      <c r="Z49" s="182"/>
      <c r="AA49" s="166"/>
      <c r="AB49" s="166"/>
      <c r="AC49" s="182" t="e">
        <f t="shared" si="28"/>
        <v>#N/A</v>
      </c>
      <c r="AD49" s="496"/>
      <c r="AE49" s="182"/>
      <c r="AF49" s="166"/>
      <c r="AG49" s="166"/>
      <c r="AH49" s="182" t="e">
        <f t="shared" si="30"/>
        <v>#N/A</v>
      </c>
      <c r="AI49" s="496"/>
      <c r="AJ49" s="182"/>
      <c r="AK49" s="166"/>
      <c r="AL49" s="166"/>
      <c r="AM49" s="182" t="e">
        <f t="shared" si="32"/>
        <v>#N/A</v>
      </c>
      <c r="AN49" s="496"/>
      <c r="AO49" s="182"/>
      <c r="AP49" s="166"/>
      <c r="AQ49" s="166"/>
      <c r="AR49" s="182" t="e">
        <f t="shared" si="34"/>
        <v>#N/A</v>
      </c>
      <c r="AS49" s="496"/>
      <c r="AT49" s="182"/>
      <c r="AU49" s="166"/>
      <c r="AV49" s="166"/>
      <c r="AW49" s="182" t="e">
        <f t="shared" si="36"/>
        <v>#N/A</v>
      </c>
      <c r="AX49" s="496"/>
      <c r="AZ49" s="182" t="e">
        <f t="shared" si="38"/>
        <v>#N/A</v>
      </c>
      <c r="BA49" s="496"/>
    </row>
    <row r="50" spans="2:53">
      <c r="B50" s="454"/>
      <c r="C50" s="182">
        <v>4</v>
      </c>
      <c r="D50" s="203"/>
      <c r="E50" s="166"/>
      <c r="F50" s="182"/>
      <c r="G50" s="180"/>
      <c r="H50" s="464"/>
      <c r="I50" s="166" t="str">
        <f t="shared" si="23"/>
        <v>-</v>
      </c>
      <c r="J50" s="166" t="str">
        <f t="shared" si="24"/>
        <v>-</v>
      </c>
      <c r="K50" s="180" t="str">
        <f t="shared" si="25"/>
        <v>-</v>
      </c>
      <c r="L50" s="464"/>
      <c r="M50" s="181" t="e">
        <f>RANK(K50, K$47:$K$61)</f>
        <v>#VALUE!</v>
      </c>
      <c r="N50" s="461"/>
      <c r="O50" s="461"/>
      <c r="P50" s="182"/>
      <c r="Q50" s="166"/>
      <c r="R50" s="166"/>
      <c r="S50" s="182" t="e">
        <f t="shared" si="40"/>
        <v>#N/A</v>
      </c>
      <c r="T50" s="496"/>
      <c r="U50" s="182"/>
      <c r="V50" s="166"/>
      <c r="W50" s="166"/>
      <c r="X50" s="182" t="e">
        <f t="shared" si="26"/>
        <v>#N/A</v>
      </c>
      <c r="Y50" s="496"/>
      <c r="Z50" s="182"/>
      <c r="AA50" s="166"/>
      <c r="AB50" s="166"/>
      <c r="AC50" s="182" t="e">
        <f t="shared" si="28"/>
        <v>#N/A</v>
      </c>
      <c r="AD50" s="496"/>
      <c r="AE50" s="182"/>
      <c r="AF50" s="166"/>
      <c r="AG50" s="166"/>
      <c r="AH50" s="182" t="e">
        <f t="shared" si="30"/>
        <v>#N/A</v>
      </c>
      <c r="AI50" s="496"/>
      <c r="AJ50" s="182"/>
      <c r="AK50" s="166"/>
      <c r="AL50" s="166"/>
      <c r="AM50" s="182" t="e">
        <f t="shared" si="32"/>
        <v>#N/A</v>
      </c>
      <c r="AN50" s="496"/>
      <c r="AO50" s="182"/>
      <c r="AP50" s="166"/>
      <c r="AQ50" s="166"/>
      <c r="AR50" s="182" t="e">
        <f t="shared" si="34"/>
        <v>#N/A</v>
      </c>
      <c r="AS50" s="496"/>
      <c r="AT50" s="182"/>
      <c r="AU50" s="166"/>
      <c r="AV50" s="166"/>
      <c r="AW50" s="182" t="e">
        <f t="shared" si="36"/>
        <v>#N/A</v>
      </c>
      <c r="AX50" s="496"/>
      <c r="AZ50" s="182" t="e">
        <f t="shared" si="38"/>
        <v>#N/A</v>
      </c>
      <c r="BA50" s="496"/>
    </row>
    <row r="51" spans="2:53">
      <c r="B51" s="454"/>
      <c r="C51" s="182">
        <v>5</v>
      </c>
      <c r="D51" s="203"/>
      <c r="E51" s="166"/>
      <c r="F51" s="182"/>
      <c r="G51" s="180"/>
      <c r="H51" s="464"/>
      <c r="I51" s="166" t="str">
        <f t="shared" si="23"/>
        <v>-</v>
      </c>
      <c r="J51" s="166" t="str">
        <f t="shared" si="24"/>
        <v>-</v>
      </c>
      <c r="K51" s="180" t="str">
        <f t="shared" si="25"/>
        <v>-</v>
      </c>
      <c r="L51" s="464"/>
      <c r="M51" s="181" t="e">
        <f>RANK(K51, K$47:$K$61)</f>
        <v>#VALUE!</v>
      </c>
      <c r="N51" s="461"/>
      <c r="O51" s="461"/>
      <c r="P51" s="182"/>
      <c r="Q51" s="166"/>
      <c r="R51" s="166"/>
      <c r="S51" s="182" t="e">
        <f t="shared" si="40"/>
        <v>#N/A</v>
      </c>
      <c r="T51" s="496"/>
      <c r="U51" s="182"/>
      <c r="V51" s="166"/>
      <c r="W51" s="166"/>
      <c r="X51" s="182" t="e">
        <f t="shared" si="26"/>
        <v>#N/A</v>
      </c>
      <c r="Y51" s="496"/>
      <c r="Z51" s="182"/>
      <c r="AA51" s="166"/>
      <c r="AB51" s="166"/>
      <c r="AC51" s="182" t="e">
        <f t="shared" si="28"/>
        <v>#N/A</v>
      </c>
      <c r="AD51" s="496"/>
      <c r="AE51" s="182"/>
      <c r="AF51" s="166"/>
      <c r="AG51" s="166"/>
      <c r="AH51" s="182" t="e">
        <f t="shared" si="30"/>
        <v>#N/A</v>
      </c>
      <c r="AI51" s="496"/>
      <c r="AJ51" s="182"/>
      <c r="AK51" s="166"/>
      <c r="AL51" s="166"/>
      <c r="AM51" s="182" t="e">
        <f t="shared" si="32"/>
        <v>#N/A</v>
      </c>
      <c r="AN51" s="496"/>
      <c r="AO51" s="182"/>
      <c r="AP51" s="166"/>
      <c r="AQ51" s="166"/>
      <c r="AR51" s="182" t="e">
        <f t="shared" si="34"/>
        <v>#N/A</v>
      </c>
      <c r="AS51" s="496"/>
      <c r="AT51" s="182"/>
      <c r="AU51" s="166"/>
      <c r="AV51" s="166"/>
      <c r="AW51" s="182" t="e">
        <f t="shared" si="36"/>
        <v>#N/A</v>
      </c>
      <c r="AX51" s="496"/>
      <c r="AZ51" s="182" t="e">
        <f t="shared" si="38"/>
        <v>#N/A</v>
      </c>
      <c r="BA51" s="496"/>
    </row>
    <row r="52" spans="2:53">
      <c r="B52" s="454"/>
      <c r="C52" s="182">
        <v>6</v>
      </c>
      <c r="D52" s="203"/>
      <c r="E52" s="166"/>
      <c r="F52" s="182"/>
      <c r="G52" s="180"/>
      <c r="H52" s="464"/>
      <c r="I52" s="166" t="str">
        <f t="shared" si="23"/>
        <v>-</v>
      </c>
      <c r="J52" s="166" t="str">
        <f t="shared" si="24"/>
        <v>-</v>
      </c>
      <c r="K52" s="180" t="str">
        <f t="shared" si="25"/>
        <v>-</v>
      </c>
      <c r="L52" s="464"/>
      <c r="M52" s="181" t="e">
        <f>RANK(K52, K$47:$K$61)</f>
        <v>#VALUE!</v>
      </c>
      <c r="N52" s="461"/>
      <c r="O52" s="461"/>
      <c r="P52" s="182"/>
      <c r="Q52" s="166"/>
      <c r="R52" s="166"/>
      <c r="S52" s="182" t="e">
        <f t="shared" si="40"/>
        <v>#N/A</v>
      </c>
      <c r="T52" s="496"/>
      <c r="U52" s="182"/>
      <c r="V52" s="166"/>
      <c r="W52" s="166"/>
      <c r="X52" s="182" t="e">
        <f t="shared" si="26"/>
        <v>#N/A</v>
      </c>
      <c r="Y52" s="496"/>
      <c r="Z52" s="182"/>
      <c r="AA52" s="166"/>
      <c r="AB52" s="166"/>
      <c r="AC52" s="182" t="e">
        <f t="shared" si="28"/>
        <v>#N/A</v>
      </c>
      <c r="AD52" s="496"/>
      <c r="AE52" s="182"/>
      <c r="AF52" s="166"/>
      <c r="AG52" s="166"/>
      <c r="AH52" s="182" t="e">
        <f t="shared" si="30"/>
        <v>#N/A</v>
      </c>
      <c r="AI52" s="496"/>
      <c r="AJ52" s="182"/>
      <c r="AK52" s="166"/>
      <c r="AL52" s="166"/>
      <c r="AM52" s="182" t="e">
        <f t="shared" si="32"/>
        <v>#N/A</v>
      </c>
      <c r="AN52" s="496"/>
      <c r="AO52" s="182"/>
      <c r="AP52" s="166"/>
      <c r="AQ52" s="166"/>
      <c r="AR52" s="182" t="e">
        <f t="shared" si="34"/>
        <v>#N/A</v>
      </c>
      <c r="AS52" s="496"/>
      <c r="AT52" s="182"/>
      <c r="AU52" s="166"/>
      <c r="AV52" s="166"/>
      <c r="AW52" s="182" t="e">
        <f t="shared" si="36"/>
        <v>#N/A</v>
      </c>
      <c r="AX52" s="496"/>
      <c r="AZ52" s="182" t="e">
        <f t="shared" si="38"/>
        <v>#N/A</v>
      </c>
      <c r="BA52" s="496"/>
    </row>
    <row r="53" spans="2:53">
      <c r="B53" s="454"/>
      <c r="C53" s="182">
        <v>7</v>
      </c>
      <c r="D53" s="203"/>
      <c r="E53" s="166"/>
      <c r="F53" s="166"/>
      <c r="G53" s="166"/>
      <c r="H53" s="464"/>
      <c r="I53" s="166" t="str">
        <f t="shared" si="23"/>
        <v>-</v>
      </c>
      <c r="J53" s="166" t="str">
        <f t="shared" si="24"/>
        <v>-</v>
      </c>
      <c r="K53" s="180" t="str">
        <f t="shared" si="25"/>
        <v>-</v>
      </c>
      <c r="L53" s="464"/>
      <c r="M53" s="181" t="e">
        <f>RANK(K53, K$47:$K$61)</f>
        <v>#VALUE!</v>
      </c>
      <c r="N53" s="461"/>
      <c r="O53" s="461"/>
      <c r="P53" s="182"/>
      <c r="Q53" s="166"/>
      <c r="R53" s="166"/>
      <c r="S53" s="182" t="e">
        <f t="shared" si="40"/>
        <v>#N/A</v>
      </c>
      <c r="T53" s="496"/>
      <c r="U53" s="182"/>
      <c r="V53" s="166"/>
      <c r="W53" s="166"/>
      <c r="X53" s="182" t="e">
        <f t="shared" si="26"/>
        <v>#N/A</v>
      </c>
      <c r="Y53" s="496"/>
      <c r="Z53" s="182"/>
      <c r="AA53" s="166"/>
      <c r="AB53" s="166"/>
      <c r="AC53" s="182" t="e">
        <f t="shared" si="28"/>
        <v>#N/A</v>
      </c>
      <c r="AD53" s="496"/>
      <c r="AE53" s="182"/>
      <c r="AF53" s="166"/>
      <c r="AG53" s="166"/>
      <c r="AH53" s="182" t="e">
        <f t="shared" si="30"/>
        <v>#N/A</v>
      </c>
      <c r="AI53" s="496"/>
      <c r="AJ53" s="182"/>
      <c r="AK53" s="166"/>
      <c r="AL53" s="166"/>
      <c r="AM53" s="182" t="e">
        <f t="shared" si="32"/>
        <v>#N/A</v>
      </c>
      <c r="AN53" s="496"/>
      <c r="AO53" s="182"/>
      <c r="AP53" s="166"/>
      <c r="AQ53" s="166"/>
      <c r="AR53" s="182" t="e">
        <f t="shared" si="34"/>
        <v>#N/A</v>
      </c>
      <c r="AS53" s="496"/>
      <c r="AT53" s="182"/>
      <c r="AU53" s="166"/>
      <c r="AV53" s="166"/>
      <c r="AW53" s="182" t="e">
        <f t="shared" si="36"/>
        <v>#N/A</v>
      </c>
      <c r="AX53" s="496"/>
      <c r="AZ53" s="182" t="e">
        <f t="shared" si="38"/>
        <v>#N/A</v>
      </c>
      <c r="BA53" s="496"/>
    </row>
    <row r="54" spans="2:53">
      <c r="B54" s="454"/>
      <c r="C54" s="182">
        <v>8</v>
      </c>
      <c r="D54" s="203"/>
      <c r="E54" s="166"/>
      <c r="F54" s="166"/>
      <c r="G54" s="166"/>
      <c r="H54" s="464"/>
      <c r="I54" s="166" t="str">
        <f t="shared" si="23"/>
        <v>-</v>
      </c>
      <c r="J54" s="166" t="str">
        <f t="shared" si="24"/>
        <v>-</v>
      </c>
      <c r="K54" s="180" t="str">
        <f t="shared" si="25"/>
        <v>-</v>
      </c>
      <c r="L54" s="464"/>
      <c r="M54" s="181" t="e">
        <f>RANK(K54, K$47:$K$61)</f>
        <v>#VALUE!</v>
      </c>
      <c r="N54" s="461"/>
      <c r="O54" s="461"/>
      <c r="P54" s="182"/>
      <c r="Q54" s="166"/>
      <c r="R54" s="166"/>
      <c r="S54" s="182" t="e">
        <f t="shared" si="40"/>
        <v>#N/A</v>
      </c>
      <c r="T54" s="496"/>
      <c r="U54" s="182"/>
      <c r="V54" s="166"/>
      <c r="W54" s="166"/>
      <c r="X54" s="182" t="e">
        <f t="shared" si="26"/>
        <v>#N/A</v>
      </c>
      <c r="Y54" s="496"/>
      <c r="Z54" s="182"/>
      <c r="AA54" s="166"/>
      <c r="AB54" s="166"/>
      <c r="AC54" s="182" t="e">
        <f t="shared" si="28"/>
        <v>#N/A</v>
      </c>
      <c r="AD54" s="496"/>
      <c r="AE54" s="182"/>
      <c r="AF54" s="166"/>
      <c r="AG54" s="166"/>
      <c r="AH54" s="182" t="e">
        <f t="shared" si="30"/>
        <v>#N/A</v>
      </c>
      <c r="AI54" s="496"/>
      <c r="AJ54" s="182"/>
      <c r="AK54" s="166"/>
      <c r="AL54" s="166"/>
      <c r="AM54" s="182" t="e">
        <f t="shared" si="32"/>
        <v>#N/A</v>
      </c>
      <c r="AN54" s="496"/>
      <c r="AO54" s="182"/>
      <c r="AP54" s="166"/>
      <c r="AQ54" s="166"/>
      <c r="AR54" s="182" t="e">
        <f t="shared" si="34"/>
        <v>#N/A</v>
      </c>
      <c r="AS54" s="496"/>
      <c r="AT54" s="182"/>
      <c r="AU54" s="166"/>
      <c r="AV54" s="166"/>
      <c r="AW54" s="182" t="e">
        <f t="shared" si="36"/>
        <v>#N/A</v>
      </c>
      <c r="AX54" s="496"/>
      <c r="AZ54" s="182" t="e">
        <f t="shared" si="38"/>
        <v>#N/A</v>
      </c>
      <c r="BA54" s="496"/>
    </row>
    <row r="55" spans="2:53">
      <c r="B55" s="454"/>
      <c r="C55" s="182">
        <v>9</v>
      </c>
      <c r="D55" s="203"/>
      <c r="E55" s="166"/>
      <c r="F55" s="166"/>
      <c r="G55" s="166"/>
      <c r="H55" s="464"/>
      <c r="I55" s="166" t="str">
        <f t="shared" si="23"/>
        <v>-</v>
      </c>
      <c r="J55" s="166" t="str">
        <f t="shared" si="24"/>
        <v>-</v>
      </c>
      <c r="K55" s="180" t="str">
        <f t="shared" si="25"/>
        <v>-</v>
      </c>
      <c r="L55" s="464"/>
      <c r="M55" s="181" t="e">
        <f>RANK(K55, K$47:$K$61)</f>
        <v>#VALUE!</v>
      </c>
      <c r="N55" s="461"/>
      <c r="O55" s="461"/>
      <c r="P55" s="182"/>
      <c r="Q55" s="166"/>
      <c r="R55" s="166"/>
      <c r="S55" s="182" t="e">
        <f t="shared" si="40"/>
        <v>#N/A</v>
      </c>
      <c r="T55" s="496"/>
      <c r="U55" s="182"/>
      <c r="V55" s="166"/>
      <c r="W55" s="166"/>
      <c r="X55" s="182" t="e">
        <f t="shared" si="26"/>
        <v>#N/A</v>
      </c>
      <c r="Y55" s="496"/>
      <c r="Z55" s="182"/>
      <c r="AA55" s="166"/>
      <c r="AB55" s="166"/>
      <c r="AC55" s="182" t="e">
        <f t="shared" si="28"/>
        <v>#N/A</v>
      </c>
      <c r="AD55" s="496"/>
      <c r="AE55" s="182"/>
      <c r="AF55" s="166"/>
      <c r="AG55" s="166"/>
      <c r="AH55" s="182" t="e">
        <f t="shared" si="30"/>
        <v>#N/A</v>
      </c>
      <c r="AI55" s="496"/>
      <c r="AJ55" s="182"/>
      <c r="AK55" s="166"/>
      <c r="AL55" s="166"/>
      <c r="AM55" s="182" t="e">
        <f t="shared" si="32"/>
        <v>#N/A</v>
      </c>
      <c r="AN55" s="496"/>
      <c r="AO55" s="182"/>
      <c r="AP55" s="166"/>
      <c r="AQ55" s="166"/>
      <c r="AR55" s="182" t="e">
        <f t="shared" si="34"/>
        <v>#N/A</v>
      </c>
      <c r="AS55" s="496"/>
      <c r="AT55" s="182"/>
      <c r="AU55" s="166"/>
      <c r="AV55" s="166"/>
      <c r="AW55" s="182" t="e">
        <f t="shared" si="36"/>
        <v>#N/A</v>
      </c>
      <c r="AX55" s="496"/>
      <c r="AZ55" s="182" t="e">
        <f t="shared" si="38"/>
        <v>#N/A</v>
      </c>
      <c r="BA55" s="496"/>
    </row>
    <row r="56" spans="2:53">
      <c r="B56" s="454"/>
      <c r="C56" s="182">
        <v>10</v>
      </c>
      <c r="D56" s="203"/>
      <c r="E56" s="166"/>
      <c r="F56" s="166"/>
      <c r="G56" s="166"/>
      <c r="H56" s="464"/>
      <c r="I56" s="166" t="str">
        <f t="shared" si="23"/>
        <v>-</v>
      </c>
      <c r="J56" s="166" t="str">
        <f t="shared" si="24"/>
        <v>-</v>
      </c>
      <c r="K56" s="180" t="str">
        <f t="shared" si="25"/>
        <v>-</v>
      </c>
      <c r="L56" s="464"/>
      <c r="M56" s="181" t="e">
        <f>RANK(K56, K$47:$K$61)</f>
        <v>#VALUE!</v>
      </c>
      <c r="N56" s="461"/>
      <c r="O56" s="461"/>
      <c r="P56" s="182"/>
      <c r="Q56" s="166"/>
      <c r="R56" s="166"/>
      <c r="S56" s="182" t="e">
        <f t="shared" si="40"/>
        <v>#N/A</v>
      </c>
      <c r="T56" s="496"/>
      <c r="U56" s="182"/>
      <c r="V56" s="166"/>
      <c r="W56" s="166"/>
      <c r="X56" s="182" t="e">
        <f t="shared" si="26"/>
        <v>#N/A</v>
      </c>
      <c r="Y56" s="496"/>
      <c r="Z56" s="182"/>
      <c r="AA56" s="166"/>
      <c r="AB56" s="166"/>
      <c r="AC56" s="182" t="e">
        <f t="shared" si="28"/>
        <v>#N/A</v>
      </c>
      <c r="AD56" s="496"/>
      <c r="AE56" s="182"/>
      <c r="AF56" s="166"/>
      <c r="AG56" s="166"/>
      <c r="AH56" s="182" t="e">
        <f t="shared" si="30"/>
        <v>#N/A</v>
      </c>
      <c r="AI56" s="496"/>
      <c r="AJ56" s="182"/>
      <c r="AK56" s="166"/>
      <c r="AL56" s="166"/>
      <c r="AM56" s="182" t="e">
        <f t="shared" si="32"/>
        <v>#N/A</v>
      </c>
      <c r="AN56" s="496"/>
      <c r="AO56" s="182"/>
      <c r="AP56" s="166"/>
      <c r="AQ56" s="166"/>
      <c r="AR56" s="182" t="e">
        <f t="shared" si="34"/>
        <v>#N/A</v>
      </c>
      <c r="AS56" s="496"/>
      <c r="AT56" s="182"/>
      <c r="AU56" s="166"/>
      <c r="AV56" s="166"/>
      <c r="AW56" s="182" t="e">
        <f t="shared" si="36"/>
        <v>#N/A</v>
      </c>
      <c r="AX56" s="496"/>
      <c r="AZ56" s="182" t="e">
        <f t="shared" si="38"/>
        <v>#N/A</v>
      </c>
      <c r="BA56" s="496"/>
    </row>
    <row r="57" spans="2:53">
      <c r="B57" s="454"/>
      <c r="C57" s="182">
        <v>11</v>
      </c>
      <c r="D57" s="203"/>
      <c r="E57" s="166"/>
      <c r="F57" s="166"/>
      <c r="G57" s="166"/>
      <c r="H57" s="464"/>
      <c r="I57" s="166" t="str">
        <f t="shared" si="23"/>
        <v>-</v>
      </c>
      <c r="J57" s="166" t="str">
        <f t="shared" si="24"/>
        <v>-</v>
      </c>
      <c r="K57" s="180" t="str">
        <f t="shared" si="25"/>
        <v>-</v>
      </c>
      <c r="L57" s="464"/>
      <c r="M57" s="181" t="e">
        <f>RANK(K57, K$47:$K$61)</f>
        <v>#VALUE!</v>
      </c>
      <c r="N57" s="461"/>
      <c r="O57" s="461"/>
      <c r="P57" s="182"/>
      <c r="Q57" s="166"/>
      <c r="R57" s="166"/>
      <c r="S57" s="182" t="e">
        <f t="shared" si="40"/>
        <v>#N/A</v>
      </c>
      <c r="T57" s="496"/>
      <c r="U57" s="182"/>
      <c r="V57" s="166"/>
      <c r="W57" s="166"/>
      <c r="X57" s="182" t="e">
        <f t="shared" si="26"/>
        <v>#N/A</v>
      </c>
      <c r="Y57" s="496"/>
      <c r="Z57" s="182"/>
      <c r="AA57" s="166"/>
      <c r="AB57" s="166"/>
      <c r="AC57" s="182" t="e">
        <f t="shared" si="28"/>
        <v>#N/A</v>
      </c>
      <c r="AD57" s="496"/>
      <c r="AE57" s="182"/>
      <c r="AF57" s="166"/>
      <c r="AG57" s="166"/>
      <c r="AH57" s="182" t="e">
        <f t="shared" si="30"/>
        <v>#N/A</v>
      </c>
      <c r="AI57" s="496"/>
      <c r="AJ57" s="182"/>
      <c r="AK57" s="166"/>
      <c r="AL57" s="166"/>
      <c r="AM57" s="182" t="e">
        <f t="shared" si="32"/>
        <v>#N/A</v>
      </c>
      <c r="AN57" s="496"/>
      <c r="AO57" s="182"/>
      <c r="AP57" s="166"/>
      <c r="AQ57" s="166"/>
      <c r="AR57" s="182" t="e">
        <f t="shared" si="34"/>
        <v>#N/A</v>
      </c>
      <c r="AS57" s="496"/>
      <c r="AT57" s="182"/>
      <c r="AU57" s="166"/>
      <c r="AV57" s="166"/>
      <c r="AW57" s="182" t="e">
        <f t="shared" si="36"/>
        <v>#N/A</v>
      </c>
      <c r="AX57" s="496"/>
      <c r="AZ57" s="182" t="e">
        <f t="shared" si="38"/>
        <v>#N/A</v>
      </c>
      <c r="BA57" s="496"/>
    </row>
    <row r="58" spans="2:53">
      <c r="B58" s="454"/>
      <c r="C58" s="182">
        <v>12</v>
      </c>
      <c r="D58" s="203"/>
      <c r="E58" s="166"/>
      <c r="F58" s="166"/>
      <c r="G58" s="166"/>
      <c r="H58" s="464"/>
      <c r="I58" s="166" t="str">
        <f t="shared" si="23"/>
        <v>-</v>
      </c>
      <c r="J58" s="166" t="str">
        <f t="shared" si="24"/>
        <v>-</v>
      </c>
      <c r="K58" s="180" t="str">
        <f t="shared" si="25"/>
        <v>-</v>
      </c>
      <c r="L58" s="464"/>
      <c r="M58" s="181" t="e">
        <f>RANK(K58, K$47:$K$61)</f>
        <v>#VALUE!</v>
      </c>
      <c r="N58" s="461"/>
      <c r="O58" s="461"/>
      <c r="P58" s="182"/>
      <c r="Q58" s="166"/>
      <c r="R58" s="166"/>
      <c r="S58" s="182" t="e">
        <f t="shared" si="40"/>
        <v>#N/A</v>
      </c>
      <c r="T58" s="496"/>
      <c r="U58" s="182"/>
      <c r="V58" s="166"/>
      <c r="W58" s="166"/>
      <c r="X58" s="182" t="e">
        <f t="shared" si="26"/>
        <v>#N/A</v>
      </c>
      <c r="Y58" s="496"/>
      <c r="Z58" s="182"/>
      <c r="AA58" s="166"/>
      <c r="AB58" s="166"/>
      <c r="AC58" s="182" t="e">
        <f t="shared" si="28"/>
        <v>#N/A</v>
      </c>
      <c r="AD58" s="496"/>
      <c r="AE58" s="182"/>
      <c r="AF58" s="166"/>
      <c r="AG58" s="166"/>
      <c r="AH58" s="182" t="e">
        <f t="shared" si="30"/>
        <v>#N/A</v>
      </c>
      <c r="AI58" s="496"/>
      <c r="AJ58" s="182"/>
      <c r="AK58" s="166"/>
      <c r="AL58" s="166"/>
      <c r="AM58" s="182" t="e">
        <f t="shared" si="32"/>
        <v>#N/A</v>
      </c>
      <c r="AN58" s="496"/>
      <c r="AO58" s="182"/>
      <c r="AP58" s="166"/>
      <c r="AQ58" s="166"/>
      <c r="AR58" s="182" t="e">
        <f t="shared" si="34"/>
        <v>#N/A</v>
      </c>
      <c r="AS58" s="496"/>
      <c r="AT58" s="182"/>
      <c r="AU58" s="166"/>
      <c r="AV58" s="166"/>
      <c r="AW58" s="182" t="e">
        <f t="shared" si="36"/>
        <v>#N/A</v>
      </c>
      <c r="AX58" s="496"/>
      <c r="AZ58" s="182" t="e">
        <f t="shared" si="38"/>
        <v>#N/A</v>
      </c>
      <c r="BA58" s="496"/>
    </row>
    <row r="59" spans="2:53">
      <c r="B59" s="454"/>
      <c r="C59" s="182">
        <v>13</v>
      </c>
      <c r="D59" s="203"/>
      <c r="E59" s="166"/>
      <c r="F59" s="166"/>
      <c r="G59" s="166"/>
      <c r="H59" s="464"/>
      <c r="I59" s="166" t="str">
        <f t="shared" si="23"/>
        <v>-</v>
      </c>
      <c r="J59" s="166" t="str">
        <f t="shared" si="24"/>
        <v>-</v>
      </c>
      <c r="K59" s="180" t="str">
        <f t="shared" si="25"/>
        <v>-</v>
      </c>
      <c r="L59" s="464"/>
      <c r="M59" s="181" t="e">
        <f>RANK(K59, K$47:$K$61)</f>
        <v>#VALUE!</v>
      </c>
      <c r="N59" s="461"/>
      <c r="O59" s="461"/>
      <c r="P59" s="182"/>
      <c r="Q59" s="166"/>
      <c r="R59" s="166"/>
      <c r="S59" s="182" t="e">
        <f t="shared" si="40"/>
        <v>#N/A</v>
      </c>
      <c r="T59" s="496"/>
      <c r="U59" s="182"/>
      <c r="V59" s="166"/>
      <c r="W59" s="166"/>
      <c r="X59" s="182" t="e">
        <f t="shared" si="26"/>
        <v>#N/A</v>
      </c>
      <c r="Y59" s="496"/>
      <c r="Z59" s="182"/>
      <c r="AA59" s="166"/>
      <c r="AB59" s="166"/>
      <c r="AC59" s="182" t="e">
        <f t="shared" si="28"/>
        <v>#N/A</v>
      </c>
      <c r="AD59" s="496"/>
      <c r="AE59" s="182"/>
      <c r="AF59" s="166"/>
      <c r="AG59" s="166"/>
      <c r="AH59" s="182" t="e">
        <f t="shared" si="30"/>
        <v>#N/A</v>
      </c>
      <c r="AI59" s="496"/>
      <c r="AJ59" s="182"/>
      <c r="AK59" s="166"/>
      <c r="AL59" s="166"/>
      <c r="AM59" s="182" t="e">
        <f t="shared" si="32"/>
        <v>#N/A</v>
      </c>
      <c r="AN59" s="496"/>
      <c r="AO59" s="182"/>
      <c r="AP59" s="166"/>
      <c r="AQ59" s="166"/>
      <c r="AR59" s="182" t="e">
        <f t="shared" si="34"/>
        <v>#N/A</v>
      </c>
      <c r="AS59" s="496"/>
      <c r="AT59" s="182"/>
      <c r="AU59" s="166"/>
      <c r="AV59" s="166"/>
      <c r="AW59" s="182" t="e">
        <f t="shared" si="36"/>
        <v>#N/A</v>
      </c>
      <c r="AX59" s="496"/>
      <c r="AZ59" s="182" t="e">
        <f t="shared" si="38"/>
        <v>#N/A</v>
      </c>
      <c r="BA59" s="496"/>
    </row>
    <row r="60" spans="2:53">
      <c r="B60" s="454"/>
      <c r="C60" s="182">
        <v>14</v>
      </c>
      <c r="D60" s="203"/>
      <c r="E60" s="166"/>
      <c r="F60" s="166"/>
      <c r="G60" s="166"/>
      <c r="H60" s="464"/>
      <c r="I60" s="166" t="str">
        <f t="shared" si="23"/>
        <v>-</v>
      </c>
      <c r="J60" s="166" t="str">
        <f t="shared" si="24"/>
        <v>-</v>
      </c>
      <c r="K60" s="180" t="str">
        <f t="shared" si="25"/>
        <v>-</v>
      </c>
      <c r="L60" s="464"/>
      <c r="M60" s="181" t="e">
        <f>RANK(K60, K$47:$K$61)</f>
        <v>#VALUE!</v>
      </c>
      <c r="N60" s="461"/>
      <c r="O60" s="461"/>
      <c r="P60" s="182"/>
      <c r="Q60" s="166"/>
      <c r="R60" s="166"/>
      <c r="S60" s="182" t="e">
        <f t="shared" si="40"/>
        <v>#N/A</v>
      </c>
      <c r="T60" s="496"/>
      <c r="U60" s="182"/>
      <c r="V60" s="166"/>
      <c r="W60" s="166"/>
      <c r="X60" s="182" t="e">
        <f t="shared" si="26"/>
        <v>#N/A</v>
      </c>
      <c r="Y60" s="496"/>
      <c r="Z60" s="182"/>
      <c r="AA60" s="166"/>
      <c r="AB60" s="166"/>
      <c r="AC60" s="182" t="e">
        <f t="shared" si="28"/>
        <v>#N/A</v>
      </c>
      <c r="AD60" s="496"/>
      <c r="AE60" s="182"/>
      <c r="AF60" s="166"/>
      <c r="AG60" s="166"/>
      <c r="AH60" s="182" t="e">
        <f t="shared" si="30"/>
        <v>#N/A</v>
      </c>
      <c r="AI60" s="496"/>
      <c r="AJ60" s="182"/>
      <c r="AK60" s="166"/>
      <c r="AL60" s="166"/>
      <c r="AM60" s="182" t="e">
        <f t="shared" si="32"/>
        <v>#N/A</v>
      </c>
      <c r="AN60" s="496"/>
      <c r="AO60" s="182"/>
      <c r="AP60" s="166"/>
      <c r="AQ60" s="166"/>
      <c r="AR60" s="182" t="e">
        <f t="shared" si="34"/>
        <v>#N/A</v>
      </c>
      <c r="AS60" s="496"/>
      <c r="AT60" s="182"/>
      <c r="AU60" s="166"/>
      <c r="AV60" s="166"/>
      <c r="AW60" s="182" t="e">
        <f t="shared" si="36"/>
        <v>#N/A</v>
      </c>
      <c r="AX60" s="496"/>
      <c r="AZ60" s="182" t="e">
        <f t="shared" si="38"/>
        <v>#N/A</v>
      </c>
      <c r="BA60" s="496"/>
    </row>
    <row r="61" spans="2:53">
      <c r="B61" s="454"/>
      <c r="C61" s="182">
        <v>15</v>
      </c>
      <c r="D61" s="203"/>
      <c r="E61" s="166"/>
      <c r="F61" s="166"/>
      <c r="G61" s="166"/>
      <c r="H61" s="465"/>
      <c r="I61" s="182"/>
      <c r="J61" s="182"/>
      <c r="K61" s="182"/>
      <c r="L61" s="465"/>
      <c r="M61" s="181" t="e">
        <f>RANK(K61, K$47:$K$61)</f>
        <v>#N/A</v>
      </c>
      <c r="N61" s="461"/>
      <c r="O61" s="461"/>
      <c r="P61" s="182"/>
      <c r="Q61" s="166"/>
      <c r="R61" s="166"/>
      <c r="S61" s="182" t="e">
        <f t="shared" si="40"/>
        <v>#N/A</v>
      </c>
      <c r="T61" s="497"/>
      <c r="U61" s="182"/>
      <c r="V61" s="166"/>
      <c r="W61" s="166"/>
      <c r="X61" s="182" t="e">
        <f t="shared" si="26"/>
        <v>#N/A</v>
      </c>
      <c r="Y61" s="497"/>
      <c r="Z61" s="182"/>
      <c r="AA61" s="166"/>
      <c r="AB61" s="166"/>
      <c r="AC61" s="182" t="e">
        <f t="shared" si="28"/>
        <v>#N/A</v>
      </c>
      <c r="AD61" s="497"/>
      <c r="AE61" s="182"/>
      <c r="AF61" s="166"/>
      <c r="AG61" s="166"/>
      <c r="AH61" s="182" t="e">
        <f t="shared" si="30"/>
        <v>#N/A</v>
      </c>
      <c r="AI61" s="497"/>
      <c r="AJ61" s="182"/>
      <c r="AK61" s="166"/>
      <c r="AL61" s="166"/>
      <c r="AM61" s="182" t="e">
        <f t="shared" si="32"/>
        <v>#N/A</v>
      </c>
      <c r="AN61" s="497"/>
      <c r="AO61" s="182"/>
      <c r="AP61" s="166"/>
      <c r="AQ61" s="166"/>
      <c r="AR61" s="182" t="e">
        <f t="shared" si="34"/>
        <v>#N/A</v>
      </c>
      <c r="AS61" s="497"/>
      <c r="AT61" s="182"/>
      <c r="AU61" s="166"/>
      <c r="AV61" s="166"/>
      <c r="AW61" s="182" t="e">
        <f t="shared" si="36"/>
        <v>#N/A</v>
      </c>
      <c r="AX61" s="497"/>
      <c r="AZ61" s="182" t="e">
        <f t="shared" si="38"/>
        <v>#N/A</v>
      </c>
      <c r="BA61" s="497"/>
    </row>
    <row r="62" spans="2:53" ht="15.5">
      <c r="B62" s="477" t="s">
        <v>163</v>
      </c>
      <c r="C62" s="478"/>
      <c r="D62" s="478"/>
      <c r="E62" s="478"/>
      <c r="F62" s="478"/>
      <c r="G62" s="478"/>
      <c r="H62" s="478"/>
      <c r="I62" s="186"/>
      <c r="J62" s="186"/>
      <c r="K62" s="186"/>
      <c r="L62" s="186"/>
      <c r="M62" s="185"/>
      <c r="N62" s="480" t="s">
        <v>156</v>
      </c>
      <c r="O62" s="480" t="s">
        <v>105</v>
      </c>
      <c r="P62" s="476">
        <f>P42+7</f>
        <v>46133</v>
      </c>
      <c r="Q62" s="454"/>
      <c r="R62" s="454"/>
      <c r="S62" s="454"/>
      <c r="T62" s="454"/>
      <c r="U62" s="473">
        <f>P62+1</f>
        <v>46134</v>
      </c>
      <c r="V62" s="474"/>
      <c r="W62" s="474"/>
      <c r="X62" s="474"/>
      <c r="Y62" s="475"/>
      <c r="Z62" s="473">
        <f>U62+1</f>
        <v>46135</v>
      </c>
      <c r="AA62" s="474"/>
      <c r="AB62" s="474"/>
      <c r="AC62" s="474"/>
      <c r="AD62" s="475"/>
      <c r="AE62" s="473">
        <f>Z62+1</f>
        <v>46136</v>
      </c>
      <c r="AF62" s="474"/>
      <c r="AG62" s="474"/>
      <c r="AH62" s="474"/>
      <c r="AI62" s="475"/>
      <c r="AJ62" s="473">
        <f>AE62+1</f>
        <v>46137</v>
      </c>
      <c r="AK62" s="474"/>
      <c r="AL62" s="474"/>
      <c r="AM62" s="474"/>
      <c r="AN62" s="475"/>
      <c r="AO62" s="473">
        <f>AJ62+1</f>
        <v>46138</v>
      </c>
      <c r="AP62" s="474"/>
      <c r="AQ62" s="474"/>
      <c r="AR62" s="474"/>
      <c r="AS62" s="475"/>
      <c r="AT62" s="473">
        <f>AO62+1</f>
        <v>46139</v>
      </c>
      <c r="AU62" s="474"/>
      <c r="AV62" s="474"/>
      <c r="AW62" s="474"/>
      <c r="AX62" s="475"/>
    </row>
    <row r="63" spans="2:53" ht="15.5">
      <c r="B63" s="479"/>
      <c r="C63" s="479"/>
      <c r="D63" s="479"/>
      <c r="E63" s="479"/>
      <c r="F63" s="479"/>
      <c r="G63" s="479"/>
      <c r="H63" s="479"/>
      <c r="I63" s="184"/>
      <c r="J63" s="184"/>
      <c r="K63" s="184"/>
      <c r="L63" s="184"/>
      <c r="M63" s="179"/>
      <c r="N63" s="481"/>
      <c r="O63" s="481"/>
      <c r="P63" s="476" t="s">
        <v>336</v>
      </c>
      <c r="Q63" s="454"/>
      <c r="R63" s="454"/>
      <c r="S63" s="454"/>
      <c r="T63" s="454"/>
      <c r="U63" s="476" t="s">
        <v>337</v>
      </c>
      <c r="V63" s="454"/>
      <c r="W63" s="454"/>
      <c r="X63" s="454"/>
      <c r="Y63" s="454"/>
      <c r="Z63" s="476" t="s">
        <v>338</v>
      </c>
      <c r="AA63" s="454"/>
      <c r="AB63" s="454"/>
      <c r="AC63" s="454"/>
      <c r="AD63" s="454"/>
      <c r="AE63" s="476" t="s">
        <v>339</v>
      </c>
      <c r="AF63" s="454"/>
      <c r="AG63" s="454"/>
      <c r="AH63" s="454"/>
      <c r="AI63" s="454"/>
      <c r="AJ63" s="476" t="s">
        <v>340</v>
      </c>
      <c r="AK63" s="454"/>
      <c r="AL63" s="454"/>
      <c r="AM63" s="454"/>
      <c r="AN63" s="454"/>
      <c r="AO63" s="476" t="s">
        <v>341</v>
      </c>
      <c r="AP63" s="454"/>
      <c r="AQ63" s="454"/>
      <c r="AR63" s="454"/>
      <c r="AS63" s="454"/>
      <c r="AT63" s="476" t="s">
        <v>342</v>
      </c>
      <c r="AU63" s="454"/>
      <c r="AV63" s="454"/>
      <c r="AW63" s="454"/>
      <c r="AX63" s="454"/>
    </row>
    <row r="64" spans="2:53">
      <c r="B64" s="461" t="s">
        <v>399</v>
      </c>
      <c r="C64" s="461" t="s">
        <v>409</v>
      </c>
      <c r="D64" s="461"/>
      <c r="E64" s="461" t="s">
        <v>400</v>
      </c>
      <c r="F64" s="461"/>
      <c r="G64" s="461"/>
      <c r="H64" s="482" t="s">
        <v>396</v>
      </c>
      <c r="I64" s="461" t="s">
        <v>401</v>
      </c>
      <c r="J64" s="461"/>
      <c r="K64" s="461"/>
      <c r="L64" s="482" t="s">
        <v>396</v>
      </c>
      <c r="M64" s="480" t="s">
        <v>397</v>
      </c>
      <c r="N64" s="461"/>
      <c r="O64" s="461" t="s">
        <v>402</v>
      </c>
      <c r="P64" s="466" t="s">
        <v>398</v>
      </c>
      <c r="Q64" s="467"/>
      <c r="R64" s="467"/>
      <c r="S64" s="468"/>
      <c r="T64" s="461" t="s">
        <v>396</v>
      </c>
      <c r="U64" s="466" t="s">
        <v>398</v>
      </c>
      <c r="V64" s="467"/>
      <c r="W64" s="467"/>
      <c r="X64" s="468"/>
      <c r="Y64" s="461" t="s">
        <v>396</v>
      </c>
      <c r="Z64" s="466" t="s">
        <v>398</v>
      </c>
      <c r="AA64" s="467"/>
      <c r="AB64" s="467"/>
      <c r="AC64" s="468"/>
      <c r="AD64" s="461" t="s">
        <v>396</v>
      </c>
      <c r="AE64" s="466" t="s">
        <v>398</v>
      </c>
      <c r="AF64" s="467"/>
      <c r="AG64" s="467"/>
      <c r="AH64" s="468"/>
      <c r="AI64" s="461" t="s">
        <v>396</v>
      </c>
      <c r="AJ64" s="466" t="s">
        <v>398</v>
      </c>
      <c r="AK64" s="467"/>
      <c r="AL64" s="467"/>
      <c r="AM64" s="468"/>
      <c r="AN64" s="461" t="s">
        <v>396</v>
      </c>
      <c r="AO64" s="466" t="s">
        <v>398</v>
      </c>
      <c r="AP64" s="467"/>
      <c r="AQ64" s="467"/>
      <c r="AR64" s="468"/>
      <c r="AS64" s="461" t="s">
        <v>396</v>
      </c>
      <c r="AT64" s="466" t="s">
        <v>398</v>
      </c>
      <c r="AU64" s="467"/>
      <c r="AV64" s="467"/>
      <c r="AW64" s="468"/>
      <c r="AX64" s="461" t="s">
        <v>396</v>
      </c>
      <c r="BA64" s="461" t="s">
        <v>396</v>
      </c>
    </row>
    <row r="65" spans="2:53">
      <c r="B65" s="461"/>
      <c r="C65" s="461"/>
      <c r="D65" s="461"/>
      <c r="E65" s="461" t="s">
        <v>403</v>
      </c>
      <c r="F65" s="461"/>
      <c r="G65" s="461"/>
      <c r="H65" s="483"/>
      <c r="I65" s="461" t="s">
        <v>403</v>
      </c>
      <c r="J65" s="461"/>
      <c r="K65" s="461"/>
      <c r="L65" s="483"/>
      <c r="M65" s="485"/>
      <c r="N65" s="461"/>
      <c r="O65" s="461"/>
      <c r="P65" s="466" t="s">
        <v>404</v>
      </c>
      <c r="Q65" s="467"/>
      <c r="R65" s="467"/>
      <c r="S65" s="468"/>
      <c r="T65" s="461"/>
      <c r="U65" s="466" t="s">
        <v>404</v>
      </c>
      <c r="V65" s="467"/>
      <c r="W65" s="467"/>
      <c r="X65" s="468"/>
      <c r="Y65" s="461"/>
      <c r="Z65" s="466" t="s">
        <v>404</v>
      </c>
      <c r="AA65" s="467"/>
      <c r="AB65" s="467"/>
      <c r="AC65" s="468"/>
      <c r="AD65" s="461"/>
      <c r="AE65" s="466" t="s">
        <v>404</v>
      </c>
      <c r="AF65" s="467"/>
      <c r="AG65" s="467"/>
      <c r="AH65" s="468"/>
      <c r="AI65" s="461"/>
      <c r="AJ65" s="466" t="s">
        <v>404</v>
      </c>
      <c r="AK65" s="467"/>
      <c r="AL65" s="467"/>
      <c r="AM65" s="468"/>
      <c r="AN65" s="461"/>
      <c r="AO65" s="466" t="s">
        <v>404</v>
      </c>
      <c r="AP65" s="467"/>
      <c r="AQ65" s="467"/>
      <c r="AR65" s="468"/>
      <c r="AS65" s="461"/>
      <c r="AT65" s="466" t="s">
        <v>404</v>
      </c>
      <c r="AU65" s="467"/>
      <c r="AV65" s="467"/>
      <c r="AW65" s="468"/>
      <c r="AX65" s="461"/>
      <c r="BA65" s="461"/>
    </row>
    <row r="66" spans="2:53">
      <c r="B66" s="461"/>
      <c r="C66" s="461"/>
      <c r="D66" s="461"/>
      <c r="E66" s="269" t="s">
        <v>405</v>
      </c>
      <c r="F66" s="269" t="s">
        <v>406</v>
      </c>
      <c r="G66" s="269" t="s">
        <v>407</v>
      </c>
      <c r="H66" s="484"/>
      <c r="I66" s="269" t="s">
        <v>405</v>
      </c>
      <c r="J66" s="269" t="s">
        <v>406</v>
      </c>
      <c r="K66" s="269" t="s">
        <v>407</v>
      </c>
      <c r="L66" s="484"/>
      <c r="M66" s="481"/>
      <c r="N66" s="461"/>
      <c r="O66" s="461"/>
      <c r="P66" s="269" t="s">
        <v>405</v>
      </c>
      <c r="Q66" s="269" t="s">
        <v>406</v>
      </c>
      <c r="R66" s="269" t="s">
        <v>407</v>
      </c>
      <c r="S66" s="269" t="s">
        <v>397</v>
      </c>
      <c r="T66" s="461"/>
      <c r="U66" s="269" t="s">
        <v>405</v>
      </c>
      <c r="V66" s="269" t="s">
        <v>406</v>
      </c>
      <c r="W66" s="269" t="s">
        <v>407</v>
      </c>
      <c r="X66" s="269" t="s">
        <v>397</v>
      </c>
      <c r="Y66" s="461"/>
      <c r="Z66" s="269" t="s">
        <v>405</v>
      </c>
      <c r="AA66" s="269" t="s">
        <v>406</v>
      </c>
      <c r="AB66" s="269" t="s">
        <v>407</v>
      </c>
      <c r="AC66" s="269" t="s">
        <v>397</v>
      </c>
      <c r="AD66" s="461"/>
      <c r="AE66" s="269" t="s">
        <v>405</v>
      </c>
      <c r="AF66" s="269" t="s">
        <v>406</v>
      </c>
      <c r="AG66" s="269" t="s">
        <v>407</v>
      </c>
      <c r="AH66" s="269" t="s">
        <v>397</v>
      </c>
      <c r="AI66" s="461"/>
      <c r="AJ66" s="269" t="s">
        <v>405</v>
      </c>
      <c r="AK66" s="269" t="s">
        <v>406</v>
      </c>
      <c r="AL66" s="269" t="s">
        <v>407</v>
      </c>
      <c r="AM66" s="269" t="s">
        <v>397</v>
      </c>
      <c r="AN66" s="461"/>
      <c r="AO66" s="269" t="s">
        <v>405</v>
      </c>
      <c r="AP66" s="269" t="s">
        <v>406</v>
      </c>
      <c r="AQ66" s="269" t="s">
        <v>407</v>
      </c>
      <c r="AR66" s="269" t="s">
        <v>397</v>
      </c>
      <c r="AS66" s="461"/>
      <c r="AT66" s="269" t="s">
        <v>405</v>
      </c>
      <c r="AU66" s="269" t="s">
        <v>406</v>
      </c>
      <c r="AV66" s="269" t="s">
        <v>407</v>
      </c>
      <c r="AW66" s="269" t="s">
        <v>397</v>
      </c>
      <c r="AX66" s="461"/>
      <c r="AZ66" s="269" t="s">
        <v>397</v>
      </c>
      <c r="BA66" s="461"/>
    </row>
    <row r="67" spans="2:53">
      <c r="B67" s="461" t="s">
        <v>411</v>
      </c>
      <c r="C67" s="182">
        <v>1</v>
      </c>
      <c r="D67" s="203"/>
      <c r="E67" s="166"/>
      <c r="F67" s="182"/>
      <c r="G67" s="180"/>
      <c r="H67" s="463" t="e">
        <f>AVERAGE(G67:G81)</f>
        <v>#DIV/0!</v>
      </c>
      <c r="I67" s="166" t="str">
        <f t="shared" ref="I67:I80" si="41">IFERROR(AVERAGE(P67,U67,Z67,AE67,AJ67,AO67,AT67),"-")</f>
        <v>-</v>
      </c>
      <c r="J67" s="166" t="str">
        <f t="shared" ref="J67:J80" si="42">IFERROR(AVERAGE(Q67,V67,AA67,AF67,AK67,AP67,AU67),"-")</f>
        <v>-</v>
      </c>
      <c r="K67" s="180" t="str">
        <f t="shared" ref="K67:K80" si="43">IFERROR(AVERAGE(R67,W67,AB67,AG67,AL67,AQ67,AV67),"-")</f>
        <v>-</v>
      </c>
      <c r="L67" s="463" t="str">
        <f>IFERROR(AVERAGE(K67:K81),"-")</f>
        <v>-</v>
      </c>
      <c r="M67" s="181" t="e">
        <f>RANK(K67, K$67:$K$81)</f>
        <v>#VALUE!</v>
      </c>
      <c r="N67" s="461"/>
      <c r="O67" s="461"/>
      <c r="P67" s="182"/>
      <c r="Q67" s="166"/>
      <c r="R67" s="166"/>
      <c r="S67" s="182" t="e">
        <f>RANK(R67, R$67:R$81)</f>
        <v>#N/A</v>
      </c>
      <c r="T67" s="495" t="e">
        <f>AVERAGE(R67:R81)</f>
        <v>#DIV/0!</v>
      </c>
      <c r="U67" s="182"/>
      <c r="V67" s="166"/>
      <c r="W67" s="166"/>
      <c r="X67" s="182" t="e">
        <f t="shared" ref="X67:X81" si="44">RANK(W67, W$67:W$81)</f>
        <v>#N/A</v>
      </c>
      <c r="Y67" s="495" t="e">
        <f t="shared" ref="Y67" si="45">AVERAGE(W67:W81)</f>
        <v>#DIV/0!</v>
      </c>
      <c r="Z67" s="182"/>
      <c r="AA67" s="166"/>
      <c r="AB67" s="166"/>
      <c r="AC67" s="182" t="e">
        <f t="shared" ref="AC67:AC81" si="46">RANK(AB67, AB$67:AB$81)</f>
        <v>#N/A</v>
      </c>
      <c r="AD67" s="495" t="e">
        <f t="shared" ref="AD67" si="47">AVERAGE(AB67:AB81)</f>
        <v>#DIV/0!</v>
      </c>
      <c r="AE67" s="182"/>
      <c r="AF67" s="166"/>
      <c r="AG67" s="166"/>
      <c r="AH67" s="182" t="e">
        <f t="shared" ref="AH67:AH81" si="48">RANK(AG67, AG$67:AG$81)</f>
        <v>#N/A</v>
      </c>
      <c r="AI67" s="495" t="e">
        <f t="shared" ref="AI67" si="49">AVERAGE(AG67:AG81)</f>
        <v>#DIV/0!</v>
      </c>
      <c r="AJ67" s="182"/>
      <c r="AK67" s="166"/>
      <c r="AL67" s="166"/>
      <c r="AM67" s="182" t="e">
        <f t="shared" ref="AM67:AM81" si="50">RANK(AL67, AL$67:AL$81)</f>
        <v>#N/A</v>
      </c>
      <c r="AN67" s="495" t="e">
        <f t="shared" ref="AN67" si="51">AVERAGE(AL67:AL81)</f>
        <v>#DIV/0!</v>
      </c>
      <c r="AO67" s="182"/>
      <c r="AP67" s="166"/>
      <c r="AQ67" s="166"/>
      <c r="AR67" s="182" t="e">
        <f t="shared" ref="AR67:AR81" si="52">RANK(AQ67, AQ$67:AQ$81)</f>
        <v>#N/A</v>
      </c>
      <c r="AS67" s="495" t="e">
        <f t="shared" ref="AS67" si="53">AVERAGE(AQ67:AQ81)</f>
        <v>#DIV/0!</v>
      </c>
      <c r="AT67" s="182"/>
      <c r="AU67" s="166"/>
      <c r="AV67" s="166"/>
      <c r="AW67" s="182" t="e">
        <f t="shared" ref="AW67:AW81" si="54">RANK(AV67, AV$67:AV$81)</f>
        <v>#N/A</v>
      </c>
      <c r="AX67" s="495" t="e">
        <f t="shared" ref="AX67" si="55">AVERAGE(AV67:AV81)</f>
        <v>#DIV/0!</v>
      </c>
      <c r="AZ67" s="182" t="e">
        <f t="shared" ref="AZ67:AZ81" si="56">RANK(AY67, AY$67:AY$81)</f>
        <v>#N/A</v>
      </c>
      <c r="BA67" s="495" t="e">
        <f t="shared" ref="BA67" si="57">AVERAGE(AY67:AY81)</f>
        <v>#DIV/0!</v>
      </c>
    </row>
    <row r="68" spans="2:53">
      <c r="B68" s="454"/>
      <c r="C68" s="182">
        <v>2</v>
      </c>
      <c r="D68" s="203"/>
      <c r="E68" s="166"/>
      <c r="F68" s="182"/>
      <c r="G68" s="180"/>
      <c r="H68" s="464"/>
      <c r="I68" s="166" t="str">
        <f t="shared" si="41"/>
        <v>-</v>
      </c>
      <c r="J68" s="166" t="str">
        <f t="shared" si="42"/>
        <v>-</v>
      </c>
      <c r="K68" s="180" t="str">
        <f t="shared" si="43"/>
        <v>-</v>
      </c>
      <c r="L68" s="464"/>
      <c r="M68" s="181" t="e">
        <f>RANK(K68, K$67:$K$81)</f>
        <v>#VALUE!</v>
      </c>
      <c r="N68" s="461"/>
      <c r="O68" s="461"/>
      <c r="P68" s="182"/>
      <c r="Q68" s="166"/>
      <c r="R68" s="166"/>
      <c r="S68" s="182" t="e">
        <f t="shared" ref="S68:S81" si="58">RANK(R68, R$67:R$81)</f>
        <v>#N/A</v>
      </c>
      <c r="T68" s="496"/>
      <c r="U68" s="182"/>
      <c r="V68" s="166"/>
      <c r="W68" s="166"/>
      <c r="X68" s="182" t="e">
        <f t="shared" si="44"/>
        <v>#N/A</v>
      </c>
      <c r="Y68" s="496"/>
      <c r="Z68" s="182"/>
      <c r="AA68" s="166"/>
      <c r="AB68" s="166"/>
      <c r="AC68" s="182" t="e">
        <f t="shared" si="46"/>
        <v>#N/A</v>
      </c>
      <c r="AD68" s="496"/>
      <c r="AE68" s="182"/>
      <c r="AF68" s="166"/>
      <c r="AG68" s="166"/>
      <c r="AH68" s="182" t="e">
        <f t="shared" si="48"/>
        <v>#N/A</v>
      </c>
      <c r="AI68" s="496"/>
      <c r="AJ68" s="182"/>
      <c r="AK68" s="166"/>
      <c r="AL68" s="166"/>
      <c r="AM68" s="182" t="e">
        <f t="shared" si="50"/>
        <v>#N/A</v>
      </c>
      <c r="AN68" s="496"/>
      <c r="AO68" s="182"/>
      <c r="AP68" s="166"/>
      <c r="AQ68" s="166"/>
      <c r="AR68" s="182" t="e">
        <f t="shared" si="52"/>
        <v>#N/A</v>
      </c>
      <c r="AS68" s="496"/>
      <c r="AT68" s="182"/>
      <c r="AU68" s="166"/>
      <c r="AV68" s="166"/>
      <c r="AW68" s="182" t="e">
        <f t="shared" si="54"/>
        <v>#N/A</v>
      </c>
      <c r="AX68" s="496"/>
      <c r="AZ68" s="182" t="e">
        <f t="shared" si="56"/>
        <v>#N/A</v>
      </c>
      <c r="BA68" s="496"/>
    </row>
    <row r="69" spans="2:53">
      <c r="B69" s="454"/>
      <c r="C69" s="182">
        <v>3</v>
      </c>
      <c r="D69" s="203"/>
      <c r="E69" s="166"/>
      <c r="F69" s="182"/>
      <c r="G69" s="180"/>
      <c r="H69" s="464"/>
      <c r="I69" s="166" t="str">
        <f t="shared" si="41"/>
        <v>-</v>
      </c>
      <c r="J69" s="166" t="str">
        <f t="shared" si="42"/>
        <v>-</v>
      </c>
      <c r="K69" s="180" t="str">
        <f t="shared" si="43"/>
        <v>-</v>
      </c>
      <c r="L69" s="464"/>
      <c r="M69" s="181" t="e">
        <f>RANK(K69, K$67:$K$81)</f>
        <v>#VALUE!</v>
      </c>
      <c r="N69" s="461"/>
      <c r="O69" s="461"/>
      <c r="P69" s="182"/>
      <c r="Q69" s="166"/>
      <c r="R69" s="166"/>
      <c r="S69" s="182" t="e">
        <f t="shared" si="58"/>
        <v>#N/A</v>
      </c>
      <c r="T69" s="496"/>
      <c r="U69" s="182"/>
      <c r="V69" s="166"/>
      <c r="W69" s="166"/>
      <c r="X69" s="182" t="e">
        <f t="shared" si="44"/>
        <v>#N/A</v>
      </c>
      <c r="Y69" s="496"/>
      <c r="Z69" s="182"/>
      <c r="AA69" s="166"/>
      <c r="AB69" s="166"/>
      <c r="AC69" s="182" t="e">
        <f t="shared" si="46"/>
        <v>#N/A</v>
      </c>
      <c r="AD69" s="496"/>
      <c r="AE69" s="182"/>
      <c r="AF69" s="166"/>
      <c r="AG69" s="166"/>
      <c r="AH69" s="182" t="e">
        <f t="shared" si="48"/>
        <v>#N/A</v>
      </c>
      <c r="AI69" s="496"/>
      <c r="AJ69" s="182"/>
      <c r="AK69" s="166"/>
      <c r="AL69" s="166"/>
      <c r="AM69" s="182" t="e">
        <f t="shared" si="50"/>
        <v>#N/A</v>
      </c>
      <c r="AN69" s="496"/>
      <c r="AO69" s="182"/>
      <c r="AP69" s="166"/>
      <c r="AQ69" s="166"/>
      <c r="AR69" s="182" t="e">
        <f t="shared" si="52"/>
        <v>#N/A</v>
      </c>
      <c r="AS69" s="496"/>
      <c r="AT69" s="182"/>
      <c r="AU69" s="166"/>
      <c r="AV69" s="166"/>
      <c r="AW69" s="182" t="e">
        <f t="shared" si="54"/>
        <v>#N/A</v>
      </c>
      <c r="AX69" s="496"/>
      <c r="AZ69" s="182" t="e">
        <f t="shared" si="56"/>
        <v>#N/A</v>
      </c>
      <c r="BA69" s="496"/>
    </row>
    <row r="70" spans="2:53">
      <c r="B70" s="454"/>
      <c r="C70" s="182">
        <v>4</v>
      </c>
      <c r="D70" s="203"/>
      <c r="E70" s="166"/>
      <c r="F70" s="182"/>
      <c r="G70" s="180"/>
      <c r="H70" s="464"/>
      <c r="I70" s="166" t="str">
        <f t="shared" si="41"/>
        <v>-</v>
      </c>
      <c r="J70" s="166" t="str">
        <f t="shared" si="42"/>
        <v>-</v>
      </c>
      <c r="K70" s="180" t="str">
        <f t="shared" si="43"/>
        <v>-</v>
      </c>
      <c r="L70" s="464"/>
      <c r="M70" s="181" t="e">
        <f>RANK(K70, K$67:$K$81)</f>
        <v>#VALUE!</v>
      </c>
      <c r="N70" s="461"/>
      <c r="O70" s="461"/>
      <c r="P70" s="182"/>
      <c r="Q70" s="166"/>
      <c r="R70" s="166"/>
      <c r="S70" s="182" t="e">
        <f t="shared" si="58"/>
        <v>#N/A</v>
      </c>
      <c r="T70" s="496"/>
      <c r="U70" s="182"/>
      <c r="V70" s="166"/>
      <c r="W70" s="166"/>
      <c r="X70" s="182" t="e">
        <f t="shared" si="44"/>
        <v>#N/A</v>
      </c>
      <c r="Y70" s="496"/>
      <c r="Z70" s="182"/>
      <c r="AA70" s="166"/>
      <c r="AB70" s="166"/>
      <c r="AC70" s="182" t="e">
        <f t="shared" si="46"/>
        <v>#N/A</v>
      </c>
      <c r="AD70" s="496"/>
      <c r="AE70" s="182"/>
      <c r="AF70" s="166"/>
      <c r="AG70" s="166"/>
      <c r="AH70" s="182" t="e">
        <f t="shared" si="48"/>
        <v>#N/A</v>
      </c>
      <c r="AI70" s="496"/>
      <c r="AJ70" s="182"/>
      <c r="AK70" s="166"/>
      <c r="AL70" s="166"/>
      <c r="AM70" s="182" t="e">
        <f t="shared" si="50"/>
        <v>#N/A</v>
      </c>
      <c r="AN70" s="496"/>
      <c r="AO70" s="182"/>
      <c r="AP70" s="166"/>
      <c r="AQ70" s="166"/>
      <c r="AR70" s="182" t="e">
        <f t="shared" si="52"/>
        <v>#N/A</v>
      </c>
      <c r="AS70" s="496"/>
      <c r="AT70" s="182"/>
      <c r="AU70" s="166"/>
      <c r="AV70" s="166"/>
      <c r="AW70" s="182" t="e">
        <f t="shared" si="54"/>
        <v>#N/A</v>
      </c>
      <c r="AX70" s="496"/>
      <c r="AZ70" s="182" t="e">
        <f t="shared" si="56"/>
        <v>#N/A</v>
      </c>
      <c r="BA70" s="496"/>
    </row>
    <row r="71" spans="2:53">
      <c r="B71" s="454"/>
      <c r="C71" s="182">
        <v>5</v>
      </c>
      <c r="D71" s="203"/>
      <c r="E71" s="166"/>
      <c r="F71" s="182"/>
      <c r="G71" s="180"/>
      <c r="H71" s="464"/>
      <c r="I71" s="166" t="str">
        <f t="shared" si="41"/>
        <v>-</v>
      </c>
      <c r="J71" s="166" t="str">
        <f t="shared" si="42"/>
        <v>-</v>
      </c>
      <c r="K71" s="180" t="str">
        <f t="shared" si="43"/>
        <v>-</v>
      </c>
      <c r="L71" s="464"/>
      <c r="M71" s="181" t="e">
        <f>RANK(K71, K$67:$K$81)</f>
        <v>#VALUE!</v>
      </c>
      <c r="N71" s="461"/>
      <c r="O71" s="461"/>
      <c r="P71" s="182"/>
      <c r="Q71" s="166"/>
      <c r="R71" s="166"/>
      <c r="S71" s="182" t="e">
        <f t="shared" si="58"/>
        <v>#N/A</v>
      </c>
      <c r="T71" s="496"/>
      <c r="U71" s="182"/>
      <c r="V71" s="166"/>
      <c r="W71" s="166"/>
      <c r="X71" s="182" t="e">
        <f t="shared" si="44"/>
        <v>#N/A</v>
      </c>
      <c r="Y71" s="496"/>
      <c r="Z71" s="182"/>
      <c r="AA71" s="166"/>
      <c r="AB71" s="166"/>
      <c r="AC71" s="182" t="e">
        <f t="shared" si="46"/>
        <v>#N/A</v>
      </c>
      <c r="AD71" s="496"/>
      <c r="AE71" s="182"/>
      <c r="AF71" s="166"/>
      <c r="AG71" s="166"/>
      <c r="AH71" s="182" t="e">
        <f t="shared" si="48"/>
        <v>#N/A</v>
      </c>
      <c r="AI71" s="496"/>
      <c r="AJ71" s="182"/>
      <c r="AK71" s="166"/>
      <c r="AL71" s="166"/>
      <c r="AM71" s="182" t="e">
        <f t="shared" si="50"/>
        <v>#N/A</v>
      </c>
      <c r="AN71" s="496"/>
      <c r="AO71" s="182"/>
      <c r="AP71" s="166"/>
      <c r="AQ71" s="166"/>
      <c r="AR71" s="182" t="e">
        <f t="shared" si="52"/>
        <v>#N/A</v>
      </c>
      <c r="AS71" s="496"/>
      <c r="AT71" s="182"/>
      <c r="AU71" s="166"/>
      <c r="AV71" s="166"/>
      <c r="AW71" s="182" t="e">
        <f t="shared" si="54"/>
        <v>#N/A</v>
      </c>
      <c r="AX71" s="496"/>
      <c r="AZ71" s="182" t="e">
        <f t="shared" si="56"/>
        <v>#N/A</v>
      </c>
      <c r="BA71" s="496"/>
    </row>
    <row r="72" spans="2:53">
      <c r="B72" s="454"/>
      <c r="C72" s="182">
        <v>6</v>
      </c>
      <c r="D72" s="203"/>
      <c r="E72" s="166"/>
      <c r="F72" s="182"/>
      <c r="G72" s="180"/>
      <c r="H72" s="464"/>
      <c r="I72" s="166" t="str">
        <f t="shared" si="41"/>
        <v>-</v>
      </c>
      <c r="J72" s="166" t="str">
        <f t="shared" si="42"/>
        <v>-</v>
      </c>
      <c r="K72" s="180" t="str">
        <f t="shared" si="43"/>
        <v>-</v>
      </c>
      <c r="L72" s="464"/>
      <c r="M72" s="181" t="e">
        <f>RANK(K72, K$67:$K$81)</f>
        <v>#VALUE!</v>
      </c>
      <c r="N72" s="461"/>
      <c r="O72" s="461"/>
      <c r="P72" s="182"/>
      <c r="Q72" s="166"/>
      <c r="R72" s="166"/>
      <c r="S72" s="182" t="e">
        <f t="shared" si="58"/>
        <v>#N/A</v>
      </c>
      <c r="T72" s="496"/>
      <c r="U72" s="182"/>
      <c r="V72" s="166"/>
      <c r="W72" s="166"/>
      <c r="X72" s="182" t="e">
        <f t="shared" si="44"/>
        <v>#N/A</v>
      </c>
      <c r="Y72" s="496"/>
      <c r="Z72" s="182"/>
      <c r="AA72" s="166"/>
      <c r="AB72" s="166"/>
      <c r="AC72" s="182" t="e">
        <f t="shared" si="46"/>
        <v>#N/A</v>
      </c>
      <c r="AD72" s="496"/>
      <c r="AE72" s="182"/>
      <c r="AF72" s="166"/>
      <c r="AG72" s="166"/>
      <c r="AH72" s="182" t="e">
        <f t="shared" si="48"/>
        <v>#N/A</v>
      </c>
      <c r="AI72" s="496"/>
      <c r="AJ72" s="182"/>
      <c r="AK72" s="166"/>
      <c r="AL72" s="166"/>
      <c r="AM72" s="182" t="e">
        <f t="shared" si="50"/>
        <v>#N/A</v>
      </c>
      <c r="AN72" s="496"/>
      <c r="AO72" s="182"/>
      <c r="AP72" s="166"/>
      <c r="AQ72" s="166"/>
      <c r="AR72" s="182" t="e">
        <f t="shared" si="52"/>
        <v>#N/A</v>
      </c>
      <c r="AS72" s="496"/>
      <c r="AT72" s="182"/>
      <c r="AU72" s="166"/>
      <c r="AV72" s="166"/>
      <c r="AW72" s="182" t="e">
        <f t="shared" si="54"/>
        <v>#N/A</v>
      </c>
      <c r="AX72" s="496"/>
      <c r="AZ72" s="182" t="e">
        <f t="shared" si="56"/>
        <v>#N/A</v>
      </c>
      <c r="BA72" s="496"/>
    </row>
    <row r="73" spans="2:53">
      <c r="B73" s="454"/>
      <c r="C73" s="182">
        <v>7</v>
      </c>
      <c r="D73" s="203"/>
      <c r="E73" s="166"/>
      <c r="F73" s="166"/>
      <c r="G73" s="166"/>
      <c r="H73" s="464"/>
      <c r="I73" s="166" t="str">
        <f t="shared" si="41"/>
        <v>-</v>
      </c>
      <c r="J73" s="166" t="str">
        <f t="shared" si="42"/>
        <v>-</v>
      </c>
      <c r="K73" s="180" t="str">
        <f t="shared" si="43"/>
        <v>-</v>
      </c>
      <c r="L73" s="464"/>
      <c r="M73" s="181" t="e">
        <f>RANK(K73, K$67:$K$81)</f>
        <v>#VALUE!</v>
      </c>
      <c r="N73" s="461"/>
      <c r="O73" s="461"/>
      <c r="P73" s="182"/>
      <c r="Q73" s="166"/>
      <c r="R73" s="166"/>
      <c r="S73" s="182" t="e">
        <f t="shared" si="58"/>
        <v>#N/A</v>
      </c>
      <c r="T73" s="496"/>
      <c r="U73" s="182"/>
      <c r="V73" s="166"/>
      <c r="W73" s="166"/>
      <c r="X73" s="182" t="e">
        <f t="shared" si="44"/>
        <v>#N/A</v>
      </c>
      <c r="Y73" s="496"/>
      <c r="Z73" s="182"/>
      <c r="AA73" s="166"/>
      <c r="AB73" s="166"/>
      <c r="AC73" s="182" t="e">
        <f t="shared" si="46"/>
        <v>#N/A</v>
      </c>
      <c r="AD73" s="496"/>
      <c r="AE73" s="182"/>
      <c r="AF73" s="166"/>
      <c r="AG73" s="166"/>
      <c r="AH73" s="182" t="e">
        <f t="shared" si="48"/>
        <v>#N/A</v>
      </c>
      <c r="AI73" s="496"/>
      <c r="AJ73" s="182"/>
      <c r="AK73" s="166"/>
      <c r="AL73" s="166"/>
      <c r="AM73" s="182" t="e">
        <f t="shared" si="50"/>
        <v>#N/A</v>
      </c>
      <c r="AN73" s="496"/>
      <c r="AO73" s="182"/>
      <c r="AP73" s="166"/>
      <c r="AQ73" s="166"/>
      <c r="AR73" s="182" t="e">
        <f t="shared" si="52"/>
        <v>#N/A</v>
      </c>
      <c r="AS73" s="496"/>
      <c r="AT73" s="182"/>
      <c r="AU73" s="166"/>
      <c r="AV73" s="166"/>
      <c r="AW73" s="182" t="e">
        <f t="shared" si="54"/>
        <v>#N/A</v>
      </c>
      <c r="AX73" s="496"/>
      <c r="AZ73" s="182" t="e">
        <f t="shared" si="56"/>
        <v>#N/A</v>
      </c>
      <c r="BA73" s="496"/>
    </row>
    <row r="74" spans="2:53">
      <c r="B74" s="454"/>
      <c r="C74" s="182">
        <v>8</v>
      </c>
      <c r="D74" s="203"/>
      <c r="E74" s="166"/>
      <c r="F74" s="166"/>
      <c r="G74" s="166"/>
      <c r="H74" s="464"/>
      <c r="I74" s="166" t="str">
        <f t="shared" si="41"/>
        <v>-</v>
      </c>
      <c r="J74" s="166" t="str">
        <f t="shared" si="42"/>
        <v>-</v>
      </c>
      <c r="K74" s="180" t="str">
        <f t="shared" si="43"/>
        <v>-</v>
      </c>
      <c r="L74" s="464"/>
      <c r="M74" s="181" t="e">
        <f>RANK(K74, K$67:$K$81)</f>
        <v>#VALUE!</v>
      </c>
      <c r="N74" s="461"/>
      <c r="O74" s="461"/>
      <c r="P74" s="182"/>
      <c r="Q74" s="166"/>
      <c r="R74" s="166"/>
      <c r="S74" s="182" t="e">
        <f t="shared" si="58"/>
        <v>#N/A</v>
      </c>
      <c r="T74" s="496"/>
      <c r="U74" s="182"/>
      <c r="V74" s="166"/>
      <c r="W74" s="166"/>
      <c r="X74" s="182" t="e">
        <f t="shared" si="44"/>
        <v>#N/A</v>
      </c>
      <c r="Y74" s="496"/>
      <c r="Z74" s="182"/>
      <c r="AA74" s="166"/>
      <c r="AB74" s="166"/>
      <c r="AC74" s="182" t="e">
        <f t="shared" si="46"/>
        <v>#N/A</v>
      </c>
      <c r="AD74" s="496"/>
      <c r="AE74" s="182"/>
      <c r="AF74" s="166"/>
      <c r="AG74" s="166"/>
      <c r="AH74" s="182" t="e">
        <f t="shared" si="48"/>
        <v>#N/A</v>
      </c>
      <c r="AI74" s="496"/>
      <c r="AJ74" s="182"/>
      <c r="AK74" s="166"/>
      <c r="AL74" s="166"/>
      <c r="AM74" s="182" t="e">
        <f t="shared" si="50"/>
        <v>#N/A</v>
      </c>
      <c r="AN74" s="496"/>
      <c r="AO74" s="182"/>
      <c r="AP74" s="166"/>
      <c r="AQ74" s="166"/>
      <c r="AR74" s="182" t="e">
        <f t="shared" si="52"/>
        <v>#N/A</v>
      </c>
      <c r="AS74" s="496"/>
      <c r="AT74" s="182"/>
      <c r="AU74" s="166"/>
      <c r="AV74" s="166"/>
      <c r="AW74" s="182" t="e">
        <f t="shared" si="54"/>
        <v>#N/A</v>
      </c>
      <c r="AX74" s="496"/>
      <c r="AZ74" s="182" t="e">
        <f t="shared" si="56"/>
        <v>#N/A</v>
      </c>
      <c r="BA74" s="496"/>
    </row>
    <row r="75" spans="2:53">
      <c r="B75" s="454"/>
      <c r="C75" s="182">
        <v>9</v>
      </c>
      <c r="D75" s="203"/>
      <c r="E75" s="166"/>
      <c r="F75" s="166"/>
      <c r="G75" s="166"/>
      <c r="H75" s="464"/>
      <c r="I75" s="166" t="str">
        <f t="shared" si="41"/>
        <v>-</v>
      </c>
      <c r="J75" s="166" t="str">
        <f t="shared" si="42"/>
        <v>-</v>
      </c>
      <c r="K75" s="180" t="str">
        <f t="shared" si="43"/>
        <v>-</v>
      </c>
      <c r="L75" s="464"/>
      <c r="M75" s="181" t="e">
        <f>RANK(K75, K$67:$K$81)</f>
        <v>#VALUE!</v>
      </c>
      <c r="N75" s="461"/>
      <c r="O75" s="461"/>
      <c r="P75" s="182"/>
      <c r="Q75" s="166"/>
      <c r="R75" s="166"/>
      <c r="S75" s="182" t="e">
        <f t="shared" si="58"/>
        <v>#N/A</v>
      </c>
      <c r="T75" s="496"/>
      <c r="U75" s="182"/>
      <c r="V75" s="166"/>
      <c r="W75" s="166"/>
      <c r="X75" s="182" t="e">
        <f t="shared" si="44"/>
        <v>#N/A</v>
      </c>
      <c r="Y75" s="496"/>
      <c r="Z75" s="182"/>
      <c r="AA75" s="166"/>
      <c r="AB75" s="166"/>
      <c r="AC75" s="182" t="e">
        <f t="shared" si="46"/>
        <v>#N/A</v>
      </c>
      <c r="AD75" s="496"/>
      <c r="AE75" s="182"/>
      <c r="AF75" s="166"/>
      <c r="AG75" s="166"/>
      <c r="AH75" s="182" t="e">
        <f t="shared" si="48"/>
        <v>#N/A</v>
      </c>
      <c r="AI75" s="496"/>
      <c r="AJ75" s="182"/>
      <c r="AK75" s="166"/>
      <c r="AL75" s="166"/>
      <c r="AM75" s="182" t="e">
        <f t="shared" si="50"/>
        <v>#N/A</v>
      </c>
      <c r="AN75" s="496"/>
      <c r="AO75" s="182"/>
      <c r="AP75" s="166"/>
      <c r="AQ75" s="166"/>
      <c r="AR75" s="182" t="e">
        <f t="shared" si="52"/>
        <v>#N/A</v>
      </c>
      <c r="AS75" s="496"/>
      <c r="AT75" s="182"/>
      <c r="AU75" s="166"/>
      <c r="AV75" s="166"/>
      <c r="AW75" s="182" t="e">
        <f t="shared" si="54"/>
        <v>#N/A</v>
      </c>
      <c r="AX75" s="496"/>
      <c r="AZ75" s="182" t="e">
        <f t="shared" si="56"/>
        <v>#N/A</v>
      </c>
      <c r="BA75" s="496"/>
    </row>
    <row r="76" spans="2:53">
      <c r="B76" s="454"/>
      <c r="C76" s="182">
        <v>10</v>
      </c>
      <c r="D76" s="203"/>
      <c r="E76" s="166"/>
      <c r="F76" s="166"/>
      <c r="G76" s="166"/>
      <c r="H76" s="464"/>
      <c r="I76" s="166" t="str">
        <f t="shared" si="41"/>
        <v>-</v>
      </c>
      <c r="J76" s="166" t="str">
        <f t="shared" si="42"/>
        <v>-</v>
      </c>
      <c r="K76" s="180" t="str">
        <f t="shared" si="43"/>
        <v>-</v>
      </c>
      <c r="L76" s="464"/>
      <c r="M76" s="181" t="e">
        <f>RANK(K76, K$67:$K$81)</f>
        <v>#VALUE!</v>
      </c>
      <c r="N76" s="461"/>
      <c r="O76" s="461"/>
      <c r="P76" s="182"/>
      <c r="Q76" s="166"/>
      <c r="R76" s="166"/>
      <c r="S76" s="182" t="e">
        <f t="shared" si="58"/>
        <v>#N/A</v>
      </c>
      <c r="T76" s="496"/>
      <c r="U76" s="182"/>
      <c r="V76" s="166"/>
      <c r="W76" s="166"/>
      <c r="X76" s="182" t="e">
        <f t="shared" si="44"/>
        <v>#N/A</v>
      </c>
      <c r="Y76" s="496"/>
      <c r="Z76" s="182"/>
      <c r="AA76" s="166"/>
      <c r="AB76" s="166"/>
      <c r="AC76" s="182" t="e">
        <f t="shared" si="46"/>
        <v>#N/A</v>
      </c>
      <c r="AD76" s="496"/>
      <c r="AE76" s="182"/>
      <c r="AF76" s="166"/>
      <c r="AG76" s="166"/>
      <c r="AH76" s="182" t="e">
        <f t="shared" si="48"/>
        <v>#N/A</v>
      </c>
      <c r="AI76" s="496"/>
      <c r="AJ76" s="182"/>
      <c r="AK76" s="166"/>
      <c r="AL76" s="166"/>
      <c r="AM76" s="182" t="e">
        <f t="shared" si="50"/>
        <v>#N/A</v>
      </c>
      <c r="AN76" s="496"/>
      <c r="AO76" s="182"/>
      <c r="AP76" s="166"/>
      <c r="AQ76" s="166"/>
      <c r="AR76" s="182" t="e">
        <f t="shared" si="52"/>
        <v>#N/A</v>
      </c>
      <c r="AS76" s="496"/>
      <c r="AT76" s="182"/>
      <c r="AU76" s="166"/>
      <c r="AV76" s="166"/>
      <c r="AW76" s="182" t="e">
        <f t="shared" si="54"/>
        <v>#N/A</v>
      </c>
      <c r="AX76" s="496"/>
      <c r="AZ76" s="182" t="e">
        <f t="shared" si="56"/>
        <v>#N/A</v>
      </c>
      <c r="BA76" s="496"/>
    </row>
    <row r="77" spans="2:53">
      <c r="B77" s="454"/>
      <c r="C77" s="182">
        <v>11</v>
      </c>
      <c r="D77" s="203"/>
      <c r="E77" s="166"/>
      <c r="F77" s="166"/>
      <c r="G77" s="166"/>
      <c r="H77" s="464"/>
      <c r="I77" s="166" t="str">
        <f t="shared" si="41"/>
        <v>-</v>
      </c>
      <c r="J77" s="166" t="str">
        <f t="shared" si="42"/>
        <v>-</v>
      </c>
      <c r="K77" s="180" t="str">
        <f t="shared" si="43"/>
        <v>-</v>
      </c>
      <c r="L77" s="464"/>
      <c r="M77" s="181" t="e">
        <f>RANK(K77, K$67:$K$81)</f>
        <v>#VALUE!</v>
      </c>
      <c r="N77" s="461"/>
      <c r="O77" s="461"/>
      <c r="P77" s="182"/>
      <c r="Q77" s="166"/>
      <c r="R77" s="166"/>
      <c r="S77" s="182" t="e">
        <f t="shared" si="58"/>
        <v>#N/A</v>
      </c>
      <c r="T77" s="496"/>
      <c r="U77" s="182"/>
      <c r="V77" s="166"/>
      <c r="W77" s="166"/>
      <c r="X77" s="182" t="e">
        <f t="shared" si="44"/>
        <v>#N/A</v>
      </c>
      <c r="Y77" s="496"/>
      <c r="Z77" s="182"/>
      <c r="AA77" s="166"/>
      <c r="AB77" s="166"/>
      <c r="AC77" s="182" t="e">
        <f t="shared" si="46"/>
        <v>#N/A</v>
      </c>
      <c r="AD77" s="496"/>
      <c r="AE77" s="182"/>
      <c r="AF77" s="166"/>
      <c r="AG77" s="166"/>
      <c r="AH77" s="182" t="e">
        <f t="shared" si="48"/>
        <v>#N/A</v>
      </c>
      <c r="AI77" s="496"/>
      <c r="AJ77" s="182"/>
      <c r="AK77" s="166"/>
      <c r="AL77" s="166"/>
      <c r="AM77" s="182" t="e">
        <f t="shared" si="50"/>
        <v>#N/A</v>
      </c>
      <c r="AN77" s="496"/>
      <c r="AO77" s="182"/>
      <c r="AP77" s="166"/>
      <c r="AQ77" s="166"/>
      <c r="AR77" s="182" t="e">
        <f t="shared" si="52"/>
        <v>#N/A</v>
      </c>
      <c r="AS77" s="496"/>
      <c r="AT77" s="182"/>
      <c r="AU77" s="166"/>
      <c r="AV77" s="166"/>
      <c r="AW77" s="182" t="e">
        <f t="shared" si="54"/>
        <v>#N/A</v>
      </c>
      <c r="AX77" s="496"/>
      <c r="AZ77" s="182" t="e">
        <f t="shared" si="56"/>
        <v>#N/A</v>
      </c>
      <c r="BA77" s="496"/>
    </row>
    <row r="78" spans="2:53">
      <c r="B78" s="454"/>
      <c r="C78" s="182">
        <v>12</v>
      </c>
      <c r="D78" s="203"/>
      <c r="E78" s="166"/>
      <c r="F78" s="166"/>
      <c r="G78" s="166"/>
      <c r="H78" s="464"/>
      <c r="I78" s="166" t="str">
        <f t="shared" si="41"/>
        <v>-</v>
      </c>
      <c r="J78" s="166" t="str">
        <f t="shared" si="42"/>
        <v>-</v>
      </c>
      <c r="K78" s="180" t="str">
        <f t="shared" si="43"/>
        <v>-</v>
      </c>
      <c r="L78" s="464"/>
      <c r="M78" s="181" t="e">
        <f>RANK(K78, K$67:$K$81)</f>
        <v>#VALUE!</v>
      </c>
      <c r="N78" s="461"/>
      <c r="O78" s="461"/>
      <c r="P78" s="182"/>
      <c r="Q78" s="166"/>
      <c r="R78" s="166"/>
      <c r="S78" s="182" t="e">
        <f t="shared" si="58"/>
        <v>#N/A</v>
      </c>
      <c r="T78" s="496"/>
      <c r="U78" s="182"/>
      <c r="V78" s="166"/>
      <c r="W78" s="166"/>
      <c r="X78" s="182" t="e">
        <f t="shared" si="44"/>
        <v>#N/A</v>
      </c>
      <c r="Y78" s="496"/>
      <c r="Z78" s="182"/>
      <c r="AA78" s="166"/>
      <c r="AB78" s="166"/>
      <c r="AC78" s="182" t="e">
        <f t="shared" si="46"/>
        <v>#N/A</v>
      </c>
      <c r="AD78" s="496"/>
      <c r="AE78" s="182"/>
      <c r="AF78" s="166"/>
      <c r="AG78" s="166"/>
      <c r="AH78" s="182" t="e">
        <f t="shared" si="48"/>
        <v>#N/A</v>
      </c>
      <c r="AI78" s="496"/>
      <c r="AJ78" s="182"/>
      <c r="AK78" s="166"/>
      <c r="AL78" s="166"/>
      <c r="AM78" s="182" t="e">
        <f t="shared" si="50"/>
        <v>#N/A</v>
      </c>
      <c r="AN78" s="496"/>
      <c r="AO78" s="182"/>
      <c r="AP78" s="166"/>
      <c r="AQ78" s="166"/>
      <c r="AR78" s="182" t="e">
        <f t="shared" si="52"/>
        <v>#N/A</v>
      </c>
      <c r="AS78" s="496"/>
      <c r="AT78" s="182"/>
      <c r="AU78" s="166"/>
      <c r="AV78" s="166"/>
      <c r="AW78" s="182" t="e">
        <f t="shared" si="54"/>
        <v>#N/A</v>
      </c>
      <c r="AX78" s="496"/>
      <c r="AZ78" s="182" t="e">
        <f t="shared" si="56"/>
        <v>#N/A</v>
      </c>
      <c r="BA78" s="496"/>
    </row>
    <row r="79" spans="2:53">
      <c r="B79" s="454"/>
      <c r="C79" s="182">
        <v>13</v>
      </c>
      <c r="D79" s="203"/>
      <c r="E79" s="166"/>
      <c r="F79" s="166"/>
      <c r="G79" s="166"/>
      <c r="H79" s="464"/>
      <c r="I79" s="166" t="str">
        <f t="shared" si="41"/>
        <v>-</v>
      </c>
      <c r="J79" s="166" t="str">
        <f t="shared" si="42"/>
        <v>-</v>
      </c>
      <c r="K79" s="180" t="str">
        <f t="shared" si="43"/>
        <v>-</v>
      </c>
      <c r="L79" s="464"/>
      <c r="M79" s="181" t="e">
        <f>RANK(K79, K$67:$K$81)</f>
        <v>#VALUE!</v>
      </c>
      <c r="N79" s="461"/>
      <c r="O79" s="461"/>
      <c r="P79" s="182"/>
      <c r="Q79" s="166"/>
      <c r="R79" s="166"/>
      <c r="S79" s="182" t="e">
        <f t="shared" si="58"/>
        <v>#N/A</v>
      </c>
      <c r="T79" s="496"/>
      <c r="U79" s="182"/>
      <c r="V79" s="166"/>
      <c r="W79" s="166"/>
      <c r="X79" s="182" t="e">
        <f t="shared" si="44"/>
        <v>#N/A</v>
      </c>
      <c r="Y79" s="496"/>
      <c r="Z79" s="182"/>
      <c r="AA79" s="166"/>
      <c r="AB79" s="166"/>
      <c r="AC79" s="182" t="e">
        <f t="shared" si="46"/>
        <v>#N/A</v>
      </c>
      <c r="AD79" s="496"/>
      <c r="AE79" s="182"/>
      <c r="AF79" s="166"/>
      <c r="AG79" s="166"/>
      <c r="AH79" s="182" t="e">
        <f t="shared" si="48"/>
        <v>#N/A</v>
      </c>
      <c r="AI79" s="496"/>
      <c r="AJ79" s="182"/>
      <c r="AK79" s="166"/>
      <c r="AL79" s="166"/>
      <c r="AM79" s="182" t="e">
        <f t="shared" si="50"/>
        <v>#N/A</v>
      </c>
      <c r="AN79" s="496"/>
      <c r="AO79" s="182"/>
      <c r="AP79" s="166"/>
      <c r="AQ79" s="166"/>
      <c r="AR79" s="182" t="e">
        <f t="shared" si="52"/>
        <v>#N/A</v>
      </c>
      <c r="AS79" s="496"/>
      <c r="AT79" s="182"/>
      <c r="AU79" s="166"/>
      <c r="AV79" s="166"/>
      <c r="AW79" s="182" t="e">
        <f t="shared" si="54"/>
        <v>#N/A</v>
      </c>
      <c r="AX79" s="496"/>
      <c r="AZ79" s="182" t="e">
        <f t="shared" si="56"/>
        <v>#N/A</v>
      </c>
      <c r="BA79" s="496"/>
    </row>
    <row r="80" spans="2:53">
      <c r="B80" s="454"/>
      <c r="C80" s="182">
        <v>14</v>
      </c>
      <c r="D80" s="203"/>
      <c r="E80" s="166"/>
      <c r="F80" s="166"/>
      <c r="G80" s="166"/>
      <c r="H80" s="464"/>
      <c r="I80" s="166" t="str">
        <f t="shared" si="41"/>
        <v>-</v>
      </c>
      <c r="J80" s="166" t="str">
        <f t="shared" si="42"/>
        <v>-</v>
      </c>
      <c r="K80" s="180" t="str">
        <f t="shared" si="43"/>
        <v>-</v>
      </c>
      <c r="L80" s="464"/>
      <c r="M80" s="181" t="e">
        <f>RANK(K80, K$67:$K$81)</f>
        <v>#VALUE!</v>
      </c>
      <c r="N80" s="461"/>
      <c r="O80" s="461"/>
      <c r="P80" s="182"/>
      <c r="Q80" s="166"/>
      <c r="R80" s="166"/>
      <c r="S80" s="182" t="e">
        <f t="shared" si="58"/>
        <v>#N/A</v>
      </c>
      <c r="T80" s="496"/>
      <c r="U80" s="182"/>
      <c r="V80" s="166"/>
      <c r="W80" s="166"/>
      <c r="X80" s="182" t="e">
        <f t="shared" si="44"/>
        <v>#N/A</v>
      </c>
      <c r="Y80" s="496"/>
      <c r="Z80" s="182"/>
      <c r="AA80" s="166"/>
      <c r="AB80" s="166"/>
      <c r="AC80" s="182" t="e">
        <f t="shared" si="46"/>
        <v>#N/A</v>
      </c>
      <c r="AD80" s="496"/>
      <c r="AE80" s="182"/>
      <c r="AF80" s="166"/>
      <c r="AG80" s="166"/>
      <c r="AH80" s="182" t="e">
        <f t="shared" si="48"/>
        <v>#N/A</v>
      </c>
      <c r="AI80" s="496"/>
      <c r="AJ80" s="182"/>
      <c r="AK80" s="166"/>
      <c r="AL80" s="166"/>
      <c r="AM80" s="182" t="e">
        <f t="shared" si="50"/>
        <v>#N/A</v>
      </c>
      <c r="AN80" s="496"/>
      <c r="AO80" s="182"/>
      <c r="AP80" s="166"/>
      <c r="AQ80" s="166"/>
      <c r="AR80" s="182" t="e">
        <f t="shared" si="52"/>
        <v>#N/A</v>
      </c>
      <c r="AS80" s="496"/>
      <c r="AT80" s="182"/>
      <c r="AU80" s="166"/>
      <c r="AV80" s="166"/>
      <c r="AW80" s="182" t="e">
        <f t="shared" si="54"/>
        <v>#N/A</v>
      </c>
      <c r="AX80" s="496"/>
      <c r="AZ80" s="182" t="e">
        <f t="shared" si="56"/>
        <v>#N/A</v>
      </c>
      <c r="BA80" s="496"/>
    </row>
    <row r="81" spans="2:53">
      <c r="B81" s="454"/>
      <c r="C81" s="182">
        <v>15</v>
      </c>
      <c r="D81" s="203"/>
      <c r="E81" s="166"/>
      <c r="F81" s="166"/>
      <c r="G81" s="166"/>
      <c r="H81" s="465"/>
      <c r="I81" s="182"/>
      <c r="J81" s="182"/>
      <c r="K81" s="182"/>
      <c r="L81" s="465"/>
      <c r="M81" s="181" t="e">
        <f>RANK(K81, K$67:$K$81)</f>
        <v>#N/A</v>
      </c>
      <c r="N81" s="461"/>
      <c r="O81" s="461"/>
      <c r="P81" s="182"/>
      <c r="Q81" s="166"/>
      <c r="R81" s="166"/>
      <c r="S81" s="182" t="e">
        <f t="shared" si="58"/>
        <v>#N/A</v>
      </c>
      <c r="T81" s="497"/>
      <c r="U81" s="182"/>
      <c r="V81" s="166"/>
      <c r="W81" s="166"/>
      <c r="X81" s="182" t="e">
        <f t="shared" si="44"/>
        <v>#N/A</v>
      </c>
      <c r="Y81" s="497"/>
      <c r="Z81" s="182"/>
      <c r="AA81" s="166"/>
      <c r="AB81" s="166"/>
      <c r="AC81" s="182" t="e">
        <f t="shared" si="46"/>
        <v>#N/A</v>
      </c>
      <c r="AD81" s="497"/>
      <c r="AE81" s="182"/>
      <c r="AF81" s="166"/>
      <c r="AG81" s="166"/>
      <c r="AH81" s="182" t="e">
        <f t="shared" si="48"/>
        <v>#N/A</v>
      </c>
      <c r="AI81" s="497"/>
      <c r="AJ81" s="182"/>
      <c r="AK81" s="166"/>
      <c r="AL81" s="166"/>
      <c r="AM81" s="182" t="e">
        <f t="shared" si="50"/>
        <v>#N/A</v>
      </c>
      <c r="AN81" s="497"/>
      <c r="AO81" s="182"/>
      <c r="AP81" s="166"/>
      <c r="AQ81" s="166"/>
      <c r="AR81" s="182" t="e">
        <f t="shared" si="52"/>
        <v>#N/A</v>
      </c>
      <c r="AS81" s="497"/>
      <c r="AT81" s="182"/>
      <c r="AU81" s="166"/>
      <c r="AV81" s="166"/>
      <c r="AW81" s="182" t="e">
        <f t="shared" si="54"/>
        <v>#N/A</v>
      </c>
      <c r="AX81" s="497"/>
      <c r="AZ81" s="182" t="e">
        <f t="shared" si="56"/>
        <v>#N/A</v>
      </c>
      <c r="BA81" s="497"/>
    </row>
    <row r="82" spans="2:53" ht="15.5">
      <c r="B82" s="477" t="s">
        <v>163</v>
      </c>
      <c r="C82" s="478"/>
      <c r="D82" s="478"/>
      <c r="E82" s="478"/>
      <c r="F82" s="478"/>
      <c r="G82" s="478"/>
      <c r="H82" s="478"/>
      <c r="I82" s="186"/>
      <c r="J82" s="186"/>
      <c r="K82" s="186"/>
      <c r="L82" s="186"/>
      <c r="M82" s="185"/>
      <c r="N82" s="480" t="s">
        <v>156</v>
      </c>
      <c r="O82" s="480" t="s">
        <v>105</v>
      </c>
      <c r="P82" s="476">
        <f>P62+7</f>
        <v>46140</v>
      </c>
      <c r="Q82" s="454"/>
      <c r="R82" s="454"/>
      <c r="S82" s="454"/>
      <c r="T82" s="454"/>
      <c r="U82" s="473">
        <f>P82+1</f>
        <v>46141</v>
      </c>
      <c r="V82" s="474"/>
      <c r="W82" s="474"/>
      <c r="X82" s="474"/>
      <c r="Y82" s="475"/>
      <c r="Z82" s="473">
        <f>U82+1</f>
        <v>46142</v>
      </c>
      <c r="AA82" s="474"/>
      <c r="AB82" s="474"/>
      <c r="AC82" s="474"/>
      <c r="AD82" s="475"/>
      <c r="AE82" s="473">
        <f>Z82+1</f>
        <v>46143</v>
      </c>
      <c r="AF82" s="474"/>
      <c r="AG82" s="474"/>
      <c r="AH82" s="474"/>
      <c r="AI82" s="475"/>
      <c r="AJ82" s="473">
        <f>AE82+1</f>
        <v>46144</v>
      </c>
      <c r="AK82" s="474"/>
      <c r="AL82" s="474"/>
      <c r="AM82" s="474"/>
      <c r="AN82" s="475"/>
      <c r="AO82" s="473">
        <f>AJ82+1</f>
        <v>46145</v>
      </c>
      <c r="AP82" s="474"/>
      <c r="AQ82" s="474"/>
      <c r="AR82" s="474"/>
      <c r="AS82" s="475"/>
      <c r="AT82" s="473">
        <f>AO82+1</f>
        <v>46146</v>
      </c>
      <c r="AU82" s="474"/>
      <c r="AV82" s="474"/>
      <c r="AW82" s="474"/>
      <c r="AX82" s="475"/>
    </row>
    <row r="83" spans="2:53" ht="15.5">
      <c r="B83" s="479"/>
      <c r="C83" s="479"/>
      <c r="D83" s="479"/>
      <c r="E83" s="479"/>
      <c r="F83" s="479"/>
      <c r="G83" s="479"/>
      <c r="H83" s="479"/>
      <c r="I83" s="184"/>
      <c r="J83" s="184"/>
      <c r="K83" s="184"/>
      <c r="L83" s="184"/>
      <c r="M83" s="179"/>
      <c r="N83" s="481"/>
      <c r="O83" s="481"/>
      <c r="P83" s="476" t="s">
        <v>336</v>
      </c>
      <c r="Q83" s="454"/>
      <c r="R83" s="454"/>
      <c r="S83" s="454"/>
      <c r="T83" s="454"/>
      <c r="U83" s="476" t="s">
        <v>337</v>
      </c>
      <c r="V83" s="454"/>
      <c r="W83" s="454"/>
      <c r="X83" s="454"/>
      <c r="Y83" s="454"/>
      <c r="Z83" s="476" t="s">
        <v>338</v>
      </c>
      <c r="AA83" s="454"/>
      <c r="AB83" s="454"/>
      <c r="AC83" s="454"/>
      <c r="AD83" s="454"/>
      <c r="AE83" s="476" t="s">
        <v>339</v>
      </c>
      <c r="AF83" s="454"/>
      <c r="AG83" s="454"/>
      <c r="AH83" s="454"/>
      <c r="AI83" s="454"/>
      <c r="AJ83" s="476" t="s">
        <v>340</v>
      </c>
      <c r="AK83" s="454"/>
      <c r="AL83" s="454"/>
      <c r="AM83" s="454"/>
      <c r="AN83" s="454"/>
      <c r="AO83" s="476" t="s">
        <v>341</v>
      </c>
      <c r="AP83" s="454"/>
      <c r="AQ83" s="454"/>
      <c r="AR83" s="454"/>
      <c r="AS83" s="454"/>
      <c r="AT83" s="476" t="s">
        <v>342</v>
      </c>
      <c r="AU83" s="454"/>
      <c r="AV83" s="454"/>
      <c r="AW83" s="454"/>
      <c r="AX83" s="454"/>
    </row>
    <row r="84" spans="2:53">
      <c r="B84" s="461" t="s">
        <v>425</v>
      </c>
      <c r="C84" s="461" t="s">
        <v>426</v>
      </c>
      <c r="D84" s="461"/>
      <c r="E84" s="461" t="s">
        <v>427</v>
      </c>
      <c r="F84" s="461"/>
      <c r="G84" s="461"/>
      <c r="H84" s="482" t="s">
        <v>428</v>
      </c>
      <c r="I84" s="461" t="s">
        <v>429</v>
      </c>
      <c r="J84" s="461"/>
      <c r="K84" s="461"/>
      <c r="L84" s="482" t="s">
        <v>396</v>
      </c>
      <c r="M84" s="480" t="s">
        <v>430</v>
      </c>
      <c r="N84" s="461"/>
      <c r="O84" s="461" t="s">
        <v>431</v>
      </c>
      <c r="P84" s="466" t="s">
        <v>432</v>
      </c>
      <c r="Q84" s="467"/>
      <c r="R84" s="467"/>
      <c r="S84" s="468"/>
      <c r="T84" s="461" t="s">
        <v>428</v>
      </c>
      <c r="U84" s="466" t="s">
        <v>432</v>
      </c>
      <c r="V84" s="467"/>
      <c r="W84" s="467"/>
      <c r="X84" s="468"/>
      <c r="Y84" s="461" t="s">
        <v>428</v>
      </c>
      <c r="Z84" s="466" t="s">
        <v>432</v>
      </c>
      <c r="AA84" s="467"/>
      <c r="AB84" s="467"/>
      <c r="AC84" s="468"/>
      <c r="AD84" s="461" t="s">
        <v>428</v>
      </c>
      <c r="AE84" s="466" t="s">
        <v>432</v>
      </c>
      <c r="AF84" s="467"/>
      <c r="AG84" s="467"/>
      <c r="AH84" s="468"/>
      <c r="AI84" s="461" t="s">
        <v>428</v>
      </c>
      <c r="AJ84" s="466" t="s">
        <v>432</v>
      </c>
      <c r="AK84" s="467"/>
      <c r="AL84" s="467"/>
      <c r="AM84" s="468"/>
      <c r="AN84" s="461" t="s">
        <v>428</v>
      </c>
      <c r="AO84" s="466" t="s">
        <v>432</v>
      </c>
      <c r="AP84" s="467"/>
      <c r="AQ84" s="467"/>
      <c r="AR84" s="468"/>
      <c r="AS84" s="461" t="s">
        <v>428</v>
      </c>
      <c r="AT84" s="466" t="s">
        <v>432</v>
      </c>
      <c r="AU84" s="467"/>
      <c r="AV84" s="467"/>
      <c r="AW84" s="468"/>
      <c r="AX84" s="461" t="s">
        <v>428</v>
      </c>
      <c r="BA84" s="461" t="s">
        <v>396</v>
      </c>
    </row>
    <row r="85" spans="2:53">
      <c r="B85" s="461"/>
      <c r="C85" s="461"/>
      <c r="D85" s="461"/>
      <c r="E85" s="461" t="s">
        <v>433</v>
      </c>
      <c r="F85" s="461"/>
      <c r="G85" s="461"/>
      <c r="H85" s="483"/>
      <c r="I85" s="461" t="s">
        <v>433</v>
      </c>
      <c r="J85" s="461"/>
      <c r="K85" s="461"/>
      <c r="L85" s="483"/>
      <c r="M85" s="485"/>
      <c r="N85" s="461"/>
      <c r="O85" s="461"/>
      <c r="P85" s="466" t="s">
        <v>434</v>
      </c>
      <c r="Q85" s="467"/>
      <c r="R85" s="467"/>
      <c r="S85" s="468"/>
      <c r="T85" s="461"/>
      <c r="U85" s="466" t="s">
        <v>434</v>
      </c>
      <c r="V85" s="467"/>
      <c r="W85" s="467"/>
      <c r="X85" s="468"/>
      <c r="Y85" s="461"/>
      <c r="Z85" s="466" t="s">
        <v>434</v>
      </c>
      <c r="AA85" s="467"/>
      <c r="AB85" s="467"/>
      <c r="AC85" s="468"/>
      <c r="AD85" s="461"/>
      <c r="AE85" s="466" t="s">
        <v>434</v>
      </c>
      <c r="AF85" s="467"/>
      <c r="AG85" s="467"/>
      <c r="AH85" s="468"/>
      <c r="AI85" s="461"/>
      <c r="AJ85" s="466" t="s">
        <v>434</v>
      </c>
      <c r="AK85" s="467"/>
      <c r="AL85" s="467"/>
      <c r="AM85" s="468"/>
      <c r="AN85" s="461"/>
      <c r="AO85" s="466" t="s">
        <v>434</v>
      </c>
      <c r="AP85" s="467"/>
      <c r="AQ85" s="467"/>
      <c r="AR85" s="468"/>
      <c r="AS85" s="461"/>
      <c r="AT85" s="466" t="s">
        <v>434</v>
      </c>
      <c r="AU85" s="467"/>
      <c r="AV85" s="467"/>
      <c r="AW85" s="468"/>
      <c r="AX85" s="461"/>
      <c r="BA85" s="461"/>
    </row>
    <row r="86" spans="2:53">
      <c r="B86" s="461"/>
      <c r="C86" s="461"/>
      <c r="D86" s="461"/>
      <c r="E86" s="269" t="s">
        <v>435</v>
      </c>
      <c r="F86" s="269" t="s">
        <v>436</v>
      </c>
      <c r="G86" s="269" t="s">
        <v>437</v>
      </c>
      <c r="H86" s="484"/>
      <c r="I86" s="269" t="s">
        <v>435</v>
      </c>
      <c r="J86" s="269" t="s">
        <v>436</v>
      </c>
      <c r="K86" s="269" t="s">
        <v>437</v>
      </c>
      <c r="L86" s="484"/>
      <c r="M86" s="481"/>
      <c r="N86" s="461"/>
      <c r="O86" s="461"/>
      <c r="P86" s="269" t="s">
        <v>435</v>
      </c>
      <c r="Q86" s="269" t="s">
        <v>436</v>
      </c>
      <c r="R86" s="269" t="s">
        <v>437</v>
      </c>
      <c r="S86" s="269" t="s">
        <v>430</v>
      </c>
      <c r="T86" s="461"/>
      <c r="U86" s="269" t="s">
        <v>435</v>
      </c>
      <c r="V86" s="269" t="s">
        <v>436</v>
      </c>
      <c r="W86" s="269" t="s">
        <v>437</v>
      </c>
      <c r="X86" s="269" t="s">
        <v>430</v>
      </c>
      <c r="Y86" s="461"/>
      <c r="Z86" s="269" t="s">
        <v>435</v>
      </c>
      <c r="AA86" s="269" t="s">
        <v>436</v>
      </c>
      <c r="AB86" s="269" t="s">
        <v>437</v>
      </c>
      <c r="AC86" s="269" t="s">
        <v>430</v>
      </c>
      <c r="AD86" s="461"/>
      <c r="AE86" s="269" t="s">
        <v>435</v>
      </c>
      <c r="AF86" s="269" t="s">
        <v>436</v>
      </c>
      <c r="AG86" s="269" t="s">
        <v>437</v>
      </c>
      <c r="AH86" s="269" t="s">
        <v>430</v>
      </c>
      <c r="AI86" s="461"/>
      <c r="AJ86" s="269" t="s">
        <v>435</v>
      </c>
      <c r="AK86" s="269" t="s">
        <v>436</v>
      </c>
      <c r="AL86" s="269" t="s">
        <v>437</v>
      </c>
      <c r="AM86" s="269" t="s">
        <v>430</v>
      </c>
      <c r="AN86" s="461"/>
      <c r="AO86" s="269" t="s">
        <v>435</v>
      </c>
      <c r="AP86" s="269" t="s">
        <v>436</v>
      </c>
      <c r="AQ86" s="269" t="s">
        <v>437</v>
      </c>
      <c r="AR86" s="269" t="s">
        <v>430</v>
      </c>
      <c r="AS86" s="461"/>
      <c r="AT86" s="269" t="s">
        <v>435</v>
      </c>
      <c r="AU86" s="269" t="s">
        <v>436</v>
      </c>
      <c r="AV86" s="269" t="s">
        <v>437</v>
      </c>
      <c r="AW86" s="269" t="s">
        <v>430</v>
      </c>
      <c r="AX86" s="461"/>
      <c r="AZ86" s="269" t="s">
        <v>397</v>
      </c>
      <c r="BA86" s="461"/>
    </row>
    <row r="87" spans="2:53">
      <c r="B87" s="461" t="s">
        <v>442</v>
      </c>
      <c r="C87" s="182">
        <v>1</v>
      </c>
      <c r="D87" s="203"/>
      <c r="E87" s="166"/>
      <c r="F87" s="182"/>
      <c r="G87" s="180"/>
      <c r="H87" s="463" t="e">
        <f>AVERAGE(G87:G101)</f>
        <v>#DIV/0!</v>
      </c>
      <c r="I87" s="166" t="str">
        <f t="shared" ref="I87:I100" si="59">IFERROR(AVERAGE(P87,U87,Z87,AE87,AJ87,AO87,AT87),"-")</f>
        <v>-</v>
      </c>
      <c r="J87" s="166" t="str">
        <f t="shared" ref="J87:J100" si="60">IFERROR(AVERAGE(Q87,V87,AA87,AF87,AK87,AP87,AU87),"-")</f>
        <v>-</v>
      </c>
      <c r="K87" s="180" t="str">
        <f t="shared" ref="K87:K100" si="61">IFERROR(AVERAGE(R87,W87,AB87,AG87,AL87,AQ87,AV87),"-")</f>
        <v>-</v>
      </c>
      <c r="L87" s="463" t="str">
        <f>IFERROR(AVERAGE(K87:K101),"-")</f>
        <v>-</v>
      </c>
      <c r="M87" s="181" t="e">
        <f>RANK(K87, K$87:$K$101)</f>
        <v>#VALUE!</v>
      </c>
      <c r="N87" s="461"/>
      <c r="O87" s="461"/>
      <c r="P87" s="182"/>
      <c r="Q87" s="166"/>
      <c r="R87" s="166"/>
      <c r="S87" s="182" t="e">
        <f>RANK(R87, R$87:R$101)</f>
        <v>#N/A</v>
      </c>
      <c r="T87" s="455" t="e">
        <f>AVERAGE(R87:R101)</f>
        <v>#DIV/0!</v>
      </c>
      <c r="U87" s="182"/>
      <c r="V87" s="166"/>
      <c r="W87" s="166"/>
      <c r="X87" s="182" t="e">
        <f t="shared" ref="X87:X101" si="62">RANK(W87, W$87:W$101)</f>
        <v>#N/A</v>
      </c>
      <c r="Y87" s="455" t="e">
        <f t="shared" ref="Y87" si="63">AVERAGE(W87:W101)</f>
        <v>#DIV/0!</v>
      </c>
      <c r="Z87" s="182"/>
      <c r="AA87" s="166"/>
      <c r="AB87" s="166"/>
      <c r="AC87" s="182" t="e">
        <f t="shared" ref="AC87:AC101" si="64">RANK(AB87, AB$87:AB$101)</f>
        <v>#N/A</v>
      </c>
      <c r="AD87" s="455" t="e">
        <f t="shared" ref="AD87" si="65">AVERAGE(AB87:AB101)</f>
        <v>#DIV/0!</v>
      </c>
      <c r="AE87" s="182"/>
      <c r="AF87" s="166"/>
      <c r="AG87" s="166"/>
      <c r="AH87" s="182" t="e">
        <f t="shared" ref="AH87:AH101" si="66">RANK(AG87, AG$87:AG$101)</f>
        <v>#N/A</v>
      </c>
      <c r="AI87" s="455" t="e">
        <f t="shared" ref="AI87" si="67">AVERAGE(AG87:AG101)</f>
        <v>#DIV/0!</v>
      </c>
      <c r="AJ87" s="182"/>
      <c r="AK87" s="166"/>
      <c r="AL87" s="166"/>
      <c r="AM87" s="182" t="e">
        <f t="shared" ref="AM87:AM101" si="68">RANK(AL87, AL$87:AL$101)</f>
        <v>#N/A</v>
      </c>
      <c r="AN87" s="455" t="e">
        <f t="shared" ref="AN87" si="69">AVERAGE(AL87:AL101)</f>
        <v>#DIV/0!</v>
      </c>
      <c r="AO87" s="182"/>
      <c r="AP87" s="166"/>
      <c r="AQ87" s="166"/>
      <c r="AR87" s="182" t="e">
        <f t="shared" ref="AR87:AR101" si="70">RANK(AQ87, AQ$87:AQ$101)</f>
        <v>#N/A</v>
      </c>
      <c r="AS87" s="455" t="e">
        <f t="shared" ref="AS87" si="71">AVERAGE(AQ87:AQ101)</f>
        <v>#DIV/0!</v>
      </c>
      <c r="AT87" s="182"/>
      <c r="AU87" s="166"/>
      <c r="AV87" s="166"/>
      <c r="AW87" s="182" t="e">
        <f t="shared" ref="AW87:AW101" si="72">RANK(AV87, AV$87:AV$101)</f>
        <v>#N/A</v>
      </c>
      <c r="AX87" s="455" t="e">
        <f t="shared" ref="AX87" si="73">AVERAGE(AV87:AV101)</f>
        <v>#DIV/0!</v>
      </c>
      <c r="AZ87" s="182" t="e">
        <f t="shared" ref="AZ87:AZ101" si="74">RANK(AY87, AY$87:AY$101)</f>
        <v>#N/A</v>
      </c>
      <c r="BA87" s="455" t="e">
        <f t="shared" ref="BA87" si="75">AVERAGE(AY87:AY101)</f>
        <v>#DIV/0!</v>
      </c>
    </row>
    <row r="88" spans="2:53">
      <c r="B88" s="454"/>
      <c r="C88" s="182">
        <v>2</v>
      </c>
      <c r="D88" s="203"/>
      <c r="E88" s="166"/>
      <c r="F88" s="182"/>
      <c r="G88" s="180"/>
      <c r="H88" s="464"/>
      <c r="I88" s="166" t="str">
        <f t="shared" si="59"/>
        <v>-</v>
      </c>
      <c r="J88" s="166" t="str">
        <f t="shared" si="60"/>
        <v>-</v>
      </c>
      <c r="K88" s="180" t="str">
        <f t="shared" si="61"/>
        <v>-</v>
      </c>
      <c r="L88" s="464"/>
      <c r="M88" s="181" t="e">
        <f>RANK(K88, K$87:$K$101)</f>
        <v>#VALUE!</v>
      </c>
      <c r="N88" s="461"/>
      <c r="O88" s="461"/>
      <c r="P88" s="182"/>
      <c r="Q88" s="166"/>
      <c r="R88" s="166"/>
      <c r="S88" s="182" t="e">
        <f t="shared" ref="S88:S101" si="76">RANK(R88, R$87:R$101)</f>
        <v>#N/A</v>
      </c>
      <c r="T88" s="455"/>
      <c r="U88" s="182"/>
      <c r="V88" s="166"/>
      <c r="W88" s="166"/>
      <c r="X88" s="182" t="e">
        <f t="shared" si="62"/>
        <v>#N/A</v>
      </c>
      <c r="Y88" s="455"/>
      <c r="Z88" s="182"/>
      <c r="AA88" s="166"/>
      <c r="AB88" s="166"/>
      <c r="AC88" s="182" t="e">
        <f t="shared" si="64"/>
        <v>#N/A</v>
      </c>
      <c r="AD88" s="455"/>
      <c r="AE88" s="182"/>
      <c r="AF88" s="166"/>
      <c r="AG88" s="166"/>
      <c r="AH88" s="182" t="e">
        <f t="shared" si="66"/>
        <v>#N/A</v>
      </c>
      <c r="AI88" s="455"/>
      <c r="AJ88" s="182"/>
      <c r="AK88" s="166"/>
      <c r="AL88" s="166"/>
      <c r="AM88" s="182" t="e">
        <f t="shared" si="68"/>
        <v>#N/A</v>
      </c>
      <c r="AN88" s="455"/>
      <c r="AO88" s="182"/>
      <c r="AP88" s="166"/>
      <c r="AQ88" s="166"/>
      <c r="AR88" s="182" t="e">
        <f t="shared" si="70"/>
        <v>#N/A</v>
      </c>
      <c r="AS88" s="455"/>
      <c r="AT88" s="182"/>
      <c r="AU88" s="166"/>
      <c r="AV88" s="166"/>
      <c r="AW88" s="182" t="e">
        <f t="shared" si="72"/>
        <v>#N/A</v>
      </c>
      <c r="AX88" s="455"/>
      <c r="AZ88" s="182" t="e">
        <f t="shared" si="74"/>
        <v>#N/A</v>
      </c>
      <c r="BA88" s="455"/>
    </row>
    <row r="89" spans="2:53">
      <c r="B89" s="454"/>
      <c r="C89" s="182">
        <v>3</v>
      </c>
      <c r="D89" s="203"/>
      <c r="E89" s="166"/>
      <c r="F89" s="182"/>
      <c r="G89" s="180"/>
      <c r="H89" s="464"/>
      <c r="I89" s="166" t="str">
        <f t="shared" si="59"/>
        <v>-</v>
      </c>
      <c r="J89" s="166" t="str">
        <f t="shared" si="60"/>
        <v>-</v>
      </c>
      <c r="K89" s="180" t="str">
        <f t="shared" si="61"/>
        <v>-</v>
      </c>
      <c r="L89" s="464"/>
      <c r="M89" s="181" t="e">
        <f>RANK(K89, K$87:$K$101)</f>
        <v>#VALUE!</v>
      </c>
      <c r="N89" s="461"/>
      <c r="O89" s="461"/>
      <c r="P89" s="182"/>
      <c r="Q89" s="166"/>
      <c r="R89" s="166"/>
      <c r="S89" s="182" t="e">
        <f t="shared" si="76"/>
        <v>#N/A</v>
      </c>
      <c r="T89" s="455"/>
      <c r="U89" s="182"/>
      <c r="V89" s="166"/>
      <c r="W89" s="166"/>
      <c r="X89" s="182" t="e">
        <f t="shared" si="62"/>
        <v>#N/A</v>
      </c>
      <c r="Y89" s="455"/>
      <c r="Z89" s="182"/>
      <c r="AA89" s="166"/>
      <c r="AB89" s="166"/>
      <c r="AC89" s="182" t="e">
        <f t="shared" si="64"/>
        <v>#N/A</v>
      </c>
      <c r="AD89" s="455"/>
      <c r="AE89" s="182"/>
      <c r="AF89" s="166"/>
      <c r="AG89" s="166"/>
      <c r="AH89" s="182" t="e">
        <f t="shared" si="66"/>
        <v>#N/A</v>
      </c>
      <c r="AI89" s="455"/>
      <c r="AJ89" s="182"/>
      <c r="AK89" s="166"/>
      <c r="AL89" s="166"/>
      <c r="AM89" s="182" t="e">
        <f t="shared" si="68"/>
        <v>#N/A</v>
      </c>
      <c r="AN89" s="455"/>
      <c r="AO89" s="182"/>
      <c r="AP89" s="166"/>
      <c r="AQ89" s="166"/>
      <c r="AR89" s="182" t="e">
        <f t="shared" si="70"/>
        <v>#N/A</v>
      </c>
      <c r="AS89" s="455"/>
      <c r="AT89" s="182"/>
      <c r="AU89" s="166"/>
      <c r="AV89" s="166"/>
      <c r="AW89" s="182" t="e">
        <f t="shared" si="72"/>
        <v>#N/A</v>
      </c>
      <c r="AX89" s="455"/>
      <c r="AZ89" s="182" t="e">
        <f t="shared" si="74"/>
        <v>#N/A</v>
      </c>
      <c r="BA89" s="455"/>
    </row>
    <row r="90" spans="2:53">
      <c r="B90" s="454"/>
      <c r="C90" s="182">
        <v>4</v>
      </c>
      <c r="D90" s="203"/>
      <c r="E90" s="166"/>
      <c r="F90" s="182"/>
      <c r="G90" s="180"/>
      <c r="H90" s="464"/>
      <c r="I90" s="166" t="str">
        <f t="shared" si="59"/>
        <v>-</v>
      </c>
      <c r="J90" s="166" t="str">
        <f t="shared" si="60"/>
        <v>-</v>
      </c>
      <c r="K90" s="180" t="str">
        <f t="shared" si="61"/>
        <v>-</v>
      </c>
      <c r="L90" s="464"/>
      <c r="M90" s="181" t="e">
        <f>RANK(K90, K$87:$K$101)</f>
        <v>#VALUE!</v>
      </c>
      <c r="N90" s="461"/>
      <c r="O90" s="461"/>
      <c r="P90" s="182"/>
      <c r="Q90" s="166"/>
      <c r="R90" s="166"/>
      <c r="S90" s="182" t="e">
        <f t="shared" si="76"/>
        <v>#N/A</v>
      </c>
      <c r="T90" s="455"/>
      <c r="U90" s="182"/>
      <c r="V90" s="166"/>
      <c r="W90" s="166"/>
      <c r="X90" s="182" t="e">
        <f t="shared" si="62"/>
        <v>#N/A</v>
      </c>
      <c r="Y90" s="455"/>
      <c r="Z90" s="182"/>
      <c r="AA90" s="166"/>
      <c r="AB90" s="166"/>
      <c r="AC90" s="182" t="e">
        <f t="shared" si="64"/>
        <v>#N/A</v>
      </c>
      <c r="AD90" s="455"/>
      <c r="AE90" s="182"/>
      <c r="AF90" s="166"/>
      <c r="AG90" s="166"/>
      <c r="AH90" s="182" t="e">
        <f t="shared" si="66"/>
        <v>#N/A</v>
      </c>
      <c r="AI90" s="455"/>
      <c r="AJ90" s="182"/>
      <c r="AK90" s="166"/>
      <c r="AL90" s="166"/>
      <c r="AM90" s="182" t="e">
        <f t="shared" si="68"/>
        <v>#N/A</v>
      </c>
      <c r="AN90" s="455"/>
      <c r="AO90" s="182"/>
      <c r="AP90" s="166"/>
      <c r="AQ90" s="166"/>
      <c r="AR90" s="182" t="e">
        <f t="shared" si="70"/>
        <v>#N/A</v>
      </c>
      <c r="AS90" s="455"/>
      <c r="AT90" s="182"/>
      <c r="AU90" s="166"/>
      <c r="AV90" s="166"/>
      <c r="AW90" s="182" t="e">
        <f t="shared" si="72"/>
        <v>#N/A</v>
      </c>
      <c r="AX90" s="455"/>
      <c r="AZ90" s="182" t="e">
        <f t="shared" si="74"/>
        <v>#N/A</v>
      </c>
      <c r="BA90" s="455"/>
    </row>
    <row r="91" spans="2:53">
      <c r="B91" s="454"/>
      <c r="C91" s="182">
        <v>5</v>
      </c>
      <c r="D91" s="203"/>
      <c r="E91" s="166"/>
      <c r="F91" s="182"/>
      <c r="G91" s="180"/>
      <c r="H91" s="464"/>
      <c r="I91" s="166" t="str">
        <f t="shared" si="59"/>
        <v>-</v>
      </c>
      <c r="J91" s="166" t="str">
        <f t="shared" si="60"/>
        <v>-</v>
      </c>
      <c r="K91" s="180" t="str">
        <f t="shared" si="61"/>
        <v>-</v>
      </c>
      <c r="L91" s="464"/>
      <c r="M91" s="181" t="e">
        <f>RANK(K91, K$87:$K$101)</f>
        <v>#VALUE!</v>
      </c>
      <c r="N91" s="461"/>
      <c r="O91" s="461"/>
      <c r="P91" s="182"/>
      <c r="Q91" s="166"/>
      <c r="R91" s="166"/>
      <c r="S91" s="182" t="e">
        <f t="shared" si="76"/>
        <v>#N/A</v>
      </c>
      <c r="T91" s="455"/>
      <c r="U91" s="182"/>
      <c r="V91" s="166"/>
      <c r="W91" s="166"/>
      <c r="X91" s="182" t="e">
        <f t="shared" si="62"/>
        <v>#N/A</v>
      </c>
      <c r="Y91" s="455"/>
      <c r="Z91" s="182"/>
      <c r="AA91" s="166"/>
      <c r="AB91" s="166"/>
      <c r="AC91" s="182" t="e">
        <f t="shared" si="64"/>
        <v>#N/A</v>
      </c>
      <c r="AD91" s="455"/>
      <c r="AE91" s="182"/>
      <c r="AF91" s="166"/>
      <c r="AG91" s="166"/>
      <c r="AH91" s="182" t="e">
        <f t="shared" si="66"/>
        <v>#N/A</v>
      </c>
      <c r="AI91" s="455"/>
      <c r="AJ91" s="182"/>
      <c r="AK91" s="166"/>
      <c r="AL91" s="166"/>
      <c r="AM91" s="182" t="e">
        <f t="shared" si="68"/>
        <v>#N/A</v>
      </c>
      <c r="AN91" s="455"/>
      <c r="AO91" s="182"/>
      <c r="AP91" s="166"/>
      <c r="AQ91" s="166"/>
      <c r="AR91" s="182" t="e">
        <f t="shared" si="70"/>
        <v>#N/A</v>
      </c>
      <c r="AS91" s="455"/>
      <c r="AT91" s="182"/>
      <c r="AU91" s="166"/>
      <c r="AV91" s="166"/>
      <c r="AW91" s="182" t="e">
        <f t="shared" si="72"/>
        <v>#N/A</v>
      </c>
      <c r="AX91" s="455"/>
      <c r="AZ91" s="182" t="e">
        <f t="shared" si="74"/>
        <v>#N/A</v>
      </c>
      <c r="BA91" s="455"/>
    </row>
    <row r="92" spans="2:53">
      <c r="B92" s="454"/>
      <c r="C92" s="182">
        <v>6</v>
      </c>
      <c r="D92" s="203"/>
      <c r="E92" s="166"/>
      <c r="F92" s="182"/>
      <c r="G92" s="180"/>
      <c r="H92" s="464"/>
      <c r="I92" s="166" t="str">
        <f t="shared" si="59"/>
        <v>-</v>
      </c>
      <c r="J92" s="166" t="str">
        <f t="shared" si="60"/>
        <v>-</v>
      </c>
      <c r="K92" s="180" t="str">
        <f t="shared" si="61"/>
        <v>-</v>
      </c>
      <c r="L92" s="464"/>
      <c r="M92" s="181" t="e">
        <f>RANK(K92, K$87:$K$101)</f>
        <v>#VALUE!</v>
      </c>
      <c r="N92" s="461"/>
      <c r="O92" s="461"/>
      <c r="P92" s="182"/>
      <c r="Q92" s="166"/>
      <c r="R92" s="166"/>
      <c r="S92" s="182" t="e">
        <f t="shared" si="76"/>
        <v>#N/A</v>
      </c>
      <c r="T92" s="455"/>
      <c r="U92" s="182"/>
      <c r="V92" s="166"/>
      <c r="W92" s="166"/>
      <c r="X92" s="182" t="e">
        <f t="shared" si="62"/>
        <v>#N/A</v>
      </c>
      <c r="Y92" s="455"/>
      <c r="Z92" s="182"/>
      <c r="AA92" s="166"/>
      <c r="AB92" s="166"/>
      <c r="AC92" s="182" t="e">
        <f t="shared" si="64"/>
        <v>#N/A</v>
      </c>
      <c r="AD92" s="455"/>
      <c r="AE92" s="182"/>
      <c r="AF92" s="166"/>
      <c r="AG92" s="166"/>
      <c r="AH92" s="182" t="e">
        <f t="shared" si="66"/>
        <v>#N/A</v>
      </c>
      <c r="AI92" s="455"/>
      <c r="AJ92" s="182"/>
      <c r="AK92" s="166"/>
      <c r="AL92" s="166"/>
      <c r="AM92" s="182" t="e">
        <f t="shared" si="68"/>
        <v>#N/A</v>
      </c>
      <c r="AN92" s="455"/>
      <c r="AO92" s="182"/>
      <c r="AP92" s="166"/>
      <c r="AQ92" s="166"/>
      <c r="AR92" s="182" t="e">
        <f t="shared" si="70"/>
        <v>#N/A</v>
      </c>
      <c r="AS92" s="455"/>
      <c r="AT92" s="182"/>
      <c r="AU92" s="166"/>
      <c r="AV92" s="166"/>
      <c r="AW92" s="182" t="e">
        <f t="shared" si="72"/>
        <v>#N/A</v>
      </c>
      <c r="AX92" s="455"/>
      <c r="AZ92" s="182" t="e">
        <f t="shared" si="74"/>
        <v>#N/A</v>
      </c>
      <c r="BA92" s="455"/>
    </row>
    <row r="93" spans="2:53">
      <c r="B93" s="454"/>
      <c r="C93" s="182">
        <v>7</v>
      </c>
      <c r="D93" s="203"/>
      <c r="E93" s="166"/>
      <c r="F93" s="182"/>
      <c r="G93" s="180"/>
      <c r="H93" s="464"/>
      <c r="I93" s="166" t="str">
        <f t="shared" si="59"/>
        <v>-</v>
      </c>
      <c r="J93" s="166" t="str">
        <f t="shared" si="60"/>
        <v>-</v>
      </c>
      <c r="K93" s="180" t="str">
        <f t="shared" si="61"/>
        <v>-</v>
      </c>
      <c r="L93" s="464"/>
      <c r="M93" s="181" t="e">
        <f>RANK(K93, K$87:$K$101)</f>
        <v>#VALUE!</v>
      </c>
      <c r="N93" s="461"/>
      <c r="O93" s="461"/>
      <c r="P93" s="182"/>
      <c r="Q93" s="166"/>
      <c r="R93" s="166"/>
      <c r="S93" s="182" t="e">
        <f t="shared" si="76"/>
        <v>#N/A</v>
      </c>
      <c r="T93" s="455"/>
      <c r="U93" s="182"/>
      <c r="V93" s="166"/>
      <c r="W93" s="166"/>
      <c r="X93" s="182" t="e">
        <f t="shared" si="62"/>
        <v>#N/A</v>
      </c>
      <c r="Y93" s="455"/>
      <c r="Z93" s="182"/>
      <c r="AA93" s="166"/>
      <c r="AB93" s="166"/>
      <c r="AC93" s="182" t="e">
        <f t="shared" si="64"/>
        <v>#N/A</v>
      </c>
      <c r="AD93" s="455"/>
      <c r="AE93" s="182"/>
      <c r="AF93" s="166"/>
      <c r="AG93" s="166"/>
      <c r="AH93" s="182" t="e">
        <f t="shared" si="66"/>
        <v>#N/A</v>
      </c>
      <c r="AI93" s="455"/>
      <c r="AJ93" s="182"/>
      <c r="AK93" s="166"/>
      <c r="AL93" s="166"/>
      <c r="AM93" s="182" t="e">
        <f t="shared" si="68"/>
        <v>#N/A</v>
      </c>
      <c r="AN93" s="455"/>
      <c r="AO93" s="182"/>
      <c r="AP93" s="166"/>
      <c r="AQ93" s="166"/>
      <c r="AR93" s="182" t="e">
        <f t="shared" si="70"/>
        <v>#N/A</v>
      </c>
      <c r="AS93" s="455"/>
      <c r="AT93" s="182"/>
      <c r="AU93" s="166"/>
      <c r="AV93" s="166"/>
      <c r="AW93" s="182" t="e">
        <f t="shared" si="72"/>
        <v>#N/A</v>
      </c>
      <c r="AX93" s="455"/>
      <c r="AZ93" s="182" t="e">
        <f t="shared" si="74"/>
        <v>#N/A</v>
      </c>
      <c r="BA93" s="455"/>
    </row>
    <row r="94" spans="2:53">
      <c r="B94" s="454"/>
      <c r="C94" s="182">
        <v>8</v>
      </c>
      <c r="D94" s="203"/>
      <c r="E94" s="166"/>
      <c r="F94" s="182"/>
      <c r="G94" s="180"/>
      <c r="H94" s="464"/>
      <c r="I94" s="166" t="str">
        <f t="shared" si="59"/>
        <v>-</v>
      </c>
      <c r="J94" s="166" t="str">
        <f t="shared" si="60"/>
        <v>-</v>
      </c>
      <c r="K94" s="180" t="str">
        <f t="shared" si="61"/>
        <v>-</v>
      </c>
      <c r="L94" s="464"/>
      <c r="M94" s="181" t="e">
        <f>RANK(K94, K$87:$K$101)</f>
        <v>#VALUE!</v>
      </c>
      <c r="N94" s="461"/>
      <c r="O94" s="461"/>
      <c r="P94" s="182"/>
      <c r="Q94" s="166"/>
      <c r="R94" s="166"/>
      <c r="S94" s="182" t="e">
        <f t="shared" si="76"/>
        <v>#N/A</v>
      </c>
      <c r="T94" s="455"/>
      <c r="U94" s="182"/>
      <c r="V94" s="166"/>
      <c r="W94" s="166"/>
      <c r="X94" s="182" t="e">
        <f t="shared" si="62"/>
        <v>#N/A</v>
      </c>
      <c r="Y94" s="455"/>
      <c r="Z94" s="182"/>
      <c r="AA94" s="166"/>
      <c r="AB94" s="166"/>
      <c r="AC94" s="182" t="e">
        <f t="shared" si="64"/>
        <v>#N/A</v>
      </c>
      <c r="AD94" s="455"/>
      <c r="AE94" s="182"/>
      <c r="AF94" s="166"/>
      <c r="AG94" s="166"/>
      <c r="AH94" s="182" t="e">
        <f t="shared" si="66"/>
        <v>#N/A</v>
      </c>
      <c r="AI94" s="455"/>
      <c r="AJ94" s="182"/>
      <c r="AK94" s="166"/>
      <c r="AL94" s="166"/>
      <c r="AM94" s="182" t="e">
        <f t="shared" si="68"/>
        <v>#N/A</v>
      </c>
      <c r="AN94" s="455"/>
      <c r="AO94" s="182"/>
      <c r="AP94" s="166"/>
      <c r="AQ94" s="166"/>
      <c r="AR94" s="182" t="e">
        <f t="shared" si="70"/>
        <v>#N/A</v>
      </c>
      <c r="AS94" s="455"/>
      <c r="AT94" s="182"/>
      <c r="AU94" s="166"/>
      <c r="AV94" s="166"/>
      <c r="AW94" s="182" t="e">
        <f t="shared" si="72"/>
        <v>#N/A</v>
      </c>
      <c r="AX94" s="455"/>
      <c r="AZ94" s="182" t="e">
        <f t="shared" si="74"/>
        <v>#N/A</v>
      </c>
      <c r="BA94" s="455"/>
    </row>
    <row r="95" spans="2:53">
      <c r="B95" s="454"/>
      <c r="C95" s="182">
        <v>9</v>
      </c>
      <c r="D95" s="203"/>
      <c r="E95" s="166"/>
      <c r="F95" s="182"/>
      <c r="G95" s="180"/>
      <c r="H95" s="464"/>
      <c r="I95" s="166" t="str">
        <f t="shared" si="59"/>
        <v>-</v>
      </c>
      <c r="J95" s="166" t="str">
        <f t="shared" si="60"/>
        <v>-</v>
      </c>
      <c r="K95" s="180" t="str">
        <f t="shared" si="61"/>
        <v>-</v>
      </c>
      <c r="L95" s="464"/>
      <c r="M95" s="181" t="e">
        <f>RANK(K95, K$87:$K$101)</f>
        <v>#VALUE!</v>
      </c>
      <c r="N95" s="461"/>
      <c r="O95" s="461"/>
      <c r="P95" s="182"/>
      <c r="Q95" s="166"/>
      <c r="R95" s="166"/>
      <c r="S95" s="182" t="e">
        <f t="shared" si="76"/>
        <v>#N/A</v>
      </c>
      <c r="T95" s="455"/>
      <c r="U95" s="182"/>
      <c r="V95" s="166"/>
      <c r="W95" s="166"/>
      <c r="X95" s="182" t="e">
        <f t="shared" si="62"/>
        <v>#N/A</v>
      </c>
      <c r="Y95" s="455"/>
      <c r="Z95" s="182"/>
      <c r="AA95" s="166"/>
      <c r="AB95" s="166"/>
      <c r="AC95" s="182" t="e">
        <f t="shared" si="64"/>
        <v>#N/A</v>
      </c>
      <c r="AD95" s="455"/>
      <c r="AE95" s="182"/>
      <c r="AF95" s="166"/>
      <c r="AG95" s="166"/>
      <c r="AH95" s="182" t="e">
        <f t="shared" si="66"/>
        <v>#N/A</v>
      </c>
      <c r="AI95" s="455"/>
      <c r="AJ95" s="182"/>
      <c r="AK95" s="166"/>
      <c r="AL95" s="166"/>
      <c r="AM95" s="182" t="e">
        <f t="shared" si="68"/>
        <v>#N/A</v>
      </c>
      <c r="AN95" s="455"/>
      <c r="AO95" s="182"/>
      <c r="AP95" s="166"/>
      <c r="AQ95" s="166"/>
      <c r="AR95" s="182" t="e">
        <f t="shared" si="70"/>
        <v>#N/A</v>
      </c>
      <c r="AS95" s="455"/>
      <c r="AT95" s="182"/>
      <c r="AU95" s="166"/>
      <c r="AV95" s="166"/>
      <c r="AW95" s="182" t="e">
        <f t="shared" si="72"/>
        <v>#N/A</v>
      </c>
      <c r="AX95" s="455"/>
      <c r="AZ95" s="182" t="e">
        <f t="shared" si="74"/>
        <v>#N/A</v>
      </c>
      <c r="BA95" s="455"/>
    </row>
    <row r="96" spans="2:53">
      <c r="B96" s="454"/>
      <c r="C96" s="182">
        <v>10</v>
      </c>
      <c r="D96" s="203"/>
      <c r="E96" s="166"/>
      <c r="F96" s="182"/>
      <c r="G96" s="180"/>
      <c r="H96" s="464"/>
      <c r="I96" s="166" t="str">
        <f t="shared" si="59"/>
        <v>-</v>
      </c>
      <c r="J96" s="166" t="str">
        <f t="shared" si="60"/>
        <v>-</v>
      </c>
      <c r="K96" s="180" t="str">
        <f t="shared" si="61"/>
        <v>-</v>
      </c>
      <c r="L96" s="464"/>
      <c r="M96" s="181" t="e">
        <f>RANK(K96, K$87:$K$101)</f>
        <v>#VALUE!</v>
      </c>
      <c r="N96" s="461"/>
      <c r="O96" s="461"/>
      <c r="P96" s="182"/>
      <c r="Q96" s="166"/>
      <c r="R96" s="166"/>
      <c r="S96" s="182" t="e">
        <f t="shared" si="76"/>
        <v>#N/A</v>
      </c>
      <c r="T96" s="455"/>
      <c r="U96" s="182"/>
      <c r="V96" s="166"/>
      <c r="W96" s="166"/>
      <c r="X96" s="182" t="e">
        <f t="shared" si="62"/>
        <v>#N/A</v>
      </c>
      <c r="Y96" s="455"/>
      <c r="Z96" s="182"/>
      <c r="AA96" s="166"/>
      <c r="AB96" s="166"/>
      <c r="AC96" s="182" t="e">
        <f t="shared" si="64"/>
        <v>#N/A</v>
      </c>
      <c r="AD96" s="455"/>
      <c r="AE96" s="182"/>
      <c r="AF96" s="166"/>
      <c r="AG96" s="166"/>
      <c r="AH96" s="182" t="e">
        <f t="shared" si="66"/>
        <v>#N/A</v>
      </c>
      <c r="AI96" s="455"/>
      <c r="AJ96" s="182"/>
      <c r="AK96" s="166"/>
      <c r="AL96" s="166"/>
      <c r="AM96" s="182" t="e">
        <f t="shared" si="68"/>
        <v>#N/A</v>
      </c>
      <c r="AN96" s="455"/>
      <c r="AO96" s="182"/>
      <c r="AP96" s="166"/>
      <c r="AQ96" s="166"/>
      <c r="AR96" s="182" t="e">
        <f t="shared" si="70"/>
        <v>#N/A</v>
      </c>
      <c r="AS96" s="455"/>
      <c r="AT96" s="182"/>
      <c r="AU96" s="166"/>
      <c r="AV96" s="166"/>
      <c r="AW96" s="182" t="e">
        <f t="shared" si="72"/>
        <v>#N/A</v>
      </c>
      <c r="AX96" s="455"/>
      <c r="AZ96" s="182" t="e">
        <f t="shared" si="74"/>
        <v>#N/A</v>
      </c>
      <c r="BA96" s="455"/>
    </row>
    <row r="97" spans="2:53">
      <c r="B97" s="454"/>
      <c r="C97" s="182">
        <v>11</v>
      </c>
      <c r="D97" s="203"/>
      <c r="E97" s="166"/>
      <c r="F97" s="182"/>
      <c r="G97" s="180"/>
      <c r="H97" s="464"/>
      <c r="I97" s="166" t="str">
        <f t="shared" si="59"/>
        <v>-</v>
      </c>
      <c r="J97" s="166" t="str">
        <f t="shared" si="60"/>
        <v>-</v>
      </c>
      <c r="K97" s="180" t="str">
        <f t="shared" si="61"/>
        <v>-</v>
      </c>
      <c r="L97" s="464"/>
      <c r="M97" s="181" t="e">
        <f>RANK(K97, K$87:$K$101)</f>
        <v>#VALUE!</v>
      </c>
      <c r="N97" s="461"/>
      <c r="O97" s="461"/>
      <c r="P97" s="182"/>
      <c r="Q97" s="166"/>
      <c r="R97" s="166"/>
      <c r="S97" s="182" t="e">
        <f t="shared" si="76"/>
        <v>#N/A</v>
      </c>
      <c r="T97" s="455"/>
      <c r="U97" s="182"/>
      <c r="V97" s="166"/>
      <c r="W97" s="166"/>
      <c r="X97" s="182" t="e">
        <f t="shared" si="62"/>
        <v>#N/A</v>
      </c>
      <c r="Y97" s="455"/>
      <c r="Z97" s="182"/>
      <c r="AA97" s="166"/>
      <c r="AB97" s="166"/>
      <c r="AC97" s="182" t="e">
        <f t="shared" si="64"/>
        <v>#N/A</v>
      </c>
      <c r="AD97" s="455"/>
      <c r="AE97" s="182"/>
      <c r="AF97" s="166"/>
      <c r="AG97" s="166"/>
      <c r="AH97" s="182" t="e">
        <f t="shared" si="66"/>
        <v>#N/A</v>
      </c>
      <c r="AI97" s="455"/>
      <c r="AJ97" s="182"/>
      <c r="AK97" s="166"/>
      <c r="AL97" s="166"/>
      <c r="AM97" s="182" t="e">
        <f t="shared" si="68"/>
        <v>#N/A</v>
      </c>
      <c r="AN97" s="455"/>
      <c r="AO97" s="182"/>
      <c r="AP97" s="166"/>
      <c r="AQ97" s="166"/>
      <c r="AR97" s="182" t="e">
        <f t="shared" si="70"/>
        <v>#N/A</v>
      </c>
      <c r="AS97" s="455"/>
      <c r="AT97" s="182"/>
      <c r="AU97" s="166"/>
      <c r="AV97" s="166"/>
      <c r="AW97" s="182" t="e">
        <f t="shared" si="72"/>
        <v>#N/A</v>
      </c>
      <c r="AX97" s="455"/>
      <c r="AZ97" s="182" t="e">
        <f t="shared" si="74"/>
        <v>#N/A</v>
      </c>
      <c r="BA97" s="455"/>
    </row>
    <row r="98" spans="2:53">
      <c r="B98" s="454"/>
      <c r="C98" s="182">
        <v>12</v>
      </c>
      <c r="D98" s="203"/>
      <c r="E98" s="166"/>
      <c r="F98" s="182"/>
      <c r="G98" s="180"/>
      <c r="H98" s="464"/>
      <c r="I98" s="166" t="str">
        <f t="shared" si="59"/>
        <v>-</v>
      </c>
      <c r="J98" s="166" t="str">
        <f t="shared" si="60"/>
        <v>-</v>
      </c>
      <c r="K98" s="180" t="str">
        <f t="shared" si="61"/>
        <v>-</v>
      </c>
      <c r="L98" s="464"/>
      <c r="M98" s="181" t="e">
        <f>RANK(K98, K$87:$K$101)</f>
        <v>#VALUE!</v>
      </c>
      <c r="N98" s="461"/>
      <c r="O98" s="461"/>
      <c r="P98" s="182"/>
      <c r="Q98" s="166"/>
      <c r="R98" s="166"/>
      <c r="S98" s="182" t="e">
        <f t="shared" si="76"/>
        <v>#N/A</v>
      </c>
      <c r="T98" s="455"/>
      <c r="U98" s="182"/>
      <c r="V98" s="166"/>
      <c r="W98" s="166"/>
      <c r="X98" s="182" t="e">
        <f t="shared" si="62"/>
        <v>#N/A</v>
      </c>
      <c r="Y98" s="455"/>
      <c r="Z98" s="182"/>
      <c r="AA98" s="166"/>
      <c r="AB98" s="166"/>
      <c r="AC98" s="182" t="e">
        <f t="shared" si="64"/>
        <v>#N/A</v>
      </c>
      <c r="AD98" s="455"/>
      <c r="AE98" s="182"/>
      <c r="AF98" s="166"/>
      <c r="AG98" s="166"/>
      <c r="AH98" s="182" t="e">
        <f t="shared" si="66"/>
        <v>#N/A</v>
      </c>
      <c r="AI98" s="455"/>
      <c r="AJ98" s="182"/>
      <c r="AK98" s="166"/>
      <c r="AL98" s="166"/>
      <c r="AM98" s="182" t="e">
        <f t="shared" si="68"/>
        <v>#N/A</v>
      </c>
      <c r="AN98" s="455"/>
      <c r="AO98" s="182"/>
      <c r="AP98" s="166"/>
      <c r="AQ98" s="166"/>
      <c r="AR98" s="182" t="e">
        <f t="shared" si="70"/>
        <v>#N/A</v>
      </c>
      <c r="AS98" s="455"/>
      <c r="AT98" s="182"/>
      <c r="AU98" s="166"/>
      <c r="AV98" s="166"/>
      <c r="AW98" s="182" t="e">
        <f t="shared" si="72"/>
        <v>#N/A</v>
      </c>
      <c r="AX98" s="455"/>
      <c r="AZ98" s="182" t="e">
        <f t="shared" si="74"/>
        <v>#N/A</v>
      </c>
      <c r="BA98" s="455"/>
    </row>
    <row r="99" spans="2:53">
      <c r="B99" s="454"/>
      <c r="C99" s="182">
        <v>13</v>
      </c>
      <c r="D99" s="203"/>
      <c r="E99" s="166"/>
      <c r="F99" s="182"/>
      <c r="G99" s="180"/>
      <c r="H99" s="464"/>
      <c r="I99" s="166" t="str">
        <f t="shared" si="59"/>
        <v>-</v>
      </c>
      <c r="J99" s="166" t="str">
        <f t="shared" si="60"/>
        <v>-</v>
      </c>
      <c r="K99" s="180" t="str">
        <f t="shared" si="61"/>
        <v>-</v>
      </c>
      <c r="L99" s="464"/>
      <c r="M99" s="181" t="e">
        <f>RANK(K99, K$87:$K$101)</f>
        <v>#VALUE!</v>
      </c>
      <c r="N99" s="461"/>
      <c r="O99" s="461"/>
      <c r="P99" s="182"/>
      <c r="Q99" s="166"/>
      <c r="R99" s="166"/>
      <c r="S99" s="182" t="e">
        <f t="shared" si="76"/>
        <v>#N/A</v>
      </c>
      <c r="T99" s="455"/>
      <c r="U99" s="182"/>
      <c r="V99" s="166"/>
      <c r="W99" s="166"/>
      <c r="X99" s="182" t="e">
        <f t="shared" si="62"/>
        <v>#N/A</v>
      </c>
      <c r="Y99" s="455"/>
      <c r="Z99" s="182"/>
      <c r="AA99" s="166"/>
      <c r="AB99" s="166"/>
      <c r="AC99" s="182" t="e">
        <f t="shared" si="64"/>
        <v>#N/A</v>
      </c>
      <c r="AD99" s="455"/>
      <c r="AE99" s="182"/>
      <c r="AF99" s="166"/>
      <c r="AG99" s="166"/>
      <c r="AH99" s="182" t="e">
        <f t="shared" si="66"/>
        <v>#N/A</v>
      </c>
      <c r="AI99" s="455"/>
      <c r="AJ99" s="182"/>
      <c r="AK99" s="166"/>
      <c r="AL99" s="166"/>
      <c r="AM99" s="182" t="e">
        <f t="shared" si="68"/>
        <v>#N/A</v>
      </c>
      <c r="AN99" s="455"/>
      <c r="AO99" s="182"/>
      <c r="AP99" s="166"/>
      <c r="AQ99" s="166"/>
      <c r="AR99" s="182" t="e">
        <f t="shared" si="70"/>
        <v>#N/A</v>
      </c>
      <c r="AS99" s="455"/>
      <c r="AT99" s="182"/>
      <c r="AU99" s="166"/>
      <c r="AV99" s="166"/>
      <c r="AW99" s="182" t="e">
        <f t="shared" si="72"/>
        <v>#N/A</v>
      </c>
      <c r="AX99" s="455"/>
      <c r="AZ99" s="182" t="e">
        <f t="shared" si="74"/>
        <v>#N/A</v>
      </c>
      <c r="BA99" s="455"/>
    </row>
    <row r="100" spans="2:53">
      <c r="B100" s="454"/>
      <c r="C100" s="182">
        <v>14</v>
      </c>
      <c r="D100" s="203"/>
      <c r="E100" s="166"/>
      <c r="F100" s="182"/>
      <c r="G100" s="180"/>
      <c r="H100" s="464"/>
      <c r="I100" s="166" t="str">
        <f t="shared" si="59"/>
        <v>-</v>
      </c>
      <c r="J100" s="166" t="str">
        <f t="shared" si="60"/>
        <v>-</v>
      </c>
      <c r="K100" s="180" t="str">
        <f t="shared" si="61"/>
        <v>-</v>
      </c>
      <c r="L100" s="464"/>
      <c r="M100" s="181" t="e">
        <f>RANK(K100, K$87:$K$101)</f>
        <v>#VALUE!</v>
      </c>
      <c r="N100" s="461"/>
      <c r="O100" s="461"/>
      <c r="P100" s="182"/>
      <c r="Q100" s="166"/>
      <c r="R100" s="166"/>
      <c r="S100" s="182" t="e">
        <f t="shared" si="76"/>
        <v>#N/A</v>
      </c>
      <c r="T100" s="455"/>
      <c r="U100" s="182"/>
      <c r="V100" s="166"/>
      <c r="W100" s="166"/>
      <c r="X100" s="182" t="e">
        <f t="shared" si="62"/>
        <v>#N/A</v>
      </c>
      <c r="Y100" s="455"/>
      <c r="Z100" s="182"/>
      <c r="AA100" s="166"/>
      <c r="AB100" s="166"/>
      <c r="AC100" s="182" t="e">
        <f t="shared" si="64"/>
        <v>#N/A</v>
      </c>
      <c r="AD100" s="455"/>
      <c r="AE100" s="182"/>
      <c r="AF100" s="166"/>
      <c r="AG100" s="166"/>
      <c r="AH100" s="182" t="e">
        <f t="shared" si="66"/>
        <v>#N/A</v>
      </c>
      <c r="AI100" s="455"/>
      <c r="AJ100" s="182"/>
      <c r="AK100" s="166"/>
      <c r="AL100" s="166"/>
      <c r="AM100" s="182" t="e">
        <f t="shared" si="68"/>
        <v>#N/A</v>
      </c>
      <c r="AN100" s="455"/>
      <c r="AO100" s="182"/>
      <c r="AP100" s="166"/>
      <c r="AQ100" s="166"/>
      <c r="AR100" s="182" t="e">
        <f t="shared" si="70"/>
        <v>#N/A</v>
      </c>
      <c r="AS100" s="455"/>
      <c r="AT100" s="182"/>
      <c r="AU100" s="166"/>
      <c r="AV100" s="166"/>
      <c r="AW100" s="182" t="e">
        <f t="shared" si="72"/>
        <v>#N/A</v>
      </c>
      <c r="AX100" s="455"/>
      <c r="AZ100" s="182" t="e">
        <f t="shared" si="74"/>
        <v>#N/A</v>
      </c>
      <c r="BA100" s="455"/>
    </row>
    <row r="101" spans="2:53">
      <c r="B101" s="454"/>
      <c r="C101" s="182">
        <v>15</v>
      </c>
      <c r="D101" s="203"/>
      <c r="E101" s="166"/>
      <c r="F101" s="182"/>
      <c r="G101" s="180"/>
      <c r="H101" s="465"/>
      <c r="I101" s="182"/>
      <c r="J101" s="182"/>
      <c r="K101" s="182"/>
      <c r="L101" s="465"/>
      <c r="M101" s="166" t="e">
        <f>RANK(K101, K$87:$K$101)</f>
        <v>#N/A</v>
      </c>
      <c r="N101" s="461"/>
      <c r="O101" s="461"/>
      <c r="P101" s="182"/>
      <c r="Q101" s="166"/>
      <c r="R101" s="166"/>
      <c r="S101" s="182" t="e">
        <f t="shared" si="76"/>
        <v>#N/A</v>
      </c>
      <c r="T101" s="455"/>
      <c r="U101" s="182"/>
      <c r="V101" s="166"/>
      <c r="W101" s="166"/>
      <c r="X101" s="182" t="e">
        <f t="shared" si="62"/>
        <v>#N/A</v>
      </c>
      <c r="Y101" s="455"/>
      <c r="Z101" s="182"/>
      <c r="AA101" s="166"/>
      <c r="AB101" s="166"/>
      <c r="AC101" s="182" t="e">
        <f t="shared" si="64"/>
        <v>#N/A</v>
      </c>
      <c r="AD101" s="455"/>
      <c r="AE101" s="182"/>
      <c r="AF101" s="166"/>
      <c r="AG101" s="166"/>
      <c r="AH101" s="182" t="e">
        <f t="shared" si="66"/>
        <v>#N/A</v>
      </c>
      <c r="AI101" s="455"/>
      <c r="AJ101" s="182"/>
      <c r="AK101" s="166"/>
      <c r="AL101" s="166"/>
      <c r="AM101" s="182" t="e">
        <f t="shared" si="68"/>
        <v>#N/A</v>
      </c>
      <c r="AN101" s="455"/>
      <c r="AO101" s="182"/>
      <c r="AP101" s="166"/>
      <c r="AQ101" s="166"/>
      <c r="AR101" s="182" t="e">
        <f t="shared" si="70"/>
        <v>#N/A</v>
      </c>
      <c r="AS101" s="455"/>
      <c r="AT101" s="182"/>
      <c r="AU101" s="166"/>
      <c r="AV101" s="166"/>
      <c r="AW101" s="182" t="e">
        <f t="shared" si="72"/>
        <v>#N/A</v>
      </c>
      <c r="AX101" s="455"/>
      <c r="AZ101" s="182" t="e">
        <f t="shared" si="74"/>
        <v>#N/A</v>
      </c>
      <c r="BA101" s="455"/>
    </row>
    <row r="102" spans="2:53" ht="15.5">
      <c r="B102" s="477" t="s">
        <v>163</v>
      </c>
      <c r="C102" s="478"/>
      <c r="D102" s="478"/>
      <c r="E102" s="478"/>
      <c r="F102" s="478"/>
      <c r="G102" s="478"/>
      <c r="H102" s="478"/>
      <c r="I102" s="186"/>
      <c r="J102" s="186"/>
      <c r="K102" s="186"/>
      <c r="L102" s="186"/>
      <c r="M102" s="185"/>
      <c r="N102" s="480" t="s">
        <v>156</v>
      </c>
      <c r="O102" s="480" t="s">
        <v>105</v>
      </c>
      <c r="P102" s="476">
        <f>P82+7</f>
        <v>46147</v>
      </c>
      <c r="Q102" s="454"/>
      <c r="R102" s="454"/>
      <c r="S102" s="454"/>
      <c r="T102" s="454"/>
      <c r="U102" s="473">
        <f>P102+1</f>
        <v>46148</v>
      </c>
      <c r="V102" s="474"/>
      <c r="W102" s="474"/>
      <c r="X102" s="474"/>
      <c r="Y102" s="475"/>
      <c r="Z102" s="473">
        <f>U102+1</f>
        <v>46149</v>
      </c>
      <c r="AA102" s="474"/>
      <c r="AB102" s="474"/>
      <c r="AC102" s="474"/>
      <c r="AD102" s="475"/>
      <c r="AE102" s="473">
        <f>Z102+1</f>
        <v>46150</v>
      </c>
      <c r="AF102" s="474"/>
      <c r="AG102" s="474"/>
      <c r="AH102" s="474"/>
      <c r="AI102" s="475"/>
      <c r="AJ102" s="473">
        <f>AE102+1</f>
        <v>46151</v>
      </c>
      <c r="AK102" s="474"/>
      <c r="AL102" s="474"/>
      <c r="AM102" s="474"/>
      <c r="AN102" s="475"/>
      <c r="AO102" s="473">
        <f>AJ102+1</f>
        <v>46152</v>
      </c>
      <c r="AP102" s="474"/>
      <c r="AQ102" s="474"/>
      <c r="AR102" s="474"/>
      <c r="AS102" s="475"/>
      <c r="AT102" s="473">
        <f>AO102+1</f>
        <v>46153</v>
      </c>
      <c r="AU102" s="474"/>
      <c r="AV102" s="474"/>
      <c r="AW102" s="474"/>
      <c r="AX102" s="475"/>
    </row>
    <row r="103" spans="2:53" ht="15.5">
      <c r="B103" s="479"/>
      <c r="C103" s="479"/>
      <c r="D103" s="479"/>
      <c r="E103" s="479"/>
      <c r="F103" s="479"/>
      <c r="G103" s="479"/>
      <c r="H103" s="479"/>
      <c r="I103" s="184"/>
      <c r="J103" s="184"/>
      <c r="K103" s="184"/>
      <c r="L103" s="184"/>
      <c r="M103" s="179"/>
      <c r="N103" s="481"/>
      <c r="O103" s="481"/>
      <c r="P103" s="476" t="s">
        <v>158</v>
      </c>
      <c r="Q103" s="454"/>
      <c r="R103" s="454"/>
      <c r="S103" s="454"/>
      <c r="T103" s="454"/>
      <c r="U103" s="476" t="s">
        <v>114</v>
      </c>
      <c r="V103" s="454"/>
      <c r="W103" s="454"/>
      <c r="X103" s="454"/>
      <c r="Y103" s="454"/>
      <c r="Z103" s="476" t="s">
        <v>159</v>
      </c>
      <c r="AA103" s="454"/>
      <c r="AB103" s="454"/>
      <c r="AC103" s="454"/>
      <c r="AD103" s="454"/>
      <c r="AE103" s="476" t="s">
        <v>157</v>
      </c>
      <c r="AF103" s="454"/>
      <c r="AG103" s="454"/>
      <c r="AH103" s="454"/>
      <c r="AI103" s="454"/>
      <c r="AJ103" s="476" t="s">
        <v>160</v>
      </c>
      <c r="AK103" s="454"/>
      <c r="AL103" s="454"/>
      <c r="AM103" s="454"/>
      <c r="AN103" s="454"/>
      <c r="AO103" s="476" t="s">
        <v>115</v>
      </c>
      <c r="AP103" s="454"/>
      <c r="AQ103" s="454"/>
      <c r="AR103" s="454"/>
      <c r="AS103" s="454"/>
      <c r="AT103" s="476" t="s">
        <v>162</v>
      </c>
      <c r="AU103" s="454"/>
      <c r="AV103" s="454"/>
      <c r="AW103" s="454"/>
      <c r="AX103" s="454"/>
    </row>
    <row r="104" spans="2:53">
      <c r="B104" s="461" t="s">
        <v>696</v>
      </c>
      <c r="C104" s="461" t="s">
        <v>697</v>
      </c>
      <c r="D104" s="461"/>
      <c r="E104" s="461" t="s">
        <v>698</v>
      </c>
      <c r="F104" s="461"/>
      <c r="G104" s="461"/>
      <c r="H104" s="482" t="s">
        <v>699</v>
      </c>
      <c r="I104" s="461" t="s">
        <v>700</v>
      </c>
      <c r="J104" s="461"/>
      <c r="K104" s="461"/>
      <c r="L104" s="482" t="s">
        <v>396</v>
      </c>
      <c r="M104" s="480" t="s">
        <v>701</v>
      </c>
      <c r="N104" s="461"/>
      <c r="O104" s="461" t="s">
        <v>702</v>
      </c>
      <c r="P104" s="466" t="s">
        <v>688</v>
      </c>
      <c r="Q104" s="467"/>
      <c r="R104" s="467"/>
      <c r="S104" s="468"/>
      <c r="T104" s="461" t="s">
        <v>684</v>
      </c>
      <c r="U104" s="466" t="s">
        <v>688</v>
      </c>
      <c r="V104" s="467"/>
      <c r="W104" s="467"/>
      <c r="X104" s="468"/>
      <c r="Y104" s="461" t="s">
        <v>684</v>
      </c>
      <c r="Z104" s="466" t="s">
        <v>688</v>
      </c>
      <c r="AA104" s="467"/>
      <c r="AB104" s="467"/>
      <c r="AC104" s="468"/>
      <c r="AD104" s="461" t="s">
        <v>684</v>
      </c>
      <c r="AE104" s="466" t="s">
        <v>688</v>
      </c>
      <c r="AF104" s="467"/>
      <c r="AG104" s="467"/>
      <c r="AH104" s="468"/>
      <c r="AI104" s="461" t="s">
        <v>684</v>
      </c>
      <c r="AJ104" s="466" t="s">
        <v>688</v>
      </c>
      <c r="AK104" s="467"/>
      <c r="AL104" s="467"/>
      <c r="AM104" s="468"/>
      <c r="AN104" s="461" t="s">
        <v>684</v>
      </c>
      <c r="AO104" s="466" t="s">
        <v>688</v>
      </c>
      <c r="AP104" s="467"/>
      <c r="AQ104" s="467"/>
      <c r="AR104" s="468"/>
      <c r="AS104" s="461" t="s">
        <v>684</v>
      </c>
      <c r="AT104" s="466" t="s">
        <v>688</v>
      </c>
      <c r="AU104" s="467"/>
      <c r="AV104" s="467"/>
      <c r="AW104" s="468"/>
      <c r="AX104" s="461" t="s">
        <v>684</v>
      </c>
      <c r="BA104" s="461" t="s">
        <v>396</v>
      </c>
    </row>
    <row r="105" spans="2:53">
      <c r="B105" s="461"/>
      <c r="C105" s="461"/>
      <c r="D105" s="461"/>
      <c r="E105" s="461" t="s">
        <v>703</v>
      </c>
      <c r="F105" s="461"/>
      <c r="G105" s="461"/>
      <c r="H105" s="483"/>
      <c r="I105" s="461" t="s">
        <v>703</v>
      </c>
      <c r="J105" s="461"/>
      <c r="K105" s="461"/>
      <c r="L105" s="483"/>
      <c r="M105" s="485"/>
      <c r="N105" s="461"/>
      <c r="O105" s="461"/>
      <c r="P105" s="466" t="s">
        <v>690</v>
      </c>
      <c r="Q105" s="467"/>
      <c r="R105" s="467"/>
      <c r="S105" s="468"/>
      <c r="T105" s="461"/>
      <c r="U105" s="466" t="s">
        <v>690</v>
      </c>
      <c r="V105" s="467"/>
      <c r="W105" s="467"/>
      <c r="X105" s="468"/>
      <c r="Y105" s="461"/>
      <c r="Z105" s="466" t="s">
        <v>690</v>
      </c>
      <c r="AA105" s="467"/>
      <c r="AB105" s="467"/>
      <c r="AC105" s="468"/>
      <c r="AD105" s="461"/>
      <c r="AE105" s="466" t="s">
        <v>690</v>
      </c>
      <c r="AF105" s="467"/>
      <c r="AG105" s="467"/>
      <c r="AH105" s="468"/>
      <c r="AI105" s="461"/>
      <c r="AJ105" s="466" t="s">
        <v>690</v>
      </c>
      <c r="AK105" s="467"/>
      <c r="AL105" s="467"/>
      <c r="AM105" s="468"/>
      <c r="AN105" s="461"/>
      <c r="AO105" s="466" t="s">
        <v>690</v>
      </c>
      <c r="AP105" s="467"/>
      <c r="AQ105" s="467"/>
      <c r="AR105" s="468"/>
      <c r="AS105" s="461"/>
      <c r="AT105" s="466" t="s">
        <v>690</v>
      </c>
      <c r="AU105" s="467"/>
      <c r="AV105" s="467"/>
      <c r="AW105" s="468"/>
      <c r="AX105" s="461"/>
      <c r="BA105" s="461"/>
    </row>
    <row r="106" spans="2:53">
      <c r="B106" s="461"/>
      <c r="C106" s="461"/>
      <c r="D106" s="461"/>
      <c r="E106" s="269" t="s">
        <v>704</v>
      </c>
      <c r="F106" s="269" t="s">
        <v>705</v>
      </c>
      <c r="G106" s="269" t="s">
        <v>706</v>
      </c>
      <c r="H106" s="484"/>
      <c r="I106" s="269" t="s">
        <v>704</v>
      </c>
      <c r="J106" s="269" t="s">
        <v>705</v>
      </c>
      <c r="K106" s="269" t="s">
        <v>706</v>
      </c>
      <c r="L106" s="484"/>
      <c r="M106" s="481"/>
      <c r="N106" s="461"/>
      <c r="O106" s="461"/>
      <c r="P106" s="269" t="s">
        <v>691</v>
      </c>
      <c r="Q106" s="269" t="s">
        <v>692</v>
      </c>
      <c r="R106" s="269" t="s">
        <v>693</v>
      </c>
      <c r="S106" s="269" t="s">
        <v>686</v>
      </c>
      <c r="T106" s="461"/>
      <c r="U106" s="269" t="s">
        <v>691</v>
      </c>
      <c r="V106" s="269" t="s">
        <v>692</v>
      </c>
      <c r="W106" s="269" t="s">
        <v>693</v>
      </c>
      <c r="X106" s="269" t="s">
        <v>686</v>
      </c>
      <c r="Y106" s="461"/>
      <c r="Z106" s="269" t="s">
        <v>691</v>
      </c>
      <c r="AA106" s="269" t="s">
        <v>692</v>
      </c>
      <c r="AB106" s="269" t="s">
        <v>693</v>
      </c>
      <c r="AC106" s="269" t="s">
        <v>686</v>
      </c>
      <c r="AD106" s="461"/>
      <c r="AE106" s="269" t="s">
        <v>691</v>
      </c>
      <c r="AF106" s="269" t="s">
        <v>692</v>
      </c>
      <c r="AG106" s="269" t="s">
        <v>693</v>
      </c>
      <c r="AH106" s="269" t="s">
        <v>686</v>
      </c>
      <c r="AI106" s="461"/>
      <c r="AJ106" s="269" t="s">
        <v>691</v>
      </c>
      <c r="AK106" s="269" t="s">
        <v>692</v>
      </c>
      <c r="AL106" s="269" t="s">
        <v>693</v>
      </c>
      <c r="AM106" s="269" t="s">
        <v>686</v>
      </c>
      <c r="AN106" s="461"/>
      <c r="AO106" s="269" t="s">
        <v>691</v>
      </c>
      <c r="AP106" s="269" t="s">
        <v>692</v>
      </c>
      <c r="AQ106" s="269" t="s">
        <v>693</v>
      </c>
      <c r="AR106" s="269" t="s">
        <v>686</v>
      </c>
      <c r="AS106" s="461"/>
      <c r="AT106" s="269" t="s">
        <v>691</v>
      </c>
      <c r="AU106" s="269" t="s">
        <v>692</v>
      </c>
      <c r="AV106" s="269" t="s">
        <v>693</v>
      </c>
      <c r="AW106" s="269" t="s">
        <v>686</v>
      </c>
      <c r="AX106" s="461"/>
      <c r="AZ106" s="269" t="s">
        <v>686</v>
      </c>
      <c r="BA106" s="461"/>
    </row>
    <row r="107" spans="2:53">
      <c r="B107" s="461" t="s">
        <v>135</v>
      </c>
      <c r="C107" s="182">
        <v>1</v>
      </c>
      <c r="D107" s="203"/>
      <c r="E107" s="166"/>
      <c r="F107" s="182"/>
      <c r="G107" s="180"/>
      <c r="H107" s="463" t="e">
        <f>AVERAGE(G107:G121)</f>
        <v>#DIV/0!</v>
      </c>
      <c r="I107" s="166" t="str">
        <f t="shared" ref="I107:I120" si="77">IFERROR(AVERAGE(P107,U107,Z107,AE107,AJ107,AO107,AT107),"-")</f>
        <v>-</v>
      </c>
      <c r="J107" s="166" t="str">
        <f t="shared" ref="J107:J120" si="78">IFERROR(AVERAGE(Q107,V107,AA107,AF107,AK107,AP107,AU107),"-")</f>
        <v>-</v>
      </c>
      <c r="K107" s="180" t="str">
        <f t="shared" ref="K107:K120" si="79">IFERROR(AVERAGE(R107,W107,AB107,AG107,AL107,AQ107,AV107),"-")</f>
        <v>-</v>
      </c>
      <c r="L107" s="463" t="str">
        <f>IFERROR(AVERAGE(K107:K121),"-")</f>
        <v>-</v>
      </c>
      <c r="M107" s="166" t="e">
        <f>RANK(K107, K$67:$K$81)</f>
        <v>#VALUE!</v>
      </c>
      <c r="N107" s="461"/>
      <c r="O107" s="461"/>
      <c r="P107" s="182"/>
      <c r="Q107" s="166"/>
      <c r="R107" s="166"/>
      <c r="S107" s="166" t="e">
        <f>RANK(R107, R$67:R$81)</f>
        <v>#N/A</v>
      </c>
      <c r="T107" s="456" t="e">
        <f>AVERAGE(R107:R121)</f>
        <v>#DIV/0!</v>
      </c>
      <c r="U107" s="182"/>
      <c r="V107" s="166"/>
      <c r="W107" s="166"/>
      <c r="X107" s="166" t="e">
        <f>RANK(W107, W$67:W$81)</f>
        <v>#N/A</v>
      </c>
      <c r="Y107" s="455" t="e">
        <f>AVERAGE(W107:W121)</f>
        <v>#DIV/0!</v>
      </c>
      <c r="Z107" s="182"/>
      <c r="AA107" s="166"/>
      <c r="AB107" s="166"/>
      <c r="AC107" s="166" t="e">
        <f>RANK(AB107, AB$67:AB$81)</f>
        <v>#N/A</v>
      </c>
      <c r="AD107" s="455" t="e">
        <f>AVERAGE(AB107:AB121)</f>
        <v>#DIV/0!</v>
      </c>
      <c r="AE107" s="182"/>
      <c r="AF107" s="166"/>
      <c r="AG107" s="166"/>
      <c r="AH107" s="166" t="e">
        <f>RANK(AG107, AG$67:AG$81)</f>
        <v>#N/A</v>
      </c>
      <c r="AI107" s="455" t="e">
        <f>AVERAGE(AG107:AG121)</f>
        <v>#DIV/0!</v>
      </c>
      <c r="AJ107" s="182"/>
      <c r="AK107" s="166"/>
      <c r="AL107" s="166"/>
      <c r="AM107" s="166" t="e">
        <f>RANK(AL107, AL$67:AL$81)</f>
        <v>#N/A</v>
      </c>
      <c r="AN107" s="455" t="e">
        <f>AVERAGE(AL107:AL121)</f>
        <v>#DIV/0!</v>
      </c>
      <c r="AO107" s="182"/>
      <c r="AP107" s="166"/>
      <c r="AQ107" s="166"/>
      <c r="AR107" s="166" t="e">
        <f>RANK(AQ107, AQ$67:AQ$81)</f>
        <v>#N/A</v>
      </c>
      <c r="AS107" s="456" t="e">
        <f>AVERAGE(AQ107:AQ121)</f>
        <v>#DIV/0!</v>
      </c>
      <c r="AT107" s="166"/>
      <c r="AU107" s="166"/>
      <c r="AV107" s="166"/>
      <c r="AW107" s="182" t="e">
        <f>RANK(AV107, AV$67:AV$81)</f>
        <v>#N/A</v>
      </c>
      <c r="AX107" s="517" t="e">
        <f>AVERAGE(AV107:AV121)</f>
        <v>#DIV/0!</v>
      </c>
      <c r="AZ107" s="182" t="e">
        <f>RANK(AY107, AY$67:AY$81)</f>
        <v>#N/A</v>
      </c>
      <c r="BA107" s="517" t="e">
        <f>AVERAGE(AY107:AY121)</f>
        <v>#DIV/0!</v>
      </c>
    </row>
    <row r="108" spans="2:53">
      <c r="B108" s="454"/>
      <c r="C108" s="182">
        <v>2</v>
      </c>
      <c r="D108" s="203"/>
      <c r="E108" s="166"/>
      <c r="F108" s="182"/>
      <c r="G108" s="180"/>
      <c r="H108" s="464"/>
      <c r="I108" s="166" t="str">
        <f t="shared" si="77"/>
        <v>-</v>
      </c>
      <c r="J108" s="166" t="str">
        <f t="shared" si="78"/>
        <v>-</v>
      </c>
      <c r="K108" s="180" t="str">
        <f t="shared" si="79"/>
        <v>-</v>
      </c>
      <c r="L108" s="464"/>
      <c r="M108" s="166" t="e">
        <f>RANK(K108, K$67:$K$81)</f>
        <v>#VALUE!</v>
      </c>
      <c r="N108" s="461"/>
      <c r="O108" s="461"/>
      <c r="P108" s="182"/>
      <c r="Q108" s="166"/>
      <c r="R108" s="166"/>
      <c r="S108" s="166" t="e">
        <f t="shared" ref="S108:S121" si="80">RANK(R108, R$67:R$81)</f>
        <v>#N/A</v>
      </c>
      <c r="T108" s="456"/>
      <c r="U108" s="182"/>
      <c r="V108" s="166"/>
      <c r="W108" s="166"/>
      <c r="X108" s="166" t="e">
        <f t="shared" ref="X108:X121" si="81">RANK(W108, W$67:W$81)</f>
        <v>#N/A</v>
      </c>
      <c r="Y108" s="455"/>
      <c r="Z108" s="182"/>
      <c r="AA108" s="166"/>
      <c r="AB108" s="166"/>
      <c r="AC108" s="166" t="e">
        <f t="shared" ref="AC108:AC121" si="82">RANK(AB108, AB$67:AB$81)</f>
        <v>#N/A</v>
      </c>
      <c r="AD108" s="455"/>
      <c r="AE108" s="182"/>
      <c r="AF108" s="166"/>
      <c r="AG108" s="166"/>
      <c r="AH108" s="166" t="e">
        <f t="shared" ref="AH108:AH121" si="83">RANK(AG108, AG$67:AG$81)</f>
        <v>#N/A</v>
      </c>
      <c r="AI108" s="455"/>
      <c r="AJ108" s="182"/>
      <c r="AK108" s="166"/>
      <c r="AL108" s="166"/>
      <c r="AM108" s="166" t="e">
        <f t="shared" ref="AM108:AM121" si="84">RANK(AL108, AL$67:AL$81)</f>
        <v>#N/A</v>
      </c>
      <c r="AN108" s="455"/>
      <c r="AO108" s="182"/>
      <c r="AP108" s="166"/>
      <c r="AQ108" s="166"/>
      <c r="AR108" s="166" t="e">
        <f t="shared" ref="AR108:AR121" si="85">RANK(AQ108, AQ$67:AQ$81)</f>
        <v>#N/A</v>
      </c>
      <c r="AS108" s="456"/>
      <c r="AT108" s="166"/>
      <c r="AU108" s="166"/>
      <c r="AV108" s="166"/>
      <c r="AW108" s="182" t="e">
        <f t="shared" ref="AW108:AW121" si="86">RANK(AV108, AV$67:AV$81)</f>
        <v>#N/A</v>
      </c>
      <c r="AX108" s="517"/>
      <c r="AZ108" s="182" t="e">
        <f t="shared" ref="AZ108:AZ121" si="87">RANK(AY108, AY$67:AY$81)</f>
        <v>#N/A</v>
      </c>
      <c r="BA108" s="517"/>
    </row>
    <row r="109" spans="2:53">
      <c r="B109" s="454"/>
      <c r="C109" s="182">
        <v>3</v>
      </c>
      <c r="D109" s="203"/>
      <c r="E109" s="166"/>
      <c r="F109" s="182"/>
      <c r="G109" s="180"/>
      <c r="H109" s="464"/>
      <c r="I109" s="166" t="str">
        <f t="shared" si="77"/>
        <v>-</v>
      </c>
      <c r="J109" s="166" t="str">
        <f t="shared" si="78"/>
        <v>-</v>
      </c>
      <c r="K109" s="180" t="str">
        <f t="shared" si="79"/>
        <v>-</v>
      </c>
      <c r="L109" s="464"/>
      <c r="M109" s="166" t="e">
        <f>RANK(K109, K$67:$K$81)</f>
        <v>#VALUE!</v>
      </c>
      <c r="N109" s="461"/>
      <c r="O109" s="461"/>
      <c r="P109" s="182"/>
      <c r="Q109" s="166"/>
      <c r="R109" s="166"/>
      <c r="S109" s="166" t="e">
        <f t="shared" si="80"/>
        <v>#N/A</v>
      </c>
      <c r="T109" s="456"/>
      <c r="U109" s="182"/>
      <c r="V109" s="166"/>
      <c r="W109" s="166"/>
      <c r="X109" s="166" t="e">
        <f t="shared" si="81"/>
        <v>#N/A</v>
      </c>
      <c r="Y109" s="455"/>
      <c r="Z109" s="182"/>
      <c r="AA109" s="166"/>
      <c r="AB109" s="166"/>
      <c r="AC109" s="166" t="e">
        <f t="shared" si="82"/>
        <v>#N/A</v>
      </c>
      <c r="AD109" s="455"/>
      <c r="AE109" s="182"/>
      <c r="AF109" s="166"/>
      <c r="AG109" s="166"/>
      <c r="AH109" s="166" t="e">
        <f t="shared" si="83"/>
        <v>#N/A</v>
      </c>
      <c r="AI109" s="455"/>
      <c r="AJ109" s="182"/>
      <c r="AK109" s="166"/>
      <c r="AL109" s="166"/>
      <c r="AM109" s="166" t="e">
        <f t="shared" si="84"/>
        <v>#N/A</v>
      </c>
      <c r="AN109" s="455"/>
      <c r="AO109" s="182"/>
      <c r="AP109" s="166"/>
      <c r="AQ109" s="166"/>
      <c r="AR109" s="166" t="e">
        <f t="shared" si="85"/>
        <v>#N/A</v>
      </c>
      <c r="AS109" s="456"/>
      <c r="AT109" s="166"/>
      <c r="AU109" s="166"/>
      <c r="AV109" s="166"/>
      <c r="AW109" s="182" t="e">
        <f t="shared" si="86"/>
        <v>#N/A</v>
      </c>
      <c r="AX109" s="517"/>
      <c r="AZ109" s="182" t="e">
        <f t="shared" si="87"/>
        <v>#N/A</v>
      </c>
      <c r="BA109" s="517"/>
    </row>
    <row r="110" spans="2:53">
      <c r="B110" s="454"/>
      <c r="C110" s="182">
        <v>4</v>
      </c>
      <c r="D110" s="203"/>
      <c r="E110" s="166"/>
      <c r="F110" s="182"/>
      <c r="G110" s="180"/>
      <c r="H110" s="464"/>
      <c r="I110" s="166" t="str">
        <f t="shared" si="77"/>
        <v>-</v>
      </c>
      <c r="J110" s="166" t="str">
        <f t="shared" si="78"/>
        <v>-</v>
      </c>
      <c r="K110" s="180" t="str">
        <f t="shared" si="79"/>
        <v>-</v>
      </c>
      <c r="L110" s="464"/>
      <c r="M110" s="166" t="e">
        <f>RANK(K110, K$67:$K$81)</f>
        <v>#VALUE!</v>
      </c>
      <c r="N110" s="461"/>
      <c r="O110" s="461"/>
      <c r="P110" s="182"/>
      <c r="Q110" s="166"/>
      <c r="R110" s="166"/>
      <c r="S110" s="166" t="e">
        <f t="shared" si="80"/>
        <v>#N/A</v>
      </c>
      <c r="T110" s="456"/>
      <c r="U110" s="182"/>
      <c r="V110" s="166"/>
      <c r="W110" s="166"/>
      <c r="X110" s="166" t="e">
        <f t="shared" si="81"/>
        <v>#N/A</v>
      </c>
      <c r="Y110" s="455"/>
      <c r="Z110" s="182"/>
      <c r="AA110" s="166"/>
      <c r="AB110" s="166"/>
      <c r="AC110" s="166" t="e">
        <f t="shared" si="82"/>
        <v>#N/A</v>
      </c>
      <c r="AD110" s="455"/>
      <c r="AE110" s="182"/>
      <c r="AF110" s="166"/>
      <c r="AG110" s="166"/>
      <c r="AH110" s="166" t="e">
        <f t="shared" si="83"/>
        <v>#N/A</v>
      </c>
      <c r="AI110" s="455"/>
      <c r="AJ110" s="182"/>
      <c r="AK110" s="166"/>
      <c r="AL110" s="166"/>
      <c r="AM110" s="166" t="e">
        <f t="shared" si="84"/>
        <v>#N/A</v>
      </c>
      <c r="AN110" s="455"/>
      <c r="AO110" s="182"/>
      <c r="AP110" s="166"/>
      <c r="AQ110" s="166"/>
      <c r="AR110" s="166" t="e">
        <f t="shared" si="85"/>
        <v>#N/A</v>
      </c>
      <c r="AS110" s="456"/>
      <c r="AT110" s="166"/>
      <c r="AU110" s="166"/>
      <c r="AV110" s="166"/>
      <c r="AW110" s="182" t="e">
        <f t="shared" si="86"/>
        <v>#N/A</v>
      </c>
      <c r="AX110" s="517"/>
      <c r="AZ110" s="182" t="e">
        <f t="shared" si="87"/>
        <v>#N/A</v>
      </c>
      <c r="BA110" s="517"/>
    </row>
    <row r="111" spans="2:53">
      <c r="B111" s="454"/>
      <c r="C111" s="182">
        <v>5</v>
      </c>
      <c r="D111" s="203"/>
      <c r="E111" s="166"/>
      <c r="F111" s="182"/>
      <c r="G111" s="180"/>
      <c r="H111" s="464"/>
      <c r="I111" s="166" t="str">
        <f t="shared" si="77"/>
        <v>-</v>
      </c>
      <c r="J111" s="166" t="str">
        <f t="shared" si="78"/>
        <v>-</v>
      </c>
      <c r="K111" s="180" t="str">
        <f t="shared" si="79"/>
        <v>-</v>
      </c>
      <c r="L111" s="464"/>
      <c r="M111" s="166" t="e">
        <f>RANK(K111, K$67:$K$81)</f>
        <v>#VALUE!</v>
      </c>
      <c r="N111" s="461"/>
      <c r="O111" s="461"/>
      <c r="P111" s="182"/>
      <c r="Q111" s="166"/>
      <c r="R111" s="166"/>
      <c r="S111" s="166" t="e">
        <f t="shared" si="80"/>
        <v>#N/A</v>
      </c>
      <c r="T111" s="456"/>
      <c r="U111" s="182"/>
      <c r="V111" s="166"/>
      <c r="W111" s="166"/>
      <c r="X111" s="166" t="e">
        <f t="shared" si="81"/>
        <v>#N/A</v>
      </c>
      <c r="Y111" s="455"/>
      <c r="Z111" s="182"/>
      <c r="AA111" s="166"/>
      <c r="AB111" s="166"/>
      <c r="AC111" s="166" t="e">
        <f t="shared" si="82"/>
        <v>#N/A</v>
      </c>
      <c r="AD111" s="455"/>
      <c r="AE111" s="182"/>
      <c r="AF111" s="166"/>
      <c r="AG111" s="166"/>
      <c r="AH111" s="166" t="e">
        <f t="shared" si="83"/>
        <v>#N/A</v>
      </c>
      <c r="AI111" s="455"/>
      <c r="AJ111" s="182"/>
      <c r="AK111" s="166"/>
      <c r="AL111" s="166"/>
      <c r="AM111" s="166" t="e">
        <f t="shared" si="84"/>
        <v>#N/A</v>
      </c>
      <c r="AN111" s="455"/>
      <c r="AO111" s="182"/>
      <c r="AP111" s="166"/>
      <c r="AQ111" s="166"/>
      <c r="AR111" s="166" t="e">
        <f t="shared" si="85"/>
        <v>#N/A</v>
      </c>
      <c r="AS111" s="456"/>
      <c r="AT111" s="166"/>
      <c r="AU111" s="166"/>
      <c r="AV111" s="166"/>
      <c r="AW111" s="182" t="e">
        <f t="shared" si="86"/>
        <v>#N/A</v>
      </c>
      <c r="AX111" s="517"/>
      <c r="AZ111" s="182" t="e">
        <f t="shared" si="87"/>
        <v>#N/A</v>
      </c>
      <c r="BA111" s="517"/>
    </row>
    <row r="112" spans="2:53">
      <c r="B112" s="454"/>
      <c r="C112" s="182">
        <v>6</v>
      </c>
      <c r="D112" s="203"/>
      <c r="E112" s="166"/>
      <c r="F112" s="182"/>
      <c r="G112" s="180"/>
      <c r="H112" s="464"/>
      <c r="I112" s="166" t="str">
        <f t="shared" si="77"/>
        <v>-</v>
      </c>
      <c r="J112" s="166" t="str">
        <f t="shared" si="78"/>
        <v>-</v>
      </c>
      <c r="K112" s="180" t="str">
        <f t="shared" si="79"/>
        <v>-</v>
      </c>
      <c r="L112" s="464"/>
      <c r="M112" s="166" t="e">
        <f>RANK(K112, K$67:$K$81)</f>
        <v>#VALUE!</v>
      </c>
      <c r="N112" s="461"/>
      <c r="O112" s="461"/>
      <c r="P112" s="182"/>
      <c r="Q112" s="166"/>
      <c r="R112" s="166"/>
      <c r="S112" s="166" t="e">
        <f t="shared" si="80"/>
        <v>#N/A</v>
      </c>
      <c r="T112" s="456"/>
      <c r="U112" s="182"/>
      <c r="V112" s="166"/>
      <c r="W112" s="166"/>
      <c r="X112" s="166" t="e">
        <f t="shared" si="81"/>
        <v>#N/A</v>
      </c>
      <c r="Y112" s="455"/>
      <c r="Z112" s="182"/>
      <c r="AA112" s="166"/>
      <c r="AB112" s="166"/>
      <c r="AC112" s="166" t="e">
        <f t="shared" si="82"/>
        <v>#N/A</v>
      </c>
      <c r="AD112" s="455"/>
      <c r="AE112" s="182"/>
      <c r="AF112" s="166"/>
      <c r="AG112" s="166"/>
      <c r="AH112" s="166" t="e">
        <f t="shared" si="83"/>
        <v>#N/A</v>
      </c>
      <c r="AI112" s="455"/>
      <c r="AJ112" s="182"/>
      <c r="AK112" s="166"/>
      <c r="AL112" s="166"/>
      <c r="AM112" s="166" t="e">
        <f t="shared" si="84"/>
        <v>#N/A</v>
      </c>
      <c r="AN112" s="455"/>
      <c r="AO112" s="182"/>
      <c r="AP112" s="166"/>
      <c r="AQ112" s="166"/>
      <c r="AR112" s="166" t="e">
        <f t="shared" si="85"/>
        <v>#N/A</v>
      </c>
      <c r="AS112" s="456"/>
      <c r="AT112" s="166"/>
      <c r="AU112" s="166"/>
      <c r="AV112" s="166"/>
      <c r="AW112" s="182" t="e">
        <f t="shared" si="86"/>
        <v>#N/A</v>
      </c>
      <c r="AX112" s="517"/>
      <c r="AZ112" s="182" t="e">
        <f t="shared" si="87"/>
        <v>#N/A</v>
      </c>
      <c r="BA112" s="517"/>
    </row>
    <row r="113" spans="2:53">
      <c r="B113" s="454"/>
      <c r="C113" s="182">
        <v>7</v>
      </c>
      <c r="D113" s="203"/>
      <c r="E113" s="166"/>
      <c r="F113" s="182"/>
      <c r="G113" s="180"/>
      <c r="H113" s="464"/>
      <c r="I113" s="166" t="str">
        <f t="shared" si="77"/>
        <v>-</v>
      </c>
      <c r="J113" s="166" t="str">
        <f t="shared" si="78"/>
        <v>-</v>
      </c>
      <c r="K113" s="180" t="str">
        <f t="shared" si="79"/>
        <v>-</v>
      </c>
      <c r="L113" s="464"/>
      <c r="M113" s="166" t="e">
        <f>RANK(K113, K$67:$K$81)</f>
        <v>#VALUE!</v>
      </c>
      <c r="N113" s="461"/>
      <c r="O113" s="461"/>
      <c r="P113" s="182"/>
      <c r="Q113" s="166"/>
      <c r="R113" s="166"/>
      <c r="S113" s="166" t="e">
        <f t="shared" si="80"/>
        <v>#N/A</v>
      </c>
      <c r="T113" s="456"/>
      <c r="U113" s="182"/>
      <c r="V113" s="166"/>
      <c r="W113" s="166"/>
      <c r="X113" s="166" t="e">
        <f t="shared" si="81"/>
        <v>#N/A</v>
      </c>
      <c r="Y113" s="455"/>
      <c r="Z113" s="182"/>
      <c r="AA113" s="166"/>
      <c r="AB113" s="166"/>
      <c r="AC113" s="166" t="e">
        <f t="shared" si="82"/>
        <v>#N/A</v>
      </c>
      <c r="AD113" s="455"/>
      <c r="AE113" s="182"/>
      <c r="AF113" s="166"/>
      <c r="AG113" s="166"/>
      <c r="AH113" s="166" t="e">
        <f t="shared" si="83"/>
        <v>#N/A</v>
      </c>
      <c r="AI113" s="455"/>
      <c r="AJ113" s="182"/>
      <c r="AK113" s="166"/>
      <c r="AL113" s="166"/>
      <c r="AM113" s="166" t="e">
        <f t="shared" si="84"/>
        <v>#N/A</v>
      </c>
      <c r="AN113" s="455"/>
      <c r="AO113" s="182"/>
      <c r="AP113" s="166"/>
      <c r="AQ113" s="166"/>
      <c r="AR113" s="166" t="e">
        <f t="shared" si="85"/>
        <v>#N/A</v>
      </c>
      <c r="AS113" s="456"/>
      <c r="AT113" s="166"/>
      <c r="AU113" s="166"/>
      <c r="AV113" s="166"/>
      <c r="AW113" s="182" t="e">
        <f t="shared" si="86"/>
        <v>#N/A</v>
      </c>
      <c r="AX113" s="517"/>
      <c r="AZ113" s="182" t="e">
        <f t="shared" si="87"/>
        <v>#N/A</v>
      </c>
      <c r="BA113" s="517"/>
    </row>
    <row r="114" spans="2:53">
      <c r="B114" s="454"/>
      <c r="C114" s="182">
        <v>8</v>
      </c>
      <c r="D114" s="203"/>
      <c r="E114" s="166"/>
      <c r="F114" s="182"/>
      <c r="G114" s="180"/>
      <c r="H114" s="464"/>
      <c r="I114" s="166" t="str">
        <f t="shared" si="77"/>
        <v>-</v>
      </c>
      <c r="J114" s="166" t="str">
        <f t="shared" si="78"/>
        <v>-</v>
      </c>
      <c r="K114" s="180" t="str">
        <f t="shared" si="79"/>
        <v>-</v>
      </c>
      <c r="L114" s="464"/>
      <c r="M114" s="166" t="e">
        <f>RANK(K114, K$67:$K$81)</f>
        <v>#VALUE!</v>
      </c>
      <c r="N114" s="461"/>
      <c r="O114" s="461"/>
      <c r="P114" s="182"/>
      <c r="Q114" s="166"/>
      <c r="R114" s="166"/>
      <c r="S114" s="166" t="e">
        <f t="shared" si="80"/>
        <v>#N/A</v>
      </c>
      <c r="T114" s="456"/>
      <c r="U114" s="182"/>
      <c r="V114" s="166"/>
      <c r="W114" s="166"/>
      <c r="X114" s="166" t="e">
        <f t="shared" si="81"/>
        <v>#N/A</v>
      </c>
      <c r="Y114" s="455"/>
      <c r="Z114" s="182"/>
      <c r="AA114" s="166"/>
      <c r="AB114" s="166"/>
      <c r="AC114" s="166" t="e">
        <f t="shared" si="82"/>
        <v>#N/A</v>
      </c>
      <c r="AD114" s="455"/>
      <c r="AE114" s="182"/>
      <c r="AF114" s="166"/>
      <c r="AG114" s="166"/>
      <c r="AH114" s="166" t="e">
        <f t="shared" si="83"/>
        <v>#N/A</v>
      </c>
      <c r="AI114" s="455"/>
      <c r="AJ114" s="182"/>
      <c r="AK114" s="166"/>
      <c r="AL114" s="166"/>
      <c r="AM114" s="166" t="e">
        <f t="shared" si="84"/>
        <v>#N/A</v>
      </c>
      <c r="AN114" s="455"/>
      <c r="AO114" s="182"/>
      <c r="AP114" s="166"/>
      <c r="AQ114" s="166"/>
      <c r="AR114" s="166" t="e">
        <f t="shared" si="85"/>
        <v>#N/A</v>
      </c>
      <c r="AS114" s="456"/>
      <c r="AT114" s="166"/>
      <c r="AU114" s="166"/>
      <c r="AV114" s="166"/>
      <c r="AW114" s="182" t="e">
        <f t="shared" si="86"/>
        <v>#N/A</v>
      </c>
      <c r="AX114" s="517"/>
      <c r="AZ114" s="182" t="e">
        <f t="shared" si="87"/>
        <v>#N/A</v>
      </c>
      <c r="BA114" s="517"/>
    </row>
    <row r="115" spans="2:53">
      <c r="B115" s="454"/>
      <c r="C115" s="182">
        <v>9</v>
      </c>
      <c r="D115" s="203"/>
      <c r="E115" s="166"/>
      <c r="F115" s="182"/>
      <c r="G115" s="180"/>
      <c r="H115" s="464"/>
      <c r="I115" s="166" t="str">
        <f t="shared" si="77"/>
        <v>-</v>
      </c>
      <c r="J115" s="166" t="str">
        <f t="shared" si="78"/>
        <v>-</v>
      </c>
      <c r="K115" s="180" t="str">
        <f t="shared" si="79"/>
        <v>-</v>
      </c>
      <c r="L115" s="464"/>
      <c r="M115" s="166" t="e">
        <f>RANK(K115, K$67:$K$81)</f>
        <v>#VALUE!</v>
      </c>
      <c r="N115" s="461"/>
      <c r="O115" s="461"/>
      <c r="P115" s="182"/>
      <c r="Q115" s="166"/>
      <c r="R115" s="166"/>
      <c r="S115" s="166" t="e">
        <f t="shared" si="80"/>
        <v>#N/A</v>
      </c>
      <c r="T115" s="456"/>
      <c r="U115" s="182"/>
      <c r="V115" s="166"/>
      <c r="W115" s="166"/>
      <c r="X115" s="166" t="e">
        <f t="shared" si="81"/>
        <v>#N/A</v>
      </c>
      <c r="Y115" s="455"/>
      <c r="Z115" s="182"/>
      <c r="AA115" s="166"/>
      <c r="AB115" s="166"/>
      <c r="AC115" s="166" t="e">
        <f t="shared" si="82"/>
        <v>#N/A</v>
      </c>
      <c r="AD115" s="455"/>
      <c r="AE115" s="182"/>
      <c r="AF115" s="166"/>
      <c r="AG115" s="166"/>
      <c r="AH115" s="166" t="e">
        <f t="shared" si="83"/>
        <v>#N/A</v>
      </c>
      <c r="AI115" s="455"/>
      <c r="AJ115" s="182"/>
      <c r="AK115" s="166"/>
      <c r="AL115" s="166"/>
      <c r="AM115" s="166" t="e">
        <f t="shared" si="84"/>
        <v>#N/A</v>
      </c>
      <c r="AN115" s="455"/>
      <c r="AO115" s="182"/>
      <c r="AP115" s="166"/>
      <c r="AQ115" s="166"/>
      <c r="AR115" s="166" t="e">
        <f t="shared" si="85"/>
        <v>#N/A</v>
      </c>
      <c r="AS115" s="456"/>
      <c r="AT115" s="166"/>
      <c r="AU115" s="166"/>
      <c r="AV115" s="166"/>
      <c r="AW115" s="182" t="e">
        <f t="shared" si="86"/>
        <v>#N/A</v>
      </c>
      <c r="AX115" s="517"/>
      <c r="AZ115" s="182" t="e">
        <f t="shared" si="87"/>
        <v>#N/A</v>
      </c>
      <c r="BA115" s="517"/>
    </row>
    <row r="116" spans="2:53">
      <c r="B116" s="454"/>
      <c r="C116" s="182">
        <v>10</v>
      </c>
      <c r="D116" s="203"/>
      <c r="E116" s="166"/>
      <c r="F116" s="182"/>
      <c r="G116" s="180"/>
      <c r="H116" s="464"/>
      <c r="I116" s="166" t="str">
        <f t="shared" si="77"/>
        <v>-</v>
      </c>
      <c r="J116" s="166" t="str">
        <f t="shared" si="78"/>
        <v>-</v>
      </c>
      <c r="K116" s="180" t="str">
        <f t="shared" si="79"/>
        <v>-</v>
      </c>
      <c r="L116" s="464"/>
      <c r="M116" s="166" t="e">
        <f>RANK(K116, K$67:$K$81)</f>
        <v>#VALUE!</v>
      </c>
      <c r="N116" s="461"/>
      <c r="O116" s="461"/>
      <c r="P116" s="182"/>
      <c r="Q116" s="166"/>
      <c r="R116" s="166"/>
      <c r="S116" s="166" t="e">
        <f t="shared" si="80"/>
        <v>#N/A</v>
      </c>
      <c r="T116" s="456"/>
      <c r="U116" s="182"/>
      <c r="V116" s="166"/>
      <c r="W116" s="166"/>
      <c r="X116" s="166" t="e">
        <f t="shared" si="81"/>
        <v>#N/A</v>
      </c>
      <c r="Y116" s="455"/>
      <c r="Z116" s="182"/>
      <c r="AA116" s="166"/>
      <c r="AB116" s="166"/>
      <c r="AC116" s="166" t="e">
        <f t="shared" si="82"/>
        <v>#N/A</v>
      </c>
      <c r="AD116" s="455"/>
      <c r="AE116" s="182"/>
      <c r="AF116" s="166"/>
      <c r="AG116" s="166"/>
      <c r="AH116" s="166" t="e">
        <f t="shared" si="83"/>
        <v>#N/A</v>
      </c>
      <c r="AI116" s="455"/>
      <c r="AJ116" s="182"/>
      <c r="AK116" s="166"/>
      <c r="AL116" s="166"/>
      <c r="AM116" s="166" t="e">
        <f t="shared" si="84"/>
        <v>#N/A</v>
      </c>
      <c r="AN116" s="455"/>
      <c r="AO116" s="182"/>
      <c r="AP116" s="166"/>
      <c r="AQ116" s="166"/>
      <c r="AR116" s="166" t="e">
        <f t="shared" si="85"/>
        <v>#N/A</v>
      </c>
      <c r="AS116" s="456"/>
      <c r="AT116" s="166"/>
      <c r="AU116" s="166"/>
      <c r="AV116" s="166"/>
      <c r="AW116" s="182" t="e">
        <f t="shared" si="86"/>
        <v>#N/A</v>
      </c>
      <c r="AX116" s="517"/>
      <c r="AZ116" s="182" t="e">
        <f t="shared" si="87"/>
        <v>#N/A</v>
      </c>
      <c r="BA116" s="517"/>
    </row>
    <row r="117" spans="2:53">
      <c r="B117" s="454"/>
      <c r="C117" s="182">
        <v>11</v>
      </c>
      <c r="D117" s="203"/>
      <c r="E117" s="166"/>
      <c r="F117" s="182"/>
      <c r="G117" s="180"/>
      <c r="H117" s="464"/>
      <c r="I117" s="166" t="str">
        <f t="shared" si="77"/>
        <v>-</v>
      </c>
      <c r="J117" s="166" t="str">
        <f t="shared" si="78"/>
        <v>-</v>
      </c>
      <c r="K117" s="180" t="str">
        <f t="shared" si="79"/>
        <v>-</v>
      </c>
      <c r="L117" s="464"/>
      <c r="M117" s="166" t="e">
        <f>RANK(K117, K$67:$K$81)</f>
        <v>#VALUE!</v>
      </c>
      <c r="N117" s="461"/>
      <c r="O117" s="461"/>
      <c r="P117" s="182"/>
      <c r="Q117" s="166"/>
      <c r="R117" s="166"/>
      <c r="S117" s="166" t="e">
        <f t="shared" si="80"/>
        <v>#N/A</v>
      </c>
      <c r="T117" s="456"/>
      <c r="U117" s="182"/>
      <c r="V117" s="166"/>
      <c r="W117" s="166"/>
      <c r="X117" s="166" t="e">
        <f t="shared" si="81"/>
        <v>#N/A</v>
      </c>
      <c r="Y117" s="455"/>
      <c r="Z117" s="182"/>
      <c r="AA117" s="166"/>
      <c r="AB117" s="166"/>
      <c r="AC117" s="166" t="e">
        <f t="shared" si="82"/>
        <v>#N/A</v>
      </c>
      <c r="AD117" s="455"/>
      <c r="AE117" s="182"/>
      <c r="AF117" s="166"/>
      <c r="AG117" s="166"/>
      <c r="AH117" s="166" t="e">
        <f t="shared" si="83"/>
        <v>#N/A</v>
      </c>
      <c r="AI117" s="455"/>
      <c r="AJ117" s="182"/>
      <c r="AK117" s="166"/>
      <c r="AL117" s="166"/>
      <c r="AM117" s="166" t="e">
        <f t="shared" si="84"/>
        <v>#N/A</v>
      </c>
      <c r="AN117" s="455"/>
      <c r="AO117" s="182"/>
      <c r="AP117" s="166"/>
      <c r="AQ117" s="166"/>
      <c r="AR117" s="166" t="e">
        <f t="shared" si="85"/>
        <v>#N/A</v>
      </c>
      <c r="AS117" s="456"/>
      <c r="AT117" s="166"/>
      <c r="AU117" s="166"/>
      <c r="AV117" s="166"/>
      <c r="AW117" s="182" t="e">
        <f t="shared" si="86"/>
        <v>#N/A</v>
      </c>
      <c r="AX117" s="517"/>
      <c r="AZ117" s="182" t="e">
        <f t="shared" si="87"/>
        <v>#N/A</v>
      </c>
      <c r="BA117" s="517"/>
    </row>
    <row r="118" spans="2:53">
      <c r="B118" s="454"/>
      <c r="C118" s="182">
        <v>12</v>
      </c>
      <c r="D118" s="203"/>
      <c r="E118" s="166"/>
      <c r="F118" s="182"/>
      <c r="G118" s="180"/>
      <c r="H118" s="464"/>
      <c r="I118" s="166" t="str">
        <f t="shared" si="77"/>
        <v>-</v>
      </c>
      <c r="J118" s="166" t="str">
        <f t="shared" si="78"/>
        <v>-</v>
      </c>
      <c r="K118" s="180" t="str">
        <f t="shared" si="79"/>
        <v>-</v>
      </c>
      <c r="L118" s="464"/>
      <c r="M118" s="166" t="e">
        <f>RANK(K118, K$67:$K$81)</f>
        <v>#VALUE!</v>
      </c>
      <c r="N118" s="461"/>
      <c r="O118" s="461"/>
      <c r="P118" s="182"/>
      <c r="Q118" s="166"/>
      <c r="R118" s="166"/>
      <c r="S118" s="166" t="e">
        <f t="shared" si="80"/>
        <v>#N/A</v>
      </c>
      <c r="T118" s="456"/>
      <c r="U118" s="182"/>
      <c r="V118" s="166"/>
      <c r="W118" s="166"/>
      <c r="X118" s="166" t="e">
        <f t="shared" si="81"/>
        <v>#N/A</v>
      </c>
      <c r="Y118" s="455"/>
      <c r="Z118" s="182"/>
      <c r="AA118" s="166"/>
      <c r="AB118" s="166"/>
      <c r="AC118" s="166" t="e">
        <f t="shared" si="82"/>
        <v>#N/A</v>
      </c>
      <c r="AD118" s="455"/>
      <c r="AE118" s="182"/>
      <c r="AF118" s="166"/>
      <c r="AG118" s="166"/>
      <c r="AH118" s="166" t="e">
        <f t="shared" si="83"/>
        <v>#N/A</v>
      </c>
      <c r="AI118" s="455"/>
      <c r="AJ118" s="182"/>
      <c r="AK118" s="166"/>
      <c r="AL118" s="166"/>
      <c r="AM118" s="166" t="e">
        <f t="shared" si="84"/>
        <v>#N/A</v>
      </c>
      <c r="AN118" s="455"/>
      <c r="AO118" s="182"/>
      <c r="AP118" s="166"/>
      <c r="AQ118" s="166"/>
      <c r="AR118" s="166" t="e">
        <f t="shared" si="85"/>
        <v>#N/A</v>
      </c>
      <c r="AS118" s="456"/>
      <c r="AT118" s="166"/>
      <c r="AU118" s="166"/>
      <c r="AV118" s="166"/>
      <c r="AW118" s="182" t="e">
        <f t="shared" si="86"/>
        <v>#N/A</v>
      </c>
      <c r="AX118" s="517"/>
      <c r="AZ118" s="182" t="e">
        <f t="shared" si="87"/>
        <v>#N/A</v>
      </c>
      <c r="BA118" s="517"/>
    </row>
    <row r="119" spans="2:53">
      <c r="B119" s="454"/>
      <c r="C119" s="182">
        <v>13</v>
      </c>
      <c r="D119" s="203"/>
      <c r="E119" s="166"/>
      <c r="F119" s="182"/>
      <c r="G119" s="180"/>
      <c r="H119" s="464"/>
      <c r="I119" s="166" t="str">
        <f t="shared" si="77"/>
        <v>-</v>
      </c>
      <c r="J119" s="166" t="str">
        <f t="shared" si="78"/>
        <v>-</v>
      </c>
      <c r="K119" s="180" t="str">
        <f t="shared" si="79"/>
        <v>-</v>
      </c>
      <c r="L119" s="464"/>
      <c r="M119" s="166" t="e">
        <f>RANK(K119, K$67:$K$81)</f>
        <v>#VALUE!</v>
      </c>
      <c r="N119" s="461"/>
      <c r="O119" s="461"/>
      <c r="P119" s="182"/>
      <c r="Q119" s="166"/>
      <c r="R119" s="166"/>
      <c r="S119" s="166" t="e">
        <f t="shared" si="80"/>
        <v>#N/A</v>
      </c>
      <c r="T119" s="456"/>
      <c r="U119" s="182"/>
      <c r="V119" s="166"/>
      <c r="W119" s="166"/>
      <c r="X119" s="166" t="e">
        <f t="shared" si="81"/>
        <v>#N/A</v>
      </c>
      <c r="Y119" s="455"/>
      <c r="Z119" s="182"/>
      <c r="AA119" s="166"/>
      <c r="AB119" s="166"/>
      <c r="AC119" s="180" t="e">
        <f t="shared" si="82"/>
        <v>#N/A</v>
      </c>
      <c r="AD119" s="455"/>
      <c r="AE119" s="182"/>
      <c r="AF119" s="166"/>
      <c r="AG119" s="166"/>
      <c r="AH119" s="166" t="e">
        <f t="shared" si="83"/>
        <v>#N/A</v>
      </c>
      <c r="AI119" s="455"/>
      <c r="AJ119" s="182"/>
      <c r="AK119" s="166"/>
      <c r="AL119" s="166"/>
      <c r="AM119" s="166" t="e">
        <f t="shared" si="84"/>
        <v>#N/A</v>
      </c>
      <c r="AN119" s="455"/>
      <c r="AO119" s="182"/>
      <c r="AP119" s="166"/>
      <c r="AQ119" s="166"/>
      <c r="AR119" s="180" t="e">
        <f t="shared" si="85"/>
        <v>#N/A</v>
      </c>
      <c r="AS119" s="456"/>
      <c r="AT119" s="166"/>
      <c r="AU119" s="166"/>
      <c r="AV119" s="166"/>
      <c r="AW119" s="182" t="e">
        <f t="shared" si="86"/>
        <v>#N/A</v>
      </c>
      <c r="AX119" s="517"/>
      <c r="AZ119" s="182" t="e">
        <f t="shared" si="87"/>
        <v>#N/A</v>
      </c>
      <c r="BA119" s="517"/>
    </row>
    <row r="120" spans="2:53">
      <c r="B120" s="454"/>
      <c r="C120" s="182">
        <v>14</v>
      </c>
      <c r="D120" s="203"/>
      <c r="E120" s="166"/>
      <c r="F120" s="182"/>
      <c r="G120" s="180"/>
      <c r="H120" s="464"/>
      <c r="I120" s="166" t="str">
        <f t="shared" si="77"/>
        <v>-</v>
      </c>
      <c r="J120" s="166" t="str">
        <f t="shared" si="78"/>
        <v>-</v>
      </c>
      <c r="K120" s="180" t="str">
        <f t="shared" si="79"/>
        <v>-</v>
      </c>
      <c r="L120" s="464"/>
      <c r="M120" s="166" t="e">
        <f>RANK(K120, K$67:$K$81)</f>
        <v>#VALUE!</v>
      </c>
      <c r="N120" s="461"/>
      <c r="O120" s="461"/>
      <c r="P120" s="182"/>
      <c r="Q120" s="166"/>
      <c r="R120" s="166"/>
      <c r="S120" s="166" t="e">
        <f t="shared" si="80"/>
        <v>#N/A</v>
      </c>
      <c r="T120" s="456"/>
      <c r="U120" s="182"/>
      <c r="V120" s="166"/>
      <c r="W120" s="166"/>
      <c r="X120" s="166" t="e">
        <f t="shared" si="81"/>
        <v>#N/A</v>
      </c>
      <c r="Y120" s="455"/>
      <c r="Z120" s="182"/>
      <c r="AA120" s="166"/>
      <c r="AB120" s="166"/>
      <c r="AC120" s="180" t="e">
        <f t="shared" si="82"/>
        <v>#N/A</v>
      </c>
      <c r="AD120" s="455"/>
      <c r="AE120" s="182"/>
      <c r="AF120" s="166"/>
      <c r="AG120" s="166"/>
      <c r="AH120" s="180" t="e">
        <f t="shared" si="83"/>
        <v>#N/A</v>
      </c>
      <c r="AI120" s="455"/>
      <c r="AJ120" s="182"/>
      <c r="AK120" s="166"/>
      <c r="AL120" s="166"/>
      <c r="AM120" s="180" t="e">
        <f t="shared" si="84"/>
        <v>#N/A</v>
      </c>
      <c r="AN120" s="455"/>
      <c r="AO120" s="182"/>
      <c r="AP120" s="166"/>
      <c r="AQ120" s="166"/>
      <c r="AR120" s="180" t="e">
        <f t="shared" si="85"/>
        <v>#N/A</v>
      </c>
      <c r="AS120" s="456"/>
      <c r="AT120" s="166"/>
      <c r="AU120" s="166"/>
      <c r="AV120" s="166"/>
      <c r="AW120" s="182" t="e">
        <f t="shared" si="86"/>
        <v>#N/A</v>
      </c>
      <c r="AX120" s="517"/>
      <c r="AZ120" s="182" t="e">
        <f t="shared" si="87"/>
        <v>#N/A</v>
      </c>
      <c r="BA120" s="517"/>
    </row>
    <row r="121" spans="2:53">
      <c r="B121" s="454"/>
      <c r="C121" s="182">
        <v>15</v>
      </c>
      <c r="D121" s="203"/>
      <c r="E121" s="166"/>
      <c r="F121" s="182"/>
      <c r="G121" s="180"/>
      <c r="H121" s="465"/>
      <c r="I121" s="182"/>
      <c r="J121" s="182"/>
      <c r="K121" s="182"/>
      <c r="L121" s="465"/>
      <c r="M121" s="166" t="e">
        <f>RANK(K121, K$67:$K$81)</f>
        <v>#N/A</v>
      </c>
      <c r="N121" s="461"/>
      <c r="O121" s="461"/>
      <c r="P121" s="182"/>
      <c r="Q121" s="166"/>
      <c r="R121" s="166"/>
      <c r="S121" s="166" t="e">
        <f t="shared" si="80"/>
        <v>#N/A</v>
      </c>
      <c r="T121" s="456"/>
      <c r="U121" s="182"/>
      <c r="V121" s="166"/>
      <c r="W121" s="166"/>
      <c r="X121" s="180" t="e">
        <f t="shared" si="81"/>
        <v>#N/A</v>
      </c>
      <c r="Y121" s="455"/>
      <c r="Z121" s="182"/>
      <c r="AA121" s="166"/>
      <c r="AB121" s="166"/>
      <c r="AC121" s="180" t="e">
        <f t="shared" si="82"/>
        <v>#N/A</v>
      </c>
      <c r="AD121" s="455"/>
      <c r="AE121" s="182"/>
      <c r="AF121" s="166"/>
      <c r="AG121" s="166"/>
      <c r="AH121" s="180" t="e">
        <f t="shared" si="83"/>
        <v>#N/A</v>
      </c>
      <c r="AI121" s="455"/>
      <c r="AJ121" s="182"/>
      <c r="AK121" s="166"/>
      <c r="AL121" s="166"/>
      <c r="AM121" s="180" t="e">
        <f t="shared" si="84"/>
        <v>#N/A</v>
      </c>
      <c r="AN121" s="455"/>
      <c r="AO121" s="182"/>
      <c r="AP121" s="166"/>
      <c r="AQ121" s="166"/>
      <c r="AR121" s="180" t="e">
        <f t="shared" si="85"/>
        <v>#N/A</v>
      </c>
      <c r="AS121" s="456"/>
      <c r="AT121" s="166"/>
      <c r="AU121" s="166"/>
      <c r="AV121" s="166"/>
      <c r="AW121" s="182" t="e">
        <f t="shared" si="86"/>
        <v>#N/A</v>
      </c>
      <c r="AX121" s="517"/>
      <c r="AZ121" s="182" t="e">
        <f t="shared" si="87"/>
        <v>#N/A</v>
      </c>
      <c r="BA121" s="517"/>
    </row>
    <row r="123" spans="2:53" ht="15.5">
      <c r="B123" s="458" t="s">
        <v>574</v>
      </c>
      <c r="C123" s="459"/>
      <c r="D123" s="459"/>
      <c r="E123" s="459"/>
      <c r="F123" s="459"/>
      <c r="G123" s="459"/>
      <c r="H123" s="459"/>
      <c r="I123" s="285"/>
      <c r="J123" s="285"/>
      <c r="K123" s="285"/>
      <c r="L123" s="285"/>
      <c r="M123" s="286"/>
    </row>
    <row r="124" spans="2:53" ht="15.5">
      <c r="B124" s="460"/>
      <c r="C124" s="460"/>
      <c r="D124" s="460"/>
      <c r="E124" s="460"/>
      <c r="F124" s="460"/>
      <c r="G124" s="460"/>
      <c r="H124" s="460"/>
      <c r="I124" s="287"/>
      <c r="J124" s="287"/>
      <c r="K124" s="287"/>
      <c r="L124" s="287"/>
      <c r="M124" s="288"/>
    </row>
    <row r="125" spans="2:53">
      <c r="B125" s="461" t="s">
        <v>154</v>
      </c>
      <c r="C125" s="461" t="s">
        <v>409</v>
      </c>
      <c r="D125" s="461"/>
      <c r="E125" s="461" t="s">
        <v>400</v>
      </c>
      <c r="F125" s="461"/>
      <c r="G125" s="461"/>
      <c r="H125" s="482" t="s">
        <v>396</v>
      </c>
      <c r="I125" s="462" t="s">
        <v>401</v>
      </c>
      <c r="J125" s="462"/>
      <c r="K125" s="462"/>
      <c r="L125" s="505" t="s">
        <v>396</v>
      </c>
      <c r="M125" s="508" t="s">
        <v>397</v>
      </c>
    </row>
    <row r="126" spans="2:53">
      <c r="B126" s="461"/>
      <c r="C126" s="461"/>
      <c r="D126" s="461"/>
      <c r="E126" s="461" t="s">
        <v>403</v>
      </c>
      <c r="F126" s="461"/>
      <c r="G126" s="461"/>
      <c r="H126" s="483"/>
      <c r="I126" s="462" t="s">
        <v>403</v>
      </c>
      <c r="J126" s="462"/>
      <c r="K126" s="462"/>
      <c r="L126" s="506"/>
      <c r="M126" s="509"/>
    </row>
    <row r="127" spans="2:53">
      <c r="B127" s="461"/>
      <c r="C127" s="461"/>
      <c r="D127" s="461"/>
      <c r="E127" s="269" t="s">
        <v>405</v>
      </c>
      <c r="F127" s="269" t="s">
        <v>406</v>
      </c>
      <c r="G127" s="269" t="s">
        <v>407</v>
      </c>
      <c r="H127" s="484"/>
      <c r="I127" s="289" t="s">
        <v>405</v>
      </c>
      <c r="J127" s="289" t="s">
        <v>406</v>
      </c>
      <c r="K127" s="289" t="s">
        <v>407</v>
      </c>
      <c r="L127" s="507"/>
      <c r="M127" s="510"/>
    </row>
    <row r="128" spans="2:53">
      <c r="B128" s="461" t="s">
        <v>411</v>
      </c>
      <c r="C128" s="182">
        <v>1</v>
      </c>
      <c r="D128" s="203"/>
      <c r="E128" s="166"/>
      <c r="F128" s="182"/>
      <c r="G128" s="180"/>
      <c r="H128" s="463" t="e">
        <f>AVERAGE(G128:G142)</f>
        <v>#DIV/0!</v>
      </c>
      <c r="I128" s="166" t="e">
        <f t="shared" ref="I128:J137" si="88">AVERAGEIF($D$7:$D$121,$D128,I$7:I$121)</f>
        <v>#DIV/0!</v>
      </c>
      <c r="J128" s="166" t="e">
        <f t="shared" si="88"/>
        <v>#DIV/0!</v>
      </c>
      <c r="K128" s="166" t="e">
        <f t="shared" ref="K128:K137" si="89">AVERAGEIF($D$7:$D$121,$D128,K$7:K$121)</f>
        <v>#DIV/0!</v>
      </c>
      <c r="L128" s="502" t="e">
        <f>AVERAGE(K128:K142)</f>
        <v>#DIV/0!</v>
      </c>
      <c r="M128" s="166" t="e">
        <f>RANK(K128, K$128:$K$142)</f>
        <v>#DIV/0!</v>
      </c>
    </row>
    <row r="129" spans="2:39">
      <c r="B129" s="454"/>
      <c r="C129" s="182">
        <v>2</v>
      </c>
      <c r="D129" s="203"/>
      <c r="E129" s="166"/>
      <c r="F129" s="182"/>
      <c r="G129" s="180"/>
      <c r="H129" s="464"/>
      <c r="I129" s="166" t="e">
        <f t="shared" si="88"/>
        <v>#DIV/0!</v>
      </c>
      <c r="J129" s="166" t="e">
        <f t="shared" si="88"/>
        <v>#DIV/0!</v>
      </c>
      <c r="K129" s="166" t="e">
        <f t="shared" si="89"/>
        <v>#DIV/0!</v>
      </c>
      <c r="L129" s="503"/>
      <c r="M129" s="166" t="e">
        <f>RANK(K129, K$128:$K$142)</f>
        <v>#DIV/0!</v>
      </c>
      <c r="N129" s="103"/>
      <c r="O129" s="103"/>
      <c r="P129" s="103"/>
      <c r="Q129" s="103"/>
      <c r="R129" s="103"/>
      <c r="S129" s="103"/>
      <c r="T129" s="103"/>
      <c r="X129" s="103"/>
      <c r="AC129" s="103"/>
      <c r="AH129" s="103"/>
      <c r="AM129" s="103"/>
    </row>
    <row r="130" spans="2:39">
      <c r="B130" s="454"/>
      <c r="C130" s="182">
        <v>3</v>
      </c>
      <c r="D130" s="203"/>
      <c r="E130" s="166"/>
      <c r="F130" s="182"/>
      <c r="G130" s="180"/>
      <c r="H130" s="464"/>
      <c r="I130" s="166" t="e">
        <f t="shared" si="88"/>
        <v>#DIV/0!</v>
      </c>
      <c r="J130" s="166" t="e">
        <f t="shared" si="88"/>
        <v>#DIV/0!</v>
      </c>
      <c r="K130" s="166" t="e">
        <f t="shared" si="89"/>
        <v>#DIV/0!</v>
      </c>
      <c r="L130" s="503"/>
      <c r="M130" s="166" t="e">
        <f>RANK(K130, K$128:$K$142)</f>
        <v>#DIV/0!</v>
      </c>
      <c r="N130" s="103"/>
      <c r="O130" s="103"/>
      <c r="P130" s="103"/>
      <c r="Q130" s="103"/>
      <c r="R130" s="103"/>
      <c r="S130" s="103"/>
      <c r="T130" s="103"/>
      <c r="X130" s="103"/>
      <c r="AC130" s="103"/>
      <c r="AH130" s="103"/>
      <c r="AM130" s="103"/>
    </row>
    <row r="131" spans="2:39">
      <c r="B131" s="454"/>
      <c r="C131" s="182">
        <v>4</v>
      </c>
      <c r="D131" s="203"/>
      <c r="E131" s="166"/>
      <c r="F131" s="182"/>
      <c r="G131" s="180"/>
      <c r="H131" s="464"/>
      <c r="I131" s="166" t="e">
        <f t="shared" si="88"/>
        <v>#DIV/0!</v>
      </c>
      <c r="J131" s="166" t="e">
        <f t="shared" si="88"/>
        <v>#DIV/0!</v>
      </c>
      <c r="K131" s="166" t="e">
        <f t="shared" si="89"/>
        <v>#DIV/0!</v>
      </c>
      <c r="L131" s="503"/>
      <c r="M131" s="166" t="e">
        <f>RANK(K131, K$128:$K$142)</f>
        <v>#DIV/0!</v>
      </c>
      <c r="N131" s="103"/>
      <c r="O131" s="103"/>
      <c r="P131" s="103"/>
      <c r="Q131" s="103"/>
      <c r="R131" s="103"/>
      <c r="S131" s="103"/>
      <c r="T131" s="103"/>
      <c r="X131" s="103"/>
      <c r="AC131" s="103"/>
      <c r="AH131" s="103"/>
      <c r="AM131" s="103"/>
    </row>
    <row r="132" spans="2:39">
      <c r="B132" s="454"/>
      <c r="C132" s="182">
        <v>5</v>
      </c>
      <c r="D132" s="203"/>
      <c r="E132" s="166"/>
      <c r="F132" s="182"/>
      <c r="G132" s="180"/>
      <c r="H132" s="464"/>
      <c r="I132" s="166" t="e">
        <f t="shared" si="88"/>
        <v>#DIV/0!</v>
      </c>
      <c r="J132" s="166" t="e">
        <f t="shared" si="88"/>
        <v>#DIV/0!</v>
      </c>
      <c r="K132" s="166" t="e">
        <f t="shared" si="89"/>
        <v>#DIV/0!</v>
      </c>
      <c r="L132" s="503"/>
      <c r="M132" s="166" t="e">
        <f>RANK(K132, K$128:$K$142)</f>
        <v>#DIV/0!</v>
      </c>
      <c r="N132" s="103"/>
      <c r="O132" s="103"/>
      <c r="P132" s="103"/>
      <c r="Q132" s="103"/>
      <c r="R132" s="103"/>
      <c r="S132" s="103"/>
      <c r="T132" s="103"/>
      <c r="X132" s="103"/>
      <c r="AC132" s="103"/>
      <c r="AH132" s="103"/>
      <c r="AM132" s="103"/>
    </row>
    <row r="133" spans="2:39">
      <c r="B133" s="454"/>
      <c r="C133" s="182">
        <v>6</v>
      </c>
      <c r="D133" s="290"/>
      <c r="E133" s="166"/>
      <c r="F133" s="182"/>
      <c r="G133" s="180"/>
      <c r="H133" s="464"/>
      <c r="I133" s="166" t="e">
        <f t="shared" si="88"/>
        <v>#DIV/0!</v>
      </c>
      <c r="J133" s="166" t="e">
        <f t="shared" si="88"/>
        <v>#DIV/0!</v>
      </c>
      <c r="K133" s="166" t="e">
        <f t="shared" si="89"/>
        <v>#DIV/0!</v>
      </c>
      <c r="L133" s="503"/>
      <c r="M133" s="166" t="e">
        <f>RANK(K133, K$128:$K$142)</f>
        <v>#DIV/0!</v>
      </c>
      <c r="N133" s="103"/>
      <c r="O133" s="103"/>
      <c r="P133" s="103"/>
      <c r="Q133" s="103"/>
      <c r="R133" s="103"/>
      <c r="S133" s="103"/>
      <c r="T133" s="103"/>
      <c r="X133" s="103"/>
      <c r="AC133" s="103"/>
      <c r="AH133" s="103"/>
      <c r="AM133" s="103"/>
    </row>
    <row r="134" spans="2:39">
      <c r="B134" s="454"/>
      <c r="C134" s="182">
        <v>7</v>
      </c>
      <c r="D134" s="203"/>
      <c r="E134" s="166"/>
      <c r="F134" s="182"/>
      <c r="G134" s="180"/>
      <c r="H134" s="464"/>
      <c r="I134" s="166" t="e">
        <f t="shared" si="88"/>
        <v>#DIV/0!</v>
      </c>
      <c r="J134" s="166" t="e">
        <f t="shared" si="88"/>
        <v>#DIV/0!</v>
      </c>
      <c r="K134" s="166" t="e">
        <f t="shared" si="89"/>
        <v>#DIV/0!</v>
      </c>
      <c r="L134" s="503"/>
      <c r="M134" s="166" t="e">
        <f>RANK(K134, K$128:$K$142)</f>
        <v>#DIV/0!</v>
      </c>
      <c r="N134" s="103"/>
      <c r="O134" s="103"/>
      <c r="P134" s="103"/>
      <c r="Q134" s="103"/>
      <c r="R134" s="103"/>
      <c r="S134" s="103"/>
      <c r="T134" s="103"/>
      <c r="X134" s="103"/>
      <c r="AC134" s="103"/>
      <c r="AH134" s="103"/>
      <c r="AM134" s="103"/>
    </row>
    <row r="135" spans="2:39">
      <c r="B135" s="454"/>
      <c r="C135" s="182">
        <v>8</v>
      </c>
      <c r="D135" s="203"/>
      <c r="E135" s="166"/>
      <c r="F135" s="182"/>
      <c r="G135" s="180"/>
      <c r="H135" s="464"/>
      <c r="I135" s="166" t="e">
        <f t="shared" si="88"/>
        <v>#DIV/0!</v>
      </c>
      <c r="J135" s="166" t="e">
        <f t="shared" si="88"/>
        <v>#DIV/0!</v>
      </c>
      <c r="K135" s="166" t="e">
        <f t="shared" si="89"/>
        <v>#DIV/0!</v>
      </c>
      <c r="L135" s="503"/>
      <c r="M135" s="166" t="e">
        <f>RANK(K135, K$128:$K$142)</f>
        <v>#DIV/0!</v>
      </c>
      <c r="N135" s="103"/>
      <c r="O135" s="103"/>
      <c r="P135" s="103"/>
      <c r="Q135" s="103"/>
      <c r="R135" s="103"/>
      <c r="S135" s="103"/>
      <c r="T135" s="103"/>
      <c r="X135" s="103"/>
      <c r="AC135" s="103"/>
      <c r="AH135" s="103"/>
      <c r="AM135" s="103"/>
    </row>
    <row r="136" spans="2:39">
      <c r="B136" s="454"/>
      <c r="C136" s="182">
        <v>9</v>
      </c>
      <c r="D136" s="203"/>
      <c r="E136" s="182"/>
      <c r="F136" s="182"/>
      <c r="G136" s="182"/>
      <c r="H136" s="464"/>
      <c r="I136" s="166" t="e">
        <f t="shared" si="88"/>
        <v>#DIV/0!</v>
      </c>
      <c r="J136" s="166" t="e">
        <f t="shared" si="88"/>
        <v>#DIV/0!</v>
      </c>
      <c r="K136" s="166" t="e">
        <f t="shared" si="89"/>
        <v>#DIV/0!</v>
      </c>
      <c r="L136" s="503"/>
      <c r="M136" s="166" t="e">
        <f>RANK(K136, K$128:$K$142)</f>
        <v>#DIV/0!</v>
      </c>
      <c r="N136" s="103"/>
      <c r="O136" s="103"/>
      <c r="P136" s="103"/>
      <c r="Q136" s="103"/>
      <c r="R136" s="103"/>
      <c r="S136" s="103"/>
      <c r="T136" s="103"/>
      <c r="X136" s="103"/>
      <c r="AC136" s="103"/>
      <c r="AH136" s="103"/>
      <c r="AM136" s="103"/>
    </row>
    <row r="137" spans="2:39">
      <c r="B137" s="454"/>
      <c r="C137" s="182">
        <v>10</v>
      </c>
      <c r="D137" s="203"/>
      <c r="E137" s="182"/>
      <c r="F137" s="182"/>
      <c r="G137" s="182"/>
      <c r="H137" s="464"/>
      <c r="I137" s="166" t="e">
        <f t="shared" si="88"/>
        <v>#DIV/0!</v>
      </c>
      <c r="J137" s="166" t="e">
        <f t="shared" si="88"/>
        <v>#DIV/0!</v>
      </c>
      <c r="K137" s="166" t="e">
        <f t="shared" si="89"/>
        <v>#DIV/0!</v>
      </c>
      <c r="L137" s="503"/>
      <c r="M137" s="166" t="e">
        <f>RANK(K137, K$128:$K$142)</f>
        <v>#DIV/0!</v>
      </c>
      <c r="N137" s="103"/>
      <c r="O137" s="103"/>
      <c r="P137" s="103"/>
      <c r="Q137" s="103"/>
      <c r="R137" s="103"/>
      <c r="S137" s="103"/>
      <c r="T137" s="103"/>
      <c r="X137" s="103"/>
      <c r="AC137" s="103"/>
      <c r="AH137" s="103"/>
      <c r="AM137" s="103"/>
    </row>
    <row r="138" spans="2:39">
      <c r="B138" s="454"/>
      <c r="C138" s="182">
        <v>11</v>
      </c>
      <c r="D138" s="203"/>
      <c r="E138" s="182"/>
      <c r="F138" s="182"/>
      <c r="G138" s="182"/>
      <c r="H138" s="464"/>
      <c r="I138" s="166"/>
      <c r="J138" s="166"/>
      <c r="K138" s="166"/>
      <c r="L138" s="503"/>
      <c r="M138" s="166" t="e">
        <f>RANK(K138, K$128:$K$142)</f>
        <v>#DIV/0!</v>
      </c>
      <c r="N138" s="103"/>
      <c r="O138" s="103"/>
      <c r="P138" s="103"/>
      <c r="Q138" s="103"/>
      <c r="R138" s="103"/>
      <c r="S138" s="103"/>
      <c r="T138" s="103"/>
      <c r="X138" s="103"/>
      <c r="AC138" s="103"/>
      <c r="AH138" s="103"/>
      <c r="AM138" s="103"/>
    </row>
    <row r="139" spans="2:39">
      <c r="B139" s="454"/>
      <c r="C139" s="182">
        <v>12</v>
      </c>
      <c r="D139" s="203"/>
      <c r="E139" s="182"/>
      <c r="F139" s="182"/>
      <c r="G139" s="182"/>
      <c r="H139" s="464"/>
      <c r="I139" s="166"/>
      <c r="J139" s="166"/>
      <c r="K139" s="166"/>
      <c r="L139" s="503"/>
      <c r="M139" s="166" t="e">
        <f>RANK(K139, K$128:$K$142)</f>
        <v>#DIV/0!</v>
      </c>
      <c r="N139" s="103"/>
      <c r="O139" s="103"/>
      <c r="P139" s="103"/>
      <c r="Q139" s="103"/>
      <c r="R139" s="103"/>
      <c r="S139" s="103"/>
      <c r="T139" s="103"/>
      <c r="X139" s="103"/>
      <c r="AC139" s="103"/>
      <c r="AH139" s="103"/>
      <c r="AM139" s="103"/>
    </row>
    <row r="140" spans="2:39">
      <c r="B140" s="454"/>
      <c r="C140" s="182">
        <v>13</v>
      </c>
      <c r="D140" s="203"/>
      <c r="E140" s="182"/>
      <c r="F140" s="182"/>
      <c r="G140" s="182"/>
      <c r="H140" s="464"/>
      <c r="I140" s="166"/>
      <c r="J140" s="166"/>
      <c r="K140" s="166"/>
      <c r="L140" s="503"/>
      <c r="M140" s="166" t="e">
        <f>RANK(K140, K$128:$K$142)</f>
        <v>#DIV/0!</v>
      </c>
      <c r="N140" s="103"/>
      <c r="O140" s="103"/>
      <c r="P140" s="103"/>
      <c r="Q140" s="103"/>
      <c r="R140" s="103"/>
      <c r="S140" s="103"/>
      <c r="T140" s="103"/>
      <c r="X140" s="103"/>
      <c r="AC140" s="103"/>
      <c r="AH140" s="103"/>
      <c r="AM140" s="103"/>
    </row>
    <row r="141" spans="2:39">
      <c r="B141" s="454"/>
      <c r="C141" s="182">
        <v>14</v>
      </c>
      <c r="D141" s="203"/>
      <c r="E141" s="182"/>
      <c r="F141" s="182"/>
      <c r="G141" s="182"/>
      <c r="H141" s="464"/>
      <c r="I141" s="166"/>
      <c r="J141" s="166"/>
      <c r="K141" s="166"/>
      <c r="L141" s="503"/>
      <c r="M141" s="166" t="e">
        <f>RANK(K141, K$128:$K$142)</f>
        <v>#DIV/0!</v>
      </c>
      <c r="N141" s="103"/>
      <c r="O141" s="103"/>
      <c r="P141" s="103"/>
      <c r="Q141" s="103"/>
      <c r="R141" s="103"/>
      <c r="S141" s="103"/>
      <c r="T141" s="103"/>
      <c r="X141" s="103"/>
      <c r="AC141" s="103"/>
      <c r="AH141" s="103"/>
      <c r="AM141" s="103"/>
    </row>
    <row r="142" spans="2:39">
      <c r="B142" s="454"/>
      <c r="C142" s="182">
        <v>15</v>
      </c>
      <c r="D142" s="203"/>
      <c r="E142" s="182"/>
      <c r="F142" s="182"/>
      <c r="G142" s="182"/>
      <c r="H142" s="465"/>
      <c r="I142" s="166"/>
      <c r="J142" s="166"/>
      <c r="K142" s="166"/>
      <c r="L142" s="504"/>
      <c r="M142" s="166" t="e">
        <f>RANK(K142, K$128:$K$142)</f>
        <v>#DIV/0!</v>
      </c>
      <c r="N142" s="103"/>
      <c r="O142" s="103"/>
      <c r="P142" s="103"/>
      <c r="Q142" s="103"/>
      <c r="R142" s="103"/>
      <c r="S142" s="103"/>
      <c r="T142" s="103"/>
      <c r="X142" s="103"/>
      <c r="AC142" s="103"/>
      <c r="AH142" s="103"/>
      <c r="AM142" s="103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I107" sqref="I107:K120"/>
      <selection pane="topRight" activeCell="T7" activeCellId="6" sqref="AW7:AX21 AR7:AS21 AM7:AN21 AH7:AI21 AC7:AD21 X7:Y21 S7:T21"/>
    </sheetView>
  </sheetViews>
  <sheetFormatPr defaultColWidth="8.81640625" defaultRowHeight="12.5"/>
  <cols>
    <col min="1" max="1" width="5.54296875" style="103" customWidth="1"/>
    <col min="2" max="2" width="12.453125" style="103" customWidth="1"/>
    <col min="3" max="3" width="8.81640625" style="102"/>
    <col min="4" max="4" width="26.453125" style="102" customWidth="1"/>
    <col min="5" max="7" width="8.453125" style="102" customWidth="1"/>
    <col min="8" max="8" width="11.1796875" style="102" bestFit="1" customWidth="1"/>
    <col min="9" max="12" width="11.1796875" style="102" customWidth="1"/>
    <col min="13" max="13" width="13.54296875" style="102" customWidth="1"/>
    <col min="14" max="14" width="9.81640625" style="102" customWidth="1"/>
    <col min="15" max="15" width="7.1796875" style="102" customWidth="1"/>
    <col min="16" max="18" width="12.81640625" style="102" customWidth="1"/>
    <col min="19" max="19" width="5.453125" style="102" customWidth="1"/>
    <col min="20" max="20" width="12.81640625" style="102" customWidth="1"/>
    <col min="21" max="23" width="12.81640625" style="103" customWidth="1"/>
    <col min="24" max="24" width="5.453125" style="102" customWidth="1"/>
    <col min="25" max="28" width="12.81640625" style="103" customWidth="1"/>
    <col min="29" max="29" width="5.453125" style="102" customWidth="1"/>
    <col min="30" max="30" width="12.81640625" style="103" customWidth="1"/>
    <col min="31" max="33" width="12.54296875" style="103" customWidth="1"/>
    <col min="34" max="34" width="5.453125" style="102" customWidth="1"/>
    <col min="35" max="35" width="13" style="103" customWidth="1"/>
    <col min="36" max="38" width="12.54296875" style="103" customWidth="1"/>
    <col min="39" max="39" width="5.453125" style="102" customWidth="1"/>
    <col min="40" max="40" width="13" style="103" customWidth="1"/>
    <col min="41" max="43" width="13.1796875" style="103" customWidth="1"/>
    <col min="44" max="44" width="5.453125" style="103" customWidth="1"/>
    <col min="45" max="48" width="13.1796875" style="103" customWidth="1"/>
    <col min="49" max="49" width="5.453125" style="103" customWidth="1"/>
    <col min="50" max="50" width="13.1796875" style="103" customWidth="1"/>
    <col min="51" max="51" width="8.81640625" style="103"/>
    <col min="52" max="52" width="5.453125" style="103" customWidth="1"/>
    <col min="53" max="53" width="13.1796875" style="103" customWidth="1"/>
    <col min="54" max="16384" width="8.81640625" style="103"/>
  </cols>
  <sheetData>
    <row r="1" spans="1:53" ht="24.5">
      <c r="A1" s="74"/>
      <c r="B1" s="198" t="s">
        <v>332</v>
      </c>
      <c r="C1" s="197">
        <f>AVERAGE(L7,L27,L47,L67,L87,L107)</f>
        <v>123.5962842751391</v>
      </c>
    </row>
    <row r="2" spans="1:53" ht="15.5">
      <c r="A2" s="79"/>
      <c r="B2" s="477" t="s">
        <v>163</v>
      </c>
      <c r="C2" s="477"/>
      <c r="D2" s="477"/>
      <c r="E2" s="477"/>
      <c r="F2" s="477"/>
      <c r="G2" s="477"/>
      <c r="H2" s="477"/>
      <c r="I2" s="183"/>
      <c r="J2" s="183"/>
      <c r="K2" s="183"/>
      <c r="L2" s="183"/>
      <c r="M2" s="178"/>
      <c r="N2" s="480" t="s">
        <v>156</v>
      </c>
      <c r="O2" s="480" t="s">
        <v>155</v>
      </c>
      <c r="P2" s="490">
        <v>46112</v>
      </c>
      <c r="Q2" s="491"/>
      <c r="R2" s="491"/>
      <c r="S2" s="491"/>
      <c r="T2" s="492"/>
      <c r="U2" s="476">
        <f>P2+1</f>
        <v>46113</v>
      </c>
      <c r="V2" s="454"/>
      <c r="W2" s="454"/>
      <c r="X2" s="454"/>
      <c r="Y2" s="454"/>
      <c r="Z2" s="476">
        <f>U2+1</f>
        <v>46114</v>
      </c>
      <c r="AA2" s="454"/>
      <c r="AB2" s="454"/>
      <c r="AC2" s="454"/>
      <c r="AD2" s="454"/>
      <c r="AE2" s="476">
        <f>Z2+1</f>
        <v>46115</v>
      </c>
      <c r="AF2" s="454"/>
      <c r="AG2" s="454"/>
      <c r="AH2" s="454"/>
      <c r="AI2" s="454"/>
      <c r="AJ2" s="476">
        <f>AE2+1</f>
        <v>46116</v>
      </c>
      <c r="AK2" s="454"/>
      <c r="AL2" s="454"/>
      <c r="AM2" s="454"/>
      <c r="AN2" s="454"/>
      <c r="AO2" s="476">
        <f>AJ2+1</f>
        <v>46117</v>
      </c>
      <c r="AP2" s="454"/>
      <c r="AQ2" s="454"/>
      <c r="AR2" s="454"/>
      <c r="AS2" s="454"/>
      <c r="AT2" s="473">
        <f>AO2+1</f>
        <v>46118</v>
      </c>
      <c r="AU2" s="474"/>
      <c r="AV2" s="474"/>
      <c r="AW2" s="474"/>
      <c r="AX2" s="475"/>
    </row>
    <row r="3" spans="1:53" ht="15.5">
      <c r="A3" s="79"/>
      <c r="B3" s="486"/>
      <c r="C3" s="486"/>
      <c r="D3" s="486"/>
      <c r="E3" s="486"/>
      <c r="F3" s="486"/>
      <c r="G3" s="486"/>
      <c r="H3" s="486"/>
      <c r="I3" s="184"/>
      <c r="J3" s="184"/>
      <c r="K3" s="184"/>
      <c r="L3" s="184"/>
      <c r="M3" s="179"/>
      <c r="N3" s="481"/>
      <c r="O3" s="481"/>
      <c r="P3" s="473" t="s">
        <v>158</v>
      </c>
      <c r="Q3" s="474"/>
      <c r="R3" s="474"/>
      <c r="S3" s="474"/>
      <c r="T3" s="475"/>
      <c r="U3" s="473" t="s">
        <v>114</v>
      </c>
      <c r="V3" s="474"/>
      <c r="W3" s="474"/>
      <c r="X3" s="474"/>
      <c r="Y3" s="475"/>
      <c r="Z3" s="473" t="s">
        <v>159</v>
      </c>
      <c r="AA3" s="474"/>
      <c r="AB3" s="474"/>
      <c r="AC3" s="474"/>
      <c r="AD3" s="475"/>
      <c r="AE3" s="473" t="s">
        <v>157</v>
      </c>
      <c r="AF3" s="474"/>
      <c r="AG3" s="474"/>
      <c r="AH3" s="474"/>
      <c r="AI3" s="475"/>
      <c r="AJ3" s="473" t="s">
        <v>160</v>
      </c>
      <c r="AK3" s="474"/>
      <c r="AL3" s="474"/>
      <c r="AM3" s="474"/>
      <c r="AN3" s="475"/>
      <c r="AO3" s="473" t="s">
        <v>161</v>
      </c>
      <c r="AP3" s="474"/>
      <c r="AQ3" s="474"/>
      <c r="AR3" s="474"/>
      <c r="AS3" s="475"/>
      <c r="AT3" s="473" t="s">
        <v>162</v>
      </c>
      <c r="AU3" s="474"/>
      <c r="AV3" s="474"/>
      <c r="AW3" s="474"/>
      <c r="AX3" s="475"/>
    </row>
    <row r="4" spans="1:53" ht="13.5">
      <c r="A4" s="79"/>
      <c r="B4" s="461" t="s">
        <v>696</v>
      </c>
      <c r="C4" s="461" t="s">
        <v>697</v>
      </c>
      <c r="D4" s="461"/>
      <c r="E4" s="461" t="s">
        <v>698</v>
      </c>
      <c r="F4" s="461"/>
      <c r="G4" s="461"/>
      <c r="H4" s="482" t="s">
        <v>699</v>
      </c>
      <c r="I4" s="461" t="s">
        <v>700</v>
      </c>
      <c r="J4" s="461"/>
      <c r="K4" s="461"/>
      <c r="L4" s="482" t="s">
        <v>396</v>
      </c>
      <c r="M4" s="480" t="s">
        <v>701</v>
      </c>
      <c r="N4" s="461"/>
      <c r="O4" s="461" t="s">
        <v>431</v>
      </c>
      <c r="P4" s="466" t="s">
        <v>398</v>
      </c>
      <c r="Q4" s="467"/>
      <c r="R4" s="467"/>
      <c r="S4" s="468"/>
      <c r="T4" s="461" t="s">
        <v>396</v>
      </c>
      <c r="U4" s="466" t="s">
        <v>398</v>
      </c>
      <c r="V4" s="467"/>
      <c r="W4" s="467"/>
      <c r="X4" s="468"/>
      <c r="Y4" s="461" t="s">
        <v>396</v>
      </c>
      <c r="Z4" s="466" t="s">
        <v>398</v>
      </c>
      <c r="AA4" s="467"/>
      <c r="AB4" s="467"/>
      <c r="AC4" s="468"/>
      <c r="AD4" s="461" t="s">
        <v>396</v>
      </c>
      <c r="AE4" s="466" t="s">
        <v>398</v>
      </c>
      <c r="AF4" s="467"/>
      <c r="AG4" s="467"/>
      <c r="AH4" s="468"/>
      <c r="AI4" s="461" t="s">
        <v>396</v>
      </c>
      <c r="AJ4" s="466" t="s">
        <v>398</v>
      </c>
      <c r="AK4" s="467"/>
      <c r="AL4" s="467"/>
      <c r="AM4" s="468"/>
      <c r="AN4" s="461" t="s">
        <v>396</v>
      </c>
      <c r="AO4" s="466" t="s">
        <v>398</v>
      </c>
      <c r="AP4" s="467"/>
      <c r="AQ4" s="467"/>
      <c r="AR4" s="468"/>
      <c r="AS4" s="461" t="s">
        <v>396</v>
      </c>
      <c r="AT4" s="466" t="s">
        <v>398</v>
      </c>
      <c r="AU4" s="467"/>
      <c r="AV4" s="467"/>
      <c r="AW4" s="468"/>
      <c r="AX4" s="461" t="s">
        <v>396</v>
      </c>
      <c r="BA4" s="461" t="s">
        <v>396</v>
      </c>
    </row>
    <row r="5" spans="1:53" ht="13.5">
      <c r="A5" s="79"/>
      <c r="B5" s="461"/>
      <c r="C5" s="461"/>
      <c r="D5" s="461"/>
      <c r="E5" s="461" t="s">
        <v>703</v>
      </c>
      <c r="F5" s="461"/>
      <c r="G5" s="461"/>
      <c r="H5" s="483"/>
      <c r="I5" s="461" t="s">
        <v>703</v>
      </c>
      <c r="J5" s="461"/>
      <c r="K5" s="461"/>
      <c r="L5" s="483"/>
      <c r="M5" s="485"/>
      <c r="N5" s="461"/>
      <c r="O5" s="461"/>
      <c r="P5" s="466" t="s">
        <v>690</v>
      </c>
      <c r="Q5" s="467"/>
      <c r="R5" s="467"/>
      <c r="S5" s="468"/>
      <c r="T5" s="461"/>
      <c r="U5" s="466" t="s">
        <v>690</v>
      </c>
      <c r="V5" s="467"/>
      <c r="W5" s="467"/>
      <c r="X5" s="468"/>
      <c r="Y5" s="461"/>
      <c r="Z5" s="466" t="s">
        <v>690</v>
      </c>
      <c r="AA5" s="467"/>
      <c r="AB5" s="467"/>
      <c r="AC5" s="468"/>
      <c r="AD5" s="461"/>
      <c r="AE5" s="466" t="s">
        <v>690</v>
      </c>
      <c r="AF5" s="467"/>
      <c r="AG5" s="467"/>
      <c r="AH5" s="468"/>
      <c r="AI5" s="461"/>
      <c r="AJ5" s="466" t="s">
        <v>690</v>
      </c>
      <c r="AK5" s="467"/>
      <c r="AL5" s="467"/>
      <c r="AM5" s="468"/>
      <c r="AN5" s="461"/>
      <c r="AO5" s="466" t="s">
        <v>690</v>
      </c>
      <c r="AP5" s="467"/>
      <c r="AQ5" s="467"/>
      <c r="AR5" s="468"/>
      <c r="AS5" s="461"/>
      <c r="AT5" s="466" t="s">
        <v>690</v>
      </c>
      <c r="AU5" s="467"/>
      <c r="AV5" s="467"/>
      <c r="AW5" s="468"/>
      <c r="AX5" s="461"/>
      <c r="BA5" s="461"/>
    </row>
    <row r="6" spans="1:53" ht="13.5">
      <c r="A6" s="77"/>
      <c r="B6" s="461"/>
      <c r="C6" s="461"/>
      <c r="D6" s="461"/>
      <c r="E6" s="269" t="s">
        <v>704</v>
      </c>
      <c r="F6" s="269" t="s">
        <v>705</v>
      </c>
      <c r="G6" s="269" t="s">
        <v>706</v>
      </c>
      <c r="H6" s="484"/>
      <c r="I6" s="269" t="s">
        <v>704</v>
      </c>
      <c r="J6" s="269" t="s">
        <v>705</v>
      </c>
      <c r="K6" s="269" t="s">
        <v>706</v>
      </c>
      <c r="L6" s="484"/>
      <c r="M6" s="481"/>
      <c r="N6" s="461"/>
      <c r="O6" s="461"/>
      <c r="P6" s="269" t="s">
        <v>405</v>
      </c>
      <c r="Q6" s="269" t="s">
        <v>692</v>
      </c>
      <c r="R6" s="269" t="s">
        <v>693</v>
      </c>
      <c r="S6" s="269" t="s">
        <v>397</v>
      </c>
      <c r="T6" s="461"/>
      <c r="U6" s="269" t="s">
        <v>405</v>
      </c>
      <c r="V6" s="269" t="s">
        <v>692</v>
      </c>
      <c r="W6" s="269" t="s">
        <v>693</v>
      </c>
      <c r="X6" s="269" t="s">
        <v>397</v>
      </c>
      <c r="Y6" s="461"/>
      <c r="Z6" s="269" t="s">
        <v>405</v>
      </c>
      <c r="AA6" s="269" t="s">
        <v>692</v>
      </c>
      <c r="AB6" s="269" t="s">
        <v>693</v>
      </c>
      <c r="AC6" s="269" t="s">
        <v>397</v>
      </c>
      <c r="AD6" s="461"/>
      <c r="AE6" s="269" t="s">
        <v>405</v>
      </c>
      <c r="AF6" s="269" t="s">
        <v>692</v>
      </c>
      <c r="AG6" s="269" t="s">
        <v>693</v>
      </c>
      <c r="AH6" s="269" t="s">
        <v>397</v>
      </c>
      <c r="AI6" s="461"/>
      <c r="AJ6" s="269" t="s">
        <v>405</v>
      </c>
      <c r="AK6" s="269" t="s">
        <v>692</v>
      </c>
      <c r="AL6" s="269" t="s">
        <v>693</v>
      </c>
      <c r="AM6" s="269" t="s">
        <v>397</v>
      </c>
      <c r="AN6" s="461"/>
      <c r="AO6" s="269" t="s">
        <v>405</v>
      </c>
      <c r="AP6" s="269" t="s">
        <v>692</v>
      </c>
      <c r="AQ6" s="269" t="s">
        <v>693</v>
      </c>
      <c r="AR6" s="269" t="s">
        <v>397</v>
      </c>
      <c r="AS6" s="461"/>
      <c r="AT6" s="269" t="s">
        <v>405</v>
      </c>
      <c r="AU6" s="269" t="s">
        <v>692</v>
      </c>
      <c r="AV6" s="269" t="s">
        <v>693</v>
      </c>
      <c r="AW6" s="269" t="s">
        <v>397</v>
      </c>
      <c r="AX6" s="461"/>
      <c r="AZ6" s="269" t="s">
        <v>397</v>
      </c>
      <c r="BA6" s="461"/>
    </row>
    <row r="7" spans="1:53" ht="13.5">
      <c r="A7" s="79"/>
      <c r="B7" s="461" t="s">
        <v>136</v>
      </c>
      <c r="C7" s="182">
        <v>1</v>
      </c>
      <c r="D7" s="203" t="s">
        <v>377</v>
      </c>
      <c r="E7" s="166">
        <v>20</v>
      </c>
      <c r="F7" s="166">
        <v>2400</v>
      </c>
      <c r="G7" s="166">
        <v>120</v>
      </c>
      <c r="H7" s="511">
        <f>AVERAGE(G7:G21)</f>
        <v>148.73999999999998</v>
      </c>
      <c r="I7" s="166">
        <f t="shared" ref="I7:I20" si="0">IFERROR(AVERAGE(P7,U7,Z7,AE7,AJ7,AO7,AT7),"-")</f>
        <v>20</v>
      </c>
      <c r="J7" s="166">
        <f t="shared" ref="J7:J20" si="1">IFERROR(AVERAGE(Q7,V7,AA7,AF7,AK7,AP7,AU7),"-")</f>
        <v>2277.4089280617613</v>
      </c>
      <c r="K7" s="180">
        <f t="shared" ref="K7:K20" si="2">IFERROR(AVERAGE(R7,W7,AB7,AG7,AL7,AQ7,AV7),"-")</f>
        <v>113.87044640308807</v>
      </c>
      <c r="L7" s="463">
        <f>IFERROR(AVERAGE(K7:K21),"-")</f>
        <v>123.5962842751391</v>
      </c>
      <c r="M7" s="181">
        <f>RANK(K7, K$7:$K$21)</f>
        <v>5</v>
      </c>
      <c r="N7" s="461"/>
      <c r="O7" s="461"/>
      <c r="P7" s="182">
        <v>20</v>
      </c>
      <c r="Q7" s="166">
        <v>2263.788990825688</v>
      </c>
      <c r="R7" s="166">
        <v>113.1894495412844</v>
      </c>
      <c r="S7" s="182">
        <f t="shared" ref="S7:S21" si="3">RANK(R7, R$7:R$21)</f>
        <v>5</v>
      </c>
      <c r="T7" s="455">
        <f t="shared" ref="T7" si="4">AVERAGE(R7:R21)</f>
        <v>124.51891468739927</v>
      </c>
      <c r="U7" s="182">
        <v>20</v>
      </c>
      <c r="V7" s="166">
        <v>2250.8571428571422</v>
      </c>
      <c r="W7" s="166">
        <v>112.54285714285712</v>
      </c>
      <c r="X7" s="182">
        <f t="shared" ref="X7:X21" si="5">RANK(W7, W$7:W$21)</f>
        <v>5</v>
      </c>
      <c r="Y7" s="455">
        <f t="shared" ref="Y7" si="6">AVERAGE(W7:W21)</f>
        <v>123.39556950192794</v>
      </c>
      <c r="Z7" s="182">
        <v>20</v>
      </c>
      <c r="AA7" s="166">
        <v>2294.3030303030291</v>
      </c>
      <c r="AB7" s="166">
        <v>114.71515151515146</v>
      </c>
      <c r="AC7" s="182">
        <f t="shared" ref="AC7:AC21" si="7">RANK(AB7, AB$7:AB$21)</f>
        <v>5</v>
      </c>
      <c r="AD7" s="455">
        <f t="shared" ref="AD7" si="8">AVERAGE(AB7:AB21)</f>
        <v>122.97106588824015</v>
      </c>
      <c r="AE7" s="182">
        <v>20</v>
      </c>
      <c r="AF7" s="166">
        <v>2282.6746987951801</v>
      </c>
      <c r="AG7" s="166">
        <v>114.13373493975901</v>
      </c>
      <c r="AH7" s="182">
        <f t="shared" ref="AH7:AH21" si="9">RANK(AG7, AG$7:AG$21)</f>
        <v>5</v>
      </c>
      <c r="AI7" s="455">
        <f t="shared" ref="AI7" si="10">AVERAGE(AG7:AG21)</f>
        <v>123.42848039676076</v>
      </c>
      <c r="AJ7" s="182">
        <v>20</v>
      </c>
      <c r="AK7" s="166">
        <v>2287.5806451612907</v>
      </c>
      <c r="AL7" s="166">
        <v>114.37903225806454</v>
      </c>
      <c r="AM7" s="182">
        <f t="shared" ref="AM7:AM21" si="11">RANK(AL7, AL$7:AL$21)</f>
        <v>5</v>
      </c>
      <c r="AN7" s="455">
        <f t="shared" ref="AN7" si="12">AVERAGE(AL7:AL21)</f>
        <v>123.80788436624346</v>
      </c>
      <c r="AO7" s="182">
        <v>20</v>
      </c>
      <c r="AP7" s="166">
        <v>2288.2921348314608</v>
      </c>
      <c r="AQ7" s="166">
        <v>114.41460674157304</v>
      </c>
      <c r="AR7" s="182">
        <f t="shared" ref="AR7:AR21" si="13">RANK(AQ7, AQ$7:AQ$21)</f>
        <v>5</v>
      </c>
      <c r="AS7" s="455">
        <f t="shared" ref="AS7" si="14">AVERAGE(AQ7:AQ21)</f>
        <v>123.16307134633966</v>
      </c>
      <c r="AT7" s="182">
        <v>20</v>
      </c>
      <c r="AU7" s="166">
        <v>2274.3658536585376</v>
      </c>
      <c r="AV7" s="166">
        <v>113.71829268292689</v>
      </c>
      <c r="AW7" s="182">
        <f t="shared" ref="AW7:AW21" si="15">RANK(AV7, AV$7:AV$21)</f>
        <v>5</v>
      </c>
      <c r="AX7" s="455">
        <f t="shared" ref="AX7" si="16">AVERAGE(AV7:AV21)</f>
        <v>123.88900373906252</v>
      </c>
      <c r="AZ7" s="182" t="e">
        <f t="shared" ref="AZ7:AZ21" si="17">RANK(AY7, AY$7:AY$21)</f>
        <v>#N/A</v>
      </c>
      <c r="BA7" s="455" t="e">
        <f t="shared" ref="BA7" si="18">AVERAGE(AY7:AY21)</f>
        <v>#DIV/0!</v>
      </c>
    </row>
    <row r="8" spans="1:53" ht="15" customHeight="1">
      <c r="A8" s="79"/>
      <c r="B8" s="454"/>
      <c r="C8" s="182">
        <v>2</v>
      </c>
      <c r="D8" s="203" t="s">
        <v>378</v>
      </c>
      <c r="E8" s="166">
        <v>18</v>
      </c>
      <c r="F8" s="166">
        <v>2600</v>
      </c>
      <c r="G8" s="166">
        <v>166.7</v>
      </c>
      <c r="H8" s="512"/>
      <c r="I8" s="166">
        <f t="shared" si="0"/>
        <v>19.142857142857142</v>
      </c>
      <c r="J8" s="166">
        <f t="shared" si="1"/>
        <v>2524.3319952981192</v>
      </c>
      <c r="K8" s="180">
        <f t="shared" si="2"/>
        <v>131.91657834186304</v>
      </c>
      <c r="L8" s="464"/>
      <c r="M8" s="181">
        <f>RANK(K8, K$7:$K$21)</f>
        <v>1</v>
      </c>
      <c r="N8" s="461"/>
      <c r="O8" s="461"/>
      <c r="P8" s="182">
        <v>20</v>
      </c>
      <c r="Q8" s="166">
        <v>2508.3809523809518</v>
      </c>
      <c r="R8" s="166">
        <v>125.41904761904759</v>
      </c>
      <c r="S8" s="182">
        <f t="shared" si="3"/>
        <v>3</v>
      </c>
      <c r="T8" s="455"/>
      <c r="U8" s="182">
        <v>19</v>
      </c>
      <c r="V8" s="166">
        <v>2531.099999999999</v>
      </c>
      <c r="W8" s="166">
        <v>133.21578947368417</v>
      </c>
      <c r="X8" s="182">
        <f t="shared" si="5"/>
        <v>1</v>
      </c>
      <c r="Y8" s="455"/>
      <c r="Z8" s="182">
        <v>19</v>
      </c>
      <c r="AA8" s="166">
        <v>2525.8999999999987</v>
      </c>
      <c r="AB8" s="166">
        <v>132.94210526315783</v>
      </c>
      <c r="AC8" s="182">
        <f t="shared" si="7"/>
        <v>1</v>
      </c>
      <c r="AD8" s="455"/>
      <c r="AE8" s="182">
        <v>19</v>
      </c>
      <c r="AF8" s="166">
        <v>2487.5882352941189</v>
      </c>
      <c r="AG8" s="166">
        <v>130.92569659442731</v>
      </c>
      <c r="AH8" s="182">
        <f t="shared" si="9"/>
        <v>1</v>
      </c>
      <c r="AI8" s="455"/>
      <c r="AJ8" s="182">
        <v>19</v>
      </c>
      <c r="AK8" s="166">
        <v>2551.8235294117662</v>
      </c>
      <c r="AL8" s="166">
        <v>134.30650154798769</v>
      </c>
      <c r="AM8" s="182">
        <f t="shared" si="11"/>
        <v>1</v>
      </c>
      <c r="AN8" s="455"/>
      <c r="AO8" s="182">
        <v>19</v>
      </c>
      <c r="AP8" s="166">
        <v>2529.3125000000009</v>
      </c>
      <c r="AQ8" s="166">
        <v>133.12171052631584</v>
      </c>
      <c r="AR8" s="182">
        <f t="shared" si="13"/>
        <v>1</v>
      </c>
      <c r="AS8" s="455"/>
      <c r="AT8" s="182">
        <v>19</v>
      </c>
      <c r="AU8" s="166">
        <v>2536.2187499999995</v>
      </c>
      <c r="AV8" s="166">
        <v>133.48519736842104</v>
      </c>
      <c r="AW8" s="182">
        <f t="shared" si="15"/>
        <v>1</v>
      </c>
      <c r="AX8" s="455"/>
      <c r="AZ8" s="182" t="e">
        <f t="shared" si="17"/>
        <v>#N/A</v>
      </c>
      <c r="BA8" s="455"/>
    </row>
    <row r="9" spans="1:53" ht="13.5">
      <c r="A9" s="79"/>
      <c r="B9" s="454"/>
      <c r="C9" s="182">
        <v>3</v>
      </c>
      <c r="D9" s="203" t="s">
        <v>379</v>
      </c>
      <c r="E9" s="166">
        <v>18</v>
      </c>
      <c r="F9" s="166">
        <v>2600</v>
      </c>
      <c r="G9" s="166">
        <v>166.7</v>
      </c>
      <c r="H9" s="512"/>
      <c r="I9" s="166">
        <f t="shared" si="0"/>
        <v>19.142857142857142</v>
      </c>
      <c r="J9" s="166">
        <f t="shared" si="1"/>
        <v>2396.9452100840331</v>
      </c>
      <c r="K9" s="180">
        <f t="shared" si="2"/>
        <v>125.15174922600617</v>
      </c>
      <c r="L9" s="464"/>
      <c r="M9" s="181">
        <f>RANK(K9, K$7:$K$21)</f>
        <v>3</v>
      </c>
      <c r="N9" s="461"/>
      <c r="O9" s="461"/>
      <c r="P9" s="182">
        <v>20</v>
      </c>
      <c r="Q9" s="166">
        <v>2668.6764705882333</v>
      </c>
      <c r="R9" s="166">
        <v>133.43382352941165</v>
      </c>
      <c r="S9" s="182">
        <f t="shared" si="3"/>
        <v>1</v>
      </c>
      <c r="T9" s="455"/>
      <c r="U9" s="182">
        <v>19</v>
      </c>
      <c r="V9" s="166">
        <v>2357.9999999999991</v>
      </c>
      <c r="W9" s="166">
        <v>124.10526315789468</v>
      </c>
      <c r="X9" s="182">
        <f t="shared" si="5"/>
        <v>3</v>
      </c>
      <c r="Y9" s="455"/>
      <c r="Z9" s="182">
        <v>19</v>
      </c>
      <c r="AA9" s="166">
        <v>2332.3999999999987</v>
      </c>
      <c r="AB9" s="166">
        <v>122.75789473684203</v>
      </c>
      <c r="AC9" s="182">
        <f t="shared" si="7"/>
        <v>3</v>
      </c>
      <c r="AD9" s="455"/>
      <c r="AE9" s="182">
        <v>19</v>
      </c>
      <c r="AF9" s="166">
        <v>2388.4800000000009</v>
      </c>
      <c r="AG9" s="166">
        <v>125.70947368421058</v>
      </c>
      <c r="AH9" s="182">
        <f t="shared" si="9"/>
        <v>3</v>
      </c>
      <c r="AI9" s="455"/>
      <c r="AJ9" s="182">
        <v>19</v>
      </c>
      <c r="AK9" s="166">
        <v>2350.5599999999972</v>
      </c>
      <c r="AL9" s="166">
        <v>123.71368421052617</v>
      </c>
      <c r="AM9" s="182">
        <f t="shared" si="11"/>
        <v>3</v>
      </c>
      <c r="AN9" s="455"/>
      <c r="AO9" s="182">
        <v>19</v>
      </c>
      <c r="AP9" s="166">
        <v>2324.0000000000009</v>
      </c>
      <c r="AQ9" s="166">
        <v>122.31578947368426</v>
      </c>
      <c r="AR9" s="182">
        <f t="shared" si="13"/>
        <v>3</v>
      </c>
      <c r="AS9" s="455"/>
      <c r="AT9" s="182">
        <v>19</v>
      </c>
      <c r="AU9" s="166">
        <v>2356.5000000000027</v>
      </c>
      <c r="AV9" s="166">
        <v>124.02631578947383</v>
      </c>
      <c r="AW9" s="182">
        <f t="shared" si="15"/>
        <v>3</v>
      </c>
      <c r="AX9" s="455"/>
      <c r="AZ9" s="182" t="e">
        <f t="shared" si="17"/>
        <v>#N/A</v>
      </c>
      <c r="BA9" s="455"/>
    </row>
    <row r="10" spans="1:53" ht="13.5">
      <c r="A10" s="79"/>
      <c r="B10" s="454"/>
      <c r="C10" s="182">
        <v>4</v>
      </c>
      <c r="D10" s="203" t="s">
        <v>380</v>
      </c>
      <c r="E10" s="166">
        <v>19</v>
      </c>
      <c r="F10" s="166">
        <v>2600</v>
      </c>
      <c r="G10" s="166">
        <v>157.9</v>
      </c>
      <c r="H10" s="512"/>
      <c r="I10" s="166">
        <f t="shared" si="0"/>
        <v>20</v>
      </c>
      <c r="J10" s="166">
        <f t="shared" si="1"/>
        <v>2538.5933960580487</v>
      </c>
      <c r="K10" s="180">
        <f t="shared" si="2"/>
        <v>126.92966980290244</v>
      </c>
      <c r="L10" s="464"/>
      <c r="M10" s="181">
        <f>RANK(K10, K$7:$K$21)</f>
        <v>2</v>
      </c>
      <c r="N10" s="461"/>
      <c r="O10" s="461"/>
      <c r="P10" s="182">
        <v>20</v>
      </c>
      <c r="Q10" s="166">
        <v>2516.099999999999</v>
      </c>
      <c r="R10" s="166">
        <v>125.80499999999995</v>
      </c>
      <c r="S10" s="182">
        <f t="shared" si="3"/>
        <v>2</v>
      </c>
      <c r="T10" s="455"/>
      <c r="U10" s="182">
        <v>20</v>
      </c>
      <c r="V10" s="166">
        <v>2533.9243243243259</v>
      </c>
      <c r="W10" s="166">
        <v>126.6962162162163</v>
      </c>
      <c r="X10" s="182">
        <f t="shared" si="5"/>
        <v>2</v>
      </c>
      <c r="Y10" s="455"/>
      <c r="Z10" s="182">
        <v>20</v>
      </c>
      <c r="AA10" s="166">
        <v>2520.9247706422016</v>
      </c>
      <c r="AB10" s="166">
        <v>126.04623853211008</v>
      </c>
      <c r="AC10" s="182">
        <f t="shared" si="7"/>
        <v>2</v>
      </c>
      <c r="AD10" s="455"/>
      <c r="AE10" s="182">
        <v>20</v>
      </c>
      <c r="AF10" s="166">
        <v>2551.7123595505618</v>
      </c>
      <c r="AG10" s="166">
        <v>127.58561797752809</v>
      </c>
      <c r="AH10" s="182">
        <f t="shared" si="9"/>
        <v>2</v>
      </c>
      <c r="AI10" s="455"/>
      <c r="AJ10" s="182">
        <v>20</v>
      </c>
      <c r="AK10" s="166">
        <v>2572.520388349516</v>
      </c>
      <c r="AL10" s="166">
        <v>128.62601941747579</v>
      </c>
      <c r="AM10" s="182">
        <f t="shared" si="11"/>
        <v>2</v>
      </c>
      <c r="AN10" s="455"/>
      <c r="AO10" s="182">
        <v>20</v>
      </c>
      <c r="AP10" s="166">
        <v>2526.9278350515474</v>
      </c>
      <c r="AQ10" s="166">
        <v>126.34639175257738</v>
      </c>
      <c r="AR10" s="182">
        <f t="shared" si="13"/>
        <v>2</v>
      </c>
      <c r="AS10" s="455"/>
      <c r="AT10" s="182">
        <v>20</v>
      </c>
      <c r="AU10" s="166">
        <v>2548.0440944881889</v>
      </c>
      <c r="AV10" s="166">
        <v>127.40220472440944</v>
      </c>
      <c r="AW10" s="182">
        <f t="shared" si="15"/>
        <v>2</v>
      </c>
      <c r="AX10" s="455"/>
      <c r="AZ10" s="182" t="e">
        <f t="shared" si="17"/>
        <v>#N/A</v>
      </c>
      <c r="BA10" s="455"/>
    </row>
    <row r="11" spans="1:53" ht="13.5">
      <c r="A11" s="79"/>
      <c r="B11" s="454"/>
      <c r="C11" s="182">
        <v>5</v>
      </c>
      <c r="D11" s="203" t="s">
        <v>646</v>
      </c>
      <c r="E11" s="166">
        <v>17</v>
      </c>
      <c r="F11" s="166">
        <v>2250</v>
      </c>
      <c r="G11" s="166">
        <v>132.4</v>
      </c>
      <c r="H11" s="512"/>
      <c r="I11" s="166">
        <f t="shared" si="0"/>
        <v>18</v>
      </c>
      <c r="J11" s="166">
        <f t="shared" si="1"/>
        <v>2162.0335968330442</v>
      </c>
      <c r="K11" s="180">
        <f t="shared" si="2"/>
        <v>120.11297760183579</v>
      </c>
      <c r="L11" s="464"/>
      <c r="M11" s="181">
        <f>RANK(K11, K$7:$K$21)</f>
        <v>4</v>
      </c>
      <c r="N11" s="461"/>
      <c r="O11" s="461"/>
      <c r="P11" s="182">
        <v>18</v>
      </c>
      <c r="Q11" s="166">
        <v>2245.4505494505497</v>
      </c>
      <c r="R11" s="166">
        <v>124.74725274725276</v>
      </c>
      <c r="S11" s="182">
        <f t="shared" si="3"/>
        <v>4</v>
      </c>
      <c r="T11" s="455"/>
      <c r="U11" s="182">
        <v>18</v>
      </c>
      <c r="V11" s="166">
        <v>2167.5189873417721</v>
      </c>
      <c r="W11" s="166">
        <v>120.41772151898734</v>
      </c>
      <c r="X11" s="182">
        <f t="shared" si="5"/>
        <v>4</v>
      </c>
      <c r="Y11" s="455"/>
      <c r="Z11" s="182">
        <v>18</v>
      </c>
      <c r="AA11" s="166">
        <v>2131.090909090909</v>
      </c>
      <c r="AB11" s="166">
        <v>118.39393939393939</v>
      </c>
      <c r="AC11" s="182">
        <f t="shared" si="7"/>
        <v>4</v>
      </c>
      <c r="AD11" s="455"/>
      <c r="AE11" s="182">
        <v>18</v>
      </c>
      <c r="AF11" s="166">
        <v>2138.181818181818</v>
      </c>
      <c r="AG11" s="166">
        <v>118.78787878787878</v>
      </c>
      <c r="AH11" s="182">
        <f t="shared" si="9"/>
        <v>4</v>
      </c>
      <c r="AI11" s="455"/>
      <c r="AJ11" s="182">
        <v>18</v>
      </c>
      <c r="AK11" s="166">
        <v>2124.2553191489355</v>
      </c>
      <c r="AL11" s="166">
        <v>118.01418439716309</v>
      </c>
      <c r="AM11" s="182">
        <f t="shared" si="11"/>
        <v>4</v>
      </c>
      <c r="AN11" s="455"/>
      <c r="AO11" s="182">
        <v>18</v>
      </c>
      <c r="AP11" s="166">
        <v>2153.1034482758614</v>
      </c>
      <c r="AQ11" s="166">
        <v>119.61685823754786</v>
      </c>
      <c r="AR11" s="182">
        <f t="shared" si="13"/>
        <v>4</v>
      </c>
      <c r="AS11" s="455"/>
      <c r="AT11" s="182">
        <v>18</v>
      </c>
      <c r="AU11" s="166">
        <v>2174.6341463414637</v>
      </c>
      <c r="AV11" s="166">
        <v>120.81300813008131</v>
      </c>
      <c r="AW11" s="182">
        <f t="shared" si="15"/>
        <v>4</v>
      </c>
      <c r="AX11" s="455"/>
      <c r="AZ11" s="182" t="e">
        <f t="shared" si="17"/>
        <v>#N/A</v>
      </c>
      <c r="BA11" s="455"/>
    </row>
    <row r="12" spans="1:53" ht="13.5">
      <c r="A12" s="79"/>
      <c r="B12" s="454"/>
      <c r="C12" s="182">
        <v>6</v>
      </c>
      <c r="D12" s="203"/>
      <c r="E12" s="166"/>
      <c r="F12" s="166"/>
      <c r="G12" s="166"/>
      <c r="H12" s="512"/>
      <c r="I12" s="166" t="str">
        <f t="shared" si="0"/>
        <v>-</v>
      </c>
      <c r="J12" s="166" t="str">
        <f t="shared" si="1"/>
        <v>-</v>
      </c>
      <c r="K12" s="180" t="str">
        <f t="shared" si="2"/>
        <v>-</v>
      </c>
      <c r="L12" s="464"/>
      <c r="M12" s="181" t="e">
        <f>RANK(K12, K$7:$K$21)</f>
        <v>#VALUE!</v>
      </c>
      <c r="N12" s="461"/>
      <c r="O12" s="461"/>
      <c r="P12" s="182" t="s">
        <v>890</v>
      </c>
      <c r="Q12" s="166" t="s">
        <v>890</v>
      </c>
      <c r="R12" s="166" t="s">
        <v>890</v>
      </c>
      <c r="S12" s="182" t="e">
        <f t="shared" si="3"/>
        <v>#VALUE!</v>
      </c>
      <c r="T12" s="455"/>
      <c r="U12" s="182" t="s">
        <v>890</v>
      </c>
      <c r="V12" s="166" t="s">
        <v>890</v>
      </c>
      <c r="W12" s="166" t="s">
        <v>890</v>
      </c>
      <c r="X12" s="182" t="e">
        <f t="shared" si="5"/>
        <v>#VALUE!</v>
      </c>
      <c r="Y12" s="455"/>
      <c r="Z12" s="182" t="s">
        <v>890</v>
      </c>
      <c r="AA12" s="166" t="s">
        <v>890</v>
      </c>
      <c r="AB12" s="166" t="s">
        <v>890</v>
      </c>
      <c r="AC12" s="182" t="e">
        <f t="shared" si="7"/>
        <v>#VALUE!</v>
      </c>
      <c r="AD12" s="455"/>
      <c r="AE12" s="182" t="s">
        <v>890</v>
      </c>
      <c r="AF12" s="166" t="s">
        <v>890</v>
      </c>
      <c r="AG12" s="166" t="s">
        <v>890</v>
      </c>
      <c r="AH12" s="182" t="e">
        <f t="shared" si="9"/>
        <v>#VALUE!</v>
      </c>
      <c r="AI12" s="455"/>
      <c r="AJ12" s="182" t="s">
        <v>890</v>
      </c>
      <c r="AK12" s="166" t="s">
        <v>890</v>
      </c>
      <c r="AL12" s="166" t="s">
        <v>890</v>
      </c>
      <c r="AM12" s="182" t="e">
        <f t="shared" si="11"/>
        <v>#VALUE!</v>
      </c>
      <c r="AN12" s="455"/>
      <c r="AO12" s="182" t="s">
        <v>890</v>
      </c>
      <c r="AP12" s="166" t="s">
        <v>890</v>
      </c>
      <c r="AQ12" s="166" t="s">
        <v>890</v>
      </c>
      <c r="AR12" s="182" t="e">
        <f t="shared" si="13"/>
        <v>#VALUE!</v>
      </c>
      <c r="AS12" s="455"/>
      <c r="AT12" s="182" t="s">
        <v>890</v>
      </c>
      <c r="AU12" s="166" t="s">
        <v>890</v>
      </c>
      <c r="AV12" s="166" t="s">
        <v>890</v>
      </c>
      <c r="AW12" s="182" t="e">
        <f t="shared" si="15"/>
        <v>#VALUE!</v>
      </c>
      <c r="AX12" s="455"/>
      <c r="AZ12" s="182" t="e">
        <f t="shared" si="17"/>
        <v>#N/A</v>
      </c>
      <c r="BA12" s="455"/>
    </row>
    <row r="13" spans="1:53" ht="13.5">
      <c r="A13" s="79"/>
      <c r="B13" s="454"/>
      <c r="C13" s="182">
        <v>7</v>
      </c>
      <c r="D13" s="203"/>
      <c r="E13" s="166"/>
      <c r="F13" s="166"/>
      <c r="G13" s="166"/>
      <c r="H13" s="512"/>
      <c r="I13" s="166" t="str">
        <f t="shared" si="0"/>
        <v>-</v>
      </c>
      <c r="J13" s="166" t="str">
        <f t="shared" si="1"/>
        <v>-</v>
      </c>
      <c r="K13" s="180" t="str">
        <f t="shared" si="2"/>
        <v>-</v>
      </c>
      <c r="L13" s="464"/>
      <c r="M13" s="181" t="e">
        <f>RANK(K13, K$7:$K$21)</f>
        <v>#VALUE!</v>
      </c>
      <c r="N13" s="461"/>
      <c r="O13" s="461"/>
      <c r="P13" s="182" t="s">
        <v>890</v>
      </c>
      <c r="Q13" s="166" t="s">
        <v>890</v>
      </c>
      <c r="R13" s="166" t="s">
        <v>890</v>
      </c>
      <c r="S13" s="182" t="e">
        <f t="shared" si="3"/>
        <v>#VALUE!</v>
      </c>
      <c r="T13" s="455"/>
      <c r="U13" s="182" t="s">
        <v>890</v>
      </c>
      <c r="V13" s="166" t="s">
        <v>890</v>
      </c>
      <c r="W13" s="166" t="s">
        <v>890</v>
      </c>
      <c r="X13" s="182" t="e">
        <f t="shared" si="5"/>
        <v>#VALUE!</v>
      </c>
      <c r="Y13" s="455"/>
      <c r="Z13" s="182" t="s">
        <v>890</v>
      </c>
      <c r="AA13" s="166" t="s">
        <v>890</v>
      </c>
      <c r="AB13" s="166" t="s">
        <v>890</v>
      </c>
      <c r="AC13" s="182" t="e">
        <f t="shared" si="7"/>
        <v>#VALUE!</v>
      </c>
      <c r="AD13" s="455"/>
      <c r="AE13" s="182" t="s">
        <v>890</v>
      </c>
      <c r="AF13" s="166" t="s">
        <v>890</v>
      </c>
      <c r="AG13" s="166" t="s">
        <v>890</v>
      </c>
      <c r="AH13" s="182" t="e">
        <f t="shared" si="9"/>
        <v>#VALUE!</v>
      </c>
      <c r="AI13" s="455"/>
      <c r="AJ13" s="182" t="s">
        <v>890</v>
      </c>
      <c r="AK13" s="166" t="s">
        <v>890</v>
      </c>
      <c r="AL13" s="166" t="s">
        <v>890</v>
      </c>
      <c r="AM13" s="182" t="e">
        <f t="shared" si="11"/>
        <v>#VALUE!</v>
      </c>
      <c r="AN13" s="455"/>
      <c r="AO13" s="182" t="s">
        <v>890</v>
      </c>
      <c r="AP13" s="166" t="s">
        <v>890</v>
      </c>
      <c r="AQ13" s="166" t="s">
        <v>890</v>
      </c>
      <c r="AR13" s="182" t="e">
        <f t="shared" si="13"/>
        <v>#VALUE!</v>
      </c>
      <c r="AS13" s="455"/>
      <c r="AT13" s="182" t="s">
        <v>890</v>
      </c>
      <c r="AU13" s="166" t="s">
        <v>890</v>
      </c>
      <c r="AV13" s="166" t="s">
        <v>890</v>
      </c>
      <c r="AW13" s="182" t="e">
        <f t="shared" si="15"/>
        <v>#VALUE!</v>
      </c>
      <c r="AX13" s="455"/>
      <c r="AZ13" s="182" t="e">
        <f t="shared" si="17"/>
        <v>#N/A</v>
      </c>
      <c r="BA13" s="455"/>
    </row>
    <row r="14" spans="1:53" ht="13.5">
      <c r="A14" s="79"/>
      <c r="B14" s="454"/>
      <c r="C14" s="182">
        <v>8</v>
      </c>
      <c r="D14" s="203"/>
      <c r="E14" s="166"/>
      <c r="F14" s="166"/>
      <c r="G14" s="166"/>
      <c r="H14" s="512"/>
      <c r="I14" s="166" t="str">
        <f t="shared" si="0"/>
        <v>-</v>
      </c>
      <c r="J14" s="166" t="str">
        <f t="shared" si="1"/>
        <v>-</v>
      </c>
      <c r="K14" s="180" t="str">
        <f t="shared" si="2"/>
        <v>-</v>
      </c>
      <c r="L14" s="464"/>
      <c r="M14" s="181" t="e">
        <f>RANK(K14, K$7:$K$21)</f>
        <v>#VALUE!</v>
      </c>
      <c r="N14" s="461"/>
      <c r="O14" s="461"/>
      <c r="P14" s="182" t="s">
        <v>890</v>
      </c>
      <c r="Q14" s="166" t="s">
        <v>890</v>
      </c>
      <c r="R14" s="166" t="s">
        <v>890</v>
      </c>
      <c r="S14" s="182" t="e">
        <f t="shared" si="3"/>
        <v>#VALUE!</v>
      </c>
      <c r="T14" s="455"/>
      <c r="U14" s="182" t="s">
        <v>890</v>
      </c>
      <c r="V14" s="166" t="s">
        <v>890</v>
      </c>
      <c r="W14" s="166" t="s">
        <v>890</v>
      </c>
      <c r="X14" s="182" t="e">
        <f t="shared" si="5"/>
        <v>#VALUE!</v>
      </c>
      <c r="Y14" s="455"/>
      <c r="Z14" s="182" t="s">
        <v>890</v>
      </c>
      <c r="AA14" s="166" t="s">
        <v>890</v>
      </c>
      <c r="AB14" s="166" t="s">
        <v>890</v>
      </c>
      <c r="AC14" s="182" t="e">
        <f t="shared" si="7"/>
        <v>#VALUE!</v>
      </c>
      <c r="AD14" s="455"/>
      <c r="AE14" s="182" t="s">
        <v>890</v>
      </c>
      <c r="AF14" s="166" t="s">
        <v>890</v>
      </c>
      <c r="AG14" s="166" t="s">
        <v>890</v>
      </c>
      <c r="AH14" s="182" t="e">
        <f t="shared" si="9"/>
        <v>#VALUE!</v>
      </c>
      <c r="AI14" s="455"/>
      <c r="AJ14" s="182" t="s">
        <v>890</v>
      </c>
      <c r="AK14" s="166" t="s">
        <v>890</v>
      </c>
      <c r="AL14" s="166" t="s">
        <v>890</v>
      </c>
      <c r="AM14" s="182" t="e">
        <f t="shared" si="11"/>
        <v>#VALUE!</v>
      </c>
      <c r="AN14" s="455"/>
      <c r="AO14" s="182" t="s">
        <v>890</v>
      </c>
      <c r="AP14" s="166" t="s">
        <v>890</v>
      </c>
      <c r="AQ14" s="166" t="s">
        <v>890</v>
      </c>
      <c r="AR14" s="182" t="e">
        <f t="shared" si="13"/>
        <v>#VALUE!</v>
      </c>
      <c r="AS14" s="455"/>
      <c r="AT14" s="182" t="s">
        <v>890</v>
      </c>
      <c r="AU14" s="166" t="s">
        <v>890</v>
      </c>
      <c r="AV14" s="166" t="s">
        <v>890</v>
      </c>
      <c r="AW14" s="182" t="e">
        <f t="shared" si="15"/>
        <v>#VALUE!</v>
      </c>
      <c r="AX14" s="455"/>
      <c r="AZ14" s="182" t="e">
        <f t="shared" si="17"/>
        <v>#N/A</v>
      </c>
      <c r="BA14" s="455"/>
    </row>
    <row r="15" spans="1:53" ht="13.5">
      <c r="A15" s="79"/>
      <c r="B15" s="454"/>
      <c r="C15" s="182">
        <v>9</v>
      </c>
      <c r="D15" s="203"/>
      <c r="E15" s="166"/>
      <c r="F15" s="166"/>
      <c r="G15" s="166"/>
      <c r="H15" s="512"/>
      <c r="I15" s="166" t="str">
        <f t="shared" si="0"/>
        <v>-</v>
      </c>
      <c r="J15" s="166" t="str">
        <f t="shared" si="1"/>
        <v>-</v>
      </c>
      <c r="K15" s="180" t="str">
        <f t="shared" si="2"/>
        <v>-</v>
      </c>
      <c r="L15" s="464"/>
      <c r="M15" s="181" t="e">
        <f>RANK(K15, K$7:$K$21)</f>
        <v>#VALUE!</v>
      </c>
      <c r="N15" s="461"/>
      <c r="O15" s="461"/>
      <c r="P15" s="182" t="s">
        <v>890</v>
      </c>
      <c r="Q15" s="166" t="s">
        <v>890</v>
      </c>
      <c r="R15" s="166" t="s">
        <v>890</v>
      </c>
      <c r="S15" s="182" t="e">
        <f t="shared" si="3"/>
        <v>#VALUE!</v>
      </c>
      <c r="T15" s="455"/>
      <c r="U15" s="182" t="s">
        <v>890</v>
      </c>
      <c r="V15" s="166" t="s">
        <v>890</v>
      </c>
      <c r="W15" s="166" t="s">
        <v>890</v>
      </c>
      <c r="X15" s="182" t="e">
        <f t="shared" si="5"/>
        <v>#VALUE!</v>
      </c>
      <c r="Y15" s="455"/>
      <c r="Z15" s="182" t="s">
        <v>890</v>
      </c>
      <c r="AA15" s="166" t="s">
        <v>890</v>
      </c>
      <c r="AB15" s="166" t="s">
        <v>890</v>
      </c>
      <c r="AC15" s="182" t="e">
        <f t="shared" si="7"/>
        <v>#VALUE!</v>
      </c>
      <c r="AD15" s="455"/>
      <c r="AE15" s="182" t="s">
        <v>890</v>
      </c>
      <c r="AF15" s="166" t="s">
        <v>890</v>
      </c>
      <c r="AG15" s="166" t="s">
        <v>890</v>
      </c>
      <c r="AH15" s="182" t="e">
        <f t="shared" si="9"/>
        <v>#VALUE!</v>
      </c>
      <c r="AI15" s="455"/>
      <c r="AJ15" s="182" t="s">
        <v>890</v>
      </c>
      <c r="AK15" s="166" t="s">
        <v>890</v>
      </c>
      <c r="AL15" s="166" t="s">
        <v>890</v>
      </c>
      <c r="AM15" s="182" t="e">
        <f t="shared" si="11"/>
        <v>#VALUE!</v>
      </c>
      <c r="AN15" s="455"/>
      <c r="AO15" s="182" t="s">
        <v>890</v>
      </c>
      <c r="AP15" s="166" t="s">
        <v>890</v>
      </c>
      <c r="AQ15" s="166" t="s">
        <v>890</v>
      </c>
      <c r="AR15" s="182" t="e">
        <f t="shared" si="13"/>
        <v>#VALUE!</v>
      </c>
      <c r="AS15" s="455"/>
      <c r="AT15" s="182" t="s">
        <v>890</v>
      </c>
      <c r="AU15" s="166" t="s">
        <v>890</v>
      </c>
      <c r="AV15" s="166" t="s">
        <v>890</v>
      </c>
      <c r="AW15" s="182" t="e">
        <f t="shared" si="15"/>
        <v>#VALUE!</v>
      </c>
      <c r="AX15" s="455"/>
      <c r="AZ15" s="182" t="e">
        <f t="shared" si="17"/>
        <v>#N/A</v>
      </c>
      <c r="BA15" s="455"/>
    </row>
    <row r="16" spans="1:53" ht="13.5">
      <c r="A16" s="79"/>
      <c r="B16" s="454"/>
      <c r="C16" s="182">
        <v>10</v>
      </c>
      <c r="D16" s="203"/>
      <c r="E16" s="166"/>
      <c r="F16" s="166"/>
      <c r="G16" s="166"/>
      <c r="H16" s="512"/>
      <c r="I16" s="166" t="str">
        <f t="shared" si="0"/>
        <v>-</v>
      </c>
      <c r="J16" s="166" t="str">
        <f t="shared" si="1"/>
        <v>-</v>
      </c>
      <c r="K16" s="180" t="str">
        <f t="shared" si="2"/>
        <v>-</v>
      </c>
      <c r="L16" s="464"/>
      <c r="M16" s="181" t="e">
        <f>RANK(K16, K$7:$K$21)</f>
        <v>#VALUE!</v>
      </c>
      <c r="N16" s="461"/>
      <c r="O16" s="461"/>
      <c r="P16" s="182" t="s">
        <v>890</v>
      </c>
      <c r="Q16" s="166" t="s">
        <v>890</v>
      </c>
      <c r="R16" s="166" t="s">
        <v>890</v>
      </c>
      <c r="S16" s="182" t="e">
        <f t="shared" si="3"/>
        <v>#VALUE!</v>
      </c>
      <c r="T16" s="455"/>
      <c r="U16" s="182" t="s">
        <v>890</v>
      </c>
      <c r="V16" s="166" t="s">
        <v>890</v>
      </c>
      <c r="W16" s="166" t="s">
        <v>890</v>
      </c>
      <c r="X16" s="182" t="e">
        <f t="shared" si="5"/>
        <v>#VALUE!</v>
      </c>
      <c r="Y16" s="455"/>
      <c r="Z16" s="182" t="s">
        <v>890</v>
      </c>
      <c r="AA16" s="166" t="s">
        <v>890</v>
      </c>
      <c r="AB16" s="166" t="s">
        <v>890</v>
      </c>
      <c r="AC16" s="182" t="e">
        <f t="shared" si="7"/>
        <v>#VALUE!</v>
      </c>
      <c r="AD16" s="455"/>
      <c r="AE16" s="182" t="s">
        <v>890</v>
      </c>
      <c r="AF16" s="166" t="s">
        <v>890</v>
      </c>
      <c r="AG16" s="166" t="s">
        <v>890</v>
      </c>
      <c r="AH16" s="182" t="e">
        <f t="shared" si="9"/>
        <v>#VALUE!</v>
      </c>
      <c r="AI16" s="455"/>
      <c r="AJ16" s="182" t="s">
        <v>890</v>
      </c>
      <c r="AK16" s="166" t="s">
        <v>890</v>
      </c>
      <c r="AL16" s="166" t="s">
        <v>890</v>
      </c>
      <c r="AM16" s="182" t="e">
        <f t="shared" si="11"/>
        <v>#VALUE!</v>
      </c>
      <c r="AN16" s="455"/>
      <c r="AO16" s="182" t="s">
        <v>890</v>
      </c>
      <c r="AP16" s="166" t="s">
        <v>890</v>
      </c>
      <c r="AQ16" s="166" t="s">
        <v>890</v>
      </c>
      <c r="AR16" s="182" t="e">
        <f t="shared" si="13"/>
        <v>#VALUE!</v>
      </c>
      <c r="AS16" s="455"/>
      <c r="AT16" s="182" t="s">
        <v>890</v>
      </c>
      <c r="AU16" s="166" t="s">
        <v>890</v>
      </c>
      <c r="AV16" s="166" t="s">
        <v>890</v>
      </c>
      <c r="AW16" s="182" t="e">
        <f t="shared" si="15"/>
        <v>#VALUE!</v>
      </c>
      <c r="AX16" s="455"/>
      <c r="AZ16" s="182" t="e">
        <f t="shared" si="17"/>
        <v>#N/A</v>
      </c>
      <c r="BA16" s="455"/>
    </row>
    <row r="17" spans="2:53">
      <c r="B17" s="454"/>
      <c r="C17" s="182">
        <v>11</v>
      </c>
      <c r="D17" s="203"/>
      <c r="E17" s="166"/>
      <c r="F17" s="166"/>
      <c r="G17" s="166"/>
      <c r="H17" s="512"/>
      <c r="I17" s="166" t="str">
        <f t="shared" si="0"/>
        <v>-</v>
      </c>
      <c r="J17" s="166" t="str">
        <f t="shared" si="1"/>
        <v>-</v>
      </c>
      <c r="K17" s="180" t="str">
        <f t="shared" si="2"/>
        <v>-</v>
      </c>
      <c r="L17" s="464"/>
      <c r="M17" s="181" t="e">
        <f>RANK(K17, K$7:$K$21)</f>
        <v>#VALUE!</v>
      </c>
      <c r="N17" s="461"/>
      <c r="O17" s="461"/>
      <c r="P17" s="182" t="s">
        <v>890</v>
      </c>
      <c r="Q17" s="166" t="s">
        <v>890</v>
      </c>
      <c r="R17" s="166" t="s">
        <v>890</v>
      </c>
      <c r="S17" s="182" t="e">
        <f t="shared" si="3"/>
        <v>#VALUE!</v>
      </c>
      <c r="T17" s="455"/>
      <c r="U17" s="182" t="s">
        <v>890</v>
      </c>
      <c r="V17" s="166" t="s">
        <v>890</v>
      </c>
      <c r="W17" s="166" t="s">
        <v>890</v>
      </c>
      <c r="X17" s="182" t="e">
        <f t="shared" si="5"/>
        <v>#VALUE!</v>
      </c>
      <c r="Y17" s="455"/>
      <c r="Z17" s="182" t="s">
        <v>890</v>
      </c>
      <c r="AA17" s="166" t="s">
        <v>890</v>
      </c>
      <c r="AB17" s="166" t="s">
        <v>890</v>
      </c>
      <c r="AC17" s="182" t="e">
        <f t="shared" si="7"/>
        <v>#VALUE!</v>
      </c>
      <c r="AD17" s="455"/>
      <c r="AE17" s="182" t="s">
        <v>890</v>
      </c>
      <c r="AF17" s="166" t="s">
        <v>890</v>
      </c>
      <c r="AG17" s="166" t="s">
        <v>890</v>
      </c>
      <c r="AH17" s="182" t="e">
        <f t="shared" si="9"/>
        <v>#VALUE!</v>
      </c>
      <c r="AI17" s="455"/>
      <c r="AJ17" s="182" t="s">
        <v>890</v>
      </c>
      <c r="AK17" s="166" t="s">
        <v>890</v>
      </c>
      <c r="AL17" s="166" t="s">
        <v>890</v>
      </c>
      <c r="AM17" s="182" t="e">
        <f t="shared" si="11"/>
        <v>#VALUE!</v>
      </c>
      <c r="AN17" s="455"/>
      <c r="AO17" s="182" t="s">
        <v>890</v>
      </c>
      <c r="AP17" s="166" t="s">
        <v>890</v>
      </c>
      <c r="AQ17" s="166" t="s">
        <v>890</v>
      </c>
      <c r="AR17" s="182" t="e">
        <f t="shared" si="13"/>
        <v>#VALUE!</v>
      </c>
      <c r="AS17" s="455"/>
      <c r="AT17" s="182" t="s">
        <v>890</v>
      </c>
      <c r="AU17" s="166" t="s">
        <v>890</v>
      </c>
      <c r="AV17" s="166" t="s">
        <v>890</v>
      </c>
      <c r="AW17" s="182" t="e">
        <f t="shared" si="15"/>
        <v>#VALUE!</v>
      </c>
      <c r="AX17" s="455"/>
      <c r="AZ17" s="182" t="e">
        <f t="shared" si="17"/>
        <v>#N/A</v>
      </c>
      <c r="BA17" s="455"/>
    </row>
    <row r="18" spans="2:53">
      <c r="B18" s="454"/>
      <c r="C18" s="182">
        <v>12</v>
      </c>
      <c r="D18" s="203"/>
      <c r="E18" s="166"/>
      <c r="F18" s="166"/>
      <c r="G18" s="166"/>
      <c r="H18" s="512"/>
      <c r="I18" s="166" t="str">
        <f t="shared" si="0"/>
        <v>-</v>
      </c>
      <c r="J18" s="166" t="str">
        <f t="shared" si="1"/>
        <v>-</v>
      </c>
      <c r="K18" s="180" t="str">
        <f t="shared" si="2"/>
        <v>-</v>
      </c>
      <c r="L18" s="464"/>
      <c r="M18" s="181" t="e">
        <f>RANK(K18, K$7:$K$21)</f>
        <v>#VALUE!</v>
      </c>
      <c r="N18" s="461"/>
      <c r="O18" s="461"/>
      <c r="P18" s="182" t="s">
        <v>890</v>
      </c>
      <c r="Q18" s="166" t="s">
        <v>890</v>
      </c>
      <c r="R18" s="166" t="s">
        <v>890</v>
      </c>
      <c r="S18" s="182" t="e">
        <f t="shared" si="3"/>
        <v>#VALUE!</v>
      </c>
      <c r="T18" s="455"/>
      <c r="U18" s="182" t="s">
        <v>890</v>
      </c>
      <c r="V18" s="166" t="s">
        <v>890</v>
      </c>
      <c r="W18" s="166" t="s">
        <v>890</v>
      </c>
      <c r="X18" s="182" t="e">
        <f t="shared" si="5"/>
        <v>#VALUE!</v>
      </c>
      <c r="Y18" s="455"/>
      <c r="Z18" s="182" t="s">
        <v>890</v>
      </c>
      <c r="AA18" s="166" t="s">
        <v>890</v>
      </c>
      <c r="AB18" s="166" t="s">
        <v>890</v>
      </c>
      <c r="AC18" s="182" t="e">
        <f t="shared" si="7"/>
        <v>#VALUE!</v>
      </c>
      <c r="AD18" s="455"/>
      <c r="AE18" s="182" t="s">
        <v>890</v>
      </c>
      <c r="AF18" s="166" t="s">
        <v>890</v>
      </c>
      <c r="AG18" s="166" t="s">
        <v>890</v>
      </c>
      <c r="AH18" s="182" t="e">
        <f t="shared" si="9"/>
        <v>#VALUE!</v>
      </c>
      <c r="AI18" s="455"/>
      <c r="AJ18" s="182" t="s">
        <v>890</v>
      </c>
      <c r="AK18" s="166" t="s">
        <v>890</v>
      </c>
      <c r="AL18" s="166" t="s">
        <v>890</v>
      </c>
      <c r="AM18" s="182" t="e">
        <f t="shared" si="11"/>
        <v>#VALUE!</v>
      </c>
      <c r="AN18" s="455"/>
      <c r="AO18" s="182" t="s">
        <v>890</v>
      </c>
      <c r="AP18" s="166" t="s">
        <v>890</v>
      </c>
      <c r="AQ18" s="166" t="s">
        <v>890</v>
      </c>
      <c r="AR18" s="182" t="e">
        <f t="shared" si="13"/>
        <v>#VALUE!</v>
      </c>
      <c r="AS18" s="455"/>
      <c r="AT18" s="182" t="s">
        <v>890</v>
      </c>
      <c r="AU18" s="166" t="s">
        <v>890</v>
      </c>
      <c r="AV18" s="166" t="s">
        <v>890</v>
      </c>
      <c r="AW18" s="182" t="e">
        <f t="shared" si="15"/>
        <v>#VALUE!</v>
      </c>
      <c r="AX18" s="455"/>
      <c r="AZ18" s="182" t="e">
        <f t="shared" si="17"/>
        <v>#N/A</v>
      </c>
      <c r="BA18" s="455"/>
    </row>
    <row r="19" spans="2:53">
      <c r="B19" s="454"/>
      <c r="C19" s="182">
        <v>13</v>
      </c>
      <c r="D19" s="203"/>
      <c r="E19" s="166"/>
      <c r="F19" s="166"/>
      <c r="G19" s="166"/>
      <c r="H19" s="512"/>
      <c r="I19" s="166" t="str">
        <f t="shared" si="0"/>
        <v>-</v>
      </c>
      <c r="J19" s="166" t="str">
        <f t="shared" si="1"/>
        <v>-</v>
      </c>
      <c r="K19" s="180" t="str">
        <f t="shared" si="2"/>
        <v>-</v>
      </c>
      <c r="L19" s="464"/>
      <c r="M19" s="181" t="e">
        <f>RANK(K19, K$7:$K$21)</f>
        <v>#VALUE!</v>
      </c>
      <c r="N19" s="461"/>
      <c r="O19" s="461"/>
      <c r="P19" s="182" t="s">
        <v>890</v>
      </c>
      <c r="Q19" s="166" t="s">
        <v>890</v>
      </c>
      <c r="R19" s="166" t="s">
        <v>890</v>
      </c>
      <c r="S19" s="182" t="e">
        <f t="shared" si="3"/>
        <v>#VALUE!</v>
      </c>
      <c r="T19" s="455"/>
      <c r="U19" s="182" t="s">
        <v>890</v>
      </c>
      <c r="V19" s="166" t="s">
        <v>890</v>
      </c>
      <c r="W19" s="166" t="s">
        <v>890</v>
      </c>
      <c r="X19" s="182" t="e">
        <f t="shared" si="5"/>
        <v>#VALUE!</v>
      </c>
      <c r="Y19" s="455"/>
      <c r="Z19" s="182" t="s">
        <v>890</v>
      </c>
      <c r="AA19" s="166" t="s">
        <v>890</v>
      </c>
      <c r="AB19" s="166" t="s">
        <v>890</v>
      </c>
      <c r="AC19" s="182" t="e">
        <f t="shared" si="7"/>
        <v>#VALUE!</v>
      </c>
      <c r="AD19" s="455"/>
      <c r="AE19" s="182" t="s">
        <v>890</v>
      </c>
      <c r="AF19" s="166" t="s">
        <v>890</v>
      </c>
      <c r="AG19" s="166" t="s">
        <v>890</v>
      </c>
      <c r="AH19" s="182" t="e">
        <f t="shared" si="9"/>
        <v>#VALUE!</v>
      </c>
      <c r="AI19" s="455"/>
      <c r="AJ19" s="182" t="s">
        <v>890</v>
      </c>
      <c r="AK19" s="166" t="s">
        <v>890</v>
      </c>
      <c r="AL19" s="166" t="s">
        <v>890</v>
      </c>
      <c r="AM19" s="182" t="e">
        <f t="shared" si="11"/>
        <v>#VALUE!</v>
      </c>
      <c r="AN19" s="455"/>
      <c r="AO19" s="182" t="s">
        <v>890</v>
      </c>
      <c r="AP19" s="166" t="s">
        <v>890</v>
      </c>
      <c r="AQ19" s="166" t="s">
        <v>890</v>
      </c>
      <c r="AR19" s="182" t="e">
        <f t="shared" si="13"/>
        <v>#VALUE!</v>
      </c>
      <c r="AS19" s="455"/>
      <c r="AT19" s="182" t="s">
        <v>890</v>
      </c>
      <c r="AU19" s="166" t="s">
        <v>890</v>
      </c>
      <c r="AV19" s="166" t="s">
        <v>890</v>
      </c>
      <c r="AW19" s="182" t="e">
        <f t="shared" si="15"/>
        <v>#VALUE!</v>
      </c>
      <c r="AX19" s="455"/>
      <c r="AZ19" s="182" t="e">
        <f t="shared" si="17"/>
        <v>#N/A</v>
      </c>
      <c r="BA19" s="455"/>
    </row>
    <row r="20" spans="2:53">
      <c r="B20" s="454"/>
      <c r="C20" s="182">
        <v>14</v>
      </c>
      <c r="D20" s="203"/>
      <c r="E20" s="166"/>
      <c r="F20" s="166"/>
      <c r="G20" s="166"/>
      <c r="H20" s="512"/>
      <c r="I20" s="166" t="str">
        <f t="shared" si="0"/>
        <v>-</v>
      </c>
      <c r="J20" s="166" t="str">
        <f t="shared" si="1"/>
        <v>-</v>
      </c>
      <c r="K20" s="180" t="str">
        <f t="shared" si="2"/>
        <v>-</v>
      </c>
      <c r="L20" s="464"/>
      <c r="M20" s="181" t="e">
        <f>RANK(K20, K$7:$K$21)</f>
        <v>#VALUE!</v>
      </c>
      <c r="N20" s="461"/>
      <c r="O20" s="461"/>
      <c r="P20" s="182" t="s">
        <v>890</v>
      </c>
      <c r="Q20" s="166" t="s">
        <v>890</v>
      </c>
      <c r="R20" s="166" t="s">
        <v>890</v>
      </c>
      <c r="S20" s="182" t="e">
        <f t="shared" si="3"/>
        <v>#VALUE!</v>
      </c>
      <c r="T20" s="455"/>
      <c r="U20" s="182" t="s">
        <v>890</v>
      </c>
      <c r="V20" s="166" t="s">
        <v>890</v>
      </c>
      <c r="W20" s="166" t="s">
        <v>890</v>
      </c>
      <c r="X20" s="182" t="e">
        <f t="shared" si="5"/>
        <v>#VALUE!</v>
      </c>
      <c r="Y20" s="455"/>
      <c r="Z20" s="182" t="s">
        <v>890</v>
      </c>
      <c r="AA20" s="166" t="s">
        <v>890</v>
      </c>
      <c r="AB20" s="166" t="s">
        <v>890</v>
      </c>
      <c r="AC20" s="182" t="e">
        <f t="shared" si="7"/>
        <v>#VALUE!</v>
      </c>
      <c r="AD20" s="455"/>
      <c r="AE20" s="182" t="s">
        <v>890</v>
      </c>
      <c r="AF20" s="166" t="s">
        <v>890</v>
      </c>
      <c r="AG20" s="166" t="s">
        <v>890</v>
      </c>
      <c r="AH20" s="182" t="e">
        <f t="shared" si="9"/>
        <v>#VALUE!</v>
      </c>
      <c r="AI20" s="455"/>
      <c r="AJ20" s="182" t="s">
        <v>890</v>
      </c>
      <c r="AK20" s="166" t="s">
        <v>890</v>
      </c>
      <c r="AL20" s="166" t="s">
        <v>890</v>
      </c>
      <c r="AM20" s="182" t="e">
        <f t="shared" si="11"/>
        <v>#VALUE!</v>
      </c>
      <c r="AN20" s="455"/>
      <c r="AO20" s="182" t="s">
        <v>890</v>
      </c>
      <c r="AP20" s="166" t="s">
        <v>890</v>
      </c>
      <c r="AQ20" s="166" t="s">
        <v>890</v>
      </c>
      <c r="AR20" s="182" t="e">
        <f t="shared" si="13"/>
        <v>#VALUE!</v>
      </c>
      <c r="AS20" s="455"/>
      <c r="AT20" s="182" t="s">
        <v>890</v>
      </c>
      <c r="AU20" s="166" t="s">
        <v>890</v>
      </c>
      <c r="AV20" s="166" t="s">
        <v>890</v>
      </c>
      <c r="AW20" s="182" t="e">
        <f t="shared" si="15"/>
        <v>#VALUE!</v>
      </c>
      <c r="AX20" s="455"/>
      <c r="AZ20" s="182" t="e">
        <f t="shared" si="17"/>
        <v>#N/A</v>
      </c>
      <c r="BA20" s="455"/>
    </row>
    <row r="21" spans="2:53">
      <c r="B21" s="454"/>
      <c r="C21" s="182">
        <v>15</v>
      </c>
      <c r="D21" s="203"/>
      <c r="E21" s="166"/>
      <c r="F21" s="166"/>
      <c r="G21" s="166"/>
      <c r="H21" s="513"/>
      <c r="I21" s="182"/>
      <c r="J21" s="182"/>
      <c r="K21" s="182"/>
      <c r="L21" s="465"/>
      <c r="M21" s="181" t="e">
        <f>RANK(K21, K$7:$K$21)</f>
        <v>#N/A</v>
      </c>
      <c r="N21" s="461"/>
      <c r="O21" s="461"/>
      <c r="P21" s="182" t="s">
        <v>890</v>
      </c>
      <c r="Q21" s="166" t="s">
        <v>890</v>
      </c>
      <c r="R21" s="166" t="s">
        <v>890</v>
      </c>
      <c r="S21" s="182" t="e">
        <f t="shared" si="3"/>
        <v>#VALUE!</v>
      </c>
      <c r="T21" s="455"/>
      <c r="U21" s="182" t="s">
        <v>890</v>
      </c>
      <c r="V21" s="166" t="s">
        <v>890</v>
      </c>
      <c r="W21" s="166" t="s">
        <v>890</v>
      </c>
      <c r="X21" s="182" t="e">
        <f t="shared" si="5"/>
        <v>#VALUE!</v>
      </c>
      <c r="Y21" s="455"/>
      <c r="Z21" s="182" t="s">
        <v>890</v>
      </c>
      <c r="AA21" s="166" t="s">
        <v>890</v>
      </c>
      <c r="AB21" s="166" t="s">
        <v>890</v>
      </c>
      <c r="AC21" s="182" t="e">
        <f t="shared" si="7"/>
        <v>#VALUE!</v>
      </c>
      <c r="AD21" s="455"/>
      <c r="AE21" s="182" t="s">
        <v>890</v>
      </c>
      <c r="AF21" s="166" t="s">
        <v>890</v>
      </c>
      <c r="AG21" s="166" t="s">
        <v>890</v>
      </c>
      <c r="AH21" s="182" t="e">
        <f t="shared" si="9"/>
        <v>#VALUE!</v>
      </c>
      <c r="AI21" s="455"/>
      <c r="AJ21" s="182" t="s">
        <v>890</v>
      </c>
      <c r="AK21" s="166" t="s">
        <v>890</v>
      </c>
      <c r="AL21" s="166" t="s">
        <v>890</v>
      </c>
      <c r="AM21" s="182" t="e">
        <f t="shared" si="11"/>
        <v>#VALUE!</v>
      </c>
      <c r="AN21" s="455"/>
      <c r="AO21" s="182" t="s">
        <v>890</v>
      </c>
      <c r="AP21" s="166" t="s">
        <v>890</v>
      </c>
      <c r="AQ21" s="166" t="s">
        <v>890</v>
      </c>
      <c r="AR21" s="182" t="e">
        <f t="shared" si="13"/>
        <v>#VALUE!</v>
      </c>
      <c r="AS21" s="455"/>
      <c r="AT21" s="182" t="s">
        <v>890</v>
      </c>
      <c r="AU21" s="166" t="s">
        <v>890</v>
      </c>
      <c r="AV21" s="166" t="s">
        <v>890</v>
      </c>
      <c r="AW21" s="182" t="e">
        <f t="shared" si="15"/>
        <v>#VALUE!</v>
      </c>
      <c r="AX21" s="455"/>
      <c r="AZ21" s="182" t="e">
        <f t="shared" si="17"/>
        <v>#N/A</v>
      </c>
      <c r="BA21" s="455"/>
    </row>
    <row r="22" spans="2:53" ht="15.5">
      <c r="B22" s="493" t="s">
        <v>163</v>
      </c>
      <c r="C22" s="494"/>
      <c r="D22" s="494"/>
      <c r="E22" s="494"/>
      <c r="F22" s="494"/>
      <c r="G22" s="494"/>
      <c r="H22" s="494"/>
      <c r="I22" s="183"/>
      <c r="J22" s="183"/>
      <c r="K22" s="183"/>
      <c r="L22" s="183"/>
      <c r="M22" s="178"/>
      <c r="N22" s="480" t="s">
        <v>156</v>
      </c>
      <c r="O22" s="480" t="s">
        <v>105</v>
      </c>
      <c r="P22" s="476">
        <f>P2+7</f>
        <v>46119</v>
      </c>
      <c r="Q22" s="454"/>
      <c r="R22" s="454"/>
      <c r="S22" s="454"/>
      <c r="T22" s="454"/>
      <c r="U22" s="473">
        <f>P22+1</f>
        <v>46120</v>
      </c>
      <c r="V22" s="474"/>
      <c r="W22" s="474"/>
      <c r="X22" s="474"/>
      <c r="Y22" s="475"/>
      <c r="Z22" s="473">
        <f>U22+1</f>
        <v>46121</v>
      </c>
      <c r="AA22" s="474"/>
      <c r="AB22" s="474"/>
      <c r="AC22" s="474"/>
      <c r="AD22" s="475"/>
      <c r="AE22" s="473">
        <f>Z22+1</f>
        <v>46122</v>
      </c>
      <c r="AF22" s="474"/>
      <c r="AG22" s="474"/>
      <c r="AH22" s="474"/>
      <c r="AI22" s="475"/>
      <c r="AJ22" s="473">
        <f>AE22+1</f>
        <v>46123</v>
      </c>
      <c r="AK22" s="474"/>
      <c r="AL22" s="474"/>
      <c r="AM22" s="474"/>
      <c r="AN22" s="475"/>
      <c r="AO22" s="473">
        <f>AJ22+1</f>
        <v>46124</v>
      </c>
      <c r="AP22" s="474"/>
      <c r="AQ22" s="474"/>
      <c r="AR22" s="474"/>
      <c r="AS22" s="475"/>
      <c r="AT22" s="473">
        <f>AO22+1</f>
        <v>46125</v>
      </c>
      <c r="AU22" s="474"/>
      <c r="AV22" s="474"/>
      <c r="AW22" s="474"/>
      <c r="AX22" s="475"/>
    </row>
    <row r="23" spans="2:53" ht="15.5">
      <c r="B23" s="479"/>
      <c r="C23" s="479"/>
      <c r="D23" s="479"/>
      <c r="E23" s="479"/>
      <c r="F23" s="479"/>
      <c r="G23" s="479"/>
      <c r="H23" s="479"/>
      <c r="I23" s="184"/>
      <c r="J23" s="184"/>
      <c r="K23" s="184"/>
      <c r="L23" s="184"/>
      <c r="M23" s="179"/>
      <c r="N23" s="481"/>
      <c r="O23" s="481"/>
      <c r="P23" s="476" t="s">
        <v>336</v>
      </c>
      <c r="Q23" s="454"/>
      <c r="R23" s="454"/>
      <c r="S23" s="454"/>
      <c r="T23" s="454"/>
      <c r="U23" s="476" t="s">
        <v>337</v>
      </c>
      <c r="V23" s="454"/>
      <c r="W23" s="454"/>
      <c r="X23" s="454"/>
      <c r="Y23" s="454"/>
      <c r="Z23" s="476" t="s">
        <v>338</v>
      </c>
      <c r="AA23" s="454"/>
      <c r="AB23" s="454"/>
      <c r="AC23" s="454"/>
      <c r="AD23" s="454"/>
      <c r="AE23" s="476" t="s">
        <v>339</v>
      </c>
      <c r="AF23" s="454"/>
      <c r="AG23" s="454"/>
      <c r="AH23" s="454"/>
      <c r="AI23" s="454"/>
      <c r="AJ23" s="476" t="s">
        <v>340</v>
      </c>
      <c r="AK23" s="454"/>
      <c r="AL23" s="454"/>
      <c r="AM23" s="454"/>
      <c r="AN23" s="454"/>
      <c r="AO23" s="476" t="s">
        <v>341</v>
      </c>
      <c r="AP23" s="454"/>
      <c r="AQ23" s="454"/>
      <c r="AR23" s="454"/>
      <c r="AS23" s="454"/>
      <c r="AT23" s="476" t="s">
        <v>342</v>
      </c>
      <c r="AU23" s="454"/>
      <c r="AV23" s="454"/>
      <c r="AW23" s="454"/>
      <c r="AX23" s="454"/>
    </row>
    <row r="24" spans="2:53">
      <c r="B24" s="461" t="s">
        <v>154</v>
      </c>
      <c r="C24" s="461" t="s">
        <v>503</v>
      </c>
      <c r="D24" s="461"/>
      <c r="E24" s="461" t="s">
        <v>504</v>
      </c>
      <c r="F24" s="461"/>
      <c r="G24" s="461"/>
      <c r="H24" s="482" t="s">
        <v>396</v>
      </c>
      <c r="I24" s="461" t="s">
        <v>401</v>
      </c>
      <c r="J24" s="461"/>
      <c r="K24" s="461"/>
      <c r="L24" s="482" t="s">
        <v>396</v>
      </c>
      <c r="M24" s="480" t="s">
        <v>498</v>
      </c>
      <c r="N24" s="461"/>
      <c r="O24" s="461" t="s">
        <v>402</v>
      </c>
      <c r="P24" s="466" t="s">
        <v>506</v>
      </c>
      <c r="Q24" s="467"/>
      <c r="R24" s="467"/>
      <c r="S24" s="468"/>
      <c r="T24" s="461" t="s">
        <v>396</v>
      </c>
      <c r="U24" s="466" t="s">
        <v>506</v>
      </c>
      <c r="V24" s="467"/>
      <c r="W24" s="467"/>
      <c r="X24" s="468"/>
      <c r="Y24" s="461" t="s">
        <v>505</v>
      </c>
      <c r="Z24" s="466" t="s">
        <v>398</v>
      </c>
      <c r="AA24" s="467"/>
      <c r="AB24" s="467"/>
      <c r="AC24" s="468"/>
      <c r="AD24" s="461" t="s">
        <v>396</v>
      </c>
      <c r="AE24" s="466" t="s">
        <v>398</v>
      </c>
      <c r="AF24" s="467"/>
      <c r="AG24" s="467"/>
      <c r="AH24" s="468"/>
      <c r="AI24" s="461" t="s">
        <v>505</v>
      </c>
      <c r="AJ24" s="466" t="s">
        <v>398</v>
      </c>
      <c r="AK24" s="467"/>
      <c r="AL24" s="467"/>
      <c r="AM24" s="468"/>
      <c r="AN24" s="461" t="s">
        <v>396</v>
      </c>
      <c r="AO24" s="466" t="s">
        <v>506</v>
      </c>
      <c r="AP24" s="467"/>
      <c r="AQ24" s="467"/>
      <c r="AR24" s="468"/>
      <c r="AS24" s="461" t="s">
        <v>396</v>
      </c>
      <c r="AT24" s="466" t="s">
        <v>506</v>
      </c>
      <c r="AU24" s="467"/>
      <c r="AV24" s="467"/>
      <c r="AW24" s="468"/>
      <c r="AX24" s="461" t="s">
        <v>396</v>
      </c>
      <c r="BA24" s="461" t="s">
        <v>396</v>
      </c>
    </row>
    <row r="25" spans="2:53">
      <c r="B25" s="461"/>
      <c r="C25" s="461"/>
      <c r="D25" s="461"/>
      <c r="E25" s="461" t="s">
        <v>507</v>
      </c>
      <c r="F25" s="461"/>
      <c r="G25" s="461"/>
      <c r="H25" s="483"/>
      <c r="I25" s="461" t="s">
        <v>507</v>
      </c>
      <c r="J25" s="461"/>
      <c r="K25" s="461"/>
      <c r="L25" s="483"/>
      <c r="M25" s="485"/>
      <c r="N25" s="461"/>
      <c r="O25" s="461"/>
      <c r="P25" s="466" t="s">
        <v>404</v>
      </c>
      <c r="Q25" s="467"/>
      <c r="R25" s="467"/>
      <c r="S25" s="468"/>
      <c r="T25" s="461"/>
      <c r="U25" s="466" t="s">
        <v>404</v>
      </c>
      <c r="V25" s="467"/>
      <c r="W25" s="467"/>
      <c r="X25" s="468"/>
      <c r="Y25" s="461"/>
      <c r="Z25" s="466" t="s">
        <v>508</v>
      </c>
      <c r="AA25" s="467"/>
      <c r="AB25" s="467"/>
      <c r="AC25" s="468"/>
      <c r="AD25" s="461"/>
      <c r="AE25" s="466" t="s">
        <v>508</v>
      </c>
      <c r="AF25" s="467"/>
      <c r="AG25" s="467"/>
      <c r="AH25" s="468"/>
      <c r="AI25" s="461"/>
      <c r="AJ25" s="466" t="s">
        <v>404</v>
      </c>
      <c r="AK25" s="467"/>
      <c r="AL25" s="467"/>
      <c r="AM25" s="468"/>
      <c r="AN25" s="461"/>
      <c r="AO25" s="466" t="s">
        <v>404</v>
      </c>
      <c r="AP25" s="467"/>
      <c r="AQ25" s="467"/>
      <c r="AR25" s="468"/>
      <c r="AS25" s="461"/>
      <c r="AT25" s="466" t="s">
        <v>508</v>
      </c>
      <c r="AU25" s="467"/>
      <c r="AV25" s="467"/>
      <c r="AW25" s="468"/>
      <c r="AX25" s="461"/>
      <c r="BA25" s="461"/>
    </row>
    <row r="26" spans="2:53">
      <c r="B26" s="461"/>
      <c r="C26" s="461"/>
      <c r="D26" s="461"/>
      <c r="E26" s="269" t="s">
        <v>405</v>
      </c>
      <c r="F26" s="269" t="s">
        <v>406</v>
      </c>
      <c r="G26" s="269" t="s">
        <v>407</v>
      </c>
      <c r="H26" s="484"/>
      <c r="I26" s="269" t="s">
        <v>509</v>
      </c>
      <c r="J26" s="269" t="s">
        <v>510</v>
      </c>
      <c r="K26" s="269" t="s">
        <v>511</v>
      </c>
      <c r="L26" s="484"/>
      <c r="M26" s="481"/>
      <c r="N26" s="461"/>
      <c r="O26" s="461"/>
      <c r="P26" s="269" t="s">
        <v>509</v>
      </c>
      <c r="Q26" s="269" t="s">
        <v>406</v>
      </c>
      <c r="R26" s="269" t="s">
        <v>407</v>
      </c>
      <c r="S26" s="269" t="s">
        <v>397</v>
      </c>
      <c r="T26" s="461"/>
      <c r="U26" s="269" t="s">
        <v>405</v>
      </c>
      <c r="V26" s="269" t="s">
        <v>510</v>
      </c>
      <c r="W26" s="269" t="s">
        <v>511</v>
      </c>
      <c r="X26" s="269" t="s">
        <v>397</v>
      </c>
      <c r="Y26" s="461"/>
      <c r="Z26" s="269" t="s">
        <v>509</v>
      </c>
      <c r="AA26" s="269" t="s">
        <v>510</v>
      </c>
      <c r="AB26" s="269" t="s">
        <v>407</v>
      </c>
      <c r="AC26" s="269" t="s">
        <v>397</v>
      </c>
      <c r="AD26" s="461"/>
      <c r="AE26" s="269" t="s">
        <v>509</v>
      </c>
      <c r="AF26" s="269" t="s">
        <v>512</v>
      </c>
      <c r="AG26" s="269" t="s">
        <v>407</v>
      </c>
      <c r="AH26" s="269" t="s">
        <v>513</v>
      </c>
      <c r="AI26" s="461"/>
      <c r="AJ26" s="269" t="s">
        <v>405</v>
      </c>
      <c r="AK26" s="269" t="s">
        <v>510</v>
      </c>
      <c r="AL26" s="269" t="s">
        <v>407</v>
      </c>
      <c r="AM26" s="269" t="s">
        <v>397</v>
      </c>
      <c r="AN26" s="461"/>
      <c r="AO26" s="269" t="s">
        <v>405</v>
      </c>
      <c r="AP26" s="269" t="s">
        <v>510</v>
      </c>
      <c r="AQ26" s="269" t="s">
        <v>511</v>
      </c>
      <c r="AR26" s="269" t="s">
        <v>397</v>
      </c>
      <c r="AS26" s="461"/>
      <c r="AT26" s="269" t="s">
        <v>405</v>
      </c>
      <c r="AU26" s="269" t="s">
        <v>510</v>
      </c>
      <c r="AV26" s="269" t="s">
        <v>407</v>
      </c>
      <c r="AW26" s="269" t="s">
        <v>397</v>
      </c>
      <c r="AX26" s="461"/>
      <c r="AZ26" s="269" t="s">
        <v>397</v>
      </c>
      <c r="BA26" s="461"/>
    </row>
    <row r="27" spans="2:53">
      <c r="B27" s="461" t="s">
        <v>514</v>
      </c>
      <c r="C27" s="182">
        <v>1</v>
      </c>
      <c r="D27" s="203"/>
      <c r="E27" s="166"/>
      <c r="F27" s="166"/>
      <c r="G27" s="166"/>
      <c r="H27" s="463" t="e">
        <f>AVERAGE(G27:G41)</f>
        <v>#DIV/0!</v>
      </c>
      <c r="I27" s="166" t="str">
        <f t="shared" ref="I27:I40" si="19">IFERROR(AVERAGE(P27,U27,Z27,AE27,AJ27,AO27,AT27),"-")</f>
        <v>-</v>
      </c>
      <c r="J27" s="166" t="str">
        <f t="shared" ref="J27:J40" si="20">IFERROR(AVERAGE(Q27,V27,AA27,AF27,AK27,AP27,AU27),"-")</f>
        <v>-</v>
      </c>
      <c r="K27" s="180" t="str">
        <f t="shared" ref="K27:K40" si="21">IFERROR(AVERAGE(R27,W27,AB27,AG27,AL27,AQ27,AV27),"-")</f>
        <v>-</v>
      </c>
      <c r="L27" s="463" t="str">
        <f>IFERROR(AVERAGE(K27:K41),"-")</f>
        <v>-</v>
      </c>
      <c r="M27" s="181" t="e">
        <f>RANK(K27, K$27:$K$41)</f>
        <v>#VALUE!</v>
      </c>
      <c r="N27" s="461"/>
      <c r="O27" s="461"/>
      <c r="P27" s="182"/>
      <c r="Q27" s="166"/>
      <c r="R27" s="166"/>
      <c r="S27" s="182" t="e">
        <f t="shared" ref="S27:S41" si="22">RANK(R27, R$27:R$41)</f>
        <v>#N/A</v>
      </c>
      <c r="T27" s="487" t="e">
        <f>AVERAGE(R27:R41)</f>
        <v>#DIV/0!</v>
      </c>
      <c r="U27" s="182"/>
      <c r="V27" s="166"/>
      <c r="W27" s="166"/>
      <c r="X27" s="182" t="e">
        <f t="shared" ref="X27:X41" si="23">RANK(W27, W$27:W$41)</f>
        <v>#N/A</v>
      </c>
      <c r="Y27" s="487" t="e">
        <f t="shared" ref="Y27" si="24">AVERAGE(W27:W41)</f>
        <v>#DIV/0!</v>
      </c>
      <c r="Z27" s="182"/>
      <c r="AA27" s="166"/>
      <c r="AB27" s="166"/>
      <c r="AC27" s="182" t="e">
        <f t="shared" ref="AC27:AC41" si="25">RANK(AB27, AB$27:AB$41)</f>
        <v>#N/A</v>
      </c>
      <c r="AD27" s="487" t="e">
        <f t="shared" ref="AD27" si="26">AVERAGE(AB27:AB41)</f>
        <v>#DIV/0!</v>
      </c>
      <c r="AE27" s="182"/>
      <c r="AF27" s="166"/>
      <c r="AG27" s="166"/>
      <c r="AH27" s="182" t="e">
        <f t="shared" ref="AH27:AH41" si="27">RANK(AG27, AG$27:AG$41)</f>
        <v>#N/A</v>
      </c>
      <c r="AI27" s="487" t="e">
        <f t="shared" ref="AI27" si="28">AVERAGE(AG27:AG41)</f>
        <v>#DIV/0!</v>
      </c>
      <c r="AJ27" s="182"/>
      <c r="AK27" s="166"/>
      <c r="AL27" s="166"/>
      <c r="AM27" s="182" t="e">
        <f t="shared" ref="AM27:AM41" si="29">RANK(AL27, AL$27:AL$41)</f>
        <v>#N/A</v>
      </c>
      <c r="AN27" s="487" t="e">
        <f t="shared" ref="AN27" si="30">AVERAGE(AL27:AL41)</f>
        <v>#DIV/0!</v>
      </c>
      <c r="AO27" s="182"/>
      <c r="AP27" s="166"/>
      <c r="AQ27" s="166"/>
      <c r="AR27" s="182" t="e">
        <f t="shared" ref="AR27:AR41" si="31">RANK(AQ27, AQ$27:AQ$41)</f>
        <v>#N/A</v>
      </c>
      <c r="AS27" s="487" t="e">
        <f t="shared" ref="AS27" si="32">AVERAGE(AQ27:AQ41)</f>
        <v>#DIV/0!</v>
      </c>
      <c r="AT27" s="182"/>
      <c r="AU27" s="166"/>
      <c r="AV27" s="166"/>
      <c r="AW27" s="182" t="e">
        <f t="shared" ref="AW27:AW41" si="33">RANK(AV27, AV$27:AV$41)</f>
        <v>#N/A</v>
      </c>
      <c r="AX27" s="487" t="e">
        <f t="shared" ref="AX27" si="34">AVERAGE(AV27:AV41)</f>
        <v>#DIV/0!</v>
      </c>
      <c r="AZ27" s="182" t="e">
        <f t="shared" ref="AZ27:AZ41" si="35">RANK(AY27, AY$27:AY$41)</f>
        <v>#N/A</v>
      </c>
      <c r="BA27" s="487" t="e">
        <f t="shared" ref="BA27" si="36">AVERAGE(AY27:AY41)</f>
        <v>#DIV/0!</v>
      </c>
    </row>
    <row r="28" spans="2:53">
      <c r="B28" s="454"/>
      <c r="C28" s="182">
        <v>2</v>
      </c>
      <c r="D28" s="203"/>
      <c r="E28" s="166"/>
      <c r="F28" s="166"/>
      <c r="G28" s="166"/>
      <c r="H28" s="464"/>
      <c r="I28" s="166" t="str">
        <f t="shared" si="19"/>
        <v>-</v>
      </c>
      <c r="J28" s="166" t="str">
        <f t="shared" si="20"/>
        <v>-</v>
      </c>
      <c r="K28" s="180" t="str">
        <f t="shared" si="21"/>
        <v>-</v>
      </c>
      <c r="L28" s="464"/>
      <c r="M28" s="181" t="e">
        <f>RANK(K28, K$27:$K$41)</f>
        <v>#VALUE!</v>
      </c>
      <c r="N28" s="461"/>
      <c r="O28" s="461"/>
      <c r="P28" s="182"/>
      <c r="Q28" s="166"/>
      <c r="R28" s="166"/>
      <c r="S28" s="182" t="e">
        <f t="shared" si="22"/>
        <v>#N/A</v>
      </c>
      <c r="T28" s="488"/>
      <c r="U28" s="182"/>
      <c r="V28" s="166"/>
      <c r="W28" s="166"/>
      <c r="X28" s="182" t="e">
        <f t="shared" si="23"/>
        <v>#N/A</v>
      </c>
      <c r="Y28" s="488"/>
      <c r="Z28" s="182"/>
      <c r="AA28" s="166"/>
      <c r="AB28" s="166"/>
      <c r="AC28" s="182" t="e">
        <f t="shared" si="25"/>
        <v>#N/A</v>
      </c>
      <c r="AD28" s="488"/>
      <c r="AE28" s="182"/>
      <c r="AF28" s="166"/>
      <c r="AG28" s="166"/>
      <c r="AH28" s="182" t="e">
        <f t="shared" si="27"/>
        <v>#N/A</v>
      </c>
      <c r="AI28" s="488"/>
      <c r="AJ28" s="182"/>
      <c r="AK28" s="166"/>
      <c r="AL28" s="166"/>
      <c r="AM28" s="182" t="e">
        <f t="shared" si="29"/>
        <v>#N/A</v>
      </c>
      <c r="AN28" s="488"/>
      <c r="AO28" s="182"/>
      <c r="AP28" s="166"/>
      <c r="AQ28" s="166"/>
      <c r="AR28" s="182" t="e">
        <f t="shared" si="31"/>
        <v>#N/A</v>
      </c>
      <c r="AS28" s="488"/>
      <c r="AT28" s="182"/>
      <c r="AU28" s="166"/>
      <c r="AV28" s="166"/>
      <c r="AW28" s="182" t="e">
        <f t="shared" si="33"/>
        <v>#N/A</v>
      </c>
      <c r="AX28" s="488"/>
      <c r="AZ28" s="182" t="e">
        <f t="shared" si="35"/>
        <v>#N/A</v>
      </c>
      <c r="BA28" s="488"/>
    </row>
    <row r="29" spans="2:53">
      <c r="B29" s="454"/>
      <c r="C29" s="182">
        <v>3</v>
      </c>
      <c r="D29" s="203"/>
      <c r="E29" s="166"/>
      <c r="F29" s="166"/>
      <c r="G29" s="166"/>
      <c r="H29" s="464"/>
      <c r="I29" s="166" t="str">
        <f t="shared" si="19"/>
        <v>-</v>
      </c>
      <c r="J29" s="166" t="str">
        <f t="shared" si="20"/>
        <v>-</v>
      </c>
      <c r="K29" s="180" t="str">
        <f t="shared" si="21"/>
        <v>-</v>
      </c>
      <c r="L29" s="464"/>
      <c r="M29" s="181" t="e">
        <f>RANK(K29, K$27:$K$41)</f>
        <v>#VALUE!</v>
      </c>
      <c r="N29" s="461"/>
      <c r="O29" s="461"/>
      <c r="P29" s="182"/>
      <c r="Q29" s="166"/>
      <c r="R29" s="166"/>
      <c r="S29" s="182" t="e">
        <f t="shared" si="22"/>
        <v>#N/A</v>
      </c>
      <c r="T29" s="488"/>
      <c r="U29" s="182"/>
      <c r="V29" s="166"/>
      <c r="W29" s="166"/>
      <c r="X29" s="182" t="e">
        <f t="shared" si="23"/>
        <v>#N/A</v>
      </c>
      <c r="Y29" s="488"/>
      <c r="Z29" s="182"/>
      <c r="AA29" s="166"/>
      <c r="AB29" s="166"/>
      <c r="AC29" s="182" t="e">
        <f t="shared" si="25"/>
        <v>#N/A</v>
      </c>
      <c r="AD29" s="488"/>
      <c r="AE29" s="182"/>
      <c r="AF29" s="166"/>
      <c r="AG29" s="166"/>
      <c r="AH29" s="182" t="e">
        <f t="shared" si="27"/>
        <v>#N/A</v>
      </c>
      <c r="AI29" s="488"/>
      <c r="AJ29" s="182"/>
      <c r="AK29" s="166"/>
      <c r="AL29" s="166"/>
      <c r="AM29" s="182" t="e">
        <f t="shared" si="29"/>
        <v>#N/A</v>
      </c>
      <c r="AN29" s="488"/>
      <c r="AO29" s="182"/>
      <c r="AP29" s="166"/>
      <c r="AQ29" s="166"/>
      <c r="AR29" s="182" t="e">
        <f t="shared" si="31"/>
        <v>#N/A</v>
      </c>
      <c r="AS29" s="488"/>
      <c r="AT29" s="182"/>
      <c r="AU29" s="166"/>
      <c r="AV29" s="166"/>
      <c r="AW29" s="182" t="e">
        <f t="shared" si="33"/>
        <v>#N/A</v>
      </c>
      <c r="AX29" s="488"/>
      <c r="AZ29" s="182" t="e">
        <f t="shared" si="35"/>
        <v>#N/A</v>
      </c>
      <c r="BA29" s="488"/>
    </row>
    <row r="30" spans="2:53">
      <c r="B30" s="454"/>
      <c r="C30" s="182">
        <v>4</v>
      </c>
      <c r="D30" s="203"/>
      <c r="E30" s="166"/>
      <c r="F30" s="166"/>
      <c r="G30" s="166"/>
      <c r="H30" s="464"/>
      <c r="I30" s="166" t="str">
        <f t="shared" si="19"/>
        <v>-</v>
      </c>
      <c r="J30" s="166" t="str">
        <f t="shared" si="20"/>
        <v>-</v>
      </c>
      <c r="K30" s="180" t="str">
        <f t="shared" si="21"/>
        <v>-</v>
      </c>
      <c r="L30" s="464"/>
      <c r="M30" s="181" t="e">
        <f>RANK(K30, K$27:$K$41)</f>
        <v>#VALUE!</v>
      </c>
      <c r="N30" s="461"/>
      <c r="O30" s="461"/>
      <c r="P30" s="182"/>
      <c r="Q30" s="166"/>
      <c r="R30" s="166"/>
      <c r="S30" s="182" t="e">
        <f t="shared" si="22"/>
        <v>#N/A</v>
      </c>
      <c r="T30" s="488"/>
      <c r="U30" s="182"/>
      <c r="V30" s="166"/>
      <c r="W30" s="166"/>
      <c r="X30" s="182" t="e">
        <f t="shared" si="23"/>
        <v>#N/A</v>
      </c>
      <c r="Y30" s="488"/>
      <c r="Z30" s="182"/>
      <c r="AA30" s="166"/>
      <c r="AB30" s="166"/>
      <c r="AC30" s="182" t="e">
        <f t="shared" si="25"/>
        <v>#N/A</v>
      </c>
      <c r="AD30" s="488"/>
      <c r="AE30" s="182"/>
      <c r="AF30" s="166"/>
      <c r="AG30" s="166"/>
      <c r="AH30" s="182" t="e">
        <f t="shared" si="27"/>
        <v>#N/A</v>
      </c>
      <c r="AI30" s="488"/>
      <c r="AJ30" s="182"/>
      <c r="AK30" s="166"/>
      <c r="AL30" s="166"/>
      <c r="AM30" s="182" t="e">
        <f t="shared" si="29"/>
        <v>#N/A</v>
      </c>
      <c r="AN30" s="488"/>
      <c r="AO30" s="182"/>
      <c r="AP30" s="166"/>
      <c r="AQ30" s="166"/>
      <c r="AR30" s="182" t="e">
        <f t="shared" si="31"/>
        <v>#N/A</v>
      </c>
      <c r="AS30" s="488"/>
      <c r="AT30" s="182"/>
      <c r="AU30" s="166"/>
      <c r="AV30" s="166"/>
      <c r="AW30" s="182" t="e">
        <f t="shared" si="33"/>
        <v>#N/A</v>
      </c>
      <c r="AX30" s="488"/>
      <c r="AZ30" s="182" t="e">
        <f t="shared" si="35"/>
        <v>#N/A</v>
      </c>
      <c r="BA30" s="488"/>
    </row>
    <row r="31" spans="2:53">
      <c r="B31" s="454"/>
      <c r="C31" s="182">
        <v>5</v>
      </c>
      <c r="D31" s="203"/>
      <c r="E31" s="166"/>
      <c r="F31" s="166"/>
      <c r="G31" s="166"/>
      <c r="H31" s="464"/>
      <c r="I31" s="166" t="str">
        <f t="shared" si="19"/>
        <v>-</v>
      </c>
      <c r="J31" s="166" t="str">
        <f t="shared" si="20"/>
        <v>-</v>
      </c>
      <c r="K31" s="180" t="str">
        <f t="shared" si="21"/>
        <v>-</v>
      </c>
      <c r="L31" s="464"/>
      <c r="M31" s="181" t="e">
        <f>RANK(K31, K$27:$K$41)</f>
        <v>#VALUE!</v>
      </c>
      <c r="N31" s="461"/>
      <c r="O31" s="461"/>
      <c r="P31" s="182"/>
      <c r="Q31" s="166"/>
      <c r="R31" s="166"/>
      <c r="S31" s="182" t="e">
        <f t="shared" si="22"/>
        <v>#N/A</v>
      </c>
      <c r="T31" s="488"/>
      <c r="U31" s="182"/>
      <c r="V31" s="166"/>
      <c r="W31" s="166"/>
      <c r="X31" s="182" t="e">
        <f t="shared" si="23"/>
        <v>#N/A</v>
      </c>
      <c r="Y31" s="488"/>
      <c r="Z31" s="182"/>
      <c r="AA31" s="166"/>
      <c r="AB31" s="166"/>
      <c r="AC31" s="182" t="e">
        <f t="shared" si="25"/>
        <v>#N/A</v>
      </c>
      <c r="AD31" s="488"/>
      <c r="AE31" s="182"/>
      <c r="AF31" s="166"/>
      <c r="AG31" s="166"/>
      <c r="AH31" s="182" t="e">
        <f t="shared" si="27"/>
        <v>#N/A</v>
      </c>
      <c r="AI31" s="488"/>
      <c r="AJ31" s="182"/>
      <c r="AK31" s="166"/>
      <c r="AL31" s="166"/>
      <c r="AM31" s="182" t="e">
        <f t="shared" si="29"/>
        <v>#N/A</v>
      </c>
      <c r="AN31" s="488"/>
      <c r="AO31" s="182"/>
      <c r="AP31" s="166"/>
      <c r="AQ31" s="166"/>
      <c r="AR31" s="182" t="e">
        <f t="shared" si="31"/>
        <v>#N/A</v>
      </c>
      <c r="AS31" s="488"/>
      <c r="AT31" s="182"/>
      <c r="AU31" s="166"/>
      <c r="AV31" s="166"/>
      <c r="AW31" s="182" t="e">
        <f t="shared" si="33"/>
        <v>#N/A</v>
      </c>
      <c r="AX31" s="488"/>
      <c r="AZ31" s="182" t="e">
        <f t="shared" si="35"/>
        <v>#N/A</v>
      </c>
      <c r="BA31" s="488"/>
    </row>
    <row r="32" spans="2:53">
      <c r="B32" s="454"/>
      <c r="C32" s="182">
        <v>6</v>
      </c>
      <c r="D32" s="203"/>
      <c r="E32" s="166"/>
      <c r="F32" s="166"/>
      <c r="G32" s="166"/>
      <c r="H32" s="464"/>
      <c r="I32" s="166" t="str">
        <f t="shared" si="19"/>
        <v>-</v>
      </c>
      <c r="J32" s="166" t="str">
        <f t="shared" si="20"/>
        <v>-</v>
      </c>
      <c r="K32" s="180" t="str">
        <f t="shared" si="21"/>
        <v>-</v>
      </c>
      <c r="L32" s="464"/>
      <c r="M32" s="181" t="e">
        <f>RANK(K32, K$27:$K$41)</f>
        <v>#VALUE!</v>
      </c>
      <c r="N32" s="461"/>
      <c r="O32" s="461"/>
      <c r="P32" s="182"/>
      <c r="Q32" s="166"/>
      <c r="R32" s="166"/>
      <c r="S32" s="182" t="e">
        <f t="shared" si="22"/>
        <v>#N/A</v>
      </c>
      <c r="T32" s="488"/>
      <c r="U32" s="182"/>
      <c r="V32" s="166"/>
      <c r="W32" s="166"/>
      <c r="X32" s="182" t="e">
        <f t="shared" si="23"/>
        <v>#N/A</v>
      </c>
      <c r="Y32" s="488"/>
      <c r="Z32" s="182"/>
      <c r="AA32" s="166"/>
      <c r="AB32" s="166"/>
      <c r="AC32" s="182" t="e">
        <f t="shared" si="25"/>
        <v>#N/A</v>
      </c>
      <c r="AD32" s="488"/>
      <c r="AE32" s="182"/>
      <c r="AF32" s="166"/>
      <c r="AG32" s="166"/>
      <c r="AH32" s="182" t="e">
        <f t="shared" si="27"/>
        <v>#N/A</v>
      </c>
      <c r="AI32" s="488"/>
      <c r="AJ32" s="182"/>
      <c r="AK32" s="166"/>
      <c r="AL32" s="166"/>
      <c r="AM32" s="182" t="e">
        <f t="shared" si="29"/>
        <v>#N/A</v>
      </c>
      <c r="AN32" s="488"/>
      <c r="AO32" s="182"/>
      <c r="AP32" s="166"/>
      <c r="AQ32" s="166"/>
      <c r="AR32" s="182" t="e">
        <f t="shared" si="31"/>
        <v>#N/A</v>
      </c>
      <c r="AS32" s="488"/>
      <c r="AT32" s="182"/>
      <c r="AU32" s="166"/>
      <c r="AV32" s="166"/>
      <c r="AW32" s="182" t="e">
        <f t="shared" si="33"/>
        <v>#N/A</v>
      </c>
      <c r="AX32" s="488"/>
      <c r="AZ32" s="182" t="e">
        <f t="shared" si="35"/>
        <v>#N/A</v>
      </c>
      <c r="BA32" s="488"/>
    </row>
    <row r="33" spans="2:53">
      <c r="B33" s="454"/>
      <c r="C33" s="182">
        <v>7</v>
      </c>
      <c r="D33" s="203"/>
      <c r="E33" s="166"/>
      <c r="F33" s="166"/>
      <c r="G33" s="166"/>
      <c r="H33" s="464"/>
      <c r="I33" s="166" t="str">
        <f t="shared" si="19"/>
        <v>-</v>
      </c>
      <c r="J33" s="166" t="str">
        <f t="shared" si="20"/>
        <v>-</v>
      </c>
      <c r="K33" s="180" t="str">
        <f t="shared" si="21"/>
        <v>-</v>
      </c>
      <c r="L33" s="464"/>
      <c r="M33" s="181" t="e">
        <f>RANK(K33, K$27:$K$41)</f>
        <v>#VALUE!</v>
      </c>
      <c r="N33" s="461"/>
      <c r="O33" s="461"/>
      <c r="P33" s="182"/>
      <c r="Q33" s="166"/>
      <c r="R33" s="166"/>
      <c r="S33" s="182" t="e">
        <f t="shared" si="22"/>
        <v>#N/A</v>
      </c>
      <c r="T33" s="488"/>
      <c r="U33" s="182"/>
      <c r="V33" s="166"/>
      <c r="W33" s="166"/>
      <c r="X33" s="182" t="e">
        <f t="shared" si="23"/>
        <v>#N/A</v>
      </c>
      <c r="Y33" s="488"/>
      <c r="Z33" s="182"/>
      <c r="AA33" s="166"/>
      <c r="AB33" s="166"/>
      <c r="AC33" s="182" t="e">
        <f t="shared" si="25"/>
        <v>#N/A</v>
      </c>
      <c r="AD33" s="488"/>
      <c r="AE33" s="182"/>
      <c r="AF33" s="166"/>
      <c r="AG33" s="166"/>
      <c r="AH33" s="182" t="e">
        <f t="shared" si="27"/>
        <v>#N/A</v>
      </c>
      <c r="AI33" s="488"/>
      <c r="AJ33" s="182"/>
      <c r="AK33" s="166"/>
      <c r="AL33" s="166"/>
      <c r="AM33" s="182" t="e">
        <f t="shared" si="29"/>
        <v>#N/A</v>
      </c>
      <c r="AN33" s="488"/>
      <c r="AO33" s="182"/>
      <c r="AP33" s="166"/>
      <c r="AQ33" s="166"/>
      <c r="AR33" s="182" t="e">
        <f t="shared" si="31"/>
        <v>#N/A</v>
      </c>
      <c r="AS33" s="488"/>
      <c r="AT33" s="182"/>
      <c r="AU33" s="166"/>
      <c r="AV33" s="166"/>
      <c r="AW33" s="182" t="e">
        <f t="shared" si="33"/>
        <v>#N/A</v>
      </c>
      <c r="AX33" s="488"/>
      <c r="AZ33" s="182" t="e">
        <f t="shared" si="35"/>
        <v>#N/A</v>
      </c>
      <c r="BA33" s="488"/>
    </row>
    <row r="34" spans="2:53">
      <c r="B34" s="454"/>
      <c r="C34" s="182">
        <v>8</v>
      </c>
      <c r="D34" s="203"/>
      <c r="E34" s="166"/>
      <c r="F34" s="166"/>
      <c r="G34" s="166"/>
      <c r="H34" s="464"/>
      <c r="I34" s="166" t="str">
        <f t="shared" si="19"/>
        <v>-</v>
      </c>
      <c r="J34" s="166" t="str">
        <f t="shared" si="20"/>
        <v>-</v>
      </c>
      <c r="K34" s="180" t="str">
        <f t="shared" si="21"/>
        <v>-</v>
      </c>
      <c r="L34" s="464"/>
      <c r="M34" s="181" t="e">
        <f>RANK(K34, K$27:$K$41)</f>
        <v>#VALUE!</v>
      </c>
      <c r="N34" s="461"/>
      <c r="O34" s="461"/>
      <c r="P34" s="182"/>
      <c r="Q34" s="166"/>
      <c r="R34" s="166"/>
      <c r="S34" s="182" t="e">
        <f t="shared" si="22"/>
        <v>#N/A</v>
      </c>
      <c r="T34" s="488"/>
      <c r="U34" s="182"/>
      <c r="V34" s="166"/>
      <c r="W34" s="166"/>
      <c r="X34" s="182" t="e">
        <f t="shared" si="23"/>
        <v>#N/A</v>
      </c>
      <c r="Y34" s="488"/>
      <c r="Z34" s="182"/>
      <c r="AA34" s="166"/>
      <c r="AB34" s="166"/>
      <c r="AC34" s="182" t="e">
        <f t="shared" si="25"/>
        <v>#N/A</v>
      </c>
      <c r="AD34" s="488"/>
      <c r="AE34" s="182"/>
      <c r="AF34" s="166"/>
      <c r="AG34" s="166"/>
      <c r="AH34" s="182" t="e">
        <f t="shared" si="27"/>
        <v>#N/A</v>
      </c>
      <c r="AI34" s="488"/>
      <c r="AJ34" s="182"/>
      <c r="AK34" s="166"/>
      <c r="AL34" s="166"/>
      <c r="AM34" s="182" t="e">
        <f t="shared" si="29"/>
        <v>#N/A</v>
      </c>
      <c r="AN34" s="488"/>
      <c r="AO34" s="182"/>
      <c r="AP34" s="166"/>
      <c r="AQ34" s="166"/>
      <c r="AR34" s="182" t="e">
        <f t="shared" si="31"/>
        <v>#N/A</v>
      </c>
      <c r="AS34" s="488"/>
      <c r="AT34" s="182"/>
      <c r="AU34" s="166"/>
      <c r="AV34" s="166"/>
      <c r="AW34" s="182" t="e">
        <f t="shared" si="33"/>
        <v>#N/A</v>
      </c>
      <c r="AX34" s="488"/>
      <c r="AZ34" s="182" t="e">
        <f t="shared" si="35"/>
        <v>#N/A</v>
      </c>
      <c r="BA34" s="488"/>
    </row>
    <row r="35" spans="2:53">
      <c r="B35" s="454"/>
      <c r="C35" s="182">
        <v>9</v>
      </c>
      <c r="D35" s="203"/>
      <c r="E35" s="166"/>
      <c r="F35" s="166"/>
      <c r="G35" s="166"/>
      <c r="H35" s="464"/>
      <c r="I35" s="166" t="str">
        <f t="shared" si="19"/>
        <v>-</v>
      </c>
      <c r="J35" s="166" t="str">
        <f t="shared" si="20"/>
        <v>-</v>
      </c>
      <c r="K35" s="180" t="str">
        <f t="shared" si="21"/>
        <v>-</v>
      </c>
      <c r="L35" s="464"/>
      <c r="M35" s="181" t="e">
        <f>RANK(K35, K$27:$K$41)</f>
        <v>#VALUE!</v>
      </c>
      <c r="N35" s="461"/>
      <c r="O35" s="461"/>
      <c r="P35" s="182"/>
      <c r="Q35" s="166"/>
      <c r="R35" s="166"/>
      <c r="S35" s="182" t="e">
        <f t="shared" si="22"/>
        <v>#N/A</v>
      </c>
      <c r="T35" s="488"/>
      <c r="U35" s="182"/>
      <c r="V35" s="166"/>
      <c r="W35" s="166"/>
      <c r="X35" s="182" t="e">
        <f t="shared" si="23"/>
        <v>#N/A</v>
      </c>
      <c r="Y35" s="488"/>
      <c r="Z35" s="182"/>
      <c r="AA35" s="166"/>
      <c r="AB35" s="166"/>
      <c r="AC35" s="182" t="e">
        <f t="shared" si="25"/>
        <v>#N/A</v>
      </c>
      <c r="AD35" s="488"/>
      <c r="AE35" s="182"/>
      <c r="AF35" s="166"/>
      <c r="AG35" s="166"/>
      <c r="AH35" s="182" t="e">
        <f t="shared" si="27"/>
        <v>#N/A</v>
      </c>
      <c r="AI35" s="488"/>
      <c r="AJ35" s="182"/>
      <c r="AK35" s="166"/>
      <c r="AL35" s="166"/>
      <c r="AM35" s="182" t="e">
        <f t="shared" si="29"/>
        <v>#N/A</v>
      </c>
      <c r="AN35" s="488"/>
      <c r="AO35" s="182"/>
      <c r="AP35" s="166"/>
      <c r="AQ35" s="166"/>
      <c r="AR35" s="182" t="e">
        <f t="shared" si="31"/>
        <v>#N/A</v>
      </c>
      <c r="AS35" s="488"/>
      <c r="AT35" s="182"/>
      <c r="AU35" s="166"/>
      <c r="AV35" s="166"/>
      <c r="AW35" s="182" t="e">
        <f t="shared" si="33"/>
        <v>#N/A</v>
      </c>
      <c r="AX35" s="488"/>
      <c r="AZ35" s="182" t="e">
        <f t="shared" si="35"/>
        <v>#N/A</v>
      </c>
      <c r="BA35" s="488"/>
    </row>
    <row r="36" spans="2:53">
      <c r="B36" s="454"/>
      <c r="C36" s="182">
        <v>10</v>
      </c>
      <c r="D36" s="203"/>
      <c r="E36" s="166"/>
      <c r="F36" s="166"/>
      <c r="G36" s="166"/>
      <c r="H36" s="464"/>
      <c r="I36" s="166" t="str">
        <f t="shared" si="19"/>
        <v>-</v>
      </c>
      <c r="J36" s="166" t="str">
        <f t="shared" si="20"/>
        <v>-</v>
      </c>
      <c r="K36" s="180" t="str">
        <f t="shared" si="21"/>
        <v>-</v>
      </c>
      <c r="L36" s="464"/>
      <c r="M36" s="181" t="e">
        <f>RANK(K36, K$27:$K$41)</f>
        <v>#VALUE!</v>
      </c>
      <c r="N36" s="461"/>
      <c r="O36" s="461"/>
      <c r="P36" s="182"/>
      <c r="Q36" s="166"/>
      <c r="R36" s="166"/>
      <c r="S36" s="182" t="e">
        <f t="shared" si="22"/>
        <v>#N/A</v>
      </c>
      <c r="T36" s="488"/>
      <c r="U36" s="182"/>
      <c r="V36" s="166"/>
      <c r="W36" s="166"/>
      <c r="X36" s="182" t="e">
        <f t="shared" si="23"/>
        <v>#N/A</v>
      </c>
      <c r="Y36" s="488"/>
      <c r="Z36" s="182"/>
      <c r="AA36" s="166"/>
      <c r="AB36" s="166"/>
      <c r="AC36" s="182" t="e">
        <f t="shared" si="25"/>
        <v>#N/A</v>
      </c>
      <c r="AD36" s="488"/>
      <c r="AE36" s="182"/>
      <c r="AF36" s="166"/>
      <c r="AG36" s="166"/>
      <c r="AH36" s="182" t="e">
        <f t="shared" si="27"/>
        <v>#N/A</v>
      </c>
      <c r="AI36" s="488"/>
      <c r="AJ36" s="182"/>
      <c r="AK36" s="166"/>
      <c r="AL36" s="166"/>
      <c r="AM36" s="182" t="e">
        <f t="shared" si="29"/>
        <v>#N/A</v>
      </c>
      <c r="AN36" s="488"/>
      <c r="AO36" s="182"/>
      <c r="AP36" s="166"/>
      <c r="AQ36" s="166"/>
      <c r="AR36" s="182" t="e">
        <f t="shared" si="31"/>
        <v>#N/A</v>
      </c>
      <c r="AS36" s="488"/>
      <c r="AT36" s="182"/>
      <c r="AU36" s="166"/>
      <c r="AV36" s="166"/>
      <c r="AW36" s="182" t="e">
        <f t="shared" si="33"/>
        <v>#N/A</v>
      </c>
      <c r="AX36" s="488"/>
      <c r="AZ36" s="182" t="e">
        <f t="shared" si="35"/>
        <v>#N/A</v>
      </c>
      <c r="BA36" s="488"/>
    </row>
    <row r="37" spans="2:53">
      <c r="B37" s="454"/>
      <c r="C37" s="182">
        <v>11</v>
      </c>
      <c r="D37" s="203"/>
      <c r="E37" s="166"/>
      <c r="F37" s="166"/>
      <c r="G37" s="166"/>
      <c r="H37" s="464"/>
      <c r="I37" s="166" t="str">
        <f t="shared" si="19"/>
        <v>-</v>
      </c>
      <c r="J37" s="166" t="str">
        <f t="shared" si="20"/>
        <v>-</v>
      </c>
      <c r="K37" s="180" t="str">
        <f t="shared" si="21"/>
        <v>-</v>
      </c>
      <c r="L37" s="464"/>
      <c r="M37" s="181" t="e">
        <f>RANK(K37, K$27:$K$41)</f>
        <v>#VALUE!</v>
      </c>
      <c r="N37" s="461"/>
      <c r="O37" s="461"/>
      <c r="P37" s="182"/>
      <c r="Q37" s="166"/>
      <c r="R37" s="166"/>
      <c r="S37" s="182" t="e">
        <f t="shared" si="22"/>
        <v>#N/A</v>
      </c>
      <c r="T37" s="488"/>
      <c r="U37" s="182"/>
      <c r="V37" s="166"/>
      <c r="W37" s="166"/>
      <c r="X37" s="182" t="e">
        <f t="shared" si="23"/>
        <v>#N/A</v>
      </c>
      <c r="Y37" s="488"/>
      <c r="Z37" s="182"/>
      <c r="AA37" s="166"/>
      <c r="AB37" s="166"/>
      <c r="AC37" s="182" t="e">
        <f t="shared" si="25"/>
        <v>#N/A</v>
      </c>
      <c r="AD37" s="488"/>
      <c r="AE37" s="182"/>
      <c r="AF37" s="166"/>
      <c r="AG37" s="166"/>
      <c r="AH37" s="182" t="e">
        <f t="shared" si="27"/>
        <v>#N/A</v>
      </c>
      <c r="AI37" s="488"/>
      <c r="AJ37" s="182"/>
      <c r="AK37" s="166"/>
      <c r="AL37" s="166"/>
      <c r="AM37" s="182" t="e">
        <f t="shared" si="29"/>
        <v>#N/A</v>
      </c>
      <c r="AN37" s="488"/>
      <c r="AO37" s="182"/>
      <c r="AP37" s="166"/>
      <c r="AQ37" s="166"/>
      <c r="AR37" s="182" t="e">
        <f t="shared" si="31"/>
        <v>#N/A</v>
      </c>
      <c r="AS37" s="488"/>
      <c r="AT37" s="182"/>
      <c r="AU37" s="166"/>
      <c r="AV37" s="166"/>
      <c r="AW37" s="182" t="e">
        <f t="shared" si="33"/>
        <v>#N/A</v>
      </c>
      <c r="AX37" s="488"/>
      <c r="AZ37" s="182" t="e">
        <f t="shared" si="35"/>
        <v>#N/A</v>
      </c>
      <c r="BA37" s="488"/>
    </row>
    <row r="38" spans="2:53">
      <c r="B38" s="454"/>
      <c r="C38" s="182">
        <v>12</v>
      </c>
      <c r="D38" s="203"/>
      <c r="E38" s="166"/>
      <c r="F38" s="166"/>
      <c r="G38" s="166"/>
      <c r="H38" s="464"/>
      <c r="I38" s="166" t="str">
        <f t="shared" si="19"/>
        <v>-</v>
      </c>
      <c r="J38" s="166" t="str">
        <f t="shared" si="20"/>
        <v>-</v>
      </c>
      <c r="K38" s="180" t="str">
        <f t="shared" si="21"/>
        <v>-</v>
      </c>
      <c r="L38" s="464"/>
      <c r="M38" s="181" t="e">
        <f>RANK(K38, K$27:$K$41)</f>
        <v>#VALUE!</v>
      </c>
      <c r="N38" s="461"/>
      <c r="O38" s="461"/>
      <c r="P38" s="182"/>
      <c r="Q38" s="166"/>
      <c r="R38" s="166"/>
      <c r="S38" s="182" t="e">
        <f t="shared" si="22"/>
        <v>#N/A</v>
      </c>
      <c r="T38" s="488"/>
      <c r="U38" s="182"/>
      <c r="V38" s="166"/>
      <c r="W38" s="166"/>
      <c r="X38" s="182" t="e">
        <f t="shared" si="23"/>
        <v>#N/A</v>
      </c>
      <c r="Y38" s="488"/>
      <c r="Z38" s="182"/>
      <c r="AA38" s="166"/>
      <c r="AB38" s="166"/>
      <c r="AC38" s="182" t="e">
        <f t="shared" si="25"/>
        <v>#N/A</v>
      </c>
      <c r="AD38" s="488"/>
      <c r="AE38" s="182"/>
      <c r="AF38" s="166"/>
      <c r="AG38" s="166"/>
      <c r="AH38" s="182" t="e">
        <f t="shared" si="27"/>
        <v>#N/A</v>
      </c>
      <c r="AI38" s="488"/>
      <c r="AJ38" s="182"/>
      <c r="AK38" s="166"/>
      <c r="AL38" s="166"/>
      <c r="AM38" s="182" t="e">
        <f t="shared" si="29"/>
        <v>#N/A</v>
      </c>
      <c r="AN38" s="488"/>
      <c r="AO38" s="182"/>
      <c r="AP38" s="166"/>
      <c r="AQ38" s="166"/>
      <c r="AR38" s="182" t="e">
        <f t="shared" si="31"/>
        <v>#N/A</v>
      </c>
      <c r="AS38" s="488"/>
      <c r="AT38" s="182"/>
      <c r="AU38" s="166"/>
      <c r="AV38" s="166"/>
      <c r="AW38" s="182" t="e">
        <f t="shared" si="33"/>
        <v>#N/A</v>
      </c>
      <c r="AX38" s="488"/>
      <c r="AZ38" s="182" t="e">
        <f t="shared" si="35"/>
        <v>#N/A</v>
      </c>
      <c r="BA38" s="488"/>
    </row>
    <row r="39" spans="2:53">
      <c r="B39" s="454"/>
      <c r="C39" s="182">
        <v>13</v>
      </c>
      <c r="D39" s="203"/>
      <c r="E39" s="166"/>
      <c r="F39" s="166"/>
      <c r="G39" s="166"/>
      <c r="H39" s="464"/>
      <c r="I39" s="166" t="str">
        <f t="shared" si="19"/>
        <v>-</v>
      </c>
      <c r="J39" s="166" t="str">
        <f t="shared" si="20"/>
        <v>-</v>
      </c>
      <c r="K39" s="180" t="str">
        <f t="shared" si="21"/>
        <v>-</v>
      </c>
      <c r="L39" s="464"/>
      <c r="M39" s="181" t="e">
        <f>RANK(K39, K$27:$K$41)</f>
        <v>#VALUE!</v>
      </c>
      <c r="N39" s="461"/>
      <c r="O39" s="461"/>
      <c r="P39" s="182"/>
      <c r="Q39" s="166"/>
      <c r="R39" s="166"/>
      <c r="S39" s="182" t="e">
        <f t="shared" si="22"/>
        <v>#N/A</v>
      </c>
      <c r="T39" s="488"/>
      <c r="U39" s="182"/>
      <c r="V39" s="166"/>
      <c r="W39" s="166"/>
      <c r="X39" s="182" t="e">
        <f t="shared" si="23"/>
        <v>#N/A</v>
      </c>
      <c r="Y39" s="488"/>
      <c r="Z39" s="182"/>
      <c r="AA39" s="166"/>
      <c r="AB39" s="166"/>
      <c r="AC39" s="182" t="e">
        <f t="shared" si="25"/>
        <v>#N/A</v>
      </c>
      <c r="AD39" s="488"/>
      <c r="AE39" s="182"/>
      <c r="AF39" s="166"/>
      <c r="AG39" s="166"/>
      <c r="AH39" s="182" t="e">
        <f t="shared" si="27"/>
        <v>#N/A</v>
      </c>
      <c r="AI39" s="488"/>
      <c r="AJ39" s="182"/>
      <c r="AK39" s="166"/>
      <c r="AL39" s="166"/>
      <c r="AM39" s="182" t="e">
        <f t="shared" si="29"/>
        <v>#N/A</v>
      </c>
      <c r="AN39" s="488"/>
      <c r="AO39" s="182"/>
      <c r="AP39" s="166"/>
      <c r="AQ39" s="166"/>
      <c r="AR39" s="182" t="e">
        <f t="shared" si="31"/>
        <v>#N/A</v>
      </c>
      <c r="AS39" s="488"/>
      <c r="AT39" s="182"/>
      <c r="AU39" s="166"/>
      <c r="AV39" s="166"/>
      <c r="AW39" s="182" t="e">
        <f t="shared" si="33"/>
        <v>#N/A</v>
      </c>
      <c r="AX39" s="488"/>
      <c r="AZ39" s="182" t="e">
        <f t="shared" si="35"/>
        <v>#N/A</v>
      </c>
      <c r="BA39" s="488"/>
    </row>
    <row r="40" spans="2:53">
      <c r="B40" s="454"/>
      <c r="C40" s="182">
        <v>14</v>
      </c>
      <c r="D40" s="203"/>
      <c r="E40" s="166"/>
      <c r="F40" s="166"/>
      <c r="G40" s="166"/>
      <c r="H40" s="464"/>
      <c r="I40" s="166" t="str">
        <f t="shared" si="19"/>
        <v>-</v>
      </c>
      <c r="J40" s="166" t="str">
        <f t="shared" si="20"/>
        <v>-</v>
      </c>
      <c r="K40" s="180" t="str">
        <f t="shared" si="21"/>
        <v>-</v>
      </c>
      <c r="L40" s="464"/>
      <c r="M40" s="181" t="e">
        <f>RANK(K40, K$27:$K$41)</f>
        <v>#VALUE!</v>
      </c>
      <c r="N40" s="461"/>
      <c r="O40" s="461"/>
      <c r="P40" s="182"/>
      <c r="Q40" s="166"/>
      <c r="R40" s="166"/>
      <c r="S40" s="182" t="e">
        <f t="shared" si="22"/>
        <v>#N/A</v>
      </c>
      <c r="T40" s="488"/>
      <c r="U40" s="182"/>
      <c r="V40" s="166"/>
      <c r="W40" s="166"/>
      <c r="X40" s="182" t="e">
        <f t="shared" si="23"/>
        <v>#N/A</v>
      </c>
      <c r="Y40" s="488"/>
      <c r="Z40" s="182"/>
      <c r="AA40" s="166"/>
      <c r="AB40" s="166"/>
      <c r="AC40" s="182" t="e">
        <f t="shared" si="25"/>
        <v>#N/A</v>
      </c>
      <c r="AD40" s="488"/>
      <c r="AE40" s="182"/>
      <c r="AF40" s="166"/>
      <c r="AG40" s="166"/>
      <c r="AH40" s="182" t="e">
        <f t="shared" si="27"/>
        <v>#N/A</v>
      </c>
      <c r="AI40" s="488"/>
      <c r="AJ40" s="182"/>
      <c r="AK40" s="166"/>
      <c r="AL40" s="166"/>
      <c r="AM40" s="182" t="e">
        <f t="shared" si="29"/>
        <v>#N/A</v>
      </c>
      <c r="AN40" s="488"/>
      <c r="AO40" s="182"/>
      <c r="AP40" s="166"/>
      <c r="AQ40" s="166"/>
      <c r="AR40" s="182" t="e">
        <f t="shared" si="31"/>
        <v>#N/A</v>
      </c>
      <c r="AS40" s="488"/>
      <c r="AT40" s="182"/>
      <c r="AU40" s="166"/>
      <c r="AV40" s="166"/>
      <c r="AW40" s="182" t="e">
        <f t="shared" si="33"/>
        <v>#N/A</v>
      </c>
      <c r="AX40" s="488"/>
      <c r="AZ40" s="182" t="e">
        <f t="shared" si="35"/>
        <v>#N/A</v>
      </c>
      <c r="BA40" s="488"/>
    </row>
    <row r="41" spans="2:53">
      <c r="B41" s="454"/>
      <c r="C41" s="182">
        <v>15</v>
      </c>
      <c r="D41" s="203"/>
      <c r="E41" s="166"/>
      <c r="F41" s="166"/>
      <c r="G41" s="166"/>
      <c r="H41" s="465"/>
      <c r="I41" s="182"/>
      <c r="J41" s="182"/>
      <c r="K41" s="182"/>
      <c r="L41" s="465"/>
      <c r="M41" s="166" t="e">
        <f>RANK(K41, K$27:$K$41)</f>
        <v>#N/A</v>
      </c>
      <c r="N41" s="461"/>
      <c r="O41" s="461"/>
      <c r="P41" s="182"/>
      <c r="Q41" s="166"/>
      <c r="R41" s="166"/>
      <c r="S41" s="182" t="e">
        <f t="shared" si="22"/>
        <v>#N/A</v>
      </c>
      <c r="T41" s="489"/>
      <c r="U41" s="182"/>
      <c r="V41" s="166"/>
      <c r="W41" s="166"/>
      <c r="X41" s="182" t="e">
        <f t="shared" si="23"/>
        <v>#N/A</v>
      </c>
      <c r="Y41" s="489"/>
      <c r="Z41" s="182"/>
      <c r="AA41" s="166"/>
      <c r="AB41" s="166"/>
      <c r="AC41" s="182" t="e">
        <f t="shared" si="25"/>
        <v>#N/A</v>
      </c>
      <c r="AD41" s="489"/>
      <c r="AE41" s="182"/>
      <c r="AF41" s="166"/>
      <c r="AG41" s="166"/>
      <c r="AH41" s="182" t="e">
        <f t="shared" si="27"/>
        <v>#N/A</v>
      </c>
      <c r="AI41" s="489"/>
      <c r="AJ41" s="182"/>
      <c r="AK41" s="166"/>
      <c r="AL41" s="166"/>
      <c r="AM41" s="182" t="e">
        <f t="shared" si="29"/>
        <v>#N/A</v>
      </c>
      <c r="AN41" s="489"/>
      <c r="AO41" s="182"/>
      <c r="AP41" s="166"/>
      <c r="AQ41" s="166"/>
      <c r="AR41" s="182" t="e">
        <f t="shared" si="31"/>
        <v>#N/A</v>
      </c>
      <c r="AS41" s="489"/>
      <c r="AT41" s="182"/>
      <c r="AU41" s="166"/>
      <c r="AV41" s="166"/>
      <c r="AW41" s="182" t="e">
        <f t="shared" si="33"/>
        <v>#N/A</v>
      </c>
      <c r="AX41" s="489"/>
      <c r="AZ41" s="182" t="e">
        <f t="shared" si="35"/>
        <v>#N/A</v>
      </c>
      <c r="BA41" s="489"/>
    </row>
    <row r="42" spans="2:53" ht="15.5">
      <c r="B42" s="493" t="s">
        <v>163</v>
      </c>
      <c r="C42" s="494"/>
      <c r="D42" s="494"/>
      <c r="E42" s="494"/>
      <c r="F42" s="494"/>
      <c r="G42" s="494"/>
      <c r="H42" s="494"/>
      <c r="I42" s="186"/>
      <c r="J42" s="183"/>
      <c r="K42" s="186"/>
      <c r="L42" s="186"/>
      <c r="M42" s="178"/>
      <c r="N42" s="480" t="s">
        <v>156</v>
      </c>
      <c r="O42" s="480" t="s">
        <v>105</v>
      </c>
      <c r="P42" s="476">
        <f>P22+7</f>
        <v>46126</v>
      </c>
      <c r="Q42" s="454"/>
      <c r="R42" s="454"/>
      <c r="S42" s="454"/>
      <c r="T42" s="454"/>
      <c r="U42" s="473">
        <f>P42+1</f>
        <v>46127</v>
      </c>
      <c r="V42" s="474"/>
      <c r="W42" s="474"/>
      <c r="X42" s="474"/>
      <c r="Y42" s="475"/>
      <c r="Z42" s="473">
        <f>U42+1</f>
        <v>46128</v>
      </c>
      <c r="AA42" s="474"/>
      <c r="AB42" s="474"/>
      <c r="AC42" s="474"/>
      <c r="AD42" s="475"/>
      <c r="AE42" s="473">
        <f>Z42+1</f>
        <v>46129</v>
      </c>
      <c r="AF42" s="474"/>
      <c r="AG42" s="474"/>
      <c r="AH42" s="474"/>
      <c r="AI42" s="475"/>
      <c r="AJ42" s="473">
        <f>AE42+1</f>
        <v>46130</v>
      </c>
      <c r="AK42" s="474"/>
      <c r="AL42" s="474"/>
      <c r="AM42" s="474"/>
      <c r="AN42" s="475"/>
      <c r="AO42" s="473">
        <f>AJ42+1</f>
        <v>46131</v>
      </c>
      <c r="AP42" s="474"/>
      <c r="AQ42" s="474"/>
      <c r="AR42" s="474"/>
      <c r="AS42" s="475"/>
      <c r="AT42" s="473">
        <f>AO42+1</f>
        <v>46132</v>
      </c>
      <c r="AU42" s="474"/>
      <c r="AV42" s="474"/>
      <c r="AW42" s="474"/>
      <c r="AX42" s="475"/>
    </row>
    <row r="43" spans="2:53" ht="15.5">
      <c r="B43" s="479"/>
      <c r="C43" s="479"/>
      <c r="D43" s="479"/>
      <c r="E43" s="479"/>
      <c r="F43" s="479"/>
      <c r="G43" s="479"/>
      <c r="H43" s="479"/>
      <c r="I43" s="184"/>
      <c r="J43" s="184"/>
      <c r="K43" s="184"/>
      <c r="L43" s="184"/>
      <c r="M43" s="179"/>
      <c r="N43" s="481"/>
      <c r="O43" s="481"/>
      <c r="P43" s="476" t="s">
        <v>336</v>
      </c>
      <c r="Q43" s="454"/>
      <c r="R43" s="454"/>
      <c r="S43" s="454"/>
      <c r="T43" s="454"/>
      <c r="U43" s="476" t="s">
        <v>337</v>
      </c>
      <c r="V43" s="454"/>
      <c r="W43" s="454"/>
      <c r="X43" s="454"/>
      <c r="Y43" s="454"/>
      <c r="Z43" s="476" t="s">
        <v>338</v>
      </c>
      <c r="AA43" s="454"/>
      <c r="AB43" s="454"/>
      <c r="AC43" s="454"/>
      <c r="AD43" s="454"/>
      <c r="AE43" s="476" t="s">
        <v>339</v>
      </c>
      <c r="AF43" s="454"/>
      <c r="AG43" s="454"/>
      <c r="AH43" s="454"/>
      <c r="AI43" s="454"/>
      <c r="AJ43" s="476" t="s">
        <v>340</v>
      </c>
      <c r="AK43" s="454"/>
      <c r="AL43" s="454"/>
      <c r="AM43" s="454"/>
      <c r="AN43" s="454"/>
      <c r="AO43" s="476" t="s">
        <v>341</v>
      </c>
      <c r="AP43" s="454"/>
      <c r="AQ43" s="454"/>
      <c r="AR43" s="454"/>
      <c r="AS43" s="454"/>
      <c r="AT43" s="476" t="s">
        <v>342</v>
      </c>
      <c r="AU43" s="454"/>
      <c r="AV43" s="454"/>
      <c r="AW43" s="454"/>
      <c r="AX43" s="454"/>
    </row>
    <row r="44" spans="2:53">
      <c r="B44" s="461" t="s">
        <v>532</v>
      </c>
      <c r="C44" s="461" t="s">
        <v>533</v>
      </c>
      <c r="D44" s="461"/>
      <c r="E44" s="461" t="s">
        <v>534</v>
      </c>
      <c r="F44" s="461"/>
      <c r="G44" s="461"/>
      <c r="H44" s="482" t="s">
        <v>535</v>
      </c>
      <c r="I44" s="461" t="s">
        <v>536</v>
      </c>
      <c r="J44" s="461"/>
      <c r="K44" s="461"/>
      <c r="L44" s="482" t="s">
        <v>396</v>
      </c>
      <c r="M44" s="480" t="s">
        <v>537</v>
      </c>
      <c r="N44" s="461"/>
      <c r="O44" s="461" t="s">
        <v>538</v>
      </c>
      <c r="P44" s="466" t="s">
        <v>760</v>
      </c>
      <c r="Q44" s="467"/>
      <c r="R44" s="467"/>
      <c r="S44" s="468"/>
      <c r="T44" s="461" t="s">
        <v>761</v>
      </c>
      <c r="U44" s="466" t="s">
        <v>760</v>
      </c>
      <c r="V44" s="467"/>
      <c r="W44" s="467"/>
      <c r="X44" s="468"/>
      <c r="Y44" s="461" t="s">
        <v>761</v>
      </c>
      <c r="Z44" s="466" t="s">
        <v>760</v>
      </c>
      <c r="AA44" s="467"/>
      <c r="AB44" s="467"/>
      <c r="AC44" s="468"/>
      <c r="AD44" s="461" t="s">
        <v>761</v>
      </c>
      <c r="AE44" s="466" t="s">
        <v>760</v>
      </c>
      <c r="AF44" s="467"/>
      <c r="AG44" s="467"/>
      <c r="AH44" s="468"/>
      <c r="AI44" s="461" t="s">
        <v>761</v>
      </c>
      <c r="AJ44" s="466" t="s">
        <v>760</v>
      </c>
      <c r="AK44" s="467"/>
      <c r="AL44" s="467"/>
      <c r="AM44" s="468"/>
      <c r="AN44" s="461" t="s">
        <v>761</v>
      </c>
      <c r="AO44" s="466" t="s">
        <v>760</v>
      </c>
      <c r="AP44" s="467"/>
      <c r="AQ44" s="467"/>
      <c r="AR44" s="468"/>
      <c r="AS44" s="461" t="s">
        <v>761</v>
      </c>
      <c r="AT44" s="466" t="s">
        <v>760</v>
      </c>
      <c r="AU44" s="467"/>
      <c r="AV44" s="467"/>
      <c r="AW44" s="468"/>
      <c r="AX44" s="461" t="s">
        <v>761</v>
      </c>
      <c r="BA44" s="461" t="s">
        <v>396</v>
      </c>
    </row>
    <row r="45" spans="2:53">
      <c r="B45" s="461"/>
      <c r="C45" s="461"/>
      <c r="D45" s="461"/>
      <c r="E45" s="461" t="s">
        <v>540</v>
      </c>
      <c r="F45" s="461"/>
      <c r="G45" s="461"/>
      <c r="H45" s="483"/>
      <c r="I45" s="461" t="s">
        <v>540</v>
      </c>
      <c r="J45" s="461"/>
      <c r="K45" s="461"/>
      <c r="L45" s="483"/>
      <c r="M45" s="485"/>
      <c r="N45" s="461"/>
      <c r="O45" s="461"/>
      <c r="P45" s="466" t="s">
        <v>762</v>
      </c>
      <c r="Q45" s="467"/>
      <c r="R45" s="467"/>
      <c r="S45" s="468"/>
      <c r="T45" s="461"/>
      <c r="U45" s="466" t="s">
        <v>762</v>
      </c>
      <c r="V45" s="467"/>
      <c r="W45" s="467"/>
      <c r="X45" s="468"/>
      <c r="Y45" s="461"/>
      <c r="Z45" s="466" t="s">
        <v>762</v>
      </c>
      <c r="AA45" s="467"/>
      <c r="AB45" s="467"/>
      <c r="AC45" s="468"/>
      <c r="AD45" s="461"/>
      <c r="AE45" s="466" t="s">
        <v>762</v>
      </c>
      <c r="AF45" s="467"/>
      <c r="AG45" s="467"/>
      <c r="AH45" s="468"/>
      <c r="AI45" s="461"/>
      <c r="AJ45" s="466" t="s">
        <v>762</v>
      </c>
      <c r="AK45" s="467"/>
      <c r="AL45" s="467"/>
      <c r="AM45" s="468"/>
      <c r="AN45" s="461"/>
      <c r="AO45" s="466" t="s">
        <v>762</v>
      </c>
      <c r="AP45" s="467"/>
      <c r="AQ45" s="467"/>
      <c r="AR45" s="468"/>
      <c r="AS45" s="461"/>
      <c r="AT45" s="466" t="s">
        <v>762</v>
      </c>
      <c r="AU45" s="467"/>
      <c r="AV45" s="467"/>
      <c r="AW45" s="468"/>
      <c r="AX45" s="461"/>
      <c r="BA45" s="461"/>
    </row>
    <row r="46" spans="2:53">
      <c r="B46" s="461"/>
      <c r="C46" s="461"/>
      <c r="D46" s="461"/>
      <c r="E46" s="269" t="s">
        <v>542</v>
      </c>
      <c r="F46" s="269" t="s">
        <v>543</v>
      </c>
      <c r="G46" s="269" t="s">
        <v>544</v>
      </c>
      <c r="H46" s="484"/>
      <c r="I46" s="269" t="s">
        <v>542</v>
      </c>
      <c r="J46" s="269" t="s">
        <v>543</v>
      </c>
      <c r="K46" s="269" t="s">
        <v>544</v>
      </c>
      <c r="L46" s="484"/>
      <c r="M46" s="481"/>
      <c r="N46" s="461"/>
      <c r="O46" s="461"/>
      <c r="P46" s="269" t="s">
        <v>763</v>
      </c>
      <c r="Q46" s="269" t="s">
        <v>764</v>
      </c>
      <c r="R46" s="269" t="s">
        <v>765</v>
      </c>
      <c r="S46" s="269" t="s">
        <v>766</v>
      </c>
      <c r="T46" s="461"/>
      <c r="U46" s="269" t="s">
        <v>763</v>
      </c>
      <c r="V46" s="269" t="s">
        <v>764</v>
      </c>
      <c r="W46" s="269" t="s">
        <v>765</v>
      </c>
      <c r="X46" s="269" t="s">
        <v>766</v>
      </c>
      <c r="Y46" s="461"/>
      <c r="Z46" s="269" t="s">
        <v>763</v>
      </c>
      <c r="AA46" s="269" t="s">
        <v>764</v>
      </c>
      <c r="AB46" s="269" t="s">
        <v>765</v>
      </c>
      <c r="AC46" s="269" t="s">
        <v>766</v>
      </c>
      <c r="AD46" s="461"/>
      <c r="AE46" s="269" t="s">
        <v>763</v>
      </c>
      <c r="AF46" s="269" t="s">
        <v>764</v>
      </c>
      <c r="AG46" s="269" t="s">
        <v>765</v>
      </c>
      <c r="AH46" s="269" t="s">
        <v>766</v>
      </c>
      <c r="AI46" s="461"/>
      <c r="AJ46" s="269" t="s">
        <v>763</v>
      </c>
      <c r="AK46" s="269" t="s">
        <v>764</v>
      </c>
      <c r="AL46" s="269" t="s">
        <v>765</v>
      </c>
      <c r="AM46" s="269" t="s">
        <v>766</v>
      </c>
      <c r="AN46" s="461"/>
      <c r="AO46" s="269" t="s">
        <v>763</v>
      </c>
      <c r="AP46" s="269" t="s">
        <v>764</v>
      </c>
      <c r="AQ46" s="269" t="s">
        <v>765</v>
      </c>
      <c r="AR46" s="269" t="s">
        <v>766</v>
      </c>
      <c r="AS46" s="461"/>
      <c r="AT46" s="269" t="s">
        <v>763</v>
      </c>
      <c r="AU46" s="269" t="s">
        <v>764</v>
      </c>
      <c r="AV46" s="269" t="s">
        <v>765</v>
      </c>
      <c r="AW46" s="269" t="s">
        <v>766</v>
      </c>
      <c r="AX46" s="461"/>
      <c r="AZ46" s="269" t="s">
        <v>766</v>
      </c>
      <c r="BA46" s="461"/>
    </row>
    <row r="47" spans="2:53">
      <c r="B47" s="461" t="s">
        <v>547</v>
      </c>
      <c r="C47" s="182">
        <v>1</v>
      </c>
      <c r="D47" s="203"/>
      <c r="E47" s="166"/>
      <c r="F47" s="166"/>
      <c r="G47" s="166"/>
      <c r="H47" s="463" t="e">
        <f>AVERAGE(G47:G61)</f>
        <v>#DIV/0!</v>
      </c>
      <c r="I47" s="166" t="str">
        <f t="shared" ref="I47:I60" si="37">IFERROR(AVERAGE(P47,U47,Z47,AE47,AJ47,AO47,AT47),"-")</f>
        <v>-</v>
      </c>
      <c r="J47" s="166" t="str">
        <f t="shared" ref="J47:J60" si="38">IFERROR(AVERAGE(Q47,V47,AA47,AF47,AK47,AP47,AU47),"-")</f>
        <v>-</v>
      </c>
      <c r="K47" s="180" t="str">
        <f t="shared" ref="K47:K60" si="39">IFERROR(AVERAGE(R47,W47,AB47,AG47,AL47,AQ47,AV47),"-")</f>
        <v>-</v>
      </c>
      <c r="L47" s="463" t="str">
        <f>IFERROR(AVERAGE(K47:K61),"-")</f>
        <v>-</v>
      </c>
      <c r="M47" s="181" t="e">
        <f>RANK(K47, K$47:$K$61)</f>
        <v>#VALUE!</v>
      </c>
      <c r="N47" s="461"/>
      <c r="O47" s="461"/>
      <c r="P47" s="182"/>
      <c r="Q47" s="166"/>
      <c r="R47" s="166"/>
      <c r="S47" s="182" t="e">
        <f t="shared" ref="S47:S51" si="40">RANK(R47, R$47:R$61)</f>
        <v>#N/A</v>
      </c>
      <c r="T47" s="487" t="e">
        <f>AVERAGE(R47:R61)</f>
        <v>#DIV/0!</v>
      </c>
      <c r="U47" s="182"/>
      <c r="V47" s="166"/>
      <c r="W47" s="166"/>
      <c r="X47" s="182" t="e">
        <f t="shared" ref="X47:X51" si="41">RANK(W47, W$47:W$61)</f>
        <v>#N/A</v>
      </c>
      <c r="Y47" s="487" t="e">
        <f t="shared" ref="Y47" si="42">AVERAGE(W47:W61)</f>
        <v>#DIV/0!</v>
      </c>
      <c r="Z47" s="182"/>
      <c r="AA47" s="166"/>
      <c r="AB47" s="166"/>
      <c r="AC47" s="182" t="e">
        <f t="shared" ref="AC47:AC51" si="43">RANK(AB47, AB$47:AB$61)</f>
        <v>#N/A</v>
      </c>
      <c r="AD47" s="487" t="e">
        <f t="shared" ref="AD47" si="44">AVERAGE(AB47:AB61)</f>
        <v>#DIV/0!</v>
      </c>
      <c r="AE47" s="182"/>
      <c r="AF47" s="166"/>
      <c r="AG47" s="166"/>
      <c r="AH47" s="182" t="e">
        <f t="shared" ref="AH47:AH51" si="45">RANK(AG47, AG$47:AG$61)</f>
        <v>#N/A</v>
      </c>
      <c r="AI47" s="487" t="e">
        <f t="shared" ref="AI47" si="46">AVERAGE(AG47:AG61)</f>
        <v>#DIV/0!</v>
      </c>
      <c r="AJ47" s="182"/>
      <c r="AK47" s="166"/>
      <c r="AL47" s="166"/>
      <c r="AM47" s="182" t="e">
        <f t="shared" ref="AM47:AM51" si="47">RANK(AL47, AL$47:AL$61)</f>
        <v>#N/A</v>
      </c>
      <c r="AN47" s="487" t="e">
        <f t="shared" ref="AN47" si="48">AVERAGE(AL47:AL61)</f>
        <v>#DIV/0!</v>
      </c>
      <c r="AO47" s="182"/>
      <c r="AP47" s="166"/>
      <c r="AQ47" s="166"/>
      <c r="AR47" s="182" t="e">
        <f t="shared" ref="AR47:AR51" si="49">RANK(AQ47, AQ$47:AQ$61)</f>
        <v>#N/A</v>
      </c>
      <c r="AS47" s="487" t="e">
        <f t="shared" ref="AS47" si="50">AVERAGE(AQ47:AQ61)</f>
        <v>#DIV/0!</v>
      </c>
      <c r="AT47" s="182"/>
      <c r="AU47" s="166"/>
      <c r="AV47" s="166"/>
      <c r="AW47" s="182" t="e">
        <f t="shared" ref="AW47:AW51" si="51">RANK(AV47, AV$47:AV$61)</f>
        <v>#N/A</v>
      </c>
      <c r="AX47" s="487" t="e">
        <f t="shared" ref="AX47" si="52">AVERAGE(AV47:AV61)</f>
        <v>#DIV/0!</v>
      </c>
      <c r="AZ47" s="182" t="e">
        <f t="shared" ref="AZ47:AZ51" si="53">RANK(AY47, AY$47:AY$61)</f>
        <v>#N/A</v>
      </c>
      <c r="BA47" s="487" t="e">
        <f t="shared" ref="BA47" si="54">AVERAGE(AY47:AY61)</f>
        <v>#DIV/0!</v>
      </c>
    </row>
    <row r="48" spans="2:53">
      <c r="B48" s="454"/>
      <c r="C48" s="182">
        <v>2</v>
      </c>
      <c r="D48" s="203"/>
      <c r="E48" s="166"/>
      <c r="F48" s="166"/>
      <c r="G48" s="166"/>
      <c r="H48" s="464"/>
      <c r="I48" s="166" t="str">
        <f t="shared" si="37"/>
        <v>-</v>
      </c>
      <c r="J48" s="166" t="str">
        <f t="shared" si="38"/>
        <v>-</v>
      </c>
      <c r="K48" s="180" t="str">
        <f t="shared" si="39"/>
        <v>-</v>
      </c>
      <c r="L48" s="464"/>
      <c r="M48" s="181" t="e">
        <f>RANK(K48, K$47:$K$61)</f>
        <v>#VALUE!</v>
      </c>
      <c r="N48" s="461"/>
      <c r="O48" s="461"/>
      <c r="P48" s="182"/>
      <c r="Q48" s="166"/>
      <c r="R48" s="166"/>
      <c r="S48" s="182" t="e">
        <f t="shared" si="40"/>
        <v>#N/A</v>
      </c>
      <c r="T48" s="488"/>
      <c r="U48" s="182"/>
      <c r="V48" s="166"/>
      <c r="W48" s="166"/>
      <c r="X48" s="182" t="e">
        <f t="shared" si="41"/>
        <v>#N/A</v>
      </c>
      <c r="Y48" s="488"/>
      <c r="Z48" s="182"/>
      <c r="AA48" s="166"/>
      <c r="AB48" s="166"/>
      <c r="AC48" s="182" t="e">
        <f t="shared" si="43"/>
        <v>#N/A</v>
      </c>
      <c r="AD48" s="488"/>
      <c r="AE48" s="182"/>
      <c r="AF48" s="166"/>
      <c r="AG48" s="166"/>
      <c r="AH48" s="182" t="e">
        <f t="shared" si="45"/>
        <v>#N/A</v>
      </c>
      <c r="AI48" s="488"/>
      <c r="AJ48" s="182"/>
      <c r="AK48" s="166"/>
      <c r="AL48" s="166"/>
      <c r="AM48" s="182" t="e">
        <f t="shared" si="47"/>
        <v>#N/A</v>
      </c>
      <c r="AN48" s="488"/>
      <c r="AO48" s="182"/>
      <c r="AP48" s="166"/>
      <c r="AQ48" s="166"/>
      <c r="AR48" s="182" t="e">
        <f t="shared" si="49"/>
        <v>#N/A</v>
      </c>
      <c r="AS48" s="488"/>
      <c r="AT48" s="182"/>
      <c r="AU48" s="166"/>
      <c r="AV48" s="166"/>
      <c r="AW48" s="182" t="e">
        <f t="shared" si="51"/>
        <v>#N/A</v>
      </c>
      <c r="AX48" s="488"/>
      <c r="AZ48" s="182" t="e">
        <f t="shared" si="53"/>
        <v>#N/A</v>
      </c>
      <c r="BA48" s="488"/>
    </row>
    <row r="49" spans="2:53">
      <c r="B49" s="454"/>
      <c r="C49" s="182">
        <v>3</v>
      </c>
      <c r="D49" s="203"/>
      <c r="E49" s="166"/>
      <c r="F49" s="166"/>
      <c r="G49" s="166"/>
      <c r="H49" s="464"/>
      <c r="I49" s="166" t="str">
        <f t="shared" si="37"/>
        <v>-</v>
      </c>
      <c r="J49" s="166" t="str">
        <f t="shared" si="38"/>
        <v>-</v>
      </c>
      <c r="K49" s="180" t="str">
        <f t="shared" si="39"/>
        <v>-</v>
      </c>
      <c r="L49" s="464"/>
      <c r="M49" s="181" t="e">
        <f>RANK(K49, K$47:$K$61)</f>
        <v>#VALUE!</v>
      </c>
      <c r="N49" s="461"/>
      <c r="O49" s="461"/>
      <c r="P49" s="182"/>
      <c r="Q49" s="166"/>
      <c r="R49" s="166"/>
      <c r="S49" s="182" t="e">
        <f t="shared" si="40"/>
        <v>#N/A</v>
      </c>
      <c r="T49" s="488"/>
      <c r="U49" s="182"/>
      <c r="V49" s="166"/>
      <c r="W49" s="166"/>
      <c r="X49" s="182" t="e">
        <f t="shared" si="41"/>
        <v>#N/A</v>
      </c>
      <c r="Y49" s="488"/>
      <c r="Z49" s="182"/>
      <c r="AA49" s="166"/>
      <c r="AB49" s="166"/>
      <c r="AC49" s="182" t="e">
        <f t="shared" si="43"/>
        <v>#N/A</v>
      </c>
      <c r="AD49" s="488"/>
      <c r="AE49" s="182"/>
      <c r="AF49" s="166"/>
      <c r="AG49" s="166"/>
      <c r="AH49" s="182" t="e">
        <f t="shared" si="45"/>
        <v>#N/A</v>
      </c>
      <c r="AI49" s="488"/>
      <c r="AJ49" s="182"/>
      <c r="AK49" s="166"/>
      <c r="AL49" s="166"/>
      <c r="AM49" s="182" t="e">
        <f t="shared" si="47"/>
        <v>#N/A</v>
      </c>
      <c r="AN49" s="488"/>
      <c r="AO49" s="182"/>
      <c r="AP49" s="166"/>
      <c r="AQ49" s="166"/>
      <c r="AR49" s="182" t="e">
        <f t="shared" si="49"/>
        <v>#N/A</v>
      </c>
      <c r="AS49" s="488"/>
      <c r="AT49" s="182"/>
      <c r="AU49" s="166"/>
      <c r="AV49" s="166"/>
      <c r="AW49" s="182" t="e">
        <f t="shared" si="51"/>
        <v>#N/A</v>
      </c>
      <c r="AX49" s="488"/>
      <c r="AZ49" s="182" t="e">
        <f t="shared" si="53"/>
        <v>#N/A</v>
      </c>
      <c r="BA49" s="488"/>
    </row>
    <row r="50" spans="2:53">
      <c r="B50" s="454"/>
      <c r="C50" s="182">
        <v>4</v>
      </c>
      <c r="D50" s="203"/>
      <c r="E50" s="166"/>
      <c r="F50" s="166"/>
      <c r="G50" s="166"/>
      <c r="H50" s="464"/>
      <c r="I50" s="166" t="str">
        <f t="shared" si="37"/>
        <v>-</v>
      </c>
      <c r="J50" s="166" t="str">
        <f t="shared" si="38"/>
        <v>-</v>
      </c>
      <c r="K50" s="180" t="str">
        <f t="shared" si="39"/>
        <v>-</v>
      </c>
      <c r="L50" s="464"/>
      <c r="M50" s="181" t="e">
        <f>RANK(K50, K$47:$K$61)</f>
        <v>#VALUE!</v>
      </c>
      <c r="N50" s="461"/>
      <c r="O50" s="461"/>
      <c r="P50" s="182"/>
      <c r="Q50" s="166"/>
      <c r="R50" s="166"/>
      <c r="S50" s="182" t="e">
        <f t="shared" si="40"/>
        <v>#N/A</v>
      </c>
      <c r="T50" s="488"/>
      <c r="U50" s="182"/>
      <c r="V50" s="166"/>
      <c r="W50" s="166"/>
      <c r="X50" s="182" t="e">
        <f t="shared" si="41"/>
        <v>#N/A</v>
      </c>
      <c r="Y50" s="488"/>
      <c r="Z50" s="182"/>
      <c r="AA50" s="166"/>
      <c r="AB50" s="166"/>
      <c r="AC50" s="182" t="e">
        <f t="shared" si="43"/>
        <v>#N/A</v>
      </c>
      <c r="AD50" s="488"/>
      <c r="AE50" s="182"/>
      <c r="AF50" s="166"/>
      <c r="AG50" s="166"/>
      <c r="AH50" s="182" t="e">
        <f t="shared" si="45"/>
        <v>#N/A</v>
      </c>
      <c r="AI50" s="488"/>
      <c r="AJ50" s="182"/>
      <c r="AK50" s="166"/>
      <c r="AL50" s="166"/>
      <c r="AM50" s="182" t="e">
        <f t="shared" si="47"/>
        <v>#N/A</v>
      </c>
      <c r="AN50" s="488"/>
      <c r="AO50" s="182"/>
      <c r="AP50" s="166"/>
      <c r="AQ50" s="166"/>
      <c r="AR50" s="182" t="e">
        <f t="shared" si="49"/>
        <v>#N/A</v>
      </c>
      <c r="AS50" s="488"/>
      <c r="AT50" s="182"/>
      <c r="AU50" s="166"/>
      <c r="AV50" s="166"/>
      <c r="AW50" s="182" t="e">
        <f t="shared" si="51"/>
        <v>#N/A</v>
      </c>
      <c r="AX50" s="488"/>
      <c r="AZ50" s="182" t="e">
        <f t="shared" si="53"/>
        <v>#N/A</v>
      </c>
      <c r="BA50" s="488"/>
    </row>
    <row r="51" spans="2:53">
      <c r="B51" s="454"/>
      <c r="C51" s="182">
        <v>5</v>
      </c>
      <c r="D51" s="203"/>
      <c r="E51" s="166"/>
      <c r="F51" s="166"/>
      <c r="G51" s="166"/>
      <c r="H51" s="464"/>
      <c r="I51" s="166" t="str">
        <f t="shared" si="37"/>
        <v>-</v>
      </c>
      <c r="J51" s="166" t="str">
        <f t="shared" si="38"/>
        <v>-</v>
      </c>
      <c r="K51" s="180" t="str">
        <f t="shared" si="39"/>
        <v>-</v>
      </c>
      <c r="L51" s="464"/>
      <c r="M51" s="181" t="e">
        <f>RANK(K51, K$47:$K$61)</f>
        <v>#VALUE!</v>
      </c>
      <c r="N51" s="461"/>
      <c r="O51" s="461"/>
      <c r="P51" s="182"/>
      <c r="Q51" s="166"/>
      <c r="R51" s="166"/>
      <c r="S51" s="182" t="e">
        <f t="shared" si="40"/>
        <v>#N/A</v>
      </c>
      <c r="T51" s="488"/>
      <c r="U51" s="182"/>
      <c r="V51" s="166"/>
      <c r="W51" s="166"/>
      <c r="X51" s="182" t="e">
        <f t="shared" si="41"/>
        <v>#N/A</v>
      </c>
      <c r="Y51" s="488"/>
      <c r="Z51" s="182"/>
      <c r="AA51" s="166"/>
      <c r="AB51" s="166"/>
      <c r="AC51" s="182" t="e">
        <f t="shared" si="43"/>
        <v>#N/A</v>
      </c>
      <c r="AD51" s="488"/>
      <c r="AE51" s="182"/>
      <c r="AF51" s="166"/>
      <c r="AG51" s="166"/>
      <c r="AH51" s="182" t="e">
        <f t="shared" si="45"/>
        <v>#N/A</v>
      </c>
      <c r="AI51" s="488"/>
      <c r="AJ51" s="182"/>
      <c r="AK51" s="166"/>
      <c r="AL51" s="166"/>
      <c r="AM51" s="182" t="e">
        <f t="shared" si="47"/>
        <v>#N/A</v>
      </c>
      <c r="AN51" s="488"/>
      <c r="AO51" s="182"/>
      <c r="AP51" s="166"/>
      <c r="AQ51" s="166"/>
      <c r="AR51" s="182" t="e">
        <f t="shared" si="49"/>
        <v>#N/A</v>
      </c>
      <c r="AS51" s="488"/>
      <c r="AT51" s="182"/>
      <c r="AU51" s="166"/>
      <c r="AV51" s="166"/>
      <c r="AW51" s="182" t="e">
        <f t="shared" si="51"/>
        <v>#N/A</v>
      </c>
      <c r="AX51" s="488"/>
      <c r="AZ51" s="182" t="e">
        <f t="shared" si="53"/>
        <v>#N/A</v>
      </c>
      <c r="BA51" s="488"/>
    </row>
    <row r="52" spans="2:53">
      <c r="B52" s="454"/>
      <c r="C52" s="182">
        <v>6</v>
      </c>
      <c r="D52" s="203"/>
      <c r="E52" s="166"/>
      <c r="F52" s="166"/>
      <c r="G52" s="166"/>
      <c r="H52" s="464"/>
      <c r="I52" s="166" t="str">
        <f t="shared" si="37"/>
        <v>-</v>
      </c>
      <c r="J52" s="166" t="str">
        <f t="shared" si="38"/>
        <v>-</v>
      </c>
      <c r="K52" s="180" t="str">
        <f t="shared" si="39"/>
        <v>-</v>
      </c>
      <c r="L52" s="464"/>
      <c r="M52" s="181" t="e">
        <f>RANK(K52, K$47:$K$61)</f>
        <v>#VALUE!</v>
      </c>
      <c r="N52" s="461"/>
      <c r="O52" s="461"/>
      <c r="P52" s="182"/>
      <c r="Q52" s="166"/>
      <c r="R52" s="166"/>
      <c r="S52" s="182"/>
      <c r="T52" s="488"/>
      <c r="U52" s="182"/>
      <c r="V52" s="166"/>
      <c r="W52" s="166"/>
      <c r="X52" s="182"/>
      <c r="Y52" s="488"/>
      <c r="Z52" s="182"/>
      <c r="AA52" s="166"/>
      <c r="AB52" s="166"/>
      <c r="AC52" s="182"/>
      <c r="AD52" s="488"/>
      <c r="AE52" s="182"/>
      <c r="AF52" s="166"/>
      <c r="AG52" s="166"/>
      <c r="AH52" s="182"/>
      <c r="AI52" s="488"/>
      <c r="AJ52" s="182"/>
      <c r="AK52" s="166"/>
      <c r="AL52" s="166"/>
      <c r="AM52" s="182"/>
      <c r="AN52" s="488"/>
      <c r="AO52" s="182"/>
      <c r="AP52" s="166"/>
      <c r="AQ52" s="166"/>
      <c r="AR52" s="182"/>
      <c r="AS52" s="488"/>
      <c r="AT52" s="182"/>
      <c r="AU52" s="166"/>
      <c r="AV52" s="166"/>
      <c r="AW52" s="182"/>
      <c r="AX52" s="488"/>
      <c r="AZ52" s="182"/>
      <c r="BA52" s="488"/>
    </row>
    <row r="53" spans="2:53">
      <c r="B53" s="454"/>
      <c r="C53" s="182">
        <v>7</v>
      </c>
      <c r="D53" s="203"/>
      <c r="E53" s="166"/>
      <c r="F53" s="166"/>
      <c r="G53" s="166"/>
      <c r="H53" s="464"/>
      <c r="I53" s="166" t="str">
        <f t="shared" si="37"/>
        <v>-</v>
      </c>
      <c r="J53" s="166" t="str">
        <f t="shared" si="38"/>
        <v>-</v>
      </c>
      <c r="K53" s="180" t="str">
        <f t="shared" si="39"/>
        <v>-</v>
      </c>
      <c r="L53" s="464"/>
      <c r="M53" s="181" t="e">
        <f>RANK(K53, K$47:$K$61)</f>
        <v>#VALUE!</v>
      </c>
      <c r="N53" s="461"/>
      <c r="O53" s="461"/>
      <c r="P53" s="182"/>
      <c r="Q53" s="166"/>
      <c r="R53" s="166"/>
      <c r="S53" s="182"/>
      <c r="T53" s="488"/>
      <c r="U53" s="182"/>
      <c r="V53" s="166"/>
      <c r="W53" s="166"/>
      <c r="X53" s="182"/>
      <c r="Y53" s="488"/>
      <c r="Z53" s="182"/>
      <c r="AA53" s="166"/>
      <c r="AB53" s="166"/>
      <c r="AC53" s="182"/>
      <c r="AD53" s="488"/>
      <c r="AE53" s="182"/>
      <c r="AF53" s="166"/>
      <c r="AG53" s="166"/>
      <c r="AH53" s="182"/>
      <c r="AI53" s="488"/>
      <c r="AJ53" s="182"/>
      <c r="AK53" s="166"/>
      <c r="AL53" s="166"/>
      <c r="AM53" s="182"/>
      <c r="AN53" s="488"/>
      <c r="AO53" s="182"/>
      <c r="AP53" s="166"/>
      <c r="AQ53" s="166"/>
      <c r="AR53" s="182"/>
      <c r="AS53" s="488"/>
      <c r="AT53" s="182"/>
      <c r="AU53" s="166"/>
      <c r="AV53" s="166"/>
      <c r="AW53" s="182"/>
      <c r="AX53" s="488"/>
      <c r="AZ53" s="182"/>
      <c r="BA53" s="488"/>
    </row>
    <row r="54" spans="2:53">
      <c r="B54" s="454"/>
      <c r="C54" s="182">
        <v>8</v>
      </c>
      <c r="D54" s="203"/>
      <c r="E54" s="166"/>
      <c r="F54" s="166"/>
      <c r="G54" s="166"/>
      <c r="H54" s="464"/>
      <c r="I54" s="166" t="str">
        <f t="shared" si="37"/>
        <v>-</v>
      </c>
      <c r="J54" s="166" t="str">
        <f t="shared" si="38"/>
        <v>-</v>
      </c>
      <c r="K54" s="180" t="str">
        <f t="shared" si="39"/>
        <v>-</v>
      </c>
      <c r="L54" s="464"/>
      <c r="M54" s="181" t="e">
        <f>RANK(K54, K$47:$K$61)</f>
        <v>#VALUE!</v>
      </c>
      <c r="N54" s="461"/>
      <c r="O54" s="461"/>
      <c r="P54" s="182"/>
      <c r="Q54" s="166"/>
      <c r="R54" s="166"/>
      <c r="S54" s="182"/>
      <c r="T54" s="488"/>
      <c r="U54" s="182"/>
      <c r="V54" s="166"/>
      <c r="W54" s="166"/>
      <c r="X54" s="182"/>
      <c r="Y54" s="488"/>
      <c r="Z54" s="182"/>
      <c r="AA54" s="166"/>
      <c r="AB54" s="166"/>
      <c r="AC54" s="182"/>
      <c r="AD54" s="488"/>
      <c r="AE54" s="182"/>
      <c r="AF54" s="166"/>
      <c r="AG54" s="166"/>
      <c r="AH54" s="182"/>
      <c r="AI54" s="488"/>
      <c r="AJ54" s="182"/>
      <c r="AK54" s="166"/>
      <c r="AL54" s="166"/>
      <c r="AM54" s="182"/>
      <c r="AN54" s="488"/>
      <c r="AO54" s="182"/>
      <c r="AP54" s="166"/>
      <c r="AQ54" s="166"/>
      <c r="AR54" s="182"/>
      <c r="AS54" s="488"/>
      <c r="AT54" s="182"/>
      <c r="AU54" s="166"/>
      <c r="AV54" s="166"/>
      <c r="AW54" s="182"/>
      <c r="AX54" s="488"/>
      <c r="AZ54" s="182"/>
      <c r="BA54" s="488"/>
    </row>
    <row r="55" spans="2:53">
      <c r="B55" s="454"/>
      <c r="C55" s="182">
        <v>9</v>
      </c>
      <c r="D55" s="203"/>
      <c r="E55" s="166"/>
      <c r="F55" s="166"/>
      <c r="G55" s="166"/>
      <c r="H55" s="464"/>
      <c r="I55" s="166" t="str">
        <f t="shared" si="37"/>
        <v>-</v>
      </c>
      <c r="J55" s="166" t="str">
        <f t="shared" si="38"/>
        <v>-</v>
      </c>
      <c r="K55" s="180" t="str">
        <f t="shared" si="39"/>
        <v>-</v>
      </c>
      <c r="L55" s="464"/>
      <c r="M55" s="181" t="e">
        <f>RANK(K55, K$47:$K$61)</f>
        <v>#VALUE!</v>
      </c>
      <c r="N55" s="461"/>
      <c r="O55" s="461"/>
      <c r="P55" s="182"/>
      <c r="Q55" s="166"/>
      <c r="R55" s="166"/>
      <c r="S55" s="182"/>
      <c r="T55" s="488"/>
      <c r="U55" s="182"/>
      <c r="V55" s="166"/>
      <c r="W55" s="166"/>
      <c r="X55" s="182"/>
      <c r="Y55" s="488"/>
      <c r="Z55" s="182"/>
      <c r="AA55" s="166"/>
      <c r="AB55" s="166"/>
      <c r="AC55" s="182"/>
      <c r="AD55" s="488"/>
      <c r="AE55" s="182"/>
      <c r="AF55" s="166"/>
      <c r="AG55" s="166"/>
      <c r="AH55" s="182"/>
      <c r="AI55" s="488"/>
      <c r="AJ55" s="182"/>
      <c r="AK55" s="166"/>
      <c r="AL55" s="166"/>
      <c r="AM55" s="182"/>
      <c r="AN55" s="488"/>
      <c r="AO55" s="182"/>
      <c r="AP55" s="166"/>
      <c r="AQ55" s="166"/>
      <c r="AR55" s="182"/>
      <c r="AS55" s="488"/>
      <c r="AT55" s="182"/>
      <c r="AU55" s="166"/>
      <c r="AV55" s="166"/>
      <c r="AW55" s="182"/>
      <c r="AX55" s="488"/>
      <c r="AZ55" s="182"/>
      <c r="BA55" s="488"/>
    </row>
    <row r="56" spans="2:53">
      <c r="B56" s="454"/>
      <c r="C56" s="182">
        <v>10</v>
      </c>
      <c r="D56" s="203"/>
      <c r="E56" s="166"/>
      <c r="F56" s="166"/>
      <c r="G56" s="166"/>
      <c r="H56" s="464"/>
      <c r="I56" s="166" t="str">
        <f t="shared" si="37"/>
        <v>-</v>
      </c>
      <c r="J56" s="166" t="str">
        <f t="shared" si="38"/>
        <v>-</v>
      </c>
      <c r="K56" s="180" t="str">
        <f t="shared" si="39"/>
        <v>-</v>
      </c>
      <c r="L56" s="464"/>
      <c r="M56" s="181" t="e">
        <f>RANK(K56, K$47:$K$61)</f>
        <v>#VALUE!</v>
      </c>
      <c r="N56" s="461"/>
      <c r="O56" s="461"/>
      <c r="P56" s="182"/>
      <c r="Q56" s="166"/>
      <c r="R56" s="166"/>
      <c r="S56" s="182"/>
      <c r="T56" s="488"/>
      <c r="U56" s="182"/>
      <c r="V56" s="166"/>
      <c r="W56" s="166"/>
      <c r="X56" s="182"/>
      <c r="Y56" s="488"/>
      <c r="Z56" s="182"/>
      <c r="AA56" s="166"/>
      <c r="AB56" s="166"/>
      <c r="AC56" s="182"/>
      <c r="AD56" s="488"/>
      <c r="AE56" s="182"/>
      <c r="AF56" s="166"/>
      <c r="AG56" s="166"/>
      <c r="AH56" s="182"/>
      <c r="AI56" s="488"/>
      <c r="AJ56" s="182"/>
      <c r="AK56" s="166"/>
      <c r="AL56" s="166"/>
      <c r="AM56" s="182"/>
      <c r="AN56" s="488"/>
      <c r="AO56" s="182"/>
      <c r="AP56" s="166"/>
      <c r="AQ56" s="166"/>
      <c r="AR56" s="182"/>
      <c r="AS56" s="488"/>
      <c r="AT56" s="182"/>
      <c r="AU56" s="166"/>
      <c r="AV56" s="166"/>
      <c r="AW56" s="182"/>
      <c r="AX56" s="488"/>
      <c r="AZ56" s="182"/>
      <c r="BA56" s="488"/>
    </row>
    <row r="57" spans="2:53">
      <c r="B57" s="454"/>
      <c r="C57" s="182">
        <v>11</v>
      </c>
      <c r="D57" s="203"/>
      <c r="E57" s="166"/>
      <c r="F57" s="166"/>
      <c r="G57" s="166"/>
      <c r="H57" s="464"/>
      <c r="I57" s="166" t="str">
        <f t="shared" si="37"/>
        <v>-</v>
      </c>
      <c r="J57" s="166" t="str">
        <f t="shared" si="38"/>
        <v>-</v>
      </c>
      <c r="K57" s="180" t="str">
        <f t="shared" si="39"/>
        <v>-</v>
      </c>
      <c r="L57" s="464"/>
      <c r="M57" s="181" t="e">
        <f>RANK(K57, K$47:$K$61)</f>
        <v>#VALUE!</v>
      </c>
      <c r="N57" s="461"/>
      <c r="O57" s="461"/>
      <c r="P57" s="182"/>
      <c r="Q57" s="166"/>
      <c r="R57" s="166"/>
      <c r="S57" s="182"/>
      <c r="T57" s="488"/>
      <c r="U57" s="182"/>
      <c r="V57" s="166"/>
      <c r="W57" s="166"/>
      <c r="X57" s="182"/>
      <c r="Y57" s="488"/>
      <c r="Z57" s="182"/>
      <c r="AA57" s="166"/>
      <c r="AB57" s="166"/>
      <c r="AC57" s="182"/>
      <c r="AD57" s="488"/>
      <c r="AE57" s="182"/>
      <c r="AF57" s="166"/>
      <c r="AG57" s="166"/>
      <c r="AH57" s="182"/>
      <c r="AI57" s="488"/>
      <c r="AJ57" s="182"/>
      <c r="AK57" s="166"/>
      <c r="AL57" s="166"/>
      <c r="AM57" s="182"/>
      <c r="AN57" s="488"/>
      <c r="AO57" s="182"/>
      <c r="AP57" s="166"/>
      <c r="AQ57" s="166"/>
      <c r="AR57" s="182"/>
      <c r="AS57" s="488"/>
      <c r="AT57" s="182"/>
      <c r="AU57" s="166"/>
      <c r="AV57" s="166"/>
      <c r="AW57" s="182"/>
      <c r="AX57" s="488"/>
      <c r="AZ57" s="182"/>
      <c r="BA57" s="488"/>
    </row>
    <row r="58" spans="2:53">
      <c r="B58" s="454"/>
      <c r="C58" s="182">
        <v>12</v>
      </c>
      <c r="D58" s="203"/>
      <c r="E58" s="166"/>
      <c r="F58" s="166"/>
      <c r="G58" s="166"/>
      <c r="H58" s="464"/>
      <c r="I58" s="166" t="str">
        <f t="shared" si="37"/>
        <v>-</v>
      </c>
      <c r="J58" s="166" t="str">
        <f t="shared" si="38"/>
        <v>-</v>
      </c>
      <c r="K58" s="180" t="str">
        <f t="shared" si="39"/>
        <v>-</v>
      </c>
      <c r="L58" s="464"/>
      <c r="M58" s="181" t="e">
        <f>RANK(K58, K$47:$K$61)</f>
        <v>#VALUE!</v>
      </c>
      <c r="N58" s="461"/>
      <c r="O58" s="461"/>
      <c r="P58" s="182"/>
      <c r="Q58" s="166"/>
      <c r="R58" s="166"/>
      <c r="S58" s="182"/>
      <c r="T58" s="488"/>
      <c r="U58" s="182"/>
      <c r="V58" s="166"/>
      <c r="W58" s="166"/>
      <c r="X58" s="182"/>
      <c r="Y58" s="488"/>
      <c r="Z58" s="182"/>
      <c r="AA58" s="166"/>
      <c r="AB58" s="166"/>
      <c r="AC58" s="182"/>
      <c r="AD58" s="488"/>
      <c r="AE58" s="182"/>
      <c r="AF58" s="166"/>
      <c r="AG58" s="166"/>
      <c r="AH58" s="182"/>
      <c r="AI58" s="488"/>
      <c r="AJ58" s="182"/>
      <c r="AK58" s="166"/>
      <c r="AL58" s="166"/>
      <c r="AM58" s="182"/>
      <c r="AN58" s="488"/>
      <c r="AO58" s="182"/>
      <c r="AP58" s="166"/>
      <c r="AQ58" s="166"/>
      <c r="AR58" s="182"/>
      <c r="AS58" s="488"/>
      <c r="AT58" s="182"/>
      <c r="AU58" s="166"/>
      <c r="AV58" s="166"/>
      <c r="AW58" s="182"/>
      <c r="AX58" s="488"/>
      <c r="AZ58" s="182"/>
      <c r="BA58" s="488"/>
    </row>
    <row r="59" spans="2:53">
      <c r="B59" s="454"/>
      <c r="C59" s="182">
        <v>13</v>
      </c>
      <c r="D59" s="203"/>
      <c r="E59" s="166"/>
      <c r="F59" s="166"/>
      <c r="G59" s="166"/>
      <c r="H59" s="464"/>
      <c r="I59" s="166" t="str">
        <f t="shared" si="37"/>
        <v>-</v>
      </c>
      <c r="J59" s="166" t="str">
        <f t="shared" si="38"/>
        <v>-</v>
      </c>
      <c r="K59" s="180" t="str">
        <f t="shared" si="39"/>
        <v>-</v>
      </c>
      <c r="L59" s="464"/>
      <c r="M59" s="181" t="e">
        <f>RANK(K59, K$47:$K$61)</f>
        <v>#VALUE!</v>
      </c>
      <c r="N59" s="461"/>
      <c r="O59" s="461"/>
      <c r="P59" s="182"/>
      <c r="Q59" s="166"/>
      <c r="R59" s="166"/>
      <c r="S59" s="182"/>
      <c r="T59" s="488"/>
      <c r="U59" s="182"/>
      <c r="V59" s="166"/>
      <c r="W59" s="166"/>
      <c r="X59" s="182"/>
      <c r="Y59" s="488"/>
      <c r="Z59" s="182"/>
      <c r="AA59" s="166"/>
      <c r="AB59" s="166"/>
      <c r="AC59" s="182"/>
      <c r="AD59" s="488"/>
      <c r="AE59" s="182"/>
      <c r="AF59" s="166"/>
      <c r="AG59" s="166"/>
      <c r="AH59" s="182"/>
      <c r="AI59" s="488"/>
      <c r="AJ59" s="182"/>
      <c r="AK59" s="166"/>
      <c r="AL59" s="166"/>
      <c r="AM59" s="182"/>
      <c r="AN59" s="488"/>
      <c r="AO59" s="182"/>
      <c r="AP59" s="166"/>
      <c r="AQ59" s="166"/>
      <c r="AR59" s="182"/>
      <c r="AS59" s="488"/>
      <c r="AT59" s="182"/>
      <c r="AU59" s="166"/>
      <c r="AV59" s="166"/>
      <c r="AW59" s="182"/>
      <c r="AX59" s="488"/>
      <c r="AZ59" s="182"/>
      <c r="BA59" s="488"/>
    </row>
    <row r="60" spans="2:53">
      <c r="B60" s="454"/>
      <c r="C60" s="182">
        <v>14</v>
      </c>
      <c r="D60" s="203"/>
      <c r="E60" s="166"/>
      <c r="F60" s="166"/>
      <c r="G60" s="166"/>
      <c r="H60" s="464"/>
      <c r="I60" s="166" t="str">
        <f t="shared" si="37"/>
        <v>-</v>
      </c>
      <c r="J60" s="166" t="str">
        <f t="shared" si="38"/>
        <v>-</v>
      </c>
      <c r="K60" s="180" t="str">
        <f t="shared" si="39"/>
        <v>-</v>
      </c>
      <c r="L60" s="464"/>
      <c r="M60" s="181" t="e">
        <f>RANK(K60, K$47:$K$61)</f>
        <v>#VALUE!</v>
      </c>
      <c r="N60" s="461"/>
      <c r="O60" s="461"/>
      <c r="P60" s="182"/>
      <c r="Q60" s="166"/>
      <c r="R60" s="166"/>
      <c r="S60" s="182"/>
      <c r="T60" s="488"/>
      <c r="U60" s="182"/>
      <c r="V60" s="166"/>
      <c r="W60" s="166"/>
      <c r="X60" s="182"/>
      <c r="Y60" s="488"/>
      <c r="Z60" s="182"/>
      <c r="AA60" s="166"/>
      <c r="AB60" s="166"/>
      <c r="AC60" s="182"/>
      <c r="AD60" s="488"/>
      <c r="AE60" s="182"/>
      <c r="AF60" s="166"/>
      <c r="AG60" s="166"/>
      <c r="AH60" s="182"/>
      <c r="AI60" s="488"/>
      <c r="AJ60" s="182"/>
      <c r="AK60" s="166"/>
      <c r="AL60" s="166"/>
      <c r="AM60" s="182"/>
      <c r="AN60" s="488"/>
      <c r="AO60" s="182"/>
      <c r="AP60" s="166"/>
      <c r="AQ60" s="166"/>
      <c r="AR60" s="182"/>
      <c r="AS60" s="488"/>
      <c r="AT60" s="182"/>
      <c r="AU60" s="166"/>
      <c r="AV60" s="166"/>
      <c r="AW60" s="182"/>
      <c r="AX60" s="488"/>
      <c r="AZ60" s="182"/>
      <c r="BA60" s="488"/>
    </row>
    <row r="61" spans="2:53">
      <c r="B61" s="454"/>
      <c r="C61" s="182">
        <v>15</v>
      </c>
      <c r="D61" s="203"/>
      <c r="E61" s="166"/>
      <c r="F61" s="166"/>
      <c r="G61" s="166"/>
      <c r="H61" s="465"/>
      <c r="I61" s="182"/>
      <c r="J61" s="182"/>
      <c r="K61" s="182"/>
      <c r="L61" s="465"/>
      <c r="M61" s="181" t="e">
        <f>RANK(K61, K$47:$K$61)</f>
        <v>#N/A</v>
      </c>
      <c r="N61" s="461"/>
      <c r="O61" s="461"/>
      <c r="P61" s="182"/>
      <c r="Q61" s="166"/>
      <c r="R61" s="166"/>
      <c r="S61" s="182"/>
      <c r="T61" s="489"/>
      <c r="U61" s="182"/>
      <c r="V61" s="166"/>
      <c r="W61" s="166"/>
      <c r="X61" s="182"/>
      <c r="Y61" s="489"/>
      <c r="Z61" s="182"/>
      <c r="AA61" s="166"/>
      <c r="AB61" s="166"/>
      <c r="AC61" s="182"/>
      <c r="AD61" s="489"/>
      <c r="AE61" s="182"/>
      <c r="AF61" s="166"/>
      <c r="AG61" s="166"/>
      <c r="AH61" s="182"/>
      <c r="AI61" s="489"/>
      <c r="AJ61" s="182"/>
      <c r="AK61" s="166"/>
      <c r="AL61" s="166"/>
      <c r="AM61" s="182"/>
      <c r="AN61" s="489"/>
      <c r="AO61" s="182"/>
      <c r="AP61" s="166"/>
      <c r="AQ61" s="166"/>
      <c r="AR61" s="182"/>
      <c r="AS61" s="489"/>
      <c r="AT61" s="182"/>
      <c r="AU61" s="166"/>
      <c r="AV61" s="166"/>
      <c r="AW61" s="182"/>
      <c r="AX61" s="489"/>
      <c r="AZ61" s="182"/>
      <c r="BA61" s="489"/>
    </row>
    <row r="62" spans="2:53" ht="15.5">
      <c r="B62" s="477" t="s">
        <v>163</v>
      </c>
      <c r="C62" s="478"/>
      <c r="D62" s="478"/>
      <c r="E62" s="478"/>
      <c r="F62" s="478"/>
      <c r="G62" s="478"/>
      <c r="H62" s="478"/>
      <c r="I62" s="186"/>
      <c r="J62" s="186"/>
      <c r="K62" s="186"/>
      <c r="L62" s="186"/>
      <c r="M62" s="185"/>
      <c r="N62" s="480" t="s">
        <v>156</v>
      </c>
      <c r="O62" s="480" t="s">
        <v>105</v>
      </c>
      <c r="P62" s="476">
        <f>P42+7</f>
        <v>46133</v>
      </c>
      <c r="Q62" s="454"/>
      <c r="R62" s="454"/>
      <c r="S62" s="454"/>
      <c r="T62" s="454"/>
      <c r="U62" s="473">
        <f>P62+1</f>
        <v>46134</v>
      </c>
      <c r="V62" s="474"/>
      <c r="W62" s="474"/>
      <c r="X62" s="474"/>
      <c r="Y62" s="475"/>
      <c r="Z62" s="473">
        <f>U62+1</f>
        <v>46135</v>
      </c>
      <c r="AA62" s="474"/>
      <c r="AB62" s="474"/>
      <c r="AC62" s="474"/>
      <c r="AD62" s="475"/>
      <c r="AE62" s="473">
        <f>Z62+1</f>
        <v>46136</v>
      </c>
      <c r="AF62" s="474"/>
      <c r="AG62" s="474"/>
      <c r="AH62" s="474"/>
      <c r="AI62" s="475"/>
      <c r="AJ62" s="473">
        <f>AE62+1</f>
        <v>46137</v>
      </c>
      <c r="AK62" s="474"/>
      <c r="AL62" s="474"/>
      <c r="AM62" s="474"/>
      <c r="AN62" s="475"/>
      <c r="AO62" s="473">
        <f>AJ62+1</f>
        <v>46138</v>
      </c>
      <c r="AP62" s="474"/>
      <c r="AQ62" s="474"/>
      <c r="AR62" s="474"/>
      <c r="AS62" s="475"/>
      <c r="AT62" s="473">
        <f>AO62+1</f>
        <v>46139</v>
      </c>
      <c r="AU62" s="474"/>
      <c r="AV62" s="474"/>
      <c r="AW62" s="474"/>
      <c r="AX62" s="475"/>
    </row>
    <row r="63" spans="2:53" ht="15.5">
      <c r="B63" s="479"/>
      <c r="C63" s="479"/>
      <c r="D63" s="479"/>
      <c r="E63" s="479"/>
      <c r="F63" s="479"/>
      <c r="G63" s="479"/>
      <c r="H63" s="479"/>
      <c r="I63" s="184"/>
      <c r="J63" s="184"/>
      <c r="K63" s="184"/>
      <c r="L63" s="184"/>
      <c r="M63" s="179"/>
      <c r="N63" s="481"/>
      <c r="O63" s="481"/>
      <c r="P63" s="476" t="s">
        <v>336</v>
      </c>
      <c r="Q63" s="454"/>
      <c r="R63" s="454"/>
      <c r="S63" s="454"/>
      <c r="T63" s="454"/>
      <c r="U63" s="476" t="s">
        <v>337</v>
      </c>
      <c r="V63" s="454"/>
      <c r="W63" s="454"/>
      <c r="X63" s="454"/>
      <c r="Y63" s="454"/>
      <c r="Z63" s="476" t="s">
        <v>338</v>
      </c>
      <c r="AA63" s="454"/>
      <c r="AB63" s="454"/>
      <c r="AC63" s="454"/>
      <c r="AD63" s="454"/>
      <c r="AE63" s="476" t="s">
        <v>339</v>
      </c>
      <c r="AF63" s="454"/>
      <c r="AG63" s="454"/>
      <c r="AH63" s="454"/>
      <c r="AI63" s="454"/>
      <c r="AJ63" s="476" t="s">
        <v>340</v>
      </c>
      <c r="AK63" s="454"/>
      <c r="AL63" s="454"/>
      <c r="AM63" s="454"/>
      <c r="AN63" s="454"/>
      <c r="AO63" s="476" t="s">
        <v>341</v>
      </c>
      <c r="AP63" s="454"/>
      <c r="AQ63" s="454"/>
      <c r="AR63" s="454"/>
      <c r="AS63" s="454"/>
      <c r="AT63" s="476" t="s">
        <v>342</v>
      </c>
      <c r="AU63" s="454"/>
      <c r="AV63" s="454"/>
      <c r="AW63" s="454"/>
      <c r="AX63" s="454"/>
    </row>
    <row r="64" spans="2:53">
      <c r="B64" s="461" t="s">
        <v>443</v>
      </c>
      <c r="C64" s="461" t="s">
        <v>444</v>
      </c>
      <c r="D64" s="461"/>
      <c r="E64" s="461" t="s">
        <v>445</v>
      </c>
      <c r="F64" s="461"/>
      <c r="G64" s="461"/>
      <c r="H64" s="482" t="s">
        <v>446</v>
      </c>
      <c r="I64" s="461" t="s">
        <v>447</v>
      </c>
      <c r="J64" s="461"/>
      <c r="K64" s="461"/>
      <c r="L64" s="482" t="s">
        <v>396</v>
      </c>
      <c r="M64" s="480" t="s">
        <v>448</v>
      </c>
      <c r="N64" s="461"/>
      <c r="O64" s="461" t="s">
        <v>449</v>
      </c>
      <c r="P64" s="466" t="s">
        <v>450</v>
      </c>
      <c r="Q64" s="467"/>
      <c r="R64" s="467"/>
      <c r="S64" s="468"/>
      <c r="T64" s="461" t="s">
        <v>446</v>
      </c>
      <c r="U64" s="466" t="s">
        <v>450</v>
      </c>
      <c r="V64" s="467"/>
      <c r="W64" s="467"/>
      <c r="X64" s="468"/>
      <c r="Y64" s="461" t="s">
        <v>446</v>
      </c>
      <c r="Z64" s="466" t="s">
        <v>450</v>
      </c>
      <c r="AA64" s="467"/>
      <c r="AB64" s="467"/>
      <c r="AC64" s="468"/>
      <c r="AD64" s="461" t="s">
        <v>446</v>
      </c>
      <c r="AE64" s="466" t="s">
        <v>450</v>
      </c>
      <c r="AF64" s="467"/>
      <c r="AG64" s="467"/>
      <c r="AH64" s="468"/>
      <c r="AI64" s="461" t="s">
        <v>446</v>
      </c>
      <c r="AJ64" s="466" t="s">
        <v>450</v>
      </c>
      <c r="AK64" s="467"/>
      <c r="AL64" s="467"/>
      <c r="AM64" s="468"/>
      <c r="AN64" s="461" t="s">
        <v>446</v>
      </c>
      <c r="AO64" s="466" t="s">
        <v>450</v>
      </c>
      <c r="AP64" s="467"/>
      <c r="AQ64" s="467"/>
      <c r="AR64" s="468"/>
      <c r="AS64" s="461" t="s">
        <v>446</v>
      </c>
      <c r="AT64" s="466" t="s">
        <v>450</v>
      </c>
      <c r="AU64" s="467"/>
      <c r="AV64" s="467"/>
      <c r="AW64" s="468"/>
      <c r="AX64" s="461" t="s">
        <v>446</v>
      </c>
      <c r="BA64" s="461" t="s">
        <v>396</v>
      </c>
    </row>
    <row r="65" spans="2:53">
      <c r="B65" s="461"/>
      <c r="C65" s="461"/>
      <c r="D65" s="461"/>
      <c r="E65" s="461" t="s">
        <v>451</v>
      </c>
      <c r="F65" s="461"/>
      <c r="G65" s="461"/>
      <c r="H65" s="483"/>
      <c r="I65" s="461" t="s">
        <v>451</v>
      </c>
      <c r="J65" s="461"/>
      <c r="K65" s="461"/>
      <c r="L65" s="483"/>
      <c r="M65" s="485"/>
      <c r="N65" s="461"/>
      <c r="O65" s="461"/>
      <c r="P65" s="466" t="s">
        <v>452</v>
      </c>
      <c r="Q65" s="467"/>
      <c r="R65" s="467"/>
      <c r="S65" s="468"/>
      <c r="T65" s="461"/>
      <c r="U65" s="466" t="s">
        <v>452</v>
      </c>
      <c r="V65" s="467"/>
      <c r="W65" s="467"/>
      <c r="X65" s="468"/>
      <c r="Y65" s="461"/>
      <c r="Z65" s="466" t="s">
        <v>452</v>
      </c>
      <c r="AA65" s="467"/>
      <c r="AB65" s="467"/>
      <c r="AC65" s="468"/>
      <c r="AD65" s="461"/>
      <c r="AE65" s="466" t="s">
        <v>452</v>
      </c>
      <c r="AF65" s="467"/>
      <c r="AG65" s="467"/>
      <c r="AH65" s="468"/>
      <c r="AI65" s="461"/>
      <c r="AJ65" s="466" t="s">
        <v>452</v>
      </c>
      <c r="AK65" s="467"/>
      <c r="AL65" s="467"/>
      <c r="AM65" s="468"/>
      <c r="AN65" s="461"/>
      <c r="AO65" s="466" t="s">
        <v>452</v>
      </c>
      <c r="AP65" s="467"/>
      <c r="AQ65" s="467"/>
      <c r="AR65" s="468"/>
      <c r="AS65" s="461"/>
      <c r="AT65" s="466" t="s">
        <v>452</v>
      </c>
      <c r="AU65" s="467"/>
      <c r="AV65" s="467"/>
      <c r="AW65" s="468"/>
      <c r="AX65" s="461"/>
      <c r="BA65" s="461"/>
    </row>
    <row r="66" spans="2:53">
      <c r="B66" s="461"/>
      <c r="C66" s="461"/>
      <c r="D66" s="461"/>
      <c r="E66" s="269" t="s">
        <v>453</v>
      </c>
      <c r="F66" s="269" t="s">
        <v>454</v>
      </c>
      <c r="G66" s="269" t="s">
        <v>455</v>
      </c>
      <c r="H66" s="484"/>
      <c r="I66" s="269" t="s">
        <v>453</v>
      </c>
      <c r="J66" s="269" t="s">
        <v>454</v>
      </c>
      <c r="K66" s="269" t="s">
        <v>455</v>
      </c>
      <c r="L66" s="484"/>
      <c r="M66" s="481"/>
      <c r="N66" s="461"/>
      <c r="O66" s="461"/>
      <c r="P66" s="269" t="s">
        <v>453</v>
      </c>
      <c r="Q66" s="269" t="s">
        <v>454</v>
      </c>
      <c r="R66" s="269" t="s">
        <v>455</v>
      </c>
      <c r="S66" s="269" t="s">
        <v>448</v>
      </c>
      <c r="T66" s="461"/>
      <c r="U66" s="269" t="s">
        <v>453</v>
      </c>
      <c r="V66" s="269" t="s">
        <v>454</v>
      </c>
      <c r="W66" s="269" t="s">
        <v>455</v>
      </c>
      <c r="X66" s="269" t="s">
        <v>448</v>
      </c>
      <c r="Y66" s="461"/>
      <c r="Z66" s="269" t="s">
        <v>453</v>
      </c>
      <c r="AA66" s="269" t="s">
        <v>454</v>
      </c>
      <c r="AB66" s="269" t="s">
        <v>455</v>
      </c>
      <c r="AC66" s="269" t="s">
        <v>448</v>
      </c>
      <c r="AD66" s="461"/>
      <c r="AE66" s="269" t="s">
        <v>453</v>
      </c>
      <c r="AF66" s="269" t="s">
        <v>454</v>
      </c>
      <c r="AG66" s="269" t="s">
        <v>455</v>
      </c>
      <c r="AH66" s="269" t="s">
        <v>448</v>
      </c>
      <c r="AI66" s="461"/>
      <c r="AJ66" s="269" t="s">
        <v>453</v>
      </c>
      <c r="AK66" s="269" t="s">
        <v>454</v>
      </c>
      <c r="AL66" s="269" t="s">
        <v>455</v>
      </c>
      <c r="AM66" s="269" t="s">
        <v>448</v>
      </c>
      <c r="AN66" s="461"/>
      <c r="AO66" s="269" t="s">
        <v>453</v>
      </c>
      <c r="AP66" s="269" t="s">
        <v>454</v>
      </c>
      <c r="AQ66" s="269" t="s">
        <v>455</v>
      </c>
      <c r="AR66" s="269" t="s">
        <v>448</v>
      </c>
      <c r="AS66" s="461"/>
      <c r="AT66" s="269" t="s">
        <v>453</v>
      </c>
      <c r="AU66" s="269" t="s">
        <v>454</v>
      </c>
      <c r="AV66" s="269" t="s">
        <v>455</v>
      </c>
      <c r="AW66" s="269" t="s">
        <v>448</v>
      </c>
      <c r="AX66" s="461"/>
      <c r="AZ66" s="269" t="s">
        <v>397</v>
      </c>
      <c r="BA66" s="461"/>
    </row>
    <row r="67" spans="2:53">
      <c r="B67" s="461" t="s">
        <v>460</v>
      </c>
      <c r="C67" s="182">
        <v>1</v>
      </c>
      <c r="D67" s="203"/>
      <c r="E67" s="166"/>
      <c r="F67" s="166"/>
      <c r="G67" s="166"/>
      <c r="H67" s="463" t="e">
        <f>AVERAGE(G67:G81)</f>
        <v>#DIV/0!</v>
      </c>
      <c r="I67" s="166" t="str">
        <f t="shared" ref="I67:I80" si="55">IFERROR(AVERAGE(P67,U67,Z67,AE67,AJ67,AO67,AT67),"-")</f>
        <v>-</v>
      </c>
      <c r="J67" s="166" t="str">
        <f t="shared" ref="J67:J80" si="56">IFERROR(AVERAGE(Q67,V67,AA67,AF67,AK67,AP67,AU67),"-")</f>
        <v>-</v>
      </c>
      <c r="K67" s="180" t="str">
        <f t="shared" ref="K67:K80" si="57">IFERROR(AVERAGE(R67,W67,AB67,AG67,AL67,AQ67,AV67),"-")</f>
        <v>-</v>
      </c>
      <c r="L67" s="463" t="str">
        <f>IFERROR(AVERAGE(K67:K81),"-")</f>
        <v>-</v>
      </c>
      <c r="M67" s="181" t="e">
        <f>RANK(K67, K$67:$K$81)</f>
        <v>#VALUE!</v>
      </c>
      <c r="N67" s="461"/>
      <c r="O67" s="461"/>
      <c r="P67" s="182"/>
      <c r="Q67" s="166"/>
      <c r="R67" s="166"/>
      <c r="S67" s="182" t="e">
        <f>RANK(R67, R$67:R$81)</f>
        <v>#N/A</v>
      </c>
      <c r="T67" s="487" t="e">
        <f>AVERAGE(R67:R81)</f>
        <v>#DIV/0!</v>
      </c>
      <c r="U67" s="182"/>
      <c r="V67" s="166"/>
      <c r="W67" s="166"/>
      <c r="X67" s="182" t="e">
        <f t="shared" ref="X67:X81" si="58">RANK(W67, W$67:W$81)</f>
        <v>#N/A</v>
      </c>
      <c r="Y67" s="487" t="e">
        <f t="shared" ref="Y67" si="59">AVERAGE(W67:W81)</f>
        <v>#DIV/0!</v>
      </c>
      <c r="Z67" s="182"/>
      <c r="AA67" s="166"/>
      <c r="AB67" s="166"/>
      <c r="AC67" s="182" t="e">
        <f t="shared" ref="AC67:AC81" si="60">RANK(AB67, AB$67:AB$81)</f>
        <v>#N/A</v>
      </c>
      <c r="AD67" s="487" t="e">
        <f t="shared" ref="AD67" si="61">AVERAGE(AB67:AB81)</f>
        <v>#DIV/0!</v>
      </c>
      <c r="AE67" s="182"/>
      <c r="AF67" s="166"/>
      <c r="AG67" s="166"/>
      <c r="AH67" s="182" t="e">
        <f t="shared" ref="AH67:AH81" si="62">RANK(AG67, AG$67:AG$81)</f>
        <v>#N/A</v>
      </c>
      <c r="AI67" s="487" t="e">
        <f t="shared" ref="AI67" si="63">AVERAGE(AG67:AG81)</f>
        <v>#DIV/0!</v>
      </c>
      <c r="AJ67" s="182"/>
      <c r="AK67" s="166"/>
      <c r="AL67" s="166"/>
      <c r="AM67" s="182" t="e">
        <f t="shared" ref="AM67:AM81" si="64">RANK(AL67, AL$67:AL$81)</f>
        <v>#N/A</v>
      </c>
      <c r="AN67" s="487" t="e">
        <f t="shared" ref="AN67" si="65">AVERAGE(AL67:AL81)</f>
        <v>#DIV/0!</v>
      </c>
      <c r="AO67" s="182"/>
      <c r="AP67" s="166"/>
      <c r="AQ67" s="166"/>
      <c r="AR67" s="182" t="e">
        <f t="shared" ref="AR67:AR81" si="66">RANK(AQ67, AQ$67:AQ$81)</f>
        <v>#N/A</v>
      </c>
      <c r="AS67" s="487" t="e">
        <f t="shared" ref="AS67" si="67">AVERAGE(AQ67:AQ81)</f>
        <v>#DIV/0!</v>
      </c>
      <c r="AT67" s="182"/>
      <c r="AU67" s="166"/>
      <c r="AV67" s="166"/>
      <c r="AW67" s="182" t="e">
        <f t="shared" ref="AW67:AW81" si="68">RANK(AV67, AV$67:AV$81)</f>
        <v>#N/A</v>
      </c>
      <c r="AX67" s="487" t="e">
        <f t="shared" ref="AX67" si="69">AVERAGE(AV67:AV81)</f>
        <v>#DIV/0!</v>
      </c>
      <c r="AZ67" s="182" t="e">
        <f t="shared" ref="AZ67:AZ81" si="70">RANK(AY67, AY$67:AY$81)</f>
        <v>#N/A</v>
      </c>
      <c r="BA67" s="487" t="e">
        <f t="shared" ref="BA67" si="71">AVERAGE(AY67:AY81)</f>
        <v>#DIV/0!</v>
      </c>
    </row>
    <row r="68" spans="2:53">
      <c r="B68" s="454"/>
      <c r="C68" s="182">
        <v>2</v>
      </c>
      <c r="D68" s="203"/>
      <c r="E68" s="166"/>
      <c r="F68" s="166"/>
      <c r="G68" s="166"/>
      <c r="H68" s="464"/>
      <c r="I68" s="166" t="str">
        <f t="shared" si="55"/>
        <v>-</v>
      </c>
      <c r="J68" s="166" t="str">
        <f t="shared" si="56"/>
        <v>-</v>
      </c>
      <c r="K68" s="180" t="str">
        <f t="shared" si="57"/>
        <v>-</v>
      </c>
      <c r="L68" s="464"/>
      <c r="M68" s="181" t="e">
        <f>RANK(K68, K$67:$K$81)</f>
        <v>#VALUE!</v>
      </c>
      <c r="N68" s="461"/>
      <c r="O68" s="461"/>
      <c r="P68" s="182"/>
      <c r="Q68" s="166"/>
      <c r="R68" s="166"/>
      <c r="S68" s="182" t="e">
        <f t="shared" ref="S68:S81" si="72">RANK(R68, R$67:R$81)</f>
        <v>#N/A</v>
      </c>
      <c r="T68" s="488"/>
      <c r="U68" s="182"/>
      <c r="V68" s="166"/>
      <c r="W68" s="166"/>
      <c r="X68" s="182" t="e">
        <f t="shared" si="58"/>
        <v>#N/A</v>
      </c>
      <c r="Y68" s="488"/>
      <c r="Z68" s="182"/>
      <c r="AA68" s="166"/>
      <c r="AB68" s="166"/>
      <c r="AC68" s="182" t="e">
        <f t="shared" si="60"/>
        <v>#N/A</v>
      </c>
      <c r="AD68" s="488"/>
      <c r="AE68" s="182"/>
      <c r="AF68" s="166"/>
      <c r="AG68" s="166"/>
      <c r="AH68" s="182" t="e">
        <f t="shared" si="62"/>
        <v>#N/A</v>
      </c>
      <c r="AI68" s="488"/>
      <c r="AJ68" s="182"/>
      <c r="AK68" s="166"/>
      <c r="AL68" s="166"/>
      <c r="AM68" s="182" t="e">
        <f t="shared" si="64"/>
        <v>#N/A</v>
      </c>
      <c r="AN68" s="488"/>
      <c r="AO68" s="182"/>
      <c r="AP68" s="166"/>
      <c r="AQ68" s="166"/>
      <c r="AR68" s="182" t="e">
        <f t="shared" si="66"/>
        <v>#N/A</v>
      </c>
      <c r="AS68" s="488"/>
      <c r="AT68" s="182"/>
      <c r="AU68" s="166"/>
      <c r="AV68" s="166"/>
      <c r="AW68" s="182" t="e">
        <f t="shared" si="68"/>
        <v>#N/A</v>
      </c>
      <c r="AX68" s="488"/>
      <c r="AZ68" s="182" t="e">
        <f t="shared" si="70"/>
        <v>#N/A</v>
      </c>
      <c r="BA68" s="488"/>
    </row>
    <row r="69" spans="2:53">
      <c r="B69" s="454"/>
      <c r="C69" s="182">
        <v>3</v>
      </c>
      <c r="D69" s="203"/>
      <c r="E69" s="166"/>
      <c r="F69" s="166"/>
      <c r="G69" s="166"/>
      <c r="H69" s="464"/>
      <c r="I69" s="166" t="str">
        <f t="shared" si="55"/>
        <v>-</v>
      </c>
      <c r="J69" s="166" t="str">
        <f t="shared" si="56"/>
        <v>-</v>
      </c>
      <c r="K69" s="180" t="str">
        <f t="shared" si="57"/>
        <v>-</v>
      </c>
      <c r="L69" s="464"/>
      <c r="M69" s="181" t="e">
        <f>RANK(K69, K$67:$K$81)</f>
        <v>#VALUE!</v>
      </c>
      <c r="N69" s="461"/>
      <c r="O69" s="461"/>
      <c r="P69" s="182"/>
      <c r="Q69" s="166"/>
      <c r="R69" s="166"/>
      <c r="S69" s="182" t="e">
        <f t="shared" si="72"/>
        <v>#N/A</v>
      </c>
      <c r="T69" s="488"/>
      <c r="U69" s="182"/>
      <c r="V69" s="166"/>
      <c r="W69" s="166"/>
      <c r="X69" s="182" t="e">
        <f t="shared" si="58"/>
        <v>#N/A</v>
      </c>
      <c r="Y69" s="488"/>
      <c r="Z69" s="182"/>
      <c r="AA69" s="166"/>
      <c r="AB69" s="166"/>
      <c r="AC69" s="182" t="e">
        <f t="shared" si="60"/>
        <v>#N/A</v>
      </c>
      <c r="AD69" s="488"/>
      <c r="AE69" s="182"/>
      <c r="AF69" s="166"/>
      <c r="AG69" s="166"/>
      <c r="AH69" s="182" t="e">
        <f t="shared" si="62"/>
        <v>#N/A</v>
      </c>
      <c r="AI69" s="488"/>
      <c r="AJ69" s="182"/>
      <c r="AK69" s="166"/>
      <c r="AL69" s="166"/>
      <c r="AM69" s="182" t="e">
        <f t="shared" si="64"/>
        <v>#N/A</v>
      </c>
      <c r="AN69" s="488"/>
      <c r="AO69" s="182"/>
      <c r="AP69" s="166"/>
      <c r="AQ69" s="166"/>
      <c r="AR69" s="182" t="e">
        <f t="shared" si="66"/>
        <v>#N/A</v>
      </c>
      <c r="AS69" s="488"/>
      <c r="AT69" s="182"/>
      <c r="AU69" s="166"/>
      <c r="AV69" s="166"/>
      <c r="AW69" s="182" t="e">
        <f t="shared" si="68"/>
        <v>#N/A</v>
      </c>
      <c r="AX69" s="488"/>
      <c r="AZ69" s="182" t="e">
        <f t="shared" si="70"/>
        <v>#N/A</v>
      </c>
      <c r="BA69" s="488"/>
    </row>
    <row r="70" spans="2:53">
      <c r="B70" s="454"/>
      <c r="C70" s="182">
        <v>4</v>
      </c>
      <c r="D70" s="203"/>
      <c r="E70" s="166"/>
      <c r="F70" s="166"/>
      <c r="G70" s="166"/>
      <c r="H70" s="464"/>
      <c r="I70" s="166" t="str">
        <f t="shared" si="55"/>
        <v>-</v>
      </c>
      <c r="J70" s="166" t="str">
        <f t="shared" si="56"/>
        <v>-</v>
      </c>
      <c r="K70" s="180" t="str">
        <f t="shared" si="57"/>
        <v>-</v>
      </c>
      <c r="L70" s="464"/>
      <c r="M70" s="181" t="e">
        <f>RANK(K70, K$67:$K$81)</f>
        <v>#VALUE!</v>
      </c>
      <c r="N70" s="461"/>
      <c r="O70" s="461"/>
      <c r="P70" s="182"/>
      <c r="Q70" s="166"/>
      <c r="R70" s="166"/>
      <c r="S70" s="182" t="e">
        <f t="shared" si="72"/>
        <v>#N/A</v>
      </c>
      <c r="T70" s="488"/>
      <c r="U70" s="182"/>
      <c r="V70" s="166"/>
      <c r="W70" s="166"/>
      <c r="X70" s="182" t="e">
        <f t="shared" si="58"/>
        <v>#N/A</v>
      </c>
      <c r="Y70" s="488"/>
      <c r="Z70" s="182"/>
      <c r="AA70" s="166"/>
      <c r="AB70" s="166"/>
      <c r="AC70" s="182" t="e">
        <f t="shared" si="60"/>
        <v>#N/A</v>
      </c>
      <c r="AD70" s="488"/>
      <c r="AE70" s="182"/>
      <c r="AF70" s="166"/>
      <c r="AG70" s="166"/>
      <c r="AH70" s="182" t="e">
        <f t="shared" si="62"/>
        <v>#N/A</v>
      </c>
      <c r="AI70" s="488"/>
      <c r="AJ70" s="182"/>
      <c r="AK70" s="166"/>
      <c r="AL70" s="166"/>
      <c r="AM70" s="182" t="e">
        <f t="shared" si="64"/>
        <v>#N/A</v>
      </c>
      <c r="AN70" s="488"/>
      <c r="AO70" s="182"/>
      <c r="AP70" s="166"/>
      <c r="AQ70" s="166"/>
      <c r="AR70" s="182" t="e">
        <f t="shared" si="66"/>
        <v>#N/A</v>
      </c>
      <c r="AS70" s="488"/>
      <c r="AT70" s="182"/>
      <c r="AU70" s="166"/>
      <c r="AV70" s="166"/>
      <c r="AW70" s="182" t="e">
        <f t="shared" si="68"/>
        <v>#N/A</v>
      </c>
      <c r="AX70" s="488"/>
      <c r="AZ70" s="182" t="e">
        <f t="shared" si="70"/>
        <v>#N/A</v>
      </c>
      <c r="BA70" s="488"/>
    </row>
    <row r="71" spans="2:53">
      <c r="B71" s="454"/>
      <c r="C71" s="182">
        <v>5</v>
      </c>
      <c r="D71" s="203"/>
      <c r="E71" s="166"/>
      <c r="F71" s="166"/>
      <c r="G71" s="166"/>
      <c r="H71" s="464"/>
      <c r="I71" s="166" t="str">
        <f t="shared" si="55"/>
        <v>-</v>
      </c>
      <c r="J71" s="166" t="str">
        <f t="shared" si="56"/>
        <v>-</v>
      </c>
      <c r="K71" s="180" t="str">
        <f t="shared" si="57"/>
        <v>-</v>
      </c>
      <c r="L71" s="464"/>
      <c r="M71" s="181" t="e">
        <f>RANK(K71, K$67:$K$81)</f>
        <v>#VALUE!</v>
      </c>
      <c r="N71" s="461"/>
      <c r="O71" s="461"/>
      <c r="P71" s="182"/>
      <c r="Q71" s="166"/>
      <c r="R71" s="166"/>
      <c r="S71" s="182" t="e">
        <f t="shared" si="72"/>
        <v>#N/A</v>
      </c>
      <c r="T71" s="488"/>
      <c r="U71" s="182"/>
      <c r="V71" s="166"/>
      <c r="W71" s="166"/>
      <c r="X71" s="182" t="e">
        <f t="shared" si="58"/>
        <v>#N/A</v>
      </c>
      <c r="Y71" s="488"/>
      <c r="Z71" s="182"/>
      <c r="AA71" s="166"/>
      <c r="AB71" s="166"/>
      <c r="AC71" s="182" t="e">
        <f t="shared" si="60"/>
        <v>#N/A</v>
      </c>
      <c r="AD71" s="488"/>
      <c r="AE71" s="182"/>
      <c r="AF71" s="166"/>
      <c r="AG71" s="166"/>
      <c r="AH71" s="182" t="e">
        <f t="shared" si="62"/>
        <v>#N/A</v>
      </c>
      <c r="AI71" s="488"/>
      <c r="AJ71" s="182"/>
      <c r="AK71" s="166"/>
      <c r="AL71" s="166"/>
      <c r="AM71" s="182" t="e">
        <f t="shared" si="64"/>
        <v>#N/A</v>
      </c>
      <c r="AN71" s="488"/>
      <c r="AO71" s="182"/>
      <c r="AP71" s="166"/>
      <c r="AQ71" s="166"/>
      <c r="AR71" s="182" t="e">
        <f t="shared" si="66"/>
        <v>#N/A</v>
      </c>
      <c r="AS71" s="488"/>
      <c r="AT71" s="182"/>
      <c r="AU71" s="166"/>
      <c r="AV71" s="166"/>
      <c r="AW71" s="182" t="e">
        <f t="shared" si="68"/>
        <v>#N/A</v>
      </c>
      <c r="AX71" s="488"/>
      <c r="AZ71" s="182" t="e">
        <f t="shared" si="70"/>
        <v>#N/A</v>
      </c>
      <c r="BA71" s="488"/>
    </row>
    <row r="72" spans="2:53">
      <c r="B72" s="454"/>
      <c r="C72" s="182">
        <v>6</v>
      </c>
      <c r="D72" s="203"/>
      <c r="E72" s="166"/>
      <c r="F72" s="166"/>
      <c r="G72" s="166"/>
      <c r="H72" s="464"/>
      <c r="I72" s="166" t="str">
        <f t="shared" si="55"/>
        <v>-</v>
      </c>
      <c r="J72" s="166" t="str">
        <f t="shared" si="56"/>
        <v>-</v>
      </c>
      <c r="K72" s="180" t="str">
        <f t="shared" si="57"/>
        <v>-</v>
      </c>
      <c r="L72" s="464"/>
      <c r="M72" s="181" t="e">
        <f>RANK(K72, K$67:$K$81)</f>
        <v>#VALUE!</v>
      </c>
      <c r="N72" s="461"/>
      <c r="O72" s="461"/>
      <c r="P72" s="182"/>
      <c r="Q72" s="166"/>
      <c r="R72" s="166"/>
      <c r="S72" s="182" t="e">
        <f t="shared" si="72"/>
        <v>#N/A</v>
      </c>
      <c r="T72" s="488"/>
      <c r="U72" s="182"/>
      <c r="V72" s="166"/>
      <c r="W72" s="166"/>
      <c r="X72" s="182" t="e">
        <f t="shared" si="58"/>
        <v>#N/A</v>
      </c>
      <c r="Y72" s="488"/>
      <c r="Z72" s="182"/>
      <c r="AA72" s="166"/>
      <c r="AB72" s="166"/>
      <c r="AC72" s="182" t="e">
        <f t="shared" si="60"/>
        <v>#N/A</v>
      </c>
      <c r="AD72" s="488"/>
      <c r="AE72" s="182"/>
      <c r="AF72" s="166"/>
      <c r="AG72" s="166"/>
      <c r="AH72" s="182" t="e">
        <f t="shared" si="62"/>
        <v>#N/A</v>
      </c>
      <c r="AI72" s="488"/>
      <c r="AJ72" s="182"/>
      <c r="AK72" s="166"/>
      <c r="AL72" s="166"/>
      <c r="AM72" s="182" t="e">
        <f t="shared" si="64"/>
        <v>#N/A</v>
      </c>
      <c r="AN72" s="488"/>
      <c r="AO72" s="182"/>
      <c r="AP72" s="166"/>
      <c r="AQ72" s="166"/>
      <c r="AR72" s="182" t="e">
        <f t="shared" si="66"/>
        <v>#N/A</v>
      </c>
      <c r="AS72" s="488"/>
      <c r="AT72" s="182"/>
      <c r="AU72" s="166"/>
      <c r="AV72" s="166"/>
      <c r="AW72" s="182" t="e">
        <f t="shared" si="68"/>
        <v>#N/A</v>
      </c>
      <c r="AX72" s="488"/>
      <c r="AZ72" s="182" t="e">
        <f t="shared" si="70"/>
        <v>#N/A</v>
      </c>
      <c r="BA72" s="488"/>
    </row>
    <row r="73" spans="2:53">
      <c r="B73" s="454"/>
      <c r="C73" s="182">
        <v>7</v>
      </c>
      <c r="D73" s="203"/>
      <c r="E73" s="166"/>
      <c r="F73" s="166"/>
      <c r="G73" s="166"/>
      <c r="H73" s="464"/>
      <c r="I73" s="166" t="str">
        <f t="shared" si="55"/>
        <v>-</v>
      </c>
      <c r="J73" s="166" t="str">
        <f t="shared" si="56"/>
        <v>-</v>
      </c>
      <c r="K73" s="180" t="str">
        <f t="shared" si="57"/>
        <v>-</v>
      </c>
      <c r="L73" s="464"/>
      <c r="M73" s="181" t="e">
        <f>RANK(K73, K$67:$K$81)</f>
        <v>#VALUE!</v>
      </c>
      <c r="N73" s="461"/>
      <c r="O73" s="461"/>
      <c r="P73" s="182"/>
      <c r="Q73" s="166"/>
      <c r="R73" s="166"/>
      <c r="S73" s="182" t="e">
        <f t="shared" si="72"/>
        <v>#N/A</v>
      </c>
      <c r="T73" s="488"/>
      <c r="U73" s="182"/>
      <c r="V73" s="166"/>
      <c r="W73" s="166"/>
      <c r="X73" s="182" t="e">
        <f t="shared" si="58"/>
        <v>#N/A</v>
      </c>
      <c r="Y73" s="488"/>
      <c r="Z73" s="182"/>
      <c r="AA73" s="166"/>
      <c r="AB73" s="166"/>
      <c r="AC73" s="182" t="e">
        <f t="shared" si="60"/>
        <v>#N/A</v>
      </c>
      <c r="AD73" s="488"/>
      <c r="AE73" s="182"/>
      <c r="AF73" s="166"/>
      <c r="AG73" s="166"/>
      <c r="AH73" s="182" t="e">
        <f t="shared" si="62"/>
        <v>#N/A</v>
      </c>
      <c r="AI73" s="488"/>
      <c r="AJ73" s="182"/>
      <c r="AK73" s="166"/>
      <c r="AL73" s="166"/>
      <c r="AM73" s="182" t="e">
        <f t="shared" si="64"/>
        <v>#N/A</v>
      </c>
      <c r="AN73" s="488"/>
      <c r="AO73" s="182"/>
      <c r="AP73" s="166"/>
      <c r="AQ73" s="166"/>
      <c r="AR73" s="182" t="e">
        <f t="shared" si="66"/>
        <v>#N/A</v>
      </c>
      <c r="AS73" s="488"/>
      <c r="AT73" s="182"/>
      <c r="AU73" s="166"/>
      <c r="AV73" s="166"/>
      <c r="AW73" s="182" t="e">
        <f t="shared" si="68"/>
        <v>#N/A</v>
      </c>
      <c r="AX73" s="488"/>
      <c r="AZ73" s="182" t="e">
        <f t="shared" si="70"/>
        <v>#N/A</v>
      </c>
      <c r="BA73" s="488"/>
    </row>
    <row r="74" spans="2:53">
      <c r="B74" s="454"/>
      <c r="C74" s="182">
        <v>8</v>
      </c>
      <c r="D74" s="203"/>
      <c r="E74" s="166"/>
      <c r="F74" s="166"/>
      <c r="G74" s="166"/>
      <c r="H74" s="464"/>
      <c r="I74" s="166" t="str">
        <f t="shared" si="55"/>
        <v>-</v>
      </c>
      <c r="J74" s="166" t="str">
        <f t="shared" si="56"/>
        <v>-</v>
      </c>
      <c r="K74" s="180" t="str">
        <f t="shared" si="57"/>
        <v>-</v>
      </c>
      <c r="L74" s="464"/>
      <c r="M74" s="181" t="e">
        <f>RANK(K74, K$67:$K$81)</f>
        <v>#VALUE!</v>
      </c>
      <c r="N74" s="461"/>
      <c r="O74" s="461"/>
      <c r="P74" s="182"/>
      <c r="Q74" s="166"/>
      <c r="R74" s="166"/>
      <c r="S74" s="182" t="e">
        <f t="shared" si="72"/>
        <v>#N/A</v>
      </c>
      <c r="T74" s="488"/>
      <c r="U74" s="182"/>
      <c r="V74" s="166"/>
      <c r="W74" s="166"/>
      <c r="X74" s="182" t="e">
        <f t="shared" si="58"/>
        <v>#N/A</v>
      </c>
      <c r="Y74" s="488"/>
      <c r="Z74" s="182"/>
      <c r="AA74" s="166"/>
      <c r="AB74" s="166"/>
      <c r="AC74" s="182" t="e">
        <f t="shared" si="60"/>
        <v>#N/A</v>
      </c>
      <c r="AD74" s="488"/>
      <c r="AE74" s="182"/>
      <c r="AF74" s="166"/>
      <c r="AG74" s="166"/>
      <c r="AH74" s="182" t="e">
        <f t="shared" si="62"/>
        <v>#N/A</v>
      </c>
      <c r="AI74" s="488"/>
      <c r="AJ74" s="182"/>
      <c r="AK74" s="166"/>
      <c r="AL74" s="166"/>
      <c r="AM74" s="182" t="e">
        <f t="shared" si="64"/>
        <v>#N/A</v>
      </c>
      <c r="AN74" s="488"/>
      <c r="AO74" s="182"/>
      <c r="AP74" s="166"/>
      <c r="AQ74" s="166"/>
      <c r="AR74" s="182" t="e">
        <f t="shared" si="66"/>
        <v>#N/A</v>
      </c>
      <c r="AS74" s="488"/>
      <c r="AT74" s="182"/>
      <c r="AU74" s="166"/>
      <c r="AV74" s="166"/>
      <c r="AW74" s="182" t="e">
        <f t="shared" si="68"/>
        <v>#N/A</v>
      </c>
      <c r="AX74" s="488"/>
      <c r="AZ74" s="182" t="e">
        <f t="shared" si="70"/>
        <v>#N/A</v>
      </c>
      <c r="BA74" s="488"/>
    </row>
    <row r="75" spans="2:53">
      <c r="B75" s="454"/>
      <c r="C75" s="182">
        <v>9</v>
      </c>
      <c r="D75" s="203"/>
      <c r="E75" s="166"/>
      <c r="F75" s="166"/>
      <c r="G75" s="166"/>
      <c r="H75" s="464"/>
      <c r="I75" s="166" t="str">
        <f t="shared" si="55"/>
        <v>-</v>
      </c>
      <c r="J75" s="166" t="str">
        <f t="shared" si="56"/>
        <v>-</v>
      </c>
      <c r="K75" s="180" t="str">
        <f t="shared" si="57"/>
        <v>-</v>
      </c>
      <c r="L75" s="464"/>
      <c r="M75" s="181" t="e">
        <f>RANK(K75, K$67:$K$81)</f>
        <v>#VALUE!</v>
      </c>
      <c r="N75" s="461"/>
      <c r="O75" s="461"/>
      <c r="P75" s="182"/>
      <c r="Q75" s="166"/>
      <c r="R75" s="166"/>
      <c r="S75" s="182" t="e">
        <f t="shared" si="72"/>
        <v>#N/A</v>
      </c>
      <c r="T75" s="488"/>
      <c r="U75" s="182"/>
      <c r="V75" s="166"/>
      <c r="W75" s="166"/>
      <c r="X75" s="182" t="e">
        <f t="shared" si="58"/>
        <v>#N/A</v>
      </c>
      <c r="Y75" s="488"/>
      <c r="Z75" s="182"/>
      <c r="AA75" s="166"/>
      <c r="AB75" s="166"/>
      <c r="AC75" s="182" t="e">
        <f t="shared" si="60"/>
        <v>#N/A</v>
      </c>
      <c r="AD75" s="488"/>
      <c r="AE75" s="182"/>
      <c r="AF75" s="166"/>
      <c r="AG75" s="166"/>
      <c r="AH75" s="182" t="e">
        <f t="shared" si="62"/>
        <v>#N/A</v>
      </c>
      <c r="AI75" s="488"/>
      <c r="AJ75" s="182"/>
      <c r="AK75" s="166"/>
      <c r="AL75" s="166"/>
      <c r="AM75" s="182" t="e">
        <f t="shared" si="64"/>
        <v>#N/A</v>
      </c>
      <c r="AN75" s="488"/>
      <c r="AO75" s="182"/>
      <c r="AP75" s="166"/>
      <c r="AQ75" s="166"/>
      <c r="AR75" s="182" t="e">
        <f t="shared" si="66"/>
        <v>#N/A</v>
      </c>
      <c r="AS75" s="488"/>
      <c r="AT75" s="182"/>
      <c r="AU75" s="166"/>
      <c r="AV75" s="166"/>
      <c r="AW75" s="182" t="e">
        <f t="shared" si="68"/>
        <v>#N/A</v>
      </c>
      <c r="AX75" s="488"/>
      <c r="AZ75" s="182" t="e">
        <f t="shared" si="70"/>
        <v>#N/A</v>
      </c>
      <c r="BA75" s="488"/>
    </row>
    <row r="76" spans="2:53">
      <c r="B76" s="454"/>
      <c r="C76" s="182">
        <v>10</v>
      </c>
      <c r="D76" s="203"/>
      <c r="E76" s="166"/>
      <c r="F76" s="166"/>
      <c r="G76" s="166"/>
      <c r="H76" s="464"/>
      <c r="I76" s="166" t="str">
        <f t="shared" si="55"/>
        <v>-</v>
      </c>
      <c r="J76" s="166" t="str">
        <f t="shared" si="56"/>
        <v>-</v>
      </c>
      <c r="K76" s="180" t="str">
        <f t="shared" si="57"/>
        <v>-</v>
      </c>
      <c r="L76" s="464"/>
      <c r="M76" s="181" t="e">
        <f>RANK(K76, K$67:$K$81)</f>
        <v>#VALUE!</v>
      </c>
      <c r="N76" s="461"/>
      <c r="O76" s="461"/>
      <c r="P76" s="182"/>
      <c r="Q76" s="166"/>
      <c r="R76" s="166"/>
      <c r="S76" s="182" t="e">
        <f t="shared" si="72"/>
        <v>#N/A</v>
      </c>
      <c r="T76" s="488"/>
      <c r="U76" s="182"/>
      <c r="V76" s="166"/>
      <c r="W76" s="166"/>
      <c r="X76" s="182" t="e">
        <f t="shared" si="58"/>
        <v>#N/A</v>
      </c>
      <c r="Y76" s="488"/>
      <c r="Z76" s="182"/>
      <c r="AA76" s="166"/>
      <c r="AB76" s="166"/>
      <c r="AC76" s="182" t="e">
        <f t="shared" si="60"/>
        <v>#N/A</v>
      </c>
      <c r="AD76" s="488"/>
      <c r="AE76" s="182"/>
      <c r="AF76" s="166"/>
      <c r="AG76" s="166"/>
      <c r="AH76" s="182" t="e">
        <f t="shared" si="62"/>
        <v>#N/A</v>
      </c>
      <c r="AI76" s="488"/>
      <c r="AJ76" s="182"/>
      <c r="AK76" s="166"/>
      <c r="AL76" s="166"/>
      <c r="AM76" s="182" t="e">
        <f t="shared" si="64"/>
        <v>#N/A</v>
      </c>
      <c r="AN76" s="488"/>
      <c r="AO76" s="182"/>
      <c r="AP76" s="166"/>
      <c r="AQ76" s="166"/>
      <c r="AR76" s="182" t="e">
        <f t="shared" si="66"/>
        <v>#N/A</v>
      </c>
      <c r="AS76" s="488"/>
      <c r="AT76" s="182"/>
      <c r="AU76" s="166"/>
      <c r="AV76" s="166"/>
      <c r="AW76" s="182" t="e">
        <f t="shared" si="68"/>
        <v>#N/A</v>
      </c>
      <c r="AX76" s="488"/>
      <c r="AZ76" s="182" t="e">
        <f t="shared" si="70"/>
        <v>#N/A</v>
      </c>
      <c r="BA76" s="488"/>
    </row>
    <row r="77" spans="2:53">
      <c r="B77" s="454"/>
      <c r="C77" s="182">
        <v>11</v>
      </c>
      <c r="D77" s="203"/>
      <c r="E77" s="166"/>
      <c r="F77" s="166"/>
      <c r="G77" s="166"/>
      <c r="H77" s="464"/>
      <c r="I77" s="166" t="str">
        <f t="shared" si="55"/>
        <v>-</v>
      </c>
      <c r="J77" s="166" t="str">
        <f t="shared" si="56"/>
        <v>-</v>
      </c>
      <c r="K77" s="180" t="str">
        <f t="shared" si="57"/>
        <v>-</v>
      </c>
      <c r="L77" s="464"/>
      <c r="M77" s="181" t="e">
        <f>RANK(K77, K$67:$K$81)</f>
        <v>#VALUE!</v>
      </c>
      <c r="N77" s="461"/>
      <c r="O77" s="461"/>
      <c r="P77" s="182"/>
      <c r="Q77" s="166"/>
      <c r="R77" s="166"/>
      <c r="S77" s="182" t="e">
        <f t="shared" si="72"/>
        <v>#N/A</v>
      </c>
      <c r="T77" s="488"/>
      <c r="U77" s="182"/>
      <c r="V77" s="166"/>
      <c r="W77" s="166"/>
      <c r="X77" s="182" t="e">
        <f t="shared" si="58"/>
        <v>#N/A</v>
      </c>
      <c r="Y77" s="488"/>
      <c r="Z77" s="182"/>
      <c r="AA77" s="166"/>
      <c r="AB77" s="166"/>
      <c r="AC77" s="182" t="e">
        <f t="shared" si="60"/>
        <v>#N/A</v>
      </c>
      <c r="AD77" s="488"/>
      <c r="AE77" s="182"/>
      <c r="AF77" s="166"/>
      <c r="AG77" s="166"/>
      <c r="AH77" s="182" t="e">
        <f t="shared" si="62"/>
        <v>#N/A</v>
      </c>
      <c r="AI77" s="488"/>
      <c r="AJ77" s="182"/>
      <c r="AK77" s="166"/>
      <c r="AL77" s="166"/>
      <c r="AM77" s="182" t="e">
        <f t="shared" si="64"/>
        <v>#N/A</v>
      </c>
      <c r="AN77" s="488"/>
      <c r="AO77" s="182"/>
      <c r="AP77" s="166"/>
      <c r="AQ77" s="166"/>
      <c r="AR77" s="182" t="e">
        <f t="shared" si="66"/>
        <v>#N/A</v>
      </c>
      <c r="AS77" s="488"/>
      <c r="AT77" s="182"/>
      <c r="AU77" s="166"/>
      <c r="AV77" s="166"/>
      <c r="AW77" s="182" t="e">
        <f t="shared" si="68"/>
        <v>#N/A</v>
      </c>
      <c r="AX77" s="488"/>
      <c r="AZ77" s="182" t="e">
        <f t="shared" si="70"/>
        <v>#N/A</v>
      </c>
      <c r="BA77" s="488"/>
    </row>
    <row r="78" spans="2:53">
      <c r="B78" s="454"/>
      <c r="C78" s="182">
        <v>12</v>
      </c>
      <c r="D78" s="203"/>
      <c r="E78" s="166"/>
      <c r="F78" s="166"/>
      <c r="G78" s="166"/>
      <c r="H78" s="464"/>
      <c r="I78" s="166" t="str">
        <f t="shared" si="55"/>
        <v>-</v>
      </c>
      <c r="J78" s="166" t="str">
        <f t="shared" si="56"/>
        <v>-</v>
      </c>
      <c r="K78" s="180" t="str">
        <f t="shared" si="57"/>
        <v>-</v>
      </c>
      <c r="L78" s="464"/>
      <c r="M78" s="181" t="e">
        <f>RANK(K78, K$67:$K$81)</f>
        <v>#VALUE!</v>
      </c>
      <c r="N78" s="461"/>
      <c r="O78" s="461"/>
      <c r="P78" s="182"/>
      <c r="Q78" s="166"/>
      <c r="R78" s="166"/>
      <c r="S78" s="182" t="e">
        <f t="shared" si="72"/>
        <v>#N/A</v>
      </c>
      <c r="T78" s="488"/>
      <c r="U78" s="182"/>
      <c r="V78" s="166"/>
      <c r="W78" s="166"/>
      <c r="X78" s="182" t="e">
        <f t="shared" si="58"/>
        <v>#N/A</v>
      </c>
      <c r="Y78" s="488"/>
      <c r="Z78" s="182"/>
      <c r="AA78" s="166"/>
      <c r="AB78" s="166"/>
      <c r="AC78" s="182" t="e">
        <f t="shared" si="60"/>
        <v>#N/A</v>
      </c>
      <c r="AD78" s="488"/>
      <c r="AE78" s="182"/>
      <c r="AF78" s="166"/>
      <c r="AG78" s="166"/>
      <c r="AH78" s="182" t="e">
        <f t="shared" si="62"/>
        <v>#N/A</v>
      </c>
      <c r="AI78" s="488"/>
      <c r="AJ78" s="182"/>
      <c r="AK78" s="166"/>
      <c r="AL78" s="166"/>
      <c r="AM78" s="182" t="e">
        <f t="shared" si="64"/>
        <v>#N/A</v>
      </c>
      <c r="AN78" s="488"/>
      <c r="AO78" s="182"/>
      <c r="AP78" s="166"/>
      <c r="AQ78" s="166"/>
      <c r="AR78" s="182" t="e">
        <f t="shared" si="66"/>
        <v>#N/A</v>
      </c>
      <c r="AS78" s="488"/>
      <c r="AT78" s="182"/>
      <c r="AU78" s="166"/>
      <c r="AV78" s="166"/>
      <c r="AW78" s="182" t="e">
        <f t="shared" si="68"/>
        <v>#N/A</v>
      </c>
      <c r="AX78" s="488"/>
      <c r="AZ78" s="182" t="e">
        <f t="shared" si="70"/>
        <v>#N/A</v>
      </c>
      <c r="BA78" s="488"/>
    </row>
    <row r="79" spans="2:53">
      <c r="B79" s="454"/>
      <c r="C79" s="182">
        <v>13</v>
      </c>
      <c r="D79" s="203"/>
      <c r="E79" s="166"/>
      <c r="F79" s="166"/>
      <c r="G79" s="166"/>
      <c r="H79" s="464"/>
      <c r="I79" s="166" t="str">
        <f t="shared" si="55"/>
        <v>-</v>
      </c>
      <c r="J79" s="166" t="str">
        <f t="shared" si="56"/>
        <v>-</v>
      </c>
      <c r="K79" s="180" t="str">
        <f t="shared" si="57"/>
        <v>-</v>
      </c>
      <c r="L79" s="464"/>
      <c r="M79" s="181" t="e">
        <f>RANK(K79, K$67:$K$81)</f>
        <v>#VALUE!</v>
      </c>
      <c r="N79" s="461"/>
      <c r="O79" s="461"/>
      <c r="P79" s="182"/>
      <c r="Q79" s="166"/>
      <c r="R79" s="166"/>
      <c r="S79" s="182" t="e">
        <f t="shared" si="72"/>
        <v>#N/A</v>
      </c>
      <c r="T79" s="488"/>
      <c r="U79" s="182"/>
      <c r="V79" s="166"/>
      <c r="W79" s="166"/>
      <c r="X79" s="182" t="e">
        <f t="shared" si="58"/>
        <v>#N/A</v>
      </c>
      <c r="Y79" s="488"/>
      <c r="Z79" s="182"/>
      <c r="AA79" s="166"/>
      <c r="AB79" s="166"/>
      <c r="AC79" s="182" t="e">
        <f t="shared" si="60"/>
        <v>#N/A</v>
      </c>
      <c r="AD79" s="488"/>
      <c r="AE79" s="182"/>
      <c r="AF79" s="166"/>
      <c r="AG79" s="166"/>
      <c r="AH79" s="182" t="e">
        <f t="shared" si="62"/>
        <v>#N/A</v>
      </c>
      <c r="AI79" s="488"/>
      <c r="AJ79" s="182"/>
      <c r="AK79" s="166"/>
      <c r="AL79" s="166"/>
      <c r="AM79" s="182" t="e">
        <f t="shared" si="64"/>
        <v>#N/A</v>
      </c>
      <c r="AN79" s="488"/>
      <c r="AO79" s="182"/>
      <c r="AP79" s="166"/>
      <c r="AQ79" s="166"/>
      <c r="AR79" s="182" t="e">
        <f t="shared" si="66"/>
        <v>#N/A</v>
      </c>
      <c r="AS79" s="488"/>
      <c r="AT79" s="182"/>
      <c r="AU79" s="166"/>
      <c r="AV79" s="166"/>
      <c r="AW79" s="182" t="e">
        <f t="shared" si="68"/>
        <v>#N/A</v>
      </c>
      <c r="AX79" s="488"/>
      <c r="AZ79" s="182" t="e">
        <f t="shared" si="70"/>
        <v>#N/A</v>
      </c>
      <c r="BA79" s="488"/>
    </row>
    <row r="80" spans="2:53">
      <c r="B80" s="454"/>
      <c r="C80" s="182">
        <v>14</v>
      </c>
      <c r="D80" s="203"/>
      <c r="E80" s="166"/>
      <c r="F80" s="166"/>
      <c r="G80" s="166"/>
      <c r="H80" s="464"/>
      <c r="I80" s="166" t="str">
        <f t="shared" si="55"/>
        <v>-</v>
      </c>
      <c r="J80" s="166" t="str">
        <f t="shared" si="56"/>
        <v>-</v>
      </c>
      <c r="K80" s="180" t="str">
        <f t="shared" si="57"/>
        <v>-</v>
      </c>
      <c r="L80" s="464"/>
      <c r="M80" s="181" t="e">
        <f>RANK(K80, K$67:$K$81)</f>
        <v>#VALUE!</v>
      </c>
      <c r="N80" s="461"/>
      <c r="O80" s="461"/>
      <c r="P80" s="182"/>
      <c r="Q80" s="166"/>
      <c r="R80" s="166"/>
      <c r="S80" s="182" t="e">
        <f t="shared" si="72"/>
        <v>#N/A</v>
      </c>
      <c r="T80" s="488"/>
      <c r="U80" s="182"/>
      <c r="V80" s="166"/>
      <c r="W80" s="166"/>
      <c r="X80" s="182" t="e">
        <f t="shared" si="58"/>
        <v>#N/A</v>
      </c>
      <c r="Y80" s="488"/>
      <c r="Z80" s="182"/>
      <c r="AA80" s="166"/>
      <c r="AB80" s="166"/>
      <c r="AC80" s="182" t="e">
        <f t="shared" si="60"/>
        <v>#N/A</v>
      </c>
      <c r="AD80" s="488"/>
      <c r="AE80" s="182"/>
      <c r="AF80" s="166"/>
      <c r="AG80" s="166"/>
      <c r="AH80" s="182" t="e">
        <f t="shared" si="62"/>
        <v>#N/A</v>
      </c>
      <c r="AI80" s="488"/>
      <c r="AJ80" s="182"/>
      <c r="AK80" s="166"/>
      <c r="AL80" s="166"/>
      <c r="AM80" s="182" t="e">
        <f t="shared" si="64"/>
        <v>#N/A</v>
      </c>
      <c r="AN80" s="488"/>
      <c r="AO80" s="182"/>
      <c r="AP80" s="166"/>
      <c r="AQ80" s="166"/>
      <c r="AR80" s="182" t="e">
        <f t="shared" si="66"/>
        <v>#N/A</v>
      </c>
      <c r="AS80" s="488"/>
      <c r="AT80" s="182"/>
      <c r="AU80" s="166"/>
      <c r="AV80" s="166"/>
      <c r="AW80" s="182" t="e">
        <f t="shared" si="68"/>
        <v>#N/A</v>
      </c>
      <c r="AX80" s="488"/>
      <c r="AZ80" s="182" t="e">
        <f t="shared" si="70"/>
        <v>#N/A</v>
      </c>
      <c r="BA80" s="488"/>
    </row>
    <row r="81" spans="2:53">
      <c r="B81" s="454"/>
      <c r="C81" s="182">
        <v>15</v>
      </c>
      <c r="D81" s="203"/>
      <c r="E81" s="166"/>
      <c r="F81" s="166"/>
      <c r="G81" s="166"/>
      <c r="H81" s="465"/>
      <c r="I81" s="182"/>
      <c r="J81" s="182"/>
      <c r="K81" s="182"/>
      <c r="L81" s="465"/>
      <c r="M81" s="181" t="e">
        <f>RANK(K81, K$67:$K$81)</f>
        <v>#N/A</v>
      </c>
      <c r="N81" s="461"/>
      <c r="O81" s="461"/>
      <c r="P81" s="182"/>
      <c r="Q81" s="166"/>
      <c r="R81" s="166"/>
      <c r="S81" s="182" t="e">
        <f t="shared" si="72"/>
        <v>#N/A</v>
      </c>
      <c r="T81" s="489"/>
      <c r="U81" s="182"/>
      <c r="V81" s="166"/>
      <c r="W81" s="166"/>
      <c r="X81" s="182" t="e">
        <f t="shared" si="58"/>
        <v>#N/A</v>
      </c>
      <c r="Y81" s="489"/>
      <c r="Z81" s="182"/>
      <c r="AA81" s="166"/>
      <c r="AB81" s="166"/>
      <c r="AC81" s="182" t="e">
        <f t="shared" si="60"/>
        <v>#N/A</v>
      </c>
      <c r="AD81" s="489"/>
      <c r="AE81" s="182"/>
      <c r="AF81" s="166"/>
      <c r="AG81" s="166"/>
      <c r="AH81" s="182" t="e">
        <f t="shared" si="62"/>
        <v>#N/A</v>
      </c>
      <c r="AI81" s="489"/>
      <c r="AJ81" s="182"/>
      <c r="AK81" s="166"/>
      <c r="AL81" s="166"/>
      <c r="AM81" s="182" t="e">
        <f t="shared" si="64"/>
        <v>#N/A</v>
      </c>
      <c r="AN81" s="489"/>
      <c r="AO81" s="182"/>
      <c r="AP81" s="166"/>
      <c r="AQ81" s="166"/>
      <c r="AR81" s="182" t="e">
        <f t="shared" si="66"/>
        <v>#N/A</v>
      </c>
      <c r="AS81" s="489"/>
      <c r="AT81" s="182"/>
      <c r="AU81" s="166"/>
      <c r="AV81" s="166"/>
      <c r="AW81" s="182" t="e">
        <f t="shared" si="68"/>
        <v>#N/A</v>
      </c>
      <c r="AX81" s="489"/>
      <c r="AZ81" s="182" t="e">
        <f t="shared" si="70"/>
        <v>#N/A</v>
      </c>
      <c r="BA81" s="489"/>
    </row>
    <row r="82" spans="2:53" ht="15.5">
      <c r="B82" s="477" t="s">
        <v>163</v>
      </c>
      <c r="C82" s="478"/>
      <c r="D82" s="478"/>
      <c r="E82" s="478"/>
      <c r="F82" s="478"/>
      <c r="G82" s="478"/>
      <c r="H82" s="478"/>
      <c r="I82" s="186"/>
      <c r="J82" s="186"/>
      <c r="K82" s="186"/>
      <c r="L82" s="186"/>
      <c r="M82" s="185"/>
      <c r="N82" s="480" t="s">
        <v>156</v>
      </c>
      <c r="O82" s="480" t="s">
        <v>105</v>
      </c>
      <c r="P82" s="476">
        <f>P62+7</f>
        <v>46140</v>
      </c>
      <c r="Q82" s="454"/>
      <c r="R82" s="454"/>
      <c r="S82" s="454"/>
      <c r="T82" s="454"/>
      <c r="U82" s="473">
        <f>P82+1</f>
        <v>46141</v>
      </c>
      <c r="V82" s="474"/>
      <c r="W82" s="474"/>
      <c r="X82" s="474"/>
      <c r="Y82" s="475"/>
      <c r="Z82" s="473">
        <f>U82+1</f>
        <v>46142</v>
      </c>
      <c r="AA82" s="474"/>
      <c r="AB82" s="474"/>
      <c r="AC82" s="474"/>
      <c r="AD82" s="475"/>
      <c r="AE82" s="473">
        <f>Z82+1</f>
        <v>46143</v>
      </c>
      <c r="AF82" s="474"/>
      <c r="AG82" s="474"/>
      <c r="AH82" s="474"/>
      <c r="AI82" s="475"/>
      <c r="AJ82" s="473">
        <f>AE82+1</f>
        <v>46144</v>
      </c>
      <c r="AK82" s="474"/>
      <c r="AL82" s="474"/>
      <c r="AM82" s="474"/>
      <c r="AN82" s="475"/>
      <c r="AO82" s="473">
        <f>AJ82+1</f>
        <v>46145</v>
      </c>
      <c r="AP82" s="474"/>
      <c r="AQ82" s="474"/>
      <c r="AR82" s="474"/>
      <c r="AS82" s="475"/>
      <c r="AT82" s="473">
        <f>AO82+1</f>
        <v>46146</v>
      </c>
      <c r="AU82" s="474"/>
      <c r="AV82" s="474"/>
      <c r="AW82" s="474"/>
      <c r="AX82" s="475"/>
    </row>
    <row r="83" spans="2:53" ht="15.5">
      <c r="B83" s="479"/>
      <c r="C83" s="479"/>
      <c r="D83" s="479"/>
      <c r="E83" s="479"/>
      <c r="F83" s="479"/>
      <c r="G83" s="479"/>
      <c r="H83" s="479"/>
      <c r="I83" s="184"/>
      <c r="J83" s="184"/>
      <c r="K83" s="184"/>
      <c r="L83" s="184"/>
      <c r="M83" s="179"/>
      <c r="N83" s="481"/>
      <c r="O83" s="481"/>
      <c r="P83" s="476" t="s">
        <v>336</v>
      </c>
      <c r="Q83" s="454"/>
      <c r="R83" s="454"/>
      <c r="S83" s="454"/>
      <c r="T83" s="454"/>
      <c r="U83" s="476" t="s">
        <v>337</v>
      </c>
      <c r="V83" s="454"/>
      <c r="W83" s="454"/>
      <c r="X83" s="454"/>
      <c r="Y83" s="454"/>
      <c r="Z83" s="476" t="s">
        <v>338</v>
      </c>
      <c r="AA83" s="454"/>
      <c r="AB83" s="454"/>
      <c r="AC83" s="454"/>
      <c r="AD83" s="454"/>
      <c r="AE83" s="476" t="s">
        <v>339</v>
      </c>
      <c r="AF83" s="454"/>
      <c r="AG83" s="454"/>
      <c r="AH83" s="454"/>
      <c r="AI83" s="454"/>
      <c r="AJ83" s="476" t="s">
        <v>340</v>
      </c>
      <c r="AK83" s="454"/>
      <c r="AL83" s="454"/>
      <c r="AM83" s="454"/>
      <c r="AN83" s="454"/>
      <c r="AO83" s="476" t="s">
        <v>341</v>
      </c>
      <c r="AP83" s="454"/>
      <c r="AQ83" s="454"/>
      <c r="AR83" s="454"/>
      <c r="AS83" s="454"/>
      <c r="AT83" s="476" t="s">
        <v>342</v>
      </c>
      <c r="AU83" s="454"/>
      <c r="AV83" s="454"/>
      <c r="AW83" s="454"/>
      <c r="AX83" s="454"/>
    </row>
    <row r="84" spans="2:53">
      <c r="B84" s="461" t="s">
        <v>443</v>
      </c>
      <c r="C84" s="461" t="s">
        <v>444</v>
      </c>
      <c r="D84" s="461"/>
      <c r="E84" s="461" t="s">
        <v>445</v>
      </c>
      <c r="F84" s="461"/>
      <c r="G84" s="461"/>
      <c r="H84" s="482" t="s">
        <v>446</v>
      </c>
      <c r="I84" s="461" t="s">
        <v>447</v>
      </c>
      <c r="J84" s="461"/>
      <c r="K84" s="461"/>
      <c r="L84" s="482" t="s">
        <v>396</v>
      </c>
      <c r="M84" s="480" t="s">
        <v>448</v>
      </c>
      <c r="N84" s="461"/>
      <c r="O84" s="461" t="s">
        <v>449</v>
      </c>
      <c r="P84" s="466" t="s">
        <v>450</v>
      </c>
      <c r="Q84" s="467"/>
      <c r="R84" s="467"/>
      <c r="S84" s="468"/>
      <c r="T84" s="461" t="s">
        <v>446</v>
      </c>
      <c r="U84" s="466" t="s">
        <v>450</v>
      </c>
      <c r="V84" s="467"/>
      <c r="W84" s="467"/>
      <c r="X84" s="468"/>
      <c r="Y84" s="461" t="s">
        <v>446</v>
      </c>
      <c r="Z84" s="466" t="s">
        <v>450</v>
      </c>
      <c r="AA84" s="467"/>
      <c r="AB84" s="467"/>
      <c r="AC84" s="468"/>
      <c r="AD84" s="461" t="s">
        <v>446</v>
      </c>
      <c r="AE84" s="466" t="s">
        <v>450</v>
      </c>
      <c r="AF84" s="467"/>
      <c r="AG84" s="467"/>
      <c r="AH84" s="468"/>
      <c r="AI84" s="461" t="s">
        <v>446</v>
      </c>
      <c r="AJ84" s="466" t="s">
        <v>450</v>
      </c>
      <c r="AK84" s="467"/>
      <c r="AL84" s="467"/>
      <c r="AM84" s="468"/>
      <c r="AN84" s="461" t="s">
        <v>446</v>
      </c>
      <c r="AO84" s="466" t="s">
        <v>450</v>
      </c>
      <c r="AP84" s="467"/>
      <c r="AQ84" s="467"/>
      <c r="AR84" s="468"/>
      <c r="AS84" s="461" t="s">
        <v>446</v>
      </c>
      <c r="AT84" s="466" t="s">
        <v>450</v>
      </c>
      <c r="AU84" s="467"/>
      <c r="AV84" s="467"/>
      <c r="AW84" s="468"/>
      <c r="AX84" s="461" t="s">
        <v>446</v>
      </c>
      <c r="BA84" s="461" t="s">
        <v>396</v>
      </c>
    </row>
    <row r="85" spans="2:53">
      <c r="B85" s="461"/>
      <c r="C85" s="461"/>
      <c r="D85" s="461"/>
      <c r="E85" s="461" t="s">
        <v>451</v>
      </c>
      <c r="F85" s="461"/>
      <c r="G85" s="461"/>
      <c r="H85" s="483"/>
      <c r="I85" s="461" t="s">
        <v>451</v>
      </c>
      <c r="J85" s="461"/>
      <c r="K85" s="461"/>
      <c r="L85" s="483"/>
      <c r="M85" s="485"/>
      <c r="N85" s="461"/>
      <c r="O85" s="461"/>
      <c r="P85" s="466" t="s">
        <v>452</v>
      </c>
      <c r="Q85" s="467"/>
      <c r="R85" s="467"/>
      <c r="S85" s="468"/>
      <c r="T85" s="461"/>
      <c r="U85" s="466" t="s">
        <v>452</v>
      </c>
      <c r="V85" s="467"/>
      <c r="W85" s="467"/>
      <c r="X85" s="468"/>
      <c r="Y85" s="461"/>
      <c r="Z85" s="466" t="s">
        <v>452</v>
      </c>
      <c r="AA85" s="467"/>
      <c r="AB85" s="467"/>
      <c r="AC85" s="468"/>
      <c r="AD85" s="461"/>
      <c r="AE85" s="466" t="s">
        <v>452</v>
      </c>
      <c r="AF85" s="467"/>
      <c r="AG85" s="467"/>
      <c r="AH85" s="468"/>
      <c r="AI85" s="461"/>
      <c r="AJ85" s="466" t="s">
        <v>452</v>
      </c>
      <c r="AK85" s="467"/>
      <c r="AL85" s="467"/>
      <c r="AM85" s="468"/>
      <c r="AN85" s="461"/>
      <c r="AO85" s="466" t="s">
        <v>452</v>
      </c>
      <c r="AP85" s="467"/>
      <c r="AQ85" s="467"/>
      <c r="AR85" s="468"/>
      <c r="AS85" s="461"/>
      <c r="AT85" s="466" t="s">
        <v>452</v>
      </c>
      <c r="AU85" s="467"/>
      <c r="AV85" s="467"/>
      <c r="AW85" s="468"/>
      <c r="AX85" s="461"/>
      <c r="BA85" s="461"/>
    </row>
    <row r="86" spans="2:53">
      <c r="B86" s="461"/>
      <c r="C86" s="461"/>
      <c r="D86" s="461"/>
      <c r="E86" s="269" t="s">
        <v>453</v>
      </c>
      <c r="F86" s="269" t="s">
        <v>454</v>
      </c>
      <c r="G86" s="269" t="s">
        <v>455</v>
      </c>
      <c r="H86" s="484"/>
      <c r="I86" s="269" t="s">
        <v>453</v>
      </c>
      <c r="J86" s="269" t="s">
        <v>454</v>
      </c>
      <c r="K86" s="269" t="s">
        <v>455</v>
      </c>
      <c r="L86" s="484"/>
      <c r="M86" s="481"/>
      <c r="N86" s="461"/>
      <c r="O86" s="461"/>
      <c r="P86" s="269" t="s">
        <v>453</v>
      </c>
      <c r="Q86" s="269" t="s">
        <v>454</v>
      </c>
      <c r="R86" s="269" t="s">
        <v>455</v>
      </c>
      <c r="S86" s="269" t="s">
        <v>448</v>
      </c>
      <c r="T86" s="461"/>
      <c r="U86" s="269" t="s">
        <v>453</v>
      </c>
      <c r="V86" s="269" t="s">
        <v>454</v>
      </c>
      <c r="W86" s="269" t="s">
        <v>455</v>
      </c>
      <c r="X86" s="269" t="s">
        <v>448</v>
      </c>
      <c r="Y86" s="461"/>
      <c r="Z86" s="269" t="s">
        <v>453</v>
      </c>
      <c r="AA86" s="269" t="s">
        <v>454</v>
      </c>
      <c r="AB86" s="269" t="s">
        <v>455</v>
      </c>
      <c r="AC86" s="269" t="s">
        <v>448</v>
      </c>
      <c r="AD86" s="461"/>
      <c r="AE86" s="269" t="s">
        <v>453</v>
      </c>
      <c r="AF86" s="269" t="s">
        <v>454</v>
      </c>
      <c r="AG86" s="269" t="s">
        <v>455</v>
      </c>
      <c r="AH86" s="269" t="s">
        <v>448</v>
      </c>
      <c r="AI86" s="461"/>
      <c r="AJ86" s="269" t="s">
        <v>453</v>
      </c>
      <c r="AK86" s="269" t="s">
        <v>454</v>
      </c>
      <c r="AL86" s="269" t="s">
        <v>455</v>
      </c>
      <c r="AM86" s="269" t="s">
        <v>448</v>
      </c>
      <c r="AN86" s="461"/>
      <c r="AO86" s="269" t="s">
        <v>453</v>
      </c>
      <c r="AP86" s="269" t="s">
        <v>454</v>
      </c>
      <c r="AQ86" s="269" t="s">
        <v>455</v>
      </c>
      <c r="AR86" s="269" t="s">
        <v>448</v>
      </c>
      <c r="AS86" s="461"/>
      <c r="AT86" s="269" t="s">
        <v>453</v>
      </c>
      <c r="AU86" s="269" t="s">
        <v>454</v>
      </c>
      <c r="AV86" s="269" t="s">
        <v>455</v>
      </c>
      <c r="AW86" s="269" t="s">
        <v>448</v>
      </c>
      <c r="AX86" s="461"/>
      <c r="AZ86" s="269" t="s">
        <v>397</v>
      </c>
      <c r="BA86" s="461"/>
    </row>
    <row r="87" spans="2:53">
      <c r="B87" s="461" t="s">
        <v>460</v>
      </c>
      <c r="C87" s="182">
        <v>1</v>
      </c>
      <c r="D87" s="203"/>
      <c r="E87" s="166"/>
      <c r="F87" s="182"/>
      <c r="G87" s="180"/>
      <c r="H87" s="463" t="e">
        <f>AVERAGE(G87:G101)</f>
        <v>#DIV/0!</v>
      </c>
      <c r="I87" s="166" t="str">
        <f t="shared" ref="I87:I100" si="73">IFERROR(AVERAGE(P87,U87,Z87,AE87,AJ87,AO87,AT87),"-")</f>
        <v>-</v>
      </c>
      <c r="J87" s="166" t="str">
        <f t="shared" ref="J87:J100" si="74">IFERROR(AVERAGE(Q87,V87,AA87,AF87,AK87,AP87,AU87),"-")</f>
        <v>-</v>
      </c>
      <c r="K87" s="180" t="str">
        <f t="shared" ref="K87:K100" si="75">IFERROR(AVERAGE(R87,W87,AB87,AG87,AL87,AQ87,AV87),"-")</f>
        <v>-</v>
      </c>
      <c r="L87" s="463" t="str">
        <f>IFERROR(AVERAGE(K87:K101),"-")</f>
        <v>-</v>
      </c>
      <c r="M87" s="181" t="e">
        <f>RANK(K87, K$87:$K$101)</f>
        <v>#VALUE!</v>
      </c>
      <c r="N87" s="461"/>
      <c r="O87" s="461"/>
      <c r="P87" s="182"/>
      <c r="Q87" s="166"/>
      <c r="R87" s="166"/>
      <c r="S87" s="182" t="e">
        <f>RANK(R87, R$87:R$101)</f>
        <v>#N/A</v>
      </c>
      <c r="T87" s="463" t="e">
        <f>AVERAGE(R87:R101)</f>
        <v>#DIV/0!</v>
      </c>
      <c r="U87" s="182"/>
      <c r="V87" s="166"/>
      <c r="W87" s="166"/>
      <c r="X87" s="182" t="e">
        <f t="shared" ref="X87:X101" si="76">RANK(W87, W$87:W$101)</f>
        <v>#N/A</v>
      </c>
      <c r="Y87" s="463" t="e">
        <f t="shared" ref="Y87" si="77">AVERAGE(W87:W101)</f>
        <v>#DIV/0!</v>
      </c>
      <c r="Z87" s="182"/>
      <c r="AA87" s="166"/>
      <c r="AB87" s="166"/>
      <c r="AC87" s="182" t="e">
        <f t="shared" ref="AC87:AC101" si="78">RANK(AB87, AB$87:AB$101)</f>
        <v>#N/A</v>
      </c>
      <c r="AD87" s="463" t="e">
        <f t="shared" ref="AD87" si="79">AVERAGE(AB87:AB101)</f>
        <v>#DIV/0!</v>
      </c>
      <c r="AE87" s="182"/>
      <c r="AF87" s="166"/>
      <c r="AG87" s="166"/>
      <c r="AH87" s="182" t="e">
        <f t="shared" ref="AH87:AH101" si="80">RANK(AG87, AG$87:AG$101)</f>
        <v>#N/A</v>
      </c>
      <c r="AI87" s="463" t="e">
        <f t="shared" ref="AI87" si="81">AVERAGE(AG87:AG101)</f>
        <v>#DIV/0!</v>
      </c>
      <c r="AJ87" s="182"/>
      <c r="AK87" s="166"/>
      <c r="AL87" s="166"/>
      <c r="AM87" s="182" t="e">
        <f t="shared" ref="AM87:AM101" si="82">RANK(AL87, AL$87:AL$101)</f>
        <v>#N/A</v>
      </c>
      <c r="AN87" s="463" t="e">
        <f t="shared" ref="AN87" si="83">AVERAGE(AL87:AL101)</f>
        <v>#DIV/0!</v>
      </c>
      <c r="AO87" s="182"/>
      <c r="AP87" s="166"/>
      <c r="AQ87" s="166"/>
      <c r="AR87" s="182" t="e">
        <f t="shared" ref="AR87:AR101" si="84">RANK(AQ87, AQ$87:AQ$101)</f>
        <v>#N/A</v>
      </c>
      <c r="AS87" s="463" t="e">
        <f t="shared" ref="AS87" si="85">AVERAGE(AQ87:AQ101)</f>
        <v>#DIV/0!</v>
      </c>
      <c r="AT87" s="182"/>
      <c r="AU87" s="166"/>
      <c r="AV87" s="166"/>
      <c r="AW87" s="182" t="e">
        <f t="shared" ref="AW87:AW101" si="86">RANK(AV87, AV$87:AV$101)</f>
        <v>#N/A</v>
      </c>
      <c r="AX87" s="455" t="e">
        <f t="shared" ref="AX87" si="87">AVERAGE(AV87:AV101)</f>
        <v>#DIV/0!</v>
      </c>
      <c r="AZ87" s="182" t="e">
        <f t="shared" ref="AZ87:AZ101" si="88">RANK(AY87, AY$87:AY$101)</f>
        <v>#N/A</v>
      </c>
      <c r="BA87" s="455" t="e">
        <f t="shared" ref="BA87" si="89">AVERAGE(AY87:AY101)</f>
        <v>#DIV/0!</v>
      </c>
    </row>
    <row r="88" spans="2:53">
      <c r="B88" s="454"/>
      <c r="C88" s="182">
        <v>2</v>
      </c>
      <c r="D88" s="203"/>
      <c r="E88" s="166"/>
      <c r="F88" s="182"/>
      <c r="G88" s="180"/>
      <c r="H88" s="464"/>
      <c r="I88" s="166" t="str">
        <f t="shared" si="73"/>
        <v>-</v>
      </c>
      <c r="J88" s="166" t="str">
        <f t="shared" si="74"/>
        <v>-</v>
      </c>
      <c r="K88" s="180" t="str">
        <f t="shared" si="75"/>
        <v>-</v>
      </c>
      <c r="L88" s="464"/>
      <c r="M88" s="181" t="e">
        <f>RANK(K88, K$87:$K$101)</f>
        <v>#VALUE!</v>
      </c>
      <c r="N88" s="461"/>
      <c r="O88" s="461"/>
      <c r="P88" s="182"/>
      <c r="Q88" s="166"/>
      <c r="R88" s="166"/>
      <c r="S88" s="182" t="e">
        <f t="shared" ref="S88:S101" si="90">RANK(R88, R$87:R$101)</f>
        <v>#N/A</v>
      </c>
      <c r="T88" s="464"/>
      <c r="U88" s="182"/>
      <c r="V88" s="166"/>
      <c r="W88" s="166"/>
      <c r="X88" s="182" t="e">
        <f t="shared" si="76"/>
        <v>#N/A</v>
      </c>
      <c r="Y88" s="464"/>
      <c r="Z88" s="182"/>
      <c r="AA88" s="166"/>
      <c r="AB88" s="166"/>
      <c r="AC88" s="182" t="e">
        <f t="shared" si="78"/>
        <v>#N/A</v>
      </c>
      <c r="AD88" s="464"/>
      <c r="AE88" s="182"/>
      <c r="AF88" s="166"/>
      <c r="AG88" s="166"/>
      <c r="AH88" s="182" t="e">
        <f t="shared" si="80"/>
        <v>#N/A</v>
      </c>
      <c r="AI88" s="464"/>
      <c r="AJ88" s="182"/>
      <c r="AK88" s="166"/>
      <c r="AL88" s="166"/>
      <c r="AM88" s="182" t="e">
        <f t="shared" si="82"/>
        <v>#N/A</v>
      </c>
      <c r="AN88" s="464"/>
      <c r="AO88" s="182"/>
      <c r="AP88" s="166"/>
      <c r="AQ88" s="166"/>
      <c r="AR88" s="182" t="e">
        <f t="shared" si="84"/>
        <v>#N/A</v>
      </c>
      <c r="AS88" s="464"/>
      <c r="AT88" s="182"/>
      <c r="AU88" s="166"/>
      <c r="AV88" s="166"/>
      <c r="AW88" s="182" t="e">
        <f t="shared" si="86"/>
        <v>#N/A</v>
      </c>
      <c r="AX88" s="455"/>
      <c r="AZ88" s="182" t="e">
        <f t="shared" si="88"/>
        <v>#N/A</v>
      </c>
      <c r="BA88" s="455"/>
    </row>
    <row r="89" spans="2:53">
      <c r="B89" s="454"/>
      <c r="C89" s="182">
        <v>3</v>
      </c>
      <c r="D89" s="203"/>
      <c r="E89" s="166"/>
      <c r="F89" s="182"/>
      <c r="G89" s="180"/>
      <c r="H89" s="464"/>
      <c r="I89" s="166" t="str">
        <f t="shared" si="73"/>
        <v>-</v>
      </c>
      <c r="J89" s="166" t="str">
        <f t="shared" si="74"/>
        <v>-</v>
      </c>
      <c r="K89" s="180" t="str">
        <f t="shared" si="75"/>
        <v>-</v>
      </c>
      <c r="L89" s="464"/>
      <c r="M89" s="181" t="e">
        <f>RANK(K89, K$87:$K$101)</f>
        <v>#VALUE!</v>
      </c>
      <c r="N89" s="461"/>
      <c r="O89" s="461"/>
      <c r="P89" s="182"/>
      <c r="Q89" s="166"/>
      <c r="R89" s="166"/>
      <c r="S89" s="182" t="e">
        <f t="shared" si="90"/>
        <v>#N/A</v>
      </c>
      <c r="T89" s="464"/>
      <c r="U89" s="182"/>
      <c r="V89" s="166"/>
      <c r="W89" s="166"/>
      <c r="X89" s="182" t="e">
        <f t="shared" si="76"/>
        <v>#N/A</v>
      </c>
      <c r="Y89" s="464"/>
      <c r="Z89" s="182"/>
      <c r="AA89" s="166"/>
      <c r="AB89" s="166"/>
      <c r="AC89" s="182" t="e">
        <f t="shared" si="78"/>
        <v>#N/A</v>
      </c>
      <c r="AD89" s="464"/>
      <c r="AE89" s="182"/>
      <c r="AF89" s="166"/>
      <c r="AG89" s="166"/>
      <c r="AH89" s="182" t="e">
        <f t="shared" si="80"/>
        <v>#N/A</v>
      </c>
      <c r="AI89" s="464"/>
      <c r="AJ89" s="182"/>
      <c r="AK89" s="166"/>
      <c r="AL89" s="166"/>
      <c r="AM89" s="182" t="e">
        <f t="shared" si="82"/>
        <v>#N/A</v>
      </c>
      <c r="AN89" s="464"/>
      <c r="AO89" s="182"/>
      <c r="AP89" s="166"/>
      <c r="AQ89" s="166"/>
      <c r="AR89" s="182" t="e">
        <f t="shared" si="84"/>
        <v>#N/A</v>
      </c>
      <c r="AS89" s="464"/>
      <c r="AT89" s="182"/>
      <c r="AU89" s="166"/>
      <c r="AV89" s="166"/>
      <c r="AW89" s="182" t="e">
        <f t="shared" si="86"/>
        <v>#N/A</v>
      </c>
      <c r="AX89" s="455"/>
      <c r="AZ89" s="182" t="e">
        <f t="shared" si="88"/>
        <v>#N/A</v>
      </c>
      <c r="BA89" s="455"/>
    </row>
    <row r="90" spans="2:53">
      <c r="B90" s="454"/>
      <c r="C90" s="182">
        <v>4</v>
      </c>
      <c r="D90" s="203"/>
      <c r="E90" s="166"/>
      <c r="F90" s="182"/>
      <c r="G90" s="180"/>
      <c r="H90" s="464"/>
      <c r="I90" s="166" t="str">
        <f t="shared" si="73"/>
        <v>-</v>
      </c>
      <c r="J90" s="166" t="str">
        <f t="shared" si="74"/>
        <v>-</v>
      </c>
      <c r="K90" s="180" t="str">
        <f t="shared" si="75"/>
        <v>-</v>
      </c>
      <c r="L90" s="464"/>
      <c r="M90" s="181" t="e">
        <f>RANK(K90, K$87:$K$101)</f>
        <v>#VALUE!</v>
      </c>
      <c r="N90" s="461"/>
      <c r="O90" s="461"/>
      <c r="P90" s="182"/>
      <c r="Q90" s="166"/>
      <c r="R90" s="166"/>
      <c r="S90" s="182" t="e">
        <f t="shared" si="90"/>
        <v>#N/A</v>
      </c>
      <c r="T90" s="464"/>
      <c r="U90" s="182"/>
      <c r="V90" s="166"/>
      <c r="W90" s="166"/>
      <c r="X90" s="182" t="e">
        <f t="shared" si="76"/>
        <v>#N/A</v>
      </c>
      <c r="Y90" s="464"/>
      <c r="Z90" s="182"/>
      <c r="AA90" s="166"/>
      <c r="AB90" s="166"/>
      <c r="AC90" s="182" t="e">
        <f t="shared" si="78"/>
        <v>#N/A</v>
      </c>
      <c r="AD90" s="464"/>
      <c r="AE90" s="182"/>
      <c r="AF90" s="166"/>
      <c r="AG90" s="166"/>
      <c r="AH90" s="182" t="e">
        <f t="shared" si="80"/>
        <v>#N/A</v>
      </c>
      <c r="AI90" s="464"/>
      <c r="AJ90" s="182"/>
      <c r="AK90" s="166"/>
      <c r="AL90" s="166"/>
      <c r="AM90" s="182" t="e">
        <f t="shared" si="82"/>
        <v>#N/A</v>
      </c>
      <c r="AN90" s="464"/>
      <c r="AO90" s="182"/>
      <c r="AP90" s="166"/>
      <c r="AQ90" s="166"/>
      <c r="AR90" s="182" t="e">
        <f t="shared" si="84"/>
        <v>#N/A</v>
      </c>
      <c r="AS90" s="464"/>
      <c r="AT90" s="182"/>
      <c r="AU90" s="166"/>
      <c r="AV90" s="166"/>
      <c r="AW90" s="182" t="e">
        <f t="shared" si="86"/>
        <v>#N/A</v>
      </c>
      <c r="AX90" s="455"/>
      <c r="AZ90" s="182" t="e">
        <f t="shared" si="88"/>
        <v>#N/A</v>
      </c>
      <c r="BA90" s="455"/>
    </row>
    <row r="91" spans="2:53">
      <c r="B91" s="454"/>
      <c r="C91" s="182">
        <v>5</v>
      </c>
      <c r="D91" s="203"/>
      <c r="E91" s="166"/>
      <c r="F91" s="182"/>
      <c r="G91" s="180"/>
      <c r="H91" s="464"/>
      <c r="I91" s="166" t="str">
        <f t="shared" si="73"/>
        <v>-</v>
      </c>
      <c r="J91" s="166" t="str">
        <f t="shared" si="74"/>
        <v>-</v>
      </c>
      <c r="K91" s="180" t="str">
        <f t="shared" si="75"/>
        <v>-</v>
      </c>
      <c r="L91" s="464"/>
      <c r="M91" s="181" t="e">
        <f>RANK(K91, K$87:$K$101)</f>
        <v>#VALUE!</v>
      </c>
      <c r="N91" s="461"/>
      <c r="O91" s="461"/>
      <c r="P91" s="182"/>
      <c r="Q91" s="166"/>
      <c r="R91" s="166"/>
      <c r="S91" s="182" t="e">
        <f t="shared" si="90"/>
        <v>#N/A</v>
      </c>
      <c r="T91" s="464"/>
      <c r="U91" s="182"/>
      <c r="V91" s="166"/>
      <c r="W91" s="166"/>
      <c r="X91" s="182" t="e">
        <f t="shared" si="76"/>
        <v>#N/A</v>
      </c>
      <c r="Y91" s="464"/>
      <c r="Z91" s="182"/>
      <c r="AA91" s="166"/>
      <c r="AB91" s="166"/>
      <c r="AC91" s="182" t="e">
        <f t="shared" si="78"/>
        <v>#N/A</v>
      </c>
      <c r="AD91" s="464"/>
      <c r="AE91" s="182"/>
      <c r="AF91" s="166"/>
      <c r="AG91" s="166"/>
      <c r="AH91" s="182" t="e">
        <f t="shared" si="80"/>
        <v>#N/A</v>
      </c>
      <c r="AI91" s="464"/>
      <c r="AJ91" s="182"/>
      <c r="AK91" s="166"/>
      <c r="AL91" s="166"/>
      <c r="AM91" s="182" t="e">
        <f t="shared" si="82"/>
        <v>#N/A</v>
      </c>
      <c r="AN91" s="464"/>
      <c r="AO91" s="182"/>
      <c r="AP91" s="166"/>
      <c r="AQ91" s="166"/>
      <c r="AR91" s="182" t="e">
        <f t="shared" si="84"/>
        <v>#N/A</v>
      </c>
      <c r="AS91" s="464"/>
      <c r="AT91" s="182"/>
      <c r="AU91" s="166"/>
      <c r="AV91" s="166"/>
      <c r="AW91" s="182" t="e">
        <f t="shared" si="86"/>
        <v>#N/A</v>
      </c>
      <c r="AX91" s="455"/>
      <c r="AZ91" s="182" t="e">
        <f t="shared" si="88"/>
        <v>#N/A</v>
      </c>
      <c r="BA91" s="455"/>
    </row>
    <row r="92" spans="2:53">
      <c r="B92" s="454"/>
      <c r="C92" s="182">
        <v>6</v>
      </c>
      <c r="D92" s="203"/>
      <c r="E92" s="166"/>
      <c r="F92" s="182"/>
      <c r="G92" s="180"/>
      <c r="H92" s="464"/>
      <c r="I92" s="166" t="str">
        <f t="shared" si="73"/>
        <v>-</v>
      </c>
      <c r="J92" s="166" t="str">
        <f t="shared" si="74"/>
        <v>-</v>
      </c>
      <c r="K92" s="180" t="str">
        <f t="shared" si="75"/>
        <v>-</v>
      </c>
      <c r="L92" s="464"/>
      <c r="M92" s="181" t="e">
        <f>RANK(K92, K$87:$K$101)</f>
        <v>#VALUE!</v>
      </c>
      <c r="N92" s="461"/>
      <c r="O92" s="461"/>
      <c r="P92" s="182"/>
      <c r="Q92" s="166"/>
      <c r="R92" s="166"/>
      <c r="S92" s="182" t="e">
        <f t="shared" si="90"/>
        <v>#N/A</v>
      </c>
      <c r="T92" s="464"/>
      <c r="U92" s="182"/>
      <c r="V92" s="166"/>
      <c r="W92" s="166"/>
      <c r="X92" s="182" t="e">
        <f t="shared" si="76"/>
        <v>#N/A</v>
      </c>
      <c r="Y92" s="464"/>
      <c r="Z92" s="182"/>
      <c r="AA92" s="166"/>
      <c r="AB92" s="166"/>
      <c r="AC92" s="182" t="e">
        <f t="shared" si="78"/>
        <v>#N/A</v>
      </c>
      <c r="AD92" s="464"/>
      <c r="AE92" s="182"/>
      <c r="AF92" s="166"/>
      <c r="AG92" s="166"/>
      <c r="AH92" s="182" t="e">
        <f t="shared" si="80"/>
        <v>#N/A</v>
      </c>
      <c r="AI92" s="464"/>
      <c r="AJ92" s="182"/>
      <c r="AK92" s="166"/>
      <c r="AL92" s="166"/>
      <c r="AM92" s="182" t="e">
        <f t="shared" si="82"/>
        <v>#N/A</v>
      </c>
      <c r="AN92" s="464"/>
      <c r="AO92" s="182"/>
      <c r="AP92" s="166"/>
      <c r="AQ92" s="166"/>
      <c r="AR92" s="182" t="e">
        <f t="shared" si="84"/>
        <v>#N/A</v>
      </c>
      <c r="AS92" s="464"/>
      <c r="AT92" s="182"/>
      <c r="AU92" s="166"/>
      <c r="AV92" s="166"/>
      <c r="AW92" s="182" t="e">
        <f t="shared" si="86"/>
        <v>#N/A</v>
      </c>
      <c r="AX92" s="455"/>
      <c r="AZ92" s="182" t="e">
        <f t="shared" si="88"/>
        <v>#N/A</v>
      </c>
      <c r="BA92" s="455"/>
    </row>
    <row r="93" spans="2:53">
      <c r="B93" s="454"/>
      <c r="C93" s="182">
        <v>7</v>
      </c>
      <c r="D93" s="203"/>
      <c r="E93" s="166"/>
      <c r="F93" s="182"/>
      <c r="G93" s="180"/>
      <c r="H93" s="464"/>
      <c r="I93" s="166" t="str">
        <f t="shared" si="73"/>
        <v>-</v>
      </c>
      <c r="J93" s="166" t="str">
        <f t="shared" si="74"/>
        <v>-</v>
      </c>
      <c r="K93" s="180" t="str">
        <f t="shared" si="75"/>
        <v>-</v>
      </c>
      <c r="L93" s="464"/>
      <c r="M93" s="181" t="e">
        <f>RANK(K93, K$87:$K$101)</f>
        <v>#VALUE!</v>
      </c>
      <c r="N93" s="461"/>
      <c r="O93" s="461"/>
      <c r="P93" s="182"/>
      <c r="Q93" s="166"/>
      <c r="R93" s="166"/>
      <c r="S93" s="182" t="e">
        <f t="shared" si="90"/>
        <v>#N/A</v>
      </c>
      <c r="T93" s="464"/>
      <c r="U93" s="182"/>
      <c r="V93" s="166"/>
      <c r="W93" s="166"/>
      <c r="X93" s="182" t="e">
        <f t="shared" si="76"/>
        <v>#N/A</v>
      </c>
      <c r="Y93" s="464"/>
      <c r="Z93" s="182"/>
      <c r="AA93" s="166"/>
      <c r="AB93" s="166"/>
      <c r="AC93" s="182" t="e">
        <f t="shared" si="78"/>
        <v>#N/A</v>
      </c>
      <c r="AD93" s="464"/>
      <c r="AE93" s="182"/>
      <c r="AF93" s="166"/>
      <c r="AG93" s="166"/>
      <c r="AH93" s="182" t="e">
        <f t="shared" si="80"/>
        <v>#N/A</v>
      </c>
      <c r="AI93" s="464"/>
      <c r="AJ93" s="182"/>
      <c r="AK93" s="166"/>
      <c r="AL93" s="166"/>
      <c r="AM93" s="182" t="e">
        <f t="shared" si="82"/>
        <v>#N/A</v>
      </c>
      <c r="AN93" s="464"/>
      <c r="AO93" s="182"/>
      <c r="AP93" s="166"/>
      <c r="AQ93" s="166"/>
      <c r="AR93" s="182" t="e">
        <f t="shared" si="84"/>
        <v>#N/A</v>
      </c>
      <c r="AS93" s="464"/>
      <c r="AT93" s="182"/>
      <c r="AU93" s="166"/>
      <c r="AV93" s="166"/>
      <c r="AW93" s="182" t="e">
        <f t="shared" si="86"/>
        <v>#N/A</v>
      </c>
      <c r="AX93" s="455"/>
      <c r="AZ93" s="182" t="e">
        <f t="shared" si="88"/>
        <v>#N/A</v>
      </c>
      <c r="BA93" s="455"/>
    </row>
    <row r="94" spans="2:53">
      <c r="B94" s="454"/>
      <c r="C94" s="182">
        <v>8</v>
      </c>
      <c r="D94" s="203"/>
      <c r="E94" s="166"/>
      <c r="F94" s="182"/>
      <c r="G94" s="180"/>
      <c r="H94" s="464"/>
      <c r="I94" s="166" t="str">
        <f t="shared" si="73"/>
        <v>-</v>
      </c>
      <c r="J94" s="166" t="str">
        <f t="shared" si="74"/>
        <v>-</v>
      </c>
      <c r="K94" s="180" t="str">
        <f t="shared" si="75"/>
        <v>-</v>
      </c>
      <c r="L94" s="464"/>
      <c r="M94" s="181" t="e">
        <f>RANK(K94, K$87:$K$101)</f>
        <v>#VALUE!</v>
      </c>
      <c r="N94" s="461"/>
      <c r="O94" s="461"/>
      <c r="P94" s="182"/>
      <c r="Q94" s="166"/>
      <c r="R94" s="166"/>
      <c r="S94" s="182" t="e">
        <f t="shared" si="90"/>
        <v>#N/A</v>
      </c>
      <c r="T94" s="464"/>
      <c r="U94" s="182"/>
      <c r="V94" s="166"/>
      <c r="W94" s="166"/>
      <c r="X94" s="182" t="e">
        <f t="shared" si="76"/>
        <v>#N/A</v>
      </c>
      <c r="Y94" s="464"/>
      <c r="Z94" s="182"/>
      <c r="AA94" s="166"/>
      <c r="AB94" s="166"/>
      <c r="AC94" s="182" t="e">
        <f t="shared" si="78"/>
        <v>#N/A</v>
      </c>
      <c r="AD94" s="464"/>
      <c r="AE94" s="182"/>
      <c r="AF94" s="166"/>
      <c r="AG94" s="166"/>
      <c r="AH94" s="182" t="e">
        <f t="shared" si="80"/>
        <v>#N/A</v>
      </c>
      <c r="AI94" s="464"/>
      <c r="AJ94" s="182"/>
      <c r="AK94" s="166"/>
      <c r="AL94" s="166"/>
      <c r="AM94" s="182" t="e">
        <f t="shared" si="82"/>
        <v>#N/A</v>
      </c>
      <c r="AN94" s="464"/>
      <c r="AO94" s="182"/>
      <c r="AP94" s="166"/>
      <c r="AQ94" s="166"/>
      <c r="AR94" s="182" t="e">
        <f t="shared" si="84"/>
        <v>#N/A</v>
      </c>
      <c r="AS94" s="464"/>
      <c r="AT94" s="182"/>
      <c r="AU94" s="166"/>
      <c r="AV94" s="166"/>
      <c r="AW94" s="182" t="e">
        <f t="shared" si="86"/>
        <v>#N/A</v>
      </c>
      <c r="AX94" s="455"/>
      <c r="AZ94" s="182" t="e">
        <f t="shared" si="88"/>
        <v>#N/A</v>
      </c>
      <c r="BA94" s="455"/>
    </row>
    <row r="95" spans="2:53">
      <c r="B95" s="454"/>
      <c r="C95" s="182">
        <v>9</v>
      </c>
      <c r="D95" s="203"/>
      <c r="E95" s="166"/>
      <c r="F95" s="182"/>
      <c r="G95" s="180"/>
      <c r="H95" s="464"/>
      <c r="I95" s="166" t="str">
        <f t="shared" si="73"/>
        <v>-</v>
      </c>
      <c r="J95" s="166" t="str">
        <f t="shared" si="74"/>
        <v>-</v>
      </c>
      <c r="K95" s="180" t="str">
        <f t="shared" si="75"/>
        <v>-</v>
      </c>
      <c r="L95" s="464"/>
      <c r="M95" s="181" t="e">
        <f>RANK(K95, K$87:$K$101)</f>
        <v>#VALUE!</v>
      </c>
      <c r="N95" s="461"/>
      <c r="O95" s="461"/>
      <c r="P95" s="182"/>
      <c r="Q95" s="166"/>
      <c r="R95" s="166"/>
      <c r="S95" s="182" t="e">
        <f t="shared" si="90"/>
        <v>#N/A</v>
      </c>
      <c r="T95" s="464"/>
      <c r="U95" s="182"/>
      <c r="V95" s="166"/>
      <c r="W95" s="166"/>
      <c r="X95" s="182" t="e">
        <f t="shared" si="76"/>
        <v>#N/A</v>
      </c>
      <c r="Y95" s="464"/>
      <c r="Z95" s="182"/>
      <c r="AA95" s="166"/>
      <c r="AB95" s="166"/>
      <c r="AC95" s="182" t="e">
        <f t="shared" si="78"/>
        <v>#N/A</v>
      </c>
      <c r="AD95" s="464"/>
      <c r="AE95" s="182"/>
      <c r="AF95" s="166"/>
      <c r="AG95" s="166"/>
      <c r="AH95" s="182" t="e">
        <f t="shared" si="80"/>
        <v>#N/A</v>
      </c>
      <c r="AI95" s="464"/>
      <c r="AJ95" s="182"/>
      <c r="AK95" s="166"/>
      <c r="AL95" s="166"/>
      <c r="AM95" s="182" t="e">
        <f t="shared" si="82"/>
        <v>#N/A</v>
      </c>
      <c r="AN95" s="464"/>
      <c r="AO95" s="182"/>
      <c r="AP95" s="166"/>
      <c r="AQ95" s="166"/>
      <c r="AR95" s="182" t="e">
        <f t="shared" si="84"/>
        <v>#N/A</v>
      </c>
      <c r="AS95" s="464"/>
      <c r="AT95" s="182"/>
      <c r="AU95" s="166"/>
      <c r="AV95" s="166"/>
      <c r="AW95" s="182" t="e">
        <f t="shared" si="86"/>
        <v>#N/A</v>
      </c>
      <c r="AX95" s="455"/>
      <c r="AZ95" s="182" t="e">
        <f t="shared" si="88"/>
        <v>#N/A</v>
      </c>
      <c r="BA95" s="455"/>
    </row>
    <row r="96" spans="2:53">
      <c r="B96" s="454"/>
      <c r="C96" s="182">
        <v>10</v>
      </c>
      <c r="D96" s="203"/>
      <c r="E96" s="166"/>
      <c r="F96" s="182"/>
      <c r="G96" s="180"/>
      <c r="H96" s="464"/>
      <c r="I96" s="166" t="str">
        <f t="shared" si="73"/>
        <v>-</v>
      </c>
      <c r="J96" s="166" t="str">
        <f t="shared" si="74"/>
        <v>-</v>
      </c>
      <c r="K96" s="180" t="str">
        <f t="shared" si="75"/>
        <v>-</v>
      </c>
      <c r="L96" s="464"/>
      <c r="M96" s="181" t="e">
        <f>RANK(K96, K$87:$K$101)</f>
        <v>#VALUE!</v>
      </c>
      <c r="N96" s="461"/>
      <c r="O96" s="461"/>
      <c r="P96" s="182"/>
      <c r="Q96" s="166"/>
      <c r="R96" s="166"/>
      <c r="S96" s="182" t="e">
        <f t="shared" si="90"/>
        <v>#N/A</v>
      </c>
      <c r="T96" s="464"/>
      <c r="U96" s="182"/>
      <c r="V96" s="166"/>
      <c r="W96" s="166"/>
      <c r="X96" s="182" t="e">
        <f t="shared" si="76"/>
        <v>#N/A</v>
      </c>
      <c r="Y96" s="464"/>
      <c r="Z96" s="182"/>
      <c r="AA96" s="166"/>
      <c r="AB96" s="166"/>
      <c r="AC96" s="182" t="e">
        <f t="shared" si="78"/>
        <v>#N/A</v>
      </c>
      <c r="AD96" s="464"/>
      <c r="AE96" s="182"/>
      <c r="AF96" s="166"/>
      <c r="AG96" s="166"/>
      <c r="AH96" s="182" t="e">
        <f t="shared" si="80"/>
        <v>#N/A</v>
      </c>
      <c r="AI96" s="464"/>
      <c r="AJ96" s="182"/>
      <c r="AK96" s="166"/>
      <c r="AL96" s="166"/>
      <c r="AM96" s="182" t="e">
        <f t="shared" si="82"/>
        <v>#N/A</v>
      </c>
      <c r="AN96" s="464"/>
      <c r="AO96" s="182"/>
      <c r="AP96" s="166"/>
      <c r="AQ96" s="166"/>
      <c r="AR96" s="182" t="e">
        <f t="shared" si="84"/>
        <v>#N/A</v>
      </c>
      <c r="AS96" s="464"/>
      <c r="AT96" s="182"/>
      <c r="AU96" s="166"/>
      <c r="AV96" s="166"/>
      <c r="AW96" s="182" t="e">
        <f t="shared" si="86"/>
        <v>#N/A</v>
      </c>
      <c r="AX96" s="455"/>
      <c r="AZ96" s="182" t="e">
        <f t="shared" si="88"/>
        <v>#N/A</v>
      </c>
      <c r="BA96" s="455"/>
    </row>
    <row r="97" spans="2:53">
      <c r="B97" s="454"/>
      <c r="C97" s="182">
        <v>11</v>
      </c>
      <c r="D97" s="203"/>
      <c r="E97" s="166"/>
      <c r="F97" s="182"/>
      <c r="G97" s="180"/>
      <c r="H97" s="464"/>
      <c r="I97" s="166" t="str">
        <f t="shared" si="73"/>
        <v>-</v>
      </c>
      <c r="J97" s="166" t="str">
        <f t="shared" si="74"/>
        <v>-</v>
      </c>
      <c r="K97" s="180" t="str">
        <f t="shared" si="75"/>
        <v>-</v>
      </c>
      <c r="L97" s="464"/>
      <c r="M97" s="181" t="e">
        <f>RANK(K97, K$87:$K$101)</f>
        <v>#VALUE!</v>
      </c>
      <c r="N97" s="461"/>
      <c r="O97" s="461"/>
      <c r="P97" s="182"/>
      <c r="Q97" s="166"/>
      <c r="R97" s="166"/>
      <c r="S97" s="182" t="e">
        <f t="shared" si="90"/>
        <v>#N/A</v>
      </c>
      <c r="T97" s="464"/>
      <c r="U97" s="182"/>
      <c r="V97" s="166"/>
      <c r="W97" s="166"/>
      <c r="X97" s="182" t="e">
        <f t="shared" si="76"/>
        <v>#N/A</v>
      </c>
      <c r="Y97" s="464"/>
      <c r="Z97" s="182"/>
      <c r="AA97" s="166"/>
      <c r="AB97" s="166"/>
      <c r="AC97" s="182" t="e">
        <f t="shared" si="78"/>
        <v>#N/A</v>
      </c>
      <c r="AD97" s="464"/>
      <c r="AE97" s="182"/>
      <c r="AF97" s="166"/>
      <c r="AG97" s="166"/>
      <c r="AH97" s="182" t="e">
        <f t="shared" si="80"/>
        <v>#N/A</v>
      </c>
      <c r="AI97" s="464"/>
      <c r="AJ97" s="182"/>
      <c r="AK97" s="166"/>
      <c r="AL97" s="166"/>
      <c r="AM97" s="182" t="e">
        <f t="shared" si="82"/>
        <v>#N/A</v>
      </c>
      <c r="AN97" s="464"/>
      <c r="AO97" s="182"/>
      <c r="AP97" s="166"/>
      <c r="AQ97" s="166"/>
      <c r="AR97" s="182" t="e">
        <f t="shared" si="84"/>
        <v>#N/A</v>
      </c>
      <c r="AS97" s="464"/>
      <c r="AT97" s="182"/>
      <c r="AU97" s="166"/>
      <c r="AV97" s="166"/>
      <c r="AW97" s="182" t="e">
        <f t="shared" si="86"/>
        <v>#N/A</v>
      </c>
      <c r="AX97" s="455"/>
      <c r="AZ97" s="182" t="e">
        <f t="shared" si="88"/>
        <v>#N/A</v>
      </c>
      <c r="BA97" s="455"/>
    </row>
    <row r="98" spans="2:53">
      <c r="B98" s="454"/>
      <c r="C98" s="182">
        <v>12</v>
      </c>
      <c r="D98" s="203"/>
      <c r="E98" s="166"/>
      <c r="F98" s="182"/>
      <c r="G98" s="180"/>
      <c r="H98" s="464"/>
      <c r="I98" s="166" t="str">
        <f t="shared" si="73"/>
        <v>-</v>
      </c>
      <c r="J98" s="166" t="str">
        <f t="shared" si="74"/>
        <v>-</v>
      </c>
      <c r="K98" s="180" t="str">
        <f t="shared" si="75"/>
        <v>-</v>
      </c>
      <c r="L98" s="464"/>
      <c r="M98" s="181" t="e">
        <f>RANK(K98, K$87:$K$101)</f>
        <v>#VALUE!</v>
      </c>
      <c r="N98" s="461"/>
      <c r="O98" s="461"/>
      <c r="P98" s="182"/>
      <c r="Q98" s="166"/>
      <c r="R98" s="166"/>
      <c r="S98" s="182" t="e">
        <f t="shared" si="90"/>
        <v>#N/A</v>
      </c>
      <c r="T98" s="464"/>
      <c r="U98" s="182"/>
      <c r="V98" s="166"/>
      <c r="W98" s="166"/>
      <c r="X98" s="182" t="e">
        <f t="shared" si="76"/>
        <v>#N/A</v>
      </c>
      <c r="Y98" s="464"/>
      <c r="Z98" s="182"/>
      <c r="AA98" s="166"/>
      <c r="AB98" s="166"/>
      <c r="AC98" s="182" t="e">
        <f t="shared" si="78"/>
        <v>#N/A</v>
      </c>
      <c r="AD98" s="464"/>
      <c r="AE98" s="182"/>
      <c r="AF98" s="166"/>
      <c r="AG98" s="166"/>
      <c r="AH98" s="182" t="e">
        <f t="shared" si="80"/>
        <v>#N/A</v>
      </c>
      <c r="AI98" s="464"/>
      <c r="AJ98" s="182"/>
      <c r="AK98" s="166"/>
      <c r="AL98" s="166"/>
      <c r="AM98" s="182" t="e">
        <f t="shared" si="82"/>
        <v>#N/A</v>
      </c>
      <c r="AN98" s="464"/>
      <c r="AO98" s="182"/>
      <c r="AP98" s="166"/>
      <c r="AQ98" s="166"/>
      <c r="AR98" s="182" t="e">
        <f t="shared" si="84"/>
        <v>#N/A</v>
      </c>
      <c r="AS98" s="464"/>
      <c r="AT98" s="182"/>
      <c r="AU98" s="166"/>
      <c r="AV98" s="166"/>
      <c r="AW98" s="182" t="e">
        <f t="shared" si="86"/>
        <v>#N/A</v>
      </c>
      <c r="AX98" s="455"/>
      <c r="AZ98" s="182" t="e">
        <f t="shared" si="88"/>
        <v>#N/A</v>
      </c>
      <c r="BA98" s="455"/>
    </row>
    <row r="99" spans="2:53">
      <c r="B99" s="454"/>
      <c r="C99" s="182">
        <v>13</v>
      </c>
      <c r="D99" s="203"/>
      <c r="E99" s="166"/>
      <c r="F99" s="182"/>
      <c r="G99" s="180"/>
      <c r="H99" s="464"/>
      <c r="I99" s="166" t="str">
        <f t="shared" si="73"/>
        <v>-</v>
      </c>
      <c r="J99" s="166" t="str">
        <f t="shared" si="74"/>
        <v>-</v>
      </c>
      <c r="K99" s="180" t="str">
        <f t="shared" si="75"/>
        <v>-</v>
      </c>
      <c r="L99" s="464"/>
      <c r="M99" s="181" t="e">
        <f>RANK(K99, K$87:$K$101)</f>
        <v>#VALUE!</v>
      </c>
      <c r="N99" s="461"/>
      <c r="O99" s="461"/>
      <c r="P99" s="182"/>
      <c r="Q99" s="166"/>
      <c r="R99" s="166"/>
      <c r="S99" s="182" t="e">
        <f t="shared" si="90"/>
        <v>#N/A</v>
      </c>
      <c r="T99" s="464"/>
      <c r="U99" s="182"/>
      <c r="V99" s="166"/>
      <c r="W99" s="166"/>
      <c r="X99" s="182" t="e">
        <f t="shared" si="76"/>
        <v>#N/A</v>
      </c>
      <c r="Y99" s="464"/>
      <c r="Z99" s="182"/>
      <c r="AA99" s="166"/>
      <c r="AB99" s="166"/>
      <c r="AC99" s="182" t="e">
        <f t="shared" si="78"/>
        <v>#N/A</v>
      </c>
      <c r="AD99" s="464"/>
      <c r="AE99" s="182"/>
      <c r="AF99" s="166"/>
      <c r="AG99" s="166"/>
      <c r="AH99" s="182" t="e">
        <f t="shared" si="80"/>
        <v>#N/A</v>
      </c>
      <c r="AI99" s="464"/>
      <c r="AJ99" s="182"/>
      <c r="AK99" s="166"/>
      <c r="AL99" s="166"/>
      <c r="AM99" s="182" t="e">
        <f t="shared" si="82"/>
        <v>#N/A</v>
      </c>
      <c r="AN99" s="464"/>
      <c r="AO99" s="182"/>
      <c r="AP99" s="166"/>
      <c r="AQ99" s="166"/>
      <c r="AR99" s="182" t="e">
        <f t="shared" si="84"/>
        <v>#N/A</v>
      </c>
      <c r="AS99" s="464"/>
      <c r="AT99" s="182"/>
      <c r="AU99" s="166"/>
      <c r="AV99" s="166"/>
      <c r="AW99" s="182" t="e">
        <f t="shared" si="86"/>
        <v>#N/A</v>
      </c>
      <c r="AX99" s="455"/>
      <c r="AZ99" s="182" t="e">
        <f t="shared" si="88"/>
        <v>#N/A</v>
      </c>
      <c r="BA99" s="455"/>
    </row>
    <row r="100" spans="2:53">
      <c r="B100" s="454"/>
      <c r="C100" s="182">
        <v>14</v>
      </c>
      <c r="D100" s="203"/>
      <c r="E100" s="166"/>
      <c r="F100" s="182"/>
      <c r="G100" s="180"/>
      <c r="H100" s="464"/>
      <c r="I100" s="166" t="str">
        <f t="shared" si="73"/>
        <v>-</v>
      </c>
      <c r="J100" s="166" t="str">
        <f t="shared" si="74"/>
        <v>-</v>
      </c>
      <c r="K100" s="180" t="str">
        <f t="shared" si="75"/>
        <v>-</v>
      </c>
      <c r="L100" s="464"/>
      <c r="M100" s="181" t="e">
        <f>RANK(K100, K$87:$K$101)</f>
        <v>#VALUE!</v>
      </c>
      <c r="N100" s="461"/>
      <c r="O100" s="461"/>
      <c r="P100" s="182"/>
      <c r="Q100" s="166"/>
      <c r="R100" s="166"/>
      <c r="S100" s="182" t="e">
        <f t="shared" si="90"/>
        <v>#N/A</v>
      </c>
      <c r="T100" s="464"/>
      <c r="U100" s="182"/>
      <c r="V100" s="166"/>
      <c r="W100" s="166"/>
      <c r="X100" s="182" t="e">
        <f t="shared" si="76"/>
        <v>#N/A</v>
      </c>
      <c r="Y100" s="464"/>
      <c r="Z100" s="182"/>
      <c r="AA100" s="166"/>
      <c r="AB100" s="166"/>
      <c r="AC100" s="182" t="e">
        <f t="shared" si="78"/>
        <v>#N/A</v>
      </c>
      <c r="AD100" s="464"/>
      <c r="AE100" s="182"/>
      <c r="AF100" s="166"/>
      <c r="AG100" s="166"/>
      <c r="AH100" s="182" t="e">
        <f t="shared" si="80"/>
        <v>#N/A</v>
      </c>
      <c r="AI100" s="464"/>
      <c r="AJ100" s="182"/>
      <c r="AK100" s="166"/>
      <c r="AL100" s="166"/>
      <c r="AM100" s="182" t="e">
        <f t="shared" si="82"/>
        <v>#N/A</v>
      </c>
      <c r="AN100" s="464"/>
      <c r="AO100" s="182"/>
      <c r="AP100" s="166"/>
      <c r="AQ100" s="166"/>
      <c r="AR100" s="182" t="e">
        <f t="shared" si="84"/>
        <v>#N/A</v>
      </c>
      <c r="AS100" s="464"/>
      <c r="AT100" s="182"/>
      <c r="AU100" s="166"/>
      <c r="AV100" s="166"/>
      <c r="AW100" s="182" t="e">
        <f t="shared" si="86"/>
        <v>#N/A</v>
      </c>
      <c r="AX100" s="455"/>
      <c r="AZ100" s="182" t="e">
        <f t="shared" si="88"/>
        <v>#N/A</v>
      </c>
      <c r="BA100" s="455"/>
    </row>
    <row r="101" spans="2:53">
      <c r="B101" s="454"/>
      <c r="C101" s="182">
        <v>15</v>
      </c>
      <c r="D101" s="203"/>
      <c r="E101" s="166"/>
      <c r="F101" s="182"/>
      <c r="G101" s="180"/>
      <c r="H101" s="465"/>
      <c r="I101" s="182"/>
      <c r="J101" s="182"/>
      <c r="K101" s="182"/>
      <c r="L101" s="465"/>
      <c r="M101" s="166" t="e">
        <f>RANK(K101, K$87:$K$101)</f>
        <v>#N/A</v>
      </c>
      <c r="N101" s="461"/>
      <c r="O101" s="461"/>
      <c r="P101" s="182"/>
      <c r="Q101" s="166"/>
      <c r="R101" s="166"/>
      <c r="S101" s="182" t="e">
        <f t="shared" si="90"/>
        <v>#N/A</v>
      </c>
      <c r="T101" s="465"/>
      <c r="U101" s="182"/>
      <c r="V101" s="166"/>
      <c r="W101" s="166"/>
      <c r="X101" s="182" t="e">
        <f t="shared" si="76"/>
        <v>#N/A</v>
      </c>
      <c r="Y101" s="465"/>
      <c r="Z101" s="182"/>
      <c r="AA101" s="166"/>
      <c r="AB101" s="166"/>
      <c r="AC101" s="182" t="e">
        <f t="shared" si="78"/>
        <v>#N/A</v>
      </c>
      <c r="AD101" s="465"/>
      <c r="AE101" s="182"/>
      <c r="AF101" s="166"/>
      <c r="AG101" s="166"/>
      <c r="AH101" s="182" t="e">
        <f t="shared" si="80"/>
        <v>#N/A</v>
      </c>
      <c r="AI101" s="465"/>
      <c r="AJ101" s="182"/>
      <c r="AK101" s="166"/>
      <c r="AL101" s="166"/>
      <c r="AM101" s="182" t="e">
        <f t="shared" si="82"/>
        <v>#N/A</v>
      </c>
      <c r="AN101" s="465"/>
      <c r="AO101" s="182"/>
      <c r="AP101" s="166"/>
      <c r="AQ101" s="166"/>
      <c r="AR101" s="182" t="e">
        <f t="shared" si="84"/>
        <v>#N/A</v>
      </c>
      <c r="AS101" s="465"/>
      <c r="AT101" s="182"/>
      <c r="AU101" s="166"/>
      <c r="AV101" s="166"/>
      <c r="AW101" s="182" t="e">
        <f t="shared" si="86"/>
        <v>#N/A</v>
      </c>
      <c r="AX101" s="455"/>
      <c r="AZ101" s="182" t="e">
        <f t="shared" si="88"/>
        <v>#N/A</v>
      </c>
      <c r="BA101" s="455"/>
    </row>
    <row r="102" spans="2:53" ht="15.5">
      <c r="B102" s="477" t="s">
        <v>163</v>
      </c>
      <c r="C102" s="478"/>
      <c r="D102" s="478"/>
      <c r="E102" s="478"/>
      <c r="F102" s="478"/>
      <c r="G102" s="478"/>
      <c r="H102" s="478"/>
      <c r="I102" s="186"/>
      <c r="J102" s="186"/>
      <c r="K102" s="186"/>
      <c r="L102" s="186"/>
      <c r="M102" s="185"/>
      <c r="N102" s="480" t="s">
        <v>156</v>
      </c>
      <c r="O102" s="480" t="s">
        <v>105</v>
      </c>
      <c r="P102" s="476">
        <f>P82+7</f>
        <v>46147</v>
      </c>
      <c r="Q102" s="454"/>
      <c r="R102" s="454"/>
      <c r="S102" s="454"/>
      <c r="T102" s="454"/>
      <c r="U102" s="473">
        <f>P102+1</f>
        <v>46148</v>
      </c>
      <c r="V102" s="474"/>
      <c r="W102" s="474"/>
      <c r="X102" s="474"/>
      <c r="Y102" s="475"/>
      <c r="Z102" s="473">
        <f>U102+1</f>
        <v>46149</v>
      </c>
      <c r="AA102" s="474"/>
      <c r="AB102" s="474"/>
      <c r="AC102" s="474"/>
      <c r="AD102" s="475"/>
      <c r="AE102" s="473">
        <f>Z102+1</f>
        <v>46150</v>
      </c>
      <c r="AF102" s="474"/>
      <c r="AG102" s="474"/>
      <c r="AH102" s="474"/>
      <c r="AI102" s="475"/>
      <c r="AJ102" s="473">
        <f>AE102+1</f>
        <v>46151</v>
      </c>
      <c r="AK102" s="474"/>
      <c r="AL102" s="474"/>
      <c r="AM102" s="474"/>
      <c r="AN102" s="475"/>
      <c r="AO102" s="473">
        <f>AJ102+1</f>
        <v>46152</v>
      </c>
      <c r="AP102" s="474"/>
      <c r="AQ102" s="474"/>
      <c r="AR102" s="474"/>
      <c r="AS102" s="475"/>
      <c r="AT102" s="473">
        <f>AO102+1</f>
        <v>46153</v>
      </c>
      <c r="AU102" s="474"/>
      <c r="AV102" s="474"/>
      <c r="AW102" s="474"/>
      <c r="AX102" s="475"/>
    </row>
    <row r="103" spans="2:53" ht="15.5">
      <c r="B103" s="479"/>
      <c r="C103" s="479"/>
      <c r="D103" s="479"/>
      <c r="E103" s="479"/>
      <c r="F103" s="479"/>
      <c r="G103" s="479"/>
      <c r="H103" s="479"/>
      <c r="I103" s="184"/>
      <c r="J103" s="184"/>
      <c r="K103" s="184"/>
      <c r="L103" s="184"/>
      <c r="M103" s="179"/>
      <c r="N103" s="481"/>
      <c r="O103" s="481"/>
      <c r="P103" s="476" t="s">
        <v>158</v>
      </c>
      <c r="Q103" s="454"/>
      <c r="R103" s="454"/>
      <c r="S103" s="454"/>
      <c r="T103" s="454"/>
      <c r="U103" s="476" t="s">
        <v>114</v>
      </c>
      <c r="V103" s="454"/>
      <c r="W103" s="454"/>
      <c r="X103" s="454"/>
      <c r="Y103" s="454"/>
      <c r="Z103" s="476" t="s">
        <v>159</v>
      </c>
      <c r="AA103" s="454"/>
      <c r="AB103" s="454"/>
      <c r="AC103" s="454"/>
      <c r="AD103" s="454"/>
      <c r="AE103" s="476" t="s">
        <v>157</v>
      </c>
      <c r="AF103" s="454"/>
      <c r="AG103" s="454"/>
      <c r="AH103" s="454"/>
      <c r="AI103" s="454"/>
      <c r="AJ103" s="476" t="s">
        <v>160</v>
      </c>
      <c r="AK103" s="454"/>
      <c r="AL103" s="454"/>
      <c r="AM103" s="454"/>
      <c r="AN103" s="454"/>
      <c r="AO103" s="476" t="s">
        <v>115</v>
      </c>
      <c r="AP103" s="454"/>
      <c r="AQ103" s="454"/>
      <c r="AR103" s="454"/>
      <c r="AS103" s="454"/>
      <c r="AT103" s="476" t="s">
        <v>162</v>
      </c>
      <c r="AU103" s="454"/>
      <c r="AV103" s="454"/>
      <c r="AW103" s="454"/>
      <c r="AX103" s="454"/>
    </row>
    <row r="104" spans="2:53">
      <c r="B104" s="461" t="s">
        <v>696</v>
      </c>
      <c r="C104" s="461" t="s">
        <v>697</v>
      </c>
      <c r="D104" s="461"/>
      <c r="E104" s="461" t="s">
        <v>698</v>
      </c>
      <c r="F104" s="461"/>
      <c r="G104" s="461"/>
      <c r="H104" s="482" t="s">
        <v>699</v>
      </c>
      <c r="I104" s="461" t="s">
        <v>700</v>
      </c>
      <c r="J104" s="461"/>
      <c r="K104" s="461"/>
      <c r="L104" s="482" t="s">
        <v>396</v>
      </c>
      <c r="M104" s="480" t="s">
        <v>701</v>
      </c>
      <c r="N104" s="461"/>
      <c r="O104" s="461" t="s">
        <v>687</v>
      </c>
      <c r="P104" s="466" t="s">
        <v>688</v>
      </c>
      <c r="Q104" s="467"/>
      <c r="R104" s="467"/>
      <c r="S104" s="468"/>
      <c r="T104" s="461" t="s">
        <v>684</v>
      </c>
      <c r="U104" s="466" t="s">
        <v>688</v>
      </c>
      <c r="V104" s="467"/>
      <c r="W104" s="467"/>
      <c r="X104" s="468"/>
      <c r="Y104" s="461" t="s">
        <v>684</v>
      </c>
      <c r="Z104" s="466" t="s">
        <v>688</v>
      </c>
      <c r="AA104" s="467"/>
      <c r="AB104" s="467"/>
      <c r="AC104" s="468"/>
      <c r="AD104" s="461" t="s">
        <v>684</v>
      </c>
      <c r="AE104" s="466" t="s">
        <v>688</v>
      </c>
      <c r="AF104" s="467"/>
      <c r="AG104" s="467"/>
      <c r="AH104" s="468"/>
      <c r="AI104" s="461" t="s">
        <v>684</v>
      </c>
      <c r="AJ104" s="466" t="s">
        <v>688</v>
      </c>
      <c r="AK104" s="467"/>
      <c r="AL104" s="467"/>
      <c r="AM104" s="468"/>
      <c r="AN104" s="461" t="s">
        <v>684</v>
      </c>
      <c r="AO104" s="466" t="s">
        <v>688</v>
      </c>
      <c r="AP104" s="467"/>
      <c r="AQ104" s="467"/>
      <c r="AR104" s="468"/>
      <c r="AS104" s="461" t="s">
        <v>684</v>
      </c>
      <c r="AT104" s="466" t="s">
        <v>688</v>
      </c>
      <c r="AU104" s="467"/>
      <c r="AV104" s="467"/>
      <c r="AW104" s="468"/>
      <c r="AX104" s="461" t="s">
        <v>684</v>
      </c>
      <c r="BA104" s="461" t="s">
        <v>396</v>
      </c>
    </row>
    <row r="105" spans="2:53">
      <c r="B105" s="461"/>
      <c r="C105" s="461"/>
      <c r="D105" s="461"/>
      <c r="E105" s="461" t="s">
        <v>703</v>
      </c>
      <c r="F105" s="461"/>
      <c r="G105" s="461"/>
      <c r="H105" s="483"/>
      <c r="I105" s="461" t="s">
        <v>703</v>
      </c>
      <c r="J105" s="461"/>
      <c r="K105" s="461"/>
      <c r="L105" s="483"/>
      <c r="M105" s="485"/>
      <c r="N105" s="461"/>
      <c r="O105" s="461"/>
      <c r="P105" s="466" t="s">
        <v>690</v>
      </c>
      <c r="Q105" s="467"/>
      <c r="R105" s="467"/>
      <c r="S105" s="468"/>
      <c r="T105" s="461"/>
      <c r="U105" s="466" t="s">
        <v>690</v>
      </c>
      <c r="V105" s="467"/>
      <c r="W105" s="467"/>
      <c r="X105" s="468"/>
      <c r="Y105" s="461"/>
      <c r="Z105" s="466" t="s">
        <v>690</v>
      </c>
      <c r="AA105" s="467"/>
      <c r="AB105" s="467"/>
      <c r="AC105" s="468"/>
      <c r="AD105" s="461"/>
      <c r="AE105" s="466" t="s">
        <v>690</v>
      </c>
      <c r="AF105" s="467"/>
      <c r="AG105" s="467"/>
      <c r="AH105" s="468"/>
      <c r="AI105" s="461"/>
      <c r="AJ105" s="466" t="s">
        <v>690</v>
      </c>
      <c r="AK105" s="467"/>
      <c r="AL105" s="467"/>
      <c r="AM105" s="468"/>
      <c r="AN105" s="461"/>
      <c r="AO105" s="466" t="s">
        <v>690</v>
      </c>
      <c r="AP105" s="467"/>
      <c r="AQ105" s="467"/>
      <c r="AR105" s="468"/>
      <c r="AS105" s="461"/>
      <c r="AT105" s="466" t="s">
        <v>690</v>
      </c>
      <c r="AU105" s="467"/>
      <c r="AV105" s="467"/>
      <c r="AW105" s="468"/>
      <c r="AX105" s="461"/>
      <c r="BA105" s="461"/>
    </row>
    <row r="106" spans="2:53">
      <c r="B106" s="461"/>
      <c r="C106" s="461"/>
      <c r="D106" s="461"/>
      <c r="E106" s="269" t="s">
        <v>704</v>
      </c>
      <c r="F106" s="269" t="s">
        <v>705</v>
      </c>
      <c r="G106" s="269" t="s">
        <v>706</v>
      </c>
      <c r="H106" s="484"/>
      <c r="I106" s="269" t="s">
        <v>704</v>
      </c>
      <c r="J106" s="269" t="s">
        <v>705</v>
      </c>
      <c r="K106" s="269" t="s">
        <v>706</v>
      </c>
      <c r="L106" s="484"/>
      <c r="M106" s="481"/>
      <c r="N106" s="461"/>
      <c r="O106" s="461"/>
      <c r="P106" s="269" t="s">
        <v>691</v>
      </c>
      <c r="Q106" s="269" t="s">
        <v>692</v>
      </c>
      <c r="R106" s="269" t="s">
        <v>693</v>
      </c>
      <c r="S106" s="269" t="s">
        <v>686</v>
      </c>
      <c r="T106" s="461"/>
      <c r="U106" s="269" t="s">
        <v>691</v>
      </c>
      <c r="V106" s="269" t="s">
        <v>692</v>
      </c>
      <c r="W106" s="269" t="s">
        <v>693</v>
      </c>
      <c r="X106" s="269" t="s">
        <v>686</v>
      </c>
      <c r="Y106" s="461"/>
      <c r="Z106" s="269" t="s">
        <v>691</v>
      </c>
      <c r="AA106" s="269" t="s">
        <v>692</v>
      </c>
      <c r="AB106" s="269" t="s">
        <v>693</v>
      </c>
      <c r="AC106" s="269" t="s">
        <v>686</v>
      </c>
      <c r="AD106" s="461"/>
      <c r="AE106" s="269" t="s">
        <v>691</v>
      </c>
      <c r="AF106" s="269" t="s">
        <v>692</v>
      </c>
      <c r="AG106" s="269" t="s">
        <v>693</v>
      </c>
      <c r="AH106" s="269" t="s">
        <v>686</v>
      </c>
      <c r="AI106" s="461"/>
      <c r="AJ106" s="269" t="s">
        <v>691</v>
      </c>
      <c r="AK106" s="269" t="s">
        <v>692</v>
      </c>
      <c r="AL106" s="269" t="s">
        <v>693</v>
      </c>
      <c r="AM106" s="269" t="s">
        <v>686</v>
      </c>
      <c r="AN106" s="461"/>
      <c r="AO106" s="269" t="s">
        <v>691</v>
      </c>
      <c r="AP106" s="269" t="s">
        <v>692</v>
      </c>
      <c r="AQ106" s="269" t="s">
        <v>693</v>
      </c>
      <c r="AR106" s="269" t="s">
        <v>686</v>
      </c>
      <c r="AS106" s="461"/>
      <c r="AT106" s="269" t="s">
        <v>691</v>
      </c>
      <c r="AU106" s="269" t="s">
        <v>692</v>
      </c>
      <c r="AV106" s="269" t="s">
        <v>693</v>
      </c>
      <c r="AW106" s="269" t="s">
        <v>686</v>
      </c>
      <c r="AX106" s="461"/>
      <c r="AZ106" s="269" t="s">
        <v>686</v>
      </c>
      <c r="BA106" s="461"/>
    </row>
    <row r="107" spans="2:53">
      <c r="B107" s="461" t="s">
        <v>136</v>
      </c>
      <c r="C107" s="182">
        <v>1</v>
      </c>
      <c r="D107" s="203"/>
      <c r="E107" s="166"/>
      <c r="F107" s="182"/>
      <c r="G107" s="180"/>
      <c r="H107" s="511" t="e">
        <f>AVERAGE(G107:G121)</f>
        <v>#DIV/0!</v>
      </c>
      <c r="I107" s="166" t="str">
        <f t="shared" ref="I107:I120" si="91">IFERROR(AVERAGE(P107,U107,Z107,AE107,AJ107,AO107,AT107),"-")</f>
        <v>-</v>
      </c>
      <c r="J107" s="166" t="str">
        <f t="shared" ref="J107:J120" si="92">IFERROR(AVERAGE(Q107,V107,AA107,AF107,AK107,AP107,AU107),"-")</f>
        <v>-</v>
      </c>
      <c r="K107" s="180" t="str">
        <f t="shared" ref="K107:K120" si="93">IFERROR(AVERAGE(R107,W107,AB107,AG107,AL107,AQ107,AV107),"-")</f>
        <v>-</v>
      </c>
      <c r="L107" s="463" t="str">
        <f>IFERROR(AVERAGE(K107:K121),"-")</f>
        <v>-</v>
      </c>
      <c r="M107" s="166" t="e">
        <f>RANK(K107, K$67:$K$81)</f>
        <v>#VALUE!</v>
      </c>
      <c r="N107" s="461"/>
      <c r="O107" s="461"/>
      <c r="P107" s="182"/>
      <c r="Q107" s="166"/>
      <c r="R107" s="166"/>
      <c r="S107" s="182" t="e">
        <f>RANK(R107, R$67:R$81)</f>
        <v>#N/A</v>
      </c>
      <c r="T107" s="455" t="e">
        <f>AVERAGE(R107:R121)</f>
        <v>#DIV/0!</v>
      </c>
      <c r="U107" s="182"/>
      <c r="V107" s="166"/>
      <c r="W107" s="166"/>
      <c r="X107" s="182" t="e">
        <f>RANK(W107, W$67:W$81)</f>
        <v>#N/A</v>
      </c>
      <c r="Y107" s="455" t="e">
        <f>AVERAGE(W107:W121)</f>
        <v>#DIV/0!</v>
      </c>
      <c r="Z107" s="182"/>
      <c r="AA107" s="166"/>
      <c r="AB107" s="166"/>
      <c r="AC107" s="182" t="e">
        <f>RANK(AB107, AB$67:AB$81)</f>
        <v>#N/A</v>
      </c>
      <c r="AD107" s="455" t="e">
        <f>AVERAGE(AB107:AB121)</f>
        <v>#DIV/0!</v>
      </c>
      <c r="AE107" s="182"/>
      <c r="AF107" s="166"/>
      <c r="AG107" s="166"/>
      <c r="AH107" s="182" t="e">
        <f>RANK(AG107, AG$67:AG$81)</f>
        <v>#N/A</v>
      </c>
      <c r="AI107" s="455" t="e">
        <f>AVERAGE(AG107:AG121)</f>
        <v>#DIV/0!</v>
      </c>
      <c r="AJ107" s="182"/>
      <c r="AK107" s="166"/>
      <c r="AL107" s="166"/>
      <c r="AM107" s="182" t="e">
        <f>RANK(AL107, AL$67:AL$81)</f>
        <v>#N/A</v>
      </c>
      <c r="AN107" s="455" t="e">
        <f>AVERAGE(AL107:AL121)</f>
        <v>#DIV/0!</v>
      </c>
      <c r="AO107" s="182"/>
      <c r="AP107" s="166"/>
      <c r="AQ107" s="166"/>
      <c r="AR107" s="182" t="e">
        <f>RANK(AQ107, AQ$67:AQ$81)</f>
        <v>#N/A</v>
      </c>
      <c r="AS107" s="455" t="e">
        <f>AVERAGE(AQ107:AQ121)</f>
        <v>#DIV/0!</v>
      </c>
      <c r="AT107" s="166"/>
      <c r="AU107" s="180"/>
      <c r="AV107" s="180"/>
      <c r="AW107" s="182" t="e">
        <f>RANK(AV107, AV$67:AV$81)</f>
        <v>#N/A</v>
      </c>
      <c r="AX107" s="455" t="e">
        <f>AVERAGE(AV107:AV121)</f>
        <v>#DIV/0!</v>
      </c>
      <c r="AZ107" s="182" t="e">
        <f>RANK(AY107, AY$67:AY$81)</f>
        <v>#N/A</v>
      </c>
      <c r="BA107" s="455" t="e">
        <f>AVERAGE(AY107:AY121)</f>
        <v>#DIV/0!</v>
      </c>
    </row>
    <row r="108" spans="2:53">
      <c r="B108" s="454"/>
      <c r="C108" s="182">
        <v>2</v>
      </c>
      <c r="D108" s="203"/>
      <c r="E108" s="166"/>
      <c r="F108" s="182"/>
      <c r="G108" s="180"/>
      <c r="H108" s="512"/>
      <c r="I108" s="166" t="str">
        <f t="shared" si="91"/>
        <v>-</v>
      </c>
      <c r="J108" s="166" t="str">
        <f t="shared" si="92"/>
        <v>-</v>
      </c>
      <c r="K108" s="180" t="str">
        <f t="shared" si="93"/>
        <v>-</v>
      </c>
      <c r="L108" s="464"/>
      <c r="M108" s="166" t="e">
        <f>RANK(K108, K$67:$K$81)</f>
        <v>#VALUE!</v>
      </c>
      <c r="N108" s="461"/>
      <c r="O108" s="461"/>
      <c r="P108" s="182"/>
      <c r="Q108" s="166"/>
      <c r="R108" s="166"/>
      <c r="S108" s="182" t="e">
        <f t="shared" ref="S108:S121" si="94">RANK(R108, R$67:R$81)</f>
        <v>#N/A</v>
      </c>
      <c r="T108" s="455"/>
      <c r="U108" s="182"/>
      <c r="V108" s="166"/>
      <c r="W108" s="166"/>
      <c r="X108" s="182" t="e">
        <f t="shared" ref="X108:X121" si="95">RANK(W108, W$67:W$81)</f>
        <v>#N/A</v>
      </c>
      <c r="Y108" s="455"/>
      <c r="Z108" s="182"/>
      <c r="AA108" s="166"/>
      <c r="AB108" s="166"/>
      <c r="AC108" s="182" t="e">
        <f t="shared" ref="AC108:AC121" si="96">RANK(AB108, AB$67:AB$81)</f>
        <v>#N/A</v>
      </c>
      <c r="AD108" s="455"/>
      <c r="AE108" s="182"/>
      <c r="AF108" s="166"/>
      <c r="AG108" s="166"/>
      <c r="AH108" s="182" t="e">
        <f t="shared" ref="AH108:AH121" si="97">RANK(AG108, AG$67:AG$81)</f>
        <v>#N/A</v>
      </c>
      <c r="AI108" s="455"/>
      <c r="AJ108" s="182"/>
      <c r="AK108" s="166"/>
      <c r="AL108" s="166"/>
      <c r="AM108" s="182" t="e">
        <f t="shared" ref="AM108:AM121" si="98">RANK(AL108, AL$67:AL$81)</f>
        <v>#N/A</v>
      </c>
      <c r="AN108" s="455"/>
      <c r="AO108" s="182"/>
      <c r="AP108" s="166"/>
      <c r="AQ108" s="166"/>
      <c r="AR108" s="182" t="e">
        <f t="shared" ref="AR108:AR121" si="99">RANK(AQ108, AQ$67:AQ$81)</f>
        <v>#N/A</v>
      </c>
      <c r="AS108" s="455"/>
      <c r="AT108" s="182"/>
      <c r="AU108" s="180"/>
      <c r="AV108" s="180"/>
      <c r="AW108" s="182" t="e">
        <f t="shared" ref="AW108:AW121" si="100">RANK(AV108, AV$67:AV$81)</f>
        <v>#N/A</v>
      </c>
      <c r="AX108" s="455"/>
      <c r="AZ108" s="182" t="e">
        <f t="shared" ref="AZ108:AZ121" si="101">RANK(AY108, AY$67:AY$81)</f>
        <v>#N/A</v>
      </c>
      <c r="BA108" s="455"/>
    </row>
    <row r="109" spans="2:53">
      <c r="B109" s="454"/>
      <c r="C109" s="182">
        <v>3</v>
      </c>
      <c r="D109" s="203"/>
      <c r="E109" s="166"/>
      <c r="F109" s="182"/>
      <c r="G109" s="180"/>
      <c r="H109" s="512"/>
      <c r="I109" s="166" t="str">
        <f t="shared" si="91"/>
        <v>-</v>
      </c>
      <c r="J109" s="166" t="str">
        <f t="shared" si="92"/>
        <v>-</v>
      </c>
      <c r="K109" s="180" t="str">
        <f t="shared" si="93"/>
        <v>-</v>
      </c>
      <c r="L109" s="464"/>
      <c r="M109" s="166" t="e">
        <f>RANK(K109, K$67:$K$81)</f>
        <v>#VALUE!</v>
      </c>
      <c r="N109" s="461"/>
      <c r="O109" s="461"/>
      <c r="P109" s="182"/>
      <c r="Q109" s="166"/>
      <c r="R109" s="166"/>
      <c r="S109" s="182" t="e">
        <f t="shared" si="94"/>
        <v>#N/A</v>
      </c>
      <c r="T109" s="455"/>
      <c r="U109" s="182"/>
      <c r="V109" s="166"/>
      <c r="W109" s="166"/>
      <c r="X109" s="182" t="e">
        <f t="shared" si="95"/>
        <v>#N/A</v>
      </c>
      <c r="Y109" s="455"/>
      <c r="Z109" s="182"/>
      <c r="AA109" s="166"/>
      <c r="AB109" s="166"/>
      <c r="AC109" s="182" t="e">
        <f t="shared" si="96"/>
        <v>#N/A</v>
      </c>
      <c r="AD109" s="455"/>
      <c r="AE109" s="182"/>
      <c r="AF109" s="166"/>
      <c r="AG109" s="166"/>
      <c r="AH109" s="182" t="e">
        <f t="shared" si="97"/>
        <v>#N/A</v>
      </c>
      <c r="AI109" s="455"/>
      <c r="AJ109" s="182"/>
      <c r="AK109" s="166"/>
      <c r="AL109" s="166"/>
      <c r="AM109" s="182" t="e">
        <f t="shared" si="98"/>
        <v>#N/A</v>
      </c>
      <c r="AN109" s="455"/>
      <c r="AO109" s="182"/>
      <c r="AP109" s="166"/>
      <c r="AQ109" s="166"/>
      <c r="AR109" s="182" t="e">
        <f t="shared" si="99"/>
        <v>#N/A</v>
      </c>
      <c r="AS109" s="455"/>
      <c r="AT109" s="182"/>
      <c r="AU109" s="180"/>
      <c r="AV109" s="180"/>
      <c r="AW109" s="182" t="e">
        <f t="shared" si="100"/>
        <v>#N/A</v>
      </c>
      <c r="AX109" s="455"/>
      <c r="AZ109" s="182" t="e">
        <f t="shared" si="101"/>
        <v>#N/A</v>
      </c>
      <c r="BA109" s="455"/>
    </row>
    <row r="110" spans="2:53">
      <c r="B110" s="454"/>
      <c r="C110" s="182">
        <v>4</v>
      </c>
      <c r="D110" s="203"/>
      <c r="E110" s="166"/>
      <c r="F110" s="182"/>
      <c r="G110" s="180"/>
      <c r="H110" s="512"/>
      <c r="I110" s="166" t="str">
        <f t="shared" si="91"/>
        <v>-</v>
      </c>
      <c r="J110" s="166" t="str">
        <f t="shared" si="92"/>
        <v>-</v>
      </c>
      <c r="K110" s="180" t="str">
        <f t="shared" si="93"/>
        <v>-</v>
      </c>
      <c r="L110" s="464"/>
      <c r="M110" s="166" t="e">
        <f>RANK(K110, K$67:$K$81)</f>
        <v>#VALUE!</v>
      </c>
      <c r="N110" s="461"/>
      <c r="O110" s="461"/>
      <c r="P110" s="182"/>
      <c r="Q110" s="166"/>
      <c r="R110" s="166"/>
      <c r="S110" s="182" t="e">
        <f t="shared" si="94"/>
        <v>#N/A</v>
      </c>
      <c r="T110" s="455"/>
      <c r="U110" s="182"/>
      <c r="V110" s="166"/>
      <c r="W110" s="166"/>
      <c r="X110" s="182" t="e">
        <f t="shared" si="95"/>
        <v>#N/A</v>
      </c>
      <c r="Y110" s="455"/>
      <c r="Z110" s="182"/>
      <c r="AA110" s="166"/>
      <c r="AB110" s="166"/>
      <c r="AC110" s="182" t="e">
        <f t="shared" si="96"/>
        <v>#N/A</v>
      </c>
      <c r="AD110" s="455"/>
      <c r="AE110" s="182"/>
      <c r="AF110" s="166"/>
      <c r="AG110" s="166"/>
      <c r="AH110" s="182" t="e">
        <f t="shared" si="97"/>
        <v>#N/A</v>
      </c>
      <c r="AI110" s="455"/>
      <c r="AJ110" s="182"/>
      <c r="AK110" s="166"/>
      <c r="AL110" s="166"/>
      <c r="AM110" s="182" t="e">
        <f t="shared" si="98"/>
        <v>#N/A</v>
      </c>
      <c r="AN110" s="455"/>
      <c r="AO110" s="182"/>
      <c r="AP110" s="166"/>
      <c r="AQ110" s="166"/>
      <c r="AR110" s="182" t="e">
        <f t="shared" si="99"/>
        <v>#N/A</v>
      </c>
      <c r="AS110" s="455"/>
      <c r="AT110" s="182"/>
      <c r="AU110" s="180"/>
      <c r="AV110" s="180"/>
      <c r="AW110" s="182" t="e">
        <f t="shared" si="100"/>
        <v>#N/A</v>
      </c>
      <c r="AX110" s="455"/>
      <c r="AZ110" s="182" t="e">
        <f t="shared" si="101"/>
        <v>#N/A</v>
      </c>
      <c r="BA110" s="455"/>
    </row>
    <row r="111" spans="2:53">
      <c r="B111" s="454"/>
      <c r="C111" s="182">
        <v>5</v>
      </c>
      <c r="D111" s="203"/>
      <c r="E111" s="166"/>
      <c r="F111" s="182"/>
      <c r="G111" s="180"/>
      <c r="H111" s="512"/>
      <c r="I111" s="166" t="str">
        <f t="shared" si="91"/>
        <v>-</v>
      </c>
      <c r="J111" s="166" t="str">
        <f t="shared" si="92"/>
        <v>-</v>
      </c>
      <c r="K111" s="180" t="str">
        <f t="shared" si="93"/>
        <v>-</v>
      </c>
      <c r="L111" s="464"/>
      <c r="M111" s="166" t="e">
        <f>RANK(K111, K$67:$K$81)</f>
        <v>#VALUE!</v>
      </c>
      <c r="N111" s="461"/>
      <c r="O111" s="461"/>
      <c r="P111" s="182"/>
      <c r="Q111" s="166"/>
      <c r="R111" s="166"/>
      <c r="S111" s="182" t="e">
        <f t="shared" si="94"/>
        <v>#N/A</v>
      </c>
      <c r="T111" s="455"/>
      <c r="U111" s="182"/>
      <c r="V111" s="166"/>
      <c r="W111" s="166"/>
      <c r="X111" s="182" t="e">
        <f t="shared" si="95"/>
        <v>#N/A</v>
      </c>
      <c r="Y111" s="455"/>
      <c r="Z111" s="182"/>
      <c r="AA111" s="166"/>
      <c r="AB111" s="166"/>
      <c r="AC111" s="182" t="e">
        <f t="shared" si="96"/>
        <v>#N/A</v>
      </c>
      <c r="AD111" s="455"/>
      <c r="AE111" s="182"/>
      <c r="AF111" s="166"/>
      <c r="AG111" s="166"/>
      <c r="AH111" s="182" t="e">
        <f t="shared" si="97"/>
        <v>#N/A</v>
      </c>
      <c r="AI111" s="455"/>
      <c r="AJ111" s="182"/>
      <c r="AK111" s="166"/>
      <c r="AL111" s="166"/>
      <c r="AM111" s="182" t="e">
        <f t="shared" si="98"/>
        <v>#N/A</v>
      </c>
      <c r="AN111" s="455"/>
      <c r="AO111" s="182"/>
      <c r="AP111" s="166"/>
      <c r="AQ111" s="166"/>
      <c r="AR111" s="182" t="e">
        <f t="shared" si="99"/>
        <v>#N/A</v>
      </c>
      <c r="AS111" s="455"/>
      <c r="AT111" s="182"/>
      <c r="AU111" s="180"/>
      <c r="AV111" s="180"/>
      <c r="AW111" s="182" t="e">
        <f t="shared" si="100"/>
        <v>#N/A</v>
      </c>
      <c r="AX111" s="455"/>
      <c r="AZ111" s="182" t="e">
        <f t="shared" si="101"/>
        <v>#N/A</v>
      </c>
      <c r="BA111" s="455"/>
    </row>
    <row r="112" spans="2:53">
      <c r="B112" s="454"/>
      <c r="C112" s="182">
        <v>6</v>
      </c>
      <c r="D112" s="203"/>
      <c r="E112" s="166"/>
      <c r="F112" s="182"/>
      <c r="G112" s="180"/>
      <c r="H112" s="512"/>
      <c r="I112" s="166" t="str">
        <f t="shared" si="91"/>
        <v>-</v>
      </c>
      <c r="J112" s="166" t="str">
        <f t="shared" si="92"/>
        <v>-</v>
      </c>
      <c r="K112" s="180" t="str">
        <f t="shared" si="93"/>
        <v>-</v>
      </c>
      <c r="L112" s="464"/>
      <c r="M112" s="166" t="e">
        <f>RANK(K112, K$67:$K$81)</f>
        <v>#VALUE!</v>
      </c>
      <c r="N112" s="461"/>
      <c r="O112" s="461"/>
      <c r="P112" s="182"/>
      <c r="Q112" s="166"/>
      <c r="R112" s="166"/>
      <c r="S112" s="182" t="e">
        <f t="shared" si="94"/>
        <v>#N/A</v>
      </c>
      <c r="T112" s="455"/>
      <c r="U112" s="182"/>
      <c r="V112" s="166"/>
      <c r="W112" s="166"/>
      <c r="X112" s="182" t="e">
        <f t="shared" si="95"/>
        <v>#N/A</v>
      </c>
      <c r="Y112" s="455"/>
      <c r="Z112" s="182"/>
      <c r="AA112" s="166"/>
      <c r="AB112" s="166"/>
      <c r="AC112" s="182" t="e">
        <f t="shared" si="96"/>
        <v>#N/A</v>
      </c>
      <c r="AD112" s="455"/>
      <c r="AE112" s="182"/>
      <c r="AF112" s="166"/>
      <c r="AG112" s="166"/>
      <c r="AH112" s="182" t="e">
        <f t="shared" si="97"/>
        <v>#N/A</v>
      </c>
      <c r="AI112" s="455"/>
      <c r="AJ112" s="182"/>
      <c r="AK112" s="166"/>
      <c r="AL112" s="166"/>
      <c r="AM112" s="182" t="e">
        <f t="shared" si="98"/>
        <v>#N/A</v>
      </c>
      <c r="AN112" s="455"/>
      <c r="AO112" s="182"/>
      <c r="AP112" s="166"/>
      <c r="AQ112" s="166"/>
      <c r="AR112" s="182" t="e">
        <f t="shared" si="99"/>
        <v>#N/A</v>
      </c>
      <c r="AS112" s="455"/>
      <c r="AT112" s="182"/>
      <c r="AU112" s="180"/>
      <c r="AV112" s="180"/>
      <c r="AW112" s="182" t="e">
        <f t="shared" si="100"/>
        <v>#N/A</v>
      </c>
      <c r="AX112" s="455"/>
      <c r="AZ112" s="182" t="e">
        <f t="shared" si="101"/>
        <v>#N/A</v>
      </c>
      <c r="BA112" s="455"/>
    </row>
    <row r="113" spans="2:53">
      <c r="B113" s="454"/>
      <c r="C113" s="182">
        <v>7</v>
      </c>
      <c r="D113" s="203"/>
      <c r="E113" s="166"/>
      <c r="F113" s="182"/>
      <c r="G113" s="180"/>
      <c r="H113" s="512"/>
      <c r="I113" s="166" t="str">
        <f t="shared" si="91"/>
        <v>-</v>
      </c>
      <c r="J113" s="166" t="str">
        <f t="shared" si="92"/>
        <v>-</v>
      </c>
      <c r="K113" s="180" t="str">
        <f t="shared" si="93"/>
        <v>-</v>
      </c>
      <c r="L113" s="464"/>
      <c r="M113" s="166" t="e">
        <f>RANK(K113, K$67:$K$81)</f>
        <v>#VALUE!</v>
      </c>
      <c r="N113" s="461"/>
      <c r="O113" s="461"/>
      <c r="P113" s="182"/>
      <c r="Q113" s="166"/>
      <c r="R113" s="166"/>
      <c r="S113" s="182" t="e">
        <f t="shared" si="94"/>
        <v>#N/A</v>
      </c>
      <c r="T113" s="455"/>
      <c r="U113" s="182"/>
      <c r="V113" s="166"/>
      <c r="W113" s="166"/>
      <c r="X113" s="182" t="e">
        <f t="shared" si="95"/>
        <v>#N/A</v>
      </c>
      <c r="Y113" s="455"/>
      <c r="Z113" s="182"/>
      <c r="AA113" s="166"/>
      <c r="AB113" s="166"/>
      <c r="AC113" s="182" t="e">
        <f t="shared" si="96"/>
        <v>#N/A</v>
      </c>
      <c r="AD113" s="455"/>
      <c r="AE113" s="182"/>
      <c r="AF113" s="166"/>
      <c r="AG113" s="166"/>
      <c r="AH113" s="182" t="e">
        <f t="shared" si="97"/>
        <v>#N/A</v>
      </c>
      <c r="AI113" s="455"/>
      <c r="AJ113" s="182"/>
      <c r="AK113" s="166"/>
      <c r="AL113" s="166"/>
      <c r="AM113" s="182" t="e">
        <f t="shared" si="98"/>
        <v>#N/A</v>
      </c>
      <c r="AN113" s="455"/>
      <c r="AO113" s="182"/>
      <c r="AP113" s="166"/>
      <c r="AQ113" s="166"/>
      <c r="AR113" s="182" t="e">
        <f t="shared" si="99"/>
        <v>#N/A</v>
      </c>
      <c r="AS113" s="455"/>
      <c r="AT113" s="182"/>
      <c r="AU113" s="180"/>
      <c r="AV113" s="180"/>
      <c r="AW113" s="182" t="e">
        <f t="shared" si="100"/>
        <v>#N/A</v>
      </c>
      <c r="AX113" s="455"/>
      <c r="AZ113" s="182" t="e">
        <f t="shared" si="101"/>
        <v>#N/A</v>
      </c>
      <c r="BA113" s="455"/>
    </row>
    <row r="114" spans="2:53">
      <c r="B114" s="454"/>
      <c r="C114" s="182">
        <v>8</v>
      </c>
      <c r="D114" s="203"/>
      <c r="E114" s="166"/>
      <c r="F114" s="182"/>
      <c r="G114" s="180"/>
      <c r="H114" s="512"/>
      <c r="I114" s="166" t="str">
        <f t="shared" si="91"/>
        <v>-</v>
      </c>
      <c r="J114" s="166" t="str">
        <f t="shared" si="92"/>
        <v>-</v>
      </c>
      <c r="K114" s="180" t="str">
        <f t="shared" si="93"/>
        <v>-</v>
      </c>
      <c r="L114" s="464"/>
      <c r="M114" s="166" t="e">
        <f>RANK(K114, K$67:$K$81)</f>
        <v>#VALUE!</v>
      </c>
      <c r="N114" s="461"/>
      <c r="O114" s="461"/>
      <c r="P114" s="182"/>
      <c r="Q114" s="166"/>
      <c r="R114" s="166"/>
      <c r="S114" s="182" t="e">
        <f t="shared" si="94"/>
        <v>#N/A</v>
      </c>
      <c r="T114" s="455"/>
      <c r="U114" s="182"/>
      <c r="V114" s="166"/>
      <c r="W114" s="166"/>
      <c r="X114" s="182" t="e">
        <f t="shared" si="95"/>
        <v>#N/A</v>
      </c>
      <c r="Y114" s="455"/>
      <c r="Z114" s="182"/>
      <c r="AA114" s="166"/>
      <c r="AB114" s="166"/>
      <c r="AC114" s="182" t="e">
        <f t="shared" si="96"/>
        <v>#N/A</v>
      </c>
      <c r="AD114" s="455"/>
      <c r="AE114" s="182"/>
      <c r="AF114" s="166"/>
      <c r="AG114" s="166"/>
      <c r="AH114" s="182" t="e">
        <f t="shared" si="97"/>
        <v>#N/A</v>
      </c>
      <c r="AI114" s="455"/>
      <c r="AJ114" s="182"/>
      <c r="AK114" s="166"/>
      <c r="AL114" s="166"/>
      <c r="AM114" s="182" t="e">
        <f t="shared" si="98"/>
        <v>#N/A</v>
      </c>
      <c r="AN114" s="455"/>
      <c r="AO114" s="182"/>
      <c r="AP114" s="166"/>
      <c r="AQ114" s="166"/>
      <c r="AR114" s="182" t="e">
        <f t="shared" si="99"/>
        <v>#N/A</v>
      </c>
      <c r="AS114" s="455"/>
      <c r="AT114" s="182"/>
      <c r="AU114" s="180"/>
      <c r="AV114" s="180"/>
      <c r="AW114" s="182" t="e">
        <f t="shared" si="100"/>
        <v>#N/A</v>
      </c>
      <c r="AX114" s="455"/>
      <c r="AZ114" s="182" t="e">
        <f t="shared" si="101"/>
        <v>#N/A</v>
      </c>
      <c r="BA114" s="455"/>
    </row>
    <row r="115" spans="2:53">
      <c r="B115" s="454"/>
      <c r="C115" s="182">
        <v>9</v>
      </c>
      <c r="D115" s="203"/>
      <c r="E115" s="166"/>
      <c r="F115" s="182"/>
      <c r="G115" s="180"/>
      <c r="H115" s="512"/>
      <c r="I115" s="166" t="str">
        <f t="shared" si="91"/>
        <v>-</v>
      </c>
      <c r="J115" s="166" t="str">
        <f t="shared" si="92"/>
        <v>-</v>
      </c>
      <c r="K115" s="180" t="str">
        <f t="shared" si="93"/>
        <v>-</v>
      </c>
      <c r="L115" s="464"/>
      <c r="M115" s="166" t="e">
        <f>RANK(K115, K$67:$K$81)</f>
        <v>#VALUE!</v>
      </c>
      <c r="N115" s="461"/>
      <c r="O115" s="461"/>
      <c r="P115" s="182"/>
      <c r="Q115" s="166"/>
      <c r="R115" s="166"/>
      <c r="S115" s="182" t="e">
        <f t="shared" si="94"/>
        <v>#N/A</v>
      </c>
      <c r="T115" s="455"/>
      <c r="U115" s="182"/>
      <c r="V115" s="166"/>
      <c r="W115" s="166"/>
      <c r="X115" s="182" t="e">
        <f t="shared" si="95"/>
        <v>#N/A</v>
      </c>
      <c r="Y115" s="455"/>
      <c r="Z115" s="182"/>
      <c r="AA115" s="166"/>
      <c r="AB115" s="166"/>
      <c r="AC115" s="182" t="e">
        <f t="shared" si="96"/>
        <v>#N/A</v>
      </c>
      <c r="AD115" s="455"/>
      <c r="AE115" s="182"/>
      <c r="AF115" s="166"/>
      <c r="AG115" s="166"/>
      <c r="AH115" s="182" t="e">
        <f t="shared" si="97"/>
        <v>#N/A</v>
      </c>
      <c r="AI115" s="455"/>
      <c r="AJ115" s="182"/>
      <c r="AK115" s="166"/>
      <c r="AL115" s="166"/>
      <c r="AM115" s="182" t="e">
        <f t="shared" si="98"/>
        <v>#N/A</v>
      </c>
      <c r="AN115" s="455"/>
      <c r="AO115" s="182"/>
      <c r="AP115" s="166"/>
      <c r="AQ115" s="166"/>
      <c r="AR115" s="182" t="e">
        <f t="shared" si="99"/>
        <v>#N/A</v>
      </c>
      <c r="AS115" s="455"/>
      <c r="AT115" s="182"/>
      <c r="AU115" s="180"/>
      <c r="AV115" s="180"/>
      <c r="AW115" s="182" t="e">
        <f t="shared" si="100"/>
        <v>#N/A</v>
      </c>
      <c r="AX115" s="455"/>
      <c r="AZ115" s="182" t="e">
        <f t="shared" si="101"/>
        <v>#N/A</v>
      </c>
      <c r="BA115" s="455"/>
    </row>
    <row r="116" spans="2:53">
      <c r="B116" s="454"/>
      <c r="C116" s="182">
        <v>10</v>
      </c>
      <c r="D116" s="203"/>
      <c r="E116" s="166"/>
      <c r="F116" s="182"/>
      <c r="G116" s="180"/>
      <c r="H116" s="512"/>
      <c r="I116" s="166" t="str">
        <f t="shared" si="91"/>
        <v>-</v>
      </c>
      <c r="J116" s="166" t="str">
        <f t="shared" si="92"/>
        <v>-</v>
      </c>
      <c r="K116" s="180" t="str">
        <f t="shared" si="93"/>
        <v>-</v>
      </c>
      <c r="L116" s="464"/>
      <c r="M116" s="166" t="e">
        <f>RANK(K116, K$67:$K$81)</f>
        <v>#VALUE!</v>
      </c>
      <c r="N116" s="461"/>
      <c r="O116" s="461"/>
      <c r="P116" s="182"/>
      <c r="Q116" s="166"/>
      <c r="R116" s="166"/>
      <c r="S116" s="182" t="e">
        <f t="shared" si="94"/>
        <v>#N/A</v>
      </c>
      <c r="T116" s="455"/>
      <c r="U116" s="182"/>
      <c r="V116" s="166"/>
      <c r="W116" s="166"/>
      <c r="X116" s="182" t="e">
        <f t="shared" si="95"/>
        <v>#N/A</v>
      </c>
      <c r="Y116" s="455"/>
      <c r="Z116" s="182"/>
      <c r="AA116" s="166"/>
      <c r="AB116" s="166"/>
      <c r="AC116" s="182" t="e">
        <f t="shared" si="96"/>
        <v>#N/A</v>
      </c>
      <c r="AD116" s="455"/>
      <c r="AE116" s="182"/>
      <c r="AF116" s="166"/>
      <c r="AG116" s="166"/>
      <c r="AH116" s="182" t="e">
        <f t="shared" si="97"/>
        <v>#N/A</v>
      </c>
      <c r="AI116" s="455"/>
      <c r="AJ116" s="182"/>
      <c r="AK116" s="166"/>
      <c r="AL116" s="166"/>
      <c r="AM116" s="182" t="e">
        <f t="shared" si="98"/>
        <v>#N/A</v>
      </c>
      <c r="AN116" s="455"/>
      <c r="AO116" s="182"/>
      <c r="AP116" s="166"/>
      <c r="AQ116" s="166"/>
      <c r="AR116" s="182" t="e">
        <f t="shared" si="99"/>
        <v>#N/A</v>
      </c>
      <c r="AS116" s="455"/>
      <c r="AT116" s="182"/>
      <c r="AU116" s="182"/>
      <c r="AV116" s="180"/>
      <c r="AW116" s="182" t="e">
        <f t="shared" si="100"/>
        <v>#N/A</v>
      </c>
      <c r="AX116" s="455"/>
      <c r="AZ116" s="182" t="e">
        <f t="shared" si="101"/>
        <v>#N/A</v>
      </c>
      <c r="BA116" s="455"/>
    </row>
    <row r="117" spans="2:53">
      <c r="B117" s="454"/>
      <c r="C117" s="182">
        <v>11</v>
      </c>
      <c r="D117" s="203"/>
      <c r="E117" s="166"/>
      <c r="F117" s="182"/>
      <c r="G117" s="180"/>
      <c r="H117" s="512"/>
      <c r="I117" s="166" t="str">
        <f t="shared" si="91"/>
        <v>-</v>
      </c>
      <c r="J117" s="166" t="str">
        <f t="shared" si="92"/>
        <v>-</v>
      </c>
      <c r="K117" s="180" t="str">
        <f t="shared" si="93"/>
        <v>-</v>
      </c>
      <c r="L117" s="464"/>
      <c r="M117" s="166" t="e">
        <f>RANK(K117, K$67:$K$81)</f>
        <v>#VALUE!</v>
      </c>
      <c r="N117" s="461"/>
      <c r="O117" s="461"/>
      <c r="P117" s="182"/>
      <c r="Q117" s="166"/>
      <c r="R117" s="166"/>
      <c r="S117" s="182" t="e">
        <f t="shared" si="94"/>
        <v>#N/A</v>
      </c>
      <c r="T117" s="455"/>
      <c r="U117" s="182"/>
      <c r="V117" s="166"/>
      <c r="W117" s="166"/>
      <c r="X117" s="182" t="e">
        <f t="shared" si="95"/>
        <v>#N/A</v>
      </c>
      <c r="Y117" s="455"/>
      <c r="Z117" s="182"/>
      <c r="AA117" s="166"/>
      <c r="AB117" s="166"/>
      <c r="AC117" s="182" t="e">
        <f t="shared" si="96"/>
        <v>#N/A</v>
      </c>
      <c r="AD117" s="455"/>
      <c r="AE117" s="182"/>
      <c r="AF117" s="166"/>
      <c r="AG117" s="166"/>
      <c r="AH117" s="182" t="e">
        <f t="shared" si="97"/>
        <v>#N/A</v>
      </c>
      <c r="AI117" s="455"/>
      <c r="AJ117" s="182"/>
      <c r="AK117" s="166"/>
      <c r="AL117" s="166"/>
      <c r="AM117" s="182" t="e">
        <f t="shared" si="98"/>
        <v>#N/A</v>
      </c>
      <c r="AN117" s="455"/>
      <c r="AO117" s="182"/>
      <c r="AP117" s="166"/>
      <c r="AQ117" s="166"/>
      <c r="AR117" s="182" t="e">
        <f t="shared" si="99"/>
        <v>#N/A</v>
      </c>
      <c r="AS117" s="455"/>
      <c r="AT117" s="182"/>
      <c r="AU117" s="182"/>
      <c r="AV117" s="182"/>
      <c r="AW117" s="182" t="e">
        <f t="shared" si="100"/>
        <v>#N/A</v>
      </c>
      <c r="AX117" s="455"/>
      <c r="AZ117" s="182" t="e">
        <f t="shared" si="101"/>
        <v>#N/A</v>
      </c>
      <c r="BA117" s="455"/>
    </row>
    <row r="118" spans="2:53">
      <c r="B118" s="454"/>
      <c r="C118" s="182">
        <v>12</v>
      </c>
      <c r="D118" s="203"/>
      <c r="E118" s="166"/>
      <c r="F118" s="182"/>
      <c r="G118" s="180"/>
      <c r="H118" s="512"/>
      <c r="I118" s="166" t="str">
        <f t="shared" si="91"/>
        <v>-</v>
      </c>
      <c r="J118" s="166" t="str">
        <f t="shared" si="92"/>
        <v>-</v>
      </c>
      <c r="K118" s="180" t="str">
        <f t="shared" si="93"/>
        <v>-</v>
      </c>
      <c r="L118" s="464"/>
      <c r="M118" s="166" t="e">
        <f>RANK(K118, K$67:$K$81)</f>
        <v>#VALUE!</v>
      </c>
      <c r="N118" s="461"/>
      <c r="O118" s="461"/>
      <c r="P118" s="182"/>
      <c r="Q118" s="166"/>
      <c r="R118" s="166"/>
      <c r="S118" s="182" t="e">
        <f t="shared" si="94"/>
        <v>#N/A</v>
      </c>
      <c r="T118" s="455"/>
      <c r="U118" s="182"/>
      <c r="V118" s="166"/>
      <c r="W118" s="166"/>
      <c r="X118" s="182" t="e">
        <f t="shared" si="95"/>
        <v>#N/A</v>
      </c>
      <c r="Y118" s="455"/>
      <c r="Z118" s="182"/>
      <c r="AA118" s="166"/>
      <c r="AB118" s="166"/>
      <c r="AC118" s="182" t="e">
        <f t="shared" si="96"/>
        <v>#N/A</v>
      </c>
      <c r="AD118" s="455"/>
      <c r="AE118" s="182"/>
      <c r="AF118" s="166"/>
      <c r="AG118" s="166"/>
      <c r="AH118" s="182" t="e">
        <f t="shared" si="97"/>
        <v>#N/A</v>
      </c>
      <c r="AI118" s="455"/>
      <c r="AJ118" s="182"/>
      <c r="AK118" s="166"/>
      <c r="AL118" s="166"/>
      <c r="AM118" s="182" t="e">
        <f t="shared" si="98"/>
        <v>#N/A</v>
      </c>
      <c r="AN118" s="455"/>
      <c r="AO118" s="182"/>
      <c r="AP118" s="166"/>
      <c r="AQ118" s="166"/>
      <c r="AR118" s="182" t="e">
        <f t="shared" si="99"/>
        <v>#N/A</v>
      </c>
      <c r="AS118" s="455"/>
      <c r="AT118" s="182"/>
      <c r="AU118" s="182"/>
      <c r="AV118" s="182"/>
      <c r="AW118" s="182" t="e">
        <f t="shared" si="100"/>
        <v>#N/A</v>
      </c>
      <c r="AX118" s="455"/>
      <c r="AZ118" s="182" t="e">
        <f t="shared" si="101"/>
        <v>#N/A</v>
      </c>
      <c r="BA118" s="455"/>
    </row>
    <row r="119" spans="2:53">
      <c r="B119" s="454"/>
      <c r="C119" s="182">
        <v>13</v>
      </c>
      <c r="D119" s="203"/>
      <c r="E119" s="166"/>
      <c r="F119" s="182"/>
      <c r="G119" s="180"/>
      <c r="H119" s="512"/>
      <c r="I119" s="166" t="str">
        <f t="shared" si="91"/>
        <v>-</v>
      </c>
      <c r="J119" s="166" t="str">
        <f t="shared" si="92"/>
        <v>-</v>
      </c>
      <c r="K119" s="180" t="str">
        <f t="shared" si="93"/>
        <v>-</v>
      </c>
      <c r="L119" s="464"/>
      <c r="M119" s="166" t="e">
        <f>RANK(K119, K$67:$K$81)</f>
        <v>#VALUE!</v>
      </c>
      <c r="N119" s="461"/>
      <c r="O119" s="461"/>
      <c r="P119" s="182"/>
      <c r="Q119" s="166"/>
      <c r="R119" s="166"/>
      <c r="S119" s="182" t="e">
        <f t="shared" si="94"/>
        <v>#N/A</v>
      </c>
      <c r="T119" s="455"/>
      <c r="U119" s="182"/>
      <c r="V119" s="166"/>
      <c r="W119" s="166"/>
      <c r="X119" s="182" t="e">
        <f t="shared" si="95"/>
        <v>#N/A</v>
      </c>
      <c r="Y119" s="455"/>
      <c r="Z119" s="182"/>
      <c r="AA119" s="166"/>
      <c r="AB119" s="166"/>
      <c r="AC119" s="182" t="e">
        <f t="shared" si="96"/>
        <v>#N/A</v>
      </c>
      <c r="AD119" s="455"/>
      <c r="AE119" s="182"/>
      <c r="AF119" s="166"/>
      <c r="AG119" s="166"/>
      <c r="AH119" s="182" t="e">
        <f t="shared" si="97"/>
        <v>#N/A</v>
      </c>
      <c r="AI119" s="455"/>
      <c r="AJ119" s="182"/>
      <c r="AK119" s="166"/>
      <c r="AL119" s="166"/>
      <c r="AM119" s="182" t="e">
        <f t="shared" si="98"/>
        <v>#N/A</v>
      </c>
      <c r="AN119" s="455"/>
      <c r="AO119" s="182"/>
      <c r="AP119" s="166"/>
      <c r="AQ119" s="166"/>
      <c r="AR119" s="182" t="e">
        <f t="shared" si="99"/>
        <v>#N/A</v>
      </c>
      <c r="AS119" s="455"/>
      <c r="AT119" s="182"/>
      <c r="AU119" s="182"/>
      <c r="AV119" s="182"/>
      <c r="AW119" s="182" t="e">
        <f t="shared" si="100"/>
        <v>#N/A</v>
      </c>
      <c r="AX119" s="455"/>
      <c r="AZ119" s="182" t="e">
        <f t="shared" si="101"/>
        <v>#N/A</v>
      </c>
      <c r="BA119" s="455"/>
    </row>
    <row r="120" spans="2:53">
      <c r="B120" s="454"/>
      <c r="C120" s="182">
        <v>14</v>
      </c>
      <c r="D120" s="203"/>
      <c r="E120" s="166"/>
      <c r="F120" s="182"/>
      <c r="G120" s="180"/>
      <c r="H120" s="512"/>
      <c r="I120" s="166" t="str">
        <f t="shared" si="91"/>
        <v>-</v>
      </c>
      <c r="J120" s="166" t="str">
        <f t="shared" si="92"/>
        <v>-</v>
      </c>
      <c r="K120" s="180" t="str">
        <f t="shared" si="93"/>
        <v>-</v>
      </c>
      <c r="L120" s="464"/>
      <c r="M120" s="166" t="e">
        <f>RANK(K120, K$67:$K$81)</f>
        <v>#VALUE!</v>
      </c>
      <c r="N120" s="461"/>
      <c r="O120" s="461"/>
      <c r="P120" s="182"/>
      <c r="Q120" s="166"/>
      <c r="R120" s="166"/>
      <c r="S120" s="182" t="e">
        <f t="shared" si="94"/>
        <v>#N/A</v>
      </c>
      <c r="T120" s="455"/>
      <c r="U120" s="182"/>
      <c r="V120" s="166"/>
      <c r="W120" s="166"/>
      <c r="X120" s="182" t="e">
        <f t="shared" si="95"/>
        <v>#N/A</v>
      </c>
      <c r="Y120" s="455"/>
      <c r="Z120" s="182"/>
      <c r="AA120" s="166"/>
      <c r="AB120" s="166"/>
      <c r="AC120" s="182" t="e">
        <f t="shared" si="96"/>
        <v>#N/A</v>
      </c>
      <c r="AD120" s="455"/>
      <c r="AE120" s="182"/>
      <c r="AF120" s="166"/>
      <c r="AG120" s="166"/>
      <c r="AH120" s="182" t="e">
        <f t="shared" si="97"/>
        <v>#N/A</v>
      </c>
      <c r="AI120" s="455"/>
      <c r="AJ120" s="182"/>
      <c r="AK120" s="166"/>
      <c r="AL120" s="166"/>
      <c r="AM120" s="182" t="e">
        <f t="shared" si="98"/>
        <v>#N/A</v>
      </c>
      <c r="AN120" s="455"/>
      <c r="AO120" s="182"/>
      <c r="AP120" s="166"/>
      <c r="AQ120" s="166"/>
      <c r="AR120" s="182" t="e">
        <f t="shared" si="99"/>
        <v>#N/A</v>
      </c>
      <c r="AS120" s="455"/>
      <c r="AT120" s="182"/>
      <c r="AU120" s="182"/>
      <c r="AV120" s="182"/>
      <c r="AW120" s="182" t="e">
        <f t="shared" si="100"/>
        <v>#N/A</v>
      </c>
      <c r="AX120" s="455"/>
      <c r="AZ120" s="182" t="e">
        <f t="shared" si="101"/>
        <v>#N/A</v>
      </c>
      <c r="BA120" s="455"/>
    </row>
    <row r="121" spans="2:53">
      <c r="B121" s="454"/>
      <c r="C121" s="182">
        <v>15</v>
      </c>
      <c r="D121" s="203"/>
      <c r="E121" s="166"/>
      <c r="F121" s="182"/>
      <c r="G121" s="180"/>
      <c r="H121" s="513"/>
      <c r="I121" s="182"/>
      <c r="J121" s="182"/>
      <c r="K121" s="182"/>
      <c r="L121" s="465"/>
      <c r="M121" s="166" t="e">
        <f>RANK(K121, K$47:$K$61)</f>
        <v>#N/A</v>
      </c>
      <c r="N121" s="461"/>
      <c r="O121" s="461"/>
      <c r="P121" s="182"/>
      <c r="Q121" s="166"/>
      <c r="R121" s="166"/>
      <c r="S121" s="182" t="e">
        <f t="shared" si="94"/>
        <v>#N/A</v>
      </c>
      <c r="T121" s="455"/>
      <c r="U121" s="182"/>
      <c r="V121" s="166"/>
      <c r="W121" s="166"/>
      <c r="X121" s="182" t="e">
        <f t="shared" si="95"/>
        <v>#N/A</v>
      </c>
      <c r="Y121" s="455"/>
      <c r="Z121" s="182"/>
      <c r="AA121" s="166"/>
      <c r="AB121" s="166"/>
      <c r="AC121" s="182" t="e">
        <f t="shared" si="96"/>
        <v>#N/A</v>
      </c>
      <c r="AD121" s="455"/>
      <c r="AE121" s="182"/>
      <c r="AF121" s="166"/>
      <c r="AG121" s="166"/>
      <c r="AH121" s="182" t="e">
        <f t="shared" si="97"/>
        <v>#N/A</v>
      </c>
      <c r="AI121" s="455"/>
      <c r="AJ121" s="182"/>
      <c r="AK121" s="166"/>
      <c r="AL121" s="166"/>
      <c r="AM121" s="182" t="e">
        <f t="shared" si="98"/>
        <v>#N/A</v>
      </c>
      <c r="AN121" s="455"/>
      <c r="AO121" s="182"/>
      <c r="AP121" s="166"/>
      <c r="AQ121" s="166"/>
      <c r="AR121" s="182" t="e">
        <f t="shared" si="99"/>
        <v>#N/A</v>
      </c>
      <c r="AS121" s="455"/>
      <c r="AT121" s="182"/>
      <c r="AU121" s="182"/>
      <c r="AV121" s="182"/>
      <c r="AW121" s="182" t="e">
        <f t="shared" si="100"/>
        <v>#N/A</v>
      </c>
      <c r="AX121" s="455"/>
      <c r="AZ121" s="182" t="e">
        <f t="shared" si="101"/>
        <v>#N/A</v>
      </c>
      <c r="BA121" s="455"/>
    </row>
    <row r="123" spans="2:53" ht="15.5">
      <c r="B123" s="458" t="s">
        <v>561</v>
      </c>
      <c r="C123" s="459"/>
      <c r="D123" s="459"/>
      <c r="E123" s="459"/>
      <c r="F123" s="459"/>
      <c r="G123" s="459"/>
      <c r="H123" s="459"/>
      <c r="I123" s="285"/>
      <c r="J123" s="285"/>
      <c r="K123" s="285"/>
      <c r="L123" s="285"/>
      <c r="M123" s="286"/>
    </row>
    <row r="124" spans="2:53" ht="15.5">
      <c r="B124" s="460"/>
      <c r="C124" s="460"/>
      <c r="D124" s="460"/>
      <c r="E124" s="460"/>
      <c r="F124" s="460"/>
      <c r="G124" s="460"/>
      <c r="H124" s="460"/>
      <c r="I124" s="287"/>
      <c r="J124" s="287"/>
      <c r="K124" s="287"/>
      <c r="L124" s="287"/>
      <c r="M124" s="288"/>
    </row>
    <row r="125" spans="2:53">
      <c r="B125" s="461" t="s">
        <v>562</v>
      </c>
      <c r="C125" s="461" t="s">
        <v>563</v>
      </c>
      <c r="D125" s="461"/>
      <c r="E125" s="461" t="s">
        <v>564</v>
      </c>
      <c r="F125" s="461"/>
      <c r="G125" s="461"/>
      <c r="H125" s="482" t="s">
        <v>565</v>
      </c>
      <c r="I125" s="462" t="s">
        <v>566</v>
      </c>
      <c r="J125" s="462"/>
      <c r="K125" s="462"/>
      <c r="L125" s="505" t="s">
        <v>565</v>
      </c>
      <c r="M125" s="508" t="s">
        <v>567</v>
      </c>
    </row>
    <row r="126" spans="2:53">
      <c r="B126" s="461"/>
      <c r="C126" s="461"/>
      <c r="D126" s="461"/>
      <c r="E126" s="461" t="s">
        <v>568</v>
      </c>
      <c r="F126" s="461"/>
      <c r="G126" s="461"/>
      <c r="H126" s="483"/>
      <c r="I126" s="462" t="s">
        <v>568</v>
      </c>
      <c r="J126" s="462"/>
      <c r="K126" s="462"/>
      <c r="L126" s="506"/>
      <c r="M126" s="509"/>
    </row>
    <row r="127" spans="2:53">
      <c r="B127" s="461"/>
      <c r="C127" s="461"/>
      <c r="D127" s="461"/>
      <c r="E127" s="269" t="s">
        <v>569</v>
      </c>
      <c r="F127" s="269" t="s">
        <v>570</v>
      </c>
      <c r="G127" s="269" t="s">
        <v>571</v>
      </c>
      <c r="H127" s="484"/>
      <c r="I127" s="289" t="s">
        <v>569</v>
      </c>
      <c r="J127" s="289" t="s">
        <v>570</v>
      </c>
      <c r="K127" s="289" t="s">
        <v>571</v>
      </c>
      <c r="L127" s="507"/>
      <c r="M127" s="510"/>
    </row>
    <row r="128" spans="2:53">
      <c r="B128" s="461" t="s">
        <v>578</v>
      </c>
      <c r="C128" s="182">
        <v>1</v>
      </c>
      <c r="D128" s="203"/>
      <c r="E128" s="166"/>
      <c r="F128" s="182"/>
      <c r="G128" s="180"/>
      <c r="H128" s="463" t="e">
        <f>AVERAGE(G128:G142)</f>
        <v>#DIV/0!</v>
      </c>
      <c r="I128" s="166" t="e">
        <f t="shared" ref="I128:J132" si="102">AVERAGEIF($D$7:$D$121,$D128,I$7:I$121)</f>
        <v>#DIV/0!</v>
      </c>
      <c r="J128" s="166" t="e">
        <f t="shared" si="102"/>
        <v>#DIV/0!</v>
      </c>
      <c r="K128" s="166" t="e">
        <f>AVERAGEIF($D$7:$D$121,$D128,K$7:K$121)</f>
        <v>#DIV/0!</v>
      </c>
      <c r="L128" s="502" t="e">
        <f>AVERAGE(K128:K142)</f>
        <v>#DIV/0!</v>
      </c>
      <c r="M128" s="166" t="e">
        <f>RANK(K128, K$128:$K$142)</f>
        <v>#DIV/0!</v>
      </c>
    </row>
    <row r="129" spans="2:39">
      <c r="B129" s="454"/>
      <c r="C129" s="182">
        <v>2</v>
      </c>
      <c r="D129" s="203"/>
      <c r="E129" s="166"/>
      <c r="F129" s="182"/>
      <c r="G129" s="180"/>
      <c r="H129" s="464"/>
      <c r="I129" s="166" t="e">
        <f t="shared" si="102"/>
        <v>#DIV/0!</v>
      </c>
      <c r="J129" s="166" t="e">
        <f t="shared" si="102"/>
        <v>#DIV/0!</v>
      </c>
      <c r="K129" s="166" t="e">
        <f>AVERAGEIF($D$7:$D$121,$D129,K$7:K$121)</f>
        <v>#DIV/0!</v>
      </c>
      <c r="L129" s="503"/>
      <c r="M129" s="166" t="e">
        <f>RANK(K129, K$128:$K$142)</f>
        <v>#DIV/0!</v>
      </c>
      <c r="N129" s="103"/>
      <c r="O129" s="103"/>
      <c r="P129" s="103"/>
      <c r="Q129" s="103"/>
      <c r="R129" s="103"/>
      <c r="S129" s="103"/>
      <c r="T129" s="103"/>
      <c r="X129" s="103"/>
      <c r="AC129" s="103"/>
      <c r="AH129" s="103"/>
      <c r="AM129" s="103"/>
    </row>
    <row r="130" spans="2:39">
      <c r="B130" s="454"/>
      <c r="C130" s="182">
        <v>3</v>
      </c>
      <c r="D130" s="203"/>
      <c r="E130" s="166"/>
      <c r="F130" s="182"/>
      <c r="G130" s="180"/>
      <c r="H130" s="464"/>
      <c r="I130" s="166" t="e">
        <f t="shared" si="102"/>
        <v>#DIV/0!</v>
      </c>
      <c r="J130" s="166" t="e">
        <f t="shared" si="102"/>
        <v>#DIV/0!</v>
      </c>
      <c r="K130" s="166" t="e">
        <f>AVERAGEIF($D$7:$D$121,$D130,K$7:K$121)</f>
        <v>#DIV/0!</v>
      </c>
      <c r="L130" s="503"/>
      <c r="M130" s="166" t="e">
        <f>RANK(K130, K$128:$K$142)</f>
        <v>#DIV/0!</v>
      </c>
      <c r="N130" s="103"/>
      <c r="O130" s="103"/>
      <c r="P130" s="103"/>
      <c r="Q130" s="103"/>
      <c r="R130" s="103"/>
      <c r="S130" s="103"/>
      <c r="T130" s="103"/>
      <c r="X130" s="103"/>
      <c r="AC130" s="103"/>
      <c r="AH130" s="103"/>
      <c r="AM130" s="103"/>
    </row>
    <row r="131" spans="2:39">
      <c r="B131" s="454"/>
      <c r="C131" s="182">
        <v>4</v>
      </c>
      <c r="D131" s="203"/>
      <c r="E131" s="166"/>
      <c r="F131" s="182"/>
      <c r="G131" s="180"/>
      <c r="H131" s="464"/>
      <c r="I131" s="166" t="e">
        <f t="shared" si="102"/>
        <v>#DIV/0!</v>
      </c>
      <c r="J131" s="166" t="e">
        <f t="shared" si="102"/>
        <v>#DIV/0!</v>
      </c>
      <c r="K131" s="166" t="e">
        <f>AVERAGEIF($D$7:$D$121,$D131,K$7:K$121)</f>
        <v>#DIV/0!</v>
      </c>
      <c r="L131" s="503"/>
      <c r="M131" s="166" t="e">
        <f>RANK(K131, K$128:$K$142)</f>
        <v>#DIV/0!</v>
      </c>
      <c r="N131" s="103"/>
      <c r="O131" s="103"/>
      <c r="P131" s="103"/>
      <c r="Q131" s="103"/>
      <c r="R131" s="103"/>
      <c r="S131" s="103"/>
      <c r="T131" s="103"/>
      <c r="X131" s="103"/>
      <c r="AC131" s="103"/>
      <c r="AH131" s="103"/>
      <c r="AM131" s="103"/>
    </row>
    <row r="132" spans="2:39">
      <c r="B132" s="454"/>
      <c r="C132" s="182">
        <v>5</v>
      </c>
      <c r="D132" s="203"/>
      <c r="E132" s="166"/>
      <c r="F132" s="182"/>
      <c r="G132" s="180"/>
      <c r="H132" s="464"/>
      <c r="I132" s="166" t="e">
        <f t="shared" si="102"/>
        <v>#DIV/0!</v>
      </c>
      <c r="J132" s="166" t="e">
        <f t="shared" si="102"/>
        <v>#DIV/0!</v>
      </c>
      <c r="K132" s="166" t="e">
        <f>AVERAGEIF($D$7:$D$121,$D132,K$7:K$121)</f>
        <v>#DIV/0!</v>
      </c>
      <c r="L132" s="503"/>
      <c r="M132" s="166" t="e">
        <f>RANK(K132, K$128:$K$142)</f>
        <v>#DIV/0!</v>
      </c>
      <c r="N132" s="103"/>
      <c r="O132" s="103"/>
      <c r="P132" s="103"/>
      <c r="Q132" s="103"/>
      <c r="R132" s="103"/>
      <c r="S132" s="103"/>
      <c r="T132" s="103"/>
      <c r="X132" s="103"/>
      <c r="AC132" s="103"/>
      <c r="AH132" s="103"/>
      <c r="AM132" s="103"/>
    </row>
    <row r="133" spans="2:39">
      <c r="B133" s="454"/>
      <c r="C133" s="182">
        <v>6</v>
      </c>
      <c r="D133" s="290"/>
      <c r="E133" s="166"/>
      <c r="F133" s="182"/>
      <c r="G133" s="180"/>
      <c r="H133" s="464"/>
      <c r="I133" s="166"/>
      <c r="J133" s="166"/>
      <c r="K133" s="166"/>
      <c r="L133" s="503"/>
      <c r="M133" s="166" t="e">
        <f>RANK(K133, K$128:$K$142)</f>
        <v>#DIV/0!</v>
      </c>
      <c r="N133" s="103"/>
      <c r="O133" s="103"/>
      <c r="P133" s="103"/>
      <c r="Q133" s="103"/>
      <c r="R133" s="103"/>
      <c r="S133" s="103"/>
      <c r="T133" s="103"/>
      <c r="X133" s="103"/>
      <c r="AC133" s="103"/>
      <c r="AH133" s="103"/>
      <c r="AM133" s="103"/>
    </row>
    <row r="134" spans="2:39">
      <c r="B134" s="454"/>
      <c r="C134" s="182">
        <v>7</v>
      </c>
      <c r="D134" s="203"/>
      <c r="E134" s="166"/>
      <c r="F134" s="182"/>
      <c r="G134" s="180"/>
      <c r="H134" s="464"/>
      <c r="I134" s="166"/>
      <c r="J134" s="166"/>
      <c r="K134" s="166"/>
      <c r="L134" s="503"/>
      <c r="M134" s="166" t="e">
        <f>RANK(K134, K$128:$K$142)</f>
        <v>#DIV/0!</v>
      </c>
      <c r="N134" s="103"/>
      <c r="O134" s="103"/>
      <c r="P134" s="103"/>
      <c r="Q134" s="103"/>
      <c r="R134" s="103"/>
      <c r="S134" s="103"/>
      <c r="T134" s="103"/>
      <c r="X134" s="103"/>
      <c r="AC134" s="103"/>
      <c r="AH134" s="103"/>
      <c r="AM134" s="103"/>
    </row>
    <row r="135" spans="2:39">
      <c r="B135" s="454"/>
      <c r="C135" s="182">
        <v>8</v>
      </c>
      <c r="D135" s="203"/>
      <c r="E135" s="166"/>
      <c r="F135" s="182"/>
      <c r="G135" s="180"/>
      <c r="H135" s="464"/>
      <c r="I135" s="166"/>
      <c r="J135" s="166"/>
      <c r="K135" s="166"/>
      <c r="L135" s="503"/>
      <c r="M135" s="166" t="e">
        <f>RANK(K135, K$128:$K$142)</f>
        <v>#DIV/0!</v>
      </c>
      <c r="N135" s="103"/>
      <c r="O135" s="103"/>
      <c r="P135" s="103"/>
      <c r="Q135" s="103"/>
      <c r="R135" s="103"/>
      <c r="S135" s="103"/>
      <c r="T135" s="103"/>
      <c r="X135" s="103"/>
      <c r="AC135" s="103"/>
      <c r="AH135" s="103"/>
      <c r="AM135" s="103"/>
    </row>
    <row r="136" spans="2:39">
      <c r="B136" s="454"/>
      <c r="C136" s="182">
        <v>9</v>
      </c>
      <c r="D136" s="203"/>
      <c r="E136" s="182"/>
      <c r="F136" s="182"/>
      <c r="G136" s="182"/>
      <c r="H136" s="464"/>
      <c r="I136" s="166"/>
      <c r="J136" s="166"/>
      <c r="K136" s="166"/>
      <c r="L136" s="503"/>
      <c r="M136" s="166" t="e">
        <f>RANK(K136, K$128:$K$142)</f>
        <v>#DIV/0!</v>
      </c>
      <c r="N136" s="103"/>
      <c r="O136" s="103"/>
      <c r="P136" s="103"/>
      <c r="Q136" s="103"/>
      <c r="R136" s="103"/>
      <c r="S136" s="103"/>
      <c r="T136" s="103"/>
      <c r="X136" s="103"/>
      <c r="AC136" s="103"/>
      <c r="AH136" s="103"/>
      <c r="AM136" s="103"/>
    </row>
    <row r="137" spans="2:39">
      <c r="B137" s="454"/>
      <c r="C137" s="182">
        <v>10</v>
      </c>
      <c r="D137" s="203"/>
      <c r="E137" s="182"/>
      <c r="F137" s="182"/>
      <c r="G137" s="182"/>
      <c r="H137" s="464"/>
      <c r="I137" s="166"/>
      <c r="J137" s="166"/>
      <c r="K137" s="166"/>
      <c r="L137" s="503"/>
      <c r="M137" s="166" t="e">
        <f>RANK(K137, K$128:$K$142)</f>
        <v>#DIV/0!</v>
      </c>
      <c r="N137" s="103"/>
      <c r="O137" s="103"/>
      <c r="P137" s="103"/>
      <c r="Q137" s="103"/>
      <c r="R137" s="103"/>
      <c r="S137" s="103"/>
      <c r="T137" s="103"/>
      <c r="X137" s="103"/>
      <c r="AC137" s="103"/>
      <c r="AH137" s="103"/>
      <c r="AM137" s="103"/>
    </row>
    <row r="138" spans="2:39">
      <c r="B138" s="454"/>
      <c r="C138" s="182">
        <v>11</v>
      </c>
      <c r="D138" s="203"/>
      <c r="E138" s="182"/>
      <c r="F138" s="182"/>
      <c r="G138" s="182"/>
      <c r="H138" s="464"/>
      <c r="I138" s="166"/>
      <c r="J138" s="166"/>
      <c r="K138" s="166"/>
      <c r="L138" s="503"/>
      <c r="M138" s="166" t="e">
        <f>RANK(K138, K$128:$K$142)</f>
        <v>#DIV/0!</v>
      </c>
      <c r="N138" s="103"/>
      <c r="O138" s="103"/>
      <c r="P138" s="103"/>
      <c r="Q138" s="103"/>
      <c r="R138" s="103"/>
      <c r="S138" s="103"/>
      <c r="T138" s="103"/>
      <c r="X138" s="103"/>
      <c r="AC138" s="103"/>
      <c r="AH138" s="103"/>
      <c r="AM138" s="103"/>
    </row>
    <row r="139" spans="2:39">
      <c r="B139" s="454"/>
      <c r="C139" s="182">
        <v>12</v>
      </c>
      <c r="D139" s="203"/>
      <c r="E139" s="182"/>
      <c r="F139" s="182"/>
      <c r="G139" s="182"/>
      <c r="H139" s="464"/>
      <c r="I139" s="166"/>
      <c r="J139" s="166"/>
      <c r="K139" s="166"/>
      <c r="L139" s="503"/>
      <c r="M139" s="166" t="e">
        <f>RANK(K139, K$128:$K$142)</f>
        <v>#DIV/0!</v>
      </c>
      <c r="N139" s="103"/>
      <c r="O139" s="103"/>
      <c r="P139" s="103"/>
      <c r="Q139" s="103"/>
      <c r="R139" s="103"/>
      <c r="S139" s="103"/>
      <c r="T139" s="103"/>
      <c r="X139" s="103"/>
      <c r="AC139" s="103"/>
      <c r="AH139" s="103"/>
      <c r="AM139" s="103"/>
    </row>
    <row r="140" spans="2:39">
      <c r="B140" s="454"/>
      <c r="C140" s="182">
        <v>13</v>
      </c>
      <c r="D140" s="203"/>
      <c r="E140" s="182"/>
      <c r="F140" s="182"/>
      <c r="G140" s="182"/>
      <c r="H140" s="464"/>
      <c r="I140" s="166"/>
      <c r="J140" s="166"/>
      <c r="K140" s="166"/>
      <c r="L140" s="503"/>
      <c r="M140" s="166" t="e">
        <f>RANK(K140, K$128:$K$142)</f>
        <v>#DIV/0!</v>
      </c>
      <c r="N140" s="103"/>
      <c r="O140" s="103"/>
      <c r="P140" s="103"/>
      <c r="Q140" s="103"/>
      <c r="R140" s="103"/>
      <c r="S140" s="103"/>
      <c r="T140" s="103"/>
      <c r="X140" s="103"/>
      <c r="AC140" s="103"/>
      <c r="AH140" s="103"/>
      <c r="AM140" s="103"/>
    </row>
    <row r="141" spans="2:39">
      <c r="B141" s="454"/>
      <c r="C141" s="182">
        <v>14</v>
      </c>
      <c r="D141" s="203"/>
      <c r="E141" s="182"/>
      <c r="F141" s="182"/>
      <c r="G141" s="182"/>
      <c r="H141" s="464"/>
      <c r="I141" s="166"/>
      <c r="J141" s="166"/>
      <c r="K141" s="166"/>
      <c r="L141" s="503"/>
      <c r="M141" s="166" t="e">
        <f>RANK(K141, K$128:$K$142)</f>
        <v>#DIV/0!</v>
      </c>
      <c r="N141" s="103"/>
      <c r="O141" s="103"/>
      <c r="P141" s="103"/>
      <c r="Q141" s="103"/>
      <c r="R141" s="103"/>
      <c r="S141" s="103"/>
      <c r="T141" s="103"/>
      <c r="X141" s="103"/>
      <c r="AC141" s="103"/>
      <c r="AH141" s="103"/>
      <c r="AM141" s="103"/>
    </row>
    <row r="142" spans="2:39">
      <c r="B142" s="454"/>
      <c r="C142" s="182">
        <v>15</v>
      </c>
      <c r="D142" s="203"/>
      <c r="E142" s="182"/>
      <c r="F142" s="182"/>
      <c r="G142" s="182"/>
      <c r="H142" s="465"/>
      <c r="I142" s="166"/>
      <c r="J142" s="166"/>
      <c r="K142" s="166"/>
      <c r="L142" s="504"/>
      <c r="M142" s="166" t="e">
        <f>RANK(K142, K$128:$K$142)</f>
        <v>#DIV/0!</v>
      </c>
      <c r="N142" s="103"/>
      <c r="O142" s="103"/>
      <c r="P142" s="103"/>
      <c r="Q142" s="103"/>
      <c r="R142" s="103"/>
      <c r="S142" s="103"/>
      <c r="T142" s="103"/>
      <c r="X142" s="103"/>
      <c r="AC142" s="103"/>
      <c r="AH142" s="103"/>
      <c r="AM142" s="103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CC"/>
  </sheetPr>
  <dimension ref="A1:BA142"/>
  <sheetViews>
    <sheetView topLeftCell="A8" zoomScale="160" zoomScaleNormal="160" workbookViewId="0">
      <pane xSplit="15" topLeftCell="S1" activePane="topRight" state="frozen"/>
      <selection activeCell="I107" sqref="I107:K120"/>
      <selection pane="topRight" activeCell="B7" sqref="B7:B21"/>
    </sheetView>
  </sheetViews>
  <sheetFormatPr defaultColWidth="8.81640625" defaultRowHeight="12.5"/>
  <cols>
    <col min="1" max="1" width="5.54296875" style="103" customWidth="1"/>
    <col min="2" max="2" width="12.453125" style="103" customWidth="1"/>
    <col min="3" max="3" width="8.81640625" style="102"/>
    <col min="4" max="4" width="26.453125" style="102" customWidth="1"/>
    <col min="5" max="7" width="8.453125" style="102" customWidth="1"/>
    <col min="8" max="8" width="11.1796875" style="102" bestFit="1" customWidth="1"/>
    <col min="9" max="12" width="11.1796875" style="102" customWidth="1"/>
    <col min="13" max="13" width="13.54296875" style="102" customWidth="1"/>
    <col min="14" max="14" width="9.81640625" style="102" customWidth="1"/>
    <col min="15" max="15" width="7.1796875" style="102" customWidth="1"/>
    <col min="16" max="18" width="12.81640625" style="102" customWidth="1"/>
    <col min="19" max="19" width="5.453125" style="102" customWidth="1"/>
    <col min="20" max="20" width="12.81640625" style="102" customWidth="1"/>
    <col min="21" max="23" width="12.81640625" style="103" customWidth="1"/>
    <col min="24" max="24" width="5.453125" style="102" customWidth="1"/>
    <col min="25" max="28" width="12.81640625" style="103" customWidth="1"/>
    <col min="29" max="29" width="5.453125" style="102" customWidth="1"/>
    <col min="30" max="30" width="12.81640625" style="103" customWidth="1"/>
    <col min="31" max="33" width="12.54296875" style="103" customWidth="1"/>
    <col min="34" max="34" width="5.453125" style="102" customWidth="1"/>
    <col min="35" max="35" width="13" style="103" customWidth="1"/>
    <col min="36" max="38" width="12.54296875" style="103" customWidth="1"/>
    <col min="39" max="39" width="5.453125" style="102" customWidth="1"/>
    <col min="40" max="40" width="13" style="103" customWidth="1"/>
    <col min="41" max="43" width="13.1796875" style="103" customWidth="1"/>
    <col min="44" max="44" width="5.453125" style="103" customWidth="1"/>
    <col min="45" max="48" width="13.1796875" style="103" customWidth="1"/>
    <col min="49" max="49" width="5.453125" style="103" customWidth="1"/>
    <col min="50" max="50" width="13.1796875" style="103" customWidth="1"/>
    <col min="51" max="51" width="8.81640625" style="103"/>
    <col min="52" max="52" width="5.453125" style="103" customWidth="1"/>
    <col min="53" max="53" width="13.1796875" style="103" customWidth="1"/>
    <col min="54" max="16384" width="8.81640625" style="103"/>
  </cols>
  <sheetData>
    <row r="1" spans="1:53" ht="24.5">
      <c r="A1" s="74"/>
      <c r="B1" s="198" t="s">
        <v>332</v>
      </c>
      <c r="C1" s="197">
        <f>AVERAGE(L7,L27,L47,L67,L87,L107)</f>
        <v>178.48613962015105</v>
      </c>
    </row>
    <row r="2" spans="1:53" ht="15.5">
      <c r="A2" s="79"/>
      <c r="B2" s="477" t="s">
        <v>163</v>
      </c>
      <c r="C2" s="477"/>
      <c r="D2" s="477"/>
      <c r="E2" s="477"/>
      <c r="F2" s="477"/>
      <c r="G2" s="477"/>
      <c r="H2" s="477"/>
      <c r="I2" s="183"/>
      <c r="J2" s="183"/>
      <c r="K2" s="183"/>
      <c r="L2" s="183"/>
      <c r="M2" s="178"/>
      <c r="N2" s="480" t="s">
        <v>156</v>
      </c>
      <c r="O2" s="480" t="s">
        <v>155</v>
      </c>
      <c r="P2" s="490">
        <v>46112</v>
      </c>
      <c r="Q2" s="491"/>
      <c r="R2" s="491"/>
      <c r="S2" s="491"/>
      <c r="T2" s="492"/>
      <c r="U2" s="476">
        <f>P2+1</f>
        <v>46113</v>
      </c>
      <c r="V2" s="454"/>
      <c r="W2" s="454"/>
      <c r="X2" s="454"/>
      <c r="Y2" s="454"/>
      <c r="Z2" s="476">
        <f>U2+1</f>
        <v>46114</v>
      </c>
      <c r="AA2" s="454"/>
      <c r="AB2" s="454"/>
      <c r="AC2" s="454"/>
      <c r="AD2" s="454"/>
      <c r="AE2" s="476">
        <f>Z2+1</f>
        <v>46115</v>
      </c>
      <c r="AF2" s="454"/>
      <c r="AG2" s="454"/>
      <c r="AH2" s="454"/>
      <c r="AI2" s="454"/>
      <c r="AJ2" s="476">
        <f>AE2+1</f>
        <v>46116</v>
      </c>
      <c r="AK2" s="454"/>
      <c r="AL2" s="454"/>
      <c r="AM2" s="454"/>
      <c r="AN2" s="454"/>
      <c r="AO2" s="476">
        <f>AJ2+1</f>
        <v>46117</v>
      </c>
      <c r="AP2" s="454"/>
      <c r="AQ2" s="454"/>
      <c r="AR2" s="454"/>
      <c r="AS2" s="454"/>
      <c r="AT2" s="473">
        <f>AO2+1</f>
        <v>46118</v>
      </c>
      <c r="AU2" s="474"/>
      <c r="AV2" s="474"/>
      <c r="AW2" s="474"/>
      <c r="AX2" s="475"/>
    </row>
    <row r="3" spans="1:53" ht="15.5">
      <c r="A3" s="79"/>
      <c r="B3" s="486"/>
      <c r="C3" s="486"/>
      <c r="D3" s="486"/>
      <c r="E3" s="486"/>
      <c r="F3" s="486"/>
      <c r="G3" s="486"/>
      <c r="H3" s="486"/>
      <c r="I3" s="184"/>
      <c r="J3" s="184"/>
      <c r="K3" s="184"/>
      <c r="L3" s="184"/>
      <c r="M3" s="179"/>
      <c r="N3" s="481"/>
      <c r="O3" s="481"/>
      <c r="P3" s="473" t="s">
        <v>158</v>
      </c>
      <c r="Q3" s="474"/>
      <c r="R3" s="474"/>
      <c r="S3" s="474"/>
      <c r="T3" s="475"/>
      <c r="U3" s="473" t="s">
        <v>114</v>
      </c>
      <c r="V3" s="474"/>
      <c r="W3" s="474"/>
      <c r="X3" s="474"/>
      <c r="Y3" s="475"/>
      <c r="Z3" s="473" t="s">
        <v>159</v>
      </c>
      <c r="AA3" s="474"/>
      <c r="AB3" s="474"/>
      <c r="AC3" s="474"/>
      <c r="AD3" s="475"/>
      <c r="AE3" s="473" t="s">
        <v>157</v>
      </c>
      <c r="AF3" s="474"/>
      <c r="AG3" s="474"/>
      <c r="AH3" s="474"/>
      <c r="AI3" s="475"/>
      <c r="AJ3" s="473" t="s">
        <v>160</v>
      </c>
      <c r="AK3" s="474"/>
      <c r="AL3" s="474"/>
      <c r="AM3" s="474"/>
      <c r="AN3" s="475"/>
      <c r="AO3" s="473" t="s">
        <v>161</v>
      </c>
      <c r="AP3" s="474"/>
      <c r="AQ3" s="474"/>
      <c r="AR3" s="474"/>
      <c r="AS3" s="475"/>
      <c r="AT3" s="473" t="s">
        <v>162</v>
      </c>
      <c r="AU3" s="474"/>
      <c r="AV3" s="474"/>
      <c r="AW3" s="474"/>
      <c r="AX3" s="475"/>
    </row>
    <row r="4" spans="1:53" ht="13.5">
      <c r="A4" s="79"/>
      <c r="B4" s="461" t="s">
        <v>696</v>
      </c>
      <c r="C4" s="461" t="s">
        <v>697</v>
      </c>
      <c r="D4" s="461"/>
      <c r="E4" s="461" t="s">
        <v>698</v>
      </c>
      <c r="F4" s="461"/>
      <c r="G4" s="461"/>
      <c r="H4" s="482" t="s">
        <v>699</v>
      </c>
      <c r="I4" s="461" t="s">
        <v>700</v>
      </c>
      <c r="J4" s="461"/>
      <c r="K4" s="461"/>
      <c r="L4" s="482" t="s">
        <v>396</v>
      </c>
      <c r="M4" s="480" t="s">
        <v>701</v>
      </c>
      <c r="N4" s="461"/>
      <c r="O4" s="461" t="s">
        <v>431</v>
      </c>
      <c r="P4" s="466" t="s">
        <v>398</v>
      </c>
      <c r="Q4" s="467"/>
      <c r="R4" s="467"/>
      <c r="S4" s="468"/>
      <c r="T4" s="461" t="s">
        <v>396</v>
      </c>
      <c r="U4" s="466" t="s">
        <v>398</v>
      </c>
      <c r="V4" s="467"/>
      <c r="W4" s="467"/>
      <c r="X4" s="468"/>
      <c r="Y4" s="461" t="s">
        <v>396</v>
      </c>
      <c r="Z4" s="466" t="s">
        <v>398</v>
      </c>
      <c r="AA4" s="467"/>
      <c r="AB4" s="467"/>
      <c r="AC4" s="468"/>
      <c r="AD4" s="461" t="s">
        <v>396</v>
      </c>
      <c r="AE4" s="466" t="s">
        <v>398</v>
      </c>
      <c r="AF4" s="467"/>
      <c r="AG4" s="467"/>
      <c r="AH4" s="468"/>
      <c r="AI4" s="461" t="s">
        <v>396</v>
      </c>
      <c r="AJ4" s="466" t="s">
        <v>398</v>
      </c>
      <c r="AK4" s="467"/>
      <c r="AL4" s="467"/>
      <c r="AM4" s="468"/>
      <c r="AN4" s="461" t="s">
        <v>396</v>
      </c>
      <c r="AO4" s="466" t="s">
        <v>398</v>
      </c>
      <c r="AP4" s="467"/>
      <c r="AQ4" s="467"/>
      <c r="AR4" s="468"/>
      <c r="AS4" s="461" t="s">
        <v>396</v>
      </c>
      <c r="AT4" s="466" t="s">
        <v>398</v>
      </c>
      <c r="AU4" s="467"/>
      <c r="AV4" s="467"/>
      <c r="AW4" s="468"/>
      <c r="AX4" s="461" t="s">
        <v>396</v>
      </c>
      <c r="BA4" s="461" t="s">
        <v>396</v>
      </c>
    </row>
    <row r="5" spans="1:53" ht="13.5">
      <c r="A5" s="79"/>
      <c r="B5" s="461"/>
      <c r="C5" s="461"/>
      <c r="D5" s="461"/>
      <c r="E5" s="461" t="s">
        <v>703</v>
      </c>
      <c r="F5" s="461"/>
      <c r="G5" s="461"/>
      <c r="H5" s="483"/>
      <c r="I5" s="461" t="s">
        <v>703</v>
      </c>
      <c r="J5" s="461"/>
      <c r="K5" s="461"/>
      <c r="L5" s="483"/>
      <c r="M5" s="485"/>
      <c r="N5" s="461"/>
      <c r="O5" s="461"/>
      <c r="P5" s="466" t="s">
        <v>690</v>
      </c>
      <c r="Q5" s="467"/>
      <c r="R5" s="467"/>
      <c r="S5" s="468"/>
      <c r="T5" s="461"/>
      <c r="U5" s="466" t="s">
        <v>690</v>
      </c>
      <c r="V5" s="467"/>
      <c r="W5" s="467"/>
      <c r="X5" s="468"/>
      <c r="Y5" s="461"/>
      <c r="Z5" s="466" t="s">
        <v>690</v>
      </c>
      <c r="AA5" s="467"/>
      <c r="AB5" s="467"/>
      <c r="AC5" s="468"/>
      <c r="AD5" s="461"/>
      <c r="AE5" s="466" t="s">
        <v>690</v>
      </c>
      <c r="AF5" s="467"/>
      <c r="AG5" s="467"/>
      <c r="AH5" s="468"/>
      <c r="AI5" s="461"/>
      <c r="AJ5" s="466" t="s">
        <v>690</v>
      </c>
      <c r="AK5" s="467"/>
      <c r="AL5" s="467"/>
      <c r="AM5" s="468"/>
      <c r="AN5" s="461"/>
      <c r="AO5" s="466" t="s">
        <v>690</v>
      </c>
      <c r="AP5" s="467"/>
      <c r="AQ5" s="467"/>
      <c r="AR5" s="468"/>
      <c r="AS5" s="461"/>
      <c r="AT5" s="466" t="s">
        <v>690</v>
      </c>
      <c r="AU5" s="467"/>
      <c r="AV5" s="467"/>
      <c r="AW5" s="468"/>
      <c r="AX5" s="461"/>
      <c r="BA5" s="461"/>
    </row>
    <row r="6" spans="1:53" ht="13.5">
      <c r="A6" s="77"/>
      <c r="B6" s="461"/>
      <c r="C6" s="461"/>
      <c r="D6" s="461"/>
      <c r="E6" s="269" t="s">
        <v>704</v>
      </c>
      <c r="F6" s="269" t="s">
        <v>705</v>
      </c>
      <c r="G6" s="269" t="s">
        <v>706</v>
      </c>
      <c r="H6" s="484"/>
      <c r="I6" s="269" t="s">
        <v>704</v>
      </c>
      <c r="J6" s="269" t="s">
        <v>705</v>
      </c>
      <c r="K6" s="269" t="s">
        <v>706</v>
      </c>
      <c r="L6" s="484"/>
      <c r="M6" s="481"/>
      <c r="N6" s="461"/>
      <c r="O6" s="461"/>
      <c r="P6" s="269" t="s">
        <v>405</v>
      </c>
      <c r="Q6" s="269" t="s">
        <v>692</v>
      </c>
      <c r="R6" s="269" t="s">
        <v>693</v>
      </c>
      <c r="S6" s="269" t="s">
        <v>397</v>
      </c>
      <c r="T6" s="461"/>
      <c r="U6" s="269" t="s">
        <v>405</v>
      </c>
      <c r="V6" s="269" t="s">
        <v>692</v>
      </c>
      <c r="W6" s="269" t="s">
        <v>693</v>
      </c>
      <c r="X6" s="269" t="s">
        <v>397</v>
      </c>
      <c r="Y6" s="461"/>
      <c r="Z6" s="269" t="s">
        <v>405</v>
      </c>
      <c r="AA6" s="269" t="s">
        <v>692</v>
      </c>
      <c r="AB6" s="269" t="s">
        <v>693</v>
      </c>
      <c r="AC6" s="269" t="s">
        <v>397</v>
      </c>
      <c r="AD6" s="461"/>
      <c r="AE6" s="269" t="s">
        <v>405</v>
      </c>
      <c r="AF6" s="269" t="s">
        <v>692</v>
      </c>
      <c r="AG6" s="269" t="s">
        <v>693</v>
      </c>
      <c r="AH6" s="269" t="s">
        <v>397</v>
      </c>
      <c r="AI6" s="461"/>
      <c r="AJ6" s="269" t="s">
        <v>405</v>
      </c>
      <c r="AK6" s="269" t="s">
        <v>692</v>
      </c>
      <c r="AL6" s="269" t="s">
        <v>693</v>
      </c>
      <c r="AM6" s="269" t="s">
        <v>397</v>
      </c>
      <c r="AN6" s="461"/>
      <c r="AO6" s="269" t="s">
        <v>405</v>
      </c>
      <c r="AP6" s="269" t="s">
        <v>692</v>
      </c>
      <c r="AQ6" s="269" t="s">
        <v>693</v>
      </c>
      <c r="AR6" s="269" t="s">
        <v>397</v>
      </c>
      <c r="AS6" s="461"/>
      <c r="AT6" s="269" t="s">
        <v>405</v>
      </c>
      <c r="AU6" s="269" t="s">
        <v>692</v>
      </c>
      <c r="AV6" s="269" t="s">
        <v>693</v>
      </c>
      <c r="AW6" s="269" t="s">
        <v>397</v>
      </c>
      <c r="AX6" s="461"/>
      <c r="AZ6" s="269" t="s">
        <v>397</v>
      </c>
      <c r="BA6" s="461"/>
    </row>
    <row r="7" spans="1:53" ht="13.5">
      <c r="A7" s="79"/>
      <c r="B7" s="461" t="s">
        <v>136</v>
      </c>
      <c r="C7" s="182">
        <v>1</v>
      </c>
      <c r="D7" s="203" t="s">
        <v>381</v>
      </c>
      <c r="E7" s="166">
        <v>7</v>
      </c>
      <c r="F7" s="182">
        <v>1500</v>
      </c>
      <c r="G7" s="180">
        <v>214.3</v>
      </c>
      <c r="H7" s="463">
        <f>AVERAGE(G7:G21)</f>
        <v>184.21428571428575</v>
      </c>
      <c r="I7" s="166">
        <f t="shared" ref="I7:I20" si="0">IFERROR(AVERAGE(P7,U7,Z7,AE7,AJ7,AO7,AT7),"-")</f>
        <v>7</v>
      </c>
      <c r="J7" s="166">
        <f t="shared" ref="J7:J20" si="1">IFERROR(AVERAGE(Q7,V7,AA7,AF7,AK7,AP7,AU7),"-")</f>
        <v>1486.5310820327213</v>
      </c>
      <c r="K7" s="180">
        <f t="shared" ref="K7:K20" si="2">IFERROR(AVERAGE(R7,W7,AB7,AG7,AL7,AQ7,AV7),"-")</f>
        <v>212.3615831475316</v>
      </c>
      <c r="L7" s="463">
        <f>IFERROR(AVERAGE(K7:K21),"-")</f>
        <v>178.48613962015105</v>
      </c>
      <c r="M7" s="181">
        <f>RANK(K7, K$7:$K$21)</f>
        <v>2</v>
      </c>
      <c r="N7" s="461"/>
      <c r="O7" s="461"/>
      <c r="P7" s="182">
        <v>7</v>
      </c>
      <c r="Q7" s="166">
        <v>1500.7999999999997</v>
      </c>
      <c r="R7" s="166">
        <v>214.39999999999995</v>
      </c>
      <c r="S7" s="182">
        <f t="shared" ref="S7:S21" si="3">RANK(R7, R$7:R$21)</f>
        <v>2</v>
      </c>
      <c r="T7" s="455">
        <f t="shared" ref="T7" si="4">AVERAGE(R7:R21)</f>
        <v>180.09645460854637</v>
      </c>
      <c r="U7" s="182">
        <v>7</v>
      </c>
      <c r="V7" s="166">
        <v>1504.6153846153843</v>
      </c>
      <c r="W7" s="166">
        <v>214.94505494505489</v>
      </c>
      <c r="X7" s="182">
        <f t="shared" ref="X7:X21" si="5">RANK(W7, W$7:W$21)</f>
        <v>2</v>
      </c>
      <c r="Y7" s="455">
        <f t="shared" ref="Y7" si="6">AVERAGE(W7:W21)</f>
        <v>179.49686487871173</v>
      </c>
      <c r="Z7" s="182">
        <v>7</v>
      </c>
      <c r="AA7" s="166">
        <v>1484.5454545454545</v>
      </c>
      <c r="AB7" s="166">
        <v>212.07792207792207</v>
      </c>
      <c r="AC7" s="182">
        <f t="shared" ref="AC7:AC21" si="7">RANK(AB7, AB$7:AB$21)</f>
        <v>3</v>
      </c>
      <c r="AD7" s="455">
        <f t="shared" ref="AD7" si="8">AVERAGE(AB7:AB21)</f>
        <v>177.88860096507273</v>
      </c>
      <c r="AE7" s="182">
        <v>7</v>
      </c>
      <c r="AF7" s="166">
        <v>1450.8196721311479</v>
      </c>
      <c r="AG7" s="166">
        <v>207.25995316159256</v>
      </c>
      <c r="AH7" s="182">
        <f t="shared" ref="AH7:AH21" si="9">RANK(AG7, AG$7:AG$21)</f>
        <v>4</v>
      </c>
      <c r="AI7" s="455">
        <f t="shared" ref="AI7" si="10">AVERAGE(AG7:AG21)</f>
        <v>177.44054114489933</v>
      </c>
      <c r="AJ7" s="182">
        <v>7</v>
      </c>
      <c r="AK7" s="166">
        <v>1489.8461538461534</v>
      </c>
      <c r="AL7" s="166">
        <v>212.83516483516476</v>
      </c>
      <c r="AM7" s="182">
        <f t="shared" ref="AM7:AM21" si="11">RANK(AL7, AL$7:AL$21)</f>
        <v>3</v>
      </c>
      <c r="AN7" s="455">
        <f t="shared" ref="AN7" si="12">AVERAGE(AL7:AL21)</f>
        <v>179.28626096861564</v>
      </c>
      <c r="AO7" s="182">
        <v>7</v>
      </c>
      <c r="AP7" s="166">
        <v>1486.0000000000005</v>
      </c>
      <c r="AQ7" s="166">
        <v>212.28571428571436</v>
      </c>
      <c r="AR7" s="182">
        <f t="shared" ref="AR7:AR21" si="13">RANK(AQ7, AQ$7:AQ$21)</f>
        <v>2</v>
      </c>
      <c r="AS7" s="455">
        <f t="shared" ref="AS7" si="14">AVERAGE(AQ7:AQ21)</f>
        <v>176.83846369358656</v>
      </c>
      <c r="AT7" s="182">
        <v>7</v>
      </c>
      <c r="AU7" s="166">
        <v>1489.090909090909</v>
      </c>
      <c r="AV7" s="166">
        <v>212.72727272727272</v>
      </c>
      <c r="AW7" s="182">
        <f t="shared" ref="AW7:AW21" si="15">RANK(AV7, AV$7:AV$21)</f>
        <v>3</v>
      </c>
      <c r="AX7" s="455">
        <f t="shared" ref="AX7" si="16">AVERAGE(AV7:AV21)</f>
        <v>178.3557910816248</v>
      </c>
      <c r="AZ7" s="182" t="e">
        <f t="shared" ref="AZ7:AZ21" si="17">RANK(AY7, AY$7:AY$21)</f>
        <v>#N/A</v>
      </c>
      <c r="BA7" s="455" t="e">
        <f t="shared" ref="BA7" si="18">AVERAGE(AY7:AY21)</f>
        <v>#DIV/0!</v>
      </c>
    </row>
    <row r="8" spans="1:53" ht="15" customHeight="1">
      <c r="A8" s="79"/>
      <c r="B8" s="454"/>
      <c r="C8" s="182">
        <v>2</v>
      </c>
      <c r="D8" s="203" t="s">
        <v>382</v>
      </c>
      <c r="E8" s="166">
        <v>7</v>
      </c>
      <c r="F8" s="182">
        <v>1500</v>
      </c>
      <c r="G8" s="180">
        <v>214.3</v>
      </c>
      <c r="H8" s="464"/>
      <c r="I8" s="166">
        <f t="shared" si="0"/>
        <v>7</v>
      </c>
      <c r="J8" s="166">
        <f t="shared" si="1"/>
        <v>1484.5718222325618</v>
      </c>
      <c r="K8" s="180">
        <f t="shared" si="2"/>
        <v>212.08168889036597</v>
      </c>
      <c r="L8" s="464"/>
      <c r="M8" s="181">
        <f>RANK(K8, K$7:$K$21)</f>
        <v>3</v>
      </c>
      <c r="N8" s="461"/>
      <c r="O8" s="461"/>
      <c r="P8" s="182">
        <v>7</v>
      </c>
      <c r="Q8" s="166">
        <v>1472.4507042253522</v>
      </c>
      <c r="R8" s="166">
        <v>210.35010060362174</v>
      </c>
      <c r="S8" s="182">
        <f t="shared" si="3"/>
        <v>4</v>
      </c>
      <c r="T8" s="455"/>
      <c r="U8" s="182">
        <v>7</v>
      </c>
      <c r="V8" s="166">
        <v>1476.6371681415928</v>
      </c>
      <c r="W8" s="166">
        <v>210.9481668773704</v>
      </c>
      <c r="X8" s="182">
        <f t="shared" si="5"/>
        <v>4</v>
      </c>
      <c r="Y8" s="455"/>
      <c r="Z8" s="182">
        <v>7</v>
      </c>
      <c r="AA8" s="166">
        <v>1501.008403361345</v>
      </c>
      <c r="AB8" s="166">
        <v>214.42977190876357</v>
      </c>
      <c r="AC8" s="182">
        <f t="shared" si="7"/>
        <v>2</v>
      </c>
      <c r="AD8" s="455"/>
      <c r="AE8" s="182">
        <v>7</v>
      </c>
      <c r="AF8" s="166">
        <v>1497.4789915966392</v>
      </c>
      <c r="AG8" s="166">
        <v>213.92557022809132</v>
      </c>
      <c r="AH8" s="182">
        <f t="shared" si="9"/>
        <v>2</v>
      </c>
      <c r="AI8" s="455"/>
      <c r="AJ8" s="182">
        <v>7</v>
      </c>
      <c r="AK8" s="166">
        <v>1504.0677966101698</v>
      </c>
      <c r="AL8" s="166">
        <v>214.86682808716711</v>
      </c>
      <c r="AM8" s="182">
        <f t="shared" si="11"/>
        <v>2</v>
      </c>
      <c r="AN8" s="455"/>
      <c r="AO8" s="182">
        <v>7</v>
      </c>
      <c r="AP8" s="166">
        <v>1471.3274336283187</v>
      </c>
      <c r="AQ8" s="166">
        <v>210.1896333754741</v>
      </c>
      <c r="AR8" s="182">
        <f t="shared" si="13"/>
        <v>4</v>
      </c>
      <c r="AS8" s="455"/>
      <c r="AT8" s="182">
        <v>7</v>
      </c>
      <c r="AU8" s="166">
        <v>1469.0322580645156</v>
      </c>
      <c r="AV8" s="166">
        <v>209.86175115207365</v>
      </c>
      <c r="AW8" s="182">
        <f t="shared" si="15"/>
        <v>4</v>
      </c>
      <c r="AX8" s="455"/>
      <c r="AZ8" s="182" t="e">
        <f t="shared" si="17"/>
        <v>#N/A</v>
      </c>
      <c r="BA8" s="455"/>
    </row>
    <row r="9" spans="1:53" ht="13.5">
      <c r="A9" s="79"/>
      <c r="B9" s="454"/>
      <c r="C9" s="182">
        <v>3</v>
      </c>
      <c r="D9" s="203" t="s">
        <v>349</v>
      </c>
      <c r="E9" s="166">
        <v>20</v>
      </c>
      <c r="F9" s="182">
        <v>1500</v>
      </c>
      <c r="G9" s="180">
        <v>75</v>
      </c>
      <c r="H9" s="464"/>
      <c r="I9" s="166">
        <f t="shared" si="0"/>
        <v>20</v>
      </c>
      <c r="J9" s="166">
        <f t="shared" si="1"/>
        <v>1417.2040201345376</v>
      </c>
      <c r="K9" s="180">
        <f t="shared" si="2"/>
        <v>70.860201006726896</v>
      </c>
      <c r="L9" s="464"/>
      <c r="M9" s="181">
        <f>RANK(K9, K$7:$K$21)</f>
        <v>7</v>
      </c>
      <c r="N9" s="461"/>
      <c r="O9" s="461"/>
      <c r="P9" s="182">
        <v>20</v>
      </c>
      <c r="Q9" s="166">
        <v>1406.0869565217395</v>
      </c>
      <c r="R9" s="166">
        <v>70.304347826086968</v>
      </c>
      <c r="S9" s="182">
        <f t="shared" si="3"/>
        <v>7</v>
      </c>
      <c r="T9" s="455"/>
      <c r="U9" s="182">
        <v>20</v>
      </c>
      <c r="V9" s="166">
        <v>1428.9557522123894</v>
      </c>
      <c r="W9" s="166">
        <v>71.447787610619471</v>
      </c>
      <c r="X9" s="182">
        <f t="shared" si="5"/>
        <v>7</v>
      </c>
      <c r="Y9" s="455"/>
      <c r="Z9" s="182">
        <v>20</v>
      </c>
      <c r="AA9" s="166">
        <v>1408.5000000000002</v>
      </c>
      <c r="AB9" s="166">
        <v>70.425000000000011</v>
      </c>
      <c r="AC9" s="182">
        <f t="shared" si="7"/>
        <v>7</v>
      </c>
      <c r="AD9" s="455"/>
      <c r="AE9" s="182">
        <v>20</v>
      </c>
      <c r="AF9" s="166">
        <v>1436.3114754098365</v>
      </c>
      <c r="AG9" s="166">
        <v>71.815573770491824</v>
      </c>
      <c r="AH9" s="182">
        <f t="shared" si="9"/>
        <v>7</v>
      </c>
      <c r="AI9" s="455"/>
      <c r="AJ9" s="182">
        <v>20</v>
      </c>
      <c r="AK9" s="166">
        <v>1416.8181818181818</v>
      </c>
      <c r="AL9" s="166">
        <v>70.840909090909093</v>
      </c>
      <c r="AM9" s="182">
        <f t="shared" si="11"/>
        <v>7</v>
      </c>
      <c r="AN9" s="455"/>
      <c r="AO9" s="182">
        <v>20</v>
      </c>
      <c r="AP9" s="166">
        <v>1406.1654135338345</v>
      </c>
      <c r="AQ9" s="166">
        <v>70.30827067669172</v>
      </c>
      <c r="AR9" s="182">
        <f t="shared" si="13"/>
        <v>7</v>
      </c>
      <c r="AS9" s="455"/>
      <c r="AT9" s="182">
        <v>20</v>
      </c>
      <c r="AU9" s="166">
        <v>1417.5903614457827</v>
      </c>
      <c r="AV9" s="166">
        <v>70.87951807228913</v>
      </c>
      <c r="AW9" s="182">
        <f t="shared" si="15"/>
        <v>7</v>
      </c>
      <c r="AX9" s="455"/>
      <c r="AZ9" s="182" t="e">
        <f t="shared" si="17"/>
        <v>#N/A</v>
      </c>
      <c r="BA9" s="455"/>
    </row>
    <row r="10" spans="1:53" ht="13.5">
      <c r="A10" s="79"/>
      <c r="B10" s="454"/>
      <c r="C10" s="182">
        <v>4</v>
      </c>
      <c r="D10" s="203" t="s">
        <v>383</v>
      </c>
      <c r="E10" s="166">
        <v>16</v>
      </c>
      <c r="F10" s="182">
        <v>1440</v>
      </c>
      <c r="G10" s="180">
        <v>84.7</v>
      </c>
      <c r="H10" s="464"/>
      <c r="I10" s="166">
        <f t="shared" si="0"/>
        <v>16</v>
      </c>
      <c r="J10" s="166">
        <f t="shared" si="1"/>
        <v>1392.7233216106138</v>
      </c>
      <c r="K10" s="180">
        <f t="shared" si="2"/>
        <v>87.04520760066336</v>
      </c>
      <c r="L10" s="464"/>
      <c r="M10" s="181">
        <f>RANK(K10, K$7:$K$21)</f>
        <v>6</v>
      </c>
      <c r="N10" s="461"/>
      <c r="O10" s="461"/>
      <c r="P10" s="182">
        <v>16</v>
      </c>
      <c r="Q10" s="166">
        <v>1445.2173913043478</v>
      </c>
      <c r="R10" s="166">
        <v>90.326086956521735</v>
      </c>
      <c r="S10" s="182">
        <f t="shared" si="3"/>
        <v>6</v>
      </c>
      <c r="T10" s="455"/>
      <c r="U10" s="182">
        <v>16</v>
      </c>
      <c r="V10" s="166">
        <v>1406.5822784810118</v>
      </c>
      <c r="W10" s="166">
        <v>87.911392405063239</v>
      </c>
      <c r="X10" s="182">
        <f t="shared" si="5"/>
        <v>6</v>
      </c>
      <c r="Y10" s="455"/>
      <c r="Z10" s="182">
        <v>16</v>
      </c>
      <c r="AA10" s="166">
        <v>1369.0140845070425</v>
      </c>
      <c r="AB10" s="166">
        <v>85.563380281690158</v>
      </c>
      <c r="AC10" s="182">
        <f t="shared" si="7"/>
        <v>6</v>
      </c>
      <c r="AD10" s="455"/>
      <c r="AE10" s="182">
        <v>16</v>
      </c>
      <c r="AF10" s="166">
        <v>1371.4285714285716</v>
      </c>
      <c r="AG10" s="166">
        <v>85.714285714285722</v>
      </c>
      <c r="AH10" s="182">
        <f t="shared" si="9"/>
        <v>6</v>
      </c>
      <c r="AI10" s="455"/>
      <c r="AJ10" s="182">
        <v>16</v>
      </c>
      <c r="AK10" s="166">
        <v>1387.0129870129877</v>
      </c>
      <c r="AL10" s="166">
        <v>86.688311688311728</v>
      </c>
      <c r="AM10" s="182">
        <f t="shared" si="11"/>
        <v>6</v>
      </c>
      <c r="AN10" s="455"/>
      <c r="AO10" s="182">
        <v>16</v>
      </c>
      <c r="AP10" s="166">
        <v>1382.5352112676057</v>
      </c>
      <c r="AQ10" s="166">
        <v>86.408450704225359</v>
      </c>
      <c r="AR10" s="182">
        <f t="shared" si="13"/>
        <v>6</v>
      </c>
      <c r="AS10" s="455"/>
      <c r="AT10" s="182">
        <v>16</v>
      </c>
      <c r="AU10" s="166">
        <v>1387.2727272727277</v>
      </c>
      <c r="AV10" s="166">
        <v>86.704545454545482</v>
      </c>
      <c r="AW10" s="182">
        <f t="shared" si="15"/>
        <v>6</v>
      </c>
      <c r="AX10" s="455"/>
      <c r="AZ10" s="182" t="e">
        <f t="shared" si="17"/>
        <v>#N/A</v>
      </c>
      <c r="BA10" s="455"/>
    </row>
    <row r="11" spans="1:53" ht="13.5">
      <c r="A11" s="79"/>
      <c r="B11" s="454"/>
      <c r="C11" s="182">
        <v>5</v>
      </c>
      <c r="D11" s="203" t="s">
        <v>423</v>
      </c>
      <c r="E11" s="166">
        <v>7</v>
      </c>
      <c r="F11" s="182">
        <v>1500</v>
      </c>
      <c r="G11" s="180">
        <v>214.3</v>
      </c>
      <c r="H11" s="464"/>
      <c r="I11" s="166">
        <f t="shared" si="0"/>
        <v>7</v>
      </c>
      <c r="J11" s="166">
        <f t="shared" si="1"/>
        <v>1478.1587869274558</v>
      </c>
      <c r="K11" s="180">
        <f t="shared" si="2"/>
        <v>211.16554098963658</v>
      </c>
      <c r="L11" s="464"/>
      <c r="M11" s="181">
        <f>RANK(K11, K$7:$K$21)</f>
        <v>4</v>
      </c>
      <c r="N11" s="461"/>
      <c r="O11" s="461"/>
      <c r="P11" s="182">
        <v>7</v>
      </c>
      <c r="Q11" s="166">
        <v>1462.1052631578948</v>
      </c>
      <c r="R11" s="166">
        <v>208.87218045112783</v>
      </c>
      <c r="S11" s="182">
        <f t="shared" si="3"/>
        <v>5</v>
      </c>
      <c r="T11" s="455"/>
      <c r="U11" s="182">
        <v>7</v>
      </c>
      <c r="V11" s="166">
        <v>1488.9473684210523</v>
      </c>
      <c r="W11" s="166">
        <v>212.70676691729318</v>
      </c>
      <c r="X11" s="182">
        <f t="shared" si="5"/>
        <v>3</v>
      </c>
      <c r="Y11" s="455"/>
      <c r="Z11" s="182">
        <v>7</v>
      </c>
      <c r="AA11" s="166">
        <v>1468.6956521739137</v>
      </c>
      <c r="AB11" s="166">
        <v>209.81366459627338</v>
      </c>
      <c r="AC11" s="182">
        <f t="shared" si="7"/>
        <v>4</v>
      </c>
      <c r="AD11" s="455"/>
      <c r="AE11" s="182">
        <v>7</v>
      </c>
      <c r="AF11" s="166">
        <v>1478.5714285714282</v>
      </c>
      <c r="AG11" s="166">
        <v>211.22448979591832</v>
      </c>
      <c r="AH11" s="182">
        <f t="shared" si="9"/>
        <v>3</v>
      </c>
      <c r="AI11" s="455"/>
      <c r="AJ11" s="182">
        <v>7</v>
      </c>
      <c r="AK11" s="166">
        <v>1475.8695652173919</v>
      </c>
      <c r="AL11" s="166">
        <v>210.83850931677028</v>
      </c>
      <c r="AM11" s="182">
        <f t="shared" si="11"/>
        <v>4</v>
      </c>
      <c r="AN11" s="455"/>
      <c r="AO11" s="182">
        <v>7</v>
      </c>
      <c r="AP11" s="166">
        <v>1471.5789473684213</v>
      </c>
      <c r="AQ11" s="166">
        <v>210.22556390977448</v>
      </c>
      <c r="AR11" s="182">
        <f t="shared" si="13"/>
        <v>3</v>
      </c>
      <c r="AS11" s="455"/>
      <c r="AT11" s="182">
        <v>7</v>
      </c>
      <c r="AU11" s="166">
        <v>1501.3432835820895</v>
      </c>
      <c r="AV11" s="166">
        <v>214.47761194029849</v>
      </c>
      <c r="AW11" s="182">
        <f t="shared" si="15"/>
        <v>2</v>
      </c>
      <c r="AX11" s="455"/>
      <c r="AZ11" s="182" t="e">
        <f t="shared" si="17"/>
        <v>#N/A</v>
      </c>
      <c r="BA11" s="455"/>
    </row>
    <row r="12" spans="1:53" ht="13.5">
      <c r="A12" s="79"/>
      <c r="B12" s="454"/>
      <c r="C12" s="182">
        <v>6</v>
      </c>
      <c r="D12" s="203" t="s">
        <v>801</v>
      </c>
      <c r="E12" s="166">
        <v>6</v>
      </c>
      <c r="F12" s="182">
        <v>1636</v>
      </c>
      <c r="G12" s="180">
        <v>272.60000000000002</v>
      </c>
      <c r="H12" s="464"/>
      <c r="I12" s="166">
        <f t="shared" si="0"/>
        <v>6</v>
      </c>
      <c r="J12" s="166">
        <f t="shared" si="1"/>
        <v>1539.0921342517654</v>
      </c>
      <c r="K12" s="180">
        <f t="shared" si="2"/>
        <v>256.51535570862762</v>
      </c>
      <c r="L12" s="464"/>
      <c r="M12" s="181">
        <f>RANK(K12, K$7:$K$21)</f>
        <v>1</v>
      </c>
      <c r="N12" s="461"/>
      <c r="O12" s="461"/>
      <c r="P12" s="182">
        <v>6</v>
      </c>
      <c r="Q12" s="166">
        <v>1512.8205128205129</v>
      </c>
      <c r="R12" s="166">
        <v>252.13675213675216</v>
      </c>
      <c r="S12" s="182">
        <f t="shared" si="3"/>
        <v>1</v>
      </c>
      <c r="T12" s="455"/>
      <c r="U12" s="182">
        <v>6</v>
      </c>
      <c r="V12" s="166">
        <v>1557.1962616822429</v>
      </c>
      <c r="W12" s="166">
        <v>259.53271028037381</v>
      </c>
      <c r="X12" s="182">
        <f t="shared" si="5"/>
        <v>1</v>
      </c>
      <c r="Y12" s="455"/>
      <c r="Z12" s="182">
        <v>6</v>
      </c>
      <c r="AA12" s="166">
        <v>1530.3703703703698</v>
      </c>
      <c r="AB12" s="166">
        <v>255.06172839506164</v>
      </c>
      <c r="AC12" s="182">
        <f t="shared" si="7"/>
        <v>1</v>
      </c>
      <c r="AD12" s="455"/>
      <c r="AE12" s="182">
        <v>6</v>
      </c>
      <c r="AF12" s="166">
        <v>1540.8000000000006</v>
      </c>
      <c r="AG12" s="166">
        <v>256.80000000000013</v>
      </c>
      <c r="AH12" s="182">
        <f t="shared" si="9"/>
        <v>1</v>
      </c>
      <c r="AI12" s="455"/>
      <c r="AJ12" s="182">
        <v>6</v>
      </c>
      <c r="AK12" s="166">
        <v>1554.2168674698789</v>
      </c>
      <c r="AL12" s="166">
        <v>259.03614457831316</v>
      </c>
      <c r="AM12" s="182">
        <f t="shared" si="11"/>
        <v>1</v>
      </c>
      <c r="AN12" s="455"/>
      <c r="AO12" s="182">
        <v>6</v>
      </c>
      <c r="AP12" s="166">
        <v>1518.7096774193551</v>
      </c>
      <c r="AQ12" s="166">
        <v>253.11827956989251</v>
      </c>
      <c r="AR12" s="182">
        <f t="shared" si="13"/>
        <v>1</v>
      </c>
      <c r="AS12" s="455"/>
      <c r="AT12" s="182">
        <v>6</v>
      </c>
      <c r="AU12" s="166">
        <v>1559.5312499999995</v>
      </c>
      <c r="AV12" s="166">
        <v>259.92187499999994</v>
      </c>
      <c r="AW12" s="182">
        <f t="shared" si="15"/>
        <v>1</v>
      </c>
      <c r="AX12" s="455"/>
      <c r="AZ12" s="182" t="e">
        <f t="shared" si="17"/>
        <v>#N/A</v>
      </c>
      <c r="BA12" s="455"/>
    </row>
    <row r="13" spans="1:53" ht="13.5">
      <c r="A13" s="79"/>
      <c r="B13" s="454"/>
      <c r="C13" s="182">
        <v>7</v>
      </c>
      <c r="D13" s="203" t="s">
        <v>770</v>
      </c>
      <c r="E13" s="166">
        <v>7</v>
      </c>
      <c r="F13" s="182">
        <v>1500</v>
      </c>
      <c r="G13" s="180">
        <v>214.3</v>
      </c>
      <c r="H13" s="464"/>
      <c r="I13" s="166">
        <f t="shared" si="0"/>
        <v>7</v>
      </c>
      <c r="J13" s="166">
        <f t="shared" si="1"/>
        <v>1395.6137999825362</v>
      </c>
      <c r="K13" s="180">
        <f t="shared" si="2"/>
        <v>199.37339999750515</v>
      </c>
      <c r="L13" s="464"/>
      <c r="M13" s="181">
        <f>RANK(K13, K$7:$K$21)</f>
        <v>5</v>
      </c>
      <c r="N13" s="461"/>
      <c r="O13" s="461"/>
      <c r="P13" s="182">
        <v>7</v>
      </c>
      <c r="Q13" s="166">
        <v>1499.9999999999998</v>
      </c>
      <c r="R13" s="166">
        <v>214.28571428571425</v>
      </c>
      <c r="S13" s="182">
        <f t="shared" si="3"/>
        <v>3</v>
      </c>
      <c r="T13" s="455"/>
      <c r="U13" s="182">
        <v>7</v>
      </c>
      <c r="V13" s="166">
        <v>1392.9032258064517</v>
      </c>
      <c r="W13" s="166">
        <v>198.98617511520737</v>
      </c>
      <c r="X13" s="182">
        <f t="shared" si="5"/>
        <v>5</v>
      </c>
      <c r="Y13" s="455"/>
      <c r="Z13" s="182">
        <v>7</v>
      </c>
      <c r="AA13" s="166">
        <v>1384.9411764705881</v>
      </c>
      <c r="AB13" s="166">
        <v>197.8487394957983</v>
      </c>
      <c r="AC13" s="182">
        <f t="shared" si="7"/>
        <v>5</v>
      </c>
      <c r="AD13" s="455"/>
      <c r="AE13" s="182">
        <v>7</v>
      </c>
      <c r="AF13" s="166">
        <v>1367.4074074074069</v>
      </c>
      <c r="AG13" s="166">
        <v>195.34391534391528</v>
      </c>
      <c r="AH13" s="182">
        <f t="shared" si="9"/>
        <v>5</v>
      </c>
      <c r="AI13" s="455"/>
      <c r="AJ13" s="182">
        <v>7</v>
      </c>
      <c r="AK13" s="166">
        <v>1399.2857142857138</v>
      </c>
      <c r="AL13" s="166">
        <v>199.89795918367341</v>
      </c>
      <c r="AM13" s="182">
        <f t="shared" si="11"/>
        <v>5</v>
      </c>
      <c r="AN13" s="455"/>
      <c r="AO13" s="182">
        <v>7</v>
      </c>
      <c r="AP13" s="166">
        <v>1367.3333333333333</v>
      </c>
      <c r="AQ13" s="166">
        <v>195.33333333333331</v>
      </c>
      <c r="AR13" s="182">
        <f t="shared" si="13"/>
        <v>5</v>
      </c>
      <c r="AS13" s="455"/>
      <c r="AT13" s="182">
        <v>7</v>
      </c>
      <c r="AU13" s="166">
        <v>1357.425742574258</v>
      </c>
      <c r="AV13" s="166">
        <v>193.91796322489401</v>
      </c>
      <c r="AW13" s="182">
        <f t="shared" si="15"/>
        <v>5</v>
      </c>
      <c r="AX13" s="455"/>
      <c r="AZ13" s="182" t="e">
        <f t="shared" si="17"/>
        <v>#N/A</v>
      </c>
      <c r="BA13" s="455"/>
    </row>
    <row r="14" spans="1:53" ht="13.5">
      <c r="A14" s="79"/>
      <c r="B14" s="454"/>
      <c r="C14" s="182">
        <v>8</v>
      </c>
      <c r="D14" s="290"/>
      <c r="E14" s="166"/>
      <c r="F14" s="166"/>
      <c r="G14" s="166"/>
      <c r="H14" s="464"/>
      <c r="I14" s="166" t="str">
        <f t="shared" si="0"/>
        <v>-</v>
      </c>
      <c r="J14" s="166" t="str">
        <f t="shared" si="1"/>
        <v>-</v>
      </c>
      <c r="K14" s="180" t="str">
        <f t="shared" si="2"/>
        <v>-</v>
      </c>
      <c r="L14" s="464"/>
      <c r="M14" s="181" t="e">
        <f>RANK(K14, K$7:$K$21)</f>
        <v>#VALUE!</v>
      </c>
      <c r="N14" s="461"/>
      <c r="O14" s="461"/>
      <c r="P14" s="182" t="s">
        <v>890</v>
      </c>
      <c r="Q14" s="166" t="s">
        <v>890</v>
      </c>
      <c r="R14" s="166" t="s">
        <v>890</v>
      </c>
      <c r="S14" s="182" t="e">
        <f t="shared" si="3"/>
        <v>#VALUE!</v>
      </c>
      <c r="T14" s="455"/>
      <c r="U14" s="182" t="s">
        <v>890</v>
      </c>
      <c r="V14" s="166" t="s">
        <v>890</v>
      </c>
      <c r="W14" s="166" t="s">
        <v>890</v>
      </c>
      <c r="X14" s="182" t="e">
        <f t="shared" si="5"/>
        <v>#VALUE!</v>
      </c>
      <c r="Y14" s="455"/>
      <c r="Z14" s="182" t="s">
        <v>890</v>
      </c>
      <c r="AA14" s="166" t="s">
        <v>890</v>
      </c>
      <c r="AB14" s="166" t="s">
        <v>890</v>
      </c>
      <c r="AC14" s="182" t="e">
        <f t="shared" si="7"/>
        <v>#VALUE!</v>
      </c>
      <c r="AD14" s="455"/>
      <c r="AE14" s="182" t="s">
        <v>890</v>
      </c>
      <c r="AF14" s="166" t="s">
        <v>890</v>
      </c>
      <c r="AG14" s="166" t="s">
        <v>890</v>
      </c>
      <c r="AH14" s="182" t="e">
        <f t="shared" si="9"/>
        <v>#VALUE!</v>
      </c>
      <c r="AI14" s="455"/>
      <c r="AJ14" s="182" t="s">
        <v>890</v>
      </c>
      <c r="AK14" s="166" t="s">
        <v>890</v>
      </c>
      <c r="AL14" s="166" t="s">
        <v>890</v>
      </c>
      <c r="AM14" s="182" t="e">
        <f t="shared" si="11"/>
        <v>#VALUE!</v>
      </c>
      <c r="AN14" s="455"/>
      <c r="AO14" s="182" t="s">
        <v>890</v>
      </c>
      <c r="AP14" s="166" t="s">
        <v>890</v>
      </c>
      <c r="AQ14" s="166" t="s">
        <v>890</v>
      </c>
      <c r="AR14" s="182" t="e">
        <f t="shared" si="13"/>
        <v>#VALUE!</v>
      </c>
      <c r="AS14" s="455"/>
      <c r="AT14" s="182" t="s">
        <v>890</v>
      </c>
      <c r="AU14" s="166" t="s">
        <v>890</v>
      </c>
      <c r="AV14" s="166" t="s">
        <v>890</v>
      </c>
      <c r="AW14" s="182" t="e">
        <f t="shared" si="15"/>
        <v>#VALUE!</v>
      </c>
      <c r="AX14" s="455"/>
      <c r="AZ14" s="182" t="e">
        <f t="shared" si="17"/>
        <v>#N/A</v>
      </c>
      <c r="BA14" s="455"/>
    </row>
    <row r="15" spans="1:53" ht="13.5">
      <c r="A15" s="79"/>
      <c r="B15" s="454"/>
      <c r="C15" s="182">
        <v>9</v>
      </c>
      <c r="D15" s="203"/>
      <c r="E15" s="166"/>
      <c r="F15" s="166"/>
      <c r="G15" s="166"/>
      <c r="H15" s="464"/>
      <c r="I15" s="166" t="str">
        <f t="shared" si="0"/>
        <v>-</v>
      </c>
      <c r="J15" s="166" t="str">
        <f t="shared" si="1"/>
        <v>-</v>
      </c>
      <c r="K15" s="180" t="str">
        <f t="shared" si="2"/>
        <v>-</v>
      </c>
      <c r="L15" s="464"/>
      <c r="M15" s="181" t="e">
        <f>RANK(K15, K$7:$K$21)</f>
        <v>#VALUE!</v>
      </c>
      <c r="N15" s="461"/>
      <c r="O15" s="461"/>
      <c r="P15" s="182" t="s">
        <v>890</v>
      </c>
      <c r="Q15" s="166" t="s">
        <v>890</v>
      </c>
      <c r="R15" s="166" t="s">
        <v>890</v>
      </c>
      <c r="S15" s="182" t="e">
        <f t="shared" si="3"/>
        <v>#VALUE!</v>
      </c>
      <c r="T15" s="455"/>
      <c r="U15" s="182" t="s">
        <v>890</v>
      </c>
      <c r="V15" s="166" t="s">
        <v>890</v>
      </c>
      <c r="W15" s="166" t="s">
        <v>890</v>
      </c>
      <c r="X15" s="182" t="e">
        <f t="shared" si="5"/>
        <v>#VALUE!</v>
      </c>
      <c r="Y15" s="455"/>
      <c r="Z15" s="182" t="s">
        <v>890</v>
      </c>
      <c r="AA15" s="166" t="s">
        <v>890</v>
      </c>
      <c r="AB15" s="166" t="s">
        <v>890</v>
      </c>
      <c r="AC15" s="182" t="e">
        <f t="shared" si="7"/>
        <v>#VALUE!</v>
      </c>
      <c r="AD15" s="455"/>
      <c r="AE15" s="182" t="s">
        <v>890</v>
      </c>
      <c r="AF15" s="166" t="s">
        <v>890</v>
      </c>
      <c r="AG15" s="166" t="s">
        <v>890</v>
      </c>
      <c r="AH15" s="182" t="e">
        <f t="shared" si="9"/>
        <v>#VALUE!</v>
      </c>
      <c r="AI15" s="455"/>
      <c r="AJ15" s="182" t="s">
        <v>890</v>
      </c>
      <c r="AK15" s="166" t="s">
        <v>890</v>
      </c>
      <c r="AL15" s="166" t="s">
        <v>890</v>
      </c>
      <c r="AM15" s="182" t="e">
        <f t="shared" si="11"/>
        <v>#VALUE!</v>
      </c>
      <c r="AN15" s="455"/>
      <c r="AO15" s="182" t="s">
        <v>890</v>
      </c>
      <c r="AP15" s="166" t="s">
        <v>890</v>
      </c>
      <c r="AQ15" s="166" t="s">
        <v>890</v>
      </c>
      <c r="AR15" s="182" t="e">
        <f t="shared" si="13"/>
        <v>#VALUE!</v>
      </c>
      <c r="AS15" s="455"/>
      <c r="AT15" s="182" t="s">
        <v>890</v>
      </c>
      <c r="AU15" s="166" t="s">
        <v>890</v>
      </c>
      <c r="AV15" s="166" t="s">
        <v>890</v>
      </c>
      <c r="AW15" s="182" t="e">
        <f t="shared" si="15"/>
        <v>#VALUE!</v>
      </c>
      <c r="AX15" s="455"/>
      <c r="AZ15" s="182" t="e">
        <f t="shared" si="17"/>
        <v>#N/A</v>
      </c>
      <c r="BA15" s="455"/>
    </row>
    <row r="16" spans="1:53" ht="13.5">
      <c r="A16" s="79"/>
      <c r="B16" s="454"/>
      <c r="C16" s="182">
        <v>10</v>
      </c>
      <c r="D16" s="203"/>
      <c r="E16" s="166"/>
      <c r="F16" s="166"/>
      <c r="G16" s="166"/>
      <c r="H16" s="464"/>
      <c r="I16" s="166" t="str">
        <f t="shared" si="0"/>
        <v>-</v>
      </c>
      <c r="J16" s="166" t="str">
        <f t="shared" si="1"/>
        <v>-</v>
      </c>
      <c r="K16" s="180" t="str">
        <f t="shared" si="2"/>
        <v>-</v>
      </c>
      <c r="L16" s="464"/>
      <c r="M16" s="181" t="e">
        <f>RANK(K16, K$7:$K$21)</f>
        <v>#VALUE!</v>
      </c>
      <c r="N16" s="461"/>
      <c r="O16" s="461"/>
      <c r="P16" s="182" t="s">
        <v>890</v>
      </c>
      <c r="Q16" s="166" t="s">
        <v>890</v>
      </c>
      <c r="R16" s="166" t="s">
        <v>890</v>
      </c>
      <c r="S16" s="182" t="e">
        <f t="shared" si="3"/>
        <v>#VALUE!</v>
      </c>
      <c r="T16" s="455"/>
      <c r="U16" s="182" t="s">
        <v>890</v>
      </c>
      <c r="V16" s="166" t="s">
        <v>890</v>
      </c>
      <c r="W16" s="166" t="s">
        <v>890</v>
      </c>
      <c r="X16" s="182" t="e">
        <f t="shared" si="5"/>
        <v>#VALUE!</v>
      </c>
      <c r="Y16" s="455"/>
      <c r="Z16" s="182" t="s">
        <v>890</v>
      </c>
      <c r="AA16" s="166" t="s">
        <v>890</v>
      </c>
      <c r="AB16" s="166" t="s">
        <v>890</v>
      </c>
      <c r="AC16" s="182" t="e">
        <f t="shared" si="7"/>
        <v>#VALUE!</v>
      </c>
      <c r="AD16" s="455"/>
      <c r="AE16" s="182" t="s">
        <v>890</v>
      </c>
      <c r="AF16" s="166" t="s">
        <v>890</v>
      </c>
      <c r="AG16" s="166" t="s">
        <v>890</v>
      </c>
      <c r="AH16" s="182" t="e">
        <f t="shared" si="9"/>
        <v>#VALUE!</v>
      </c>
      <c r="AI16" s="455"/>
      <c r="AJ16" s="182" t="s">
        <v>890</v>
      </c>
      <c r="AK16" s="166" t="s">
        <v>890</v>
      </c>
      <c r="AL16" s="166" t="s">
        <v>890</v>
      </c>
      <c r="AM16" s="182" t="e">
        <f t="shared" si="11"/>
        <v>#VALUE!</v>
      </c>
      <c r="AN16" s="455"/>
      <c r="AO16" s="182" t="s">
        <v>890</v>
      </c>
      <c r="AP16" s="166" t="s">
        <v>890</v>
      </c>
      <c r="AQ16" s="166" t="s">
        <v>890</v>
      </c>
      <c r="AR16" s="182" t="e">
        <f t="shared" si="13"/>
        <v>#VALUE!</v>
      </c>
      <c r="AS16" s="455"/>
      <c r="AT16" s="182" t="s">
        <v>890</v>
      </c>
      <c r="AU16" s="166" t="s">
        <v>890</v>
      </c>
      <c r="AV16" s="166" t="s">
        <v>890</v>
      </c>
      <c r="AW16" s="182" t="e">
        <f t="shared" si="15"/>
        <v>#VALUE!</v>
      </c>
      <c r="AX16" s="455"/>
      <c r="AZ16" s="182" t="e">
        <f t="shared" si="17"/>
        <v>#N/A</v>
      </c>
      <c r="BA16" s="455"/>
    </row>
    <row r="17" spans="2:53">
      <c r="B17" s="454"/>
      <c r="C17" s="182">
        <v>11</v>
      </c>
      <c r="D17" s="203"/>
      <c r="E17" s="166"/>
      <c r="F17" s="166"/>
      <c r="G17" s="166"/>
      <c r="H17" s="464"/>
      <c r="I17" s="166" t="str">
        <f t="shared" si="0"/>
        <v>-</v>
      </c>
      <c r="J17" s="166" t="str">
        <f t="shared" si="1"/>
        <v>-</v>
      </c>
      <c r="K17" s="180" t="str">
        <f t="shared" si="2"/>
        <v>-</v>
      </c>
      <c r="L17" s="464"/>
      <c r="M17" s="181" t="e">
        <f>RANK(K17, K$7:$K$21)</f>
        <v>#VALUE!</v>
      </c>
      <c r="N17" s="461"/>
      <c r="O17" s="461"/>
      <c r="P17" s="182" t="s">
        <v>890</v>
      </c>
      <c r="Q17" s="166" t="s">
        <v>890</v>
      </c>
      <c r="R17" s="166" t="s">
        <v>890</v>
      </c>
      <c r="S17" s="182" t="e">
        <f t="shared" si="3"/>
        <v>#VALUE!</v>
      </c>
      <c r="T17" s="455"/>
      <c r="U17" s="182" t="s">
        <v>890</v>
      </c>
      <c r="V17" s="166" t="s">
        <v>890</v>
      </c>
      <c r="W17" s="166" t="s">
        <v>890</v>
      </c>
      <c r="X17" s="182" t="e">
        <f t="shared" si="5"/>
        <v>#VALUE!</v>
      </c>
      <c r="Y17" s="455"/>
      <c r="Z17" s="182" t="s">
        <v>890</v>
      </c>
      <c r="AA17" s="166" t="s">
        <v>890</v>
      </c>
      <c r="AB17" s="166" t="s">
        <v>890</v>
      </c>
      <c r="AC17" s="182" t="e">
        <f t="shared" si="7"/>
        <v>#VALUE!</v>
      </c>
      <c r="AD17" s="455"/>
      <c r="AE17" s="182" t="s">
        <v>890</v>
      </c>
      <c r="AF17" s="166" t="s">
        <v>890</v>
      </c>
      <c r="AG17" s="166" t="s">
        <v>890</v>
      </c>
      <c r="AH17" s="182" t="e">
        <f t="shared" si="9"/>
        <v>#VALUE!</v>
      </c>
      <c r="AI17" s="455"/>
      <c r="AJ17" s="182" t="s">
        <v>890</v>
      </c>
      <c r="AK17" s="166" t="s">
        <v>890</v>
      </c>
      <c r="AL17" s="166" t="s">
        <v>890</v>
      </c>
      <c r="AM17" s="182" t="e">
        <f t="shared" si="11"/>
        <v>#VALUE!</v>
      </c>
      <c r="AN17" s="455"/>
      <c r="AO17" s="182" t="s">
        <v>890</v>
      </c>
      <c r="AP17" s="166" t="s">
        <v>890</v>
      </c>
      <c r="AQ17" s="166" t="s">
        <v>890</v>
      </c>
      <c r="AR17" s="182" t="e">
        <f t="shared" si="13"/>
        <v>#VALUE!</v>
      </c>
      <c r="AS17" s="455"/>
      <c r="AT17" s="182" t="s">
        <v>890</v>
      </c>
      <c r="AU17" s="166" t="s">
        <v>890</v>
      </c>
      <c r="AV17" s="166" t="s">
        <v>890</v>
      </c>
      <c r="AW17" s="182" t="e">
        <f t="shared" si="15"/>
        <v>#VALUE!</v>
      </c>
      <c r="AX17" s="455"/>
      <c r="AZ17" s="182" t="e">
        <f t="shared" si="17"/>
        <v>#N/A</v>
      </c>
      <c r="BA17" s="455"/>
    </row>
    <row r="18" spans="2:53">
      <c r="B18" s="454"/>
      <c r="C18" s="182">
        <v>12</v>
      </c>
      <c r="D18" s="203"/>
      <c r="E18" s="166"/>
      <c r="F18" s="166"/>
      <c r="G18" s="166"/>
      <c r="H18" s="464"/>
      <c r="I18" s="166" t="str">
        <f t="shared" si="0"/>
        <v>-</v>
      </c>
      <c r="J18" s="166" t="str">
        <f t="shared" si="1"/>
        <v>-</v>
      </c>
      <c r="K18" s="180" t="str">
        <f t="shared" si="2"/>
        <v>-</v>
      </c>
      <c r="L18" s="464"/>
      <c r="M18" s="181" t="e">
        <f>RANK(K18, K$7:$K$21)</f>
        <v>#VALUE!</v>
      </c>
      <c r="N18" s="461"/>
      <c r="O18" s="461"/>
      <c r="P18" s="182" t="s">
        <v>890</v>
      </c>
      <c r="Q18" s="166" t="s">
        <v>890</v>
      </c>
      <c r="R18" s="166" t="s">
        <v>890</v>
      </c>
      <c r="S18" s="182" t="e">
        <f t="shared" si="3"/>
        <v>#VALUE!</v>
      </c>
      <c r="T18" s="455"/>
      <c r="U18" s="182" t="s">
        <v>890</v>
      </c>
      <c r="V18" s="166" t="s">
        <v>890</v>
      </c>
      <c r="W18" s="166" t="s">
        <v>890</v>
      </c>
      <c r="X18" s="182" t="e">
        <f t="shared" si="5"/>
        <v>#VALUE!</v>
      </c>
      <c r="Y18" s="455"/>
      <c r="Z18" s="182" t="s">
        <v>890</v>
      </c>
      <c r="AA18" s="166" t="s">
        <v>890</v>
      </c>
      <c r="AB18" s="166" t="s">
        <v>890</v>
      </c>
      <c r="AC18" s="182" t="e">
        <f t="shared" si="7"/>
        <v>#VALUE!</v>
      </c>
      <c r="AD18" s="455"/>
      <c r="AE18" s="182" t="s">
        <v>890</v>
      </c>
      <c r="AF18" s="166" t="s">
        <v>890</v>
      </c>
      <c r="AG18" s="166" t="s">
        <v>890</v>
      </c>
      <c r="AH18" s="182" t="e">
        <f t="shared" si="9"/>
        <v>#VALUE!</v>
      </c>
      <c r="AI18" s="455"/>
      <c r="AJ18" s="182" t="s">
        <v>890</v>
      </c>
      <c r="AK18" s="166" t="s">
        <v>890</v>
      </c>
      <c r="AL18" s="166" t="s">
        <v>890</v>
      </c>
      <c r="AM18" s="182" t="e">
        <f t="shared" si="11"/>
        <v>#VALUE!</v>
      </c>
      <c r="AN18" s="455"/>
      <c r="AO18" s="182" t="s">
        <v>890</v>
      </c>
      <c r="AP18" s="166" t="s">
        <v>890</v>
      </c>
      <c r="AQ18" s="166" t="s">
        <v>890</v>
      </c>
      <c r="AR18" s="182" t="e">
        <f t="shared" si="13"/>
        <v>#VALUE!</v>
      </c>
      <c r="AS18" s="455"/>
      <c r="AT18" s="182" t="s">
        <v>890</v>
      </c>
      <c r="AU18" s="166" t="s">
        <v>890</v>
      </c>
      <c r="AV18" s="166" t="s">
        <v>890</v>
      </c>
      <c r="AW18" s="182" t="e">
        <f t="shared" si="15"/>
        <v>#VALUE!</v>
      </c>
      <c r="AX18" s="455"/>
      <c r="AZ18" s="182" t="e">
        <f t="shared" si="17"/>
        <v>#N/A</v>
      </c>
      <c r="BA18" s="455"/>
    </row>
    <row r="19" spans="2:53">
      <c r="B19" s="454"/>
      <c r="C19" s="182">
        <v>13</v>
      </c>
      <c r="D19" s="203"/>
      <c r="E19" s="166"/>
      <c r="F19" s="166"/>
      <c r="G19" s="166"/>
      <c r="H19" s="464"/>
      <c r="I19" s="166" t="str">
        <f t="shared" si="0"/>
        <v>-</v>
      </c>
      <c r="J19" s="166" t="str">
        <f t="shared" si="1"/>
        <v>-</v>
      </c>
      <c r="K19" s="180" t="str">
        <f t="shared" si="2"/>
        <v>-</v>
      </c>
      <c r="L19" s="464"/>
      <c r="M19" s="181" t="e">
        <f>RANK(K19, K$7:$K$21)</f>
        <v>#VALUE!</v>
      </c>
      <c r="N19" s="461"/>
      <c r="O19" s="461"/>
      <c r="P19" s="182" t="s">
        <v>890</v>
      </c>
      <c r="Q19" s="166" t="s">
        <v>890</v>
      </c>
      <c r="R19" s="166" t="s">
        <v>890</v>
      </c>
      <c r="S19" s="182" t="e">
        <f t="shared" si="3"/>
        <v>#VALUE!</v>
      </c>
      <c r="T19" s="455"/>
      <c r="U19" s="182" t="s">
        <v>890</v>
      </c>
      <c r="V19" s="166" t="s">
        <v>890</v>
      </c>
      <c r="W19" s="166" t="s">
        <v>890</v>
      </c>
      <c r="X19" s="182" t="e">
        <f t="shared" si="5"/>
        <v>#VALUE!</v>
      </c>
      <c r="Y19" s="455"/>
      <c r="Z19" s="182" t="s">
        <v>890</v>
      </c>
      <c r="AA19" s="166" t="s">
        <v>890</v>
      </c>
      <c r="AB19" s="166" t="s">
        <v>890</v>
      </c>
      <c r="AC19" s="182" t="e">
        <f t="shared" si="7"/>
        <v>#VALUE!</v>
      </c>
      <c r="AD19" s="455"/>
      <c r="AE19" s="182" t="s">
        <v>890</v>
      </c>
      <c r="AF19" s="166" t="s">
        <v>890</v>
      </c>
      <c r="AG19" s="166" t="s">
        <v>890</v>
      </c>
      <c r="AH19" s="182" t="e">
        <f t="shared" si="9"/>
        <v>#VALUE!</v>
      </c>
      <c r="AI19" s="455"/>
      <c r="AJ19" s="182" t="s">
        <v>890</v>
      </c>
      <c r="AK19" s="166" t="s">
        <v>890</v>
      </c>
      <c r="AL19" s="166" t="s">
        <v>890</v>
      </c>
      <c r="AM19" s="182" t="e">
        <f t="shared" si="11"/>
        <v>#VALUE!</v>
      </c>
      <c r="AN19" s="455"/>
      <c r="AO19" s="182" t="s">
        <v>890</v>
      </c>
      <c r="AP19" s="166" t="s">
        <v>890</v>
      </c>
      <c r="AQ19" s="166" t="s">
        <v>890</v>
      </c>
      <c r="AR19" s="182" t="e">
        <f t="shared" si="13"/>
        <v>#VALUE!</v>
      </c>
      <c r="AS19" s="455"/>
      <c r="AT19" s="182" t="s">
        <v>890</v>
      </c>
      <c r="AU19" s="166" t="s">
        <v>890</v>
      </c>
      <c r="AV19" s="166" t="s">
        <v>890</v>
      </c>
      <c r="AW19" s="182" t="e">
        <f t="shared" si="15"/>
        <v>#VALUE!</v>
      </c>
      <c r="AX19" s="455"/>
      <c r="AZ19" s="182" t="e">
        <f t="shared" si="17"/>
        <v>#N/A</v>
      </c>
      <c r="BA19" s="455"/>
    </row>
    <row r="20" spans="2:53">
      <c r="B20" s="454"/>
      <c r="C20" s="182">
        <v>14</v>
      </c>
      <c r="D20" s="203"/>
      <c r="E20" s="166"/>
      <c r="F20" s="166"/>
      <c r="G20" s="166"/>
      <c r="H20" s="464"/>
      <c r="I20" s="166" t="str">
        <f t="shared" si="0"/>
        <v>-</v>
      </c>
      <c r="J20" s="166" t="str">
        <f t="shared" si="1"/>
        <v>-</v>
      </c>
      <c r="K20" s="180" t="str">
        <f t="shared" si="2"/>
        <v>-</v>
      </c>
      <c r="L20" s="464"/>
      <c r="M20" s="181" t="e">
        <f>RANK(K20, K$7:$K$21)</f>
        <v>#VALUE!</v>
      </c>
      <c r="N20" s="461"/>
      <c r="O20" s="461"/>
      <c r="P20" s="182" t="s">
        <v>890</v>
      </c>
      <c r="Q20" s="166" t="s">
        <v>890</v>
      </c>
      <c r="R20" s="166" t="s">
        <v>890</v>
      </c>
      <c r="S20" s="182" t="e">
        <f t="shared" si="3"/>
        <v>#VALUE!</v>
      </c>
      <c r="T20" s="455"/>
      <c r="U20" s="182" t="s">
        <v>890</v>
      </c>
      <c r="V20" s="166" t="s">
        <v>890</v>
      </c>
      <c r="W20" s="166" t="s">
        <v>890</v>
      </c>
      <c r="X20" s="182" t="e">
        <f t="shared" si="5"/>
        <v>#VALUE!</v>
      </c>
      <c r="Y20" s="455"/>
      <c r="Z20" s="182" t="s">
        <v>890</v>
      </c>
      <c r="AA20" s="166" t="s">
        <v>890</v>
      </c>
      <c r="AB20" s="166" t="s">
        <v>890</v>
      </c>
      <c r="AC20" s="182" t="e">
        <f t="shared" si="7"/>
        <v>#VALUE!</v>
      </c>
      <c r="AD20" s="455"/>
      <c r="AE20" s="182" t="s">
        <v>890</v>
      </c>
      <c r="AF20" s="166" t="s">
        <v>890</v>
      </c>
      <c r="AG20" s="166" t="s">
        <v>890</v>
      </c>
      <c r="AH20" s="182" t="e">
        <f t="shared" si="9"/>
        <v>#VALUE!</v>
      </c>
      <c r="AI20" s="455"/>
      <c r="AJ20" s="182" t="s">
        <v>890</v>
      </c>
      <c r="AK20" s="166" t="s">
        <v>890</v>
      </c>
      <c r="AL20" s="166" t="s">
        <v>890</v>
      </c>
      <c r="AM20" s="182" t="e">
        <f t="shared" si="11"/>
        <v>#VALUE!</v>
      </c>
      <c r="AN20" s="455"/>
      <c r="AO20" s="182" t="s">
        <v>890</v>
      </c>
      <c r="AP20" s="166" t="s">
        <v>890</v>
      </c>
      <c r="AQ20" s="166" t="s">
        <v>890</v>
      </c>
      <c r="AR20" s="182" t="e">
        <f t="shared" si="13"/>
        <v>#VALUE!</v>
      </c>
      <c r="AS20" s="455"/>
      <c r="AT20" s="182" t="s">
        <v>890</v>
      </c>
      <c r="AU20" s="166" t="s">
        <v>890</v>
      </c>
      <c r="AV20" s="166" t="s">
        <v>890</v>
      </c>
      <c r="AW20" s="182" t="e">
        <f t="shared" si="15"/>
        <v>#VALUE!</v>
      </c>
      <c r="AX20" s="455"/>
      <c r="AZ20" s="182" t="e">
        <f t="shared" si="17"/>
        <v>#N/A</v>
      </c>
      <c r="BA20" s="455"/>
    </row>
    <row r="21" spans="2:53">
      <c r="B21" s="454"/>
      <c r="C21" s="182">
        <v>15</v>
      </c>
      <c r="D21" s="203"/>
      <c r="E21" s="166"/>
      <c r="F21" s="166"/>
      <c r="G21" s="166"/>
      <c r="H21" s="465"/>
      <c r="I21" s="182"/>
      <c r="J21" s="182"/>
      <c r="K21" s="182"/>
      <c r="L21" s="465"/>
      <c r="M21" s="181" t="e">
        <f>RANK(K21, K$7:$K$21)</f>
        <v>#N/A</v>
      </c>
      <c r="N21" s="461"/>
      <c r="O21" s="461"/>
      <c r="P21" s="182" t="s">
        <v>890</v>
      </c>
      <c r="Q21" s="166" t="s">
        <v>890</v>
      </c>
      <c r="R21" s="166" t="s">
        <v>890</v>
      </c>
      <c r="S21" s="182" t="e">
        <f t="shared" si="3"/>
        <v>#VALUE!</v>
      </c>
      <c r="T21" s="455"/>
      <c r="U21" s="182" t="s">
        <v>890</v>
      </c>
      <c r="V21" s="166" t="s">
        <v>890</v>
      </c>
      <c r="W21" s="166" t="s">
        <v>890</v>
      </c>
      <c r="X21" s="182" t="e">
        <f t="shared" si="5"/>
        <v>#VALUE!</v>
      </c>
      <c r="Y21" s="455"/>
      <c r="Z21" s="182" t="s">
        <v>890</v>
      </c>
      <c r="AA21" s="166" t="s">
        <v>890</v>
      </c>
      <c r="AB21" s="166" t="s">
        <v>890</v>
      </c>
      <c r="AC21" s="182" t="e">
        <f t="shared" si="7"/>
        <v>#VALUE!</v>
      </c>
      <c r="AD21" s="455"/>
      <c r="AE21" s="182" t="s">
        <v>890</v>
      </c>
      <c r="AF21" s="166" t="s">
        <v>890</v>
      </c>
      <c r="AG21" s="166" t="s">
        <v>890</v>
      </c>
      <c r="AH21" s="182" t="e">
        <f t="shared" si="9"/>
        <v>#VALUE!</v>
      </c>
      <c r="AI21" s="455"/>
      <c r="AJ21" s="182" t="s">
        <v>890</v>
      </c>
      <c r="AK21" s="166" t="s">
        <v>890</v>
      </c>
      <c r="AL21" s="166" t="s">
        <v>890</v>
      </c>
      <c r="AM21" s="182" t="e">
        <f t="shared" si="11"/>
        <v>#VALUE!</v>
      </c>
      <c r="AN21" s="455"/>
      <c r="AO21" s="182" t="s">
        <v>890</v>
      </c>
      <c r="AP21" s="166" t="s">
        <v>890</v>
      </c>
      <c r="AQ21" s="166" t="s">
        <v>890</v>
      </c>
      <c r="AR21" s="182" t="e">
        <f t="shared" si="13"/>
        <v>#VALUE!</v>
      </c>
      <c r="AS21" s="455"/>
      <c r="AT21" s="182" t="s">
        <v>890</v>
      </c>
      <c r="AU21" s="166" t="s">
        <v>890</v>
      </c>
      <c r="AV21" s="166" t="s">
        <v>890</v>
      </c>
      <c r="AW21" s="182" t="e">
        <f t="shared" si="15"/>
        <v>#VALUE!</v>
      </c>
      <c r="AX21" s="455"/>
      <c r="AZ21" s="182" t="e">
        <f t="shared" si="17"/>
        <v>#N/A</v>
      </c>
      <c r="BA21" s="455"/>
    </row>
    <row r="22" spans="2:53" ht="15.5">
      <c r="B22" s="493" t="s">
        <v>163</v>
      </c>
      <c r="C22" s="494"/>
      <c r="D22" s="494"/>
      <c r="E22" s="494"/>
      <c r="F22" s="494"/>
      <c r="G22" s="494"/>
      <c r="H22" s="494"/>
      <c r="I22" s="183"/>
      <c r="J22" s="183"/>
      <c r="K22" s="183"/>
      <c r="L22" s="183"/>
      <c r="M22" s="178"/>
      <c r="N22" s="480" t="s">
        <v>156</v>
      </c>
      <c r="O22" s="480" t="s">
        <v>105</v>
      </c>
      <c r="P22" s="476">
        <f>P2+7</f>
        <v>46119</v>
      </c>
      <c r="Q22" s="454"/>
      <c r="R22" s="454"/>
      <c r="S22" s="454"/>
      <c r="T22" s="454"/>
      <c r="U22" s="473">
        <f>P22+1</f>
        <v>46120</v>
      </c>
      <c r="V22" s="474"/>
      <c r="W22" s="474"/>
      <c r="X22" s="474"/>
      <c r="Y22" s="475"/>
      <c r="Z22" s="473">
        <f>U22+1</f>
        <v>46121</v>
      </c>
      <c r="AA22" s="474"/>
      <c r="AB22" s="474"/>
      <c r="AC22" s="474"/>
      <c r="AD22" s="475"/>
      <c r="AE22" s="473">
        <f>Z22+1</f>
        <v>46122</v>
      </c>
      <c r="AF22" s="474"/>
      <c r="AG22" s="474"/>
      <c r="AH22" s="474"/>
      <c r="AI22" s="475"/>
      <c r="AJ22" s="473">
        <f>AE22+1</f>
        <v>46123</v>
      </c>
      <c r="AK22" s="474"/>
      <c r="AL22" s="474"/>
      <c r="AM22" s="474"/>
      <c r="AN22" s="475"/>
      <c r="AO22" s="473">
        <f>AJ22+1</f>
        <v>46124</v>
      </c>
      <c r="AP22" s="474"/>
      <c r="AQ22" s="474"/>
      <c r="AR22" s="474"/>
      <c r="AS22" s="475"/>
      <c r="AT22" s="473">
        <f>AO22+1</f>
        <v>46125</v>
      </c>
      <c r="AU22" s="474"/>
      <c r="AV22" s="474"/>
      <c r="AW22" s="474"/>
      <c r="AX22" s="475"/>
    </row>
    <row r="23" spans="2:53" ht="15.5">
      <c r="B23" s="479"/>
      <c r="C23" s="479"/>
      <c r="D23" s="479"/>
      <c r="E23" s="479"/>
      <c r="F23" s="479"/>
      <c r="G23" s="479"/>
      <c r="H23" s="479"/>
      <c r="I23" s="184"/>
      <c r="J23" s="184"/>
      <c r="K23" s="184"/>
      <c r="L23" s="184"/>
      <c r="M23" s="179"/>
      <c r="N23" s="481"/>
      <c r="O23" s="481"/>
      <c r="P23" s="476" t="s">
        <v>336</v>
      </c>
      <c r="Q23" s="454"/>
      <c r="R23" s="454"/>
      <c r="S23" s="454"/>
      <c r="T23" s="454"/>
      <c r="U23" s="476" t="s">
        <v>337</v>
      </c>
      <c r="V23" s="454"/>
      <c r="W23" s="454"/>
      <c r="X23" s="454"/>
      <c r="Y23" s="454"/>
      <c r="Z23" s="476" t="s">
        <v>338</v>
      </c>
      <c r="AA23" s="454"/>
      <c r="AB23" s="454"/>
      <c r="AC23" s="454"/>
      <c r="AD23" s="454"/>
      <c r="AE23" s="476" t="s">
        <v>339</v>
      </c>
      <c r="AF23" s="454"/>
      <c r="AG23" s="454"/>
      <c r="AH23" s="454"/>
      <c r="AI23" s="454"/>
      <c r="AJ23" s="476" t="s">
        <v>340</v>
      </c>
      <c r="AK23" s="454"/>
      <c r="AL23" s="454"/>
      <c r="AM23" s="454"/>
      <c r="AN23" s="454"/>
      <c r="AO23" s="476" t="s">
        <v>341</v>
      </c>
      <c r="AP23" s="454"/>
      <c r="AQ23" s="454"/>
      <c r="AR23" s="454"/>
      <c r="AS23" s="454"/>
      <c r="AT23" s="476" t="s">
        <v>342</v>
      </c>
      <c r="AU23" s="454"/>
      <c r="AV23" s="454"/>
      <c r="AW23" s="454"/>
      <c r="AX23" s="454"/>
    </row>
    <row r="24" spans="2:53">
      <c r="B24" s="461" t="s">
        <v>515</v>
      </c>
      <c r="C24" s="461" t="s">
        <v>516</v>
      </c>
      <c r="D24" s="461"/>
      <c r="E24" s="461" t="s">
        <v>517</v>
      </c>
      <c r="F24" s="461"/>
      <c r="G24" s="461"/>
      <c r="H24" s="482" t="s">
        <v>488</v>
      </c>
      <c r="I24" s="461" t="s">
        <v>484</v>
      </c>
      <c r="J24" s="461"/>
      <c r="K24" s="461"/>
      <c r="L24" s="482" t="s">
        <v>396</v>
      </c>
      <c r="M24" s="480" t="s">
        <v>518</v>
      </c>
      <c r="N24" s="461"/>
      <c r="O24" s="461" t="s">
        <v>519</v>
      </c>
      <c r="P24" s="466" t="s">
        <v>486</v>
      </c>
      <c r="Q24" s="467"/>
      <c r="R24" s="467"/>
      <c r="S24" s="468"/>
      <c r="T24" s="461" t="s">
        <v>488</v>
      </c>
      <c r="U24" s="466" t="s">
        <v>486</v>
      </c>
      <c r="V24" s="467"/>
      <c r="W24" s="467"/>
      <c r="X24" s="468"/>
      <c r="Y24" s="461" t="s">
        <v>488</v>
      </c>
      <c r="Z24" s="466" t="s">
        <v>486</v>
      </c>
      <c r="AA24" s="467"/>
      <c r="AB24" s="467"/>
      <c r="AC24" s="468"/>
      <c r="AD24" s="461" t="s">
        <v>488</v>
      </c>
      <c r="AE24" s="466" t="s">
        <v>486</v>
      </c>
      <c r="AF24" s="467"/>
      <c r="AG24" s="467"/>
      <c r="AH24" s="468"/>
      <c r="AI24" s="461" t="s">
        <v>488</v>
      </c>
      <c r="AJ24" s="466" t="s">
        <v>486</v>
      </c>
      <c r="AK24" s="467"/>
      <c r="AL24" s="467"/>
      <c r="AM24" s="468"/>
      <c r="AN24" s="461" t="s">
        <v>488</v>
      </c>
      <c r="AO24" s="466" t="s">
        <v>486</v>
      </c>
      <c r="AP24" s="467"/>
      <c r="AQ24" s="467"/>
      <c r="AR24" s="468"/>
      <c r="AS24" s="461" t="s">
        <v>488</v>
      </c>
      <c r="AT24" s="466" t="s">
        <v>486</v>
      </c>
      <c r="AU24" s="467"/>
      <c r="AV24" s="467"/>
      <c r="AW24" s="468"/>
      <c r="AX24" s="461" t="s">
        <v>488</v>
      </c>
      <c r="BA24" s="461" t="s">
        <v>396</v>
      </c>
    </row>
    <row r="25" spans="2:53">
      <c r="B25" s="461"/>
      <c r="C25" s="461"/>
      <c r="D25" s="461"/>
      <c r="E25" s="461" t="s">
        <v>491</v>
      </c>
      <c r="F25" s="461"/>
      <c r="G25" s="461"/>
      <c r="H25" s="483"/>
      <c r="I25" s="461" t="s">
        <v>491</v>
      </c>
      <c r="J25" s="461"/>
      <c r="K25" s="461"/>
      <c r="L25" s="483"/>
      <c r="M25" s="485"/>
      <c r="N25" s="461"/>
      <c r="O25" s="461"/>
      <c r="P25" s="466" t="s">
        <v>492</v>
      </c>
      <c r="Q25" s="467"/>
      <c r="R25" s="467"/>
      <c r="S25" s="468"/>
      <c r="T25" s="461"/>
      <c r="U25" s="466" t="s">
        <v>492</v>
      </c>
      <c r="V25" s="467"/>
      <c r="W25" s="467"/>
      <c r="X25" s="468"/>
      <c r="Y25" s="461"/>
      <c r="Z25" s="466" t="s">
        <v>492</v>
      </c>
      <c r="AA25" s="467"/>
      <c r="AB25" s="467"/>
      <c r="AC25" s="468"/>
      <c r="AD25" s="461"/>
      <c r="AE25" s="466" t="s">
        <v>492</v>
      </c>
      <c r="AF25" s="467"/>
      <c r="AG25" s="467"/>
      <c r="AH25" s="468"/>
      <c r="AI25" s="461"/>
      <c r="AJ25" s="466" t="s">
        <v>492</v>
      </c>
      <c r="AK25" s="467"/>
      <c r="AL25" s="467"/>
      <c r="AM25" s="468"/>
      <c r="AN25" s="461"/>
      <c r="AO25" s="466" t="s">
        <v>492</v>
      </c>
      <c r="AP25" s="467"/>
      <c r="AQ25" s="467"/>
      <c r="AR25" s="468"/>
      <c r="AS25" s="461"/>
      <c r="AT25" s="466" t="s">
        <v>492</v>
      </c>
      <c r="AU25" s="467"/>
      <c r="AV25" s="467"/>
      <c r="AW25" s="468"/>
      <c r="AX25" s="461"/>
      <c r="BA25" s="461"/>
    </row>
    <row r="26" spans="2:53">
      <c r="B26" s="461"/>
      <c r="C26" s="461"/>
      <c r="D26" s="461"/>
      <c r="E26" s="269" t="s">
        <v>496</v>
      </c>
      <c r="F26" s="269" t="s">
        <v>520</v>
      </c>
      <c r="G26" s="269" t="s">
        <v>495</v>
      </c>
      <c r="H26" s="484"/>
      <c r="I26" s="269" t="s">
        <v>496</v>
      </c>
      <c r="J26" s="269" t="s">
        <v>520</v>
      </c>
      <c r="K26" s="269" t="s">
        <v>495</v>
      </c>
      <c r="L26" s="484"/>
      <c r="M26" s="481"/>
      <c r="N26" s="461"/>
      <c r="O26" s="461"/>
      <c r="P26" s="269" t="s">
        <v>496</v>
      </c>
      <c r="Q26" s="269" t="s">
        <v>520</v>
      </c>
      <c r="R26" s="269" t="s">
        <v>495</v>
      </c>
      <c r="S26" s="269" t="s">
        <v>518</v>
      </c>
      <c r="T26" s="461"/>
      <c r="U26" s="269" t="s">
        <v>496</v>
      </c>
      <c r="V26" s="269" t="s">
        <v>406</v>
      </c>
      <c r="W26" s="269" t="s">
        <v>495</v>
      </c>
      <c r="X26" s="269" t="s">
        <v>518</v>
      </c>
      <c r="Y26" s="461"/>
      <c r="Z26" s="269" t="s">
        <v>496</v>
      </c>
      <c r="AA26" s="269" t="s">
        <v>406</v>
      </c>
      <c r="AB26" s="269" t="s">
        <v>495</v>
      </c>
      <c r="AC26" s="269" t="s">
        <v>518</v>
      </c>
      <c r="AD26" s="461"/>
      <c r="AE26" s="269" t="s">
        <v>496</v>
      </c>
      <c r="AF26" s="269" t="s">
        <v>520</v>
      </c>
      <c r="AG26" s="269" t="s">
        <v>495</v>
      </c>
      <c r="AH26" s="269" t="s">
        <v>518</v>
      </c>
      <c r="AI26" s="461"/>
      <c r="AJ26" s="269" t="s">
        <v>496</v>
      </c>
      <c r="AK26" s="269" t="s">
        <v>520</v>
      </c>
      <c r="AL26" s="269" t="s">
        <v>495</v>
      </c>
      <c r="AM26" s="269" t="s">
        <v>518</v>
      </c>
      <c r="AN26" s="461"/>
      <c r="AO26" s="269" t="s">
        <v>496</v>
      </c>
      <c r="AP26" s="269" t="s">
        <v>520</v>
      </c>
      <c r="AQ26" s="269" t="s">
        <v>495</v>
      </c>
      <c r="AR26" s="269" t="s">
        <v>518</v>
      </c>
      <c r="AS26" s="461"/>
      <c r="AT26" s="269" t="s">
        <v>496</v>
      </c>
      <c r="AU26" s="269" t="s">
        <v>520</v>
      </c>
      <c r="AV26" s="269" t="s">
        <v>495</v>
      </c>
      <c r="AW26" s="269" t="s">
        <v>518</v>
      </c>
      <c r="AX26" s="461"/>
      <c r="AZ26" s="269" t="s">
        <v>397</v>
      </c>
      <c r="BA26" s="461"/>
    </row>
    <row r="27" spans="2:53">
      <c r="B27" s="461" t="s">
        <v>521</v>
      </c>
      <c r="C27" s="182">
        <v>1</v>
      </c>
      <c r="D27" s="203"/>
      <c r="E27" s="166"/>
      <c r="F27" s="182"/>
      <c r="G27" s="180"/>
      <c r="H27" s="463" t="e">
        <f>AVERAGE(G27:G41)</f>
        <v>#DIV/0!</v>
      </c>
      <c r="I27" s="166" t="str">
        <f t="shared" ref="I27:I40" si="19">IFERROR(AVERAGE(P27,U27,Z27,AE27,AJ27,AO27,AT27),"-")</f>
        <v>-</v>
      </c>
      <c r="J27" s="166" t="str">
        <f t="shared" ref="J27:J40" si="20">IFERROR(AVERAGE(Q27,V27,AA27,AF27,AK27,AP27,AU27),"-")</f>
        <v>-</v>
      </c>
      <c r="K27" s="180" t="str">
        <f t="shared" ref="K27:K40" si="21">IFERROR(AVERAGE(R27,W27,AB27,AG27,AL27,AQ27,AV27),"-")</f>
        <v>-</v>
      </c>
      <c r="L27" s="463" t="str">
        <f>IFERROR(AVERAGE(K27:K41),"-")</f>
        <v>-</v>
      </c>
      <c r="M27" s="181" t="e">
        <f>RANK(K27, K$27:$K$41)</f>
        <v>#VALUE!</v>
      </c>
      <c r="N27" s="461"/>
      <c r="O27" s="461"/>
      <c r="P27" s="182"/>
      <c r="Q27" s="166"/>
      <c r="R27" s="166"/>
      <c r="S27" s="182" t="e">
        <f t="shared" ref="S27:S41" si="22">RANK(R27, R$27:R$41)</f>
        <v>#N/A</v>
      </c>
      <c r="T27" s="487" t="e">
        <f>AVERAGE(R27:R41)</f>
        <v>#DIV/0!</v>
      </c>
      <c r="U27" s="182"/>
      <c r="V27" s="166"/>
      <c r="W27" s="166"/>
      <c r="X27" s="182" t="e">
        <f t="shared" ref="X27:X41" si="23">RANK(W27, W$27:W$41)</f>
        <v>#N/A</v>
      </c>
      <c r="Y27" s="487" t="e">
        <f t="shared" ref="Y27" si="24">AVERAGE(W27:W41)</f>
        <v>#DIV/0!</v>
      </c>
      <c r="Z27" s="182"/>
      <c r="AA27" s="166"/>
      <c r="AB27" s="166"/>
      <c r="AC27" s="182" t="e">
        <f t="shared" ref="AC27:AC41" si="25">RANK(AB27, AB$27:AB$41)</f>
        <v>#N/A</v>
      </c>
      <c r="AD27" s="487" t="e">
        <f t="shared" ref="AD27" si="26">AVERAGE(AB27:AB41)</f>
        <v>#DIV/0!</v>
      </c>
      <c r="AE27" s="182"/>
      <c r="AF27" s="166"/>
      <c r="AG27" s="166"/>
      <c r="AH27" s="182" t="e">
        <f t="shared" ref="AH27:AH41" si="27">RANK(AG27, AG$27:AG$41)</f>
        <v>#N/A</v>
      </c>
      <c r="AI27" s="487" t="e">
        <f t="shared" ref="AI27" si="28">AVERAGE(AG27:AG41)</f>
        <v>#DIV/0!</v>
      </c>
      <c r="AJ27" s="182"/>
      <c r="AK27" s="166"/>
      <c r="AL27" s="166"/>
      <c r="AM27" s="182" t="e">
        <f t="shared" ref="AM27:AM41" si="29">RANK(AL27, AL$27:AL$41)</f>
        <v>#N/A</v>
      </c>
      <c r="AN27" s="487" t="e">
        <f t="shared" ref="AN27" si="30">AVERAGE(AL27:AL41)</f>
        <v>#DIV/0!</v>
      </c>
      <c r="AO27" s="182"/>
      <c r="AP27" s="166"/>
      <c r="AQ27" s="166"/>
      <c r="AR27" s="182" t="e">
        <f t="shared" ref="AR27:AR41" si="31">RANK(AQ27, AQ$27:AQ$41)</f>
        <v>#N/A</v>
      </c>
      <c r="AS27" s="487" t="e">
        <f t="shared" ref="AS27" si="32">AVERAGE(AQ27:AQ41)</f>
        <v>#DIV/0!</v>
      </c>
      <c r="AT27" s="182"/>
      <c r="AU27" s="166"/>
      <c r="AV27" s="166"/>
      <c r="AW27" s="182" t="e">
        <f t="shared" ref="AW27:AW41" si="33">RANK(AV27, AV$27:AV$41)</f>
        <v>#N/A</v>
      </c>
      <c r="AX27" s="487" t="e">
        <f t="shared" ref="AX27" si="34">AVERAGE(AV27:AV41)</f>
        <v>#DIV/0!</v>
      </c>
      <c r="AZ27" s="182" t="e">
        <f t="shared" ref="AZ27:AZ41" si="35">RANK(AY27, AY$27:AY$41)</f>
        <v>#N/A</v>
      </c>
      <c r="BA27" s="487" t="e">
        <f t="shared" ref="BA27" si="36">AVERAGE(AY27:AY41)</f>
        <v>#DIV/0!</v>
      </c>
    </row>
    <row r="28" spans="2:53">
      <c r="B28" s="454"/>
      <c r="C28" s="182">
        <v>2</v>
      </c>
      <c r="D28" s="203"/>
      <c r="E28" s="166"/>
      <c r="F28" s="182"/>
      <c r="G28" s="180"/>
      <c r="H28" s="464"/>
      <c r="I28" s="166" t="str">
        <f t="shared" si="19"/>
        <v>-</v>
      </c>
      <c r="J28" s="166" t="str">
        <f t="shared" si="20"/>
        <v>-</v>
      </c>
      <c r="K28" s="180" t="str">
        <f t="shared" si="21"/>
        <v>-</v>
      </c>
      <c r="L28" s="464"/>
      <c r="M28" s="181" t="e">
        <f>RANK(K28, K$27:$K$41)</f>
        <v>#VALUE!</v>
      </c>
      <c r="N28" s="461"/>
      <c r="O28" s="461"/>
      <c r="P28" s="182"/>
      <c r="Q28" s="166"/>
      <c r="R28" s="166"/>
      <c r="S28" s="182" t="e">
        <f t="shared" si="22"/>
        <v>#N/A</v>
      </c>
      <c r="T28" s="488"/>
      <c r="U28" s="182"/>
      <c r="V28" s="166"/>
      <c r="W28" s="166"/>
      <c r="X28" s="182" t="e">
        <f t="shared" si="23"/>
        <v>#N/A</v>
      </c>
      <c r="Y28" s="488"/>
      <c r="Z28" s="182"/>
      <c r="AA28" s="166"/>
      <c r="AB28" s="166"/>
      <c r="AC28" s="182" t="e">
        <f t="shared" si="25"/>
        <v>#N/A</v>
      </c>
      <c r="AD28" s="488"/>
      <c r="AE28" s="182"/>
      <c r="AF28" s="166"/>
      <c r="AG28" s="166"/>
      <c r="AH28" s="182" t="e">
        <f t="shared" si="27"/>
        <v>#N/A</v>
      </c>
      <c r="AI28" s="488"/>
      <c r="AJ28" s="182"/>
      <c r="AK28" s="166"/>
      <c r="AL28" s="166"/>
      <c r="AM28" s="182" t="e">
        <f t="shared" si="29"/>
        <v>#N/A</v>
      </c>
      <c r="AN28" s="488"/>
      <c r="AO28" s="182"/>
      <c r="AP28" s="166"/>
      <c r="AQ28" s="166"/>
      <c r="AR28" s="182" t="e">
        <f t="shared" si="31"/>
        <v>#N/A</v>
      </c>
      <c r="AS28" s="488"/>
      <c r="AT28" s="182"/>
      <c r="AU28" s="166"/>
      <c r="AV28" s="166"/>
      <c r="AW28" s="182" t="e">
        <f t="shared" si="33"/>
        <v>#N/A</v>
      </c>
      <c r="AX28" s="488"/>
      <c r="AZ28" s="182" t="e">
        <f t="shared" si="35"/>
        <v>#N/A</v>
      </c>
      <c r="BA28" s="488"/>
    </row>
    <row r="29" spans="2:53">
      <c r="B29" s="454"/>
      <c r="C29" s="182">
        <v>3</v>
      </c>
      <c r="D29" s="203"/>
      <c r="E29" s="166"/>
      <c r="F29" s="182"/>
      <c r="G29" s="180"/>
      <c r="H29" s="464"/>
      <c r="I29" s="166" t="str">
        <f t="shared" si="19"/>
        <v>-</v>
      </c>
      <c r="J29" s="166" t="str">
        <f t="shared" si="20"/>
        <v>-</v>
      </c>
      <c r="K29" s="180" t="str">
        <f t="shared" si="21"/>
        <v>-</v>
      </c>
      <c r="L29" s="464"/>
      <c r="M29" s="181" t="e">
        <f>RANK(K29, K$27:$K$41)</f>
        <v>#VALUE!</v>
      </c>
      <c r="N29" s="461"/>
      <c r="O29" s="461"/>
      <c r="P29" s="182"/>
      <c r="Q29" s="166"/>
      <c r="R29" s="166"/>
      <c r="S29" s="182" t="e">
        <f t="shared" si="22"/>
        <v>#N/A</v>
      </c>
      <c r="T29" s="488"/>
      <c r="U29" s="182"/>
      <c r="V29" s="166"/>
      <c r="W29" s="166"/>
      <c r="X29" s="182" t="e">
        <f t="shared" si="23"/>
        <v>#N/A</v>
      </c>
      <c r="Y29" s="488"/>
      <c r="Z29" s="182"/>
      <c r="AA29" s="166"/>
      <c r="AB29" s="166"/>
      <c r="AC29" s="182" t="e">
        <f t="shared" si="25"/>
        <v>#N/A</v>
      </c>
      <c r="AD29" s="488"/>
      <c r="AE29" s="182"/>
      <c r="AF29" s="166"/>
      <c r="AG29" s="166"/>
      <c r="AH29" s="182" t="e">
        <f t="shared" si="27"/>
        <v>#N/A</v>
      </c>
      <c r="AI29" s="488"/>
      <c r="AJ29" s="182"/>
      <c r="AK29" s="166"/>
      <c r="AL29" s="166"/>
      <c r="AM29" s="182" t="e">
        <f t="shared" si="29"/>
        <v>#N/A</v>
      </c>
      <c r="AN29" s="488"/>
      <c r="AO29" s="182"/>
      <c r="AP29" s="166"/>
      <c r="AQ29" s="166"/>
      <c r="AR29" s="182" t="e">
        <f t="shared" si="31"/>
        <v>#N/A</v>
      </c>
      <c r="AS29" s="488"/>
      <c r="AT29" s="182"/>
      <c r="AU29" s="166"/>
      <c r="AV29" s="166"/>
      <c r="AW29" s="182" t="e">
        <f t="shared" si="33"/>
        <v>#N/A</v>
      </c>
      <c r="AX29" s="488"/>
      <c r="AZ29" s="182" t="e">
        <f t="shared" si="35"/>
        <v>#N/A</v>
      </c>
      <c r="BA29" s="488"/>
    </row>
    <row r="30" spans="2:53">
      <c r="B30" s="454"/>
      <c r="C30" s="182">
        <v>4</v>
      </c>
      <c r="D30" s="203"/>
      <c r="E30" s="166"/>
      <c r="F30" s="182"/>
      <c r="G30" s="180"/>
      <c r="H30" s="464"/>
      <c r="I30" s="166" t="str">
        <f t="shared" si="19"/>
        <v>-</v>
      </c>
      <c r="J30" s="166" t="str">
        <f t="shared" si="20"/>
        <v>-</v>
      </c>
      <c r="K30" s="180" t="str">
        <f t="shared" si="21"/>
        <v>-</v>
      </c>
      <c r="L30" s="464"/>
      <c r="M30" s="181" t="e">
        <f>RANK(K30, K$27:$K$41)</f>
        <v>#VALUE!</v>
      </c>
      <c r="N30" s="461"/>
      <c r="O30" s="461"/>
      <c r="P30" s="182"/>
      <c r="Q30" s="166"/>
      <c r="R30" s="166"/>
      <c r="S30" s="182" t="e">
        <f t="shared" si="22"/>
        <v>#N/A</v>
      </c>
      <c r="T30" s="488"/>
      <c r="U30" s="182"/>
      <c r="V30" s="166"/>
      <c r="W30" s="166"/>
      <c r="X30" s="182" t="e">
        <f t="shared" si="23"/>
        <v>#N/A</v>
      </c>
      <c r="Y30" s="488"/>
      <c r="Z30" s="182"/>
      <c r="AA30" s="166"/>
      <c r="AB30" s="166"/>
      <c r="AC30" s="182" t="e">
        <f t="shared" si="25"/>
        <v>#N/A</v>
      </c>
      <c r="AD30" s="488"/>
      <c r="AE30" s="182"/>
      <c r="AF30" s="166"/>
      <c r="AG30" s="166"/>
      <c r="AH30" s="182" t="e">
        <f t="shared" si="27"/>
        <v>#N/A</v>
      </c>
      <c r="AI30" s="488"/>
      <c r="AJ30" s="182"/>
      <c r="AK30" s="166"/>
      <c r="AL30" s="166"/>
      <c r="AM30" s="182" t="e">
        <f t="shared" si="29"/>
        <v>#N/A</v>
      </c>
      <c r="AN30" s="488"/>
      <c r="AO30" s="182"/>
      <c r="AP30" s="166"/>
      <c r="AQ30" s="166"/>
      <c r="AR30" s="182" t="e">
        <f t="shared" si="31"/>
        <v>#N/A</v>
      </c>
      <c r="AS30" s="488"/>
      <c r="AT30" s="182"/>
      <c r="AU30" s="166"/>
      <c r="AV30" s="166"/>
      <c r="AW30" s="182" t="e">
        <f t="shared" si="33"/>
        <v>#N/A</v>
      </c>
      <c r="AX30" s="488"/>
      <c r="AZ30" s="182" t="e">
        <f t="shared" si="35"/>
        <v>#N/A</v>
      </c>
      <c r="BA30" s="488"/>
    </row>
    <row r="31" spans="2:53">
      <c r="B31" s="454"/>
      <c r="C31" s="182">
        <v>5</v>
      </c>
      <c r="D31" s="203"/>
      <c r="E31" s="166"/>
      <c r="F31" s="182"/>
      <c r="G31" s="180"/>
      <c r="H31" s="464"/>
      <c r="I31" s="166" t="str">
        <f t="shared" si="19"/>
        <v>-</v>
      </c>
      <c r="J31" s="166" t="str">
        <f t="shared" si="20"/>
        <v>-</v>
      </c>
      <c r="K31" s="180" t="str">
        <f t="shared" si="21"/>
        <v>-</v>
      </c>
      <c r="L31" s="464"/>
      <c r="M31" s="181" t="e">
        <f>RANK(K31, K$27:$K$41)</f>
        <v>#VALUE!</v>
      </c>
      <c r="N31" s="461"/>
      <c r="O31" s="461"/>
      <c r="P31" s="182"/>
      <c r="Q31" s="166"/>
      <c r="R31" s="166"/>
      <c r="S31" s="182" t="e">
        <f t="shared" si="22"/>
        <v>#N/A</v>
      </c>
      <c r="T31" s="488"/>
      <c r="U31" s="182"/>
      <c r="V31" s="166"/>
      <c r="W31" s="166"/>
      <c r="X31" s="182" t="e">
        <f t="shared" si="23"/>
        <v>#N/A</v>
      </c>
      <c r="Y31" s="488"/>
      <c r="Z31" s="182"/>
      <c r="AA31" s="166"/>
      <c r="AB31" s="166"/>
      <c r="AC31" s="182" t="e">
        <f t="shared" si="25"/>
        <v>#N/A</v>
      </c>
      <c r="AD31" s="488"/>
      <c r="AE31" s="182"/>
      <c r="AF31" s="166"/>
      <c r="AG31" s="166"/>
      <c r="AH31" s="182" t="e">
        <f t="shared" si="27"/>
        <v>#N/A</v>
      </c>
      <c r="AI31" s="488"/>
      <c r="AJ31" s="182"/>
      <c r="AK31" s="166"/>
      <c r="AL31" s="166"/>
      <c r="AM31" s="182" t="e">
        <f t="shared" si="29"/>
        <v>#N/A</v>
      </c>
      <c r="AN31" s="488"/>
      <c r="AO31" s="182"/>
      <c r="AP31" s="166"/>
      <c r="AQ31" s="166"/>
      <c r="AR31" s="182" t="e">
        <f t="shared" si="31"/>
        <v>#N/A</v>
      </c>
      <c r="AS31" s="488"/>
      <c r="AT31" s="182"/>
      <c r="AU31" s="166"/>
      <c r="AV31" s="166"/>
      <c r="AW31" s="182" t="e">
        <f t="shared" si="33"/>
        <v>#N/A</v>
      </c>
      <c r="AX31" s="488"/>
      <c r="AZ31" s="182" t="e">
        <f t="shared" si="35"/>
        <v>#N/A</v>
      </c>
      <c r="BA31" s="488"/>
    </row>
    <row r="32" spans="2:53">
      <c r="B32" s="454"/>
      <c r="C32" s="182">
        <v>6</v>
      </c>
      <c r="D32" s="203"/>
      <c r="E32" s="166"/>
      <c r="F32" s="182"/>
      <c r="G32" s="180"/>
      <c r="H32" s="464"/>
      <c r="I32" s="166" t="str">
        <f t="shared" si="19"/>
        <v>-</v>
      </c>
      <c r="J32" s="166" t="str">
        <f t="shared" si="20"/>
        <v>-</v>
      </c>
      <c r="K32" s="180" t="str">
        <f t="shared" si="21"/>
        <v>-</v>
      </c>
      <c r="L32" s="464"/>
      <c r="M32" s="181" t="e">
        <f>RANK(K32, K$27:$K$41)</f>
        <v>#VALUE!</v>
      </c>
      <c r="N32" s="461"/>
      <c r="O32" s="461"/>
      <c r="P32" s="182"/>
      <c r="Q32" s="166"/>
      <c r="R32" s="166"/>
      <c r="S32" s="182" t="e">
        <f t="shared" si="22"/>
        <v>#N/A</v>
      </c>
      <c r="T32" s="488"/>
      <c r="U32" s="182"/>
      <c r="V32" s="166"/>
      <c r="W32" s="166"/>
      <c r="X32" s="182" t="e">
        <f t="shared" si="23"/>
        <v>#N/A</v>
      </c>
      <c r="Y32" s="488"/>
      <c r="Z32" s="182"/>
      <c r="AA32" s="166"/>
      <c r="AB32" s="166"/>
      <c r="AC32" s="182" t="e">
        <f t="shared" si="25"/>
        <v>#N/A</v>
      </c>
      <c r="AD32" s="488"/>
      <c r="AE32" s="182"/>
      <c r="AF32" s="166"/>
      <c r="AG32" s="166"/>
      <c r="AH32" s="182" t="e">
        <f t="shared" si="27"/>
        <v>#N/A</v>
      </c>
      <c r="AI32" s="488"/>
      <c r="AJ32" s="182"/>
      <c r="AK32" s="166"/>
      <c r="AL32" s="166"/>
      <c r="AM32" s="182" t="e">
        <f t="shared" si="29"/>
        <v>#N/A</v>
      </c>
      <c r="AN32" s="488"/>
      <c r="AO32" s="182"/>
      <c r="AP32" s="166"/>
      <c r="AQ32" s="166"/>
      <c r="AR32" s="182" t="e">
        <f t="shared" si="31"/>
        <v>#N/A</v>
      </c>
      <c r="AS32" s="488"/>
      <c r="AT32" s="182"/>
      <c r="AU32" s="166"/>
      <c r="AV32" s="166"/>
      <c r="AW32" s="182" t="e">
        <f t="shared" si="33"/>
        <v>#N/A</v>
      </c>
      <c r="AX32" s="488"/>
      <c r="AZ32" s="182" t="e">
        <f t="shared" si="35"/>
        <v>#N/A</v>
      </c>
      <c r="BA32" s="488"/>
    </row>
    <row r="33" spans="2:53">
      <c r="B33" s="454"/>
      <c r="C33" s="182">
        <v>7</v>
      </c>
      <c r="D33" s="203"/>
      <c r="E33" s="166"/>
      <c r="F33" s="182"/>
      <c r="G33" s="180"/>
      <c r="H33" s="464"/>
      <c r="I33" s="166" t="str">
        <f t="shared" si="19"/>
        <v>-</v>
      </c>
      <c r="J33" s="166" t="str">
        <f t="shared" si="20"/>
        <v>-</v>
      </c>
      <c r="K33" s="180" t="str">
        <f t="shared" si="21"/>
        <v>-</v>
      </c>
      <c r="L33" s="464"/>
      <c r="M33" s="181" t="e">
        <f>RANK(K33, K$27:$K$41)</f>
        <v>#VALUE!</v>
      </c>
      <c r="N33" s="461"/>
      <c r="O33" s="461"/>
      <c r="P33" s="182"/>
      <c r="Q33" s="166"/>
      <c r="R33" s="166"/>
      <c r="S33" s="182" t="e">
        <f t="shared" si="22"/>
        <v>#N/A</v>
      </c>
      <c r="T33" s="488"/>
      <c r="U33" s="182"/>
      <c r="V33" s="166"/>
      <c r="W33" s="166"/>
      <c r="X33" s="182" t="e">
        <f t="shared" si="23"/>
        <v>#N/A</v>
      </c>
      <c r="Y33" s="488"/>
      <c r="Z33" s="182"/>
      <c r="AA33" s="166"/>
      <c r="AB33" s="166"/>
      <c r="AC33" s="182" t="e">
        <f t="shared" si="25"/>
        <v>#N/A</v>
      </c>
      <c r="AD33" s="488"/>
      <c r="AE33" s="182"/>
      <c r="AF33" s="166"/>
      <c r="AG33" s="166"/>
      <c r="AH33" s="182" t="e">
        <f t="shared" si="27"/>
        <v>#N/A</v>
      </c>
      <c r="AI33" s="488"/>
      <c r="AJ33" s="182"/>
      <c r="AK33" s="166"/>
      <c r="AL33" s="166"/>
      <c r="AM33" s="182" t="e">
        <f t="shared" si="29"/>
        <v>#N/A</v>
      </c>
      <c r="AN33" s="488"/>
      <c r="AO33" s="182"/>
      <c r="AP33" s="166"/>
      <c r="AQ33" s="166"/>
      <c r="AR33" s="182" t="e">
        <f t="shared" si="31"/>
        <v>#N/A</v>
      </c>
      <c r="AS33" s="488"/>
      <c r="AT33" s="182"/>
      <c r="AU33" s="166"/>
      <c r="AV33" s="166"/>
      <c r="AW33" s="182" t="e">
        <f t="shared" si="33"/>
        <v>#N/A</v>
      </c>
      <c r="AX33" s="488"/>
      <c r="AZ33" s="182" t="e">
        <f t="shared" si="35"/>
        <v>#N/A</v>
      </c>
      <c r="BA33" s="488"/>
    </row>
    <row r="34" spans="2:53">
      <c r="B34" s="454"/>
      <c r="C34" s="182">
        <v>8</v>
      </c>
      <c r="D34" s="290"/>
      <c r="E34" s="166"/>
      <c r="F34" s="166"/>
      <c r="G34" s="166"/>
      <c r="H34" s="464"/>
      <c r="I34" s="166" t="str">
        <f t="shared" si="19"/>
        <v>-</v>
      </c>
      <c r="J34" s="166" t="str">
        <f t="shared" si="20"/>
        <v>-</v>
      </c>
      <c r="K34" s="180" t="str">
        <f t="shared" si="21"/>
        <v>-</v>
      </c>
      <c r="L34" s="464"/>
      <c r="M34" s="181" t="e">
        <f>RANK(K34, K$27:$K$41)</f>
        <v>#VALUE!</v>
      </c>
      <c r="N34" s="461"/>
      <c r="O34" s="461"/>
      <c r="P34" s="182"/>
      <c r="Q34" s="166"/>
      <c r="R34" s="166"/>
      <c r="S34" s="182" t="e">
        <f t="shared" si="22"/>
        <v>#N/A</v>
      </c>
      <c r="T34" s="488"/>
      <c r="U34" s="182"/>
      <c r="V34" s="166"/>
      <c r="W34" s="166"/>
      <c r="X34" s="182" t="e">
        <f t="shared" si="23"/>
        <v>#N/A</v>
      </c>
      <c r="Y34" s="488"/>
      <c r="Z34" s="182"/>
      <c r="AA34" s="166"/>
      <c r="AB34" s="166"/>
      <c r="AC34" s="182" t="e">
        <f t="shared" si="25"/>
        <v>#N/A</v>
      </c>
      <c r="AD34" s="488"/>
      <c r="AE34" s="182"/>
      <c r="AF34" s="166"/>
      <c r="AG34" s="166"/>
      <c r="AH34" s="182" t="e">
        <f t="shared" si="27"/>
        <v>#N/A</v>
      </c>
      <c r="AI34" s="488"/>
      <c r="AJ34" s="182"/>
      <c r="AK34" s="166"/>
      <c r="AL34" s="166"/>
      <c r="AM34" s="182" t="e">
        <f t="shared" si="29"/>
        <v>#N/A</v>
      </c>
      <c r="AN34" s="488"/>
      <c r="AO34" s="182"/>
      <c r="AP34" s="166"/>
      <c r="AQ34" s="166"/>
      <c r="AR34" s="182" t="e">
        <f t="shared" si="31"/>
        <v>#N/A</v>
      </c>
      <c r="AS34" s="488"/>
      <c r="AT34" s="182"/>
      <c r="AU34" s="166"/>
      <c r="AV34" s="166"/>
      <c r="AW34" s="182" t="e">
        <f t="shared" si="33"/>
        <v>#N/A</v>
      </c>
      <c r="AX34" s="488"/>
      <c r="AZ34" s="182" t="e">
        <f t="shared" si="35"/>
        <v>#N/A</v>
      </c>
      <c r="BA34" s="488"/>
    </row>
    <row r="35" spans="2:53">
      <c r="B35" s="454"/>
      <c r="C35" s="182">
        <v>9</v>
      </c>
      <c r="D35" s="203"/>
      <c r="E35" s="166"/>
      <c r="F35" s="166"/>
      <c r="G35" s="166"/>
      <c r="H35" s="464"/>
      <c r="I35" s="166" t="str">
        <f t="shared" si="19"/>
        <v>-</v>
      </c>
      <c r="J35" s="166" t="str">
        <f t="shared" si="20"/>
        <v>-</v>
      </c>
      <c r="K35" s="180" t="str">
        <f t="shared" si="21"/>
        <v>-</v>
      </c>
      <c r="L35" s="464"/>
      <c r="M35" s="181" t="e">
        <f>RANK(K35, K$27:$K$41)</f>
        <v>#VALUE!</v>
      </c>
      <c r="N35" s="461"/>
      <c r="O35" s="461"/>
      <c r="P35" s="182"/>
      <c r="Q35" s="166"/>
      <c r="R35" s="166"/>
      <c r="S35" s="182" t="e">
        <f t="shared" si="22"/>
        <v>#N/A</v>
      </c>
      <c r="T35" s="488"/>
      <c r="U35" s="182"/>
      <c r="V35" s="166"/>
      <c r="W35" s="166"/>
      <c r="X35" s="182" t="e">
        <f t="shared" si="23"/>
        <v>#N/A</v>
      </c>
      <c r="Y35" s="488"/>
      <c r="Z35" s="182"/>
      <c r="AA35" s="166"/>
      <c r="AB35" s="166"/>
      <c r="AC35" s="182" t="e">
        <f t="shared" si="25"/>
        <v>#N/A</v>
      </c>
      <c r="AD35" s="488"/>
      <c r="AE35" s="182"/>
      <c r="AF35" s="166"/>
      <c r="AG35" s="166"/>
      <c r="AH35" s="182" t="e">
        <f t="shared" si="27"/>
        <v>#N/A</v>
      </c>
      <c r="AI35" s="488"/>
      <c r="AJ35" s="182"/>
      <c r="AK35" s="166"/>
      <c r="AL35" s="166"/>
      <c r="AM35" s="182" t="e">
        <f t="shared" si="29"/>
        <v>#N/A</v>
      </c>
      <c r="AN35" s="488"/>
      <c r="AO35" s="182"/>
      <c r="AP35" s="166"/>
      <c r="AQ35" s="166"/>
      <c r="AR35" s="182" t="e">
        <f t="shared" si="31"/>
        <v>#N/A</v>
      </c>
      <c r="AS35" s="488"/>
      <c r="AT35" s="182"/>
      <c r="AU35" s="166"/>
      <c r="AV35" s="166"/>
      <c r="AW35" s="182" t="e">
        <f t="shared" si="33"/>
        <v>#N/A</v>
      </c>
      <c r="AX35" s="488"/>
      <c r="AZ35" s="182" t="e">
        <f t="shared" si="35"/>
        <v>#N/A</v>
      </c>
      <c r="BA35" s="488"/>
    </row>
    <row r="36" spans="2:53">
      <c r="B36" s="454"/>
      <c r="C36" s="182">
        <v>10</v>
      </c>
      <c r="D36" s="203"/>
      <c r="E36" s="166"/>
      <c r="F36" s="166"/>
      <c r="G36" s="166"/>
      <c r="H36" s="464"/>
      <c r="I36" s="166" t="str">
        <f t="shared" si="19"/>
        <v>-</v>
      </c>
      <c r="J36" s="166" t="str">
        <f t="shared" si="20"/>
        <v>-</v>
      </c>
      <c r="K36" s="180" t="str">
        <f t="shared" si="21"/>
        <v>-</v>
      </c>
      <c r="L36" s="464"/>
      <c r="M36" s="181" t="e">
        <f>RANK(K36, K$27:$K$41)</f>
        <v>#VALUE!</v>
      </c>
      <c r="N36" s="461"/>
      <c r="O36" s="461"/>
      <c r="P36" s="182"/>
      <c r="Q36" s="166"/>
      <c r="R36" s="166"/>
      <c r="S36" s="182" t="e">
        <f t="shared" si="22"/>
        <v>#N/A</v>
      </c>
      <c r="T36" s="488"/>
      <c r="U36" s="182"/>
      <c r="V36" s="166"/>
      <c r="W36" s="166"/>
      <c r="X36" s="182" t="e">
        <f t="shared" si="23"/>
        <v>#N/A</v>
      </c>
      <c r="Y36" s="488"/>
      <c r="Z36" s="182"/>
      <c r="AA36" s="166"/>
      <c r="AB36" s="166"/>
      <c r="AC36" s="182" t="e">
        <f t="shared" si="25"/>
        <v>#N/A</v>
      </c>
      <c r="AD36" s="488"/>
      <c r="AE36" s="182"/>
      <c r="AF36" s="166"/>
      <c r="AG36" s="166"/>
      <c r="AH36" s="182" t="e">
        <f t="shared" si="27"/>
        <v>#N/A</v>
      </c>
      <c r="AI36" s="488"/>
      <c r="AJ36" s="182"/>
      <c r="AK36" s="166"/>
      <c r="AL36" s="166"/>
      <c r="AM36" s="182" t="e">
        <f t="shared" si="29"/>
        <v>#N/A</v>
      </c>
      <c r="AN36" s="488"/>
      <c r="AO36" s="182"/>
      <c r="AP36" s="166"/>
      <c r="AQ36" s="166"/>
      <c r="AR36" s="182" t="e">
        <f t="shared" si="31"/>
        <v>#N/A</v>
      </c>
      <c r="AS36" s="488"/>
      <c r="AT36" s="182"/>
      <c r="AU36" s="166"/>
      <c r="AV36" s="166"/>
      <c r="AW36" s="182" t="e">
        <f t="shared" si="33"/>
        <v>#N/A</v>
      </c>
      <c r="AX36" s="488"/>
      <c r="AZ36" s="182" t="e">
        <f t="shared" si="35"/>
        <v>#N/A</v>
      </c>
      <c r="BA36" s="488"/>
    </row>
    <row r="37" spans="2:53">
      <c r="B37" s="454"/>
      <c r="C37" s="182">
        <v>11</v>
      </c>
      <c r="D37" s="203"/>
      <c r="E37" s="166"/>
      <c r="F37" s="166"/>
      <c r="G37" s="166"/>
      <c r="H37" s="464"/>
      <c r="I37" s="166" t="str">
        <f t="shared" si="19"/>
        <v>-</v>
      </c>
      <c r="J37" s="166" t="str">
        <f t="shared" si="20"/>
        <v>-</v>
      </c>
      <c r="K37" s="180" t="str">
        <f t="shared" si="21"/>
        <v>-</v>
      </c>
      <c r="L37" s="464"/>
      <c r="M37" s="181" t="e">
        <f>RANK(K37, K$27:$K$41)</f>
        <v>#VALUE!</v>
      </c>
      <c r="N37" s="461"/>
      <c r="O37" s="461"/>
      <c r="P37" s="182"/>
      <c r="Q37" s="166"/>
      <c r="R37" s="166"/>
      <c r="S37" s="182" t="e">
        <f t="shared" si="22"/>
        <v>#N/A</v>
      </c>
      <c r="T37" s="488"/>
      <c r="U37" s="182"/>
      <c r="V37" s="166"/>
      <c r="W37" s="166"/>
      <c r="X37" s="182" t="e">
        <f t="shared" si="23"/>
        <v>#N/A</v>
      </c>
      <c r="Y37" s="488"/>
      <c r="Z37" s="182"/>
      <c r="AA37" s="166"/>
      <c r="AB37" s="166"/>
      <c r="AC37" s="182" t="e">
        <f t="shared" si="25"/>
        <v>#N/A</v>
      </c>
      <c r="AD37" s="488"/>
      <c r="AE37" s="182"/>
      <c r="AF37" s="166"/>
      <c r="AG37" s="166"/>
      <c r="AH37" s="182" t="e">
        <f t="shared" si="27"/>
        <v>#N/A</v>
      </c>
      <c r="AI37" s="488"/>
      <c r="AJ37" s="182"/>
      <c r="AK37" s="166"/>
      <c r="AL37" s="166"/>
      <c r="AM37" s="182" t="e">
        <f t="shared" si="29"/>
        <v>#N/A</v>
      </c>
      <c r="AN37" s="488"/>
      <c r="AO37" s="182"/>
      <c r="AP37" s="166"/>
      <c r="AQ37" s="166"/>
      <c r="AR37" s="182" t="e">
        <f t="shared" si="31"/>
        <v>#N/A</v>
      </c>
      <c r="AS37" s="488"/>
      <c r="AT37" s="182"/>
      <c r="AU37" s="166"/>
      <c r="AV37" s="166"/>
      <c r="AW37" s="182" t="e">
        <f t="shared" si="33"/>
        <v>#N/A</v>
      </c>
      <c r="AX37" s="488"/>
      <c r="AZ37" s="182" t="e">
        <f t="shared" si="35"/>
        <v>#N/A</v>
      </c>
      <c r="BA37" s="488"/>
    </row>
    <row r="38" spans="2:53">
      <c r="B38" s="454"/>
      <c r="C38" s="182">
        <v>12</v>
      </c>
      <c r="D38" s="203"/>
      <c r="E38" s="166"/>
      <c r="F38" s="166"/>
      <c r="G38" s="166"/>
      <c r="H38" s="464"/>
      <c r="I38" s="166" t="str">
        <f t="shared" si="19"/>
        <v>-</v>
      </c>
      <c r="J38" s="166" t="str">
        <f t="shared" si="20"/>
        <v>-</v>
      </c>
      <c r="K38" s="180" t="str">
        <f t="shared" si="21"/>
        <v>-</v>
      </c>
      <c r="L38" s="464"/>
      <c r="M38" s="181" t="e">
        <f>RANK(K38, K$27:$K$41)</f>
        <v>#VALUE!</v>
      </c>
      <c r="N38" s="461"/>
      <c r="O38" s="461"/>
      <c r="P38" s="182"/>
      <c r="Q38" s="166"/>
      <c r="R38" s="166"/>
      <c r="S38" s="182" t="e">
        <f t="shared" si="22"/>
        <v>#N/A</v>
      </c>
      <c r="T38" s="488"/>
      <c r="U38" s="182"/>
      <c r="V38" s="166"/>
      <c r="W38" s="166"/>
      <c r="X38" s="182" t="e">
        <f t="shared" si="23"/>
        <v>#N/A</v>
      </c>
      <c r="Y38" s="488"/>
      <c r="Z38" s="182"/>
      <c r="AA38" s="166"/>
      <c r="AB38" s="166"/>
      <c r="AC38" s="182" t="e">
        <f t="shared" si="25"/>
        <v>#N/A</v>
      </c>
      <c r="AD38" s="488"/>
      <c r="AE38" s="182"/>
      <c r="AF38" s="166"/>
      <c r="AG38" s="166"/>
      <c r="AH38" s="182" t="e">
        <f t="shared" si="27"/>
        <v>#N/A</v>
      </c>
      <c r="AI38" s="488"/>
      <c r="AJ38" s="182"/>
      <c r="AK38" s="166"/>
      <c r="AL38" s="166"/>
      <c r="AM38" s="182" t="e">
        <f t="shared" si="29"/>
        <v>#N/A</v>
      </c>
      <c r="AN38" s="488"/>
      <c r="AO38" s="182"/>
      <c r="AP38" s="166"/>
      <c r="AQ38" s="166"/>
      <c r="AR38" s="182" t="e">
        <f t="shared" si="31"/>
        <v>#N/A</v>
      </c>
      <c r="AS38" s="488"/>
      <c r="AT38" s="182"/>
      <c r="AU38" s="166"/>
      <c r="AV38" s="166"/>
      <c r="AW38" s="182" t="e">
        <f t="shared" si="33"/>
        <v>#N/A</v>
      </c>
      <c r="AX38" s="488"/>
      <c r="AZ38" s="182" t="e">
        <f t="shared" si="35"/>
        <v>#N/A</v>
      </c>
      <c r="BA38" s="488"/>
    </row>
    <row r="39" spans="2:53">
      <c r="B39" s="454"/>
      <c r="C39" s="182">
        <v>13</v>
      </c>
      <c r="D39" s="203"/>
      <c r="E39" s="166"/>
      <c r="F39" s="166"/>
      <c r="G39" s="166"/>
      <c r="H39" s="464"/>
      <c r="I39" s="166" t="str">
        <f t="shared" si="19"/>
        <v>-</v>
      </c>
      <c r="J39" s="166" t="str">
        <f t="shared" si="20"/>
        <v>-</v>
      </c>
      <c r="K39" s="180" t="str">
        <f t="shared" si="21"/>
        <v>-</v>
      </c>
      <c r="L39" s="464"/>
      <c r="M39" s="181" t="e">
        <f>RANK(K39, K$27:$K$41)</f>
        <v>#VALUE!</v>
      </c>
      <c r="N39" s="461"/>
      <c r="O39" s="461"/>
      <c r="P39" s="182"/>
      <c r="Q39" s="166"/>
      <c r="R39" s="166"/>
      <c r="S39" s="182" t="e">
        <f t="shared" si="22"/>
        <v>#N/A</v>
      </c>
      <c r="T39" s="488"/>
      <c r="U39" s="182"/>
      <c r="V39" s="166"/>
      <c r="W39" s="166"/>
      <c r="X39" s="182" t="e">
        <f t="shared" si="23"/>
        <v>#N/A</v>
      </c>
      <c r="Y39" s="488"/>
      <c r="Z39" s="182"/>
      <c r="AA39" s="166"/>
      <c r="AB39" s="166"/>
      <c r="AC39" s="182" t="e">
        <f t="shared" si="25"/>
        <v>#N/A</v>
      </c>
      <c r="AD39" s="488"/>
      <c r="AE39" s="182"/>
      <c r="AF39" s="166"/>
      <c r="AG39" s="166"/>
      <c r="AH39" s="182" t="e">
        <f t="shared" si="27"/>
        <v>#N/A</v>
      </c>
      <c r="AI39" s="488"/>
      <c r="AJ39" s="182"/>
      <c r="AK39" s="166"/>
      <c r="AL39" s="166"/>
      <c r="AM39" s="182" t="e">
        <f t="shared" si="29"/>
        <v>#N/A</v>
      </c>
      <c r="AN39" s="488"/>
      <c r="AO39" s="182"/>
      <c r="AP39" s="166"/>
      <c r="AQ39" s="166"/>
      <c r="AR39" s="182" t="e">
        <f t="shared" si="31"/>
        <v>#N/A</v>
      </c>
      <c r="AS39" s="488"/>
      <c r="AT39" s="182"/>
      <c r="AU39" s="166"/>
      <c r="AV39" s="166"/>
      <c r="AW39" s="182" t="e">
        <f t="shared" si="33"/>
        <v>#N/A</v>
      </c>
      <c r="AX39" s="488"/>
      <c r="AZ39" s="182" t="e">
        <f t="shared" si="35"/>
        <v>#N/A</v>
      </c>
      <c r="BA39" s="488"/>
    </row>
    <row r="40" spans="2:53">
      <c r="B40" s="454"/>
      <c r="C40" s="182">
        <v>14</v>
      </c>
      <c r="D40" s="203"/>
      <c r="E40" s="166"/>
      <c r="F40" s="166"/>
      <c r="G40" s="166"/>
      <c r="H40" s="464"/>
      <c r="I40" s="166" t="str">
        <f t="shared" si="19"/>
        <v>-</v>
      </c>
      <c r="J40" s="166" t="str">
        <f t="shared" si="20"/>
        <v>-</v>
      </c>
      <c r="K40" s="180" t="str">
        <f t="shared" si="21"/>
        <v>-</v>
      </c>
      <c r="L40" s="464"/>
      <c r="M40" s="181" t="e">
        <f>RANK(K40, K$27:$K$41)</f>
        <v>#VALUE!</v>
      </c>
      <c r="N40" s="461"/>
      <c r="O40" s="461"/>
      <c r="P40" s="182"/>
      <c r="Q40" s="166"/>
      <c r="R40" s="166"/>
      <c r="S40" s="182" t="e">
        <f t="shared" si="22"/>
        <v>#N/A</v>
      </c>
      <c r="T40" s="488"/>
      <c r="U40" s="182"/>
      <c r="V40" s="166"/>
      <c r="W40" s="166"/>
      <c r="X40" s="182" t="e">
        <f t="shared" si="23"/>
        <v>#N/A</v>
      </c>
      <c r="Y40" s="488"/>
      <c r="Z40" s="182"/>
      <c r="AA40" s="166"/>
      <c r="AB40" s="166"/>
      <c r="AC40" s="182" t="e">
        <f t="shared" si="25"/>
        <v>#N/A</v>
      </c>
      <c r="AD40" s="488"/>
      <c r="AE40" s="182"/>
      <c r="AF40" s="166"/>
      <c r="AG40" s="166"/>
      <c r="AH40" s="182" t="e">
        <f t="shared" si="27"/>
        <v>#N/A</v>
      </c>
      <c r="AI40" s="488"/>
      <c r="AJ40" s="182"/>
      <c r="AK40" s="166"/>
      <c r="AL40" s="166"/>
      <c r="AM40" s="182" t="e">
        <f t="shared" si="29"/>
        <v>#N/A</v>
      </c>
      <c r="AN40" s="488"/>
      <c r="AO40" s="182"/>
      <c r="AP40" s="166"/>
      <c r="AQ40" s="166"/>
      <c r="AR40" s="182" t="e">
        <f t="shared" si="31"/>
        <v>#N/A</v>
      </c>
      <c r="AS40" s="488"/>
      <c r="AT40" s="182"/>
      <c r="AU40" s="166"/>
      <c r="AV40" s="166"/>
      <c r="AW40" s="182" t="e">
        <f t="shared" si="33"/>
        <v>#N/A</v>
      </c>
      <c r="AX40" s="488"/>
      <c r="AZ40" s="182" t="e">
        <f t="shared" si="35"/>
        <v>#N/A</v>
      </c>
      <c r="BA40" s="488"/>
    </row>
    <row r="41" spans="2:53">
      <c r="B41" s="454"/>
      <c r="C41" s="182">
        <v>15</v>
      </c>
      <c r="D41" s="203"/>
      <c r="E41" s="166"/>
      <c r="F41" s="166"/>
      <c r="G41" s="166"/>
      <c r="H41" s="465"/>
      <c r="I41" s="182"/>
      <c r="J41" s="182"/>
      <c r="K41" s="182"/>
      <c r="L41" s="465"/>
      <c r="M41" s="166" t="e">
        <f>RANK(K41, K$27:$K$41)</f>
        <v>#N/A</v>
      </c>
      <c r="N41" s="461"/>
      <c r="O41" s="461"/>
      <c r="P41" s="182"/>
      <c r="Q41" s="166"/>
      <c r="R41" s="166"/>
      <c r="S41" s="182" t="e">
        <f t="shared" si="22"/>
        <v>#N/A</v>
      </c>
      <c r="T41" s="489"/>
      <c r="U41" s="182"/>
      <c r="V41" s="166"/>
      <c r="W41" s="166"/>
      <c r="X41" s="182" t="e">
        <f t="shared" si="23"/>
        <v>#N/A</v>
      </c>
      <c r="Y41" s="489"/>
      <c r="Z41" s="182"/>
      <c r="AA41" s="166"/>
      <c r="AB41" s="166"/>
      <c r="AC41" s="182" t="e">
        <f t="shared" si="25"/>
        <v>#N/A</v>
      </c>
      <c r="AD41" s="489"/>
      <c r="AE41" s="182"/>
      <c r="AF41" s="166"/>
      <c r="AG41" s="166"/>
      <c r="AH41" s="182" t="e">
        <f t="shared" si="27"/>
        <v>#N/A</v>
      </c>
      <c r="AI41" s="489"/>
      <c r="AJ41" s="182"/>
      <c r="AK41" s="166"/>
      <c r="AL41" s="166"/>
      <c r="AM41" s="182" t="e">
        <f t="shared" si="29"/>
        <v>#N/A</v>
      </c>
      <c r="AN41" s="489"/>
      <c r="AO41" s="182"/>
      <c r="AP41" s="166"/>
      <c r="AQ41" s="166"/>
      <c r="AR41" s="182" t="e">
        <f t="shared" si="31"/>
        <v>#N/A</v>
      </c>
      <c r="AS41" s="489"/>
      <c r="AT41" s="182"/>
      <c r="AU41" s="166"/>
      <c r="AV41" s="166"/>
      <c r="AW41" s="182" t="e">
        <f t="shared" si="33"/>
        <v>#N/A</v>
      </c>
      <c r="AX41" s="489"/>
      <c r="AZ41" s="182" t="e">
        <f t="shared" si="35"/>
        <v>#N/A</v>
      </c>
      <c r="BA41" s="489"/>
    </row>
    <row r="42" spans="2:53" ht="15.5">
      <c r="B42" s="493" t="s">
        <v>163</v>
      </c>
      <c r="C42" s="494"/>
      <c r="D42" s="494"/>
      <c r="E42" s="494"/>
      <c r="F42" s="494"/>
      <c r="G42" s="494"/>
      <c r="H42" s="494"/>
      <c r="I42" s="186"/>
      <c r="J42" s="183"/>
      <c r="K42" s="186"/>
      <c r="L42" s="186"/>
      <c r="M42" s="178"/>
      <c r="N42" s="480" t="s">
        <v>156</v>
      </c>
      <c r="O42" s="480" t="s">
        <v>105</v>
      </c>
      <c r="P42" s="476">
        <f>P22+7</f>
        <v>46126</v>
      </c>
      <c r="Q42" s="454"/>
      <c r="R42" s="454"/>
      <c r="S42" s="454"/>
      <c r="T42" s="454"/>
      <c r="U42" s="473">
        <f>P42+1</f>
        <v>46127</v>
      </c>
      <c r="V42" s="474"/>
      <c r="W42" s="474"/>
      <c r="X42" s="474"/>
      <c r="Y42" s="475"/>
      <c r="Z42" s="473">
        <f>U42+1</f>
        <v>46128</v>
      </c>
      <c r="AA42" s="474"/>
      <c r="AB42" s="474"/>
      <c r="AC42" s="474"/>
      <c r="AD42" s="475"/>
      <c r="AE42" s="473">
        <f>Z42+1</f>
        <v>46129</v>
      </c>
      <c r="AF42" s="474"/>
      <c r="AG42" s="474"/>
      <c r="AH42" s="474"/>
      <c r="AI42" s="475"/>
      <c r="AJ42" s="473">
        <f>AE42+1</f>
        <v>46130</v>
      </c>
      <c r="AK42" s="474"/>
      <c r="AL42" s="474"/>
      <c r="AM42" s="474"/>
      <c r="AN42" s="475"/>
      <c r="AO42" s="473">
        <f>AJ42+1</f>
        <v>46131</v>
      </c>
      <c r="AP42" s="474"/>
      <c r="AQ42" s="474"/>
      <c r="AR42" s="474"/>
      <c r="AS42" s="475"/>
      <c r="AT42" s="473">
        <f>AO42+1</f>
        <v>46132</v>
      </c>
      <c r="AU42" s="474"/>
      <c r="AV42" s="474"/>
      <c r="AW42" s="474"/>
      <c r="AX42" s="475"/>
    </row>
    <row r="43" spans="2:53" ht="15.5">
      <c r="B43" s="479"/>
      <c r="C43" s="479"/>
      <c r="D43" s="479"/>
      <c r="E43" s="479"/>
      <c r="F43" s="479"/>
      <c r="G43" s="479"/>
      <c r="H43" s="479"/>
      <c r="I43" s="184"/>
      <c r="J43" s="184"/>
      <c r="K43" s="184"/>
      <c r="L43" s="184"/>
      <c r="M43" s="179"/>
      <c r="N43" s="481"/>
      <c r="O43" s="481"/>
      <c r="P43" s="476" t="s">
        <v>336</v>
      </c>
      <c r="Q43" s="454"/>
      <c r="R43" s="454"/>
      <c r="S43" s="454"/>
      <c r="T43" s="454"/>
      <c r="U43" s="476" t="s">
        <v>337</v>
      </c>
      <c r="V43" s="454"/>
      <c r="W43" s="454"/>
      <c r="X43" s="454"/>
      <c r="Y43" s="454"/>
      <c r="Z43" s="476" t="s">
        <v>338</v>
      </c>
      <c r="AA43" s="454"/>
      <c r="AB43" s="454"/>
      <c r="AC43" s="454"/>
      <c r="AD43" s="454"/>
      <c r="AE43" s="476" t="s">
        <v>339</v>
      </c>
      <c r="AF43" s="454"/>
      <c r="AG43" s="454"/>
      <c r="AH43" s="454"/>
      <c r="AI43" s="454"/>
      <c r="AJ43" s="476" t="s">
        <v>340</v>
      </c>
      <c r="AK43" s="454"/>
      <c r="AL43" s="454"/>
      <c r="AM43" s="454"/>
      <c r="AN43" s="454"/>
      <c r="AO43" s="476" t="s">
        <v>341</v>
      </c>
      <c r="AP43" s="454"/>
      <c r="AQ43" s="454"/>
      <c r="AR43" s="454"/>
      <c r="AS43" s="454"/>
      <c r="AT43" s="476" t="s">
        <v>342</v>
      </c>
      <c r="AU43" s="454"/>
      <c r="AV43" s="454"/>
      <c r="AW43" s="454"/>
      <c r="AX43" s="454"/>
    </row>
    <row r="44" spans="2:53">
      <c r="B44" s="461" t="s">
        <v>532</v>
      </c>
      <c r="C44" s="461" t="s">
        <v>533</v>
      </c>
      <c r="D44" s="461"/>
      <c r="E44" s="461" t="s">
        <v>534</v>
      </c>
      <c r="F44" s="461"/>
      <c r="G44" s="461"/>
      <c r="H44" s="482" t="s">
        <v>535</v>
      </c>
      <c r="I44" s="461" t="s">
        <v>536</v>
      </c>
      <c r="J44" s="461"/>
      <c r="K44" s="461"/>
      <c r="L44" s="482" t="s">
        <v>396</v>
      </c>
      <c r="M44" s="480" t="s">
        <v>537</v>
      </c>
      <c r="N44" s="461"/>
      <c r="O44" s="461" t="s">
        <v>538</v>
      </c>
      <c r="P44" s="466" t="s">
        <v>760</v>
      </c>
      <c r="Q44" s="467"/>
      <c r="R44" s="467"/>
      <c r="S44" s="468"/>
      <c r="T44" s="461" t="s">
        <v>761</v>
      </c>
      <c r="U44" s="466" t="s">
        <v>760</v>
      </c>
      <c r="V44" s="467"/>
      <c r="W44" s="467"/>
      <c r="X44" s="468"/>
      <c r="Y44" s="461" t="s">
        <v>761</v>
      </c>
      <c r="Z44" s="466" t="s">
        <v>760</v>
      </c>
      <c r="AA44" s="467"/>
      <c r="AB44" s="467"/>
      <c r="AC44" s="468"/>
      <c r="AD44" s="461" t="s">
        <v>761</v>
      </c>
      <c r="AE44" s="466" t="s">
        <v>760</v>
      </c>
      <c r="AF44" s="467"/>
      <c r="AG44" s="467"/>
      <c r="AH44" s="468"/>
      <c r="AI44" s="461" t="s">
        <v>761</v>
      </c>
      <c r="AJ44" s="466" t="s">
        <v>760</v>
      </c>
      <c r="AK44" s="467"/>
      <c r="AL44" s="467"/>
      <c r="AM44" s="468"/>
      <c r="AN44" s="461" t="s">
        <v>761</v>
      </c>
      <c r="AO44" s="466" t="s">
        <v>760</v>
      </c>
      <c r="AP44" s="467"/>
      <c r="AQ44" s="467"/>
      <c r="AR44" s="468"/>
      <c r="AS44" s="461" t="s">
        <v>761</v>
      </c>
      <c r="AT44" s="466" t="s">
        <v>760</v>
      </c>
      <c r="AU44" s="467"/>
      <c r="AV44" s="467"/>
      <c r="AW44" s="468"/>
      <c r="AX44" s="461" t="s">
        <v>761</v>
      </c>
      <c r="BA44" s="461" t="s">
        <v>396</v>
      </c>
    </row>
    <row r="45" spans="2:53">
      <c r="B45" s="461"/>
      <c r="C45" s="461"/>
      <c r="D45" s="461"/>
      <c r="E45" s="461" t="s">
        <v>540</v>
      </c>
      <c r="F45" s="461"/>
      <c r="G45" s="461"/>
      <c r="H45" s="483"/>
      <c r="I45" s="461" t="s">
        <v>540</v>
      </c>
      <c r="J45" s="461"/>
      <c r="K45" s="461"/>
      <c r="L45" s="483"/>
      <c r="M45" s="485"/>
      <c r="N45" s="461"/>
      <c r="O45" s="461"/>
      <c r="P45" s="466" t="s">
        <v>762</v>
      </c>
      <c r="Q45" s="467"/>
      <c r="R45" s="467"/>
      <c r="S45" s="468"/>
      <c r="T45" s="461"/>
      <c r="U45" s="466" t="s">
        <v>762</v>
      </c>
      <c r="V45" s="467"/>
      <c r="W45" s="467"/>
      <c r="X45" s="468"/>
      <c r="Y45" s="461"/>
      <c r="Z45" s="466" t="s">
        <v>762</v>
      </c>
      <c r="AA45" s="467"/>
      <c r="AB45" s="467"/>
      <c r="AC45" s="468"/>
      <c r="AD45" s="461"/>
      <c r="AE45" s="466" t="s">
        <v>762</v>
      </c>
      <c r="AF45" s="467"/>
      <c r="AG45" s="467"/>
      <c r="AH45" s="468"/>
      <c r="AI45" s="461"/>
      <c r="AJ45" s="466" t="s">
        <v>762</v>
      </c>
      <c r="AK45" s="467"/>
      <c r="AL45" s="467"/>
      <c r="AM45" s="468"/>
      <c r="AN45" s="461"/>
      <c r="AO45" s="466" t="s">
        <v>762</v>
      </c>
      <c r="AP45" s="467"/>
      <c r="AQ45" s="467"/>
      <c r="AR45" s="468"/>
      <c r="AS45" s="461"/>
      <c r="AT45" s="466" t="s">
        <v>762</v>
      </c>
      <c r="AU45" s="467"/>
      <c r="AV45" s="467"/>
      <c r="AW45" s="468"/>
      <c r="AX45" s="461"/>
      <c r="BA45" s="461"/>
    </row>
    <row r="46" spans="2:53">
      <c r="B46" s="461"/>
      <c r="C46" s="461"/>
      <c r="D46" s="461"/>
      <c r="E46" s="269" t="s">
        <v>542</v>
      </c>
      <c r="F46" s="269" t="s">
        <v>543</v>
      </c>
      <c r="G46" s="269" t="s">
        <v>544</v>
      </c>
      <c r="H46" s="484"/>
      <c r="I46" s="269" t="s">
        <v>542</v>
      </c>
      <c r="J46" s="269" t="s">
        <v>543</v>
      </c>
      <c r="K46" s="269" t="s">
        <v>544</v>
      </c>
      <c r="L46" s="484"/>
      <c r="M46" s="481"/>
      <c r="N46" s="461"/>
      <c r="O46" s="461"/>
      <c r="P46" s="269" t="s">
        <v>763</v>
      </c>
      <c r="Q46" s="269" t="s">
        <v>764</v>
      </c>
      <c r="R46" s="269" t="s">
        <v>765</v>
      </c>
      <c r="S46" s="269" t="s">
        <v>766</v>
      </c>
      <c r="T46" s="461"/>
      <c r="U46" s="269" t="s">
        <v>763</v>
      </c>
      <c r="V46" s="269" t="s">
        <v>764</v>
      </c>
      <c r="W46" s="269" t="s">
        <v>765</v>
      </c>
      <c r="X46" s="269" t="s">
        <v>766</v>
      </c>
      <c r="Y46" s="461"/>
      <c r="Z46" s="269" t="s">
        <v>763</v>
      </c>
      <c r="AA46" s="269" t="s">
        <v>764</v>
      </c>
      <c r="AB46" s="269" t="s">
        <v>765</v>
      </c>
      <c r="AC46" s="269" t="s">
        <v>766</v>
      </c>
      <c r="AD46" s="461"/>
      <c r="AE46" s="269" t="s">
        <v>763</v>
      </c>
      <c r="AF46" s="269" t="s">
        <v>764</v>
      </c>
      <c r="AG46" s="269" t="s">
        <v>765</v>
      </c>
      <c r="AH46" s="269" t="s">
        <v>766</v>
      </c>
      <c r="AI46" s="461"/>
      <c r="AJ46" s="269" t="s">
        <v>763</v>
      </c>
      <c r="AK46" s="269" t="s">
        <v>764</v>
      </c>
      <c r="AL46" s="269" t="s">
        <v>765</v>
      </c>
      <c r="AM46" s="269" t="s">
        <v>766</v>
      </c>
      <c r="AN46" s="461"/>
      <c r="AO46" s="269" t="s">
        <v>763</v>
      </c>
      <c r="AP46" s="269" t="s">
        <v>764</v>
      </c>
      <c r="AQ46" s="269" t="s">
        <v>765</v>
      </c>
      <c r="AR46" s="269" t="s">
        <v>766</v>
      </c>
      <c r="AS46" s="461"/>
      <c r="AT46" s="269" t="s">
        <v>763</v>
      </c>
      <c r="AU46" s="269" t="s">
        <v>764</v>
      </c>
      <c r="AV46" s="269" t="s">
        <v>765</v>
      </c>
      <c r="AW46" s="269" t="s">
        <v>766</v>
      </c>
      <c r="AX46" s="461"/>
      <c r="AZ46" s="269" t="s">
        <v>766</v>
      </c>
      <c r="BA46" s="461"/>
    </row>
    <row r="47" spans="2:53">
      <c r="B47" s="461" t="s">
        <v>548</v>
      </c>
      <c r="C47" s="182">
        <v>1</v>
      </c>
      <c r="D47" s="203"/>
      <c r="E47" s="166"/>
      <c r="F47" s="182"/>
      <c r="G47" s="180"/>
      <c r="H47" s="463" t="e">
        <f>AVERAGE(G47:G61)</f>
        <v>#DIV/0!</v>
      </c>
      <c r="I47" s="166" t="str">
        <f t="shared" ref="I47:I60" si="37">IFERROR(AVERAGE(P47,U47,Z47,AE47,AJ47,AO47,AT47),"-")</f>
        <v>-</v>
      </c>
      <c r="J47" s="166" t="str">
        <f t="shared" ref="J47:J60" si="38">IFERROR(AVERAGE(Q47,V47,AA47,AF47,AK47,AP47,AU47),"-")</f>
        <v>-</v>
      </c>
      <c r="K47" s="180" t="str">
        <f t="shared" ref="K47:K60" si="39">IFERROR(AVERAGE(R47,W47,AB47,AG47,AL47,AQ47,AV47),"-")</f>
        <v>-</v>
      </c>
      <c r="L47" s="463" t="str">
        <f>IFERROR(AVERAGE(K47:K61),"-")</f>
        <v>-</v>
      </c>
      <c r="M47" s="181" t="e">
        <f>RANK(K47, K$47:$K$61)</f>
        <v>#VALUE!</v>
      </c>
      <c r="N47" s="461"/>
      <c r="O47" s="461"/>
      <c r="P47" s="182"/>
      <c r="Q47" s="166"/>
      <c r="R47" s="166"/>
      <c r="S47" s="182" t="e">
        <f>RANK(R47, R$47:R$61)</f>
        <v>#N/A</v>
      </c>
      <c r="T47" s="487" t="e">
        <f>AVERAGE(R47:R61)</f>
        <v>#DIV/0!</v>
      </c>
      <c r="U47" s="182"/>
      <c r="V47" s="166"/>
      <c r="W47" s="166"/>
      <c r="X47" s="182" t="e">
        <f t="shared" ref="X47:X50" si="40">RANK(W47, W$47:W$61)</f>
        <v>#N/A</v>
      </c>
      <c r="Y47" s="487" t="e">
        <f t="shared" ref="Y47" si="41">AVERAGE(W47:W61)</f>
        <v>#DIV/0!</v>
      </c>
      <c r="Z47" s="182"/>
      <c r="AA47" s="166"/>
      <c r="AB47" s="166"/>
      <c r="AC47" s="182" t="e">
        <f t="shared" ref="AC47:AC50" si="42">RANK(AB47, AB$47:AB$61)</f>
        <v>#N/A</v>
      </c>
      <c r="AD47" s="487" t="e">
        <f t="shared" ref="AD47" si="43">AVERAGE(AB47:AB61)</f>
        <v>#DIV/0!</v>
      </c>
      <c r="AE47" s="182"/>
      <c r="AF47" s="166"/>
      <c r="AG47" s="166"/>
      <c r="AH47" s="182" t="e">
        <f t="shared" ref="AH47:AH50" si="44">RANK(AG47, AG$47:AG$61)</f>
        <v>#N/A</v>
      </c>
      <c r="AI47" s="487" t="e">
        <f t="shared" ref="AI47" si="45">AVERAGE(AG47:AG61)</f>
        <v>#DIV/0!</v>
      </c>
      <c r="AJ47" s="182"/>
      <c r="AK47" s="166"/>
      <c r="AL47" s="166"/>
      <c r="AM47" s="182" t="e">
        <f t="shared" ref="AM47:AM50" si="46">RANK(AL47, AL$47:AL$61)</f>
        <v>#N/A</v>
      </c>
      <c r="AN47" s="487" t="e">
        <f t="shared" ref="AN47" si="47">AVERAGE(AL47:AL61)</f>
        <v>#DIV/0!</v>
      </c>
      <c r="AO47" s="182"/>
      <c r="AP47" s="166"/>
      <c r="AQ47" s="166"/>
      <c r="AR47" s="182" t="e">
        <f t="shared" ref="AR47:AR50" si="48">RANK(AQ47, AQ$47:AQ$61)</f>
        <v>#N/A</v>
      </c>
      <c r="AS47" s="487" t="e">
        <f t="shared" ref="AS47" si="49">AVERAGE(AQ47:AQ61)</f>
        <v>#DIV/0!</v>
      </c>
      <c r="AT47" s="182"/>
      <c r="AU47" s="166"/>
      <c r="AV47" s="166"/>
      <c r="AW47" s="182" t="e">
        <f t="shared" ref="AW47:AW50" si="50">RANK(AV47, AV$47:AV$61)</f>
        <v>#N/A</v>
      </c>
      <c r="AX47" s="487" t="e">
        <f t="shared" ref="AX47" si="51">AVERAGE(AV47:AV61)</f>
        <v>#DIV/0!</v>
      </c>
      <c r="AZ47" s="182" t="e">
        <f t="shared" ref="AZ47:AZ54" si="52">RANK(AY47, AY$47:AY$61)</f>
        <v>#N/A</v>
      </c>
      <c r="BA47" s="487" t="e">
        <f t="shared" ref="BA47" si="53">AVERAGE(AY47:AY61)</f>
        <v>#DIV/0!</v>
      </c>
    </row>
    <row r="48" spans="2:53">
      <c r="B48" s="454"/>
      <c r="C48" s="182">
        <v>2</v>
      </c>
      <c r="D48" s="203"/>
      <c r="E48" s="166"/>
      <c r="F48" s="182"/>
      <c r="G48" s="180"/>
      <c r="H48" s="464"/>
      <c r="I48" s="166" t="str">
        <f t="shared" si="37"/>
        <v>-</v>
      </c>
      <c r="J48" s="166" t="str">
        <f t="shared" si="38"/>
        <v>-</v>
      </c>
      <c r="K48" s="180" t="str">
        <f t="shared" si="39"/>
        <v>-</v>
      </c>
      <c r="L48" s="464"/>
      <c r="M48" s="181" t="e">
        <f>RANK(K48, K$47:$K$61)</f>
        <v>#VALUE!</v>
      </c>
      <c r="N48" s="461"/>
      <c r="O48" s="461"/>
      <c r="P48" s="182"/>
      <c r="Q48" s="166"/>
      <c r="R48" s="166"/>
      <c r="S48" s="182" t="e">
        <f t="shared" ref="S48:S54" si="54">RANK(R48, R$47:R$61)</f>
        <v>#N/A</v>
      </c>
      <c r="T48" s="488"/>
      <c r="U48" s="182"/>
      <c r="V48" s="166"/>
      <c r="W48" s="166"/>
      <c r="X48" s="182" t="e">
        <f t="shared" si="40"/>
        <v>#N/A</v>
      </c>
      <c r="Y48" s="488"/>
      <c r="Z48" s="182"/>
      <c r="AA48" s="166"/>
      <c r="AB48" s="166"/>
      <c r="AC48" s="182" t="e">
        <f t="shared" si="42"/>
        <v>#N/A</v>
      </c>
      <c r="AD48" s="488"/>
      <c r="AE48" s="182"/>
      <c r="AF48" s="166"/>
      <c r="AG48" s="166"/>
      <c r="AH48" s="182" t="e">
        <f t="shared" si="44"/>
        <v>#N/A</v>
      </c>
      <c r="AI48" s="488"/>
      <c r="AJ48" s="182"/>
      <c r="AK48" s="166"/>
      <c r="AL48" s="166"/>
      <c r="AM48" s="182" t="e">
        <f t="shared" si="46"/>
        <v>#N/A</v>
      </c>
      <c r="AN48" s="488"/>
      <c r="AO48" s="182"/>
      <c r="AP48" s="166"/>
      <c r="AQ48" s="166"/>
      <c r="AR48" s="182" t="e">
        <f t="shared" si="48"/>
        <v>#N/A</v>
      </c>
      <c r="AS48" s="488"/>
      <c r="AT48" s="182"/>
      <c r="AU48" s="166"/>
      <c r="AV48" s="166"/>
      <c r="AW48" s="182" t="e">
        <f t="shared" si="50"/>
        <v>#N/A</v>
      </c>
      <c r="AX48" s="488"/>
      <c r="AZ48" s="182" t="e">
        <f t="shared" si="52"/>
        <v>#N/A</v>
      </c>
      <c r="BA48" s="488"/>
    </row>
    <row r="49" spans="2:53">
      <c r="B49" s="454"/>
      <c r="C49" s="182">
        <v>3</v>
      </c>
      <c r="D49" s="203"/>
      <c r="E49" s="166"/>
      <c r="F49" s="182"/>
      <c r="G49" s="180"/>
      <c r="H49" s="464"/>
      <c r="I49" s="166" t="str">
        <f t="shared" si="37"/>
        <v>-</v>
      </c>
      <c r="J49" s="166" t="str">
        <f t="shared" si="38"/>
        <v>-</v>
      </c>
      <c r="K49" s="180" t="str">
        <f t="shared" si="39"/>
        <v>-</v>
      </c>
      <c r="L49" s="464"/>
      <c r="M49" s="181" t="e">
        <f>RANK(K49, K$47:$K$61)</f>
        <v>#VALUE!</v>
      </c>
      <c r="N49" s="461"/>
      <c r="O49" s="461"/>
      <c r="P49" s="182"/>
      <c r="Q49" s="166"/>
      <c r="R49" s="166"/>
      <c r="S49" s="182" t="e">
        <f t="shared" si="54"/>
        <v>#N/A</v>
      </c>
      <c r="T49" s="488"/>
      <c r="U49" s="182"/>
      <c r="V49" s="166"/>
      <c r="W49" s="166"/>
      <c r="X49" s="182" t="e">
        <f t="shared" si="40"/>
        <v>#N/A</v>
      </c>
      <c r="Y49" s="488"/>
      <c r="Z49" s="182"/>
      <c r="AA49" s="166"/>
      <c r="AB49" s="166"/>
      <c r="AC49" s="182" t="e">
        <f t="shared" si="42"/>
        <v>#N/A</v>
      </c>
      <c r="AD49" s="488"/>
      <c r="AE49" s="182"/>
      <c r="AF49" s="166"/>
      <c r="AG49" s="166"/>
      <c r="AH49" s="182" t="e">
        <f t="shared" si="44"/>
        <v>#N/A</v>
      </c>
      <c r="AI49" s="488"/>
      <c r="AJ49" s="182"/>
      <c r="AK49" s="166"/>
      <c r="AL49" s="166"/>
      <c r="AM49" s="182" t="e">
        <f t="shared" si="46"/>
        <v>#N/A</v>
      </c>
      <c r="AN49" s="488"/>
      <c r="AO49" s="182"/>
      <c r="AP49" s="166"/>
      <c r="AQ49" s="166"/>
      <c r="AR49" s="182" t="e">
        <f t="shared" si="48"/>
        <v>#N/A</v>
      </c>
      <c r="AS49" s="488"/>
      <c r="AT49" s="182"/>
      <c r="AU49" s="166"/>
      <c r="AV49" s="166"/>
      <c r="AW49" s="182" t="e">
        <f t="shared" si="50"/>
        <v>#N/A</v>
      </c>
      <c r="AX49" s="488"/>
      <c r="AZ49" s="182" t="e">
        <f t="shared" si="52"/>
        <v>#N/A</v>
      </c>
      <c r="BA49" s="488"/>
    </row>
    <row r="50" spans="2:53">
      <c r="B50" s="454"/>
      <c r="C50" s="182">
        <v>4</v>
      </c>
      <c r="D50" s="203"/>
      <c r="E50" s="166"/>
      <c r="F50" s="182"/>
      <c r="G50" s="180"/>
      <c r="H50" s="464"/>
      <c r="I50" s="166" t="str">
        <f t="shared" si="37"/>
        <v>-</v>
      </c>
      <c r="J50" s="166" t="str">
        <f t="shared" si="38"/>
        <v>-</v>
      </c>
      <c r="K50" s="180" t="str">
        <f t="shared" si="39"/>
        <v>-</v>
      </c>
      <c r="L50" s="464"/>
      <c r="M50" s="181" t="e">
        <f>RANK(K50, K$47:$K$61)</f>
        <v>#VALUE!</v>
      </c>
      <c r="N50" s="461"/>
      <c r="O50" s="461"/>
      <c r="P50" s="182"/>
      <c r="Q50" s="166"/>
      <c r="R50" s="166"/>
      <c r="S50" s="182" t="e">
        <f t="shared" si="54"/>
        <v>#N/A</v>
      </c>
      <c r="T50" s="488"/>
      <c r="U50" s="182"/>
      <c r="V50" s="166"/>
      <c r="W50" s="166"/>
      <c r="X50" s="182" t="e">
        <f t="shared" si="40"/>
        <v>#N/A</v>
      </c>
      <c r="Y50" s="488"/>
      <c r="Z50" s="182"/>
      <c r="AA50" s="166"/>
      <c r="AB50" s="166"/>
      <c r="AC50" s="182" t="e">
        <f t="shared" si="42"/>
        <v>#N/A</v>
      </c>
      <c r="AD50" s="488"/>
      <c r="AE50" s="182"/>
      <c r="AF50" s="166"/>
      <c r="AG50" s="166"/>
      <c r="AH50" s="182" t="e">
        <f t="shared" si="44"/>
        <v>#N/A</v>
      </c>
      <c r="AI50" s="488"/>
      <c r="AJ50" s="182"/>
      <c r="AK50" s="166"/>
      <c r="AL50" s="166"/>
      <c r="AM50" s="182" t="e">
        <f t="shared" si="46"/>
        <v>#N/A</v>
      </c>
      <c r="AN50" s="488"/>
      <c r="AO50" s="182"/>
      <c r="AP50" s="166"/>
      <c r="AQ50" s="166"/>
      <c r="AR50" s="182" t="e">
        <f t="shared" si="48"/>
        <v>#N/A</v>
      </c>
      <c r="AS50" s="488"/>
      <c r="AT50" s="182"/>
      <c r="AU50" s="166"/>
      <c r="AV50" s="166"/>
      <c r="AW50" s="182" t="e">
        <f t="shared" si="50"/>
        <v>#N/A</v>
      </c>
      <c r="AX50" s="488"/>
      <c r="AZ50" s="182" t="e">
        <f t="shared" si="52"/>
        <v>#N/A</v>
      </c>
      <c r="BA50" s="488"/>
    </row>
    <row r="51" spans="2:53">
      <c r="B51" s="454"/>
      <c r="C51" s="182">
        <v>5</v>
      </c>
      <c r="D51" s="203"/>
      <c r="E51" s="166"/>
      <c r="F51" s="182"/>
      <c r="G51" s="180"/>
      <c r="H51" s="464"/>
      <c r="I51" s="166" t="str">
        <f t="shared" si="37"/>
        <v>-</v>
      </c>
      <c r="J51" s="166" t="str">
        <f t="shared" si="38"/>
        <v>-</v>
      </c>
      <c r="K51" s="180" t="str">
        <f t="shared" si="39"/>
        <v>-</v>
      </c>
      <c r="L51" s="464"/>
      <c r="M51" s="181" t="e">
        <f>RANK(K51, K$47:$K$61)</f>
        <v>#VALUE!</v>
      </c>
      <c r="N51" s="461"/>
      <c r="O51" s="461"/>
      <c r="P51" s="182"/>
      <c r="Q51" s="166"/>
      <c r="R51" s="166"/>
      <c r="S51" s="182" t="e">
        <f>RANK(R51, R$47:R$61)</f>
        <v>#N/A</v>
      </c>
      <c r="T51" s="488"/>
      <c r="U51" s="182"/>
      <c r="V51" s="166"/>
      <c r="W51" s="166"/>
      <c r="X51" s="182" t="e">
        <f t="shared" ref="X51:X54" si="55">RANK(W51, W$47:W$61)</f>
        <v>#N/A</v>
      </c>
      <c r="Y51" s="488"/>
      <c r="Z51" s="182"/>
      <c r="AA51" s="166"/>
      <c r="AB51" s="166"/>
      <c r="AC51" s="182" t="e">
        <f t="shared" ref="AC51:AC54" si="56">RANK(AB51, AB$47:AB$61)</f>
        <v>#N/A</v>
      </c>
      <c r="AD51" s="488"/>
      <c r="AE51" s="182"/>
      <c r="AF51" s="166"/>
      <c r="AG51" s="166"/>
      <c r="AH51" s="182" t="e">
        <f t="shared" ref="AH51:AH54" si="57">RANK(AG51, AG$47:AG$61)</f>
        <v>#N/A</v>
      </c>
      <c r="AI51" s="488"/>
      <c r="AJ51" s="182"/>
      <c r="AK51" s="166"/>
      <c r="AL51" s="166"/>
      <c r="AM51" s="182" t="e">
        <f t="shared" ref="AM51:AM54" si="58">RANK(AL51, AL$47:AL$61)</f>
        <v>#N/A</v>
      </c>
      <c r="AN51" s="488"/>
      <c r="AO51" s="182"/>
      <c r="AP51" s="166"/>
      <c r="AQ51" s="166"/>
      <c r="AR51" s="182" t="e">
        <f t="shared" ref="AR51:AR54" si="59">RANK(AQ51, AQ$47:AQ$61)</f>
        <v>#N/A</v>
      </c>
      <c r="AS51" s="488"/>
      <c r="AT51" s="182"/>
      <c r="AU51" s="166"/>
      <c r="AV51" s="166"/>
      <c r="AW51" s="182" t="e">
        <f t="shared" ref="AW51:AW54" si="60">RANK(AV51, AV$47:AV$61)</f>
        <v>#N/A</v>
      </c>
      <c r="AX51" s="488"/>
      <c r="AZ51" s="182" t="e">
        <f t="shared" si="52"/>
        <v>#N/A</v>
      </c>
      <c r="BA51" s="488"/>
    </row>
    <row r="52" spans="2:53">
      <c r="B52" s="454"/>
      <c r="C52" s="182">
        <v>6</v>
      </c>
      <c r="D52" s="203"/>
      <c r="E52" s="166"/>
      <c r="F52" s="182"/>
      <c r="G52" s="180"/>
      <c r="H52" s="464"/>
      <c r="I52" s="166" t="str">
        <f t="shared" si="37"/>
        <v>-</v>
      </c>
      <c r="J52" s="166" t="str">
        <f t="shared" si="38"/>
        <v>-</v>
      </c>
      <c r="K52" s="180" t="str">
        <f t="shared" si="39"/>
        <v>-</v>
      </c>
      <c r="L52" s="464"/>
      <c r="M52" s="181" t="e">
        <f>RANK(K52, K$47:$K$61)</f>
        <v>#VALUE!</v>
      </c>
      <c r="N52" s="461"/>
      <c r="O52" s="461"/>
      <c r="P52" s="182"/>
      <c r="Q52" s="166"/>
      <c r="R52" s="166"/>
      <c r="S52" s="182" t="e">
        <f t="shared" si="54"/>
        <v>#N/A</v>
      </c>
      <c r="T52" s="488"/>
      <c r="U52" s="182"/>
      <c r="V52" s="166"/>
      <c r="W52" s="166"/>
      <c r="X52" s="182" t="e">
        <f t="shared" si="55"/>
        <v>#N/A</v>
      </c>
      <c r="Y52" s="488"/>
      <c r="Z52" s="182"/>
      <c r="AA52" s="166"/>
      <c r="AB52" s="166"/>
      <c r="AC52" s="182" t="e">
        <f t="shared" si="56"/>
        <v>#N/A</v>
      </c>
      <c r="AD52" s="488"/>
      <c r="AE52" s="182"/>
      <c r="AF52" s="166"/>
      <c r="AG52" s="166"/>
      <c r="AH52" s="182" t="e">
        <f t="shared" si="57"/>
        <v>#N/A</v>
      </c>
      <c r="AI52" s="488"/>
      <c r="AJ52" s="182"/>
      <c r="AK52" s="166"/>
      <c r="AL52" s="166"/>
      <c r="AM52" s="182" t="e">
        <f t="shared" si="58"/>
        <v>#N/A</v>
      </c>
      <c r="AN52" s="488"/>
      <c r="AO52" s="182"/>
      <c r="AP52" s="166"/>
      <c r="AQ52" s="166"/>
      <c r="AR52" s="182" t="e">
        <f t="shared" si="59"/>
        <v>#N/A</v>
      </c>
      <c r="AS52" s="488"/>
      <c r="AT52" s="182"/>
      <c r="AU52" s="166"/>
      <c r="AV52" s="166"/>
      <c r="AW52" s="182" t="e">
        <f t="shared" si="60"/>
        <v>#N/A</v>
      </c>
      <c r="AX52" s="488"/>
      <c r="AZ52" s="182" t="e">
        <f t="shared" si="52"/>
        <v>#N/A</v>
      </c>
      <c r="BA52" s="488"/>
    </row>
    <row r="53" spans="2:53">
      <c r="B53" s="454"/>
      <c r="C53" s="182">
        <v>7</v>
      </c>
      <c r="D53" s="203"/>
      <c r="E53" s="166"/>
      <c r="F53" s="182"/>
      <c r="G53" s="180"/>
      <c r="H53" s="464"/>
      <c r="I53" s="166" t="str">
        <f t="shared" si="37"/>
        <v>-</v>
      </c>
      <c r="J53" s="166" t="str">
        <f t="shared" si="38"/>
        <v>-</v>
      </c>
      <c r="K53" s="180" t="str">
        <f t="shared" si="39"/>
        <v>-</v>
      </c>
      <c r="L53" s="464"/>
      <c r="M53" s="181" t="e">
        <f>RANK(K53, K$47:$K$61)</f>
        <v>#VALUE!</v>
      </c>
      <c r="N53" s="461"/>
      <c r="O53" s="461"/>
      <c r="P53" s="182"/>
      <c r="Q53" s="166"/>
      <c r="R53" s="166"/>
      <c r="S53" s="182" t="e">
        <f t="shared" si="54"/>
        <v>#N/A</v>
      </c>
      <c r="T53" s="488"/>
      <c r="U53" s="182"/>
      <c r="V53" s="166"/>
      <c r="W53" s="166"/>
      <c r="X53" s="182" t="e">
        <f t="shared" si="55"/>
        <v>#N/A</v>
      </c>
      <c r="Y53" s="488"/>
      <c r="Z53" s="182"/>
      <c r="AA53" s="166"/>
      <c r="AB53" s="166"/>
      <c r="AC53" s="182" t="e">
        <f t="shared" si="56"/>
        <v>#N/A</v>
      </c>
      <c r="AD53" s="488"/>
      <c r="AE53" s="182"/>
      <c r="AF53" s="166"/>
      <c r="AG53" s="166"/>
      <c r="AH53" s="182" t="e">
        <f t="shared" si="57"/>
        <v>#N/A</v>
      </c>
      <c r="AI53" s="488"/>
      <c r="AJ53" s="182"/>
      <c r="AK53" s="166"/>
      <c r="AL53" s="166"/>
      <c r="AM53" s="182" t="e">
        <f t="shared" si="58"/>
        <v>#N/A</v>
      </c>
      <c r="AN53" s="488"/>
      <c r="AO53" s="182"/>
      <c r="AP53" s="166"/>
      <c r="AQ53" s="166"/>
      <c r="AR53" s="182" t="e">
        <f t="shared" si="59"/>
        <v>#N/A</v>
      </c>
      <c r="AS53" s="488"/>
      <c r="AT53" s="182"/>
      <c r="AU53" s="166"/>
      <c r="AV53" s="166"/>
      <c r="AW53" s="182" t="e">
        <f t="shared" si="60"/>
        <v>#N/A</v>
      </c>
      <c r="AX53" s="488"/>
      <c r="AZ53" s="182" t="e">
        <f t="shared" si="52"/>
        <v>#N/A</v>
      </c>
      <c r="BA53" s="488"/>
    </row>
    <row r="54" spans="2:53">
      <c r="B54" s="454"/>
      <c r="C54" s="182">
        <v>8</v>
      </c>
      <c r="D54" s="290"/>
      <c r="E54" s="166"/>
      <c r="F54" s="166"/>
      <c r="G54" s="166"/>
      <c r="H54" s="464"/>
      <c r="I54" s="166" t="str">
        <f t="shared" si="37"/>
        <v>-</v>
      </c>
      <c r="J54" s="166" t="str">
        <f t="shared" si="38"/>
        <v>-</v>
      </c>
      <c r="K54" s="180" t="str">
        <f t="shared" si="39"/>
        <v>-</v>
      </c>
      <c r="L54" s="464"/>
      <c r="M54" s="181" t="e">
        <f>RANK(K54, K$47:$K$61)</f>
        <v>#VALUE!</v>
      </c>
      <c r="N54" s="461"/>
      <c r="O54" s="461"/>
      <c r="P54" s="182"/>
      <c r="Q54" s="166"/>
      <c r="R54" s="166"/>
      <c r="S54" s="182" t="e">
        <f t="shared" si="54"/>
        <v>#N/A</v>
      </c>
      <c r="T54" s="488"/>
      <c r="U54" s="182"/>
      <c r="V54" s="166"/>
      <c r="W54" s="166"/>
      <c r="X54" s="182" t="e">
        <f t="shared" si="55"/>
        <v>#N/A</v>
      </c>
      <c r="Y54" s="488"/>
      <c r="Z54" s="182"/>
      <c r="AA54" s="166"/>
      <c r="AB54" s="166"/>
      <c r="AC54" s="182" t="e">
        <f t="shared" si="56"/>
        <v>#N/A</v>
      </c>
      <c r="AD54" s="488"/>
      <c r="AE54" s="182"/>
      <c r="AF54" s="166"/>
      <c r="AG54" s="166"/>
      <c r="AH54" s="182" t="e">
        <f t="shared" si="57"/>
        <v>#N/A</v>
      </c>
      <c r="AI54" s="488"/>
      <c r="AJ54" s="182"/>
      <c r="AK54" s="166"/>
      <c r="AL54" s="166"/>
      <c r="AM54" s="182" t="e">
        <f t="shared" si="58"/>
        <v>#N/A</v>
      </c>
      <c r="AN54" s="488"/>
      <c r="AO54" s="182"/>
      <c r="AP54" s="166"/>
      <c r="AQ54" s="166"/>
      <c r="AR54" s="182" t="e">
        <f t="shared" si="59"/>
        <v>#N/A</v>
      </c>
      <c r="AS54" s="488"/>
      <c r="AT54" s="182"/>
      <c r="AU54" s="166"/>
      <c r="AV54" s="166"/>
      <c r="AW54" s="182" t="e">
        <f t="shared" si="60"/>
        <v>#N/A</v>
      </c>
      <c r="AX54" s="488"/>
      <c r="AZ54" s="182" t="e">
        <f t="shared" si="52"/>
        <v>#N/A</v>
      </c>
      <c r="BA54" s="488"/>
    </row>
    <row r="55" spans="2:53">
      <c r="B55" s="454"/>
      <c r="C55" s="182">
        <v>9</v>
      </c>
      <c r="D55" s="203"/>
      <c r="E55" s="166"/>
      <c r="F55" s="166"/>
      <c r="G55" s="166"/>
      <c r="H55" s="464"/>
      <c r="I55" s="166" t="str">
        <f t="shared" si="37"/>
        <v>-</v>
      </c>
      <c r="J55" s="166" t="str">
        <f t="shared" si="38"/>
        <v>-</v>
      </c>
      <c r="K55" s="180" t="str">
        <f t="shared" si="39"/>
        <v>-</v>
      </c>
      <c r="L55" s="464"/>
      <c r="M55" s="181" t="e">
        <f>RANK(K55, K$47:$K$61)</f>
        <v>#VALUE!</v>
      </c>
      <c r="N55" s="461"/>
      <c r="O55" s="461"/>
      <c r="P55" s="182"/>
      <c r="Q55" s="166"/>
      <c r="R55" s="166"/>
      <c r="S55" s="182"/>
      <c r="T55" s="488"/>
      <c r="U55" s="182"/>
      <c r="V55" s="166"/>
      <c r="W55" s="166"/>
      <c r="X55" s="182"/>
      <c r="Y55" s="488"/>
      <c r="Z55" s="182"/>
      <c r="AA55" s="166"/>
      <c r="AB55" s="166"/>
      <c r="AC55" s="182"/>
      <c r="AD55" s="488"/>
      <c r="AE55" s="182"/>
      <c r="AF55" s="166"/>
      <c r="AG55" s="166"/>
      <c r="AH55" s="182"/>
      <c r="AI55" s="488"/>
      <c r="AJ55" s="182"/>
      <c r="AK55" s="166"/>
      <c r="AL55" s="166"/>
      <c r="AM55" s="182"/>
      <c r="AN55" s="488"/>
      <c r="AO55" s="182"/>
      <c r="AP55" s="166"/>
      <c r="AQ55" s="166"/>
      <c r="AR55" s="182"/>
      <c r="AS55" s="488"/>
      <c r="AT55" s="182"/>
      <c r="AU55" s="166"/>
      <c r="AV55" s="166"/>
      <c r="AW55" s="182"/>
      <c r="AX55" s="488"/>
      <c r="AZ55" s="182"/>
      <c r="BA55" s="488"/>
    </row>
    <row r="56" spans="2:53">
      <c r="B56" s="454"/>
      <c r="C56" s="182">
        <v>10</v>
      </c>
      <c r="D56" s="203"/>
      <c r="E56" s="166"/>
      <c r="F56" s="166"/>
      <c r="G56" s="166"/>
      <c r="H56" s="464"/>
      <c r="I56" s="166" t="str">
        <f t="shared" si="37"/>
        <v>-</v>
      </c>
      <c r="J56" s="166" t="str">
        <f t="shared" si="38"/>
        <v>-</v>
      </c>
      <c r="K56" s="180" t="str">
        <f t="shared" si="39"/>
        <v>-</v>
      </c>
      <c r="L56" s="464"/>
      <c r="M56" s="181" t="e">
        <f>RANK(K56, K$47:$K$61)</f>
        <v>#VALUE!</v>
      </c>
      <c r="N56" s="461"/>
      <c r="O56" s="461"/>
      <c r="P56" s="182"/>
      <c r="Q56" s="166"/>
      <c r="R56" s="166"/>
      <c r="S56" s="182"/>
      <c r="T56" s="488"/>
      <c r="U56" s="182"/>
      <c r="V56" s="166"/>
      <c r="W56" s="166"/>
      <c r="X56" s="182"/>
      <c r="Y56" s="488"/>
      <c r="Z56" s="182"/>
      <c r="AA56" s="166"/>
      <c r="AB56" s="166"/>
      <c r="AC56" s="182"/>
      <c r="AD56" s="488"/>
      <c r="AE56" s="182"/>
      <c r="AF56" s="166"/>
      <c r="AG56" s="166"/>
      <c r="AH56" s="182"/>
      <c r="AI56" s="488"/>
      <c r="AJ56" s="182"/>
      <c r="AK56" s="166"/>
      <c r="AL56" s="166"/>
      <c r="AM56" s="182"/>
      <c r="AN56" s="488"/>
      <c r="AO56" s="182"/>
      <c r="AP56" s="166"/>
      <c r="AQ56" s="166"/>
      <c r="AR56" s="182"/>
      <c r="AS56" s="488"/>
      <c r="AT56" s="182"/>
      <c r="AU56" s="166"/>
      <c r="AV56" s="166"/>
      <c r="AW56" s="182"/>
      <c r="AX56" s="488"/>
      <c r="AZ56" s="182"/>
      <c r="BA56" s="488"/>
    </row>
    <row r="57" spans="2:53">
      <c r="B57" s="454"/>
      <c r="C57" s="182">
        <v>11</v>
      </c>
      <c r="D57" s="203"/>
      <c r="E57" s="166"/>
      <c r="F57" s="166"/>
      <c r="G57" s="166"/>
      <c r="H57" s="464"/>
      <c r="I57" s="166" t="str">
        <f t="shared" si="37"/>
        <v>-</v>
      </c>
      <c r="J57" s="166" t="str">
        <f t="shared" si="38"/>
        <v>-</v>
      </c>
      <c r="K57" s="180" t="str">
        <f t="shared" si="39"/>
        <v>-</v>
      </c>
      <c r="L57" s="464"/>
      <c r="M57" s="181" t="e">
        <f>RANK(K57, K$47:$K$61)</f>
        <v>#VALUE!</v>
      </c>
      <c r="N57" s="461"/>
      <c r="O57" s="461"/>
      <c r="P57" s="182"/>
      <c r="Q57" s="166"/>
      <c r="R57" s="166"/>
      <c r="S57" s="182"/>
      <c r="T57" s="488"/>
      <c r="U57" s="182"/>
      <c r="V57" s="166"/>
      <c r="W57" s="166"/>
      <c r="X57" s="182"/>
      <c r="Y57" s="488"/>
      <c r="Z57" s="182"/>
      <c r="AA57" s="166"/>
      <c r="AB57" s="166"/>
      <c r="AC57" s="182"/>
      <c r="AD57" s="488"/>
      <c r="AE57" s="182"/>
      <c r="AF57" s="166"/>
      <c r="AG57" s="166"/>
      <c r="AH57" s="182"/>
      <c r="AI57" s="488"/>
      <c r="AJ57" s="182"/>
      <c r="AK57" s="166"/>
      <c r="AL57" s="166"/>
      <c r="AM57" s="182"/>
      <c r="AN57" s="488"/>
      <c r="AO57" s="182"/>
      <c r="AP57" s="166"/>
      <c r="AQ57" s="166"/>
      <c r="AR57" s="182"/>
      <c r="AS57" s="488"/>
      <c r="AT57" s="182"/>
      <c r="AU57" s="166"/>
      <c r="AV57" s="166"/>
      <c r="AW57" s="182"/>
      <c r="AX57" s="488"/>
      <c r="AZ57" s="182"/>
      <c r="BA57" s="488"/>
    </row>
    <row r="58" spans="2:53">
      <c r="B58" s="454"/>
      <c r="C58" s="182">
        <v>12</v>
      </c>
      <c r="D58" s="203"/>
      <c r="E58" s="166"/>
      <c r="F58" s="166"/>
      <c r="G58" s="166"/>
      <c r="H58" s="464"/>
      <c r="I58" s="166" t="str">
        <f t="shared" si="37"/>
        <v>-</v>
      </c>
      <c r="J58" s="166" t="str">
        <f t="shared" si="38"/>
        <v>-</v>
      </c>
      <c r="K58" s="180" t="str">
        <f t="shared" si="39"/>
        <v>-</v>
      </c>
      <c r="L58" s="464"/>
      <c r="M58" s="181" t="e">
        <f>RANK(K58, K$47:$K$61)</f>
        <v>#VALUE!</v>
      </c>
      <c r="N58" s="461"/>
      <c r="O58" s="461"/>
      <c r="P58" s="182"/>
      <c r="Q58" s="166"/>
      <c r="R58" s="166"/>
      <c r="S58" s="182"/>
      <c r="T58" s="488"/>
      <c r="U58" s="182"/>
      <c r="V58" s="166"/>
      <c r="W58" s="166"/>
      <c r="X58" s="182"/>
      <c r="Y58" s="488"/>
      <c r="Z58" s="182"/>
      <c r="AA58" s="166"/>
      <c r="AB58" s="166"/>
      <c r="AC58" s="182"/>
      <c r="AD58" s="488"/>
      <c r="AE58" s="182"/>
      <c r="AF58" s="166"/>
      <c r="AG58" s="166"/>
      <c r="AH58" s="182"/>
      <c r="AI58" s="488"/>
      <c r="AJ58" s="182"/>
      <c r="AK58" s="166"/>
      <c r="AL58" s="166"/>
      <c r="AM58" s="182"/>
      <c r="AN58" s="488"/>
      <c r="AO58" s="182"/>
      <c r="AP58" s="166"/>
      <c r="AQ58" s="166"/>
      <c r="AR58" s="182"/>
      <c r="AS58" s="488"/>
      <c r="AT58" s="182"/>
      <c r="AU58" s="166"/>
      <c r="AV58" s="166"/>
      <c r="AW58" s="182"/>
      <c r="AX58" s="488"/>
      <c r="AZ58" s="182"/>
      <c r="BA58" s="488"/>
    </row>
    <row r="59" spans="2:53">
      <c r="B59" s="454"/>
      <c r="C59" s="182">
        <v>13</v>
      </c>
      <c r="D59" s="203"/>
      <c r="E59" s="166"/>
      <c r="F59" s="166"/>
      <c r="G59" s="166"/>
      <c r="H59" s="464"/>
      <c r="I59" s="166" t="str">
        <f t="shared" si="37"/>
        <v>-</v>
      </c>
      <c r="J59" s="166" t="str">
        <f t="shared" si="38"/>
        <v>-</v>
      </c>
      <c r="K59" s="180" t="str">
        <f t="shared" si="39"/>
        <v>-</v>
      </c>
      <c r="L59" s="464"/>
      <c r="M59" s="181" t="e">
        <f>RANK(K59, K$47:$K$61)</f>
        <v>#VALUE!</v>
      </c>
      <c r="N59" s="461"/>
      <c r="O59" s="461"/>
      <c r="P59" s="182"/>
      <c r="Q59" s="166"/>
      <c r="R59" s="166"/>
      <c r="S59" s="182"/>
      <c r="T59" s="488"/>
      <c r="U59" s="182"/>
      <c r="V59" s="166"/>
      <c r="W59" s="166"/>
      <c r="X59" s="182"/>
      <c r="Y59" s="488"/>
      <c r="Z59" s="182"/>
      <c r="AA59" s="166"/>
      <c r="AB59" s="166"/>
      <c r="AC59" s="182"/>
      <c r="AD59" s="488"/>
      <c r="AE59" s="182"/>
      <c r="AF59" s="166"/>
      <c r="AG59" s="166"/>
      <c r="AH59" s="182"/>
      <c r="AI59" s="488"/>
      <c r="AJ59" s="182"/>
      <c r="AK59" s="166"/>
      <c r="AL59" s="166"/>
      <c r="AM59" s="182"/>
      <c r="AN59" s="488"/>
      <c r="AO59" s="182"/>
      <c r="AP59" s="166"/>
      <c r="AQ59" s="166"/>
      <c r="AR59" s="182"/>
      <c r="AS59" s="488"/>
      <c r="AT59" s="182"/>
      <c r="AU59" s="166"/>
      <c r="AV59" s="166"/>
      <c r="AW59" s="182"/>
      <c r="AX59" s="488"/>
      <c r="AZ59" s="182"/>
      <c r="BA59" s="488"/>
    </row>
    <row r="60" spans="2:53">
      <c r="B60" s="454"/>
      <c r="C60" s="182">
        <v>14</v>
      </c>
      <c r="D60" s="203"/>
      <c r="E60" s="166"/>
      <c r="F60" s="166"/>
      <c r="G60" s="166"/>
      <c r="H60" s="464"/>
      <c r="I60" s="166" t="str">
        <f t="shared" si="37"/>
        <v>-</v>
      </c>
      <c r="J60" s="166" t="str">
        <f t="shared" si="38"/>
        <v>-</v>
      </c>
      <c r="K60" s="180" t="str">
        <f t="shared" si="39"/>
        <v>-</v>
      </c>
      <c r="L60" s="464"/>
      <c r="M60" s="181" t="e">
        <f>RANK(K60, K$47:$K$61)</f>
        <v>#VALUE!</v>
      </c>
      <c r="N60" s="461"/>
      <c r="O60" s="461"/>
      <c r="P60" s="182"/>
      <c r="Q60" s="166"/>
      <c r="R60" s="166"/>
      <c r="S60" s="182"/>
      <c r="T60" s="488"/>
      <c r="U60" s="182"/>
      <c r="V60" s="166"/>
      <c r="W60" s="166"/>
      <c r="X60" s="182"/>
      <c r="Y60" s="488"/>
      <c r="Z60" s="182"/>
      <c r="AA60" s="166"/>
      <c r="AB60" s="166"/>
      <c r="AC60" s="182"/>
      <c r="AD60" s="488"/>
      <c r="AE60" s="182"/>
      <c r="AF60" s="166"/>
      <c r="AG60" s="166"/>
      <c r="AH60" s="182"/>
      <c r="AI60" s="488"/>
      <c r="AJ60" s="182"/>
      <c r="AK60" s="166"/>
      <c r="AL60" s="166"/>
      <c r="AM60" s="182"/>
      <c r="AN60" s="488"/>
      <c r="AO60" s="182"/>
      <c r="AP60" s="166"/>
      <c r="AQ60" s="166"/>
      <c r="AR60" s="182"/>
      <c r="AS60" s="488"/>
      <c r="AT60" s="182"/>
      <c r="AU60" s="166"/>
      <c r="AV60" s="166"/>
      <c r="AW60" s="182"/>
      <c r="AX60" s="488"/>
      <c r="AZ60" s="182"/>
      <c r="BA60" s="488"/>
    </row>
    <row r="61" spans="2:53">
      <c r="B61" s="454"/>
      <c r="C61" s="182">
        <v>15</v>
      </c>
      <c r="D61" s="203"/>
      <c r="E61" s="166"/>
      <c r="F61" s="166"/>
      <c r="G61" s="166"/>
      <c r="H61" s="465"/>
      <c r="I61" s="182"/>
      <c r="J61" s="182"/>
      <c r="K61" s="182"/>
      <c r="L61" s="465"/>
      <c r="M61" s="181" t="e">
        <f>RANK(K61, K$47:$K$61)</f>
        <v>#N/A</v>
      </c>
      <c r="N61" s="461"/>
      <c r="O61" s="461"/>
      <c r="P61" s="182"/>
      <c r="Q61" s="166"/>
      <c r="R61" s="166"/>
      <c r="S61" s="182"/>
      <c r="T61" s="489"/>
      <c r="U61" s="182"/>
      <c r="V61" s="166"/>
      <c r="W61" s="166"/>
      <c r="X61" s="182"/>
      <c r="Y61" s="489"/>
      <c r="Z61" s="182"/>
      <c r="AA61" s="166"/>
      <c r="AB61" s="166"/>
      <c r="AC61" s="182"/>
      <c r="AD61" s="489"/>
      <c r="AE61" s="182"/>
      <c r="AF61" s="166"/>
      <c r="AG61" s="166"/>
      <c r="AH61" s="182"/>
      <c r="AI61" s="489"/>
      <c r="AJ61" s="182"/>
      <c r="AK61" s="166"/>
      <c r="AL61" s="166"/>
      <c r="AM61" s="182"/>
      <c r="AN61" s="489"/>
      <c r="AO61" s="182"/>
      <c r="AP61" s="166"/>
      <c r="AQ61" s="166"/>
      <c r="AR61" s="182"/>
      <c r="AS61" s="489"/>
      <c r="AT61" s="182"/>
      <c r="AU61" s="166"/>
      <c r="AV61" s="166"/>
      <c r="AW61" s="182"/>
      <c r="AX61" s="489"/>
      <c r="AZ61" s="182"/>
      <c r="BA61" s="489"/>
    </row>
    <row r="62" spans="2:53" ht="15.5">
      <c r="B62" s="477" t="s">
        <v>163</v>
      </c>
      <c r="C62" s="478"/>
      <c r="D62" s="478"/>
      <c r="E62" s="478"/>
      <c r="F62" s="478"/>
      <c r="G62" s="478"/>
      <c r="H62" s="478"/>
      <c r="I62" s="186"/>
      <c r="J62" s="186"/>
      <c r="K62" s="186"/>
      <c r="L62" s="186"/>
      <c r="M62" s="185"/>
      <c r="N62" s="480" t="s">
        <v>156</v>
      </c>
      <c r="O62" s="480" t="s">
        <v>105</v>
      </c>
      <c r="P62" s="476">
        <f>P42+7</f>
        <v>46133</v>
      </c>
      <c r="Q62" s="454"/>
      <c r="R62" s="454"/>
      <c r="S62" s="454"/>
      <c r="T62" s="454"/>
      <c r="U62" s="473">
        <f>P62+1</f>
        <v>46134</v>
      </c>
      <c r="V62" s="474"/>
      <c r="W62" s="474"/>
      <c r="X62" s="474"/>
      <c r="Y62" s="475"/>
      <c r="Z62" s="473">
        <f>U62+1</f>
        <v>46135</v>
      </c>
      <c r="AA62" s="474"/>
      <c r="AB62" s="474"/>
      <c r="AC62" s="474"/>
      <c r="AD62" s="475"/>
      <c r="AE62" s="473">
        <f>Z62+1</f>
        <v>46136</v>
      </c>
      <c r="AF62" s="474"/>
      <c r="AG62" s="474"/>
      <c r="AH62" s="474"/>
      <c r="AI62" s="475"/>
      <c r="AJ62" s="473">
        <f>AE62+1</f>
        <v>46137</v>
      </c>
      <c r="AK62" s="474"/>
      <c r="AL62" s="474"/>
      <c r="AM62" s="474"/>
      <c r="AN62" s="475"/>
      <c r="AO62" s="473">
        <f>AJ62+1</f>
        <v>46138</v>
      </c>
      <c r="AP62" s="474"/>
      <c r="AQ62" s="474"/>
      <c r="AR62" s="474"/>
      <c r="AS62" s="475"/>
      <c r="AT62" s="473">
        <f>AO62+1</f>
        <v>46139</v>
      </c>
      <c r="AU62" s="474"/>
      <c r="AV62" s="474"/>
      <c r="AW62" s="474"/>
      <c r="AX62" s="475"/>
    </row>
    <row r="63" spans="2:53" ht="15.5">
      <c r="B63" s="479"/>
      <c r="C63" s="479"/>
      <c r="D63" s="479"/>
      <c r="E63" s="479"/>
      <c r="F63" s="479"/>
      <c r="G63" s="479"/>
      <c r="H63" s="479"/>
      <c r="I63" s="184"/>
      <c r="J63" s="184"/>
      <c r="K63" s="184"/>
      <c r="L63" s="184"/>
      <c r="M63" s="179"/>
      <c r="N63" s="481"/>
      <c r="O63" s="481"/>
      <c r="P63" s="476" t="s">
        <v>336</v>
      </c>
      <c r="Q63" s="454"/>
      <c r="R63" s="454"/>
      <c r="S63" s="454"/>
      <c r="T63" s="454"/>
      <c r="U63" s="476" t="s">
        <v>337</v>
      </c>
      <c r="V63" s="454"/>
      <c r="W63" s="454"/>
      <c r="X63" s="454"/>
      <c r="Y63" s="454"/>
      <c r="Z63" s="476" t="s">
        <v>338</v>
      </c>
      <c r="AA63" s="454"/>
      <c r="AB63" s="454"/>
      <c r="AC63" s="454"/>
      <c r="AD63" s="454"/>
      <c r="AE63" s="476" t="s">
        <v>339</v>
      </c>
      <c r="AF63" s="454"/>
      <c r="AG63" s="454"/>
      <c r="AH63" s="454"/>
      <c r="AI63" s="454"/>
      <c r="AJ63" s="476" t="s">
        <v>340</v>
      </c>
      <c r="AK63" s="454"/>
      <c r="AL63" s="454"/>
      <c r="AM63" s="454"/>
      <c r="AN63" s="454"/>
      <c r="AO63" s="476" t="s">
        <v>341</v>
      </c>
      <c r="AP63" s="454"/>
      <c r="AQ63" s="454"/>
      <c r="AR63" s="454"/>
      <c r="AS63" s="454"/>
      <c r="AT63" s="476" t="s">
        <v>342</v>
      </c>
      <c r="AU63" s="454"/>
      <c r="AV63" s="454"/>
      <c r="AW63" s="454"/>
      <c r="AX63" s="454"/>
    </row>
    <row r="64" spans="2:53">
      <c r="B64" s="461" t="s">
        <v>443</v>
      </c>
      <c r="C64" s="461" t="s">
        <v>444</v>
      </c>
      <c r="D64" s="461"/>
      <c r="E64" s="461" t="s">
        <v>445</v>
      </c>
      <c r="F64" s="461"/>
      <c r="G64" s="461"/>
      <c r="H64" s="482" t="s">
        <v>446</v>
      </c>
      <c r="I64" s="461" t="s">
        <v>447</v>
      </c>
      <c r="J64" s="461"/>
      <c r="K64" s="461"/>
      <c r="L64" s="482" t="s">
        <v>396</v>
      </c>
      <c r="M64" s="480" t="s">
        <v>448</v>
      </c>
      <c r="N64" s="461"/>
      <c r="O64" s="461" t="s">
        <v>449</v>
      </c>
      <c r="P64" s="466" t="s">
        <v>450</v>
      </c>
      <c r="Q64" s="467"/>
      <c r="R64" s="467"/>
      <c r="S64" s="468"/>
      <c r="T64" s="461" t="s">
        <v>446</v>
      </c>
      <c r="U64" s="466" t="s">
        <v>450</v>
      </c>
      <c r="V64" s="467"/>
      <c r="W64" s="467"/>
      <c r="X64" s="468"/>
      <c r="Y64" s="461" t="s">
        <v>446</v>
      </c>
      <c r="Z64" s="466" t="s">
        <v>450</v>
      </c>
      <c r="AA64" s="467"/>
      <c r="AB64" s="467"/>
      <c r="AC64" s="468"/>
      <c r="AD64" s="461" t="s">
        <v>446</v>
      </c>
      <c r="AE64" s="466" t="s">
        <v>450</v>
      </c>
      <c r="AF64" s="467"/>
      <c r="AG64" s="467"/>
      <c r="AH64" s="468"/>
      <c r="AI64" s="461" t="s">
        <v>446</v>
      </c>
      <c r="AJ64" s="466" t="s">
        <v>450</v>
      </c>
      <c r="AK64" s="467"/>
      <c r="AL64" s="467"/>
      <c r="AM64" s="468"/>
      <c r="AN64" s="461" t="s">
        <v>446</v>
      </c>
      <c r="AO64" s="466" t="s">
        <v>450</v>
      </c>
      <c r="AP64" s="467"/>
      <c r="AQ64" s="467"/>
      <c r="AR64" s="468"/>
      <c r="AS64" s="461" t="s">
        <v>446</v>
      </c>
      <c r="AT64" s="466" t="s">
        <v>450</v>
      </c>
      <c r="AU64" s="467"/>
      <c r="AV64" s="467"/>
      <c r="AW64" s="468"/>
      <c r="AX64" s="461" t="s">
        <v>446</v>
      </c>
      <c r="BA64" s="461" t="s">
        <v>396</v>
      </c>
    </row>
    <row r="65" spans="2:53">
      <c r="B65" s="461"/>
      <c r="C65" s="461"/>
      <c r="D65" s="461"/>
      <c r="E65" s="461" t="s">
        <v>451</v>
      </c>
      <c r="F65" s="461"/>
      <c r="G65" s="461"/>
      <c r="H65" s="483"/>
      <c r="I65" s="461" t="s">
        <v>451</v>
      </c>
      <c r="J65" s="461"/>
      <c r="K65" s="461"/>
      <c r="L65" s="483"/>
      <c r="M65" s="485"/>
      <c r="N65" s="461"/>
      <c r="O65" s="461"/>
      <c r="P65" s="466" t="s">
        <v>452</v>
      </c>
      <c r="Q65" s="467"/>
      <c r="R65" s="467"/>
      <c r="S65" s="468"/>
      <c r="T65" s="461"/>
      <c r="U65" s="466" t="s">
        <v>452</v>
      </c>
      <c r="V65" s="467"/>
      <c r="W65" s="467"/>
      <c r="X65" s="468"/>
      <c r="Y65" s="461"/>
      <c r="Z65" s="466" t="s">
        <v>452</v>
      </c>
      <c r="AA65" s="467"/>
      <c r="AB65" s="467"/>
      <c r="AC65" s="468"/>
      <c r="AD65" s="461"/>
      <c r="AE65" s="466" t="s">
        <v>452</v>
      </c>
      <c r="AF65" s="467"/>
      <c r="AG65" s="467"/>
      <c r="AH65" s="468"/>
      <c r="AI65" s="461"/>
      <c r="AJ65" s="466" t="s">
        <v>452</v>
      </c>
      <c r="AK65" s="467"/>
      <c r="AL65" s="467"/>
      <c r="AM65" s="468"/>
      <c r="AN65" s="461"/>
      <c r="AO65" s="466" t="s">
        <v>452</v>
      </c>
      <c r="AP65" s="467"/>
      <c r="AQ65" s="467"/>
      <c r="AR65" s="468"/>
      <c r="AS65" s="461"/>
      <c r="AT65" s="466" t="s">
        <v>452</v>
      </c>
      <c r="AU65" s="467"/>
      <c r="AV65" s="467"/>
      <c r="AW65" s="468"/>
      <c r="AX65" s="461"/>
      <c r="BA65" s="461"/>
    </row>
    <row r="66" spans="2:53">
      <c r="B66" s="461"/>
      <c r="C66" s="461"/>
      <c r="D66" s="461"/>
      <c r="E66" s="269" t="s">
        <v>453</v>
      </c>
      <c r="F66" s="269" t="s">
        <v>454</v>
      </c>
      <c r="G66" s="269" t="s">
        <v>455</v>
      </c>
      <c r="H66" s="484"/>
      <c r="I66" s="269" t="s">
        <v>453</v>
      </c>
      <c r="J66" s="269" t="s">
        <v>454</v>
      </c>
      <c r="K66" s="269" t="s">
        <v>455</v>
      </c>
      <c r="L66" s="484"/>
      <c r="M66" s="481"/>
      <c r="N66" s="461"/>
      <c r="O66" s="461"/>
      <c r="P66" s="269" t="s">
        <v>453</v>
      </c>
      <c r="Q66" s="269" t="s">
        <v>454</v>
      </c>
      <c r="R66" s="269" t="s">
        <v>455</v>
      </c>
      <c r="S66" s="269" t="s">
        <v>448</v>
      </c>
      <c r="T66" s="461"/>
      <c r="U66" s="269" t="s">
        <v>453</v>
      </c>
      <c r="V66" s="269" t="s">
        <v>454</v>
      </c>
      <c r="W66" s="269" t="s">
        <v>455</v>
      </c>
      <c r="X66" s="269" t="s">
        <v>448</v>
      </c>
      <c r="Y66" s="461"/>
      <c r="Z66" s="269" t="s">
        <v>453</v>
      </c>
      <c r="AA66" s="269" t="s">
        <v>454</v>
      </c>
      <c r="AB66" s="269" t="s">
        <v>455</v>
      </c>
      <c r="AC66" s="269" t="s">
        <v>448</v>
      </c>
      <c r="AD66" s="461"/>
      <c r="AE66" s="269" t="s">
        <v>453</v>
      </c>
      <c r="AF66" s="269" t="s">
        <v>454</v>
      </c>
      <c r="AG66" s="269" t="s">
        <v>455</v>
      </c>
      <c r="AH66" s="269" t="s">
        <v>448</v>
      </c>
      <c r="AI66" s="461"/>
      <c r="AJ66" s="269" t="s">
        <v>453</v>
      </c>
      <c r="AK66" s="269" t="s">
        <v>454</v>
      </c>
      <c r="AL66" s="269" t="s">
        <v>455</v>
      </c>
      <c r="AM66" s="269" t="s">
        <v>448</v>
      </c>
      <c r="AN66" s="461"/>
      <c r="AO66" s="269" t="s">
        <v>453</v>
      </c>
      <c r="AP66" s="269" t="s">
        <v>454</v>
      </c>
      <c r="AQ66" s="269" t="s">
        <v>455</v>
      </c>
      <c r="AR66" s="269" t="s">
        <v>448</v>
      </c>
      <c r="AS66" s="461"/>
      <c r="AT66" s="269" t="s">
        <v>453</v>
      </c>
      <c r="AU66" s="269" t="s">
        <v>454</v>
      </c>
      <c r="AV66" s="269" t="s">
        <v>455</v>
      </c>
      <c r="AW66" s="269" t="s">
        <v>448</v>
      </c>
      <c r="AX66" s="461"/>
      <c r="AZ66" s="269" t="s">
        <v>397</v>
      </c>
      <c r="BA66" s="461"/>
    </row>
    <row r="67" spans="2:53">
      <c r="B67" s="461" t="s">
        <v>457</v>
      </c>
      <c r="C67" s="182">
        <v>1</v>
      </c>
      <c r="D67" s="203"/>
      <c r="E67" s="166"/>
      <c r="F67" s="182"/>
      <c r="G67" s="180"/>
      <c r="H67" s="463" t="e">
        <f>AVERAGE(G67:G81)</f>
        <v>#DIV/0!</v>
      </c>
      <c r="I67" s="166" t="str">
        <f t="shared" ref="I67:I80" si="61">IFERROR(AVERAGE(P67,U67,Z67,AE67,AJ67,AO67,AT67),"-")</f>
        <v>-</v>
      </c>
      <c r="J67" s="166" t="str">
        <f t="shared" ref="J67:J80" si="62">IFERROR(AVERAGE(Q67,V67,AA67,AF67,AK67,AP67,AU67),"-")</f>
        <v>-</v>
      </c>
      <c r="K67" s="180" t="str">
        <f t="shared" ref="K67:K80" si="63">IFERROR(AVERAGE(R67,W67,AB67,AG67,AL67,AQ67,AV67),"-")</f>
        <v>-</v>
      </c>
      <c r="L67" s="463" t="str">
        <f>IFERROR(AVERAGE(K67:K81),"-")</f>
        <v>-</v>
      </c>
      <c r="M67" s="181" t="e">
        <f>RANK(K67, K$67:$K$81)</f>
        <v>#VALUE!</v>
      </c>
      <c r="N67" s="461"/>
      <c r="O67" s="461"/>
      <c r="P67" s="182"/>
      <c r="Q67" s="166"/>
      <c r="R67" s="166"/>
      <c r="S67" s="182" t="e">
        <f>RANK(R67, R$67:R$81)</f>
        <v>#N/A</v>
      </c>
      <c r="T67" s="487" t="e">
        <f>AVERAGE(R67:R81)</f>
        <v>#DIV/0!</v>
      </c>
      <c r="U67" s="182"/>
      <c r="V67" s="166"/>
      <c r="W67" s="166"/>
      <c r="X67" s="182" t="e">
        <f t="shared" ref="X67:X81" si="64">RANK(W67, W$67:W$81)</f>
        <v>#N/A</v>
      </c>
      <c r="Y67" s="487" t="e">
        <f t="shared" ref="Y67" si="65">AVERAGE(W67:W81)</f>
        <v>#DIV/0!</v>
      </c>
      <c r="Z67" s="182"/>
      <c r="AA67" s="166"/>
      <c r="AB67" s="166"/>
      <c r="AC67" s="182" t="e">
        <f t="shared" ref="AC67:AC81" si="66">RANK(AB67, AB$67:AB$81)</f>
        <v>#N/A</v>
      </c>
      <c r="AD67" s="487" t="e">
        <f t="shared" ref="AD67" si="67">AVERAGE(AB67:AB81)</f>
        <v>#DIV/0!</v>
      </c>
      <c r="AE67" s="182"/>
      <c r="AF67" s="166"/>
      <c r="AG67" s="166"/>
      <c r="AH67" s="182" t="e">
        <f t="shared" ref="AH67:AH81" si="68">RANK(AG67, AG$67:AG$81)</f>
        <v>#N/A</v>
      </c>
      <c r="AI67" s="487" t="e">
        <f t="shared" ref="AI67" si="69">AVERAGE(AG67:AG81)</f>
        <v>#DIV/0!</v>
      </c>
      <c r="AJ67" s="182"/>
      <c r="AK67" s="166"/>
      <c r="AL67" s="166"/>
      <c r="AM67" s="182" t="e">
        <f t="shared" ref="AM67:AM81" si="70">RANK(AL67, AL$67:AL$81)</f>
        <v>#N/A</v>
      </c>
      <c r="AN67" s="487" t="e">
        <f t="shared" ref="AN67" si="71">AVERAGE(AL67:AL81)</f>
        <v>#DIV/0!</v>
      </c>
      <c r="AO67" s="182"/>
      <c r="AP67" s="166"/>
      <c r="AQ67" s="166"/>
      <c r="AR67" s="182" t="e">
        <f t="shared" ref="AR67:AR81" si="72">RANK(AQ67, AQ$67:AQ$81)</f>
        <v>#N/A</v>
      </c>
      <c r="AS67" s="487" t="e">
        <f t="shared" ref="AS67" si="73">AVERAGE(AQ67:AQ81)</f>
        <v>#DIV/0!</v>
      </c>
      <c r="AT67" s="182"/>
      <c r="AU67" s="166"/>
      <c r="AV67" s="166"/>
      <c r="AW67" s="182" t="e">
        <f t="shared" ref="AW67:AW81" si="74">RANK(AV67, AV$67:AV$81)</f>
        <v>#N/A</v>
      </c>
      <c r="AX67" s="487" t="e">
        <f t="shared" ref="AX67" si="75">AVERAGE(AV67:AV81)</f>
        <v>#DIV/0!</v>
      </c>
      <c r="AZ67" s="182" t="e">
        <f t="shared" ref="AZ67:AZ81" si="76">RANK(AY67, AY$67:AY$81)</f>
        <v>#N/A</v>
      </c>
      <c r="BA67" s="487" t="e">
        <f t="shared" ref="BA67" si="77">AVERAGE(AY67:AY81)</f>
        <v>#DIV/0!</v>
      </c>
    </row>
    <row r="68" spans="2:53">
      <c r="B68" s="454"/>
      <c r="C68" s="182">
        <v>2</v>
      </c>
      <c r="D68" s="203"/>
      <c r="E68" s="166"/>
      <c r="F68" s="182"/>
      <c r="G68" s="180"/>
      <c r="H68" s="464"/>
      <c r="I68" s="166" t="str">
        <f t="shared" si="61"/>
        <v>-</v>
      </c>
      <c r="J68" s="166" t="str">
        <f t="shared" si="62"/>
        <v>-</v>
      </c>
      <c r="K68" s="180" t="str">
        <f t="shared" si="63"/>
        <v>-</v>
      </c>
      <c r="L68" s="464"/>
      <c r="M68" s="181" t="e">
        <f>RANK(K68, K$67:$K$81)</f>
        <v>#VALUE!</v>
      </c>
      <c r="N68" s="461"/>
      <c r="O68" s="461"/>
      <c r="P68" s="182"/>
      <c r="Q68" s="166"/>
      <c r="R68" s="166"/>
      <c r="S68" s="182" t="e">
        <f t="shared" ref="S68:S81" si="78">RANK(R68, R$67:R$81)</f>
        <v>#N/A</v>
      </c>
      <c r="T68" s="488"/>
      <c r="U68" s="182"/>
      <c r="V68" s="166"/>
      <c r="W68" s="166"/>
      <c r="X68" s="182" t="e">
        <f t="shared" si="64"/>
        <v>#N/A</v>
      </c>
      <c r="Y68" s="488"/>
      <c r="Z68" s="182"/>
      <c r="AA68" s="166"/>
      <c r="AB68" s="166"/>
      <c r="AC68" s="182" t="e">
        <f t="shared" si="66"/>
        <v>#N/A</v>
      </c>
      <c r="AD68" s="488"/>
      <c r="AE68" s="182"/>
      <c r="AF68" s="166"/>
      <c r="AG68" s="166"/>
      <c r="AH68" s="182" t="e">
        <f t="shared" si="68"/>
        <v>#N/A</v>
      </c>
      <c r="AI68" s="488"/>
      <c r="AJ68" s="182"/>
      <c r="AK68" s="166"/>
      <c r="AL68" s="166"/>
      <c r="AM68" s="182" t="e">
        <f t="shared" si="70"/>
        <v>#N/A</v>
      </c>
      <c r="AN68" s="488"/>
      <c r="AO68" s="182"/>
      <c r="AP68" s="166"/>
      <c r="AQ68" s="166"/>
      <c r="AR68" s="182" t="e">
        <f t="shared" si="72"/>
        <v>#N/A</v>
      </c>
      <c r="AS68" s="488"/>
      <c r="AT68" s="182"/>
      <c r="AU68" s="166"/>
      <c r="AV68" s="166"/>
      <c r="AW68" s="182" t="e">
        <f t="shared" si="74"/>
        <v>#N/A</v>
      </c>
      <c r="AX68" s="488"/>
      <c r="AZ68" s="182" t="e">
        <f t="shared" si="76"/>
        <v>#N/A</v>
      </c>
      <c r="BA68" s="488"/>
    </row>
    <row r="69" spans="2:53">
      <c r="B69" s="454"/>
      <c r="C69" s="182">
        <v>3</v>
      </c>
      <c r="D69" s="203"/>
      <c r="E69" s="166"/>
      <c r="F69" s="182"/>
      <c r="G69" s="180"/>
      <c r="H69" s="464"/>
      <c r="I69" s="166" t="str">
        <f t="shared" si="61"/>
        <v>-</v>
      </c>
      <c r="J69" s="166" t="str">
        <f t="shared" si="62"/>
        <v>-</v>
      </c>
      <c r="K69" s="180" t="str">
        <f t="shared" si="63"/>
        <v>-</v>
      </c>
      <c r="L69" s="464"/>
      <c r="M69" s="181" t="e">
        <f>RANK(K69, K$67:$K$81)</f>
        <v>#VALUE!</v>
      </c>
      <c r="N69" s="461"/>
      <c r="O69" s="461"/>
      <c r="P69" s="182"/>
      <c r="Q69" s="166"/>
      <c r="R69" s="166"/>
      <c r="S69" s="182" t="e">
        <f t="shared" si="78"/>
        <v>#N/A</v>
      </c>
      <c r="T69" s="488"/>
      <c r="U69" s="182"/>
      <c r="V69" s="166"/>
      <c r="W69" s="166"/>
      <c r="X69" s="182" t="e">
        <f t="shared" si="64"/>
        <v>#N/A</v>
      </c>
      <c r="Y69" s="488"/>
      <c r="Z69" s="182"/>
      <c r="AA69" s="166"/>
      <c r="AB69" s="166"/>
      <c r="AC69" s="182" t="e">
        <f t="shared" si="66"/>
        <v>#N/A</v>
      </c>
      <c r="AD69" s="488"/>
      <c r="AE69" s="182"/>
      <c r="AF69" s="166"/>
      <c r="AG69" s="166"/>
      <c r="AH69" s="182" t="e">
        <f t="shared" si="68"/>
        <v>#N/A</v>
      </c>
      <c r="AI69" s="488"/>
      <c r="AJ69" s="182"/>
      <c r="AK69" s="166"/>
      <c r="AL69" s="166"/>
      <c r="AM69" s="182" t="e">
        <f t="shared" si="70"/>
        <v>#N/A</v>
      </c>
      <c r="AN69" s="488"/>
      <c r="AO69" s="182"/>
      <c r="AP69" s="166"/>
      <c r="AQ69" s="166"/>
      <c r="AR69" s="182" t="e">
        <f t="shared" si="72"/>
        <v>#N/A</v>
      </c>
      <c r="AS69" s="488"/>
      <c r="AT69" s="182"/>
      <c r="AU69" s="166"/>
      <c r="AV69" s="166"/>
      <c r="AW69" s="182" t="e">
        <f t="shared" si="74"/>
        <v>#N/A</v>
      </c>
      <c r="AX69" s="488"/>
      <c r="AZ69" s="182" t="e">
        <f t="shared" si="76"/>
        <v>#N/A</v>
      </c>
      <c r="BA69" s="488"/>
    </row>
    <row r="70" spans="2:53">
      <c r="B70" s="454"/>
      <c r="C70" s="182">
        <v>4</v>
      </c>
      <c r="D70" s="203"/>
      <c r="E70" s="166"/>
      <c r="F70" s="182"/>
      <c r="G70" s="180"/>
      <c r="H70" s="464"/>
      <c r="I70" s="166" t="str">
        <f t="shared" si="61"/>
        <v>-</v>
      </c>
      <c r="J70" s="166" t="str">
        <f t="shared" si="62"/>
        <v>-</v>
      </c>
      <c r="K70" s="180" t="str">
        <f t="shared" si="63"/>
        <v>-</v>
      </c>
      <c r="L70" s="464"/>
      <c r="M70" s="181" t="e">
        <f>RANK(K70, K$67:$K$81)</f>
        <v>#VALUE!</v>
      </c>
      <c r="N70" s="461"/>
      <c r="O70" s="461"/>
      <c r="P70" s="182"/>
      <c r="Q70" s="166"/>
      <c r="R70" s="166"/>
      <c r="S70" s="182" t="e">
        <f t="shared" si="78"/>
        <v>#N/A</v>
      </c>
      <c r="T70" s="488"/>
      <c r="U70" s="182"/>
      <c r="V70" s="166"/>
      <c r="W70" s="166"/>
      <c r="X70" s="182" t="e">
        <f t="shared" si="64"/>
        <v>#N/A</v>
      </c>
      <c r="Y70" s="488"/>
      <c r="Z70" s="182"/>
      <c r="AA70" s="166"/>
      <c r="AB70" s="166"/>
      <c r="AC70" s="182" t="e">
        <f t="shared" si="66"/>
        <v>#N/A</v>
      </c>
      <c r="AD70" s="488"/>
      <c r="AE70" s="182"/>
      <c r="AF70" s="166"/>
      <c r="AG70" s="166"/>
      <c r="AH70" s="182" t="e">
        <f t="shared" si="68"/>
        <v>#N/A</v>
      </c>
      <c r="AI70" s="488"/>
      <c r="AJ70" s="182"/>
      <c r="AK70" s="166"/>
      <c r="AL70" s="166"/>
      <c r="AM70" s="182" t="e">
        <f t="shared" si="70"/>
        <v>#N/A</v>
      </c>
      <c r="AN70" s="488"/>
      <c r="AO70" s="182"/>
      <c r="AP70" s="166"/>
      <c r="AQ70" s="166"/>
      <c r="AR70" s="182" t="e">
        <f t="shared" si="72"/>
        <v>#N/A</v>
      </c>
      <c r="AS70" s="488"/>
      <c r="AT70" s="182"/>
      <c r="AU70" s="166"/>
      <c r="AV70" s="166"/>
      <c r="AW70" s="182" t="e">
        <f t="shared" si="74"/>
        <v>#N/A</v>
      </c>
      <c r="AX70" s="488"/>
      <c r="AZ70" s="182" t="e">
        <f t="shared" si="76"/>
        <v>#N/A</v>
      </c>
      <c r="BA70" s="488"/>
    </row>
    <row r="71" spans="2:53">
      <c r="B71" s="454"/>
      <c r="C71" s="182">
        <v>5</v>
      </c>
      <c r="D71" s="203"/>
      <c r="E71" s="166"/>
      <c r="F71" s="182"/>
      <c r="G71" s="180"/>
      <c r="H71" s="464"/>
      <c r="I71" s="166" t="str">
        <f t="shared" si="61"/>
        <v>-</v>
      </c>
      <c r="J71" s="166" t="str">
        <f t="shared" si="62"/>
        <v>-</v>
      </c>
      <c r="K71" s="180" t="str">
        <f t="shared" si="63"/>
        <v>-</v>
      </c>
      <c r="L71" s="464"/>
      <c r="M71" s="181" t="e">
        <f>RANK(K71, K$67:$K$81)</f>
        <v>#VALUE!</v>
      </c>
      <c r="N71" s="461"/>
      <c r="O71" s="461"/>
      <c r="P71" s="182"/>
      <c r="Q71" s="166"/>
      <c r="R71" s="166"/>
      <c r="S71" s="182" t="e">
        <f t="shared" si="78"/>
        <v>#N/A</v>
      </c>
      <c r="T71" s="488"/>
      <c r="U71" s="182"/>
      <c r="V71" s="166"/>
      <c r="W71" s="166"/>
      <c r="X71" s="182" t="e">
        <f t="shared" si="64"/>
        <v>#N/A</v>
      </c>
      <c r="Y71" s="488"/>
      <c r="Z71" s="182"/>
      <c r="AA71" s="166"/>
      <c r="AB71" s="166"/>
      <c r="AC71" s="182" t="e">
        <f t="shared" si="66"/>
        <v>#N/A</v>
      </c>
      <c r="AD71" s="488"/>
      <c r="AE71" s="182"/>
      <c r="AF71" s="166"/>
      <c r="AG71" s="166"/>
      <c r="AH71" s="182" t="e">
        <f t="shared" si="68"/>
        <v>#N/A</v>
      </c>
      <c r="AI71" s="488"/>
      <c r="AJ71" s="182"/>
      <c r="AK71" s="166"/>
      <c r="AL71" s="166"/>
      <c r="AM71" s="182" t="e">
        <f t="shared" si="70"/>
        <v>#N/A</v>
      </c>
      <c r="AN71" s="488"/>
      <c r="AO71" s="182"/>
      <c r="AP71" s="166"/>
      <c r="AQ71" s="166"/>
      <c r="AR71" s="182" t="e">
        <f t="shared" si="72"/>
        <v>#N/A</v>
      </c>
      <c r="AS71" s="488"/>
      <c r="AT71" s="182"/>
      <c r="AU71" s="166"/>
      <c r="AV71" s="166"/>
      <c r="AW71" s="182" t="e">
        <f t="shared" si="74"/>
        <v>#N/A</v>
      </c>
      <c r="AX71" s="488"/>
      <c r="AZ71" s="182" t="e">
        <f t="shared" si="76"/>
        <v>#N/A</v>
      </c>
      <c r="BA71" s="488"/>
    </row>
    <row r="72" spans="2:53">
      <c r="B72" s="454"/>
      <c r="C72" s="182">
        <v>6</v>
      </c>
      <c r="D72" s="203"/>
      <c r="E72" s="166"/>
      <c r="F72" s="182"/>
      <c r="G72" s="180"/>
      <c r="H72" s="464"/>
      <c r="I72" s="166" t="str">
        <f t="shared" si="61"/>
        <v>-</v>
      </c>
      <c r="J72" s="166" t="str">
        <f t="shared" si="62"/>
        <v>-</v>
      </c>
      <c r="K72" s="180" t="str">
        <f t="shared" si="63"/>
        <v>-</v>
      </c>
      <c r="L72" s="464"/>
      <c r="M72" s="181" t="e">
        <f>RANK(K72, K$67:$K$81)</f>
        <v>#VALUE!</v>
      </c>
      <c r="N72" s="461"/>
      <c r="O72" s="461"/>
      <c r="P72" s="182"/>
      <c r="Q72" s="166"/>
      <c r="R72" s="166"/>
      <c r="S72" s="182" t="e">
        <f t="shared" si="78"/>
        <v>#N/A</v>
      </c>
      <c r="T72" s="488"/>
      <c r="U72" s="182"/>
      <c r="V72" s="166"/>
      <c r="W72" s="166"/>
      <c r="X72" s="182" t="e">
        <f t="shared" si="64"/>
        <v>#N/A</v>
      </c>
      <c r="Y72" s="488"/>
      <c r="Z72" s="182"/>
      <c r="AA72" s="166"/>
      <c r="AB72" s="166"/>
      <c r="AC72" s="182" t="e">
        <f t="shared" si="66"/>
        <v>#N/A</v>
      </c>
      <c r="AD72" s="488"/>
      <c r="AE72" s="182"/>
      <c r="AF72" s="166"/>
      <c r="AG72" s="166"/>
      <c r="AH72" s="182" t="e">
        <f t="shared" si="68"/>
        <v>#N/A</v>
      </c>
      <c r="AI72" s="488"/>
      <c r="AJ72" s="182"/>
      <c r="AK72" s="166"/>
      <c r="AL72" s="166"/>
      <c r="AM72" s="182" t="e">
        <f t="shared" si="70"/>
        <v>#N/A</v>
      </c>
      <c r="AN72" s="488"/>
      <c r="AO72" s="182"/>
      <c r="AP72" s="166"/>
      <c r="AQ72" s="166"/>
      <c r="AR72" s="182" t="e">
        <f t="shared" si="72"/>
        <v>#N/A</v>
      </c>
      <c r="AS72" s="488"/>
      <c r="AT72" s="182"/>
      <c r="AU72" s="166"/>
      <c r="AV72" s="166"/>
      <c r="AW72" s="182" t="e">
        <f t="shared" si="74"/>
        <v>#N/A</v>
      </c>
      <c r="AX72" s="488"/>
      <c r="AZ72" s="182" t="e">
        <f t="shared" si="76"/>
        <v>#N/A</v>
      </c>
      <c r="BA72" s="488"/>
    </row>
    <row r="73" spans="2:53">
      <c r="B73" s="454"/>
      <c r="C73" s="182">
        <v>7</v>
      </c>
      <c r="D73" s="203"/>
      <c r="E73" s="166"/>
      <c r="F73" s="182"/>
      <c r="G73" s="180"/>
      <c r="H73" s="464"/>
      <c r="I73" s="166" t="str">
        <f t="shared" si="61"/>
        <v>-</v>
      </c>
      <c r="J73" s="166" t="str">
        <f t="shared" si="62"/>
        <v>-</v>
      </c>
      <c r="K73" s="180" t="str">
        <f t="shared" si="63"/>
        <v>-</v>
      </c>
      <c r="L73" s="464"/>
      <c r="M73" s="181" t="e">
        <f>RANK(K73, K$67:$K$81)</f>
        <v>#VALUE!</v>
      </c>
      <c r="N73" s="461"/>
      <c r="O73" s="461"/>
      <c r="P73" s="182"/>
      <c r="Q73" s="166"/>
      <c r="R73" s="166"/>
      <c r="S73" s="182" t="e">
        <f t="shared" si="78"/>
        <v>#N/A</v>
      </c>
      <c r="T73" s="488"/>
      <c r="U73" s="182"/>
      <c r="V73" s="166"/>
      <c r="W73" s="166"/>
      <c r="X73" s="182" t="e">
        <f t="shared" si="64"/>
        <v>#N/A</v>
      </c>
      <c r="Y73" s="488"/>
      <c r="Z73" s="182"/>
      <c r="AA73" s="166"/>
      <c r="AB73" s="166"/>
      <c r="AC73" s="182" t="e">
        <f t="shared" si="66"/>
        <v>#N/A</v>
      </c>
      <c r="AD73" s="488"/>
      <c r="AE73" s="182"/>
      <c r="AF73" s="166"/>
      <c r="AG73" s="166"/>
      <c r="AH73" s="182" t="e">
        <f t="shared" si="68"/>
        <v>#N/A</v>
      </c>
      <c r="AI73" s="488"/>
      <c r="AJ73" s="182"/>
      <c r="AK73" s="166"/>
      <c r="AL73" s="166"/>
      <c r="AM73" s="182" t="e">
        <f t="shared" si="70"/>
        <v>#N/A</v>
      </c>
      <c r="AN73" s="488"/>
      <c r="AO73" s="182"/>
      <c r="AP73" s="166"/>
      <c r="AQ73" s="166"/>
      <c r="AR73" s="182" t="e">
        <f t="shared" si="72"/>
        <v>#N/A</v>
      </c>
      <c r="AS73" s="488"/>
      <c r="AT73" s="182"/>
      <c r="AU73" s="166"/>
      <c r="AV73" s="166"/>
      <c r="AW73" s="182" t="e">
        <f t="shared" si="74"/>
        <v>#N/A</v>
      </c>
      <c r="AX73" s="488"/>
      <c r="AZ73" s="182" t="e">
        <f t="shared" si="76"/>
        <v>#N/A</v>
      </c>
      <c r="BA73" s="488"/>
    </row>
    <row r="74" spans="2:53">
      <c r="B74" s="454"/>
      <c r="C74" s="182">
        <v>8</v>
      </c>
      <c r="D74" s="290"/>
      <c r="E74" s="166"/>
      <c r="F74" s="166"/>
      <c r="G74" s="166"/>
      <c r="H74" s="464"/>
      <c r="I74" s="166" t="str">
        <f t="shared" si="61"/>
        <v>-</v>
      </c>
      <c r="J74" s="166" t="str">
        <f t="shared" si="62"/>
        <v>-</v>
      </c>
      <c r="K74" s="180" t="str">
        <f t="shared" si="63"/>
        <v>-</v>
      </c>
      <c r="L74" s="464"/>
      <c r="M74" s="181" t="e">
        <f>RANK(K74, K$67:$K$81)</f>
        <v>#VALUE!</v>
      </c>
      <c r="N74" s="461"/>
      <c r="O74" s="461"/>
      <c r="P74" s="182"/>
      <c r="Q74" s="166"/>
      <c r="R74" s="166"/>
      <c r="S74" s="182" t="e">
        <f t="shared" si="78"/>
        <v>#N/A</v>
      </c>
      <c r="T74" s="488"/>
      <c r="U74" s="182"/>
      <c r="V74" s="166"/>
      <c r="W74" s="166"/>
      <c r="X74" s="182" t="e">
        <f t="shared" si="64"/>
        <v>#N/A</v>
      </c>
      <c r="Y74" s="488"/>
      <c r="Z74" s="182"/>
      <c r="AA74" s="166"/>
      <c r="AB74" s="166"/>
      <c r="AC74" s="182" t="e">
        <f t="shared" si="66"/>
        <v>#N/A</v>
      </c>
      <c r="AD74" s="488"/>
      <c r="AE74" s="182"/>
      <c r="AF74" s="166"/>
      <c r="AG74" s="166"/>
      <c r="AH74" s="182" t="e">
        <f t="shared" si="68"/>
        <v>#N/A</v>
      </c>
      <c r="AI74" s="488"/>
      <c r="AJ74" s="182"/>
      <c r="AK74" s="166"/>
      <c r="AL74" s="166"/>
      <c r="AM74" s="182" t="e">
        <f t="shared" si="70"/>
        <v>#N/A</v>
      </c>
      <c r="AN74" s="488"/>
      <c r="AO74" s="182"/>
      <c r="AP74" s="166"/>
      <c r="AQ74" s="166"/>
      <c r="AR74" s="182" t="e">
        <f t="shared" si="72"/>
        <v>#N/A</v>
      </c>
      <c r="AS74" s="488"/>
      <c r="AT74" s="182"/>
      <c r="AU74" s="166"/>
      <c r="AV74" s="166"/>
      <c r="AW74" s="182" t="e">
        <f t="shared" si="74"/>
        <v>#N/A</v>
      </c>
      <c r="AX74" s="488"/>
      <c r="AZ74" s="182" t="e">
        <f t="shared" si="76"/>
        <v>#N/A</v>
      </c>
      <c r="BA74" s="488"/>
    </row>
    <row r="75" spans="2:53">
      <c r="B75" s="454"/>
      <c r="C75" s="182">
        <v>9</v>
      </c>
      <c r="D75" s="203"/>
      <c r="E75" s="166"/>
      <c r="F75" s="166"/>
      <c r="G75" s="166"/>
      <c r="H75" s="464"/>
      <c r="I75" s="166" t="str">
        <f t="shared" si="61"/>
        <v>-</v>
      </c>
      <c r="J75" s="166" t="str">
        <f t="shared" si="62"/>
        <v>-</v>
      </c>
      <c r="K75" s="180" t="str">
        <f t="shared" si="63"/>
        <v>-</v>
      </c>
      <c r="L75" s="464"/>
      <c r="M75" s="181" t="e">
        <f>RANK(K75, K$67:$K$81)</f>
        <v>#VALUE!</v>
      </c>
      <c r="N75" s="461"/>
      <c r="O75" s="461"/>
      <c r="P75" s="182"/>
      <c r="Q75" s="166"/>
      <c r="R75" s="166"/>
      <c r="S75" s="182" t="e">
        <f t="shared" si="78"/>
        <v>#N/A</v>
      </c>
      <c r="T75" s="488"/>
      <c r="U75" s="182"/>
      <c r="V75" s="166"/>
      <c r="W75" s="166"/>
      <c r="X75" s="182" t="e">
        <f t="shared" si="64"/>
        <v>#N/A</v>
      </c>
      <c r="Y75" s="488"/>
      <c r="Z75" s="182"/>
      <c r="AA75" s="166"/>
      <c r="AB75" s="166"/>
      <c r="AC75" s="182" t="e">
        <f t="shared" si="66"/>
        <v>#N/A</v>
      </c>
      <c r="AD75" s="488"/>
      <c r="AE75" s="182"/>
      <c r="AF75" s="166"/>
      <c r="AG75" s="166"/>
      <c r="AH75" s="182" t="e">
        <f t="shared" si="68"/>
        <v>#N/A</v>
      </c>
      <c r="AI75" s="488"/>
      <c r="AJ75" s="182"/>
      <c r="AK75" s="166"/>
      <c r="AL75" s="166"/>
      <c r="AM75" s="182" t="e">
        <f t="shared" si="70"/>
        <v>#N/A</v>
      </c>
      <c r="AN75" s="488"/>
      <c r="AO75" s="182"/>
      <c r="AP75" s="166"/>
      <c r="AQ75" s="166"/>
      <c r="AR75" s="182" t="e">
        <f t="shared" si="72"/>
        <v>#N/A</v>
      </c>
      <c r="AS75" s="488"/>
      <c r="AT75" s="182"/>
      <c r="AU75" s="166"/>
      <c r="AV75" s="166"/>
      <c r="AW75" s="182" t="e">
        <f t="shared" si="74"/>
        <v>#N/A</v>
      </c>
      <c r="AX75" s="488"/>
      <c r="AZ75" s="182" t="e">
        <f t="shared" si="76"/>
        <v>#N/A</v>
      </c>
      <c r="BA75" s="488"/>
    </row>
    <row r="76" spans="2:53">
      <c r="B76" s="454"/>
      <c r="C76" s="182">
        <v>10</v>
      </c>
      <c r="D76" s="203"/>
      <c r="E76" s="166"/>
      <c r="F76" s="166"/>
      <c r="G76" s="166"/>
      <c r="H76" s="464"/>
      <c r="I76" s="166" t="str">
        <f t="shared" si="61"/>
        <v>-</v>
      </c>
      <c r="J76" s="166" t="str">
        <f t="shared" si="62"/>
        <v>-</v>
      </c>
      <c r="K76" s="180" t="str">
        <f t="shared" si="63"/>
        <v>-</v>
      </c>
      <c r="L76" s="464"/>
      <c r="M76" s="181" t="e">
        <f>RANK(K76, K$67:$K$81)</f>
        <v>#VALUE!</v>
      </c>
      <c r="N76" s="461"/>
      <c r="O76" s="461"/>
      <c r="P76" s="182"/>
      <c r="Q76" s="166"/>
      <c r="R76" s="166"/>
      <c r="S76" s="182" t="e">
        <f t="shared" si="78"/>
        <v>#N/A</v>
      </c>
      <c r="T76" s="488"/>
      <c r="U76" s="182"/>
      <c r="V76" s="166"/>
      <c r="W76" s="166"/>
      <c r="X76" s="182" t="e">
        <f t="shared" si="64"/>
        <v>#N/A</v>
      </c>
      <c r="Y76" s="488"/>
      <c r="Z76" s="182"/>
      <c r="AA76" s="166"/>
      <c r="AB76" s="166"/>
      <c r="AC76" s="182" t="e">
        <f t="shared" si="66"/>
        <v>#N/A</v>
      </c>
      <c r="AD76" s="488"/>
      <c r="AE76" s="182"/>
      <c r="AF76" s="166"/>
      <c r="AG76" s="166"/>
      <c r="AH76" s="182" t="e">
        <f t="shared" si="68"/>
        <v>#N/A</v>
      </c>
      <c r="AI76" s="488"/>
      <c r="AJ76" s="182"/>
      <c r="AK76" s="166"/>
      <c r="AL76" s="166"/>
      <c r="AM76" s="182" t="e">
        <f t="shared" si="70"/>
        <v>#N/A</v>
      </c>
      <c r="AN76" s="488"/>
      <c r="AO76" s="182"/>
      <c r="AP76" s="166"/>
      <c r="AQ76" s="166"/>
      <c r="AR76" s="182" t="e">
        <f t="shared" si="72"/>
        <v>#N/A</v>
      </c>
      <c r="AS76" s="488"/>
      <c r="AT76" s="182"/>
      <c r="AU76" s="166"/>
      <c r="AV76" s="166"/>
      <c r="AW76" s="182" t="e">
        <f t="shared" si="74"/>
        <v>#N/A</v>
      </c>
      <c r="AX76" s="488"/>
      <c r="AZ76" s="182" t="e">
        <f t="shared" si="76"/>
        <v>#N/A</v>
      </c>
      <c r="BA76" s="488"/>
    </row>
    <row r="77" spans="2:53">
      <c r="B77" s="454"/>
      <c r="C77" s="182">
        <v>11</v>
      </c>
      <c r="D77" s="203"/>
      <c r="E77" s="166"/>
      <c r="F77" s="166"/>
      <c r="G77" s="166"/>
      <c r="H77" s="464"/>
      <c r="I77" s="166" t="str">
        <f t="shared" si="61"/>
        <v>-</v>
      </c>
      <c r="J77" s="166" t="str">
        <f t="shared" si="62"/>
        <v>-</v>
      </c>
      <c r="K77" s="180" t="str">
        <f t="shared" si="63"/>
        <v>-</v>
      </c>
      <c r="L77" s="464"/>
      <c r="M77" s="181" t="e">
        <f>RANK(K77, K$67:$K$81)</f>
        <v>#VALUE!</v>
      </c>
      <c r="N77" s="461"/>
      <c r="O77" s="461"/>
      <c r="P77" s="182"/>
      <c r="Q77" s="166"/>
      <c r="R77" s="166"/>
      <c r="S77" s="182" t="e">
        <f t="shared" si="78"/>
        <v>#N/A</v>
      </c>
      <c r="T77" s="488"/>
      <c r="U77" s="182"/>
      <c r="V77" s="166"/>
      <c r="W77" s="166"/>
      <c r="X77" s="182" t="e">
        <f t="shared" si="64"/>
        <v>#N/A</v>
      </c>
      <c r="Y77" s="488"/>
      <c r="Z77" s="182"/>
      <c r="AA77" s="166"/>
      <c r="AB77" s="166"/>
      <c r="AC77" s="182" t="e">
        <f t="shared" si="66"/>
        <v>#N/A</v>
      </c>
      <c r="AD77" s="488"/>
      <c r="AE77" s="182"/>
      <c r="AF77" s="166"/>
      <c r="AG77" s="166"/>
      <c r="AH77" s="182" t="e">
        <f t="shared" si="68"/>
        <v>#N/A</v>
      </c>
      <c r="AI77" s="488"/>
      <c r="AJ77" s="182"/>
      <c r="AK77" s="166"/>
      <c r="AL77" s="166"/>
      <c r="AM77" s="182" t="e">
        <f t="shared" si="70"/>
        <v>#N/A</v>
      </c>
      <c r="AN77" s="488"/>
      <c r="AO77" s="182"/>
      <c r="AP77" s="166"/>
      <c r="AQ77" s="166"/>
      <c r="AR77" s="182" t="e">
        <f t="shared" si="72"/>
        <v>#N/A</v>
      </c>
      <c r="AS77" s="488"/>
      <c r="AT77" s="182"/>
      <c r="AU77" s="166"/>
      <c r="AV77" s="166"/>
      <c r="AW77" s="182" t="e">
        <f t="shared" si="74"/>
        <v>#N/A</v>
      </c>
      <c r="AX77" s="488"/>
      <c r="AZ77" s="182" t="e">
        <f t="shared" si="76"/>
        <v>#N/A</v>
      </c>
      <c r="BA77" s="488"/>
    </row>
    <row r="78" spans="2:53">
      <c r="B78" s="454"/>
      <c r="C78" s="182">
        <v>12</v>
      </c>
      <c r="D78" s="203"/>
      <c r="E78" s="166"/>
      <c r="F78" s="166"/>
      <c r="G78" s="166"/>
      <c r="H78" s="464"/>
      <c r="I78" s="166" t="str">
        <f t="shared" si="61"/>
        <v>-</v>
      </c>
      <c r="J78" s="166" t="str">
        <f t="shared" si="62"/>
        <v>-</v>
      </c>
      <c r="K78" s="180" t="str">
        <f t="shared" si="63"/>
        <v>-</v>
      </c>
      <c r="L78" s="464"/>
      <c r="M78" s="181" t="e">
        <f>RANK(K78, K$67:$K$81)</f>
        <v>#VALUE!</v>
      </c>
      <c r="N78" s="461"/>
      <c r="O78" s="461"/>
      <c r="P78" s="182"/>
      <c r="Q78" s="166"/>
      <c r="R78" s="166"/>
      <c r="S78" s="182" t="e">
        <f t="shared" si="78"/>
        <v>#N/A</v>
      </c>
      <c r="T78" s="488"/>
      <c r="U78" s="182"/>
      <c r="V78" s="166"/>
      <c r="W78" s="166"/>
      <c r="X78" s="182" t="e">
        <f t="shared" si="64"/>
        <v>#N/A</v>
      </c>
      <c r="Y78" s="488"/>
      <c r="Z78" s="182"/>
      <c r="AA78" s="166"/>
      <c r="AB78" s="166"/>
      <c r="AC78" s="182" t="e">
        <f t="shared" si="66"/>
        <v>#N/A</v>
      </c>
      <c r="AD78" s="488"/>
      <c r="AE78" s="182"/>
      <c r="AF78" s="166"/>
      <c r="AG78" s="166"/>
      <c r="AH78" s="182" t="e">
        <f t="shared" si="68"/>
        <v>#N/A</v>
      </c>
      <c r="AI78" s="488"/>
      <c r="AJ78" s="182"/>
      <c r="AK78" s="166"/>
      <c r="AL78" s="166"/>
      <c r="AM78" s="182" t="e">
        <f t="shared" si="70"/>
        <v>#N/A</v>
      </c>
      <c r="AN78" s="488"/>
      <c r="AO78" s="182"/>
      <c r="AP78" s="166"/>
      <c r="AQ78" s="166"/>
      <c r="AR78" s="182" t="e">
        <f t="shared" si="72"/>
        <v>#N/A</v>
      </c>
      <c r="AS78" s="488"/>
      <c r="AT78" s="182"/>
      <c r="AU78" s="166"/>
      <c r="AV78" s="166"/>
      <c r="AW78" s="182" t="e">
        <f t="shared" si="74"/>
        <v>#N/A</v>
      </c>
      <c r="AX78" s="488"/>
      <c r="AZ78" s="182" t="e">
        <f t="shared" si="76"/>
        <v>#N/A</v>
      </c>
      <c r="BA78" s="488"/>
    </row>
    <row r="79" spans="2:53">
      <c r="B79" s="454"/>
      <c r="C79" s="182">
        <v>13</v>
      </c>
      <c r="D79" s="203"/>
      <c r="E79" s="166"/>
      <c r="F79" s="166"/>
      <c r="G79" s="166"/>
      <c r="H79" s="464"/>
      <c r="I79" s="166" t="str">
        <f t="shared" si="61"/>
        <v>-</v>
      </c>
      <c r="J79" s="166" t="str">
        <f t="shared" si="62"/>
        <v>-</v>
      </c>
      <c r="K79" s="180" t="str">
        <f t="shared" si="63"/>
        <v>-</v>
      </c>
      <c r="L79" s="464"/>
      <c r="M79" s="181" t="e">
        <f>RANK(K79, K$67:$K$81)</f>
        <v>#VALUE!</v>
      </c>
      <c r="N79" s="461"/>
      <c r="O79" s="461"/>
      <c r="P79" s="182"/>
      <c r="Q79" s="166"/>
      <c r="R79" s="166"/>
      <c r="S79" s="182" t="e">
        <f t="shared" si="78"/>
        <v>#N/A</v>
      </c>
      <c r="T79" s="488"/>
      <c r="U79" s="182"/>
      <c r="V79" s="166"/>
      <c r="W79" s="166"/>
      <c r="X79" s="182" t="e">
        <f t="shared" si="64"/>
        <v>#N/A</v>
      </c>
      <c r="Y79" s="488"/>
      <c r="Z79" s="182"/>
      <c r="AA79" s="166"/>
      <c r="AB79" s="166"/>
      <c r="AC79" s="182" t="e">
        <f t="shared" si="66"/>
        <v>#N/A</v>
      </c>
      <c r="AD79" s="488"/>
      <c r="AE79" s="182"/>
      <c r="AF79" s="166"/>
      <c r="AG79" s="166"/>
      <c r="AH79" s="182" t="e">
        <f t="shared" si="68"/>
        <v>#N/A</v>
      </c>
      <c r="AI79" s="488"/>
      <c r="AJ79" s="182"/>
      <c r="AK79" s="166"/>
      <c r="AL79" s="166"/>
      <c r="AM79" s="182" t="e">
        <f t="shared" si="70"/>
        <v>#N/A</v>
      </c>
      <c r="AN79" s="488"/>
      <c r="AO79" s="182"/>
      <c r="AP79" s="166"/>
      <c r="AQ79" s="166"/>
      <c r="AR79" s="182" t="e">
        <f t="shared" si="72"/>
        <v>#N/A</v>
      </c>
      <c r="AS79" s="488"/>
      <c r="AT79" s="182"/>
      <c r="AU79" s="166"/>
      <c r="AV79" s="166"/>
      <c r="AW79" s="182" t="e">
        <f t="shared" si="74"/>
        <v>#N/A</v>
      </c>
      <c r="AX79" s="488"/>
      <c r="AZ79" s="182" t="e">
        <f t="shared" si="76"/>
        <v>#N/A</v>
      </c>
      <c r="BA79" s="488"/>
    </row>
    <row r="80" spans="2:53">
      <c r="B80" s="454"/>
      <c r="C80" s="182">
        <v>14</v>
      </c>
      <c r="D80" s="203"/>
      <c r="E80" s="166"/>
      <c r="F80" s="166"/>
      <c r="G80" s="166"/>
      <c r="H80" s="464"/>
      <c r="I80" s="166" t="str">
        <f t="shared" si="61"/>
        <v>-</v>
      </c>
      <c r="J80" s="166" t="str">
        <f t="shared" si="62"/>
        <v>-</v>
      </c>
      <c r="K80" s="180" t="str">
        <f t="shared" si="63"/>
        <v>-</v>
      </c>
      <c r="L80" s="464"/>
      <c r="M80" s="181" t="e">
        <f>RANK(K80, K$67:$K$81)</f>
        <v>#VALUE!</v>
      </c>
      <c r="N80" s="461"/>
      <c r="O80" s="461"/>
      <c r="P80" s="182"/>
      <c r="Q80" s="166"/>
      <c r="R80" s="166"/>
      <c r="S80" s="182" t="e">
        <f t="shared" si="78"/>
        <v>#N/A</v>
      </c>
      <c r="T80" s="488"/>
      <c r="U80" s="182"/>
      <c r="V80" s="166"/>
      <c r="W80" s="166"/>
      <c r="X80" s="182" t="e">
        <f t="shared" si="64"/>
        <v>#N/A</v>
      </c>
      <c r="Y80" s="488"/>
      <c r="Z80" s="182"/>
      <c r="AA80" s="166"/>
      <c r="AB80" s="166"/>
      <c r="AC80" s="182" t="e">
        <f t="shared" si="66"/>
        <v>#N/A</v>
      </c>
      <c r="AD80" s="488"/>
      <c r="AE80" s="182"/>
      <c r="AF80" s="166"/>
      <c r="AG80" s="166"/>
      <c r="AH80" s="182" t="e">
        <f t="shared" si="68"/>
        <v>#N/A</v>
      </c>
      <c r="AI80" s="488"/>
      <c r="AJ80" s="182"/>
      <c r="AK80" s="166"/>
      <c r="AL80" s="166"/>
      <c r="AM80" s="182" t="e">
        <f t="shared" si="70"/>
        <v>#N/A</v>
      </c>
      <c r="AN80" s="488"/>
      <c r="AO80" s="182"/>
      <c r="AP80" s="166"/>
      <c r="AQ80" s="166"/>
      <c r="AR80" s="182" t="e">
        <f t="shared" si="72"/>
        <v>#N/A</v>
      </c>
      <c r="AS80" s="488"/>
      <c r="AT80" s="182"/>
      <c r="AU80" s="166"/>
      <c r="AV80" s="166"/>
      <c r="AW80" s="182" t="e">
        <f t="shared" si="74"/>
        <v>#N/A</v>
      </c>
      <c r="AX80" s="488"/>
      <c r="AZ80" s="182" t="e">
        <f t="shared" si="76"/>
        <v>#N/A</v>
      </c>
      <c r="BA80" s="488"/>
    </row>
    <row r="81" spans="2:53">
      <c r="B81" s="454"/>
      <c r="C81" s="182">
        <v>15</v>
      </c>
      <c r="D81" s="203"/>
      <c r="E81" s="166"/>
      <c r="F81" s="166"/>
      <c r="G81" s="166"/>
      <c r="H81" s="465"/>
      <c r="I81" s="182"/>
      <c r="J81" s="182"/>
      <c r="K81" s="182"/>
      <c r="L81" s="465"/>
      <c r="M81" s="181" t="e">
        <f>RANK(K81, K$67:$K$81)</f>
        <v>#N/A</v>
      </c>
      <c r="N81" s="461"/>
      <c r="O81" s="461"/>
      <c r="P81" s="182"/>
      <c r="Q81" s="166"/>
      <c r="R81" s="166"/>
      <c r="S81" s="182" t="e">
        <f t="shared" si="78"/>
        <v>#N/A</v>
      </c>
      <c r="T81" s="489"/>
      <c r="U81" s="182"/>
      <c r="V81" s="166"/>
      <c r="W81" s="166"/>
      <c r="X81" s="182" t="e">
        <f t="shared" si="64"/>
        <v>#N/A</v>
      </c>
      <c r="Y81" s="489"/>
      <c r="Z81" s="182"/>
      <c r="AA81" s="166"/>
      <c r="AB81" s="166"/>
      <c r="AC81" s="182" t="e">
        <f t="shared" si="66"/>
        <v>#N/A</v>
      </c>
      <c r="AD81" s="489"/>
      <c r="AE81" s="182"/>
      <c r="AF81" s="166"/>
      <c r="AG81" s="166"/>
      <c r="AH81" s="182" t="e">
        <f t="shared" si="68"/>
        <v>#N/A</v>
      </c>
      <c r="AI81" s="489"/>
      <c r="AJ81" s="182"/>
      <c r="AK81" s="166"/>
      <c r="AL81" s="166"/>
      <c r="AM81" s="182" t="e">
        <f t="shared" si="70"/>
        <v>#N/A</v>
      </c>
      <c r="AN81" s="489"/>
      <c r="AO81" s="182"/>
      <c r="AP81" s="166"/>
      <c r="AQ81" s="166"/>
      <c r="AR81" s="182" t="e">
        <f t="shared" si="72"/>
        <v>#N/A</v>
      </c>
      <c r="AS81" s="489"/>
      <c r="AT81" s="182"/>
      <c r="AU81" s="166"/>
      <c r="AV81" s="166"/>
      <c r="AW81" s="182" t="e">
        <f t="shared" si="74"/>
        <v>#N/A</v>
      </c>
      <c r="AX81" s="489"/>
      <c r="AZ81" s="182" t="e">
        <f t="shared" si="76"/>
        <v>#N/A</v>
      </c>
      <c r="BA81" s="489"/>
    </row>
    <row r="82" spans="2:53" ht="15.5">
      <c r="B82" s="477" t="s">
        <v>163</v>
      </c>
      <c r="C82" s="478"/>
      <c r="D82" s="478"/>
      <c r="E82" s="478"/>
      <c r="F82" s="478"/>
      <c r="G82" s="478"/>
      <c r="H82" s="478"/>
      <c r="I82" s="186"/>
      <c r="J82" s="186"/>
      <c r="K82" s="186"/>
      <c r="L82" s="186"/>
      <c r="M82" s="185"/>
      <c r="N82" s="480" t="s">
        <v>156</v>
      </c>
      <c r="O82" s="480" t="s">
        <v>105</v>
      </c>
      <c r="P82" s="476">
        <f>P62+7</f>
        <v>46140</v>
      </c>
      <c r="Q82" s="454"/>
      <c r="R82" s="454"/>
      <c r="S82" s="454"/>
      <c r="T82" s="454"/>
      <c r="U82" s="473">
        <f>P82+1</f>
        <v>46141</v>
      </c>
      <c r="V82" s="474"/>
      <c r="W82" s="474"/>
      <c r="X82" s="474"/>
      <c r="Y82" s="475"/>
      <c r="Z82" s="473">
        <f>U82+1</f>
        <v>46142</v>
      </c>
      <c r="AA82" s="474"/>
      <c r="AB82" s="474"/>
      <c r="AC82" s="474"/>
      <c r="AD82" s="475"/>
      <c r="AE82" s="473">
        <f>Z82+1</f>
        <v>46143</v>
      </c>
      <c r="AF82" s="474"/>
      <c r="AG82" s="474"/>
      <c r="AH82" s="474"/>
      <c r="AI82" s="475"/>
      <c r="AJ82" s="473">
        <f>AE82+1</f>
        <v>46144</v>
      </c>
      <c r="AK82" s="474"/>
      <c r="AL82" s="474"/>
      <c r="AM82" s="474"/>
      <c r="AN82" s="475"/>
      <c r="AO82" s="473">
        <f>AJ82+1</f>
        <v>46145</v>
      </c>
      <c r="AP82" s="474"/>
      <c r="AQ82" s="474"/>
      <c r="AR82" s="474"/>
      <c r="AS82" s="475"/>
      <c r="AT82" s="473">
        <f>AO82+1</f>
        <v>46146</v>
      </c>
      <c r="AU82" s="474"/>
      <c r="AV82" s="474"/>
      <c r="AW82" s="474"/>
      <c r="AX82" s="475"/>
    </row>
    <row r="83" spans="2:53" ht="15.5">
      <c r="B83" s="479"/>
      <c r="C83" s="479"/>
      <c r="D83" s="479"/>
      <c r="E83" s="479"/>
      <c r="F83" s="479"/>
      <c r="G83" s="479"/>
      <c r="H83" s="479"/>
      <c r="I83" s="184"/>
      <c r="J83" s="184"/>
      <c r="K83" s="184"/>
      <c r="L83" s="184"/>
      <c r="M83" s="179"/>
      <c r="N83" s="481"/>
      <c r="O83" s="481"/>
      <c r="P83" s="476" t="s">
        <v>336</v>
      </c>
      <c r="Q83" s="454"/>
      <c r="R83" s="454"/>
      <c r="S83" s="454"/>
      <c r="T83" s="454"/>
      <c r="U83" s="476" t="s">
        <v>337</v>
      </c>
      <c r="V83" s="454"/>
      <c r="W83" s="454"/>
      <c r="X83" s="454"/>
      <c r="Y83" s="454"/>
      <c r="Z83" s="476" t="s">
        <v>338</v>
      </c>
      <c r="AA83" s="454"/>
      <c r="AB83" s="454"/>
      <c r="AC83" s="454"/>
      <c r="AD83" s="454"/>
      <c r="AE83" s="476" t="s">
        <v>339</v>
      </c>
      <c r="AF83" s="454"/>
      <c r="AG83" s="454"/>
      <c r="AH83" s="454"/>
      <c r="AI83" s="454"/>
      <c r="AJ83" s="476" t="s">
        <v>340</v>
      </c>
      <c r="AK83" s="454"/>
      <c r="AL83" s="454"/>
      <c r="AM83" s="454"/>
      <c r="AN83" s="454"/>
      <c r="AO83" s="476" t="s">
        <v>341</v>
      </c>
      <c r="AP83" s="454"/>
      <c r="AQ83" s="454"/>
      <c r="AR83" s="454"/>
      <c r="AS83" s="454"/>
      <c r="AT83" s="476" t="s">
        <v>342</v>
      </c>
      <c r="AU83" s="454"/>
      <c r="AV83" s="454"/>
      <c r="AW83" s="454"/>
      <c r="AX83" s="454"/>
    </row>
    <row r="84" spans="2:53">
      <c r="B84" s="461" t="s">
        <v>443</v>
      </c>
      <c r="C84" s="461" t="s">
        <v>444</v>
      </c>
      <c r="D84" s="461"/>
      <c r="E84" s="461" t="s">
        <v>445</v>
      </c>
      <c r="F84" s="461"/>
      <c r="G84" s="461"/>
      <c r="H84" s="482" t="s">
        <v>446</v>
      </c>
      <c r="I84" s="461" t="s">
        <v>447</v>
      </c>
      <c r="J84" s="461"/>
      <c r="K84" s="461"/>
      <c r="L84" s="482" t="s">
        <v>396</v>
      </c>
      <c r="M84" s="480" t="s">
        <v>448</v>
      </c>
      <c r="N84" s="461"/>
      <c r="O84" s="461" t="s">
        <v>449</v>
      </c>
      <c r="P84" s="466" t="s">
        <v>450</v>
      </c>
      <c r="Q84" s="467"/>
      <c r="R84" s="467"/>
      <c r="S84" s="468"/>
      <c r="T84" s="461" t="s">
        <v>446</v>
      </c>
      <c r="U84" s="466" t="s">
        <v>450</v>
      </c>
      <c r="V84" s="467"/>
      <c r="W84" s="467"/>
      <c r="X84" s="468"/>
      <c r="Y84" s="461" t="s">
        <v>446</v>
      </c>
      <c r="Z84" s="466" t="s">
        <v>450</v>
      </c>
      <c r="AA84" s="467"/>
      <c r="AB84" s="467"/>
      <c r="AC84" s="468"/>
      <c r="AD84" s="461" t="s">
        <v>446</v>
      </c>
      <c r="AE84" s="466" t="s">
        <v>450</v>
      </c>
      <c r="AF84" s="467"/>
      <c r="AG84" s="467"/>
      <c r="AH84" s="468"/>
      <c r="AI84" s="461" t="s">
        <v>446</v>
      </c>
      <c r="AJ84" s="466" t="s">
        <v>450</v>
      </c>
      <c r="AK84" s="467"/>
      <c r="AL84" s="467"/>
      <c r="AM84" s="468"/>
      <c r="AN84" s="461" t="s">
        <v>446</v>
      </c>
      <c r="AO84" s="466" t="s">
        <v>450</v>
      </c>
      <c r="AP84" s="467"/>
      <c r="AQ84" s="467"/>
      <c r="AR84" s="468"/>
      <c r="AS84" s="461" t="s">
        <v>446</v>
      </c>
      <c r="AT84" s="466" t="s">
        <v>450</v>
      </c>
      <c r="AU84" s="467"/>
      <c r="AV84" s="467"/>
      <c r="AW84" s="468"/>
      <c r="AX84" s="461" t="s">
        <v>446</v>
      </c>
      <c r="BA84" s="461" t="s">
        <v>396</v>
      </c>
    </row>
    <row r="85" spans="2:53">
      <c r="B85" s="461"/>
      <c r="C85" s="461"/>
      <c r="D85" s="461"/>
      <c r="E85" s="461" t="s">
        <v>451</v>
      </c>
      <c r="F85" s="461"/>
      <c r="G85" s="461"/>
      <c r="H85" s="483"/>
      <c r="I85" s="461" t="s">
        <v>451</v>
      </c>
      <c r="J85" s="461"/>
      <c r="K85" s="461"/>
      <c r="L85" s="483"/>
      <c r="M85" s="485"/>
      <c r="N85" s="461"/>
      <c r="O85" s="461"/>
      <c r="P85" s="466" t="s">
        <v>452</v>
      </c>
      <c r="Q85" s="467"/>
      <c r="R85" s="467"/>
      <c r="S85" s="468"/>
      <c r="T85" s="461"/>
      <c r="U85" s="466" t="s">
        <v>452</v>
      </c>
      <c r="V85" s="467"/>
      <c r="W85" s="467"/>
      <c r="X85" s="468"/>
      <c r="Y85" s="461"/>
      <c r="Z85" s="466" t="s">
        <v>452</v>
      </c>
      <c r="AA85" s="467"/>
      <c r="AB85" s="467"/>
      <c r="AC85" s="468"/>
      <c r="AD85" s="461"/>
      <c r="AE85" s="466" t="s">
        <v>452</v>
      </c>
      <c r="AF85" s="467"/>
      <c r="AG85" s="467"/>
      <c r="AH85" s="468"/>
      <c r="AI85" s="461"/>
      <c r="AJ85" s="466" t="s">
        <v>452</v>
      </c>
      <c r="AK85" s="467"/>
      <c r="AL85" s="467"/>
      <c r="AM85" s="468"/>
      <c r="AN85" s="461"/>
      <c r="AO85" s="466" t="s">
        <v>452</v>
      </c>
      <c r="AP85" s="467"/>
      <c r="AQ85" s="467"/>
      <c r="AR85" s="468"/>
      <c r="AS85" s="461"/>
      <c r="AT85" s="466" t="s">
        <v>452</v>
      </c>
      <c r="AU85" s="467"/>
      <c r="AV85" s="467"/>
      <c r="AW85" s="468"/>
      <c r="AX85" s="461"/>
      <c r="BA85" s="461"/>
    </row>
    <row r="86" spans="2:53">
      <c r="B86" s="461"/>
      <c r="C86" s="461"/>
      <c r="D86" s="461"/>
      <c r="E86" s="269" t="s">
        <v>453</v>
      </c>
      <c r="F86" s="269" t="s">
        <v>454</v>
      </c>
      <c r="G86" s="269" t="s">
        <v>455</v>
      </c>
      <c r="H86" s="484"/>
      <c r="I86" s="269" t="s">
        <v>453</v>
      </c>
      <c r="J86" s="269" t="s">
        <v>454</v>
      </c>
      <c r="K86" s="269" t="s">
        <v>455</v>
      </c>
      <c r="L86" s="484"/>
      <c r="M86" s="481"/>
      <c r="N86" s="461"/>
      <c r="O86" s="461"/>
      <c r="P86" s="269" t="s">
        <v>453</v>
      </c>
      <c r="Q86" s="269" t="s">
        <v>454</v>
      </c>
      <c r="R86" s="269" t="s">
        <v>455</v>
      </c>
      <c r="S86" s="269" t="s">
        <v>448</v>
      </c>
      <c r="T86" s="461"/>
      <c r="U86" s="269" t="s">
        <v>453</v>
      </c>
      <c r="V86" s="269" t="s">
        <v>454</v>
      </c>
      <c r="W86" s="269" t="s">
        <v>455</v>
      </c>
      <c r="X86" s="269" t="s">
        <v>448</v>
      </c>
      <c r="Y86" s="461"/>
      <c r="Z86" s="269" t="s">
        <v>453</v>
      </c>
      <c r="AA86" s="269" t="s">
        <v>454</v>
      </c>
      <c r="AB86" s="269" t="s">
        <v>455</v>
      </c>
      <c r="AC86" s="269" t="s">
        <v>448</v>
      </c>
      <c r="AD86" s="461"/>
      <c r="AE86" s="269" t="s">
        <v>453</v>
      </c>
      <c r="AF86" s="269" t="s">
        <v>454</v>
      </c>
      <c r="AG86" s="269" t="s">
        <v>455</v>
      </c>
      <c r="AH86" s="269" t="s">
        <v>448</v>
      </c>
      <c r="AI86" s="461"/>
      <c r="AJ86" s="269" t="s">
        <v>453</v>
      </c>
      <c r="AK86" s="269" t="s">
        <v>454</v>
      </c>
      <c r="AL86" s="269" t="s">
        <v>455</v>
      </c>
      <c r="AM86" s="269" t="s">
        <v>448</v>
      </c>
      <c r="AN86" s="461"/>
      <c r="AO86" s="269" t="s">
        <v>453</v>
      </c>
      <c r="AP86" s="269" t="s">
        <v>454</v>
      </c>
      <c r="AQ86" s="269" t="s">
        <v>455</v>
      </c>
      <c r="AR86" s="269" t="s">
        <v>448</v>
      </c>
      <c r="AS86" s="461"/>
      <c r="AT86" s="269" t="s">
        <v>453</v>
      </c>
      <c r="AU86" s="269" t="s">
        <v>454</v>
      </c>
      <c r="AV86" s="269" t="s">
        <v>455</v>
      </c>
      <c r="AW86" s="269" t="s">
        <v>448</v>
      </c>
      <c r="AX86" s="461"/>
      <c r="AZ86" s="269" t="s">
        <v>397</v>
      </c>
      <c r="BA86" s="461"/>
    </row>
    <row r="87" spans="2:53">
      <c r="B87" s="461" t="s">
        <v>457</v>
      </c>
      <c r="C87" s="182">
        <v>1</v>
      </c>
      <c r="D87" s="203"/>
      <c r="E87" s="166"/>
      <c r="F87" s="182"/>
      <c r="G87" s="180"/>
      <c r="H87" s="463" t="e">
        <f>AVERAGE(G87:G101)</f>
        <v>#DIV/0!</v>
      </c>
      <c r="I87" s="166" t="str">
        <f t="shared" ref="I87:I100" si="79">IFERROR(AVERAGE(P87,U87,Z87,AE87,AJ87,AO87,AT87),"-")</f>
        <v>-</v>
      </c>
      <c r="J87" s="166" t="str">
        <f t="shared" ref="J87:J100" si="80">IFERROR(AVERAGE(Q87,V87,AA87,AF87,AK87,AP87,AU87),"-")</f>
        <v>-</v>
      </c>
      <c r="K87" s="180" t="str">
        <f t="shared" ref="K87:K100" si="81">IFERROR(AVERAGE(R87,W87,AB87,AG87,AL87,AQ87,AV87),"-")</f>
        <v>-</v>
      </c>
      <c r="L87" s="463" t="str">
        <f>IFERROR(AVERAGE(K87:K101),"-")</f>
        <v>-</v>
      </c>
      <c r="M87" s="181" t="e">
        <f>RANK(K87, K$87:$K$101)</f>
        <v>#VALUE!</v>
      </c>
      <c r="N87" s="461"/>
      <c r="O87" s="461"/>
      <c r="P87" s="182"/>
      <c r="Q87" s="166"/>
      <c r="R87" s="166"/>
      <c r="S87" s="182" t="e">
        <f>RANK(R87, R$87:R$101)</f>
        <v>#N/A</v>
      </c>
      <c r="T87" s="487" t="e">
        <f>AVERAGE(R87:R101)</f>
        <v>#DIV/0!</v>
      </c>
      <c r="U87" s="182"/>
      <c r="V87" s="166"/>
      <c r="W87" s="166"/>
      <c r="X87" s="182" t="e">
        <f t="shared" ref="X87:X101" si="82">RANK(W87, W$87:W$101)</f>
        <v>#N/A</v>
      </c>
      <c r="Y87" s="487" t="e">
        <f t="shared" ref="Y87" si="83">AVERAGE(W87:W101)</f>
        <v>#DIV/0!</v>
      </c>
      <c r="Z87" s="182"/>
      <c r="AA87" s="166"/>
      <c r="AB87" s="166"/>
      <c r="AC87" s="182" t="e">
        <f t="shared" ref="AC87:AC101" si="84">RANK(AB87, AB$87:AB$101)</f>
        <v>#N/A</v>
      </c>
      <c r="AD87" s="487" t="e">
        <f t="shared" ref="AD87" si="85">AVERAGE(AB87:AB101)</f>
        <v>#DIV/0!</v>
      </c>
      <c r="AE87" s="182"/>
      <c r="AF87" s="166"/>
      <c r="AG87" s="166"/>
      <c r="AH87" s="182" t="e">
        <f t="shared" ref="AH87:AH101" si="86">RANK(AG87, AG$87:AG$101)</f>
        <v>#N/A</v>
      </c>
      <c r="AI87" s="487" t="e">
        <f t="shared" ref="AI87" si="87">AVERAGE(AG87:AG101)</f>
        <v>#DIV/0!</v>
      </c>
      <c r="AJ87" s="182"/>
      <c r="AK87" s="166"/>
      <c r="AL87" s="166"/>
      <c r="AM87" s="182" t="e">
        <f t="shared" ref="AM87:AM101" si="88">RANK(AL87, AL$87:AL$101)</f>
        <v>#N/A</v>
      </c>
      <c r="AN87" s="487" t="e">
        <f t="shared" ref="AN87" si="89">AVERAGE(AL87:AL101)</f>
        <v>#DIV/0!</v>
      </c>
      <c r="AO87" s="182"/>
      <c r="AP87" s="166"/>
      <c r="AQ87" s="166"/>
      <c r="AR87" s="182" t="e">
        <f t="shared" ref="AR87:AR101" si="90">RANK(AQ87, AQ$87:AQ$101)</f>
        <v>#N/A</v>
      </c>
      <c r="AS87" s="487" t="e">
        <f t="shared" ref="AS87" si="91">AVERAGE(AQ87:AQ101)</f>
        <v>#DIV/0!</v>
      </c>
      <c r="AT87" s="182"/>
      <c r="AU87" s="166"/>
      <c r="AV87" s="166"/>
      <c r="AW87" s="182" t="e">
        <f t="shared" ref="AW87:AW101" si="92">RANK(AV87, AV$87:AV$101)</f>
        <v>#N/A</v>
      </c>
      <c r="AX87" s="455" t="e">
        <f t="shared" ref="AX87" si="93">AVERAGE(AV87:AV101)</f>
        <v>#DIV/0!</v>
      </c>
      <c r="AZ87" s="182" t="e">
        <f t="shared" ref="AZ87:AZ101" si="94">RANK(AY87, AY$87:AY$101)</f>
        <v>#N/A</v>
      </c>
      <c r="BA87" s="455" t="e">
        <f t="shared" ref="BA87" si="95">AVERAGE(AY87:AY101)</f>
        <v>#DIV/0!</v>
      </c>
    </row>
    <row r="88" spans="2:53">
      <c r="B88" s="454"/>
      <c r="C88" s="182">
        <v>2</v>
      </c>
      <c r="D88" s="203"/>
      <c r="E88" s="166"/>
      <c r="F88" s="182"/>
      <c r="G88" s="180"/>
      <c r="H88" s="464"/>
      <c r="I88" s="166" t="str">
        <f t="shared" si="79"/>
        <v>-</v>
      </c>
      <c r="J88" s="166" t="str">
        <f t="shared" si="80"/>
        <v>-</v>
      </c>
      <c r="K88" s="180" t="str">
        <f t="shared" si="81"/>
        <v>-</v>
      </c>
      <c r="L88" s="464"/>
      <c r="M88" s="181" t="e">
        <f>RANK(K88, K$87:$K$101)</f>
        <v>#VALUE!</v>
      </c>
      <c r="N88" s="461"/>
      <c r="O88" s="461"/>
      <c r="P88" s="182"/>
      <c r="Q88" s="166"/>
      <c r="R88" s="166"/>
      <c r="S88" s="182" t="e">
        <f t="shared" ref="S88:S101" si="96">RANK(R88, R$87:R$101)</f>
        <v>#N/A</v>
      </c>
      <c r="T88" s="488"/>
      <c r="U88" s="182"/>
      <c r="V88" s="166"/>
      <c r="W88" s="166"/>
      <c r="X88" s="182" t="e">
        <f t="shared" si="82"/>
        <v>#N/A</v>
      </c>
      <c r="Y88" s="488"/>
      <c r="Z88" s="182"/>
      <c r="AA88" s="166"/>
      <c r="AB88" s="166"/>
      <c r="AC88" s="182" t="e">
        <f t="shared" si="84"/>
        <v>#N/A</v>
      </c>
      <c r="AD88" s="488"/>
      <c r="AE88" s="182"/>
      <c r="AF88" s="166"/>
      <c r="AG88" s="166"/>
      <c r="AH88" s="182" t="e">
        <f t="shared" si="86"/>
        <v>#N/A</v>
      </c>
      <c r="AI88" s="488"/>
      <c r="AJ88" s="182"/>
      <c r="AK88" s="166"/>
      <c r="AL88" s="166"/>
      <c r="AM88" s="182" t="e">
        <f t="shared" si="88"/>
        <v>#N/A</v>
      </c>
      <c r="AN88" s="488"/>
      <c r="AO88" s="182"/>
      <c r="AP88" s="166"/>
      <c r="AQ88" s="166"/>
      <c r="AR88" s="182" t="e">
        <f t="shared" si="90"/>
        <v>#N/A</v>
      </c>
      <c r="AS88" s="488"/>
      <c r="AT88" s="182"/>
      <c r="AU88" s="166"/>
      <c r="AV88" s="166"/>
      <c r="AW88" s="182" t="e">
        <f t="shared" si="92"/>
        <v>#N/A</v>
      </c>
      <c r="AX88" s="455"/>
      <c r="AZ88" s="182" t="e">
        <f t="shared" si="94"/>
        <v>#N/A</v>
      </c>
      <c r="BA88" s="455"/>
    </row>
    <row r="89" spans="2:53">
      <c r="B89" s="454"/>
      <c r="C89" s="182">
        <v>3</v>
      </c>
      <c r="D89" s="203"/>
      <c r="E89" s="166"/>
      <c r="F89" s="182"/>
      <c r="G89" s="180"/>
      <c r="H89" s="464"/>
      <c r="I89" s="166" t="str">
        <f t="shared" si="79"/>
        <v>-</v>
      </c>
      <c r="J89" s="166" t="str">
        <f t="shared" si="80"/>
        <v>-</v>
      </c>
      <c r="K89" s="180" t="str">
        <f t="shared" si="81"/>
        <v>-</v>
      </c>
      <c r="L89" s="464"/>
      <c r="M89" s="181" t="e">
        <f>RANK(K89, K$87:$K$101)</f>
        <v>#VALUE!</v>
      </c>
      <c r="N89" s="461"/>
      <c r="O89" s="461"/>
      <c r="P89" s="182"/>
      <c r="Q89" s="166"/>
      <c r="R89" s="166"/>
      <c r="S89" s="182" t="e">
        <f t="shared" si="96"/>
        <v>#N/A</v>
      </c>
      <c r="T89" s="488"/>
      <c r="U89" s="182"/>
      <c r="V89" s="166"/>
      <c r="W89" s="166"/>
      <c r="X89" s="182" t="e">
        <f t="shared" si="82"/>
        <v>#N/A</v>
      </c>
      <c r="Y89" s="488"/>
      <c r="Z89" s="182"/>
      <c r="AA89" s="166"/>
      <c r="AB89" s="166"/>
      <c r="AC89" s="182" t="e">
        <f t="shared" si="84"/>
        <v>#N/A</v>
      </c>
      <c r="AD89" s="488"/>
      <c r="AE89" s="182"/>
      <c r="AF89" s="166"/>
      <c r="AG89" s="166"/>
      <c r="AH89" s="182" t="e">
        <f t="shared" si="86"/>
        <v>#N/A</v>
      </c>
      <c r="AI89" s="488"/>
      <c r="AJ89" s="182"/>
      <c r="AK89" s="166"/>
      <c r="AL89" s="166"/>
      <c r="AM89" s="182" t="e">
        <f t="shared" si="88"/>
        <v>#N/A</v>
      </c>
      <c r="AN89" s="488"/>
      <c r="AO89" s="182"/>
      <c r="AP89" s="166"/>
      <c r="AQ89" s="166"/>
      <c r="AR89" s="182" t="e">
        <f t="shared" si="90"/>
        <v>#N/A</v>
      </c>
      <c r="AS89" s="488"/>
      <c r="AT89" s="182"/>
      <c r="AU89" s="166"/>
      <c r="AV89" s="166"/>
      <c r="AW89" s="182" t="e">
        <f t="shared" si="92"/>
        <v>#N/A</v>
      </c>
      <c r="AX89" s="455"/>
      <c r="AZ89" s="182" t="e">
        <f t="shared" si="94"/>
        <v>#N/A</v>
      </c>
      <c r="BA89" s="455"/>
    </row>
    <row r="90" spans="2:53">
      <c r="B90" s="454"/>
      <c r="C90" s="182">
        <v>4</v>
      </c>
      <c r="D90" s="203"/>
      <c r="E90" s="166"/>
      <c r="F90" s="182"/>
      <c r="G90" s="180"/>
      <c r="H90" s="464"/>
      <c r="I90" s="166" t="str">
        <f t="shared" si="79"/>
        <v>-</v>
      </c>
      <c r="J90" s="166" t="str">
        <f t="shared" si="80"/>
        <v>-</v>
      </c>
      <c r="K90" s="180" t="str">
        <f t="shared" si="81"/>
        <v>-</v>
      </c>
      <c r="L90" s="464"/>
      <c r="M90" s="181" t="e">
        <f>RANK(K90, K$87:$K$101)</f>
        <v>#VALUE!</v>
      </c>
      <c r="N90" s="461"/>
      <c r="O90" s="461"/>
      <c r="P90" s="182"/>
      <c r="Q90" s="166"/>
      <c r="R90" s="166"/>
      <c r="S90" s="182" t="e">
        <f t="shared" si="96"/>
        <v>#N/A</v>
      </c>
      <c r="T90" s="488"/>
      <c r="U90" s="182"/>
      <c r="V90" s="166"/>
      <c r="W90" s="166"/>
      <c r="X90" s="182" t="e">
        <f t="shared" si="82"/>
        <v>#N/A</v>
      </c>
      <c r="Y90" s="488"/>
      <c r="Z90" s="182"/>
      <c r="AA90" s="166"/>
      <c r="AB90" s="166"/>
      <c r="AC90" s="182" t="e">
        <f t="shared" si="84"/>
        <v>#N/A</v>
      </c>
      <c r="AD90" s="488"/>
      <c r="AE90" s="182"/>
      <c r="AF90" s="166"/>
      <c r="AG90" s="166"/>
      <c r="AH90" s="182" t="e">
        <f t="shared" si="86"/>
        <v>#N/A</v>
      </c>
      <c r="AI90" s="488"/>
      <c r="AJ90" s="182"/>
      <c r="AK90" s="166"/>
      <c r="AL90" s="166"/>
      <c r="AM90" s="182" t="e">
        <f t="shared" si="88"/>
        <v>#N/A</v>
      </c>
      <c r="AN90" s="488"/>
      <c r="AO90" s="182"/>
      <c r="AP90" s="166"/>
      <c r="AQ90" s="166"/>
      <c r="AR90" s="182" t="e">
        <f t="shared" si="90"/>
        <v>#N/A</v>
      </c>
      <c r="AS90" s="488"/>
      <c r="AT90" s="182"/>
      <c r="AU90" s="166"/>
      <c r="AV90" s="166"/>
      <c r="AW90" s="182" t="e">
        <f t="shared" si="92"/>
        <v>#N/A</v>
      </c>
      <c r="AX90" s="455"/>
      <c r="AZ90" s="182" t="e">
        <f t="shared" si="94"/>
        <v>#N/A</v>
      </c>
      <c r="BA90" s="455"/>
    </row>
    <row r="91" spans="2:53">
      <c r="B91" s="454"/>
      <c r="C91" s="182">
        <v>5</v>
      </c>
      <c r="D91" s="203"/>
      <c r="E91" s="166"/>
      <c r="F91" s="182"/>
      <c r="G91" s="180"/>
      <c r="H91" s="464"/>
      <c r="I91" s="166" t="str">
        <f t="shared" si="79"/>
        <v>-</v>
      </c>
      <c r="J91" s="166" t="str">
        <f t="shared" si="80"/>
        <v>-</v>
      </c>
      <c r="K91" s="180" t="str">
        <f t="shared" si="81"/>
        <v>-</v>
      </c>
      <c r="L91" s="464"/>
      <c r="M91" s="181" t="e">
        <f>RANK(K91, K$87:$K$101)</f>
        <v>#VALUE!</v>
      </c>
      <c r="N91" s="461"/>
      <c r="O91" s="461"/>
      <c r="P91" s="182"/>
      <c r="Q91" s="166"/>
      <c r="R91" s="166"/>
      <c r="S91" s="182" t="e">
        <f t="shared" si="96"/>
        <v>#N/A</v>
      </c>
      <c r="T91" s="488"/>
      <c r="U91" s="182"/>
      <c r="V91" s="166"/>
      <c r="W91" s="166"/>
      <c r="X91" s="182" t="e">
        <f t="shared" si="82"/>
        <v>#N/A</v>
      </c>
      <c r="Y91" s="488"/>
      <c r="Z91" s="182"/>
      <c r="AA91" s="166"/>
      <c r="AB91" s="166"/>
      <c r="AC91" s="182" t="e">
        <f t="shared" si="84"/>
        <v>#N/A</v>
      </c>
      <c r="AD91" s="488"/>
      <c r="AE91" s="182"/>
      <c r="AF91" s="166"/>
      <c r="AG91" s="166"/>
      <c r="AH91" s="182" t="e">
        <f t="shared" si="86"/>
        <v>#N/A</v>
      </c>
      <c r="AI91" s="488"/>
      <c r="AJ91" s="182"/>
      <c r="AK91" s="166"/>
      <c r="AL91" s="166"/>
      <c r="AM91" s="182" t="e">
        <f t="shared" si="88"/>
        <v>#N/A</v>
      </c>
      <c r="AN91" s="488"/>
      <c r="AO91" s="182"/>
      <c r="AP91" s="166"/>
      <c r="AQ91" s="166"/>
      <c r="AR91" s="182" t="e">
        <f t="shared" si="90"/>
        <v>#N/A</v>
      </c>
      <c r="AS91" s="488"/>
      <c r="AT91" s="182"/>
      <c r="AU91" s="166"/>
      <c r="AV91" s="166"/>
      <c r="AW91" s="182" t="e">
        <f t="shared" si="92"/>
        <v>#N/A</v>
      </c>
      <c r="AX91" s="455"/>
      <c r="AZ91" s="182" t="e">
        <f t="shared" si="94"/>
        <v>#N/A</v>
      </c>
      <c r="BA91" s="455"/>
    </row>
    <row r="92" spans="2:53">
      <c r="B92" s="454"/>
      <c r="C92" s="182">
        <v>6</v>
      </c>
      <c r="D92" s="203"/>
      <c r="E92" s="166"/>
      <c r="F92" s="182"/>
      <c r="G92" s="180"/>
      <c r="H92" s="464"/>
      <c r="I92" s="166" t="str">
        <f t="shared" si="79"/>
        <v>-</v>
      </c>
      <c r="J92" s="166" t="str">
        <f t="shared" si="80"/>
        <v>-</v>
      </c>
      <c r="K92" s="180" t="str">
        <f t="shared" si="81"/>
        <v>-</v>
      </c>
      <c r="L92" s="464"/>
      <c r="M92" s="181" t="e">
        <f>RANK(K92, K$87:$K$101)</f>
        <v>#VALUE!</v>
      </c>
      <c r="N92" s="461"/>
      <c r="O92" s="461"/>
      <c r="P92" s="182"/>
      <c r="Q92" s="166"/>
      <c r="R92" s="166"/>
      <c r="S92" s="182" t="e">
        <f t="shared" si="96"/>
        <v>#N/A</v>
      </c>
      <c r="T92" s="488"/>
      <c r="U92" s="182"/>
      <c r="V92" s="166"/>
      <c r="W92" s="166"/>
      <c r="X92" s="182" t="e">
        <f t="shared" si="82"/>
        <v>#N/A</v>
      </c>
      <c r="Y92" s="488"/>
      <c r="Z92" s="182"/>
      <c r="AA92" s="166"/>
      <c r="AB92" s="166"/>
      <c r="AC92" s="182" t="e">
        <f t="shared" si="84"/>
        <v>#N/A</v>
      </c>
      <c r="AD92" s="488"/>
      <c r="AE92" s="182"/>
      <c r="AF92" s="166"/>
      <c r="AG92" s="166"/>
      <c r="AH92" s="182" t="e">
        <f t="shared" si="86"/>
        <v>#N/A</v>
      </c>
      <c r="AI92" s="488"/>
      <c r="AJ92" s="182"/>
      <c r="AK92" s="166"/>
      <c r="AL92" s="166"/>
      <c r="AM92" s="182" t="e">
        <f t="shared" si="88"/>
        <v>#N/A</v>
      </c>
      <c r="AN92" s="488"/>
      <c r="AO92" s="182"/>
      <c r="AP92" s="166"/>
      <c r="AQ92" s="166"/>
      <c r="AR92" s="182" t="e">
        <f t="shared" si="90"/>
        <v>#N/A</v>
      </c>
      <c r="AS92" s="488"/>
      <c r="AT92" s="182"/>
      <c r="AU92" s="166"/>
      <c r="AV92" s="166"/>
      <c r="AW92" s="182" t="e">
        <f t="shared" si="92"/>
        <v>#N/A</v>
      </c>
      <c r="AX92" s="455"/>
      <c r="AZ92" s="182" t="e">
        <f t="shared" si="94"/>
        <v>#N/A</v>
      </c>
      <c r="BA92" s="455"/>
    </row>
    <row r="93" spans="2:53">
      <c r="B93" s="454"/>
      <c r="C93" s="182">
        <v>7</v>
      </c>
      <c r="D93" s="203"/>
      <c r="E93" s="166"/>
      <c r="F93" s="182"/>
      <c r="G93" s="180"/>
      <c r="H93" s="464"/>
      <c r="I93" s="166" t="str">
        <f t="shared" si="79"/>
        <v>-</v>
      </c>
      <c r="J93" s="166" t="str">
        <f t="shared" si="80"/>
        <v>-</v>
      </c>
      <c r="K93" s="180" t="str">
        <f t="shared" si="81"/>
        <v>-</v>
      </c>
      <c r="L93" s="464"/>
      <c r="M93" s="181" t="e">
        <f>RANK(K93, K$87:$K$101)</f>
        <v>#VALUE!</v>
      </c>
      <c r="N93" s="461"/>
      <c r="O93" s="461"/>
      <c r="P93" s="182"/>
      <c r="Q93" s="166"/>
      <c r="R93" s="166"/>
      <c r="S93" s="182" t="e">
        <f t="shared" si="96"/>
        <v>#N/A</v>
      </c>
      <c r="T93" s="488"/>
      <c r="U93" s="182"/>
      <c r="V93" s="166"/>
      <c r="W93" s="166"/>
      <c r="X93" s="182" t="e">
        <f t="shared" si="82"/>
        <v>#N/A</v>
      </c>
      <c r="Y93" s="488"/>
      <c r="Z93" s="182"/>
      <c r="AA93" s="166"/>
      <c r="AB93" s="166"/>
      <c r="AC93" s="182" t="e">
        <f t="shared" si="84"/>
        <v>#N/A</v>
      </c>
      <c r="AD93" s="488"/>
      <c r="AE93" s="182"/>
      <c r="AF93" s="166"/>
      <c r="AG93" s="166"/>
      <c r="AH93" s="182" t="e">
        <f t="shared" si="86"/>
        <v>#N/A</v>
      </c>
      <c r="AI93" s="488"/>
      <c r="AJ93" s="182"/>
      <c r="AK93" s="166"/>
      <c r="AL93" s="166"/>
      <c r="AM93" s="182" t="e">
        <f t="shared" si="88"/>
        <v>#N/A</v>
      </c>
      <c r="AN93" s="488"/>
      <c r="AO93" s="182"/>
      <c r="AP93" s="166"/>
      <c r="AQ93" s="166"/>
      <c r="AR93" s="182" t="e">
        <f t="shared" si="90"/>
        <v>#N/A</v>
      </c>
      <c r="AS93" s="488"/>
      <c r="AT93" s="182"/>
      <c r="AU93" s="166"/>
      <c r="AV93" s="166"/>
      <c r="AW93" s="182" t="e">
        <f t="shared" si="92"/>
        <v>#N/A</v>
      </c>
      <c r="AX93" s="455"/>
      <c r="AZ93" s="182" t="e">
        <f t="shared" si="94"/>
        <v>#N/A</v>
      </c>
      <c r="BA93" s="455"/>
    </row>
    <row r="94" spans="2:53">
      <c r="B94" s="454"/>
      <c r="C94" s="182">
        <v>8</v>
      </c>
      <c r="D94" s="203"/>
      <c r="E94" s="166"/>
      <c r="F94" s="182"/>
      <c r="G94" s="180"/>
      <c r="H94" s="464"/>
      <c r="I94" s="166" t="str">
        <f t="shared" si="79"/>
        <v>-</v>
      </c>
      <c r="J94" s="166" t="str">
        <f t="shared" si="80"/>
        <v>-</v>
      </c>
      <c r="K94" s="180" t="str">
        <f t="shared" si="81"/>
        <v>-</v>
      </c>
      <c r="L94" s="464"/>
      <c r="M94" s="181" t="e">
        <f>RANK(K94, K$87:$K$101)</f>
        <v>#VALUE!</v>
      </c>
      <c r="N94" s="461"/>
      <c r="O94" s="461"/>
      <c r="P94" s="182"/>
      <c r="Q94" s="166"/>
      <c r="R94" s="166"/>
      <c r="S94" s="182" t="e">
        <f t="shared" si="96"/>
        <v>#N/A</v>
      </c>
      <c r="T94" s="488"/>
      <c r="U94" s="182"/>
      <c r="V94" s="166"/>
      <c r="W94" s="166"/>
      <c r="X94" s="182" t="e">
        <f t="shared" si="82"/>
        <v>#N/A</v>
      </c>
      <c r="Y94" s="488"/>
      <c r="Z94" s="182"/>
      <c r="AA94" s="166"/>
      <c r="AB94" s="166"/>
      <c r="AC94" s="182" t="e">
        <f t="shared" si="84"/>
        <v>#N/A</v>
      </c>
      <c r="AD94" s="488"/>
      <c r="AE94" s="182"/>
      <c r="AF94" s="166"/>
      <c r="AG94" s="166"/>
      <c r="AH94" s="182" t="e">
        <f t="shared" si="86"/>
        <v>#N/A</v>
      </c>
      <c r="AI94" s="488"/>
      <c r="AJ94" s="182"/>
      <c r="AK94" s="166"/>
      <c r="AL94" s="166"/>
      <c r="AM94" s="182" t="e">
        <f t="shared" si="88"/>
        <v>#N/A</v>
      </c>
      <c r="AN94" s="488"/>
      <c r="AO94" s="182"/>
      <c r="AP94" s="166"/>
      <c r="AQ94" s="166"/>
      <c r="AR94" s="182" t="e">
        <f t="shared" si="90"/>
        <v>#N/A</v>
      </c>
      <c r="AS94" s="488"/>
      <c r="AT94" s="182"/>
      <c r="AU94" s="166"/>
      <c r="AV94" s="166"/>
      <c r="AW94" s="182" t="e">
        <f t="shared" si="92"/>
        <v>#N/A</v>
      </c>
      <c r="AX94" s="455"/>
      <c r="AZ94" s="182" t="e">
        <f t="shared" si="94"/>
        <v>#N/A</v>
      </c>
      <c r="BA94" s="455"/>
    </row>
    <row r="95" spans="2:53">
      <c r="B95" s="454"/>
      <c r="C95" s="182">
        <v>9</v>
      </c>
      <c r="D95" s="203"/>
      <c r="E95" s="166"/>
      <c r="F95" s="182"/>
      <c r="G95" s="180"/>
      <c r="H95" s="464"/>
      <c r="I95" s="166" t="str">
        <f t="shared" si="79"/>
        <v>-</v>
      </c>
      <c r="J95" s="166" t="str">
        <f t="shared" si="80"/>
        <v>-</v>
      </c>
      <c r="K95" s="180" t="str">
        <f t="shared" si="81"/>
        <v>-</v>
      </c>
      <c r="L95" s="464"/>
      <c r="M95" s="181" t="e">
        <f>RANK(K95, K$87:$K$101)</f>
        <v>#VALUE!</v>
      </c>
      <c r="N95" s="461"/>
      <c r="O95" s="461"/>
      <c r="P95" s="182"/>
      <c r="Q95" s="166"/>
      <c r="R95" s="166"/>
      <c r="S95" s="182" t="e">
        <f t="shared" si="96"/>
        <v>#N/A</v>
      </c>
      <c r="T95" s="488"/>
      <c r="U95" s="182"/>
      <c r="V95" s="166"/>
      <c r="W95" s="166"/>
      <c r="X95" s="182" t="e">
        <f t="shared" si="82"/>
        <v>#N/A</v>
      </c>
      <c r="Y95" s="488"/>
      <c r="Z95" s="182"/>
      <c r="AA95" s="166"/>
      <c r="AB95" s="166"/>
      <c r="AC95" s="182" t="e">
        <f t="shared" si="84"/>
        <v>#N/A</v>
      </c>
      <c r="AD95" s="488"/>
      <c r="AE95" s="182"/>
      <c r="AF95" s="166"/>
      <c r="AG95" s="166"/>
      <c r="AH95" s="182" t="e">
        <f t="shared" si="86"/>
        <v>#N/A</v>
      </c>
      <c r="AI95" s="488"/>
      <c r="AJ95" s="182"/>
      <c r="AK95" s="166"/>
      <c r="AL95" s="166"/>
      <c r="AM95" s="182" t="e">
        <f t="shared" si="88"/>
        <v>#N/A</v>
      </c>
      <c r="AN95" s="488"/>
      <c r="AO95" s="182"/>
      <c r="AP95" s="166"/>
      <c r="AQ95" s="166"/>
      <c r="AR95" s="182" t="e">
        <f t="shared" si="90"/>
        <v>#N/A</v>
      </c>
      <c r="AS95" s="488"/>
      <c r="AT95" s="182"/>
      <c r="AU95" s="166"/>
      <c r="AV95" s="166"/>
      <c r="AW95" s="182" t="e">
        <f t="shared" si="92"/>
        <v>#N/A</v>
      </c>
      <c r="AX95" s="455"/>
      <c r="AZ95" s="182" t="e">
        <f t="shared" si="94"/>
        <v>#N/A</v>
      </c>
      <c r="BA95" s="455"/>
    </row>
    <row r="96" spans="2:53">
      <c r="B96" s="454"/>
      <c r="C96" s="182">
        <v>10</v>
      </c>
      <c r="D96" s="203"/>
      <c r="E96" s="166"/>
      <c r="F96" s="182"/>
      <c r="G96" s="180"/>
      <c r="H96" s="464"/>
      <c r="I96" s="166" t="str">
        <f t="shared" si="79"/>
        <v>-</v>
      </c>
      <c r="J96" s="166" t="str">
        <f t="shared" si="80"/>
        <v>-</v>
      </c>
      <c r="K96" s="180" t="str">
        <f t="shared" si="81"/>
        <v>-</v>
      </c>
      <c r="L96" s="464"/>
      <c r="M96" s="181" t="e">
        <f>RANK(K96, K$87:$K$101)</f>
        <v>#VALUE!</v>
      </c>
      <c r="N96" s="461"/>
      <c r="O96" s="461"/>
      <c r="P96" s="182"/>
      <c r="Q96" s="166"/>
      <c r="R96" s="166"/>
      <c r="S96" s="182" t="e">
        <f t="shared" si="96"/>
        <v>#N/A</v>
      </c>
      <c r="T96" s="488"/>
      <c r="U96" s="182"/>
      <c r="V96" s="166"/>
      <c r="W96" s="166"/>
      <c r="X96" s="182" t="e">
        <f t="shared" si="82"/>
        <v>#N/A</v>
      </c>
      <c r="Y96" s="488"/>
      <c r="Z96" s="182"/>
      <c r="AA96" s="166"/>
      <c r="AB96" s="166"/>
      <c r="AC96" s="182" t="e">
        <f t="shared" si="84"/>
        <v>#N/A</v>
      </c>
      <c r="AD96" s="488"/>
      <c r="AE96" s="182"/>
      <c r="AF96" s="166"/>
      <c r="AG96" s="166"/>
      <c r="AH96" s="182" t="e">
        <f t="shared" si="86"/>
        <v>#N/A</v>
      </c>
      <c r="AI96" s="488"/>
      <c r="AJ96" s="182"/>
      <c r="AK96" s="166"/>
      <c r="AL96" s="166"/>
      <c r="AM96" s="182" t="e">
        <f t="shared" si="88"/>
        <v>#N/A</v>
      </c>
      <c r="AN96" s="488"/>
      <c r="AO96" s="182"/>
      <c r="AP96" s="166"/>
      <c r="AQ96" s="166"/>
      <c r="AR96" s="182" t="e">
        <f t="shared" si="90"/>
        <v>#N/A</v>
      </c>
      <c r="AS96" s="488"/>
      <c r="AT96" s="182"/>
      <c r="AU96" s="166"/>
      <c r="AV96" s="166"/>
      <c r="AW96" s="182" t="e">
        <f t="shared" si="92"/>
        <v>#N/A</v>
      </c>
      <c r="AX96" s="455"/>
      <c r="AZ96" s="182" t="e">
        <f t="shared" si="94"/>
        <v>#N/A</v>
      </c>
      <c r="BA96" s="455"/>
    </row>
    <row r="97" spans="2:53">
      <c r="B97" s="454"/>
      <c r="C97" s="182">
        <v>11</v>
      </c>
      <c r="D97" s="203"/>
      <c r="E97" s="166"/>
      <c r="F97" s="182"/>
      <c r="G97" s="180"/>
      <c r="H97" s="464"/>
      <c r="I97" s="166" t="str">
        <f t="shared" si="79"/>
        <v>-</v>
      </c>
      <c r="J97" s="166" t="str">
        <f t="shared" si="80"/>
        <v>-</v>
      </c>
      <c r="K97" s="180" t="str">
        <f t="shared" si="81"/>
        <v>-</v>
      </c>
      <c r="L97" s="464"/>
      <c r="M97" s="181" t="e">
        <f>RANK(K97, K$87:$K$101)</f>
        <v>#VALUE!</v>
      </c>
      <c r="N97" s="461"/>
      <c r="O97" s="461"/>
      <c r="P97" s="182"/>
      <c r="Q97" s="166"/>
      <c r="R97" s="166"/>
      <c r="S97" s="182" t="e">
        <f t="shared" si="96"/>
        <v>#N/A</v>
      </c>
      <c r="T97" s="488"/>
      <c r="U97" s="182"/>
      <c r="V97" s="166"/>
      <c r="W97" s="166"/>
      <c r="X97" s="182" t="e">
        <f t="shared" si="82"/>
        <v>#N/A</v>
      </c>
      <c r="Y97" s="488"/>
      <c r="Z97" s="182"/>
      <c r="AA97" s="166"/>
      <c r="AB97" s="166"/>
      <c r="AC97" s="182" t="e">
        <f t="shared" si="84"/>
        <v>#N/A</v>
      </c>
      <c r="AD97" s="488"/>
      <c r="AE97" s="182"/>
      <c r="AF97" s="166"/>
      <c r="AG97" s="166"/>
      <c r="AH97" s="182" t="e">
        <f t="shared" si="86"/>
        <v>#N/A</v>
      </c>
      <c r="AI97" s="488"/>
      <c r="AJ97" s="182"/>
      <c r="AK97" s="166"/>
      <c r="AL97" s="166"/>
      <c r="AM97" s="182" t="e">
        <f t="shared" si="88"/>
        <v>#N/A</v>
      </c>
      <c r="AN97" s="488"/>
      <c r="AO97" s="182"/>
      <c r="AP97" s="166"/>
      <c r="AQ97" s="166"/>
      <c r="AR97" s="182" t="e">
        <f t="shared" si="90"/>
        <v>#N/A</v>
      </c>
      <c r="AS97" s="488"/>
      <c r="AT97" s="182"/>
      <c r="AU97" s="166"/>
      <c r="AV97" s="166"/>
      <c r="AW97" s="182" t="e">
        <f t="shared" si="92"/>
        <v>#N/A</v>
      </c>
      <c r="AX97" s="455"/>
      <c r="AZ97" s="182" t="e">
        <f t="shared" si="94"/>
        <v>#N/A</v>
      </c>
      <c r="BA97" s="455"/>
    </row>
    <row r="98" spans="2:53">
      <c r="B98" s="454"/>
      <c r="C98" s="182">
        <v>12</v>
      </c>
      <c r="D98" s="203"/>
      <c r="E98" s="166"/>
      <c r="F98" s="182"/>
      <c r="G98" s="180"/>
      <c r="H98" s="464"/>
      <c r="I98" s="166" t="str">
        <f t="shared" si="79"/>
        <v>-</v>
      </c>
      <c r="J98" s="166" t="str">
        <f t="shared" si="80"/>
        <v>-</v>
      </c>
      <c r="K98" s="180" t="str">
        <f t="shared" si="81"/>
        <v>-</v>
      </c>
      <c r="L98" s="464"/>
      <c r="M98" s="181" t="e">
        <f>RANK(K98, K$87:$K$101)</f>
        <v>#VALUE!</v>
      </c>
      <c r="N98" s="461"/>
      <c r="O98" s="461"/>
      <c r="P98" s="182"/>
      <c r="Q98" s="166"/>
      <c r="R98" s="166"/>
      <c r="S98" s="182" t="e">
        <f t="shared" si="96"/>
        <v>#N/A</v>
      </c>
      <c r="T98" s="488"/>
      <c r="U98" s="182"/>
      <c r="V98" s="166"/>
      <c r="W98" s="166"/>
      <c r="X98" s="182" t="e">
        <f t="shared" si="82"/>
        <v>#N/A</v>
      </c>
      <c r="Y98" s="488"/>
      <c r="Z98" s="182"/>
      <c r="AA98" s="166"/>
      <c r="AB98" s="166"/>
      <c r="AC98" s="182" t="e">
        <f t="shared" si="84"/>
        <v>#N/A</v>
      </c>
      <c r="AD98" s="488"/>
      <c r="AE98" s="182"/>
      <c r="AF98" s="166"/>
      <c r="AG98" s="166"/>
      <c r="AH98" s="182" t="e">
        <f t="shared" si="86"/>
        <v>#N/A</v>
      </c>
      <c r="AI98" s="488"/>
      <c r="AJ98" s="182"/>
      <c r="AK98" s="166"/>
      <c r="AL98" s="166"/>
      <c r="AM98" s="182" t="e">
        <f t="shared" si="88"/>
        <v>#N/A</v>
      </c>
      <c r="AN98" s="488"/>
      <c r="AO98" s="182"/>
      <c r="AP98" s="166"/>
      <c r="AQ98" s="166"/>
      <c r="AR98" s="182" t="e">
        <f t="shared" si="90"/>
        <v>#N/A</v>
      </c>
      <c r="AS98" s="488"/>
      <c r="AT98" s="182"/>
      <c r="AU98" s="166"/>
      <c r="AV98" s="166"/>
      <c r="AW98" s="182" t="e">
        <f t="shared" si="92"/>
        <v>#N/A</v>
      </c>
      <c r="AX98" s="455"/>
      <c r="AZ98" s="182" t="e">
        <f t="shared" si="94"/>
        <v>#N/A</v>
      </c>
      <c r="BA98" s="455"/>
    </row>
    <row r="99" spans="2:53">
      <c r="B99" s="454"/>
      <c r="C99" s="182">
        <v>13</v>
      </c>
      <c r="D99" s="203"/>
      <c r="E99" s="166"/>
      <c r="F99" s="182"/>
      <c r="G99" s="180"/>
      <c r="H99" s="464"/>
      <c r="I99" s="166" t="str">
        <f t="shared" si="79"/>
        <v>-</v>
      </c>
      <c r="J99" s="166" t="str">
        <f t="shared" si="80"/>
        <v>-</v>
      </c>
      <c r="K99" s="180" t="str">
        <f t="shared" si="81"/>
        <v>-</v>
      </c>
      <c r="L99" s="464"/>
      <c r="M99" s="181" t="e">
        <f>RANK(K99, K$87:$K$101)</f>
        <v>#VALUE!</v>
      </c>
      <c r="N99" s="461"/>
      <c r="O99" s="461"/>
      <c r="P99" s="182"/>
      <c r="Q99" s="166"/>
      <c r="R99" s="166"/>
      <c r="S99" s="182" t="e">
        <f t="shared" si="96"/>
        <v>#N/A</v>
      </c>
      <c r="T99" s="488"/>
      <c r="U99" s="182"/>
      <c r="V99" s="166"/>
      <c r="W99" s="166"/>
      <c r="X99" s="182" t="e">
        <f t="shared" si="82"/>
        <v>#N/A</v>
      </c>
      <c r="Y99" s="488"/>
      <c r="Z99" s="182"/>
      <c r="AA99" s="166"/>
      <c r="AB99" s="166"/>
      <c r="AC99" s="182" t="e">
        <f t="shared" si="84"/>
        <v>#N/A</v>
      </c>
      <c r="AD99" s="488"/>
      <c r="AE99" s="182"/>
      <c r="AF99" s="166"/>
      <c r="AG99" s="166"/>
      <c r="AH99" s="182" t="e">
        <f t="shared" si="86"/>
        <v>#N/A</v>
      </c>
      <c r="AI99" s="488"/>
      <c r="AJ99" s="182"/>
      <c r="AK99" s="166"/>
      <c r="AL99" s="166"/>
      <c r="AM99" s="182" t="e">
        <f t="shared" si="88"/>
        <v>#N/A</v>
      </c>
      <c r="AN99" s="488"/>
      <c r="AO99" s="182"/>
      <c r="AP99" s="166"/>
      <c r="AQ99" s="166"/>
      <c r="AR99" s="182" t="e">
        <f t="shared" si="90"/>
        <v>#N/A</v>
      </c>
      <c r="AS99" s="488"/>
      <c r="AT99" s="182"/>
      <c r="AU99" s="166"/>
      <c r="AV99" s="166"/>
      <c r="AW99" s="182" t="e">
        <f t="shared" si="92"/>
        <v>#N/A</v>
      </c>
      <c r="AX99" s="455"/>
      <c r="AZ99" s="182" t="e">
        <f t="shared" si="94"/>
        <v>#N/A</v>
      </c>
      <c r="BA99" s="455"/>
    </row>
    <row r="100" spans="2:53">
      <c r="B100" s="454"/>
      <c r="C100" s="182">
        <v>14</v>
      </c>
      <c r="D100" s="203"/>
      <c r="E100" s="166"/>
      <c r="F100" s="182"/>
      <c r="G100" s="180"/>
      <c r="H100" s="464"/>
      <c r="I100" s="166" t="str">
        <f t="shared" si="79"/>
        <v>-</v>
      </c>
      <c r="J100" s="166" t="str">
        <f t="shared" si="80"/>
        <v>-</v>
      </c>
      <c r="K100" s="180" t="str">
        <f t="shared" si="81"/>
        <v>-</v>
      </c>
      <c r="L100" s="464"/>
      <c r="M100" s="181" t="e">
        <f>RANK(K100, K$87:$K$101)</f>
        <v>#VALUE!</v>
      </c>
      <c r="N100" s="461"/>
      <c r="O100" s="461"/>
      <c r="P100" s="182"/>
      <c r="Q100" s="166"/>
      <c r="R100" s="166"/>
      <c r="S100" s="182" t="e">
        <f t="shared" si="96"/>
        <v>#N/A</v>
      </c>
      <c r="T100" s="488"/>
      <c r="U100" s="182"/>
      <c r="V100" s="166"/>
      <c r="W100" s="166"/>
      <c r="X100" s="182" t="e">
        <f t="shared" si="82"/>
        <v>#N/A</v>
      </c>
      <c r="Y100" s="488"/>
      <c r="Z100" s="182"/>
      <c r="AA100" s="166"/>
      <c r="AB100" s="166"/>
      <c r="AC100" s="182" t="e">
        <f t="shared" si="84"/>
        <v>#N/A</v>
      </c>
      <c r="AD100" s="488"/>
      <c r="AE100" s="182"/>
      <c r="AF100" s="166"/>
      <c r="AG100" s="166"/>
      <c r="AH100" s="182" t="e">
        <f t="shared" si="86"/>
        <v>#N/A</v>
      </c>
      <c r="AI100" s="488"/>
      <c r="AJ100" s="182"/>
      <c r="AK100" s="166"/>
      <c r="AL100" s="166"/>
      <c r="AM100" s="182" t="e">
        <f t="shared" si="88"/>
        <v>#N/A</v>
      </c>
      <c r="AN100" s="488"/>
      <c r="AO100" s="182"/>
      <c r="AP100" s="166"/>
      <c r="AQ100" s="166"/>
      <c r="AR100" s="182" t="e">
        <f t="shared" si="90"/>
        <v>#N/A</v>
      </c>
      <c r="AS100" s="488"/>
      <c r="AT100" s="182"/>
      <c r="AU100" s="166"/>
      <c r="AV100" s="166"/>
      <c r="AW100" s="182" t="e">
        <f t="shared" si="92"/>
        <v>#N/A</v>
      </c>
      <c r="AX100" s="455"/>
      <c r="AZ100" s="182" t="e">
        <f t="shared" si="94"/>
        <v>#N/A</v>
      </c>
      <c r="BA100" s="455"/>
    </row>
    <row r="101" spans="2:53">
      <c r="B101" s="454"/>
      <c r="C101" s="182">
        <v>15</v>
      </c>
      <c r="D101" s="203"/>
      <c r="E101" s="166"/>
      <c r="F101" s="182"/>
      <c r="G101" s="180"/>
      <c r="H101" s="465"/>
      <c r="I101" s="182"/>
      <c r="J101" s="182"/>
      <c r="K101" s="182"/>
      <c r="L101" s="465"/>
      <c r="M101" s="166" t="e">
        <f>RANK(K101, K$87:$K$101)</f>
        <v>#N/A</v>
      </c>
      <c r="N101" s="461"/>
      <c r="O101" s="461"/>
      <c r="P101" s="182"/>
      <c r="Q101" s="166"/>
      <c r="R101" s="166"/>
      <c r="S101" s="182" t="e">
        <f t="shared" si="96"/>
        <v>#N/A</v>
      </c>
      <c r="T101" s="489"/>
      <c r="U101" s="182"/>
      <c r="V101" s="166"/>
      <c r="W101" s="166"/>
      <c r="X101" s="182" t="e">
        <f t="shared" si="82"/>
        <v>#N/A</v>
      </c>
      <c r="Y101" s="489"/>
      <c r="Z101" s="182"/>
      <c r="AA101" s="166"/>
      <c r="AB101" s="166"/>
      <c r="AC101" s="182" t="e">
        <f t="shared" si="84"/>
        <v>#N/A</v>
      </c>
      <c r="AD101" s="489"/>
      <c r="AE101" s="182"/>
      <c r="AF101" s="166"/>
      <c r="AG101" s="166"/>
      <c r="AH101" s="182" t="e">
        <f t="shared" si="86"/>
        <v>#N/A</v>
      </c>
      <c r="AI101" s="489"/>
      <c r="AJ101" s="182"/>
      <c r="AK101" s="166"/>
      <c r="AL101" s="166"/>
      <c r="AM101" s="182" t="e">
        <f t="shared" si="88"/>
        <v>#N/A</v>
      </c>
      <c r="AN101" s="489"/>
      <c r="AO101" s="182"/>
      <c r="AP101" s="166"/>
      <c r="AQ101" s="166"/>
      <c r="AR101" s="182" t="e">
        <f t="shared" si="90"/>
        <v>#N/A</v>
      </c>
      <c r="AS101" s="489"/>
      <c r="AT101" s="182"/>
      <c r="AU101" s="166"/>
      <c r="AV101" s="166"/>
      <c r="AW101" s="182" t="e">
        <f t="shared" si="92"/>
        <v>#N/A</v>
      </c>
      <c r="AX101" s="455"/>
      <c r="AZ101" s="182" t="e">
        <f t="shared" si="94"/>
        <v>#N/A</v>
      </c>
      <c r="BA101" s="455"/>
    </row>
    <row r="102" spans="2:53" ht="15.5">
      <c r="B102" s="477" t="s">
        <v>163</v>
      </c>
      <c r="C102" s="478"/>
      <c r="D102" s="478"/>
      <c r="E102" s="478"/>
      <c r="F102" s="478"/>
      <c r="G102" s="478"/>
      <c r="H102" s="478"/>
      <c r="I102" s="186"/>
      <c r="J102" s="186"/>
      <c r="K102" s="186"/>
      <c r="L102" s="186"/>
      <c r="M102" s="185"/>
      <c r="N102" s="480" t="s">
        <v>156</v>
      </c>
      <c r="O102" s="480" t="s">
        <v>105</v>
      </c>
      <c r="P102" s="476">
        <f>P82+7</f>
        <v>46147</v>
      </c>
      <c r="Q102" s="454"/>
      <c r="R102" s="454"/>
      <c r="S102" s="454"/>
      <c r="T102" s="454"/>
      <c r="U102" s="473">
        <f>P102+1</f>
        <v>46148</v>
      </c>
      <c r="V102" s="474"/>
      <c r="W102" s="474"/>
      <c r="X102" s="474"/>
      <c r="Y102" s="475"/>
      <c r="Z102" s="473">
        <f>U102+1</f>
        <v>46149</v>
      </c>
      <c r="AA102" s="474"/>
      <c r="AB102" s="474"/>
      <c r="AC102" s="474"/>
      <c r="AD102" s="475"/>
      <c r="AE102" s="473">
        <f>Z102+1</f>
        <v>46150</v>
      </c>
      <c r="AF102" s="474"/>
      <c r="AG102" s="474"/>
      <c r="AH102" s="474"/>
      <c r="AI102" s="475"/>
      <c r="AJ102" s="473">
        <f>AE102+1</f>
        <v>46151</v>
      </c>
      <c r="AK102" s="474"/>
      <c r="AL102" s="474"/>
      <c r="AM102" s="474"/>
      <c r="AN102" s="475"/>
      <c r="AO102" s="473">
        <f>AJ102+1</f>
        <v>46152</v>
      </c>
      <c r="AP102" s="474"/>
      <c r="AQ102" s="474"/>
      <c r="AR102" s="474"/>
      <c r="AS102" s="475"/>
      <c r="AT102" s="473">
        <f>AO102+1</f>
        <v>46153</v>
      </c>
      <c r="AU102" s="474"/>
      <c r="AV102" s="474"/>
      <c r="AW102" s="474"/>
      <c r="AX102" s="475"/>
    </row>
    <row r="103" spans="2:53" ht="15.5">
      <c r="B103" s="479"/>
      <c r="C103" s="479"/>
      <c r="D103" s="479"/>
      <c r="E103" s="479"/>
      <c r="F103" s="479"/>
      <c r="G103" s="479"/>
      <c r="H103" s="479"/>
      <c r="I103" s="184"/>
      <c r="J103" s="184"/>
      <c r="K103" s="184"/>
      <c r="L103" s="184"/>
      <c r="M103" s="179"/>
      <c r="N103" s="481"/>
      <c r="O103" s="481"/>
      <c r="P103" s="476" t="s">
        <v>158</v>
      </c>
      <c r="Q103" s="454"/>
      <c r="R103" s="454"/>
      <c r="S103" s="454"/>
      <c r="T103" s="454"/>
      <c r="U103" s="476" t="s">
        <v>114</v>
      </c>
      <c r="V103" s="454"/>
      <c r="W103" s="454"/>
      <c r="X103" s="454"/>
      <c r="Y103" s="454"/>
      <c r="Z103" s="476" t="s">
        <v>159</v>
      </c>
      <c r="AA103" s="454"/>
      <c r="AB103" s="454"/>
      <c r="AC103" s="454"/>
      <c r="AD103" s="454"/>
      <c r="AE103" s="476" t="s">
        <v>157</v>
      </c>
      <c r="AF103" s="454"/>
      <c r="AG103" s="454"/>
      <c r="AH103" s="454"/>
      <c r="AI103" s="454"/>
      <c r="AJ103" s="476" t="s">
        <v>160</v>
      </c>
      <c r="AK103" s="454"/>
      <c r="AL103" s="454"/>
      <c r="AM103" s="454"/>
      <c r="AN103" s="454"/>
      <c r="AO103" s="476" t="s">
        <v>115</v>
      </c>
      <c r="AP103" s="454"/>
      <c r="AQ103" s="454"/>
      <c r="AR103" s="454"/>
      <c r="AS103" s="454"/>
      <c r="AT103" s="476" t="s">
        <v>162</v>
      </c>
      <c r="AU103" s="454"/>
      <c r="AV103" s="454"/>
      <c r="AW103" s="454"/>
      <c r="AX103" s="454"/>
    </row>
    <row r="104" spans="2:53">
      <c r="B104" s="461" t="s">
        <v>696</v>
      </c>
      <c r="C104" s="461" t="s">
        <v>697</v>
      </c>
      <c r="D104" s="461"/>
      <c r="E104" s="461" t="s">
        <v>698</v>
      </c>
      <c r="F104" s="461"/>
      <c r="G104" s="461"/>
      <c r="H104" s="482" t="s">
        <v>699</v>
      </c>
      <c r="I104" s="461" t="s">
        <v>700</v>
      </c>
      <c r="J104" s="461"/>
      <c r="K104" s="461"/>
      <c r="L104" s="482" t="s">
        <v>396</v>
      </c>
      <c r="M104" s="480" t="s">
        <v>701</v>
      </c>
      <c r="N104" s="461"/>
      <c r="O104" s="461" t="s">
        <v>687</v>
      </c>
      <c r="P104" s="466" t="s">
        <v>688</v>
      </c>
      <c r="Q104" s="467"/>
      <c r="R104" s="467"/>
      <c r="S104" s="468"/>
      <c r="T104" s="461" t="s">
        <v>684</v>
      </c>
      <c r="U104" s="466" t="s">
        <v>688</v>
      </c>
      <c r="V104" s="467"/>
      <c r="W104" s="467"/>
      <c r="X104" s="468"/>
      <c r="Y104" s="461" t="s">
        <v>684</v>
      </c>
      <c r="Z104" s="466" t="s">
        <v>688</v>
      </c>
      <c r="AA104" s="467"/>
      <c r="AB104" s="467"/>
      <c r="AC104" s="468"/>
      <c r="AD104" s="461" t="s">
        <v>684</v>
      </c>
      <c r="AE104" s="466" t="s">
        <v>688</v>
      </c>
      <c r="AF104" s="467"/>
      <c r="AG104" s="467"/>
      <c r="AH104" s="468"/>
      <c r="AI104" s="461" t="s">
        <v>684</v>
      </c>
      <c r="AJ104" s="466" t="s">
        <v>688</v>
      </c>
      <c r="AK104" s="467"/>
      <c r="AL104" s="467"/>
      <c r="AM104" s="468"/>
      <c r="AN104" s="461" t="s">
        <v>684</v>
      </c>
      <c r="AO104" s="466" t="s">
        <v>688</v>
      </c>
      <c r="AP104" s="467"/>
      <c r="AQ104" s="467"/>
      <c r="AR104" s="468"/>
      <c r="AS104" s="461" t="s">
        <v>684</v>
      </c>
      <c r="AT104" s="466" t="s">
        <v>688</v>
      </c>
      <c r="AU104" s="467"/>
      <c r="AV104" s="467"/>
      <c r="AW104" s="468"/>
      <c r="AX104" s="461" t="s">
        <v>684</v>
      </c>
      <c r="BA104" s="461" t="s">
        <v>396</v>
      </c>
    </row>
    <row r="105" spans="2:53">
      <c r="B105" s="461"/>
      <c r="C105" s="461"/>
      <c r="D105" s="461"/>
      <c r="E105" s="461" t="s">
        <v>703</v>
      </c>
      <c r="F105" s="461"/>
      <c r="G105" s="461"/>
      <c r="H105" s="483"/>
      <c r="I105" s="461" t="s">
        <v>703</v>
      </c>
      <c r="J105" s="461"/>
      <c r="K105" s="461"/>
      <c r="L105" s="483"/>
      <c r="M105" s="485"/>
      <c r="N105" s="461"/>
      <c r="O105" s="461"/>
      <c r="P105" s="466" t="s">
        <v>690</v>
      </c>
      <c r="Q105" s="467"/>
      <c r="R105" s="467"/>
      <c r="S105" s="468"/>
      <c r="T105" s="461"/>
      <c r="U105" s="466" t="s">
        <v>690</v>
      </c>
      <c r="V105" s="467"/>
      <c r="W105" s="467"/>
      <c r="X105" s="468"/>
      <c r="Y105" s="461"/>
      <c r="Z105" s="466" t="s">
        <v>690</v>
      </c>
      <c r="AA105" s="467"/>
      <c r="AB105" s="467"/>
      <c r="AC105" s="468"/>
      <c r="AD105" s="461"/>
      <c r="AE105" s="466" t="s">
        <v>690</v>
      </c>
      <c r="AF105" s="467"/>
      <c r="AG105" s="467"/>
      <c r="AH105" s="468"/>
      <c r="AI105" s="461"/>
      <c r="AJ105" s="466" t="s">
        <v>690</v>
      </c>
      <c r="AK105" s="467"/>
      <c r="AL105" s="467"/>
      <c r="AM105" s="468"/>
      <c r="AN105" s="461"/>
      <c r="AO105" s="466" t="s">
        <v>690</v>
      </c>
      <c r="AP105" s="467"/>
      <c r="AQ105" s="467"/>
      <c r="AR105" s="468"/>
      <c r="AS105" s="461"/>
      <c r="AT105" s="466" t="s">
        <v>690</v>
      </c>
      <c r="AU105" s="467"/>
      <c r="AV105" s="467"/>
      <c r="AW105" s="468"/>
      <c r="AX105" s="461"/>
      <c r="BA105" s="461"/>
    </row>
    <row r="106" spans="2:53">
      <c r="B106" s="461"/>
      <c r="C106" s="461"/>
      <c r="D106" s="461"/>
      <c r="E106" s="269" t="s">
        <v>704</v>
      </c>
      <c r="F106" s="269" t="s">
        <v>705</v>
      </c>
      <c r="G106" s="269" t="s">
        <v>706</v>
      </c>
      <c r="H106" s="484"/>
      <c r="I106" s="269" t="s">
        <v>704</v>
      </c>
      <c r="J106" s="269" t="s">
        <v>705</v>
      </c>
      <c r="K106" s="269" t="s">
        <v>706</v>
      </c>
      <c r="L106" s="484"/>
      <c r="M106" s="481"/>
      <c r="N106" s="461"/>
      <c r="O106" s="461"/>
      <c r="P106" s="269" t="s">
        <v>691</v>
      </c>
      <c r="Q106" s="269" t="s">
        <v>692</v>
      </c>
      <c r="R106" s="269" t="s">
        <v>693</v>
      </c>
      <c r="S106" s="269" t="s">
        <v>686</v>
      </c>
      <c r="T106" s="461"/>
      <c r="U106" s="269" t="s">
        <v>691</v>
      </c>
      <c r="V106" s="269" t="s">
        <v>692</v>
      </c>
      <c r="W106" s="269" t="s">
        <v>693</v>
      </c>
      <c r="X106" s="269" t="s">
        <v>686</v>
      </c>
      <c r="Y106" s="461"/>
      <c r="Z106" s="269" t="s">
        <v>691</v>
      </c>
      <c r="AA106" s="269" t="s">
        <v>692</v>
      </c>
      <c r="AB106" s="269" t="s">
        <v>693</v>
      </c>
      <c r="AC106" s="269" t="s">
        <v>686</v>
      </c>
      <c r="AD106" s="461"/>
      <c r="AE106" s="269" t="s">
        <v>691</v>
      </c>
      <c r="AF106" s="269" t="s">
        <v>692</v>
      </c>
      <c r="AG106" s="269" t="s">
        <v>693</v>
      </c>
      <c r="AH106" s="269" t="s">
        <v>686</v>
      </c>
      <c r="AI106" s="461"/>
      <c r="AJ106" s="269" t="s">
        <v>691</v>
      </c>
      <c r="AK106" s="269" t="s">
        <v>692</v>
      </c>
      <c r="AL106" s="269" t="s">
        <v>693</v>
      </c>
      <c r="AM106" s="269" t="s">
        <v>686</v>
      </c>
      <c r="AN106" s="461"/>
      <c r="AO106" s="269" t="s">
        <v>691</v>
      </c>
      <c r="AP106" s="269" t="s">
        <v>692</v>
      </c>
      <c r="AQ106" s="269" t="s">
        <v>693</v>
      </c>
      <c r="AR106" s="269" t="s">
        <v>686</v>
      </c>
      <c r="AS106" s="461"/>
      <c r="AT106" s="269" t="s">
        <v>691</v>
      </c>
      <c r="AU106" s="269" t="s">
        <v>692</v>
      </c>
      <c r="AV106" s="269" t="s">
        <v>693</v>
      </c>
      <c r="AW106" s="269" t="s">
        <v>686</v>
      </c>
      <c r="AX106" s="461"/>
      <c r="AZ106" s="269" t="s">
        <v>686</v>
      </c>
      <c r="BA106" s="461"/>
    </row>
    <row r="107" spans="2:53">
      <c r="B107" s="461" t="s">
        <v>136</v>
      </c>
      <c r="C107" s="182">
        <v>1</v>
      </c>
      <c r="D107" s="203"/>
      <c r="E107" s="166"/>
      <c r="F107" s="182"/>
      <c r="G107" s="180"/>
      <c r="H107" s="463" t="e">
        <f>AVERAGE(G107:G121)</f>
        <v>#DIV/0!</v>
      </c>
      <c r="I107" s="166" t="str">
        <f t="shared" ref="I107:I120" si="97">IFERROR(AVERAGE(P107,U107,Z107,AE107,AJ107,AO107,AT107),"-")</f>
        <v>-</v>
      </c>
      <c r="J107" s="166" t="str">
        <f t="shared" ref="J107:J120" si="98">IFERROR(AVERAGE(Q107,V107,AA107,AF107,AK107,AP107,AU107),"-")</f>
        <v>-</v>
      </c>
      <c r="K107" s="180" t="str">
        <f t="shared" ref="K107:K120" si="99">IFERROR(AVERAGE(R107,W107,AB107,AG107,AL107,AQ107,AV107),"-")</f>
        <v>-</v>
      </c>
      <c r="L107" s="463" t="str">
        <f>IFERROR(AVERAGE(K107:K121),"-")</f>
        <v>-</v>
      </c>
      <c r="M107" s="166" t="e">
        <f>RANK(K107, K$67:$K$81)</f>
        <v>#VALUE!</v>
      </c>
      <c r="N107" s="461"/>
      <c r="O107" s="461"/>
      <c r="P107" s="182"/>
      <c r="Q107" s="166"/>
      <c r="R107" s="166"/>
      <c r="S107" s="182" t="e">
        <f>RANK(R107, R$67:R$81)</f>
        <v>#N/A</v>
      </c>
      <c r="T107" s="455" t="e">
        <f>AVERAGE(R107:R121)</f>
        <v>#DIV/0!</v>
      </c>
      <c r="U107" s="182"/>
      <c r="V107" s="166"/>
      <c r="W107" s="166"/>
      <c r="X107" s="182" t="e">
        <f>RANK(W107, W$67:W$81)</f>
        <v>#N/A</v>
      </c>
      <c r="Y107" s="455" t="e">
        <f>AVERAGE(W107:W121)</f>
        <v>#DIV/0!</v>
      </c>
      <c r="Z107" s="182"/>
      <c r="AA107" s="166"/>
      <c r="AB107" s="166"/>
      <c r="AC107" s="182" t="e">
        <f>RANK(AB107, AB$67:AB$81)</f>
        <v>#N/A</v>
      </c>
      <c r="AD107" s="455" t="e">
        <f>AVERAGE(AB107:AB121)</f>
        <v>#DIV/0!</v>
      </c>
      <c r="AE107" s="182"/>
      <c r="AF107" s="166"/>
      <c r="AG107" s="166"/>
      <c r="AH107" s="182" t="e">
        <f>RANK(AG107, AG$67:AG$81)</f>
        <v>#N/A</v>
      </c>
      <c r="AI107" s="455" t="e">
        <f>AVERAGE(AG107:AG121)</f>
        <v>#DIV/0!</v>
      </c>
      <c r="AJ107" s="182"/>
      <c r="AK107" s="166"/>
      <c r="AL107" s="166"/>
      <c r="AM107" s="182" t="e">
        <f>RANK(AL107, AL$67:AL$81)</f>
        <v>#N/A</v>
      </c>
      <c r="AN107" s="455" t="e">
        <f>AVERAGE(AL107:AL121)</f>
        <v>#DIV/0!</v>
      </c>
      <c r="AO107" s="182"/>
      <c r="AP107" s="166"/>
      <c r="AQ107" s="166"/>
      <c r="AR107" s="182" t="e">
        <f>RANK(AQ107, AQ$67:AQ$81)</f>
        <v>#N/A</v>
      </c>
      <c r="AS107" s="455" t="e">
        <f>AVERAGE(AQ107:AQ121)</f>
        <v>#DIV/0!</v>
      </c>
      <c r="AT107" s="166"/>
      <c r="AU107" s="166"/>
      <c r="AV107" s="180"/>
      <c r="AW107" s="182" t="e">
        <f>RANK(AV107, AV$67:AV$81)</f>
        <v>#N/A</v>
      </c>
      <c r="AX107" s="455" t="e">
        <f>AVERAGE(AV107:AV121)</f>
        <v>#DIV/0!</v>
      </c>
      <c r="AZ107" s="182" t="e">
        <f>RANK(AY107, AY$67:AY$81)</f>
        <v>#N/A</v>
      </c>
      <c r="BA107" s="455" t="e">
        <f>AVERAGE(AY107:AY121)</f>
        <v>#DIV/0!</v>
      </c>
    </row>
    <row r="108" spans="2:53">
      <c r="B108" s="454"/>
      <c r="C108" s="182">
        <v>2</v>
      </c>
      <c r="D108" s="203"/>
      <c r="E108" s="166"/>
      <c r="F108" s="182"/>
      <c r="G108" s="180"/>
      <c r="H108" s="464"/>
      <c r="I108" s="166" t="str">
        <f t="shared" si="97"/>
        <v>-</v>
      </c>
      <c r="J108" s="166" t="str">
        <f t="shared" si="98"/>
        <v>-</v>
      </c>
      <c r="K108" s="180" t="str">
        <f t="shared" si="99"/>
        <v>-</v>
      </c>
      <c r="L108" s="464"/>
      <c r="M108" s="166" t="e">
        <f>RANK(K108, K$67:$K$81)</f>
        <v>#VALUE!</v>
      </c>
      <c r="N108" s="461"/>
      <c r="O108" s="461"/>
      <c r="P108" s="182"/>
      <c r="Q108" s="166"/>
      <c r="R108" s="166"/>
      <c r="S108" s="182" t="e">
        <f t="shared" ref="S108:S121" si="100">RANK(R108, R$67:R$81)</f>
        <v>#N/A</v>
      </c>
      <c r="T108" s="455"/>
      <c r="U108" s="182"/>
      <c r="V108" s="166"/>
      <c r="W108" s="166"/>
      <c r="X108" s="182" t="e">
        <f t="shared" ref="X108:X121" si="101">RANK(W108, W$67:W$81)</f>
        <v>#N/A</v>
      </c>
      <c r="Y108" s="455"/>
      <c r="Z108" s="182"/>
      <c r="AA108" s="166"/>
      <c r="AB108" s="166"/>
      <c r="AC108" s="182" t="e">
        <f t="shared" ref="AC108:AC121" si="102">RANK(AB108, AB$67:AB$81)</f>
        <v>#N/A</v>
      </c>
      <c r="AD108" s="455"/>
      <c r="AE108" s="182"/>
      <c r="AF108" s="166"/>
      <c r="AG108" s="166"/>
      <c r="AH108" s="182" t="e">
        <f t="shared" ref="AH108:AH121" si="103">RANK(AG108, AG$67:AG$81)</f>
        <v>#N/A</v>
      </c>
      <c r="AI108" s="455"/>
      <c r="AJ108" s="182"/>
      <c r="AK108" s="166"/>
      <c r="AL108" s="166"/>
      <c r="AM108" s="182" t="e">
        <f t="shared" ref="AM108:AM121" si="104">RANK(AL108, AL$67:AL$81)</f>
        <v>#N/A</v>
      </c>
      <c r="AN108" s="455"/>
      <c r="AO108" s="182"/>
      <c r="AP108" s="166"/>
      <c r="AQ108" s="166"/>
      <c r="AR108" s="182" t="e">
        <f t="shared" ref="AR108:AR121" si="105">RANK(AQ108, AQ$67:AQ$81)</f>
        <v>#N/A</v>
      </c>
      <c r="AS108" s="455"/>
      <c r="AT108" s="182"/>
      <c r="AU108" s="166"/>
      <c r="AV108" s="180"/>
      <c r="AW108" s="182" t="e">
        <f t="shared" ref="AW108:AW121" si="106">RANK(AV108, AV$67:AV$81)</f>
        <v>#N/A</v>
      </c>
      <c r="AX108" s="455"/>
      <c r="AZ108" s="182" t="e">
        <f t="shared" ref="AZ108:AZ121" si="107">RANK(AY108, AY$67:AY$81)</f>
        <v>#N/A</v>
      </c>
      <c r="BA108" s="455"/>
    </row>
    <row r="109" spans="2:53">
      <c r="B109" s="454"/>
      <c r="C109" s="182">
        <v>3</v>
      </c>
      <c r="D109" s="203"/>
      <c r="E109" s="166"/>
      <c r="F109" s="182"/>
      <c r="G109" s="180"/>
      <c r="H109" s="464"/>
      <c r="I109" s="166" t="str">
        <f t="shared" si="97"/>
        <v>-</v>
      </c>
      <c r="J109" s="166" t="str">
        <f t="shared" si="98"/>
        <v>-</v>
      </c>
      <c r="K109" s="180" t="str">
        <f t="shared" si="99"/>
        <v>-</v>
      </c>
      <c r="L109" s="464"/>
      <c r="M109" s="166" t="e">
        <f>RANK(K109, K$67:$K$81)</f>
        <v>#VALUE!</v>
      </c>
      <c r="N109" s="461"/>
      <c r="O109" s="461"/>
      <c r="P109" s="182"/>
      <c r="Q109" s="166"/>
      <c r="R109" s="166"/>
      <c r="S109" s="182" t="e">
        <f t="shared" si="100"/>
        <v>#N/A</v>
      </c>
      <c r="T109" s="455"/>
      <c r="U109" s="182"/>
      <c r="V109" s="166"/>
      <c r="W109" s="166"/>
      <c r="X109" s="182" t="e">
        <f t="shared" si="101"/>
        <v>#N/A</v>
      </c>
      <c r="Y109" s="455"/>
      <c r="Z109" s="182"/>
      <c r="AA109" s="166"/>
      <c r="AB109" s="166"/>
      <c r="AC109" s="182" t="e">
        <f t="shared" si="102"/>
        <v>#N/A</v>
      </c>
      <c r="AD109" s="455"/>
      <c r="AE109" s="182"/>
      <c r="AF109" s="166"/>
      <c r="AG109" s="166"/>
      <c r="AH109" s="182" t="e">
        <f t="shared" si="103"/>
        <v>#N/A</v>
      </c>
      <c r="AI109" s="455"/>
      <c r="AJ109" s="182"/>
      <c r="AK109" s="166"/>
      <c r="AL109" s="166"/>
      <c r="AM109" s="182" t="e">
        <f t="shared" si="104"/>
        <v>#N/A</v>
      </c>
      <c r="AN109" s="455"/>
      <c r="AO109" s="182"/>
      <c r="AP109" s="166"/>
      <c r="AQ109" s="166"/>
      <c r="AR109" s="182" t="e">
        <f t="shared" si="105"/>
        <v>#N/A</v>
      </c>
      <c r="AS109" s="455"/>
      <c r="AT109" s="182"/>
      <c r="AU109" s="166"/>
      <c r="AV109" s="180"/>
      <c r="AW109" s="182" t="e">
        <f t="shared" si="106"/>
        <v>#N/A</v>
      </c>
      <c r="AX109" s="455"/>
      <c r="AZ109" s="182" t="e">
        <f t="shared" si="107"/>
        <v>#N/A</v>
      </c>
      <c r="BA109" s="455"/>
    </row>
    <row r="110" spans="2:53">
      <c r="B110" s="454"/>
      <c r="C110" s="182">
        <v>4</v>
      </c>
      <c r="D110" s="203"/>
      <c r="E110" s="166"/>
      <c r="F110" s="182"/>
      <c r="G110" s="180"/>
      <c r="H110" s="464"/>
      <c r="I110" s="166" t="str">
        <f t="shared" si="97"/>
        <v>-</v>
      </c>
      <c r="J110" s="166" t="str">
        <f t="shared" si="98"/>
        <v>-</v>
      </c>
      <c r="K110" s="180" t="str">
        <f t="shared" si="99"/>
        <v>-</v>
      </c>
      <c r="L110" s="464"/>
      <c r="M110" s="166" t="e">
        <f>RANK(K110, K$67:$K$81)</f>
        <v>#VALUE!</v>
      </c>
      <c r="N110" s="461"/>
      <c r="O110" s="461"/>
      <c r="P110" s="182"/>
      <c r="Q110" s="166"/>
      <c r="R110" s="166"/>
      <c r="S110" s="182" t="e">
        <f t="shared" si="100"/>
        <v>#N/A</v>
      </c>
      <c r="T110" s="455"/>
      <c r="U110" s="182"/>
      <c r="V110" s="166"/>
      <c r="W110" s="166"/>
      <c r="X110" s="182" t="e">
        <f t="shared" si="101"/>
        <v>#N/A</v>
      </c>
      <c r="Y110" s="455"/>
      <c r="Z110" s="182"/>
      <c r="AA110" s="166"/>
      <c r="AB110" s="166"/>
      <c r="AC110" s="182" t="e">
        <f t="shared" si="102"/>
        <v>#N/A</v>
      </c>
      <c r="AD110" s="455"/>
      <c r="AE110" s="182"/>
      <c r="AF110" s="166"/>
      <c r="AG110" s="166"/>
      <c r="AH110" s="182" t="e">
        <f t="shared" si="103"/>
        <v>#N/A</v>
      </c>
      <c r="AI110" s="455"/>
      <c r="AJ110" s="182"/>
      <c r="AK110" s="166"/>
      <c r="AL110" s="166"/>
      <c r="AM110" s="182" t="e">
        <f t="shared" si="104"/>
        <v>#N/A</v>
      </c>
      <c r="AN110" s="455"/>
      <c r="AO110" s="182"/>
      <c r="AP110" s="166"/>
      <c r="AQ110" s="166"/>
      <c r="AR110" s="182" t="e">
        <f t="shared" si="105"/>
        <v>#N/A</v>
      </c>
      <c r="AS110" s="455"/>
      <c r="AT110" s="182"/>
      <c r="AU110" s="166"/>
      <c r="AV110" s="180"/>
      <c r="AW110" s="182" t="e">
        <f t="shared" si="106"/>
        <v>#N/A</v>
      </c>
      <c r="AX110" s="455"/>
      <c r="AZ110" s="182" t="e">
        <f t="shared" si="107"/>
        <v>#N/A</v>
      </c>
      <c r="BA110" s="455"/>
    </row>
    <row r="111" spans="2:53">
      <c r="B111" s="454"/>
      <c r="C111" s="182">
        <v>5</v>
      </c>
      <c r="D111" s="203"/>
      <c r="E111" s="166"/>
      <c r="F111" s="182"/>
      <c r="G111" s="180"/>
      <c r="H111" s="464"/>
      <c r="I111" s="166" t="str">
        <f t="shared" si="97"/>
        <v>-</v>
      </c>
      <c r="J111" s="166" t="str">
        <f t="shared" si="98"/>
        <v>-</v>
      </c>
      <c r="K111" s="180" t="str">
        <f t="shared" si="99"/>
        <v>-</v>
      </c>
      <c r="L111" s="464"/>
      <c r="M111" s="166" t="e">
        <f>RANK(K111, K$67:$K$81)</f>
        <v>#VALUE!</v>
      </c>
      <c r="N111" s="461"/>
      <c r="O111" s="461"/>
      <c r="P111" s="182"/>
      <c r="Q111" s="166"/>
      <c r="R111" s="166"/>
      <c r="S111" s="182" t="e">
        <f t="shared" si="100"/>
        <v>#N/A</v>
      </c>
      <c r="T111" s="455"/>
      <c r="U111" s="182"/>
      <c r="V111" s="166"/>
      <c r="W111" s="166"/>
      <c r="X111" s="182" t="e">
        <f t="shared" si="101"/>
        <v>#N/A</v>
      </c>
      <c r="Y111" s="455"/>
      <c r="Z111" s="182"/>
      <c r="AA111" s="166"/>
      <c r="AB111" s="166"/>
      <c r="AC111" s="182" t="e">
        <f t="shared" si="102"/>
        <v>#N/A</v>
      </c>
      <c r="AD111" s="455"/>
      <c r="AE111" s="182"/>
      <c r="AF111" s="166"/>
      <c r="AG111" s="166"/>
      <c r="AH111" s="182" t="e">
        <f t="shared" si="103"/>
        <v>#N/A</v>
      </c>
      <c r="AI111" s="455"/>
      <c r="AJ111" s="182"/>
      <c r="AK111" s="166"/>
      <c r="AL111" s="166"/>
      <c r="AM111" s="182" t="e">
        <f t="shared" si="104"/>
        <v>#N/A</v>
      </c>
      <c r="AN111" s="455"/>
      <c r="AO111" s="182"/>
      <c r="AP111" s="166"/>
      <c r="AQ111" s="166"/>
      <c r="AR111" s="182" t="e">
        <f t="shared" si="105"/>
        <v>#N/A</v>
      </c>
      <c r="AS111" s="455"/>
      <c r="AT111" s="182"/>
      <c r="AU111" s="166"/>
      <c r="AV111" s="180"/>
      <c r="AW111" s="182" t="e">
        <f t="shared" si="106"/>
        <v>#N/A</v>
      </c>
      <c r="AX111" s="455"/>
      <c r="AZ111" s="182" t="e">
        <f t="shared" si="107"/>
        <v>#N/A</v>
      </c>
      <c r="BA111" s="455"/>
    </row>
    <row r="112" spans="2:53">
      <c r="B112" s="454"/>
      <c r="C112" s="182">
        <v>6</v>
      </c>
      <c r="D112" s="203"/>
      <c r="E112" s="166"/>
      <c r="F112" s="182"/>
      <c r="G112" s="180"/>
      <c r="H112" s="464"/>
      <c r="I112" s="166" t="str">
        <f t="shared" si="97"/>
        <v>-</v>
      </c>
      <c r="J112" s="166" t="str">
        <f t="shared" si="98"/>
        <v>-</v>
      </c>
      <c r="K112" s="180" t="str">
        <f t="shared" si="99"/>
        <v>-</v>
      </c>
      <c r="L112" s="464"/>
      <c r="M112" s="166" t="e">
        <f>RANK(K112, K$67:$K$81)</f>
        <v>#VALUE!</v>
      </c>
      <c r="N112" s="461"/>
      <c r="O112" s="461"/>
      <c r="P112" s="182"/>
      <c r="Q112" s="166"/>
      <c r="R112" s="166"/>
      <c r="S112" s="182" t="e">
        <f t="shared" si="100"/>
        <v>#N/A</v>
      </c>
      <c r="T112" s="455"/>
      <c r="U112" s="182"/>
      <c r="V112" s="166"/>
      <c r="W112" s="166"/>
      <c r="X112" s="182" t="e">
        <f t="shared" si="101"/>
        <v>#N/A</v>
      </c>
      <c r="Y112" s="455"/>
      <c r="Z112" s="182"/>
      <c r="AA112" s="166"/>
      <c r="AB112" s="166"/>
      <c r="AC112" s="182" t="e">
        <f t="shared" si="102"/>
        <v>#N/A</v>
      </c>
      <c r="AD112" s="455"/>
      <c r="AE112" s="182"/>
      <c r="AF112" s="166"/>
      <c r="AG112" s="166"/>
      <c r="AH112" s="182" t="e">
        <f t="shared" si="103"/>
        <v>#N/A</v>
      </c>
      <c r="AI112" s="455"/>
      <c r="AJ112" s="182"/>
      <c r="AK112" s="166"/>
      <c r="AL112" s="166"/>
      <c r="AM112" s="182" t="e">
        <f t="shared" si="104"/>
        <v>#N/A</v>
      </c>
      <c r="AN112" s="455"/>
      <c r="AO112" s="182"/>
      <c r="AP112" s="166"/>
      <c r="AQ112" s="166"/>
      <c r="AR112" s="182" t="e">
        <f t="shared" si="105"/>
        <v>#N/A</v>
      </c>
      <c r="AS112" s="455"/>
      <c r="AT112" s="182"/>
      <c r="AU112" s="166"/>
      <c r="AV112" s="180"/>
      <c r="AW112" s="182" t="e">
        <f t="shared" si="106"/>
        <v>#N/A</v>
      </c>
      <c r="AX112" s="455"/>
      <c r="AZ112" s="182" t="e">
        <f t="shared" si="107"/>
        <v>#N/A</v>
      </c>
      <c r="BA112" s="455"/>
    </row>
    <row r="113" spans="2:53">
      <c r="B113" s="454"/>
      <c r="C113" s="182">
        <v>7</v>
      </c>
      <c r="D113" s="203"/>
      <c r="E113" s="166"/>
      <c r="F113" s="182"/>
      <c r="G113" s="180"/>
      <c r="H113" s="464"/>
      <c r="I113" s="166" t="str">
        <f t="shared" si="97"/>
        <v>-</v>
      </c>
      <c r="J113" s="166" t="str">
        <f t="shared" si="98"/>
        <v>-</v>
      </c>
      <c r="K113" s="180" t="str">
        <f t="shared" si="99"/>
        <v>-</v>
      </c>
      <c r="L113" s="464"/>
      <c r="M113" s="166" t="e">
        <f>RANK(K113, K$67:$K$81)</f>
        <v>#VALUE!</v>
      </c>
      <c r="N113" s="461"/>
      <c r="O113" s="461"/>
      <c r="P113" s="182"/>
      <c r="Q113" s="166"/>
      <c r="R113" s="166"/>
      <c r="S113" s="182" t="e">
        <f t="shared" si="100"/>
        <v>#N/A</v>
      </c>
      <c r="T113" s="455"/>
      <c r="U113" s="182"/>
      <c r="V113" s="166"/>
      <c r="W113" s="166"/>
      <c r="X113" s="182" t="e">
        <f t="shared" si="101"/>
        <v>#N/A</v>
      </c>
      <c r="Y113" s="455"/>
      <c r="Z113" s="182"/>
      <c r="AA113" s="166"/>
      <c r="AB113" s="166"/>
      <c r="AC113" s="182" t="e">
        <f t="shared" si="102"/>
        <v>#N/A</v>
      </c>
      <c r="AD113" s="455"/>
      <c r="AE113" s="182"/>
      <c r="AF113" s="166"/>
      <c r="AG113" s="166"/>
      <c r="AH113" s="182" t="e">
        <f t="shared" si="103"/>
        <v>#N/A</v>
      </c>
      <c r="AI113" s="455"/>
      <c r="AJ113" s="182"/>
      <c r="AK113" s="166"/>
      <c r="AL113" s="166"/>
      <c r="AM113" s="182" t="e">
        <f t="shared" si="104"/>
        <v>#N/A</v>
      </c>
      <c r="AN113" s="455"/>
      <c r="AO113" s="182"/>
      <c r="AP113" s="166"/>
      <c r="AQ113" s="166"/>
      <c r="AR113" s="182" t="e">
        <f t="shared" si="105"/>
        <v>#N/A</v>
      </c>
      <c r="AS113" s="455"/>
      <c r="AT113" s="182"/>
      <c r="AU113" s="166"/>
      <c r="AV113" s="180"/>
      <c r="AW113" s="182" t="e">
        <f t="shared" si="106"/>
        <v>#N/A</v>
      </c>
      <c r="AX113" s="455"/>
      <c r="AZ113" s="182" t="e">
        <f t="shared" si="107"/>
        <v>#N/A</v>
      </c>
      <c r="BA113" s="455"/>
    </row>
    <row r="114" spans="2:53">
      <c r="B114" s="454"/>
      <c r="C114" s="182">
        <v>8</v>
      </c>
      <c r="D114" s="203"/>
      <c r="E114" s="166"/>
      <c r="F114" s="182"/>
      <c r="G114" s="180"/>
      <c r="H114" s="464"/>
      <c r="I114" s="166" t="str">
        <f t="shared" si="97"/>
        <v>-</v>
      </c>
      <c r="J114" s="166" t="str">
        <f t="shared" si="98"/>
        <v>-</v>
      </c>
      <c r="K114" s="180" t="str">
        <f t="shared" si="99"/>
        <v>-</v>
      </c>
      <c r="L114" s="464"/>
      <c r="M114" s="166" t="e">
        <f>RANK(K114, K$67:$K$81)</f>
        <v>#VALUE!</v>
      </c>
      <c r="N114" s="461"/>
      <c r="O114" s="461"/>
      <c r="P114" s="182"/>
      <c r="Q114" s="166"/>
      <c r="R114" s="166"/>
      <c r="S114" s="182" t="e">
        <f t="shared" si="100"/>
        <v>#N/A</v>
      </c>
      <c r="T114" s="455"/>
      <c r="U114" s="182"/>
      <c r="V114" s="166"/>
      <c r="W114" s="166"/>
      <c r="X114" s="182" t="e">
        <f t="shared" si="101"/>
        <v>#N/A</v>
      </c>
      <c r="Y114" s="455"/>
      <c r="Z114" s="182"/>
      <c r="AA114" s="166"/>
      <c r="AB114" s="166"/>
      <c r="AC114" s="182" t="e">
        <f t="shared" si="102"/>
        <v>#N/A</v>
      </c>
      <c r="AD114" s="455"/>
      <c r="AE114" s="182"/>
      <c r="AF114" s="166"/>
      <c r="AG114" s="166"/>
      <c r="AH114" s="182" t="e">
        <f t="shared" si="103"/>
        <v>#N/A</v>
      </c>
      <c r="AI114" s="455"/>
      <c r="AJ114" s="182"/>
      <c r="AK114" s="166"/>
      <c r="AL114" s="166"/>
      <c r="AM114" s="182" t="e">
        <f t="shared" si="104"/>
        <v>#N/A</v>
      </c>
      <c r="AN114" s="455"/>
      <c r="AO114" s="182"/>
      <c r="AP114" s="166"/>
      <c r="AQ114" s="166"/>
      <c r="AR114" s="182" t="e">
        <f t="shared" si="105"/>
        <v>#N/A</v>
      </c>
      <c r="AS114" s="455"/>
      <c r="AT114" s="182"/>
      <c r="AU114" s="166"/>
      <c r="AV114" s="180"/>
      <c r="AW114" s="182" t="e">
        <f t="shared" si="106"/>
        <v>#N/A</v>
      </c>
      <c r="AX114" s="455"/>
      <c r="AZ114" s="182" t="e">
        <f t="shared" si="107"/>
        <v>#N/A</v>
      </c>
      <c r="BA114" s="455"/>
    </row>
    <row r="115" spans="2:53">
      <c r="B115" s="454"/>
      <c r="C115" s="182">
        <v>9</v>
      </c>
      <c r="D115" s="203"/>
      <c r="E115" s="166"/>
      <c r="F115" s="182"/>
      <c r="G115" s="180"/>
      <c r="H115" s="464"/>
      <c r="I115" s="166" t="str">
        <f t="shared" si="97"/>
        <v>-</v>
      </c>
      <c r="J115" s="166" t="str">
        <f t="shared" si="98"/>
        <v>-</v>
      </c>
      <c r="K115" s="180" t="str">
        <f t="shared" si="99"/>
        <v>-</v>
      </c>
      <c r="L115" s="464"/>
      <c r="M115" s="166" t="e">
        <f>RANK(K115, K$67:$K$81)</f>
        <v>#VALUE!</v>
      </c>
      <c r="N115" s="461"/>
      <c r="O115" s="461"/>
      <c r="P115" s="182"/>
      <c r="Q115" s="166"/>
      <c r="R115" s="166"/>
      <c r="S115" s="182" t="e">
        <f t="shared" si="100"/>
        <v>#N/A</v>
      </c>
      <c r="T115" s="455"/>
      <c r="U115" s="182"/>
      <c r="V115" s="166"/>
      <c r="W115" s="166"/>
      <c r="X115" s="182" t="e">
        <f t="shared" si="101"/>
        <v>#N/A</v>
      </c>
      <c r="Y115" s="455"/>
      <c r="Z115" s="182"/>
      <c r="AA115" s="166"/>
      <c r="AB115" s="166"/>
      <c r="AC115" s="182" t="e">
        <f t="shared" si="102"/>
        <v>#N/A</v>
      </c>
      <c r="AD115" s="455"/>
      <c r="AE115" s="182"/>
      <c r="AF115" s="166"/>
      <c r="AG115" s="166"/>
      <c r="AH115" s="182" t="e">
        <f t="shared" si="103"/>
        <v>#N/A</v>
      </c>
      <c r="AI115" s="455"/>
      <c r="AJ115" s="182"/>
      <c r="AK115" s="166"/>
      <c r="AL115" s="166"/>
      <c r="AM115" s="182" t="e">
        <f t="shared" si="104"/>
        <v>#N/A</v>
      </c>
      <c r="AN115" s="455"/>
      <c r="AO115" s="182"/>
      <c r="AP115" s="166"/>
      <c r="AQ115" s="166"/>
      <c r="AR115" s="182" t="e">
        <f t="shared" si="105"/>
        <v>#N/A</v>
      </c>
      <c r="AS115" s="455"/>
      <c r="AT115" s="182"/>
      <c r="AU115" s="166"/>
      <c r="AV115" s="180"/>
      <c r="AW115" s="182" t="e">
        <f t="shared" si="106"/>
        <v>#N/A</v>
      </c>
      <c r="AX115" s="455"/>
      <c r="AZ115" s="182" t="e">
        <f t="shared" si="107"/>
        <v>#N/A</v>
      </c>
      <c r="BA115" s="455"/>
    </row>
    <row r="116" spans="2:53">
      <c r="B116" s="454"/>
      <c r="C116" s="182">
        <v>10</v>
      </c>
      <c r="D116" s="203"/>
      <c r="E116" s="166"/>
      <c r="F116" s="182"/>
      <c r="G116" s="180"/>
      <c r="H116" s="464"/>
      <c r="I116" s="166" t="str">
        <f t="shared" si="97"/>
        <v>-</v>
      </c>
      <c r="J116" s="166" t="str">
        <f t="shared" si="98"/>
        <v>-</v>
      </c>
      <c r="K116" s="180" t="str">
        <f t="shared" si="99"/>
        <v>-</v>
      </c>
      <c r="L116" s="464"/>
      <c r="M116" s="166" t="e">
        <f>RANK(K116, K$67:$K$81)</f>
        <v>#VALUE!</v>
      </c>
      <c r="N116" s="461"/>
      <c r="O116" s="461"/>
      <c r="P116" s="182"/>
      <c r="Q116" s="166"/>
      <c r="R116" s="166"/>
      <c r="S116" s="182" t="e">
        <f t="shared" si="100"/>
        <v>#N/A</v>
      </c>
      <c r="T116" s="455"/>
      <c r="U116" s="182"/>
      <c r="V116" s="166"/>
      <c r="W116" s="166"/>
      <c r="X116" s="182" t="e">
        <f t="shared" si="101"/>
        <v>#N/A</v>
      </c>
      <c r="Y116" s="455"/>
      <c r="Z116" s="182"/>
      <c r="AA116" s="166"/>
      <c r="AB116" s="166"/>
      <c r="AC116" s="182" t="e">
        <f t="shared" si="102"/>
        <v>#N/A</v>
      </c>
      <c r="AD116" s="455"/>
      <c r="AE116" s="182"/>
      <c r="AF116" s="166"/>
      <c r="AG116" s="166"/>
      <c r="AH116" s="182" t="e">
        <f t="shared" si="103"/>
        <v>#N/A</v>
      </c>
      <c r="AI116" s="455"/>
      <c r="AJ116" s="182"/>
      <c r="AK116" s="166"/>
      <c r="AL116" s="166"/>
      <c r="AM116" s="182" t="e">
        <f t="shared" si="104"/>
        <v>#N/A</v>
      </c>
      <c r="AN116" s="455"/>
      <c r="AO116" s="182"/>
      <c r="AP116" s="166"/>
      <c r="AQ116" s="166"/>
      <c r="AR116" s="182" t="e">
        <f t="shared" si="105"/>
        <v>#N/A</v>
      </c>
      <c r="AS116" s="455"/>
      <c r="AT116" s="182"/>
      <c r="AU116" s="166"/>
      <c r="AV116" s="180"/>
      <c r="AW116" s="182" t="e">
        <f t="shared" si="106"/>
        <v>#N/A</v>
      </c>
      <c r="AX116" s="455"/>
      <c r="AZ116" s="182" t="e">
        <f t="shared" si="107"/>
        <v>#N/A</v>
      </c>
      <c r="BA116" s="455"/>
    </row>
    <row r="117" spans="2:53">
      <c r="B117" s="454"/>
      <c r="C117" s="182">
        <v>11</v>
      </c>
      <c r="D117" s="203"/>
      <c r="E117" s="166"/>
      <c r="F117" s="182"/>
      <c r="G117" s="180"/>
      <c r="H117" s="464"/>
      <c r="I117" s="166" t="str">
        <f t="shared" si="97"/>
        <v>-</v>
      </c>
      <c r="J117" s="166" t="str">
        <f t="shared" si="98"/>
        <v>-</v>
      </c>
      <c r="K117" s="180" t="str">
        <f t="shared" si="99"/>
        <v>-</v>
      </c>
      <c r="L117" s="464"/>
      <c r="M117" s="166" t="e">
        <f>RANK(K117, K$67:$K$81)</f>
        <v>#VALUE!</v>
      </c>
      <c r="N117" s="461"/>
      <c r="O117" s="461"/>
      <c r="P117" s="182"/>
      <c r="Q117" s="166"/>
      <c r="R117" s="166"/>
      <c r="S117" s="182" t="e">
        <f t="shared" si="100"/>
        <v>#N/A</v>
      </c>
      <c r="T117" s="455"/>
      <c r="U117" s="182"/>
      <c r="V117" s="166"/>
      <c r="W117" s="166"/>
      <c r="X117" s="182" t="e">
        <f t="shared" si="101"/>
        <v>#N/A</v>
      </c>
      <c r="Y117" s="455"/>
      <c r="Z117" s="182"/>
      <c r="AA117" s="166"/>
      <c r="AB117" s="166"/>
      <c r="AC117" s="182" t="e">
        <f t="shared" si="102"/>
        <v>#N/A</v>
      </c>
      <c r="AD117" s="455"/>
      <c r="AE117" s="182"/>
      <c r="AF117" s="166"/>
      <c r="AG117" s="166"/>
      <c r="AH117" s="182" t="e">
        <f t="shared" si="103"/>
        <v>#N/A</v>
      </c>
      <c r="AI117" s="455"/>
      <c r="AJ117" s="182"/>
      <c r="AK117" s="166"/>
      <c r="AL117" s="166"/>
      <c r="AM117" s="182" t="e">
        <f t="shared" si="104"/>
        <v>#N/A</v>
      </c>
      <c r="AN117" s="455"/>
      <c r="AO117" s="182"/>
      <c r="AP117" s="166"/>
      <c r="AQ117" s="166"/>
      <c r="AR117" s="182" t="e">
        <f t="shared" si="105"/>
        <v>#N/A</v>
      </c>
      <c r="AS117" s="455"/>
      <c r="AT117" s="182"/>
      <c r="AU117" s="166"/>
      <c r="AV117" s="180"/>
      <c r="AW117" s="182" t="e">
        <f t="shared" si="106"/>
        <v>#N/A</v>
      </c>
      <c r="AX117" s="455"/>
      <c r="AZ117" s="182" t="e">
        <f t="shared" si="107"/>
        <v>#N/A</v>
      </c>
      <c r="BA117" s="455"/>
    </row>
    <row r="118" spans="2:53">
      <c r="B118" s="454"/>
      <c r="C118" s="182">
        <v>12</v>
      </c>
      <c r="D118" s="203"/>
      <c r="E118" s="166"/>
      <c r="F118" s="182"/>
      <c r="G118" s="180"/>
      <c r="H118" s="464"/>
      <c r="I118" s="166" t="str">
        <f t="shared" si="97"/>
        <v>-</v>
      </c>
      <c r="J118" s="166" t="str">
        <f t="shared" si="98"/>
        <v>-</v>
      </c>
      <c r="K118" s="180" t="str">
        <f t="shared" si="99"/>
        <v>-</v>
      </c>
      <c r="L118" s="464"/>
      <c r="M118" s="166" t="e">
        <f>RANK(K118, K$67:$K$81)</f>
        <v>#VALUE!</v>
      </c>
      <c r="N118" s="461"/>
      <c r="O118" s="461"/>
      <c r="P118" s="182"/>
      <c r="Q118" s="166"/>
      <c r="R118" s="166"/>
      <c r="S118" s="182" t="e">
        <f t="shared" si="100"/>
        <v>#N/A</v>
      </c>
      <c r="T118" s="455"/>
      <c r="U118" s="182"/>
      <c r="V118" s="166"/>
      <c r="W118" s="166"/>
      <c r="X118" s="182" t="e">
        <f t="shared" si="101"/>
        <v>#N/A</v>
      </c>
      <c r="Y118" s="455"/>
      <c r="Z118" s="182"/>
      <c r="AA118" s="166"/>
      <c r="AB118" s="166"/>
      <c r="AC118" s="182" t="e">
        <f t="shared" si="102"/>
        <v>#N/A</v>
      </c>
      <c r="AD118" s="455"/>
      <c r="AE118" s="182"/>
      <c r="AF118" s="166"/>
      <c r="AG118" s="166"/>
      <c r="AH118" s="182" t="e">
        <f t="shared" si="103"/>
        <v>#N/A</v>
      </c>
      <c r="AI118" s="455"/>
      <c r="AJ118" s="182"/>
      <c r="AK118" s="166"/>
      <c r="AL118" s="166"/>
      <c r="AM118" s="182" t="e">
        <f t="shared" si="104"/>
        <v>#N/A</v>
      </c>
      <c r="AN118" s="455"/>
      <c r="AO118" s="182"/>
      <c r="AP118" s="166"/>
      <c r="AQ118" s="166"/>
      <c r="AR118" s="182" t="e">
        <f t="shared" si="105"/>
        <v>#N/A</v>
      </c>
      <c r="AS118" s="455"/>
      <c r="AT118" s="182"/>
      <c r="AU118" s="166"/>
      <c r="AV118" s="180"/>
      <c r="AW118" s="182" t="e">
        <f t="shared" si="106"/>
        <v>#N/A</v>
      </c>
      <c r="AX118" s="455"/>
      <c r="AZ118" s="182" t="e">
        <f t="shared" si="107"/>
        <v>#N/A</v>
      </c>
      <c r="BA118" s="455"/>
    </row>
    <row r="119" spans="2:53">
      <c r="B119" s="454"/>
      <c r="C119" s="182">
        <v>13</v>
      </c>
      <c r="D119" s="203"/>
      <c r="E119" s="166"/>
      <c r="F119" s="182"/>
      <c r="G119" s="180"/>
      <c r="H119" s="464"/>
      <c r="I119" s="166" t="str">
        <f t="shared" si="97"/>
        <v>-</v>
      </c>
      <c r="J119" s="166" t="str">
        <f t="shared" si="98"/>
        <v>-</v>
      </c>
      <c r="K119" s="180" t="str">
        <f t="shared" si="99"/>
        <v>-</v>
      </c>
      <c r="L119" s="464"/>
      <c r="M119" s="166" t="e">
        <f>RANK(K119, K$67:$K$81)</f>
        <v>#VALUE!</v>
      </c>
      <c r="N119" s="461"/>
      <c r="O119" s="461"/>
      <c r="P119" s="182"/>
      <c r="Q119" s="166"/>
      <c r="R119" s="166"/>
      <c r="S119" s="182" t="e">
        <f t="shared" si="100"/>
        <v>#N/A</v>
      </c>
      <c r="T119" s="455"/>
      <c r="U119" s="182"/>
      <c r="V119" s="166"/>
      <c r="W119" s="166"/>
      <c r="X119" s="182" t="e">
        <f t="shared" si="101"/>
        <v>#N/A</v>
      </c>
      <c r="Y119" s="455"/>
      <c r="Z119" s="182"/>
      <c r="AA119" s="166"/>
      <c r="AB119" s="166"/>
      <c r="AC119" s="182" t="e">
        <f t="shared" si="102"/>
        <v>#N/A</v>
      </c>
      <c r="AD119" s="455"/>
      <c r="AE119" s="182"/>
      <c r="AF119" s="166"/>
      <c r="AG119" s="166"/>
      <c r="AH119" s="182" t="e">
        <f t="shared" si="103"/>
        <v>#N/A</v>
      </c>
      <c r="AI119" s="455"/>
      <c r="AJ119" s="182"/>
      <c r="AK119" s="166"/>
      <c r="AL119" s="166"/>
      <c r="AM119" s="182" t="e">
        <f t="shared" si="104"/>
        <v>#N/A</v>
      </c>
      <c r="AN119" s="455"/>
      <c r="AO119" s="182"/>
      <c r="AP119" s="166"/>
      <c r="AQ119" s="166"/>
      <c r="AR119" s="182" t="e">
        <f t="shared" si="105"/>
        <v>#N/A</v>
      </c>
      <c r="AS119" s="455"/>
      <c r="AT119" s="182"/>
      <c r="AU119" s="166"/>
      <c r="AV119" s="180"/>
      <c r="AW119" s="182" t="e">
        <f t="shared" si="106"/>
        <v>#N/A</v>
      </c>
      <c r="AX119" s="455"/>
      <c r="AZ119" s="182" t="e">
        <f t="shared" si="107"/>
        <v>#N/A</v>
      </c>
      <c r="BA119" s="455"/>
    </row>
    <row r="120" spans="2:53">
      <c r="B120" s="454"/>
      <c r="C120" s="182">
        <v>14</v>
      </c>
      <c r="D120" s="203"/>
      <c r="E120" s="166"/>
      <c r="F120" s="182"/>
      <c r="G120" s="180"/>
      <c r="H120" s="464"/>
      <c r="I120" s="166" t="str">
        <f t="shared" si="97"/>
        <v>-</v>
      </c>
      <c r="J120" s="166" t="str">
        <f t="shared" si="98"/>
        <v>-</v>
      </c>
      <c r="K120" s="180" t="str">
        <f t="shared" si="99"/>
        <v>-</v>
      </c>
      <c r="L120" s="464"/>
      <c r="M120" s="166" t="e">
        <f>RANK(K120, K$67:$K$81)</f>
        <v>#VALUE!</v>
      </c>
      <c r="N120" s="461"/>
      <c r="O120" s="461"/>
      <c r="P120" s="182"/>
      <c r="Q120" s="166"/>
      <c r="R120" s="166"/>
      <c r="S120" s="182" t="e">
        <f t="shared" si="100"/>
        <v>#N/A</v>
      </c>
      <c r="T120" s="455"/>
      <c r="U120" s="182"/>
      <c r="V120" s="166"/>
      <c r="W120" s="166"/>
      <c r="X120" s="182" t="e">
        <f t="shared" si="101"/>
        <v>#N/A</v>
      </c>
      <c r="Y120" s="455"/>
      <c r="Z120" s="182"/>
      <c r="AA120" s="166"/>
      <c r="AB120" s="166"/>
      <c r="AC120" s="182" t="e">
        <f t="shared" si="102"/>
        <v>#N/A</v>
      </c>
      <c r="AD120" s="455"/>
      <c r="AE120" s="182"/>
      <c r="AF120" s="166"/>
      <c r="AG120" s="166"/>
      <c r="AH120" s="182" t="e">
        <f t="shared" si="103"/>
        <v>#N/A</v>
      </c>
      <c r="AI120" s="455"/>
      <c r="AJ120" s="182"/>
      <c r="AK120" s="166"/>
      <c r="AL120" s="166"/>
      <c r="AM120" s="182" t="e">
        <f t="shared" si="104"/>
        <v>#N/A</v>
      </c>
      <c r="AN120" s="455"/>
      <c r="AO120" s="182"/>
      <c r="AP120" s="166"/>
      <c r="AQ120" s="166"/>
      <c r="AR120" s="182" t="e">
        <f t="shared" si="105"/>
        <v>#N/A</v>
      </c>
      <c r="AS120" s="455"/>
      <c r="AT120" s="182"/>
      <c r="AU120" s="166"/>
      <c r="AV120" s="180"/>
      <c r="AW120" s="182" t="e">
        <f t="shared" si="106"/>
        <v>#N/A</v>
      </c>
      <c r="AX120" s="455"/>
      <c r="AZ120" s="182" t="e">
        <f t="shared" si="107"/>
        <v>#N/A</v>
      </c>
      <c r="BA120" s="455"/>
    </row>
    <row r="121" spans="2:53">
      <c r="B121" s="454"/>
      <c r="C121" s="182">
        <v>15</v>
      </c>
      <c r="D121" s="203"/>
      <c r="E121" s="166"/>
      <c r="F121" s="182"/>
      <c r="G121" s="180"/>
      <c r="H121" s="465"/>
      <c r="I121" s="182"/>
      <c r="J121" s="182"/>
      <c r="K121" s="182"/>
      <c r="L121" s="465"/>
      <c r="M121" s="166" t="e">
        <f>RANK(K121, K$47:$K$61)</f>
        <v>#N/A</v>
      </c>
      <c r="N121" s="461"/>
      <c r="O121" s="461"/>
      <c r="P121" s="182"/>
      <c r="Q121" s="166"/>
      <c r="R121" s="166"/>
      <c r="S121" s="182" t="e">
        <f t="shared" si="100"/>
        <v>#N/A</v>
      </c>
      <c r="T121" s="455"/>
      <c r="U121" s="182"/>
      <c r="V121" s="166"/>
      <c r="W121" s="166"/>
      <c r="X121" s="182" t="e">
        <f t="shared" si="101"/>
        <v>#N/A</v>
      </c>
      <c r="Y121" s="455"/>
      <c r="Z121" s="182"/>
      <c r="AA121" s="166"/>
      <c r="AB121" s="166"/>
      <c r="AC121" s="182" t="e">
        <f t="shared" si="102"/>
        <v>#N/A</v>
      </c>
      <c r="AD121" s="455"/>
      <c r="AE121" s="182"/>
      <c r="AF121" s="166"/>
      <c r="AG121" s="166"/>
      <c r="AH121" s="182" t="e">
        <f t="shared" si="103"/>
        <v>#N/A</v>
      </c>
      <c r="AI121" s="455"/>
      <c r="AJ121" s="182"/>
      <c r="AK121" s="166"/>
      <c r="AL121" s="166"/>
      <c r="AM121" s="182" t="e">
        <f t="shared" si="104"/>
        <v>#N/A</v>
      </c>
      <c r="AN121" s="455"/>
      <c r="AO121" s="182"/>
      <c r="AP121" s="166"/>
      <c r="AQ121" s="166"/>
      <c r="AR121" s="182" t="e">
        <f t="shared" si="105"/>
        <v>#N/A</v>
      </c>
      <c r="AS121" s="455"/>
      <c r="AT121" s="182"/>
      <c r="AU121" s="166"/>
      <c r="AV121" s="180"/>
      <c r="AW121" s="182" t="e">
        <f t="shared" si="106"/>
        <v>#N/A</v>
      </c>
      <c r="AX121" s="455"/>
      <c r="AZ121" s="182" t="e">
        <f t="shared" si="107"/>
        <v>#N/A</v>
      </c>
      <c r="BA121" s="455"/>
    </row>
    <row r="123" spans="2:53" ht="15.5">
      <c r="B123" s="458" t="s">
        <v>561</v>
      </c>
      <c r="C123" s="459"/>
      <c r="D123" s="459"/>
      <c r="E123" s="459"/>
      <c r="F123" s="459"/>
      <c r="G123" s="459"/>
      <c r="H123" s="459"/>
      <c r="I123" s="285"/>
      <c r="J123" s="285"/>
      <c r="K123" s="285"/>
      <c r="L123" s="285"/>
      <c r="M123" s="286"/>
    </row>
    <row r="124" spans="2:53" ht="15.5">
      <c r="B124" s="460"/>
      <c r="C124" s="460"/>
      <c r="D124" s="460"/>
      <c r="E124" s="460"/>
      <c r="F124" s="460"/>
      <c r="G124" s="460"/>
      <c r="H124" s="460"/>
      <c r="I124" s="287"/>
      <c r="J124" s="287"/>
      <c r="K124" s="287"/>
      <c r="L124" s="287"/>
      <c r="M124" s="288"/>
    </row>
    <row r="125" spans="2:53">
      <c r="B125" s="461" t="s">
        <v>562</v>
      </c>
      <c r="C125" s="461" t="s">
        <v>563</v>
      </c>
      <c r="D125" s="461"/>
      <c r="E125" s="461" t="s">
        <v>564</v>
      </c>
      <c r="F125" s="461"/>
      <c r="G125" s="461"/>
      <c r="H125" s="482" t="s">
        <v>565</v>
      </c>
      <c r="I125" s="462" t="s">
        <v>566</v>
      </c>
      <c r="J125" s="462"/>
      <c r="K125" s="462"/>
      <c r="L125" s="505" t="s">
        <v>565</v>
      </c>
      <c r="M125" s="508" t="s">
        <v>567</v>
      </c>
    </row>
    <row r="126" spans="2:53">
      <c r="B126" s="461"/>
      <c r="C126" s="461"/>
      <c r="D126" s="461"/>
      <c r="E126" s="461" t="s">
        <v>568</v>
      </c>
      <c r="F126" s="461"/>
      <c r="G126" s="461"/>
      <c r="H126" s="483"/>
      <c r="I126" s="462" t="s">
        <v>568</v>
      </c>
      <c r="J126" s="462"/>
      <c r="K126" s="462"/>
      <c r="L126" s="506"/>
      <c r="M126" s="509"/>
    </row>
    <row r="127" spans="2:53">
      <c r="B127" s="461"/>
      <c r="C127" s="461"/>
      <c r="D127" s="461"/>
      <c r="E127" s="269" t="s">
        <v>569</v>
      </c>
      <c r="F127" s="269" t="s">
        <v>570</v>
      </c>
      <c r="G127" s="269" t="s">
        <v>571</v>
      </c>
      <c r="H127" s="484"/>
      <c r="I127" s="289" t="s">
        <v>569</v>
      </c>
      <c r="J127" s="289" t="s">
        <v>570</v>
      </c>
      <c r="K127" s="289" t="s">
        <v>571</v>
      </c>
      <c r="L127" s="507"/>
      <c r="M127" s="510"/>
    </row>
    <row r="128" spans="2:53">
      <c r="B128" s="461" t="s">
        <v>579</v>
      </c>
      <c r="C128" s="182">
        <v>1</v>
      </c>
      <c r="D128" s="203"/>
      <c r="E128" s="166"/>
      <c r="F128" s="182"/>
      <c r="G128" s="180"/>
      <c r="H128" s="463" t="e">
        <f>AVERAGE(G128:G142)</f>
        <v>#DIV/0!</v>
      </c>
      <c r="I128" s="166" t="e">
        <f t="shared" ref="I128:J133" si="108">AVERAGEIF($D$7:$D$121,$D128,I$7:I$121)</f>
        <v>#DIV/0!</v>
      </c>
      <c r="J128" s="166" t="e">
        <f t="shared" si="108"/>
        <v>#DIV/0!</v>
      </c>
      <c r="K128" s="166" t="e">
        <f t="shared" ref="K128:K133" si="109">AVERAGEIF($D$7:$D$121,$D128,K$7:K$121)</f>
        <v>#DIV/0!</v>
      </c>
      <c r="L128" s="502" t="e">
        <f>AVERAGE(K128:K142)</f>
        <v>#DIV/0!</v>
      </c>
      <c r="M128" s="166" t="e">
        <f>RANK(K128, K$128:$K$142)</f>
        <v>#DIV/0!</v>
      </c>
    </row>
    <row r="129" spans="2:13">
      <c r="B129" s="454"/>
      <c r="C129" s="182">
        <v>2</v>
      </c>
      <c r="D129" s="203"/>
      <c r="E129" s="166"/>
      <c r="F129" s="182"/>
      <c r="G129" s="180"/>
      <c r="H129" s="464"/>
      <c r="I129" s="166" t="e">
        <f t="shared" si="108"/>
        <v>#DIV/0!</v>
      </c>
      <c r="J129" s="166" t="e">
        <f t="shared" si="108"/>
        <v>#DIV/0!</v>
      </c>
      <c r="K129" s="166" t="e">
        <f t="shared" si="109"/>
        <v>#DIV/0!</v>
      </c>
      <c r="L129" s="503"/>
      <c r="M129" s="166" t="e">
        <f>RANK(K129, K$128:$K$142)</f>
        <v>#DIV/0!</v>
      </c>
    </row>
    <row r="130" spans="2:13">
      <c r="B130" s="454"/>
      <c r="C130" s="182">
        <v>3</v>
      </c>
      <c r="D130" s="203"/>
      <c r="E130" s="166"/>
      <c r="F130" s="182"/>
      <c r="G130" s="180"/>
      <c r="H130" s="464"/>
      <c r="I130" s="166" t="e">
        <f t="shared" si="108"/>
        <v>#DIV/0!</v>
      </c>
      <c r="J130" s="166" t="e">
        <f t="shared" si="108"/>
        <v>#DIV/0!</v>
      </c>
      <c r="K130" s="166" t="e">
        <f t="shared" si="109"/>
        <v>#DIV/0!</v>
      </c>
      <c r="L130" s="503"/>
      <c r="M130" s="166" t="e">
        <f>RANK(K130, K$128:$K$142)</f>
        <v>#DIV/0!</v>
      </c>
    </row>
    <row r="131" spans="2:13">
      <c r="B131" s="454"/>
      <c r="C131" s="182">
        <v>4</v>
      </c>
      <c r="D131" s="203"/>
      <c r="E131" s="166"/>
      <c r="F131" s="182"/>
      <c r="G131" s="180"/>
      <c r="H131" s="464"/>
      <c r="I131" s="166" t="e">
        <f t="shared" si="108"/>
        <v>#DIV/0!</v>
      </c>
      <c r="J131" s="166" t="e">
        <f t="shared" si="108"/>
        <v>#DIV/0!</v>
      </c>
      <c r="K131" s="166" t="e">
        <f t="shared" si="109"/>
        <v>#DIV/0!</v>
      </c>
      <c r="L131" s="503"/>
      <c r="M131" s="166" t="e">
        <f>RANK(K131, K$128:$K$142)</f>
        <v>#DIV/0!</v>
      </c>
    </row>
    <row r="132" spans="2:13">
      <c r="B132" s="454"/>
      <c r="C132" s="182">
        <v>5</v>
      </c>
      <c r="D132" s="203"/>
      <c r="E132" s="166"/>
      <c r="F132" s="182"/>
      <c r="G132" s="180"/>
      <c r="H132" s="464"/>
      <c r="I132" s="166" t="e">
        <f t="shared" si="108"/>
        <v>#DIV/0!</v>
      </c>
      <c r="J132" s="166" t="e">
        <f t="shared" si="108"/>
        <v>#DIV/0!</v>
      </c>
      <c r="K132" s="166" t="e">
        <f t="shared" si="109"/>
        <v>#DIV/0!</v>
      </c>
      <c r="L132" s="503"/>
      <c r="M132" s="166" t="e">
        <f>RANK(K132, K$128:$K$142)</f>
        <v>#DIV/0!</v>
      </c>
    </row>
    <row r="133" spans="2:13">
      <c r="B133" s="454"/>
      <c r="C133" s="182">
        <v>6</v>
      </c>
      <c r="D133" s="290"/>
      <c r="E133" s="166"/>
      <c r="F133" s="182"/>
      <c r="G133" s="180"/>
      <c r="H133" s="464"/>
      <c r="I133" s="166" t="e">
        <f t="shared" si="108"/>
        <v>#DIV/0!</v>
      </c>
      <c r="J133" s="166" t="e">
        <f t="shared" si="108"/>
        <v>#DIV/0!</v>
      </c>
      <c r="K133" s="166" t="e">
        <f t="shared" si="109"/>
        <v>#DIV/0!</v>
      </c>
      <c r="L133" s="503"/>
      <c r="M133" s="166" t="e">
        <f>RANK(K133, K$128:$K$142)</f>
        <v>#DIV/0!</v>
      </c>
    </row>
    <row r="134" spans="2:13">
      <c r="B134" s="454"/>
      <c r="C134" s="182">
        <v>7</v>
      </c>
      <c r="D134" s="203"/>
      <c r="E134" s="166"/>
      <c r="F134" s="182"/>
      <c r="G134" s="180"/>
      <c r="H134" s="464"/>
      <c r="I134" s="166"/>
      <c r="J134" s="166"/>
      <c r="K134" s="166"/>
      <c r="L134" s="503"/>
      <c r="M134" s="166" t="e">
        <f>RANK(K134, K$128:$K$142)</f>
        <v>#DIV/0!</v>
      </c>
    </row>
    <row r="135" spans="2:13">
      <c r="B135" s="454"/>
      <c r="C135" s="182">
        <v>8</v>
      </c>
      <c r="D135" s="203"/>
      <c r="E135" s="166"/>
      <c r="F135" s="182"/>
      <c r="G135" s="180"/>
      <c r="H135" s="464"/>
      <c r="I135" s="166"/>
      <c r="J135" s="166"/>
      <c r="K135" s="166"/>
      <c r="L135" s="503"/>
      <c r="M135" s="166" t="e">
        <f>RANK(K135, K$128:$K$142)</f>
        <v>#DIV/0!</v>
      </c>
    </row>
    <row r="136" spans="2:13">
      <c r="B136" s="454"/>
      <c r="C136" s="182">
        <v>9</v>
      </c>
      <c r="D136" s="203"/>
      <c r="E136" s="182"/>
      <c r="F136" s="182"/>
      <c r="G136" s="182"/>
      <c r="H136" s="464"/>
      <c r="I136" s="166"/>
      <c r="J136" s="166"/>
      <c r="K136" s="166"/>
      <c r="L136" s="503"/>
      <c r="M136" s="166" t="e">
        <f>RANK(K136, K$128:$K$142)</f>
        <v>#DIV/0!</v>
      </c>
    </row>
    <row r="137" spans="2:13">
      <c r="B137" s="454"/>
      <c r="C137" s="182">
        <v>10</v>
      </c>
      <c r="D137" s="203"/>
      <c r="E137" s="182"/>
      <c r="F137" s="182"/>
      <c r="G137" s="182"/>
      <c r="H137" s="464"/>
      <c r="I137" s="166"/>
      <c r="J137" s="166"/>
      <c r="K137" s="166"/>
      <c r="L137" s="503"/>
      <c r="M137" s="166" t="e">
        <f>RANK(K137, K$128:$K$142)</f>
        <v>#DIV/0!</v>
      </c>
    </row>
    <row r="138" spans="2:13">
      <c r="B138" s="454"/>
      <c r="C138" s="182">
        <v>11</v>
      </c>
      <c r="D138" s="203"/>
      <c r="E138" s="182"/>
      <c r="F138" s="182"/>
      <c r="G138" s="182"/>
      <c r="H138" s="464"/>
      <c r="I138" s="166"/>
      <c r="J138" s="166"/>
      <c r="K138" s="166"/>
      <c r="L138" s="503"/>
      <c r="M138" s="166" t="e">
        <f>RANK(K138, K$128:$K$142)</f>
        <v>#DIV/0!</v>
      </c>
    </row>
    <row r="139" spans="2:13">
      <c r="B139" s="454"/>
      <c r="C139" s="182">
        <v>12</v>
      </c>
      <c r="D139" s="203"/>
      <c r="E139" s="182"/>
      <c r="F139" s="182"/>
      <c r="G139" s="182"/>
      <c r="H139" s="464"/>
      <c r="I139" s="166"/>
      <c r="J139" s="166"/>
      <c r="K139" s="166"/>
      <c r="L139" s="503"/>
      <c r="M139" s="166" t="e">
        <f>RANK(K139, K$128:$K$142)</f>
        <v>#DIV/0!</v>
      </c>
    </row>
    <row r="140" spans="2:13">
      <c r="B140" s="454"/>
      <c r="C140" s="182">
        <v>13</v>
      </c>
      <c r="D140" s="203"/>
      <c r="E140" s="182"/>
      <c r="F140" s="182"/>
      <c r="G140" s="182"/>
      <c r="H140" s="464"/>
      <c r="I140" s="166"/>
      <c r="J140" s="166"/>
      <c r="K140" s="166"/>
      <c r="L140" s="503"/>
      <c r="M140" s="166" t="e">
        <f>RANK(K140, K$128:$K$142)</f>
        <v>#DIV/0!</v>
      </c>
    </row>
    <row r="141" spans="2:13">
      <c r="B141" s="454"/>
      <c r="C141" s="182">
        <v>14</v>
      </c>
      <c r="D141" s="203"/>
      <c r="E141" s="182"/>
      <c r="F141" s="182"/>
      <c r="G141" s="182"/>
      <c r="H141" s="464"/>
      <c r="I141" s="166"/>
      <c r="J141" s="166"/>
      <c r="K141" s="166"/>
      <c r="L141" s="503"/>
      <c r="M141" s="166" t="e">
        <f>RANK(K141, K$128:$K$142)</f>
        <v>#DIV/0!</v>
      </c>
    </row>
    <row r="142" spans="2:13">
      <c r="B142" s="454"/>
      <c r="C142" s="182">
        <v>15</v>
      </c>
      <c r="D142" s="203"/>
      <c r="E142" s="182"/>
      <c r="F142" s="182"/>
      <c r="G142" s="182"/>
      <c r="H142" s="465"/>
      <c r="I142" s="166"/>
      <c r="J142" s="166"/>
      <c r="K142" s="166"/>
      <c r="L142" s="504"/>
      <c r="M142" s="166" t="e">
        <f>RANK(K142, K$128:$K$142)</f>
        <v>#DIV/0!</v>
      </c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outlinePr summaryBelow="0" summaryRight="0"/>
  </sheetPr>
  <dimension ref="A1:M28"/>
  <sheetViews>
    <sheetView zoomScale="85" zoomScaleNormal="85" zoomScaleSheetLayoutView="100" workbookViewId="0">
      <selection activeCell="K15" sqref="K15:L15"/>
    </sheetView>
  </sheetViews>
  <sheetFormatPr defaultColWidth="12.54296875" defaultRowHeight="15.75" customHeight="1"/>
  <cols>
    <col min="1" max="1" width="6.453125" style="115" customWidth="1"/>
    <col min="2" max="10" width="11.54296875" style="115" customWidth="1"/>
    <col min="11" max="12" width="12.81640625" style="115" customWidth="1"/>
    <col min="13" max="13" width="12.54296875" style="116"/>
    <col min="14" max="16384" width="12.54296875" style="115"/>
  </cols>
  <sheetData>
    <row r="1" spans="1:13" ht="15.75" customHeight="1">
      <c r="A1" s="399" t="s">
        <v>204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115"/>
    </row>
    <row r="2" spans="1:13" s="116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</row>
    <row r="3" spans="1:13" ht="15.75" customHeight="1">
      <c r="A3" s="524" t="s">
        <v>205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115"/>
    </row>
    <row r="4" spans="1:13" s="116" customFormat="1" ht="15.75" customHeight="1">
      <c r="A4" s="525"/>
      <c r="B4" s="525"/>
      <c r="C4" s="525"/>
      <c r="D4" s="525"/>
      <c r="E4" s="525"/>
      <c r="F4" s="525"/>
      <c r="G4" s="525"/>
      <c r="H4" s="525"/>
      <c r="I4" s="525"/>
      <c r="J4" s="525"/>
      <c r="K4" s="525"/>
      <c r="L4" s="525"/>
    </row>
    <row r="5" spans="1:13" s="122" customFormat="1" ht="16.399999999999999" customHeight="1">
      <c r="A5" s="521" t="s">
        <v>154</v>
      </c>
      <c r="B5" s="151">
        <v>1</v>
      </c>
      <c r="C5" s="151">
        <v>2</v>
      </c>
      <c r="D5" s="143">
        <v>3</v>
      </c>
      <c r="E5" s="143">
        <v>4</v>
      </c>
      <c r="F5" s="143">
        <v>5</v>
      </c>
      <c r="G5" s="143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3" ht="16.399999999999999" customHeight="1">
      <c r="A6" s="521"/>
      <c r="B6" s="152" t="s">
        <v>206</v>
      </c>
      <c r="C6" s="152" t="s">
        <v>151</v>
      </c>
      <c r="D6" s="144" t="s">
        <v>207</v>
      </c>
      <c r="E6" s="144" t="s">
        <v>153</v>
      </c>
      <c r="F6" s="132" t="s">
        <v>133</v>
      </c>
      <c r="G6" s="145" t="s">
        <v>131</v>
      </c>
      <c r="H6" s="146" t="s">
        <v>208</v>
      </c>
      <c r="I6" s="145" t="s">
        <v>209</v>
      </c>
      <c r="J6" s="145" t="s">
        <v>137</v>
      </c>
      <c r="K6" s="142"/>
      <c r="L6" s="142"/>
    </row>
    <row r="7" spans="1:13" s="122" customFormat="1" ht="15.75" customHeight="1">
      <c r="A7" s="522" t="s">
        <v>187</v>
      </c>
      <c r="B7" s="522"/>
      <c r="C7" s="378" t="s">
        <v>415</v>
      </c>
      <c r="D7" s="522" t="s">
        <v>12</v>
      </c>
      <c r="E7" s="523"/>
      <c r="F7" s="523"/>
      <c r="G7" s="378" t="s">
        <v>46</v>
      </c>
      <c r="H7" s="378" t="s">
        <v>639</v>
      </c>
      <c r="I7" s="378" t="s">
        <v>412</v>
      </c>
      <c r="J7" s="199" t="s">
        <v>413</v>
      </c>
      <c r="K7" s="522" t="s">
        <v>414</v>
      </c>
      <c r="L7" s="523"/>
      <c r="M7" s="141"/>
    </row>
    <row r="8" spans="1:13" ht="15.75" customHeight="1">
      <c r="A8" s="521">
        <v>1</v>
      </c>
      <c r="B8" s="522" t="s">
        <v>150</v>
      </c>
      <c r="C8" s="123">
        <v>1</v>
      </c>
      <c r="D8" s="384" t="s">
        <v>359</v>
      </c>
      <c r="E8" s="376"/>
      <c r="F8" s="377"/>
      <c r="G8" s="385">
        <v>3</v>
      </c>
      <c r="H8" s="385">
        <v>3258.1715609320649</v>
      </c>
      <c r="I8" s="385">
        <v>1086.0571869773551</v>
      </c>
      <c r="J8" s="218" t="s">
        <v>893</v>
      </c>
      <c r="K8" s="527" t="s">
        <v>894</v>
      </c>
      <c r="L8" s="528"/>
    </row>
    <row r="9" spans="1:13" ht="15.75" customHeight="1">
      <c r="A9" s="521"/>
      <c r="B9" s="522"/>
      <c r="C9" s="123">
        <v>2</v>
      </c>
      <c r="D9" s="384" t="s">
        <v>362</v>
      </c>
      <c r="E9" s="376"/>
      <c r="F9" s="377"/>
      <c r="G9" s="385">
        <v>3</v>
      </c>
      <c r="H9" s="385">
        <v>3234.7800453514728</v>
      </c>
      <c r="I9" s="385">
        <v>1078.2600151171578</v>
      </c>
      <c r="J9" s="218" t="s">
        <v>893</v>
      </c>
      <c r="K9" s="529"/>
      <c r="L9" s="530"/>
    </row>
    <row r="10" spans="1:13" ht="15.75" customHeight="1">
      <c r="A10" s="521"/>
      <c r="B10" s="522"/>
      <c r="C10" s="123">
        <v>3</v>
      </c>
      <c r="D10" s="384" t="s">
        <v>358</v>
      </c>
      <c r="E10" s="376"/>
      <c r="F10" s="377"/>
      <c r="G10" s="385">
        <v>3</v>
      </c>
      <c r="H10" s="385">
        <v>3225.2761582060079</v>
      </c>
      <c r="I10" s="385">
        <v>1075.092052735336</v>
      </c>
      <c r="J10" s="219" t="s">
        <v>895</v>
      </c>
      <c r="K10" s="529"/>
      <c r="L10" s="530"/>
    </row>
    <row r="11" spans="1:13" ht="15.75" customHeight="1">
      <c r="A11" s="521"/>
      <c r="B11" s="522"/>
      <c r="C11" s="123">
        <v>4</v>
      </c>
      <c r="D11" s="384" t="s">
        <v>363</v>
      </c>
      <c r="E11" s="376"/>
      <c r="F11" s="377"/>
      <c r="G11" s="385">
        <v>3</v>
      </c>
      <c r="H11" s="385">
        <v>3224.6214289911777</v>
      </c>
      <c r="I11" s="385">
        <v>1074.873809663726</v>
      </c>
      <c r="J11" s="217" t="s">
        <v>896</v>
      </c>
      <c r="K11" s="529"/>
      <c r="L11" s="530"/>
    </row>
    <row r="12" spans="1:13" ht="15.75" customHeight="1">
      <c r="A12" s="521"/>
      <c r="B12" s="522"/>
      <c r="C12" s="123">
        <v>5</v>
      </c>
      <c r="D12" s="387" t="s">
        <v>360</v>
      </c>
      <c r="E12" s="376"/>
      <c r="F12" s="377"/>
      <c r="G12" s="385">
        <v>3</v>
      </c>
      <c r="H12" s="385">
        <v>3223.2580629810404</v>
      </c>
      <c r="I12" s="385">
        <v>1074.4193543270135</v>
      </c>
      <c r="J12" s="219" t="s">
        <v>895</v>
      </c>
      <c r="K12" s="531"/>
      <c r="L12" s="532"/>
    </row>
    <row r="13" spans="1:13" ht="15.75" customHeight="1">
      <c r="A13" s="521"/>
      <c r="B13" s="522"/>
      <c r="C13" s="150" t="s">
        <v>416</v>
      </c>
      <c r="D13" s="384" t="s">
        <v>807</v>
      </c>
      <c r="E13" s="376"/>
      <c r="F13" s="377"/>
      <c r="G13" s="385">
        <v>11.714285714285714</v>
      </c>
      <c r="H13" s="385">
        <v>1268.7495371423945</v>
      </c>
      <c r="I13" s="385">
        <v>108.14671051278197</v>
      </c>
      <c r="J13" s="219" t="s">
        <v>895</v>
      </c>
      <c r="K13" s="526" t="s">
        <v>897</v>
      </c>
      <c r="L13" s="523"/>
    </row>
    <row r="14" spans="1:13" ht="15.75" customHeight="1">
      <c r="A14" s="521"/>
      <c r="B14" s="522"/>
      <c r="C14" s="150" t="s">
        <v>417</v>
      </c>
      <c r="D14" s="384" t="s">
        <v>830</v>
      </c>
      <c r="E14" s="376"/>
      <c r="F14" s="377"/>
      <c r="G14" s="385">
        <v>12</v>
      </c>
      <c r="H14" s="385">
        <v>1326.6341861264129</v>
      </c>
      <c r="I14" s="385">
        <v>110.55284884386775</v>
      </c>
      <c r="J14" s="218" t="s">
        <v>893</v>
      </c>
      <c r="K14" s="526" t="s">
        <v>898</v>
      </c>
      <c r="L14" s="523"/>
    </row>
    <row r="15" spans="1:13" ht="15.75" customHeight="1">
      <c r="A15" s="521"/>
      <c r="B15" s="522"/>
      <c r="C15" s="150" t="s">
        <v>458</v>
      </c>
      <c r="D15" s="384" t="s">
        <v>643</v>
      </c>
      <c r="E15" s="376"/>
      <c r="F15" s="377"/>
      <c r="G15" s="385">
        <v>9.7142857142857135</v>
      </c>
      <c r="H15" s="385">
        <v>1468.6080123266559</v>
      </c>
      <c r="I15" s="385">
        <v>151.85171032357465</v>
      </c>
      <c r="J15" s="217" t="s">
        <v>896</v>
      </c>
      <c r="K15" s="442"/>
      <c r="L15" s="523"/>
    </row>
    <row r="16" spans="1:13" ht="15.75" customHeight="1">
      <c r="A16" s="521"/>
      <c r="B16" s="522"/>
      <c r="C16" s="150" t="s">
        <v>419</v>
      </c>
      <c r="D16" s="384" t="s">
        <v>782</v>
      </c>
      <c r="E16" s="376"/>
      <c r="F16" s="377"/>
      <c r="G16" s="385">
        <v>4</v>
      </c>
      <c r="H16" s="385">
        <v>2190.8816326530582</v>
      </c>
      <c r="I16" s="385">
        <v>547.72040816326455</v>
      </c>
      <c r="J16" s="218" t="s">
        <v>893</v>
      </c>
      <c r="K16" s="533" t="s">
        <v>898</v>
      </c>
      <c r="L16" s="534"/>
      <c r="M16" s="115"/>
    </row>
    <row r="17" spans="1:13" ht="15.75" customHeight="1">
      <c r="A17" s="521"/>
      <c r="B17" s="522"/>
      <c r="C17" s="150" t="s">
        <v>459</v>
      </c>
      <c r="D17" s="387" t="s">
        <v>680</v>
      </c>
      <c r="E17" s="376"/>
      <c r="F17" s="377"/>
      <c r="G17" s="385">
        <v>4</v>
      </c>
      <c r="H17" s="385">
        <v>2191.9714285714294</v>
      </c>
      <c r="I17" s="385">
        <v>547.99285714285736</v>
      </c>
      <c r="J17" s="219" t="s">
        <v>895</v>
      </c>
      <c r="K17" s="535"/>
      <c r="L17" s="536"/>
      <c r="M17" s="115"/>
    </row>
    <row r="18" spans="1:13" s="120" customFormat="1" ht="15.75" customHeight="1">
      <c r="A18" s="543" t="s">
        <v>187</v>
      </c>
      <c r="B18" s="543"/>
      <c r="C18" s="256" t="s">
        <v>415</v>
      </c>
      <c r="D18" s="543" t="s">
        <v>12</v>
      </c>
      <c r="E18" s="544"/>
      <c r="F18" s="544"/>
      <c r="G18" s="256" t="s">
        <v>899</v>
      </c>
      <c r="H18" s="256" t="s">
        <v>900</v>
      </c>
      <c r="I18" s="256" t="s">
        <v>901</v>
      </c>
      <c r="J18" s="199" t="s">
        <v>902</v>
      </c>
      <c r="K18" s="543" t="s">
        <v>903</v>
      </c>
      <c r="L18" s="544"/>
      <c r="M18" s="142"/>
    </row>
    <row r="19" spans="1:13" ht="15.75" customHeight="1">
      <c r="A19" s="521">
        <v>2</v>
      </c>
      <c r="B19" s="522" t="s">
        <v>151</v>
      </c>
      <c r="C19" s="123">
        <v>1</v>
      </c>
      <c r="D19" s="375" t="s">
        <v>581</v>
      </c>
      <c r="E19" s="376"/>
      <c r="F19" s="377"/>
      <c r="G19" s="385">
        <v>5</v>
      </c>
      <c r="H19" s="385">
        <v>1507.1334462638824</v>
      </c>
      <c r="I19" s="385">
        <v>301.4266892527765</v>
      </c>
      <c r="J19" s="217" t="s">
        <v>896</v>
      </c>
      <c r="K19" s="545"/>
      <c r="L19" s="542"/>
      <c r="M19" s="115"/>
    </row>
    <row r="20" spans="1:13" ht="15.75" customHeight="1">
      <c r="A20" s="521"/>
      <c r="B20" s="522"/>
      <c r="C20" s="123">
        <v>2</v>
      </c>
      <c r="D20" s="375" t="s">
        <v>640</v>
      </c>
      <c r="E20" s="376"/>
      <c r="F20" s="377"/>
      <c r="G20" s="385">
        <v>6</v>
      </c>
      <c r="H20" s="385">
        <v>1513.4170247046197</v>
      </c>
      <c r="I20" s="385">
        <v>252.23617078410325</v>
      </c>
      <c r="J20" s="217" t="s">
        <v>896</v>
      </c>
      <c r="K20" s="541"/>
      <c r="L20" s="542"/>
      <c r="M20" s="115"/>
    </row>
    <row r="21" spans="1:13" ht="15.75" customHeight="1">
      <c r="A21" s="521"/>
      <c r="B21" s="522"/>
      <c r="C21" s="123">
        <v>3</v>
      </c>
      <c r="D21" s="386" t="s">
        <v>366</v>
      </c>
      <c r="E21" s="376"/>
      <c r="F21" s="377"/>
      <c r="G21" s="385">
        <v>12.142857142857142</v>
      </c>
      <c r="H21" s="385">
        <v>1841.8167220376513</v>
      </c>
      <c r="I21" s="385">
        <v>151.81027628702037</v>
      </c>
      <c r="J21" s="218" t="s">
        <v>893</v>
      </c>
      <c r="K21" s="537" t="s">
        <v>904</v>
      </c>
      <c r="L21" s="538"/>
      <c r="M21" s="115"/>
    </row>
    <row r="22" spans="1:13" ht="15.75" customHeight="1">
      <c r="A22" s="521"/>
      <c r="B22" s="522"/>
      <c r="C22" s="123">
        <v>4</v>
      </c>
      <c r="D22" s="375" t="s">
        <v>784</v>
      </c>
      <c r="E22" s="376"/>
      <c r="F22" s="377"/>
      <c r="G22" s="385">
        <v>10</v>
      </c>
      <c r="H22" s="385">
        <v>1516.1142857142841</v>
      </c>
      <c r="I22" s="385">
        <v>151.61142857142843</v>
      </c>
      <c r="J22" s="219" t="s">
        <v>895</v>
      </c>
      <c r="K22" s="539"/>
      <c r="L22" s="540"/>
      <c r="M22" s="115"/>
    </row>
    <row r="23" spans="1:13" ht="15.75" customHeight="1">
      <c r="A23" s="521"/>
      <c r="B23" s="522"/>
      <c r="C23" s="123">
        <v>5</v>
      </c>
      <c r="D23" s="386" t="s">
        <v>785</v>
      </c>
      <c r="E23" s="376"/>
      <c r="F23" s="377"/>
      <c r="G23" s="385">
        <v>12.142857142857142</v>
      </c>
      <c r="H23" s="385">
        <v>1776.9965986394543</v>
      </c>
      <c r="I23" s="385">
        <v>146.48414878772013</v>
      </c>
      <c r="J23" s="217" t="s">
        <v>896</v>
      </c>
      <c r="K23" s="541"/>
      <c r="L23" s="542"/>
      <c r="M23" s="115"/>
    </row>
    <row r="24" spans="1:13" ht="15.75" customHeight="1">
      <c r="A24" s="521"/>
      <c r="B24" s="522"/>
      <c r="C24" s="150" t="s">
        <v>416</v>
      </c>
      <c r="D24" s="375" t="s">
        <v>786</v>
      </c>
      <c r="E24" s="376"/>
      <c r="F24" s="377"/>
      <c r="G24" s="385">
        <v>13</v>
      </c>
      <c r="H24" s="385">
        <v>1178.7636254501797</v>
      </c>
      <c r="I24" s="385">
        <v>90.674125034629213</v>
      </c>
      <c r="J24" s="217" t="s">
        <v>896</v>
      </c>
      <c r="K24" s="541"/>
      <c r="L24" s="542"/>
      <c r="M24" s="115"/>
    </row>
    <row r="25" spans="1:13" ht="15.75" customHeight="1">
      <c r="A25" s="521"/>
      <c r="B25" s="522"/>
      <c r="C25" s="150" t="s">
        <v>417</v>
      </c>
      <c r="D25" s="375" t="s">
        <v>808</v>
      </c>
      <c r="E25" s="376"/>
      <c r="F25" s="377"/>
      <c r="G25" s="385">
        <v>13</v>
      </c>
      <c r="H25" s="385">
        <v>1184.4759988205806</v>
      </c>
      <c r="I25" s="385">
        <v>91.113538370813899</v>
      </c>
      <c r="J25" s="217" t="s">
        <v>896</v>
      </c>
      <c r="K25" s="541"/>
      <c r="L25" s="542"/>
      <c r="M25" s="115"/>
    </row>
    <row r="26" spans="1:13" ht="15.75" customHeight="1">
      <c r="A26" s="521"/>
      <c r="B26" s="522"/>
      <c r="C26" s="150" t="s">
        <v>458</v>
      </c>
      <c r="E26" s="376"/>
      <c r="F26" s="377"/>
      <c r="G26" s="149"/>
      <c r="H26" s="149"/>
      <c r="I26" s="149"/>
      <c r="J26" s="149"/>
      <c r="K26" s="541"/>
      <c r="L26" s="542"/>
      <c r="M26" s="115"/>
    </row>
    <row r="27" spans="1:13" ht="15.75" customHeight="1">
      <c r="A27" s="521"/>
      <c r="B27" s="522"/>
      <c r="C27" s="150" t="s">
        <v>419</v>
      </c>
      <c r="D27" s="375"/>
      <c r="E27" s="376"/>
      <c r="F27" s="377"/>
      <c r="G27" s="149"/>
      <c r="H27" s="149"/>
      <c r="I27" s="149"/>
      <c r="J27" s="149"/>
      <c r="K27" s="541"/>
      <c r="L27" s="542"/>
      <c r="M27" s="115"/>
    </row>
    <row r="28" spans="1:13" ht="15.75" customHeight="1">
      <c r="A28" s="521"/>
      <c r="B28" s="522"/>
      <c r="C28" s="150" t="s">
        <v>459</v>
      </c>
      <c r="D28" s="375"/>
      <c r="E28" s="376"/>
      <c r="F28" s="377"/>
      <c r="G28" s="149"/>
      <c r="H28" s="149"/>
      <c r="I28" s="149"/>
      <c r="J28" s="149"/>
      <c r="K28" s="541"/>
      <c r="L28" s="542"/>
      <c r="M28" s="115"/>
    </row>
  </sheetData>
  <mergeCells count="27">
    <mergeCell ref="K21:L22"/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19:L19"/>
    <mergeCell ref="K20:L20"/>
    <mergeCell ref="K13:L13"/>
    <mergeCell ref="A8:A17"/>
    <mergeCell ref="B8:B17"/>
    <mergeCell ref="K14:L14"/>
    <mergeCell ref="K15:L15"/>
    <mergeCell ref="K8:L12"/>
    <mergeCell ref="K16:L17"/>
    <mergeCell ref="A1:L2"/>
    <mergeCell ref="A5:A6"/>
    <mergeCell ref="A7:B7"/>
    <mergeCell ref="D7:F7"/>
    <mergeCell ref="K7:L7"/>
    <mergeCell ref="A3:L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  <outlinePr summaryBelow="0" summaryRight="0"/>
  </sheetPr>
  <dimension ref="A1:M28"/>
  <sheetViews>
    <sheetView zoomScale="70" zoomScaleNormal="70" zoomScaleSheetLayoutView="100" workbookViewId="0">
      <selection activeCell="D8" sqref="D8:L20"/>
    </sheetView>
  </sheetViews>
  <sheetFormatPr defaultColWidth="12.54296875" defaultRowHeight="15.75" customHeight="1"/>
  <cols>
    <col min="1" max="1" width="6.453125" style="115" customWidth="1"/>
    <col min="2" max="10" width="11.54296875" style="115" customWidth="1"/>
    <col min="11" max="12" width="12.81640625" style="115" customWidth="1"/>
    <col min="13" max="13" width="12.54296875" style="116"/>
    <col min="14" max="16384" width="12.54296875" style="115"/>
  </cols>
  <sheetData>
    <row r="1" spans="1:13" ht="15.75" customHeight="1">
      <c r="A1" s="399" t="s">
        <v>204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115"/>
    </row>
    <row r="2" spans="1:13" s="116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</row>
    <row r="3" spans="1:13" ht="15.75" customHeight="1">
      <c r="A3" s="524" t="s">
        <v>205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115"/>
    </row>
    <row r="4" spans="1:13" s="116" customFormat="1" ht="15.75" customHeight="1">
      <c r="A4" s="525"/>
      <c r="B4" s="525"/>
      <c r="C4" s="525"/>
      <c r="D4" s="525"/>
      <c r="E4" s="525"/>
      <c r="F4" s="525"/>
      <c r="G4" s="525"/>
      <c r="H4" s="525"/>
      <c r="I4" s="525"/>
      <c r="J4" s="525"/>
      <c r="K4" s="525"/>
      <c r="L4" s="525"/>
    </row>
    <row r="5" spans="1:13" s="122" customFormat="1" ht="16.399999999999999" customHeight="1">
      <c r="A5" s="521" t="s">
        <v>154</v>
      </c>
      <c r="B5" s="143">
        <v>1</v>
      </c>
      <c r="C5" s="143">
        <v>2</v>
      </c>
      <c r="D5" s="151">
        <v>3</v>
      </c>
      <c r="E5" s="151">
        <v>4</v>
      </c>
      <c r="F5" s="143">
        <v>5</v>
      </c>
      <c r="G5" s="143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3" ht="16.399999999999999" customHeight="1">
      <c r="A6" s="521"/>
      <c r="B6" s="144" t="s">
        <v>206</v>
      </c>
      <c r="C6" s="144" t="s">
        <v>151</v>
      </c>
      <c r="D6" s="152" t="s">
        <v>207</v>
      </c>
      <c r="E6" s="152" t="s">
        <v>153</v>
      </c>
      <c r="F6" s="132" t="s">
        <v>133</v>
      </c>
      <c r="G6" s="145" t="s">
        <v>131</v>
      </c>
      <c r="H6" s="146" t="s">
        <v>208</v>
      </c>
      <c r="I6" s="145" t="s">
        <v>209</v>
      </c>
      <c r="J6" s="145" t="s">
        <v>137</v>
      </c>
      <c r="K6" s="142"/>
      <c r="L6" s="142"/>
    </row>
    <row r="7" spans="1:13" s="122" customFormat="1" ht="15.75" customHeight="1">
      <c r="A7" s="522" t="s">
        <v>187</v>
      </c>
      <c r="B7" s="522"/>
      <c r="C7" s="378" t="s">
        <v>415</v>
      </c>
      <c r="D7" s="522" t="s">
        <v>12</v>
      </c>
      <c r="E7" s="523"/>
      <c r="F7" s="523"/>
      <c r="G7" s="378" t="s">
        <v>752</v>
      </c>
      <c r="H7" s="378" t="s">
        <v>753</v>
      </c>
      <c r="I7" s="378" t="s">
        <v>754</v>
      </c>
      <c r="J7" s="199" t="s">
        <v>755</v>
      </c>
      <c r="K7" s="522" t="s">
        <v>756</v>
      </c>
      <c r="L7" s="523"/>
      <c r="M7" s="141"/>
    </row>
    <row r="8" spans="1:13" ht="15.75" customHeight="1">
      <c r="A8" s="521">
        <v>3</v>
      </c>
      <c r="B8" s="522" t="s">
        <v>152</v>
      </c>
      <c r="C8" s="123">
        <v>1</v>
      </c>
      <c r="D8" s="375" t="s">
        <v>385</v>
      </c>
      <c r="E8" s="376"/>
      <c r="F8" s="377"/>
      <c r="G8" s="385">
        <v>5</v>
      </c>
      <c r="H8" s="385">
        <v>2161.4407716401647</v>
      </c>
      <c r="I8" s="385">
        <v>432.28815432803293</v>
      </c>
      <c r="J8" s="217" t="s">
        <v>896</v>
      </c>
      <c r="K8" s="546"/>
      <c r="L8" s="544"/>
    </row>
    <row r="9" spans="1:13" ht="15.75" customHeight="1">
      <c r="A9" s="521"/>
      <c r="B9" s="522"/>
      <c r="C9" s="123">
        <v>2</v>
      </c>
      <c r="D9" s="375" t="s">
        <v>466</v>
      </c>
      <c r="E9" s="376"/>
      <c r="F9" s="377"/>
      <c r="G9" s="385">
        <v>5</v>
      </c>
      <c r="H9" s="385">
        <v>2146.4865079406459</v>
      </c>
      <c r="I9" s="385">
        <v>429.29730158812919</v>
      </c>
      <c r="J9" s="217" t="s">
        <v>896</v>
      </c>
      <c r="K9" s="546"/>
      <c r="L9" s="544"/>
    </row>
    <row r="10" spans="1:13" ht="15.75" customHeight="1">
      <c r="A10" s="521"/>
      <c r="B10" s="522"/>
      <c r="C10" s="123">
        <v>3</v>
      </c>
      <c r="D10" s="375" t="s">
        <v>772</v>
      </c>
      <c r="E10" s="376"/>
      <c r="F10" s="377"/>
      <c r="G10" s="385">
        <v>5</v>
      </c>
      <c r="H10" s="385">
        <v>2110.4827861579411</v>
      </c>
      <c r="I10" s="385">
        <v>422.09655723158824</v>
      </c>
      <c r="J10" s="217" t="s">
        <v>896</v>
      </c>
      <c r="K10" s="546"/>
      <c r="L10" s="544"/>
    </row>
    <row r="11" spans="1:13" ht="15.75" customHeight="1">
      <c r="A11" s="521"/>
      <c r="B11" s="522"/>
      <c r="C11" s="123">
        <v>4</v>
      </c>
      <c r="D11" s="375" t="s">
        <v>742</v>
      </c>
      <c r="E11" s="376"/>
      <c r="F11" s="377"/>
      <c r="G11" s="385">
        <v>5</v>
      </c>
      <c r="H11" s="385">
        <v>1820.0000000000005</v>
      </c>
      <c r="I11" s="385">
        <v>364.00000000000011</v>
      </c>
      <c r="J11" s="217" t="s">
        <v>896</v>
      </c>
      <c r="K11" s="546"/>
      <c r="L11" s="544"/>
    </row>
    <row r="12" spans="1:13" ht="15.75" customHeight="1">
      <c r="A12" s="521"/>
      <c r="B12" s="522"/>
      <c r="C12" s="123">
        <v>5</v>
      </c>
      <c r="D12" s="375" t="s">
        <v>388</v>
      </c>
      <c r="E12" s="376"/>
      <c r="F12" s="377"/>
      <c r="G12" s="385">
        <v>10</v>
      </c>
      <c r="H12" s="385">
        <v>2222.5905287256601</v>
      </c>
      <c r="I12" s="385">
        <v>222.25905287256606</v>
      </c>
      <c r="J12" s="217" t="s">
        <v>896</v>
      </c>
      <c r="K12" s="546"/>
      <c r="L12" s="544"/>
    </row>
    <row r="13" spans="1:13" ht="15.75" customHeight="1">
      <c r="A13" s="521"/>
      <c r="B13" s="522"/>
      <c r="C13" s="150" t="s">
        <v>416</v>
      </c>
      <c r="D13" s="375" t="s">
        <v>384</v>
      </c>
      <c r="E13" s="376"/>
      <c r="F13" s="377"/>
      <c r="G13" s="385">
        <v>18.142857142857142</v>
      </c>
      <c r="H13" s="385">
        <v>1220.3574244427784</v>
      </c>
      <c r="I13" s="385">
        <v>67.286356495776758</v>
      </c>
      <c r="J13" s="217" t="s">
        <v>896</v>
      </c>
      <c r="K13" s="546"/>
      <c r="L13" s="544"/>
    </row>
    <row r="14" spans="1:13" ht="15.75" customHeight="1">
      <c r="A14" s="521"/>
      <c r="B14" s="522"/>
      <c r="C14" s="150" t="s">
        <v>417</v>
      </c>
      <c r="D14" s="375" t="s">
        <v>386</v>
      </c>
      <c r="E14" s="376"/>
      <c r="F14" s="377"/>
      <c r="G14" s="385">
        <v>12</v>
      </c>
      <c r="H14" s="385">
        <v>1884.0471490318009</v>
      </c>
      <c r="I14" s="385">
        <v>157.0039290859834</v>
      </c>
      <c r="J14" s="217" t="s">
        <v>896</v>
      </c>
      <c r="K14" s="546"/>
      <c r="L14" s="544"/>
    </row>
    <row r="15" spans="1:13" ht="15.75" customHeight="1">
      <c r="A15" s="521"/>
      <c r="B15" s="522"/>
      <c r="C15" s="150" t="s">
        <v>458</v>
      </c>
      <c r="D15" s="375" t="s">
        <v>676</v>
      </c>
      <c r="E15" s="376"/>
      <c r="F15" s="377"/>
      <c r="G15" s="385">
        <v>12</v>
      </c>
      <c r="H15" s="385">
        <v>1887.7450896238915</v>
      </c>
      <c r="I15" s="385">
        <v>157.31209080199096</v>
      </c>
      <c r="J15" s="217" t="s">
        <v>896</v>
      </c>
      <c r="K15" s="547"/>
      <c r="L15" s="548"/>
    </row>
    <row r="16" spans="1:13" ht="15.75" customHeight="1">
      <c r="A16" s="521"/>
      <c r="B16" s="522"/>
      <c r="C16" s="150" t="s">
        <v>419</v>
      </c>
      <c r="D16" s="375" t="s">
        <v>387</v>
      </c>
      <c r="E16" s="376"/>
      <c r="F16" s="377"/>
      <c r="G16" s="385">
        <v>13</v>
      </c>
      <c r="H16" s="385">
        <v>2140.9005096118572</v>
      </c>
      <c r="I16" s="385">
        <v>164.68465458552751</v>
      </c>
      <c r="J16" s="217" t="s">
        <v>896</v>
      </c>
      <c r="K16" s="546"/>
      <c r="L16" s="544"/>
      <c r="M16" s="115"/>
    </row>
    <row r="17" spans="1:13" ht="15.75" customHeight="1">
      <c r="A17" s="521"/>
      <c r="B17" s="522"/>
      <c r="C17" s="150" t="s">
        <v>459</v>
      </c>
      <c r="D17" s="375" t="s">
        <v>787</v>
      </c>
      <c r="E17" s="376"/>
      <c r="F17" s="377"/>
      <c r="G17" s="385">
        <v>13</v>
      </c>
      <c r="H17" s="385">
        <v>2195.3989828878684</v>
      </c>
      <c r="I17" s="385">
        <v>168.87684483752835</v>
      </c>
      <c r="J17" s="217" t="s">
        <v>896</v>
      </c>
      <c r="K17" s="546"/>
      <c r="L17" s="544"/>
      <c r="M17" s="115"/>
    </row>
    <row r="18" spans="1:13" s="120" customFormat="1" ht="15.75" customHeight="1">
      <c r="A18" s="543" t="s">
        <v>187</v>
      </c>
      <c r="B18" s="543"/>
      <c r="C18" s="256" t="s">
        <v>415</v>
      </c>
      <c r="D18" s="543" t="s">
        <v>12</v>
      </c>
      <c r="E18" s="544"/>
      <c r="F18" s="544"/>
      <c r="G18" s="256" t="s">
        <v>899</v>
      </c>
      <c r="H18" s="256" t="s">
        <v>900</v>
      </c>
      <c r="I18" s="256" t="s">
        <v>901</v>
      </c>
      <c r="J18" s="199" t="s">
        <v>902</v>
      </c>
      <c r="K18" s="543" t="s">
        <v>903</v>
      </c>
      <c r="L18" s="544"/>
      <c r="M18" s="142"/>
    </row>
    <row r="19" spans="1:13" ht="15.75" customHeight="1">
      <c r="A19" s="521">
        <v>4</v>
      </c>
      <c r="B19" s="522" t="s">
        <v>153</v>
      </c>
      <c r="C19" s="123">
        <v>1</v>
      </c>
      <c r="D19" s="386" t="s">
        <v>905</v>
      </c>
      <c r="E19" s="376"/>
      <c r="F19" s="377"/>
      <c r="G19" s="385">
        <v>12.714285714285714</v>
      </c>
      <c r="H19" s="385">
        <v>1468.0333000333001</v>
      </c>
      <c r="I19" s="385">
        <v>115.84149184149184</v>
      </c>
      <c r="J19" s="217" t="s">
        <v>896</v>
      </c>
      <c r="K19" s="545"/>
      <c r="L19" s="542"/>
      <c r="M19" s="115"/>
    </row>
    <row r="20" spans="1:13" ht="15.75" customHeight="1">
      <c r="A20" s="521"/>
      <c r="B20" s="522"/>
      <c r="C20" s="123">
        <v>2</v>
      </c>
      <c r="D20" s="386" t="s">
        <v>743</v>
      </c>
      <c r="E20" s="376"/>
      <c r="F20" s="377"/>
      <c r="G20" s="385">
        <v>13</v>
      </c>
      <c r="H20" s="385">
        <v>1411.9047619047615</v>
      </c>
      <c r="I20" s="385">
        <v>108.60805860805856</v>
      </c>
      <c r="J20" s="217" t="s">
        <v>896</v>
      </c>
      <c r="K20" s="541"/>
      <c r="L20" s="542"/>
      <c r="M20" s="115"/>
    </row>
    <row r="21" spans="1:13" ht="15.75" customHeight="1">
      <c r="A21" s="521"/>
      <c r="B21" s="522"/>
      <c r="C21" s="123">
        <v>3</v>
      </c>
      <c r="D21" s="375"/>
      <c r="E21" s="376"/>
      <c r="F21" s="377"/>
      <c r="G21" s="149"/>
      <c r="H21" s="149"/>
      <c r="I21" s="149"/>
      <c r="J21" s="149"/>
      <c r="K21" s="541"/>
      <c r="L21" s="542"/>
      <c r="M21" s="115"/>
    </row>
    <row r="22" spans="1:13" ht="15.75" customHeight="1">
      <c r="A22" s="521"/>
      <c r="B22" s="522"/>
      <c r="C22" s="123">
        <v>4</v>
      </c>
      <c r="D22" s="375"/>
      <c r="E22" s="376"/>
      <c r="F22" s="377"/>
      <c r="G22" s="149"/>
      <c r="H22" s="149"/>
      <c r="I22" s="149"/>
      <c r="J22" s="149"/>
      <c r="K22" s="541"/>
      <c r="L22" s="542"/>
      <c r="M22" s="115"/>
    </row>
    <row r="23" spans="1:13" ht="15.75" customHeight="1">
      <c r="A23" s="521"/>
      <c r="B23" s="522"/>
      <c r="C23" s="123">
        <v>5</v>
      </c>
      <c r="D23" s="375"/>
      <c r="E23" s="376"/>
      <c r="F23" s="377"/>
      <c r="G23" s="149"/>
      <c r="H23" s="149"/>
      <c r="I23" s="149"/>
      <c r="J23" s="149"/>
      <c r="K23" s="541"/>
      <c r="L23" s="542"/>
      <c r="M23" s="115"/>
    </row>
    <row r="24" spans="1:13" ht="15.75" customHeight="1">
      <c r="A24" s="521"/>
      <c r="B24" s="522"/>
      <c r="C24" s="150" t="s">
        <v>416</v>
      </c>
      <c r="D24" s="386"/>
      <c r="E24" s="376"/>
      <c r="F24" s="377"/>
      <c r="G24" s="149"/>
      <c r="H24" s="149"/>
      <c r="I24" s="149"/>
      <c r="J24" s="149"/>
      <c r="K24" s="545"/>
      <c r="L24" s="542"/>
      <c r="M24" s="115"/>
    </row>
    <row r="25" spans="1:13" ht="15.75" customHeight="1">
      <c r="A25" s="521"/>
      <c r="B25" s="522"/>
      <c r="C25" s="150" t="s">
        <v>417</v>
      </c>
      <c r="D25" s="375"/>
      <c r="E25" s="376"/>
      <c r="F25" s="377"/>
      <c r="G25" s="149"/>
      <c r="H25" s="149"/>
      <c r="I25" s="149"/>
      <c r="J25" s="149"/>
      <c r="K25" s="541"/>
      <c r="L25" s="542"/>
      <c r="M25" s="115"/>
    </row>
    <row r="26" spans="1:13" ht="15.75" customHeight="1">
      <c r="A26" s="521"/>
      <c r="B26" s="522"/>
      <c r="C26" s="150" t="s">
        <v>458</v>
      </c>
      <c r="D26" s="375"/>
      <c r="E26" s="376"/>
      <c r="F26" s="377"/>
      <c r="G26" s="149"/>
      <c r="H26" s="149"/>
      <c r="I26" s="149"/>
      <c r="J26" s="149"/>
      <c r="K26" s="541"/>
      <c r="L26" s="542"/>
      <c r="M26" s="115"/>
    </row>
    <row r="27" spans="1:13" ht="15.75" customHeight="1">
      <c r="A27" s="521"/>
      <c r="B27" s="522"/>
      <c r="C27" s="150" t="s">
        <v>419</v>
      </c>
      <c r="D27" s="375"/>
      <c r="E27" s="376"/>
      <c r="F27" s="377"/>
      <c r="G27" s="149"/>
      <c r="H27" s="149"/>
      <c r="I27" s="149"/>
      <c r="J27" s="149"/>
      <c r="K27" s="541"/>
      <c r="L27" s="542"/>
      <c r="M27" s="115"/>
    </row>
    <row r="28" spans="1:13" ht="15.75" customHeight="1">
      <c r="A28" s="521"/>
      <c r="B28" s="522"/>
      <c r="C28" s="150" t="s">
        <v>459</v>
      </c>
      <c r="D28" s="375"/>
      <c r="E28" s="376"/>
      <c r="F28" s="377"/>
      <c r="G28" s="149"/>
      <c r="H28" s="149"/>
      <c r="I28" s="149"/>
      <c r="J28" s="149"/>
      <c r="K28" s="541"/>
      <c r="L28" s="542"/>
      <c r="M28" s="115"/>
    </row>
  </sheetData>
  <mergeCells count="33">
    <mergeCell ref="K13:L13"/>
    <mergeCell ref="K28:L28"/>
    <mergeCell ref="K21:L21"/>
    <mergeCell ref="K22:L22"/>
    <mergeCell ref="K23:L23"/>
    <mergeCell ref="K27:L27"/>
    <mergeCell ref="K24:L24"/>
    <mergeCell ref="K15:L15"/>
    <mergeCell ref="K16:L16"/>
    <mergeCell ref="K17:L17"/>
    <mergeCell ref="A19:A28"/>
    <mergeCell ref="A5:A6"/>
    <mergeCell ref="A7:B7"/>
    <mergeCell ref="K25:L25"/>
    <mergeCell ref="D7:F7"/>
    <mergeCell ref="K7:L7"/>
    <mergeCell ref="A8:A17"/>
    <mergeCell ref="K19:L19"/>
    <mergeCell ref="K20:L20"/>
    <mergeCell ref="D18:F18"/>
    <mergeCell ref="K18:L18"/>
    <mergeCell ref="B8:B17"/>
    <mergeCell ref="A18:B18"/>
    <mergeCell ref="K14:L14"/>
    <mergeCell ref="K26:L26"/>
    <mergeCell ref="B19:B28"/>
    <mergeCell ref="A1:L2"/>
    <mergeCell ref="K11:L11"/>
    <mergeCell ref="K12:L12"/>
    <mergeCell ref="A3:L4"/>
    <mergeCell ref="K8:L8"/>
    <mergeCell ref="K9:L9"/>
    <mergeCell ref="K10:L1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  <outlinePr summaryBelow="0" summaryRight="0"/>
  </sheetPr>
  <dimension ref="A1:R28"/>
  <sheetViews>
    <sheetView zoomScale="70" zoomScaleNormal="70" zoomScaleSheetLayoutView="100" workbookViewId="0">
      <selection activeCell="D8" sqref="D8:L28"/>
    </sheetView>
  </sheetViews>
  <sheetFormatPr defaultColWidth="12.54296875" defaultRowHeight="15.75" customHeight="1"/>
  <cols>
    <col min="1" max="1" width="6.453125" style="115" customWidth="1"/>
    <col min="2" max="10" width="11.54296875" style="115" customWidth="1"/>
    <col min="11" max="12" width="12.81640625" style="115" customWidth="1"/>
    <col min="13" max="13" width="12.54296875" style="116"/>
    <col min="14" max="16384" width="12.54296875" style="115"/>
  </cols>
  <sheetData>
    <row r="1" spans="1:18" ht="15.75" customHeight="1">
      <c r="A1" s="399" t="s">
        <v>204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115"/>
    </row>
    <row r="2" spans="1:18" s="116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</row>
    <row r="3" spans="1:18" ht="15.75" customHeight="1">
      <c r="A3" s="524" t="s">
        <v>205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115"/>
    </row>
    <row r="4" spans="1:18" s="116" customFormat="1" ht="15.75" customHeight="1">
      <c r="A4" s="525"/>
      <c r="B4" s="525"/>
      <c r="C4" s="525"/>
      <c r="D4" s="525"/>
      <c r="E4" s="525"/>
      <c r="F4" s="525"/>
      <c r="G4" s="525"/>
      <c r="H4" s="525"/>
      <c r="I4" s="525"/>
      <c r="J4" s="525"/>
      <c r="K4" s="525"/>
      <c r="L4" s="525"/>
    </row>
    <row r="5" spans="1:18" s="122" customFormat="1" ht="16.399999999999999" customHeight="1">
      <c r="A5" s="521" t="s">
        <v>154</v>
      </c>
      <c r="B5" s="143">
        <v>1</v>
      </c>
      <c r="C5" s="143">
        <v>2</v>
      </c>
      <c r="D5" s="143">
        <v>3</v>
      </c>
      <c r="E5" s="143">
        <v>4</v>
      </c>
      <c r="F5" s="151">
        <v>5</v>
      </c>
      <c r="G5" s="151">
        <v>6</v>
      </c>
      <c r="H5" s="143">
        <v>7</v>
      </c>
      <c r="I5" s="143">
        <v>8</v>
      </c>
      <c r="J5" s="143">
        <v>9</v>
      </c>
      <c r="K5" s="141"/>
      <c r="L5" s="141"/>
      <c r="M5" s="141"/>
    </row>
    <row r="6" spans="1:18" ht="16.399999999999999" customHeight="1">
      <c r="A6" s="521"/>
      <c r="B6" s="144" t="s">
        <v>206</v>
      </c>
      <c r="C6" s="144" t="s">
        <v>151</v>
      </c>
      <c r="D6" s="144" t="s">
        <v>207</v>
      </c>
      <c r="E6" s="144" t="s">
        <v>153</v>
      </c>
      <c r="F6" s="153" t="s">
        <v>133</v>
      </c>
      <c r="G6" s="154" t="s">
        <v>131</v>
      </c>
      <c r="H6" s="146" t="s">
        <v>208</v>
      </c>
      <c r="I6" s="145" t="s">
        <v>209</v>
      </c>
      <c r="J6" s="145" t="s">
        <v>137</v>
      </c>
      <c r="K6" s="142"/>
      <c r="L6" s="142"/>
    </row>
    <row r="7" spans="1:18" s="122" customFormat="1" ht="15.75" customHeight="1">
      <c r="A7" s="522" t="s">
        <v>707</v>
      </c>
      <c r="B7" s="522"/>
      <c r="C7" s="378" t="s">
        <v>708</v>
      </c>
      <c r="D7" s="522" t="s">
        <v>12</v>
      </c>
      <c r="E7" s="523"/>
      <c r="F7" s="523"/>
      <c r="G7" s="378" t="s">
        <v>752</v>
      </c>
      <c r="H7" s="378" t="s">
        <v>753</v>
      </c>
      <c r="I7" s="378" t="s">
        <v>754</v>
      </c>
      <c r="J7" s="199" t="s">
        <v>755</v>
      </c>
      <c r="K7" s="522" t="s">
        <v>756</v>
      </c>
      <c r="L7" s="523"/>
      <c r="M7" s="141"/>
    </row>
    <row r="8" spans="1:18" ht="15.75" customHeight="1">
      <c r="A8" s="521">
        <v>5</v>
      </c>
      <c r="B8" s="522" t="s">
        <v>133</v>
      </c>
      <c r="C8" s="123">
        <v>1</v>
      </c>
      <c r="D8" s="398" t="s">
        <v>906</v>
      </c>
      <c r="E8" s="376"/>
      <c r="F8" s="377"/>
      <c r="G8" s="385">
        <v>6.1428571428571432</v>
      </c>
      <c r="H8" s="385">
        <v>1462.0756821341877</v>
      </c>
      <c r="I8" s="385">
        <v>238.87361286577206</v>
      </c>
      <c r="J8" s="218" t="s">
        <v>893</v>
      </c>
      <c r="K8" s="533" t="s">
        <v>907</v>
      </c>
      <c r="L8" s="534"/>
      <c r="P8" s="229"/>
      <c r="Q8" s="229"/>
      <c r="R8" s="229"/>
    </row>
    <row r="9" spans="1:18" ht="15.75" customHeight="1">
      <c r="A9" s="521"/>
      <c r="B9" s="522"/>
      <c r="C9" s="123">
        <v>2</v>
      </c>
      <c r="D9" s="386" t="s">
        <v>908</v>
      </c>
      <c r="E9" s="376"/>
      <c r="F9" s="377"/>
      <c r="G9" s="385">
        <v>6.1428571428571432</v>
      </c>
      <c r="H9" s="385">
        <v>1457.050921624</v>
      </c>
      <c r="I9" s="385">
        <v>237.80450437343396</v>
      </c>
      <c r="J9" s="219" t="s">
        <v>895</v>
      </c>
      <c r="K9" s="535"/>
      <c r="L9" s="536"/>
      <c r="P9" s="229"/>
      <c r="Q9" s="229"/>
      <c r="R9" s="229"/>
    </row>
    <row r="10" spans="1:18" ht="15.75" customHeight="1">
      <c r="A10" s="521"/>
      <c r="B10" s="522"/>
      <c r="C10" s="123">
        <v>3</v>
      </c>
      <c r="D10" s="375" t="s">
        <v>370</v>
      </c>
      <c r="E10" s="376"/>
      <c r="F10" s="377"/>
      <c r="G10" s="385">
        <v>15</v>
      </c>
      <c r="H10" s="385">
        <v>1345.3890336624081</v>
      </c>
      <c r="I10" s="385">
        <v>89.69260224416054</v>
      </c>
      <c r="J10" s="218" t="s">
        <v>893</v>
      </c>
      <c r="K10" s="555" t="s">
        <v>898</v>
      </c>
      <c r="L10" s="556"/>
      <c r="P10" s="229"/>
      <c r="Q10" s="229"/>
      <c r="R10" s="229"/>
    </row>
    <row r="11" spans="1:18" ht="15.75" customHeight="1">
      <c r="A11" s="521"/>
      <c r="B11" s="522"/>
      <c r="C11" s="123">
        <v>4</v>
      </c>
      <c r="D11" s="375" t="s">
        <v>353</v>
      </c>
      <c r="E11" s="376"/>
      <c r="F11" s="377"/>
      <c r="G11" s="385">
        <v>16</v>
      </c>
      <c r="H11" s="385">
        <v>1400.0564539037682</v>
      </c>
      <c r="I11" s="385">
        <v>87.503528368985513</v>
      </c>
      <c r="J11" s="218" t="s">
        <v>893</v>
      </c>
      <c r="K11" s="557"/>
      <c r="L11" s="558"/>
      <c r="P11" s="229"/>
      <c r="Q11" s="229"/>
      <c r="R11" s="229"/>
    </row>
    <row r="12" spans="1:18" ht="15.75" customHeight="1">
      <c r="A12" s="521"/>
      <c r="B12" s="522"/>
      <c r="C12" s="123">
        <v>5</v>
      </c>
      <c r="D12" s="375" t="s">
        <v>369</v>
      </c>
      <c r="E12" s="376"/>
      <c r="F12" s="377"/>
      <c r="G12" s="385">
        <v>16</v>
      </c>
      <c r="H12" s="385">
        <v>1388.7521612837586</v>
      </c>
      <c r="I12" s="385">
        <v>86.797010080234912</v>
      </c>
      <c r="J12" s="218" t="s">
        <v>893</v>
      </c>
      <c r="K12" s="559"/>
      <c r="L12" s="560"/>
      <c r="P12" s="229"/>
      <c r="Q12" s="229"/>
      <c r="R12" s="229"/>
    </row>
    <row r="13" spans="1:18" ht="15.75" customHeight="1">
      <c r="A13" s="521"/>
      <c r="B13" s="522"/>
      <c r="C13" s="150" t="s">
        <v>709</v>
      </c>
      <c r="D13" s="375" t="s">
        <v>678</v>
      </c>
      <c r="E13" s="376"/>
      <c r="F13" s="377"/>
      <c r="G13" s="385">
        <v>19.571428571428573</v>
      </c>
      <c r="H13" s="385">
        <v>1179.5830044618685</v>
      </c>
      <c r="I13" s="385">
        <v>60.283160248156094</v>
      </c>
      <c r="J13" s="219" t="s">
        <v>895</v>
      </c>
      <c r="K13" s="551" t="s">
        <v>898</v>
      </c>
      <c r="L13" s="552"/>
      <c r="P13" s="229"/>
      <c r="Q13" s="229"/>
      <c r="R13" s="229"/>
    </row>
    <row r="14" spans="1:18" ht="15.75" customHeight="1">
      <c r="A14" s="521"/>
      <c r="B14" s="522"/>
      <c r="C14" s="150" t="s">
        <v>710</v>
      </c>
      <c r="D14" s="375" t="s">
        <v>670</v>
      </c>
      <c r="E14" s="376"/>
      <c r="F14" s="377"/>
      <c r="G14" s="385">
        <v>20</v>
      </c>
      <c r="H14" s="385">
        <v>1213.8798405242176</v>
      </c>
      <c r="I14" s="385">
        <v>60.693992026210886</v>
      </c>
      <c r="J14" s="218" t="s">
        <v>893</v>
      </c>
      <c r="K14" s="561"/>
      <c r="L14" s="562"/>
      <c r="P14" s="229"/>
      <c r="Q14" s="229"/>
      <c r="R14" s="229"/>
    </row>
    <row r="15" spans="1:18" ht="15.75" customHeight="1">
      <c r="A15" s="521"/>
      <c r="B15" s="522"/>
      <c r="C15" s="150" t="s">
        <v>711</v>
      </c>
      <c r="D15" s="375" t="s">
        <v>745</v>
      </c>
      <c r="E15" s="376"/>
      <c r="F15" s="377"/>
      <c r="G15" s="385">
        <v>21</v>
      </c>
      <c r="H15" s="385">
        <v>1338.3229957790365</v>
      </c>
      <c r="I15" s="385">
        <v>63.729666465668402</v>
      </c>
      <c r="J15" s="219" t="s">
        <v>895</v>
      </c>
      <c r="K15" s="561"/>
      <c r="L15" s="562"/>
      <c r="P15" s="229"/>
      <c r="Q15" s="229"/>
      <c r="R15" s="229"/>
    </row>
    <row r="16" spans="1:18" ht="15.75" customHeight="1">
      <c r="A16" s="521"/>
      <c r="B16" s="522"/>
      <c r="C16" s="150" t="s">
        <v>712</v>
      </c>
      <c r="D16" s="386" t="s">
        <v>795</v>
      </c>
      <c r="E16" s="376"/>
      <c r="F16" s="377"/>
      <c r="G16" s="385">
        <v>19</v>
      </c>
      <c r="H16" s="385">
        <v>1212.0539602148363</v>
      </c>
      <c r="I16" s="385">
        <v>63.792313695517699</v>
      </c>
      <c r="J16" s="218" t="s">
        <v>893</v>
      </c>
      <c r="K16" s="561"/>
      <c r="L16" s="562"/>
      <c r="M16" s="115"/>
      <c r="P16" s="229"/>
      <c r="Q16" s="229"/>
      <c r="R16" s="229"/>
    </row>
    <row r="17" spans="1:18" ht="15.75" customHeight="1">
      <c r="A17" s="521"/>
      <c r="B17" s="522"/>
      <c r="C17" s="150" t="s">
        <v>713</v>
      </c>
      <c r="D17" s="386" t="s">
        <v>667</v>
      </c>
      <c r="E17" s="376"/>
      <c r="F17" s="377"/>
      <c r="G17" s="385">
        <v>20</v>
      </c>
      <c r="H17" s="385">
        <v>1337.8806129642587</v>
      </c>
      <c r="I17" s="385">
        <v>66.894030648212933</v>
      </c>
      <c r="J17" s="219" t="s">
        <v>895</v>
      </c>
      <c r="K17" s="553"/>
      <c r="L17" s="554"/>
      <c r="M17" s="115"/>
      <c r="P17" s="229"/>
      <c r="Q17" s="229"/>
      <c r="R17" s="229"/>
    </row>
    <row r="18" spans="1:18" s="120" customFormat="1" ht="15.75" customHeight="1">
      <c r="A18" s="543" t="s">
        <v>707</v>
      </c>
      <c r="B18" s="543"/>
      <c r="C18" s="256" t="s">
        <v>708</v>
      </c>
      <c r="D18" s="543" t="s">
        <v>12</v>
      </c>
      <c r="E18" s="544"/>
      <c r="F18" s="544"/>
      <c r="G18" s="256" t="s">
        <v>899</v>
      </c>
      <c r="H18" s="256" t="s">
        <v>900</v>
      </c>
      <c r="I18" s="256" t="s">
        <v>901</v>
      </c>
      <c r="J18" s="199" t="s">
        <v>902</v>
      </c>
      <c r="K18" s="543" t="s">
        <v>903</v>
      </c>
      <c r="L18" s="544"/>
      <c r="M18" s="142"/>
    </row>
    <row r="19" spans="1:18" ht="15.75" customHeight="1">
      <c r="A19" s="521">
        <v>6</v>
      </c>
      <c r="B19" s="522" t="s">
        <v>131</v>
      </c>
      <c r="C19" s="123">
        <v>1</v>
      </c>
      <c r="D19" s="375" t="s">
        <v>645</v>
      </c>
      <c r="E19" s="376"/>
      <c r="F19" s="377"/>
      <c r="G19" s="385">
        <v>16</v>
      </c>
      <c r="H19" s="385">
        <v>1345.2874378167812</v>
      </c>
      <c r="I19" s="385">
        <v>84.080464863548826</v>
      </c>
      <c r="J19" s="217" t="s">
        <v>896</v>
      </c>
      <c r="K19" s="549"/>
      <c r="L19" s="523"/>
      <c r="M19" s="115"/>
      <c r="P19" s="229"/>
      <c r="Q19" s="229"/>
      <c r="R19" s="229"/>
    </row>
    <row r="20" spans="1:18" ht="15.75" customHeight="1">
      <c r="A20" s="521"/>
      <c r="B20" s="522"/>
      <c r="C20" s="123">
        <v>2</v>
      </c>
      <c r="D20" s="375" t="s">
        <v>373</v>
      </c>
      <c r="E20" s="376"/>
      <c r="F20" s="377"/>
      <c r="G20" s="385">
        <v>17</v>
      </c>
      <c r="H20" s="385">
        <v>1355.0737088744434</v>
      </c>
      <c r="I20" s="385">
        <v>79.710218169084911</v>
      </c>
      <c r="J20" s="217" t="s">
        <v>896</v>
      </c>
      <c r="K20" s="549"/>
      <c r="L20" s="523"/>
      <c r="M20" s="115"/>
      <c r="P20" s="229"/>
      <c r="Q20" s="229"/>
      <c r="R20" s="229"/>
    </row>
    <row r="21" spans="1:18" ht="15.75" customHeight="1">
      <c r="A21" s="521"/>
      <c r="B21" s="522"/>
      <c r="C21" s="123">
        <v>3</v>
      </c>
      <c r="D21" s="375" t="s">
        <v>371</v>
      </c>
      <c r="E21" s="376"/>
      <c r="F21" s="377"/>
      <c r="G21" s="385">
        <v>18</v>
      </c>
      <c r="H21" s="385">
        <v>1353.6442475210952</v>
      </c>
      <c r="I21" s="385">
        <v>75.202458195616387</v>
      </c>
      <c r="J21" s="218" t="s">
        <v>893</v>
      </c>
      <c r="K21" s="551" t="s">
        <v>898</v>
      </c>
      <c r="L21" s="552"/>
      <c r="M21" s="115"/>
      <c r="P21" s="229"/>
      <c r="Q21" s="229"/>
      <c r="R21" s="229"/>
    </row>
    <row r="22" spans="1:18" ht="15.75" customHeight="1">
      <c r="A22" s="521"/>
      <c r="B22" s="522"/>
      <c r="C22" s="123">
        <v>4</v>
      </c>
      <c r="D22" s="375" t="s">
        <v>374</v>
      </c>
      <c r="E22" s="376"/>
      <c r="F22" s="377"/>
      <c r="G22" s="385">
        <v>17</v>
      </c>
      <c r="H22" s="385">
        <v>1274.7603584172955</v>
      </c>
      <c r="I22" s="385">
        <v>74.985903436311489</v>
      </c>
      <c r="J22" s="219" t="s">
        <v>895</v>
      </c>
      <c r="K22" s="553"/>
      <c r="L22" s="554"/>
      <c r="M22" s="115"/>
      <c r="P22" s="229"/>
      <c r="Q22" s="229"/>
      <c r="R22" s="229"/>
    </row>
    <row r="23" spans="1:18" ht="15.75" customHeight="1">
      <c r="A23" s="521"/>
      <c r="B23" s="522"/>
      <c r="C23" s="123">
        <v>5</v>
      </c>
      <c r="D23" s="375" t="s">
        <v>856</v>
      </c>
      <c r="E23" s="376"/>
      <c r="F23" s="377"/>
      <c r="G23" s="385">
        <v>18.285714285714285</v>
      </c>
      <c r="H23" s="385">
        <v>1323.7968409665307</v>
      </c>
      <c r="I23" s="385">
        <v>72.446289685137842</v>
      </c>
      <c r="J23" s="217" t="s">
        <v>896</v>
      </c>
      <c r="K23" s="549"/>
      <c r="L23" s="523"/>
      <c r="M23" s="115"/>
      <c r="P23" s="229"/>
      <c r="Q23" s="229"/>
      <c r="R23" s="229"/>
    </row>
    <row r="24" spans="1:18" ht="15.75" customHeight="1">
      <c r="A24" s="521"/>
      <c r="B24" s="522"/>
      <c r="C24" s="150" t="s">
        <v>709</v>
      </c>
      <c r="D24" s="386" t="s">
        <v>375</v>
      </c>
      <c r="E24" s="376"/>
      <c r="F24" s="377"/>
      <c r="G24" s="385">
        <v>21</v>
      </c>
      <c r="H24" s="385">
        <v>1291.8425224982109</v>
      </c>
      <c r="I24" s="385">
        <v>61.516310595152895</v>
      </c>
      <c r="J24" s="217" t="s">
        <v>896</v>
      </c>
      <c r="K24" s="549"/>
      <c r="L24" s="523"/>
      <c r="M24" s="115"/>
      <c r="P24" s="229"/>
      <c r="Q24" s="229"/>
      <c r="R24" s="229"/>
    </row>
    <row r="25" spans="1:18" ht="15.75" customHeight="1">
      <c r="A25" s="521"/>
      <c r="B25" s="522"/>
      <c r="C25" s="150" t="s">
        <v>710</v>
      </c>
      <c r="D25" s="375" t="s">
        <v>583</v>
      </c>
      <c r="E25" s="376"/>
      <c r="F25" s="377"/>
      <c r="G25" s="385">
        <v>18</v>
      </c>
      <c r="H25" s="385">
        <v>1234.1550443355864</v>
      </c>
      <c r="I25" s="385">
        <v>68.564169129754802</v>
      </c>
      <c r="J25" s="219" t="s">
        <v>895</v>
      </c>
      <c r="K25" s="550" t="s">
        <v>909</v>
      </c>
      <c r="L25" s="523"/>
      <c r="M25" s="115"/>
      <c r="P25" s="229"/>
      <c r="Q25" s="229"/>
      <c r="R25" s="229"/>
    </row>
    <row r="26" spans="1:18" ht="15.75" customHeight="1">
      <c r="A26" s="521"/>
      <c r="B26" s="522"/>
      <c r="C26" s="150" t="s">
        <v>711</v>
      </c>
      <c r="D26" s="375" t="s">
        <v>769</v>
      </c>
      <c r="E26" s="376"/>
      <c r="F26" s="377"/>
      <c r="G26" s="385">
        <v>18.857142857142858</v>
      </c>
      <c r="H26" s="385">
        <v>1317.8647496233921</v>
      </c>
      <c r="I26" s="385">
        <v>69.891438928158237</v>
      </c>
      <c r="J26" s="218" t="s">
        <v>893</v>
      </c>
      <c r="K26" s="563" t="s">
        <v>898</v>
      </c>
      <c r="L26" s="564"/>
      <c r="M26" s="115"/>
      <c r="P26" s="229"/>
      <c r="Q26" s="229"/>
      <c r="R26" s="229"/>
    </row>
    <row r="27" spans="1:18" ht="15.75" customHeight="1">
      <c r="A27" s="521"/>
      <c r="B27" s="522"/>
      <c r="C27" s="150" t="s">
        <v>712</v>
      </c>
      <c r="D27" s="375" t="s">
        <v>580</v>
      </c>
      <c r="E27" s="376"/>
      <c r="F27" s="377"/>
      <c r="G27" s="385">
        <v>18</v>
      </c>
      <c r="H27" s="385">
        <v>1271.3368251161357</v>
      </c>
      <c r="I27" s="385">
        <v>70.629823617563105</v>
      </c>
      <c r="J27" s="219" t="s">
        <v>895</v>
      </c>
      <c r="K27" s="565"/>
      <c r="L27" s="566"/>
      <c r="M27" s="115"/>
      <c r="P27" s="229"/>
      <c r="Q27" s="229"/>
      <c r="R27" s="229"/>
    </row>
    <row r="28" spans="1:18" ht="15.75" customHeight="1">
      <c r="A28" s="521"/>
      <c r="B28" s="522"/>
      <c r="C28" s="150" t="s">
        <v>713</v>
      </c>
      <c r="D28" s="375" t="s">
        <v>372</v>
      </c>
      <c r="E28" s="376"/>
      <c r="F28" s="377"/>
      <c r="G28" s="385">
        <v>18</v>
      </c>
      <c r="H28" s="385">
        <v>1280.9835418038172</v>
      </c>
      <c r="I28" s="385">
        <v>71.165752322434301</v>
      </c>
      <c r="J28" s="218" t="s">
        <v>893</v>
      </c>
      <c r="K28" s="567"/>
      <c r="L28" s="568"/>
      <c r="M28" s="115"/>
      <c r="P28" s="229"/>
      <c r="Q28" s="229"/>
      <c r="R28" s="229"/>
    </row>
  </sheetData>
  <mergeCells count="23">
    <mergeCell ref="K10:L12"/>
    <mergeCell ref="K13:L17"/>
    <mergeCell ref="K26:L28"/>
    <mergeCell ref="A1:L2"/>
    <mergeCell ref="A3:L4"/>
    <mergeCell ref="A5:A6"/>
    <mergeCell ref="A7:B7"/>
    <mergeCell ref="D7:F7"/>
    <mergeCell ref="K7:L7"/>
    <mergeCell ref="A8:A17"/>
    <mergeCell ref="B8:B17"/>
    <mergeCell ref="A18:B18"/>
    <mergeCell ref="D18:F18"/>
    <mergeCell ref="K18:L18"/>
    <mergeCell ref="K8:L9"/>
    <mergeCell ref="A19:A28"/>
    <mergeCell ref="B19:B28"/>
    <mergeCell ref="K24:L24"/>
    <mergeCell ref="K25:L25"/>
    <mergeCell ref="K21:L22"/>
    <mergeCell ref="K23:L23"/>
    <mergeCell ref="K19:L19"/>
    <mergeCell ref="K20:L2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outlinePr summaryBelow="0" summaryRight="0"/>
  </sheetPr>
  <dimension ref="A1:M28"/>
  <sheetViews>
    <sheetView zoomScale="70" zoomScaleNormal="70" zoomScaleSheetLayoutView="100" workbookViewId="0">
      <selection activeCell="D8" sqref="D8:L23"/>
    </sheetView>
  </sheetViews>
  <sheetFormatPr defaultColWidth="12.54296875" defaultRowHeight="15.75" customHeight="1"/>
  <cols>
    <col min="1" max="1" width="6.453125" style="115" customWidth="1"/>
    <col min="2" max="10" width="11.54296875" style="115" customWidth="1"/>
    <col min="11" max="12" width="12.81640625" style="115" customWidth="1"/>
    <col min="13" max="13" width="12.54296875" style="116"/>
    <col min="14" max="16384" width="12.54296875" style="115"/>
  </cols>
  <sheetData>
    <row r="1" spans="1:13" ht="15.75" customHeight="1">
      <c r="A1" s="399" t="s">
        <v>204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115"/>
    </row>
    <row r="2" spans="1:13" s="116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</row>
    <row r="3" spans="1:13" ht="15.75" customHeight="1">
      <c r="A3" s="524" t="s">
        <v>205</v>
      </c>
      <c r="B3" s="524"/>
      <c r="C3" s="524"/>
      <c r="D3" s="524"/>
      <c r="E3" s="524"/>
      <c r="F3" s="524"/>
      <c r="G3" s="524"/>
      <c r="H3" s="524"/>
      <c r="I3" s="524"/>
      <c r="J3" s="524"/>
      <c r="K3" s="524"/>
      <c r="L3" s="524"/>
      <c r="M3" s="115"/>
    </row>
    <row r="4" spans="1:13" s="116" customFormat="1" ht="15.75" customHeight="1">
      <c r="A4" s="524"/>
      <c r="B4" s="524"/>
      <c r="C4" s="524"/>
      <c r="D4" s="524"/>
      <c r="E4" s="524"/>
      <c r="F4" s="524"/>
      <c r="G4" s="524"/>
      <c r="H4" s="524"/>
      <c r="I4" s="524"/>
      <c r="J4" s="524"/>
      <c r="K4" s="524"/>
      <c r="L4" s="524"/>
    </row>
    <row r="5" spans="1:13" s="122" customFormat="1" ht="16.399999999999999" customHeight="1">
      <c r="A5" s="569" t="s">
        <v>154</v>
      </c>
      <c r="B5" s="143">
        <v>1</v>
      </c>
      <c r="C5" s="143">
        <v>2</v>
      </c>
      <c r="D5" s="143">
        <v>3</v>
      </c>
      <c r="E5" s="143">
        <v>4</v>
      </c>
      <c r="F5" s="143">
        <v>5</v>
      </c>
      <c r="G5" s="143">
        <v>6</v>
      </c>
      <c r="H5" s="151">
        <v>7</v>
      </c>
      <c r="I5" s="151">
        <v>8</v>
      </c>
      <c r="J5" s="143">
        <v>9</v>
      </c>
      <c r="K5" s="141"/>
      <c r="L5" s="141"/>
      <c r="M5" s="141"/>
    </row>
    <row r="6" spans="1:13" ht="16.399999999999999" customHeight="1">
      <c r="A6" s="571"/>
      <c r="B6" s="144" t="s">
        <v>206</v>
      </c>
      <c r="C6" s="144" t="s">
        <v>151</v>
      </c>
      <c r="D6" s="144" t="s">
        <v>207</v>
      </c>
      <c r="E6" s="144" t="s">
        <v>153</v>
      </c>
      <c r="F6" s="132" t="s">
        <v>133</v>
      </c>
      <c r="G6" s="145" t="s">
        <v>131</v>
      </c>
      <c r="H6" s="152" t="s">
        <v>208</v>
      </c>
      <c r="I6" s="154" t="s">
        <v>209</v>
      </c>
      <c r="J6" s="145" t="s">
        <v>137</v>
      </c>
      <c r="K6" s="142"/>
      <c r="L6" s="142"/>
    </row>
    <row r="7" spans="1:13" s="122" customFormat="1" ht="15.75" customHeight="1">
      <c r="A7" s="588" t="s">
        <v>707</v>
      </c>
      <c r="B7" s="589"/>
      <c r="C7" s="378" t="s">
        <v>708</v>
      </c>
      <c r="D7" s="588" t="s">
        <v>12</v>
      </c>
      <c r="E7" s="590"/>
      <c r="F7" s="589"/>
      <c r="G7" s="378" t="s">
        <v>46</v>
      </c>
      <c r="H7" s="378" t="s">
        <v>757</v>
      </c>
      <c r="I7" s="378" t="s">
        <v>758</v>
      </c>
      <c r="J7" s="199" t="s">
        <v>759</v>
      </c>
      <c r="K7" s="588" t="s">
        <v>51</v>
      </c>
      <c r="L7" s="589"/>
      <c r="M7" s="141"/>
    </row>
    <row r="8" spans="1:13" ht="15.75" customHeight="1">
      <c r="A8" s="569">
        <v>7</v>
      </c>
      <c r="B8" s="572" t="s">
        <v>135</v>
      </c>
      <c r="C8" s="123">
        <v>1</v>
      </c>
      <c r="D8" s="375" t="s">
        <v>641</v>
      </c>
      <c r="E8" s="376"/>
      <c r="F8" s="377"/>
      <c r="G8" s="385">
        <v>13.428571428571429</v>
      </c>
      <c r="H8" s="385">
        <v>1251.9791131555592</v>
      </c>
      <c r="I8" s="385">
        <v>93.350700868271915</v>
      </c>
      <c r="J8" s="217" t="s">
        <v>896</v>
      </c>
      <c r="K8" s="586"/>
      <c r="L8" s="587"/>
    </row>
    <row r="9" spans="1:13" ht="15.75" customHeight="1">
      <c r="A9" s="570"/>
      <c r="B9" s="573"/>
      <c r="C9" s="123">
        <v>2</v>
      </c>
      <c r="D9" s="386" t="s">
        <v>677</v>
      </c>
      <c r="E9" s="376"/>
      <c r="F9" s="377"/>
      <c r="G9" s="385">
        <v>17</v>
      </c>
      <c r="H9" s="385">
        <v>1436.6332329414174</v>
      </c>
      <c r="I9" s="385">
        <v>84.507837231848072</v>
      </c>
      <c r="J9" s="217" t="s">
        <v>896</v>
      </c>
      <c r="K9" s="581"/>
      <c r="L9" s="582"/>
    </row>
    <row r="10" spans="1:13" ht="15.75" customHeight="1">
      <c r="A10" s="570"/>
      <c r="B10" s="573"/>
      <c r="C10" s="123">
        <v>3</v>
      </c>
      <c r="D10" s="375" t="s">
        <v>797</v>
      </c>
      <c r="E10" s="376"/>
      <c r="F10" s="377"/>
      <c r="G10" s="385">
        <v>16</v>
      </c>
      <c r="H10" s="385">
        <v>1302.2518525781127</v>
      </c>
      <c r="I10" s="385">
        <v>81.390740786132042</v>
      </c>
      <c r="J10" s="217" t="s">
        <v>896</v>
      </c>
      <c r="K10" s="581"/>
      <c r="L10" s="582"/>
    </row>
    <row r="11" spans="1:13" ht="15.75" customHeight="1">
      <c r="A11" s="570"/>
      <c r="B11" s="573"/>
      <c r="C11" s="123">
        <v>4</v>
      </c>
      <c r="D11" s="375"/>
      <c r="E11" s="376"/>
      <c r="F11" s="377"/>
      <c r="G11" s="385"/>
      <c r="H11" s="385"/>
      <c r="I11" s="385"/>
      <c r="J11" s="217"/>
      <c r="K11" s="581"/>
      <c r="L11" s="582"/>
    </row>
    <row r="12" spans="1:13" ht="15.75" customHeight="1">
      <c r="A12" s="570"/>
      <c r="B12" s="573"/>
      <c r="C12" s="123">
        <v>5</v>
      </c>
      <c r="D12" s="375"/>
      <c r="E12" s="376"/>
      <c r="F12" s="377"/>
      <c r="G12" s="385"/>
      <c r="H12" s="385"/>
      <c r="I12" s="385"/>
      <c r="J12" s="217"/>
      <c r="K12" s="581"/>
      <c r="L12" s="582"/>
    </row>
    <row r="13" spans="1:13" ht="15.75" customHeight="1">
      <c r="A13" s="570"/>
      <c r="B13" s="573"/>
      <c r="C13" s="150" t="s">
        <v>709</v>
      </c>
      <c r="D13" s="386"/>
      <c r="E13" s="376"/>
      <c r="F13" s="377"/>
      <c r="G13" s="385"/>
      <c r="H13" s="385"/>
      <c r="I13" s="385"/>
      <c r="J13" s="217"/>
      <c r="K13" s="581"/>
      <c r="L13" s="582"/>
    </row>
    <row r="14" spans="1:13" ht="15.75" customHeight="1">
      <c r="A14" s="570"/>
      <c r="B14" s="573"/>
      <c r="C14" s="150" t="s">
        <v>710</v>
      </c>
      <c r="D14" s="375"/>
      <c r="E14" s="376"/>
      <c r="F14" s="377"/>
      <c r="G14" s="385"/>
      <c r="H14" s="385"/>
      <c r="I14" s="385"/>
      <c r="J14" s="217"/>
      <c r="K14" s="591"/>
      <c r="L14" s="582"/>
    </row>
    <row r="15" spans="1:13" ht="15.75" customHeight="1">
      <c r="A15" s="570"/>
      <c r="B15" s="573"/>
      <c r="C15" s="150" t="s">
        <v>711</v>
      </c>
      <c r="D15" s="375"/>
      <c r="E15" s="376"/>
      <c r="F15" s="377"/>
      <c r="G15" s="385"/>
      <c r="H15" s="385"/>
      <c r="I15" s="385"/>
      <c r="J15" s="217"/>
      <c r="K15" s="591"/>
      <c r="L15" s="582"/>
    </row>
    <row r="16" spans="1:13" ht="15.75" customHeight="1">
      <c r="A16" s="570"/>
      <c r="B16" s="573"/>
      <c r="C16" s="150" t="s">
        <v>712</v>
      </c>
      <c r="D16" s="375"/>
      <c r="E16" s="376"/>
      <c r="F16" s="377"/>
      <c r="G16" s="385"/>
      <c r="H16" s="385"/>
      <c r="I16" s="385"/>
      <c r="J16" s="217"/>
      <c r="K16" s="591"/>
      <c r="L16" s="582"/>
      <c r="M16" s="115"/>
    </row>
    <row r="17" spans="1:13" ht="15.75" customHeight="1">
      <c r="A17" s="571"/>
      <c r="B17" s="574"/>
      <c r="C17" s="150" t="s">
        <v>713</v>
      </c>
      <c r="D17" s="375"/>
      <c r="E17" s="376"/>
      <c r="F17" s="377"/>
      <c r="G17" s="149"/>
      <c r="H17" s="149"/>
      <c r="I17" s="149"/>
      <c r="J17" s="149"/>
      <c r="K17" s="591"/>
      <c r="L17" s="582"/>
      <c r="M17" s="115"/>
    </row>
    <row r="18" spans="1:13" s="120" customFormat="1" ht="15.75" customHeight="1">
      <c r="A18" s="583" t="s">
        <v>707</v>
      </c>
      <c r="B18" s="584"/>
      <c r="C18" s="256" t="s">
        <v>708</v>
      </c>
      <c r="D18" s="583" t="s">
        <v>12</v>
      </c>
      <c r="E18" s="585"/>
      <c r="F18" s="584"/>
      <c r="G18" s="256" t="s">
        <v>899</v>
      </c>
      <c r="H18" s="256" t="s">
        <v>900</v>
      </c>
      <c r="I18" s="256" t="s">
        <v>901</v>
      </c>
      <c r="J18" s="199" t="s">
        <v>902</v>
      </c>
      <c r="K18" s="583" t="s">
        <v>903</v>
      </c>
      <c r="L18" s="584"/>
      <c r="M18" s="142"/>
    </row>
    <row r="19" spans="1:13" ht="15.75" customHeight="1">
      <c r="A19" s="569">
        <v>8</v>
      </c>
      <c r="B19" s="572" t="s">
        <v>136</v>
      </c>
      <c r="C19" s="123">
        <v>1</v>
      </c>
      <c r="D19" s="375" t="s">
        <v>378</v>
      </c>
      <c r="E19" s="376"/>
      <c r="F19" s="377"/>
      <c r="G19" s="385">
        <v>19.142857142857142</v>
      </c>
      <c r="H19" s="385">
        <v>2524.3319952981192</v>
      </c>
      <c r="I19" s="385">
        <v>131.91657834186304</v>
      </c>
      <c r="J19" s="218" t="s">
        <v>893</v>
      </c>
      <c r="K19" s="533" t="s">
        <v>898</v>
      </c>
      <c r="L19" s="534"/>
      <c r="M19" s="115"/>
    </row>
    <row r="20" spans="1:13" ht="15.75" customHeight="1">
      <c r="A20" s="570"/>
      <c r="B20" s="573"/>
      <c r="C20" s="123">
        <v>2</v>
      </c>
      <c r="D20" s="375" t="s">
        <v>380</v>
      </c>
      <c r="E20" s="376"/>
      <c r="F20" s="377"/>
      <c r="G20" s="385">
        <v>20</v>
      </c>
      <c r="H20" s="385">
        <v>2538.5933960580487</v>
      </c>
      <c r="I20" s="385">
        <v>126.92966980290244</v>
      </c>
      <c r="J20" s="219" t="s">
        <v>895</v>
      </c>
      <c r="K20" s="579"/>
      <c r="L20" s="580"/>
      <c r="M20" s="115"/>
    </row>
    <row r="21" spans="1:13" ht="15.75" customHeight="1">
      <c r="A21" s="570"/>
      <c r="B21" s="573"/>
      <c r="C21" s="123">
        <v>3</v>
      </c>
      <c r="D21" s="386" t="s">
        <v>379</v>
      </c>
      <c r="E21" s="376"/>
      <c r="F21" s="377"/>
      <c r="G21" s="385">
        <v>19.142857142857142</v>
      </c>
      <c r="H21" s="385">
        <v>2396.9452100840331</v>
      </c>
      <c r="I21" s="385">
        <v>125.15174922600617</v>
      </c>
      <c r="J21" s="219" t="s">
        <v>895</v>
      </c>
      <c r="K21" s="535"/>
      <c r="L21" s="536"/>
      <c r="M21" s="115"/>
    </row>
    <row r="22" spans="1:13" ht="15.75" customHeight="1">
      <c r="A22" s="570"/>
      <c r="B22" s="573"/>
      <c r="C22" s="123">
        <v>4</v>
      </c>
      <c r="D22" s="375" t="s">
        <v>646</v>
      </c>
      <c r="E22" s="376"/>
      <c r="F22" s="377"/>
      <c r="G22" s="385">
        <v>18</v>
      </c>
      <c r="H22" s="385">
        <v>2162.0335968330442</v>
      </c>
      <c r="I22" s="385">
        <v>120.11297760183579</v>
      </c>
      <c r="J22" s="217" t="s">
        <v>896</v>
      </c>
      <c r="K22" s="577"/>
      <c r="L22" s="578"/>
      <c r="M22" s="115"/>
    </row>
    <row r="23" spans="1:13" ht="15.75" customHeight="1">
      <c r="A23" s="570"/>
      <c r="B23" s="573"/>
      <c r="C23" s="123">
        <v>5</v>
      </c>
      <c r="D23" s="375" t="s">
        <v>377</v>
      </c>
      <c r="E23" s="376"/>
      <c r="F23" s="377"/>
      <c r="G23" s="385">
        <v>20</v>
      </c>
      <c r="H23" s="385">
        <v>2277.4089280617613</v>
      </c>
      <c r="I23" s="385">
        <v>113.87044640308807</v>
      </c>
      <c r="J23" s="217" t="s">
        <v>896</v>
      </c>
      <c r="K23" s="577"/>
      <c r="L23" s="578"/>
      <c r="M23" s="115"/>
    </row>
    <row r="24" spans="1:13" ht="15.75" customHeight="1">
      <c r="A24" s="570"/>
      <c r="B24" s="573"/>
      <c r="C24" s="150" t="s">
        <v>709</v>
      </c>
      <c r="D24" s="375"/>
      <c r="E24" s="376"/>
      <c r="F24" s="377"/>
      <c r="G24" s="149"/>
      <c r="H24" s="149"/>
      <c r="I24" s="149"/>
      <c r="J24" s="149"/>
      <c r="K24" s="577"/>
      <c r="L24" s="578"/>
      <c r="M24" s="115"/>
    </row>
    <row r="25" spans="1:13" ht="15.75" customHeight="1">
      <c r="A25" s="570"/>
      <c r="B25" s="573"/>
      <c r="C25" s="150" t="s">
        <v>710</v>
      </c>
      <c r="D25" s="375"/>
      <c r="E25" s="376"/>
      <c r="F25" s="377"/>
      <c r="G25" s="149"/>
      <c r="H25" s="149"/>
      <c r="I25" s="149"/>
      <c r="J25" s="149"/>
      <c r="K25" s="575"/>
      <c r="L25" s="576"/>
      <c r="M25" s="115"/>
    </row>
    <row r="26" spans="1:13" ht="15.75" customHeight="1">
      <c r="A26" s="570"/>
      <c r="B26" s="573"/>
      <c r="C26" s="150" t="s">
        <v>711</v>
      </c>
      <c r="D26" s="375"/>
      <c r="E26" s="376"/>
      <c r="F26" s="377"/>
      <c r="G26" s="149"/>
      <c r="H26" s="149"/>
      <c r="I26" s="149"/>
      <c r="J26" s="149"/>
      <c r="K26" s="575"/>
      <c r="L26" s="576"/>
      <c r="M26" s="115"/>
    </row>
    <row r="27" spans="1:13" ht="15.75" customHeight="1">
      <c r="A27" s="570"/>
      <c r="B27" s="573"/>
      <c r="C27" s="150" t="s">
        <v>712</v>
      </c>
      <c r="D27" s="375"/>
      <c r="E27" s="376"/>
      <c r="F27" s="377"/>
      <c r="G27" s="149"/>
      <c r="H27" s="149"/>
      <c r="I27" s="149"/>
      <c r="J27" s="149"/>
      <c r="K27" s="575"/>
      <c r="L27" s="576"/>
      <c r="M27" s="115"/>
    </row>
    <row r="28" spans="1:13" ht="15.75" customHeight="1">
      <c r="A28" s="571"/>
      <c r="B28" s="574"/>
      <c r="C28" s="150" t="s">
        <v>713</v>
      </c>
      <c r="D28" s="375"/>
      <c r="E28" s="376"/>
      <c r="F28" s="377"/>
      <c r="G28" s="149"/>
      <c r="H28" s="149"/>
      <c r="I28" s="149"/>
      <c r="J28" s="149"/>
      <c r="K28" s="575"/>
      <c r="L28" s="576"/>
      <c r="M28" s="115"/>
    </row>
  </sheetData>
  <mergeCells count="31">
    <mergeCell ref="A1:L2"/>
    <mergeCell ref="K8:L8"/>
    <mergeCell ref="K9:L9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3:L13"/>
    <mergeCell ref="K14:L14"/>
    <mergeCell ref="K15:L15"/>
    <mergeCell ref="K10:L10"/>
    <mergeCell ref="K11:L11"/>
    <mergeCell ref="K12:L12"/>
    <mergeCell ref="A18:B18"/>
    <mergeCell ref="D18:F18"/>
    <mergeCell ref="K18:L18"/>
    <mergeCell ref="A19:A28"/>
    <mergeCell ref="B19:B28"/>
    <mergeCell ref="K28:L28"/>
    <mergeCell ref="K24:L24"/>
    <mergeCell ref="K25:L25"/>
    <mergeCell ref="K27:L27"/>
    <mergeCell ref="K26:L26"/>
    <mergeCell ref="K22:L22"/>
    <mergeCell ref="K23:L23"/>
    <mergeCell ref="K19:L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M28"/>
  <sheetViews>
    <sheetView zoomScale="70" zoomScaleNormal="70" zoomScaleSheetLayoutView="100" workbookViewId="0">
      <selection activeCell="K9" sqref="K9:L12"/>
    </sheetView>
  </sheetViews>
  <sheetFormatPr defaultColWidth="12.54296875" defaultRowHeight="15.75" customHeight="1"/>
  <cols>
    <col min="1" max="1" width="6.453125" style="115" customWidth="1"/>
    <col min="2" max="10" width="11.54296875" style="115" customWidth="1"/>
    <col min="11" max="12" width="12.81640625" style="115" customWidth="1"/>
    <col min="13" max="13" width="12.54296875" style="116"/>
    <col min="14" max="16384" width="12.54296875" style="115"/>
  </cols>
  <sheetData>
    <row r="1" spans="1:13" ht="15.75" customHeight="1">
      <c r="A1" s="399" t="s">
        <v>204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115"/>
    </row>
    <row r="2" spans="1:13" s="116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</row>
    <row r="3" spans="1:13" ht="15.75" customHeight="1">
      <c r="A3" s="524" t="s">
        <v>205</v>
      </c>
      <c r="B3" s="524"/>
      <c r="C3" s="524"/>
      <c r="D3" s="524"/>
      <c r="E3" s="524"/>
      <c r="F3" s="524"/>
      <c r="G3" s="524"/>
      <c r="H3" s="524"/>
      <c r="I3" s="524"/>
      <c r="J3" s="524"/>
      <c r="K3" s="524"/>
      <c r="L3" s="524"/>
      <c r="M3" s="115"/>
    </row>
    <row r="4" spans="1:13" s="116" customFormat="1" ht="15.75" customHeight="1">
      <c r="A4" s="524"/>
      <c r="B4" s="524"/>
      <c r="C4" s="524"/>
      <c r="D4" s="524"/>
      <c r="E4" s="524"/>
      <c r="F4" s="524"/>
      <c r="G4" s="524"/>
      <c r="H4" s="524"/>
      <c r="I4" s="524"/>
      <c r="J4" s="524"/>
      <c r="K4" s="524"/>
      <c r="L4" s="524"/>
    </row>
    <row r="5" spans="1:13" s="122" customFormat="1" ht="16.399999999999999" customHeight="1">
      <c r="A5" s="569" t="s">
        <v>154</v>
      </c>
      <c r="B5" s="143">
        <v>1</v>
      </c>
      <c r="C5" s="143">
        <v>2</v>
      </c>
      <c r="D5" s="143">
        <v>3</v>
      </c>
      <c r="E5" s="143">
        <v>4</v>
      </c>
      <c r="F5" s="143">
        <v>5</v>
      </c>
      <c r="G5" s="143">
        <v>6</v>
      </c>
      <c r="H5" s="143">
        <v>7</v>
      </c>
      <c r="I5" s="143">
        <v>8</v>
      </c>
      <c r="J5" s="151">
        <v>9</v>
      </c>
      <c r="K5" s="141"/>
      <c r="L5" s="141"/>
      <c r="M5" s="141"/>
    </row>
    <row r="6" spans="1:13" ht="16.399999999999999" customHeight="1">
      <c r="A6" s="571"/>
      <c r="B6" s="144" t="s">
        <v>206</v>
      </c>
      <c r="C6" s="144" t="s">
        <v>151</v>
      </c>
      <c r="D6" s="144" t="s">
        <v>207</v>
      </c>
      <c r="E6" s="144" t="s">
        <v>153</v>
      </c>
      <c r="F6" s="132" t="s">
        <v>133</v>
      </c>
      <c r="G6" s="145" t="s">
        <v>131</v>
      </c>
      <c r="H6" s="146" t="s">
        <v>208</v>
      </c>
      <c r="I6" s="145" t="s">
        <v>209</v>
      </c>
      <c r="J6" s="154" t="s">
        <v>137</v>
      </c>
      <c r="K6" s="142"/>
      <c r="L6" s="142"/>
    </row>
    <row r="7" spans="1:13" s="122" customFormat="1" ht="15.75" customHeight="1">
      <c r="A7" s="588" t="s">
        <v>707</v>
      </c>
      <c r="B7" s="589"/>
      <c r="C7" s="378" t="s">
        <v>708</v>
      </c>
      <c r="D7" s="588" t="s">
        <v>12</v>
      </c>
      <c r="E7" s="590"/>
      <c r="F7" s="589"/>
      <c r="G7" s="378" t="s">
        <v>752</v>
      </c>
      <c r="H7" s="378" t="s">
        <v>753</v>
      </c>
      <c r="I7" s="378" t="s">
        <v>754</v>
      </c>
      <c r="J7" s="199" t="s">
        <v>755</v>
      </c>
      <c r="K7" s="588" t="s">
        <v>756</v>
      </c>
      <c r="L7" s="589"/>
      <c r="M7" s="141"/>
    </row>
    <row r="8" spans="1:13" ht="15.75" customHeight="1">
      <c r="A8" s="569">
        <v>9</v>
      </c>
      <c r="B8" s="572" t="s">
        <v>137</v>
      </c>
      <c r="C8" s="123">
        <v>1</v>
      </c>
      <c r="D8" s="375" t="s">
        <v>801</v>
      </c>
      <c r="E8" s="376"/>
      <c r="F8" s="377"/>
      <c r="G8" s="385">
        <v>6</v>
      </c>
      <c r="H8" s="385">
        <v>1539.0921342517654</v>
      </c>
      <c r="I8" s="385">
        <v>256.51535570862762</v>
      </c>
      <c r="J8" s="217" t="s">
        <v>896</v>
      </c>
      <c r="K8" s="547"/>
      <c r="L8" s="587"/>
    </row>
    <row r="9" spans="1:13" ht="15.75" customHeight="1">
      <c r="A9" s="570"/>
      <c r="B9" s="573"/>
      <c r="C9" s="123">
        <v>2</v>
      </c>
      <c r="D9" s="375" t="s">
        <v>381</v>
      </c>
      <c r="E9" s="376"/>
      <c r="F9" s="377"/>
      <c r="G9" s="385">
        <v>7</v>
      </c>
      <c r="H9" s="385">
        <v>1486.5310820327213</v>
      </c>
      <c r="I9" s="385">
        <v>212.3615831475316</v>
      </c>
      <c r="J9" s="218" t="s">
        <v>893</v>
      </c>
      <c r="K9" s="598" t="s">
        <v>910</v>
      </c>
      <c r="L9" s="599"/>
    </row>
    <row r="10" spans="1:13" ht="15.75" customHeight="1">
      <c r="A10" s="570"/>
      <c r="B10" s="573"/>
      <c r="C10" s="123">
        <v>3</v>
      </c>
      <c r="D10" s="375" t="s">
        <v>382</v>
      </c>
      <c r="E10" s="376"/>
      <c r="F10" s="377"/>
      <c r="G10" s="385">
        <v>7</v>
      </c>
      <c r="H10" s="385">
        <v>1484.5718222325618</v>
      </c>
      <c r="I10" s="385">
        <v>212.08168889036597</v>
      </c>
      <c r="J10" s="219" t="s">
        <v>895</v>
      </c>
      <c r="K10" s="600"/>
      <c r="L10" s="601"/>
    </row>
    <row r="11" spans="1:13" ht="15.75" customHeight="1">
      <c r="A11" s="570"/>
      <c r="B11" s="573"/>
      <c r="C11" s="123">
        <v>4</v>
      </c>
      <c r="D11" s="386" t="s">
        <v>423</v>
      </c>
      <c r="E11" s="376"/>
      <c r="F11" s="377"/>
      <c r="G11" s="385">
        <v>7</v>
      </c>
      <c r="H11" s="385">
        <v>1478.1587869274558</v>
      </c>
      <c r="I11" s="385">
        <v>211.16554098963658</v>
      </c>
      <c r="J11" s="219" t="s">
        <v>895</v>
      </c>
      <c r="K11" s="600"/>
      <c r="L11" s="601"/>
    </row>
    <row r="12" spans="1:13" ht="15.75" customHeight="1">
      <c r="A12" s="570"/>
      <c r="B12" s="573"/>
      <c r="C12" s="123">
        <v>5</v>
      </c>
      <c r="D12" s="375" t="s">
        <v>770</v>
      </c>
      <c r="E12" s="376"/>
      <c r="F12" s="377"/>
      <c r="G12" s="149">
        <v>7</v>
      </c>
      <c r="H12" s="385">
        <v>1395.6137999825362</v>
      </c>
      <c r="I12" s="385">
        <v>199.37339999750515</v>
      </c>
      <c r="J12" s="219" t="s">
        <v>895</v>
      </c>
      <c r="K12" s="602"/>
      <c r="L12" s="603"/>
    </row>
    <row r="13" spans="1:13" ht="15.75" customHeight="1">
      <c r="A13" s="570"/>
      <c r="B13" s="573"/>
      <c r="C13" s="150" t="s">
        <v>709</v>
      </c>
      <c r="D13" s="375" t="s">
        <v>349</v>
      </c>
      <c r="E13" s="376"/>
      <c r="F13" s="377"/>
      <c r="G13" s="385">
        <v>20</v>
      </c>
      <c r="H13" s="385">
        <v>1417.2040201345376</v>
      </c>
      <c r="I13" s="385">
        <v>70.860201006726896</v>
      </c>
      <c r="J13" s="217" t="s">
        <v>896</v>
      </c>
      <c r="K13" s="586"/>
      <c r="L13" s="587"/>
    </row>
    <row r="14" spans="1:13" ht="15.75" customHeight="1">
      <c r="A14" s="570"/>
      <c r="B14" s="573"/>
      <c r="C14" s="150" t="s">
        <v>710</v>
      </c>
      <c r="D14" s="375" t="s">
        <v>383</v>
      </c>
      <c r="E14" s="376"/>
      <c r="F14" s="377"/>
      <c r="G14" s="385">
        <v>16</v>
      </c>
      <c r="H14" s="385">
        <v>1392.7233216106138</v>
      </c>
      <c r="I14" s="385">
        <v>87.04520760066336</v>
      </c>
      <c r="J14" s="217" t="s">
        <v>896</v>
      </c>
      <c r="K14" s="591"/>
      <c r="L14" s="582"/>
    </row>
    <row r="15" spans="1:13" ht="15.75" customHeight="1">
      <c r="A15" s="570"/>
      <c r="B15" s="573"/>
      <c r="C15" s="150" t="s">
        <v>711</v>
      </c>
      <c r="D15" s="375"/>
      <c r="E15" s="376"/>
      <c r="F15" s="377"/>
      <c r="G15" s="385"/>
      <c r="H15" s="385"/>
      <c r="I15" s="385"/>
      <c r="J15" s="217"/>
      <c r="K15" s="591"/>
      <c r="L15" s="582"/>
    </row>
    <row r="16" spans="1:13" ht="15.75" customHeight="1">
      <c r="A16" s="570"/>
      <c r="B16" s="573"/>
      <c r="C16" s="150" t="s">
        <v>712</v>
      </c>
      <c r="D16" s="375"/>
      <c r="E16" s="376"/>
      <c r="F16" s="377"/>
      <c r="G16" s="385"/>
      <c r="H16" s="385"/>
      <c r="I16" s="385"/>
      <c r="J16" s="218"/>
      <c r="K16" s="591"/>
      <c r="L16" s="582"/>
      <c r="M16" s="115"/>
    </row>
    <row r="17" spans="1:13" ht="15.75" customHeight="1">
      <c r="A17" s="571"/>
      <c r="B17" s="574"/>
      <c r="C17" s="150" t="s">
        <v>713</v>
      </c>
      <c r="D17" s="375"/>
      <c r="E17" s="376"/>
      <c r="F17" s="377"/>
      <c r="G17" s="149"/>
      <c r="H17" s="149"/>
      <c r="I17" s="149"/>
      <c r="J17" s="149"/>
      <c r="K17" s="591"/>
      <c r="L17" s="582"/>
      <c r="M17" s="115"/>
    </row>
    <row r="18" spans="1:13" s="120" customFormat="1" ht="15.75" customHeight="1">
      <c r="A18" s="583" t="s">
        <v>187</v>
      </c>
      <c r="B18" s="584"/>
      <c r="C18" s="256" t="s">
        <v>415</v>
      </c>
      <c r="D18" s="583" t="s">
        <v>12</v>
      </c>
      <c r="E18" s="585"/>
      <c r="F18" s="584"/>
      <c r="G18" s="256" t="s">
        <v>831</v>
      </c>
      <c r="H18" s="256" t="s">
        <v>832</v>
      </c>
      <c r="I18" s="256" t="s">
        <v>833</v>
      </c>
      <c r="J18" s="199" t="s">
        <v>834</v>
      </c>
      <c r="K18" s="583" t="s">
        <v>835</v>
      </c>
      <c r="L18" s="584"/>
      <c r="M18" s="142"/>
    </row>
    <row r="19" spans="1:13" ht="15.75" customHeight="1">
      <c r="A19" s="569"/>
      <c r="B19" s="572"/>
      <c r="C19" s="123">
        <v>1</v>
      </c>
      <c r="D19" s="375"/>
      <c r="E19" s="376"/>
      <c r="F19" s="377"/>
      <c r="G19" s="149"/>
      <c r="H19" s="149"/>
      <c r="I19" s="149"/>
      <c r="J19" s="149"/>
      <c r="K19" s="595"/>
      <c r="L19" s="596"/>
      <c r="M19" s="115"/>
    </row>
    <row r="20" spans="1:13" ht="15.75" customHeight="1">
      <c r="A20" s="570"/>
      <c r="B20" s="573"/>
      <c r="C20" s="123">
        <v>2</v>
      </c>
      <c r="D20" s="375"/>
      <c r="E20" s="376"/>
      <c r="F20" s="377"/>
      <c r="G20" s="149"/>
      <c r="H20" s="149"/>
      <c r="I20" s="149"/>
      <c r="J20" s="149"/>
      <c r="K20" s="592"/>
      <c r="L20" s="593"/>
      <c r="M20" s="115"/>
    </row>
    <row r="21" spans="1:13" ht="15.75" customHeight="1">
      <c r="A21" s="570"/>
      <c r="B21" s="573"/>
      <c r="C21" s="123">
        <v>3</v>
      </c>
      <c r="D21" s="375"/>
      <c r="E21" s="376"/>
      <c r="F21" s="377"/>
      <c r="G21" s="149"/>
      <c r="H21" s="149"/>
      <c r="I21" s="149"/>
      <c r="J21" s="149"/>
      <c r="K21" s="592"/>
      <c r="L21" s="593"/>
      <c r="M21" s="115"/>
    </row>
    <row r="22" spans="1:13" ht="15.75" customHeight="1">
      <c r="A22" s="570"/>
      <c r="B22" s="573"/>
      <c r="C22" s="123">
        <v>4</v>
      </c>
      <c r="D22" s="592"/>
      <c r="E22" s="594"/>
      <c r="F22" s="593"/>
      <c r="G22" s="149"/>
      <c r="H22" s="149"/>
      <c r="I22" s="149"/>
      <c r="J22" s="149"/>
      <c r="K22" s="592"/>
      <c r="L22" s="593"/>
      <c r="M22" s="115"/>
    </row>
    <row r="23" spans="1:13" ht="15.75" customHeight="1">
      <c r="A23" s="570"/>
      <c r="B23" s="573"/>
      <c r="C23" s="123">
        <v>5</v>
      </c>
      <c r="D23" s="592"/>
      <c r="E23" s="594"/>
      <c r="F23" s="593"/>
      <c r="G23" s="149"/>
      <c r="H23" s="149"/>
      <c r="I23" s="149"/>
      <c r="J23" s="149"/>
      <c r="K23" s="592"/>
      <c r="L23" s="593"/>
      <c r="M23" s="115"/>
    </row>
    <row r="24" spans="1:13" ht="15.75" customHeight="1">
      <c r="A24" s="570"/>
      <c r="B24" s="573"/>
      <c r="C24" s="150" t="s">
        <v>416</v>
      </c>
      <c r="D24" s="595"/>
      <c r="E24" s="597"/>
      <c r="F24" s="596"/>
      <c r="G24" s="149"/>
      <c r="H24" s="149"/>
      <c r="I24" s="149"/>
      <c r="J24" s="149"/>
      <c r="K24" s="595"/>
      <c r="L24" s="596"/>
      <c r="M24" s="115"/>
    </row>
    <row r="25" spans="1:13" ht="15.75" customHeight="1">
      <c r="A25" s="570"/>
      <c r="B25" s="573"/>
      <c r="C25" s="150" t="s">
        <v>417</v>
      </c>
      <c r="D25" s="592"/>
      <c r="E25" s="594"/>
      <c r="F25" s="593"/>
      <c r="G25" s="149"/>
      <c r="H25" s="149"/>
      <c r="I25" s="149"/>
      <c r="J25" s="149"/>
      <c r="K25" s="592"/>
      <c r="L25" s="593"/>
      <c r="M25" s="115"/>
    </row>
    <row r="26" spans="1:13" ht="15.75" customHeight="1">
      <c r="A26" s="570"/>
      <c r="B26" s="573"/>
      <c r="C26" s="150" t="s">
        <v>418</v>
      </c>
      <c r="D26" s="592"/>
      <c r="E26" s="594"/>
      <c r="F26" s="593"/>
      <c r="G26" s="149"/>
      <c r="H26" s="149"/>
      <c r="I26" s="149"/>
      <c r="J26" s="149"/>
      <c r="K26" s="592"/>
      <c r="L26" s="593"/>
      <c r="M26" s="115"/>
    </row>
    <row r="27" spans="1:13" ht="15.75" customHeight="1">
      <c r="A27" s="570"/>
      <c r="B27" s="573"/>
      <c r="C27" s="150" t="s">
        <v>419</v>
      </c>
      <c r="D27" s="592"/>
      <c r="E27" s="594"/>
      <c r="F27" s="593"/>
      <c r="G27" s="149"/>
      <c r="H27" s="149"/>
      <c r="I27" s="149"/>
      <c r="J27" s="149"/>
      <c r="K27" s="592"/>
      <c r="L27" s="593"/>
      <c r="M27" s="115"/>
    </row>
    <row r="28" spans="1:13" ht="15.75" customHeight="1">
      <c r="A28" s="571"/>
      <c r="B28" s="574"/>
      <c r="C28" s="150" t="s">
        <v>420</v>
      </c>
      <c r="D28" s="592"/>
      <c r="E28" s="594"/>
      <c r="F28" s="593"/>
      <c r="G28" s="149"/>
      <c r="H28" s="149"/>
      <c r="I28" s="149"/>
      <c r="J28" s="149"/>
      <c r="K28" s="592"/>
      <c r="L28" s="593"/>
      <c r="M28" s="115"/>
    </row>
  </sheetData>
  <mergeCells count="37">
    <mergeCell ref="K8:L8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16:L16"/>
    <mergeCell ref="K9:L12"/>
    <mergeCell ref="K17:L17"/>
    <mergeCell ref="A18:B18"/>
    <mergeCell ref="D18:F18"/>
    <mergeCell ref="K18:L18"/>
    <mergeCell ref="A19:A28"/>
    <mergeCell ref="B19:B28"/>
    <mergeCell ref="K19:L19"/>
    <mergeCell ref="K20:L20"/>
    <mergeCell ref="D28:F28"/>
    <mergeCell ref="K28:L28"/>
    <mergeCell ref="D25:F25"/>
    <mergeCell ref="D26:F26"/>
    <mergeCell ref="K26:L26"/>
    <mergeCell ref="K21:L21"/>
    <mergeCell ref="D27:F27"/>
    <mergeCell ref="K27:L27"/>
    <mergeCell ref="D22:F22"/>
    <mergeCell ref="K25:L25"/>
    <mergeCell ref="K22:L22"/>
    <mergeCell ref="D23:F23"/>
    <mergeCell ref="K24:L24"/>
    <mergeCell ref="K23:L23"/>
    <mergeCell ref="D24:F2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outlinePr summaryBelow="0" summaryRight="0"/>
  </sheetPr>
  <dimension ref="A1:M15"/>
  <sheetViews>
    <sheetView zoomScale="115" zoomScaleNormal="115" zoomScaleSheetLayoutView="115" workbookViewId="0">
      <selection activeCell="N13" sqref="N13"/>
    </sheetView>
  </sheetViews>
  <sheetFormatPr defaultColWidth="12.54296875" defaultRowHeight="15.75" customHeight="1"/>
  <cols>
    <col min="1" max="1" width="7.54296875" style="167" customWidth="1"/>
    <col min="2" max="2" width="14.81640625" style="167" customWidth="1"/>
    <col min="3" max="3" width="12.81640625" style="167" customWidth="1"/>
    <col min="4" max="4" width="2.54296875" style="167" customWidth="1"/>
    <col min="5" max="5" width="7.54296875" style="167" customWidth="1"/>
    <col min="6" max="6" width="12.81640625" style="167" customWidth="1"/>
    <col min="7" max="7" width="9.453125" style="167" customWidth="1"/>
    <col min="8" max="8" width="12.81640625" style="167" customWidth="1"/>
    <col min="9" max="9" width="9.453125" style="167" customWidth="1"/>
    <col min="10" max="10" width="12.81640625" style="167" customWidth="1"/>
    <col min="11" max="11" width="9.453125" style="167" customWidth="1"/>
    <col min="12" max="12" width="12.81640625" style="167" customWidth="1"/>
    <col min="13" max="13" width="9.453125" style="167" customWidth="1"/>
    <col min="14" max="16384" width="12.54296875" style="167"/>
  </cols>
  <sheetData>
    <row r="1" spans="1:13" ht="15.75" customHeight="1">
      <c r="A1" s="604" t="s">
        <v>236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</row>
    <row r="2" spans="1:13" s="168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</row>
    <row r="3" spans="1:13" ht="15.75" customHeight="1">
      <c r="A3" s="605" t="s">
        <v>237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5"/>
    </row>
    <row r="4" spans="1:13" s="168" customFormat="1" ht="15.75" customHeight="1">
      <c r="A4" s="605"/>
      <c r="B4" s="605"/>
      <c r="C4" s="605"/>
      <c r="D4" s="605"/>
      <c r="E4" s="605"/>
      <c r="F4" s="605"/>
      <c r="G4" s="605"/>
      <c r="H4" s="605"/>
      <c r="I4" s="605"/>
      <c r="J4" s="605"/>
      <c r="K4" s="605"/>
      <c r="L4" s="605"/>
      <c r="M4" s="605"/>
    </row>
    <row r="5" spans="1:13" ht="15.75" customHeight="1">
      <c r="A5" s="169" t="s">
        <v>238</v>
      </c>
      <c r="B5" s="170">
        <v>212376150</v>
      </c>
    </row>
    <row r="6" spans="1:13" ht="15.75" customHeight="1">
      <c r="A6" s="606" t="s">
        <v>239</v>
      </c>
      <c r="B6" s="607" t="s">
        <v>10</v>
      </c>
      <c r="C6" s="607"/>
      <c r="D6" s="608"/>
      <c r="E6" s="606" t="s">
        <v>239</v>
      </c>
      <c r="F6" s="610">
        <v>1</v>
      </c>
      <c r="G6" s="610"/>
      <c r="H6" s="610">
        <v>2</v>
      </c>
      <c r="I6" s="610"/>
      <c r="J6" s="610">
        <v>3</v>
      </c>
      <c r="K6" s="610"/>
      <c r="L6" s="610">
        <v>4</v>
      </c>
      <c r="M6" s="610"/>
    </row>
    <row r="7" spans="1:13" ht="31.4" customHeight="1">
      <c r="A7" s="606"/>
      <c r="B7" s="607"/>
      <c r="C7" s="607"/>
      <c r="D7" s="609"/>
      <c r="E7" s="606"/>
      <c r="F7" s="612" t="s">
        <v>250</v>
      </c>
      <c r="G7" s="612"/>
      <c r="H7" s="612" t="s">
        <v>240</v>
      </c>
      <c r="I7" s="612"/>
      <c r="J7" s="612" t="s">
        <v>241</v>
      </c>
      <c r="K7" s="612"/>
      <c r="L7" s="612" t="s">
        <v>242</v>
      </c>
      <c r="M7" s="612"/>
    </row>
    <row r="8" spans="1:13" ht="15.75" customHeight="1">
      <c r="A8" s="606"/>
      <c r="B8" s="193" t="s">
        <v>11</v>
      </c>
      <c r="C8" s="193" t="s">
        <v>243</v>
      </c>
      <c r="D8" s="609"/>
      <c r="E8" s="606"/>
      <c r="F8" s="193" t="s">
        <v>11</v>
      </c>
      <c r="G8" s="193" t="s">
        <v>243</v>
      </c>
      <c r="H8" s="193" t="s">
        <v>11</v>
      </c>
      <c r="I8" s="193" t="s">
        <v>243</v>
      </c>
      <c r="J8" s="193" t="s">
        <v>11</v>
      </c>
      <c r="K8" s="193" t="s">
        <v>243</v>
      </c>
      <c r="L8" s="193" t="s">
        <v>11</v>
      </c>
      <c r="M8" s="193" t="s">
        <v>243</v>
      </c>
    </row>
    <row r="9" spans="1:13" ht="19.399999999999999" customHeight="1">
      <c r="A9" s="171" t="s">
        <v>244</v>
      </c>
      <c r="B9" s="172">
        <v>47927.00699999994</v>
      </c>
      <c r="C9" s="173">
        <f>B9/$B$5</f>
        <v>2.256703824793883E-4</v>
      </c>
      <c r="D9" s="609"/>
      <c r="E9" s="171" t="s">
        <v>244</v>
      </c>
      <c r="F9" s="174">
        <v>1423.9050000000002</v>
      </c>
      <c r="G9" s="175">
        <f>IFERROR(F9/$B$9,"")</f>
        <v>2.9709866923256903E-2</v>
      </c>
      <c r="H9" s="174">
        <v>5535.9419999999991</v>
      </c>
      <c r="I9" s="175">
        <f>IFERROR(H9/$B$9,"")</f>
        <v>0.11550777623146812</v>
      </c>
      <c r="J9" s="174">
        <v>6691.5360000000019</v>
      </c>
      <c r="K9" s="175">
        <f>IFERROR(J9/$B$9,"")</f>
        <v>0.13961931735065389</v>
      </c>
      <c r="L9" s="174">
        <v>17258.763000000006</v>
      </c>
      <c r="M9" s="175">
        <f>IFERROR(L9/$B$9,"")</f>
        <v>0.36010516993059943</v>
      </c>
    </row>
    <row r="10" spans="1:13" ht="19.399999999999999" customHeight="1">
      <c r="A10" s="176" t="s">
        <v>245</v>
      </c>
      <c r="B10" s="177">
        <v>69974.579191980054</v>
      </c>
      <c r="C10" s="173">
        <f>B10/$B$5</f>
        <v>3.2948416849999424E-4</v>
      </c>
      <c r="D10" s="609"/>
      <c r="E10" s="176" t="s">
        <v>245</v>
      </c>
      <c r="F10" s="174">
        <v>1179.8078200000007</v>
      </c>
      <c r="G10" s="175">
        <f>IFERROR(F10/$B$10,"")</f>
        <v>1.6860520400746062E-2</v>
      </c>
      <c r="H10" s="174">
        <v>3563.9139100000007</v>
      </c>
      <c r="I10" s="175">
        <f>IFERROR(H10/$B$10,"")</f>
        <v>5.0931551874319365E-2</v>
      </c>
      <c r="J10" s="174">
        <v>3130.998689999999</v>
      </c>
      <c r="K10" s="175">
        <f>IFERROR(J10/$B$10,"")</f>
        <v>4.4744801986016804E-2</v>
      </c>
      <c r="L10" s="174">
        <v>14381.948886699534</v>
      </c>
      <c r="M10" s="175">
        <f>IFERROR(L10/$B$10,"")</f>
        <v>0.20553105217312806</v>
      </c>
    </row>
    <row r="11" spans="1:13" ht="15.75" customHeight="1">
      <c r="D11" s="609"/>
      <c r="E11" s="606" t="s">
        <v>239</v>
      </c>
      <c r="F11" s="610">
        <v>5</v>
      </c>
      <c r="G11" s="610"/>
      <c r="H11" s="610">
        <v>6</v>
      </c>
      <c r="I11" s="610"/>
      <c r="J11" s="610">
        <v>7</v>
      </c>
      <c r="K11" s="610"/>
      <c r="L11" s="611">
        <v>8</v>
      </c>
      <c r="M11" s="611"/>
    </row>
    <row r="12" spans="1:13" ht="31.4" customHeight="1">
      <c r="D12" s="609"/>
      <c r="E12" s="606"/>
      <c r="F12" s="612" t="s">
        <v>246</v>
      </c>
      <c r="G12" s="612"/>
      <c r="H12" s="612" t="s">
        <v>247</v>
      </c>
      <c r="I12" s="612"/>
      <c r="J12" s="612" t="s">
        <v>248</v>
      </c>
      <c r="K12" s="612"/>
      <c r="L12" s="613" t="s">
        <v>249</v>
      </c>
      <c r="M12" s="613"/>
    </row>
    <row r="13" spans="1:13" ht="15.75" customHeight="1">
      <c r="D13" s="609"/>
      <c r="E13" s="606"/>
      <c r="F13" s="193" t="s">
        <v>11</v>
      </c>
      <c r="G13" s="193" t="s">
        <v>243</v>
      </c>
      <c r="H13" s="193" t="s">
        <v>11</v>
      </c>
      <c r="I13" s="193" t="s">
        <v>243</v>
      </c>
      <c r="J13" s="193" t="s">
        <v>11</v>
      </c>
      <c r="K13" s="193" t="s">
        <v>243</v>
      </c>
      <c r="L13" s="193" t="s">
        <v>11</v>
      </c>
      <c r="M13" s="193" t="s">
        <v>243</v>
      </c>
    </row>
    <row r="14" spans="1:13" ht="19.399999999999999" customHeight="1">
      <c r="D14" s="609"/>
      <c r="E14" s="171" t="s">
        <v>244</v>
      </c>
      <c r="F14" s="174">
        <v>12460.915000000001</v>
      </c>
      <c r="G14" s="175">
        <f>IFERROR(F14/$B$9,"")</f>
        <v>0.25999777119401629</v>
      </c>
      <c r="H14" s="174">
        <v>1494.27</v>
      </c>
      <c r="I14" s="175">
        <f>IFERROR(H14/$B$9,"")</f>
        <v>3.1178037051218365E-2</v>
      </c>
      <c r="J14" s="174">
        <v>3061.675999999999</v>
      </c>
      <c r="K14" s="175">
        <f>IFERROR(J14/$B$9,"")</f>
        <v>6.3882061318788444E-2</v>
      </c>
      <c r="L14" s="174">
        <v>0</v>
      </c>
      <c r="M14" s="175">
        <f>IFERROR(L14/$B$9,"")</f>
        <v>0</v>
      </c>
    </row>
    <row r="15" spans="1:13" ht="19.399999999999999" customHeight="1">
      <c r="D15" s="609"/>
      <c r="E15" s="176" t="s">
        <v>245</v>
      </c>
      <c r="F15" s="174">
        <v>30846.731825280494</v>
      </c>
      <c r="G15" s="175">
        <f>IFERROR(F15/$B$10,"")</f>
        <v>0.44082768601795191</v>
      </c>
      <c r="H15" s="174">
        <v>12704.309300000044</v>
      </c>
      <c r="I15" s="175">
        <f>IFERROR(H15/$B$10,"")</f>
        <v>0.18155606574131589</v>
      </c>
      <c r="J15" s="174">
        <v>3994.7131600000112</v>
      </c>
      <c r="K15" s="175">
        <f>IFERROR(J15/$B$10,"")</f>
        <v>5.7088062638293857E-2</v>
      </c>
      <c r="L15" s="174">
        <v>0</v>
      </c>
      <c r="M15" s="175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  <outlinePr summaryBelow="0" summaryRight="0"/>
  </sheetPr>
  <dimension ref="A1:M15"/>
  <sheetViews>
    <sheetView zoomScale="110" zoomScaleNormal="110" zoomScaleSheetLayoutView="115" workbookViewId="0">
      <selection activeCell="H14" sqref="H14:H15"/>
    </sheetView>
  </sheetViews>
  <sheetFormatPr defaultColWidth="12.54296875" defaultRowHeight="15.75" customHeight="1"/>
  <cols>
    <col min="1" max="1" width="7.54296875" style="167" customWidth="1"/>
    <col min="2" max="2" width="14.81640625" style="167" customWidth="1"/>
    <col min="3" max="3" width="12.81640625" style="167" customWidth="1"/>
    <col min="4" max="4" width="2.54296875" style="167" customWidth="1"/>
    <col min="5" max="5" width="7.54296875" style="167" customWidth="1"/>
    <col min="6" max="6" width="12.81640625" style="167" customWidth="1"/>
    <col min="7" max="7" width="9.453125" style="167" customWidth="1"/>
    <col min="8" max="8" width="12.81640625" style="167" customWidth="1"/>
    <col min="9" max="9" width="9.453125" style="167" customWidth="1"/>
    <col min="10" max="10" width="12.81640625" style="167" customWidth="1"/>
    <col min="11" max="11" width="9.453125" style="167" customWidth="1"/>
    <col min="12" max="12" width="12.81640625" style="167" customWidth="1"/>
    <col min="13" max="13" width="9.453125" style="167" customWidth="1"/>
    <col min="14" max="16384" width="12.54296875" style="167"/>
  </cols>
  <sheetData>
    <row r="1" spans="1:13" ht="15.75" customHeight="1">
      <c r="A1" s="604" t="s">
        <v>236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</row>
    <row r="2" spans="1:13" s="168" customFormat="1" ht="15.75" customHeight="1" thickBo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</row>
    <row r="3" spans="1:13" ht="15.75" customHeight="1">
      <c r="A3" s="622" t="s">
        <v>837</v>
      </c>
      <c r="B3" s="623"/>
      <c r="C3" s="623"/>
      <c r="D3" s="623"/>
      <c r="E3" s="623"/>
      <c r="F3" s="623"/>
      <c r="G3" s="623"/>
      <c r="H3" s="623"/>
      <c r="I3" s="623"/>
      <c r="J3" s="623"/>
      <c r="K3" s="623"/>
      <c r="L3" s="623"/>
      <c r="M3" s="624"/>
    </row>
    <row r="4" spans="1:13" ht="15.75" customHeight="1">
      <c r="A4" s="625"/>
      <c r="B4" s="605"/>
      <c r="C4" s="605"/>
      <c r="D4" s="605"/>
      <c r="E4" s="605"/>
      <c r="F4" s="605"/>
      <c r="G4" s="605"/>
      <c r="H4" s="605"/>
      <c r="I4" s="605"/>
      <c r="J4" s="605"/>
      <c r="K4" s="605"/>
      <c r="L4" s="605"/>
      <c r="M4" s="626"/>
    </row>
    <row r="5" spans="1:13" ht="15.75" customHeight="1">
      <c r="A5" s="240" t="s">
        <v>238</v>
      </c>
      <c r="B5" s="291">
        <v>52952468</v>
      </c>
      <c r="M5" s="241"/>
    </row>
    <row r="6" spans="1:13" ht="15.75" customHeight="1">
      <c r="A6" s="627" t="s">
        <v>197</v>
      </c>
      <c r="B6" s="607" t="s">
        <v>10</v>
      </c>
      <c r="C6" s="607"/>
      <c r="D6" s="608"/>
      <c r="E6" s="606" t="s">
        <v>197</v>
      </c>
      <c r="F6" s="610">
        <v>1</v>
      </c>
      <c r="G6" s="610"/>
      <c r="H6" s="610">
        <v>2</v>
      </c>
      <c r="I6" s="610"/>
      <c r="J6" s="610">
        <v>3</v>
      </c>
      <c r="K6" s="610"/>
      <c r="L6" s="610">
        <v>4</v>
      </c>
      <c r="M6" s="629"/>
    </row>
    <row r="7" spans="1:13" ht="15.75" customHeight="1">
      <c r="A7" s="627"/>
      <c r="B7" s="607"/>
      <c r="C7" s="607"/>
      <c r="D7" s="609"/>
      <c r="E7" s="606"/>
      <c r="F7" s="612" t="s">
        <v>250</v>
      </c>
      <c r="G7" s="612"/>
      <c r="H7" s="612" t="s">
        <v>240</v>
      </c>
      <c r="I7" s="612"/>
      <c r="J7" s="612" t="s">
        <v>164</v>
      </c>
      <c r="K7" s="612"/>
      <c r="L7" s="612" t="s">
        <v>582</v>
      </c>
      <c r="M7" s="630"/>
    </row>
    <row r="8" spans="1:13" ht="15.75" customHeight="1">
      <c r="A8" s="627"/>
      <c r="B8" s="193" t="s">
        <v>11</v>
      </c>
      <c r="C8" s="193" t="s">
        <v>41</v>
      </c>
      <c r="D8" s="609"/>
      <c r="E8" s="606"/>
      <c r="F8" s="193" t="s">
        <v>11</v>
      </c>
      <c r="G8" s="193" t="s">
        <v>41</v>
      </c>
      <c r="H8" s="193" t="s">
        <v>11</v>
      </c>
      <c r="I8" s="193" t="s">
        <v>41</v>
      </c>
      <c r="J8" s="193" t="s">
        <v>11</v>
      </c>
      <c r="K8" s="193" t="s">
        <v>41</v>
      </c>
      <c r="L8" s="193" t="s">
        <v>11</v>
      </c>
      <c r="M8" s="242" t="s">
        <v>41</v>
      </c>
    </row>
    <row r="9" spans="1:13" ht="15.75" customHeight="1">
      <c r="A9" s="243" t="s">
        <v>244</v>
      </c>
      <c r="B9" s="244">
        <v>129243</v>
      </c>
      <c r="C9" s="173">
        <f>B9/B5</f>
        <v>2.440736095624476E-3</v>
      </c>
      <c r="D9" s="609"/>
      <c r="E9" s="171" t="s">
        <v>244</v>
      </c>
      <c r="F9" s="245">
        <v>0</v>
      </c>
      <c r="G9" s="175">
        <f>IFERROR(F9/B9,"")</f>
        <v>0</v>
      </c>
      <c r="H9" s="245">
        <v>768.71600000000012</v>
      </c>
      <c r="I9" s="175">
        <f>IFERROR(H9/B9,"")</f>
        <v>5.9478346989778955E-3</v>
      </c>
      <c r="J9" s="245">
        <v>3156.2089999999998</v>
      </c>
      <c r="K9" s="175">
        <f>IFERROR(J9/B9,"")</f>
        <v>2.4420734585238659E-2</v>
      </c>
      <c r="L9" s="245">
        <v>10884.174000000001</v>
      </c>
      <c r="M9" s="246">
        <f>IFERROR(L9/B9,"")</f>
        <v>8.4214804670272286E-2</v>
      </c>
    </row>
    <row r="10" spans="1:13" ht="15.75" customHeight="1">
      <c r="A10" s="247" t="s">
        <v>245</v>
      </c>
      <c r="B10" s="248">
        <v>95206.978576264592</v>
      </c>
      <c r="C10" s="173">
        <f>B10/B5</f>
        <v>1.797970560621737E-3</v>
      </c>
      <c r="D10" s="609"/>
      <c r="E10" s="176" t="s">
        <v>245</v>
      </c>
      <c r="F10" s="245">
        <v>0</v>
      </c>
      <c r="G10" s="175">
        <f>IFERROR(F10/B10,"")</f>
        <v>0</v>
      </c>
      <c r="H10" s="245">
        <v>0</v>
      </c>
      <c r="I10" s="175">
        <f>IFERROR(H10/B10,"")</f>
        <v>0</v>
      </c>
      <c r="J10" s="245">
        <v>2804.7377900000083</v>
      </c>
      <c r="K10" s="175">
        <f>IFERROR(J10/B10,"")</f>
        <v>2.9459371906790439E-2</v>
      </c>
      <c r="L10" s="245">
        <v>15364.549379999928</v>
      </c>
      <c r="M10" s="246">
        <f>IFERROR(L10/B10,"")</f>
        <v>0.16138049552420478</v>
      </c>
    </row>
    <row r="11" spans="1:13" ht="15.75" customHeight="1">
      <c r="A11" s="249"/>
      <c r="D11" s="609"/>
      <c r="E11" s="606" t="s">
        <v>197</v>
      </c>
      <c r="F11" s="614">
        <v>5</v>
      </c>
      <c r="G11" s="615"/>
      <c r="H11" s="614">
        <v>6</v>
      </c>
      <c r="I11" s="615"/>
      <c r="J11" s="614">
        <v>7</v>
      </c>
      <c r="K11" s="615"/>
      <c r="L11" s="616">
        <v>8</v>
      </c>
      <c r="M11" s="617"/>
    </row>
    <row r="12" spans="1:13" ht="15.75" customHeight="1">
      <c r="A12" s="249"/>
      <c r="D12" s="609"/>
      <c r="E12" s="606"/>
      <c r="F12" s="618" t="s">
        <v>188</v>
      </c>
      <c r="G12" s="619"/>
      <c r="H12" s="618" t="s">
        <v>165</v>
      </c>
      <c r="I12" s="619"/>
      <c r="J12" s="618" t="s">
        <v>189</v>
      </c>
      <c r="K12" s="619"/>
      <c r="L12" s="620" t="s">
        <v>249</v>
      </c>
      <c r="M12" s="621"/>
    </row>
    <row r="13" spans="1:13" ht="15.75" customHeight="1">
      <c r="A13" s="249"/>
      <c r="D13" s="609"/>
      <c r="E13" s="606"/>
      <c r="F13" s="193" t="s">
        <v>11</v>
      </c>
      <c r="G13" s="193" t="s">
        <v>41</v>
      </c>
      <c r="H13" s="193" t="s">
        <v>11</v>
      </c>
      <c r="I13" s="193" t="s">
        <v>41</v>
      </c>
      <c r="J13" s="193" t="s">
        <v>11</v>
      </c>
      <c r="K13" s="193" t="s">
        <v>41</v>
      </c>
      <c r="L13" s="193" t="s">
        <v>11</v>
      </c>
      <c r="M13" s="242" t="s">
        <v>41</v>
      </c>
    </row>
    <row r="14" spans="1:13" ht="15.75" customHeight="1">
      <c r="A14" s="249"/>
      <c r="D14" s="609"/>
      <c r="E14" s="171" t="s">
        <v>244</v>
      </c>
      <c r="F14" s="245">
        <v>1858.9889999999998</v>
      </c>
      <c r="G14" s="175">
        <f>IFERROR(F14/B9,"")</f>
        <v>1.4383672616698776E-2</v>
      </c>
      <c r="H14" s="245">
        <v>0</v>
      </c>
      <c r="I14" s="175">
        <f>IFERROR(H14/B9,"")</f>
        <v>0</v>
      </c>
      <c r="J14" s="245">
        <v>0</v>
      </c>
      <c r="K14" s="175">
        <f>IFERROR(J14/B9,"")</f>
        <v>0</v>
      </c>
      <c r="L14" s="245">
        <v>0</v>
      </c>
      <c r="M14" s="246">
        <f>IFERROR(L14/B9,"")</f>
        <v>0</v>
      </c>
    </row>
    <row r="15" spans="1:13" ht="15.75" customHeight="1" thickBot="1">
      <c r="A15" s="250"/>
      <c r="B15" s="251"/>
      <c r="C15" s="251"/>
      <c r="D15" s="628"/>
      <c r="E15" s="252" t="s">
        <v>245</v>
      </c>
      <c r="F15" s="253">
        <v>12547.123100000061</v>
      </c>
      <c r="G15" s="254">
        <f>IFERROR(F15/B10,"")</f>
        <v>0.13178785092890344</v>
      </c>
      <c r="H15" s="253">
        <v>0</v>
      </c>
      <c r="I15" s="254">
        <f>IFERROR(H15/B10,"")</f>
        <v>0</v>
      </c>
      <c r="J15" s="253">
        <v>0</v>
      </c>
      <c r="K15" s="254">
        <f>IFERROR(J15/B10,"")</f>
        <v>0</v>
      </c>
      <c r="L15" s="253">
        <v>0</v>
      </c>
      <c r="M15" s="255">
        <f>IFERROR(L15/B10,"")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H33" sqref="H33"/>
    </sheetView>
  </sheetViews>
  <sheetFormatPr defaultColWidth="12.54296875" defaultRowHeight="15.75" customHeight="1"/>
  <cols>
    <col min="1" max="1" width="5.453125" style="115" customWidth="1"/>
    <col min="2" max="2" width="11.453125" style="160" customWidth="1"/>
    <col min="3" max="3" width="4" style="147" customWidth="1"/>
    <col min="4" max="17" width="9.54296875" style="115" customWidth="1"/>
    <col min="18" max="16384" width="12.54296875" style="115"/>
  </cols>
  <sheetData>
    <row r="1" spans="1:17" ht="15.75" customHeight="1">
      <c r="A1" s="399" t="s">
        <v>204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99"/>
      <c r="Q1" s="399"/>
    </row>
    <row r="2" spans="1:17" s="116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</row>
    <row r="3" spans="1:17" ht="15.75" customHeight="1">
      <c r="A3" s="524" t="s">
        <v>210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</row>
    <row r="4" spans="1:17" s="116" customFormat="1" ht="15.75" customHeight="1">
      <c r="A4" s="525"/>
      <c r="B4" s="525"/>
      <c r="C4" s="525"/>
      <c r="D4" s="525"/>
      <c r="E4" s="525"/>
      <c r="F4" s="525"/>
      <c r="G4" s="525"/>
      <c r="H4" s="525"/>
      <c r="I4" s="525"/>
      <c r="J4" s="525"/>
      <c r="K4" s="525"/>
      <c r="L4" s="525"/>
      <c r="M4" s="525"/>
    </row>
    <row r="5" spans="1:17" ht="15.75" customHeight="1">
      <c r="A5" s="442" t="s">
        <v>190</v>
      </c>
      <c r="B5" s="634">
        <v>1</v>
      </c>
      <c r="C5" s="634"/>
      <c r="D5" s="634">
        <v>2</v>
      </c>
      <c r="E5" s="634"/>
      <c r="F5" s="634">
        <v>3</v>
      </c>
      <c r="G5" s="634"/>
      <c r="H5" s="521">
        <v>4</v>
      </c>
      <c r="I5" s="521"/>
      <c r="J5" s="521">
        <v>5</v>
      </c>
      <c r="K5" s="521"/>
      <c r="L5" s="521">
        <v>6</v>
      </c>
      <c r="M5" s="521"/>
      <c r="N5" s="521">
        <v>7</v>
      </c>
      <c r="O5" s="521"/>
      <c r="P5" s="521">
        <v>8</v>
      </c>
      <c r="Q5" s="521"/>
    </row>
    <row r="6" spans="1:17" ht="15.75" customHeight="1">
      <c r="A6" s="442"/>
      <c r="B6" s="635" t="s">
        <v>321</v>
      </c>
      <c r="C6" s="635"/>
      <c r="D6" s="635" t="s">
        <v>211</v>
      </c>
      <c r="E6" s="635"/>
      <c r="F6" s="635" t="s">
        <v>164</v>
      </c>
      <c r="G6" s="635"/>
      <c r="H6" s="442" t="s">
        <v>582</v>
      </c>
      <c r="I6" s="442"/>
      <c r="J6" s="442" t="s">
        <v>188</v>
      </c>
      <c r="K6" s="442"/>
      <c r="L6" s="442" t="s">
        <v>165</v>
      </c>
      <c r="M6" s="442"/>
      <c r="N6" s="442" t="s">
        <v>189</v>
      </c>
      <c r="O6" s="442"/>
      <c r="P6" s="633" t="s">
        <v>214</v>
      </c>
      <c r="Q6" s="442"/>
    </row>
    <row r="8" spans="1:17" s="122" customFormat="1" ht="15.75" customHeight="1">
      <c r="A8" s="648" t="s">
        <v>838</v>
      </c>
      <c r="B8" s="649"/>
      <c r="C8" s="396" t="s">
        <v>839</v>
      </c>
      <c r="D8" s="653" t="s">
        <v>12</v>
      </c>
      <c r="E8" s="654"/>
      <c r="F8" s="655"/>
      <c r="G8" s="394" t="s">
        <v>840</v>
      </c>
      <c r="H8" s="395"/>
      <c r="I8" s="396"/>
      <c r="J8" s="155" t="s">
        <v>841</v>
      </c>
      <c r="K8" s="155" t="s">
        <v>842</v>
      </c>
      <c r="L8" s="155" t="s">
        <v>843</v>
      </c>
      <c r="M8" s="155" t="s">
        <v>11</v>
      </c>
      <c r="N8" s="298" t="s">
        <v>844</v>
      </c>
      <c r="O8" s="644" t="s">
        <v>845</v>
      </c>
      <c r="P8" s="645"/>
    </row>
    <row r="9" spans="1:17" ht="15.75" customHeight="1">
      <c r="A9" s="569">
        <v>1</v>
      </c>
      <c r="B9" s="650" t="s">
        <v>846</v>
      </c>
      <c r="C9" s="156">
        <v>1</v>
      </c>
      <c r="D9" s="406">
        <v>0</v>
      </c>
      <c r="E9" s="642"/>
      <c r="F9" s="643"/>
      <c r="G9" s="406">
        <v>0</v>
      </c>
      <c r="H9" s="642"/>
      <c r="I9" s="643"/>
      <c r="J9" s="4">
        <v>0</v>
      </c>
      <c r="K9" s="14">
        <v>0</v>
      </c>
      <c r="L9" s="4">
        <v>0</v>
      </c>
      <c r="M9" s="16">
        <v>0</v>
      </c>
      <c r="N9" s="157"/>
      <c r="O9" s="631"/>
      <c r="P9" s="632"/>
    </row>
    <row r="10" spans="1:17" ht="15.75" customHeight="1">
      <c r="A10" s="570"/>
      <c r="B10" s="651"/>
      <c r="C10" s="156">
        <v>2</v>
      </c>
      <c r="D10" s="406">
        <v>0</v>
      </c>
      <c r="E10" s="642"/>
      <c r="F10" s="643"/>
      <c r="G10" s="406">
        <v>0</v>
      </c>
      <c r="H10" s="642"/>
      <c r="I10" s="643"/>
      <c r="J10" s="4">
        <v>0</v>
      </c>
      <c r="K10" s="14">
        <v>0</v>
      </c>
      <c r="L10" s="4">
        <v>0</v>
      </c>
      <c r="M10" s="16">
        <v>0</v>
      </c>
      <c r="N10" s="157"/>
      <c r="O10" s="631"/>
      <c r="P10" s="632"/>
    </row>
    <row r="11" spans="1:17" ht="15.75" customHeight="1">
      <c r="A11" s="570"/>
      <c r="B11" s="651"/>
      <c r="C11" s="156">
        <v>3</v>
      </c>
      <c r="D11" s="406">
        <v>0</v>
      </c>
      <c r="E11" s="642"/>
      <c r="F11" s="643"/>
      <c r="G11" s="406">
        <v>0</v>
      </c>
      <c r="H11" s="642"/>
      <c r="I11" s="643"/>
      <c r="J11" s="4">
        <v>0</v>
      </c>
      <c r="K11" s="14">
        <v>0</v>
      </c>
      <c r="L11" s="4">
        <v>0</v>
      </c>
      <c r="M11" s="16">
        <v>0</v>
      </c>
      <c r="N11" s="157"/>
      <c r="O11" s="631"/>
      <c r="P11" s="632"/>
    </row>
    <row r="12" spans="1:17" ht="15.75" customHeight="1">
      <c r="A12" s="570"/>
      <c r="B12" s="651"/>
      <c r="C12" s="156">
        <v>4</v>
      </c>
      <c r="D12" s="406">
        <v>0</v>
      </c>
      <c r="E12" s="642"/>
      <c r="F12" s="643"/>
      <c r="G12" s="406">
        <v>0</v>
      </c>
      <c r="H12" s="642"/>
      <c r="I12" s="643"/>
      <c r="J12" s="4">
        <v>0</v>
      </c>
      <c r="K12" s="14">
        <v>0</v>
      </c>
      <c r="L12" s="4">
        <v>0</v>
      </c>
      <c r="M12" s="16">
        <v>0</v>
      </c>
      <c r="N12" s="157"/>
      <c r="O12" s="631"/>
      <c r="P12" s="632"/>
    </row>
    <row r="13" spans="1:17" ht="15.75" customHeight="1" thickBot="1">
      <c r="A13" s="570"/>
      <c r="B13" s="651"/>
      <c r="C13" s="158">
        <v>5</v>
      </c>
      <c r="D13" s="639">
        <v>0</v>
      </c>
      <c r="E13" s="640"/>
      <c r="F13" s="641"/>
      <c r="G13" s="639">
        <v>0</v>
      </c>
      <c r="H13" s="640"/>
      <c r="I13" s="641"/>
      <c r="J13" s="4">
        <v>0</v>
      </c>
      <c r="K13" s="14">
        <v>0</v>
      </c>
      <c r="L13" s="4">
        <v>0</v>
      </c>
      <c r="M13" s="16">
        <v>0</v>
      </c>
      <c r="N13" s="159"/>
      <c r="O13" s="646"/>
      <c r="P13" s="647"/>
    </row>
    <row r="14" spans="1:17" ht="15.75" customHeight="1" thickTop="1" thickBot="1">
      <c r="A14" s="571"/>
      <c r="B14" s="652"/>
      <c r="C14" s="656"/>
      <c r="D14" s="657"/>
      <c r="E14" s="657"/>
      <c r="F14" s="657"/>
      <c r="G14" s="657"/>
      <c r="H14" s="657"/>
      <c r="I14" s="658"/>
      <c r="J14" s="296" t="s">
        <v>58</v>
      </c>
      <c r="K14" s="222">
        <v>0</v>
      </c>
      <c r="L14" s="296" t="s">
        <v>847</v>
      </c>
      <c r="M14" s="224">
        <v>0</v>
      </c>
      <c r="N14" s="636"/>
      <c r="O14" s="637"/>
      <c r="P14" s="638"/>
    </row>
    <row r="15" spans="1:17" ht="15.75" customHeight="1" thickTop="1"/>
    <row r="16" spans="1:17" ht="15.75" customHeight="1">
      <c r="A16" s="648" t="s">
        <v>838</v>
      </c>
      <c r="B16" s="649"/>
      <c r="C16" s="396" t="s">
        <v>839</v>
      </c>
      <c r="D16" s="653" t="s">
        <v>12</v>
      </c>
      <c r="E16" s="654"/>
      <c r="F16" s="655"/>
      <c r="G16" s="394" t="s">
        <v>840</v>
      </c>
      <c r="H16" s="395"/>
      <c r="I16" s="396"/>
      <c r="J16" s="155" t="s">
        <v>841</v>
      </c>
      <c r="K16" s="155" t="s">
        <v>842</v>
      </c>
      <c r="L16" s="155" t="s">
        <v>843</v>
      </c>
      <c r="M16" s="155" t="s">
        <v>11</v>
      </c>
      <c r="N16" s="298" t="s">
        <v>844</v>
      </c>
      <c r="O16" s="644" t="s">
        <v>845</v>
      </c>
      <c r="P16" s="645"/>
    </row>
    <row r="17" spans="1:16" ht="15.75" customHeight="1">
      <c r="A17" s="569">
        <v>2</v>
      </c>
      <c r="B17" s="650" t="s">
        <v>848</v>
      </c>
      <c r="C17" s="156">
        <v>1</v>
      </c>
      <c r="D17" s="406" t="s">
        <v>795</v>
      </c>
      <c r="E17" s="642"/>
      <c r="F17" s="643"/>
      <c r="G17" s="406" t="s">
        <v>810</v>
      </c>
      <c r="H17" s="642"/>
      <c r="I17" s="643"/>
      <c r="J17" s="299">
        <v>118.22</v>
      </c>
      <c r="K17" s="14">
        <v>5.428881650380022E-2</v>
      </c>
      <c r="L17" s="4">
        <v>1.5</v>
      </c>
      <c r="M17" s="282">
        <v>177.32999999999998</v>
      </c>
      <c r="N17" s="157"/>
      <c r="O17" s="631" t="s">
        <v>586</v>
      </c>
      <c r="P17" s="632"/>
    </row>
    <row r="18" spans="1:16" ht="15.75" customHeight="1">
      <c r="A18" s="570"/>
      <c r="B18" s="651"/>
      <c r="C18" s="156">
        <v>2</v>
      </c>
      <c r="D18" s="406" t="s">
        <v>783</v>
      </c>
      <c r="E18" s="642"/>
      <c r="F18" s="643"/>
      <c r="G18" s="406" t="s">
        <v>849</v>
      </c>
      <c r="H18" s="642"/>
      <c r="I18" s="643"/>
      <c r="J18" s="299">
        <v>423.77</v>
      </c>
      <c r="K18" s="14">
        <v>5.4200542005420058E-2</v>
      </c>
      <c r="L18" s="4">
        <v>0.4</v>
      </c>
      <c r="M18" s="282">
        <v>169.50800000000001</v>
      </c>
      <c r="N18" s="157"/>
      <c r="O18" s="631" t="s">
        <v>586</v>
      </c>
      <c r="P18" s="632"/>
    </row>
    <row r="19" spans="1:16" ht="15.75" customHeight="1">
      <c r="A19" s="570"/>
      <c r="B19" s="651"/>
      <c r="C19" s="156">
        <v>3</v>
      </c>
      <c r="D19" s="406" t="s">
        <v>580</v>
      </c>
      <c r="E19" s="642"/>
      <c r="F19" s="643"/>
      <c r="G19" s="406" t="s">
        <v>850</v>
      </c>
      <c r="H19" s="642"/>
      <c r="I19" s="643"/>
      <c r="J19" s="299">
        <v>312.33</v>
      </c>
      <c r="K19" s="14">
        <v>0.13561160835367508</v>
      </c>
      <c r="L19" s="4">
        <v>0.5</v>
      </c>
      <c r="M19" s="282">
        <v>156.16499999999999</v>
      </c>
      <c r="N19" s="157"/>
      <c r="O19" s="631" t="s">
        <v>586</v>
      </c>
      <c r="P19" s="632"/>
    </row>
    <row r="20" spans="1:16" ht="15.75" customHeight="1">
      <c r="A20" s="570"/>
      <c r="B20" s="651"/>
      <c r="C20" s="156">
        <v>4</v>
      </c>
      <c r="D20" s="406" t="s">
        <v>368</v>
      </c>
      <c r="E20" s="642"/>
      <c r="F20" s="643"/>
      <c r="G20" s="406" t="s">
        <v>851</v>
      </c>
      <c r="H20" s="642"/>
      <c r="I20" s="643"/>
      <c r="J20" s="299">
        <v>354.37</v>
      </c>
      <c r="K20" s="14">
        <v>3.0027775692515579E-2</v>
      </c>
      <c r="L20" s="4">
        <v>0.4</v>
      </c>
      <c r="M20" s="282">
        <v>141.74800000000002</v>
      </c>
      <c r="N20" s="157"/>
      <c r="O20" s="631" t="s">
        <v>586</v>
      </c>
      <c r="P20" s="632"/>
    </row>
    <row r="21" spans="1:16" ht="15.75" customHeight="1" thickBot="1">
      <c r="A21" s="570"/>
      <c r="B21" s="651"/>
      <c r="C21" s="158">
        <v>5</v>
      </c>
      <c r="D21" s="406" t="s">
        <v>772</v>
      </c>
      <c r="E21" s="642"/>
      <c r="F21" s="643"/>
      <c r="G21" s="406" t="s">
        <v>852</v>
      </c>
      <c r="H21" s="642"/>
      <c r="I21" s="643"/>
      <c r="J21" s="299">
        <v>147.83000000000001</v>
      </c>
      <c r="K21" s="14">
        <v>0.19762845849802371</v>
      </c>
      <c r="L21" s="4">
        <v>0.9</v>
      </c>
      <c r="M21" s="282">
        <v>133.04700000000003</v>
      </c>
      <c r="N21" s="159"/>
      <c r="O21" s="631" t="s">
        <v>586</v>
      </c>
      <c r="P21" s="632"/>
    </row>
    <row r="22" spans="1:16" ht="15.75" customHeight="1" thickTop="1" thickBot="1">
      <c r="A22" s="571"/>
      <c r="B22" s="652"/>
      <c r="C22" s="659"/>
      <c r="D22" s="660"/>
      <c r="E22" s="660"/>
      <c r="F22" s="660"/>
      <c r="G22" s="660"/>
      <c r="H22" s="660"/>
      <c r="I22" s="661"/>
      <c r="J22" s="296" t="s">
        <v>58</v>
      </c>
      <c r="K22" s="222">
        <v>5.9232368463137692E-3</v>
      </c>
      <c r="L22" s="296" t="s">
        <v>847</v>
      </c>
      <c r="M22" s="224">
        <v>777.798</v>
      </c>
      <c r="N22" s="636"/>
      <c r="O22" s="637"/>
      <c r="P22" s="638"/>
    </row>
    <row r="23" spans="1:16" ht="15.75" customHeight="1" thickTop="1"/>
    <row r="24" spans="1:16" ht="15.75" customHeight="1">
      <c r="A24" s="648" t="s">
        <v>838</v>
      </c>
      <c r="B24" s="649"/>
      <c r="C24" s="396" t="s">
        <v>839</v>
      </c>
      <c r="D24" s="653" t="s">
        <v>12</v>
      </c>
      <c r="E24" s="654"/>
      <c r="F24" s="655"/>
      <c r="G24" s="394" t="s">
        <v>840</v>
      </c>
      <c r="H24" s="395"/>
      <c r="I24" s="396"/>
      <c r="J24" s="155" t="s">
        <v>841</v>
      </c>
      <c r="K24" s="155" t="s">
        <v>842</v>
      </c>
      <c r="L24" s="155" t="s">
        <v>843</v>
      </c>
      <c r="M24" s="155" t="s">
        <v>11</v>
      </c>
      <c r="N24" s="298" t="s">
        <v>844</v>
      </c>
      <c r="O24" s="644" t="s">
        <v>845</v>
      </c>
      <c r="P24" s="645"/>
    </row>
    <row r="25" spans="1:16" ht="15.75" customHeight="1">
      <c r="A25" s="569">
        <v>3</v>
      </c>
      <c r="B25" s="650" t="s">
        <v>853</v>
      </c>
      <c r="C25" s="156">
        <v>1</v>
      </c>
      <c r="D25" s="406" t="s">
        <v>797</v>
      </c>
      <c r="E25" s="642"/>
      <c r="F25" s="643"/>
      <c r="G25" s="406" t="s">
        <v>811</v>
      </c>
      <c r="H25" s="642"/>
      <c r="I25" s="643"/>
      <c r="J25" s="299">
        <v>153.91</v>
      </c>
      <c r="K25" s="14">
        <v>3.4841182277451949E-2</v>
      </c>
      <c r="L25" s="4">
        <v>1.2</v>
      </c>
      <c r="M25" s="282">
        <v>184.69199999999998</v>
      </c>
      <c r="N25" s="157"/>
      <c r="O25" s="631" t="s">
        <v>854</v>
      </c>
      <c r="P25" s="632"/>
    </row>
    <row r="26" spans="1:16" ht="15.75" customHeight="1">
      <c r="A26" s="570"/>
      <c r="B26" s="651"/>
      <c r="C26" s="156">
        <v>2</v>
      </c>
      <c r="D26" s="406" t="s">
        <v>376</v>
      </c>
      <c r="E26" s="642"/>
      <c r="F26" s="643"/>
      <c r="G26" s="406" t="s">
        <v>855</v>
      </c>
      <c r="H26" s="642"/>
      <c r="I26" s="643"/>
      <c r="J26" s="299">
        <v>151.29</v>
      </c>
      <c r="K26" s="14">
        <v>4.2283298097251586E-2</v>
      </c>
      <c r="L26" s="4">
        <v>1.2</v>
      </c>
      <c r="M26" s="282">
        <v>181.54799999999997</v>
      </c>
      <c r="N26" s="157"/>
      <c r="O26" s="631" t="s">
        <v>854</v>
      </c>
      <c r="P26" s="632"/>
    </row>
    <row r="27" spans="1:16" ht="15.75" customHeight="1">
      <c r="A27" s="570"/>
      <c r="B27" s="651"/>
      <c r="C27" s="156">
        <v>3</v>
      </c>
      <c r="D27" s="406" t="s">
        <v>856</v>
      </c>
      <c r="E27" s="642"/>
      <c r="F27" s="643"/>
      <c r="G27" s="406" t="s">
        <v>857</v>
      </c>
      <c r="H27" s="642"/>
      <c r="I27" s="643"/>
      <c r="J27" s="299">
        <v>164.75</v>
      </c>
      <c r="K27" s="14">
        <v>3.2018442622950817E-2</v>
      </c>
      <c r="L27" s="4">
        <v>1</v>
      </c>
      <c r="M27" s="282">
        <v>164.75</v>
      </c>
      <c r="N27" s="157"/>
      <c r="O27" s="631" t="s">
        <v>854</v>
      </c>
      <c r="P27" s="632"/>
    </row>
    <row r="28" spans="1:16" ht="15.75" customHeight="1">
      <c r="A28" s="570"/>
      <c r="B28" s="651"/>
      <c r="C28" s="156">
        <v>4</v>
      </c>
      <c r="D28" s="406" t="s">
        <v>370</v>
      </c>
      <c r="E28" s="642"/>
      <c r="F28" s="643"/>
      <c r="G28" s="406" t="s">
        <v>858</v>
      </c>
      <c r="H28" s="642"/>
      <c r="I28" s="643"/>
      <c r="J28" s="299">
        <v>95.43</v>
      </c>
      <c r="K28" s="14">
        <v>2.3988005997001498E-2</v>
      </c>
      <c r="L28" s="4">
        <v>1.6</v>
      </c>
      <c r="M28" s="282">
        <v>152.68800000000002</v>
      </c>
      <c r="N28" s="157"/>
      <c r="O28" s="631" t="s">
        <v>854</v>
      </c>
      <c r="P28" s="632"/>
    </row>
    <row r="29" spans="1:16" ht="15.75" customHeight="1" thickBot="1">
      <c r="A29" s="570"/>
      <c r="B29" s="651"/>
      <c r="C29" s="158">
        <v>5</v>
      </c>
      <c r="D29" s="639" t="s">
        <v>677</v>
      </c>
      <c r="E29" s="640"/>
      <c r="F29" s="641"/>
      <c r="G29" s="639" t="s">
        <v>814</v>
      </c>
      <c r="H29" s="640"/>
      <c r="I29" s="641"/>
      <c r="J29" s="299">
        <v>77.8</v>
      </c>
      <c r="K29" s="14">
        <v>2.9942007060010083E-2</v>
      </c>
      <c r="L29" s="4">
        <v>1.9</v>
      </c>
      <c r="M29" s="282">
        <v>147.82</v>
      </c>
      <c r="N29" s="159"/>
      <c r="O29" s="631" t="s">
        <v>671</v>
      </c>
      <c r="P29" s="632"/>
    </row>
    <row r="30" spans="1:16" ht="15.75" customHeight="1" thickTop="1" thickBot="1">
      <c r="A30" s="571"/>
      <c r="B30" s="652"/>
      <c r="C30" s="656"/>
      <c r="D30" s="657"/>
      <c r="E30" s="657"/>
      <c r="F30" s="657"/>
      <c r="G30" s="657"/>
      <c r="H30" s="657"/>
      <c r="I30" s="658"/>
      <c r="J30" s="296" t="s">
        <v>58</v>
      </c>
      <c r="K30" s="222">
        <v>6.3321834091064864E-3</v>
      </c>
      <c r="L30" s="296" t="s">
        <v>847</v>
      </c>
      <c r="M30" s="224">
        <v>831.49800000000005</v>
      </c>
      <c r="N30" s="636"/>
      <c r="O30" s="637"/>
      <c r="P30" s="638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I42" sqref="I42"/>
    </sheetView>
  </sheetViews>
  <sheetFormatPr defaultColWidth="12.54296875" defaultRowHeight="15.75" customHeight="1"/>
  <cols>
    <col min="1" max="1" width="5.453125" style="2" customWidth="1"/>
    <col min="2" max="2" width="11.453125" style="106" customWidth="1"/>
    <col min="3" max="3" width="4" style="104" customWidth="1"/>
    <col min="4" max="17" width="9.54296875" style="2" customWidth="1"/>
    <col min="18" max="16384" width="12.54296875" style="2"/>
  </cols>
  <sheetData>
    <row r="1" spans="1:17" s="115" customFormat="1" ht="15.75" customHeight="1">
      <c r="A1" s="399" t="s">
        <v>204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99"/>
      <c r="Q1" s="399"/>
    </row>
    <row r="2" spans="1:17" s="116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</row>
    <row r="3" spans="1:17" s="115" customFormat="1" ht="15.75" customHeight="1">
      <c r="A3" s="524" t="s">
        <v>210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</row>
    <row r="4" spans="1:17" s="116" customFormat="1" ht="15.75" customHeight="1">
      <c r="A4" s="525"/>
      <c r="B4" s="525"/>
      <c r="C4" s="525"/>
      <c r="D4" s="525"/>
      <c r="E4" s="525"/>
      <c r="F4" s="525"/>
      <c r="G4" s="525"/>
      <c r="H4" s="525"/>
      <c r="I4" s="525"/>
      <c r="J4" s="525"/>
      <c r="K4" s="525"/>
      <c r="L4" s="525"/>
      <c r="M4" s="525"/>
    </row>
    <row r="5" spans="1:17" s="115" customFormat="1" ht="15.75" customHeight="1">
      <c r="A5" s="442" t="s">
        <v>190</v>
      </c>
      <c r="B5" s="521">
        <v>1</v>
      </c>
      <c r="C5" s="521"/>
      <c r="D5" s="521">
        <v>2</v>
      </c>
      <c r="E5" s="521"/>
      <c r="F5" s="521">
        <v>3</v>
      </c>
      <c r="G5" s="521"/>
      <c r="H5" s="634">
        <v>4</v>
      </c>
      <c r="I5" s="634"/>
      <c r="J5" s="634">
        <v>5</v>
      </c>
      <c r="K5" s="634"/>
      <c r="L5" s="634">
        <v>6</v>
      </c>
      <c r="M5" s="634"/>
      <c r="N5" s="634">
        <v>7</v>
      </c>
      <c r="O5" s="634"/>
      <c r="P5" s="521">
        <v>8</v>
      </c>
      <c r="Q5" s="521"/>
    </row>
    <row r="6" spans="1:17" s="115" customFormat="1" ht="15.75" customHeight="1">
      <c r="A6" s="442"/>
      <c r="B6" s="442" t="s">
        <v>322</v>
      </c>
      <c r="C6" s="442"/>
      <c r="D6" s="442" t="s">
        <v>211</v>
      </c>
      <c r="E6" s="442"/>
      <c r="F6" s="442" t="s">
        <v>164</v>
      </c>
      <c r="G6" s="442"/>
      <c r="H6" s="635" t="s">
        <v>582</v>
      </c>
      <c r="I6" s="635"/>
      <c r="J6" s="635" t="s">
        <v>188</v>
      </c>
      <c r="K6" s="635"/>
      <c r="L6" s="635" t="s">
        <v>165</v>
      </c>
      <c r="M6" s="635"/>
      <c r="N6" s="635" t="s">
        <v>189</v>
      </c>
      <c r="O6" s="635"/>
      <c r="P6" s="633" t="s">
        <v>214</v>
      </c>
      <c r="Q6" s="442"/>
    </row>
    <row r="7" spans="1:17" s="115" customFormat="1" ht="15.75" customHeight="1">
      <c r="B7" s="160"/>
      <c r="C7" s="147"/>
    </row>
    <row r="8" spans="1:17" s="105" customFormat="1" ht="15.75" customHeight="1">
      <c r="A8" s="663" t="s">
        <v>838</v>
      </c>
      <c r="B8" s="664"/>
      <c r="C8" s="112" t="s">
        <v>839</v>
      </c>
      <c r="D8" s="665" t="s">
        <v>12</v>
      </c>
      <c r="E8" s="666"/>
      <c r="F8" s="667"/>
      <c r="G8" s="110" t="s">
        <v>840</v>
      </c>
      <c r="H8" s="111"/>
      <c r="I8" s="112"/>
      <c r="J8" s="109" t="s">
        <v>841</v>
      </c>
      <c r="K8" s="109" t="s">
        <v>842</v>
      </c>
      <c r="L8" s="109" t="s">
        <v>843</v>
      </c>
      <c r="M8" s="113" t="s">
        <v>11</v>
      </c>
      <c r="N8" s="298" t="s">
        <v>844</v>
      </c>
      <c r="O8" s="668" t="s">
        <v>845</v>
      </c>
      <c r="P8" s="669"/>
    </row>
    <row r="9" spans="1:17" ht="15.75" customHeight="1">
      <c r="A9" s="664">
        <v>4</v>
      </c>
      <c r="B9" s="670" t="s">
        <v>582</v>
      </c>
      <c r="C9" s="107">
        <v>1</v>
      </c>
      <c r="D9" s="406" t="s">
        <v>769</v>
      </c>
      <c r="E9" s="642"/>
      <c r="F9" s="643"/>
      <c r="G9" s="406" t="s">
        <v>816</v>
      </c>
      <c r="H9" s="642"/>
      <c r="I9" s="643"/>
      <c r="J9" s="299">
        <v>81.91</v>
      </c>
      <c r="K9" s="14">
        <v>6.5613862419660303E-3</v>
      </c>
      <c r="L9" s="4">
        <v>2.2000000000000002</v>
      </c>
      <c r="M9" s="282">
        <v>180.202</v>
      </c>
      <c r="N9" s="4"/>
      <c r="O9" s="631" t="s">
        <v>859</v>
      </c>
      <c r="P9" s="662"/>
    </row>
    <row r="10" spans="1:17" ht="15.75" customHeight="1">
      <c r="A10" s="664"/>
      <c r="B10" s="670"/>
      <c r="C10" s="107">
        <v>2</v>
      </c>
      <c r="D10" s="406" t="s">
        <v>809</v>
      </c>
      <c r="E10" s="642"/>
      <c r="F10" s="643"/>
      <c r="G10" s="406" t="s">
        <v>812</v>
      </c>
      <c r="H10" s="642"/>
      <c r="I10" s="643"/>
      <c r="J10" s="299">
        <v>447.3</v>
      </c>
      <c r="K10" s="14">
        <v>3.5880875493362039E-3</v>
      </c>
      <c r="L10" s="4">
        <v>0.4</v>
      </c>
      <c r="M10" s="282">
        <v>178.92000000000002</v>
      </c>
      <c r="N10" s="4"/>
      <c r="O10" s="631" t="s">
        <v>859</v>
      </c>
      <c r="P10" s="662"/>
    </row>
    <row r="11" spans="1:17" ht="15.75" customHeight="1">
      <c r="A11" s="664"/>
      <c r="B11" s="670"/>
      <c r="C11" s="107">
        <v>3</v>
      </c>
      <c r="D11" s="406" t="s">
        <v>377</v>
      </c>
      <c r="E11" s="642"/>
      <c r="F11" s="643"/>
      <c r="G11" s="406" t="s">
        <v>860</v>
      </c>
      <c r="H11" s="642"/>
      <c r="I11" s="643"/>
      <c r="J11" s="299">
        <v>160.9</v>
      </c>
      <c r="K11" s="14">
        <v>2.591283863368669E-2</v>
      </c>
      <c r="L11" s="4">
        <v>1.1000000000000001</v>
      </c>
      <c r="M11" s="282">
        <v>176.99</v>
      </c>
      <c r="N11" s="4"/>
      <c r="O11" s="631" t="s">
        <v>859</v>
      </c>
      <c r="P11" s="662"/>
    </row>
    <row r="12" spans="1:17" ht="15.75" customHeight="1">
      <c r="A12" s="664"/>
      <c r="B12" s="670"/>
      <c r="C12" s="107">
        <v>4</v>
      </c>
      <c r="D12" s="406" t="s">
        <v>678</v>
      </c>
      <c r="E12" s="642"/>
      <c r="F12" s="643"/>
      <c r="G12" s="406" t="s">
        <v>679</v>
      </c>
      <c r="H12" s="642"/>
      <c r="I12" s="643"/>
      <c r="J12" s="299">
        <v>117.03</v>
      </c>
      <c r="K12" s="14">
        <v>1.3802622498274672E-2</v>
      </c>
      <c r="L12" s="4">
        <v>1.5</v>
      </c>
      <c r="M12" s="282">
        <v>175.54500000000002</v>
      </c>
      <c r="N12" s="4"/>
      <c r="O12" s="631" t="s">
        <v>859</v>
      </c>
      <c r="P12" s="662"/>
    </row>
    <row r="13" spans="1:17" ht="15.75" customHeight="1" thickBot="1">
      <c r="A13" s="664"/>
      <c r="B13" s="670"/>
      <c r="C13" s="108">
        <v>5</v>
      </c>
      <c r="D13" s="406" t="s">
        <v>379</v>
      </c>
      <c r="E13" s="642"/>
      <c r="F13" s="643"/>
      <c r="G13" s="406" t="s">
        <v>822</v>
      </c>
      <c r="H13" s="642"/>
      <c r="I13" s="643"/>
      <c r="J13" s="299">
        <v>116.66</v>
      </c>
      <c r="K13" s="14">
        <v>5.9401235545699345E-3</v>
      </c>
      <c r="L13" s="4">
        <v>1.5</v>
      </c>
      <c r="M13" s="282">
        <v>174.99</v>
      </c>
      <c r="N13" s="27"/>
      <c r="O13" s="631" t="s">
        <v>859</v>
      </c>
      <c r="P13" s="662"/>
    </row>
    <row r="14" spans="1:17" ht="15.75" customHeight="1" thickTop="1" thickBot="1">
      <c r="A14" s="664"/>
      <c r="B14" s="670"/>
      <c r="C14" s="672"/>
      <c r="D14" s="672"/>
      <c r="E14" s="672"/>
      <c r="F14" s="672"/>
      <c r="G14" s="672"/>
      <c r="H14" s="672"/>
      <c r="I14" s="672"/>
      <c r="J14" s="223" t="s">
        <v>58</v>
      </c>
      <c r="K14" s="222">
        <v>6.7521646752415993E-3</v>
      </c>
      <c r="L14" s="223" t="s">
        <v>847</v>
      </c>
      <c r="M14" s="224">
        <v>886.64700000000016</v>
      </c>
      <c r="N14" s="671"/>
      <c r="O14" s="671"/>
      <c r="P14" s="671"/>
    </row>
    <row r="15" spans="1:17" ht="15.75" customHeight="1" thickTop="1"/>
    <row r="16" spans="1:17" ht="15.75" customHeight="1">
      <c r="A16" s="663" t="s">
        <v>838</v>
      </c>
      <c r="B16" s="664"/>
      <c r="C16" s="112" t="s">
        <v>839</v>
      </c>
      <c r="D16" s="665" t="s">
        <v>12</v>
      </c>
      <c r="E16" s="666"/>
      <c r="F16" s="667"/>
      <c r="G16" s="110" t="s">
        <v>840</v>
      </c>
      <c r="H16" s="111"/>
      <c r="I16" s="112"/>
      <c r="J16" s="109" t="s">
        <v>841</v>
      </c>
      <c r="K16" s="109" t="s">
        <v>842</v>
      </c>
      <c r="L16" s="109" t="s">
        <v>843</v>
      </c>
      <c r="M16" s="113" t="s">
        <v>11</v>
      </c>
      <c r="N16" s="298" t="s">
        <v>844</v>
      </c>
      <c r="O16" s="668" t="s">
        <v>845</v>
      </c>
      <c r="P16" s="669"/>
    </row>
    <row r="17" spans="1:16" ht="15.75" customHeight="1">
      <c r="A17" s="664">
        <v>5</v>
      </c>
      <c r="B17" s="673" t="s">
        <v>212</v>
      </c>
      <c r="C17" s="107">
        <v>1</v>
      </c>
      <c r="D17" s="406" t="s">
        <v>352</v>
      </c>
      <c r="E17" s="642"/>
      <c r="F17" s="643"/>
      <c r="G17" s="406" t="s">
        <v>669</v>
      </c>
      <c r="H17" s="642"/>
      <c r="I17" s="643"/>
      <c r="J17" s="299">
        <v>136.88999999999999</v>
      </c>
      <c r="K17" s="14">
        <v>3.4360809646400837E-3</v>
      </c>
      <c r="L17" s="4">
        <v>1.3</v>
      </c>
      <c r="M17" s="282">
        <v>177.95699999999999</v>
      </c>
      <c r="N17" s="4"/>
      <c r="O17" s="631" t="s">
        <v>599</v>
      </c>
      <c r="P17" s="662"/>
    </row>
    <row r="18" spans="1:16" ht="15.75" customHeight="1">
      <c r="A18" s="664"/>
      <c r="B18" s="670"/>
      <c r="C18" s="107">
        <v>2</v>
      </c>
      <c r="D18" s="406" t="s">
        <v>355</v>
      </c>
      <c r="E18" s="642"/>
      <c r="F18" s="643"/>
      <c r="G18" s="406" t="s">
        <v>751</v>
      </c>
      <c r="H18" s="642"/>
      <c r="I18" s="643"/>
      <c r="J18" s="299">
        <v>581.91999999999996</v>
      </c>
      <c r="K18" s="14">
        <v>1.7800984987835992E-2</v>
      </c>
      <c r="L18" s="4">
        <v>0.3</v>
      </c>
      <c r="M18" s="282">
        <v>174.57599999999999</v>
      </c>
      <c r="N18" s="4"/>
      <c r="O18" s="631" t="s">
        <v>599</v>
      </c>
      <c r="P18" s="662"/>
    </row>
    <row r="19" spans="1:16" ht="15.75" customHeight="1">
      <c r="A19" s="664"/>
      <c r="B19" s="670"/>
      <c r="C19" s="107">
        <v>3</v>
      </c>
      <c r="D19" s="406" t="s">
        <v>375</v>
      </c>
      <c r="E19" s="642"/>
      <c r="F19" s="643"/>
      <c r="G19" s="406" t="s">
        <v>393</v>
      </c>
      <c r="H19" s="642"/>
      <c r="I19" s="643"/>
      <c r="J19" s="299">
        <v>420.33</v>
      </c>
      <c r="K19" s="14">
        <v>4.2001365044363947E-3</v>
      </c>
      <c r="L19" s="4">
        <v>0.4</v>
      </c>
      <c r="M19" s="282">
        <v>168.13200000000001</v>
      </c>
      <c r="N19" s="4"/>
      <c r="O19" s="631" t="s">
        <v>599</v>
      </c>
      <c r="P19" s="662"/>
    </row>
    <row r="20" spans="1:16" ht="15.75" customHeight="1">
      <c r="A20" s="664"/>
      <c r="B20" s="670"/>
      <c r="C20" s="107">
        <v>4</v>
      </c>
      <c r="D20" s="406" t="s">
        <v>644</v>
      </c>
      <c r="E20" s="642"/>
      <c r="F20" s="643"/>
      <c r="G20" s="406" t="s">
        <v>821</v>
      </c>
      <c r="H20" s="642"/>
      <c r="I20" s="643"/>
      <c r="J20" s="299">
        <v>278.12</v>
      </c>
      <c r="K20" s="14">
        <v>1.6323865491348354E-2</v>
      </c>
      <c r="L20" s="4">
        <v>0.60000000000000009</v>
      </c>
      <c r="M20" s="282">
        <v>166.87200000000001</v>
      </c>
      <c r="N20" s="4"/>
      <c r="O20" s="631" t="s">
        <v>599</v>
      </c>
      <c r="P20" s="662"/>
    </row>
    <row r="21" spans="1:16" ht="15.75" customHeight="1" thickBot="1">
      <c r="A21" s="664"/>
      <c r="B21" s="670"/>
      <c r="C21" s="108">
        <v>5</v>
      </c>
      <c r="D21" s="406" t="s">
        <v>580</v>
      </c>
      <c r="E21" s="642"/>
      <c r="F21" s="643"/>
      <c r="G21" s="406" t="s">
        <v>861</v>
      </c>
      <c r="H21" s="642"/>
      <c r="I21" s="643"/>
      <c r="J21" s="299">
        <v>237.97</v>
      </c>
      <c r="K21" s="14">
        <v>1.9144513729351276E-2</v>
      </c>
      <c r="L21" s="4">
        <v>0.70000000000000007</v>
      </c>
      <c r="M21" s="282">
        <v>166.57900000000001</v>
      </c>
      <c r="N21" s="4"/>
      <c r="O21" s="631" t="s">
        <v>599</v>
      </c>
      <c r="P21" s="662"/>
    </row>
    <row r="22" spans="1:16" ht="15.75" customHeight="1" thickTop="1" thickBot="1">
      <c r="A22" s="664"/>
      <c r="B22" s="670"/>
      <c r="C22" s="677"/>
      <c r="D22" s="677"/>
      <c r="E22" s="677"/>
      <c r="F22" s="677"/>
      <c r="G22" s="677"/>
      <c r="H22" s="677"/>
      <c r="I22" s="678"/>
      <c r="J22" s="114" t="s">
        <v>58</v>
      </c>
      <c r="K22" s="222">
        <v>6.5044283505821966E-3</v>
      </c>
      <c r="L22" s="114" t="s">
        <v>847</v>
      </c>
      <c r="M22" s="224">
        <v>854.11599999999999</v>
      </c>
      <c r="N22" s="674"/>
      <c r="O22" s="675"/>
      <c r="P22" s="676"/>
    </row>
    <row r="23" spans="1:16" ht="15.75" customHeight="1" thickTop="1"/>
    <row r="24" spans="1:16" ht="15.75" customHeight="1">
      <c r="A24" s="663" t="s">
        <v>838</v>
      </c>
      <c r="B24" s="664"/>
      <c r="C24" s="112" t="s">
        <v>839</v>
      </c>
      <c r="D24" s="665" t="s">
        <v>12</v>
      </c>
      <c r="E24" s="666"/>
      <c r="F24" s="667"/>
      <c r="G24" s="110" t="s">
        <v>840</v>
      </c>
      <c r="H24" s="111"/>
      <c r="I24" s="112"/>
      <c r="J24" s="109" t="s">
        <v>841</v>
      </c>
      <c r="K24" s="109" t="s">
        <v>842</v>
      </c>
      <c r="L24" s="109" t="s">
        <v>843</v>
      </c>
      <c r="M24" s="113" t="s">
        <v>11</v>
      </c>
      <c r="N24" s="298" t="s">
        <v>844</v>
      </c>
      <c r="O24" s="668" t="s">
        <v>845</v>
      </c>
      <c r="P24" s="669"/>
    </row>
    <row r="25" spans="1:16" ht="15.75" customHeight="1">
      <c r="A25" s="664">
        <v>6</v>
      </c>
      <c r="B25" s="673" t="s">
        <v>213</v>
      </c>
      <c r="C25" s="107">
        <v>1</v>
      </c>
      <c r="D25" s="406" t="s">
        <v>641</v>
      </c>
      <c r="E25" s="642"/>
      <c r="F25" s="643"/>
      <c r="G25" s="406" t="s">
        <v>424</v>
      </c>
      <c r="H25" s="642"/>
      <c r="I25" s="643"/>
      <c r="J25" s="299">
        <v>13.45</v>
      </c>
      <c r="K25" s="14">
        <v>1.7994858611825194E-2</v>
      </c>
      <c r="L25" s="4">
        <v>14</v>
      </c>
      <c r="M25" s="282">
        <v>188.29999999999998</v>
      </c>
      <c r="N25" s="4"/>
      <c r="O25" s="631" t="s">
        <v>862</v>
      </c>
      <c r="P25" s="662"/>
    </row>
    <row r="26" spans="1:16" ht="15.75" customHeight="1">
      <c r="A26" s="664"/>
      <c r="B26" s="670"/>
      <c r="C26" s="107">
        <v>2</v>
      </c>
      <c r="D26" s="406" t="s">
        <v>745</v>
      </c>
      <c r="E26" s="642"/>
      <c r="F26" s="643"/>
      <c r="G26" s="406" t="s">
        <v>354</v>
      </c>
      <c r="H26" s="642"/>
      <c r="I26" s="643"/>
      <c r="J26" s="299">
        <v>487.6</v>
      </c>
      <c r="K26" s="14">
        <v>8.6093095333754244E-3</v>
      </c>
      <c r="L26" s="4">
        <v>0.3</v>
      </c>
      <c r="M26" s="282">
        <v>146.28</v>
      </c>
      <c r="N26" s="4"/>
      <c r="O26" s="631" t="s">
        <v>798</v>
      </c>
      <c r="P26" s="662"/>
    </row>
    <row r="27" spans="1:16" ht="15.75" customHeight="1">
      <c r="A27" s="664"/>
      <c r="B27" s="670"/>
      <c r="C27" s="107">
        <v>3</v>
      </c>
      <c r="D27" s="406">
        <v>0</v>
      </c>
      <c r="E27" s="642"/>
      <c r="F27" s="643"/>
      <c r="G27" s="406">
        <v>0</v>
      </c>
      <c r="H27" s="642"/>
      <c r="I27" s="643"/>
      <c r="J27" s="299">
        <v>0</v>
      </c>
      <c r="K27" s="14">
        <v>0</v>
      </c>
      <c r="L27" s="4">
        <v>0</v>
      </c>
      <c r="M27" s="282">
        <v>0</v>
      </c>
      <c r="N27" s="4"/>
      <c r="O27" s="631"/>
      <c r="P27" s="662"/>
    </row>
    <row r="28" spans="1:16" ht="15.75" customHeight="1">
      <c r="A28" s="664"/>
      <c r="B28" s="670"/>
      <c r="C28" s="107">
        <v>4</v>
      </c>
      <c r="D28" s="406">
        <v>0</v>
      </c>
      <c r="E28" s="642"/>
      <c r="F28" s="643"/>
      <c r="G28" s="406">
        <v>0</v>
      </c>
      <c r="H28" s="642"/>
      <c r="I28" s="643"/>
      <c r="J28" s="299">
        <v>0</v>
      </c>
      <c r="K28" s="14">
        <v>0</v>
      </c>
      <c r="L28" s="4">
        <v>0</v>
      </c>
      <c r="M28" s="282">
        <v>0</v>
      </c>
      <c r="N28" s="4"/>
      <c r="O28" s="631"/>
      <c r="P28" s="662"/>
    </row>
    <row r="29" spans="1:16" ht="15.75" customHeight="1" thickBot="1">
      <c r="A29" s="664"/>
      <c r="B29" s="670"/>
      <c r="C29" s="108">
        <v>5</v>
      </c>
      <c r="D29" s="406">
        <v>0</v>
      </c>
      <c r="E29" s="642"/>
      <c r="F29" s="643"/>
      <c r="G29" s="406">
        <v>0</v>
      </c>
      <c r="H29" s="642"/>
      <c r="I29" s="643"/>
      <c r="J29" s="299">
        <v>0</v>
      </c>
      <c r="K29" s="14">
        <v>0</v>
      </c>
      <c r="L29" s="4">
        <v>0</v>
      </c>
      <c r="M29" s="282">
        <v>0</v>
      </c>
      <c r="N29" s="4"/>
      <c r="O29" s="631"/>
      <c r="P29" s="662"/>
    </row>
    <row r="30" spans="1:16" ht="15.75" customHeight="1" thickTop="1" thickBot="1">
      <c r="A30" s="664"/>
      <c r="B30" s="670"/>
      <c r="C30" s="677"/>
      <c r="D30" s="677"/>
      <c r="E30" s="677"/>
      <c r="F30" s="677"/>
      <c r="G30" s="677"/>
      <c r="H30" s="677"/>
      <c r="I30" s="678"/>
      <c r="J30" s="114" t="s">
        <v>58</v>
      </c>
      <c r="K30" s="222">
        <v>2.5479579325733172E-3</v>
      </c>
      <c r="L30" s="114" t="s">
        <v>847</v>
      </c>
      <c r="M30" s="224">
        <v>334.58</v>
      </c>
      <c r="N30" s="674"/>
      <c r="O30" s="675"/>
      <c r="P30" s="676"/>
    </row>
    <row r="31" spans="1:16" ht="15.75" customHeight="1" thickTop="1"/>
    <row r="32" spans="1:16" ht="15.75" customHeight="1">
      <c r="A32" s="663" t="s">
        <v>838</v>
      </c>
      <c r="B32" s="664"/>
      <c r="C32" s="112" t="s">
        <v>839</v>
      </c>
      <c r="D32" s="665" t="s">
        <v>12</v>
      </c>
      <c r="E32" s="666"/>
      <c r="F32" s="667"/>
      <c r="G32" s="110" t="s">
        <v>840</v>
      </c>
      <c r="H32" s="111"/>
      <c r="I32" s="112"/>
      <c r="J32" s="109" t="s">
        <v>841</v>
      </c>
      <c r="K32" s="109" t="s">
        <v>842</v>
      </c>
      <c r="L32" s="109" t="s">
        <v>843</v>
      </c>
      <c r="M32" s="113" t="s">
        <v>11</v>
      </c>
      <c r="N32" s="113" t="s">
        <v>13</v>
      </c>
      <c r="O32" s="668" t="s">
        <v>845</v>
      </c>
      <c r="P32" s="669"/>
    </row>
    <row r="33" spans="1:16" ht="15.75" customHeight="1">
      <c r="A33" s="664">
        <v>7</v>
      </c>
      <c r="B33" s="673" t="s">
        <v>863</v>
      </c>
      <c r="C33" s="107">
        <v>1</v>
      </c>
      <c r="D33" s="406" t="s">
        <v>345</v>
      </c>
      <c r="E33" s="642"/>
      <c r="F33" s="643"/>
      <c r="G33" s="406" t="s">
        <v>802</v>
      </c>
      <c r="H33" s="642"/>
      <c r="I33" s="643"/>
      <c r="J33" s="4">
        <v>846.44</v>
      </c>
      <c r="K33" s="14">
        <v>3.8782237735117318E-2</v>
      </c>
      <c r="L33" s="4">
        <v>0.2</v>
      </c>
      <c r="M33" s="282">
        <v>169.28800000000001</v>
      </c>
      <c r="N33" s="4"/>
      <c r="O33" s="631" t="s">
        <v>864</v>
      </c>
      <c r="P33" s="662"/>
    </row>
    <row r="34" spans="1:16" ht="15.75" customHeight="1">
      <c r="A34" s="664"/>
      <c r="B34" s="670"/>
      <c r="C34" s="107">
        <v>2</v>
      </c>
      <c r="D34" s="406">
        <v>0</v>
      </c>
      <c r="E34" s="642"/>
      <c r="F34" s="643"/>
      <c r="G34" s="406">
        <v>0</v>
      </c>
      <c r="H34" s="642"/>
      <c r="I34" s="643"/>
      <c r="J34" s="4">
        <v>0</v>
      </c>
      <c r="K34" s="14">
        <v>0</v>
      </c>
      <c r="L34" s="4">
        <v>0</v>
      </c>
      <c r="M34" s="282">
        <v>0</v>
      </c>
      <c r="N34" s="4"/>
      <c r="O34" s="631"/>
      <c r="P34" s="662"/>
    </row>
    <row r="35" spans="1:16" ht="15.75" customHeight="1">
      <c r="A35" s="664"/>
      <c r="B35" s="670"/>
      <c r="C35" s="107">
        <v>3</v>
      </c>
      <c r="D35" s="406">
        <v>0</v>
      </c>
      <c r="E35" s="642"/>
      <c r="F35" s="643"/>
      <c r="G35" s="406">
        <v>0</v>
      </c>
      <c r="H35" s="642"/>
      <c r="I35" s="643"/>
      <c r="J35" s="4">
        <v>0</v>
      </c>
      <c r="K35" s="14">
        <v>0</v>
      </c>
      <c r="L35" s="4">
        <v>0</v>
      </c>
      <c r="M35" s="282">
        <v>0</v>
      </c>
      <c r="N35" s="4"/>
      <c r="O35" s="631"/>
      <c r="P35" s="662"/>
    </row>
    <row r="36" spans="1:16" ht="15.75" customHeight="1">
      <c r="A36" s="664"/>
      <c r="B36" s="670"/>
      <c r="C36" s="107">
        <v>4</v>
      </c>
      <c r="D36" s="406">
        <v>0</v>
      </c>
      <c r="E36" s="642"/>
      <c r="F36" s="643"/>
      <c r="G36" s="406">
        <v>0</v>
      </c>
      <c r="H36" s="642"/>
      <c r="I36" s="643"/>
      <c r="J36" s="4">
        <v>0</v>
      </c>
      <c r="K36" s="14">
        <v>0</v>
      </c>
      <c r="L36" s="4">
        <v>0</v>
      </c>
      <c r="M36" s="282">
        <v>0</v>
      </c>
      <c r="N36" s="4"/>
      <c r="O36" s="631"/>
      <c r="P36" s="662"/>
    </row>
    <row r="37" spans="1:16" ht="15.75" customHeight="1" thickBot="1">
      <c r="A37" s="664"/>
      <c r="B37" s="670"/>
      <c r="C37" s="108">
        <v>5</v>
      </c>
      <c r="D37" s="406">
        <v>0</v>
      </c>
      <c r="E37" s="642"/>
      <c r="F37" s="643"/>
      <c r="G37" s="406">
        <v>0</v>
      </c>
      <c r="H37" s="642"/>
      <c r="I37" s="643"/>
      <c r="J37" s="4">
        <v>0</v>
      </c>
      <c r="K37" s="14">
        <v>0</v>
      </c>
      <c r="L37" s="4">
        <v>0</v>
      </c>
      <c r="M37" s="282">
        <v>0</v>
      </c>
      <c r="N37" s="4"/>
      <c r="O37" s="631"/>
      <c r="P37" s="662"/>
    </row>
    <row r="38" spans="1:16" ht="15.75" customHeight="1" thickTop="1" thickBot="1">
      <c r="A38" s="664"/>
      <c r="B38" s="670"/>
      <c r="C38" s="677"/>
      <c r="D38" s="677"/>
      <c r="E38" s="677"/>
      <c r="F38" s="677"/>
      <c r="G38" s="677"/>
      <c r="H38" s="677"/>
      <c r="I38" s="678"/>
      <c r="J38" s="114" t="s">
        <v>58</v>
      </c>
      <c r="K38" s="222">
        <v>1.2891945199637509E-3</v>
      </c>
      <c r="L38" s="114" t="s">
        <v>847</v>
      </c>
      <c r="M38" s="224">
        <v>169.28800000000001</v>
      </c>
      <c r="N38" s="674"/>
      <c r="O38" s="675"/>
      <c r="P38" s="676"/>
    </row>
    <row r="39" spans="1:16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M33" sqref="M33"/>
    </sheetView>
  </sheetViews>
  <sheetFormatPr defaultColWidth="12.54296875" defaultRowHeight="15.75" customHeight="1"/>
  <cols>
    <col min="1" max="1" width="5.453125" style="167" customWidth="1"/>
    <col min="2" max="2" width="11.453125" style="301" customWidth="1"/>
    <col min="3" max="3" width="4" style="302" customWidth="1"/>
    <col min="4" max="17" width="9.54296875" style="167" customWidth="1"/>
    <col min="18" max="16384" width="12.54296875" style="167"/>
  </cols>
  <sheetData>
    <row r="1" spans="1:23" ht="15.75" customHeight="1">
      <c r="A1" s="604" t="s">
        <v>589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</row>
    <row r="2" spans="1:23" s="168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167"/>
      <c r="S2" s="167"/>
      <c r="T2" s="167"/>
      <c r="U2" s="167"/>
      <c r="V2" s="167"/>
      <c r="W2" s="167"/>
    </row>
    <row r="3" spans="1:23" ht="15.75" customHeight="1">
      <c r="A3" s="605" t="s">
        <v>590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5"/>
    </row>
    <row r="4" spans="1:23" s="168" customFormat="1" ht="15.75" customHeight="1">
      <c r="A4" s="605"/>
      <c r="B4" s="605"/>
      <c r="C4" s="605"/>
      <c r="D4" s="605"/>
      <c r="E4" s="605"/>
      <c r="F4" s="605"/>
      <c r="G4" s="605"/>
      <c r="H4" s="605"/>
      <c r="I4" s="605"/>
      <c r="J4" s="605"/>
      <c r="K4" s="605"/>
      <c r="L4" s="605"/>
      <c r="M4" s="605"/>
      <c r="R4" s="167"/>
      <c r="S4" s="167"/>
      <c r="T4" s="167"/>
      <c r="U4" s="167"/>
      <c r="V4" s="167"/>
      <c r="W4" s="167"/>
    </row>
    <row r="5" spans="1:23" ht="15.75" customHeight="1">
      <c r="A5" s="607" t="s">
        <v>584</v>
      </c>
      <c r="B5" s="679">
        <v>1</v>
      </c>
      <c r="C5" s="679"/>
      <c r="D5" s="679">
        <v>2</v>
      </c>
      <c r="E5" s="679"/>
      <c r="F5" s="679">
        <v>3</v>
      </c>
      <c r="G5" s="679"/>
      <c r="H5" s="610">
        <v>4</v>
      </c>
      <c r="I5" s="610"/>
      <c r="J5" s="610">
        <v>5</v>
      </c>
      <c r="K5" s="610"/>
      <c r="L5" s="610">
        <v>6</v>
      </c>
      <c r="M5" s="610"/>
      <c r="N5" s="610">
        <v>7</v>
      </c>
      <c r="O5" s="610"/>
      <c r="P5" s="610">
        <v>8</v>
      </c>
      <c r="Q5" s="610"/>
    </row>
    <row r="6" spans="1:23" ht="15.75" customHeight="1">
      <c r="A6" s="607"/>
      <c r="B6" s="680" t="s">
        <v>591</v>
      </c>
      <c r="C6" s="680"/>
      <c r="D6" s="680" t="s">
        <v>592</v>
      </c>
      <c r="E6" s="680"/>
      <c r="F6" s="680" t="s">
        <v>593</v>
      </c>
      <c r="G6" s="680"/>
      <c r="H6" s="681" t="s">
        <v>594</v>
      </c>
      <c r="I6" s="607"/>
      <c r="J6" s="607" t="s">
        <v>595</v>
      </c>
      <c r="K6" s="607"/>
      <c r="L6" s="607" t="s">
        <v>596</v>
      </c>
      <c r="M6" s="607"/>
      <c r="N6" s="607" t="s">
        <v>597</v>
      </c>
      <c r="O6" s="607"/>
      <c r="P6" s="681" t="s">
        <v>598</v>
      </c>
      <c r="Q6" s="607"/>
    </row>
    <row r="8" spans="1:23" s="300" customFormat="1" ht="15.75" customHeight="1">
      <c r="A8" s="648" t="s">
        <v>838</v>
      </c>
      <c r="B8" s="649"/>
      <c r="C8" s="396" t="s">
        <v>839</v>
      </c>
      <c r="D8" s="653" t="s">
        <v>12</v>
      </c>
      <c r="E8" s="654"/>
      <c r="F8" s="655"/>
      <c r="G8" s="394" t="s">
        <v>840</v>
      </c>
      <c r="H8" s="395"/>
      <c r="I8" s="396"/>
      <c r="J8" s="155" t="s">
        <v>841</v>
      </c>
      <c r="K8" s="298" t="s">
        <v>865</v>
      </c>
      <c r="L8" s="155" t="s">
        <v>843</v>
      </c>
      <c r="M8" s="155" t="s">
        <v>11</v>
      </c>
      <c r="N8" s="298" t="s">
        <v>844</v>
      </c>
      <c r="O8" s="644" t="s">
        <v>845</v>
      </c>
      <c r="P8" s="645"/>
      <c r="R8" s="167"/>
      <c r="S8" s="167"/>
      <c r="T8" s="167"/>
      <c r="U8" s="167"/>
      <c r="V8" s="167"/>
      <c r="W8" s="167"/>
    </row>
    <row r="9" spans="1:23" ht="15.75" customHeight="1">
      <c r="A9" s="569">
        <v>1</v>
      </c>
      <c r="B9" s="650" t="s">
        <v>846</v>
      </c>
      <c r="C9" s="156">
        <v>1</v>
      </c>
      <c r="D9" s="406">
        <v>0</v>
      </c>
      <c r="E9" s="642"/>
      <c r="F9" s="643"/>
      <c r="G9" s="406">
        <v>0</v>
      </c>
      <c r="H9" s="642"/>
      <c r="I9" s="643"/>
      <c r="J9" s="4">
        <v>0</v>
      </c>
      <c r="K9" s="14">
        <v>0</v>
      </c>
      <c r="L9" s="299">
        <v>0</v>
      </c>
      <c r="M9" s="16">
        <v>0</v>
      </c>
      <c r="N9" s="157"/>
      <c r="O9" s="631"/>
      <c r="P9" s="632"/>
    </row>
    <row r="10" spans="1:23" ht="15.75" customHeight="1">
      <c r="A10" s="570"/>
      <c r="B10" s="651"/>
      <c r="C10" s="156">
        <v>2</v>
      </c>
      <c r="D10" s="406">
        <v>0</v>
      </c>
      <c r="E10" s="642"/>
      <c r="F10" s="643"/>
      <c r="G10" s="406">
        <v>0</v>
      </c>
      <c r="H10" s="642"/>
      <c r="I10" s="643"/>
      <c r="J10" s="4">
        <v>0</v>
      </c>
      <c r="K10" s="14">
        <v>0</v>
      </c>
      <c r="L10" s="299">
        <v>0</v>
      </c>
      <c r="M10" s="16">
        <v>0</v>
      </c>
      <c r="N10" s="157"/>
      <c r="O10" s="631"/>
      <c r="P10" s="632"/>
    </row>
    <row r="11" spans="1:23" ht="15.75" customHeight="1">
      <c r="A11" s="570"/>
      <c r="B11" s="651"/>
      <c r="C11" s="156">
        <v>3</v>
      </c>
      <c r="D11" s="406">
        <v>0</v>
      </c>
      <c r="E11" s="642"/>
      <c r="F11" s="643"/>
      <c r="G11" s="406">
        <v>0</v>
      </c>
      <c r="H11" s="642"/>
      <c r="I11" s="643"/>
      <c r="J11" s="4">
        <v>0</v>
      </c>
      <c r="K11" s="14">
        <v>0</v>
      </c>
      <c r="L11" s="299">
        <v>0</v>
      </c>
      <c r="M11" s="16">
        <v>0</v>
      </c>
      <c r="N11" s="157"/>
      <c r="O11" s="631"/>
      <c r="P11" s="632"/>
    </row>
    <row r="12" spans="1:23" ht="15.75" customHeight="1">
      <c r="A12" s="570"/>
      <c r="B12" s="651"/>
      <c r="C12" s="156">
        <v>4</v>
      </c>
      <c r="D12" s="406">
        <v>0</v>
      </c>
      <c r="E12" s="642"/>
      <c r="F12" s="643"/>
      <c r="G12" s="406">
        <v>0</v>
      </c>
      <c r="H12" s="642"/>
      <c r="I12" s="643"/>
      <c r="J12" s="4">
        <v>0</v>
      </c>
      <c r="K12" s="14">
        <v>0</v>
      </c>
      <c r="L12" s="299">
        <v>0</v>
      </c>
      <c r="M12" s="16">
        <v>0</v>
      </c>
      <c r="N12" s="157"/>
      <c r="O12" s="631"/>
      <c r="P12" s="632"/>
    </row>
    <row r="13" spans="1:23" ht="15.75" customHeight="1" thickBot="1">
      <c r="A13" s="570"/>
      <c r="B13" s="651"/>
      <c r="C13" s="158">
        <v>5</v>
      </c>
      <c r="D13" s="639">
        <v>0</v>
      </c>
      <c r="E13" s="640"/>
      <c r="F13" s="641"/>
      <c r="G13" s="639">
        <v>0</v>
      </c>
      <c r="H13" s="640"/>
      <c r="I13" s="641"/>
      <c r="J13" s="4">
        <v>0</v>
      </c>
      <c r="K13" s="14">
        <v>0</v>
      </c>
      <c r="L13" s="299">
        <v>0</v>
      </c>
      <c r="M13" s="16">
        <v>0</v>
      </c>
      <c r="N13" s="159"/>
      <c r="O13" s="646"/>
      <c r="P13" s="647"/>
    </row>
    <row r="14" spans="1:23" ht="15.75" customHeight="1" thickTop="1" thickBot="1">
      <c r="A14" s="571"/>
      <c r="B14" s="652"/>
      <c r="C14" s="656"/>
      <c r="D14" s="657"/>
      <c r="E14" s="657"/>
      <c r="F14" s="657"/>
      <c r="G14" s="657"/>
      <c r="H14" s="657"/>
      <c r="I14" s="658"/>
      <c r="J14" s="296" t="s">
        <v>58</v>
      </c>
      <c r="K14" s="222">
        <v>0</v>
      </c>
      <c r="L14" s="296" t="s">
        <v>847</v>
      </c>
      <c r="M14" s="224">
        <v>0</v>
      </c>
      <c r="N14" s="636"/>
      <c r="O14" s="637"/>
      <c r="P14" s="638"/>
    </row>
    <row r="15" spans="1:23" ht="15.75" customHeight="1" thickTop="1">
      <c r="A15" s="115"/>
      <c r="B15" s="160"/>
      <c r="C15" s="147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</row>
    <row r="16" spans="1:23" ht="15.75" customHeight="1">
      <c r="A16" s="648" t="s">
        <v>838</v>
      </c>
      <c r="B16" s="649"/>
      <c r="C16" s="396" t="s">
        <v>839</v>
      </c>
      <c r="D16" s="653" t="s">
        <v>12</v>
      </c>
      <c r="E16" s="654"/>
      <c r="F16" s="655"/>
      <c r="G16" s="394" t="s">
        <v>840</v>
      </c>
      <c r="H16" s="395"/>
      <c r="I16" s="396"/>
      <c r="J16" s="155" t="s">
        <v>841</v>
      </c>
      <c r="K16" s="298" t="s">
        <v>865</v>
      </c>
      <c r="L16" s="155" t="s">
        <v>843</v>
      </c>
      <c r="M16" s="155" t="s">
        <v>11</v>
      </c>
      <c r="N16" s="298" t="s">
        <v>844</v>
      </c>
      <c r="O16" s="644" t="s">
        <v>845</v>
      </c>
      <c r="P16" s="645"/>
    </row>
    <row r="17" spans="1:16" ht="15.75" customHeight="1">
      <c r="A17" s="569">
        <v>2</v>
      </c>
      <c r="B17" s="650" t="s">
        <v>848</v>
      </c>
      <c r="C17" s="156">
        <v>1</v>
      </c>
      <c r="D17" s="406" t="s">
        <v>783</v>
      </c>
      <c r="E17" s="642"/>
      <c r="F17" s="643"/>
      <c r="G17" s="406" t="s">
        <v>849</v>
      </c>
      <c r="H17" s="642"/>
      <c r="I17" s="643"/>
      <c r="J17" s="299">
        <v>423.77</v>
      </c>
      <c r="K17" s="14">
        <v>8.7578706353749286E-2</v>
      </c>
      <c r="L17" s="299">
        <v>0.45899999999999996</v>
      </c>
      <c r="M17" s="282">
        <v>194.51042999999996</v>
      </c>
      <c r="N17" s="157"/>
      <c r="O17" s="631" t="s">
        <v>586</v>
      </c>
      <c r="P17" s="632"/>
    </row>
    <row r="18" spans="1:16" ht="15.75" customHeight="1">
      <c r="A18" s="570"/>
      <c r="B18" s="651"/>
      <c r="C18" s="156">
        <v>2</v>
      </c>
      <c r="D18" s="406" t="s">
        <v>368</v>
      </c>
      <c r="E18" s="642"/>
      <c r="F18" s="643"/>
      <c r="G18" s="406" t="s">
        <v>851</v>
      </c>
      <c r="H18" s="642"/>
      <c r="I18" s="643"/>
      <c r="J18" s="299">
        <v>354.37</v>
      </c>
      <c r="K18" s="14">
        <v>2.5177144580129682E-2</v>
      </c>
      <c r="L18" s="299">
        <v>0.33400000000000035</v>
      </c>
      <c r="M18" s="282">
        <v>118.35958000000012</v>
      </c>
      <c r="N18" s="157"/>
      <c r="O18" s="631" t="s">
        <v>586</v>
      </c>
      <c r="P18" s="632"/>
    </row>
    <row r="19" spans="1:16" ht="15.75" customHeight="1">
      <c r="A19" s="570"/>
      <c r="B19" s="651"/>
      <c r="C19" s="156">
        <v>3</v>
      </c>
      <c r="D19" s="406">
        <v>0</v>
      </c>
      <c r="E19" s="642"/>
      <c r="F19" s="643"/>
      <c r="G19" s="406">
        <v>0</v>
      </c>
      <c r="H19" s="642"/>
      <c r="I19" s="643"/>
      <c r="J19" s="299">
        <v>0</v>
      </c>
      <c r="K19" s="14">
        <v>0</v>
      </c>
      <c r="L19" s="299">
        <v>0</v>
      </c>
      <c r="M19" s="282">
        <v>0</v>
      </c>
      <c r="N19" s="157"/>
      <c r="O19" s="631"/>
      <c r="P19" s="632"/>
    </row>
    <row r="20" spans="1:16" ht="15.75" customHeight="1">
      <c r="A20" s="570"/>
      <c r="B20" s="651"/>
      <c r="C20" s="156">
        <v>4</v>
      </c>
      <c r="D20" s="406">
        <v>0</v>
      </c>
      <c r="E20" s="642"/>
      <c r="F20" s="643"/>
      <c r="G20" s="406">
        <v>0</v>
      </c>
      <c r="H20" s="642"/>
      <c r="I20" s="643"/>
      <c r="J20" s="299">
        <v>0</v>
      </c>
      <c r="K20" s="14">
        <v>0</v>
      </c>
      <c r="L20" s="299">
        <v>0</v>
      </c>
      <c r="M20" s="282">
        <v>0</v>
      </c>
      <c r="N20" s="157"/>
      <c r="O20" s="631"/>
      <c r="P20" s="632"/>
    </row>
    <row r="21" spans="1:16" ht="15.75" customHeight="1" thickBot="1">
      <c r="A21" s="570"/>
      <c r="B21" s="651"/>
      <c r="C21" s="158">
        <v>5</v>
      </c>
      <c r="D21" s="406">
        <v>0</v>
      </c>
      <c r="E21" s="642"/>
      <c r="F21" s="643"/>
      <c r="G21" s="406">
        <v>0</v>
      </c>
      <c r="H21" s="642"/>
      <c r="I21" s="643"/>
      <c r="J21" s="299">
        <v>0</v>
      </c>
      <c r="K21" s="14">
        <v>0</v>
      </c>
      <c r="L21" s="299">
        <v>0</v>
      </c>
      <c r="M21" s="282">
        <v>0</v>
      </c>
      <c r="N21" s="159"/>
      <c r="O21" s="631"/>
      <c r="P21" s="632"/>
    </row>
    <row r="22" spans="1:16" ht="15.75" customHeight="1" thickTop="1" thickBot="1">
      <c r="A22" s="571"/>
      <c r="B22" s="652"/>
      <c r="C22" s="659"/>
      <c r="D22" s="660"/>
      <c r="E22" s="660"/>
      <c r="F22" s="660"/>
      <c r="G22" s="660"/>
      <c r="H22" s="660"/>
      <c r="I22" s="661"/>
      <c r="J22" s="296" t="s">
        <v>58</v>
      </c>
      <c r="K22" s="222">
        <v>3.2289187526906103E-3</v>
      </c>
      <c r="L22" s="296" t="s">
        <v>847</v>
      </c>
      <c r="M22" s="224">
        <v>312.87001000000009</v>
      </c>
      <c r="N22" s="636"/>
      <c r="O22" s="637"/>
      <c r="P22" s="638"/>
    </row>
    <row r="23" spans="1:16" ht="15.75" customHeight="1" thickTop="1">
      <c r="A23" s="115"/>
      <c r="B23" s="160"/>
      <c r="C23" s="147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</row>
    <row r="24" spans="1:16" ht="15.75" customHeight="1">
      <c r="A24" s="648" t="s">
        <v>838</v>
      </c>
      <c r="B24" s="649"/>
      <c r="C24" s="396" t="s">
        <v>839</v>
      </c>
      <c r="D24" s="653" t="s">
        <v>12</v>
      </c>
      <c r="E24" s="654"/>
      <c r="F24" s="655"/>
      <c r="G24" s="394" t="s">
        <v>840</v>
      </c>
      <c r="H24" s="395"/>
      <c r="I24" s="396"/>
      <c r="J24" s="155" t="s">
        <v>841</v>
      </c>
      <c r="K24" s="298" t="s">
        <v>865</v>
      </c>
      <c r="L24" s="155" t="s">
        <v>843</v>
      </c>
      <c r="M24" s="155" t="s">
        <v>11</v>
      </c>
      <c r="N24" s="298" t="s">
        <v>844</v>
      </c>
      <c r="O24" s="644" t="s">
        <v>845</v>
      </c>
      <c r="P24" s="645"/>
    </row>
    <row r="25" spans="1:16" ht="15.75" customHeight="1">
      <c r="A25" s="569">
        <v>3</v>
      </c>
      <c r="B25" s="650" t="s">
        <v>853</v>
      </c>
      <c r="C25" s="156">
        <v>1</v>
      </c>
      <c r="D25" s="406" t="s">
        <v>677</v>
      </c>
      <c r="E25" s="642"/>
      <c r="F25" s="643"/>
      <c r="G25" s="406" t="s">
        <v>866</v>
      </c>
      <c r="H25" s="642"/>
      <c r="I25" s="643"/>
      <c r="J25" s="299">
        <v>240.51</v>
      </c>
      <c r="K25" s="14">
        <v>1.8028240040342862E-2</v>
      </c>
      <c r="L25" s="299">
        <v>0.5719999999999984</v>
      </c>
      <c r="M25" s="282">
        <v>137.5717199999996</v>
      </c>
      <c r="N25" s="157"/>
      <c r="O25" s="631" t="s">
        <v>671</v>
      </c>
      <c r="P25" s="632"/>
    </row>
    <row r="26" spans="1:16" ht="15.75" customHeight="1">
      <c r="A26" s="570"/>
      <c r="B26" s="651"/>
      <c r="C26" s="156">
        <v>2</v>
      </c>
      <c r="D26" s="406">
        <v>0</v>
      </c>
      <c r="E26" s="642"/>
      <c r="F26" s="643"/>
      <c r="G26" s="406">
        <v>0</v>
      </c>
      <c r="H26" s="642"/>
      <c r="I26" s="643"/>
      <c r="J26" s="299">
        <v>0</v>
      </c>
      <c r="K26" s="14">
        <v>0</v>
      </c>
      <c r="L26" s="299">
        <v>0</v>
      </c>
      <c r="M26" s="282">
        <v>0</v>
      </c>
      <c r="N26" s="157"/>
      <c r="O26" s="631"/>
      <c r="P26" s="632"/>
    </row>
    <row r="27" spans="1:16" ht="15.75" customHeight="1">
      <c r="A27" s="570"/>
      <c r="B27" s="651"/>
      <c r="C27" s="156">
        <v>3</v>
      </c>
      <c r="D27" s="406">
        <v>0</v>
      </c>
      <c r="E27" s="642"/>
      <c r="F27" s="643"/>
      <c r="G27" s="406">
        <v>0</v>
      </c>
      <c r="H27" s="642"/>
      <c r="I27" s="643"/>
      <c r="J27" s="299">
        <v>0</v>
      </c>
      <c r="K27" s="14">
        <v>0</v>
      </c>
      <c r="L27" s="299">
        <v>0</v>
      </c>
      <c r="M27" s="282">
        <v>0</v>
      </c>
      <c r="N27" s="157"/>
      <c r="O27" s="631"/>
      <c r="P27" s="632"/>
    </row>
    <row r="28" spans="1:16" ht="15.75" customHeight="1">
      <c r="A28" s="570"/>
      <c r="B28" s="651"/>
      <c r="C28" s="156">
        <v>4</v>
      </c>
      <c r="D28" s="406">
        <v>0</v>
      </c>
      <c r="E28" s="642"/>
      <c r="F28" s="643"/>
      <c r="G28" s="406">
        <v>0</v>
      </c>
      <c r="H28" s="642"/>
      <c r="I28" s="643"/>
      <c r="J28" s="299">
        <v>0</v>
      </c>
      <c r="K28" s="14">
        <v>0</v>
      </c>
      <c r="L28" s="299">
        <v>0</v>
      </c>
      <c r="M28" s="282">
        <v>0</v>
      </c>
      <c r="N28" s="157"/>
      <c r="O28" s="631"/>
      <c r="P28" s="632"/>
    </row>
    <row r="29" spans="1:16" ht="15.75" customHeight="1" thickBot="1">
      <c r="A29" s="570"/>
      <c r="B29" s="651"/>
      <c r="C29" s="158">
        <v>5</v>
      </c>
      <c r="D29" s="639">
        <v>0</v>
      </c>
      <c r="E29" s="640"/>
      <c r="F29" s="641"/>
      <c r="G29" s="639">
        <v>0</v>
      </c>
      <c r="H29" s="640"/>
      <c r="I29" s="641"/>
      <c r="J29" s="299">
        <v>0</v>
      </c>
      <c r="K29" s="14">
        <v>0</v>
      </c>
      <c r="L29" s="299">
        <v>0</v>
      </c>
      <c r="M29" s="282">
        <v>0</v>
      </c>
      <c r="N29" s="159"/>
      <c r="O29" s="646"/>
      <c r="P29" s="647"/>
    </row>
    <row r="30" spans="1:16" ht="15.75" customHeight="1" thickTop="1" thickBot="1">
      <c r="A30" s="571"/>
      <c r="B30" s="652"/>
      <c r="C30" s="656"/>
      <c r="D30" s="657"/>
      <c r="E30" s="657"/>
      <c r="F30" s="657"/>
      <c r="G30" s="657"/>
      <c r="H30" s="657"/>
      <c r="I30" s="658"/>
      <c r="J30" s="296" t="s">
        <v>58</v>
      </c>
      <c r="K30" s="222">
        <v>1.419784230990693E-3</v>
      </c>
      <c r="L30" s="296" t="s">
        <v>847</v>
      </c>
      <c r="M30" s="224">
        <v>137.5717199999996</v>
      </c>
      <c r="N30" s="636"/>
      <c r="O30" s="637"/>
      <c r="P30" s="638"/>
    </row>
    <row r="31" spans="1:16" ht="15.75" customHeight="1" thickTop="1"/>
  </sheetData>
  <mergeCells count="85"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D29:F29"/>
    <mergeCell ref="G29:I29"/>
    <mergeCell ref="O29:P29"/>
    <mergeCell ref="D28:F28"/>
    <mergeCell ref="G28:I28"/>
    <mergeCell ref="O28:P28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S41" sqref="S41"/>
    </sheetView>
  </sheetViews>
  <sheetFormatPr defaultColWidth="12.54296875" defaultRowHeight="15.75" customHeight="1"/>
  <cols>
    <col min="1" max="1" width="5.453125" style="304" customWidth="1"/>
    <col min="2" max="2" width="11.453125" style="305" customWidth="1"/>
    <col min="3" max="3" width="4" style="306" customWidth="1"/>
    <col min="4" max="17" width="9.54296875" style="304" customWidth="1"/>
    <col min="18" max="16384" width="12.54296875" style="304"/>
  </cols>
  <sheetData>
    <row r="1" spans="1:23" s="167" customFormat="1" ht="15.75" customHeight="1">
      <c r="A1" s="604" t="s">
        <v>589</v>
      </c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</row>
    <row r="2" spans="1:23" s="168" customFormat="1" ht="15.75" customHeight="1">
      <c r="A2" s="604"/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</row>
    <row r="3" spans="1:23" s="167" customFormat="1" ht="15.75" customHeight="1">
      <c r="A3" s="605" t="s">
        <v>590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5"/>
    </row>
    <row r="4" spans="1:23" s="168" customFormat="1" ht="15.75" customHeight="1">
      <c r="A4" s="605"/>
      <c r="B4" s="605"/>
      <c r="C4" s="605"/>
      <c r="D4" s="605"/>
      <c r="E4" s="605"/>
      <c r="F4" s="605"/>
      <c r="G4" s="605"/>
      <c r="H4" s="605"/>
      <c r="I4" s="605"/>
      <c r="J4" s="605"/>
      <c r="K4" s="605"/>
      <c r="L4" s="605"/>
      <c r="M4" s="605"/>
    </row>
    <row r="5" spans="1:23" s="167" customFormat="1" ht="15.75" customHeight="1">
      <c r="A5" s="607" t="s">
        <v>584</v>
      </c>
      <c r="B5" s="610">
        <v>1</v>
      </c>
      <c r="C5" s="610"/>
      <c r="D5" s="610">
        <v>2</v>
      </c>
      <c r="E5" s="610"/>
      <c r="F5" s="610">
        <v>3</v>
      </c>
      <c r="G5" s="610"/>
      <c r="H5" s="679">
        <v>4</v>
      </c>
      <c r="I5" s="679"/>
      <c r="J5" s="679">
        <v>5</v>
      </c>
      <c r="K5" s="679"/>
      <c r="L5" s="679">
        <v>6</v>
      </c>
      <c r="M5" s="679"/>
      <c r="N5" s="679">
        <v>7</v>
      </c>
      <c r="O5" s="679"/>
      <c r="P5" s="610">
        <v>8</v>
      </c>
      <c r="Q5" s="610"/>
    </row>
    <row r="6" spans="1:23" s="167" customFormat="1" ht="15.75" customHeight="1">
      <c r="A6" s="607"/>
      <c r="B6" s="607" t="s">
        <v>591</v>
      </c>
      <c r="C6" s="607"/>
      <c r="D6" s="607" t="s">
        <v>592</v>
      </c>
      <c r="E6" s="607"/>
      <c r="F6" s="607" t="s">
        <v>593</v>
      </c>
      <c r="G6" s="607"/>
      <c r="H6" s="682" t="s">
        <v>594</v>
      </c>
      <c r="I6" s="680"/>
      <c r="J6" s="680" t="s">
        <v>595</v>
      </c>
      <c r="K6" s="680"/>
      <c r="L6" s="680" t="s">
        <v>596</v>
      </c>
      <c r="M6" s="680"/>
      <c r="N6" s="680" t="s">
        <v>597</v>
      </c>
      <c r="O6" s="680"/>
      <c r="P6" s="681" t="s">
        <v>598</v>
      </c>
      <c r="Q6" s="607"/>
    </row>
    <row r="7" spans="1:23" s="167" customFormat="1" ht="15.75" customHeight="1">
      <c r="B7" s="301"/>
      <c r="C7" s="302"/>
    </row>
    <row r="8" spans="1:23" s="303" customFormat="1" ht="15.75" customHeight="1">
      <c r="A8" s="663" t="s">
        <v>838</v>
      </c>
      <c r="B8" s="664"/>
      <c r="C8" s="112" t="s">
        <v>839</v>
      </c>
      <c r="D8" s="665" t="s">
        <v>12</v>
      </c>
      <c r="E8" s="666"/>
      <c r="F8" s="667"/>
      <c r="G8" s="110" t="s">
        <v>840</v>
      </c>
      <c r="H8" s="111"/>
      <c r="I8" s="112"/>
      <c r="J8" s="109" t="s">
        <v>841</v>
      </c>
      <c r="K8" s="109" t="s">
        <v>865</v>
      </c>
      <c r="L8" s="109" t="s">
        <v>843</v>
      </c>
      <c r="M8" s="113" t="s">
        <v>11</v>
      </c>
      <c r="N8" s="298" t="s">
        <v>844</v>
      </c>
      <c r="O8" s="668" t="s">
        <v>845</v>
      </c>
      <c r="P8" s="669"/>
      <c r="R8" s="167"/>
      <c r="S8" s="167"/>
      <c r="T8" s="167"/>
      <c r="U8" s="167"/>
      <c r="V8" s="167"/>
      <c r="W8" s="167"/>
    </row>
    <row r="9" spans="1:23" ht="15.75" customHeight="1">
      <c r="A9" s="664">
        <v>4</v>
      </c>
      <c r="B9" s="670" t="s">
        <v>582</v>
      </c>
      <c r="C9" s="107">
        <v>1</v>
      </c>
      <c r="D9" s="406" t="s">
        <v>809</v>
      </c>
      <c r="E9" s="642"/>
      <c r="F9" s="643"/>
      <c r="G9" s="406" t="s">
        <v>812</v>
      </c>
      <c r="H9" s="642"/>
      <c r="I9" s="643"/>
      <c r="J9" s="299">
        <v>447.3</v>
      </c>
      <c r="K9" s="14">
        <v>3.0653950953678346E-3</v>
      </c>
      <c r="L9" s="299">
        <v>0.5399999999999977</v>
      </c>
      <c r="M9" s="282">
        <v>241.54199999999895</v>
      </c>
      <c r="N9" s="4"/>
      <c r="O9" s="631" t="s">
        <v>522</v>
      </c>
      <c r="P9" s="662"/>
      <c r="R9" s="167"/>
      <c r="S9" s="167"/>
      <c r="T9" s="167"/>
      <c r="U9" s="167"/>
      <c r="V9" s="167"/>
      <c r="W9" s="167"/>
    </row>
    <row r="10" spans="1:23" ht="15.75" customHeight="1">
      <c r="A10" s="664"/>
      <c r="B10" s="670"/>
      <c r="C10" s="107">
        <v>2</v>
      </c>
      <c r="D10" s="406" t="s">
        <v>377</v>
      </c>
      <c r="E10" s="642"/>
      <c r="F10" s="643"/>
      <c r="G10" s="406" t="s">
        <v>803</v>
      </c>
      <c r="H10" s="642"/>
      <c r="I10" s="643"/>
      <c r="J10" s="299">
        <v>371.13</v>
      </c>
      <c r="K10" s="14">
        <v>4.1611054408416956E-3</v>
      </c>
      <c r="L10" s="299">
        <v>0.5300000000000068</v>
      </c>
      <c r="M10" s="282">
        <v>196.69890000000254</v>
      </c>
      <c r="N10" s="4"/>
      <c r="O10" s="631" t="s">
        <v>522</v>
      </c>
      <c r="P10" s="662"/>
      <c r="R10" s="167"/>
      <c r="S10" s="167"/>
      <c r="T10" s="167"/>
      <c r="U10" s="167"/>
      <c r="V10" s="167"/>
      <c r="W10" s="167"/>
    </row>
    <row r="11" spans="1:23" ht="15.75" customHeight="1">
      <c r="A11" s="664"/>
      <c r="B11" s="670"/>
      <c r="C11" s="107">
        <v>3</v>
      </c>
      <c r="D11" s="406" t="s">
        <v>809</v>
      </c>
      <c r="E11" s="642"/>
      <c r="F11" s="643"/>
      <c r="G11" s="406" t="s">
        <v>812</v>
      </c>
      <c r="H11" s="642"/>
      <c r="I11" s="643"/>
      <c r="J11" s="299">
        <v>447.3</v>
      </c>
      <c r="K11" s="14">
        <v>3.7674919268029525E-3</v>
      </c>
      <c r="L11" s="299">
        <v>0.41999999999999316</v>
      </c>
      <c r="M11" s="282">
        <v>187.86599999999692</v>
      </c>
      <c r="N11" s="4"/>
      <c r="O11" s="631" t="s">
        <v>522</v>
      </c>
      <c r="P11" s="662"/>
      <c r="R11" s="167"/>
      <c r="S11" s="167"/>
      <c r="T11" s="167"/>
      <c r="U11" s="167"/>
      <c r="V11" s="167"/>
      <c r="W11" s="167"/>
    </row>
    <row r="12" spans="1:23" ht="15.75" customHeight="1">
      <c r="A12" s="664"/>
      <c r="B12" s="670"/>
      <c r="C12" s="107">
        <v>4</v>
      </c>
      <c r="D12" s="406" t="s">
        <v>856</v>
      </c>
      <c r="E12" s="642"/>
      <c r="F12" s="643"/>
      <c r="G12" s="406" t="s">
        <v>867</v>
      </c>
      <c r="H12" s="642"/>
      <c r="I12" s="643"/>
      <c r="J12" s="299">
        <v>92.57</v>
      </c>
      <c r="K12" s="14">
        <v>5.6992827868853407E-3</v>
      </c>
      <c r="L12" s="299">
        <v>1.7800000000000296</v>
      </c>
      <c r="M12" s="282">
        <v>164.77460000000272</v>
      </c>
      <c r="N12" s="4"/>
      <c r="O12" s="631" t="s">
        <v>522</v>
      </c>
      <c r="P12" s="662"/>
      <c r="R12" s="167"/>
      <c r="S12" s="167"/>
      <c r="T12" s="167"/>
      <c r="U12" s="167"/>
      <c r="V12" s="167"/>
      <c r="W12" s="167"/>
    </row>
    <row r="13" spans="1:23" ht="15.75" customHeight="1" thickBot="1">
      <c r="A13" s="664"/>
      <c r="B13" s="670"/>
      <c r="C13" s="108">
        <v>5</v>
      </c>
      <c r="D13" s="406" t="s">
        <v>352</v>
      </c>
      <c r="E13" s="642"/>
      <c r="F13" s="643"/>
      <c r="G13" s="406" t="s">
        <v>674</v>
      </c>
      <c r="H13" s="642"/>
      <c r="I13" s="643"/>
      <c r="J13" s="299">
        <v>111.17</v>
      </c>
      <c r="K13" s="14">
        <v>4.4179633096909981E-3</v>
      </c>
      <c r="L13" s="299">
        <v>1.4370000000000231</v>
      </c>
      <c r="M13" s="282">
        <v>159.75129000000254</v>
      </c>
      <c r="N13" s="4"/>
      <c r="O13" s="631" t="s">
        <v>522</v>
      </c>
      <c r="P13" s="662"/>
      <c r="R13" s="167"/>
      <c r="S13" s="167"/>
      <c r="T13" s="167"/>
      <c r="U13" s="167"/>
      <c r="V13" s="167"/>
      <c r="W13" s="167"/>
    </row>
    <row r="14" spans="1:23" ht="15.75" customHeight="1" thickTop="1" thickBot="1">
      <c r="A14" s="664"/>
      <c r="B14" s="670"/>
      <c r="C14" s="672"/>
      <c r="D14" s="672"/>
      <c r="E14" s="672"/>
      <c r="F14" s="672"/>
      <c r="G14" s="672"/>
      <c r="H14" s="672"/>
      <c r="I14" s="672"/>
      <c r="J14" s="223" t="s">
        <v>58</v>
      </c>
      <c r="K14" s="222">
        <v>9.8108349935924054E-3</v>
      </c>
      <c r="L14" s="223" t="s">
        <v>847</v>
      </c>
      <c r="M14" s="224">
        <v>950.63279000000364</v>
      </c>
      <c r="N14" s="671"/>
      <c r="O14" s="671"/>
      <c r="P14" s="671"/>
      <c r="R14" s="167"/>
      <c r="S14" s="167"/>
      <c r="T14" s="167"/>
      <c r="U14" s="167"/>
      <c r="V14" s="167"/>
      <c r="W14" s="167"/>
    </row>
    <row r="15" spans="1:23" ht="15.75" customHeight="1" thickTop="1">
      <c r="A15" s="2"/>
      <c r="B15" s="106"/>
      <c r="C15" s="10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R15" s="167"/>
      <c r="S15" s="167"/>
      <c r="T15" s="167"/>
      <c r="U15" s="167"/>
      <c r="V15" s="167"/>
      <c r="W15" s="167"/>
    </row>
    <row r="16" spans="1:23" ht="15.75" customHeight="1">
      <c r="A16" s="663" t="s">
        <v>838</v>
      </c>
      <c r="B16" s="664"/>
      <c r="C16" s="112" t="s">
        <v>839</v>
      </c>
      <c r="D16" s="665" t="s">
        <v>12</v>
      </c>
      <c r="E16" s="666"/>
      <c r="F16" s="667"/>
      <c r="G16" s="110" t="s">
        <v>840</v>
      </c>
      <c r="H16" s="111"/>
      <c r="I16" s="112"/>
      <c r="J16" s="109" t="s">
        <v>841</v>
      </c>
      <c r="K16" s="109" t="s">
        <v>865</v>
      </c>
      <c r="L16" s="109" t="s">
        <v>843</v>
      </c>
      <c r="M16" s="113" t="s">
        <v>11</v>
      </c>
      <c r="N16" s="298" t="s">
        <v>844</v>
      </c>
      <c r="O16" s="668" t="s">
        <v>845</v>
      </c>
      <c r="P16" s="669"/>
      <c r="R16" s="167"/>
      <c r="S16" s="167"/>
      <c r="T16" s="167"/>
      <c r="U16" s="167"/>
      <c r="V16" s="167"/>
      <c r="W16" s="167"/>
    </row>
    <row r="17" spans="1:23" ht="15.75" customHeight="1">
      <c r="A17" s="664">
        <v>5</v>
      </c>
      <c r="B17" s="673" t="s">
        <v>212</v>
      </c>
      <c r="C17" s="107">
        <v>1</v>
      </c>
      <c r="D17" s="406" t="s">
        <v>355</v>
      </c>
      <c r="E17" s="642"/>
      <c r="F17" s="643"/>
      <c r="G17" s="406" t="s">
        <v>751</v>
      </c>
      <c r="H17" s="642"/>
      <c r="I17" s="643"/>
      <c r="J17" s="299">
        <v>581.91999999999996</v>
      </c>
      <c r="K17" s="14">
        <v>2.058980596926354E-2</v>
      </c>
      <c r="L17" s="299">
        <v>0.34699999999999848</v>
      </c>
      <c r="M17" s="282">
        <v>201.92623999999907</v>
      </c>
      <c r="N17" s="4"/>
      <c r="O17" s="631" t="s">
        <v>599</v>
      </c>
      <c r="P17" s="632"/>
      <c r="R17" s="167"/>
      <c r="S17" s="167"/>
      <c r="T17" s="167"/>
      <c r="U17" s="167"/>
      <c r="V17" s="167"/>
      <c r="W17" s="167"/>
    </row>
    <row r="18" spans="1:23" ht="15.75" customHeight="1">
      <c r="A18" s="664"/>
      <c r="B18" s="670"/>
      <c r="C18" s="107">
        <v>2</v>
      </c>
      <c r="D18" s="406" t="s">
        <v>745</v>
      </c>
      <c r="E18" s="642"/>
      <c r="F18" s="643"/>
      <c r="G18" s="406" t="s">
        <v>354</v>
      </c>
      <c r="H18" s="642"/>
      <c r="I18" s="643"/>
      <c r="J18" s="299">
        <v>487.6</v>
      </c>
      <c r="K18" s="14">
        <v>1.1050353155616179E-2</v>
      </c>
      <c r="L18" s="299">
        <v>0.38799999999999529</v>
      </c>
      <c r="M18" s="282">
        <v>189.18879999999771</v>
      </c>
      <c r="N18" s="4"/>
      <c r="O18" s="631" t="s">
        <v>599</v>
      </c>
      <c r="P18" s="632"/>
      <c r="R18" s="167"/>
      <c r="S18" s="167"/>
      <c r="T18" s="167"/>
      <c r="U18" s="167"/>
      <c r="V18" s="167"/>
      <c r="W18" s="167"/>
    </row>
    <row r="19" spans="1:23" ht="15.75" customHeight="1">
      <c r="A19" s="664"/>
      <c r="B19" s="670"/>
      <c r="C19" s="107">
        <v>3</v>
      </c>
      <c r="D19" s="406" t="s">
        <v>823</v>
      </c>
      <c r="E19" s="642"/>
      <c r="F19" s="643"/>
      <c r="G19" s="406" t="s">
        <v>824</v>
      </c>
      <c r="H19" s="642"/>
      <c r="I19" s="643"/>
      <c r="J19" s="299">
        <v>310.27999999999997</v>
      </c>
      <c r="K19" s="14">
        <v>7.009345794392623E-3</v>
      </c>
      <c r="L19" s="299">
        <v>0.60000000000000853</v>
      </c>
      <c r="M19" s="282">
        <v>186.16800000000262</v>
      </c>
      <c r="N19" s="4"/>
      <c r="O19" s="631" t="s">
        <v>599</v>
      </c>
      <c r="P19" s="632"/>
      <c r="R19" s="167"/>
      <c r="S19" s="167"/>
      <c r="T19" s="167"/>
      <c r="U19" s="167"/>
      <c r="V19" s="167"/>
      <c r="W19" s="167"/>
    </row>
    <row r="20" spans="1:23" ht="15.75" customHeight="1">
      <c r="A20" s="664"/>
      <c r="B20" s="670"/>
      <c r="C20" s="107">
        <v>4</v>
      </c>
      <c r="D20" s="406" t="s">
        <v>347</v>
      </c>
      <c r="E20" s="642"/>
      <c r="F20" s="643"/>
      <c r="G20" s="406" t="s">
        <v>868</v>
      </c>
      <c r="H20" s="642"/>
      <c r="I20" s="643"/>
      <c r="J20" s="299">
        <v>272.74</v>
      </c>
      <c r="K20" s="14">
        <v>1.1936575806164189E-2</v>
      </c>
      <c r="L20" s="299">
        <v>0.66999999999999593</v>
      </c>
      <c r="M20" s="282">
        <v>182.73579999999887</v>
      </c>
      <c r="N20" s="4"/>
      <c r="O20" s="631" t="s">
        <v>599</v>
      </c>
      <c r="P20" s="632"/>
      <c r="R20" s="167"/>
      <c r="S20" s="167"/>
      <c r="T20" s="167"/>
      <c r="U20" s="167"/>
      <c r="V20" s="167"/>
      <c r="W20" s="167"/>
    </row>
    <row r="21" spans="1:23" ht="15.75" customHeight="1" thickBot="1">
      <c r="A21" s="664"/>
      <c r="B21" s="670"/>
      <c r="C21" s="108">
        <v>5</v>
      </c>
      <c r="D21" s="406" t="s">
        <v>375</v>
      </c>
      <c r="E21" s="642"/>
      <c r="F21" s="643"/>
      <c r="G21" s="406" t="s">
        <v>393</v>
      </c>
      <c r="H21" s="642"/>
      <c r="I21" s="643"/>
      <c r="J21" s="299">
        <v>420.33</v>
      </c>
      <c r="K21" s="14">
        <v>4.9870588977968065E-3</v>
      </c>
      <c r="L21" s="299">
        <v>0.39499999999999602</v>
      </c>
      <c r="M21" s="282">
        <v>166.03034999999832</v>
      </c>
      <c r="N21" s="4"/>
      <c r="O21" s="631" t="s">
        <v>599</v>
      </c>
      <c r="P21" s="632"/>
      <c r="R21" s="167"/>
      <c r="S21" s="167"/>
      <c r="T21" s="167"/>
      <c r="U21" s="167"/>
      <c r="V21" s="167"/>
      <c r="W21" s="167"/>
    </row>
    <row r="22" spans="1:23" ht="15.75" customHeight="1" thickTop="1" thickBot="1">
      <c r="A22" s="664"/>
      <c r="B22" s="670"/>
      <c r="C22" s="677"/>
      <c r="D22" s="677"/>
      <c r="E22" s="677"/>
      <c r="F22" s="677"/>
      <c r="G22" s="677"/>
      <c r="H22" s="677"/>
      <c r="I22" s="678"/>
      <c r="J22" s="114" t="s">
        <v>58</v>
      </c>
      <c r="K22" s="222">
        <v>9.5571243645402055E-3</v>
      </c>
      <c r="L22" s="114" t="s">
        <v>847</v>
      </c>
      <c r="M22" s="224">
        <v>926.04918999999654</v>
      </c>
      <c r="N22" s="674"/>
      <c r="O22" s="675"/>
      <c r="P22" s="676"/>
      <c r="R22" s="167"/>
      <c r="S22" s="167"/>
      <c r="T22" s="167"/>
      <c r="U22" s="167"/>
      <c r="V22" s="167"/>
      <c r="W22" s="167"/>
    </row>
    <row r="23" spans="1:23" ht="15.75" customHeight="1" thickTop="1">
      <c r="A23" s="2"/>
      <c r="B23" s="106"/>
      <c r="C23" s="10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R23" s="167"/>
      <c r="S23" s="167"/>
      <c r="T23" s="167"/>
      <c r="U23" s="167"/>
      <c r="V23" s="167"/>
      <c r="W23" s="167"/>
    </row>
    <row r="24" spans="1:23" ht="15.75" customHeight="1">
      <c r="A24" s="663" t="s">
        <v>838</v>
      </c>
      <c r="B24" s="664"/>
      <c r="C24" s="112" t="s">
        <v>839</v>
      </c>
      <c r="D24" s="665" t="s">
        <v>12</v>
      </c>
      <c r="E24" s="666"/>
      <c r="F24" s="667"/>
      <c r="G24" s="110" t="s">
        <v>840</v>
      </c>
      <c r="H24" s="111"/>
      <c r="I24" s="112"/>
      <c r="J24" s="109" t="s">
        <v>841</v>
      </c>
      <c r="K24" s="109" t="s">
        <v>865</v>
      </c>
      <c r="L24" s="109" t="s">
        <v>843</v>
      </c>
      <c r="M24" s="113" t="s">
        <v>11</v>
      </c>
      <c r="N24" s="298" t="s">
        <v>844</v>
      </c>
      <c r="O24" s="668" t="s">
        <v>845</v>
      </c>
      <c r="P24" s="669"/>
      <c r="R24" s="167"/>
      <c r="S24" s="167"/>
      <c r="T24" s="167"/>
      <c r="U24" s="167"/>
      <c r="V24" s="167"/>
      <c r="W24" s="167"/>
    </row>
    <row r="25" spans="1:23" ht="15.75" customHeight="1">
      <c r="A25" s="664">
        <v>6</v>
      </c>
      <c r="B25" s="673" t="s">
        <v>213</v>
      </c>
      <c r="C25" s="107">
        <v>1</v>
      </c>
      <c r="D25" s="406" t="s">
        <v>745</v>
      </c>
      <c r="E25" s="642"/>
      <c r="F25" s="643"/>
      <c r="G25" s="406" t="s">
        <v>354</v>
      </c>
      <c r="H25" s="642"/>
      <c r="I25" s="643"/>
      <c r="J25" s="299">
        <v>487.6</v>
      </c>
      <c r="K25" s="14">
        <v>1.01589852493831E-2</v>
      </c>
      <c r="L25" s="299">
        <v>0.35400000000000348</v>
      </c>
      <c r="M25" s="282">
        <v>172.6104000000017</v>
      </c>
      <c r="N25" s="4"/>
      <c r="O25" s="631" t="s">
        <v>869</v>
      </c>
      <c r="P25" s="662"/>
      <c r="R25" s="167"/>
      <c r="S25" s="167"/>
      <c r="T25" s="167"/>
      <c r="U25" s="167"/>
      <c r="V25" s="167"/>
      <c r="W25" s="167"/>
    </row>
    <row r="26" spans="1:23" ht="15.75" customHeight="1">
      <c r="A26" s="664"/>
      <c r="B26" s="670"/>
      <c r="C26" s="107">
        <v>2</v>
      </c>
      <c r="D26" s="406">
        <v>0</v>
      </c>
      <c r="E26" s="642"/>
      <c r="F26" s="643"/>
      <c r="G26" s="406">
        <v>0</v>
      </c>
      <c r="H26" s="642"/>
      <c r="I26" s="643"/>
      <c r="J26" s="299">
        <v>0</v>
      </c>
      <c r="K26" s="14">
        <v>0</v>
      </c>
      <c r="L26" s="299">
        <v>0</v>
      </c>
      <c r="M26" s="282">
        <v>0</v>
      </c>
      <c r="N26" s="4"/>
      <c r="O26" s="631"/>
      <c r="P26" s="662"/>
      <c r="R26" s="167"/>
      <c r="S26" s="167"/>
      <c r="T26" s="167"/>
      <c r="U26" s="167"/>
      <c r="V26" s="167"/>
      <c r="W26" s="167"/>
    </row>
    <row r="27" spans="1:23" ht="15.75" customHeight="1">
      <c r="A27" s="664"/>
      <c r="B27" s="670"/>
      <c r="C27" s="107">
        <v>3</v>
      </c>
      <c r="D27" s="406">
        <v>0</v>
      </c>
      <c r="E27" s="642"/>
      <c r="F27" s="643"/>
      <c r="G27" s="406">
        <v>0</v>
      </c>
      <c r="H27" s="642"/>
      <c r="I27" s="643"/>
      <c r="J27" s="299">
        <v>0</v>
      </c>
      <c r="K27" s="14">
        <v>0</v>
      </c>
      <c r="L27" s="299">
        <v>0</v>
      </c>
      <c r="M27" s="282">
        <v>0</v>
      </c>
      <c r="N27" s="4"/>
      <c r="O27" s="631"/>
      <c r="P27" s="662"/>
      <c r="R27" s="167"/>
      <c r="S27" s="167"/>
      <c r="T27" s="167"/>
      <c r="U27" s="167"/>
      <c r="V27" s="167"/>
      <c r="W27" s="167"/>
    </row>
    <row r="28" spans="1:23" ht="15.75" customHeight="1">
      <c r="A28" s="664"/>
      <c r="B28" s="670"/>
      <c r="C28" s="107">
        <v>4</v>
      </c>
      <c r="D28" s="406">
        <v>0</v>
      </c>
      <c r="E28" s="642"/>
      <c r="F28" s="643"/>
      <c r="G28" s="406">
        <v>0</v>
      </c>
      <c r="H28" s="642"/>
      <c r="I28" s="643"/>
      <c r="J28" s="299">
        <v>0</v>
      </c>
      <c r="K28" s="14">
        <v>0</v>
      </c>
      <c r="L28" s="299">
        <v>0</v>
      </c>
      <c r="M28" s="282">
        <v>0</v>
      </c>
      <c r="N28" s="4"/>
      <c r="O28" s="631"/>
      <c r="P28" s="662"/>
      <c r="R28" s="167"/>
      <c r="S28" s="167"/>
      <c r="T28" s="167"/>
      <c r="U28" s="167"/>
      <c r="V28" s="167"/>
      <c r="W28" s="167"/>
    </row>
    <row r="29" spans="1:23" ht="15.75" customHeight="1" thickBot="1">
      <c r="A29" s="664"/>
      <c r="B29" s="670"/>
      <c r="C29" s="108">
        <v>5</v>
      </c>
      <c r="D29" s="406">
        <v>0</v>
      </c>
      <c r="E29" s="642"/>
      <c r="F29" s="643"/>
      <c r="G29" s="406">
        <v>0</v>
      </c>
      <c r="H29" s="642"/>
      <c r="I29" s="643"/>
      <c r="J29" s="299">
        <v>0</v>
      </c>
      <c r="K29" s="14">
        <v>0</v>
      </c>
      <c r="L29" s="299">
        <v>0</v>
      </c>
      <c r="M29" s="282">
        <v>0</v>
      </c>
      <c r="N29" s="4"/>
      <c r="O29" s="631"/>
      <c r="P29" s="662"/>
      <c r="R29" s="167"/>
      <c r="S29" s="167"/>
      <c r="T29" s="167"/>
      <c r="U29" s="167"/>
      <c r="V29" s="167"/>
      <c r="W29" s="167"/>
    </row>
    <row r="30" spans="1:23" ht="15.75" customHeight="1" thickTop="1" thickBot="1">
      <c r="A30" s="664"/>
      <c r="B30" s="670"/>
      <c r="C30" s="677"/>
      <c r="D30" s="677"/>
      <c r="E30" s="677"/>
      <c r="F30" s="677"/>
      <c r="G30" s="677"/>
      <c r="H30" s="677"/>
      <c r="I30" s="678"/>
      <c r="J30" s="114" t="s">
        <v>58</v>
      </c>
      <c r="K30" s="222">
        <v>1.7813946356489477E-3</v>
      </c>
      <c r="L30" s="114" t="s">
        <v>847</v>
      </c>
      <c r="M30" s="224">
        <v>172.6104000000017</v>
      </c>
      <c r="N30" s="674"/>
      <c r="O30" s="675"/>
      <c r="P30" s="676"/>
      <c r="R30" s="167"/>
      <c r="S30" s="167"/>
      <c r="T30" s="167"/>
      <c r="U30" s="167"/>
      <c r="V30" s="167"/>
      <c r="W30" s="167"/>
    </row>
    <row r="31" spans="1:23" ht="15.75" customHeight="1" thickTop="1">
      <c r="A31" s="2"/>
      <c r="B31" s="106"/>
      <c r="C31" s="10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R31" s="167"/>
      <c r="S31" s="167"/>
      <c r="T31" s="167"/>
      <c r="U31" s="167"/>
      <c r="V31" s="167"/>
      <c r="W31" s="167"/>
    </row>
    <row r="32" spans="1:23" ht="15.75" customHeight="1">
      <c r="A32" s="663" t="s">
        <v>838</v>
      </c>
      <c r="B32" s="664"/>
      <c r="C32" s="112" t="s">
        <v>839</v>
      </c>
      <c r="D32" s="665" t="s">
        <v>12</v>
      </c>
      <c r="E32" s="666"/>
      <c r="F32" s="667"/>
      <c r="G32" s="110" t="s">
        <v>840</v>
      </c>
      <c r="H32" s="111"/>
      <c r="I32" s="112"/>
      <c r="J32" s="109" t="s">
        <v>841</v>
      </c>
      <c r="K32" s="109" t="s">
        <v>865</v>
      </c>
      <c r="L32" s="109" t="s">
        <v>843</v>
      </c>
      <c r="M32" s="113" t="s">
        <v>11</v>
      </c>
      <c r="N32" s="113" t="s">
        <v>13</v>
      </c>
      <c r="O32" s="668" t="s">
        <v>845</v>
      </c>
      <c r="P32" s="669"/>
      <c r="R32" s="167"/>
      <c r="S32" s="167"/>
      <c r="T32" s="167"/>
      <c r="U32" s="167"/>
      <c r="V32" s="167"/>
      <c r="W32" s="167"/>
    </row>
    <row r="33" spans="1:23" ht="15.75" customHeight="1">
      <c r="A33" s="664">
        <v>7</v>
      </c>
      <c r="B33" s="673" t="s">
        <v>863</v>
      </c>
      <c r="C33" s="107">
        <v>1</v>
      </c>
      <c r="D33" s="406" t="s">
        <v>773</v>
      </c>
      <c r="E33" s="642"/>
      <c r="F33" s="643"/>
      <c r="G33" s="406" t="s">
        <v>774</v>
      </c>
      <c r="H33" s="642"/>
      <c r="I33" s="643"/>
      <c r="J33" s="299">
        <v>1760</v>
      </c>
      <c r="K33" s="14">
        <v>3.6941023979261287E-2</v>
      </c>
      <c r="L33" s="299">
        <v>0.11400000000000032</v>
      </c>
      <c r="M33" s="282">
        <v>200.64000000000055</v>
      </c>
      <c r="N33" s="4"/>
      <c r="O33" s="631" t="s">
        <v>864</v>
      </c>
      <c r="P33" s="662"/>
      <c r="R33" s="167"/>
      <c r="S33" s="167"/>
      <c r="T33" s="167"/>
      <c r="U33" s="167"/>
      <c r="V33" s="167"/>
      <c r="W33" s="167"/>
    </row>
    <row r="34" spans="1:23" ht="15.75" customHeight="1">
      <c r="A34" s="664"/>
      <c r="B34" s="670"/>
      <c r="C34" s="107">
        <v>2</v>
      </c>
      <c r="D34" s="406" t="s">
        <v>794</v>
      </c>
      <c r="E34" s="642"/>
      <c r="F34" s="643"/>
      <c r="G34" s="406" t="s">
        <v>870</v>
      </c>
      <c r="H34" s="642"/>
      <c r="I34" s="643"/>
      <c r="J34" s="299">
        <v>705</v>
      </c>
      <c r="K34" s="14">
        <v>1.5602836879432544E-2</v>
      </c>
      <c r="L34" s="299">
        <v>0.27499999999999858</v>
      </c>
      <c r="M34" s="282">
        <v>193.87499999999901</v>
      </c>
      <c r="N34" s="4"/>
      <c r="O34" s="631" t="s">
        <v>864</v>
      </c>
      <c r="P34" s="662"/>
      <c r="R34" s="167"/>
      <c r="S34" s="167"/>
      <c r="T34" s="167"/>
      <c r="U34" s="167"/>
      <c r="V34" s="167"/>
      <c r="W34" s="167"/>
    </row>
    <row r="35" spans="1:23" ht="15.75" customHeight="1">
      <c r="A35" s="664"/>
      <c r="B35" s="670"/>
      <c r="C35" s="107">
        <v>3</v>
      </c>
      <c r="D35" s="406" t="s">
        <v>345</v>
      </c>
      <c r="E35" s="642"/>
      <c r="F35" s="643"/>
      <c r="G35" s="406" t="s">
        <v>802</v>
      </c>
      <c r="H35" s="642"/>
      <c r="I35" s="643"/>
      <c r="J35" s="299">
        <v>846.44</v>
      </c>
      <c r="K35" s="14">
        <v>3.3999298983526036E-2</v>
      </c>
      <c r="L35" s="299">
        <v>0.19399999999999959</v>
      </c>
      <c r="M35" s="282">
        <v>164.20935999999966</v>
      </c>
      <c r="N35" s="4"/>
      <c r="O35" s="631" t="s">
        <v>864</v>
      </c>
      <c r="P35" s="662"/>
      <c r="R35" s="167"/>
      <c r="S35" s="167"/>
      <c r="T35" s="167"/>
      <c r="U35" s="167"/>
      <c r="V35" s="167"/>
      <c r="W35" s="167"/>
    </row>
    <row r="36" spans="1:23" ht="15.75" customHeight="1">
      <c r="A36" s="664"/>
      <c r="B36" s="670"/>
      <c r="C36" s="107">
        <v>4</v>
      </c>
      <c r="D36" s="406" t="s">
        <v>348</v>
      </c>
      <c r="E36" s="642"/>
      <c r="F36" s="643"/>
      <c r="G36" s="406" t="s">
        <v>825</v>
      </c>
      <c r="H36" s="642"/>
      <c r="I36" s="643"/>
      <c r="J36" s="299">
        <v>1760</v>
      </c>
      <c r="K36" s="14">
        <v>5.7213930348258613E-2</v>
      </c>
      <c r="L36" s="299">
        <v>9.199999999999986E-2</v>
      </c>
      <c r="M36" s="282">
        <v>161.91999999999976</v>
      </c>
      <c r="N36" s="4"/>
      <c r="O36" s="631" t="s">
        <v>747</v>
      </c>
      <c r="P36" s="662"/>
      <c r="R36" s="167"/>
      <c r="S36" s="167"/>
      <c r="T36" s="167"/>
      <c r="U36" s="167"/>
      <c r="V36" s="167"/>
      <c r="W36" s="167"/>
    </row>
    <row r="37" spans="1:23" ht="15.75" customHeight="1" thickBot="1">
      <c r="A37" s="664"/>
      <c r="B37" s="670"/>
      <c r="C37" s="108">
        <v>5</v>
      </c>
      <c r="D37" s="406" t="s">
        <v>776</v>
      </c>
      <c r="E37" s="642"/>
      <c r="F37" s="643"/>
      <c r="G37" s="406" t="s">
        <v>871</v>
      </c>
      <c r="H37" s="642"/>
      <c r="I37" s="643"/>
      <c r="J37" s="299">
        <v>952.28</v>
      </c>
      <c r="K37" s="14">
        <v>2.5179856115107858E-2</v>
      </c>
      <c r="L37" s="299">
        <v>0.13999999999999968</v>
      </c>
      <c r="M37" s="282">
        <v>133.31919999999968</v>
      </c>
      <c r="N37" s="4"/>
      <c r="O37" s="631" t="s">
        <v>747</v>
      </c>
      <c r="P37" s="662"/>
      <c r="R37" s="167"/>
      <c r="S37" s="167"/>
      <c r="T37" s="167"/>
      <c r="U37" s="167"/>
      <c r="V37" s="167"/>
      <c r="W37" s="167"/>
    </row>
    <row r="38" spans="1:23" ht="15.75" customHeight="1" thickTop="1" thickBot="1">
      <c r="A38" s="664"/>
      <c r="B38" s="670"/>
      <c r="C38" s="677"/>
      <c r="D38" s="677"/>
      <c r="E38" s="677"/>
      <c r="F38" s="677"/>
      <c r="G38" s="677"/>
      <c r="H38" s="677"/>
      <c r="I38" s="678"/>
      <c r="J38" s="114" t="s">
        <v>58</v>
      </c>
      <c r="K38" s="222">
        <v>8.8131775653359293E-3</v>
      </c>
      <c r="L38" s="114" t="s">
        <v>847</v>
      </c>
      <c r="M38" s="224">
        <v>853.96355999999867</v>
      </c>
      <c r="N38" s="674"/>
      <c r="O38" s="675"/>
      <c r="P38" s="676"/>
      <c r="R38" s="167"/>
      <c r="S38" s="167"/>
      <c r="T38" s="167"/>
      <c r="U38" s="167"/>
      <c r="V38" s="167"/>
      <c r="W38" s="167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32" sqref="R32"/>
    </sheetView>
  </sheetViews>
  <sheetFormatPr defaultColWidth="12.54296875" defaultRowHeight="15.75" customHeight="1"/>
  <cols>
    <col min="1" max="1" width="5.453125" style="115" customWidth="1"/>
    <col min="2" max="2" width="7.81640625" style="161" customWidth="1"/>
    <col min="3" max="3" width="4" style="147" customWidth="1"/>
    <col min="4" max="17" width="8.54296875" style="115" customWidth="1"/>
    <col min="18" max="16384" width="12.54296875" style="115"/>
  </cols>
  <sheetData>
    <row r="1" spans="1:17" ht="15.75" customHeight="1">
      <c r="A1" s="399" t="s">
        <v>204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99"/>
      <c r="Q1" s="399"/>
    </row>
    <row r="2" spans="1:17" s="116" customFormat="1" ht="15.75" customHeight="1">
      <c r="A2" s="399"/>
      <c r="B2" s="399"/>
      <c r="C2" s="399"/>
      <c r="D2" s="399"/>
      <c r="E2" s="399"/>
      <c r="F2" s="399"/>
      <c r="G2" s="399"/>
      <c r="H2" s="399"/>
      <c r="I2" s="399"/>
      <c r="J2" s="399"/>
      <c r="K2" s="399"/>
      <c r="L2" s="399"/>
      <c r="M2" s="399"/>
      <c r="N2" s="399"/>
      <c r="O2" s="399"/>
      <c r="P2" s="399"/>
      <c r="Q2" s="399"/>
    </row>
    <row r="3" spans="1:17" ht="15.75" customHeight="1">
      <c r="A3" s="524" t="s">
        <v>215</v>
      </c>
      <c r="B3" s="524"/>
      <c r="C3" s="524"/>
      <c r="D3" s="524"/>
      <c r="E3" s="524"/>
      <c r="F3" s="524"/>
      <c r="G3" s="524"/>
      <c r="H3" s="524"/>
      <c r="I3" s="524"/>
      <c r="J3" s="524"/>
      <c r="K3" s="524"/>
      <c r="L3" s="524"/>
      <c r="M3" s="524"/>
      <c r="N3" s="524"/>
      <c r="O3" s="524"/>
      <c r="P3" s="524"/>
      <c r="Q3" s="524"/>
    </row>
    <row r="4" spans="1:17" s="116" customFormat="1" ht="15.75" customHeight="1">
      <c r="A4" s="684"/>
      <c r="B4" s="684"/>
      <c r="C4" s="684"/>
      <c r="D4" s="684"/>
      <c r="E4" s="684"/>
      <c r="F4" s="684"/>
      <c r="G4" s="684"/>
      <c r="H4" s="684"/>
      <c r="I4" s="684"/>
      <c r="J4" s="684"/>
      <c r="K4" s="684"/>
      <c r="L4" s="684"/>
      <c r="M4" s="684"/>
      <c r="N4" s="684"/>
      <c r="O4" s="684"/>
      <c r="P4" s="684"/>
      <c r="Q4" s="684"/>
    </row>
    <row r="5" spans="1:17" ht="15.75" customHeight="1">
      <c r="A5" s="442" t="s">
        <v>190</v>
      </c>
      <c r="B5" s="521">
        <v>1</v>
      </c>
      <c r="C5" s="521"/>
      <c r="D5" s="521">
        <v>2</v>
      </c>
      <c r="E5" s="521"/>
      <c r="F5" s="521">
        <v>3</v>
      </c>
      <c r="G5" s="521"/>
      <c r="H5" s="521">
        <v>4</v>
      </c>
      <c r="I5" s="521"/>
      <c r="J5" s="521">
        <v>5</v>
      </c>
      <c r="K5" s="521"/>
      <c r="L5" s="521">
        <v>6</v>
      </c>
      <c r="M5" s="521"/>
      <c r="N5" s="521">
        <v>7</v>
      </c>
      <c r="O5" s="521"/>
      <c r="P5" s="634">
        <v>8</v>
      </c>
      <c r="Q5" s="634"/>
    </row>
    <row r="6" spans="1:17" ht="15.75" customHeight="1">
      <c r="A6" s="442"/>
      <c r="B6" s="442" t="s">
        <v>323</v>
      </c>
      <c r="C6" s="442"/>
      <c r="D6" s="442" t="s">
        <v>216</v>
      </c>
      <c r="E6" s="442"/>
      <c r="F6" s="442" t="s">
        <v>164</v>
      </c>
      <c r="G6" s="442"/>
      <c r="H6" s="442" t="s">
        <v>582</v>
      </c>
      <c r="I6" s="442"/>
      <c r="J6" s="442" t="s">
        <v>188</v>
      </c>
      <c r="K6" s="442"/>
      <c r="L6" s="442" t="s">
        <v>165</v>
      </c>
      <c r="M6" s="442"/>
      <c r="N6" s="442" t="s">
        <v>189</v>
      </c>
      <c r="O6" s="442"/>
      <c r="P6" s="635" t="s">
        <v>217</v>
      </c>
      <c r="Q6" s="635"/>
    </row>
    <row r="8" spans="1:17" s="122" customFormat="1" ht="15.75" customHeight="1">
      <c r="A8" s="148" t="s">
        <v>192</v>
      </c>
      <c r="B8" s="164" t="s">
        <v>18</v>
      </c>
      <c r="C8" s="685" t="s">
        <v>12</v>
      </c>
      <c r="D8" s="685"/>
      <c r="E8" s="685"/>
      <c r="F8" s="685" t="s">
        <v>53</v>
      </c>
      <c r="G8" s="685"/>
      <c r="H8" s="685"/>
      <c r="I8" s="164" t="s">
        <v>54</v>
      </c>
      <c r="J8" s="165" t="s">
        <v>19</v>
      </c>
      <c r="K8" s="164" t="s">
        <v>57</v>
      </c>
      <c r="L8" s="164" t="s">
        <v>2</v>
      </c>
      <c r="M8" s="686" t="s">
        <v>50</v>
      </c>
      <c r="N8" s="687"/>
      <c r="O8" s="687"/>
      <c r="P8" s="687"/>
      <c r="Q8" s="687"/>
    </row>
    <row r="9" spans="1:17" ht="15.75" customHeight="1">
      <c r="A9" s="685" t="s">
        <v>191</v>
      </c>
      <c r="B9" s="143">
        <v>1</v>
      </c>
      <c r="C9" s="545"/>
      <c r="D9" s="542"/>
      <c r="E9" s="542"/>
      <c r="F9" s="545"/>
      <c r="G9" s="542"/>
      <c r="H9" s="542"/>
      <c r="I9" s="149"/>
      <c r="J9" s="134"/>
      <c r="K9" s="134"/>
      <c r="L9" s="163">
        <f>K9-J9</f>
        <v>0</v>
      </c>
      <c r="M9" s="545"/>
      <c r="N9" s="545"/>
      <c r="O9" s="545"/>
      <c r="P9" s="545"/>
      <c r="Q9" s="545"/>
    </row>
    <row r="10" spans="1:17" ht="15.75" customHeight="1">
      <c r="A10" s="690"/>
      <c r="B10" s="143">
        <v>2</v>
      </c>
      <c r="C10" s="545"/>
      <c r="D10" s="542"/>
      <c r="E10" s="542"/>
      <c r="F10" s="545"/>
      <c r="G10" s="542"/>
      <c r="H10" s="542"/>
      <c r="I10" s="149"/>
      <c r="J10" s="134"/>
      <c r="K10" s="134"/>
      <c r="L10" s="163">
        <f>K10-J10</f>
        <v>0</v>
      </c>
      <c r="M10" s="545"/>
      <c r="N10" s="545"/>
      <c r="O10" s="545"/>
      <c r="P10" s="545"/>
      <c r="Q10" s="545"/>
    </row>
    <row r="11" spans="1:17" ht="15.75" customHeight="1">
      <c r="A11" s="690"/>
      <c r="B11" s="143">
        <v>3</v>
      </c>
      <c r="C11" s="545"/>
      <c r="D11" s="542"/>
      <c r="E11" s="542"/>
      <c r="F11" s="545"/>
      <c r="G11" s="542"/>
      <c r="H11" s="542"/>
      <c r="I11" s="149"/>
      <c r="J11" s="134"/>
      <c r="K11" s="134"/>
      <c r="L11" s="163">
        <f>K11-J11</f>
        <v>0</v>
      </c>
      <c r="M11" s="545"/>
      <c r="N11" s="545"/>
      <c r="O11" s="545"/>
      <c r="P11" s="545"/>
      <c r="Q11" s="545"/>
    </row>
    <row r="12" spans="1:17" ht="15.75" customHeight="1">
      <c r="A12" s="690"/>
      <c r="B12" s="143">
        <v>4</v>
      </c>
      <c r="C12" s="545"/>
      <c r="D12" s="542"/>
      <c r="E12" s="542"/>
      <c r="F12" s="545"/>
      <c r="G12" s="542"/>
      <c r="H12" s="542"/>
      <c r="I12" s="149"/>
      <c r="J12" s="134"/>
      <c r="K12" s="134"/>
      <c r="L12" s="163">
        <f>K12-J12</f>
        <v>0</v>
      </c>
      <c r="M12" s="545"/>
      <c r="N12" s="545"/>
      <c r="O12" s="545"/>
      <c r="P12" s="545"/>
      <c r="Q12" s="545"/>
    </row>
    <row r="13" spans="1:17" ht="15.75" customHeight="1">
      <c r="A13" s="690"/>
      <c r="B13" s="143">
        <v>5</v>
      </c>
      <c r="C13" s="545"/>
      <c r="D13" s="542"/>
      <c r="E13" s="542"/>
      <c r="F13" s="545"/>
      <c r="G13" s="542"/>
      <c r="H13" s="542"/>
      <c r="I13" s="149"/>
      <c r="J13" s="134"/>
      <c r="K13" s="134"/>
      <c r="L13" s="163">
        <f>K13-J13</f>
        <v>0</v>
      </c>
      <c r="M13" s="545"/>
      <c r="N13" s="545"/>
      <c r="O13" s="545"/>
      <c r="P13" s="545"/>
      <c r="Q13" s="545"/>
    </row>
    <row r="14" spans="1:17" ht="15.75" customHeight="1">
      <c r="A14" s="688"/>
      <c r="B14" s="688"/>
      <c r="C14" s="688"/>
      <c r="D14" s="688"/>
      <c r="E14" s="688"/>
      <c r="F14" s="688"/>
      <c r="G14" s="688"/>
      <c r="H14" s="688"/>
      <c r="I14" s="688"/>
      <c r="J14" s="688"/>
      <c r="K14" s="688"/>
      <c r="L14" s="688"/>
      <c r="M14" s="688"/>
      <c r="N14" s="688"/>
      <c r="O14" s="689"/>
    </row>
    <row r="15" spans="1:17" s="122" customFormat="1" ht="15.75" customHeight="1">
      <c r="A15" s="148" t="s">
        <v>192</v>
      </c>
      <c r="B15" s="148" t="s">
        <v>18</v>
      </c>
      <c r="C15" s="683" t="s">
        <v>12</v>
      </c>
      <c r="D15" s="683"/>
      <c r="E15" s="683"/>
      <c r="F15" s="683" t="s">
        <v>53</v>
      </c>
      <c r="G15" s="683"/>
      <c r="H15" s="683"/>
      <c r="I15" s="148" t="s">
        <v>54</v>
      </c>
      <c r="J15" s="162" t="s">
        <v>19</v>
      </c>
      <c r="K15" s="148" t="s">
        <v>57</v>
      </c>
      <c r="L15" s="148" t="s">
        <v>2</v>
      </c>
      <c r="M15" s="683" t="s">
        <v>50</v>
      </c>
      <c r="N15" s="683"/>
      <c r="O15" s="683"/>
      <c r="P15" s="683"/>
      <c r="Q15" s="683"/>
    </row>
    <row r="16" spans="1:17" ht="15.75" customHeight="1">
      <c r="A16" s="683" t="s">
        <v>193</v>
      </c>
      <c r="B16" s="143">
        <v>1</v>
      </c>
      <c r="C16" s="545"/>
      <c r="D16" s="542"/>
      <c r="E16" s="542"/>
      <c r="F16" s="545"/>
      <c r="G16" s="542"/>
      <c r="H16" s="542"/>
      <c r="I16" s="149"/>
      <c r="J16" s="134"/>
      <c r="K16" s="134"/>
      <c r="L16" s="163">
        <f>K16-J16</f>
        <v>0</v>
      </c>
      <c r="M16" s="545"/>
      <c r="N16" s="545"/>
      <c r="O16" s="545"/>
      <c r="P16" s="545"/>
      <c r="Q16" s="545"/>
    </row>
    <row r="17" spans="1:17" ht="15.75" customHeight="1">
      <c r="A17" s="683"/>
      <c r="B17" s="143">
        <v>2</v>
      </c>
      <c r="C17" s="545"/>
      <c r="D17" s="542"/>
      <c r="E17" s="542"/>
      <c r="F17" s="545"/>
      <c r="G17" s="542"/>
      <c r="H17" s="542"/>
      <c r="I17" s="149"/>
      <c r="J17" s="134"/>
      <c r="K17" s="134"/>
      <c r="L17" s="163">
        <f>K17-J17</f>
        <v>0</v>
      </c>
      <c r="M17" s="545"/>
      <c r="N17" s="545"/>
      <c r="O17" s="545"/>
      <c r="P17" s="545"/>
      <c r="Q17" s="545"/>
    </row>
    <row r="18" spans="1:17" ht="15.75" customHeight="1">
      <c r="A18" s="683"/>
      <c r="B18" s="143">
        <v>3</v>
      </c>
      <c r="C18" s="545"/>
      <c r="D18" s="542"/>
      <c r="E18" s="542"/>
      <c r="F18" s="545"/>
      <c r="G18" s="542"/>
      <c r="H18" s="542"/>
      <c r="I18" s="149"/>
      <c r="J18" s="134"/>
      <c r="K18" s="134"/>
      <c r="L18" s="163">
        <f>K18-J18</f>
        <v>0</v>
      </c>
      <c r="M18" s="545"/>
      <c r="N18" s="545"/>
      <c r="O18" s="545"/>
      <c r="P18" s="545"/>
      <c r="Q18" s="545"/>
    </row>
    <row r="19" spans="1:17" ht="15.75" customHeight="1">
      <c r="A19" s="683"/>
      <c r="B19" s="143">
        <v>4</v>
      </c>
      <c r="C19" s="545"/>
      <c r="D19" s="542"/>
      <c r="E19" s="542"/>
      <c r="F19" s="545"/>
      <c r="G19" s="542"/>
      <c r="H19" s="542"/>
      <c r="I19" s="149"/>
      <c r="J19" s="134"/>
      <c r="K19" s="134"/>
      <c r="L19" s="163">
        <f>K19-J19</f>
        <v>0</v>
      </c>
      <c r="M19" s="545"/>
      <c r="N19" s="545"/>
      <c r="O19" s="545"/>
      <c r="P19" s="545"/>
      <c r="Q19" s="545"/>
    </row>
    <row r="20" spans="1:17" ht="15.75" customHeight="1">
      <c r="A20" s="683"/>
      <c r="B20" s="143">
        <v>5</v>
      </c>
      <c r="C20" s="545"/>
      <c r="D20" s="542"/>
      <c r="E20" s="542"/>
      <c r="F20" s="545"/>
      <c r="G20" s="542"/>
      <c r="H20" s="542"/>
      <c r="I20" s="149"/>
      <c r="J20" s="134"/>
      <c r="K20" s="134"/>
      <c r="L20" s="163">
        <f>K20-J20</f>
        <v>0</v>
      </c>
      <c r="M20" s="545"/>
      <c r="N20" s="545"/>
      <c r="O20" s="545"/>
      <c r="P20" s="545"/>
      <c r="Q20" s="545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7" sqref="D7:Y26"/>
    </sheetView>
  </sheetViews>
  <sheetFormatPr defaultColWidth="8.81640625" defaultRowHeight="16"/>
  <cols>
    <col min="1" max="1" width="8.81640625" style="307"/>
    <col min="2" max="2" width="12.453125" style="307" customWidth="1"/>
    <col min="3" max="3" width="8.81640625" style="307"/>
    <col min="4" max="4" width="11.54296875" style="307" customWidth="1"/>
    <col min="5" max="5" width="39.26953125" style="307" bestFit="1" customWidth="1"/>
    <col min="6" max="6" width="11.453125" style="307" bestFit="1" customWidth="1"/>
    <col min="7" max="7" width="14.1796875" style="307" customWidth="1"/>
    <col min="8" max="8" width="14" style="307" customWidth="1"/>
    <col min="9" max="9" width="16.81640625" style="307" customWidth="1"/>
    <col min="10" max="10" width="14" style="307" customWidth="1"/>
    <col min="11" max="11" width="11.54296875" style="307" bestFit="1" customWidth="1"/>
    <col min="12" max="12" width="13.453125" style="307" bestFit="1" customWidth="1"/>
    <col min="13" max="13" width="19.1796875" style="307" bestFit="1" customWidth="1"/>
    <col min="14" max="14" width="15.26953125" style="307" bestFit="1" customWidth="1"/>
    <col min="15" max="15" width="12.54296875" style="307" bestFit="1" customWidth="1"/>
    <col min="16" max="16" width="9.7265625" style="307" bestFit="1" customWidth="1"/>
    <col min="17" max="17" width="12.1796875" style="307" bestFit="1" customWidth="1"/>
    <col min="18" max="18" width="10.7265625" style="307" customWidth="1"/>
    <col min="19" max="19" width="13.453125" style="307" bestFit="1" customWidth="1"/>
    <col min="20" max="20" width="12.453125" style="307" bestFit="1" customWidth="1"/>
    <col min="21" max="21" width="25.26953125" style="307" bestFit="1" customWidth="1"/>
    <col min="22" max="23" width="88.26953125" style="307" customWidth="1"/>
    <col min="24" max="24" width="7.453125" style="307" bestFit="1" customWidth="1"/>
    <col min="25" max="25" width="69.54296875" style="307" bestFit="1" customWidth="1"/>
    <col min="26" max="26" width="11.453125" style="307" bestFit="1" customWidth="1"/>
    <col min="27" max="27" width="21.54296875" style="307" customWidth="1"/>
    <col min="28" max="28" width="19.453125" style="307" bestFit="1" customWidth="1"/>
    <col min="29" max="34" width="14.453125" style="307" customWidth="1"/>
    <col min="35" max="35" width="11.453125" style="307" bestFit="1" customWidth="1"/>
    <col min="36" max="16384" width="8.81640625" style="307"/>
  </cols>
  <sheetData>
    <row r="2" spans="2:35" ht="41.15" customHeight="1">
      <c r="B2" s="691" t="s">
        <v>600</v>
      </c>
      <c r="C2" s="692"/>
      <c r="D2" s="692"/>
      <c r="E2" s="692"/>
      <c r="F2" s="692"/>
      <c r="G2" s="692"/>
      <c r="H2" s="692"/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692"/>
      <c r="AA2" s="308"/>
      <c r="AB2" s="308"/>
    </row>
    <row r="3" spans="2:35" ht="17.149999999999999" customHeight="1">
      <c r="B3" s="693" t="s">
        <v>601</v>
      </c>
      <c r="C3" s="694"/>
      <c r="D3" s="699" t="s">
        <v>168</v>
      </c>
      <c r="E3" s="699"/>
      <c r="F3" s="699"/>
      <c r="G3" s="699" t="s">
        <v>182</v>
      </c>
      <c r="H3" s="699"/>
      <c r="I3" s="699"/>
      <c r="J3" s="699"/>
      <c r="K3" s="699"/>
      <c r="L3" s="699"/>
      <c r="M3" s="699"/>
      <c r="N3" s="699"/>
      <c r="O3" s="699"/>
      <c r="P3" s="699"/>
      <c r="Q3" s="699"/>
      <c r="R3" s="699"/>
      <c r="S3" s="699"/>
      <c r="T3" s="699" t="s">
        <v>169</v>
      </c>
      <c r="U3" s="700" t="s">
        <v>602</v>
      </c>
      <c r="V3" s="703" t="s">
        <v>603</v>
      </c>
      <c r="W3" s="703" t="s">
        <v>604</v>
      </c>
      <c r="X3" s="706" t="s">
        <v>605</v>
      </c>
      <c r="Y3" s="709" t="s">
        <v>170</v>
      </c>
      <c r="AA3" s="699" t="s">
        <v>606</v>
      </c>
      <c r="AB3" s="699"/>
      <c r="AC3" s="699"/>
      <c r="AD3" s="699"/>
      <c r="AE3" s="699"/>
      <c r="AF3" s="699"/>
      <c r="AG3" s="699"/>
      <c r="AH3" s="699"/>
      <c r="AI3" s="699"/>
    </row>
    <row r="4" spans="2:35" ht="17.149999999999999" customHeight="1">
      <c r="B4" s="695"/>
      <c r="C4" s="696"/>
      <c r="D4" s="717" t="s">
        <v>167</v>
      </c>
      <c r="E4" s="699" t="s">
        <v>171</v>
      </c>
      <c r="F4" s="699"/>
      <c r="G4" s="699" t="s">
        <v>183</v>
      </c>
      <c r="H4" s="699"/>
      <c r="I4" s="699"/>
      <c r="J4" s="699"/>
      <c r="K4" s="699"/>
      <c r="L4" s="699"/>
      <c r="M4" s="699"/>
      <c r="N4" s="699"/>
      <c r="O4" s="699" t="s">
        <v>172</v>
      </c>
      <c r="P4" s="699"/>
      <c r="Q4" s="699"/>
      <c r="R4" s="699"/>
      <c r="S4" s="699"/>
      <c r="T4" s="699"/>
      <c r="U4" s="701"/>
      <c r="V4" s="704"/>
      <c r="W4" s="704"/>
      <c r="X4" s="707"/>
      <c r="Y4" s="709"/>
      <c r="AA4" s="699"/>
      <c r="AB4" s="699"/>
      <c r="AC4" s="699"/>
      <c r="AD4" s="699"/>
      <c r="AE4" s="699"/>
      <c r="AF4" s="699"/>
      <c r="AG4" s="699"/>
      <c r="AH4" s="699"/>
      <c r="AI4" s="699"/>
    </row>
    <row r="5" spans="2:35" ht="17.149999999999999" customHeight="1">
      <c r="B5" s="695"/>
      <c r="C5" s="696"/>
      <c r="D5" s="717"/>
      <c r="E5" s="717" t="s">
        <v>173</v>
      </c>
      <c r="F5" s="709" t="s">
        <v>607</v>
      </c>
      <c r="G5" s="718" t="s">
        <v>184</v>
      </c>
      <c r="H5" s="718"/>
      <c r="I5" s="718"/>
      <c r="J5" s="718"/>
      <c r="K5" s="718"/>
      <c r="L5" s="718"/>
      <c r="M5" s="718"/>
      <c r="N5" s="718"/>
      <c r="O5" s="718" t="s">
        <v>166</v>
      </c>
      <c r="P5" s="718"/>
      <c r="Q5" s="718" t="s">
        <v>174</v>
      </c>
      <c r="R5" s="718"/>
      <c r="S5" s="718"/>
      <c r="T5" s="699"/>
      <c r="U5" s="701"/>
      <c r="V5" s="704"/>
      <c r="W5" s="704"/>
      <c r="X5" s="707"/>
      <c r="Y5" s="709"/>
      <c r="AA5" s="699"/>
      <c r="AB5" s="699"/>
      <c r="AC5" s="699"/>
      <c r="AD5" s="699"/>
      <c r="AE5" s="699"/>
      <c r="AF5" s="699"/>
      <c r="AG5" s="699"/>
      <c r="AH5" s="699"/>
      <c r="AI5" s="699"/>
    </row>
    <row r="6" spans="2:35" ht="38.5" customHeight="1">
      <c r="B6" s="697"/>
      <c r="C6" s="698"/>
      <c r="D6" s="717"/>
      <c r="E6" s="717"/>
      <c r="F6" s="709"/>
      <c r="G6" s="309" t="s">
        <v>175</v>
      </c>
      <c r="H6" s="309" t="s">
        <v>608</v>
      </c>
      <c r="I6" s="309" t="s">
        <v>609</v>
      </c>
      <c r="J6" s="309" t="s">
        <v>176</v>
      </c>
      <c r="K6" s="309" t="s">
        <v>610</v>
      </c>
      <c r="L6" s="309" t="s">
        <v>177</v>
      </c>
      <c r="M6" s="309" t="s">
        <v>185</v>
      </c>
      <c r="N6" s="309" t="s">
        <v>178</v>
      </c>
      <c r="O6" s="310" t="s">
        <v>179</v>
      </c>
      <c r="P6" s="310" t="s">
        <v>180</v>
      </c>
      <c r="Q6" s="310" t="s">
        <v>179</v>
      </c>
      <c r="R6" s="310" t="s">
        <v>180</v>
      </c>
      <c r="S6" s="309" t="s">
        <v>181</v>
      </c>
      <c r="T6" s="699"/>
      <c r="U6" s="702"/>
      <c r="V6" s="705"/>
      <c r="W6" s="705"/>
      <c r="X6" s="708"/>
      <c r="Y6" s="709"/>
      <c r="AA6" s="200" t="s">
        <v>611</v>
      </c>
      <c r="AB6" s="200" t="s">
        <v>612</v>
      </c>
      <c r="AC6" s="297" t="s">
        <v>613</v>
      </c>
      <c r="AD6" s="297" t="s">
        <v>614</v>
      </c>
      <c r="AE6" s="297" t="s">
        <v>615</v>
      </c>
      <c r="AF6" s="297" t="s">
        <v>616</v>
      </c>
      <c r="AG6" s="297" t="s">
        <v>617</v>
      </c>
      <c r="AH6" s="297" t="s">
        <v>618</v>
      </c>
      <c r="AI6" s="297" t="s">
        <v>619</v>
      </c>
    </row>
    <row r="7" spans="2:35" s="323" customFormat="1" ht="27" customHeight="1">
      <c r="B7" s="710"/>
      <c r="C7" s="711"/>
      <c r="D7" s="311">
        <v>1</v>
      </c>
      <c r="E7" s="312" t="s">
        <v>354</v>
      </c>
      <c r="F7" s="313">
        <v>1023.9599999999999</v>
      </c>
      <c r="G7" s="313">
        <v>256.88</v>
      </c>
      <c r="H7" s="313">
        <v>261</v>
      </c>
      <c r="I7" s="314">
        <v>1.0160386172531921</v>
      </c>
      <c r="J7" s="313">
        <v>0</v>
      </c>
      <c r="K7" s="314">
        <v>0</v>
      </c>
      <c r="L7" s="313">
        <v>487.6</v>
      </c>
      <c r="M7" s="314">
        <v>1.0160386172531921</v>
      </c>
      <c r="N7" s="315">
        <v>2008.9120000000023</v>
      </c>
      <c r="O7" s="313">
        <v>2.1</v>
      </c>
      <c r="P7" s="314">
        <v>8.1750233572095918E-3</v>
      </c>
      <c r="Q7" s="316">
        <v>4.1200000000000045</v>
      </c>
      <c r="R7" s="314">
        <v>1.603861725319217E-2</v>
      </c>
      <c r="S7" s="313">
        <v>2008.9120000000023</v>
      </c>
      <c r="T7" s="324" t="s">
        <v>346</v>
      </c>
      <c r="U7" s="317" t="s">
        <v>212</v>
      </c>
      <c r="V7" s="349" t="s">
        <v>820</v>
      </c>
      <c r="W7" s="349" t="s">
        <v>673</v>
      </c>
      <c r="X7" s="318">
        <v>1</v>
      </c>
      <c r="Y7" s="319" t="s">
        <v>745</v>
      </c>
      <c r="Z7" s="320" t="s">
        <v>620</v>
      </c>
      <c r="AA7" s="321">
        <f>SUM(X7:X26)</f>
        <v>20</v>
      </c>
      <c r="AB7" s="322">
        <f>SUMIF($U$7:$U$26,TRIM(AB6),$X$7:$X$26)</f>
        <v>0</v>
      </c>
      <c r="AC7" s="322">
        <f>SUMIF($U$7:$U$26,TRIM(AC6),$X$7:$X$26)</f>
        <v>1</v>
      </c>
      <c r="AD7" s="322">
        <f t="shared" ref="AD7:AI7" ca="1" si="0">SUMIF($U$7:$U$9710,TRIM(AD6),$X$7:$X$26)</f>
        <v>4</v>
      </c>
      <c r="AE7" s="322">
        <f t="shared" ca="1" si="0"/>
        <v>13</v>
      </c>
      <c r="AF7" s="322">
        <f t="shared" ca="1" si="0"/>
        <v>2</v>
      </c>
      <c r="AG7" s="322">
        <f t="shared" ca="1" si="0"/>
        <v>0</v>
      </c>
      <c r="AH7" s="322">
        <f t="shared" ca="1" si="0"/>
        <v>0</v>
      </c>
      <c r="AI7" s="322">
        <f t="shared" ca="1" si="0"/>
        <v>0</v>
      </c>
    </row>
    <row r="8" spans="2:35" s="323" customFormat="1" ht="27" customHeight="1">
      <c r="B8" s="712"/>
      <c r="C8" s="713"/>
      <c r="D8" s="311">
        <v>2</v>
      </c>
      <c r="E8" s="312" t="s">
        <v>811</v>
      </c>
      <c r="F8" s="313">
        <v>954.24199999999996</v>
      </c>
      <c r="G8" s="313">
        <v>285.90600000000001</v>
      </c>
      <c r="H8" s="313">
        <v>294.99999999999994</v>
      </c>
      <c r="I8" s="314">
        <v>1.0318076570621111</v>
      </c>
      <c r="J8" s="313">
        <v>0</v>
      </c>
      <c r="K8" s="314">
        <v>0</v>
      </c>
      <c r="L8" s="313">
        <v>153.91</v>
      </c>
      <c r="M8" s="314">
        <v>1.0318076570621111</v>
      </c>
      <c r="N8" s="315">
        <v>1399.6575399999904</v>
      </c>
      <c r="O8" s="313">
        <v>6.2</v>
      </c>
      <c r="P8" s="314">
        <v>2.1685449063678273E-2</v>
      </c>
      <c r="Q8" s="316">
        <v>9.0939999999999372</v>
      </c>
      <c r="R8" s="314">
        <v>3.1807657062111104E-2</v>
      </c>
      <c r="S8" s="313">
        <v>1399.6575399999904</v>
      </c>
      <c r="T8" s="324" t="s">
        <v>344</v>
      </c>
      <c r="U8" s="317" t="s">
        <v>582</v>
      </c>
      <c r="V8" s="349" t="s">
        <v>826</v>
      </c>
      <c r="W8" s="349" t="s">
        <v>827</v>
      </c>
      <c r="X8" s="318">
        <v>1</v>
      </c>
      <c r="Y8" s="319" t="s">
        <v>797</v>
      </c>
      <c r="AA8" s="321"/>
      <c r="AB8" s="325">
        <f>SUMIF($U$7:$U$26,TRIM(AB6),$F$7:$F$26)</f>
        <v>0</v>
      </c>
      <c r="AC8" s="325">
        <f>SUMIF($U$7:$U$26,TRIM(AC6),$F$7:$F$26)</f>
        <v>768.71600000000012</v>
      </c>
      <c r="AD8" s="325">
        <f t="shared" ref="AD8:AI8" ca="1" si="1">SUMIF($U$7:$U$176,TRIM(AD6),$F$7:$F$26)</f>
        <v>3156.2089999999998</v>
      </c>
      <c r="AE8" s="325">
        <f t="shared" ca="1" si="1"/>
        <v>10884.174000000001</v>
      </c>
      <c r="AF8" s="325">
        <f t="shared" ca="1" si="1"/>
        <v>1858.9889999999998</v>
      </c>
      <c r="AG8" s="325">
        <f t="shared" ca="1" si="1"/>
        <v>0</v>
      </c>
      <c r="AH8" s="325">
        <f t="shared" ca="1" si="1"/>
        <v>0</v>
      </c>
      <c r="AI8" s="325">
        <f t="shared" ca="1" si="1"/>
        <v>0</v>
      </c>
    </row>
    <row r="9" spans="2:35" s="323" customFormat="1" ht="27" customHeight="1">
      <c r="B9" s="712"/>
      <c r="C9" s="713"/>
      <c r="D9" s="311">
        <v>3</v>
      </c>
      <c r="E9" s="312" t="s">
        <v>679</v>
      </c>
      <c r="F9" s="313">
        <v>912.83400000000006</v>
      </c>
      <c r="G9" s="313">
        <v>709.08999999999992</v>
      </c>
      <c r="H9" s="313">
        <v>721.9</v>
      </c>
      <c r="I9" s="314">
        <v>1.0180654077761639</v>
      </c>
      <c r="J9" s="313">
        <v>0</v>
      </c>
      <c r="K9" s="314">
        <v>0</v>
      </c>
      <c r="L9" s="313">
        <v>117.03</v>
      </c>
      <c r="M9" s="314">
        <v>1.0180654077761639</v>
      </c>
      <c r="N9" s="315">
        <v>1499.154300000007</v>
      </c>
      <c r="O9" s="313">
        <v>7.8000000000000007</v>
      </c>
      <c r="P9" s="314">
        <v>1.1000014102582185E-2</v>
      </c>
      <c r="Q9" s="316">
        <v>12.810000000000059</v>
      </c>
      <c r="R9" s="314">
        <v>1.8065407776163903E-2</v>
      </c>
      <c r="S9" s="313">
        <v>1499.154300000007</v>
      </c>
      <c r="T9" s="324" t="s">
        <v>344</v>
      </c>
      <c r="U9" s="317" t="s">
        <v>582</v>
      </c>
      <c r="V9" s="349" t="s">
        <v>768</v>
      </c>
      <c r="W9" s="349" t="s">
        <v>675</v>
      </c>
      <c r="X9" s="318">
        <v>1</v>
      </c>
      <c r="Y9" s="319" t="s">
        <v>678</v>
      </c>
    </row>
    <row r="10" spans="2:35" s="323" customFormat="1" ht="27" customHeight="1">
      <c r="B10" s="712"/>
      <c r="C10" s="713"/>
      <c r="D10" s="311">
        <v>4</v>
      </c>
      <c r="E10" s="312" t="s">
        <v>872</v>
      </c>
      <c r="F10" s="313">
        <v>904.53899999999999</v>
      </c>
      <c r="G10" s="313">
        <v>685.125</v>
      </c>
      <c r="H10" s="313">
        <v>698.09999999999991</v>
      </c>
      <c r="I10" s="314">
        <v>1.0189381499726327</v>
      </c>
      <c r="J10" s="313">
        <v>0</v>
      </c>
      <c r="K10" s="314">
        <v>0</v>
      </c>
      <c r="L10" s="313">
        <v>103.97</v>
      </c>
      <c r="M10" s="314">
        <v>1.0189381499726327</v>
      </c>
      <c r="N10" s="315">
        <v>1349.0107499999906</v>
      </c>
      <c r="O10" s="313">
        <v>8.7000000000000011</v>
      </c>
      <c r="P10" s="314">
        <v>1.26984126984127E-2</v>
      </c>
      <c r="Q10" s="316">
        <v>12.974999999999909</v>
      </c>
      <c r="R10" s="314">
        <v>1.8938149972632597E-2</v>
      </c>
      <c r="S10" s="313">
        <v>1349.0107499999906</v>
      </c>
      <c r="T10" s="324" t="s">
        <v>344</v>
      </c>
      <c r="U10" s="317" t="s">
        <v>582</v>
      </c>
      <c r="V10" s="349" t="s">
        <v>767</v>
      </c>
      <c r="W10" s="349" t="s">
        <v>672</v>
      </c>
      <c r="X10" s="318">
        <v>1</v>
      </c>
      <c r="Y10" s="319" t="s">
        <v>644</v>
      </c>
    </row>
    <row r="11" spans="2:35" s="323" customFormat="1" ht="27" customHeight="1">
      <c r="B11" s="712"/>
      <c r="C11" s="713"/>
      <c r="D11" s="311">
        <v>5</v>
      </c>
      <c r="E11" s="312" t="s">
        <v>746</v>
      </c>
      <c r="F11" s="313">
        <v>856.596</v>
      </c>
      <c r="G11" s="313">
        <v>695.58500000000004</v>
      </c>
      <c r="H11" s="313">
        <v>711.69999999999993</v>
      </c>
      <c r="I11" s="314">
        <v>1.0231675496165098</v>
      </c>
      <c r="J11" s="313">
        <v>0</v>
      </c>
      <c r="K11" s="314">
        <v>0</v>
      </c>
      <c r="L11" s="313">
        <v>75.14</v>
      </c>
      <c r="M11" s="314">
        <v>1.0231675496165098</v>
      </c>
      <c r="N11" s="315">
        <v>1210.8810999999921</v>
      </c>
      <c r="O11" s="313">
        <v>11.4</v>
      </c>
      <c r="P11" s="314">
        <v>1.6389082570785741E-2</v>
      </c>
      <c r="Q11" s="316">
        <v>16.114999999999895</v>
      </c>
      <c r="R11" s="314">
        <v>2.3167549616509693E-2</v>
      </c>
      <c r="S11" s="313">
        <v>1210.8810999999921</v>
      </c>
      <c r="T11" s="317" t="s">
        <v>344</v>
      </c>
      <c r="U11" s="317" t="s">
        <v>582</v>
      </c>
      <c r="V11" s="349" t="s">
        <v>873</v>
      </c>
      <c r="W11" s="349" t="s">
        <v>874</v>
      </c>
      <c r="X11" s="318">
        <v>1</v>
      </c>
      <c r="Y11" s="319" t="s">
        <v>352</v>
      </c>
    </row>
    <row r="12" spans="2:35" s="323" customFormat="1" ht="27" customHeight="1">
      <c r="B12" s="712"/>
      <c r="C12" s="713"/>
      <c r="D12" s="311">
        <v>6</v>
      </c>
      <c r="E12" s="312" t="s">
        <v>866</v>
      </c>
      <c r="F12" s="313">
        <v>841.78499999999985</v>
      </c>
      <c r="G12" s="313">
        <v>258.54400000000004</v>
      </c>
      <c r="H12" s="313">
        <v>264.10000000000002</v>
      </c>
      <c r="I12" s="314">
        <v>1.0214895723745281</v>
      </c>
      <c r="J12" s="313">
        <v>0</v>
      </c>
      <c r="K12" s="314">
        <v>0</v>
      </c>
      <c r="L12" s="313">
        <v>240.51</v>
      </c>
      <c r="M12" s="314">
        <v>1.0214895723745281</v>
      </c>
      <c r="N12" s="315">
        <v>1336.273559999996</v>
      </c>
      <c r="O12" s="313">
        <v>3.5</v>
      </c>
      <c r="P12" s="314">
        <v>1.3537347608144066E-2</v>
      </c>
      <c r="Q12" s="316">
        <v>5.5559999999999832</v>
      </c>
      <c r="R12" s="314">
        <v>2.148957237452806E-2</v>
      </c>
      <c r="S12" s="313">
        <v>1336.273559999996</v>
      </c>
      <c r="T12" s="317" t="s">
        <v>344</v>
      </c>
      <c r="U12" s="317" t="s">
        <v>582</v>
      </c>
      <c r="V12" s="349" t="s">
        <v>873</v>
      </c>
      <c r="W12" s="349" t="s">
        <v>874</v>
      </c>
      <c r="X12" s="318">
        <v>1</v>
      </c>
      <c r="Y12" s="319" t="s">
        <v>677</v>
      </c>
    </row>
    <row r="13" spans="2:35" s="323" customFormat="1" ht="27" customHeight="1">
      <c r="B13" s="712"/>
      <c r="C13" s="713"/>
      <c r="D13" s="311">
        <v>7</v>
      </c>
      <c r="E13" s="312" t="s">
        <v>669</v>
      </c>
      <c r="F13" s="313">
        <v>835.02899999999988</v>
      </c>
      <c r="G13" s="313">
        <v>2673.7860000000001</v>
      </c>
      <c r="H13" s="313">
        <v>2684.3</v>
      </c>
      <c r="I13" s="314">
        <v>1.0039322518705687</v>
      </c>
      <c r="J13" s="313">
        <v>0</v>
      </c>
      <c r="K13" s="314">
        <v>0</v>
      </c>
      <c r="L13" s="313">
        <v>136.88999999999999</v>
      </c>
      <c r="M13" s="314">
        <v>1.0039322518705687</v>
      </c>
      <c r="N13" s="315">
        <v>1439.2614600000168</v>
      </c>
      <c r="O13" s="313">
        <v>6.1000000000000005</v>
      </c>
      <c r="P13" s="314">
        <v>2.2814092077675626E-3</v>
      </c>
      <c r="Q13" s="316">
        <v>10.514000000000124</v>
      </c>
      <c r="R13" s="314">
        <v>3.9322518705685958E-3</v>
      </c>
      <c r="S13" s="313">
        <v>1439.2614600000168</v>
      </c>
      <c r="T13" s="317" t="s">
        <v>346</v>
      </c>
      <c r="U13" s="317" t="s">
        <v>212</v>
      </c>
      <c r="V13" s="349" t="s">
        <v>804</v>
      </c>
      <c r="W13" s="349" t="s">
        <v>805</v>
      </c>
      <c r="X13" s="318">
        <v>1</v>
      </c>
      <c r="Y13" s="319" t="s">
        <v>352</v>
      </c>
      <c r="AB13" s="323">
        <v>1</v>
      </c>
      <c r="AC13" s="326" t="s">
        <v>585</v>
      </c>
    </row>
    <row r="14" spans="2:35" s="323" customFormat="1" ht="27" customHeight="1">
      <c r="B14" s="712"/>
      <c r="C14" s="713"/>
      <c r="D14" s="311">
        <v>8</v>
      </c>
      <c r="E14" s="312" t="s">
        <v>817</v>
      </c>
      <c r="F14" s="313">
        <v>834.04899999999998</v>
      </c>
      <c r="G14" s="313">
        <v>294.44800000000004</v>
      </c>
      <c r="H14" s="313">
        <v>298.60000000000002</v>
      </c>
      <c r="I14" s="314">
        <v>1.0141009617997065</v>
      </c>
      <c r="J14" s="313">
        <v>0</v>
      </c>
      <c r="K14" s="314">
        <v>0</v>
      </c>
      <c r="L14" s="313">
        <v>362.63</v>
      </c>
      <c r="M14" s="314">
        <v>1.0141009617997065</v>
      </c>
      <c r="N14" s="315">
        <v>1505.6397599999952</v>
      </c>
      <c r="O14" s="313">
        <v>2.3000000000000003</v>
      </c>
      <c r="P14" s="314">
        <v>7.8112264304732925E-3</v>
      </c>
      <c r="Q14" s="316">
        <v>4.1519999999999868</v>
      </c>
      <c r="R14" s="314">
        <v>1.4100961799706524E-2</v>
      </c>
      <c r="S14" s="313">
        <v>1505.6397599999952</v>
      </c>
      <c r="T14" s="311" t="s">
        <v>344</v>
      </c>
      <c r="U14" s="317" t="s">
        <v>582</v>
      </c>
      <c r="V14" s="349" t="s">
        <v>828</v>
      </c>
      <c r="W14" s="349" t="s">
        <v>829</v>
      </c>
      <c r="X14" s="318">
        <v>1</v>
      </c>
      <c r="Y14" s="319" t="s">
        <v>818</v>
      </c>
      <c r="AB14" s="323">
        <v>2</v>
      </c>
      <c r="AC14" s="326" t="s">
        <v>351</v>
      </c>
    </row>
    <row r="15" spans="2:35" s="323" customFormat="1" ht="27" customHeight="1">
      <c r="B15" s="712"/>
      <c r="C15" s="713"/>
      <c r="D15" s="311">
        <v>9</v>
      </c>
      <c r="E15" s="312" t="s">
        <v>674</v>
      </c>
      <c r="F15" s="313">
        <v>822.65800000000002</v>
      </c>
      <c r="G15" s="313">
        <v>1906.4660000000001</v>
      </c>
      <c r="H15" s="313">
        <v>1920.6000000000001</v>
      </c>
      <c r="I15" s="314">
        <v>1.0074137173178017</v>
      </c>
      <c r="J15" s="313">
        <v>0</v>
      </c>
      <c r="K15" s="314">
        <v>0</v>
      </c>
      <c r="L15" s="313">
        <v>111.17</v>
      </c>
      <c r="M15" s="314">
        <v>1.0074137173178017</v>
      </c>
      <c r="N15" s="315">
        <v>1571.2767800000017</v>
      </c>
      <c r="O15" s="313">
        <v>7.3999999999999995</v>
      </c>
      <c r="P15" s="314">
        <v>3.881527391519177E-3</v>
      </c>
      <c r="Q15" s="316">
        <v>14.134000000000015</v>
      </c>
      <c r="R15" s="314">
        <v>7.4137173178016359E-3</v>
      </c>
      <c r="S15" s="313">
        <v>1571.2767800000017</v>
      </c>
      <c r="T15" s="317" t="s">
        <v>344</v>
      </c>
      <c r="U15" s="317" t="s">
        <v>582</v>
      </c>
      <c r="V15" s="349" t="s">
        <v>768</v>
      </c>
      <c r="W15" s="349" t="s">
        <v>675</v>
      </c>
      <c r="X15" s="318">
        <v>1</v>
      </c>
      <c r="Y15" s="319" t="s">
        <v>352</v>
      </c>
      <c r="AB15" s="323">
        <v>3</v>
      </c>
      <c r="AC15" s="326" t="s">
        <v>392</v>
      </c>
    </row>
    <row r="16" spans="2:35" s="323" customFormat="1" ht="27" customHeight="1">
      <c r="B16" s="712"/>
      <c r="C16" s="713"/>
      <c r="D16" s="311">
        <v>10</v>
      </c>
      <c r="E16" s="312" t="s">
        <v>815</v>
      </c>
      <c r="F16" s="313">
        <v>809.42399999999998</v>
      </c>
      <c r="G16" s="313">
        <v>995.94500000000005</v>
      </c>
      <c r="H16" s="313">
        <v>1008.9</v>
      </c>
      <c r="I16" s="314">
        <v>1.0130077464116993</v>
      </c>
      <c r="J16" s="313">
        <v>0</v>
      </c>
      <c r="K16" s="314">
        <v>0</v>
      </c>
      <c r="L16" s="313">
        <v>91.98</v>
      </c>
      <c r="M16" s="314">
        <v>1.0130077464116993</v>
      </c>
      <c r="N16" s="315">
        <v>1191.6008999999933</v>
      </c>
      <c r="O16" s="313">
        <v>8.8000000000000007</v>
      </c>
      <c r="P16" s="314">
        <v>8.835829287761875E-3</v>
      </c>
      <c r="Q16" s="316">
        <v>12.954999999999927</v>
      </c>
      <c r="R16" s="314">
        <v>1.3007746411699368E-2</v>
      </c>
      <c r="S16" s="313">
        <v>1191.6008999999933</v>
      </c>
      <c r="T16" s="317" t="s">
        <v>344</v>
      </c>
      <c r="U16" s="317" t="s">
        <v>582</v>
      </c>
      <c r="V16" s="349" t="s">
        <v>875</v>
      </c>
      <c r="W16" s="349" t="s">
        <v>876</v>
      </c>
      <c r="X16" s="318">
        <v>1</v>
      </c>
      <c r="Y16" s="319" t="s">
        <v>795</v>
      </c>
      <c r="AB16" s="323">
        <v>4</v>
      </c>
      <c r="AC16" s="326" t="s">
        <v>621</v>
      </c>
    </row>
    <row r="17" spans="2:29" s="323" customFormat="1" ht="27" customHeight="1">
      <c r="B17" s="712"/>
      <c r="C17" s="713"/>
      <c r="D17" s="311">
        <v>11</v>
      </c>
      <c r="E17" s="312" t="s">
        <v>877</v>
      </c>
      <c r="F17" s="313">
        <v>806.48400000000004</v>
      </c>
      <c r="G17" s="313">
        <v>100.58399999999999</v>
      </c>
      <c r="H17" s="313">
        <v>106.4</v>
      </c>
      <c r="I17" s="314">
        <v>1.0578223176648376</v>
      </c>
      <c r="J17" s="313">
        <v>0</v>
      </c>
      <c r="K17" s="314">
        <v>0</v>
      </c>
      <c r="L17" s="313">
        <v>192.02</v>
      </c>
      <c r="M17" s="314">
        <v>1.0578223176648376</v>
      </c>
      <c r="N17" s="315">
        <v>1116.7883200000033</v>
      </c>
      <c r="O17" s="313">
        <v>4.2</v>
      </c>
      <c r="P17" s="314">
        <v>4.1756144118348847E-2</v>
      </c>
      <c r="Q17" s="316">
        <v>5.8160000000000167</v>
      </c>
      <c r="R17" s="314">
        <v>5.7822317664837523E-2</v>
      </c>
      <c r="S17" s="313">
        <v>1116.7883200000033</v>
      </c>
      <c r="T17" s="317" t="s">
        <v>350</v>
      </c>
      <c r="U17" s="317" t="s">
        <v>392</v>
      </c>
      <c r="V17" s="349" t="s">
        <v>878</v>
      </c>
      <c r="W17" s="349" t="s">
        <v>879</v>
      </c>
      <c r="X17" s="318">
        <v>1</v>
      </c>
      <c r="Y17" s="319" t="s">
        <v>772</v>
      </c>
      <c r="AB17" s="323">
        <v>5</v>
      </c>
      <c r="AC17" s="326" t="s">
        <v>212</v>
      </c>
    </row>
    <row r="18" spans="2:29" s="323" customFormat="1" ht="27" customHeight="1">
      <c r="B18" s="712"/>
      <c r="C18" s="713"/>
      <c r="D18" s="311">
        <v>12</v>
      </c>
      <c r="E18" s="312" t="s">
        <v>849</v>
      </c>
      <c r="F18" s="313">
        <v>805.16300000000001</v>
      </c>
      <c r="G18" s="313">
        <v>42.239999999999995</v>
      </c>
      <c r="H18" s="313">
        <v>44.800000000000004</v>
      </c>
      <c r="I18" s="314">
        <v>1.0606060606060608</v>
      </c>
      <c r="J18" s="313">
        <v>0.89999999999999991</v>
      </c>
      <c r="K18" s="314">
        <v>2.1306818181818184E-2</v>
      </c>
      <c r="L18" s="313">
        <v>423.77</v>
      </c>
      <c r="M18" s="314">
        <v>1.0819128787878789</v>
      </c>
      <c r="N18" s="315">
        <v>1084.8512000000039</v>
      </c>
      <c r="O18" s="313">
        <v>1.9000000000000001</v>
      </c>
      <c r="P18" s="314">
        <v>4.4981060606060615E-2</v>
      </c>
      <c r="Q18" s="316">
        <v>3.460000000000008</v>
      </c>
      <c r="R18" s="314">
        <v>8.1912878787878993E-2</v>
      </c>
      <c r="S18" s="313">
        <v>1466.2442000000033</v>
      </c>
      <c r="T18" s="311" t="s">
        <v>350</v>
      </c>
      <c r="U18" s="317" t="s">
        <v>392</v>
      </c>
      <c r="V18" s="349" t="s">
        <v>880</v>
      </c>
      <c r="W18" s="349" t="s">
        <v>881</v>
      </c>
      <c r="X18" s="318">
        <v>1</v>
      </c>
      <c r="Y18" s="319" t="s">
        <v>783</v>
      </c>
      <c r="AB18" s="323">
        <v>6</v>
      </c>
      <c r="AC18" s="326" t="s">
        <v>213</v>
      </c>
    </row>
    <row r="19" spans="2:29" s="323" customFormat="1" ht="27" customHeight="1">
      <c r="B19" s="712"/>
      <c r="C19" s="713"/>
      <c r="D19" s="311">
        <v>13</v>
      </c>
      <c r="E19" s="312" t="s">
        <v>812</v>
      </c>
      <c r="F19" s="313">
        <v>805.1400000000001</v>
      </c>
      <c r="G19" s="313">
        <v>943.92</v>
      </c>
      <c r="H19" s="313">
        <v>945.9</v>
      </c>
      <c r="I19" s="314">
        <v>1.0020976353928299</v>
      </c>
      <c r="J19" s="313">
        <v>2.6</v>
      </c>
      <c r="K19" s="314">
        <v>2.7544707178574455E-3</v>
      </c>
      <c r="L19" s="313">
        <v>447.3</v>
      </c>
      <c r="M19" s="314">
        <v>1.0048521061106874</v>
      </c>
      <c r="N19" s="315">
        <v>885.65400000000818</v>
      </c>
      <c r="O19" s="313">
        <v>1.7999999999999998</v>
      </c>
      <c r="P19" s="314">
        <v>1.9069412662090007E-3</v>
      </c>
      <c r="Q19" s="316">
        <v>4.5800000000000409</v>
      </c>
      <c r="R19" s="314">
        <v>4.8521061106873899E-3</v>
      </c>
      <c r="S19" s="313">
        <v>2048.6340000000182</v>
      </c>
      <c r="T19" s="311" t="s">
        <v>344</v>
      </c>
      <c r="U19" s="317" t="s">
        <v>582</v>
      </c>
      <c r="V19" s="349" t="s">
        <v>819</v>
      </c>
      <c r="W19" s="349" t="s">
        <v>673</v>
      </c>
      <c r="X19" s="318">
        <v>1</v>
      </c>
      <c r="Y19" s="319" t="s">
        <v>809</v>
      </c>
      <c r="AB19" s="323">
        <v>7</v>
      </c>
      <c r="AC19" s="326" t="s">
        <v>622</v>
      </c>
    </row>
    <row r="20" spans="2:29" s="323" customFormat="1" ht="27" customHeight="1">
      <c r="B20" s="712"/>
      <c r="C20" s="713"/>
      <c r="D20" s="311">
        <v>14</v>
      </c>
      <c r="E20" s="312" t="s">
        <v>816</v>
      </c>
      <c r="F20" s="313">
        <v>802.71799999999996</v>
      </c>
      <c r="G20" s="313">
        <v>1751.4</v>
      </c>
      <c r="H20" s="313">
        <v>1769.3</v>
      </c>
      <c r="I20" s="314">
        <v>1.0102203951124813</v>
      </c>
      <c r="J20" s="313">
        <v>0</v>
      </c>
      <c r="K20" s="314">
        <v>0</v>
      </c>
      <c r="L20" s="313">
        <v>81.91</v>
      </c>
      <c r="M20" s="314">
        <v>1.0102203951124813</v>
      </c>
      <c r="N20" s="315">
        <v>1466.1889999999887</v>
      </c>
      <c r="O20" s="313">
        <v>9.8000000000000007</v>
      </c>
      <c r="P20" s="314">
        <v>5.5955235811350921E-3</v>
      </c>
      <c r="Q20" s="316">
        <v>17.899999999999864</v>
      </c>
      <c r="R20" s="314">
        <v>1.0220395112481365E-2</v>
      </c>
      <c r="S20" s="313">
        <v>1466.1889999999887</v>
      </c>
      <c r="T20" s="317" t="s">
        <v>344</v>
      </c>
      <c r="U20" s="317" t="s">
        <v>582</v>
      </c>
      <c r="V20" s="349" t="s">
        <v>768</v>
      </c>
      <c r="W20" s="349" t="s">
        <v>675</v>
      </c>
      <c r="X20" s="318">
        <v>1</v>
      </c>
      <c r="Y20" s="319" t="s">
        <v>769</v>
      </c>
      <c r="AB20" s="323">
        <v>8</v>
      </c>
      <c r="AC20" s="327" t="s">
        <v>623</v>
      </c>
    </row>
    <row r="21" spans="2:29" s="323" customFormat="1" ht="27" customHeight="1">
      <c r="B21" s="712"/>
      <c r="C21" s="713"/>
      <c r="D21" s="311">
        <v>15</v>
      </c>
      <c r="E21" s="312" t="s">
        <v>750</v>
      </c>
      <c r="F21" s="313">
        <v>793.43</v>
      </c>
      <c r="G21" s="313">
        <v>1276</v>
      </c>
      <c r="H21" s="313">
        <v>1292.1999999999998</v>
      </c>
      <c r="I21" s="314">
        <v>1.0126959247648901</v>
      </c>
      <c r="J21" s="313">
        <v>0</v>
      </c>
      <c r="K21" s="314">
        <v>0</v>
      </c>
      <c r="L21" s="313">
        <v>72.13</v>
      </c>
      <c r="M21" s="314">
        <v>1.0126959247648901</v>
      </c>
      <c r="N21" s="315">
        <v>1168.5059999999869</v>
      </c>
      <c r="O21" s="313">
        <v>11</v>
      </c>
      <c r="P21" s="314">
        <v>8.6206896551724137E-3</v>
      </c>
      <c r="Q21" s="316">
        <v>16.199999999999818</v>
      </c>
      <c r="R21" s="314">
        <v>1.269592476489014E-2</v>
      </c>
      <c r="S21" s="313">
        <v>1168.5059999999869</v>
      </c>
      <c r="T21" s="317" t="s">
        <v>344</v>
      </c>
      <c r="U21" s="317" t="s">
        <v>582</v>
      </c>
      <c r="V21" s="349" t="s">
        <v>767</v>
      </c>
      <c r="W21" s="349" t="s">
        <v>672</v>
      </c>
      <c r="X21" s="318">
        <v>1</v>
      </c>
      <c r="Y21" s="319" t="s">
        <v>668</v>
      </c>
      <c r="AC21" s="326"/>
    </row>
    <row r="22" spans="2:29" s="323" customFormat="1" ht="27" customHeight="1">
      <c r="B22" s="712"/>
      <c r="C22" s="713"/>
      <c r="D22" s="311">
        <v>16</v>
      </c>
      <c r="E22" s="312" t="s">
        <v>882</v>
      </c>
      <c r="F22" s="313">
        <v>778.428</v>
      </c>
      <c r="G22" s="313">
        <v>1004.85</v>
      </c>
      <c r="H22" s="313">
        <v>1016.8</v>
      </c>
      <c r="I22" s="314">
        <v>1.0118923222371499</v>
      </c>
      <c r="J22" s="313">
        <v>0</v>
      </c>
      <c r="K22" s="314">
        <v>0</v>
      </c>
      <c r="L22" s="313">
        <v>92.67</v>
      </c>
      <c r="M22" s="314">
        <v>1.0118923222371499</v>
      </c>
      <c r="N22" s="315">
        <v>1107.4064999999937</v>
      </c>
      <c r="O22" s="313">
        <v>8.4</v>
      </c>
      <c r="P22" s="314">
        <v>8.3594566353187051E-3</v>
      </c>
      <c r="Q22" s="316">
        <v>11.949999999999932</v>
      </c>
      <c r="R22" s="314">
        <v>1.1892322237149755E-2</v>
      </c>
      <c r="S22" s="313">
        <v>1107.4064999999937</v>
      </c>
      <c r="T22" s="317" t="s">
        <v>344</v>
      </c>
      <c r="U22" s="317" t="s">
        <v>582</v>
      </c>
      <c r="V22" s="349" t="s">
        <v>883</v>
      </c>
      <c r="W22" s="349" t="s">
        <v>675</v>
      </c>
      <c r="X22" s="318">
        <v>1</v>
      </c>
      <c r="Y22" s="319" t="s">
        <v>856</v>
      </c>
      <c r="AC22" s="326"/>
    </row>
    <row r="23" spans="2:29" s="323" customFormat="1" ht="27" customHeight="1">
      <c r="B23" s="712"/>
      <c r="C23" s="713"/>
      <c r="D23" s="311">
        <v>17</v>
      </c>
      <c r="E23" s="312" t="s">
        <v>858</v>
      </c>
      <c r="F23" s="313">
        <v>772.98300000000006</v>
      </c>
      <c r="G23" s="313">
        <v>446.25</v>
      </c>
      <c r="H23" s="313">
        <v>456.90000000000003</v>
      </c>
      <c r="I23" s="314">
        <v>1.0238655462184876</v>
      </c>
      <c r="J23" s="313">
        <v>0</v>
      </c>
      <c r="K23" s="314">
        <v>0</v>
      </c>
      <c r="L23" s="313">
        <v>95.43</v>
      </c>
      <c r="M23" s="314">
        <v>1.0238655462184876</v>
      </c>
      <c r="N23" s="315">
        <v>1016.3295000000033</v>
      </c>
      <c r="O23" s="313">
        <v>8.1</v>
      </c>
      <c r="P23" s="314">
        <v>1.8151260504201679E-2</v>
      </c>
      <c r="Q23" s="316">
        <v>10.650000000000034</v>
      </c>
      <c r="R23" s="314">
        <v>2.3865546218487473E-2</v>
      </c>
      <c r="S23" s="313">
        <v>1016.3295000000033</v>
      </c>
      <c r="T23" s="317" t="s">
        <v>350</v>
      </c>
      <c r="U23" s="317" t="s">
        <v>392</v>
      </c>
      <c r="V23" s="349" t="s">
        <v>800</v>
      </c>
      <c r="W23" s="349" t="s">
        <v>799</v>
      </c>
      <c r="X23" s="318">
        <v>1</v>
      </c>
      <c r="Y23" s="319" t="s">
        <v>370</v>
      </c>
      <c r="AB23" s="328">
        <v>1</v>
      </c>
      <c r="AC23" s="326" t="s">
        <v>350</v>
      </c>
    </row>
    <row r="24" spans="2:29" s="323" customFormat="1" ht="27" customHeight="1">
      <c r="B24" s="712"/>
      <c r="C24" s="713"/>
      <c r="D24" s="311">
        <v>18</v>
      </c>
      <c r="E24" s="312" t="s">
        <v>855</v>
      </c>
      <c r="F24" s="313">
        <v>771.57899999999995</v>
      </c>
      <c r="G24" s="313">
        <v>237.34</v>
      </c>
      <c r="H24" s="313">
        <v>243.29999999999998</v>
      </c>
      <c r="I24" s="314">
        <v>1.0251116541670178</v>
      </c>
      <c r="J24" s="313">
        <v>1</v>
      </c>
      <c r="K24" s="314">
        <v>4.2133647931237887E-3</v>
      </c>
      <c r="L24" s="313">
        <v>151.29</v>
      </c>
      <c r="M24" s="314">
        <v>1.0293250189601415</v>
      </c>
      <c r="N24" s="315">
        <v>901.68839999999682</v>
      </c>
      <c r="O24" s="313">
        <v>5.0999999999999996</v>
      </c>
      <c r="P24" s="314">
        <v>2.148816044493132E-2</v>
      </c>
      <c r="Q24" s="316">
        <v>6.9599999999999795</v>
      </c>
      <c r="R24" s="314">
        <v>2.9325018960141482E-2</v>
      </c>
      <c r="S24" s="313">
        <v>1052.9783999999968</v>
      </c>
      <c r="T24" s="317" t="s">
        <v>350</v>
      </c>
      <c r="U24" s="317" t="s">
        <v>392</v>
      </c>
      <c r="V24" s="349" t="s">
        <v>880</v>
      </c>
      <c r="W24" s="349" t="s">
        <v>881</v>
      </c>
      <c r="X24" s="318">
        <v>1</v>
      </c>
      <c r="Y24" s="319" t="s">
        <v>376</v>
      </c>
      <c r="AB24" s="323">
        <v>2</v>
      </c>
      <c r="AC24" s="326" t="s">
        <v>395</v>
      </c>
    </row>
    <row r="25" spans="2:29" s="323" customFormat="1" ht="27" customHeight="1">
      <c r="B25" s="712"/>
      <c r="C25" s="713"/>
      <c r="D25" s="311">
        <v>19</v>
      </c>
      <c r="E25" s="312" t="s">
        <v>852</v>
      </c>
      <c r="F25" s="313">
        <v>768.71600000000012</v>
      </c>
      <c r="G25" s="313">
        <v>33.528000000000006</v>
      </c>
      <c r="H25" s="313">
        <v>40.699999999999996</v>
      </c>
      <c r="I25" s="314">
        <v>1.2139107611548554</v>
      </c>
      <c r="J25" s="313">
        <v>0</v>
      </c>
      <c r="K25" s="314">
        <v>0</v>
      </c>
      <c r="L25" s="313">
        <v>147.83000000000001</v>
      </c>
      <c r="M25" s="314">
        <v>1.2139107611548554</v>
      </c>
      <c r="N25" s="315">
        <v>1060.2367599999986</v>
      </c>
      <c r="O25" s="313">
        <v>5.2000000000000011</v>
      </c>
      <c r="P25" s="314">
        <v>0.15509424958243856</v>
      </c>
      <c r="Q25" s="316">
        <v>7.1719999999999899</v>
      </c>
      <c r="R25" s="314">
        <v>0.2139107611548553</v>
      </c>
      <c r="S25" s="313">
        <v>1060.2367599999986</v>
      </c>
      <c r="T25" s="324" t="s">
        <v>350</v>
      </c>
      <c r="U25" s="317" t="s">
        <v>351</v>
      </c>
      <c r="V25" s="349" t="s">
        <v>884</v>
      </c>
      <c r="W25" s="349" t="s">
        <v>885</v>
      </c>
      <c r="X25" s="318">
        <v>1</v>
      </c>
      <c r="Y25" s="319" t="s">
        <v>772</v>
      </c>
      <c r="AB25" s="329">
        <v>3</v>
      </c>
      <c r="AC25" s="326" t="s">
        <v>344</v>
      </c>
    </row>
    <row r="26" spans="2:29" s="323" customFormat="1" ht="27" customHeight="1">
      <c r="B26" s="714"/>
      <c r="C26" s="715"/>
      <c r="D26" s="311">
        <v>20</v>
      </c>
      <c r="E26" s="312" t="s">
        <v>867</v>
      </c>
      <c r="F26" s="313">
        <v>768.3309999999999</v>
      </c>
      <c r="G26" s="313">
        <v>1148.4000000000001</v>
      </c>
      <c r="H26" s="313">
        <v>1162.2</v>
      </c>
      <c r="I26" s="314">
        <v>1.0120167189132705</v>
      </c>
      <c r="J26" s="313">
        <v>0</v>
      </c>
      <c r="K26" s="314">
        <v>0</v>
      </c>
      <c r="L26" s="313">
        <v>92.57</v>
      </c>
      <c r="M26" s="314">
        <v>1.0120167189132705</v>
      </c>
      <c r="N26" s="315">
        <v>1277.4659999999958</v>
      </c>
      <c r="O26" s="313">
        <v>8.3000000000000007</v>
      </c>
      <c r="P26" s="314">
        <v>7.2274468826192964E-3</v>
      </c>
      <c r="Q26" s="316">
        <v>13.799999999999955</v>
      </c>
      <c r="R26" s="314">
        <v>1.2016718913270597E-2</v>
      </c>
      <c r="S26" s="313">
        <v>1277.4659999999958</v>
      </c>
      <c r="T26" s="317" t="s">
        <v>344</v>
      </c>
      <c r="U26" s="317" t="s">
        <v>582</v>
      </c>
      <c r="V26" s="349" t="s">
        <v>768</v>
      </c>
      <c r="W26" s="349" t="s">
        <v>675</v>
      </c>
      <c r="X26" s="318">
        <v>1</v>
      </c>
      <c r="Y26" s="319" t="s">
        <v>856</v>
      </c>
      <c r="AB26" s="329">
        <v>4</v>
      </c>
      <c r="AC26" s="326" t="s">
        <v>346</v>
      </c>
    </row>
    <row r="27" spans="2:29" ht="29.5" customHeight="1">
      <c r="C27" s="716"/>
      <c r="AB27" s="323"/>
      <c r="AC27" s="326"/>
    </row>
    <row r="28" spans="2:29">
      <c r="C28" s="716"/>
    </row>
    <row r="29" spans="2:29">
      <c r="C29" s="716"/>
    </row>
    <row r="30" spans="2:29">
      <c r="C30" s="716"/>
    </row>
    <row r="31" spans="2:29">
      <c r="C31" s="716"/>
    </row>
    <row r="32" spans="2:29">
      <c r="C32" s="716"/>
    </row>
    <row r="33" spans="3:3">
      <c r="C33" s="716"/>
    </row>
    <row r="34" spans="3:3">
      <c r="C34" s="716"/>
    </row>
    <row r="35" spans="3:3">
      <c r="C35" s="716"/>
    </row>
    <row r="36" spans="3:3">
      <c r="C36" s="716"/>
    </row>
    <row r="67" ht="14.15" customHeight="1"/>
    <row r="77" ht="14.15" customHeight="1"/>
    <row r="87" ht="14.15" customHeight="1"/>
    <row r="112" spans="26:26">
      <c r="Z112" s="330" t="s">
        <v>624</v>
      </c>
    </row>
    <row r="113" spans="26:26">
      <c r="Z113" s="323" t="s">
        <v>625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T1:T1048576" xr:uid="{00000000-0002-0000-1C00-000000000000}">
      <formula1>$AC$23:$AC$27</formula1>
    </dataValidation>
    <dataValidation type="list" allowBlank="1" showInputMessage="1" showErrorMessage="1" sqref="U1:U1048576" xr:uid="{00000000-0002-0000-1C00-000001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V46" sqref="V46"/>
    </sheetView>
  </sheetViews>
  <sheetFormatPr defaultColWidth="8.81640625" defaultRowHeight="16"/>
  <cols>
    <col min="1" max="1" width="8.81640625" style="307"/>
    <col min="2" max="2" width="12.453125" style="307" customWidth="1"/>
    <col min="3" max="3" width="8.81640625" style="307"/>
    <col min="4" max="4" width="11.54296875" style="307" customWidth="1"/>
    <col min="5" max="5" width="39.26953125" style="307" bestFit="1" customWidth="1"/>
    <col min="6" max="6" width="13.453125" style="307" bestFit="1" customWidth="1"/>
    <col min="7" max="7" width="14.1796875" style="307" customWidth="1"/>
    <col min="8" max="8" width="14" style="307" customWidth="1"/>
    <col min="9" max="9" width="16.81640625" style="307" customWidth="1"/>
    <col min="10" max="10" width="14" style="307" customWidth="1"/>
    <col min="11" max="11" width="11.7265625" style="307" bestFit="1" customWidth="1"/>
    <col min="12" max="12" width="13.453125" style="307" bestFit="1" customWidth="1"/>
    <col min="13" max="13" width="19.26953125" style="307" bestFit="1" customWidth="1"/>
    <col min="14" max="14" width="15.453125" style="307" bestFit="1" customWidth="1"/>
    <col min="15" max="15" width="12.7265625" style="307" bestFit="1" customWidth="1"/>
    <col min="16" max="16" width="9.81640625" style="307" bestFit="1" customWidth="1"/>
    <col min="17" max="17" width="12.26953125" style="307" bestFit="1" customWidth="1"/>
    <col min="18" max="18" width="10.7265625" style="307" customWidth="1"/>
    <col min="19" max="19" width="10.7265625" style="307" bestFit="1" customWidth="1"/>
    <col min="20" max="20" width="12.453125" style="307" bestFit="1" customWidth="1"/>
    <col min="21" max="21" width="25.26953125" style="307" bestFit="1" customWidth="1"/>
    <col min="22" max="23" width="88.26953125" style="307" customWidth="1"/>
    <col min="24" max="24" width="7.453125" style="307" bestFit="1" customWidth="1"/>
    <col min="25" max="25" width="69.54296875" style="307" bestFit="1" customWidth="1"/>
    <col min="26" max="26" width="11.453125" style="307" bestFit="1" customWidth="1"/>
    <col min="27" max="27" width="21.54296875" style="307" customWidth="1"/>
    <col min="28" max="28" width="19.453125" style="307" bestFit="1" customWidth="1"/>
    <col min="29" max="34" width="14.453125" style="307" customWidth="1"/>
    <col min="35" max="35" width="11.453125" style="307" bestFit="1" customWidth="1"/>
    <col min="36" max="16384" width="8.81640625" style="307"/>
  </cols>
  <sheetData>
    <row r="2" spans="2:35" ht="41.15" customHeight="1">
      <c r="B2" s="691" t="s">
        <v>626</v>
      </c>
      <c r="C2" s="692"/>
      <c r="D2" s="692"/>
      <c r="E2" s="692"/>
      <c r="F2" s="692"/>
      <c r="G2" s="692"/>
      <c r="H2" s="692"/>
      <c r="I2" s="692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692"/>
      <c r="U2" s="692"/>
      <c r="V2" s="692"/>
      <c r="W2" s="692"/>
      <c r="X2" s="692"/>
      <c r="Y2" s="692"/>
      <c r="AA2" s="308"/>
      <c r="AB2" s="308"/>
    </row>
    <row r="3" spans="2:35" ht="17.149999999999999" customHeight="1">
      <c r="B3" s="693" t="s">
        <v>601</v>
      </c>
      <c r="C3" s="694"/>
      <c r="D3" s="699" t="s">
        <v>168</v>
      </c>
      <c r="E3" s="699"/>
      <c r="F3" s="699"/>
      <c r="G3" s="699" t="s">
        <v>182</v>
      </c>
      <c r="H3" s="699"/>
      <c r="I3" s="699"/>
      <c r="J3" s="699"/>
      <c r="K3" s="699"/>
      <c r="L3" s="699"/>
      <c r="M3" s="699"/>
      <c r="N3" s="699"/>
      <c r="O3" s="699"/>
      <c r="P3" s="699"/>
      <c r="Q3" s="699"/>
      <c r="R3" s="699"/>
      <c r="S3" s="699"/>
      <c r="T3" s="699" t="s">
        <v>169</v>
      </c>
      <c r="U3" s="700" t="s">
        <v>602</v>
      </c>
      <c r="V3" s="719" t="s">
        <v>627</v>
      </c>
      <c r="W3" s="719" t="s">
        <v>604</v>
      </c>
      <c r="X3" s="706" t="s">
        <v>628</v>
      </c>
      <c r="Y3" s="709" t="s">
        <v>170</v>
      </c>
      <c r="AA3" s="699" t="s">
        <v>629</v>
      </c>
      <c r="AB3" s="699"/>
      <c r="AC3" s="699"/>
      <c r="AD3" s="699"/>
      <c r="AE3" s="699"/>
      <c r="AF3" s="699"/>
      <c r="AG3" s="699"/>
      <c r="AH3" s="699"/>
      <c r="AI3" s="699"/>
    </row>
    <row r="4" spans="2:35" ht="17.149999999999999" customHeight="1">
      <c r="B4" s="695"/>
      <c r="C4" s="696"/>
      <c r="D4" s="717" t="s">
        <v>167</v>
      </c>
      <c r="E4" s="699" t="s">
        <v>171</v>
      </c>
      <c r="F4" s="699"/>
      <c r="G4" s="699" t="s">
        <v>183</v>
      </c>
      <c r="H4" s="699"/>
      <c r="I4" s="699"/>
      <c r="J4" s="699"/>
      <c r="K4" s="699"/>
      <c r="L4" s="699"/>
      <c r="M4" s="699"/>
      <c r="N4" s="699"/>
      <c r="O4" s="699" t="s">
        <v>172</v>
      </c>
      <c r="P4" s="699"/>
      <c r="Q4" s="699"/>
      <c r="R4" s="699"/>
      <c r="S4" s="699"/>
      <c r="T4" s="699"/>
      <c r="U4" s="701"/>
      <c r="V4" s="707"/>
      <c r="W4" s="720"/>
      <c r="X4" s="707"/>
      <c r="Y4" s="709"/>
      <c r="AA4" s="699"/>
      <c r="AB4" s="699"/>
      <c r="AC4" s="699"/>
      <c r="AD4" s="699"/>
      <c r="AE4" s="699"/>
      <c r="AF4" s="699"/>
      <c r="AG4" s="699"/>
      <c r="AH4" s="699"/>
      <c r="AI4" s="699"/>
    </row>
    <row r="5" spans="2:35" ht="17.149999999999999" customHeight="1">
      <c r="B5" s="695"/>
      <c r="C5" s="696"/>
      <c r="D5" s="717"/>
      <c r="E5" s="717" t="s">
        <v>173</v>
      </c>
      <c r="F5" s="709" t="s">
        <v>642</v>
      </c>
      <c r="G5" s="718" t="s">
        <v>184</v>
      </c>
      <c r="H5" s="718"/>
      <c r="I5" s="718"/>
      <c r="J5" s="718"/>
      <c r="K5" s="718"/>
      <c r="L5" s="718"/>
      <c r="M5" s="718"/>
      <c r="N5" s="718"/>
      <c r="O5" s="718" t="s">
        <v>166</v>
      </c>
      <c r="P5" s="718"/>
      <c r="Q5" s="718" t="s">
        <v>174</v>
      </c>
      <c r="R5" s="718"/>
      <c r="S5" s="718"/>
      <c r="T5" s="699"/>
      <c r="U5" s="701"/>
      <c r="V5" s="707"/>
      <c r="W5" s="720"/>
      <c r="X5" s="707"/>
      <c r="Y5" s="709"/>
      <c r="AA5" s="699"/>
      <c r="AB5" s="699"/>
      <c r="AC5" s="699"/>
      <c r="AD5" s="699"/>
      <c r="AE5" s="699"/>
      <c r="AF5" s="699"/>
      <c r="AG5" s="699"/>
      <c r="AH5" s="699"/>
      <c r="AI5" s="699"/>
    </row>
    <row r="6" spans="2:35" ht="38.5" customHeight="1">
      <c r="B6" s="697"/>
      <c r="C6" s="698"/>
      <c r="D6" s="717"/>
      <c r="E6" s="717"/>
      <c r="F6" s="709"/>
      <c r="G6" s="309" t="s">
        <v>175</v>
      </c>
      <c r="H6" s="309" t="s">
        <v>630</v>
      </c>
      <c r="I6" s="309" t="s">
        <v>631</v>
      </c>
      <c r="J6" s="309" t="s">
        <v>176</v>
      </c>
      <c r="K6" s="309" t="s">
        <v>632</v>
      </c>
      <c r="L6" s="309" t="s">
        <v>177</v>
      </c>
      <c r="M6" s="309" t="s">
        <v>185</v>
      </c>
      <c r="N6" s="309" t="s">
        <v>178</v>
      </c>
      <c r="O6" s="310" t="s">
        <v>179</v>
      </c>
      <c r="P6" s="310" t="s">
        <v>180</v>
      </c>
      <c r="Q6" s="310" t="s">
        <v>179</v>
      </c>
      <c r="R6" s="310" t="s">
        <v>180</v>
      </c>
      <c r="S6" s="309" t="s">
        <v>181</v>
      </c>
      <c r="T6" s="699"/>
      <c r="U6" s="702"/>
      <c r="V6" s="708"/>
      <c r="W6" s="721"/>
      <c r="X6" s="708"/>
      <c r="Y6" s="709"/>
      <c r="AA6" s="200" t="s">
        <v>633</v>
      </c>
      <c r="AB6" s="200" t="s">
        <v>585</v>
      </c>
      <c r="AC6" s="297" t="s">
        <v>634</v>
      </c>
      <c r="AD6" s="297" t="s">
        <v>587</v>
      </c>
      <c r="AE6" s="297" t="s">
        <v>635</v>
      </c>
      <c r="AF6" s="297" t="s">
        <v>636</v>
      </c>
      <c r="AG6" s="297" t="s">
        <v>637</v>
      </c>
      <c r="AH6" s="297" t="s">
        <v>588</v>
      </c>
      <c r="AI6" s="297" t="s">
        <v>638</v>
      </c>
    </row>
    <row r="7" spans="2:35" s="323" customFormat="1" ht="27" customHeight="1">
      <c r="B7" s="710"/>
      <c r="C7" s="711"/>
      <c r="D7" s="311">
        <v>1</v>
      </c>
      <c r="E7" s="312" t="s">
        <v>812</v>
      </c>
      <c r="F7" s="313">
        <v>2048.6340000000182</v>
      </c>
      <c r="G7" s="313">
        <v>943.92</v>
      </c>
      <c r="H7" s="313">
        <v>945.9</v>
      </c>
      <c r="I7" s="314">
        <v>1.0020976353928299</v>
      </c>
      <c r="J7" s="313">
        <v>2.6</v>
      </c>
      <c r="K7" s="314">
        <v>2.7544707178574455E-3</v>
      </c>
      <c r="L7" s="313">
        <v>447.3</v>
      </c>
      <c r="M7" s="314">
        <v>1.0048521061106874</v>
      </c>
      <c r="N7" s="315">
        <v>2048.6340000000082</v>
      </c>
      <c r="O7" s="313">
        <v>1.7999999999999998</v>
      </c>
      <c r="P7" s="314">
        <v>1.9069412662090007E-3</v>
      </c>
      <c r="Q7" s="313">
        <v>805.1400000000001</v>
      </c>
      <c r="R7" s="316">
        <v>4.5800000000000409</v>
      </c>
      <c r="S7" s="314">
        <v>4.8521061106873899E-3</v>
      </c>
      <c r="T7" s="349" t="s">
        <v>344</v>
      </c>
      <c r="U7" s="317" t="s">
        <v>582</v>
      </c>
      <c r="V7" s="349" t="s">
        <v>886</v>
      </c>
      <c r="W7" s="349" t="s">
        <v>673</v>
      </c>
      <c r="X7" s="318">
        <v>1</v>
      </c>
      <c r="Y7" s="319" t="s">
        <v>809</v>
      </c>
      <c r="Z7" s="320" t="s">
        <v>620</v>
      </c>
      <c r="AA7" s="321">
        <f>SUM(X7:X26)</f>
        <v>20</v>
      </c>
      <c r="AB7" s="322">
        <f>SUMIF($U$7:$U$26,TRIM(AB6),$X$7:$X$26)</f>
        <v>0</v>
      </c>
      <c r="AC7" s="322">
        <f>SUMIF($U$7:$U$26,TRIM(AC6),$X$7:$X$26)</f>
        <v>0</v>
      </c>
      <c r="AD7" s="322">
        <f t="shared" ref="AD7:AI7" ca="1" si="0">SUMIF($U$7:$U$9710,TRIM(AD6),$X$7:$X$26)</f>
        <v>2</v>
      </c>
      <c r="AE7" s="322">
        <f t="shared" ca="1" si="0"/>
        <v>10</v>
      </c>
      <c r="AF7" s="322">
        <f t="shared" ca="1" si="0"/>
        <v>8</v>
      </c>
      <c r="AG7" s="322">
        <f t="shared" ca="1" si="0"/>
        <v>0</v>
      </c>
      <c r="AH7" s="322">
        <f t="shared" ca="1" si="0"/>
        <v>0</v>
      </c>
      <c r="AI7" s="322">
        <f t="shared" ca="1" si="0"/>
        <v>0</v>
      </c>
    </row>
    <row r="8" spans="2:35" s="323" customFormat="1" ht="27" customHeight="1">
      <c r="B8" s="712"/>
      <c r="C8" s="713"/>
      <c r="D8" s="311">
        <v>2</v>
      </c>
      <c r="E8" s="312" t="s">
        <v>354</v>
      </c>
      <c r="F8" s="313">
        <v>2008.9120000000023</v>
      </c>
      <c r="G8" s="313">
        <v>256.88</v>
      </c>
      <c r="H8" s="313">
        <v>261</v>
      </c>
      <c r="I8" s="314">
        <v>1.0160386172531921</v>
      </c>
      <c r="J8" s="313">
        <v>0</v>
      </c>
      <c r="K8" s="314">
        <v>0</v>
      </c>
      <c r="L8" s="313">
        <v>487.6</v>
      </c>
      <c r="M8" s="314">
        <v>1.0160386172531921</v>
      </c>
      <c r="N8" s="315">
        <v>2008.9120000000023</v>
      </c>
      <c r="O8" s="313">
        <v>2.1</v>
      </c>
      <c r="P8" s="314">
        <v>8.1750233572095918E-3</v>
      </c>
      <c r="Q8" s="313">
        <v>1023.9599999999999</v>
      </c>
      <c r="R8" s="316">
        <v>4.1200000000000045</v>
      </c>
      <c r="S8" s="314">
        <v>1.603861725319217E-2</v>
      </c>
      <c r="T8" s="349" t="s">
        <v>346</v>
      </c>
      <c r="U8" s="317" t="s">
        <v>212</v>
      </c>
      <c r="V8" s="349" t="s">
        <v>820</v>
      </c>
      <c r="W8" s="350" t="s">
        <v>673</v>
      </c>
      <c r="X8" s="318">
        <v>1</v>
      </c>
      <c r="Y8" s="319" t="s">
        <v>745</v>
      </c>
      <c r="AA8" s="321"/>
      <c r="AB8" s="325">
        <f>SUMIF($U$7:$U$26,TRIM(AB6),$F$7:$F$26)</f>
        <v>0</v>
      </c>
      <c r="AC8" s="325">
        <f>SUMIF($U$7:$U$26,TRIM(AC6),$F$7:$F$26)</f>
        <v>0</v>
      </c>
      <c r="AD8" s="325">
        <f t="shared" ref="AD8:AI8" ca="1" si="1">SUMIF($U$7:$U$176,TRIM(AD6),$F$7:$F$26)</f>
        <v>2804.7377900000083</v>
      </c>
      <c r="AE8" s="325">
        <f t="shared" ca="1" si="1"/>
        <v>15364.549379999928</v>
      </c>
      <c r="AF8" s="325">
        <f t="shared" ca="1" si="1"/>
        <v>12547.123100000061</v>
      </c>
      <c r="AG8" s="325">
        <f t="shared" ca="1" si="1"/>
        <v>0</v>
      </c>
      <c r="AH8" s="325">
        <f t="shared" ca="1" si="1"/>
        <v>0</v>
      </c>
      <c r="AI8" s="325">
        <f t="shared" ca="1" si="1"/>
        <v>0</v>
      </c>
    </row>
    <row r="9" spans="2:35" s="323" customFormat="1" ht="27" customHeight="1">
      <c r="B9" s="712"/>
      <c r="C9" s="713"/>
      <c r="D9" s="311">
        <v>3</v>
      </c>
      <c r="E9" s="312" t="s">
        <v>803</v>
      </c>
      <c r="F9" s="313">
        <v>1801.0938899999398</v>
      </c>
      <c r="G9" s="313">
        <v>860.04700000000003</v>
      </c>
      <c r="H9" s="313">
        <v>864.09999999999991</v>
      </c>
      <c r="I9" s="314">
        <v>1.0047125331522577</v>
      </c>
      <c r="J9" s="313">
        <v>0.8</v>
      </c>
      <c r="K9" s="314">
        <v>9.3018172262678673E-4</v>
      </c>
      <c r="L9" s="313">
        <v>371.13</v>
      </c>
      <c r="M9" s="314">
        <v>1.0056427148748845</v>
      </c>
      <c r="N9" s="315">
        <v>1801.0938899999567</v>
      </c>
      <c r="O9" s="313">
        <v>1.7999999999999998</v>
      </c>
      <c r="P9" s="314">
        <v>2.0929088759102698E-3</v>
      </c>
      <c r="Q9" s="313">
        <v>668.03399999999999</v>
      </c>
      <c r="R9" s="316">
        <v>4.8529999999998381</v>
      </c>
      <c r="S9" s="314">
        <v>5.6427148748845564E-3</v>
      </c>
      <c r="T9" s="381" t="s">
        <v>344</v>
      </c>
      <c r="U9" s="317" t="s">
        <v>582</v>
      </c>
      <c r="V9" s="349" t="s">
        <v>828</v>
      </c>
      <c r="W9" s="349" t="s">
        <v>829</v>
      </c>
      <c r="X9" s="318">
        <v>1</v>
      </c>
      <c r="Y9" s="319" t="s">
        <v>377</v>
      </c>
    </row>
    <row r="10" spans="2:35" s="323" customFormat="1" ht="27" customHeight="1">
      <c r="B10" s="712"/>
      <c r="C10" s="713"/>
      <c r="D10" s="311">
        <v>4</v>
      </c>
      <c r="E10" s="312" t="s">
        <v>393</v>
      </c>
      <c r="F10" s="313">
        <v>1742.26785000004</v>
      </c>
      <c r="G10" s="313">
        <v>517.05499999999995</v>
      </c>
      <c r="H10" s="313">
        <v>521</v>
      </c>
      <c r="I10" s="314">
        <v>1.0076297492529809</v>
      </c>
      <c r="J10" s="313">
        <v>0.2</v>
      </c>
      <c r="K10" s="314">
        <v>3.8680604577849559E-4</v>
      </c>
      <c r="L10" s="313">
        <v>420.33</v>
      </c>
      <c r="M10" s="314">
        <v>1.0080165552987594</v>
      </c>
      <c r="N10" s="315">
        <v>1742.2678500000211</v>
      </c>
      <c r="O10" s="313">
        <v>1.7000000000000002</v>
      </c>
      <c r="P10" s="314">
        <v>3.2878513891172125E-3</v>
      </c>
      <c r="Q10" s="313">
        <v>714.56099999999992</v>
      </c>
      <c r="R10" s="316">
        <v>4.1450000000000955</v>
      </c>
      <c r="S10" s="314">
        <v>8.0165552987595048E-3</v>
      </c>
      <c r="T10" s="349" t="s">
        <v>346</v>
      </c>
      <c r="U10" s="317" t="s">
        <v>212</v>
      </c>
      <c r="V10" s="349" t="s">
        <v>887</v>
      </c>
      <c r="W10" s="349" t="s">
        <v>673</v>
      </c>
      <c r="X10" s="318">
        <v>1</v>
      </c>
      <c r="Y10" s="319" t="s">
        <v>375</v>
      </c>
    </row>
    <row r="11" spans="2:35" s="323" customFormat="1" ht="27" customHeight="1">
      <c r="B11" s="712"/>
      <c r="C11" s="713"/>
      <c r="D11" s="311">
        <v>5</v>
      </c>
      <c r="E11" s="312" t="s">
        <v>824</v>
      </c>
      <c r="F11" s="313">
        <v>1687.9231999999815</v>
      </c>
      <c r="G11" s="313">
        <v>561.76</v>
      </c>
      <c r="H11" s="313">
        <v>563.69999999999993</v>
      </c>
      <c r="I11" s="314">
        <v>1.003453432070635</v>
      </c>
      <c r="J11" s="313">
        <v>3.5</v>
      </c>
      <c r="K11" s="314">
        <v>6.2304186841355743E-3</v>
      </c>
      <c r="L11" s="313">
        <v>310.27999999999997</v>
      </c>
      <c r="M11" s="314">
        <v>1.0096838507547705</v>
      </c>
      <c r="N11" s="315">
        <v>1687.9231999999815</v>
      </c>
      <c r="O11" s="313">
        <v>2.4</v>
      </c>
      <c r="P11" s="314">
        <v>4.2722870976929653E-3</v>
      </c>
      <c r="Q11" s="313">
        <v>744.67199999999991</v>
      </c>
      <c r="R11" s="316">
        <v>5.4399999999999409</v>
      </c>
      <c r="S11" s="314">
        <v>9.6838507547706149E-3</v>
      </c>
      <c r="T11" s="349" t="s">
        <v>346</v>
      </c>
      <c r="U11" s="317" t="s">
        <v>212</v>
      </c>
      <c r="V11" s="349" t="s">
        <v>887</v>
      </c>
      <c r="W11" s="349" t="s">
        <v>673</v>
      </c>
      <c r="X11" s="318">
        <v>1</v>
      </c>
      <c r="Y11" s="319" t="s">
        <v>823</v>
      </c>
    </row>
    <row r="12" spans="2:35" s="323" customFormat="1" ht="27" customHeight="1">
      <c r="B12" s="712"/>
      <c r="C12" s="713"/>
      <c r="D12" s="311">
        <v>6</v>
      </c>
      <c r="E12" s="312" t="s">
        <v>751</v>
      </c>
      <c r="F12" s="313">
        <v>1595.6246400000025</v>
      </c>
      <c r="G12" s="313">
        <v>117.458</v>
      </c>
      <c r="H12" s="313">
        <v>118</v>
      </c>
      <c r="I12" s="314">
        <v>1.0046144153654923</v>
      </c>
      <c r="J12" s="313">
        <v>2.2000000000000002</v>
      </c>
      <c r="K12" s="314">
        <v>1.8730099269526131E-2</v>
      </c>
      <c r="L12" s="313">
        <v>581.91999999999996</v>
      </c>
      <c r="M12" s="314">
        <v>1.0233445146350184</v>
      </c>
      <c r="N12" s="315">
        <v>1595.6246400000009</v>
      </c>
      <c r="O12" s="313">
        <v>1</v>
      </c>
      <c r="P12" s="314">
        <v>8.5136814861482401E-3</v>
      </c>
      <c r="Q12" s="313">
        <v>581.91999999999996</v>
      </c>
      <c r="R12" s="316">
        <v>2.7420000000000044</v>
      </c>
      <c r="S12" s="314">
        <v>2.3344514635018514E-2</v>
      </c>
      <c r="T12" s="349" t="s">
        <v>346</v>
      </c>
      <c r="U12" s="317" t="s">
        <v>212</v>
      </c>
      <c r="V12" s="349" t="s">
        <v>887</v>
      </c>
      <c r="W12" s="349" t="s">
        <v>673</v>
      </c>
      <c r="X12" s="318">
        <v>1</v>
      </c>
      <c r="Y12" s="319" t="s">
        <v>355</v>
      </c>
    </row>
    <row r="13" spans="2:35" s="323" customFormat="1" ht="27" customHeight="1">
      <c r="B13" s="712"/>
      <c r="C13" s="713"/>
      <c r="D13" s="311">
        <v>7</v>
      </c>
      <c r="E13" s="312" t="s">
        <v>674</v>
      </c>
      <c r="F13" s="313">
        <v>1571.2767800000017</v>
      </c>
      <c r="G13" s="313">
        <v>1906.4660000000001</v>
      </c>
      <c r="H13" s="313">
        <v>1920.6000000000001</v>
      </c>
      <c r="I13" s="314">
        <v>1.0074137173178017</v>
      </c>
      <c r="J13" s="313">
        <v>0</v>
      </c>
      <c r="K13" s="314">
        <v>0</v>
      </c>
      <c r="L13" s="313">
        <v>111.17</v>
      </c>
      <c r="M13" s="314">
        <v>1.0074137173178017</v>
      </c>
      <c r="N13" s="315">
        <v>1571.2767800000017</v>
      </c>
      <c r="O13" s="313">
        <v>7.3999999999999995</v>
      </c>
      <c r="P13" s="314">
        <v>3.881527391519177E-3</v>
      </c>
      <c r="Q13" s="313">
        <v>822.65800000000002</v>
      </c>
      <c r="R13" s="316">
        <v>14.134000000000015</v>
      </c>
      <c r="S13" s="314">
        <v>7.4137173178016359E-3</v>
      </c>
      <c r="T13" s="381" t="s">
        <v>344</v>
      </c>
      <c r="U13" s="317" t="s">
        <v>582</v>
      </c>
      <c r="V13" s="349" t="s">
        <v>768</v>
      </c>
      <c r="W13" s="349" t="s">
        <v>675</v>
      </c>
      <c r="X13" s="318">
        <v>1</v>
      </c>
      <c r="Y13" s="319" t="s">
        <v>352</v>
      </c>
      <c r="AB13" s="323">
        <v>1</v>
      </c>
      <c r="AC13" s="326" t="s">
        <v>585</v>
      </c>
    </row>
    <row r="14" spans="2:35" s="323" customFormat="1" ht="27" customHeight="1">
      <c r="B14" s="712"/>
      <c r="C14" s="713"/>
      <c r="D14" s="311">
        <v>8</v>
      </c>
      <c r="E14" s="312" t="s">
        <v>817</v>
      </c>
      <c r="F14" s="313">
        <v>1505.6397599999952</v>
      </c>
      <c r="G14" s="313">
        <v>294.44800000000004</v>
      </c>
      <c r="H14" s="313">
        <v>298.60000000000002</v>
      </c>
      <c r="I14" s="314">
        <v>1.0141009617997065</v>
      </c>
      <c r="J14" s="313">
        <v>0</v>
      </c>
      <c r="K14" s="314">
        <v>0</v>
      </c>
      <c r="L14" s="313">
        <v>362.63</v>
      </c>
      <c r="M14" s="314">
        <v>1.0141009617997065</v>
      </c>
      <c r="N14" s="315">
        <v>1505.6397599999952</v>
      </c>
      <c r="O14" s="313">
        <v>2.3000000000000003</v>
      </c>
      <c r="P14" s="314">
        <v>7.8112264304732925E-3</v>
      </c>
      <c r="Q14" s="313">
        <v>834.04899999999998</v>
      </c>
      <c r="R14" s="316">
        <v>4.1519999999999868</v>
      </c>
      <c r="S14" s="314">
        <v>1.4100961799706524E-2</v>
      </c>
      <c r="T14" s="317" t="s">
        <v>344</v>
      </c>
      <c r="U14" s="317" t="s">
        <v>582</v>
      </c>
      <c r="V14" s="349" t="s">
        <v>828</v>
      </c>
      <c r="W14" s="349" t="s">
        <v>829</v>
      </c>
      <c r="X14" s="318">
        <v>1</v>
      </c>
      <c r="Y14" s="319" t="s">
        <v>818</v>
      </c>
      <c r="AB14" s="323">
        <v>2</v>
      </c>
      <c r="AC14" s="326" t="s">
        <v>351</v>
      </c>
    </row>
    <row r="15" spans="2:35" s="323" customFormat="1" ht="27" customHeight="1">
      <c r="B15" s="712"/>
      <c r="C15" s="713"/>
      <c r="D15" s="311">
        <v>9</v>
      </c>
      <c r="E15" s="312" t="s">
        <v>679</v>
      </c>
      <c r="F15" s="313">
        <v>1499.154300000007</v>
      </c>
      <c r="G15" s="313">
        <v>709.08999999999992</v>
      </c>
      <c r="H15" s="313">
        <v>721.9</v>
      </c>
      <c r="I15" s="314">
        <v>1.0180654077761639</v>
      </c>
      <c r="J15" s="313">
        <v>0</v>
      </c>
      <c r="K15" s="314">
        <v>0</v>
      </c>
      <c r="L15" s="313">
        <v>117.03</v>
      </c>
      <c r="M15" s="314">
        <v>1.0180654077761639</v>
      </c>
      <c r="N15" s="315">
        <v>1499.154300000007</v>
      </c>
      <c r="O15" s="313">
        <v>7.8000000000000007</v>
      </c>
      <c r="P15" s="314">
        <v>1.1000014102582185E-2</v>
      </c>
      <c r="Q15" s="313">
        <v>912.83400000000006</v>
      </c>
      <c r="R15" s="316">
        <v>12.810000000000059</v>
      </c>
      <c r="S15" s="314">
        <v>1.8065407776163903E-2</v>
      </c>
      <c r="T15" s="317" t="s">
        <v>344</v>
      </c>
      <c r="U15" s="317" t="s">
        <v>582</v>
      </c>
      <c r="V15" s="349" t="s">
        <v>768</v>
      </c>
      <c r="W15" s="349" t="s">
        <v>675</v>
      </c>
      <c r="X15" s="318">
        <v>1</v>
      </c>
      <c r="Y15" s="319" t="s">
        <v>678</v>
      </c>
      <c r="AB15" s="323">
        <v>3</v>
      </c>
      <c r="AC15" s="326" t="s">
        <v>392</v>
      </c>
    </row>
    <row r="16" spans="2:35" s="323" customFormat="1" ht="27" customHeight="1">
      <c r="B16" s="712"/>
      <c r="C16" s="713"/>
      <c r="D16" s="311">
        <v>10</v>
      </c>
      <c r="E16" s="312" t="s">
        <v>849</v>
      </c>
      <c r="F16" s="313">
        <v>1466.2442000000033</v>
      </c>
      <c r="G16" s="313">
        <v>42.239999999999995</v>
      </c>
      <c r="H16" s="313">
        <v>44.800000000000004</v>
      </c>
      <c r="I16" s="314">
        <v>1.0606060606060608</v>
      </c>
      <c r="J16" s="313">
        <v>0.89999999999999991</v>
      </c>
      <c r="K16" s="314">
        <v>2.1306818181818184E-2</v>
      </c>
      <c r="L16" s="313">
        <v>423.77</v>
      </c>
      <c r="M16" s="314">
        <v>1.0819128787878789</v>
      </c>
      <c r="N16" s="315">
        <v>1466.244200000004</v>
      </c>
      <c r="O16" s="313">
        <v>1.9000000000000001</v>
      </c>
      <c r="P16" s="314">
        <v>4.4981060606060615E-2</v>
      </c>
      <c r="Q16" s="313">
        <v>805.16300000000001</v>
      </c>
      <c r="R16" s="316">
        <v>3.460000000000008</v>
      </c>
      <c r="S16" s="314">
        <v>8.1912878787878993E-2</v>
      </c>
      <c r="T16" s="349" t="s">
        <v>350</v>
      </c>
      <c r="U16" s="317" t="s">
        <v>392</v>
      </c>
      <c r="V16" s="349" t="s">
        <v>880</v>
      </c>
      <c r="W16" s="349" t="s">
        <v>672</v>
      </c>
      <c r="X16" s="318">
        <v>1</v>
      </c>
      <c r="Y16" s="319" t="s">
        <v>783</v>
      </c>
      <c r="AB16" s="323">
        <v>4</v>
      </c>
      <c r="AC16" s="326" t="s">
        <v>621</v>
      </c>
    </row>
    <row r="17" spans="2:29" s="323" customFormat="1" ht="27" customHeight="1">
      <c r="B17" s="712"/>
      <c r="C17" s="713"/>
      <c r="D17" s="311">
        <v>11</v>
      </c>
      <c r="E17" s="312" t="s">
        <v>816</v>
      </c>
      <c r="F17" s="313">
        <v>1466.1889999999887</v>
      </c>
      <c r="G17" s="313">
        <v>1751.4</v>
      </c>
      <c r="H17" s="313">
        <v>1769.3</v>
      </c>
      <c r="I17" s="314">
        <v>1.0102203951124813</v>
      </c>
      <c r="J17" s="313">
        <v>0</v>
      </c>
      <c r="K17" s="314">
        <v>0</v>
      </c>
      <c r="L17" s="313">
        <v>81.91</v>
      </c>
      <c r="M17" s="314">
        <v>1.0102203951124813</v>
      </c>
      <c r="N17" s="315">
        <v>1466.1889999999887</v>
      </c>
      <c r="O17" s="313">
        <v>9.8000000000000007</v>
      </c>
      <c r="P17" s="314">
        <v>5.5955235811350921E-3</v>
      </c>
      <c r="Q17" s="313">
        <v>802.71799999999996</v>
      </c>
      <c r="R17" s="316">
        <v>17.899999999999864</v>
      </c>
      <c r="S17" s="314">
        <v>1.0220395112481365E-2</v>
      </c>
      <c r="T17" s="317" t="s">
        <v>344</v>
      </c>
      <c r="U17" s="317" t="s">
        <v>582</v>
      </c>
      <c r="V17" s="349" t="s">
        <v>768</v>
      </c>
      <c r="W17" s="349" t="s">
        <v>675</v>
      </c>
      <c r="X17" s="318">
        <v>1</v>
      </c>
      <c r="Y17" s="319" t="s">
        <v>769</v>
      </c>
      <c r="AB17" s="323">
        <v>5</v>
      </c>
      <c r="AC17" s="326" t="s">
        <v>212</v>
      </c>
    </row>
    <row r="18" spans="2:29" s="323" customFormat="1" ht="27" customHeight="1">
      <c r="B18" s="712"/>
      <c r="C18" s="713"/>
      <c r="D18" s="311">
        <v>12</v>
      </c>
      <c r="E18" s="312" t="s">
        <v>669</v>
      </c>
      <c r="F18" s="313">
        <v>1439.2614600000168</v>
      </c>
      <c r="G18" s="313">
        <v>2673.7860000000001</v>
      </c>
      <c r="H18" s="313">
        <v>2684.3</v>
      </c>
      <c r="I18" s="314">
        <v>1.0039322518705687</v>
      </c>
      <c r="J18" s="313">
        <v>0</v>
      </c>
      <c r="K18" s="314">
        <v>0</v>
      </c>
      <c r="L18" s="313">
        <v>136.88999999999999</v>
      </c>
      <c r="M18" s="314">
        <v>1.0039322518705687</v>
      </c>
      <c r="N18" s="315">
        <v>1439.2614600000168</v>
      </c>
      <c r="O18" s="313">
        <v>6.1000000000000005</v>
      </c>
      <c r="P18" s="314">
        <v>2.2814092077675626E-3</v>
      </c>
      <c r="Q18" s="313">
        <v>835.02899999999988</v>
      </c>
      <c r="R18" s="316">
        <v>10.514000000000124</v>
      </c>
      <c r="S18" s="314">
        <v>3.9322518705685958E-3</v>
      </c>
      <c r="T18" s="317" t="s">
        <v>346</v>
      </c>
      <c r="U18" s="317" t="s">
        <v>212</v>
      </c>
      <c r="V18" s="349" t="s">
        <v>804</v>
      </c>
      <c r="W18" s="349" t="s">
        <v>805</v>
      </c>
      <c r="X18" s="318">
        <v>1</v>
      </c>
      <c r="Y18" s="319" t="s">
        <v>352</v>
      </c>
      <c r="AB18" s="323">
        <v>6</v>
      </c>
      <c r="AC18" s="326" t="s">
        <v>213</v>
      </c>
    </row>
    <row r="19" spans="2:29" s="323" customFormat="1" ht="27" customHeight="1">
      <c r="B19" s="712"/>
      <c r="C19" s="713"/>
      <c r="D19" s="311">
        <v>13</v>
      </c>
      <c r="E19" s="312" t="s">
        <v>811</v>
      </c>
      <c r="F19" s="313">
        <v>1399.6575399999904</v>
      </c>
      <c r="G19" s="313">
        <v>285.90600000000001</v>
      </c>
      <c r="H19" s="313">
        <v>294.99999999999994</v>
      </c>
      <c r="I19" s="314">
        <v>1.0318076570621111</v>
      </c>
      <c r="J19" s="313">
        <v>0</v>
      </c>
      <c r="K19" s="314">
        <v>0</v>
      </c>
      <c r="L19" s="313">
        <v>153.91</v>
      </c>
      <c r="M19" s="314">
        <v>1.0318076570621111</v>
      </c>
      <c r="N19" s="315">
        <v>1399.6575399999904</v>
      </c>
      <c r="O19" s="313">
        <v>6.2</v>
      </c>
      <c r="P19" s="314">
        <v>2.1685449063678273E-2</v>
      </c>
      <c r="Q19" s="313">
        <v>954.24199999999996</v>
      </c>
      <c r="R19" s="316">
        <v>9.0939999999999372</v>
      </c>
      <c r="S19" s="314">
        <v>3.1807657062111104E-2</v>
      </c>
      <c r="T19" s="317" t="s">
        <v>344</v>
      </c>
      <c r="U19" s="317" t="s">
        <v>582</v>
      </c>
      <c r="V19" s="349" t="s">
        <v>826</v>
      </c>
      <c r="W19" s="349" t="s">
        <v>827</v>
      </c>
      <c r="X19" s="318">
        <v>1</v>
      </c>
      <c r="Y19" s="319" t="s">
        <v>797</v>
      </c>
      <c r="AB19" s="323">
        <v>7</v>
      </c>
      <c r="AC19" s="326" t="s">
        <v>622</v>
      </c>
    </row>
    <row r="20" spans="2:29" s="323" customFormat="1" ht="27" customHeight="1">
      <c r="B20" s="712"/>
      <c r="C20" s="713"/>
      <c r="D20" s="311">
        <v>14</v>
      </c>
      <c r="E20" s="312" t="s">
        <v>868</v>
      </c>
      <c r="F20" s="313">
        <v>1399.1562000000142</v>
      </c>
      <c r="G20" s="313">
        <v>393.86999999999995</v>
      </c>
      <c r="H20" s="313">
        <v>397.5</v>
      </c>
      <c r="I20" s="314">
        <v>1.0092162388605379</v>
      </c>
      <c r="J20" s="313">
        <v>1.5</v>
      </c>
      <c r="K20" s="314">
        <v>3.8083631655114638E-3</v>
      </c>
      <c r="L20" s="313">
        <v>272.74</v>
      </c>
      <c r="M20" s="314">
        <v>1.0130246020260494</v>
      </c>
      <c r="N20" s="315">
        <v>1399.1562000000142</v>
      </c>
      <c r="O20" s="313">
        <v>2</v>
      </c>
      <c r="P20" s="314">
        <v>5.0778175540152851E-3</v>
      </c>
      <c r="Q20" s="313">
        <v>545.48</v>
      </c>
      <c r="R20" s="316">
        <v>5.1300000000000523</v>
      </c>
      <c r="S20" s="314">
        <v>1.3024602026049338E-2</v>
      </c>
      <c r="T20" s="317" t="s">
        <v>346</v>
      </c>
      <c r="U20" s="317" t="s">
        <v>212</v>
      </c>
      <c r="V20" s="349" t="s">
        <v>887</v>
      </c>
      <c r="W20" s="349" t="s">
        <v>673</v>
      </c>
      <c r="X20" s="318">
        <v>1</v>
      </c>
      <c r="Y20" s="319" t="s">
        <v>347</v>
      </c>
      <c r="AB20" s="323">
        <v>8</v>
      </c>
      <c r="AC20" s="327" t="s">
        <v>623</v>
      </c>
    </row>
    <row r="21" spans="2:29" s="323" customFormat="1" ht="27" customHeight="1">
      <c r="B21" s="712"/>
      <c r="C21" s="713"/>
      <c r="D21" s="311">
        <v>15</v>
      </c>
      <c r="E21" s="312" t="s">
        <v>806</v>
      </c>
      <c r="F21" s="313">
        <v>1394.6257500000047</v>
      </c>
      <c r="G21" s="313">
        <v>480.60500000000002</v>
      </c>
      <c r="H21" s="313">
        <v>485.40000000000003</v>
      </c>
      <c r="I21" s="314">
        <v>1.0099770081459827</v>
      </c>
      <c r="J21" s="313">
        <v>0</v>
      </c>
      <c r="K21" s="314">
        <v>0</v>
      </c>
      <c r="L21" s="313">
        <v>290.85000000000002</v>
      </c>
      <c r="M21" s="314">
        <v>1.0099770081459827</v>
      </c>
      <c r="N21" s="315">
        <v>1394.6257500000047</v>
      </c>
      <c r="O21" s="313">
        <v>2.5</v>
      </c>
      <c r="P21" s="314">
        <v>5.2017769269982628E-3</v>
      </c>
      <c r="Q21" s="313">
        <v>727.125</v>
      </c>
      <c r="R21" s="316">
        <v>4.7950000000000159</v>
      </c>
      <c r="S21" s="314">
        <v>9.9770081459827006E-3</v>
      </c>
      <c r="T21" s="317" t="s">
        <v>346</v>
      </c>
      <c r="U21" s="317" t="s">
        <v>212</v>
      </c>
      <c r="V21" s="349" t="s">
        <v>887</v>
      </c>
      <c r="W21" s="349" t="s">
        <v>673</v>
      </c>
      <c r="X21" s="318">
        <v>1</v>
      </c>
      <c r="Y21" s="319" t="s">
        <v>813</v>
      </c>
      <c r="AC21" s="326"/>
    </row>
    <row r="22" spans="2:29" s="323" customFormat="1" ht="27" customHeight="1">
      <c r="B22" s="712"/>
      <c r="C22" s="713"/>
      <c r="D22" s="311">
        <v>16</v>
      </c>
      <c r="E22" s="312" t="s">
        <v>394</v>
      </c>
      <c r="F22" s="313">
        <v>1387.6197999999988</v>
      </c>
      <c r="G22" s="313">
        <v>1116.0150000000001</v>
      </c>
      <c r="H22" s="313">
        <v>1126.9000000000001</v>
      </c>
      <c r="I22" s="314">
        <v>1.0097534531345904</v>
      </c>
      <c r="J22" s="313">
        <v>0</v>
      </c>
      <c r="K22" s="314">
        <v>0</v>
      </c>
      <c r="L22" s="313">
        <v>127.48</v>
      </c>
      <c r="M22" s="314">
        <v>1.0097534531345904</v>
      </c>
      <c r="N22" s="315">
        <v>1387.6197999999988</v>
      </c>
      <c r="O22" s="313">
        <v>5.6</v>
      </c>
      <c r="P22" s="314">
        <v>5.0178537026832068E-3</v>
      </c>
      <c r="Q22" s="313">
        <v>713.88800000000015</v>
      </c>
      <c r="R22" s="316">
        <v>10.884999999999991</v>
      </c>
      <c r="S22" s="314">
        <v>9.7534531345904764E-3</v>
      </c>
      <c r="T22" s="317" t="s">
        <v>344</v>
      </c>
      <c r="U22" s="317" t="s">
        <v>582</v>
      </c>
      <c r="V22" s="349" t="s">
        <v>767</v>
      </c>
      <c r="W22" s="349" t="s">
        <v>672</v>
      </c>
      <c r="X22" s="318">
        <v>1</v>
      </c>
      <c r="Y22" s="319" t="s">
        <v>349</v>
      </c>
      <c r="AC22" s="326"/>
    </row>
    <row r="23" spans="2:29" s="323" customFormat="1" ht="27" customHeight="1">
      <c r="B23" s="712"/>
      <c r="C23" s="713"/>
      <c r="D23" s="311">
        <v>17</v>
      </c>
      <c r="E23" s="312" t="s">
        <v>872</v>
      </c>
      <c r="F23" s="313">
        <v>1349.0107499999906</v>
      </c>
      <c r="G23" s="313">
        <v>685.125</v>
      </c>
      <c r="H23" s="313">
        <v>698.09999999999991</v>
      </c>
      <c r="I23" s="314">
        <v>1.0189381499726327</v>
      </c>
      <c r="J23" s="313">
        <v>0</v>
      </c>
      <c r="K23" s="314">
        <v>0</v>
      </c>
      <c r="L23" s="313">
        <v>103.97</v>
      </c>
      <c r="M23" s="314">
        <v>1.0189381499726327</v>
      </c>
      <c r="N23" s="315">
        <v>1349.0107499999906</v>
      </c>
      <c r="O23" s="313">
        <v>8.7000000000000011</v>
      </c>
      <c r="P23" s="314">
        <v>1.26984126984127E-2</v>
      </c>
      <c r="Q23" s="313">
        <v>904.53899999999999</v>
      </c>
      <c r="R23" s="316">
        <v>12.974999999999909</v>
      </c>
      <c r="S23" s="314">
        <v>1.8938149972632597E-2</v>
      </c>
      <c r="T23" s="349" t="s">
        <v>344</v>
      </c>
      <c r="U23" s="317" t="s">
        <v>582</v>
      </c>
      <c r="V23" s="349" t="s">
        <v>767</v>
      </c>
      <c r="W23" s="349" t="s">
        <v>672</v>
      </c>
      <c r="X23" s="318">
        <v>1</v>
      </c>
      <c r="Y23" s="319" t="s">
        <v>644</v>
      </c>
      <c r="AB23" s="328">
        <v>1</v>
      </c>
      <c r="AC23" s="326" t="s">
        <v>350</v>
      </c>
    </row>
    <row r="24" spans="2:29" s="323" customFormat="1" ht="27" customHeight="1">
      <c r="B24" s="712"/>
      <c r="C24" s="713"/>
      <c r="D24" s="311">
        <v>18</v>
      </c>
      <c r="E24" s="312" t="s">
        <v>771</v>
      </c>
      <c r="F24" s="313">
        <v>1338.4935900000053</v>
      </c>
      <c r="G24" s="313">
        <v>80.900999999999996</v>
      </c>
      <c r="H24" s="313">
        <v>83.800000000000011</v>
      </c>
      <c r="I24" s="314">
        <v>1.035833920470699</v>
      </c>
      <c r="J24" s="313">
        <v>0.3</v>
      </c>
      <c r="K24" s="314">
        <v>3.7082359921385396E-3</v>
      </c>
      <c r="L24" s="313">
        <v>418.41</v>
      </c>
      <c r="M24" s="314">
        <v>1.0395421564628375</v>
      </c>
      <c r="N24" s="315">
        <v>1338.4935900000064</v>
      </c>
      <c r="O24" s="313">
        <v>1.7000000000000002</v>
      </c>
      <c r="P24" s="314">
        <v>2.1013337288785062E-2</v>
      </c>
      <c r="Q24" s="397">
        <v>711.29700000000003</v>
      </c>
      <c r="R24" s="316">
        <v>3.1990000000000123</v>
      </c>
      <c r="S24" s="314">
        <v>3.9542156462837451E-2</v>
      </c>
      <c r="T24" s="317" t="s">
        <v>350</v>
      </c>
      <c r="U24" s="317" t="s">
        <v>392</v>
      </c>
      <c r="V24" s="349" t="s">
        <v>880</v>
      </c>
      <c r="W24" s="317" t="s">
        <v>881</v>
      </c>
      <c r="X24" s="318">
        <v>1</v>
      </c>
      <c r="Y24" s="319" t="s">
        <v>368</v>
      </c>
      <c r="AB24" s="323">
        <v>2</v>
      </c>
      <c r="AC24" s="326" t="s">
        <v>395</v>
      </c>
    </row>
    <row r="25" spans="2:29" s="323" customFormat="1" ht="27" customHeight="1">
      <c r="B25" s="712"/>
      <c r="C25" s="713"/>
      <c r="D25" s="311">
        <v>19</v>
      </c>
      <c r="E25" s="312" t="s">
        <v>866</v>
      </c>
      <c r="F25" s="313">
        <v>1336.273559999996</v>
      </c>
      <c r="G25" s="313">
        <v>258.54400000000004</v>
      </c>
      <c r="H25" s="313">
        <v>264.10000000000002</v>
      </c>
      <c r="I25" s="314">
        <v>1.0214895723745281</v>
      </c>
      <c r="J25" s="313">
        <v>0</v>
      </c>
      <c r="K25" s="314">
        <v>0</v>
      </c>
      <c r="L25" s="313">
        <v>240.51</v>
      </c>
      <c r="M25" s="314">
        <v>1.0214895723745281</v>
      </c>
      <c r="N25" s="315">
        <v>1336.273559999996</v>
      </c>
      <c r="O25" s="313">
        <v>3.5</v>
      </c>
      <c r="P25" s="314">
        <v>1.3537347608144066E-2</v>
      </c>
      <c r="Q25" s="313">
        <v>841.78499999999985</v>
      </c>
      <c r="R25" s="316">
        <v>5.5559999999999832</v>
      </c>
      <c r="S25" s="314">
        <v>2.148957237452806E-2</v>
      </c>
      <c r="T25" s="317" t="s">
        <v>344</v>
      </c>
      <c r="U25" s="317" t="s">
        <v>582</v>
      </c>
      <c r="V25" s="349" t="s">
        <v>888</v>
      </c>
      <c r="W25" s="349" t="s">
        <v>889</v>
      </c>
      <c r="X25" s="318">
        <v>1</v>
      </c>
      <c r="Y25" s="319" t="s">
        <v>677</v>
      </c>
      <c r="AB25" s="329">
        <v>3</v>
      </c>
      <c r="AC25" s="326" t="s">
        <v>344</v>
      </c>
    </row>
    <row r="26" spans="2:29" s="323" customFormat="1" ht="27" customHeight="1">
      <c r="B26" s="714"/>
      <c r="C26" s="715"/>
      <c r="D26" s="311">
        <v>20</v>
      </c>
      <c r="E26" s="312" t="s">
        <v>821</v>
      </c>
      <c r="F26" s="313">
        <v>1279.3519999999985</v>
      </c>
      <c r="G26" s="313">
        <v>234.9</v>
      </c>
      <c r="H26" s="313">
        <v>238</v>
      </c>
      <c r="I26" s="314">
        <v>1.0131971051511282</v>
      </c>
      <c r="J26" s="313">
        <v>1.5</v>
      </c>
      <c r="K26" s="314">
        <v>6.3856960408684542E-3</v>
      </c>
      <c r="L26" s="313">
        <v>278.12</v>
      </c>
      <c r="M26" s="314">
        <v>1.0195828011919965</v>
      </c>
      <c r="N26" s="315">
        <v>1279.3519999999985</v>
      </c>
      <c r="O26" s="313">
        <v>2.7</v>
      </c>
      <c r="P26" s="314">
        <v>1.1494252873563218E-2</v>
      </c>
      <c r="Q26" s="313">
        <v>750.92399999999998</v>
      </c>
      <c r="R26" s="316">
        <v>4.5999999999999943</v>
      </c>
      <c r="S26" s="314">
        <v>1.9582801191996568E-2</v>
      </c>
      <c r="T26" s="317" t="s">
        <v>346</v>
      </c>
      <c r="U26" s="317" t="s">
        <v>212</v>
      </c>
      <c r="V26" s="349" t="s">
        <v>819</v>
      </c>
      <c r="W26" s="350" t="s">
        <v>673</v>
      </c>
      <c r="X26" s="318">
        <v>1</v>
      </c>
      <c r="Y26" s="319" t="s">
        <v>644</v>
      </c>
      <c r="AB26" s="329">
        <v>4</v>
      </c>
      <c r="AC26" s="326" t="s">
        <v>346</v>
      </c>
    </row>
    <row r="27" spans="2:29" ht="29.5" customHeight="1">
      <c r="C27" s="716"/>
      <c r="AB27" s="323"/>
      <c r="AC27" s="326"/>
    </row>
    <row r="28" spans="2:29">
      <c r="C28" s="716"/>
    </row>
    <row r="29" spans="2:29">
      <c r="C29" s="716"/>
    </row>
    <row r="30" spans="2:29">
      <c r="C30" s="716"/>
    </row>
    <row r="31" spans="2:29">
      <c r="C31" s="716"/>
    </row>
    <row r="32" spans="2:29">
      <c r="C32" s="716"/>
    </row>
    <row r="33" spans="3:3">
      <c r="C33" s="716"/>
    </row>
    <row r="34" spans="3:3">
      <c r="C34" s="716"/>
    </row>
    <row r="35" spans="3:3">
      <c r="C35" s="716"/>
    </row>
    <row r="36" spans="3:3">
      <c r="C36" s="716"/>
    </row>
    <row r="67" ht="14.15" customHeight="1"/>
    <row r="77" ht="14.15" customHeight="1"/>
    <row r="87" ht="14.15" customHeight="1"/>
    <row r="112" spans="26:26">
      <c r="Z112" s="330" t="s">
        <v>624</v>
      </c>
    </row>
    <row r="113" spans="26:26">
      <c r="Z113" s="323" t="s">
        <v>625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U1:U1048576" xr:uid="{00000000-0002-0000-1D00-000000000000}">
      <formula1>$AC$13:$AC$20</formula1>
    </dataValidation>
    <dataValidation type="list" allowBlank="1" showInputMessage="1" showErrorMessage="1" sqref="T1:T1048576" xr:uid="{00000000-0002-0000-1D00-000001000000}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7" tint="0.39997558519241921"/>
  </sheetPr>
  <dimension ref="A1:R70"/>
  <sheetViews>
    <sheetView zoomScale="70" zoomScaleNormal="70" workbookViewId="0">
      <selection activeCell="S36" sqref="S36"/>
    </sheetView>
  </sheetViews>
  <sheetFormatPr defaultColWidth="8.26953125" defaultRowHeight="15.5"/>
  <cols>
    <col min="1" max="1" width="18.453125" style="331" customWidth="1"/>
    <col min="2" max="2" width="21.1796875" style="331" bestFit="1" customWidth="1"/>
    <col min="3" max="6" width="14.26953125" style="331" customWidth="1"/>
    <col min="7" max="10" width="18.453125" style="331" customWidth="1"/>
    <col min="11" max="11" width="17.1796875" style="331" bestFit="1" customWidth="1"/>
    <col min="12" max="12" width="16" style="331" customWidth="1"/>
    <col min="13" max="13" width="23.26953125" style="331" bestFit="1" customWidth="1"/>
    <col min="14" max="15" width="13.26953125" style="331" bestFit="1" customWidth="1"/>
    <col min="16" max="16" width="8.26953125" style="331"/>
    <col min="17" max="17" width="12.81640625" style="331" bestFit="1" customWidth="1"/>
    <col min="18" max="16384" width="8.26953125" style="331"/>
  </cols>
  <sheetData>
    <row r="1" spans="1:18" ht="27" customHeight="1">
      <c r="A1" s="722" t="s">
        <v>647</v>
      </c>
      <c r="B1" s="722"/>
      <c r="C1" s="722"/>
      <c r="D1" s="722"/>
      <c r="E1" s="722"/>
      <c r="F1" s="722"/>
      <c r="G1" s="722"/>
      <c r="H1" s="722"/>
      <c r="I1" s="722"/>
      <c r="J1" s="722"/>
      <c r="K1" s="722"/>
      <c r="L1" s="722"/>
      <c r="M1" s="722"/>
      <c r="N1" s="722"/>
      <c r="O1" s="722"/>
    </row>
    <row r="2" spans="1:18" ht="16.5" customHeight="1">
      <c r="A2" s="723" t="s">
        <v>648</v>
      </c>
      <c r="B2" s="723" t="s">
        <v>649</v>
      </c>
      <c r="C2" s="723" t="s">
        <v>650</v>
      </c>
      <c r="D2" s="723" t="s">
        <v>651</v>
      </c>
      <c r="E2" s="723" t="s">
        <v>652</v>
      </c>
      <c r="F2" s="723" t="s">
        <v>653</v>
      </c>
      <c r="G2" s="723" t="s">
        <v>654</v>
      </c>
      <c r="H2" s="723"/>
      <c r="I2" s="723" t="s">
        <v>655</v>
      </c>
      <c r="J2" s="723"/>
      <c r="K2" s="723" t="s">
        <v>656</v>
      </c>
      <c r="L2" s="723"/>
      <c r="M2" s="724" t="s">
        <v>657</v>
      </c>
      <c r="N2" s="724"/>
      <c r="O2" s="724"/>
    </row>
    <row r="3" spans="1:18" ht="37.5" customHeight="1">
      <c r="A3" s="723"/>
      <c r="B3" s="723"/>
      <c r="C3" s="723"/>
      <c r="D3" s="723"/>
      <c r="E3" s="723"/>
      <c r="F3" s="723"/>
      <c r="G3" s="362" t="s">
        <v>658</v>
      </c>
      <c r="H3" s="362" t="s">
        <v>659</v>
      </c>
      <c r="I3" s="362" t="s">
        <v>658</v>
      </c>
      <c r="J3" s="362" t="s">
        <v>659</v>
      </c>
      <c r="K3" s="362" t="s">
        <v>660</v>
      </c>
      <c r="L3" s="362" t="s">
        <v>661</v>
      </c>
      <c r="M3" s="362" t="s">
        <v>662</v>
      </c>
      <c r="N3" s="332" t="s">
        <v>663</v>
      </c>
      <c r="O3" s="332" t="s">
        <v>664</v>
      </c>
    </row>
    <row r="4" spans="1:18" ht="18">
      <c r="A4" s="382">
        <v>46082</v>
      </c>
      <c r="B4" s="351">
        <v>7873403</v>
      </c>
      <c r="C4" s="351">
        <v>19055</v>
      </c>
      <c r="D4" s="369">
        <f t="shared" ref="D4:D40" si="0">C4/B4</f>
        <v>2.4201733354687928E-3</v>
      </c>
      <c r="E4" s="352">
        <v>13141.722666341599</v>
      </c>
      <c r="F4" s="336">
        <f t="shared" ref="F4:F40" si="1">E4/B4</f>
        <v>1.6691286685492409E-3</v>
      </c>
      <c r="G4" s="351">
        <v>1749.3900000000003</v>
      </c>
      <c r="H4" s="337">
        <f t="shared" ref="H4:H40" si="2">G4/C4</f>
        <v>9.1807399632642367E-2</v>
      </c>
      <c r="I4" s="338">
        <v>1574.7586099999955</v>
      </c>
      <c r="J4" s="337">
        <f t="shared" ref="J4:J12" si="3">I4/E4</f>
        <v>0.11982893338886583</v>
      </c>
      <c r="K4" s="353">
        <v>3245.5180000000005</v>
      </c>
      <c r="L4" s="354">
        <f t="shared" ref="L4:L40" si="4">K4/C4</f>
        <v>0.17032369456835478</v>
      </c>
      <c r="M4" s="390">
        <f>SUM(B4:B5)</f>
        <v>15610006</v>
      </c>
      <c r="N4" s="391">
        <f>SUM(C4:C5)</f>
        <v>38009</v>
      </c>
      <c r="O4" s="391">
        <f>SUM(E4:E5)</f>
        <v>28180.464998061434</v>
      </c>
    </row>
    <row r="5" spans="1:18" ht="18">
      <c r="A5" s="382">
        <f>A4+1</f>
        <v>46083</v>
      </c>
      <c r="B5" s="351">
        <v>7736603</v>
      </c>
      <c r="C5" s="351">
        <v>18954</v>
      </c>
      <c r="D5" s="369">
        <f t="shared" si="0"/>
        <v>2.4499124486547907E-3</v>
      </c>
      <c r="E5" s="352">
        <v>15038.742331719834</v>
      </c>
      <c r="F5" s="336">
        <f t="shared" si="1"/>
        <v>1.9438430964752661E-3</v>
      </c>
      <c r="G5" s="351">
        <v>1353.3689999999999</v>
      </c>
      <c r="H5" s="337">
        <f t="shared" si="2"/>
        <v>7.1402817347261782E-2</v>
      </c>
      <c r="I5" s="338">
        <v>1551.2935699999998</v>
      </c>
      <c r="J5" s="337">
        <f t="shared" si="3"/>
        <v>0.10315314510894966</v>
      </c>
      <c r="K5" s="353">
        <v>3249.6240000000007</v>
      </c>
      <c r="L5" s="354">
        <f t="shared" si="4"/>
        <v>0.17144792655903771</v>
      </c>
      <c r="M5" s="390"/>
      <c r="N5" s="391"/>
      <c r="O5" s="391"/>
    </row>
    <row r="6" spans="1:18" ht="18">
      <c r="A6" s="341">
        <f t="shared" ref="A6:A40" si="5">A5+1</f>
        <v>46084</v>
      </c>
      <c r="B6" s="351">
        <v>8673470</v>
      </c>
      <c r="C6" s="351">
        <v>21315</v>
      </c>
      <c r="D6" s="369">
        <f t="shared" si="0"/>
        <v>2.457493944176898E-3</v>
      </c>
      <c r="E6" s="352">
        <v>15814</v>
      </c>
      <c r="F6" s="336">
        <f t="shared" si="1"/>
        <v>1.8232610477698084E-3</v>
      </c>
      <c r="G6" s="351">
        <v>1316</v>
      </c>
      <c r="H6" s="337">
        <f t="shared" si="2"/>
        <v>6.1740558292282428E-2</v>
      </c>
      <c r="I6" s="338">
        <v>1565</v>
      </c>
      <c r="J6" s="337">
        <f t="shared" si="3"/>
        <v>9.8962944226634625E-2</v>
      </c>
      <c r="K6" s="353">
        <v>3487</v>
      </c>
      <c r="L6" s="354">
        <f t="shared" si="4"/>
        <v>0.16359371334740794</v>
      </c>
      <c r="M6" s="390">
        <f>SUM(B6:B12)</f>
        <v>53050901</v>
      </c>
      <c r="N6" s="391">
        <f>SUM(C6:C12)</f>
        <v>129836</v>
      </c>
      <c r="O6" s="391">
        <f>SUM(E6:E12)</f>
        <v>102537</v>
      </c>
    </row>
    <row r="7" spans="1:18" ht="18">
      <c r="A7" s="341">
        <f t="shared" si="5"/>
        <v>46085</v>
      </c>
      <c r="B7" s="351">
        <v>7833391</v>
      </c>
      <c r="C7" s="351">
        <v>19208</v>
      </c>
      <c r="D7" s="369">
        <f t="shared" si="0"/>
        <v>2.4520670549957229E-3</v>
      </c>
      <c r="E7" s="352">
        <v>14553</v>
      </c>
      <c r="F7" s="336">
        <f t="shared" si="1"/>
        <v>1.8578161105452288E-3</v>
      </c>
      <c r="G7" s="351">
        <v>1418</v>
      </c>
      <c r="H7" s="337">
        <f t="shared" si="2"/>
        <v>7.3823406913785916E-2</v>
      </c>
      <c r="I7" s="338">
        <v>1554</v>
      </c>
      <c r="J7" s="337">
        <f t="shared" si="3"/>
        <v>0.10678210678210678</v>
      </c>
      <c r="K7" s="353">
        <v>2696</v>
      </c>
      <c r="L7" s="354">
        <f t="shared" si="4"/>
        <v>0.14035818408996251</v>
      </c>
      <c r="M7" s="390"/>
      <c r="N7" s="391"/>
      <c r="O7" s="391"/>
    </row>
    <row r="8" spans="1:18" ht="18">
      <c r="A8" s="341">
        <f t="shared" si="5"/>
        <v>46086</v>
      </c>
      <c r="B8" s="351">
        <v>7120934</v>
      </c>
      <c r="C8" s="351">
        <v>17511</v>
      </c>
      <c r="D8" s="369">
        <f t="shared" si="0"/>
        <v>2.459087529809994E-3</v>
      </c>
      <c r="E8" s="352">
        <v>14652</v>
      </c>
      <c r="F8" s="336">
        <f t="shared" si="1"/>
        <v>2.0575952536563322E-3</v>
      </c>
      <c r="G8" s="351">
        <v>1386</v>
      </c>
      <c r="H8" s="337">
        <f t="shared" si="2"/>
        <v>7.9150248415281829E-2</v>
      </c>
      <c r="I8" s="338">
        <v>1530</v>
      </c>
      <c r="J8" s="337">
        <f t="shared" si="3"/>
        <v>0.10442260442260443</v>
      </c>
      <c r="K8" s="353">
        <v>2531</v>
      </c>
      <c r="L8" s="354">
        <f t="shared" si="4"/>
        <v>0.14453771914796415</v>
      </c>
      <c r="M8" s="390"/>
      <c r="N8" s="391"/>
      <c r="O8" s="391"/>
      <c r="P8" s="342"/>
      <c r="Q8" s="342"/>
      <c r="R8" s="342"/>
    </row>
    <row r="9" spans="1:18" ht="18">
      <c r="A9" s="341">
        <f t="shared" si="5"/>
        <v>46087</v>
      </c>
      <c r="B9" s="351">
        <v>6319241</v>
      </c>
      <c r="C9" s="351">
        <v>15285</v>
      </c>
      <c r="D9" s="369">
        <f t="shared" si="0"/>
        <v>2.4188031442383667E-3</v>
      </c>
      <c r="E9" s="352">
        <v>13052</v>
      </c>
      <c r="F9" s="336">
        <f t="shared" si="1"/>
        <v>2.0654379220542466E-3</v>
      </c>
      <c r="G9" s="351">
        <v>1317</v>
      </c>
      <c r="H9" s="337">
        <f t="shared" si="2"/>
        <v>8.6162904808635921E-2</v>
      </c>
      <c r="I9" s="338">
        <v>1447</v>
      </c>
      <c r="J9" s="337">
        <f t="shared" si="3"/>
        <v>0.1108642353662274</v>
      </c>
      <c r="K9" s="353">
        <v>2524</v>
      </c>
      <c r="L9" s="354">
        <f t="shared" si="4"/>
        <v>0.16512921164540398</v>
      </c>
      <c r="M9" s="390"/>
      <c r="N9" s="391"/>
      <c r="O9" s="391"/>
    </row>
    <row r="10" spans="1:18" ht="18">
      <c r="A10" s="341">
        <f t="shared" si="5"/>
        <v>46088</v>
      </c>
      <c r="B10" s="351">
        <v>6868140</v>
      </c>
      <c r="C10" s="351">
        <v>16881</v>
      </c>
      <c r="D10" s="369">
        <f t="shared" si="0"/>
        <v>2.4578706898811032E-3</v>
      </c>
      <c r="E10" s="352">
        <v>13255</v>
      </c>
      <c r="F10" s="336">
        <f t="shared" si="1"/>
        <v>1.9299257149679534E-3</v>
      </c>
      <c r="G10" s="351">
        <v>1429</v>
      </c>
      <c r="H10" s="337">
        <f t="shared" si="2"/>
        <v>8.4651383211895026E-2</v>
      </c>
      <c r="I10" s="338">
        <v>1373</v>
      </c>
      <c r="J10" s="337">
        <f t="shared" si="3"/>
        <v>0.10358355337608449</v>
      </c>
      <c r="K10" s="353">
        <v>2990</v>
      </c>
      <c r="L10" s="354">
        <f t="shared" si="4"/>
        <v>0.17712220839997631</v>
      </c>
      <c r="M10" s="390"/>
      <c r="N10" s="391"/>
      <c r="O10" s="391"/>
      <c r="P10" s="343"/>
      <c r="Q10" s="343"/>
    </row>
    <row r="11" spans="1:18" ht="18">
      <c r="A11" s="341">
        <f t="shared" si="5"/>
        <v>46089</v>
      </c>
      <c r="B11" s="351">
        <v>8317813</v>
      </c>
      <c r="C11" s="351">
        <v>20303</v>
      </c>
      <c r="D11" s="369">
        <f t="shared" si="0"/>
        <v>2.4409060410470877E-3</v>
      </c>
      <c r="E11" s="352">
        <v>15543</v>
      </c>
      <c r="F11" s="336">
        <f t="shared" si="1"/>
        <v>1.8686402303105395E-3</v>
      </c>
      <c r="G11" s="351">
        <v>1332</v>
      </c>
      <c r="H11" s="337">
        <f t="shared" si="2"/>
        <v>6.5606068068758308E-2</v>
      </c>
      <c r="I11" s="338">
        <v>1310</v>
      </c>
      <c r="J11" s="337">
        <f t="shared" si="3"/>
        <v>8.4282313581676635E-2</v>
      </c>
      <c r="K11" s="353">
        <v>3098</v>
      </c>
      <c r="L11" s="354">
        <f t="shared" si="4"/>
        <v>0.15258828744520514</v>
      </c>
      <c r="M11" s="390"/>
      <c r="N11" s="391"/>
      <c r="O11" s="391"/>
    </row>
    <row r="12" spans="1:18" ht="18">
      <c r="A12" s="341">
        <f t="shared" si="5"/>
        <v>46090</v>
      </c>
      <c r="B12" s="351">
        <v>7917912</v>
      </c>
      <c r="C12" s="351">
        <v>19333</v>
      </c>
      <c r="D12" s="369">
        <f t="shared" si="0"/>
        <v>2.4416790689262523E-3</v>
      </c>
      <c r="E12" s="352">
        <v>15668</v>
      </c>
      <c r="F12" s="336">
        <f t="shared" si="1"/>
        <v>1.9788045131090117E-3</v>
      </c>
      <c r="G12" s="351">
        <v>1522</v>
      </c>
      <c r="H12" s="337">
        <f t="shared" si="2"/>
        <v>7.8725495267159773E-2</v>
      </c>
      <c r="I12" s="338">
        <v>1544</v>
      </c>
      <c r="J12" s="337">
        <f t="shared" si="3"/>
        <v>9.8544804697472552E-2</v>
      </c>
      <c r="K12" s="353">
        <v>3585</v>
      </c>
      <c r="L12" s="354">
        <f t="shared" si="4"/>
        <v>0.18543423162468317</v>
      </c>
      <c r="M12" s="390"/>
      <c r="N12" s="391"/>
      <c r="O12" s="391"/>
    </row>
    <row r="13" spans="1:18" ht="18">
      <c r="A13" s="382">
        <f t="shared" si="5"/>
        <v>46091</v>
      </c>
      <c r="B13" s="351">
        <v>7857997</v>
      </c>
      <c r="C13" s="351">
        <v>19254</v>
      </c>
      <c r="D13" s="369">
        <f t="shared" si="0"/>
        <v>2.4502427272497049E-3</v>
      </c>
      <c r="E13" s="352">
        <v>13589</v>
      </c>
      <c r="F13" s="336">
        <f t="shared" si="1"/>
        <v>1.7293210979846391E-3</v>
      </c>
      <c r="G13" s="351">
        <v>1612</v>
      </c>
      <c r="H13" s="337">
        <f t="shared" si="2"/>
        <v>8.3722862781759638E-2</v>
      </c>
      <c r="I13" s="338">
        <v>1468</v>
      </c>
      <c r="J13" s="337">
        <v>0.10802855250570315</v>
      </c>
      <c r="K13" s="353">
        <v>3219</v>
      </c>
      <c r="L13" s="354">
        <f t="shared" si="4"/>
        <v>0.1671860392645684</v>
      </c>
      <c r="M13" s="390">
        <f>SUM(B13:B19)</f>
        <v>51759222</v>
      </c>
      <c r="N13" s="391">
        <f>SUM(C13:C19)</f>
        <v>126043</v>
      </c>
      <c r="O13" s="391">
        <f>SUM(E13:E19)</f>
        <v>99337</v>
      </c>
    </row>
    <row r="14" spans="1:18" ht="18">
      <c r="A14" s="382">
        <f t="shared" si="5"/>
        <v>46092</v>
      </c>
      <c r="B14" s="351">
        <v>7290922</v>
      </c>
      <c r="C14" s="351">
        <v>17752</v>
      </c>
      <c r="D14" s="369">
        <f t="shared" si="0"/>
        <v>2.4348086565732017E-3</v>
      </c>
      <c r="E14" s="352">
        <v>14155</v>
      </c>
      <c r="F14" s="336">
        <f t="shared" si="1"/>
        <v>1.9414554153781923E-3</v>
      </c>
      <c r="G14" s="351">
        <v>1543</v>
      </c>
      <c r="H14" s="337">
        <f t="shared" si="2"/>
        <v>8.6919783686345203E-2</v>
      </c>
      <c r="I14" s="338">
        <v>1354</v>
      </c>
      <c r="J14" s="337">
        <v>9.5655245496291064E-2</v>
      </c>
      <c r="K14" s="353">
        <v>3078</v>
      </c>
      <c r="L14" s="354">
        <f t="shared" si="4"/>
        <v>0.17338891392519154</v>
      </c>
      <c r="M14" s="390"/>
      <c r="N14" s="391"/>
      <c r="O14" s="391"/>
    </row>
    <row r="15" spans="1:18" ht="18">
      <c r="A15" s="382">
        <f t="shared" si="5"/>
        <v>46093</v>
      </c>
      <c r="B15" s="351">
        <v>6613915</v>
      </c>
      <c r="C15" s="351">
        <v>16065</v>
      </c>
      <c r="D15" s="369">
        <f t="shared" si="0"/>
        <v>2.4289698310304866E-3</v>
      </c>
      <c r="E15" s="352">
        <v>13015</v>
      </c>
      <c r="F15" s="336">
        <f t="shared" si="1"/>
        <v>1.9678208746256943E-3</v>
      </c>
      <c r="G15" s="351">
        <v>1352</v>
      </c>
      <c r="H15" s="337">
        <f t="shared" si="2"/>
        <v>8.4158107687519454E-2</v>
      </c>
      <c r="I15" s="338">
        <v>1439</v>
      </c>
      <c r="J15" s="337">
        <v>0.11056473300038418</v>
      </c>
      <c r="K15" s="353">
        <v>3363</v>
      </c>
      <c r="L15" s="354">
        <f t="shared" si="4"/>
        <v>0.20933706816059758</v>
      </c>
      <c r="M15" s="390"/>
      <c r="N15" s="391"/>
      <c r="O15" s="391"/>
    </row>
    <row r="16" spans="1:18" ht="18">
      <c r="A16" s="382">
        <f t="shared" si="5"/>
        <v>46094</v>
      </c>
      <c r="B16" s="351">
        <v>6674345</v>
      </c>
      <c r="C16" s="351">
        <v>16138</v>
      </c>
      <c r="D16" s="369">
        <f t="shared" si="0"/>
        <v>2.4179151662073206E-3</v>
      </c>
      <c r="E16" s="352">
        <v>13256</v>
      </c>
      <c r="F16" s="336">
        <f t="shared" si="1"/>
        <v>1.9861124949339596E-3</v>
      </c>
      <c r="G16" s="351">
        <v>1499</v>
      </c>
      <c r="H16" s="337">
        <f t="shared" si="2"/>
        <v>9.2886355186516292E-2</v>
      </c>
      <c r="I16" s="338">
        <v>1398</v>
      </c>
      <c r="J16" s="337">
        <v>0.10546167773083887</v>
      </c>
      <c r="K16" s="353">
        <v>3152</v>
      </c>
      <c r="L16" s="354">
        <f t="shared" si="4"/>
        <v>0.19531540463502292</v>
      </c>
      <c r="M16" s="390"/>
      <c r="N16" s="391"/>
      <c r="O16" s="391"/>
    </row>
    <row r="17" spans="1:15" ht="18">
      <c r="A17" s="382">
        <f t="shared" si="5"/>
        <v>46095</v>
      </c>
      <c r="B17" s="351">
        <v>6969421</v>
      </c>
      <c r="C17" s="351">
        <v>16857</v>
      </c>
      <c r="D17" s="369">
        <f t="shared" si="0"/>
        <v>2.4187088138311634E-3</v>
      </c>
      <c r="E17" s="352">
        <v>13897</v>
      </c>
      <c r="F17" s="336">
        <f t="shared" si="1"/>
        <v>1.9939963448900562E-3</v>
      </c>
      <c r="G17" s="351">
        <v>1523</v>
      </c>
      <c r="H17" s="337">
        <f t="shared" si="2"/>
        <v>9.0348223290027882E-2</v>
      </c>
      <c r="I17" s="338">
        <v>1511</v>
      </c>
      <c r="J17" s="337">
        <v>0.10872850255450817</v>
      </c>
      <c r="K17" s="353">
        <v>2721</v>
      </c>
      <c r="L17" s="354">
        <f t="shared" si="4"/>
        <v>0.16141662217476418</v>
      </c>
      <c r="M17" s="390"/>
      <c r="N17" s="391"/>
      <c r="O17" s="391"/>
    </row>
    <row r="18" spans="1:15" ht="18">
      <c r="A18" s="382">
        <f t="shared" si="5"/>
        <v>46096</v>
      </c>
      <c r="B18" s="351">
        <v>8390696</v>
      </c>
      <c r="C18" s="351">
        <v>20459</v>
      </c>
      <c r="D18" s="369">
        <f t="shared" si="0"/>
        <v>2.4382959411233585E-3</v>
      </c>
      <c r="E18" s="352">
        <v>15879</v>
      </c>
      <c r="F18" s="336">
        <f t="shared" si="1"/>
        <v>1.8924532601347968E-3</v>
      </c>
      <c r="G18" s="351">
        <v>1679</v>
      </c>
      <c r="H18" s="337">
        <f t="shared" si="2"/>
        <v>8.2066572168727703E-2</v>
      </c>
      <c r="I18" s="338">
        <v>1613</v>
      </c>
      <c r="J18" s="337">
        <v>0.10872850255450817</v>
      </c>
      <c r="K18" s="353">
        <v>3370</v>
      </c>
      <c r="L18" s="354">
        <f t="shared" si="4"/>
        <v>0.16471968326897699</v>
      </c>
      <c r="M18" s="390"/>
      <c r="N18" s="391"/>
      <c r="O18" s="391"/>
    </row>
    <row r="19" spans="1:15" ht="18">
      <c r="A19" s="382">
        <f t="shared" si="5"/>
        <v>46097</v>
      </c>
      <c r="B19" s="351">
        <v>7961926</v>
      </c>
      <c r="C19" s="351">
        <v>19518</v>
      </c>
      <c r="D19" s="369">
        <f t="shared" si="0"/>
        <v>2.4514169059094496E-3</v>
      </c>
      <c r="E19" s="352">
        <v>15546</v>
      </c>
      <c r="F19" s="336">
        <f t="shared" si="1"/>
        <v>1.9525426385525312E-3</v>
      </c>
      <c r="G19" s="351">
        <v>1587</v>
      </c>
      <c r="H19" s="337">
        <f t="shared" si="2"/>
        <v>8.1309560405779274E-2</v>
      </c>
      <c r="I19" s="338">
        <v>1678</v>
      </c>
      <c r="J19" s="337">
        <v>0.10872850255450817</v>
      </c>
      <c r="K19" s="353">
        <v>3048</v>
      </c>
      <c r="L19" s="354">
        <f t="shared" si="4"/>
        <v>0.15616354134644944</v>
      </c>
      <c r="M19" s="390"/>
      <c r="N19" s="391"/>
      <c r="O19" s="391"/>
    </row>
    <row r="20" spans="1:15" ht="18">
      <c r="A20" s="341">
        <f t="shared" si="5"/>
        <v>46098</v>
      </c>
      <c r="B20" s="351">
        <v>8375991</v>
      </c>
      <c r="C20" s="351">
        <v>20425</v>
      </c>
      <c r="D20" s="369">
        <f t="shared" si="0"/>
        <v>2.4385174243859624E-3</v>
      </c>
      <c r="E20" s="352">
        <v>14048.703264089729</v>
      </c>
      <c r="F20" s="336">
        <f t="shared" si="1"/>
        <v>1.6772586388989349E-3</v>
      </c>
      <c r="G20" s="351">
        <v>1659.0500000000002</v>
      </c>
      <c r="H20" s="337">
        <f t="shared" si="2"/>
        <v>8.1226438188494496E-2</v>
      </c>
      <c r="I20" s="338">
        <v>1728.3279999999977</v>
      </c>
      <c r="J20" s="337">
        <v>0.10872850255450817</v>
      </c>
      <c r="K20" s="353">
        <v>2890.3739999999993</v>
      </c>
      <c r="L20" s="354">
        <f t="shared" si="4"/>
        <v>0.14151157894736838</v>
      </c>
      <c r="M20" s="390">
        <f>SUM(B20:B26)</f>
        <v>53723391</v>
      </c>
      <c r="N20" s="391">
        <f>SUM(C20:C26)</f>
        <v>130917</v>
      </c>
      <c r="O20" s="391">
        <f>SUM(E20:E26)</f>
        <v>93612.830555113702</v>
      </c>
    </row>
    <row r="21" spans="1:15" ht="18">
      <c r="A21" s="341">
        <f t="shared" si="5"/>
        <v>46099</v>
      </c>
      <c r="B21" s="351">
        <v>7820204</v>
      </c>
      <c r="C21" s="351">
        <v>19017</v>
      </c>
      <c r="D21" s="369">
        <f t="shared" si="0"/>
        <v>2.4317779945382499E-3</v>
      </c>
      <c r="E21" s="352">
        <v>13021.219712197295</v>
      </c>
      <c r="F21" s="336">
        <f t="shared" si="1"/>
        <v>1.6650741735378381E-3</v>
      </c>
      <c r="G21" s="351">
        <v>1669.0830000000001</v>
      </c>
      <c r="H21" s="337">
        <f t="shared" si="2"/>
        <v>8.7767944470736714E-2</v>
      </c>
      <c r="I21" s="338">
        <v>1673.1350800000052</v>
      </c>
      <c r="J21" s="337">
        <v>0.10872850255450817</v>
      </c>
      <c r="K21" s="353">
        <v>2967.05</v>
      </c>
      <c r="L21" s="354">
        <f t="shared" si="4"/>
        <v>0.15602092864279329</v>
      </c>
      <c r="M21" s="390"/>
      <c r="N21" s="391"/>
      <c r="O21" s="391"/>
    </row>
    <row r="22" spans="1:15" ht="18">
      <c r="A22" s="341">
        <f t="shared" si="5"/>
        <v>46100</v>
      </c>
      <c r="B22" s="351">
        <v>7245796</v>
      </c>
      <c r="C22" s="351">
        <v>17730</v>
      </c>
      <c r="D22" s="369">
        <f t="shared" si="0"/>
        <v>2.4469361268244371E-3</v>
      </c>
      <c r="E22" s="352">
        <v>12757.123108475511</v>
      </c>
      <c r="F22" s="336">
        <f t="shared" si="1"/>
        <v>1.7606241065130058E-3</v>
      </c>
      <c r="G22" s="351">
        <v>1569.8420000000001</v>
      </c>
      <c r="H22" s="337">
        <f t="shared" si="2"/>
        <v>8.8541567963903001E-2</v>
      </c>
      <c r="I22" s="338">
        <v>1637.4931500000018</v>
      </c>
      <c r="J22" s="337">
        <v>0.10872850255450817</v>
      </c>
      <c r="K22" s="353">
        <v>3071.6139999999996</v>
      </c>
      <c r="L22" s="354">
        <f t="shared" si="4"/>
        <v>0.17324388042865199</v>
      </c>
      <c r="M22" s="390"/>
      <c r="N22" s="391"/>
      <c r="O22" s="391"/>
    </row>
    <row r="23" spans="1:15" ht="18">
      <c r="A23" s="341">
        <f t="shared" si="5"/>
        <v>46101</v>
      </c>
      <c r="B23" s="351">
        <v>6666905</v>
      </c>
      <c r="C23" s="351">
        <v>16201</v>
      </c>
      <c r="D23" s="369">
        <f t="shared" si="0"/>
        <v>2.4300631252432725E-3</v>
      </c>
      <c r="E23" s="352">
        <v>12887.373716936627</v>
      </c>
      <c r="F23" s="336">
        <f t="shared" si="1"/>
        <v>1.9330369514694789E-3</v>
      </c>
      <c r="G23" s="351">
        <v>1539.0520000000001</v>
      </c>
      <c r="H23" s="337">
        <f t="shared" si="2"/>
        <v>9.4997345842849218E-2</v>
      </c>
      <c r="I23" s="338">
        <v>1402.8389499999967</v>
      </c>
      <c r="J23" s="337">
        <v>0.10872850255450817</v>
      </c>
      <c r="K23" s="353">
        <v>2699.954999999999</v>
      </c>
      <c r="L23" s="354">
        <f t="shared" si="4"/>
        <v>0.16665360162952897</v>
      </c>
      <c r="M23" s="390"/>
      <c r="N23" s="391"/>
      <c r="O23" s="391"/>
    </row>
    <row r="24" spans="1:15" ht="18">
      <c r="A24" s="341">
        <f t="shared" si="5"/>
        <v>46102</v>
      </c>
      <c r="B24" s="351">
        <v>7035053</v>
      </c>
      <c r="C24" s="351">
        <v>17228</v>
      </c>
      <c r="D24" s="369">
        <f t="shared" si="0"/>
        <v>2.4488799160432765E-3</v>
      </c>
      <c r="E24" s="352">
        <v>12287.928131595074</v>
      </c>
      <c r="F24" s="336">
        <f t="shared" si="1"/>
        <v>1.7466717211078685E-3</v>
      </c>
      <c r="G24" s="351">
        <v>1636.1000000000001</v>
      </c>
      <c r="H24" s="337">
        <f t="shared" si="2"/>
        <v>9.496749477594614E-2</v>
      </c>
      <c r="I24" s="338">
        <v>1630.7964399999942</v>
      </c>
      <c r="J24" s="337">
        <v>0.10872850255450817</v>
      </c>
      <c r="K24" s="353">
        <v>2435.5059999999999</v>
      </c>
      <c r="L24" s="354">
        <f t="shared" si="4"/>
        <v>0.14136905038309727</v>
      </c>
      <c r="M24" s="390"/>
      <c r="N24" s="391"/>
      <c r="O24" s="391"/>
    </row>
    <row r="25" spans="1:15" ht="18">
      <c r="A25" s="341">
        <f t="shared" si="5"/>
        <v>46103</v>
      </c>
      <c r="B25" s="351">
        <v>8486244</v>
      </c>
      <c r="C25" s="351">
        <v>20712</v>
      </c>
      <c r="D25" s="369">
        <f t="shared" si="0"/>
        <v>2.4406557247234465E-3</v>
      </c>
      <c r="E25" s="352">
        <v>15030.037471657226</v>
      </c>
      <c r="F25" s="336">
        <f t="shared" si="1"/>
        <v>1.7711059771151085E-3</v>
      </c>
      <c r="G25" s="351">
        <v>1646.3</v>
      </c>
      <c r="H25" s="337">
        <f t="shared" si="2"/>
        <v>7.9485322518346849E-2</v>
      </c>
      <c r="I25" s="338">
        <v>1848.3722500000031</v>
      </c>
      <c r="J25" s="337">
        <v>0.10872850255450817</v>
      </c>
      <c r="K25" s="353">
        <v>3152.9370000000008</v>
      </c>
      <c r="L25" s="354">
        <f t="shared" si="4"/>
        <v>0.15222754924681348</v>
      </c>
      <c r="M25" s="390"/>
      <c r="N25" s="391"/>
      <c r="O25" s="391"/>
    </row>
    <row r="26" spans="1:15" ht="18">
      <c r="A26" s="341">
        <f t="shared" si="5"/>
        <v>46104</v>
      </c>
      <c r="B26" s="351">
        <v>8093198</v>
      </c>
      <c r="C26" s="351">
        <v>19604</v>
      </c>
      <c r="D26" s="369">
        <f t="shared" si="0"/>
        <v>2.4222810315526694E-3</v>
      </c>
      <c r="E26" s="352">
        <v>13580.445150162241</v>
      </c>
      <c r="F26" s="336">
        <f t="shared" si="1"/>
        <v>1.678007278477833E-3</v>
      </c>
      <c r="G26" s="351">
        <v>1736.0660000000003</v>
      </c>
      <c r="H26" s="337">
        <f t="shared" si="2"/>
        <v>8.8556723117731093E-2</v>
      </c>
      <c r="I26" s="338">
        <v>1844.7693199999937</v>
      </c>
      <c r="J26" s="337">
        <v>0.10872850255450817</v>
      </c>
      <c r="K26" s="353">
        <v>2845.2579999999998</v>
      </c>
      <c r="L26" s="354">
        <f t="shared" si="4"/>
        <v>0.1451366047745358</v>
      </c>
      <c r="M26" s="390"/>
      <c r="N26" s="391"/>
      <c r="O26" s="391"/>
    </row>
    <row r="27" spans="1:15" ht="18">
      <c r="A27" s="382">
        <f t="shared" si="5"/>
        <v>46105</v>
      </c>
      <c r="B27" s="351">
        <v>8093142</v>
      </c>
      <c r="C27" s="351">
        <v>19677</v>
      </c>
      <c r="D27" s="369">
        <f t="shared" si="0"/>
        <v>2.4313177749754051E-3</v>
      </c>
      <c r="E27" s="352">
        <v>15643.17251538852</v>
      </c>
      <c r="F27" s="336">
        <f t="shared" si="1"/>
        <v>1.9328923816471428E-3</v>
      </c>
      <c r="G27" s="351">
        <v>1566.6410000000001</v>
      </c>
      <c r="H27" s="337">
        <f t="shared" si="2"/>
        <v>7.9617878741678111E-2</v>
      </c>
      <c r="I27" s="338">
        <v>1791.086479999989</v>
      </c>
      <c r="J27" s="337">
        <v>0.10872850255450817</v>
      </c>
      <c r="K27" s="353">
        <v>2631.9940000000001</v>
      </c>
      <c r="L27" s="354">
        <f t="shared" si="4"/>
        <v>0.1337599227524521</v>
      </c>
      <c r="M27" s="390">
        <f>SUM(B27:B33)</f>
        <v>53987945</v>
      </c>
      <c r="N27" s="391">
        <f>SUM(C27:C33)</f>
        <v>131313</v>
      </c>
      <c r="O27" s="391">
        <f>SUM(E27:E33)</f>
        <v>96896.216338453902</v>
      </c>
    </row>
    <row r="28" spans="1:15" ht="18">
      <c r="A28" s="382">
        <f t="shared" si="5"/>
        <v>46106</v>
      </c>
      <c r="B28" s="351">
        <v>7691347</v>
      </c>
      <c r="C28" s="351">
        <v>18683</v>
      </c>
      <c r="D28" s="369">
        <f t="shared" si="0"/>
        <v>2.4290933694709133E-3</v>
      </c>
      <c r="E28" s="352">
        <v>13268.240084948889</v>
      </c>
      <c r="F28" s="336">
        <f t="shared" si="1"/>
        <v>1.7250866571159628E-3</v>
      </c>
      <c r="G28" s="351">
        <v>1775.5060000000001</v>
      </c>
      <c r="H28" s="337">
        <f t="shared" si="2"/>
        <v>9.5033238773216303E-2</v>
      </c>
      <c r="I28" s="338">
        <v>1554.8996599999996</v>
      </c>
      <c r="J28" s="337">
        <v>0.10872850255450817</v>
      </c>
      <c r="K28" s="353">
        <v>2583.0380000000005</v>
      </c>
      <c r="L28" s="354">
        <f t="shared" si="4"/>
        <v>0.13825606166033294</v>
      </c>
      <c r="M28" s="390"/>
      <c r="N28" s="391"/>
      <c r="O28" s="391"/>
    </row>
    <row r="29" spans="1:15" ht="18">
      <c r="A29" s="382">
        <f t="shared" si="5"/>
        <v>46107</v>
      </c>
      <c r="B29" s="351">
        <v>7180490</v>
      </c>
      <c r="C29" s="351">
        <v>17612</v>
      </c>
      <c r="D29" s="369">
        <f t="shared" si="0"/>
        <v>2.4527574023499787E-3</v>
      </c>
      <c r="E29" s="352">
        <v>13119.602244434434</v>
      </c>
      <c r="F29" s="336">
        <f t="shared" si="1"/>
        <v>1.8271179605339517E-3</v>
      </c>
      <c r="G29" s="351">
        <v>1652.3819999999998</v>
      </c>
      <c r="H29" s="337">
        <f t="shared" si="2"/>
        <v>9.3821371791960012E-2</v>
      </c>
      <c r="I29" s="338">
        <v>1831.026700000014</v>
      </c>
      <c r="J29" s="337">
        <v>0.10872850255450817</v>
      </c>
      <c r="K29" s="353">
        <v>2705.0309999999999</v>
      </c>
      <c r="L29" s="354">
        <f t="shared" si="4"/>
        <v>0.15359022257551669</v>
      </c>
      <c r="M29" s="390"/>
      <c r="N29" s="391"/>
      <c r="O29" s="391"/>
    </row>
    <row r="30" spans="1:15" ht="18">
      <c r="A30" s="382">
        <f t="shared" si="5"/>
        <v>46108</v>
      </c>
      <c r="B30" s="351">
        <v>7065299</v>
      </c>
      <c r="C30" s="351">
        <v>17196</v>
      </c>
      <c r="D30" s="369">
        <f t="shared" si="0"/>
        <v>2.4338672715761922E-3</v>
      </c>
      <c r="E30" s="352">
        <v>12791.432319375654</v>
      </c>
      <c r="F30" s="336">
        <f t="shared" si="1"/>
        <v>1.8104587391666869E-3</v>
      </c>
      <c r="G30" s="351">
        <v>1451.8720000000001</v>
      </c>
      <c r="H30" s="337">
        <f t="shared" si="2"/>
        <v>8.4430797859967432E-2</v>
      </c>
      <c r="I30" s="338">
        <v>1563.3532699999932</v>
      </c>
      <c r="J30" s="337">
        <v>0.10872850255450817</v>
      </c>
      <c r="K30" s="353">
        <v>3135.0190000000007</v>
      </c>
      <c r="L30" s="354">
        <f t="shared" si="4"/>
        <v>0.18231094440567577</v>
      </c>
      <c r="M30" s="390"/>
      <c r="N30" s="391"/>
      <c r="O30" s="391"/>
    </row>
    <row r="31" spans="1:15" ht="18">
      <c r="A31" s="382">
        <f t="shared" si="5"/>
        <v>46109</v>
      </c>
      <c r="B31" s="351">
        <v>7298371</v>
      </c>
      <c r="C31" s="351">
        <v>17664</v>
      </c>
      <c r="D31" s="369">
        <f t="shared" si="0"/>
        <v>2.4202661114377439E-3</v>
      </c>
      <c r="E31" s="352">
        <v>13121.535474944851</v>
      </c>
      <c r="F31" s="336">
        <f t="shared" si="1"/>
        <v>1.7978718093318155E-3</v>
      </c>
      <c r="G31" s="351">
        <v>1660.7269999999999</v>
      </c>
      <c r="H31" s="337">
        <f t="shared" si="2"/>
        <v>9.4017606431159417E-2</v>
      </c>
      <c r="I31" s="338">
        <v>1513.9519899999914</v>
      </c>
      <c r="J31" s="337">
        <v>0.10872850255450817</v>
      </c>
      <c r="K31" s="353">
        <v>2607.1949999999997</v>
      </c>
      <c r="L31" s="354">
        <f t="shared" si="4"/>
        <v>0.14759935461956519</v>
      </c>
      <c r="M31" s="390"/>
      <c r="N31" s="391"/>
      <c r="O31" s="391"/>
    </row>
    <row r="32" spans="1:15" ht="18">
      <c r="A32" s="382">
        <f t="shared" si="5"/>
        <v>46110</v>
      </c>
      <c r="B32" s="351">
        <v>8464560</v>
      </c>
      <c r="C32" s="351">
        <v>20625</v>
      </c>
      <c r="D32" s="369">
        <f t="shared" si="0"/>
        <v>2.4366299016133149E-3</v>
      </c>
      <c r="E32" s="352">
        <v>14168.28203459701</v>
      </c>
      <c r="F32" s="336">
        <f t="shared" si="1"/>
        <v>1.6738356198782937E-3</v>
      </c>
      <c r="G32" s="351">
        <v>1604.557</v>
      </c>
      <c r="H32" s="337">
        <f t="shared" si="2"/>
        <v>7.7796703030303033E-2</v>
      </c>
      <c r="I32" s="338">
        <v>1589.7087199999949</v>
      </c>
      <c r="J32" s="337">
        <v>0.10872850255450817</v>
      </c>
      <c r="K32" s="353">
        <v>3181.2449999999999</v>
      </c>
      <c r="L32" s="354">
        <f t="shared" si="4"/>
        <v>0.15424218181818181</v>
      </c>
      <c r="M32" s="390"/>
      <c r="N32" s="391"/>
      <c r="O32" s="391"/>
    </row>
    <row r="33" spans="1:15" ht="18">
      <c r="A33" s="382">
        <f t="shared" si="5"/>
        <v>46111</v>
      </c>
      <c r="B33" s="351">
        <v>8194736</v>
      </c>
      <c r="C33" s="351">
        <v>19856</v>
      </c>
      <c r="D33" s="369">
        <f t="shared" si="0"/>
        <v>2.4230188745555685E-3</v>
      </c>
      <c r="E33" s="352">
        <v>14783.951664764543</v>
      </c>
      <c r="F33" s="336">
        <f t="shared" si="1"/>
        <v>1.804079065483567E-3</v>
      </c>
      <c r="G33" s="351">
        <v>1672.7510000000002</v>
      </c>
      <c r="H33" s="337">
        <f t="shared" si="2"/>
        <v>8.4244107574536681E-2</v>
      </c>
      <c r="I33" s="338">
        <v>1560.1181000000033</v>
      </c>
      <c r="J33" s="337">
        <v>0.10872850255450817</v>
      </c>
      <c r="K33" s="353">
        <v>3777.7130000000002</v>
      </c>
      <c r="L33" s="354">
        <f t="shared" si="4"/>
        <v>0.19025548952457697</v>
      </c>
      <c r="M33" s="390"/>
      <c r="N33" s="391"/>
      <c r="O33" s="391"/>
    </row>
    <row r="34" spans="1:15" ht="18">
      <c r="A34" s="341">
        <f t="shared" si="5"/>
        <v>46112</v>
      </c>
      <c r="B34" s="351">
        <v>8528663</v>
      </c>
      <c r="C34" s="351">
        <v>20795</v>
      </c>
      <c r="D34" s="369">
        <f t="shared" si="0"/>
        <v>2.4382485273483079E-3</v>
      </c>
      <c r="E34" s="352">
        <v>14999.048720133604</v>
      </c>
      <c r="F34" s="336">
        <f t="shared" si="1"/>
        <v>1.7586635466934975E-3</v>
      </c>
      <c r="G34" s="351">
        <v>1692.7470000000001</v>
      </c>
      <c r="H34" s="337">
        <f t="shared" si="2"/>
        <v>8.140163500841549E-2</v>
      </c>
      <c r="I34" s="338">
        <v>1606.5815900000111</v>
      </c>
      <c r="J34" s="337">
        <v>0.10872850255450817</v>
      </c>
      <c r="K34" s="353">
        <v>2961.3630000000003</v>
      </c>
      <c r="L34" s="354">
        <f t="shared" si="4"/>
        <v>0.14240745371483532</v>
      </c>
      <c r="M34" s="390">
        <f>SUM(B34:B40)</f>
        <v>52952468</v>
      </c>
      <c r="N34" s="391">
        <f>SUM(C34:C40)</f>
        <v>129243</v>
      </c>
      <c r="O34" s="391">
        <f>SUM(E34:E40)</f>
        <v>95206.978576264592</v>
      </c>
    </row>
    <row r="35" spans="1:15" ht="18">
      <c r="A35" s="341">
        <f t="shared" si="5"/>
        <v>46113</v>
      </c>
      <c r="B35" s="351">
        <v>7706722</v>
      </c>
      <c r="C35" s="351">
        <v>18834</v>
      </c>
      <c r="D35" s="369">
        <f t="shared" si="0"/>
        <v>2.4438405848816137E-3</v>
      </c>
      <c r="E35" s="352">
        <v>13226.808161899937</v>
      </c>
      <c r="F35" s="336">
        <f t="shared" si="1"/>
        <v>1.7162690131939282E-3</v>
      </c>
      <c r="G35" s="351">
        <v>1627.7819999999999</v>
      </c>
      <c r="H35" s="337">
        <f t="shared" si="2"/>
        <v>8.6427843262185403E-2</v>
      </c>
      <c r="I35" s="338">
        <v>1477.3772300000021</v>
      </c>
      <c r="J35" s="337">
        <v>0.10872850255450817</v>
      </c>
      <c r="K35" s="353">
        <v>2827.2390000000005</v>
      </c>
      <c r="L35" s="354">
        <f t="shared" si="4"/>
        <v>0.15011357120101945</v>
      </c>
      <c r="M35" s="390"/>
      <c r="N35" s="391"/>
      <c r="O35" s="391"/>
    </row>
    <row r="36" spans="1:15" ht="18">
      <c r="A36" s="341">
        <f t="shared" si="5"/>
        <v>46114</v>
      </c>
      <c r="B36" s="351">
        <v>7008581</v>
      </c>
      <c r="C36" s="351">
        <v>16969</v>
      </c>
      <c r="D36" s="369">
        <f t="shared" si="0"/>
        <v>2.4211748426678668E-3</v>
      </c>
      <c r="E36" s="352">
        <v>14120.839738265822</v>
      </c>
      <c r="F36" s="336">
        <f t="shared" si="1"/>
        <v>2.0147929713968953E-3</v>
      </c>
      <c r="G36" s="351">
        <v>1636.9670000000001</v>
      </c>
      <c r="H36" s="337">
        <f t="shared" si="2"/>
        <v>9.6468088867935647E-2</v>
      </c>
      <c r="I36" s="338">
        <v>1606.8588500000085</v>
      </c>
      <c r="J36" s="337">
        <v>0.10872850255450817</v>
      </c>
      <c r="K36" s="353">
        <v>2311.7650000000008</v>
      </c>
      <c r="L36" s="354">
        <f t="shared" si="4"/>
        <v>0.13623460427839004</v>
      </c>
      <c r="M36" s="390"/>
      <c r="N36" s="391"/>
      <c r="O36" s="391"/>
    </row>
    <row r="37" spans="1:15" ht="18">
      <c r="A37" s="341">
        <f t="shared" si="5"/>
        <v>46115</v>
      </c>
      <c r="B37" s="351">
        <v>6828155</v>
      </c>
      <c r="C37" s="351">
        <v>16662</v>
      </c>
      <c r="D37" s="369">
        <f t="shared" si="0"/>
        <v>2.4401906517939327E-3</v>
      </c>
      <c r="E37" s="352">
        <v>13454.166739179895</v>
      </c>
      <c r="F37" s="336">
        <f t="shared" si="1"/>
        <v>1.9703956250524328E-3</v>
      </c>
      <c r="G37" s="351">
        <v>1565.8629999999998</v>
      </c>
      <c r="H37" s="337">
        <f t="shared" si="2"/>
        <v>9.3978093866282544E-2</v>
      </c>
      <c r="I37" s="338">
        <v>1598.0899899999931</v>
      </c>
      <c r="J37" s="337">
        <v>0.10872850255450817</v>
      </c>
      <c r="K37" s="353">
        <v>2983.7100000000009</v>
      </c>
      <c r="L37" s="354">
        <f t="shared" si="4"/>
        <v>0.17907274036730289</v>
      </c>
      <c r="M37" s="390"/>
      <c r="N37" s="391"/>
      <c r="O37" s="391"/>
    </row>
    <row r="38" spans="1:15" ht="18">
      <c r="A38" s="341">
        <f t="shared" si="5"/>
        <v>46116</v>
      </c>
      <c r="B38" s="351">
        <v>6946481</v>
      </c>
      <c r="C38" s="351">
        <v>17073</v>
      </c>
      <c r="D38" s="369">
        <f t="shared" si="0"/>
        <v>2.4577912183161516E-3</v>
      </c>
      <c r="E38" s="352">
        <v>12011.701619029729</v>
      </c>
      <c r="F38" s="336">
        <f t="shared" si="1"/>
        <v>1.7291779275045492E-3</v>
      </c>
      <c r="G38" s="351">
        <v>1456.0759999999998</v>
      </c>
      <c r="H38" s="337">
        <f t="shared" si="2"/>
        <v>8.5285304281614238E-2</v>
      </c>
      <c r="I38" s="338">
        <v>1524.4089300000028</v>
      </c>
      <c r="J38" s="337">
        <v>0.10872850255450817</v>
      </c>
      <c r="K38" s="353">
        <v>3407.9730000000004</v>
      </c>
      <c r="L38" s="354">
        <f t="shared" si="4"/>
        <v>0.19961184326128978</v>
      </c>
      <c r="M38" s="390"/>
      <c r="N38" s="391"/>
      <c r="O38" s="391"/>
    </row>
    <row r="39" spans="1:15" ht="18">
      <c r="A39" s="341">
        <f t="shared" si="5"/>
        <v>46117</v>
      </c>
      <c r="B39" s="351">
        <v>7261197</v>
      </c>
      <c r="C39" s="351">
        <v>17701</v>
      </c>
      <c r="D39" s="369">
        <f t="shared" si="0"/>
        <v>2.4377523430365545E-3</v>
      </c>
      <c r="E39" s="352">
        <v>12515.079403818056</v>
      </c>
      <c r="F39" s="336">
        <f t="shared" si="1"/>
        <v>1.7235559651966549E-3</v>
      </c>
      <c r="G39" s="351">
        <v>1547.3349999999998</v>
      </c>
      <c r="H39" s="337">
        <f t="shared" si="2"/>
        <v>8.7415117789955366E-2</v>
      </c>
      <c r="I39" s="338">
        <v>1447.5659076288605</v>
      </c>
      <c r="J39" s="337">
        <v>0.10872850255450817</v>
      </c>
      <c r="K39" s="353">
        <v>3341.183</v>
      </c>
      <c r="L39" s="354">
        <f t="shared" si="4"/>
        <v>0.18875673690751935</v>
      </c>
      <c r="M39" s="390"/>
      <c r="N39" s="391"/>
      <c r="O39" s="391"/>
    </row>
    <row r="40" spans="1:15" ht="18.5" thickBot="1">
      <c r="A40" s="341">
        <f t="shared" si="5"/>
        <v>46118</v>
      </c>
      <c r="B40" s="370">
        <v>8672669</v>
      </c>
      <c r="C40" s="370">
        <v>21209</v>
      </c>
      <c r="D40" s="371">
        <f t="shared" si="0"/>
        <v>2.4454986117883664E-3</v>
      </c>
      <c r="E40" s="372">
        <v>14879.334193937533</v>
      </c>
      <c r="F40" s="366">
        <f t="shared" si="1"/>
        <v>1.7156580279885619E-3</v>
      </c>
      <c r="G40" s="370">
        <v>1741.12</v>
      </c>
      <c r="H40" s="367">
        <f t="shared" si="2"/>
        <v>8.2093450893488615E-2</v>
      </c>
      <c r="I40" s="368">
        <v>1489.3787900000018</v>
      </c>
      <c r="J40" s="367">
        <v>0.10872850255450817</v>
      </c>
      <c r="K40" s="373">
        <v>2429.0050000000001</v>
      </c>
      <c r="L40" s="374">
        <f t="shared" si="4"/>
        <v>0.11452708755716913</v>
      </c>
      <c r="M40" s="390"/>
      <c r="N40" s="391"/>
      <c r="O40" s="391"/>
    </row>
    <row r="41" spans="1:15" ht="18">
      <c r="A41" s="341" t="s">
        <v>665</v>
      </c>
      <c r="B41" s="333">
        <f>AVERAGE(B4:B40)</f>
        <v>7596863.0540540544</v>
      </c>
      <c r="C41" s="333">
        <f>AVERAGE(C4:C40)</f>
        <v>18523.27027027027</v>
      </c>
      <c r="D41" s="334">
        <f t="shared" ref="D41:D42" si="6">C41/B41</f>
        <v>2.4382788183058474E-3</v>
      </c>
      <c r="E41" s="335">
        <f>AVERAGE(E4:E40)</f>
        <v>13939.742985618746</v>
      </c>
      <c r="F41" s="345">
        <f t="shared" ref="F41" si="7">E41/B41</f>
        <v>1.8349340887723155E-3</v>
      </c>
      <c r="G41" s="333">
        <f>AVERAGE(G4:G40)</f>
        <v>1560.1507567567567</v>
      </c>
      <c r="H41" s="346">
        <f t="shared" ref="H41:H42" si="8">G41/C41</f>
        <v>8.4226528792855151E-2</v>
      </c>
      <c r="I41" s="365">
        <f>AVERAGE(I4:I40)</f>
        <v>1562.978150746726</v>
      </c>
      <c r="J41" s="346">
        <f t="shared" ref="J41:J42" si="9">I41/E41</f>
        <v>0.11212388581046351</v>
      </c>
      <c r="K41" s="339">
        <f>AVERAGE(K4:K40)</f>
        <v>2981.1705135135139</v>
      </c>
      <c r="L41" s="340">
        <f t="shared" ref="L41:L42" si="10">K41/C41</f>
        <v>0.16094191090534771</v>
      </c>
      <c r="M41" s="392"/>
      <c r="N41" s="393"/>
      <c r="O41" s="393"/>
    </row>
    <row r="42" spans="1:15" ht="18">
      <c r="A42" s="341" t="s">
        <v>666</v>
      </c>
      <c r="B42" s="333">
        <f>SUM(B4:B40)</f>
        <v>281083933</v>
      </c>
      <c r="C42" s="333">
        <f>SUM(C4:C40)</f>
        <v>685361</v>
      </c>
      <c r="D42" s="334">
        <f t="shared" si="6"/>
        <v>2.4382788183058474E-3</v>
      </c>
      <c r="E42" s="333">
        <f>SUM(E4:E40)</f>
        <v>515770.4904678936</v>
      </c>
      <c r="F42" s="345">
        <f>E42/B42</f>
        <v>1.8349340887723155E-3</v>
      </c>
      <c r="G42" s="333">
        <f>SUM(G4:G40)</f>
        <v>57725.577999999994</v>
      </c>
      <c r="H42" s="346">
        <f t="shared" si="8"/>
        <v>8.4226528792855138E-2</v>
      </c>
      <c r="I42" s="333">
        <f>SUM(I4:I40)</f>
        <v>57830.191577628859</v>
      </c>
      <c r="J42" s="346">
        <f t="shared" si="9"/>
        <v>0.11212388581046351</v>
      </c>
      <c r="K42" s="333">
        <f>SUM(K4:K40)</f>
        <v>110303.30900000002</v>
      </c>
      <c r="L42" s="340">
        <f t="shared" si="10"/>
        <v>0.16094191090534773</v>
      </c>
      <c r="M42" s="340"/>
      <c r="N42" s="344"/>
      <c r="O42" s="344"/>
    </row>
    <row r="43" spans="1:15" ht="18">
      <c r="A43" s="347"/>
      <c r="B43" s="347"/>
      <c r="C43" s="347"/>
      <c r="D43" s="347"/>
      <c r="E43" s="347"/>
      <c r="F43" s="347"/>
      <c r="G43" s="347"/>
      <c r="H43" s="347"/>
      <c r="I43" s="347"/>
      <c r="J43" s="347"/>
      <c r="K43" s="347"/>
      <c r="L43" s="347"/>
      <c r="M43" s="347"/>
    </row>
    <row r="44" spans="1:15" ht="18">
      <c r="A44" s="347"/>
      <c r="B44" s="347"/>
      <c r="C44" s="347"/>
      <c r="D44" s="347"/>
      <c r="E44" s="347"/>
      <c r="F44" s="347"/>
      <c r="G44" s="347"/>
      <c r="H44" s="347"/>
      <c r="I44" s="347"/>
      <c r="J44" s="347"/>
      <c r="K44" s="347"/>
      <c r="L44" s="347"/>
      <c r="M44" s="347"/>
    </row>
    <row r="45" spans="1:15" ht="18">
      <c r="A45" s="347"/>
      <c r="B45" s="347"/>
      <c r="C45" s="347"/>
      <c r="D45" s="347"/>
      <c r="E45" s="347"/>
      <c r="F45" s="347"/>
      <c r="G45" s="347"/>
      <c r="H45" s="347"/>
      <c r="I45" s="347"/>
      <c r="J45" s="347"/>
      <c r="K45" s="347"/>
      <c r="L45" s="347"/>
      <c r="M45" s="347"/>
    </row>
    <row r="46" spans="1:15" ht="18">
      <c r="A46" s="347"/>
      <c r="B46" s="347"/>
      <c r="C46" s="347"/>
      <c r="D46" s="347"/>
      <c r="E46" s="347"/>
      <c r="F46" s="347"/>
      <c r="G46" s="347"/>
      <c r="H46" s="347"/>
      <c r="I46" s="347"/>
      <c r="J46" s="347"/>
      <c r="K46" s="347"/>
      <c r="L46" s="347"/>
      <c r="M46" s="347"/>
    </row>
    <row r="47" spans="1:15" ht="18">
      <c r="A47" s="347"/>
      <c r="B47" s="347"/>
      <c r="C47" s="347"/>
      <c r="D47" s="347"/>
      <c r="E47" s="347"/>
      <c r="F47" s="347"/>
      <c r="G47" s="347"/>
      <c r="H47" s="347"/>
      <c r="I47" s="347"/>
      <c r="J47" s="347"/>
      <c r="K47" s="347"/>
      <c r="L47" s="347"/>
      <c r="M47" s="347"/>
    </row>
    <row r="48" spans="1:15" ht="18">
      <c r="A48" s="347"/>
      <c r="B48" s="347"/>
      <c r="C48" s="347"/>
      <c r="D48" s="347"/>
      <c r="E48" s="347"/>
      <c r="F48" s="347"/>
      <c r="G48" s="347"/>
      <c r="H48" s="347"/>
      <c r="I48" s="347"/>
      <c r="J48" s="347"/>
      <c r="K48" s="347"/>
      <c r="L48" s="347"/>
      <c r="M48" s="347"/>
    </row>
    <row r="49" spans="1:13" ht="18">
      <c r="A49" s="347"/>
      <c r="B49" s="347"/>
      <c r="C49" s="347"/>
      <c r="D49" s="347"/>
      <c r="E49" s="347"/>
      <c r="F49" s="347"/>
      <c r="G49" s="347"/>
      <c r="H49" s="347"/>
      <c r="I49" s="347"/>
      <c r="J49" s="347"/>
      <c r="K49" s="347"/>
      <c r="L49" s="347"/>
      <c r="M49" s="347"/>
    </row>
    <row r="50" spans="1:13" ht="18">
      <c r="A50" s="347"/>
      <c r="B50" s="347"/>
      <c r="C50" s="347"/>
      <c r="D50" s="347"/>
      <c r="E50" s="347"/>
      <c r="F50" s="347"/>
      <c r="G50" s="347"/>
      <c r="H50" s="347"/>
      <c r="I50" s="347"/>
      <c r="J50" s="347"/>
      <c r="K50" s="347"/>
      <c r="L50" s="347"/>
      <c r="M50" s="347"/>
    </row>
    <row r="51" spans="1:13" ht="18">
      <c r="A51" s="347"/>
      <c r="B51" s="347"/>
      <c r="C51" s="347"/>
      <c r="D51" s="347"/>
      <c r="E51" s="347"/>
      <c r="F51" s="347"/>
      <c r="G51" s="347"/>
      <c r="H51" s="347"/>
      <c r="I51" s="347"/>
      <c r="J51" s="347"/>
      <c r="K51" s="347"/>
      <c r="L51" s="347"/>
      <c r="M51" s="347"/>
    </row>
    <row r="52" spans="1:13" ht="18">
      <c r="A52" s="347"/>
      <c r="B52" s="347"/>
      <c r="C52" s="347"/>
      <c r="D52" s="347"/>
      <c r="E52" s="347"/>
      <c r="F52" s="347"/>
      <c r="G52" s="347"/>
      <c r="H52" s="347"/>
      <c r="I52" s="347"/>
      <c r="J52" s="347"/>
      <c r="K52" s="347"/>
      <c r="L52" s="347"/>
      <c r="M52" s="347"/>
    </row>
    <row r="53" spans="1:13" ht="18">
      <c r="A53" s="347"/>
      <c r="B53" s="347"/>
      <c r="C53" s="347"/>
      <c r="D53" s="347"/>
      <c r="E53" s="347"/>
      <c r="F53" s="347"/>
      <c r="G53" s="347"/>
      <c r="H53" s="347"/>
      <c r="I53" s="347"/>
      <c r="J53" s="347"/>
      <c r="K53" s="347"/>
      <c r="L53" s="347"/>
      <c r="M53" s="347"/>
    </row>
    <row r="54" spans="1:13" ht="18">
      <c r="A54" s="347"/>
      <c r="B54" s="347"/>
      <c r="C54" s="347"/>
      <c r="D54" s="347"/>
      <c r="E54" s="347"/>
      <c r="F54" s="347"/>
      <c r="G54" s="347"/>
      <c r="H54" s="347"/>
      <c r="I54" s="347"/>
      <c r="J54" s="347"/>
      <c r="K54" s="347"/>
      <c r="L54" s="347"/>
      <c r="M54" s="347"/>
    </row>
    <row r="55" spans="1:13" ht="18">
      <c r="A55" s="347"/>
      <c r="B55" s="347"/>
      <c r="C55" s="347"/>
      <c r="D55" s="347"/>
      <c r="E55" s="347"/>
      <c r="F55" s="347"/>
      <c r="G55" s="347"/>
      <c r="H55" s="347"/>
      <c r="I55" s="347"/>
      <c r="J55" s="347"/>
      <c r="K55" s="347"/>
      <c r="L55" s="347"/>
      <c r="M55" s="347"/>
    </row>
    <row r="56" spans="1:13" ht="18">
      <c r="A56" s="347"/>
      <c r="B56" s="347"/>
      <c r="C56" s="347"/>
      <c r="D56" s="347"/>
      <c r="E56" s="347"/>
      <c r="F56" s="347"/>
      <c r="G56" s="347"/>
      <c r="H56" s="347"/>
      <c r="I56" s="347"/>
      <c r="J56" s="347"/>
      <c r="K56" s="347"/>
      <c r="L56" s="347"/>
      <c r="M56" s="347"/>
    </row>
    <row r="57" spans="1:13" ht="18">
      <c r="A57" s="347"/>
      <c r="B57" s="347"/>
      <c r="C57" s="347"/>
      <c r="D57" s="347"/>
      <c r="E57" s="347"/>
      <c r="F57" s="347"/>
      <c r="G57" s="347"/>
      <c r="H57" s="347"/>
      <c r="I57" s="347"/>
      <c r="J57" s="347"/>
      <c r="K57" s="347"/>
      <c r="L57" s="347"/>
      <c r="M57" s="347"/>
    </row>
    <row r="58" spans="1:13" ht="18">
      <c r="A58" s="347"/>
      <c r="B58" s="347"/>
      <c r="C58" s="347"/>
      <c r="D58" s="347"/>
      <c r="E58" s="347"/>
      <c r="F58" s="347"/>
      <c r="G58" s="347"/>
      <c r="H58" s="347"/>
      <c r="I58" s="347"/>
      <c r="J58" s="347"/>
      <c r="K58" s="347"/>
      <c r="L58" s="347"/>
      <c r="M58" s="347"/>
    </row>
    <row r="59" spans="1:13" ht="18">
      <c r="A59" s="347"/>
      <c r="B59" s="347"/>
      <c r="C59" s="347"/>
      <c r="D59" s="347"/>
      <c r="E59" s="347"/>
      <c r="F59" s="347"/>
      <c r="G59" s="347"/>
      <c r="H59" s="347"/>
      <c r="I59" s="347"/>
      <c r="J59" s="347"/>
      <c r="K59" s="347"/>
      <c r="L59" s="347"/>
      <c r="M59" s="347"/>
    </row>
    <row r="60" spans="1:13" ht="18">
      <c r="A60" s="347"/>
      <c r="B60" s="347"/>
      <c r="C60" s="347"/>
      <c r="D60" s="347"/>
      <c r="E60" s="347"/>
      <c r="F60" s="347"/>
      <c r="G60" s="347"/>
      <c r="H60" s="347"/>
      <c r="I60" s="347"/>
      <c r="J60" s="347"/>
      <c r="K60" s="347"/>
      <c r="L60" s="347"/>
      <c r="M60" s="347"/>
    </row>
    <row r="61" spans="1:13" ht="18">
      <c r="A61" s="347"/>
      <c r="B61" s="347"/>
      <c r="C61" s="347"/>
      <c r="D61" s="347"/>
      <c r="E61" s="347"/>
      <c r="F61" s="347"/>
      <c r="G61" s="347"/>
      <c r="H61" s="347"/>
      <c r="I61" s="347"/>
      <c r="J61" s="347"/>
      <c r="K61" s="347"/>
      <c r="L61" s="347"/>
      <c r="M61" s="347"/>
    </row>
    <row r="62" spans="1:13" ht="18">
      <c r="A62" s="347"/>
      <c r="B62" s="347"/>
      <c r="C62" s="347"/>
      <c r="D62" s="347"/>
      <c r="E62" s="347"/>
      <c r="F62" s="347"/>
      <c r="G62" s="347"/>
      <c r="H62" s="347"/>
      <c r="I62" s="347"/>
      <c r="J62" s="347"/>
      <c r="K62" s="347"/>
      <c r="L62" s="347"/>
      <c r="M62" s="347"/>
    </row>
    <row r="63" spans="1:13" ht="18">
      <c r="A63" s="347"/>
      <c r="B63" s="347"/>
      <c r="C63" s="347"/>
      <c r="D63" s="347"/>
      <c r="E63" s="347"/>
      <c r="F63" s="347"/>
      <c r="G63" s="347"/>
      <c r="H63" s="347"/>
      <c r="I63" s="347"/>
      <c r="J63" s="347"/>
      <c r="K63" s="347"/>
      <c r="L63" s="347"/>
      <c r="M63" s="347"/>
    </row>
    <row r="64" spans="1:13" ht="18">
      <c r="A64" s="347"/>
      <c r="B64" s="347"/>
      <c r="C64" s="347"/>
      <c r="D64" s="347"/>
      <c r="E64" s="347"/>
      <c r="F64" s="347"/>
      <c r="G64" s="347"/>
      <c r="H64" s="347"/>
      <c r="I64" s="347"/>
      <c r="J64" s="347"/>
      <c r="K64" s="347"/>
      <c r="L64" s="347"/>
      <c r="M64" s="347"/>
    </row>
    <row r="65" spans="1:13" ht="18">
      <c r="A65" s="347"/>
      <c r="B65" s="347"/>
      <c r="C65" s="347"/>
      <c r="D65" s="347"/>
      <c r="E65" s="347"/>
      <c r="F65" s="347"/>
      <c r="G65" s="347"/>
      <c r="H65" s="347"/>
      <c r="I65" s="347"/>
      <c r="J65" s="347"/>
      <c r="K65" s="347"/>
      <c r="L65" s="347"/>
      <c r="M65" s="347"/>
    </row>
    <row r="66" spans="1:13" ht="18">
      <c r="A66" s="347"/>
      <c r="B66" s="347"/>
      <c r="C66" s="347"/>
      <c r="D66" s="347"/>
      <c r="E66" s="347"/>
      <c r="F66" s="347"/>
      <c r="G66" s="347"/>
      <c r="H66" s="347"/>
      <c r="I66" s="347"/>
      <c r="J66" s="347"/>
      <c r="K66" s="347"/>
      <c r="L66" s="347"/>
      <c r="M66" s="347"/>
    </row>
    <row r="67" spans="1:13" ht="18">
      <c r="A67" s="347"/>
      <c r="B67" s="347"/>
      <c r="C67" s="347"/>
      <c r="D67" s="347"/>
      <c r="E67" s="347"/>
      <c r="F67" s="347"/>
      <c r="G67" s="347"/>
      <c r="H67" s="347"/>
      <c r="I67" s="347"/>
      <c r="J67" s="347"/>
      <c r="K67" s="347"/>
      <c r="L67" s="347"/>
      <c r="M67" s="347"/>
    </row>
    <row r="68" spans="1:13" ht="18">
      <c r="A68" s="347"/>
      <c r="B68" s="347"/>
      <c r="C68" s="347"/>
      <c r="D68" s="347"/>
      <c r="E68" s="347"/>
      <c r="F68" s="347"/>
      <c r="G68" s="347"/>
      <c r="H68" s="347"/>
      <c r="I68" s="347"/>
      <c r="J68" s="347"/>
      <c r="K68" s="347"/>
      <c r="L68" s="347"/>
      <c r="M68" s="347"/>
    </row>
    <row r="69" spans="1:13" ht="18">
      <c r="A69" s="347"/>
      <c r="B69" s="347"/>
      <c r="C69" s="347"/>
      <c r="D69" s="347"/>
      <c r="E69" s="347"/>
      <c r="F69" s="347"/>
      <c r="G69" s="347"/>
      <c r="H69" s="347"/>
      <c r="I69" s="347"/>
      <c r="J69" s="347"/>
      <c r="K69" s="347"/>
      <c r="L69" s="347"/>
      <c r="M69" s="347"/>
    </row>
    <row r="70" spans="1:13" ht="18">
      <c r="A70" s="347"/>
      <c r="B70" s="347"/>
      <c r="C70" s="347"/>
      <c r="D70" s="347"/>
      <c r="E70" s="347"/>
      <c r="F70" s="347"/>
      <c r="G70" s="347"/>
      <c r="H70" s="347"/>
      <c r="I70" s="347"/>
      <c r="J70" s="347"/>
      <c r="K70" s="347"/>
      <c r="L70" s="347"/>
      <c r="M70" s="347"/>
    </row>
  </sheetData>
  <mergeCells count="11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D4:D42">
    <cfRule type="cellIs" dxfId="4" priority="4" operator="greaterThan">
      <formula>0.0025</formula>
    </cfRule>
  </conditionalFormatting>
  <conditionalFormatting sqref="H4:H42">
    <cfRule type="cellIs" dxfId="3" priority="3" operator="greaterThan">
      <formula>0.16</formula>
    </cfRule>
  </conditionalFormatting>
  <conditionalFormatting sqref="J4:J42">
    <cfRule type="cellIs" dxfId="2" priority="2" operator="greaterThan">
      <formula>0.16</formula>
    </cfRule>
  </conditionalFormatting>
  <conditionalFormatting sqref="L4:L41">
    <cfRule type="cellIs" dxfId="1" priority="1" operator="greaterThan">
      <formula>0.15</formula>
    </cfRule>
  </conditionalFormatting>
  <conditionalFormatting sqref="L42:M42">
    <cfRule type="cellIs" dxfId="0" priority="169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265625" defaultRowHeight="14"/>
  <cols>
    <col min="1" max="2" width="8.7265625" style="187"/>
    <col min="3" max="3" width="14" style="187" bestFit="1" customWidth="1"/>
    <col min="4" max="4" width="0.26953125" style="187" customWidth="1"/>
    <col min="5" max="5" width="8.7265625" style="187"/>
    <col min="6" max="6" width="16.26953125" style="187" bestFit="1" customWidth="1"/>
    <col min="7" max="16384" width="8.7265625" style="187"/>
  </cols>
  <sheetData>
    <row r="2" spans="2:7" ht="15.5">
      <c r="B2" s="725" t="s">
        <v>252</v>
      </c>
      <c r="C2" s="725"/>
      <c r="D2" s="725"/>
      <c r="E2" s="725"/>
      <c r="F2" s="725"/>
    </row>
    <row r="3" spans="2:7" ht="14.5">
      <c r="B3" s="188" t="s">
        <v>253</v>
      </c>
      <c r="C3" s="188" t="s">
        <v>254</v>
      </c>
      <c r="D3" s="189"/>
      <c r="E3" s="188" t="s">
        <v>255</v>
      </c>
      <c r="F3" s="188" t="s">
        <v>256</v>
      </c>
      <c r="G3" s="189"/>
    </row>
    <row r="4" spans="2:7" ht="14.5">
      <c r="B4" s="190" t="s">
        <v>257</v>
      </c>
      <c r="C4" s="190" t="s">
        <v>258</v>
      </c>
      <c r="D4" s="189"/>
      <c r="E4" s="190" t="s">
        <v>259</v>
      </c>
      <c r="F4" s="190" t="s">
        <v>260</v>
      </c>
      <c r="G4" s="189"/>
    </row>
    <row r="5" spans="2:7" ht="14.5">
      <c r="B5" s="190" t="s">
        <v>261</v>
      </c>
      <c r="C5" s="190" t="s">
        <v>262</v>
      </c>
      <c r="D5" s="189"/>
      <c r="E5" s="190" t="s">
        <v>263</v>
      </c>
      <c r="F5" s="190" t="s">
        <v>264</v>
      </c>
      <c r="G5" s="189"/>
    </row>
    <row r="6" spans="2:7" ht="14.5">
      <c r="B6" s="190" t="s">
        <v>265</v>
      </c>
      <c r="C6" s="190" t="s">
        <v>266</v>
      </c>
      <c r="D6" s="189"/>
      <c r="E6" s="191" t="s">
        <v>267</v>
      </c>
      <c r="F6" s="191" t="s">
        <v>136</v>
      </c>
      <c r="G6" s="189"/>
    </row>
    <row r="7" spans="2:7" ht="14.5">
      <c r="B7" s="191" t="s">
        <v>268</v>
      </c>
      <c r="C7" s="191" t="s">
        <v>269</v>
      </c>
      <c r="D7" s="189"/>
      <c r="E7" s="190" t="s">
        <v>270</v>
      </c>
      <c r="F7" s="190" t="s">
        <v>271</v>
      </c>
      <c r="G7" s="189"/>
    </row>
    <row r="8" spans="2:7" ht="14.5">
      <c r="B8" s="190" t="s">
        <v>272</v>
      </c>
      <c r="C8" s="190" t="s">
        <v>273</v>
      </c>
      <c r="D8" s="189"/>
      <c r="E8" s="190" t="s">
        <v>274</v>
      </c>
      <c r="F8" s="190" t="s">
        <v>275</v>
      </c>
      <c r="G8" s="189"/>
    </row>
    <row r="9" spans="2:7" ht="14.5">
      <c r="B9" s="190" t="s">
        <v>276</v>
      </c>
      <c r="C9" s="190" t="s">
        <v>277</v>
      </c>
      <c r="D9" s="189"/>
      <c r="E9" s="191" t="s">
        <v>278</v>
      </c>
      <c r="F9" s="191" t="s">
        <v>135</v>
      </c>
      <c r="G9" s="189"/>
    </row>
    <row r="10" spans="2:7" ht="14.5">
      <c r="B10" s="190" t="s">
        <v>279</v>
      </c>
      <c r="C10" s="190" t="s">
        <v>280</v>
      </c>
      <c r="D10" s="189"/>
      <c r="E10" s="190" t="s">
        <v>281</v>
      </c>
      <c r="F10" s="190" t="s">
        <v>282</v>
      </c>
      <c r="G10" s="189"/>
    </row>
    <row r="11" spans="2:7" ht="14.5">
      <c r="B11" s="190" t="s">
        <v>283</v>
      </c>
      <c r="C11" s="190" t="s">
        <v>284</v>
      </c>
      <c r="D11" s="189"/>
      <c r="E11" s="190" t="s">
        <v>285</v>
      </c>
      <c r="F11" s="190" t="s">
        <v>275</v>
      </c>
      <c r="G11" s="189"/>
    </row>
    <row r="12" spans="2:7" ht="14.5">
      <c r="B12" s="190" t="s">
        <v>286</v>
      </c>
      <c r="C12" s="190" t="s">
        <v>287</v>
      </c>
      <c r="D12" s="189"/>
      <c r="E12" s="190" t="s">
        <v>288</v>
      </c>
      <c r="F12" s="190" t="s">
        <v>289</v>
      </c>
      <c r="G12" s="189"/>
    </row>
    <row r="13" spans="2:7" ht="14.5">
      <c r="B13" s="191" t="s">
        <v>290</v>
      </c>
      <c r="C13" s="191" t="s">
        <v>131</v>
      </c>
      <c r="D13" s="189"/>
      <c r="E13" s="190" t="s">
        <v>291</v>
      </c>
      <c r="F13" s="190" t="s">
        <v>292</v>
      </c>
      <c r="G13" s="189"/>
    </row>
    <row r="14" spans="2:7" ht="14.5">
      <c r="B14" s="190" t="s">
        <v>293</v>
      </c>
      <c r="C14" s="190" t="s">
        <v>294</v>
      </c>
      <c r="D14" s="189"/>
      <c r="E14" s="191" t="s">
        <v>295</v>
      </c>
      <c r="F14" s="191" t="s">
        <v>296</v>
      </c>
      <c r="G14" s="189"/>
    </row>
    <row r="15" spans="2:7" ht="14.5">
      <c r="B15" s="191" t="s">
        <v>297</v>
      </c>
      <c r="C15" s="191" t="s">
        <v>298</v>
      </c>
      <c r="D15" s="189"/>
      <c r="E15" s="190" t="s">
        <v>299</v>
      </c>
      <c r="F15" s="190" t="s">
        <v>296</v>
      </c>
      <c r="G15" s="189"/>
    </row>
    <row r="16" spans="2:7" ht="14.5">
      <c r="B16" s="190" t="s">
        <v>300</v>
      </c>
      <c r="C16" s="190" t="s">
        <v>301</v>
      </c>
      <c r="D16" s="189"/>
      <c r="E16" s="191" t="s">
        <v>302</v>
      </c>
      <c r="F16" s="191" t="s">
        <v>303</v>
      </c>
      <c r="G16" s="189"/>
    </row>
    <row r="17" spans="2:7" ht="14.5">
      <c r="B17" s="190" t="s">
        <v>304</v>
      </c>
      <c r="C17" s="190" t="s">
        <v>305</v>
      </c>
      <c r="D17" s="189"/>
      <c r="E17" s="190" t="s">
        <v>306</v>
      </c>
      <c r="F17" s="190" t="s">
        <v>307</v>
      </c>
      <c r="G17" s="189"/>
    </row>
    <row r="18" spans="2:7" ht="14.5">
      <c r="B18" s="190" t="s">
        <v>308</v>
      </c>
      <c r="C18" s="190" t="s">
        <v>309</v>
      </c>
      <c r="D18" s="189"/>
      <c r="E18" s="190" t="s">
        <v>310</v>
      </c>
      <c r="F18" s="190" t="s">
        <v>311</v>
      </c>
      <c r="G18" s="189"/>
    </row>
    <row r="19" spans="2:7" ht="14.5">
      <c r="B19" s="190" t="s">
        <v>312</v>
      </c>
      <c r="C19" s="190" t="s">
        <v>313</v>
      </c>
      <c r="D19" s="189"/>
      <c r="E19" s="190" t="s">
        <v>314</v>
      </c>
      <c r="F19" s="190" t="s">
        <v>315</v>
      </c>
      <c r="G19" s="189"/>
    </row>
    <row r="20" spans="2:7" ht="14.5">
      <c r="B20" s="190" t="s">
        <v>316</v>
      </c>
      <c r="C20" s="190" t="s">
        <v>317</v>
      </c>
      <c r="D20" s="189"/>
      <c r="G20" s="189"/>
    </row>
    <row r="21" spans="2:7" ht="14.5">
      <c r="D21" s="189"/>
      <c r="G21" s="189"/>
    </row>
    <row r="22" spans="2:7" ht="14.5">
      <c r="D22" s="189"/>
      <c r="G22" s="189"/>
    </row>
    <row r="23" spans="2:7" ht="14.5">
      <c r="D23" s="189"/>
      <c r="G23" s="189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具名範圍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林奕德</cp:lastModifiedBy>
  <cp:lastPrinted>2025-07-28T04:42:39Z</cp:lastPrinted>
  <dcterms:created xsi:type="dcterms:W3CDTF">2025-07-03T16:36:59Z</dcterms:created>
  <dcterms:modified xsi:type="dcterms:W3CDTF">2026-04-09T10:05:19Z</dcterms:modified>
</cp:coreProperties>
</file>