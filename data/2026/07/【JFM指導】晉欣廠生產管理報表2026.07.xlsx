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\\J-server\廠務部\&amp;&amp;報告&amp;&amp;\★☆廠務週報☆★\"/>
    </mc:Choice>
  </mc:AlternateContent>
  <xr:revisionPtr revIDLastSave="0" documentId="13_ncr:1_{71202A16-2271-4C9D-B55D-50EC21BAE883}" xr6:coauthVersionLast="47" xr6:coauthVersionMax="47" xr10:uidLastSave="{00000000-0000-0000-0000-000000000000}"/>
  <bookViews>
    <workbookView xWindow="-120" yWindow="-120" windowWidth="29040" windowHeight="15840" tabRatio="935" firstSheet="1" activeTab="31" xr2:uid="{00000000-000D-0000-FFFF-FFFF00000000}"/>
  </bookViews>
  <sheets>
    <sheet name="填寫舉例" sheetId="1" state="hidden" r:id="rId1"/>
    <sheet name="生產管理報表(月)" sheetId="13" r:id="rId2"/>
    <sheet name="生產管理報表(週) " sheetId="39" state="hidden" r:id="rId3"/>
    <sheet name="每月數值累積總表" sheetId="49" r:id="rId4"/>
    <sheet name="（１）收支狀況" sheetId="3" r:id="rId5"/>
    <sheet name="（２）ＫＰＩ達成進度" sheetId="5" r:id="rId6"/>
    <sheet name="（３）業績構成比" sheetId="7" r:id="rId7"/>
    <sheet name="（４）訂單數量構成比" sheetId="6" r:id="rId8"/>
    <sheet name="（５-1）品群別人時生產性（18℃-飯糰）" sheetId="8" r:id="rId9"/>
    <sheet name="（５-2）品群別人時生產性（18-壽司手卷)" sheetId="30" r:id="rId10"/>
    <sheet name="（５-3）品群別人時生產性（4℃-飯糰)" sheetId="32" r:id="rId11"/>
    <sheet name="（５-4）品群別人時生產性（4℃-壽司手卷)" sheetId="31" r:id="rId12"/>
    <sheet name="（５-5）品群別人時生產性(主食) " sheetId="33" r:id="rId13"/>
    <sheet name="（５-6）品群別人時生產性(便當)" sheetId="34" r:id="rId14"/>
    <sheet name="（５-7）品群別人時生產性(熱食義麵) " sheetId="35" r:id="rId15"/>
    <sheet name="（５-8）品群別人時生產性(季節調理麵) " sheetId="36" r:id="rId16"/>
    <sheet name="（５-9）品群別人時生產性(微波小吃)" sheetId="37" r:id="rId17"/>
    <sheet name="生產管理報表 6-1" sheetId="15" r:id="rId18"/>
    <sheet name="生產管理報表 6-2" sheetId="22" r:id="rId19"/>
    <sheet name="生產管理報表 6-3" sheetId="23" r:id="rId20"/>
    <sheet name="生產管理報表 6-4" sheetId="24" r:id="rId21"/>
    <sheet name="生產管理報表 6-5" sheetId="25" r:id="rId22"/>
    <sheet name="生產管理報表 7-1(月)" sheetId="40" state="hidden" r:id="rId23"/>
    <sheet name="生產管理報表 7-1 (週)" sheetId="41" r:id="rId24"/>
    <sheet name="生產管理報表 8-1(報廢)" sheetId="19" r:id="rId25"/>
    <sheet name="生產管理報表 8-2(報廢)" sheetId="20" r:id="rId26"/>
    <sheet name="生產管理報表 8-3(超用)" sheetId="44" r:id="rId27"/>
    <sheet name="生產管理報表 8-4(超用)" sheetId="45" r:id="rId28"/>
    <sheet name="生產管理報表 9" sheetId="21" r:id="rId29"/>
    <sheet name="報廢20大－原因別分析" sheetId="46" r:id="rId30"/>
    <sheet name="超用20大－原因別分析" sheetId="47" r:id="rId31"/>
    <sheet name="日別報廢率總表  " sheetId="48" r:id="rId32"/>
    <sheet name="鮮食品群番" sheetId="38" state="hidden" r:id="rId33"/>
  </sheets>
  <definedNames>
    <definedName name="_xlnm._FilterDatabase" localSheetId="8" hidden="1">'（５-1）品群別人時生產性（18℃-飯糰）'!#REF!</definedName>
    <definedName name="_xlnm._FilterDatabase" localSheetId="9" hidden="1">'（５-2）品群別人時生產性（18-壽司手卷)'!#REF!</definedName>
    <definedName name="_xlnm._FilterDatabase" localSheetId="10" hidden="1">'（５-3）品群別人時生產性（4℃-飯糰)'!#REF!</definedName>
    <definedName name="_xlnm._FilterDatabase" localSheetId="11" hidden="1">'（５-4）品群別人時生產性（4℃-壽司手卷)'!#REF!</definedName>
    <definedName name="_xlnm._FilterDatabase" localSheetId="12" hidden="1">'（５-5）品群別人時生產性(主食) '!#REF!</definedName>
    <definedName name="_xlnm._FilterDatabase" localSheetId="13" hidden="1">'（５-6）品群別人時生產性(便當)'!#REF!</definedName>
    <definedName name="_xlnm._FilterDatabase" localSheetId="14" hidden="1">'（５-7）品群別人時生產性(熱食義麵) '!#REF!</definedName>
    <definedName name="_xlnm._FilterDatabase" localSheetId="15" hidden="1">'（５-8）品群別人時生產性(季節調理麵) '!#REF!</definedName>
    <definedName name="_xlnm._FilterDatabase" localSheetId="16" hidden="1">'（５-9）品群別人時生產性(微波小吃)'!#REF!</definedName>
    <definedName name="_xlnm._FilterDatabase" localSheetId="26" hidden="1">'生產管理報表 8-3(超用)'!$R$24:$W$28</definedName>
    <definedName name="_xlnm._FilterDatabase" localSheetId="27" hidden="1">'生產管理報表 8-4(超用)'!$R$24:$W$29</definedName>
    <definedName name="_xlnm._FilterDatabase" localSheetId="29" hidden="1">'報廢20大－原因別分析'!$U$7:$U$26</definedName>
    <definedName name="_xlnm._FilterDatabase" localSheetId="30" hidden="1">'超用20大－原因別分析'!$U$7:$U$26</definedName>
    <definedName name="_xlnm.Print_Area" localSheetId="17">'生產管理報表 6-1'!$A$1:$L$35</definedName>
    <definedName name="_xlnm.Print_Area" localSheetId="18">'生產管理報表 6-2'!$A$1:$L$35</definedName>
    <definedName name="_xlnm.Print_Area" localSheetId="19">'生產管理報表 6-3'!$A$1:$L$35</definedName>
    <definedName name="_xlnm.Print_Area" localSheetId="20">'生產管理報表 6-4'!$A$1:$L$35</definedName>
    <definedName name="_xlnm.Print_Area" localSheetId="21">'生產管理報表 6-5'!$A$1:$L$35</definedName>
    <definedName name="_xlnm.Print_Area" localSheetId="23">'生產管理報表 7-1 (週)'!$A$1:$M$2</definedName>
    <definedName name="_xlnm.Print_Area" localSheetId="22">'生產管理報表 7-1(月)'!$A$1:$M$15</definedName>
    <definedName name="_xlnm.Print_Area" localSheetId="26">'生產管理報表 8-3(超用)'!$A$1:$Q$30</definedName>
    <definedName name="_xlnm.Print_Area" localSheetId="27">'生產管理報表 8-4(超用)'!$A$1:$Q$38</definedName>
    <definedName name="_xlnm.Print_Area" localSheetId="28">'生產管理報表 9'!#REF!</definedName>
    <definedName name="_xlnm.Print_Area" localSheetId="1">'生產管理報表(月)'!$A$1:$K$36</definedName>
    <definedName name="_xlnm.Print_Area" localSheetId="2">'生產管理報表(週) '!$A$1:$K$36</definedName>
    <definedName name="_xlnm.Print_Area" localSheetId="32">鮮食品群番!$B$2:$F$20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0" i="48" l="1"/>
  <c r="I39" i="5"/>
  <c r="B8" i="25" l="1"/>
  <c r="A8" i="25"/>
  <c r="S101" i="37"/>
  <c r="S100" i="37"/>
  <c r="S99" i="37"/>
  <c r="S98" i="37"/>
  <c r="S97" i="37"/>
  <c r="S96" i="37"/>
  <c r="S95" i="37"/>
  <c r="S94" i="37"/>
  <c r="S93" i="37"/>
  <c r="S92" i="37"/>
  <c r="S91" i="37"/>
  <c r="S90" i="37"/>
  <c r="S89" i="37"/>
  <c r="S88" i="37"/>
  <c r="T87" i="37"/>
  <c r="S87" i="37"/>
  <c r="X101" i="37"/>
  <c r="X100" i="37"/>
  <c r="X99" i="37"/>
  <c r="X98" i="37"/>
  <c r="X97" i="37"/>
  <c r="X96" i="37"/>
  <c r="X95" i="37"/>
  <c r="X94" i="37"/>
  <c r="X93" i="37"/>
  <c r="X92" i="37"/>
  <c r="X91" i="37"/>
  <c r="X90" i="37"/>
  <c r="X89" i="37"/>
  <c r="X88" i="37"/>
  <c r="Y87" i="37"/>
  <c r="X87" i="37"/>
  <c r="AC101" i="37"/>
  <c r="AC100" i="37"/>
  <c r="AC99" i="37"/>
  <c r="AC98" i="37"/>
  <c r="AC97" i="37"/>
  <c r="AC96" i="37"/>
  <c r="AC95" i="37"/>
  <c r="AC94" i="37"/>
  <c r="AC93" i="37"/>
  <c r="AC92" i="37"/>
  <c r="AC91" i="37"/>
  <c r="AC90" i="37"/>
  <c r="AC89" i="37"/>
  <c r="AC88" i="37"/>
  <c r="AD87" i="37"/>
  <c r="AC87" i="37"/>
  <c r="AH101" i="37"/>
  <c r="AH100" i="37"/>
  <c r="AH99" i="37"/>
  <c r="AH98" i="37"/>
  <c r="AH97" i="37"/>
  <c r="AH96" i="37"/>
  <c r="AH95" i="37"/>
  <c r="AH94" i="37"/>
  <c r="AH93" i="37"/>
  <c r="AH92" i="37"/>
  <c r="AH91" i="37"/>
  <c r="AH90" i="37"/>
  <c r="AH89" i="37"/>
  <c r="AH88" i="37"/>
  <c r="AI87" i="37"/>
  <c r="AH87" i="37"/>
  <c r="S81" i="37"/>
  <c r="S80" i="37"/>
  <c r="S79" i="37"/>
  <c r="S78" i="37"/>
  <c r="S77" i="37"/>
  <c r="S76" i="37"/>
  <c r="S75" i="37"/>
  <c r="S74" i="37"/>
  <c r="S73" i="37"/>
  <c r="S72" i="37"/>
  <c r="S71" i="37"/>
  <c r="S70" i="37"/>
  <c r="S69" i="37"/>
  <c r="S68" i="37"/>
  <c r="T67" i="37"/>
  <c r="S67" i="37"/>
  <c r="X81" i="37"/>
  <c r="X80" i="37"/>
  <c r="X79" i="37"/>
  <c r="X78" i="37"/>
  <c r="X77" i="37"/>
  <c r="X76" i="37"/>
  <c r="X75" i="37"/>
  <c r="X74" i="37"/>
  <c r="X73" i="37"/>
  <c r="X72" i="37"/>
  <c r="X71" i="37"/>
  <c r="X70" i="37"/>
  <c r="X69" i="37"/>
  <c r="X68" i="37"/>
  <c r="Y67" i="37"/>
  <c r="X67" i="37"/>
  <c r="AC81" i="37"/>
  <c r="AC80" i="37"/>
  <c r="AC79" i="37"/>
  <c r="AC78" i="37"/>
  <c r="AC77" i="37"/>
  <c r="AC76" i="37"/>
  <c r="AC75" i="37"/>
  <c r="AC74" i="37"/>
  <c r="AC73" i="37"/>
  <c r="AC72" i="37"/>
  <c r="AC71" i="37"/>
  <c r="AC70" i="37"/>
  <c r="AC69" i="37"/>
  <c r="AC68" i="37"/>
  <c r="AD67" i="37"/>
  <c r="AC67" i="37"/>
  <c r="AH81" i="37"/>
  <c r="AH80" i="37"/>
  <c r="AH79" i="37"/>
  <c r="AH78" i="37"/>
  <c r="AH77" i="37"/>
  <c r="AH76" i="37"/>
  <c r="AH75" i="37"/>
  <c r="AH74" i="37"/>
  <c r="AH73" i="37"/>
  <c r="AH72" i="37"/>
  <c r="AH71" i="37"/>
  <c r="AH70" i="37"/>
  <c r="AH69" i="37"/>
  <c r="AH68" i="37"/>
  <c r="AI67" i="37"/>
  <c r="AH67" i="37"/>
  <c r="AM81" i="37"/>
  <c r="AM80" i="37"/>
  <c r="AM79" i="37"/>
  <c r="AM78" i="37"/>
  <c r="AM77" i="37"/>
  <c r="AM76" i="37"/>
  <c r="AM75" i="37"/>
  <c r="AM74" i="37"/>
  <c r="AM73" i="37"/>
  <c r="AM72" i="37"/>
  <c r="AM71" i="37"/>
  <c r="AM70" i="37"/>
  <c r="AM69" i="37"/>
  <c r="AM68" i="37"/>
  <c r="AN67" i="37"/>
  <c r="AM67" i="37"/>
  <c r="AR81" i="37"/>
  <c r="AR80" i="37"/>
  <c r="AR79" i="37"/>
  <c r="AR78" i="37"/>
  <c r="AR77" i="37"/>
  <c r="AR76" i="37"/>
  <c r="AR75" i="37"/>
  <c r="AR74" i="37"/>
  <c r="AR73" i="37"/>
  <c r="AR72" i="37"/>
  <c r="AR71" i="37"/>
  <c r="AR70" i="37"/>
  <c r="AR69" i="37"/>
  <c r="AR68" i="37"/>
  <c r="AS67" i="37"/>
  <c r="AR67" i="37"/>
  <c r="AW81" i="37"/>
  <c r="AW80" i="37"/>
  <c r="AW79" i="37"/>
  <c r="AW78" i="37"/>
  <c r="AW77" i="37"/>
  <c r="AW76" i="37"/>
  <c r="AW75" i="37"/>
  <c r="AW74" i="37"/>
  <c r="AW73" i="37"/>
  <c r="AW72" i="37"/>
  <c r="AW71" i="37"/>
  <c r="AW70" i="37"/>
  <c r="AW69" i="37"/>
  <c r="AW68" i="37"/>
  <c r="AX67" i="37"/>
  <c r="AW67" i="37"/>
  <c r="S61" i="37"/>
  <c r="S60" i="37"/>
  <c r="S59" i="37"/>
  <c r="S58" i="37"/>
  <c r="S57" i="37"/>
  <c r="S56" i="37"/>
  <c r="S55" i="37"/>
  <c r="S54" i="37"/>
  <c r="S53" i="37"/>
  <c r="S52" i="37"/>
  <c r="S51" i="37"/>
  <c r="S50" i="37"/>
  <c r="S49" i="37"/>
  <c r="S48" i="37"/>
  <c r="T47" i="37"/>
  <c r="S47" i="37"/>
  <c r="X61" i="37"/>
  <c r="X60" i="37"/>
  <c r="X59" i="37"/>
  <c r="X58" i="37"/>
  <c r="X57" i="37"/>
  <c r="X56" i="37"/>
  <c r="X55" i="37"/>
  <c r="X54" i="37"/>
  <c r="X53" i="37"/>
  <c r="X52" i="37"/>
  <c r="X51" i="37"/>
  <c r="X50" i="37"/>
  <c r="X49" i="37"/>
  <c r="X48" i="37"/>
  <c r="Y47" i="37"/>
  <c r="X47" i="37"/>
  <c r="AC61" i="37"/>
  <c r="AC60" i="37"/>
  <c r="AC59" i="37"/>
  <c r="AC58" i="37"/>
  <c r="AC57" i="37"/>
  <c r="AC56" i="37"/>
  <c r="AC55" i="37"/>
  <c r="AC54" i="37"/>
  <c r="AC53" i="37"/>
  <c r="AC52" i="37"/>
  <c r="AC51" i="37"/>
  <c r="AC50" i="37"/>
  <c r="AC49" i="37"/>
  <c r="AC48" i="37"/>
  <c r="AD47" i="37"/>
  <c r="AC47" i="37"/>
  <c r="AH61" i="37"/>
  <c r="AH60" i="37"/>
  <c r="AH59" i="37"/>
  <c r="AH58" i="37"/>
  <c r="AH57" i="37"/>
  <c r="AH56" i="37"/>
  <c r="AH55" i="37"/>
  <c r="AH54" i="37"/>
  <c r="AH53" i="37"/>
  <c r="AH52" i="37"/>
  <c r="AH51" i="37"/>
  <c r="AH50" i="37"/>
  <c r="AH49" i="37"/>
  <c r="AH48" i="37"/>
  <c r="AI47" i="37"/>
  <c r="AH47" i="37"/>
  <c r="AM61" i="37"/>
  <c r="AM60" i="37"/>
  <c r="AM59" i="37"/>
  <c r="AM58" i="37"/>
  <c r="AM57" i="37"/>
  <c r="AM56" i="37"/>
  <c r="AM55" i="37"/>
  <c r="AM54" i="37"/>
  <c r="AM53" i="37"/>
  <c r="AM52" i="37"/>
  <c r="AM51" i="37"/>
  <c r="AM50" i="37"/>
  <c r="AM49" i="37"/>
  <c r="AM48" i="37"/>
  <c r="AN47" i="37"/>
  <c r="AM47" i="37"/>
  <c r="AR61" i="37"/>
  <c r="AR60" i="37"/>
  <c r="AR59" i="37"/>
  <c r="AR58" i="37"/>
  <c r="AR57" i="37"/>
  <c r="AR56" i="37"/>
  <c r="AR55" i="37"/>
  <c r="AR54" i="37"/>
  <c r="AR53" i="37"/>
  <c r="AR52" i="37"/>
  <c r="AR51" i="37"/>
  <c r="AR50" i="37"/>
  <c r="AR49" i="37"/>
  <c r="AR48" i="37"/>
  <c r="AS47" i="37"/>
  <c r="AR47" i="37"/>
  <c r="AZ61" i="37"/>
  <c r="AZ60" i="37"/>
  <c r="AZ59" i="37"/>
  <c r="AZ58" i="37"/>
  <c r="AZ57" i="37"/>
  <c r="AZ56" i="37"/>
  <c r="AZ55" i="37"/>
  <c r="AZ54" i="37"/>
  <c r="AZ53" i="37"/>
  <c r="AZ52" i="37"/>
  <c r="AZ51" i="37"/>
  <c r="AZ50" i="37"/>
  <c r="AZ49" i="37"/>
  <c r="AZ48" i="37"/>
  <c r="BA47" i="37"/>
  <c r="AZ47" i="37"/>
  <c r="AW55" i="37"/>
  <c r="AW56" i="37"/>
  <c r="AW57" i="37"/>
  <c r="AW58" i="37"/>
  <c r="AW59" i="37"/>
  <c r="AW60" i="37"/>
  <c r="AW61" i="37"/>
  <c r="AW54" i="37"/>
  <c r="AW53" i="37"/>
  <c r="AW52" i="37"/>
  <c r="AW51" i="37"/>
  <c r="AW50" i="37"/>
  <c r="AW49" i="37"/>
  <c r="AW48" i="37"/>
  <c r="AX47" i="37"/>
  <c r="AW47" i="37"/>
  <c r="S41" i="37"/>
  <c r="S40" i="37"/>
  <c r="S39" i="37"/>
  <c r="S38" i="37"/>
  <c r="S37" i="37"/>
  <c r="S36" i="37"/>
  <c r="S35" i="37"/>
  <c r="S34" i="37"/>
  <c r="S33" i="37"/>
  <c r="S32" i="37"/>
  <c r="S31" i="37"/>
  <c r="S30" i="37"/>
  <c r="S29" i="37"/>
  <c r="S28" i="37"/>
  <c r="T27" i="37"/>
  <c r="S27" i="37"/>
  <c r="X41" i="37"/>
  <c r="X40" i="37"/>
  <c r="X39" i="37"/>
  <c r="X38" i="37"/>
  <c r="X37" i="37"/>
  <c r="X36" i="37"/>
  <c r="X35" i="37"/>
  <c r="X34" i="37"/>
  <c r="X33" i="37"/>
  <c r="X32" i="37"/>
  <c r="X31" i="37"/>
  <c r="X30" i="37"/>
  <c r="X29" i="37"/>
  <c r="X28" i="37"/>
  <c r="Y27" i="37"/>
  <c r="X27" i="37"/>
  <c r="AC41" i="37"/>
  <c r="AC40" i="37"/>
  <c r="AC39" i="37"/>
  <c r="AC38" i="37"/>
  <c r="AC37" i="37"/>
  <c r="AC36" i="37"/>
  <c r="AC35" i="37"/>
  <c r="AC34" i="37"/>
  <c r="AC33" i="37"/>
  <c r="AC32" i="37"/>
  <c r="AC31" i="37"/>
  <c r="AC30" i="37"/>
  <c r="AC29" i="37"/>
  <c r="AC28" i="37"/>
  <c r="AD27" i="37"/>
  <c r="AC27" i="37"/>
  <c r="AH41" i="37"/>
  <c r="AH40" i="37"/>
  <c r="AH39" i="37"/>
  <c r="AH38" i="37"/>
  <c r="AH37" i="37"/>
  <c r="AH36" i="37"/>
  <c r="AH35" i="37"/>
  <c r="AH34" i="37"/>
  <c r="AH33" i="37"/>
  <c r="AH32" i="37"/>
  <c r="AH31" i="37"/>
  <c r="AH30" i="37"/>
  <c r="AH29" i="37"/>
  <c r="AH28" i="37"/>
  <c r="AI27" i="37"/>
  <c r="AH27" i="37"/>
  <c r="AM41" i="37"/>
  <c r="AM40" i="37"/>
  <c r="AM39" i="37"/>
  <c r="AM38" i="37"/>
  <c r="AM37" i="37"/>
  <c r="AM36" i="37"/>
  <c r="AM35" i="37"/>
  <c r="AM34" i="37"/>
  <c r="AM33" i="37"/>
  <c r="AM32" i="37"/>
  <c r="AM31" i="37"/>
  <c r="AM30" i="37"/>
  <c r="AM29" i="37"/>
  <c r="AM28" i="37"/>
  <c r="AN27" i="37"/>
  <c r="AM27" i="37"/>
  <c r="AR41" i="37"/>
  <c r="AR40" i="37"/>
  <c r="AR39" i="37"/>
  <c r="AR38" i="37"/>
  <c r="AR37" i="37"/>
  <c r="AR36" i="37"/>
  <c r="AR35" i="37"/>
  <c r="AR34" i="37"/>
  <c r="AR33" i="37"/>
  <c r="AR32" i="37"/>
  <c r="AR31" i="37"/>
  <c r="AR30" i="37"/>
  <c r="AR29" i="37"/>
  <c r="AR28" i="37"/>
  <c r="AS27" i="37"/>
  <c r="AR27" i="37"/>
  <c r="AW41" i="37"/>
  <c r="AW40" i="37"/>
  <c r="AW39" i="37"/>
  <c r="AW38" i="37"/>
  <c r="AW37" i="37"/>
  <c r="AW36" i="37"/>
  <c r="AW35" i="37"/>
  <c r="AW34" i="37"/>
  <c r="AW33" i="37"/>
  <c r="AW32" i="37"/>
  <c r="AW31" i="37"/>
  <c r="AW30" i="37"/>
  <c r="AW29" i="37"/>
  <c r="AW28" i="37"/>
  <c r="AX27" i="37"/>
  <c r="AW27" i="37"/>
  <c r="X21" i="37"/>
  <c r="X20" i="37"/>
  <c r="X19" i="37"/>
  <c r="X18" i="37"/>
  <c r="X17" i="37"/>
  <c r="X16" i="37"/>
  <c r="X15" i="37"/>
  <c r="X14" i="37"/>
  <c r="X13" i="37"/>
  <c r="X12" i="37"/>
  <c r="X11" i="37"/>
  <c r="X10" i="37"/>
  <c r="X9" i="37"/>
  <c r="X8" i="37"/>
  <c r="Y7" i="37"/>
  <c r="X7" i="37"/>
  <c r="AC21" i="37"/>
  <c r="AC20" i="37"/>
  <c r="AC19" i="37"/>
  <c r="AC18" i="37"/>
  <c r="AC17" i="37"/>
  <c r="AC16" i="37"/>
  <c r="AC15" i="37"/>
  <c r="AC14" i="37"/>
  <c r="AC13" i="37"/>
  <c r="AC12" i="37"/>
  <c r="AC11" i="37"/>
  <c r="AC10" i="37"/>
  <c r="AC9" i="37"/>
  <c r="AC8" i="37"/>
  <c r="AD7" i="37"/>
  <c r="AC7" i="37"/>
  <c r="AH21" i="37"/>
  <c r="AH20" i="37"/>
  <c r="AH19" i="37"/>
  <c r="AH18" i="37"/>
  <c r="AH17" i="37"/>
  <c r="AH16" i="37"/>
  <c r="AH15" i="37"/>
  <c r="AH14" i="37"/>
  <c r="AH13" i="37"/>
  <c r="AH12" i="37"/>
  <c r="AH11" i="37"/>
  <c r="AH10" i="37"/>
  <c r="AH9" i="37"/>
  <c r="AH8" i="37"/>
  <c r="AI7" i="37"/>
  <c r="AH7" i="37"/>
  <c r="AM21" i="37"/>
  <c r="AM20" i="37"/>
  <c r="AM19" i="37"/>
  <c r="AM18" i="37"/>
  <c r="AM17" i="37"/>
  <c r="AM16" i="37"/>
  <c r="AM15" i="37"/>
  <c r="AM14" i="37"/>
  <c r="AM13" i="37"/>
  <c r="AM12" i="37"/>
  <c r="AM11" i="37"/>
  <c r="AM10" i="37"/>
  <c r="AM9" i="37"/>
  <c r="AM8" i="37"/>
  <c r="AN7" i="37"/>
  <c r="AM7" i="37"/>
  <c r="AR21" i="37"/>
  <c r="AR20" i="37"/>
  <c r="AR19" i="37"/>
  <c r="AR18" i="37"/>
  <c r="AR17" i="37"/>
  <c r="AR16" i="37"/>
  <c r="AR15" i="37"/>
  <c r="AR14" i="37"/>
  <c r="AR13" i="37"/>
  <c r="AR12" i="37"/>
  <c r="AR11" i="37"/>
  <c r="AR10" i="37"/>
  <c r="AR9" i="37"/>
  <c r="AR8" i="37"/>
  <c r="AS7" i="37"/>
  <c r="AR7" i="37"/>
  <c r="AZ21" i="37"/>
  <c r="AZ20" i="37"/>
  <c r="AZ19" i="37"/>
  <c r="AZ18" i="37"/>
  <c r="AZ17" i="37"/>
  <c r="AZ16" i="37"/>
  <c r="AZ15" i="37"/>
  <c r="AZ14" i="37"/>
  <c r="AZ13" i="37"/>
  <c r="AZ12" i="37"/>
  <c r="AZ11" i="37"/>
  <c r="AZ10" i="37"/>
  <c r="AZ9" i="37"/>
  <c r="AZ8" i="37"/>
  <c r="BA7" i="37"/>
  <c r="AZ7" i="37"/>
  <c r="AW8" i="37"/>
  <c r="AW9" i="37"/>
  <c r="AW10" i="37"/>
  <c r="AW11" i="37"/>
  <c r="AW12" i="37"/>
  <c r="AW13" i="37"/>
  <c r="AW14" i="37"/>
  <c r="AW15" i="37"/>
  <c r="AW16" i="37"/>
  <c r="AW17" i="37"/>
  <c r="AW18" i="37"/>
  <c r="AW19" i="37"/>
  <c r="AW20" i="37"/>
  <c r="AW21" i="37"/>
  <c r="AW7" i="37"/>
  <c r="AX7" i="37"/>
  <c r="S101" i="36"/>
  <c r="S100" i="36"/>
  <c r="S99" i="36"/>
  <c r="S98" i="36"/>
  <c r="S97" i="36"/>
  <c r="S96" i="36"/>
  <c r="S95" i="36"/>
  <c r="S94" i="36"/>
  <c r="S93" i="36"/>
  <c r="S92" i="36"/>
  <c r="S91" i="36"/>
  <c r="S90" i="36"/>
  <c r="S89" i="36"/>
  <c r="S88" i="36"/>
  <c r="T87" i="36"/>
  <c r="S87" i="36"/>
  <c r="X101" i="36"/>
  <c r="X100" i="36"/>
  <c r="X99" i="36"/>
  <c r="X98" i="36"/>
  <c r="X97" i="36"/>
  <c r="X96" i="36"/>
  <c r="X95" i="36"/>
  <c r="X94" i="36"/>
  <c r="X93" i="36"/>
  <c r="X92" i="36"/>
  <c r="X91" i="36"/>
  <c r="X90" i="36"/>
  <c r="X89" i="36"/>
  <c r="X88" i="36"/>
  <c r="Y87" i="36"/>
  <c r="X87" i="36"/>
  <c r="AC101" i="36"/>
  <c r="AC100" i="36"/>
  <c r="AC99" i="36"/>
  <c r="AC98" i="36"/>
  <c r="AC97" i="36"/>
  <c r="AC96" i="36"/>
  <c r="AC95" i="36"/>
  <c r="AC94" i="36"/>
  <c r="AC93" i="36"/>
  <c r="AC92" i="36"/>
  <c r="AC91" i="36"/>
  <c r="AC90" i="36"/>
  <c r="AC89" i="36"/>
  <c r="AC88" i="36"/>
  <c r="AD87" i="36"/>
  <c r="AC87" i="36"/>
  <c r="AH101" i="36"/>
  <c r="AH100" i="36"/>
  <c r="AH99" i="36"/>
  <c r="AH98" i="36"/>
  <c r="AH97" i="36"/>
  <c r="AH96" i="36"/>
  <c r="AH95" i="36"/>
  <c r="AH94" i="36"/>
  <c r="AH93" i="36"/>
  <c r="AH92" i="36"/>
  <c r="AH91" i="36"/>
  <c r="AH90" i="36"/>
  <c r="AH89" i="36"/>
  <c r="AH88" i="36"/>
  <c r="AI87" i="36"/>
  <c r="AH87" i="36"/>
  <c r="S81" i="36"/>
  <c r="S80" i="36"/>
  <c r="S79" i="36"/>
  <c r="S78" i="36"/>
  <c r="S77" i="36"/>
  <c r="S76" i="36"/>
  <c r="S75" i="36"/>
  <c r="S74" i="36"/>
  <c r="S73" i="36"/>
  <c r="S72" i="36"/>
  <c r="S71" i="36"/>
  <c r="S70" i="36"/>
  <c r="S69" i="36"/>
  <c r="S68" i="36"/>
  <c r="T67" i="36"/>
  <c r="S67" i="36"/>
  <c r="X81" i="36"/>
  <c r="X80" i="36"/>
  <c r="X79" i="36"/>
  <c r="X78" i="36"/>
  <c r="X77" i="36"/>
  <c r="X76" i="36"/>
  <c r="X75" i="36"/>
  <c r="X74" i="36"/>
  <c r="X73" i="36"/>
  <c r="X72" i="36"/>
  <c r="X71" i="36"/>
  <c r="X70" i="36"/>
  <c r="X69" i="36"/>
  <c r="X68" i="36"/>
  <c r="Y67" i="36"/>
  <c r="X67" i="36"/>
  <c r="AC81" i="36"/>
  <c r="AC80" i="36"/>
  <c r="AC79" i="36"/>
  <c r="AC78" i="36"/>
  <c r="AC77" i="36"/>
  <c r="AC76" i="36"/>
  <c r="AC75" i="36"/>
  <c r="AC74" i="36"/>
  <c r="AC73" i="36"/>
  <c r="AC72" i="36"/>
  <c r="AC71" i="36"/>
  <c r="AC70" i="36"/>
  <c r="AC69" i="36"/>
  <c r="AC68" i="36"/>
  <c r="AD67" i="36"/>
  <c r="AC67" i="36"/>
  <c r="AH81" i="36"/>
  <c r="AH80" i="36"/>
  <c r="AH79" i="36"/>
  <c r="AH78" i="36"/>
  <c r="AH77" i="36"/>
  <c r="AH76" i="36"/>
  <c r="AH75" i="36"/>
  <c r="AH74" i="36"/>
  <c r="AH73" i="36"/>
  <c r="AH72" i="36"/>
  <c r="AH71" i="36"/>
  <c r="AH70" i="36"/>
  <c r="AH69" i="36"/>
  <c r="AH68" i="36"/>
  <c r="AI67" i="36"/>
  <c r="AH67" i="36"/>
  <c r="AM81" i="36"/>
  <c r="AM80" i="36"/>
  <c r="AM79" i="36"/>
  <c r="AM78" i="36"/>
  <c r="AM77" i="36"/>
  <c r="AM76" i="36"/>
  <c r="AM75" i="36"/>
  <c r="AM74" i="36"/>
  <c r="AM73" i="36"/>
  <c r="AM72" i="36"/>
  <c r="AM71" i="36"/>
  <c r="AM70" i="36"/>
  <c r="AM69" i="36"/>
  <c r="AM68" i="36"/>
  <c r="AN67" i="36"/>
  <c r="AM67" i="36"/>
  <c r="AR81" i="36"/>
  <c r="AR80" i="36"/>
  <c r="AR79" i="36"/>
  <c r="AR78" i="36"/>
  <c r="AR77" i="36"/>
  <c r="AR76" i="36"/>
  <c r="AR75" i="36"/>
  <c r="AR74" i="36"/>
  <c r="AR73" i="36"/>
  <c r="AR72" i="36"/>
  <c r="AR71" i="36"/>
  <c r="AR70" i="36"/>
  <c r="AR69" i="36"/>
  <c r="AR68" i="36"/>
  <c r="AS67" i="36"/>
  <c r="AR67" i="36"/>
  <c r="AW81" i="36"/>
  <c r="AW80" i="36"/>
  <c r="AW79" i="36"/>
  <c r="AW78" i="36"/>
  <c r="AW77" i="36"/>
  <c r="AW76" i="36"/>
  <c r="AW75" i="36"/>
  <c r="AW74" i="36"/>
  <c r="AW73" i="36"/>
  <c r="AW72" i="36"/>
  <c r="AW71" i="36"/>
  <c r="AW70" i="36"/>
  <c r="AW69" i="36"/>
  <c r="AW68" i="36"/>
  <c r="AX67" i="36"/>
  <c r="AW67" i="36"/>
  <c r="S61" i="36"/>
  <c r="S60" i="36"/>
  <c r="S59" i="36"/>
  <c r="S58" i="36"/>
  <c r="S57" i="36"/>
  <c r="S56" i="36"/>
  <c r="S55" i="36"/>
  <c r="S54" i="36"/>
  <c r="S53" i="36"/>
  <c r="S52" i="36"/>
  <c r="S51" i="36"/>
  <c r="S50" i="36"/>
  <c r="S49" i="36"/>
  <c r="S48" i="36"/>
  <c r="T47" i="36"/>
  <c r="S47" i="36"/>
  <c r="X61" i="36"/>
  <c r="X60" i="36"/>
  <c r="X59" i="36"/>
  <c r="X58" i="36"/>
  <c r="X57" i="36"/>
  <c r="X56" i="36"/>
  <c r="X55" i="36"/>
  <c r="X54" i="36"/>
  <c r="X53" i="36"/>
  <c r="X52" i="36"/>
  <c r="X51" i="36"/>
  <c r="X50" i="36"/>
  <c r="X49" i="36"/>
  <c r="X48" i="36"/>
  <c r="Y47" i="36"/>
  <c r="X47" i="36"/>
  <c r="AC61" i="36"/>
  <c r="AC60" i="36"/>
  <c r="AC59" i="36"/>
  <c r="AC58" i="36"/>
  <c r="AC57" i="36"/>
  <c r="AC56" i="36"/>
  <c r="AC55" i="36"/>
  <c r="AC54" i="36"/>
  <c r="AC53" i="36"/>
  <c r="AC52" i="36"/>
  <c r="AC51" i="36"/>
  <c r="AC50" i="36"/>
  <c r="AC49" i="36"/>
  <c r="AC48" i="36"/>
  <c r="AD47" i="36"/>
  <c r="AC47" i="36"/>
  <c r="AH61" i="36"/>
  <c r="AH60" i="36"/>
  <c r="AH59" i="36"/>
  <c r="AH58" i="36"/>
  <c r="AH57" i="36"/>
  <c r="AH56" i="36"/>
  <c r="AH55" i="36"/>
  <c r="AH54" i="36"/>
  <c r="AH53" i="36"/>
  <c r="AH52" i="36"/>
  <c r="AH51" i="36"/>
  <c r="AH50" i="36"/>
  <c r="AH49" i="36"/>
  <c r="AH48" i="36"/>
  <c r="AI47" i="36"/>
  <c r="AH47" i="36"/>
  <c r="AM61" i="36"/>
  <c r="AM60" i="36"/>
  <c r="AM59" i="36"/>
  <c r="AM58" i="36"/>
  <c r="AM57" i="36"/>
  <c r="AM56" i="36"/>
  <c r="AM55" i="36"/>
  <c r="AM54" i="36"/>
  <c r="AM53" i="36"/>
  <c r="AM52" i="36"/>
  <c r="AM51" i="36"/>
  <c r="AM50" i="36"/>
  <c r="AM49" i="36"/>
  <c r="AM48" i="36"/>
  <c r="AN47" i="36"/>
  <c r="AM47" i="36"/>
  <c r="AR61" i="36"/>
  <c r="AR60" i="36"/>
  <c r="AR59" i="36"/>
  <c r="AR58" i="36"/>
  <c r="AR57" i="36"/>
  <c r="AR56" i="36"/>
  <c r="AR55" i="36"/>
  <c r="AR54" i="36"/>
  <c r="AR53" i="36"/>
  <c r="AR52" i="36"/>
  <c r="AR51" i="36"/>
  <c r="AR50" i="36"/>
  <c r="AR49" i="36"/>
  <c r="AR48" i="36"/>
  <c r="AS47" i="36"/>
  <c r="AR47" i="36"/>
  <c r="AZ61" i="36"/>
  <c r="AZ60" i="36"/>
  <c r="AZ59" i="36"/>
  <c r="AZ58" i="36"/>
  <c r="AZ57" i="36"/>
  <c r="AZ56" i="36"/>
  <c r="AZ55" i="36"/>
  <c r="AZ54" i="36"/>
  <c r="AZ53" i="36"/>
  <c r="AZ52" i="36"/>
  <c r="AZ51" i="36"/>
  <c r="AZ50" i="36"/>
  <c r="AZ49" i="36"/>
  <c r="AZ48" i="36"/>
  <c r="BA47" i="36"/>
  <c r="AZ47" i="36"/>
  <c r="AW52" i="36"/>
  <c r="AW53" i="36"/>
  <c r="AW54" i="36"/>
  <c r="AW55" i="36"/>
  <c r="AW56" i="36"/>
  <c r="AW57" i="36"/>
  <c r="AW58" i="36"/>
  <c r="AW59" i="36"/>
  <c r="AW60" i="36"/>
  <c r="AW61" i="36"/>
  <c r="AW51" i="36"/>
  <c r="AW50" i="36"/>
  <c r="AW49" i="36"/>
  <c r="AW48" i="36"/>
  <c r="AX47" i="36"/>
  <c r="AW47" i="36"/>
  <c r="S41" i="36"/>
  <c r="S40" i="36"/>
  <c r="S39" i="36"/>
  <c r="S38" i="36"/>
  <c r="S37" i="36"/>
  <c r="S36" i="36"/>
  <c r="S35" i="36"/>
  <c r="S34" i="36"/>
  <c r="S33" i="36"/>
  <c r="S32" i="36"/>
  <c r="S31" i="36"/>
  <c r="S30" i="36"/>
  <c r="S29" i="36"/>
  <c r="S28" i="36"/>
  <c r="T27" i="36"/>
  <c r="S27" i="36"/>
  <c r="X41" i="36"/>
  <c r="X40" i="36"/>
  <c r="X39" i="36"/>
  <c r="X38" i="36"/>
  <c r="X37" i="36"/>
  <c r="X36" i="36"/>
  <c r="X35" i="36"/>
  <c r="X34" i="36"/>
  <c r="X33" i="36"/>
  <c r="X32" i="36"/>
  <c r="X31" i="36"/>
  <c r="X30" i="36"/>
  <c r="X29" i="36"/>
  <c r="X28" i="36"/>
  <c r="Y27" i="36"/>
  <c r="X27" i="36"/>
  <c r="AC41" i="36"/>
  <c r="AC40" i="36"/>
  <c r="AC39" i="36"/>
  <c r="AC38" i="36"/>
  <c r="AC37" i="36"/>
  <c r="AC36" i="36"/>
  <c r="AC35" i="36"/>
  <c r="AC34" i="36"/>
  <c r="AC33" i="36"/>
  <c r="AC32" i="36"/>
  <c r="AC31" i="36"/>
  <c r="AC30" i="36"/>
  <c r="AC29" i="36"/>
  <c r="AC28" i="36"/>
  <c r="AD27" i="36"/>
  <c r="AC27" i="36"/>
  <c r="AH41" i="36"/>
  <c r="AH40" i="36"/>
  <c r="AH39" i="36"/>
  <c r="AH38" i="36"/>
  <c r="AH37" i="36"/>
  <c r="AH36" i="36"/>
  <c r="AH35" i="36"/>
  <c r="AH34" i="36"/>
  <c r="AH33" i="36"/>
  <c r="AH32" i="36"/>
  <c r="AH31" i="36"/>
  <c r="AH30" i="36"/>
  <c r="AH29" i="36"/>
  <c r="AH28" i="36"/>
  <c r="AI27" i="36"/>
  <c r="AH27" i="36"/>
  <c r="AM41" i="36"/>
  <c r="AM40" i="36"/>
  <c r="AM39" i="36"/>
  <c r="AM38" i="36"/>
  <c r="AM37" i="36"/>
  <c r="AM36" i="36"/>
  <c r="AM35" i="36"/>
  <c r="AM34" i="36"/>
  <c r="AM33" i="36"/>
  <c r="AM32" i="36"/>
  <c r="AM31" i="36"/>
  <c r="AM30" i="36"/>
  <c r="AM29" i="36"/>
  <c r="AM28" i="36"/>
  <c r="AN27" i="36"/>
  <c r="AM27" i="36"/>
  <c r="AW27" i="36"/>
  <c r="AW29" i="36"/>
  <c r="AW30" i="36"/>
  <c r="AW31" i="36"/>
  <c r="AW32" i="36"/>
  <c r="AW33" i="36"/>
  <c r="AW34" i="36"/>
  <c r="AW35" i="36"/>
  <c r="AW36" i="36"/>
  <c r="AW37" i="36"/>
  <c r="AW38" i="36"/>
  <c r="AW39" i="36"/>
  <c r="AW40" i="36"/>
  <c r="AW41" i="36"/>
  <c r="AR41" i="36"/>
  <c r="AR40" i="36"/>
  <c r="AR39" i="36"/>
  <c r="AR38" i="36"/>
  <c r="AR37" i="36"/>
  <c r="AR36" i="36"/>
  <c r="AR35" i="36"/>
  <c r="AR34" i="36"/>
  <c r="AR33" i="36"/>
  <c r="AR32" i="36"/>
  <c r="AR31" i="36"/>
  <c r="AR30" i="36"/>
  <c r="AR29" i="36"/>
  <c r="AR28" i="36"/>
  <c r="AS27" i="36"/>
  <c r="AR27" i="36"/>
  <c r="AW28" i="36"/>
  <c r="AX27" i="36"/>
  <c r="AZ21" i="36"/>
  <c r="AZ20" i="36"/>
  <c r="AZ19" i="36"/>
  <c r="AZ18" i="36"/>
  <c r="AZ17" i="36"/>
  <c r="AZ16" i="36"/>
  <c r="AZ15" i="36"/>
  <c r="AZ14" i="36"/>
  <c r="AZ13" i="36"/>
  <c r="AZ12" i="36"/>
  <c r="AZ11" i="36"/>
  <c r="AZ10" i="36"/>
  <c r="AZ9" i="36"/>
  <c r="AZ8" i="36"/>
  <c r="BA7" i="36"/>
  <c r="AZ7" i="36"/>
  <c r="X21" i="36"/>
  <c r="X20" i="36"/>
  <c r="X19" i="36"/>
  <c r="X18" i="36"/>
  <c r="X17" i="36"/>
  <c r="X16" i="36"/>
  <c r="X15" i="36"/>
  <c r="X14" i="36"/>
  <c r="X13" i="36"/>
  <c r="X12" i="36"/>
  <c r="X11" i="36"/>
  <c r="X10" i="36"/>
  <c r="X9" i="36"/>
  <c r="X8" i="36"/>
  <c r="Y7" i="36"/>
  <c r="X7" i="36"/>
  <c r="AC21" i="36"/>
  <c r="AC20" i="36"/>
  <c r="AC19" i="36"/>
  <c r="AC18" i="36"/>
  <c r="AC17" i="36"/>
  <c r="AC16" i="36"/>
  <c r="AC15" i="36"/>
  <c r="AC14" i="36"/>
  <c r="AC13" i="36"/>
  <c r="AC12" i="36"/>
  <c r="AC11" i="36"/>
  <c r="AC10" i="36"/>
  <c r="AC9" i="36"/>
  <c r="AC8" i="36"/>
  <c r="AD7" i="36"/>
  <c r="AC7" i="36"/>
  <c r="AH21" i="36"/>
  <c r="AH20" i="36"/>
  <c r="AH19" i="36"/>
  <c r="AH18" i="36"/>
  <c r="AH17" i="36"/>
  <c r="AH16" i="36"/>
  <c r="AH15" i="36"/>
  <c r="AH14" i="36"/>
  <c r="AH13" i="36"/>
  <c r="AH12" i="36"/>
  <c r="AH11" i="36"/>
  <c r="AH10" i="36"/>
  <c r="AH9" i="36"/>
  <c r="AH8" i="36"/>
  <c r="AI7" i="36"/>
  <c r="AH7" i="36"/>
  <c r="AM21" i="36"/>
  <c r="AM20" i="36"/>
  <c r="AM19" i="36"/>
  <c r="AM18" i="36"/>
  <c r="AM17" i="36"/>
  <c r="AM16" i="36"/>
  <c r="AM15" i="36"/>
  <c r="AM14" i="36"/>
  <c r="AM13" i="36"/>
  <c r="AM12" i="36"/>
  <c r="AM11" i="36"/>
  <c r="AM10" i="36"/>
  <c r="AM9" i="36"/>
  <c r="AM8" i="36"/>
  <c r="AN7" i="36"/>
  <c r="AM7" i="36"/>
  <c r="AR21" i="36"/>
  <c r="AR20" i="36"/>
  <c r="AR19" i="36"/>
  <c r="AR18" i="36"/>
  <c r="AR17" i="36"/>
  <c r="AR16" i="36"/>
  <c r="AR15" i="36"/>
  <c r="AR14" i="36"/>
  <c r="AR13" i="36"/>
  <c r="AR12" i="36"/>
  <c r="AR11" i="36"/>
  <c r="AR10" i="36"/>
  <c r="AR9" i="36"/>
  <c r="AR8" i="36"/>
  <c r="AS7" i="36"/>
  <c r="AR7" i="36"/>
  <c r="AW8" i="36"/>
  <c r="AW9" i="36"/>
  <c r="AW10" i="36"/>
  <c r="AW11" i="36"/>
  <c r="AW12" i="36"/>
  <c r="AW13" i="36"/>
  <c r="AW14" i="36"/>
  <c r="AW15" i="36"/>
  <c r="AW16" i="36"/>
  <c r="AW17" i="36"/>
  <c r="AW18" i="36"/>
  <c r="AW19" i="36"/>
  <c r="AW20" i="36"/>
  <c r="AW21" i="36"/>
  <c r="AW7" i="36"/>
  <c r="AX7" i="36"/>
  <c r="S101" i="35"/>
  <c r="S100" i="35"/>
  <c r="S99" i="35"/>
  <c r="S98" i="35"/>
  <c r="S97" i="35"/>
  <c r="S96" i="35"/>
  <c r="S95" i="35"/>
  <c r="S94" i="35"/>
  <c r="S93" i="35"/>
  <c r="S92" i="35"/>
  <c r="S91" i="35"/>
  <c r="S90" i="35"/>
  <c r="S89" i="35"/>
  <c r="S88" i="35"/>
  <c r="T87" i="35"/>
  <c r="S87" i="35"/>
  <c r="X101" i="35"/>
  <c r="X100" i="35"/>
  <c r="X99" i="35"/>
  <c r="X98" i="35"/>
  <c r="X97" i="35"/>
  <c r="X96" i="35"/>
  <c r="X95" i="35"/>
  <c r="X94" i="35"/>
  <c r="X93" i="35"/>
  <c r="X92" i="35"/>
  <c r="X91" i="35"/>
  <c r="X90" i="35"/>
  <c r="X89" i="35"/>
  <c r="X88" i="35"/>
  <c r="Y87" i="35"/>
  <c r="X87" i="35"/>
  <c r="AC101" i="35"/>
  <c r="AC100" i="35"/>
  <c r="AC99" i="35"/>
  <c r="AC98" i="35"/>
  <c r="AC97" i="35"/>
  <c r="AC96" i="35"/>
  <c r="AC95" i="35"/>
  <c r="AC94" i="35"/>
  <c r="AC93" i="35"/>
  <c r="AC92" i="35"/>
  <c r="AC91" i="35"/>
  <c r="AC90" i="35"/>
  <c r="AC89" i="35"/>
  <c r="AC88" i="35"/>
  <c r="AD87" i="35"/>
  <c r="AC87" i="35"/>
  <c r="AH101" i="35"/>
  <c r="AH100" i="35"/>
  <c r="AH99" i="35"/>
  <c r="AH98" i="35"/>
  <c r="AH97" i="35"/>
  <c r="AH96" i="35"/>
  <c r="AH95" i="35"/>
  <c r="AH94" i="35"/>
  <c r="AH93" i="35"/>
  <c r="AH92" i="35"/>
  <c r="AH91" i="35"/>
  <c r="AH90" i="35"/>
  <c r="AH89" i="35"/>
  <c r="AH88" i="35"/>
  <c r="AI87" i="35"/>
  <c r="AH87" i="35"/>
  <c r="S101" i="34"/>
  <c r="S100" i="34"/>
  <c r="S99" i="34"/>
  <c r="S98" i="34"/>
  <c r="S97" i="34"/>
  <c r="S96" i="34"/>
  <c r="S95" i="34"/>
  <c r="S94" i="34"/>
  <c r="S93" i="34"/>
  <c r="S92" i="34"/>
  <c r="S91" i="34"/>
  <c r="S90" i="34"/>
  <c r="S89" i="34"/>
  <c r="S88" i="34"/>
  <c r="T87" i="34"/>
  <c r="S87" i="34"/>
  <c r="X101" i="34"/>
  <c r="X100" i="34"/>
  <c r="X99" i="34"/>
  <c r="X98" i="34"/>
  <c r="X97" i="34"/>
  <c r="X96" i="34"/>
  <c r="X95" i="34"/>
  <c r="X94" i="34"/>
  <c r="X93" i="34"/>
  <c r="X92" i="34"/>
  <c r="X91" i="34"/>
  <c r="X90" i="34"/>
  <c r="X89" i="34"/>
  <c r="X88" i="34"/>
  <c r="Y87" i="34"/>
  <c r="X87" i="34"/>
  <c r="AC101" i="34"/>
  <c r="AC100" i="34"/>
  <c r="AC99" i="34"/>
  <c r="AC98" i="34"/>
  <c r="AC97" i="34"/>
  <c r="AC96" i="34"/>
  <c r="AC95" i="34"/>
  <c r="AC94" i="34"/>
  <c r="AC93" i="34"/>
  <c r="AC92" i="34"/>
  <c r="AC91" i="34"/>
  <c r="AC90" i="34"/>
  <c r="AC89" i="34"/>
  <c r="AC88" i="34"/>
  <c r="AD87" i="34"/>
  <c r="AC87" i="34"/>
  <c r="AH101" i="34"/>
  <c r="AH100" i="34"/>
  <c r="AH99" i="34"/>
  <c r="AH98" i="34"/>
  <c r="AH97" i="34"/>
  <c r="AH96" i="34"/>
  <c r="AH95" i="34"/>
  <c r="AH94" i="34"/>
  <c r="AH93" i="34"/>
  <c r="AH92" i="34"/>
  <c r="AH91" i="34"/>
  <c r="AH90" i="34"/>
  <c r="AH89" i="34"/>
  <c r="AH88" i="34"/>
  <c r="AI87" i="34"/>
  <c r="AH87" i="34"/>
  <c r="S176" i="33"/>
  <c r="S175" i="33"/>
  <c r="S174" i="33"/>
  <c r="S173" i="33"/>
  <c r="S172" i="33"/>
  <c r="S171" i="33"/>
  <c r="S170" i="33"/>
  <c r="S169" i="33"/>
  <c r="S168" i="33"/>
  <c r="S167" i="33"/>
  <c r="S166" i="33"/>
  <c r="S165" i="33"/>
  <c r="S164" i="33"/>
  <c r="S163" i="33"/>
  <c r="S162" i="33"/>
  <c r="S161" i="33"/>
  <c r="S160" i="33"/>
  <c r="S159" i="33"/>
  <c r="S158" i="33"/>
  <c r="S157" i="33"/>
  <c r="S156" i="33"/>
  <c r="S155" i="33"/>
  <c r="S154" i="33"/>
  <c r="S153" i="33"/>
  <c r="S152" i="33"/>
  <c r="S151" i="33"/>
  <c r="S150" i="33"/>
  <c r="S149" i="33"/>
  <c r="S148" i="33"/>
  <c r="T147" i="33"/>
  <c r="S147" i="33"/>
  <c r="X176" i="33"/>
  <c r="X175" i="33"/>
  <c r="X174" i="33"/>
  <c r="X173" i="33"/>
  <c r="X172" i="33"/>
  <c r="X171" i="33"/>
  <c r="X170" i="33"/>
  <c r="X169" i="33"/>
  <c r="X168" i="33"/>
  <c r="X167" i="33"/>
  <c r="X166" i="33"/>
  <c r="X165" i="33"/>
  <c r="X164" i="33"/>
  <c r="X163" i="33"/>
  <c r="X162" i="33"/>
  <c r="X161" i="33"/>
  <c r="X160" i="33"/>
  <c r="X159" i="33"/>
  <c r="X158" i="33"/>
  <c r="X157" i="33"/>
  <c r="X156" i="33"/>
  <c r="X155" i="33"/>
  <c r="X154" i="33"/>
  <c r="X153" i="33"/>
  <c r="X152" i="33"/>
  <c r="X151" i="33"/>
  <c r="X150" i="33"/>
  <c r="X149" i="33"/>
  <c r="X148" i="33"/>
  <c r="Y147" i="33"/>
  <c r="X147" i="33"/>
  <c r="AC176" i="33"/>
  <c r="AC175" i="33"/>
  <c r="AC174" i="33"/>
  <c r="AC173" i="33"/>
  <c r="AC172" i="33"/>
  <c r="AC171" i="33"/>
  <c r="AC170" i="33"/>
  <c r="AC169" i="33"/>
  <c r="AC168" i="33"/>
  <c r="AC167" i="33"/>
  <c r="AC166" i="33"/>
  <c r="AC165" i="33"/>
  <c r="AC164" i="33"/>
  <c r="AC163" i="33"/>
  <c r="AC162" i="33"/>
  <c r="AC161" i="33"/>
  <c r="AC160" i="33"/>
  <c r="AC159" i="33"/>
  <c r="AC158" i="33"/>
  <c r="AC157" i="33"/>
  <c r="AC156" i="33"/>
  <c r="AC155" i="33"/>
  <c r="AC154" i="33"/>
  <c r="AC153" i="33"/>
  <c r="AC152" i="33"/>
  <c r="AC151" i="33"/>
  <c r="AC150" i="33"/>
  <c r="AC149" i="33"/>
  <c r="AC148" i="33"/>
  <c r="AD147" i="33"/>
  <c r="AC147" i="33"/>
  <c r="AH176" i="33"/>
  <c r="AH175" i="33"/>
  <c r="AH174" i="33"/>
  <c r="AH173" i="33"/>
  <c r="AH172" i="33"/>
  <c r="AH171" i="33"/>
  <c r="AH170" i="33"/>
  <c r="AH169" i="33"/>
  <c r="AH168" i="33"/>
  <c r="AH167" i="33"/>
  <c r="AH166" i="33"/>
  <c r="AH165" i="33"/>
  <c r="AH164" i="33"/>
  <c r="AH163" i="33"/>
  <c r="AH162" i="33"/>
  <c r="AH161" i="33"/>
  <c r="AH160" i="33"/>
  <c r="AH159" i="33"/>
  <c r="AH158" i="33"/>
  <c r="AH157" i="33"/>
  <c r="AH156" i="33"/>
  <c r="AH155" i="33"/>
  <c r="AH154" i="33"/>
  <c r="AH153" i="33"/>
  <c r="AH152" i="33"/>
  <c r="AH151" i="33"/>
  <c r="AH150" i="33"/>
  <c r="AH149" i="33"/>
  <c r="AH148" i="33"/>
  <c r="AI147" i="33"/>
  <c r="AH147" i="33"/>
  <c r="S101" i="31"/>
  <c r="S100" i="31"/>
  <c r="S99" i="31"/>
  <c r="S98" i="31"/>
  <c r="S97" i="31"/>
  <c r="S96" i="31"/>
  <c r="S95" i="31"/>
  <c r="S94" i="31"/>
  <c r="S93" i="31"/>
  <c r="S92" i="31"/>
  <c r="S91" i="31"/>
  <c r="S90" i="31"/>
  <c r="S89" i="31"/>
  <c r="S88" i="31"/>
  <c r="T87" i="31"/>
  <c r="S87" i="31"/>
  <c r="X101" i="31"/>
  <c r="X100" i="31"/>
  <c r="X99" i="31"/>
  <c r="X98" i="31"/>
  <c r="X97" i="31"/>
  <c r="X96" i="31"/>
  <c r="X95" i="31"/>
  <c r="X94" i="31"/>
  <c r="X93" i="31"/>
  <c r="X92" i="31"/>
  <c r="X91" i="31"/>
  <c r="X90" i="31"/>
  <c r="X89" i="31"/>
  <c r="X88" i="31"/>
  <c r="Y87" i="31"/>
  <c r="X87" i="31"/>
  <c r="AC101" i="31"/>
  <c r="AC100" i="31"/>
  <c r="AC99" i="31"/>
  <c r="AC98" i="31"/>
  <c r="AC97" i="31"/>
  <c r="AC96" i="31"/>
  <c r="AC95" i="31"/>
  <c r="AC94" i="31"/>
  <c r="AC93" i="31"/>
  <c r="AC92" i="31"/>
  <c r="AC91" i="31"/>
  <c r="AC90" i="31"/>
  <c r="AC89" i="31"/>
  <c r="AC88" i="31"/>
  <c r="AD87" i="31"/>
  <c r="AC87" i="31"/>
  <c r="AH101" i="31"/>
  <c r="AH100" i="31"/>
  <c r="AH99" i="31"/>
  <c r="AH98" i="31"/>
  <c r="AH97" i="31"/>
  <c r="AH96" i="31"/>
  <c r="AH95" i="31"/>
  <c r="AH94" i="31"/>
  <c r="AH93" i="31"/>
  <c r="AH92" i="31"/>
  <c r="AH91" i="31"/>
  <c r="AH90" i="31"/>
  <c r="AH89" i="31"/>
  <c r="AH88" i="31"/>
  <c r="AI87" i="31"/>
  <c r="AH87" i="31"/>
  <c r="S101" i="32"/>
  <c r="S100" i="32"/>
  <c r="S99" i="32"/>
  <c r="S98" i="32"/>
  <c r="S97" i="32"/>
  <c r="S96" i="32"/>
  <c r="S95" i="32"/>
  <c r="S94" i="32"/>
  <c r="S93" i="32"/>
  <c r="S92" i="32"/>
  <c r="S91" i="32"/>
  <c r="S90" i="32"/>
  <c r="S89" i="32"/>
  <c r="S88" i="32"/>
  <c r="T87" i="32"/>
  <c r="S87" i="32"/>
  <c r="X101" i="32"/>
  <c r="X100" i="32"/>
  <c r="X99" i="32"/>
  <c r="X98" i="32"/>
  <c r="X97" i="32"/>
  <c r="X96" i="32"/>
  <c r="X95" i="32"/>
  <c r="X94" i="32"/>
  <c r="X93" i="32"/>
  <c r="X92" i="32"/>
  <c r="X91" i="32"/>
  <c r="X90" i="32"/>
  <c r="X89" i="32"/>
  <c r="X88" i="32"/>
  <c r="Y87" i="32"/>
  <c r="X87" i="32"/>
  <c r="AC101" i="32"/>
  <c r="AC100" i="32"/>
  <c r="AC99" i="32"/>
  <c r="AC98" i="32"/>
  <c r="AC97" i="32"/>
  <c r="AC96" i="32"/>
  <c r="AC95" i="32"/>
  <c r="AC94" i="32"/>
  <c r="AC93" i="32"/>
  <c r="AC92" i="32"/>
  <c r="AC91" i="32"/>
  <c r="AC90" i="32"/>
  <c r="AC89" i="32"/>
  <c r="AC88" i="32"/>
  <c r="AD87" i="32"/>
  <c r="AC87" i="32"/>
  <c r="AH101" i="32"/>
  <c r="AH100" i="32"/>
  <c r="AH99" i="32"/>
  <c r="AH98" i="32"/>
  <c r="AH97" i="32"/>
  <c r="AH96" i="32"/>
  <c r="AH95" i="32"/>
  <c r="AH94" i="32"/>
  <c r="AH93" i="32"/>
  <c r="AH92" i="32"/>
  <c r="AH91" i="32"/>
  <c r="AH90" i="32"/>
  <c r="AH89" i="32"/>
  <c r="AH88" i="32"/>
  <c r="AI87" i="32"/>
  <c r="AH87" i="32"/>
  <c r="S101" i="30"/>
  <c r="S100" i="30"/>
  <c r="S99" i="30"/>
  <c r="S98" i="30"/>
  <c r="S97" i="30"/>
  <c r="S96" i="30"/>
  <c r="S95" i="30"/>
  <c r="S94" i="30"/>
  <c r="S93" i="30"/>
  <c r="S92" i="30"/>
  <c r="S91" i="30"/>
  <c r="S90" i="30"/>
  <c r="S89" i="30"/>
  <c r="S88" i="30"/>
  <c r="T87" i="30"/>
  <c r="S87" i="30"/>
  <c r="X101" i="30"/>
  <c r="X100" i="30"/>
  <c r="X99" i="30"/>
  <c r="X98" i="30"/>
  <c r="X97" i="30"/>
  <c r="X96" i="30"/>
  <c r="X95" i="30"/>
  <c r="X94" i="30"/>
  <c r="X93" i="30"/>
  <c r="X92" i="30"/>
  <c r="X91" i="30"/>
  <c r="X90" i="30"/>
  <c r="X89" i="30"/>
  <c r="X88" i="30"/>
  <c r="Y87" i="30"/>
  <c r="X87" i="30"/>
  <c r="AC101" i="30"/>
  <c r="AC100" i="30"/>
  <c r="AC99" i="30"/>
  <c r="AC98" i="30"/>
  <c r="AC97" i="30"/>
  <c r="AC96" i="30"/>
  <c r="AC95" i="30"/>
  <c r="AC94" i="30"/>
  <c r="AC93" i="30"/>
  <c r="AC92" i="30"/>
  <c r="AC91" i="30"/>
  <c r="AC90" i="30"/>
  <c r="AC89" i="30"/>
  <c r="AC88" i="30"/>
  <c r="AD87" i="30"/>
  <c r="AC87" i="30"/>
  <c r="AH101" i="30"/>
  <c r="AH100" i="30"/>
  <c r="AH99" i="30"/>
  <c r="AH98" i="30"/>
  <c r="AH97" i="30"/>
  <c r="AH96" i="30"/>
  <c r="AH95" i="30"/>
  <c r="AH94" i="30"/>
  <c r="AH93" i="30"/>
  <c r="AH92" i="30"/>
  <c r="AH91" i="30"/>
  <c r="AH90" i="30"/>
  <c r="AH89" i="30"/>
  <c r="AH88" i="30"/>
  <c r="AI87" i="30"/>
  <c r="AH87" i="30"/>
  <c r="AW176" i="8" l="1"/>
  <c r="AW175" i="8"/>
  <c r="AW174" i="8"/>
  <c r="AW173" i="8"/>
  <c r="AW172" i="8"/>
  <c r="AW171" i="8"/>
  <c r="AW170" i="8"/>
  <c r="AW169" i="8"/>
  <c r="AW168" i="8"/>
  <c r="AW167" i="8"/>
  <c r="AW166" i="8"/>
  <c r="AW165" i="8"/>
  <c r="AW164" i="8"/>
  <c r="AW163" i="8"/>
  <c r="AW162" i="8"/>
  <c r="AW161" i="8"/>
  <c r="AW160" i="8"/>
  <c r="AW159" i="8"/>
  <c r="AW158" i="8"/>
  <c r="AW157" i="8"/>
  <c r="AW156" i="8"/>
  <c r="AW155" i="8"/>
  <c r="AW154" i="8"/>
  <c r="AW153" i="8"/>
  <c r="AW152" i="8"/>
  <c r="AW151" i="8"/>
  <c r="AW150" i="8"/>
  <c r="AW149" i="8"/>
  <c r="AW148" i="8"/>
  <c r="AX147" i="8"/>
  <c r="AW147" i="8"/>
  <c r="AR176" i="8"/>
  <c r="AR175" i="8"/>
  <c r="AR174" i="8"/>
  <c r="AR173" i="8"/>
  <c r="AR172" i="8"/>
  <c r="AR171" i="8"/>
  <c r="AR170" i="8"/>
  <c r="AR169" i="8"/>
  <c r="AR168" i="8"/>
  <c r="AR167" i="8"/>
  <c r="AR166" i="8"/>
  <c r="AR165" i="8"/>
  <c r="AR164" i="8"/>
  <c r="AR163" i="8"/>
  <c r="AR162" i="8"/>
  <c r="AR161" i="8"/>
  <c r="AR160" i="8"/>
  <c r="AR159" i="8"/>
  <c r="AR158" i="8"/>
  <c r="AR157" i="8"/>
  <c r="AR156" i="8"/>
  <c r="AR155" i="8"/>
  <c r="AR154" i="8"/>
  <c r="AR153" i="8"/>
  <c r="AR152" i="8"/>
  <c r="AR151" i="8"/>
  <c r="AR150" i="8"/>
  <c r="AR149" i="8"/>
  <c r="AR148" i="8"/>
  <c r="AS147" i="8"/>
  <c r="AR147" i="8"/>
  <c r="AM176" i="8"/>
  <c r="AM175" i="8"/>
  <c r="AM174" i="8"/>
  <c r="AM173" i="8"/>
  <c r="AM172" i="8"/>
  <c r="AM171" i="8"/>
  <c r="AM170" i="8"/>
  <c r="AM169" i="8"/>
  <c r="AM168" i="8"/>
  <c r="AM167" i="8"/>
  <c r="AM166" i="8"/>
  <c r="AM165" i="8"/>
  <c r="AM164" i="8"/>
  <c r="AM163" i="8"/>
  <c r="AM162" i="8"/>
  <c r="AM161" i="8"/>
  <c r="AM160" i="8"/>
  <c r="AM159" i="8"/>
  <c r="AM158" i="8"/>
  <c r="AM157" i="8"/>
  <c r="AM156" i="8"/>
  <c r="AM155" i="8"/>
  <c r="AM154" i="8"/>
  <c r="AM153" i="8"/>
  <c r="AM152" i="8"/>
  <c r="AM151" i="8"/>
  <c r="AM150" i="8"/>
  <c r="AM149" i="8"/>
  <c r="AM148" i="8"/>
  <c r="AN147" i="8"/>
  <c r="AM147" i="8"/>
  <c r="AH176" i="8"/>
  <c r="AH175" i="8"/>
  <c r="AH174" i="8"/>
  <c r="AH173" i="8"/>
  <c r="AH172" i="8"/>
  <c r="AH171" i="8"/>
  <c r="AH170" i="8"/>
  <c r="AH169" i="8"/>
  <c r="AH168" i="8"/>
  <c r="AH167" i="8"/>
  <c r="AH166" i="8"/>
  <c r="AH165" i="8"/>
  <c r="AH164" i="8"/>
  <c r="AH163" i="8"/>
  <c r="AH162" i="8"/>
  <c r="AH161" i="8"/>
  <c r="AH160" i="8"/>
  <c r="AH159" i="8"/>
  <c r="AH158" i="8"/>
  <c r="AH157" i="8"/>
  <c r="AH156" i="8"/>
  <c r="AH155" i="8"/>
  <c r="AH154" i="8"/>
  <c r="AH153" i="8"/>
  <c r="AH152" i="8"/>
  <c r="AH151" i="8"/>
  <c r="AH150" i="8"/>
  <c r="AH149" i="8"/>
  <c r="AH148" i="8"/>
  <c r="AI147" i="8"/>
  <c r="AH147" i="8"/>
  <c r="AC176" i="8"/>
  <c r="AC175" i="8"/>
  <c r="AC174" i="8"/>
  <c r="AC173" i="8"/>
  <c r="AC172" i="8"/>
  <c r="AC171" i="8"/>
  <c r="AC170" i="8"/>
  <c r="AC169" i="8"/>
  <c r="AC168" i="8"/>
  <c r="AC167" i="8"/>
  <c r="AC166" i="8"/>
  <c r="AC165" i="8"/>
  <c r="AC164" i="8"/>
  <c r="AC163" i="8"/>
  <c r="AC162" i="8"/>
  <c r="AC161" i="8"/>
  <c r="AC160" i="8"/>
  <c r="AC159" i="8"/>
  <c r="AC158" i="8"/>
  <c r="AC157" i="8"/>
  <c r="AC156" i="8"/>
  <c r="AC155" i="8"/>
  <c r="AC154" i="8"/>
  <c r="AC153" i="8"/>
  <c r="AC152" i="8"/>
  <c r="AC151" i="8"/>
  <c r="AC150" i="8"/>
  <c r="AC149" i="8"/>
  <c r="AC148" i="8"/>
  <c r="AD147" i="8"/>
  <c r="AC147" i="8"/>
  <c r="X176" i="8"/>
  <c r="X175" i="8"/>
  <c r="X174" i="8"/>
  <c r="X173" i="8"/>
  <c r="X172" i="8"/>
  <c r="X171" i="8"/>
  <c r="X170" i="8"/>
  <c r="X169" i="8"/>
  <c r="X168" i="8"/>
  <c r="X167" i="8"/>
  <c r="X166" i="8"/>
  <c r="X165" i="8"/>
  <c r="X164" i="8"/>
  <c r="X163" i="8"/>
  <c r="X162" i="8"/>
  <c r="X161" i="8"/>
  <c r="X160" i="8"/>
  <c r="X159" i="8"/>
  <c r="X158" i="8"/>
  <c r="X157" i="8"/>
  <c r="X156" i="8"/>
  <c r="X155" i="8"/>
  <c r="X154" i="8"/>
  <c r="X153" i="8"/>
  <c r="X152" i="8"/>
  <c r="X151" i="8"/>
  <c r="X150" i="8"/>
  <c r="X149" i="8"/>
  <c r="X148" i="8"/>
  <c r="Y147" i="8"/>
  <c r="X147" i="8"/>
  <c r="S148" i="8"/>
  <c r="S149" i="8"/>
  <c r="S150" i="8"/>
  <c r="S151" i="8"/>
  <c r="S152" i="8"/>
  <c r="S153" i="8"/>
  <c r="S154" i="8"/>
  <c r="S155" i="8"/>
  <c r="S156" i="8"/>
  <c r="S157" i="8"/>
  <c r="S158" i="8"/>
  <c r="S159" i="8"/>
  <c r="S160" i="8"/>
  <c r="S161" i="8"/>
  <c r="S162" i="8"/>
  <c r="S163" i="8"/>
  <c r="S164" i="8"/>
  <c r="S165" i="8"/>
  <c r="S166" i="8"/>
  <c r="S167" i="8"/>
  <c r="S168" i="8"/>
  <c r="S169" i="8"/>
  <c r="S170" i="8"/>
  <c r="S171" i="8"/>
  <c r="S172" i="8"/>
  <c r="S173" i="8"/>
  <c r="S174" i="8"/>
  <c r="S175" i="8"/>
  <c r="S176" i="8"/>
  <c r="S147" i="8"/>
  <c r="T147" i="8"/>
  <c r="D8" i="6" l="1"/>
  <c r="D9" i="6" s="1"/>
  <c r="D10" i="6" s="1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10" i="5" l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10" i="3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AC37" i="6" l="1"/>
  <c r="S37" i="6"/>
  <c r="M37" i="6"/>
  <c r="U39" i="3"/>
  <c r="O39" i="3"/>
  <c r="F37" i="6" l="1"/>
  <c r="AD37" i="6" s="1"/>
  <c r="AW81" i="35"/>
  <c r="AR81" i="35"/>
  <c r="AM81" i="35"/>
  <c r="AH81" i="35"/>
  <c r="AC81" i="35"/>
  <c r="X81" i="35"/>
  <c r="S81" i="35"/>
  <c r="AW80" i="35"/>
  <c r="AR80" i="35"/>
  <c r="AM80" i="35"/>
  <c r="AH80" i="35"/>
  <c r="AC80" i="35"/>
  <c r="X80" i="35"/>
  <c r="S80" i="35"/>
  <c r="K80" i="35"/>
  <c r="M80" i="35" s="1"/>
  <c r="J80" i="35"/>
  <c r="I80" i="35"/>
  <c r="AW79" i="35"/>
  <c r="AR79" i="35"/>
  <c r="AM79" i="35"/>
  <c r="AH79" i="35"/>
  <c r="AC79" i="35"/>
  <c r="X79" i="35"/>
  <c r="S79" i="35"/>
  <c r="M79" i="35"/>
  <c r="K79" i="35"/>
  <c r="J79" i="35"/>
  <c r="I79" i="35"/>
  <c r="AW78" i="35"/>
  <c r="AR78" i="35"/>
  <c r="AM78" i="35"/>
  <c r="AH78" i="35"/>
  <c r="AC78" i="35"/>
  <c r="X78" i="35"/>
  <c r="S78" i="35"/>
  <c r="K78" i="35"/>
  <c r="M78" i="35" s="1"/>
  <c r="J78" i="35"/>
  <c r="I78" i="35"/>
  <c r="AW77" i="35"/>
  <c r="AR77" i="35"/>
  <c r="AM77" i="35"/>
  <c r="AH77" i="35"/>
  <c r="AC77" i="35"/>
  <c r="X77" i="35"/>
  <c r="S77" i="35"/>
  <c r="K77" i="35"/>
  <c r="M77" i="35" s="1"/>
  <c r="J77" i="35"/>
  <c r="I77" i="35"/>
  <c r="AW76" i="35"/>
  <c r="AR76" i="35"/>
  <c r="AM76" i="35"/>
  <c r="AH76" i="35"/>
  <c r="AC76" i="35"/>
  <c r="X76" i="35"/>
  <c r="S76" i="35"/>
  <c r="K76" i="35"/>
  <c r="M76" i="35" s="1"/>
  <c r="J76" i="35"/>
  <c r="I76" i="35"/>
  <c r="AW75" i="35"/>
  <c r="AR75" i="35"/>
  <c r="AM75" i="35"/>
  <c r="AH75" i="35"/>
  <c r="AC75" i="35"/>
  <c r="X75" i="35"/>
  <c r="S75" i="35"/>
  <c r="K75" i="35"/>
  <c r="M75" i="35" s="1"/>
  <c r="J75" i="35"/>
  <c r="I75" i="35"/>
  <c r="AW74" i="35"/>
  <c r="AR74" i="35"/>
  <c r="AM74" i="35"/>
  <c r="AH74" i="35"/>
  <c r="AC74" i="35"/>
  <c r="X74" i="35"/>
  <c r="S74" i="35"/>
  <c r="K74" i="35"/>
  <c r="M74" i="35" s="1"/>
  <c r="J74" i="35"/>
  <c r="I74" i="35"/>
  <c r="AW73" i="35"/>
  <c r="AR73" i="35"/>
  <c r="AM73" i="35"/>
  <c r="AH73" i="35"/>
  <c r="AC73" i="35"/>
  <c r="X73" i="35"/>
  <c r="S73" i="35"/>
  <c r="K73" i="35"/>
  <c r="M73" i="35" s="1"/>
  <c r="J73" i="35"/>
  <c r="I73" i="35"/>
  <c r="AW72" i="35"/>
  <c r="AR72" i="35"/>
  <c r="AM72" i="35"/>
  <c r="AH72" i="35"/>
  <c r="AC72" i="35"/>
  <c r="X72" i="35"/>
  <c r="S72" i="35"/>
  <c r="K72" i="35"/>
  <c r="M72" i="35" s="1"/>
  <c r="J72" i="35"/>
  <c r="I72" i="35"/>
  <c r="AW71" i="35"/>
  <c r="AR71" i="35"/>
  <c r="AM71" i="35"/>
  <c r="AH71" i="35"/>
  <c r="AC71" i="35"/>
  <c r="X71" i="35"/>
  <c r="S71" i="35"/>
  <c r="K71" i="35"/>
  <c r="J71" i="35"/>
  <c r="I71" i="35"/>
  <c r="AW70" i="35"/>
  <c r="AR70" i="35"/>
  <c r="AM70" i="35"/>
  <c r="AH70" i="35"/>
  <c r="AC70" i="35"/>
  <c r="X70" i="35"/>
  <c r="S70" i="35"/>
  <c r="K70" i="35"/>
  <c r="J70" i="35"/>
  <c r="I70" i="35"/>
  <c r="AW69" i="35"/>
  <c r="AR69" i="35"/>
  <c r="AM69" i="35"/>
  <c r="AH69" i="35"/>
  <c r="AC69" i="35"/>
  <c r="X69" i="35"/>
  <c r="S69" i="35"/>
  <c r="K69" i="35"/>
  <c r="J69" i="35"/>
  <c r="I69" i="35"/>
  <c r="AW68" i="35"/>
  <c r="AR68" i="35"/>
  <c r="AM68" i="35"/>
  <c r="AH68" i="35"/>
  <c r="AC68" i="35"/>
  <c r="X68" i="35"/>
  <c r="S68" i="35"/>
  <c r="K68" i="35"/>
  <c r="J68" i="35"/>
  <c r="I68" i="35"/>
  <c r="AX67" i="35"/>
  <c r="AW67" i="35"/>
  <c r="AS67" i="35"/>
  <c r="AR67" i="35"/>
  <c r="AN67" i="35"/>
  <c r="AM67" i="35"/>
  <c r="AI67" i="35"/>
  <c r="AH67" i="35"/>
  <c r="AD67" i="35"/>
  <c r="AC67" i="35"/>
  <c r="Y67" i="35"/>
  <c r="X67" i="35"/>
  <c r="T67" i="35"/>
  <c r="S67" i="35"/>
  <c r="K67" i="35"/>
  <c r="J67" i="35"/>
  <c r="I67" i="35"/>
  <c r="H67" i="35"/>
  <c r="AW61" i="35"/>
  <c r="AR61" i="35"/>
  <c r="AM61" i="35"/>
  <c r="AH61" i="35"/>
  <c r="AC61" i="35"/>
  <c r="X61" i="35"/>
  <c r="S61" i="35"/>
  <c r="AW60" i="35"/>
  <c r="AR60" i="35"/>
  <c r="AM60" i="35"/>
  <c r="AH60" i="35"/>
  <c r="AC60" i="35"/>
  <c r="X60" i="35"/>
  <c r="S60" i="35"/>
  <c r="K60" i="35"/>
  <c r="M60" i="35" s="1"/>
  <c r="J60" i="35"/>
  <c r="I60" i="35"/>
  <c r="AW59" i="35"/>
  <c r="AR59" i="35"/>
  <c r="AM59" i="35"/>
  <c r="AH59" i="35"/>
  <c r="AC59" i="35"/>
  <c r="X59" i="35"/>
  <c r="S59" i="35"/>
  <c r="M59" i="35"/>
  <c r="K59" i="35"/>
  <c r="J59" i="35"/>
  <c r="I59" i="35"/>
  <c r="AW58" i="35"/>
  <c r="AR58" i="35"/>
  <c r="AM58" i="35"/>
  <c r="AH58" i="35"/>
  <c r="AC58" i="35"/>
  <c r="X58" i="35"/>
  <c r="S58" i="35"/>
  <c r="K58" i="35"/>
  <c r="M58" i="35" s="1"/>
  <c r="J58" i="35"/>
  <c r="I58" i="35"/>
  <c r="AW57" i="35"/>
  <c r="AR57" i="35"/>
  <c r="AM57" i="35"/>
  <c r="AH57" i="35"/>
  <c r="AC57" i="35"/>
  <c r="X57" i="35"/>
  <c r="S57" i="35"/>
  <c r="K57" i="35"/>
  <c r="M57" i="35" s="1"/>
  <c r="J57" i="35"/>
  <c r="I57" i="35"/>
  <c r="AW56" i="35"/>
  <c r="AR56" i="35"/>
  <c r="AM56" i="35"/>
  <c r="AH56" i="35"/>
  <c r="AC56" i="35"/>
  <c r="X56" i="35"/>
  <c r="S56" i="35"/>
  <c r="K56" i="35"/>
  <c r="M56" i="35" s="1"/>
  <c r="J56" i="35"/>
  <c r="I56" i="35"/>
  <c r="AW55" i="35"/>
  <c r="AR55" i="35"/>
  <c r="AM55" i="35"/>
  <c r="AH55" i="35"/>
  <c r="AC55" i="35"/>
  <c r="X55" i="35"/>
  <c r="S55" i="35"/>
  <c r="M55" i="35"/>
  <c r="K55" i="35"/>
  <c r="J55" i="35"/>
  <c r="I55" i="35"/>
  <c r="AW54" i="35"/>
  <c r="AR54" i="35"/>
  <c r="AM54" i="35"/>
  <c r="AH54" i="35"/>
  <c r="AC54" i="35"/>
  <c r="X54" i="35"/>
  <c r="S54" i="35"/>
  <c r="K54" i="35"/>
  <c r="M54" i="35" s="1"/>
  <c r="J54" i="35"/>
  <c r="I54" i="35"/>
  <c r="AW53" i="35"/>
  <c r="AR53" i="35"/>
  <c r="AM53" i="35"/>
  <c r="AH53" i="35"/>
  <c r="AC53" i="35"/>
  <c r="X53" i="35"/>
  <c r="S53" i="35"/>
  <c r="K53" i="35"/>
  <c r="M53" i="35" s="1"/>
  <c r="J53" i="35"/>
  <c r="I53" i="35"/>
  <c r="AW52" i="35"/>
  <c r="AR52" i="35"/>
  <c r="AM52" i="35"/>
  <c r="AH52" i="35"/>
  <c r="AC52" i="35"/>
  <c r="X52" i="35"/>
  <c r="S52" i="35"/>
  <c r="K52" i="35"/>
  <c r="M52" i="35" s="1"/>
  <c r="J52" i="35"/>
  <c r="I52" i="35"/>
  <c r="AW51" i="35"/>
  <c r="AR51" i="35"/>
  <c r="AM51" i="35"/>
  <c r="AH51" i="35"/>
  <c r="AC51" i="35"/>
  <c r="X51" i="35"/>
  <c r="S51" i="35"/>
  <c r="M51" i="35"/>
  <c r="K51" i="35"/>
  <c r="J51" i="35"/>
  <c r="I51" i="35"/>
  <c r="AW50" i="35"/>
  <c r="AR50" i="35"/>
  <c r="AM50" i="35"/>
  <c r="AH50" i="35"/>
  <c r="AC50" i="35"/>
  <c r="X50" i="35"/>
  <c r="S50" i="35"/>
  <c r="K50" i="35"/>
  <c r="J50" i="35"/>
  <c r="I50" i="35"/>
  <c r="AW49" i="35"/>
  <c r="AR49" i="35"/>
  <c r="AM49" i="35"/>
  <c r="AH49" i="35"/>
  <c r="AC49" i="35"/>
  <c r="X49" i="35"/>
  <c r="S49" i="35"/>
  <c r="K49" i="35"/>
  <c r="J49" i="35"/>
  <c r="I49" i="35"/>
  <c r="AW48" i="35"/>
  <c r="AR48" i="35"/>
  <c r="AM48" i="35"/>
  <c r="AH48" i="35"/>
  <c r="AC48" i="35"/>
  <c r="X48" i="35"/>
  <c r="S48" i="35"/>
  <c r="K48" i="35"/>
  <c r="L47" i="35" s="1"/>
  <c r="J48" i="35"/>
  <c r="I48" i="35"/>
  <c r="AX47" i="35"/>
  <c r="AW47" i="35"/>
  <c r="AS47" i="35"/>
  <c r="AR47" i="35"/>
  <c r="AN47" i="35"/>
  <c r="AM47" i="35"/>
  <c r="AI47" i="35"/>
  <c r="AH47" i="35"/>
  <c r="AD47" i="35"/>
  <c r="AC47" i="35"/>
  <c r="Y47" i="35"/>
  <c r="X47" i="35"/>
  <c r="T47" i="35"/>
  <c r="S47" i="35"/>
  <c r="K47" i="35"/>
  <c r="J47" i="35"/>
  <c r="I47" i="35"/>
  <c r="H47" i="35"/>
  <c r="AW41" i="35"/>
  <c r="AR41" i="35"/>
  <c r="AM41" i="35"/>
  <c r="AH41" i="35"/>
  <c r="AC41" i="35"/>
  <c r="X41" i="35"/>
  <c r="S41" i="35"/>
  <c r="AW40" i="35"/>
  <c r="AR40" i="35"/>
  <c r="AM40" i="35"/>
  <c r="AH40" i="35"/>
  <c r="AC40" i="35"/>
  <c r="X40" i="35"/>
  <c r="S40" i="35"/>
  <c r="K40" i="35"/>
  <c r="M40" i="35" s="1"/>
  <c r="J40" i="35"/>
  <c r="I40" i="35"/>
  <c r="AW39" i="35"/>
  <c r="AR39" i="35"/>
  <c r="AM39" i="35"/>
  <c r="AH39" i="35"/>
  <c r="AC39" i="35"/>
  <c r="X39" i="35"/>
  <c r="S39" i="35"/>
  <c r="K39" i="35"/>
  <c r="M39" i="35" s="1"/>
  <c r="J39" i="35"/>
  <c r="I39" i="35"/>
  <c r="AW38" i="35"/>
  <c r="AR38" i="35"/>
  <c r="AM38" i="35"/>
  <c r="AH38" i="35"/>
  <c r="AC38" i="35"/>
  <c r="X38" i="35"/>
  <c r="S38" i="35"/>
  <c r="M38" i="35"/>
  <c r="K38" i="35"/>
  <c r="J38" i="35"/>
  <c r="I38" i="35"/>
  <c r="AW37" i="35"/>
  <c r="AR37" i="35"/>
  <c r="AM37" i="35"/>
  <c r="AH37" i="35"/>
  <c r="AC37" i="35"/>
  <c r="X37" i="35"/>
  <c r="S37" i="35"/>
  <c r="K37" i="35"/>
  <c r="M37" i="35" s="1"/>
  <c r="J37" i="35"/>
  <c r="I37" i="35"/>
  <c r="AW36" i="35"/>
  <c r="AR36" i="35"/>
  <c r="AM36" i="35"/>
  <c r="AH36" i="35"/>
  <c r="AC36" i="35"/>
  <c r="X36" i="35"/>
  <c r="S36" i="35"/>
  <c r="K36" i="35"/>
  <c r="M36" i="35" s="1"/>
  <c r="J36" i="35"/>
  <c r="I36" i="35"/>
  <c r="AW35" i="35"/>
  <c r="AR35" i="35"/>
  <c r="AM35" i="35"/>
  <c r="AH35" i="35"/>
  <c r="AC35" i="35"/>
  <c r="X35" i="35"/>
  <c r="S35" i="35"/>
  <c r="M35" i="35"/>
  <c r="K35" i="35"/>
  <c r="J35" i="35"/>
  <c r="I35" i="35"/>
  <c r="AW34" i="35"/>
  <c r="AR34" i="35"/>
  <c r="AM34" i="35"/>
  <c r="AH34" i="35"/>
  <c r="AC34" i="35"/>
  <c r="X34" i="35"/>
  <c r="S34" i="35"/>
  <c r="M34" i="35"/>
  <c r="K34" i="35"/>
  <c r="J34" i="35"/>
  <c r="I34" i="35"/>
  <c r="AW33" i="35"/>
  <c r="AR33" i="35"/>
  <c r="AM33" i="35"/>
  <c r="AH33" i="35"/>
  <c r="AC33" i="35"/>
  <c r="X33" i="35"/>
  <c r="S33" i="35"/>
  <c r="K33" i="35"/>
  <c r="M33" i="35" s="1"/>
  <c r="J33" i="35"/>
  <c r="I33" i="35"/>
  <c r="AW32" i="35"/>
  <c r="AR32" i="35"/>
  <c r="AM32" i="35"/>
  <c r="AH32" i="35"/>
  <c r="AC32" i="35"/>
  <c r="X32" i="35"/>
  <c r="S32" i="35"/>
  <c r="K32" i="35"/>
  <c r="M32" i="35" s="1"/>
  <c r="J32" i="35"/>
  <c r="I32" i="35"/>
  <c r="AW31" i="35"/>
  <c r="AR31" i="35"/>
  <c r="AM31" i="35"/>
  <c r="AH31" i="35"/>
  <c r="AC31" i="35"/>
  <c r="X31" i="35"/>
  <c r="S31" i="35"/>
  <c r="K31" i="35"/>
  <c r="M31" i="35" s="1"/>
  <c r="J31" i="35"/>
  <c r="I31" i="35"/>
  <c r="AW30" i="35"/>
  <c r="AR30" i="35"/>
  <c r="AM30" i="35"/>
  <c r="AH30" i="35"/>
  <c r="AC30" i="35"/>
  <c r="X30" i="35"/>
  <c r="S30" i="35"/>
  <c r="K30" i="35"/>
  <c r="J30" i="35"/>
  <c r="I30" i="35"/>
  <c r="AW29" i="35"/>
  <c r="AR29" i="35"/>
  <c r="AM29" i="35"/>
  <c r="AH29" i="35"/>
  <c r="AC29" i="35"/>
  <c r="X29" i="35"/>
  <c r="S29" i="35"/>
  <c r="K29" i="35"/>
  <c r="J29" i="35"/>
  <c r="I29" i="35"/>
  <c r="AW28" i="35"/>
  <c r="AR28" i="35"/>
  <c r="AM28" i="35"/>
  <c r="AH28" i="35"/>
  <c r="AC28" i="35"/>
  <c r="X28" i="35"/>
  <c r="S28" i="35"/>
  <c r="K28" i="35"/>
  <c r="J28" i="35"/>
  <c r="I28" i="35"/>
  <c r="AX27" i="35"/>
  <c r="AW27" i="35"/>
  <c r="AS27" i="35"/>
  <c r="AR27" i="35"/>
  <c r="AN27" i="35"/>
  <c r="AM27" i="35"/>
  <c r="AI27" i="35"/>
  <c r="AH27" i="35"/>
  <c r="AD27" i="35"/>
  <c r="AC27" i="35"/>
  <c r="Y27" i="35"/>
  <c r="X27" i="35"/>
  <c r="T27" i="35"/>
  <c r="S27" i="35"/>
  <c r="K27" i="35"/>
  <c r="M41" i="35" s="1"/>
  <c r="J27" i="35"/>
  <c r="I27" i="35"/>
  <c r="H27" i="35"/>
  <c r="AW81" i="34"/>
  <c r="AR81" i="34"/>
  <c r="AM81" i="34"/>
  <c r="AH81" i="34"/>
  <c r="AC81" i="34"/>
  <c r="X81" i="34"/>
  <c r="S81" i="34"/>
  <c r="K81" i="34"/>
  <c r="M81" i="34" s="1"/>
  <c r="J81" i="34"/>
  <c r="I81" i="34"/>
  <c r="AW80" i="34"/>
  <c r="AR80" i="34"/>
  <c r="AM80" i="34"/>
  <c r="AH80" i="34"/>
  <c r="AC80" i="34"/>
  <c r="X80" i="34"/>
  <c r="S80" i="34"/>
  <c r="K80" i="34"/>
  <c r="M80" i="34" s="1"/>
  <c r="J80" i="34"/>
  <c r="I80" i="34"/>
  <c r="AW79" i="34"/>
  <c r="AR79" i="34"/>
  <c r="AM79" i="34"/>
  <c r="AH79" i="34"/>
  <c r="AC79" i="34"/>
  <c r="X79" i="34"/>
  <c r="S79" i="34"/>
  <c r="K79" i="34"/>
  <c r="J79" i="34"/>
  <c r="I79" i="34"/>
  <c r="AW78" i="34"/>
  <c r="AR78" i="34"/>
  <c r="AM78" i="34"/>
  <c r="AH78" i="34"/>
  <c r="AC78" i="34"/>
  <c r="X78" i="34"/>
  <c r="S78" i="34"/>
  <c r="K78" i="34"/>
  <c r="J78" i="34"/>
  <c r="I78" i="34"/>
  <c r="AW77" i="34"/>
  <c r="AR77" i="34"/>
  <c r="AM77" i="34"/>
  <c r="AH77" i="34"/>
  <c r="AC77" i="34"/>
  <c r="X77" i="34"/>
  <c r="S77" i="34"/>
  <c r="K77" i="34"/>
  <c r="J77" i="34"/>
  <c r="I77" i="34"/>
  <c r="AW76" i="34"/>
  <c r="AR76" i="34"/>
  <c r="AM76" i="34"/>
  <c r="AH76" i="34"/>
  <c r="AC76" i="34"/>
  <c r="X76" i="34"/>
  <c r="S76" i="34"/>
  <c r="K76" i="34"/>
  <c r="J76" i="34"/>
  <c r="I76" i="34"/>
  <c r="AW75" i="34"/>
  <c r="AR75" i="34"/>
  <c r="AM75" i="34"/>
  <c r="AH75" i="34"/>
  <c r="AC75" i="34"/>
  <c r="X75" i="34"/>
  <c r="S75" i="34"/>
  <c r="K75" i="34"/>
  <c r="J75" i="34"/>
  <c r="I75" i="34"/>
  <c r="AW74" i="34"/>
  <c r="AR74" i="34"/>
  <c r="AM74" i="34"/>
  <c r="AH74" i="34"/>
  <c r="AC74" i="34"/>
  <c r="X74" i="34"/>
  <c r="S74" i="34"/>
  <c r="K74" i="34"/>
  <c r="J74" i="34"/>
  <c r="I74" i="34"/>
  <c r="AW73" i="34"/>
  <c r="AR73" i="34"/>
  <c r="AM73" i="34"/>
  <c r="AH73" i="34"/>
  <c r="AC73" i="34"/>
  <c r="X73" i="34"/>
  <c r="S73" i="34"/>
  <c r="K73" i="34"/>
  <c r="J73" i="34"/>
  <c r="I73" i="34"/>
  <c r="AW72" i="34"/>
  <c r="AR72" i="34"/>
  <c r="AM72" i="34"/>
  <c r="AH72" i="34"/>
  <c r="AC72" i="34"/>
  <c r="X72" i="34"/>
  <c r="S72" i="34"/>
  <c r="K72" i="34"/>
  <c r="J72" i="34"/>
  <c r="I72" i="34"/>
  <c r="AW71" i="34"/>
  <c r="AR71" i="34"/>
  <c r="AM71" i="34"/>
  <c r="AH71" i="34"/>
  <c r="AC71" i="34"/>
  <c r="X71" i="34"/>
  <c r="S71" i="34"/>
  <c r="K71" i="34"/>
  <c r="J71" i="34"/>
  <c r="I71" i="34"/>
  <c r="AW70" i="34"/>
  <c r="AR70" i="34"/>
  <c r="AM70" i="34"/>
  <c r="AH70" i="34"/>
  <c r="AC70" i="34"/>
  <c r="X70" i="34"/>
  <c r="S70" i="34"/>
  <c r="K70" i="34"/>
  <c r="J70" i="34"/>
  <c r="I70" i="34"/>
  <c r="AW69" i="34"/>
  <c r="AR69" i="34"/>
  <c r="AM69" i="34"/>
  <c r="AH69" i="34"/>
  <c r="AC69" i="34"/>
  <c r="X69" i="34"/>
  <c r="S69" i="34"/>
  <c r="K69" i="34"/>
  <c r="J69" i="34"/>
  <c r="I69" i="34"/>
  <c r="AW68" i="34"/>
  <c r="AR68" i="34"/>
  <c r="AM68" i="34"/>
  <c r="AH68" i="34"/>
  <c r="AC68" i="34"/>
  <c r="X68" i="34"/>
  <c r="S68" i="34"/>
  <c r="K68" i="34"/>
  <c r="J68" i="34"/>
  <c r="I68" i="34"/>
  <c r="AX67" i="34"/>
  <c r="AW67" i="34"/>
  <c r="AS67" i="34"/>
  <c r="AR67" i="34"/>
  <c r="AN67" i="34"/>
  <c r="AM67" i="34"/>
  <c r="AI67" i="34"/>
  <c r="AH67" i="34"/>
  <c r="AD67" i="34"/>
  <c r="AC67" i="34"/>
  <c r="Y67" i="34"/>
  <c r="X67" i="34"/>
  <c r="T67" i="34"/>
  <c r="S67" i="34"/>
  <c r="K67" i="34"/>
  <c r="J67" i="34"/>
  <c r="I67" i="34"/>
  <c r="H67" i="34"/>
  <c r="K61" i="34"/>
  <c r="M61" i="34" s="1"/>
  <c r="J61" i="34"/>
  <c r="I61" i="34"/>
  <c r="K60" i="34"/>
  <c r="M60" i="34" s="1"/>
  <c r="J60" i="34"/>
  <c r="I60" i="34"/>
  <c r="K59" i="34"/>
  <c r="M59" i="34" s="1"/>
  <c r="J59" i="34"/>
  <c r="I59" i="34"/>
  <c r="K58" i="34"/>
  <c r="M58" i="34" s="1"/>
  <c r="J58" i="34"/>
  <c r="I58" i="34"/>
  <c r="K57" i="34"/>
  <c r="M57" i="34" s="1"/>
  <c r="J57" i="34"/>
  <c r="I57" i="34"/>
  <c r="K56" i="34"/>
  <c r="M56" i="34" s="1"/>
  <c r="J56" i="34"/>
  <c r="I56" i="34"/>
  <c r="K55" i="34"/>
  <c r="M55" i="34" s="1"/>
  <c r="J55" i="34"/>
  <c r="I55" i="34"/>
  <c r="K54" i="34"/>
  <c r="M54" i="34" s="1"/>
  <c r="J54" i="34"/>
  <c r="I54" i="34"/>
  <c r="K53" i="34"/>
  <c r="M53" i="34" s="1"/>
  <c r="J53" i="34"/>
  <c r="I53" i="34"/>
  <c r="K52" i="34"/>
  <c r="M52" i="34" s="1"/>
  <c r="J52" i="34"/>
  <c r="I52" i="34"/>
  <c r="K51" i="34"/>
  <c r="M51" i="34" s="1"/>
  <c r="J51" i="34"/>
  <c r="I51" i="34"/>
  <c r="K50" i="34"/>
  <c r="M50" i="34" s="1"/>
  <c r="J50" i="34"/>
  <c r="I50" i="34"/>
  <c r="K49" i="34"/>
  <c r="M49" i="34" s="1"/>
  <c r="J49" i="34"/>
  <c r="I49" i="34"/>
  <c r="K48" i="34"/>
  <c r="M48" i="34" s="1"/>
  <c r="J48" i="34"/>
  <c r="I48" i="34"/>
  <c r="K47" i="34"/>
  <c r="L47" i="34" s="1"/>
  <c r="J47" i="34"/>
  <c r="I47" i="34"/>
  <c r="H47" i="34"/>
  <c r="AW41" i="34"/>
  <c r="AR41" i="34"/>
  <c r="AM41" i="34"/>
  <c r="AH41" i="34"/>
  <c r="AC41" i="34"/>
  <c r="X41" i="34"/>
  <c r="S41" i="34"/>
  <c r="AW40" i="34"/>
  <c r="AR40" i="34"/>
  <c r="AM40" i="34"/>
  <c r="AH40" i="34"/>
  <c r="AC40" i="34"/>
  <c r="X40" i="34"/>
  <c r="S40" i="34"/>
  <c r="M40" i="34"/>
  <c r="K40" i="34"/>
  <c r="J40" i="34"/>
  <c r="I40" i="34"/>
  <c r="AW39" i="34"/>
  <c r="AR39" i="34"/>
  <c r="AM39" i="34"/>
  <c r="AH39" i="34"/>
  <c r="AC39" i="34"/>
  <c r="X39" i="34"/>
  <c r="S39" i="34"/>
  <c r="K39" i="34"/>
  <c r="J39" i="34"/>
  <c r="I39" i="34"/>
  <c r="AW38" i="34"/>
  <c r="AR38" i="34"/>
  <c r="AM38" i="34"/>
  <c r="AH38" i="34"/>
  <c r="AC38" i="34"/>
  <c r="X38" i="34"/>
  <c r="S38" i="34"/>
  <c r="K38" i="34"/>
  <c r="J38" i="34"/>
  <c r="I38" i="34"/>
  <c r="AW37" i="34"/>
  <c r="AR37" i="34"/>
  <c r="AM37" i="34"/>
  <c r="AH37" i="34"/>
  <c r="AC37" i="34"/>
  <c r="X37" i="34"/>
  <c r="S37" i="34"/>
  <c r="K37" i="34"/>
  <c r="J37" i="34"/>
  <c r="I37" i="34"/>
  <c r="AW36" i="34"/>
  <c r="AR36" i="34"/>
  <c r="AM36" i="34"/>
  <c r="AH36" i="34"/>
  <c r="AC36" i="34"/>
  <c r="X36" i="34"/>
  <c r="S36" i="34"/>
  <c r="K36" i="34"/>
  <c r="J36" i="34"/>
  <c r="I36" i="34"/>
  <c r="AW35" i="34"/>
  <c r="AR35" i="34"/>
  <c r="AM35" i="34"/>
  <c r="AH35" i="34"/>
  <c r="AC35" i="34"/>
  <c r="X35" i="34"/>
  <c r="S35" i="34"/>
  <c r="K35" i="34"/>
  <c r="J35" i="34"/>
  <c r="I35" i="34"/>
  <c r="AW34" i="34"/>
  <c r="AR34" i="34"/>
  <c r="AM34" i="34"/>
  <c r="AH34" i="34"/>
  <c r="AC34" i="34"/>
  <c r="X34" i="34"/>
  <c r="S34" i="34"/>
  <c r="K34" i="34"/>
  <c r="J34" i="34"/>
  <c r="I34" i="34"/>
  <c r="AW33" i="34"/>
  <c r="AR33" i="34"/>
  <c r="AM33" i="34"/>
  <c r="AH33" i="34"/>
  <c r="AC33" i="34"/>
  <c r="X33" i="34"/>
  <c r="S33" i="34"/>
  <c r="K33" i="34"/>
  <c r="J33" i="34"/>
  <c r="I33" i="34"/>
  <c r="AW32" i="34"/>
  <c r="AR32" i="34"/>
  <c r="AM32" i="34"/>
  <c r="AH32" i="34"/>
  <c r="AC32" i="34"/>
  <c r="X32" i="34"/>
  <c r="S32" i="34"/>
  <c r="K32" i="34"/>
  <c r="J32" i="34"/>
  <c r="I32" i="34"/>
  <c r="AW31" i="34"/>
  <c r="AR31" i="34"/>
  <c r="AM31" i="34"/>
  <c r="AH31" i="34"/>
  <c r="AC31" i="34"/>
  <c r="X31" i="34"/>
  <c r="S31" i="34"/>
  <c r="K31" i="34"/>
  <c r="J31" i="34"/>
  <c r="I31" i="34"/>
  <c r="AW30" i="34"/>
  <c r="AR30" i="34"/>
  <c r="AM30" i="34"/>
  <c r="AH30" i="34"/>
  <c r="AC30" i="34"/>
  <c r="X30" i="34"/>
  <c r="S30" i="34"/>
  <c r="K30" i="34"/>
  <c r="J30" i="34"/>
  <c r="I30" i="34"/>
  <c r="AW29" i="34"/>
  <c r="AR29" i="34"/>
  <c r="AM29" i="34"/>
  <c r="AH29" i="34"/>
  <c r="AC29" i="34"/>
  <c r="X29" i="34"/>
  <c r="S29" i="34"/>
  <c r="K29" i="34"/>
  <c r="J29" i="34"/>
  <c r="I29" i="34"/>
  <c r="AW28" i="34"/>
  <c r="AR28" i="34"/>
  <c r="AM28" i="34"/>
  <c r="AH28" i="34"/>
  <c r="AC28" i="34"/>
  <c r="X28" i="34"/>
  <c r="S28" i="34"/>
  <c r="K28" i="34"/>
  <c r="J28" i="34"/>
  <c r="I28" i="34"/>
  <c r="AX27" i="34"/>
  <c r="AW27" i="34"/>
  <c r="AS27" i="34"/>
  <c r="AR27" i="34"/>
  <c r="AN27" i="34"/>
  <c r="AM27" i="34"/>
  <c r="AI27" i="34"/>
  <c r="AH27" i="34"/>
  <c r="AD27" i="34"/>
  <c r="AC27" i="34"/>
  <c r="Y27" i="34"/>
  <c r="X27" i="34"/>
  <c r="T27" i="34"/>
  <c r="S27" i="34"/>
  <c r="K27" i="34"/>
  <c r="M37" i="34" s="1"/>
  <c r="J27" i="34"/>
  <c r="I27" i="34"/>
  <c r="H27" i="34"/>
  <c r="AW141" i="33"/>
  <c r="AR141" i="33"/>
  <c r="AM141" i="33"/>
  <c r="AH141" i="33"/>
  <c r="AC141" i="33"/>
  <c r="X141" i="33"/>
  <c r="S141" i="33"/>
  <c r="K141" i="33"/>
  <c r="M141" i="33" s="1"/>
  <c r="J141" i="33"/>
  <c r="I141" i="33"/>
  <c r="AW140" i="33"/>
  <c r="AR140" i="33"/>
  <c r="AM140" i="33"/>
  <c r="AH140" i="33"/>
  <c r="AC140" i="33"/>
  <c r="X140" i="33"/>
  <c r="S140" i="33"/>
  <c r="K140" i="33"/>
  <c r="M140" i="33" s="1"/>
  <c r="J140" i="33"/>
  <c r="I140" i="33"/>
  <c r="AW139" i="33"/>
  <c r="AR139" i="33"/>
  <c r="AM139" i="33"/>
  <c r="AH139" i="33"/>
  <c r="AC139" i="33"/>
  <c r="X139" i="33"/>
  <c r="S139" i="33"/>
  <c r="K139" i="33"/>
  <c r="M139" i="33" s="1"/>
  <c r="J139" i="33"/>
  <c r="I139" i="33"/>
  <c r="AW138" i="33"/>
  <c r="AR138" i="33"/>
  <c r="AM138" i="33"/>
  <c r="AH138" i="33"/>
  <c r="AC138" i="33"/>
  <c r="X138" i="33"/>
  <c r="S138" i="33"/>
  <c r="M138" i="33"/>
  <c r="K138" i="33"/>
  <c r="J138" i="33"/>
  <c r="I138" i="33"/>
  <c r="AW137" i="33"/>
  <c r="AR137" i="33"/>
  <c r="AM137" i="33"/>
  <c r="AH137" i="33"/>
  <c r="AC137" i="33"/>
  <c r="X137" i="33"/>
  <c r="S137" i="33"/>
  <c r="K137" i="33"/>
  <c r="M137" i="33" s="1"/>
  <c r="J137" i="33"/>
  <c r="I137" i="33"/>
  <c r="AW136" i="33"/>
  <c r="AR136" i="33"/>
  <c r="AM136" i="33"/>
  <c r="AH136" i="33"/>
  <c r="AC136" i="33"/>
  <c r="X136" i="33"/>
  <c r="S136" i="33"/>
  <c r="M136" i="33"/>
  <c r="K136" i="33"/>
  <c r="J136" i="33"/>
  <c r="I136" i="33"/>
  <c r="AW135" i="33"/>
  <c r="AR135" i="33"/>
  <c r="AM135" i="33"/>
  <c r="AH135" i="33"/>
  <c r="AC135" i="33"/>
  <c r="X135" i="33"/>
  <c r="S135" i="33"/>
  <c r="K135" i="33"/>
  <c r="J135" i="33"/>
  <c r="I135" i="33"/>
  <c r="AW134" i="33"/>
  <c r="AR134" i="33"/>
  <c r="AM134" i="33"/>
  <c r="AH134" i="33"/>
  <c r="AC134" i="33"/>
  <c r="X134" i="33"/>
  <c r="S134" i="33"/>
  <c r="K134" i="33"/>
  <c r="J134" i="33"/>
  <c r="I134" i="33"/>
  <c r="AW133" i="33"/>
  <c r="AR133" i="33"/>
  <c r="AM133" i="33"/>
  <c r="AH133" i="33"/>
  <c r="AC133" i="33"/>
  <c r="X133" i="33"/>
  <c r="S133" i="33"/>
  <c r="K133" i="33"/>
  <c r="J133" i="33"/>
  <c r="I133" i="33"/>
  <c r="AW132" i="33"/>
  <c r="AR132" i="33"/>
  <c r="AM132" i="33"/>
  <c r="AH132" i="33"/>
  <c r="AC132" i="33"/>
  <c r="X132" i="33"/>
  <c r="S132" i="33"/>
  <c r="K132" i="33"/>
  <c r="J132" i="33"/>
  <c r="I132" i="33"/>
  <c r="AW131" i="33"/>
  <c r="AR131" i="33"/>
  <c r="AM131" i="33"/>
  <c r="AH131" i="33"/>
  <c r="AC131" i="33"/>
  <c r="X131" i="33"/>
  <c r="S131" i="33"/>
  <c r="K131" i="33"/>
  <c r="J131" i="33"/>
  <c r="I131" i="33"/>
  <c r="AW130" i="33"/>
  <c r="AR130" i="33"/>
  <c r="AM130" i="33"/>
  <c r="AH130" i="33"/>
  <c r="AC130" i="33"/>
  <c r="X130" i="33"/>
  <c r="S130" i="33"/>
  <c r="K130" i="33"/>
  <c r="J130" i="33"/>
  <c r="I130" i="33"/>
  <c r="AW129" i="33"/>
  <c r="AR129" i="33"/>
  <c r="AM129" i="33"/>
  <c r="AH129" i="33"/>
  <c r="AC129" i="33"/>
  <c r="X129" i="33"/>
  <c r="S129" i="33"/>
  <c r="K129" i="33"/>
  <c r="J129" i="33"/>
  <c r="I129" i="33"/>
  <c r="AW128" i="33"/>
  <c r="AR128" i="33"/>
  <c r="AM128" i="33"/>
  <c r="AH128" i="33"/>
  <c r="AC128" i="33"/>
  <c r="X128" i="33"/>
  <c r="S128" i="33"/>
  <c r="K128" i="33"/>
  <c r="J128" i="33"/>
  <c r="I128" i="33"/>
  <c r="AW127" i="33"/>
  <c r="AR127" i="33"/>
  <c r="AM127" i="33"/>
  <c r="AH127" i="33"/>
  <c r="AC127" i="33"/>
  <c r="X127" i="33"/>
  <c r="S127" i="33"/>
  <c r="K127" i="33"/>
  <c r="J127" i="33"/>
  <c r="I127" i="33"/>
  <c r="AW126" i="33"/>
  <c r="AR126" i="33"/>
  <c r="AM126" i="33"/>
  <c r="AH126" i="33"/>
  <c r="AC126" i="33"/>
  <c r="X126" i="33"/>
  <c r="S126" i="33"/>
  <c r="K126" i="33"/>
  <c r="J126" i="33"/>
  <c r="I126" i="33"/>
  <c r="AW125" i="33"/>
  <c r="AR125" i="33"/>
  <c r="AM125" i="33"/>
  <c r="AH125" i="33"/>
  <c r="AC125" i="33"/>
  <c r="X125" i="33"/>
  <c r="S125" i="33"/>
  <c r="K125" i="33"/>
  <c r="J125" i="33"/>
  <c r="I125" i="33"/>
  <c r="AW124" i="33"/>
  <c r="AR124" i="33"/>
  <c r="AM124" i="33"/>
  <c r="AH124" i="33"/>
  <c r="AC124" i="33"/>
  <c r="X124" i="33"/>
  <c r="S124" i="33"/>
  <c r="K124" i="33"/>
  <c r="J124" i="33"/>
  <c r="I124" i="33"/>
  <c r="AW123" i="33"/>
  <c r="AR123" i="33"/>
  <c r="AM123" i="33"/>
  <c r="AH123" i="33"/>
  <c r="AC123" i="33"/>
  <c r="X123" i="33"/>
  <c r="S123" i="33"/>
  <c r="K123" i="33"/>
  <c r="J123" i="33"/>
  <c r="I123" i="33"/>
  <c r="AW122" i="33"/>
  <c r="AR122" i="33"/>
  <c r="AM122" i="33"/>
  <c r="AH122" i="33"/>
  <c r="AC122" i="33"/>
  <c r="X122" i="33"/>
  <c r="S122" i="33"/>
  <c r="K122" i="33"/>
  <c r="J122" i="33"/>
  <c r="I122" i="33"/>
  <c r="AW121" i="33"/>
  <c r="AR121" i="33"/>
  <c r="AM121" i="33"/>
  <c r="AH121" i="33"/>
  <c r="AC121" i="33"/>
  <c r="X121" i="33"/>
  <c r="S121" i="33"/>
  <c r="K121" i="33"/>
  <c r="J121" i="33"/>
  <c r="I121" i="33"/>
  <c r="AW120" i="33"/>
  <c r="AR120" i="33"/>
  <c r="AM120" i="33"/>
  <c r="AH120" i="33"/>
  <c r="AC120" i="33"/>
  <c r="X120" i="33"/>
  <c r="S120" i="33"/>
  <c r="K120" i="33"/>
  <c r="J120" i="33"/>
  <c r="I120" i="33"/>
  <c r="AW119" i="33"/>
  <c r="AR119" i="33"/>
  <c r="AM119" i="33"/>
  <c r="AH119" i="33"/>
  <c r="AC119" i="33"/>
  <c r="X119" i="33"/>
  <c r="S119" i="33"/>
  <c r="K119" i="33"/>
  <c r="J119" i="33"/>
  <c r="I119" i="33"/>
  <c r="AW118" i="33"/>
  <c r="AR118" i="33"/>
  <c r="AM118" i="33"/>
  <c r="AH118" i="33"/>
  <c r="AC118" i="33"/>
  <c r="X118" i="33"/>
  <c r="S118" i="33"/>
  <c r="K118" i="33"/>
  <c r="J118" i="33"/>
  <c r="I118" i="33"/>
  <c r="AW117" i="33"/>
  <c r="AR117" i="33"/>
  <c r="AM117" i="33"/>
  <c r="AH117" i="33"/>
  <c r="AC117" i="33"/>
  <c r="X117" i="33"/>
  <c r="S117" i="33"/>
  <c r="K117" i="33"/>
  <c r="J117" i="33"/>
  <c r="I117" i="33"/>
  <c r="AW116" i="33"/>
  <c r="AR116" i="33"/>
  <c r="AM116" i="33"/>
  <c r="AH116" i="33"/>
  <c r="AC116" i="33"/>
  <c r="X116" i="33"/>
  <c r="S116" i="33"/>
  <c r="K116" i="33"/>
  <c r="M116" i="33" s="1"/>
  <c r="J116" i="33"/>
  <c r="I116" i="33"/>
  <c r="AW115" i="33"/>
  <c r="AR115" i="33"/>
  <c r="AM115" i="33"/>
  <c r="AH115" i="33"/>
  <c r="AC115" i="33"/>
  <c r="X115" i="33"/>
  <c r="S115" i="33"/>
  <c r="K115" i="33"/>
  <c r="J115" i="33"/>
  <c r="I115" i="33"/>
  <c r="AW114" i="33"/>
  <c r="AR114" i="33"/>
  <c r="AM114" i="33"/>
  <c r="AH114" i="33"/>
  <c r="AC114" i="33"/>
  <c r="X114" i="33"/>
  <c r="S114" i="33"/>
  <c r="K114" i="33"/>
  <c r="J114" i="33"/>
  <c r="I114" i="33"/>
  <c r="AW113" i="33"/>
  <c r="AR113" i="33"/>
  <c r="AM113" i="33"/>
  <c r="AH113" i="33"/>
  <c r="AC113" i="33"/>
  <c r="X113" i="33"/>
  <c r="S113" i="33"/>
  <c r="K113" i="33"/>
  <c r="J113" i="33"/>
  <c r="I113" i="33"/>
  <c r="AX112" i="33"/>
  <c r="AW112" i="33"/>
  <c r="AS112" i="33"/>
  <c r="AR112" i="33"/>
  <c r="AN112" i="33"/>
  <c r="AM112" i="33"/>
  <c r="AI112" i="33"/>
  <c r="AH112" i="33"/>
  <c r="AD112" i="33"/>
  <c r="AC112" i="33"/>
  <c r="Y112" i="33"/>
  <c r="X112" i="33"/>
  <c r="T112" i="33"/>
  <c r="S112" i="33"/>
  <c r="K112" i="33"/>
  <c r="J112" i="33"/>
  <c r="I112" i="33"/>
  <c r="H112" i="33"/>
  <c r="K106" i="33"/>
  <c r="M106" i="33" s="1"/>
  <c r="J106" i="33"/>
  <c r="I106" i="33"/>
  <c r="K105" i="33"/>
  <c r="M105" i="33" s="1"/>
  <c r="J105" i="33"/>
  <c r="I105" i="33"/>
  <c r="K104" i="33"/>
  <c r="M104" i="33" s="1"/>
  <c r="J104" i="33"/>
  <c r="I104" i="33"/>
  <c r="K103" i="33"/>
  <c r="M103" i="33" s="1"/>
  <c r="J103" i="33"/>
  <c r="I103" i="33"/>
  <c r="K102" i="33"/>
  <c r="M102" i="33" s="1"/>
  <c r="J102" i="33"/>
  <c r="I102" i="33"/>
  <c r="K101" i="33"/>
  <c r="M101" i="33" s="1"/>
  <c r="J101" i="33"/>
  <c r="I101" i="33"/>
  <c r="K100" i="33"/>
  <c r="J100" i="33"/>
  <c r="I100" i="33"/>
  <c r="K99" i="33"/>
  <c r="J99" i="33"/>
  <c r="I99" i="33"/>
  <c r="K98" i="33"/>
  <c r="J98" i="33"/>
  <c r="I98" i="33"/>
  <c r="K97" i="33"/>
  <c r="J97" i="33"/>
  <c r="I97" i="33"/>
  <c r="K96" i="33"/>
  <c r="J96" i="33"/>
  <c r="I96" i="33"/>
  <c r="K95" i="33"/>
  <c r="J95" i="33"/>
  <c r="I95" i="33"/>
  <c r="K94" i="33"/>
  <c r="J94" i="33"/>
  <c r="I94" i="33"/>
  <c r="K93" i="33"/>
  <c r="J93" i="33"/>
  <c r="I93" i="33"/>
  <c r="K92" i="33"/>
  <c r="J92" i="33"/>
  <c r="I92" i="33"/>
  <c r="K91" i="33"/>
  <c r="J91" i="33"/>
  <c r="I91" i="33"/>
  <c r="K90" i="33"/>
  <c r="J90" i="33"/>
  <c r="I90" i="33"/>
  <c r="K89" i="33"/>
  <c r="J89" i="33"/>
  <c r="I89" i="33"/>
  <c r="K88" i="33"/>
  <c r="J88" i="33"/>
  <c r="I88" i="33"/>
  <c r="K87" i="33"/>
  <c r="J87" i="33"/>
  <c r="I87" i="33"/>
  <c r="K86" i="33"/>
  <c r="J86" i="33"/>
  <c r="I86" i="33"/>
  <c r="K85" i="33"/>
  <c r="J85" i="33"/>
  <c r="I85" i="33"/>
  <c r="K84" i="33"/>
  <c r="J84" i="33"/>
  <c r="I84" i="33"/>
  <c r="K83" i="33"/>
  <c r="J83" i="33"/>
  <c r="I83" i="33"/>
  <c r="K82" i="33"/>
  <c r="J82" i="33"/>
  <c r="I82" i="33"/>
  <c r="K81" i="33"/>
  <c r="J81" i="33"/>
  <c r="I81" i="33"/>
  <c r="K80" i="33"/>
  <c r="M80" i="33" s="1"/>
  <c r="J80" i="33"/>
  <c r="I80" i="33"/>
  <c r="K79" i="33"/>
  <c r="J79" i="33"/>
  <c r="I79" i="33"/>
  <c r="K78" i="33"/>
  <c r="J78" i="33"/>
  <c r="I78" i="33"/>
  <c r="K77" i="33"/>
  <c r="J77" i="33"/>
  <c r="I77" i="33"/>
  <c r="H77" i="33"/>
  <c r="AW71" i="33"/>
  <c r="AR71" i="33"/>
  <c r="AM71" i="33"/>
  <c r="AH71" i="33"/>
  <c r="AC71" i="33"/>
  <c r="X71" i="33"/>
  <c r="S71" i="33"/>
  <c r="K71" i="33"/>
  <c r="M71" i="33" s="1"/>
  <c r="J71" i="33"/>
  <c r="I71" i="33"/>
  <c r="AW70" i="33"/>
  <c r="AR70" i="33"/>
  <c r="AM70" i="33"/>
  <c r="AH70" i="33"/>
  <c r="AC70" i="33"/>
  <c r="X70" i="33"/>
  <c r="S70" i="33"/>
  <c r="M70" i="33"/>
  <c r="K70" i="33"/>
  <c r="J70" i="33"/>
  <c r="I70" i="33"/>
  <c r="AW69" i="33"/>
  <c r="AR69" i="33"/>
  <c r="AM69" i="33"/>
  <c r="AH69" i="33"/>
  <c r="AC69" i="33"/>
  <c r="X69" i="33"/>
  <c r="S69" i="33"/>
  <c r="K69" i="33"/>
  <c r="M69" i="33" s="1"/>
  <c r="J69" i="33"/>
  <c r="I69" i="33"/>
  <c r="AW68" i="33"/>
  <c r="AR68" i="33"/>
  <c r="AM68" i="33"/>
  <c r="AH68" i="33"/>
  <c r="AC68" i="33"/>
  <c r="X68" i="33"/>
  <c r="S68" i="33"/>
  <c r="K68" i="33"/>
  <c r="M68" i="33" s="1"/>
  <c r="J68" i="33"/>
  <c r="I68" i="33"/>
  <c r="AW67" i="33"/>
  <c r="AR67" i="33"/>
  <c r="AM67" i="33"/>
  <c r="AH67" i="33"/>
  <c r="AC67" i="33"/>
  <c r="X67" i="33"/>
  <c r="S67" i="33"/>
  <c r="K67" i="33"/>
  <c r="M67" i="33" s="1"/>
  <c r="J67" i="33"/>
  <c r="I67" i="33"/>
  <c r="AW66" i="33"/>
  <c r="AR66" i="33"/>
  <c r="AM66" i="33"/>
  <c r="AH66" i="33"/>
  <c r="AC66" i="33"/>
  <c r="X66" i="33"/>
  <c r="S66" i="33"/>
  <c r="M66" i="33"/>
  <c r="K66" i="33"/>
  <c r="J66" i="33"/>
  <c r="I66" i="33"/>
  <c r="AW65" i="33"/>
  <c r="AR65" i="33"/>
  <c r="AM65" i="33"/>
  <c r="AH65" i="33"/>
  <c r="AC65" i="33"/>
  <c r="X65" i="33"/>
  <c r="S65" i="33"/>
  <c r="K65" i="33"/>
  <c r="J65" i="33"/>
  <c r="I65" i="33"/>
  <c r="AW64" i="33"/>
  <c r="AR64" i="33"/>
  <c r="AM64" i="33"/>
  <c r="AH64" i="33"/>
  <c r="AC64" i="33"/>
  <c r="X64" i="33"/>
  <c r="S64" i="33"/>
  <c r="K64" i="33"/>
  <c r="J64" i="33"/>
  <c r="I64" i="33"/>
  <c r="AW63" i="33"/>
  <c r="AR63" i="33"/>
  <c r="AM63" i="33"/>
  <c r="AH63" i="33"/>
  <c r="AC63" i="33"/>
  <c r="X63" i="33"/>
  <c r="S63" i="33"/>
  <c r="K63" i="33"/>
  <c r="J63" i="33"/>
  <c r="I63" i="33"/>
  <c r="AW62" i="33"/>
  <c r="AR62" i="33"/>
  <c r="AM62" i="33"/>
  <c r="AH62" i="33"/>
  <c r="AC62" i="33"/>
  <c r="X62" i="33"/>
  <c r="S62" i="33"/>
  <c r="K62" i="33"/>
  <c r="J62" i="33"/>
  <c r="I62" i="33"/>
  <c r="AW61" i="33"/>
  <c r="AR61" i="33"/>
  <c r="AM61" i="33"/>
  <c r="AH61" i="33"/>
  <c r="AC61" i="33"/>
  <c r="X61" i="33"/>
  <c r="S61" i="33"/>
  <c r="K61" i="33"/>
  <c r="J61" i="33"/>
  <c r="I61" i="33"/>
  <c r="AW60" i="33"/>
  <c r="AR60" i="33"/>
  <c r="AM60" i="33"/>
  <c r="AH60" i="33"/>
  <c r="AC60" i="33"/>
  <c r="X60" i="33"/>
  <c r="S60" i="33"/>
  <c r="K60" i="33"/>
  <c r="J60" i="33"/>
  <c r="I60" i="33"/>
  <c r="AW59" i="33"/>
  <c r="AR59" i="33"/>
  <c r="AM59" i="33"/>
  <c r="AH59" i="33"/>
  <c r="AC59" i="33"/>
  <c r="X59" i="33"/>
  <c r="S59" i="33"/>
  <c r="K59" i="33"/>
  <c r="J59" i="33"/>
  <c r="I59" i="33"/>
  <c r="AW58" i="33"/>
  <c r="AR58" i="33"/>
  <c r="AM58" i="33"/>
  <c r="AH58" i="33"/>
  <c r="AC58" i="33"/>
  <c r="X58" i="33"/>
  <c r="S58" i="33"/>
  <c r="K58" i="33"/>
  <c r="J58" i="33"/>
  <c r="I58" i="33"/>
  <c r="AW57" i="33"/>
  <c r="AR57" i="33"/>
  <c r="AM57" i="33"/>
  <c r="AH57" i="33"/>
  <c r="AC57" i="33"/>
  <c r="X57" i="33"/>
  <c r="S57" i="33"/>
  <c r="K57" i="33"/>
  <c r="J57" i="33"/>
  <c r="I57" i="33"/>
  <c r="AW56" i="33"/>
  <c r="AR56" i="33"/>
  <c r="AM56" i="33"/>
  <c r="AH56" i="33"/>
  <c r="AC56" i="33"/>
  <c r="X56" i="33"/>
  <c r="S56" i="33"/>
  <c r="K56" i="33"/>
  <c r="J56" i="33"/>
  <c r="I56" i="33"/>
  <c r="AW55" i="33"/>
  <c r="AR55" i="33"/>
  <c r="AM55" i="33"/>
  <c r="AH55" i="33"/>
  <c r="AC55" i="33"/>
  <c r="X55" i="33"/>
  <c r="S55" i="33"/>
  <c r="K55" i="33"/>
  <c r="J55" i="33"/>
  <c r="I55" i="33"/>
  <c r="AW54" i="33"/>
  <c r="AR54" i="33"/>
  <c r="AM54" i="33"/>
  <c r="AH54" i="33"/>
  <c r="AC54" i="33"/>
  <c r="X54" i="33"/>
  <c r="S54" i="33"/>
  <c r="K54" i="33"/>
  <c r="J54" i="33"/>
  <c r="I54" i="33"/>
  <c r="AW53" i="33"/>
  <c r="AR53" i="33"/>
  <c r="AM53" i="33"/>
  <c r="AH53" i="33"/>
  <c r="AC53" i="33"/>
  <c r="X53" i="33"/>
  <c r="S53" i="33"/>
  <c r="K53" i="33"/>
  <c r="J53" i="33"/>
  <c r="I53" i="33"/>
  <c r="AW52" i="33"/>
  <c r="AR52" i="33"/>
  <c r="AM52" i="33"/>
  <c r="AH52" i="33"/>
  <c r="AC52" i="33"/>
  <c r="X52" i="33"/>
  <c r="S52" i="33"/>
  <c r="K52" i="33"/>
  <c r="J52" i="33"/>
  <c r="I52" i="33"/>
  <c r="AW51" i="33"/>
  <c r="AR51" i="33"/>
  <c r="AM51" i="33"/>
  <c r="AH51" i="33"/>
  <c r="AC51" i="33"/>
  <c r="X51" i="33"/>
  <c r="S51" i="33"/>
  <c r="K51" i="33"/>
  <c r="J51" i="33"/>
  <c r="I51" i="33"/>
  <c r="AW50" i="33"/>
  <c r="AR50" i="33"/>
  <c r="AM50" i="33"/>
  <c r="AH50" i="33"/>
  <c r="AC50" i="33"/>
  <c r="X50" i="33"/>
  <c r="S50" i="33"/>
  <c r="K50" i="33"/>
  <c r="J50" i="33"/>
  <c r="I50" i="33"/>
  <c r="AW49" i="33"/>
  <c r="AR49" i="33"/>
  <c r="AM49" i="33"/>
  <c r="AH49" i="33"/>
  <c r="AC49" i="33"/>
  <c r="X49" i="33"/>
  <c r="S49" i="33"/>
  <c r="K49" i="33"/>
  <c r="J49" i="33"/>
  <c r="I49" i="33"/>
  <c r="AW48" i="33"/>
  <c r="AR48" i="33"/>
  <c r="AM48" i="33"/>
  <c r="AH48" i="33"/>
  <c r="AC48" i="33"/>
  <c r="X48" i="33"/>
  <c r="S48" i="33"/>
  <c r="K48" i="33"/>
  <c r="J48" i="33"/>
  <c r="I48" i="33"/>
  <c r="AW47" i="33"/>
  <c r="AR47" i="33"/>
  <c r="AM47" i="33"/>
  <c r="AH47" i="33"/>
  <c r="AC47" i="33"/>
  <c r="X47" i="33"/>
  <c r="S47" i="33"/>
  <c r="K47" i="33"/>
  <c r="J47" i="33"/>
  <c r="I47" i="33"/>
  <c r="AW46" i="33"/>
  <c r="AR46" i="33"/>
  <c r="AM46" i="33"/>
  <c r="AH46" i="33"/>
  <c r="AC46" i="33"/>
  <c r="X46" i="33"/>
  <c r="S46" i="33"/>
  <c r="K46" i="33"/>
  <c r="J46" i="33"/>
  <c r="I46" i="33"/>
  <c r="AW45" i="33"/>
  <c r="AR45" i="33"/>
  <c r="AM45" i="33"/>
  <c r="AH45" i="33"/>
  <c r="AC45" i="33"/>
  <c r="X45" i="33"/>
  <c r="S45" i="33"/>
  <c r="K45" i="33"/>
  <c r="J45" i="33"/>
  <c r="I45" i="33"/>
  <c r="AW44" i="33"/>
  <c r="AR44" i="33"/>
  <c r="AM44" i="33"/>
  <c r="AH44" i="33"/>
  <c r="AC44" i="33"/>
  <c r="X44" i="33"/>
  <c r="S44" i="33"/>
  <c r="K44" i="33"/>
  <c r="J44" i="33"/>
  <c r="I44" i="33"/>
  <c r="AW43" i="33"/>
  <c r="AR43" i="33"/>
  <c r="AM43" i="33"/>
  <c r="AH43" i="33"/>
  <c r="AC43" i="33"/>
  <c r="X43" i="33"/>
  <c r="S43" i="33"/>
  <c r="K43" i="33"/>
  <c r="J43" i="33"/>
  <c r="I43" i="33"/>
  <c r="AX42" i="33"/>
  <c r="AW42" i="33"/>
  <c r="AS42" i="33"/>
  <c r="AR42" i="33"/>
  <c r="AN42" i="33"/>
  <c r="AM42" i="33"/>
  <c r="AI42" i="33"/>
  <c r="AH42" i="33"/>
  <c r="AD42" i="33"/>
  <c r="AC42" i="33"/>
  <c r="Y42" i="33"/>
  <c r="X42" i="33"/>
  <c r="T42" i="33"/>
  <c r="S42" i="33"/>
  <c r="L42" i="33"/>
  <c r="K42" i="33"/>
  <c r="J42" i="33"/>
  <c r="I42" i="33"/>
  <c r="H42" i="33"/>
  <c r="AW81" i="31"/>
  <c r="AR81" i="31"/>
  <c r="AM81" i="31"/>
  <c r="AH81" i="31"/>
  <c r="AC81" i="31"/>
  <c r="X81" i="31"/>
  <c r="S81" i="31"/>
  <c r="K81" i="31"/>
  <c r="M81" i="31" s="1"/>
  <c r="J81" i="31"/>
  <c r="I81" i="31"/>
  <c r="AW80" i="31"/>
  <c r="AR80" i="31"/>
  <c r="AM80" i="31"/>
  <c r="AH80" i="31"/>
  <c r="AC80" i="31"/>
  <c r="X80" i="31"/>
  <c r="S80" i="31"/>
  <c r="M80" i="31"/>
  <c r="K80" i="31"/>
  <c r="J80" i="31"/>
  <c r="I80" i="31"/>
  <c r="AW79" i="31"/>
  <c r="AR79" i="31"/>
  <c r="AM79" i="31"/>
  <c r="AH79" i="31"/>
  <c r="AC79" i="31"/>
  <c r="X79" i="31"/>
  <c r="S79" i="31"/>
  <c r="K79" i="31"/>
  <c r="M79" i="31" s="1"/>
  <c r="J79" i="31"/>
  <c r="I79" i="31"/>
  <c r="AW78" i="31"/>
  <c r="AR78" i="31"/>
  <c r="AM78" i="31"/>
  <c r="AH78" i="31"/>
  <c r="AC78" i="31"/>
  <c r="X78" i="31"/>
  <c r="S78" i="31"/>
  <c r="K78" i="31"/>
  <c r="M78" i="31" s="1"/>
  <c r="J78" i="31"/>
  <c r="I78" i="31"/>
  <c r="AW77" i="31"/>
  <c r="AR77" i="31"/>
  <c r="AM77" i="31"/>
  <c r="AH77" i="31"/>
  <c r="AC77" i="31"/>
  <c r="X77" i="31"/>
  <c r="S77" i="31"/>
  <c r="K77" i="31"/>
  <c r="M77" i="31" s="1"/>
  <c r="J77" i="31"/>
  <c r="I77" i="31"/>
  <c r="AW76" i="31"/>
  <c r="AR76" i="31"/>
  <c r="AM76" i="31"/>
  <c r="AH76" i="31"/>
  <c r="AC76" i="31"/>
  <c r="X76" i="31"/>
  <c r="S76" i="31"/>
  <c r="M76" i="31"/>
  <c r="K76" i="31"/>
  <c r="J76" i="31"/>
  <c r="I76" i="31"/>
  <c r="AW75" i="31"/>
  <c r="AR75" i="31"/>
  <c r="AM75" i="31"/>
  <c r="AH75" i="31"/>
  <c r="AC75" i="31"/>
  <c r="X75" i="31"/>
  <c r="S75" i="31"/>
  <c r="K75" i="31"/>
  <c r="M75" i="31" s="1"/>
  <c r="J75" i="31"/>
  <c r="I75" i="31"/>
  <c r="AW74" i="31"/>
  <c r="AR74" i="31"/>
  <c r="AM74" i="31"/>
  <c r="AH74" i="31"/>
  <c r="AC74" i="31"/>
  <c r="X74" i="31"/>
  <c r="S74" i="31"/>
  <c r="K74" i="31"/>
  <c r="M74" i="31" s="1"/>
  <c r="J74" i="31"/>
  <c r="I74" i="31"/>
  <c r="AW73" i="31"/>
  <c r="AR73" i="31"/>
  <c r="AM73" i="31"/>
  <c r="AH73" i="31"/>
  <c r="AC73" i="31"/>
  <c r="X73" i="31"/>
  <c r="S73" i="31"/>
  <c r="K73" i="31"/>
  <c r="M73" i="31" s="1"/>
  <c r="J73" i="31"/>
  <c r="I73" i="31"/>
  <c r="AW72" i="31"/>
  <c r="AR72" i="31"/>
  <c r="AM72" i="31"/>
  <c r="AH72" i="31"/>
  <c r="AC72" i="31"/>
  <c r="X72" i="31"/>
  <c r="S72" i="31"/>
  <c r="M72" i="31"/>
  <c r="K72" i="31"/>
  <c r="J72" i="31"/>
  <c r="I72" i="31"/>
  <c r="AW71" i="31"/>
  <c r="AR71" i="31"/>
  <c r="AM71" i="31"/>
  <c r="AH71" i="31"/>
  <c r="AC71" i="31"/>
  <c r="X71" i="31"/>
  <c r="S71" i="31"/>
  <c r="K71" i="31"/>
  <c r="M71" i="31" s="1"/>
  <c r="J71" i="31"/>
  <c r="I71" i="31"/>
  <c r="AW70" i="31"/>
  <c r="AR70" i="31"/>
  <c r="AM70" i="31"/>
  <c r="AH70" i="31"/>
  <c r="AC70" i="31"/>
  <c r="X70" i="31"/>
  <c r="S70" i="31"/>
  <c r="K70" i="31"/>
  <c r="M70" i="31" s="1"/>
  <c r="J70" i="31"/>
  <c r="I70" i="31"/>
  <c r="AW69" i="31"/>
  <c r="AR69" i="31"/>
  <c r="AM69" i="31"/>
  <c r="AH69" i="31"/>
  <c r="AC69" i="31"/>
  <c r="X69" i="31"/>
  <c r="S69" i="31"/>
  <c r="K69" i="31"/>
  <c r="M69" i="31" s="1"/>
  <c r="J69" i="31"/>
  <c r="I69" i="31"/>
  <c r="AW68" i="31"/>
  <c r="AR68" i="31"/>
  <c r="AM68" i="31"/>
  <c r="AH68" i="31"/>
  <c r="AC68" i="31"/>
  <c r="X68" i="31"/>
  <c r="S68" i="31"/>
  <c r="K68" i="31"/>
  <c r="J68" i="31"/>
  <c r="I68" i="31"/>
  <c r="AX67" i="31"/>
  <c r="AW67" i="31"/>
  <c r="AS67" i="31"/>
  <c r="AR67" i="31"/>
  <c r="AN67" i="31"/>
  <c r="AM67" i="31"/>
  <c r="AI67" i="31"/>
  <c r="AH67" i="31"/>
  <c r="AD67" i="31"/>
  <c r="AC67" i="31"/>
  <c r="Y67" i="31"/>
  <c r="X67" i="31"/>
  <c r="T67" i="31"/>
  <c r="S67" i="31"/>
  <c r="K67" i="31"/>
  <c r="J67" i="31"/>
  <c r="I67" i="31"/>
  <c r="H67" i="31"/>
  <c r="M60" i="31"/>
  <c r="K60" i="31"/>
  <c r="J60" i="31"/>
  <c r="I60" i="31"/>
  <c r="M59" i="31"/>
  <c r="K59" i="31"/>
  <c r="J59" i="31"/>
  <c r="I59" i="31"/>
  <c r="M58" i="31"/>
  <c r="K58" i="31"/>
  <c r="J58" i="31"/>
  <c r="I58" i="31"/>
  <c r="M57" i="31"/>
  <c r="K57" i="31"/>
  <c r="J57" i="31"/>
  <c r="I57" i="31"/>
  <c r="M56" i="31"/>
  <c r="K56" i="31"/>
  <c r="J56" i="31"/>
  <c r="I56" i="31"/>
  <c r="M55" i="31"/>
  <c r="K55" i="31"/>
  <c r="J55" i="31"/>
  <c r="I55" i="31"/>
  <c r="M54" i="31"/>
  <c r="K54" i="31"/>
  <c r="J54" i="31"/>
  <c r="I54" i="31"/>
  <c r="M53" i="31"/>
  <c r="K53" i="31"/>
  <c r="J53" i="31"/>
  <c r="I53" i="31"/>
  <c r="M52" i="31"/>
  <c r="K52" i="31"/>
  <c r="J52" i="31"/>
  <c r="I52" i="31"/>
  <c r="M51" i="31"/>
  <c r="K51" i="31"/>
  <c r="J51" i="31"/>
  <c r="I51" i="31"/>
  <c r="M50" i="31"/>
  <c r="K50" i="31"/>
  <c r="J50" i="31"/>
  <c r="I50" i="31"/>
  <c r="M49" i="31"/>
  <c r="K49" i="31"/>
  <c r="J49" i="31"/>
  <c r="I49" i="31"/>
  <c r="M48" i="31"/>
  <c r="K48" i="31"/>
  <c r="J48" i="31"/>
  <c r="I48" i="31"/>
  <c r="M47" i="31"/>
  <c r="K47" i="31"/>
  <c r="L47" i="31" s="1"/>
  <c r="J47" i="31"/>
  <c r="I47" i="31"/>
  <c r="H47" i="31"/>
  <c r="AW41" i="31"/>
  <c r="AR41" i="31"/>
  <c r="AM41" i="31"/>
  <c r="AH41" i="31"/>
  <c r="AC41" i="31"/>
  <c r="X41" i="31"/>
  <c r="S41" i="31"/>
  <c r="AW40" i="31"/>
  <c r="AR40" i="31"/>
  <c r="AM40" i="31"/>
  <c r="AH40" i="31"/>
  <c r="AC40" i="31"/>
  <c r="X40" i="31"/>
  <c r="S40" i="31"/>
  <c r="K40" i="31"/>
  <c r="M40" i="31" s="1"/>
  <c r="J40" i="31"/>
  <c r="I40" i="31"/>
  <c r="AW39" i="31"/>
  <c r="AR39" i="31"/>
  <c r="AM39" i="31"/>
  <c r="AH39" i="31"/>
  <c r="AC39" i="31"/>
  <c r="X39" i="31"/>
  <c r="S39" i="31"/>
  <c r="K39" i="31"/>
  <c r="M39" i="31" s="1"/>
  <c r="J39" i="31"/>
  <c r="I39" i="31"/>
  <c r="AW38" i="31"/>
  <c r="AR38" i="31"/>
  <c r="AM38" i="31"/>
  <c r="AH38" i="31"/>
  <c r="AC38" i="31"/>
  <c r="X38" i="31"/>
  <c r="S38" i="31"/>
  <c r="K38" i="31"/>
  <c r="M38" i="31" s="1"/>
  <c r="J38" i="31"/>
  <c r="I38" i="31"/>
  <c r="AW37" i="31"/>
  <c r="AR37" i="31"/>
  <c r="AM37" i="31"/>
  <c r="AH37" i="31"/>
  <c r="AC37" i="31"/>
  <c r="X37" i="31"/>
  <c r="S37" i="31"/>
  <c r="M37" i="31"/>
  <c r="K37" i="31"/>
  <c r="J37" i="31"/>
  <c r="I37" i="31"/>
  <c r="AW36" i="31"/>
  <c r="AR36" i="31"/>
  <c r="AM36" i="31"/>
  <c r="AH36" i="31"/>
  <c r="AC36" i="31"/>
  <c r="X36" i="31"/>
  <c r="S36" i="31"/>
  <c r="K36" i="31"/>
  <c r="M36" i="31" s="1"/>
  <c r="J36" i="31"/>
  <c r="I36" i="31"/>
  <c r="AW35" i="31"/>
  <c r="AR35" i="31"/>
  <c r="AM35" i="31"/>
  <c r="AH35" i="31"/>
  <c r="AC35" i="31"/>
  <c r="X35" i="31"/>
  <c r="S35" i="31"/>
  <c r="K35" i="31"/>
  <c r="M35" i="31" s="1"/>
  <c r="J35" i="31"/>
  <c r="I35" i="31"/>
  <c r="AW34" i="31"/>
  <c r="AR34" i="31"/>
  <c r="AM34" i="31"/>
  <c r="AH34" i="31"/>
  <c r="AC34" i="31"/>
  <c r="X34" i="31"/>
  <c r="S34" i="31"/>
  <c r="K34" i="31"/>
  <c r="M34" i="31" s="1"/>
  <c r="J34" i="31"/>
  <c r="I34" i="31"/>
  <c r="AW33" i="31"/>
  <c r="AR33" i="31"/>
  <c r="AM33" i="31"/>
  <c r="AH33" i="31"/>
  <c r="AC33" i="31"/>
  <c r="X33" i="31"/>
  <c r="S33" i="31"/>
  <c r="M33" i="31"/>
  <c r="K33" i="31"/>
  <c r="J33" i="31"/>
  <c r="I33" i="31"/>
  <c r="AW32" i="31"/>
  <c r="AR32" i="31"/>
  <c r="AM32" i="31"/>
  <c r="AH32" i="31"/>
  <c r="AC32" i="31"/>
  <c r="X32" i="31"/>
  <c r="S32" i="31"/>
  <c r="K32" i="31"/>
  <c r="M32" i="31" s="1"/>
  <c r="J32" i="31"/>
  <c r="I32" i="31"/>
  <c r="AW31" i="31"/>
  <c r="AR31" i="31"/>
  <c r="AM31" i="31"/>
  <c r="AH31" i="31"/>
  <c r="AC31" i="31"/>
  <c r="X31" i="31"/>
  <c r="S31" i="31"/>
  <c r="K31" i="31"/>
  <c r="M31" i="31" s="1"/>
  <c r="J31" i="31"/>
  <c r="I31" i="31"/>
  <c r="AW30" i="31"/>
  <c r="AR30" i="31"/>
  <c r="AM30" i="31"/>
  <c r="AH30" i="31"/>
  <c r="AC30" i="31"/>
  <c r="X30" i="31"/>
  <c r="S30" i="31"/>
  <c r="K30" i="31"/>
  <c r="M30" i="31" s="1"/>
  <c r="J30" i="31"/>
  <c r="I30" i="31"/>
  <c r="AW29" i="31"/>
  <c r="AR29" i="31"/>
  <c r="AM29" i="31"/>
  <c r="AH29" i="31"/>
  <c r="AC29" i="31"/>
  <c r="X29" i="31"/>
  <c r="S29" i="31"/>
  <c r="M29" i="31"/>
  <c r="K29" i="31"/>
  <c r="J29" i="31"/>
  <c r="I29" i="31"/>
  <c r="AW28" i="31"/>
  <c r="AR28" i="31"/>
  <c r="AM28" i="31"/>
  <c r="AH28" i="31"/>
  <c r="AC28" i="31"/>
  <c r="X28" i="31"/>
  <c r="S28" i="31"/>
  <c r="K28" i="31"/>
  <c r="J28" i="31"/>
  <c r="I28" i="31"/>
  <c r="AX27" i="31"/>
  <c r="AW27" i="31"/>
  <c r="AS27" i="31"/>
  <c r="AR27" i="31"/>
  <c r="AN27" i="31"/>
  <c r="AM27" i="31"/>
  <c r="AI27" i="31"/>
  <c r="AH27" i="31"/>
  <c r="AD27" i="31"/>
  <c r="AC27" i="31"/>
  <c r="Y27" i="31"/>
  <c r="X27" i="31"/>
  <c r="T27" i="31"/>
  <c r="S27" i="31"/>
  <c r="L27" i="31"/>
  <c r="K27" i="31"/>
  <c r="J27" i="31"/>
  <c r="I27" i="31"/>
  <c r="H27" i="31"/>
  <c r="M28" i="31" l="1"/>
  <c r="M48" i="33"/>
  <c r="M45" i="33"/>
  <c r="M47" i="33"/>
  <c r="M49" i="33"/>
  <c r="M51" i="33"/>
  <c r="M53" i="33"/>
  <c r="M55" i="33"/>
  <c r="M57" i="33"/>
  <c r="M59" i="33"/>
  <c r="M61" i="33"/>
  <c r="M63" i="33"/>
  <c r="M65" i="33"/>
  <c r="M79" i="33"/>
  <c r="M83" i="33"/>
  <c r="M87" i="33"/>
  <c r="M91" i="33"/>
  <c r="M95" i="33"/>
  <c r="M99" i="33"/>
  <c r="M119" i="33"/>
  <c r="M123" i="33"/>
  <c r="M127" i="33"/>
  <c r="M131" i="33"/>
  <c r="M135" i="33"/>
  <c r="M30" i="34"/>
  <c r="M34" i="34"/>
  <c r="M38" i="34"/>
  <c r="M47" i="34"/>
  <c r="M79" i="34"/>
  <c r="M27" i="35"/>
  <c r="M78" i="33"/>
  <c r="M82" i="33"/>
  <c r="M86" i="33"/>
  <c r="M90" i="33"/>
  <c r="M94" i="33"/>
  <c r="M98" i="33"/>
  <c r="M134" i="33"/>
  <c r="M114" i="33"/>
  <c r="M67" i="34"/>
  <c r="M70" i="34"/>
  <c r="M72" i="34"/>
  <c r="M74" i="34"/>
  <c r="M76" i="34"/>
  <c r="M78" i="34"/>
  <c r="M30" i="35"/>
  <c r="AL37" i="6"/>
  <c r="V37" i="6"/>
  <c r="AJ37" i="6"/>
  <c r="AB37" i="6"/>
  <c r="L37" i="6"/>
  <c r="Z37" i="6"/>
  <c r="R37" i="6"/>
  <c r="J37" i="6"/>
  <c r="P37" i="6"/>
  <c r="AH37" i="6"/>
  <c r="AF37" i="6"/>
  <c r="X37" i="6"/>
  <c r="M27" i="31"/>
  <c r="M61" i="31"/>
  <c r="M67" i="31"/>
  <c r="M64" i="33"/>
  <c r="M81" i="33"/>
  <c r="M85" i="33"/>
  <c r="M89" i="33"/>
  <c r="M93" i="33"/>
  <c r="M97" i="33"/>
  <c r="L112" i="33"/>
  <c r="M118" i="33"/>
  <c r="M122" i="33"/>
  <c r="M126" i="33"/>
  <c r="M130" i="33"/>
  <c r="M31" i="34"/>
  <c r="M35" i="34"/>
  <c r="M39" i="34"/>
  <c r="N37" i="6"/>
  <c r="M84" i="33"/>
  <c r="M88" i="33"/>
  <c r="M92" i="33"/>
  <c r="M96" i="33"/>
  <c r="M100" i="33"/>
  <c r="M115" i="33"/>
  <c r="M29" i="35"/>
  <c r="M81" i="35"/>
  <c r="T37" i="6"/>
  <c r="L67" i="35"/>
  <c r="M69" i="35"/>
  <c r="M70" i="35"/>
  <c r="M49" i="35"/>
  <c r="M50" i="35"/>
  <c r="M61" i="35"/>
  <c r="M68" i="35"/>
  <c r="M71" i="35"/>
  <c r="M67" i="35"/>
  <c r="M48" i="35"/>
  <c r="M47" i="35"/>
  <c r="M28" i="35"/>
  <c r="L27" i="35"/>
  <c r="M69" i="34"/>
  <c r="M77" i="34"/>
  <c r="M68" i="34"/>
  <c r="L67" i="34"/>
  <c r="M71" i="34"/>
  <c r="M75" i="34"/>
  <c r="M73" i="34"/>
  <c r="M36" i="34"/>
  <c r="M32" i="34"/>
  <c r="M41" i="34"/>
  <c r="L27" i="34"/>
  <c r="M28" i="34"/>
  <c r="M27" i="34"/>
  <c r="M29" i="34"/>
  <c r="M33" i="34"/>
  <c r="M113" i="33"/>
  <c r="M117" i="33"/>
  <c r="M121" i="33"/>
  <c r="M125" i="33"/>
  <c r="M129" i="33"/>
  <c r="M133" i="33"/>
  <c r="M120" i="33"/>
  <c r="M124" i="33"/>
  <c r="M128" i="33"/>
  <c r="M132" i="33"/>
  <c r="M112" i="33"/>
  <c r="L77" i="33"/>
  <c r="M77" i="33"/>
  <c r="M43" i="33"/>
  <c r="M50" i="33"/>
  <c r="M54" i="33"/>
  <c r="M58" i="33"/>
  <c r="M62" i="33"/>
  <c r="M46" i="33"/>
  <c r="M42" i="33"/>
  <c r="M44" i="33"/>
  <c r="M52" i="33"/>
  <c r="M56" i="33"/>
  <c r="M60" i="33"/>
  <c r="L67" i="31"/>
  <c r="M41" i="31"/>
  <c r="AW81" i="32"/>
  <c r="AR81" i="32"/>
  <c r="AM81" i="32"/>
  <c r="AH81" i="32"/>
  <c r="AC81" i="32"/>
  <c r="X81" i="32"/>
  <c r="S81" i="32"/>
  <c r="AW80" i="32"/>
  <c r="AR80" i="32"/>
  <c r="AM80" i="32"/>
  <c r="AH80" i="32"/>
  <c r="AC80" i="32"/>
  <c r="X80" i="32"/>
  <c r="S80" i="32"/>
  <c r="K80" i="32"/>
  <c r="M80" i="32" s="1"/>
  <c r="J80" i="32"/>
  <c r="I80" i="32"/>
  <c r="AW79" i="32"/>
  <c r="AR79" i="32"/>
  <c r="AM79" i="32"/>
  <c r="AH79" i="32"/>
  <c r="AC79" i="32"/>
  <c r="X79" i="32"/>
  <c r="S79" i="32"/>
  <c r="M79" i="32"/>
  <c r="K79" i="32"/>
  <c r="J79" i="32"/>
  <c r="I79" i="32"/>
  <c r="AW78" i="32"/>
  <c r="AR78" i="32"/>
  <c r="AM78" i="32"/>
  <c r="AH78" i="32"/>
  <c r="AC78" i="32"/>
  <c r="X78" i="32"/>
  <c r="S78" i="32"/>
  <c r="K78" i="32"/>
  <c r="M78" i="32" s="1"/>
  <c r="J78" i="32"/>
  <c r="I78" i="32"/>
  <c r="AW77" i="32"/>
  <c r="AR77" i="32"/>
  <c r="AM77" i="32"/>
  <c r="AH77" i="32"/>
  <c r="AC77" i="32"/>
  <c r="X77" i="32"/>
  <c r="S77" i="32"/>
  <c r="K77" i="32"/>
  <c r="M77" i="32" s="1"/>
  <c r="J77" i="32"/>
  <c r="I77" i="32"/>
  <c r="AW76" i="32"/>
  <c r="AR76" i="32"/>
  <c r="AM76" i="32"/>
  <c r="AH76" i="32"/>
  <c r="AC76" i="32"/>
  <c r="X76" i="32"/>
  <c r="S76" i="32"/>
  <c r="K76" i="32"/>
  <c r="M76" i="32" s="1"/>
  <c r="J76" i="32"/>
  <c r="I76" i="32"/>
  <c r="AW75" i="32"/>
  <c r="AR75" i="32"/>
  <c r="AM75" i="32"/>
  <c r="AH75" i="32"/>
  <c r="AC75" i="32"/>
  <c r="X75" i="32"/>
  <c r="S75" i="32"/>
  <c r="K75" i="32"/>
  <c r="J75" i="32"/>
  <c r="I75" i="32"/>
  <c r="AW74" i="32"/>
  <c r="AR74" i="32"/>
  <c r="AM74" i="32"/>
  <c r="AH74" i="32"/>
  <c r="AC74" i="32"/>
  <c r="X74" i="32"/>
  <c r="S74" i="32"/>
  <c r="K74" i="32"/>
  <c r="J74" i="32"/>
  <c r="I74" i="32"/>
  <c r="AW73" i="32"/>
  <c r="AR73" i="32"/>
  <c r="AM73" i="32"/>
  <c r="AH73" i="32"/>
  <c r="AC73" i="32"/>
  <c r="X73" i="32"/>
  <c r="S73" i="32"/>
  <c r="K73" i="32"/>
  <c r="J73" i="32"/>
  <c r="I73" i="32"/>
  <c r="AW72" i="32"/>
  <c r="AR72" i="32"/>
  <c r="AM72" i="32"/>
  <c r="AH72" i="32"/>
  <c r="AC72" i="32"/>
  <c r="X72" i="32"/>
  <c r="S72" i="32"/>
  <c r="K72" i="32"/>
  <c r="J72" i="32"/>
  <c r="I72" i="32"/>
  <c r="AW71" i="32"/>
  <c r="AR71" i="32"/>
  <c r="AM71" i="32"/>
  <c r="AH71" i="32"/>
  <c r="AC71" i="32"/>
  <c r="X71" i="32"/>
  <c r="S71" i="32"/>
  <c r="K71" i="32"/>
  <c r="J71" i="32"/>
  <c r="I71" i="32"/>
  <c r="AW70" i="32"/>
  <c r="AR70" i="32"/>
  <c r="AM70" i="32"/>
  <c r="AH70" i="32"/>
  <c r="AC70" i="32"/>
  <c r="X70" i="32"/>
  <c r="S70" i="32"/>
  <c r="K70" i="32"/>
  <c r="J70" i="32"/>
  <c r="I70" i="32"/>
  <c r="AW69" i="32"/>
  <c r="AR69" i="32"/>
  <c r="AM69" i="32"/>
  <c r="AH69" i="32"/>
  <c r="AC69" i="32"/>
  <c r="X69" i="32"/>
  <c r="S69" i="32"/>
  <c r="K69" i="32"/>
  <c r="J69" i="32"/>
  <c r="I69" i="32"/>
  <c r="AW68" i="32"/>
  <c r="AR68" i="32"/>
  <c r="AM68" i="32"/>
  <c r="AH68" i="32"/>
  <c r="AC68" i="32"/>
  <c r="X68" i="32"/>
  <c r="S68" i="32"/>
  <c r="K68" i="32"/>
  <c r="M74" i="32" s="1"/>
  <c r="J68" i="32"/>
  <c r="I68" i="32"/>
  <c r="AX67" i="32"/>
  <c r="AW67" i="32"/>
  <c r="AS67" i="32"/>
  <c r="AR67" i="32"/>
  <c r="AN67" i="32"/>
  <c r="AM67" i="32"/>
  <c r="AI67" i="32"/>
  <c r="AH67" i="32"/>
  <c r="AD67" i="32"/>
  <c r="AC67" i="32"/>
  <c r="Y67" i="32"/>
  <c r="X67" i="32"/>
  <c r="T67" i="32"/>
  <c r="S67" i="32"/>
  <c r="K67" i="32"/>
  <c r="J67" i="32"/>
  <c r="I67" i="32"/>
  <c r="H67" i="32"/>
  <c r="K60" i="32"/>
  <c r="M60" i="32" s="1"/>
  <c r="J60" i="32"/>
  <c r="I60" i="32"/>
  <c r="K59" i="32"/>
  <c r="M59" i="32" s="1"/>
  <c r="J59" i="32"/>
  <c r="I59" i="32"/>
  <c r="K58" i="32"/>
  <c r="M58" i="32" s="1"/>
  <c r="J58" i="32"/>
  <c r="I58" i="32"/>
  <c r="K57" i="32"/>
  <c r="M57" i="32" s="1"/>
  <c r="J57" i="32"/>
  <c r="I57" i="32"/>
  <c r="K56" i="32"/>
  <c r="M56" i="32" s="1"/>
  <c r="J56" i="32"/>
  <c r="I56" i="32"/>
  <c r="K55" i="32"/>
  <c r="M55" i="32" s="1"/>
  <c r="J55" i="32"/>
  <c r="I55" i="32"/>
  <c r="K54" i="32"/>
  <c r="M54" i="32" s="1"/>
  <c r="J54" i="32"/>
  <c r="I54" i="32"/>
  <c r="K53" i="32"/>
  <c r="M53" i="32" s="1"/>
  <c r="J53" i="32"/>
  <c r="I53" i="32"/>
  <c r="K52" i="32"/>
  <c r="M52" i="32" s="1"/>
  <c r="J52" i="32"/>
  <c r="I52" i="32"/>
  <c r="K51" i="32"/>
  <c r="M51" i="32" s="1"/>
  <c r="J51" i="32"/>
  <c r="I51" i="32"/>
  <c r="K50" i="32"/>
  <c r="M50" i="32" s="1"/>
  <c r="J50" i="32"/>
  <c r="I50" i="32"/>
  <c r="K49" i="32"/>
  <c r="M49" i="32" s="1"/>
  <c r="J49" i="32"/>
  <c r="I49" i="32"/>
  <c r="K48" i="32"/>
  <c r="M48" i="32" s="1"/>
  <c r="J48" i="32"/>
  <c r="I48" i="32"/>
  <c r="K47" i="32"/>
  <c r="L47" i="32" s="1"/>
  <c r="J47" i="32"/>
  <c r="I47" i="32"/>
  <c r="H47" i="32"/>
  <c r="AW41" i="32"/>
  <c r="AR41" i="32"/>
  <c r="AM41" i="32"/>
  <c r="AH41" i="32"/>
  <c r="AC41" i="32"/>
  <c r="X41" i="32"/>
  <c r="S41" i="32"/>
  <c r="AW40" i="32"/>
  <c r="AR40" i="32"/>
  <c r="AM40" i="32"/>
  <c r="AH40" i="32"/>
  <c r="AC40" i="32"/>
  <c r="X40" i="32"/>
  <c r="S40" i="32"/>
  <c r="K40" i="32"/>
  <c r="M40" i="32" s="1"/>
  <c r="J40" i="32"/>
  <c r="I40" i="32"/>
  <c r="AW39" i="32"/>
  <c r="AR39" i="32"/>
  <c r="AM39" i="32"/>
  <c r="AH39" i="32"/>
  <c r="AC39" i="32"/>
  <c r="X39" i="32"/>
  <c r="S39" i="32"/>
  <c r="M39" i="32"/>
  <c r="K39" i="32"/>
  <c r="J39" i="32"/>
  <c r="I39" i="32"/>
  <c r="AW38" i="32"/>
  <c r="AR38" i="32"/>
  <c r="AM38" i="32"/>
  <c r="AH38" i="32"/>
  <c r="AC38" i="32"/>
  <c r="X38" i="32"/>
  <c r="S38" i="32"/>
  <c r="K38" i="32"/>
  <c r="M38" i="32" s="1"/>
  <c r="J38" i="32"/>
  <c r="I38" i="32"/>
  <c r="AW37" i="32"/>
  <c r="AR37" i="32"/>
  <c r="AM37" i="32"/>
  <c r="AH37" i="32"/>
  <c r="AC37" i="32"/>
  <c r="X37" i="32"/>
  <c r="S37" i="32"/>
  <c r="K37" i="32"/>
  <c r="M37" i="32" s="1"/>
  <c r="J37" i="32"/>
  <c r="I37" i="32"/>
  <c r="AW36" i="32"/>
  <c r="AR36" i="32"/>
  <c r="AM36" i="32"/>
  <c r="AH36" i="32"/>
  <c r="AC36" i="32"/>
  <c r="X36" i="32"/>
  <c r="S36" i="32"/>
  <c r="K36" i="32"/>
  <c r="M36" i="32" s="1"/>
  <c r="J36" i="32"/>
  <c r="I36" i="32"/>
  <c r="AW35" i="32"/>
  <c r="AR35" i="32"/>
  <c r="AM35" i="32"/>
  <c r="AH35" i="32"/>
  <c r="AC35" i="32"/>
  <c r="X35" i="32"/>
  <c r="S35" i="32"/>
  <c r="K35" i="32"/>
  <c r="J35" i="32"/>
  <c r="I35" i="32"/>
  <c r="AW34" i="32"/>
  <c r="AR34" i="32"/>
  <c r="AM34" i="32"/>
  <c r="AH34" i="32"/>
  <c r="AC34" i="32"/>
  <c r="X34" i="32"/>
  <c r="S34" i="32"/>
  <c r="K34" i="32"/>
  <c r="J34" i="32"/>
  <c r="I34" i="32"/>
  <c r="AW33" i="32"/>
  <c r="AR33" i="32"/>
  <c r="AM33" i="32"/>
  <c r="AH33" i="32"/>
  <c r="AC33" i="32"/>
  <c r="X33" i="32"/>
  <c r="S33" i="32"/>
  <c r="K33" i="32"/>
  <c r="J33" i="32"/>
  <c r="I33" i="32"/>
  <c r="AW32" i="32"/>
  <c r="AR32" i="32"/>
  <c r="AM32" i="32"/>
  <c r="AH32" i="32"/>
  <c r="AC32" i="32"/>
  <c r="X32" i="32"/>
  <c r="S32" i="32"/>
  <c r="K32" i="32"/>
  <c r="J32" i="32"/>
  <c r="I32" i="32"/>
  <c r="AW31" i="32"/>
  <c r="AR31" i="32"/>
  <c r="AM31" i="32"/>
  <c r="AH31" i="32"/>
  <c r="AC31" i="32"/>
  <c r="X31" i="32"/>
  <c r="S31" i="32"/>
  <c r="K31" i="32"/>
  <c r="J31" i="32"/>
  <c r="I31" i="32"/>
  <c r="AW30" i="32"/>
  <c r="AR30" i="32"/>
  <c r="AM30" i="32"/>
  <c r="AH30" i="32"/>
  <c r="AC30" i="32"/>
  <c r="X30" i="32"/>
  <c r="S30" i="32"/>
  <c r="K30" i="32"/>
  <c r="J30" i="32"/>
  <c r="I30" i="32"/>
  <c r="AW29" i="32"/>
  <c r="AR29" i="32"/>
  <c r="AM29" i="32"/>
  <c r="AH29" i="32"/>
  <c r="AC29" i="32"/>
  <c r="X29" i="32"/>
  <c r="S29" i="32"/>
  <c r="K29" i="32"/>
  <c r="J29" i="32"/>
  <c r="I29" i="32"/>
  <c r="AW28" i="32"/>
  <c r="AR28" i="32"/>
  <c r="AM28" i="32"/>
  <c r="AH28" i="32"/>
  <c r="AC28" i="32"/>
  <c r="X28" i="32"/>
  <c r="S28" i="32"/>
  <c r="K28" i="32"/>
  <c r="M33" i="32" s="1"/>
  <c r="J28" i="32"/>
  <c r="I28" i="32"/>
  <c r="AX27" i="32"/>
  <c r="AW27" i="32"/>
  <c r="AS27" i="32"/>
  <c r="AR27" i="32"/>
  <c r="AN27" i="32"/>
  <c r="AM27" i="32"/>
  <c r="AI27" i="32"/>
  <c r="AH27" i="32"/>
  <c r="AD27" i="32"/>
  <c r="AC27" i="32"/>
  <c r="Y27" i="32"/>
  <c r="X27" i="32"/>
  <c r="T27" i="32"/>
  <c r="S27" i="32"/>
  <c r="K27" i="32"/>
  <c r="J27" i="32"/>
  <c r="I27" i="32"/>
  <c r="H27" i="32"/>
  <c r="AW81" i="30"/>
  <c r="AR81" i="30"/>
  <c r="AM81" i="30"/>
  <c r="AH81" i="30"/>
  <c r="AC81" i="30"/>
  <c r="X81" i="30"/>
  <c r="S81" i="30"/>
  <c r="K81" i="30"/>
  <c r="M81" i="30" s="1"/>
  <c r="J81" i="30"/>
  <c r="I81" i="30"/>
  <c r="AW80" i="30"/>
  <c r="AR80" i="30"/>
  <c r="AM80" i="30"/>
  <c r="AH80" i="30"/>
  <c r="AC80" i="30"/>
  <c r="X80" i="30"/>
  <c r="S80" i="30"/>
  <c r="K80" i="30"/>
  <c r="M80" i="30" s="1"/>
  <c r="J80" i="30"/>
  <c r="I80" i="30"/>
  <c r="AW79" i="30"/>
  <c r="AR79" i="30"/>
  <c r="AM79" i="30"/>
  <c r="AH79" i="30"/>
  <c r="AC79" i="30"/>
  <c r="X79" i="30"/>
  <c r="S79" i="30"/>
  <c r="K79" i="30"/>
  <c r="M79" i="30" s="1"/>
  <c r="J79" i="30"/>
  <c r="I79" i="30"/>
  <c r="AW78" i="30"/>
  <c r="AR78" i="30"/>
  <c r="AM78" i="30"/>
  <c r="AH78" i="30"/>
  <c r="AC78" i="30"/>
  <c r="X78" i="30"/>
  <c r="S78" i="30"/>
  <c r="M78" i="30"/>
  <c r="K78" i="30"/>
  <c r="J78" i="30"/>
  <c r="I78" i="30"/>
  <c r="AW77" i="30"/>
  <c r="AR77" i="30"/>
  <c r="AM77" i="30"/>
  <c r="AH77" i="30"/>
  <c r="AC77" i="30"/>
  <c r="X77" i="30"/>
  <c r="S77" i="30"/>
  <c r="K77" i="30"/>
  <c r="M77" i="30" s="1"/>
  <c r="J77" i="30"/>
  <c r="I77" i="30"/>
  <c r="AW76" i="30"/>
  <c r="AR76" i="30"/>
  <c r="AM76" i="30"/>
  <c r="AH76" i="30"/>
  <c r="AC76" i="30"/>
  <c r="X76" i="30"/>
  <c r="S76" i="30"/>
  <c r="K76" i="30"/>
  <c r="M76" i="30" s="1"/>
  <c r="J76" i="30"/>
  <c r="I76" i="30"/>
  <c r="AW75" i="30"/>
  <c r="AR75" i="30"/>
  <c r="AM75" i="30"/>
  <c r="AH75" i="30"/>
  <c r="AC75" i="30"/>
  <c r="X75" i="30"/>
  <c r="S75" i="30"/>
  <c r="K75" i="30"/>
  <c r="M75" i="30" s="1"/>
  <c r="J75" i="30"/>
  <c r="I75" i="30"/>
  <c r="AW74" i="30"/>
  <c r="AR74" i="30"/>
  <c r="AM74" i="30"/>
  <c r="AH74" i="30"/>
  <c r="AC74" i="30"/>
  <c r="X74" i="30"/>
  <c r="S74" i="30"/>
  <c r="M74" i="30"/>
  <c r="K74" i="30"/>
  <c r="J74" i="30"/>
  <c r="I74" i="30"/>
  <c r="AW73" i="30"/>
  <c r="AR73" i="30"/>
  <c r="AM73" i="30"/>
  <c r="AH73" i="30"/>
  <c r="AC73" i="30"/>
  <c r="X73" i="30"/>
  <c r="S73" i="30"/>
  <c r="K73" i="30"/>
  <c r="M73" i="30" s="1"/>
  <c r="J73" i="30"/>
  <c r="I73" i="30"/>
  <c r="AW72" i="30"/>
  <c r="AR72" i="30"/>
  <c r="AM72" i="30"/>
  <c r="AH72" i="30"/>
  <c r="AC72" i="30"/>
  <c r="X72" i="30"/>
  <c r="S72" i="30"/>
  <c r="K72" i="30"/>
  <c r="M72" i="30" s="1"/>
  <c r="J72" i="30"/>
  <c r="I72" i="30"/>
  <c r="AW71" i="30"/>
  <c r="AR71" i="30"/>
  <c r="AM71" i="30"/>
  <c r="AH71" i="30"/>
  <c r="AC71" i="30"/>
  <c r="X71" i="30"/>
  <c r="S71" i="30"/>
  <c r="K71" i="30"/>
  <c r="M71" i="30" s="1"/>
  <c r="J71" i="30"/>
  <c r="I71" i="30"/>
  <c r="AW70" i="30"/>
  <c r="AR70" i="30"/>
  <c r="AM70" i="30"/>
  <c r="AH70" i="30"/>
  <c r="AC70" i="30"/>
  <c r="X70" i="30"/>
  <c r="S70" i="30"/>
  <c r="K70" i="30"/>
  <c r="J70" i="30"/>
  <c r="I70" i="30"/>
  <c r="AW69" i="30"/>
  <c r="AR69" i="30"/>
  <c r="AM69" i="30"/>
  <c r="AH69" i="30"/>
  <c r="AC69" i="30"/>
  <c r="X69" i="30"/>
  <c r="S69" i="30"/>
  <c r="K69" i="30"/>
  <c r="J69" i="30"/>
  <c r="I69" i="30"/>
  <c r="AW68" i="30"/>
  <c r="AR68" i="30"/>
  <c r="AM68" i="30"/>
  <c r="AH68" i="30"/>
  <c r="AC68" i="30"/>
  <c r="X68" i="30"/>
  <c r="S68" i="30"/>
  <c r="K68" i="30"/>
  <c r="J68" i="30"/>
  <c r="I68" i="30"/>
  <c r="AX67" i="30"/>
  <c r="AW67" i="30"/>
  <c r="AS67" i="30"/>
  <c r="AR67" i="30"/>
  <c r="AN67" i="30"/>
  <c r="AM67" i="30"/>
  <c r="AI67" i="30"/>
  <c r="AH67" i="30"/>
  <c r="AD67" i="30"/>
  <c r="AC67" i="30"/>
  <c r="Y67" i="30"/>
  <c r="X67" i="30"/>
  <c r="T67" i="30"/>
  <c r="S67" i="30"/>
  <c r="K67" i="30"/>
  <c r="J67" i="30"/>
  <c r="I67" i="30"/>
  <c r="H67" i="30"/>
  <c r="K61" i="30"/>
  <c r="M61" i="30" s="1"/>
  <c r="J61" i="30"/>
  <c r="I61" i="30"/>
  <c r="K60" i="30"/>
  <c r="M60" i="30" s="1"/>
  <c r="J60" i="30"/>
  <c r="I60" i="30"/>
  <c r="K59" i="30"/>
  <c r="M59" i="30" s="1"/>
  <c r="J59" i="30"/>
  <c r="I59" i="30"/>
  <c r="K58" i="30"/>
  <c r="M58" i="30" s="1"/>
  <c r="J58" i="30"/>
  <c r="I58" i="30"/>
  <c r="K57" i="30"/>
  <c r="M57" i="30" s="1"/>
  <c r="J57" i="30"/>
  <c r="I57" i="30"/>
  <c r="K56" i="30"/>
  <c r="M56" i="30" s="1"/>
  <c r="J56" i="30"/>
  <c r="I56" i="30"/>
  <c r="K55" i="30"/>
  <c r="M55" i="30" s="1"/>
  <c r="J55" i="30"/>
  <c r="I55" i="30"/>
  <c r="K54" i="30"/>
  <c r="M54" i="30" s="1"/>
  <c r="J54" i="30"/>
  <c r="I54" i="30"/>
  <c r="K53" i="30"/>
  <c r="M53" i="30" s="1"/>
  <c r="J53" i="30"/>
  <c r="I53" i="30"/>
  <c r="K52" i="30"/>
  <c r="M52" i="30" s="1"/>
  <c r="J52" i="30"/>
  <c r="I52" i="30"/>
  <c r="K51" i="30"/>
  <c r="M51" i="30" s="1"/>
  <c r="J51" i="30"/>
  <c r="I51" i="30"/>
  <c r="K50" i="30"/>
  <c r="M50" i="30" s="1"/>
  <c r="J50" i="30"/>
  <c r="I50" i="30"/>
  <c r="K49" i="30"/>
  <c r="J49" i="30"/>
  <c r="I49" i="30"/>
  <c r="K48" i="30"/>
  <c r="M48" i="30" s="1"/>
  <c r="J48" i="30"/>
  <c r="I48" i="30"/>
  <c r="K47" i="30"/>
  <c r="J47" i="30"/>
  <c r="I47" i="30"/>
  <c r="H47" i="30"/>
  <c r="AW41" i="30"/>
  <c r="AR41" i="30"/>
  <c r="AM41" i="30"/>
  <c r="AH41" i="30"/>
  <c r="AC41" i="30"/>
  <c r="X41" i="30"/>
  <c r="S41" i="30"/>
  <c r="K41" i="30"/>
  <c r="M41" i="30" s="1"/>
  <c r="J41" i="30"/>
  <c r="I41" i="30"/>
  <c r="AW40" i="30"/>
  <c r="AR40" i="30"/>
  <c r="AM40" i="30"/>
  <c r="AH40" i="30"/>
  <c r="AC40" i="30"/>
  <c r="X40" i="30"/>
  <c r="S40" i="30"/>
  <c r="M40" i="30"/>
  <c r="K40" i="30"/>
  <c r="J40" i="30"/>
  <c r="I40" i="30"/>
  <c r="AW39" i="30"/>
  <c r="AR39" i="30"/>
  <c r="AM39" i="30"/>
  <c r="AH39" i="30"/>
  <c r="AC39" i="30"/>
  <c r="X39" i="30"/>
  <c r="S39" i="30"/>
  <c r="K39" i="30"/>
  <c r="M39" i="30" s="1"/>
  <c r="J39" i="30"/>
  <c r="I39" i="30"/>
  <c r="AW38" i="30"/>
  <c r="AR38" i="30"/>
  <c r="AM38" i="30"/>
  <c r="AH38" i="30"/>
  <c r="AC38" i="30"/>
  <c r="X38" i="30"/>
  <c r="S38" i="30"/>
  <c r="K38" i="30"/>
  <c r="M38" i="30" s="1"/>
  <c r="J38" i="30"/>
  <c r="I38" i="30"/>
  <c r="AW37" i="30"/>
  <c r="AR37" i="30"/>
  <c r="AM37" i="30"/>
  <c r="AH37" i="30"/>
  <c r="AC37" i="30"/>
  <c r="X37" i="30"/>
  <c r="S37" i="30"/>
  <c r="K37" i="30"/>
  <c r="M37" i="30" s="1"/>
  <c r="J37" i="30"/>
  <c r="I37" i="30"/>
  <c r="AW36" i="30"/>
  <c r="AR36" i="30"/>
  <c r="AM36" i="30"/>
  <c r="AH36" i="30"/>
  <c r="AC36" i="30"/>
  <c r="X36" i="30"/>
  <c r="S36" i="30"/>
  <c r="M36" i="30"/>
  <c r="K36" i="30"/>
  <c r="J36" i="30"/>
  <c r="I36" i="30"/>
  <c r="AW35" i="30"/>
  <c r="AR35" i="30"/>
  <c r="AM35" i="30"/>
  <c r="AH35" i="30"/>
  <c r="AC35" i="30"/>
  <c r="X35" i="30"/>
  <c r="S35" i="30"/>
  <c r="K35" i="30"/>
  <c r="M35" i="30" s="1"/>
  <c r="J35" i="30"/>
  <c r="I35" i="30"/>
  <c r="AW34" i="30"/>
  <c r="AR34" i="30"/>
  <c r="AM34" i="30"/>
  <c r="AH34" i="30"/>
  <c r="AC34" i="30"/>
  <c r="X34" i="30"/>
  <c r="S34" i="30"/>
  <c r="K34" i="30"/>
  <c r="M34" i="30" s="1"/>
  <c r="J34" i="30"/>
  <c r="I34" i="30"/>
  <c r="AW33" i="30"/>
  <c r="AR33" i="30"/>
  <c r="AM33" i="30"/>
  <c r="AH33" i="30"/>
  <c r="AC33" i="30"/>
  <c r="X33" i="30"/>
  <c r="S33" i="30"/>
  <c r="K33" i="30"/>
  <c r="M33" i="30" s="1"/>
  <c r="J33" i="30"/>
  <c r="I33" i="30"/>
  <c r="AW32" i="30"/>
  <c r="AR32" i="30"/>
  <c r="AM32" i="30"/>
  <c r="AH32" i="30"/>
  <c r="AC32" i="30"/>
  <c r="X32" i="30"/>
  <c r="S32" i="30"/>
  <c r="M32" i="30"/>
  <c r="K32" i="30"/>
  <c r="J32" i="30"/>
  <c r="I32" i="30"/>
  <c r="AW31" i="30"/>
  <c r="AR31" i="30"/>
  <c r="AM31" i="30"/>
  <c r="AH31" i="30"/>
  <c r="AC31" i="30"/>
  <c r="X31" i="30"/>
  <c r="S31" i="30"/>
  <c r="K31" i="30"/>
  <c r="M31" i="30" s="1"/>
  <c r="J31" i="30"/>
  <c r="I31" i="30"/>
  <c r="AW30" i="30"/>
  <c r="AR30" i="30"/>
  <c r="AM30" i="30"/>
  <c r="AH30" i="30"/>
  <c r="AC30" i="30"/>
  <c r="X30" i="30"/>
  <c r="S30" i="30"/>
  <c r="K30" i="30"/>
  <c r="J30" i="30"/>
  <c r="I30" i="30"/>
  <c r="AW29" i="30"/>
  <c r="AR29" i="30"/>
  <c r="AM29" i="30"/>
  <c r="AH29" i="30"/>
  <c r="AC29" i="30"/>
  <c r="X29" i="30"/>
  <c r="S29" i="30"/>
  <c r="K29" i="30"/>
  <c r="J29" i="30"/>
  <c r="I29" i="30"/>
  <c r="AW28" i="30"/>
  <c r="AR28" i="30"/>
  <c r="AM28" i="30"/>
  <c r="AH28" i="30"/>
  <c r="AC28" i="30"/>
  <c r="X28" i="30"/>
  <c r="S28" i="30"/>
  <c r="K28" i="30"/>
  <c r="J28" i="30"/>
  <c r="I28" i="30"/>
  <c r="AX27" i="30"/>
  <c r="AW27" i="30"/>
  <c r="AS27" i="30"/>
  <c r="AR27" i="30"/>
  <c r="AN27" i="30"/>
  <c r="AM27" i="30"/>
  <c r="AI27" i="30"/>
  <c r="AH27" i="30"/>
  <c r="AD27" i="30"/>
  <c r="AC27" i="30"/>
  <c r="Y27" i="30"/>
  <c r="X27" i="30"/>
  <c r="T27" i="30"/>
  <c r="S27" i="30"/>
  <c r="K27" i="30"/>
  <c r="M28" i="30" s="1"/>
  <c r="J27" i="30"/>
  <c r="I27" i="30"/>
  <c r="H27" i="30"/>
  <c r="AW141" i="8"/>
  <c r="AR141" i="8"/>
  <c r="AM141" i="8"/>
  <c r="AH141" i="8"/>
  <c r="AC141" i="8"/>
  <c r="X141" i="8"/>
  <c r="S141" i="8"/>
  <c r="K141" i="8"/>
  <c r="M141" i="8" s="1"/>
  <c r="J141" i="8"/>
  <c r="I141" i="8"/>
  <c r="AW140" i="8"/>
  <c r="AR140" i="8"/>
  <c r="AM140" i="8"/>
  <c r="AH140" i="8"/>
  <c r="AC140" i="8"/>
  <c r="X140" i="8"/>
  <c r="S140" i="8"/>
  <c r="M140" i="8"/>
  <c r="K140" i="8"/>
  <c r="J140" i="8"/>
  <c r="I140" i="8"/>
  <c r="AW139" i="8"/>
  <c r="AR139" i="8"/>
  <c r="AM139" i="8"/>
  <c r="AH139" i="8"/>
  <c r="AC139" i="8"/>
  <c r="X139" i="8"/>
  <c r="S139" i="8"/>
  <c r="K139" i="8"/>
  <c r="M139" i="8" s="1"/>
  <c r="J139" i="8"/>
  <c r="I139" i="8"/>
  <c r="AW138" i="8"/>
  <c r="AR138" i="8"/>
  <c r="AM138" i="8"/>
  <c r="AH138" i="8"/>
  <c r="AC138" i="8"/>
  <c r="X138" i="8"/>
  <c r="S138" i="8"/>
  <c r="K138" i="8"/>
  <c r="M138" i="8" s="1"/>
  <c r="J138" i="8"/>
  <c r="I138" i="8"/>
  <c r="AW137" i="8"/>
  <c r="AR137" i="8"/>
  <c r="AM137" i="8"/>
  <c r="AH137" i="8"/>
  <c r="AC137" i="8"/>
  <c r="X137" i="8"/>
  <c r="S137" i="8"/>
  <c r="K137" i="8"/>
  <c r="M137" i="8" s="1"/>
  <c r="J137" i="8"/>
  <c r="I137" i="8"/>
  <c r="AW136" i="8"/>
  <c r="AR136" i="8"/>
  <c r="AM136" i="8"/>
  <c r="AH136" i="8"/>
  <c r="AC136" i="8"/>
  <c r="X136" i="8"/>
  <c r="S136" i="8"/>
  <c r="K136" i="8"/>
  <c r="J136" i="8"/>
  <c r="I136" i="8"/>
  <c r="AW135" i="8"/>
  <c r="AR135" i="8"/>
  <c r="AM135" i="8"/>
  <c r="AH135" i="8"/>
  <c r="AC135" i="8"/>
  <c r="X135" i="8"/>
  <c r="S135" i="8"/>
  <c r="K135" i="8"/>
  <c r="J135" i="8"/>
  <c r="I135" i="8"/>
  <c r="AW134" i="8"/>
  <c r="AR134" i="8"/>
  <c r="AM134" i="8"/>
  <c r="AH134" i="8"/>
  <c r="AC134" i="8"/>
  <c r="X134" i="8"/>
  <c r="S134" i="8"/>
  <c r="K134" i="8"/>
  <c r="J134" i="8"/>
  <c r="I134" i="8"/>
  <c r="AW133" i="8"/>
  <c r="AR133" i="8"/>
  <c r="AM133" i="8"/>
  <c r="AH133" i="8"/>
  <c r="AC133" i="8"/>
  <c r="X133" i="8"/>
  <c r="S133" i="8"/>
  <c r="K133" i="8"/>
  <c r="J133" i="8"/>
  <c r="I133" i="8"/>
  <c r="AW132" i="8"/>
  <c r="AR132" i="8"/>
  <c r="AM132" i="8"/>
  <c r="AH132" i="8"/>
  <c r="AC132" i="8"/>
  <c r="X132" i="8"/>
  <c r="S132" i="8"/>
  <c r="K132" i="8"/>
  <c r="J132" i="8"/>
  <c r="I132" i="8"/>
  <c r="AW131" i="8"/>
  <c r="AR131" i="8"/>
  <c r="AM131" i="8"/>
  <c r="AH131" i="8"/>
  <c r="AC131" i="8"/>
  <c r="X131" i="8"/>
  <c r="S131" i="8"/>
  <c r="K131" i="8"/>
  <c r="J131" i="8"/>
  <c r="I131" i="8"/>
  <c r="AW130" i="8"/>
  <c r="AR130" i="8"/>
  <c r="AM130" i="8"/>
  <c r="AH130" i="8"/>
  <c r="AC130" i="8"/>
  <c r="X130" i="8"/>
  <c r="S130" i="8"/>
  <c r="K130" i="8"/>
  <c r="J130" i="8"/>
  <c r="I130" i="8"/>
  <c r="AW129" i="8"/>
  <c r="AR129" i="8"/>
  <c r="AM129" i="8"/>
  <c r="AH129" i="8"/>
  <c r="AC129" i="8"/>
  <c r="X129" i="8"/>
  <c r="S129" i="8"/>
  <c r="K129" i="8"/>
  <c r="J129" i="8"/>
  <c r="I129" i="8"/>
  <c r="AW128" i="8"/>
  <c r="AR128" i="8"/>
  <c r="AM128" i="8"/>
  <c r="AH128" i="8"/>
  <c r="AC128" i="8"/>
  <c r="X128" i="8"/>
  <c r="S128" i="8"/>
  <c r="K128" i="8"/>
  <c r="J128" i="8"/>
  <c r="I128" i="8"/>
  <c r="AW127" i="8"/>
  <c r="AR127" i="8"/>
  <c r="AM127" i="8"/>
  <c r="AH127" i="8"/>
  <c r="AC127" i="8"/>
  <c r="X127" i="8"/>
  <c r="S127" i="8"/>
  <c r="K127" i="8"/>
  <c r="J127" i="8"/>
  <c r="I127" i="8"/>
  <c r="AW126" i="8"/>
  <c r="AR126" i="8"/>
  <c r="AM126" i="8"/>
  <c r="AH126" i="8"/>
  <c r="AC126" i="8"/>
  <c r="X126" i="8"/>
  <c r="S126" i="8"/>
  <c r="K126" i="8"/>
  <c r="J126" i="8"/>
  <c r="I126" i="8"/>
  <c r="AW125" i="8"/>
  <c r="AR125" i="8"/>
  <c r="AM125" i="8"/>
  <c r="AH125" i="8"/>
  <c r="AC125" i="8"/>
  <c r="X125" i="8"/>
  <c r="S125" i="8"/>
  <c r="K125" i="8"/>
  <c r="J125" i="8"/>
  <c r="I125" i="8"/>
  <c r="AW124" i="8"/>
  <c r="AR124" i="8"/>
  <c r="AM124" i="8"/>
  <c r="AH124" i="8"/>
  <c r="AC124" i="8"/>
  <c r="X124" i="8"/>
  <c r="S124" i="8"/>
  <c r="K124" i="8"/>
  <c r="J124" i="8"/>
  <c r="I124" i="8"/>
  <c r="AW123" i="8"/>
  <c r="AR123" i="8"/>
  <c r="AM123" i="8"/>
  <c r="AH123" i="8"/>
  <c r="AC123" i="8"/>
  <c r="X123" i="8"/>
  <c r="S123" i="8"/>
  <c r="K123" i="8"/>
  <c r="J123" i="8"/>
  <c r="I123" i="8"/>
  <c r="AW122" i="8"/>
  <c r="AR122" i="8"/>
  <c r="AM122" i="8"/>
  <c r="AH122" i="8"/>
  <c r="AC122" i="8"/>
  <c r="X122" i="8"/>
  <c r="S122" i="8"/>
  <c r="K122" i="8"/>
  <c r="J122" i="8"/>
  <c r="I122" i="8"/>
  <c r="AW121" i="8"/>
  <c r="AR121" i="8"/>
  <c r="AM121" i="8"/>
  <c r="AH121" i="8"/>
  <c r="AC121" i="8"/>
  <c r="X121" i="8"/>
  <c r="S121" i="8"/>
  <c r="K121" i="8"/>
  <c r="J121" i="8"/>
  <c r="I121" i="8"/>
  <c r="AW120" i="8"/>
  <c r="AR120" i="8"/>
  <c r="AM120" i="8"/>
  <c r="AH120" i="8"/>
  <c r="AC120" i="8"/>
  <c r="X120" i="8"/>
  <c r="S120" i="8"/>
  <c r="K120" i="8"/>
  <c r="J120" i="8"/>
  <c r="I120" i="8"/>
  <c r="AW119" i="8"/>
  <c r="AR119" i="8"/>
  <c r="AM119" i="8"/>
  <c r="AH119" i="8"/>
  <c r="AC119" i="8"/>
  <c r="X119" i="8"/>
  <c r="S119" i="8"/>
  <c r="K119" i="8"/>
  <c r="J119" i="8"/>
  <c r="I119" i="8"/>
  <c r="AW118" i="8"/>
  <c r="AR118" i="8"/>
  <c r="AM118" i="8"/>
  <c r="AH118" i="8"/>
  <c r="AC118" i="8"/>
  <c r="X118" i="8"/>
  <c r="S118" i="8"/>
  <c r="K118" i="8"/>
  <c r="J118" i="8"/>
  <c r="I118" i="8"/>
  <c r="AW117" i="8"/>
  <c r="AR117" i="8"/>
  <c r="AM117" i="8"/>
  <c r="AH117" i="8"/>
  <c r="AC117" i="8"/>
  <c r="X117" i="8"/>
  <c r="S117" i="8"/>
  <c r="K117" i="8"/>
  <c r="J117" i="8"/>
  <c r="I117" i="8"/>
  <c r="AW116" i="8"/>
  <c r="AR116" i="8"/>
  <c r="AM116" i="8"/>
  <c r="AH116" i="8"/>
  <c r="AC116" i="8"/>
  <c r="X116" i="8"/>
  <c r="S116" i="8"/>
  <c r="K116" i="8"/>
  <c r="J116" i="8"/>
  <c r="I116" i="8"/>
  <c r="AW115" i="8"/>
  <c r="AR115" i="8"/>
  <c r="AM115" i="8"/>
  <c r="AH115" i="8"/>
  <c r="AC115" i="8"/>
  <c r="X115" i="8"/>
  <c r="S115" i="8"/>
  <c r="K115" i="8"/>
  <c r="J115" i="8"/>
  <c r="I115" i="8"/>
  <c r="AW114" i="8"/>
  <c r="AR114" i="8"/>
  <c r="AM114" i="8"/>
  <c r="AH114" i="8"/>
  <c r="AC114" i="8"/>
  <c r="X114" i="8"/>
  <c r="S114" i="8"/>
  <c r="K114" i="8"/>
  <c r="J114" i="8"/>
  <c r="I114" i="8"/>
  <c r="AW113" i="8"/>
  <c r="AR113" i="8"/>
  <c r="AM113" i="8"/>
  <c r="AH113" i="8"/>
  <c r="AC113" i="8"/>
  <c r="X113" i="8"/>
  <c r="S113" i="8"/>
  <c r="K113" i="8"/>
  <c r="M126" i="8" s="1"/>
  <c r="J113" i="8"/>
  <c r="I113" i="8"/>
  <c r="AX112" i="8"/>
  <c r="AW112" i="8"/>
  <c r="AS112" i="8"/>
  <c r="AR112" i="8"/>
  <c r="AN112" i="8"/>
  <c r="AM112" i="8"/>
  <c r="AI112" i="8"/>
  <c r="AH112" i="8"/>
  <c r="AD112" i="8"/>
  <c r="AC112" i="8"/>
  <c r="Y112" i="8"/>
  <c r="X112" i="8"/>
  <c r="T112" i="8"/>
  <c r="S112" i="8"/>
  <c r="K112" i="8"/>
  <c r="J112" i="8"/>
  <c r="I112" i="8"/>
  <c r="H112" i="8"/>
  <c r="K106" i="8"/>
  <c r="M106" i="8" s="1"/>
  <c r="J106" i="8"/>
  <c r="I106" i="8"/>
  <c r="K105" i="8"/>
  <c r="M105" i="8" s="1"/>
  <c r="J105" i="8"/>
  <c r="I105" i="8"/>
  <c r="K104" i="8"/>
  <c r="M104" i="8" s="1"/>
  <c r="J104" i="8"/>
  <c r="I104" i="8"/>
  <c r="K103" i="8"/>
  <c r="M103" i="8" s="1"/>
  <c r="J103" i="8"/>
  <c r="I103" i="8"/>
  <c r="K102" i="8"/>
  <c r="J102" i="8"/>
  <c r="I102" i="8"/>
  <c r="K101" i="8"/>
  <c r="J101" i="8"/>
  <c r="I101" i="8"/>
  <c r="K100" i="8"/>
  <c r="J100" i="8"/>
  <c r="I100" i="8"/>
  <c r="K99" i="8"/>
  <c r="J99" i="8"/>
  <c r="I99" i="8"/>
  <c r="K98" i="8"/>
  <c r="J98" i="8"/>
  <c r="I98" i="8"/>
  <c r="K97" i="8"/>
  <c r="J97" i="8"/>
  <c r="I97" i="8"/>
  <c r="K96" i="8"/>
  <c r="J96" i="8"/>
  <c r="I96" i="8"/>
  <c r="K95" i="8"/>
  <c r="J95" i="8"/>
  <c r="I95" i="8"/>
  <c r="K94" i="8"/>
  <c r="J94" i="8"/>
  <c r="I94" i="8"/>
  <c r="K93" i="8"/>
  <c r="J93" i="8"/>
  <c r="I93" i="8"/>
  <c r="K92" i="8"/>
  <c r="J92" i="8"/>
  <c r="I92" i="8"/>
  <c r="K91" i="8"/>
  <c r="J91" i="8"/>
  <c r="I91" i="8"/>
  <c r="K90" i="8"/>
  <c r="J90" i="8"/>
  <c r="I90" i="8"/>
  <c r="K89" i="8"/>
  <c r="J89" i="8"/>
  <c r="I89" i="8"/>
  <c r="K88" i="8"/>
  <c r="J88" i="8"/>
  <c r="I88" i="8"/>
  <c r="K87" i="8"/>
  <c r="J87" i="8"/>
  <c r="I87" i="8"/>
  <c r="K86" i="8"/>
  <c r="J86" i="8"/>
  <c r="I86" i="8"/>
  <c r="K85" i="8"/>
  <c r="J85" i="8"/>
  <c r="I85" i="8"/>
  <c r="K84" i="8"/>
  <c r="J84" i="8"/>
  <c r="I84" i="8"/>
  <c r="K83" i="8"/>
  <c r="J83" i="8"/>
  <c r="I83" i="8"/>
  <c r="K82" i="8"/>
  <c r="J82" i="8"/>
  <c r="I82" i="8"/>
  <c r="K81" i="8"/>
  <c r="J81" i="8"/>
  <c r="I81" i="8"/>
  <c r="K80" i="8"/>
  <c r="M80" i="8" s="1"/>
  <c r="J80" i="8"/>
  <c r="I80" i="8"/>
  <c r="K79" i="8"/>
  <c r="J79" i="8"/>
  <c r="I79" i="8"/>
  <c r="K78" i="8"/>
  <c r="J78" i="8"/>
  <c r="I78" i="8"/>
  <c r="K77" i="8"/>
  <c r="J77" i="8"/>
  <c r="I77" i="8"/>
  <c r="H77" i="8"/>
  <c r="AW71" i="8"/>
  <c r="AR71" i="8"/>
  <c r="AM71" i="8"/>
  <c r="AH71" i="8"/>
  <c r="AC71" i="8"/>
  <c r="X71" i="8"/>
  <c r="S71" i="8"/>
  <c r="K71" i="8"/>
  <c r="M71" i="8" s="1"/>
  <c r="J71" i="8"/>
  <c r="I71" i="8"/>
  <c r="AW70" i="8"/>
  <c r="AR70" i="8"/>
  <c r="AM70" i="8"/>
  <c r="AH70" i="8"/>
  <c r="AC70" i="8"/>
  <c r="X70" i="8"/>
  <c r="S70" i="8"/>
  <c r="M70" i="8"/>
  <c r="K70" i="8"/>
  <c r="J70" i="8"/>
  <c r="I70" i="8"/>
  <c r="AW69" i="8"/>
  <c r="AR69" i="8"/>
  <c r="AM69" i="8"/>
  <c r="AH69" i="8"/>
  <c r="AC69" i="8"/>
  <c r="X69" i="8"/>
  <c r="S69" i="8"/>
  <c r="K69" i="8"/>
  <c r="M69" i="8" s="1"/>
  <c r="J69" i="8"/>
  <c r="I69" i="8"/>
  <c r="AW68" i="8"/>
  <c r="AR68" i="8"/>
  <c r="AM68" i="8"/>
  <c r="AH68" i="8"/>
  <c r="AC68" i="8"/>
  <c r="X68" i="8"/>
  <c r="S68" i="8"/>
  <c r="K68" i="8"/>
  <c r="M68" i="8" s="1"/>
  <c r="J68" i="8"/>
  <c r="I68" i="8"/>
  <c r="AW67" i="8"/>
  <c r="AR67" i="8"/>
  <c r="AM67" i="8"/>
  <c r="AH67" i="8"/>
  <c r="AC67" i="8"/>
  <c r="X67" i="8"/>
  <c r="S67" i="8"/>
  <c r="K67" i="8"/>
  <c r="J67" i="8"/>
  <c r="I67" i="8"/>
  <c r="AW66" i="8"/>
  <c r="AR66" i="8"/>
  <c r="AM66" i="8"/>
  <c r="AH66" i="8"/>
  <c r="AC66" i="8"/>
  <c r="X66" i="8"/>
  <c r="S66" i="8"/>
  <c r="K66" i="8"/>
  <c r="J66" i="8"/>
  <c r="I66" i="8"/>
  <c r="AW65" i="8"/>
  <c r="AR65" i="8"/>
  <c r="AM65" i="8"/>
  <c r="AH65" i="8"/>
  <c r="AC65" i="8"/>
  <c r="X65" i="8"/>
  <c r="S65" i="8"/>
  <c r="K65" i="8"/>
  <c r="J65" i="8"/>
  <c r="I65" i="8"/>
  <c r="AW64" i="8"/>
  <c r="AR64" i="8"/>
  <c r="AM64" i="8"/>
  <c r="AH64" i="8"/>
  <c r="AC64" i="8"/>
  <c r="X64" i="8"/>
  <c r="S64" i="8"/>
  <c r="K64" i="8"/>
  <c r="J64" i="8"/>
  <c r="I64" i="8"/>
  <c r="AW63" i="8"/>
  <c r="AR63" i="8"/>
  <c r="AM63" i="8"/>
  <c r="AH63" i="8"/>
  <c r="AC63" i="8"/>
  <c r="X63" i="8"/>
  <c r="S63" i="8"/>
  <c r="K63" i="8"/>
  <c r="J63" i="8"/>
  <c r="I63" i="8"/>
  <c r="AW62" i="8"/>
  <c r="AR62" i="8"/>
  <c r="AM62" i="8"/>
  <c r="AH62" i="8"/>
  <c r="AC62" i="8"/>
  <c r="X62" i="8"/>
  <c r="S62" i="8"/>
  <c r="K62" i="8"/>
  <c r="J62" i="8"/>
  <c r="I62" i="8"/>
  <c r="AW61" i="8"/>
  <c r="AR61" i="8"/>
  <c r="AM61" i="8"/>
  <c r="AH61" i="8"/>
  <c r="AC61" i="8"/>
  <c r="X61" i="8"/>
  <c r="S61" i="8"/>
  <c r="K61" i="8"/>
  <c r="J61" i="8"/>
  <c r="I61" i="8"/>
  <c r="AW60" i="8"/>
  <c r="AR60" i="8"/>
  <c r="AM60" i="8"/>
  <c r="AH60" i="8"/>
  <c r="AC60" i="8"/>
  <c r="X60" i="8"/>
  <c r="S60" i="8"/>
  <c r="K60" i="8"/>
  <c r="J60" i="8"/>
  <c r="I60" i="8"/>
  <c r="AW59" i="8"/>
  <c r="AR59" i="8"/>
  <c r="AM59" i="8"/>
  <c r="AH59" i="8"/>
  <c r="AC59" i="8"/>
  <c r="X59" i="8"/>
  <c r="S59" i="8"/>
  <c r="K59" i="8"/>
  <c r="J59" i="8"/>
  <c r="I59" i="8"/>
  <c r="AW58" i="8"/>
  <c r="AR58" i="8"/>
  <c r="AM58" i="8"/>
  <c r="AH58" i="8"/>
  <c r="AC58" i="8"/>
  <c r="X58" i="8"/>
  <c r="S58" i="8"/>
  <c r="K58" i="8"/>
  <c r="J58" i="8"/>
  <c r="I58" i="8"/>
  <c r="AW57" i="8"/>
  <c r="AR57" i="8"/>
  <c r="AM57" i="8"/>
  <c r="AH57" i="8"/>
  <c r="AC57" i="8"/>
  <c r="X57" i="8"/>
  <c r="S57" i="8"/>
  <c r="K57" i="8"/>
  <c r="J57" i="8"/>
  <c r="I57" i="8"/>
  <c r="AW56" i="8"/>
  <c r="AR56" i="8"/>
  <c r="AM56" i="8"/>
  <c r="AH56" i="8"/>
  <c r="AC56" i="8"/>
  <c r="X56" i="8"/>
  <c r="S56" i="8"/>
  <c r="K56" i="8"/>
  <c r="J56" i="8"/>
  <c r="I56" i="8"/>
  <c r="AW55" i="8"/>
  <c r="AR55" i="8"/>
  <c r="AM55" i="8"/>
  <c r="AH55" i="8"/>
  <c r="AC55" i="8"/>
  <c r="X55" i="8"/>
  <c r="S55" i="8"/>
  <c r="K55" i="8"/>
  <c r="J55" i="8"/>
  <c r="I55" i="8"/>
  <c r="AW54" i="8"/>
  <c r="AR54" i="8"/>
  <c r="AM54" i="8"/>
  <c r="AH54" i="8"/>
  <c r="AC54" i="8"/>
  <c r="X54" i="8"/>
  <c r="S54" i="8"/>
  <c r="K54" i="8"/>
  <c r="J54" i="8"/>
  <c r="I54" i="8"/>
  <c r="AW53" i="8"/>
  <c r="AR53" i="8"/>
  <c r="AM53" i="8"/>
  <c r="AH53" i="8"/>
  <c r="AC53" i="8"/>
  <c r="X53" i="8"/>
  <c r="S53" i="8"/>
  <c r="K53" i="8"/>
  <c r="J53" i="8"/>
  <c r="I53" i="8"/>
  <c r="AW52" i="8"/>
  <c r="AR52" i="8"/>
  <c r="AM52" i="8"/>
  <c r="AH52" i="8"/>
  <c r="AC52" i="8"/>
  <c r="X52" i="8"/>
  <c r="S52" i="8"/>
  <c r="K52" i="8"/>
  <c r="J52" i="8"/>
  <c r="I52" i="8"/>
  <c r="AW51" i="8"/>
  <c r="AR51" i="8"/>
  <c r="AM51" i="8"/>
  <c r="AH51" i="8"/>
  <c r="AC51" i="8"/>
  <c r="X51" i="8"/>
  <c r="S51" i="8"/>
  <c r="K51" i="8"/>
  <c r="J51" i="8"/>
  <c r="I51" i="8"/>
  <c r="AW50" i="8"/>
  <c r="AR50" i="8"/>
  <c r="AM50" i="8"/>
  <c r="AH50" i="8"/>
  <c r="AC50" i="8"/>
  <c r="X50" i="8"/>
  <c r="S50" i="8"/>
  <c r="K50" i="8"/>
  <c r="J50" i="8"/>
  <c r="I50" i="8"/>
  <c r="AW49" i="8"/>
  <c r="AR49" i="8"/>
  <c r="AM49" i="8"/>
  <c r="AH49" i="8"/>
  <c r="AC49" i="8"/>
  <c r="X49" i="8"/>
  <c r="S49" i="8"/>
  <c r="K49" i="8"/>
  <c r="J49" i="8"/>
  <c r="I49" i="8"/>
  <c r="AW48" i="8"/>
  <c r="AR48" i="8"/>
  <c r="AM48" i="8"/>
  <c r="AH48" i="8"/>
  <c r="AC48" i="8"/>
  <c r="X48" i="8"/>
  <c r="S48" i="8"/>
  <c r="K48" i="8"/>
  <c r="J48" i="8"/>
  <c r="I48" i="8"/>
  <c r="AW47" i="8"/>
  <c r="AR47" i="8"/>
  <c r="AM47" i="8"/>
  <c r="AH47" i="8"/>
  <c r="AC47" i="8"/>
  <c r="X47" i="8"/>
  <c r="S47" i="8"/>
  <c r="K47" i="8"/>
  <c r="J47" i="8"/>
  <c r="I47" i="8"/>
  <c r="AW46" i="8"/>
  <c r="AR46" i="8"/>
  <c r="AM46" i="8"/>
  <c r="AH46" i="8"/>
  <c r="AC46" i="8"/>
  <c r="X46" i="8"/>
  <c r="S46" i="8"/>
  <c r="K46" i="8"/>
  <c r="J46" i="8"/>
  <c r="I46" i="8"/>
  <c r="AW45" i="8"/>
  <c r="AR45" i="8"/>
  <c r="AM45" i="8"/>
  <c r="AH45" i="8"/>
  <c r="AC45" i="8"/>
  <c r="X45" i="8"/>
  <c r="S45" i="8"/>
  <c r="K45" i="8"/>
  <c r="J45" i="8"/>
  <c r="I45" i="8"/>
  <c r="AW44" i="8"/>
  <c r="AR44" i="8"/>
  <c r="AM44" i="8"/>
  <c r="AH44" i="8"/>
  <c r="AC44" i="8"/>
  <c r="X44" i="8"/>
  <c r="S44" i="8"/>
  <c r="K44" i="8"/>
  <c r="J44" i="8"/>
  <c r="I44" i="8"/>
  <c r="AW43" i="8"/>
  <c r="AR43" i="8"/>
  <c r="AM43" i="8"/>
  <c r="AH43" i="8"/>
  <c r="AC43" i="8"/>
  <c r="X43" i="8"/>
  <c r="S43" i="8"/>
  <c r="K43" i="8"/>
  <c r="M57" i="8" s="1"/>
  <c r="J43" i="8"/>
  <c r="I43" i="8"/>
  <c r="AX42" i="8"/>
  <c r="AW42" i="8"/>
  <c r="AS42" i="8"/>
  <c r="AR42" i="8"/>
  <c r="AN42" i="8"/>
  <c r="AM42" i="8"/>
  <c r="AI42" i="8"/>
  <c r="AH42" i="8"/>
  <c r="AD42" i="8"/>
  <c r="AC42" i="8"/>
  <c r="Y42" i="8"/>
  <c r="X42" i="8"/>
  <c r="T42" i="8"/>
  <c r="S42" i="8"/>
  <c r="K42" i="8"/>
  <c r="J42" i="8"/>
  <c r="I42" i="8"/>
  <c r="H42" i="8"/>
  <c r="P22" i="32"/>
  <c r="Z2" i="32"/>
  <c r="AE2" i="32" s="1"/>
  <c r="AJ2" i="32" s="1"/>
  <c r="AO2" i="32" s="1"/>
  <c r="AT2" i="32" s="1"/>
  <c r="Z2" i="31"/>
  <c r="AE2" i="31" s="1"/>
  <c r="AJ2" i="31" s="1"/>
  <c r="AO2" i="31" s="1"/>
  <c r="AT2" i="31" s="1"/>
  <c r="P22" i="31" s="1"/>
  <c r="Z2" i="33"/>
  <c r="AE2" i="33" s="1"/>
  <c r="AJ2" i="33" s="1"/>
  <c r="AO2" i="33" s="1"/>
  <c r="AT2" i="33" s="1"/>
  <c r="Z2" i="34"/>
  <c r="AE2" i="34" s="1"/>
  <c r="AJ2" i="34" s="1"/>
  <c r="AO2" i="34" s="1"/>
  <c r="AT2" i="34" s="1"/>
  <c r="P22" i="34" s="1"/>
  <c r="Z2" i="35"/>
  <c r="AE2" i="35" s="1"/>
  <c r="AJ2" i="35" s="1"/>
  <c r="AO2" i="35" s="1"/>
  <c r="AT2" i="35" s="1"/>
  <c r="P22" i="35" s="1"/>
  <c r="Z2" i="36"/>
  <c r="AE2" i="36" s="1"/>
  <c r="AJ2" i="36" s="1"/>
  <c r="AO2" i="36" s="1"/>
  <c r="AT2" i="36" s="1"/>
  <c r="P22" i="36" s="1"/>
  <c r="Z2" i="37"/>
  <c r="AE2" i="37" s="1"/>
  <c r="AJ2" i="37" s="1"/>
  <c r="AO2" i="37" s="1"/>
  <c r="AT2" i="37" s="1"/>
  <c r="P22" i="37" s="1"/>
  <c r="Z2" i="30"/>
  <c r="AE2" i="30" s="1"/>
  <c r="AJ2" i="30" s="1"/>
  <c r="AO2" i="30" s="1"/>
  <c r="AT2" i="30" s="1"/>
  <c r="P22" i="30" s="1"/>
  <c r="Z2" i="8"/>
  <c r="AE2" i="8" s="1"/>
  <c r="AJ2" i="8" s="1"/>
  <c r="AO2" i="8" s="1"/>
  <c r="AT2" i="8" s="1"/>
  <c r="P37" i="8" s="1"/>
  <c r="D8" i="7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M78" i="8" l="1"/>
  <c r="M82" i="8"/>
  <c r="M86" i="8"/>
  <c r="M90" i="8"/>
  <c r="M94" i="8"/>
  <c r="M98" i="8"/>
  <c r="M102" i="8"/>
  <c r="M134" i="8"/>
  <c r="M29" i="30"/>
  <c r="M30" i="32"/>
  <c r="M32" i="32"/>
  <c r="M34" i="32"/>
  <c r="M47" i="8"/>
  <c r="M55" i="8"/>
  <c r="M59" i="8"/>
  <c r="M63" i="8"/>
  <c r="M67" i="8"/>
  <c r="M77" i="8"/>
  <c r="M81" i="8"/>
  <c r="M85" i="8"/>
  <c r="M89" i="8"/>
  <c r="M93" i="8"/>
  <c r="M97" i="8"/>
  <c r="M101" i="8"/>
  <c r="L112" i="8"/>
  <c r="L27" i="30"/>
  <c r="M47" i="32"/>
  <c r="M72" i="32"/>
  <c r="M65" i="8"/>
  <c r="M52" i="8"/>
  <c r="M60" i="8"/>
  <c r="M64" i="8"/>
  <c r="M84" i="8"/>
  <c r="M88" i="8"/>
  <c r="M92" i="8"/>
  <c r="M96" i="8"/>
  <c r="M100" i="8"/>
  <c r="M115" i="8"/>
  <c r="M117" i="8"/>
  <c r="M119" i="8"/>
  <c r="M121" i="8"/>
  <c r="M123" i="8"/>
  <c r="M125" i="8"/>
  <c r="M127" i="8"/>
  <c r="M129" i="8"/>
  <c r="M131" i="8"/>
  <c r="M133" i="8"/>
  <c r="M135" i="8"/>
  <c r="M27" i="30"/>
  <c r="M69" i="30"/>
  <c r="M41" i="32"/>
  <c r="M61" i="32"/>
  <c r="M75" i="32"/>
  <c r="M51" i="8"/>
  <c r="M44" i="8"/>
  <c r="M48" i="8"/>
  <c r="M56" i="8"/>
  <c r="M42" i="8"/>
  <c r="M79" i="8"/>
  <c r="M83" i="8"/>
  <c r="M87" i="8"/>
  <c r="M91" i="8"/>
  <c r="M95" i="8"/>
  <c r="M99" i="8"/>
  <c r="M49" i="30"/>
  <c r="M70" i="30"/>
  <c r="L27" i="32"/>
  <c r="M67" i="32"/>
  <c r="M69" i="32"/>
  <c r="M73" i="32"/>
  <c r="M68" i="32"/>
  <c r="M81" i="32"/>
  <c r="L67" i="32"/>
  <c r="M71" i="32"/>
  <c r="M70" i="32"/>
  <c r="M28" i="32"/>
  <c r="M31" i="32"/>
  <c r="M35" i="32"/>
  <c r="M27" i="32"/>
  <c r="M29" i="32"/>
  <c r="M67" i="30"/>
  <c r="M68" i="30"/>
  <c r="L67" i="30"/>
  <c r="L47" i="30"/>
  <c r="M47" i="30"/>
  <c r="M30" i="30"/>
  <c r="M113" i="8"/>
  <c r="M116" i="8"/>
  <c r="M120" i="8"/>
  <c r="M124" i="8"/>
  <c r="M128" i="8"/>
  <c r="M132" i="8"/>
  <c r="M136" i="8"/>
  <c r="M112" i="8"/>
  <c r="M114" i="8"/>
  <c r="M118" i="8"/>
  <c r="M122" i="8"/>
  <c r="M130" i="8"/>
  <c r="L77" i="8"/>
  <c r="M49" i="8"/>
  <c r="M43" i="8"/>
  <c r="L42" i="8"/>
  <c r="M46" i="8"/>
  <c r="M50" i="8"/>
  <c r="M54" i="8"/>
  <c r="M58" i="8"/>
  <c r="M62" i="8"/>
  <c r="M66" i="8"/>
  <c r="M45" i="8"/>
  <c r="M53" i="8"/>
  <c r="M61" i="8"/>
  <c r="AZ121" i="36"/>
  <c r="AZ120" i="36"/>
  <c r="AZ119" i="36"/>
  <c r="AZ118" i="36"/>
  <c r="AZ117" i="36"/>
  <c r="AZ116" i="36"/>
  <c r="AZ115" i="36"/>
  <c r="AZ114" i="36"/>
  <c r="AZ113" i="36"/>
  <c r="AZ112" i="36"/>
  <c r="AZ111" i="36"/>
  <c r="AZ110" i="36"/>
  <c r="AZ109" i="36"/>
  <c r="AZ108" i="36"/>
  <c r="BA107" i="36"/>
  <c r="AZ107" i="36"/>
  <c r="AZ121" i="37"/>
  <c r="AZ120" i="37"/>
  <c r="AZ119" i="37"/>
  <c r="AZ118" i="37"/>
  <c r="AZ117" i="37"/>
  <c r="AZ116" i="37"/>
  <c r="AZ115" i="37"/>
  <c r="AZ114" i="37"/>
  <c r="AZ113" i="37"/>
  <c r="AZ112" i="37"/>
  <c r="AZ111" i="37"/>
  <c r="AZ110" i="37"/>
  <c r="AZ109" i="37"/>
  <c r="AZ108" i="37"/>
  <c r="BA107" i="37"/>
  <c r="AZ107" i="37"/>
  <c r="AZ121" i="35"/>
  <c r="AZ120" i="35"/>
  <c r="AZ119" i="35"/>
  <c r="AZ118" i="35"/>
  <c r="AZ117" i="35"/>
  <c r="AZ116" i="35"/>
  <c r="AZ115" i="35"/>
  <c r="AZ114" i="35"/>
  <c r="AZ113" i="35"/>
  <c r="AZ112" i="35"/>
  <c r="AZ111" i="35"/>
  <c r="AZ110" i="35"/>
  <c r="AZ109" i="35"/>
  <c r="AZ108" i="35"/>
  <c r="BA107" i="35"/>
  <c r="AZ107" i="35"/>
  <c r="AZ121" i="34"/>
  <c r="AZ120" i="34"/>
  <c r="AZ119" i="34"/>
  <c r="AZ118" i="34"/>
  <c r="AZ117" i="34"/>
  <c r="AZ116" i="34"/>
  <c r="AZ115" i="34"/>
  <c r="AZ114" i="34"/>
  <c r="AZ113" i="34"/>
  <c r="AZ112" i="34"/>
  <c r="AZ111" i="34"/>
  <c r="AZ110" i="34"/>
  <c r="AZ109" i="34"/>
  <c r="AZ108" i="34"/>
  <c r="BA107" i="34"/>
  <c r="AZ107" i="34"/>
  <c r="AZ121" i="31"/>
  <c r="AZ120" i="31"/>
  <c r="AZ119" i="31"/>
  <c r="AZ118" i="31"/>
  <c r="AZ117" i="31"/>
  <c r="AZ116" i="31"/>
  <c r="AZ115" i="31"/>
  <c r="AZ114" i="31"/>
  <c r="AZ113" i="31"/>
  <c r="AZ112" i="31"/>
  <c r="AZ111" i="31"/>
  <c r="AZ110" i="31"/>
  <c r="AZ109" i="31"/>
  <c r="AZ108" i="31"/>
  <c r="BA107" i="31"/>
  <c r="AZ107" i="31"/>
  <c r="AZ121" i="32"/>
  <c r="AZ120" i="32"/>
  <c r="AZ119" i="32"/>
  <c r="AZ118" i="32"/>
  <c r="AZ117" i="32"/>
  <c r="AZ116" i="32"/>
  <c r="AZ115" i="32"/>
  <c r="AZ114" i="32"/>
  <c r="AZ113" i="32"/>
  <c r="AZ112" i="32"/>
  <c r="AZ111" i="32"/>
  <c r="AZ110" i="32"/>
  <c r="AZ109" i="32"/>
  <c r="AZ108" i="32"/>
  <c r="BA107" i="32"/>
  <c r="AZ107" i="32"/>
  <c r="AZ121" i="30"/>
  <c r="AZ120" i="30"/>
  <c r="AZ119" i="30"/>
  <c r="AZ118" i="30"/>
  <c r="AZ117" i="30"/>
  <c r="AZ116" i="30"/>
  <c r="AZ115" i="30"/>
  <c r="AZ114" i="30"/>
  <c r="AZ113" i="30"/>
  <c r="AZ112" i="30"/>
  <c r="AZ111" i="30"/>
  <c r="AZ110" i="30"/>
  <c r="AZ109" i="30"/>
  <c r="AZ108" i="30"/>
  <c r="BA107" i="30"/>
  <c r="AZ107" i="30"/>
  <c r="S182" i="8"/>
  <c r="S183" i="8"/>
  <c r="S184" i="8"/>
  <c r="S185" i="8"/>
  <c r="S186" i="8"/>
  <c r="S187" i="8"/>
  <c r="S188" i="8"/>
  <c r="S189" i="8"/>
  <c r="S190" i="8"/>
  <c r="S191" i="8"/>
  <c r="S192" i="8"/>
  <c r="S193" i="8"/>
  <c r="S194" i="8"/>
  <c r="S195" i="8"/>
  <c r="S196" i="8"/>
  <c r="S197" i="8"/>
  <c r="S198" i="8"/>
  <c r="S199" i="8"/>
  <c r="S200" i="8"/>
  <c r="S201" i="8"/>
  <c r="S202" i="8"/>
  <c r="S203" i="8"/>
  <c r="S204" i="8"/>
  <c r="S205" i="8"/>
  <c r="S206" i="8"/>
  <c r="S207" i="8"/>
  <c r="S208" i="8"/>
  <c r="AM8" i="47" l="1"/>
  <c r="AL8" i="47"/>
  <c r="AK8" i="47"/>
  <c r="AJ8" i="47"/>
  <c r="AI8" i="47"/>
  <c r="AH8" i="47"/>
  <c r="AG8" i="47"/>
  <c r="AM7" i="47"/>
  <c r="AL7" i="47"/>
  <c r="AK7" i="47"/>
  <c r="AJ7" i="47"/>
  <c r="AI7" i="47"/>
  <c r="AH7" i="47"/>
  <c r="AG7" i="47"/>
  <c r="AF7" i="47"/>
  <c r="AM8" i="46"/>
  <c r="AL8" i="46"/>
  <c r="AK8" i="46"/>
  <c r="AJ8" i="46"/>
  <c r="AI8" i="46"/>
  <c r="AH8" i="46"/>
  <c r="AG8" i="46"/>
  <c r="AM7" i="46"/>
  <c r="AL7" i="46"/>
  <c r="AK7" i="46"/>
  <c r="AJ7" i="46"/>
  <c r="AI7" i="46"/>
  <c r="AH7" i="46"/>
  <c r="AG7" i="46"/>
  <c r="AF7" i="46"/>
  <c r="AJ9" i="46" l="1"/>
  <c r="AG9" i="47"/>
  <c r="AK9" i="47"/>
  <c r="AH9" i="46"/>
  <c r="AL9" i="46"/>
  <c r="AI9" i="47"/>
  <c r="AM9" i="47"/>
  <c r="AI9" i="46"/>
  <c r="AM9" i="46"/>
  <c r="AJ9" i="47"/>
  <c r="AG9" i="46"/>
  <c r="AK9" i="46"/>
  <c r="AH9" i="47"/>
  <c r="AL9" i="47"/>
  <c r="K100" i="37" l="1"/>
  <c r="M100" i="37" s="1"/>
  <c r="J100" i="37"/>
  <c r="I100" i="37"/>
  <c r="K99" i="37"/>
  <c r="M99" i="37" s="1"/>
  <c r="J99" i="37"/>
  <c r="I99" i="37"/>
  <c r="K98" i="37"/>
  <c r="M98" i="37" s="1"/>
  <c r="J98" i="37"/>
  <c r="I98" i="37"/>
  <c r="K97" i="37"/>
  <c r="J97" i="37"/>
  <c r="I97" i="37"/>
  <c r="K96" i="37"/>
  <c r="J96" i="37"/>
  <c r="I96" i="37"/>
  <c r="K95" i="37"/>
  <c r="J95" i="37"/>
  <c r="I95" i="37"/>
  <c r="K94" i="37"/>
  <c r="J94" i="37"/>
  <c r="I94" i="37"/>
  <c r="K93" i="37"/>
  <c r="J93" i="37"/>
  <c r="I93" i="37"/>
  <c r="K92" i="37"/>
  <c r="J92" i="37"/>
  <c r="I92" i="37"/>
  <c r="K91" i="37"/>
  <c r="J91" i="37"/>
  <c r="I91" i="37"/>
  <c r="K90" i="37"/>
  <c r="J90" i="37"/>
  <c r="I90" i="37"/>
  <c r="K89" i="37"/>
  <c r="J89" i="37"/>
  <c r="I89" i="37"/>
  <c r="K88" i="37"/>
  <c r="J88" i="37"/>
  <c r="I88" i="37"/>
  <c r="K87" i="37"/>
  <c r="J87" i="37"/>
  <c r="I87" i="37"/>
  <c r="H87" i="37"/>
  <c r="K80" i="37"/>
  <c r="M80" i="37" s="1"/>
  <c r="J80" i="37"/>
  <c r="I80" i="37"/>
  <c r="K79" i="37"/>
  <c r="M79" i="37" s="1"/>
  <c r="J79" i="37"/>
  <c r="I79" i="37"/>
  <c r="K78" i="37"/>
  <c r="M78" i="37" s="1"/>
  <c r="J78" i="37"/>
  <c r="I78" i="37"/>
  <c r="K77" i="37"/>
  <c r="J77" i="37"/>
  <c r="I77" i="37"/>
  <c r="K76" i="37"/>
  <c r="J76" i="37"/>
  <c r="I76" i="37"/>
  <c r="K75" i="37"/>
  <c r="J75" i="37"/>
  <c r="I75" i="37"/>
  <c r="K74" i="37"/>
  <c r="J74" i="37"/>
  <c r="I74" i="37"/>
  <c r="K73" i="37"/>
  <c r="J73" i="37"/>
  <c r="I73" i="37"/>
  <c r="K72" i="37"/>
  <c r="J72" i="37"/>
  <c r="I72" i="37"/>
  <c r="K71" i="37"/>
  <c r="J71" i="37"/>
  <c r="I71" i="37"/>
  <c r="K70" i="37"/>
  <c r="J70" i="37"/>
  <c r="I70" i="37"/>
  <c r="K69" i="37"/>
  <c r="J69" i="37"/>
  <c r="I69" i="37"/>
  <c r="K68" i="37"/>
  <c r="M68" i="37" s="1"/>
  <c r="J68" i="37"/>
  <c r="I68" i="37"/>
  <c r="K67" i="37"/>
  <c r="J67" i="37"/>
  <c r="I67" i="37"/>
  <c r="H67" i="37"/>
  <c r="K60" i="37"/>
  <c r="M60" i="37" s="1"/>
  <c r="J60" i="37"/>
  <c r="I60" i="37"/>
  <c r="K59" i="37"/>
  <c r="M59" i="37" s="1"/>
  <c r="J59" i="37"/>
  <c r="I59" i="37"/>
  <c r="K58" i="37"/>
  <c r="M58" i="37" s="1"/>
  <c r="J58" i="37"/>
  <c r="I58" i="37"/>
  <c r="K57" i="37"/>
  <c r="J57" i="37"/>
  <c r="I57" i="37"/>
  <c r="K56" i="37"/>
  <c r="J56" i="37"/>
  <c r="I56" i="37"/>
  <c r="K55" i="37"/>
  <c r="J55" i="37"/>
  <c r="I55" i="37"/>
  <c r="K54" i="37"/>
  <c r="J54" i="37"/>
  <c r="I54" i="37"/>
  <c r="K53" i="37"/>
  <c r="J53" i="37"/>
  <c r="I53" i="37"/>
  <c r="K52" i="37"/>
  <c r="J52" i="37"/>
  <c r="I52" i="37"/>
  <c r="K51" i="37"/>
  <c r="J51" i="37"/>
  <c r="I51" i="37"/>
  <c r="K50" i="37"/>
  <c r="J50" i="37"/>
  <c r="I50" i="37"/>
  <c r="K49" i="37"/>
  <c r="J49" i="37"/>
  <c r="I49" i="37"/>
  <c r="K48" i="37"/>
  <c r="J48" i="37"/>
  <c r="I48" i="37"/>
  <c r="K47" i="37"/>
  <c r="J47" i="37"/>
  <c r="I47" i="37"/>
  <c r="H47" i="37"/>
  <c r="K40" i="37"/>
  <c r="M40" i="37" s="1"/>
  <c r="J40" i="37"/>
  <c r="I40" i="37"/>
  <c r="K39" i="37"/>
  <c r="M39" i="37" s="1"/>
  <c r="J39" i="37"/>
  <c r="I39" i="37"/>
  <c r="K38" i="37"/>
  <c r="M38" i="37" s="1"/>
  <c r="J38" i="37"/>
  <c r="I38" i="37"/>
  <c r="K37" i="37"/>
  <c r="J37" i="37"/>
  <c r="I37" i="37"/>
  <c r="K36" i="37"/>
  <c r="J36" i="37"/>
  <c r="I36" i="37"/>
  <c r="K35" i="37"/>
  <c r="J35" i="37"/>
  <c r="I35" i="37"/>
  <c r="K34" i="37"/>
  <c r="J34" i="37"/>
  <c r="I34" i="37"/>
  <c r="K33" i="37"/>
  <c r="J33" i="37"/>
  <c r="I33" i="37"/>
  <c r="K32" i="37"/>
  <c r="J32" i="37"/>
  <c r="I32" i="37"/>
  <c r="K31" i="37"/>
  <c r="J31" i="37"/>
  <c r="I31" i="37"/>
  <c r="K30" i="37"/>
  <c r="J30" i="37"/>
  <c r="I30" i="37"/>
  <c r="K29" i="37"/>
  <c r="J29" i="37"/>
  <c r="I29" i="37"/>
  <c r="K28" i="37"/>
  <c r="J28" i="37"/>
  <c r="I28" i="37"/>
  <c r="K27" i="37"/>
  <c r="J27" i="37"/>
  <c r="I27" i="37"/>
  <c r="H27" i="37"/>
  <c r="K20" i="37"/>
  <c r="M20" i="37" s="1"/>
  <c r="J20" i="37"/>
  <c r="I20" i="37"/>
  <c r="K19" i="37"/>
  <c r="M19" i="37" s="1"/>
  <c r="J19" i="37"/>
  <c r="I19" i="37"/>
  <c r="K18" i="37"/>
  <c r="M18" i="37" s="1"/>
  <c r="J18" i="37"/>
  <c r="I18" i="37"/>
  <c r="K17" i="37"/>
  <c r="J17" i="37"/>
  <c r="I17" i="37"/>
  <c r="K16" i="37"/>
  <c r="J16" i="37"/>
  <c r="I16" i="37"/>
  <c r="K15" i="37"/>
  <c r="J15" i="37"/>
  <c r="I15" i="37"/>
  <c r="K14" i="37"/>
  <c r="J14" i="37"/>
  <c r="I14" i="37"/>
  <c r="K13" i="37"/>
  <c r="J13" i="37"/>
  <c r="I13" i="37"/>
  <c r="K12" i="37"/>
  <c r="J12" i="37"/>
  <c r="I12" i="37"/>
  <c r="K11" i="37"/>
  <c r="J11" i="37"/>
  <c r="I11" i="37"/>
  <c r="K10" i="37"/>
  <c r="J10" i="37"/>
  <c r="I10" i="37"/>
  <c r="K9" i="37"/>
  <c r="J9" i="37"/>
  <c r="I9" i="37"/>
  <c r="K8" i="37"/>
  <c r="J8" i="37"/>
  <c r="I8" i="37"/>
  <c r="K7" i="37"/>
  <c r="J7" i="37"/>
  <c r="I7" i="37"/>
  <c r="H7" i="37"/>
  <c r="K100" i="36"/>
  <c r="M100" i="36" s="1"/>
  <c r="J100" i="36"/>
  <c r="I100" i="36"/>
  <c r="K99" i="36"/>
  <c r="M99" i="36" s="1"/>
  <c r="J99" i="36"/>
  <c r="I99" i="36"/>
  <c r="K98" i="36"/>
  <c r="J98" i="36"/>
  <c r="I98" i="36"/>
  <c r="K97" i="36"/>
  <c r="J97" i="36"/>
  <c r="I97" i="36"/>
  <c r="K96" i="36"/>
  <c r="J96" i="36"/>
  <c r="I96" i="36"/>
  <c r="K95" i="36"/>
  <c r="J95" i="36"/>
  <c r="I95" i="36"/>
  <c r="K94" i="36"/>
  <c r="J94" i="36"/>
  <c r="I94" i="36"/>
  <c r="K93" i="36"/>
  <c r="J93" i="36"/>
  <c r="I93" i="36"/>
  <c r="K92" i="36"/>
  <c r="J92" i="36"/>
  <c r="I92" i="36"/>
  <c r="K91" i="36"/>
  <c r="J91" i="36"/>
  <c r="I91" i="36"/>
  <c r="K90" i="36"/>
  <c r="J90" i="36"/>
  <c r="I90" i="36"/>
  <c r="K89" i="36"/>
  <c r="J89" i="36"/>
  <c r="I89" i="36"/>
  <c r="K88" i="36"/>
  <c r="J88" i="36"/>
  <c r="I88" i="36"/>
  <c r="K87" i="36"/>
  <c r="J87" i="36"/>
  <c r="I87" i="36"/>
  <c r="H87" i="36"/>
  <c r="K81" i="36"/>
  <c r="M81" i="36" s="1"/>
  <c r="J81" i="36"/>
  <c r="I81" i="36"/>
  <c r="K80" i="36"/>
  <c r="M80" i="36" s="1"/>
  <c r="J80" i="36"/>
  <c r="I80" i="36"/>
  <c r="K79" i="36"/>
  <c r="M79" i="36" s="1"/>
  <c r="J79" i="36"/>
  <c r="I79" i="36"/>
  <c r="K78" i="36"/>
  <c r="J78" i="36"/>
  <c r="I78" i="36"/>
  <c r="K77" i="36"/>
  <c r="J77" i="36"/>
  <c r="I77" i="36"/>
  <c r="K76" i="36"/>
  <c r="J76" i="36"/>
  <c r="I76" i="36"/>
  <c r="K75" i="36"/>
  <c r="J75" i="36"/>
  <c r="I75" i="36"/>
  <c r="K74" i="36"/>
  <c r="J74" i="36"/>
  <c r="I74" i="36"/>
  <c r="K73" i="36"/>
  <c r="J73" i="36"/>
  <c r="I73" i="36"/>
  <c r="K72" i="36"/>
  <c r="J72" i="36"/>
  <c r="I72" i="36"/>
  <c r="K71" i="36"/>
  <c r="J71" i="36"/>
  <c r="I71" i="36"/>
  <c r="K70" i="36"/>
  <c r="J70" i="36"/>
  <c r="I70" i="36"/>
  <c r="K69" i="36"/>
  <c r="J69" i="36"/>
  <c r="I69" i="36"/>
  <c r="K68" i="36"/>
  <c r="J68" i="36"/>
  <c r="I68" i="36"/>
  <c r="K67" i="36"/>
  <c r="J67" i="36"/>
  <c r="I67" i="36"/>
  <c r="H67" i="36"/>
  <c r="K60" i="36"/>
  <c r="M60" i="36" s="1"/>
  <c r="J60" i="36"/>
  <c r="I60" i="36"/>
  <c r="K59" i="36"/>
  <c r="M59" i="36" s="1"/>
  <c r="J59" i="36"/>
  <c r="I59" i="36"/>
  <c r="K58" i="36"/>
  <c r="J58" i="36"/>
  <c r="I58" i="36"/>
  <c r="K57" i="36"/>
  <c r="J57" i="36"/>
  <c r="I57" i="36"/>
  <c r="K56" i="36"/>
  <c r="J56" i="36"/>
  <c r="I56" i="36"/>
  <c r="K55" i="36"/>
  <c r="J55" i="36"/>
  <c r="I55" i="36"/>
  <c r="K54" i="36"/>
  <c r="J54" i="36"/>
  <c r="I54" i="36"/>
  <c r="K53" i="36"/>
  <c r="J53" i="36"/>
  <c r="I53" i="36"/>
  <c r="K52" i="36"/>
  <c r="J52" i="36"/>
  <c r="I52" i="36"/>
  <c r="K51" i="36"/>
  <c r="J51" i="36"/>
  <c r="I51" i="36"/>
  <c r="K50" i="36"/>
  <c r="J50" i="36"/>
  <c r="I50" i="36"/>
  <c r="K49" i="36"/>
  <c r="J49" i="36"/>
  <c r="I49" i="36"/>
  <c r="K48" i="36"/>
  <c r="J48" i="36"/>
  <c r="I48" i="36"/>
  <c r="K47" i="36"/>
  <c r="J47" i="36"/>
  <c r="I47" i="36"/>
  <c r="H47" i="36"/>
  <c r="K40" i="36"/>
  <c r="M40" i="36" s="1"/>
  <c r="J40" i="36"/>
  <c r="I40" i="36"/>
  <c r="K39" i="36"/>
  <c r="M39" i="36" s="1"/>
  <c r="J39" i="36"/>
  <c r="I39" i="36"/>
  <c r="K38" i="36"/>
  <c r="J38" i="36"/>
  <c r="I38" i="36"/>
  <c r="K37" i="36"/>
  <c r="J37" i="36"/>
  <c r="I37" i="36"/>
  <c r="K36" i="36"/>
  <c r="J36" i="36"/>
  <c r="I36" i="36"/>
  <c r="K35" i="36"/>
  <c r="J35" i="36"/>
  <c r="I35" i="36"/>
  <c r="K34" i="36"/>
  <c r="J34" i="36"/>
  <c r="I34" i="36"/>
  <c r="K33" i="36"/>
  <c r="J33" i="36"/>
  <c r="I33" i="36"/>
  <c r="K32" i="36"/>
  <c r="J32" i="36"/>
  <c r="I32" i="36"/>
  <c r="K31" i="36"/>
  <c r="J31" i="36"/>
  <c r="I31" i="36"/>
  <c r="K30" i="36"/>
  <c r="J30" i="36"/>
  <c r="I30" i="36"/>
  <c r="K29" i="36"/>
  <c r="J29" i="36"/>
  <c r="I29" i="36"/>
  <c r="K28" i="36"/>
  <c r="J28" i="36"/>
  <c r="I28" i="36"/>
  <c r="K27" i="36"/>
  <c r="J27" i="36"/>
  <c r="I27" i="36"/>
  <c r="H27" i="36"/>
  <c r="K20" i="36"/>
  <c r="M20" i="36" s="1"/>
  <c r="J20" i="36"/>
  <c r="I20" i="36"/>
  <c r="K19" i="36"/>
  <c r="M19" i="36" s="1"/>
  <c r="J19" i="36"/>
  <c r="I19" i="36"/>
  <c r="K18" i="36"/>
  <c r="M18" i="36" s="1"/>
  <c r="J18" i="36"/>
  <c r="I18" i="36"/>
  <c r="K17" i="36"/>
  <c r="J17" i="36"/>
  <c r="I17" i="36"/>
  <c r="K16" i="36"/>
  <c r="J16" i="36"/>
  <c r="I16" i="36"/>
  <c r="K15" i="36"/>
  <c r="J15" i="36"/>
  <c r="I15" i="36"/>
  <c r="K14" i="36"/>
  <c r="J14" i="36"/>
  <c r="I14" i="36"/>
  <c r="K13" i="36"/>
  <c r="J13" i="36"/>
  <c r="I13" i="36"/>
  <c r="K12" i="36"/>
  <c r="J12" i="36"/>
  <c r="I12" i="36"/>
  <c r="K11" i="36"/>
  <c r="J11" i="36"/>
  <c r="I11" i="36"/>
  <c r="K10" i="36"/>
  <c r="J10" i="36"/>
  <c r="I10" i="36"/>
  <c r="K9" i="36"/>
  <c r="J9" i="36"/>
  <c r="I9" i="36"/>
  <c r="K8" i="36"/>
  <c r="J8" i="36"/>
  <c r="I8" i="36"/>
  <c r="K7" i="36"/>
  <c r="J7" i="36"/>
  <c r="I7" i="36"/>
  <c r="H7" i="36"/>
  <c r="K100" i="35"/>
  <c r="M100" i="35" s="1"/>
  <c r="J100" i="35"/>
  <c r="I100" i="35"/>
  <c r="K99" i="35"/>
  <c r="M99" i="35" s="1"/>
  <c r="J99" i="35"/>
  <c r="I99" i="35"/>
  <c r="K98" i="35"/>
  <c r="M98" i="35" s="1"/>
  <c r="J98" i="35"/>
  <c r="I98" i="35"/>
  <c r="K97" i="35"/>
  <c r="M97" i="35" s="1"/>
  <c r="J97" i="35"/>
  <c r="I97" i="35"/>
  <c r="K96" i="35"/>
  <c r="M96" i="35" s="1"/>
  <c r="J96" i="35"/>
  <c r="I96" i="35"/>
  <c r="K95" i="35"/>
  <c r="M95" i="35" s="1"/>
  <c r="J95" i="35"/>
  <c r="I95" i="35"/>
  <c r="K94" i="35"/>
  <c r="M94" i="35" s="1"/>
  <c r="J94" i="35"/>
  <c r="I94" i="35"/>
  <c r="K93" i="35"/>
  <c r="J93" i="35"/>
  <c r="I93" i="35"/>
  <c r="K92" i="35"/>
  <c r="J92" i="35"/>
  <c r="I92" i="35"/>
  <c r="K91" i="35"/>
  <c r="J91" i="35"/>
  <c r="I91" i="35"/>
  <c r="K90" i="35"/>
  <c r="J90" i="35"/>
  <c r="I90" i="35"/>
  <c r="K89" i="35"/>
  <c r="J89" i="35"/>
  <c r="I89" i="35"/>
  <c r="K88" i="35"/>
  <c r="J88" i="35"/>
  <c r="I88" i="35"/>
  <c r="K87" i="35"/>
  <c r="J87" i="35"/>
  <c r="I87" i="35"/>
  <c r="H87" i="35"/>
  <c r="K20" i="35"/>
  <c r="M20" i="35" s="1"/>
  <c r="J20" i="35"/>
  <c r="I20" i="35"/>
  <c r="K19" i="35"/>
  <c r="M19" i="35" s="1"/>
  <c r="J19" i="35"/>
  <c r="I19" i="35"/>
  <c r="K18" i="35"/>
  <c r="M18" i="35" s="1"/>
  <c r="J18" i="35"/>
  <c r="I18" i="35"/>
  <c r="K17" i="35"/>
  <c r="M17" i="35" s="1"/>
  <c r="J17" i="35"/>
  <c r="I17" i="35"/>
  <c r="K16" i="35"/>
  <c r="M16" i="35" s="1"/>
  <c r="J16" i="35"/>
  <c r="I16" i="35"/>
  <c r="K15" i="35"/>
  <c r="M15" i="35" s="1"/>
  <c r="J15" i="35"/>
  <c r="I15" i="35"/>
  <c r="K14" i="35"/>
  <c r="M14" i="35" s="1"/>
  <c r="J14" i="35"/>
  <c r="I14" i="35"/>
  <c r="K13" i="35"/>
  <c r="J13" i="35"/>
  <c r="I13" i="35"/>
  <c r="K12" i="35"/>
  <c r="J12" i="35"/>
  <c r="I12" i="35"/>
  <c r="K11" i="35"/>
  <c r="J11" i="35"/>
  <c r="I11" i="35"/>
  <c r="K10" i="35"/>
  <c r="J10" i="35"/>
  <c r="I10" i="35"/>
  <c r="K9" i="35"/>
  <c r="J9" i="35"/>
  <c r="I9" i="35"/>
  <c r="K8" i="35"/>
  <c r="J8" i="35"/>
  <c r="I8" i="35"/>
  <c r="K7" i="35"/>
  <c r="J7" i="35"/>
  <c r="I7" i="35"/>
  <c r="H7" i="35"/>
  <c r="K101" i="34"/>
  <c r="M101" i="34" s="1"/>
  <c r="J101" i="34"/>
  <c r="I101" i="34"/>
  <c r="K100" i="34"/>
  <c r="M100" i="34" s="1"/>
  <c r="J100" i="34"/>
  <c r="I100" i="34"/>
  <c r="K99" i="34"/>
  <c r="J99" i="34"/>
  <c r="I99" i="34"/>
  <c r="K98" i="34"/>
  <c r="J98" i="34"/>
  <c r="I98" i="34"/>
  <c r="K97" i="34"/>
  <c r="J97" i="34"/>
  <c r="I97" i="34"/>
  <c r="K96" i="34"/>
  <c r="J96" i="34"/>
  <c r="I96" i="34"/>
  <c r="K95" i="34"/>
  <c r="J95" i="34"/>
  <c r="I95" i="34"/>
  <c r="K94" i="34"/>
  <c r="J94" i="34"/>
  <c r="I94" i="34"/>
  <c r="K93" i="34"/>
  <c r="J93" i="34"/>
  <c r="I93" i="34"/>
  <c r="K92" i="34"/>
  <c r="J92" i="34"/>
  <c r="I92" i="34"/>
  <c r="K91" i="34"/>
  <c r="J91" i="34"/>
  <c r="I91" i="34"/>
  <c r="K90" i="34"/>
  <c r="J90" i="34"/>
  <c r="I90" i="34"/>
  <c r="K89" i="34"/>
  <c r="M89" i="34" s="1"/>
  <c r="J89" i="34"/>
  <c r="I89" i="34"/>
  <c r="K88" i="34"/>
  <c r="J88" i="34"/>
  <c r="I88" i="34"/>
  <c r="K87" i="34"/>
  <c r="J87" i="34"/>
  <c r="I87" i="34"/>
  <c r="H87" i="34"/>
  <c r="K20" i="34"/>
  <c r="M20" i="34" s="1"/>
  <c r="J20" i="34"/>
  <c r="I20" i="34"/>
  <c r="K19" i="34"/>
  <c r="J19" i="34"/>
  <c r="I19" i="34"/>
  <c r="K18" i="34"/>
  <c r="J18" i="34"/>
  <c r="I18" i="34"/>
  <c r="K17" i="34"/>
  <c r="J17" i="34"/>
  <c r="I17" i="34"/>
  <c r="K16" i="34"/>
  <c r="J16" i="34"/>
  <c r="I16" i="34"/>
  <c r="K15" i="34"/>
  <c r="J15" i="34"/>
  <c r="I15" i="34"/>
  <c r="K14" i="34"/>
  <c r="J14" i="34"/>
  <c r="I14" i="34"/>
  <c r="K13" i="34"/>
  <c r="J13" i="34"/>
  <c r="I13" i="34"/>
  <c r="K12" i="34"/>
  <c r="J12" i="34"/>
  <c r="I12" i="34"/>
  <c r="K11" i="34"/>
  <c r="J11" i="34"/>
  <c r="I11" i="34"/>
  <c r="K10" i="34"/>
  <c r="J10" i="34"/>
  <c r="I10" i="34"/>
  <c r="K9" i="34"/>
  <c r="J9" i="34"/>
  <c r="I9" i="34"/>
  <c r="K8" i="34"/>
  <c r="J8" i="34"/>
  <c r="I8" i="34"/>
  <c r="K7" i="34"/>
  <c r="J7" i="34"/>
  <c r="I7" i="34"/>
  <c r="H7" i="34"/>
  <c r="P37" i="33"/>
  <c r="U37" i="33" s="1"/>
  <c r="Z37" i="33" s="1"/>
  <c r="AE37" i="33" s="1"/>
  <c r="AJ37" i="33" s="1"/>
  <c r="AO37" i="33" s="1"/>
  <c r="AT37" i="33" s="1"/>
  <c r="P72" i="33" s="1"/>
  <c r="U72" i="33" s="1"/>
  <c r="Z72" i="33" s="1"/>
  <c r="AE72" i="33" s="1"/>
  <c r="AJ72" i="33" s="1"/>
  <c r="AO72" i="33" s="1"/>
  <c r="AT72" i="33" s="1"/>
  <c r="P107" i="33" s="1"/>
  <c r="U107" i="33" s="1"/>
  <c r="Z107" i="33" s="1"/>
  <c r="AE107" i="33" s="1"/>
  <c r="AJ107" i="33" s="1"/>
  <c r="AO107" i="33" s="1"/>
  <c r="AT107" i="33" s="1"/>
  <c r="P142" i="33" s="1"/>
  <c r="U142" i="33" s="1"/>
  <c r="Z142" i="33" s="1"/>
  <c r="AE142" i="33" s="1"/>
  <c r="K176" i="33"/>
  <c r="M176" i="33" s="1"/>
  <c r="J176" i="33"/>
  <c r="I176" i="33"/>
  <c r="K175" i="33"/>
  <c r="M175" i="33" s="1"/>
  <c r="J175" i="33"/>
  <c r="I175" i="33"/>
  <c r="K174" i="33"/>
  <c r="M174" i="33" s="1"/>
  <c r="J174" i="33"/>
  <c r="I174" i="33"/>
  <c r="K173" i="33"/>
  <c r="M173" i="33" s="1"/>
  <c r="J173" i="33"/>
  <c r="I173" i="33"/>
  <c r="K172" i="33"/>
  <c r="J172" i="33"/>
  <c r="I172" i="33"/>
  <c r="K171" i="33"/>
  <c r="J171" i="33"/>
  <c r="I171" i="33"/>
  <c r="K170" i="33"/>
  <c r="J170" i="33"/>
  <c r="I170" i="33"/>
  <c r="K169" i="33"/>
  <c r="J169" i="33"/>
  <c r="I169" i="33"/>
  <c r="K168" i="33"/>
  <c r="J168" i="33"/>
  <c r="I168" i="33"/>
  <c r="K167" i="33"/>
  <c r="J167" i="33"/>
  <c r="I167" i="33"/>
  <c r="K166" i="33"/>
  <c r="J166" i="33"/>
  <c r="I166" i="33"/>
  <c r="K165" i="33"/>
  <c r="J165" i="33"/>
  <c r="I165" i="33"/>
  <c r="K164" i="33"/>
  <c r="J164" i="33"/>
  <c r="I164" i="33"/>
  <c r="K163" i="33"/>
  <c r="J163" i="33"/>
  <c r="I163" i="33"/>
  <c r="K162" i="33"/>
  <c r="J162" i="33"/>
  <c r="I162" i="33"/>
  <c r="K161" i="33"/>
  <c r="J161" i="33"/>
  <c r="I161" i="33"/>
  <c r="K160" i="33"/>
  <c r="J160" i="33"/>
  <c r="I160" i="33"/>
  <c r="K159" i="33"/>
  <c r="J159" i="33"/>
  <c r="I159" i="33"/>
  <c r="K158" i="33"/>
  <c r="J158" i="33"/>
  <c r="I158" i="33"/>
  <c r="K157" i="33"/>
  <c r="J157" i="33"/>
  <c r="I157" i="33"/>
  <c r="K156" i="33"/>
  <c r="J156" i="33"/>
  <c r="I156" i="33"/>
  <c r="K155" i="33"/>
  <c r="J155" i="33"/>
  <c r="I155" i="33"/>
  <c r="K154" i="33"/>
  <c r="J154" i="33"/>
  <c r="I154" i="33"/>
  <c r="K153" i="33"/>
  <c r="J153" i="33"/>
  <c r="I153" i="33"/>
  <c r="K152" i="33"/>
  <c r="J152" i="33"/>
  <c r="I152" i="33"/>
  <c r="K151" i="33"/>
  <c r="J151" i="33"/>
  <c r="I151" i="33"/>
  <c r="K150" i="33"/>
  <c r="J150" i="33"/>
  <c r="I150" i="33"/>
  <c r="K149" i="33"/>
  <c r="J149" i="33"/>
  <c r="I149" i="33"/>
  <c r="K148" i="33"/>
  <c r="J148" i="33"/>
  <c r="I148" i="33"/>
  <c r="K147" i="33"/>
  <c r="J147" i="33"/>
  <c r="I147" i="33"/>
  <c r="H147" i="33"/>
  <c r="K36" i="33"/>
  <c r="M36" i="33" s="1"/>
  <c r="J36" i="33"/>
  <c r="I36" i="33"/>
  <c r="K35" i="33"/>
  <c r="M35" i="33" s="1"/>
  <c r="J35" i="33"/>
  <c r="I35" i="33"/>
  <c r="K34" i="33"/>
  <c r="M34" i="33" s="1"/>
  <c r="J34" i="33"/>
  <c r="I34" i="33"/>
  <c r="K33" i="33"/>
  <c r="M33" i="33" s="1"/>
  <c r="J33" i="33"/>
  <c r="I33" i="33"/>
  <c r="K32" i="33"/>
  <c r="M32" i="33" s="1"/>
  <c r="J32" i="33"/>
  <c r="I32" i="33"/>
  <c r="K31" i="33"/>
  <c r="J31" i="33"/>
  <c r="I31" i="33"/>
  <c r="K30" i="33"/>
  <c r="J30" i="33"/>
  <c r="I30" i="33"/>
  <c r="K29" i="33"/>
  <c r="J29" i="33"/>
  <c r="I29" i="33"/>
  <c r="K28" i="33"/>
  <c r="J28" i="33"/>
  <c r="I28" i="33"/>
  <c r="K27" i="33"/>
  <c r="J27" i="33"/>
  <c r="I27" i="33"/>
  <c r="K26" i="33"/>
  <c r="J26" i="33"/>
  <c r="I26" i="33"/>
  <c r="K25" i="33"/>
  <c r="J25" i="33"/>
  <c r="I25" i="33"/>
  <c r="K24" i="33"/>
  <c r="J24" i="33"/>
  <c r="I24" i="33"/>
  <c r="K23" i="33"/>
  <c r="J23" i="33"/>
  <c r="I23" i="33"/>
  <c r="K22" i="33"/>
  <c r="J22" i="33"/>
  <c r="I22" i="33"/>
  <c r="K21" i="33"/>
  <c r="J21" i="33"/>
  <c r="I21" i="33"/>
  <c r="K20" i="33"/>
  <c r="J20" i="33"/>
  <c r="I20" i="33"/>
  <c r="K19" i="33"/>
  <c r="J19" i="33"/>
  <c r="I19" i="33"/>
  <c r="K18" i="33"/>
  <c r="J18" i="33"/>
  <c r="I18" i="33"/>
  <c r="K17" i="33"/>
  <c r="J17" i="33"/>
  <c r="I17" i="33"/>
  <c r="K16" i="33"/>
  <c r="J16" i="33"/>
  <c r="I16" i="33"/>
  <c r="K15" i="33"/>
  <c r="J15" i="33"/>
  <c r="I15" i="33"/>
  <c r="K14" i="33"/>
  <c r="J14" i="33"/>
  <c r="I14" i="33"/>
  <c r="K13" i="33"/>
  <c r="J13" i="33"/>
  <c r="I13" i="33"/>
  <c r="K12" i="33"/>
  <c r="J12" i="33"/>
  <c r="I12" i="33"/>
  <c r="K11" i="33"/>
  <c r="J11" i="33"/>
  <c r="I11" i="33"/>
  <c r="K10" i="33"/>
  <c r="J10" i="33"/>
  <c r="I10" i="33"/>
  <c r="K9" i="33"/>
  <c r="J9" i="33"/>
  <c r="I9" i="33"/>
  <c r="K8" i="33"/>
  <c r="J8" i="33"/>
  <c r="I8" i="33"/>
  <c r="K7" i="33"/>
  <c r="J7" i="33"/>
  <c r="I7" i="33"/>
  <c r="H7" i="33"/>
  <c r="K100" i="31"/>
  <c r="M100" i="31" s="1"/>
  <c r="J100" i="31"/>
  <c r="I100" i="31"/>
  <c r="K99" i="31"/>
  <c r="M99" i="31" s="1"/>
  <c r="J99" i="31"/>
  <c r="I99" i="31"/>
  <c r="K98" i="31"/>
  <c r="M98" i="31" s="1"/>
  <c r="J98" i="31"/>
  <c r="I98" i="31"/>
  <c r="K97" i="31"/>
  <c r="M97" i="31" s="1"/>
  <c r="J97" i="31"/>
  <c r="I97" i="31"/>
  <c r="K96" i="31"/>
  <c r="M96" i="31" s="1"/>
  <c r="J96" i="31"/>
  <c r="I96" i="31"/>
  <c r="K95" i="31"/>
  <c r="M95" i="31" s="1"/>
  <c r="J95" i="31"/>
  <c r="I95" i="31"/>
  <c r="K94" i="31"/>
  <c r="M94" i="31" s="1"/>
  <c r="J94" i="31"/>
  <c r="I94" i="31"/>
  <c r="K93" i="31"/>
  <c r="M93" i="31" s="1"/>
  <c r="J93" i="31"/>
  <c r="I93" i="31"/>
  <c r="K92" i="31"/>
  <c r="M92" i="31" s="1"/>
  <c r="J92" i="31"/>
  <c r="I92" i="31"/>
  <c r="K91" i="31"/>
  <c r="M91" i="31" s="1"/>
  <c r="J91" i="31"/>
  <c r="I91" i="31"/>
  <c r="K90" i="31"/>
  <c r="M90" i="31" s="1"/>
  <c r="J90" i="31"/>
  <c r="I90" i="31"/>
  <c r="K89" i="31"/>
  <c r="M89" i="31" s="1"/>
  <c r="J89" i="31"/>
  <c r="I89" i="31"/>
  <c r="K88" i="31"/>
  <c r="M88" i="31" s="1"/>
  <c r="J88" i="31"/>
  <c r="I88" i="31"/>
  <c r="K87" i="31"/>
  <c r="J87" i="31"/>
  <c r="I87" i="31"/>
  <c r="H87" i="31"/>
  <c r="K20" i="31"/>
  <c r="M20" i="31" s="1"/>
  <c r="J20" i="31"/>
  <c r="I20" i="31"/>
  <c r="K19" i="31"/>
  <c r="M19" i="31" s="1"/>
  <c r="J19" i="31"/>
  <c r="I19" i="31"/>
  <c r="K18" i="31"/>
  <c r="M18" i="31" s="1"/>
  <c r="J18" i="31"/>
  <c r="I18" i="31"/>
  <c r="K17" i="31"/>
  <c r="M17" i="31" s="1"/>
  <c r="J17" i="31"/>
  <c r="I17" i="31"/>
  <c r="K16" i="31"/>
  <c r="M16" i="31" s="1"/>
  <c r="J16" i="31"/>
  <c r="I16" i="31"/>
  <c r="K15" i="31"/>
  <c r="M15" i="31" s="1"/>
  <c r="J15" i="31"/>
  <c r="I15" i="31"/>
  <c r="K14" i="31"/>
  <c r="M14" i="31" s="1"/>
  <c r="J14" i="31"/>
  <c r="I14" i="31"/>
  <c r="K13" i="31"/>
  <c r="M13" i="31" s="1"/>
  <c r="J13" i="31"/>
  <c r="I13" i="31"/>
  <c r="K12" i="31"/>
  <c r="M12" i="31" s="1"/>
  <c r="J12" i="31"/>
  <c r="I12" i="31"/>
  <c r="K11" i="31"/>
  <c r="M11" i="31" s="1"/>
  <c r="J11" i="31"/>
  <c r="I11" i="31"/>
  <c r="K10" i="31"/>
  <c r="M10" i="31" s="1"/>
  <c r="J10" i="31"/>
  <c r="I10" i="31"/>
  <c r="K9" i="31"/>
  <c r="M9" i="31" s="1"/>
  <c r="J9" i="31"/>
  <c r="I9" i="31"/>
  <c r="K8" i="31"/>
  <c r="M8" i="31" s="1"/>
  <c r="J8" i="31"/>
  <c r="I8" i="31"/>
  <c r="K7" i="31"/>
  <c r="J7" i="31"/>
  <c r="I7" i="31"/>
  <c r="H7" i="31"/>
  <c r="K100" i="32"/>
  <c r="M100" i="32" s="1"/>
  <c r="J100" i="32"/>
  <c r="I100" i="32"/>
  <c r="K99" i="32"/>
  <c r="M99" i="32" s="1"/>
  <c r="J99" i="32"/>
  <c r="I99" i="32"/>
  <c r="K98" i="32"/>
  <c r="M98" i="32" s="1"/>
  <c r="J98" i="32"/>
  <c r="I98" i="32"/>
  <c r="K97" i="32"/>
  <c r="M97" i="32" s="1"/>
  <c r="J97" i="32"/>
  <c r="I97" i="32"/>
  <c r="K96" i="32"/>
  <c r="J96" i="32"/>
  <c r="I96" i="32"/>
  <c r="K95" i="32"/>
  <c r="J95" i="32"/>
  <c r="I95" i="32"/>
  <c r="K94" i="32"/>
  <c r="J94" i="32"/>
  <c r="I94" i="32"/>
  <c r="K93" i="32"/>
  <c r="J93" i="32"/>
  <c r="I93" i="32"/>
  <c r="K92" i="32"/>
  <c r="J92" i="32"/>
  <c r="I92" i="32"/>
  <c r="K91" i="32"/>
  <c r="J91" i="32"/>
  <c r="I91" i="32"/>
  <c r="K90" i="32"/>
  <c r="J90" i="32"/>
  <c r="I90" i="32"/>
  <c r="K89" i="32"/>
  <c r="J89" i="32"/>
  <c r="I89" i="32"/>
  <c r="K88" i="32"/>
  <c r="J88" i="32"/>
  <c r="I88" i="32"/>
  <c r="K87" i="32"/>
  <c r="J87" i="32"/>
  <c r="I87" i="32"/>
  <c r="H87" i="32"/>
  <c r="K20" i="32"/>
  <c r="M20" i="32" s="1"/>
  <c r="J20" i="32"/>
  <c r="I20" i="32"/>
  <c r="K19" i="32"/>
  <c r="M19" i="32" s="1"/>
  <c r="J19" i="32"/>
  <c r="I19" i="32"/>
  <c r="K18" i="32"/>
  <c r="M18" i="32" s="1"/>
  <c r="J18" i="32"/>
  <c r="I18" i="32"/>
  <c r="K17" i="32"/>
  <c r="M17" i="32" s="1"/>
  <c r="J17" i="32"/>
  <c r="I17" i="32"/>
  <c r="K16" i="32"/>
  <c r="M16" i="32" s="1"/>
  <c r="J16" i="32"/>
  <c r="I16" i="32"/>
  <c r="K15" i="32"/>
  <c r="J15" i="32"/>
  <c r="I15" i="32"/>
  <c r="K14" i="32"/>
  <c r="J14" i="32"/>
  <c r="I14" i="32"/>
  <c r="K13" i="32"/>
  <c r="J13" i="32"/>
  <c r="I13" i="32"/>
  <c r="K12" i="32"/>
  <c r="J12" i="32"/>
  <c r="I12" i="32"/>
  <c r="K11" i="32"/>
  <c r="J11" i="32"/>
  <c r="I11" i="32"/>
  <c r="K10" i="32"/>
  <c r="J10" i="32"/>
  <c r="I10" i="32"/>
  <c r="K9" i="32"/>
  <c r="J9" i="32"/>
  <c r="I9" i="32"/>
  <c r="K8" i="32"/>
  <c r="J8" i="32"/>
  <c r="I8" i="32"/>
  <c r="K7" i="32"/>
  <c r="J7" i="32"/>
  <c r="I7" i="32"/>
  <c r="H7" i="32"/>
  <c r="P42" i="30"/>
  <c r="U42" i="30" s="1"/>
  <c r="Z42" i="30" s="1"/>
  <c r="AE42" i="30" s="1"/>
  <c r="AJ42" i="30" s="1"/>
  <c r="AO42" i="30" s="1"/>
  <c r="AT42" i="30" s="1"/>
  <c r="K101" i="30"/>
  <c r="M101" i="30" s="1"/>
  <c r="J101" i="30"/>
  <c r="I101" i="30"/>
  <c r="K100" i="30"/>
  <c r="M100" i="30" s="1"/>
  <c r="J100" i="30"/>
  <c r="I100" i="30"/>
  <c r="K99" i="30"/>
  <c r="M99" i="30" s="1"/>
  <c r="J99" i="30"/>
  <c r="I99" i="30"/>
  <c r="K98" i="30"/>
  <c r="M98" i="30" s="1"/>
  <c r="J98" i="30"/>
  <c r="I98" i="30"/>
  <c r="K97" i="30"/>
  <c r="M97" i="30" s="1"/>
  <c r="J97" i="30"/>
  <c r="I97" i="30"/>
  <c r="K96" i="30"/>
  <c r="M96" i="30" s="1"/>
  <c r="J96" i="30"/>
  <c r="I96" i="30"/>
  <c r="K95" i="30"/>
  <c r="M95" i="30" s="1"/>
  <c r="J95" i="30"/>
  <c r="I95" i="30"/>
  <c r="K94" i="30"/>
  <c r="M94" i="30" s="1"/>
  <c r="J94" i="30"/>
  <c r="I94" i="30"/>
  <c r="K93" i="30"/>
  <c r="M93" i="30" s="1"/>
  <c r="J93" i="30"/>
  <c r="I93" i="30"/>
  <c r="K92" i="30"/>
  <c r="M92" i="30" s="1"/>
  <c r="J92" i="30"/>
  <c r="I92" i="30"/>
  <c r="K91" i="30"/>
  <c r="M91" i="30" s="1"/>
  <c r="J91" i="30"/>
  <c r="I91" i="30"/>
  <c r="K90" i="30"/>
  <c r="J90" i="30"/>
  <c r="I90" i="30"/>
  <c r="K89" i="30"/>
  <c r="J89" i="30"/>
  <c r="I89" i="30"/>
  <c r="K88" i="30"/>
  <c r="J88" i="30"/>
  <c r="I88" i="30"/>
  <c r="K87" i="30"/>
  <c r="J87" i="30"/>
  <c r="I87" i="30"/>
  <c r="H87" i="30"/>
  <c r="K21" i="30"/>
  <c r="M21" i="30" s="1"/>
  <c r="J21" i="30"/>
  <c r="I21" i="30"/>
  <c r="K20" i="30"/>
  <c r="M20" i="30" s="1"/>
  <c r="J20" i="30"/>
  <c r="I20" i="30"/>
  <c r="K19" i="30"/>
  <c r="M19" i="30" s="1"/>
  <c r="J19" i="30"/>
  <c r="I19" i="30"/>
  <c r="K18" i="30"/>
  <c r="M18" i="30" s="1"/>
  <c r="J18" i="30"/>
  <c r="I18" i="30"/>
  <c r="K17" i="30"/>
  <c r="M17" i="30" s="1"/>
  <c r="J17" i="30"/>
  <c r="I17" i="30"/>
  <c r="K16" i="30"/>
  <c r="M16" i="30" s="1"/>
  <c r="J16" i="30"/>
  <c r="I16" i="30"/>
  <c r="K15" i="30"/>
  <c r="M15" i="30" s="1"/>
  <c r="J15" i="30"/>
  <c r="I15" i="30"/>
  <c r="K14" i="30"/>
  <c r="M14" i="30" s="1"/>
  <c r="J14" i="30"/>
  <c r="I14" i="30"/>
  <c r="K13" i="30"/>
  <c r="M13" i="30" s="1"/>
  <c r="J13" i="30"/>
  <c r="I13" i="30"/>
  <c r="K12" i="30"/>
  <c r="M12" i="30" s="1"/>
  <c r="J12" i="30"/>
  <c r="I12" i="30"/>
  <c r="K11" i="30"/>
  <c r="M11" i="30" s="1"/>
  <c r="J11" i="30"/>
  <c r="I11" i="30"/>
  <c r="K10" i="30"/>
  <c r="M10" i="30" s="1"/>
  <c r="J10" i="30"/>
  <c r="I10" i="30"/>
  <c r="K9" i="30"/>
  <c r="J9" i="30"/>
  <c r="I9" i="30"/>
  <c r="K8" i="30"/>
  <c r="J8" i="30"/>
  <c r="I8" i="30"/>
  <c r="K7" i="30"/>
  <c r="J7" i="30"/>
  <c r="I7" i="30"/>
  <c r="H7" i="30"/>
  <c r="U72" i="8"/>
  <c r="Z72" i="8" s="1"/>
  <c r="AE72" i="8" s="1"/>
  <c r="AJ72" i="8" s="1"/>
  <c r="AO72" i="8" s="1"/>
  <c r="AT72" i="8" s="1"/>
  <c r="P72" i="8"/>
  <c r="P107" i="8" s="1"/>
  <c r="U107" i="8" s="1"/>
  <c r="Z107" i="8" s="1"/>
  <c r="AE107" i="8" s="1"/>
  <c r="AJ107" i="8" s="1"/>
  <c r="AO107" i="8" s="1"/>
  <c r="AT107" i="8" s="1"/>
  <c r="U37" i="8"/>
  <c r="Z37" i="8" s="1"/>
  <c r="AE37" i="8" s="1"/>
  <c r="AJ37" i="8" s="1"/>
  <c r="AO37" i="8" s="1"/>
  <c r="AT37" i="8" s="1"/>
  <c r="K176" i="8"/>
  <c r="J176" i="8"/>
  <c r="I176" i="8"/>
  <c r="K175" i="8"/>
  <c r="J175" i="8"/>
  <c r="I175" i="8"/>
  <c r="K174" i="8"/>
  <c r="J174" i="8"/>
  <c r="I174" i="8"/>
  <c r="K173" i="8"/>
  <c r="J173" i="8"/>
  <c r="I173" i="8"/>
  <c r="K172" i="8"/>
  <c r="J172" i="8"/>
  <c r="I172" i="8"/>
  <c r="K171" i="8"/>
  <c r="J171" i="8"/>
  <c r="I171" i="8"/>
  <c r="K170" i="8"/>
  <c r="J170" i="8"/>
  <c r="I170" i="8"/>
  <c r="K169" i="8"/>
  <c r="J169" i="8"/>
  <c r="I169" i="8"/>
  <c r="K168" i="8"/>
  <c r="J168" i="8"/>
  <c r="I168" i="8"/>
  <c r="K167" i="8"/>
  <c r="J167" i="8"/>
  <c r="I167" i="8"/>
  <c r="K166" i="8"/>
  <c r="J166" i="8"/>
  <c r="I166" i="8"/>
  <c r="K165" i="8"/>
  <c r="J165" i="8"/>
  <c r="I165" i="8"/>
  <c r="K164" i="8"/>
  <c r="J164" i="8"/>
  <c r="I164" i="8"/>
  <c r="K163" i="8"/>
  <c r="J163" i="8"/>
  <c r="I163" i="8"/>
  <c r="K162" i="8"/>
  <c r="J162" i="8"/>
  <c r="I162" i="8"/>
  <c r="K161" i="8"/>
  <c r="J161" i="8"/>
  <c r="I161" i="8"/>
  <c r="K160" i="8"/>
  <c r="J160" i="8"/>
  <c r="I160" i="8"/>
  <c r="K159" i="8"/>
  <c r="J159" i="8"/>
  <c r="I159" i="8"/>
  <c r="K158" i="8"/>
  <c r="J158" i="8"/>
  <c r="I158" i="8"/>
  <c r="K157" i="8"/>
  <c r="J157" i="8"/>
  <c r="I157" i="8"/>
  <c r="K156" i="8"/>
  <c r="J156" i="8"/>
  <c r="I156" i="8"/>
  <c r="K155" i="8"/>
  <c r="J155" i="8"/>
  <c r="I155" i="8"/>
  <c r="K154" i="8"/>
  <c r="J154" i="8"/>
  <c r="I154" i="8"/>
  <c r="K153" i="8"/>
  <c r="J153" i="8"/>
  <c r="I153" i="8"/>
  <c r="K152" i="8"/>
  <c r="J152" i="8"/>
  <c r="I152" i="8"/>
  <c r="K151" i="8"/>
  <c r="J151" i="8"/>
  <c r="I151" i="8"/>
  <c r="K150" i="8"/>
  <c r="J150" i="8"/>
  <c r="I150" i="8"/>
  <c r="K149" i="8"/>
  <c r="J149" i="8"/>
  <c r="I149" i="8"/>
  <c r="K148" i="8"/>
  <c r="J148" i="8"/>
  <c r="I148" i="8"/>
  <c r="K147" i="8"/>
  <c r="J147" i="8"/>
  <c r="I147" i="8"/>
  <c r="H147" i="8"/>
  <c r="K36" i="8"/>
  <c r="J36" i="8"/>
  <c r="I36" i="8"/>
  <c r="K35" i="8"/>
  <c r="J35" i="8"/>
  <c r="I35" i="8"/>
  <c r="K34" i="8"/>
  <c r="J34" i="8"/>
  <c r="I34" i="8"/>
  <c r="K33" i="8"/>
  <c r="J33" i="8"/>
  <c r="I33" i="8"/>
  <c r="K32" i="8"/>
  <c r="J32" i="8"/>
  <c r="I32" i="8"/>
  <c r="K31" i="8"/>
  <c r="J31" i="8"/>
  <c r="I31" i="8"/>
  <c r="K30" i="8"/>
  <c r="J30" i="8"/>
  <c r="I30" i="8"/>
  <c r="K29" i="8"/>
  <c r="J29" i="8"/>
  <c r="I29" i="8"/>
  <c r="K28" i="8"/>
  <c r="J28" i="8"/>
  <c r="I28" i="8"/>
  <c r="K27" i="8"/>
  <c r="J27" i="8"/>
  <c r="I27" i="8"/>
  <c r="K26" i="8"/>
  <c r="J26" i="8"/>
  <c r="I26" i="8"/>
  <c r="K25" i="8"/>
  <c r="J25" i="8"/>
  <c r="I25" i="8"/>
  <c r="K24" i="8"/>
  <c r="J24" i="8"/>
  <c r="I24" i="8"/>
  <c r="K23" i="8"/>
  <c r="J23" i="8"/>
  <c r="I23" i="8"/>
  <c r="K22" i="8"/>
  <c r="J22" i="8"/>
  <c r="I22" i="8"/>
  <c r="K21" i="8"/>
  <c r="J21" i="8"/>
  <c r="I21" i="8"/>
  <c r="K20" i="8"/>
  <c r="J20" i="8"/>
  <c r="I20" i="8"/>
  <c r="K19" i="8"/>
  <c r="J19" i="8"/>
  <c r="I19" i="8"/>
  <c r="K18" i="8"/>
  <c r="J18" i="8"/>
  <c r="I18" i="8"/>
  <c r="K17" i="8"/>
  <c r="J17" i="8"/>
  <c r="I17" i="8"/>
  <c r="K16" i="8"/>
  <c r="J16" i="8"/>
  <c r="I16" i="8"/>
  <c r="K15" i="8"/>
  <c r="J15" i="8"/>
  <c r="I15" i="8"/>
  <c r="K14" i="8"/>
  <c r="J14" i="8"/>
  <c r="I14" i="8"/>
  <c r="K13" i="8"/>
  <c r="J13" i="8"/>
  <c r="I13" i="8"/>
  <c r="K12" i="8"/>
  <c r="J12" i="8"/>
  <c r="I12" i="8"/>
  <c r="K11" i="8"/>
  <c r="J11" i="8"/>
  <c r="I11" i="8"/>
  <c r="K10" i="8"/>
  <c r="J10" i="8"/>
  <c r="I10" i="8"/>
  <c r="K9" i="8"/>
  <c r="J9" i="8"/>
  <c r="I9" i="8"/>
  <c r="K8" i="8"/>
  <c r="J8" i="8"/>
  <c r="I8" i="8"/>
  <c r="K7" i="8"/>
  <c r="J7" i="8"/>
  <c r="I7" i="8"/>
  <c r="H7" i="8"/>
  <c r="M49" i="37" l="1"/>
  <c r="M17" i="37"/>
  <c r="M78" i="36"/>
  <c r="M58" i="36"/>
  <c r="M38" i="36"/>
  <c r="M37" i="36"/>
  <c r="M17" i="36"/>
  <c r="M16" i="36"/>
  <c r="M93" i="34"/>
  <c r="M97" i="34"/>
  <c r="M88" i="34"/>
  <c r="M92" i="34"/>
  <c r="M96" i="34"/>
  <c r="M91" i="34"/>
  <c r="M95" i="34"/>
  <c r="M99" i="34"/>
  <c r="M90" i="34"/>
  <c r="M94" i="34"/>
  <c r="M98" i="34"/>
  <c r="M151" i="33"/>
  <c r="M96" i="32"/>
  <c r="M95" i="32"/>
  <c r="M90" i="30"/>
  <c r="M89" i="30"/>
  <c r="L7" i="35"/>
  <c r="L147" i="8"/>
  <c r="M68" i="31"/>
  <c r="M8" i="30"/>
  <c r="L87" i="34"/>
  <c r="M49" i="36"/>
  <c r="M98" i="36"/>
  <c r="M31" i="33"/>
  <c r="M26" i="33"/>
  <c r="M7" i="32"/>
  <c r="M87" i="34"/>
  <c r="P62" i="30"/>
  <c r="U62" i="30" s="1"/>
  <c r="Z62" i="30" s="1"/>
  <c r="AE62" i="30" s="1"/>
  <c r="AJ62" i="30" s="1"/>
  <c r="AO62" i="30" s="1"/>
  <c r="AT62" i="30" s="1"/>
  <c r="M87" i="30"/>
  <c r="M88" i="30"/>
  <c r="M150" i="33"/>
  <c r="M154" i="33"/>
  <c r="M158" i="33"/>
  <c r="M162" i="33"/>
  <c r="M166" i="33"/>
  <c r="M170" i="33"/>
  <c r="M159" i="33"/>
  <c r="L7" i="8"/>
  <c r="L87" i="30"/>
  <c r="M149" i="33"/>
  <c r="M153" i="33"/>
  <c r="M157" i="33"/>
  <c r="M161" i="33"/>
  <c r="M165" i="33"/>
  <c r="M169" i="33"/>
  <c r="M53" i="36"/>
  <c r="M57" i="36"/>
  <c r="L147" i="33"/>
  <c r="M147" i="33"/>
  <c r="M155" i="33"/>
  <c r="M163" i="33"/>
  <c r="M167" i="33"/>
  <c r="M171" i="33"/>
  <c r="M9" i="30"/>
  <c r="M148" i="33"/>
  <c r="M152" i="33"/>
  <c r="M156" i="33"/>
  <c r="M160" i="33"/>
  <c r="M164" i="33"/>
  <c r="M168" i="33"/>
  <c r="M172" i="33"/>
  <c r="M27" i="36"/>
  <c r="M50" i="36"/>
  <c r="M54" i="36"/>
  <c r="M69" i="36"/>
  <c r="M87" i="36"/>
  <c r="M53" i="37"/>
  <c r="M57" i="37"/>
  <c r="M72" i="37"/>
  <c r="M76" i="37"/>
  <c r="M48" i="37"/>
  <c r="M52" i="37"/>
  <c r="M56" i="37"/>
  <c r="L67" i="37"/>
  <c r="M71" i="37"/>
  <c r="M75" i="37"/>
  <c r="M87" i="32"/>
  <c r="M8" i="33"/>
  <c r="M87" i="35"/>
  <c r="M48" i="36"/>
  <c r="M52" i="36"/>
  <c r="M56" i="36"/>
  <c r="M41" i="37"/>
  <c r="L47" i="37"/>
  <c r="M51" i="37"/>
  <c r="M55" i="37"/>
  <c r="M70" i="37"/>
  <c r="M74" i="37"/>
  <c r="M19" i="34"/>
  <c r="M61" i="36"/>
  <c r="M51" i="36"/>
  <c r="M55" i="36"/>
  <c r="M50" i="37"/>
  <c r="M54" i="37"/>
  <c r="M69" i="37"/>
  <c r="M73" i="37"/>
  <c r="M77" i="37"/>
  <c r="M88" i="37"/>
  <c r="M101" i="37"/>
  <c r="M91" i="37"/>
  <c r="M95" i="37"/>
  <c r="M90" i="37"/>
  <c r="M94" i="37"/>
  <c r="M89" i="37"/>
  <c r="M93" i="37"/>
  <c r="M97" i="37"/>
  <c r="M92" i="37"/>
  <c r="M96" i="37"/>
  <c r="M67" i="37"/>
  <c r="M61" i="37"/>
  <c r="M81" i="37"/>
  <c r="M47" i="37"/>
  <c r="M28" i="37"/>
  <c r="M32" i="37"/>
  <c r="M36" i="37"/>
  <c r="M31" i="37"/>
  <c r="M35" i="37"/>
  <c r="M30" i="37"/>
  <c r="M34" i="37"/>
  <c r="M29" i="37"/>
  <c r="M33" i="37"/>
  <c r="M37" i="37"/>
  <c r="M16" i="37"/>
  <c r="M14" i="37"/>
  <c r="M15" i="37"/>
  <c r="M21" i="37"/>
  <c r="L27" i="37"/>
  <c r="L7" i="37"/>
  <c r="M27" i="37"/>
  <c r="L87" i="37"/>
  <c r="M7" i="37"/>
  <c r="M8" i="37"/>
  <c r="M9" i="37"/>
  <c r="M10" i="37"/>
  <c r="M11" i="37"/>
  <c r="M12" i="37"/>
  <c r="M13" i="37"/>
  <c r="M87" i="37"/>
  <c r="L87" i="36"/>
  <c r="M91" i="36"/>
  <c r="M95" i="36"/>
  <c r="M90" i="36"/>
  <c r="M94" i="36"/>
  <c r="M89" i="36"/>
  <c r="M93" i="36"/>
  <c r="M97" i="36"/>
  <c r="M101" i="36"/>
  <c r="M92" i="36"/>
  <c r="M96" i="36"/>
  <c r="M67" i="36"/>
  <c r="M68" i="36"/>
  <c r="M72" i="36"/>
  <c r="M76" i="36"/>
  <c r="L67" i="36"/>
  <c r="M71" i="36"/>
  <c r="M75" i="36"/>
  <c r="M70" i="36"/>
  <c r="M74" i="36"/>
  <c r="M73" i="36"/>
  <c r="M77" i="36"/>
  <c r="M47" i="36"/>
  <c r="L27" i="36"/>
  <c r="M31" i="36"/>
  <c r="M35" i="36"/>
  <c r="M30" i="36"/>
  <c r="M34" i="36"/>
  <c r="M29" i="36"/>
  <c r="M33" i="36"/>
  <c r="M41" i="36"/>
  <c r="M32" i="36"/>
  <c r="M36" i="36"/>
  <c r="M15" i="36"/>
  <c r="M13" i="36"/>
  <c r="M14" i="36"/>
  <c r="M21" i="36"/>
  <c r="L47" i="36"/>
  <c r="L7" i="36"/>
  <c r="M28" i="36"/>
  <c r="M88" i="36"/>
  <c r="M7" i="36"/>
  <c r="M8" i="36"/>
  <c r="M9" i="36"/>
  <c r="M10" i="36"/>
  <c r="M11" i="36"/>
  <c r="M12" i="36"/>
  <c r="L87" i="35"/>
  <c r="M91" i="35"/>
  <c r="M90" i="35"/>
  <c r="M89" i="35"/>
  <c r="M93" i="35"/>
  <c r="M101" i="35"/>
  <c r="M92" i="35"/>
  <c r="M11" i="35"/>
  <c r="M10" i="35"/>
  <c r="M9" i="35"/>
  <c r="M13" i="35"/>
  <c r="M7" i="35"/>
  <c r="M8" i="35"/>
  <c r="M12" i="35"/>
  <c r="M21" i="35"/>
  <c r="M88" i="35"/>
  <c r="M21" i="34"/>
  <c r="L7" i="34"/>
  <c r="M7" i="34"/>
  <c r="M8" i="34"/>
  <c r="M9" i="34"/>
  <c r="M10" i="34"/>
  <c r="M11" i="34"/>
  <c r="M12" i="34"/>
  <c r="M13" i="34"/>
  <c r="M14" i="34"/>
  <c r="M15" i="34"/>
  <c r="M16" i="34"/>
  <c r="M17" i="34"/>
  <c r="M18" i="34"/>
  <c r="M10" i="33"/>
  <c r="M14" i="33"/>
  <c r="M18" i="33"/>
  <c r="M22" i="33"/>
  <c r="M30" i="33"/>
  <c r="M9" i="33"/>
  <c r="M13" i="33"/>
  <c r="M17" i="33"/>
  <c r="M21" i="33"/>
  <c r="M25" i="33"/>
  <c r="M29" i="33"/>
  <c r="M12" i="33"/>
  <c r="M16" i="33"/>
  <c r="M20" i="33"/>
  <c r="M24" i="33"/>
  <c r="M28" i="33"/>
  <c r="M11" i="33"/>
  <c r="M15" i="33"/>
  <c r="M19" i="33"/>
  <c r="M23" i="33"/>
  <c r="M27" i="33"/>
  <c r="L7" i="33"/>
  <c r="M7" i="33"/>
  <c r="M101" i="31"/>
  <c r="L7" i="31"/>
  <c r="M7" i="31"/>
  <c r="M21" i="31"/>
  <c r="L87" i="31"/>
  <c r="M87" i="31"/>
  <c r="M89" i="32"/>
  <c r="M93" i="32"/>
  <c r="M101" i="32"/>
  <c r="M92" i="32"/>
  <c r="L87" i="32"/>
  <c r="M91" i="32"/>
  <c r="M90" i="32"/>
  <c r="M94" i="32"/>
  <c r="M9" i="32"/>
  <c r="M13" i="32"/>
  <c r="M8" i="32"/>
  <c r="M12" i="32"/>
  <c r="L7" i="32"/>
  <c r="M11" i="32"/>
  <c r="M15" i="32"/>
  <c r="M10" i="32"/>
  <c r="M14" i="32"/>
  <c r="M21" i="32"/>
  <c r="M88" i="32"/>
  <c r="M7" i="30"/>
  <c r="L7" i="30"/>
  <c r="P142" i="8"/>
  <c r="U142" i="8" s="1"/>
  <c r="Z142" i="8" s="1"/>
  <c r="AE142" i="8" s="1"/>
  <c r="P82" i="30" l="1"/>
  <c r="U82" i="30" s="1"/>
  <c r="Z82" i="30" s="1"/>
  <c r="AE82" i="30" s="1"/>
  <c r="AC35" i="6"/>
  <c r="S35" i="6"/>
  <c r="M35" i="6"/>
  <c r="AC34" i="6"/>
  <c r="S34" i="6"/>
  <c r="M34" i="6"/>
  <c r="AC33" i="6"/>
  <c r="S33" i="6"/>
  <c r="M33" i="6"/>
  <c r="AC32" i="6"/>
  <c r="S32" i="6"/>
  <c r="M32" i="6"/>
  <c r="AC31" i="6"/>
  <c r="S31" i="6"/>
  <c r="M31" i="6"/>
  <c r="AC30" i="6"/>
  <c r="S30" i="6"/>
  <c r="M30" i="6"/>
  <c r="AC29" i="6"/>
  <c r="S29" i="6"/>
  <c r="M29" i="6"/>
  <c r="AC28" i="6"/>
  <c r="S28" i="6"/>
  <c r="M28" i="6"/>
  <c r="AC27" i="6"/>
  <c r="S27" i="6"/>
  <c r="M27" i="6"/>
  <c r="AC26" i="6"/>
  <c r="S26" i="6"/>
  <c r="M26" i="6"/>
  <c r="AC25" i="6"/>
  <c r="S25" i="6"/>
  <c r="M25" i="6"/>
  <c r="AC24" i="6"/>
  <c r="S24" i="6"/>
  <c r="M24" i="6"/>
  <c r="AC23" i="6"/>
  <c r="S23" i="6"/>
  <c r="M23" i="6"/>
  <c r="AC22" i="6"/>
  <c r="S22" i="6"/>
  <c r="M22" i="6"/>
  <c r="AC21" i="6"/>
  <c r="S21" i="6"/>
  <c r="M21" i="6"/>
  <c r="AC20" i="6"/>
  <c r="S20" i="6"/>
  <c r="M20" i="6"/>
  <c r="AC19" i="6"/>
  <c r="S19" i="6"/>
  <c r="M19" i="6"/>
  <c r="AC18" i="6"/>
  <c r="S18" i="6"/>
  <c r="M18" i="6"/>
  <c r="AC17" i="6"/>
  <c r="S17" i="6"/>
  <c r="M17" i="6"/>
  <c r="AC16" i="6"/>
  <c r="S16" i="6"/>
  <c r="M16" i="6"/>
  <c r="AC15" i="6"/>
  <c r="S15" i="6"/>
  <c r="M15" i="6"/>
  <c r="AC14" i="6"/>
  <c r="S14" i="6"/>
  <c r="M14" i="6"/>
  <c r="AC13" i="6"/>
  <c r="S13" i="6"/>
  <c r="M13" i="6"/>
  <c r="AC12" i="6"/>
  <c r="S12" i="6"/>
  <c r="M12" i="6"/>
  <c r="AC11" i="6"/>
  <c r="S11" i="6"/>
  <c r="M11" i="6"/>
  <c r="AC10" i="6"/>
  <c r="S10" i="6"/>
  <c r="M10" i="6"/>
  <c r="AC9" i="6"/>
  <c r="S9" i="6"/>
  <c r="M9" i="6"/>
  <c r="AC8" i="6"/>
  <c r="S8" i="6"/>
  <c r="M8" i="6"/>
  <c r="AC7" i="6"/>
  <c r="S7" i="6"/>
  <c r="M7" i="6"/>
  <c r="AC35" i="7"/>
  <c r="S35" i="7"/>
  <c r="M35" i="7"/>
  <c r="AC34" i="7"/>
  <c r="S34" i="7"/>
  <c r="M34" i="7"/>
  <c r="AC33" i="7"/>
  <c r="S33" i="7"/>
  <c r="M33" i="7"/>
  <c r="AC32" i="7"/>
  <c r="S32" i="7"/>
  <c r="M32" i="7"/>
  <c r="AC31" i="7"/>
  <c r="S31" i="7"/>
  <c r="M31" i="7"/>
  <c r="AC30" i="7"/>
  <c r="S30" i="7"/>
  <c r="M30" i="7"/>
  <c r="AC29" i="7"/>
  <c r="S29" i="7"/>
  <c r="M29" i="7"/>
  <c r="AC28" i="7"/>
  <c r="S28" i="7"/>
  <c r="M28" i="7"/>
  <c r="AC27" i="7"/>
  <c r="S27" i="7"/>
  <c r="M27" i="7"/>
  <c r="AC26" i="7"/>
  <c r="S26" i="7"/>
  <c r="M26" i="7"/>
  <c r="AC25" i="7"/>
  <c r="S25" i="7"/>
  <c r="M25" i="7"/>
  <c r="AC24" i="7"/>
  <c r="S24" i="7"/>
  <c r="M24" i="7"/>
  <c r="AC23" i="7"/>
  <c r="S23" i="7"/>
  <c r="M23" i="7"/>
  <c r="AC22" i="7"/>
  <c r="S22" i="7"/>
  <c r="M22" i="7"/>
  <c r="AC21" i="7"/>
  <c r="S21" i="7"/>
  <c r="M21" i="7"/>
  <c r="AC20" i="7"/>
  <c r="S20" i="7"/>
  <c r="M20" i="7"/>
  <c r="AC19" i="7"/>
  <c r="S19" i="7"/>
  <c r="M19" i="7"/>
  <c r="AC18" i="7"/>
  <c r="S18" i="7"/>
  <c r="M18" i="7"/>
  <c r="AC17" i="7"/>
  <c r="S17" i="7"/>
  <c r="M17" i="7"/>
  <c r="AC16" i="7"/>
  <c r="S16" i="7"/>
  <c r="M16" i="7"/>
  <c r="AC15" i="7"/>
  <c r="S15" i="7"/>
  <c r="M15" i="7"/>
  <c r="AC14" i="7"/>
  <c r="S14" i="7"/>
  <c r="M14" i="7"/>
  <c r="AC13" i="7"/>
  <c r="S13" i="7"/>
  <c r="M13" i="7"/>
  <c r="AC12" i="7"/>
  <c r="S12" i="7"/>
  <c r="M12" i="7"/>
  <c r="AC11" i="7"/>
  <c r="S11" i="7"/>
  <c r="M11" i="7"/>
  <c r="AC10" i="7"/>
  <c r="S10" i="7"/>
  <c r="M10" i="7"/>
  <c r="AC9" i="7"/>
  <c r="S9" i="7"/>
  <c r="M9" i="7"/>
  <c r="AC8" i="7"/>
  <c r="S8" i="7"/>
  <c r="M8" i="7"/>
  <c r="AC7" i="7"/>
  <c r="S7" i="7"/>
  <c r="M7" i="7"/>
  <c r="M36" i="7"/>
  <c r="S36" i="7"/>
  <c r="AC36" i="7"/>
  <c r="M37" i="7"/>
  <c r="S37" i="7"/>
  <c r="AC37" i="7"/>
  <c r="J38" i="7"/>
  <c r="L38" i="7"/>
  <c r="M38" i="7"/>
  <c r="N38" i="7" s="1"/>
  <c r="P38" i="7"/>
  <c r="R38" i="7"/>
  <c r="S38" i="7"/>
  <c r="T38" i="7" s="1"/>
  <c r="V38" i="7"/>
  <c r="X38" i="7"/>
  <c r="Z38" i="7"/>
  <c r="AB38" i="7"/>
  <c r="AC38" i="7"/>
  <c r="AD38" i="7" s="1"/>
  <c r="AF38" i="7"/>
  <c r="AH38" i="7"/>
  <c r="AJ38" i="7"/>
  <c r="AL38" i="7"/>
  <c r="M39" i="7"/>
  <c r="S39" i="7"/>
  <c r="AC39" i="7"/>
  <c r="M40" i="7"/>
  <c r="S40" i="7"/>
  <c r="AC40" i="7"/>
  <c r="M41" i="7"/>
  <c r="S41" i="7"/>
  <c r="AC41" i="7"/>
  <c r="D40" i="48" l="1"/>
  <c r="B40" i="48"/>
  <c r="F2" i="48"/>
  <c r="B2" i="48"/>
  <c r="D2" i="48" l="1"/>
  <c r="I2" i="48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AZ21" i="35" l="1"/>
  <c r="AZ20" i="35"/>
  <c r="BB20" i="35" s="1"/>
  <c r="AZ19" i="35"/>
  <c r="AZ18" i="35"/>
  <c r="AZ17" i="35"/>
  <c r="AZ16" i="35"/>
  <c r="BB16" i="35" s="1"/>
  <c r="AZ15" i="35"/>
  <c r="AZ14" i="35"/>
  <c r="AZ13" i="35"/>
  <c r="AZ12" i="35"/>
  <c r="BB12" i="35" s="1"/>
  <c r="AZ11" i="35"/>
  <c r="AZ10" i="35"/>
  <c r="AZ9" i="35"/>
  <c r="BB9" i="35" s="1"/>
  <c r="AZ8" i="35"/>
  <c r="AZ7" i="35"/>
  <c r="BA7" i="35"/>
  <c r="BB7" i="35"/>
  <c r="BB8" i="35"/>
  <c r="BB10" i="35"/>
  <c r="BB11" i="35"/>
  <c r="BB13" i="35"/>
  <c r="BB14" i="35"/>
  <c r="BB15" i="35"/>
  <c r="BB17" i="35"/>
  <c r="BB18" i="35"/>
  <c r="BB19" i="35"/>
  <c r="BB21" i="35"/>
  <c r="U22" i="30"/>
  <c r="Z22" i="30" s="1"/>
  <c r="AE22" i="30" s="1"/>
  <c r="AJ22" i="30" s="1"/>
  <c r="AO22" i="30" s="1"/>
  <c r="AT22" i="30" s="1"/>
  <c r="U22" i="31"/>
  <c r="Z22" i="31" s="1"/>
  <c r="AE22" i="31" s="1"/>
  <c r="AJ22" i="31" s="1"/>
  <c r="AO22" i="31" s="1"/>
  <c r="AT22" i="31" s="1"/>
  <c r="P42" i="31" s="1"/>
  <c r="U42" i="31" s="1"/>
  <c r="Z42" i="31" s="1"/>
  <c r="AE42" i="31" s="1"/>
  <c r="AJ42" i="31" s="1"/>
  <c r="AO42" i="31" s="1"/>
  <c r="AT42" i="31" s="1"/>
  <c r="P62" i="31" s="1"/>
  <c r="U62" i="31" s="1"/>
  <c r="Z62" i="31" s="1"/>
  <c r="AE62" i="31" s="1"/>
  <c r="AJ62" i="31" s="1"/>
  <c r="AO62" i="31" s="1"/>
  <c r="AT62" i="31" s="1"/>
  <c r="P82" i="31" s="1"/>
  <c r="U82" i="31" s="1"/>
  <c r="Z82" i="31" s="1"/>
  <c r="AE82" i="31" s="1"/>
  <c r="U22" i="36"/>
  <c r="Z22" i="36" s="1"/>
  <c r="AE22" i="36" s="1"/>
  <c r="AJ22" i="36" s="1"/>
  <c r="AO22" i="36" s="1"/>
  <c r="AT22" i="36" s="1"/>
  <c r="P42" i="36" s="1"/>
  <c r="U42" i="36" s="1"/>
  <c r="Z42" i="36" s="1"/>
  <c r="AE42" i="36" s="1"/>
  <c r="AJ42" i="36" s="1"/>
  <c r="AO42" i="36" s="1"/>
  <c r="AT42" i="36" s="1"/>
  <c r="P62" i="36" s="1"/>
  <c r="U62" i="36" s="1"/>
  <c r="Z62" i="36" s="1"/>
  <c r="AE62" i="36" s="1"/>
  <c r="AJ62" i="36" s="1"/>
  <c r="AO62" i="36" s="1"/>
  <c r="AT62" i="36" s="1"/>
  <c r="P82" i="36" s="1"/>
  <c r="U82" i="36" s="1"/>
  <c r="Z82" i="36" s="1"/>
  <c r="AE82" i="36" s="1"/>
  <c r="U22" i="37"/>
  <c r="Z22" i="37" s="1"/>
  <c r="AE22" i="37" s="1"/>
  <c r="AJ22" i="37" s="1"/>
  <c r="AO22" i="37" s="1"/>
  <c r="AT22" i="37" s="1"/>
  <c r="P42" i="37" s="1"/>
  <c r="U42" i="37" s="1"/>
  <c r="Z42" i="37" s="1"/>
  <c r="AE42" i="37" s="1"/>
  <c r="AJ42" i="37" s="1"/>
  <c r="AO42" i="37" s="1"/>
  <c r="AT42" i="37" s="1"/>
  <c r="P62" i="37" s="1"/>
  <c r="U62" i="37" s="1"/>
  <c r="Z62" i="37" s="1"/>
  <c r="AE62" i="37" s="1"/>
  <c r="AJ62" i="37" s="1"/>
  <c r="AO62" i="37" s="1"/>
  <c r="AT62" i="37" s="1"/>
  <c r="P82" i="37" s="1"/>
  <c r="U82" i="37" s="1"/>
  <c r="Z82" i="37" s="1"/>
  <c r="AE82" i="37" s="1"/>
  <c r="U22" i="35"/>
  <c r="Z22" i="35" s="1"/>
  <c r="AE22" i="35" s="1"/>
  <c r="AJ22" i="35" s="1"/>
  <c r="AO22" i="35" s="1"/>
  <c r="AT22" i="35" s="1"/>
  <c r="P42" i="35" s="1"/>
  <c r="U42" i="35" s="1"/>
  <c r="Z42" i="35" s="1"/>
  <c r="AE42" i="35" s="1"/>
  <c r="AJ42" i="35" s="1"/>
  <c r="AO42" i="35" s="1"/>
  <c r="AT42" i="35" s="1"/>
  <c r="P62" i="35" s="1"/>
  <c r="U62" i="35" s="1"/>
  <c r="Z62" i="35" s="1"/>
  <c r="AE62" i="35" s="1"/>
  <c r="AJ62" i="35" s="1"/>
  <c r="AO62" i="35" s="1"/>
  <c r="AT62" i="35" s="1"/>
  <c r="P82" i="35" s="1"/>
  <c r="U82" i="35" s="1"/>
  <c r="Z82" i="35" s="1"/>
  <c r="AE82" i="35" s="1"/>
  <c r="U22" i="34"/>
  <c r="Z22" i="34" s="1"/>
  <c r="AE22" i="34" s="1"/>
  <c r="AJ22" i="34" s="1"/>
  <c r="AO22" i="34" s="1"/>
  <c r="AT22" i="34" s="1"/>
  <c r="P42" i="34" s="1"/>
  <c r="U42" i="34" s="1"/>
  <c r="Z42" i="34" s="1"/>
  <c r="AE42" i="34" s="1"/>
  <c r="AJ42" i="34" s="1"/>
  <c r="AO42" i="34" s="1"/>
  <c r="AT42" i="34" s="1"/>
  <c r="P62" i="34" s="1"/>
  <c r="U62" i="34" s="1"/>
  <c r="Z62" i="34" s="1"/>
  <c r="AE62" i="34" s="1"/>
  <c r="AJ62" i="34" s="1"/>
  <c r="AO62" i="34" s="1"/>
  <c r="AT62" i="34" s="1"/>
  <c r="P82" i="34" s="1"/>
  <c r="U82" i="34" s="1"/>
  <c r="Z82" i="34" s="1"/>
  <c r="AE82" i="34" s="1"/>
  <c r="U22" i="32" l="1"/>
  <c r="Z22" i="32" s="1"/>
  <c r="AE22" i="32" s="1"/>
  <c r="AJ22" i="32" s="1"/>
  <c r="AO22" i="32" s="1"/>
  <c r="AT22" i="32" s="1"/>
  <c r="P42" i="32"/>
  <c r="M173" i="8"/>
  <c r="M174" i="8"/>
  <c r="M175" i="8"/>
  <c r="M176" i="8"/>
  <c r="U42" i="32" l="1"/>
  <c r="Z42" i="32" s="1"/>
  <c r="AE42" i="32" s="1"/>
  <c r="AJ42" i="32" s="1"/>
  <c r="AO42" i="32" s="1"/>
  <c r="AT42" i="32" s="1"/>
  <c r="P62" i="32"/>
  <c r="M172" i="8"/>
  <c r="M171" i="8"/>
  <c r="M147" i="8"/>
  <c r="M168" i="8"/>
  <c r="M167" i="8"/>
  <c r="M166" i="8"/>
  <c r="M162" i="8"/>
  <c r="M158" i="8"/>
  <c r="M154" i="8"/>
  <c r="M150" i="8"/>
  <c r="M163" i="8"/>
  <c r="M159" i="8"/>
  <c r="M155" i="8"/>
  <c r="M151" i="8"/>
  <c r="M164" i="8"/>
  <c r="M160" i="8"/>
  <c r="M156" i="8"/>
  <c r="M152" i="8"/>
  <c r="M148" i="8"/>
  <c r="M169" i="8"/>
  <c r="M165" i="8"/>
  <c r="M161" i="8"/>
  <c r="M157" i="8"/>
  <c r="M153" i="8"/>
  <c r="M149" i="8"/>
  <c r="M170" i="8"/>
  <c r="U62" i="32" l="1"/>
  <c r="Z62" i="32" s="1"/>
  <c r="AE62" i="32" s="1"/>
  <c r="AJ62" i="32" s="1"/>
  <c r="AO62" i="32" s="1"/>
  <c r="AT62" i="32" s="1"/>
  <c r="P82" i="32"/>
  <c r="AC36" i="6"/>
  <c r="S36" i="6"/>
  <c r="M36" i="6"/>
  <c r="U82" i="32" l="1"/>
  <c r="Z82" i="32" s="1"/>
  <c r="AE82" i="32" s="1"/>
  <c r="K121" i="32" l="1"/>
  <c r="J121" i="32"/>
  <c r="I121" i="32"/>
  <c r="K120" i="32"/>
  <c r="J120" i="32"/>
  <c r="I120" i="32"/>
  <c r="K119" i="32"/>
  <c r="J119" i="32"/>
  <c r="I119" i="32"/>
  <c r="K118" i="32"/>
  <c r="J118" i="32"/>
  <c r="I118" i="32"/>
  <c r="K117" i="32"/>
  <c r="J117" i="32"/>
  <c r="I117" i="32"/>
  <c r="K116" i="32"/>
  <c r="J116" i="32"/>
  <c r="I116" i="32"/>
  <c r="K115" i="32"/>
  <c r="J115" i="32"/>
  <c r="I115" i="32"/>
  <c r="K114" i="32"/>
  <c r="J114" i="32"/>
  <c r="I114" i="32"/>
  <c r="K113" i="32"/>
  <c r="J113" i="32"/>
  <c r="I113" i="32"/>
  <c r="K112" i="32"/>
  <c r="J112" i="32"/>
  <c r="I112" i="32"/>
  <c r="K111" i="32"/>
  <c r="J111" i="32"/>
  <c r="I111" i="32"/>
  <c r="K110" i="32"/>
  <c r="J110" i="32"/>
  <c r="I110" i="32"/>
  <c r="K109" i="32"/>
  <c r="J109" i="32"/>
  <c r="I109" i="32"/>
  <c r="K108" i="32"/>
  <c r="J108" i="32"/>
  <c r="I108" i="32"/>
  <c r="K107" i="32"/>
  <c r="J107" i="32"/>
  <c r="I107" i="32"/>
  <c r="K121" i="31"/>
  <c r="J121" i="31"/>
  <c r="I121" i="31"/>
  <c r="K120" i="31"/>
  <c r="J120" i="31"/>
  <c r="I120" i="31"/>
  <c r="K119" i="31"/>
  <c r="J119" i="31"/>
  <c r="I119" i="31"/>
  <c r="K118" i="31"/>
  <c r="J118" i="31"/>
  <c r="I118" i="31"/>
  <c r="K117" i="31"/>
  <c r="J117" i="31"/>
  <c r="I117" i="31"/>
  <c r="K116" i="31"/>
  <c r="J116" i="31"/>
  <c r="I116" i="31"/>
  <c r="K115" i="31"/>
  <c r="J115" i="31"/>
  <c r="I115" i="31"/>
  <c r="K114" i="31"/>
  <c r="J114" i="31"/>
  <c r="I114" i="31"/>
  <c r="K113" i="31"/>
  <c r="J113" i="31"/>
  <c r="I113" i="31"/>
  <c r="K112" i="31"/>
  <c r="J112" i="31"/>
  <c r="I112" i="31"/>
  <c r="K111" i="31"/>
  <c r="J111" i="31"/>
  <c r="I111" i="31"/>
  <c r="K110" i="31"/>
  <c r="J110" i="31"/>
  <c r="I110" i="31"/>
  <c r="K109" i="31"/>
  <c r="J109" i="31"/>
  <c r="I109" i="31"/>
  <c r="K108" i="31"/>
  <c r="J108" i="31"/>
  <c r="I108" i="31"/>
  <c r="K107" i="31"/>
  <c r="J107" i="31"/>
  <c r="I107" i="31"/>
  <c r="K121" i="34"/>
  <c r="J121" i="34"/>
  <c r="I121" i="34"/>
  <c r="K120" i="34"/>
  <c r="J120" i="34"/>
  <c r="I120" i="34"/>
  <c r="K119" i="34"/>
  <c r="J119" i="34"/>
  <c r="I119" i="34"/>
  <c r="K118" i="34"/>
  <c r="J118" i="34"/>
  <c r="I118" i="34"/>
  <c r="K117" i="34"/>
  <c r="J117" i="34"/>
  <c r="I117" i="34"/>
  <c r="K116" i="34"/>
  <c r="J116" i="34"/>
  <c r="I116" i="34"/>
  <c r="K115" i="34"/>
  <c r="J115" i="34"/>
  <c r="I115" i="34"/>
  <c r="K114" i="34"/>
  <c r="J114" i="34"/>
  <c r="I114" i="34"/>
  <c r="K113" i="34"/>
  <c r="J113" i="34"/>
  <c r="I113" i="34"/>
  <c r="K112" i="34"/>
  <c r="J112" i="34"/>
  <c r="I112" i="34"/>
  <c r="K111" i="34"/>
  <c r="J111" i="34"/>
  <c r="I111" i="34"/>
  <c r="K110" i="34"/>
  <c r="J110" i="34"/>
  <c r="I110" i="34"/>
  <c r="K109" i="34"/>
  <c r="J109" i="34"/>
  <c r="I109" i="34"/>
  <c r="K108" i="34"/>
  <c r="J108" i="34"/>
  <c r="I108" i="34"/>
  <c r="K107" i="34"/>
  <c r="J107" i="34"/>
  <c r="I107" i="34"/>
  <c r="K121" i="35"/>
  <c r="J121" i="35"/>
  <c r="I121" i="35"/>
  <c r="K120" i="35"/>
  <c r="J120" i="35"/>
  <c r="I120" i="35"/>
  <c r="K119" i="35"/>
  <c r="J119" i="35"/>
  <c r="I119" i="35"/>
  <c r="K118" i="35"/>
  <c r="J118" i="35"/>
  <c r="I118" i="35"/>
  <c r="K117" i="35"/>
  <c r="J117" i="35"/>
  <c r="I117" i="35"/>
  <c r="K116" i="35"/>
  <c r="J116" i="35"/>
  <c r="I116" i="35"/>
  <c r="K115" i="35"/>
  <c r="J115" i="35"/>
  <c r="I115" i="35"/>
  <c r="K114" i="35"/>
  <c r="J114" i="35"/>
  <c r="I114" i="35"/>
  <c r="K113" i="35"/>
  <c r="J113" i="35"/>
  <c r="I113" i="35"/>
  <c r="K112" i="35"/>
  <c r="J112" i="35"/>
  <c r="I112" i="35"/>
  <c r="K111" i="35"/>
  <c r="J111" i="35"/>
  <c r="I111" i="35"/>
  <c r="K110" i="35"/>
  <c r="J110" i="35"/>
  <c r="I110" i="35"/>
  <c r="K109" i="35"/>
  <c r="J109" i="35"/>
  <c r="I109" i="35"/>
  <c r="K108" i="35"/>
  <c r="J108" i="35"/>
  <c r="I108" i="35"/>
  <c r="K107" i="35"/>
  <c r="J107" i="35"/>
  <c r="I107" i="35"/>
  <c r="K121" i="36"/>
  <c r="J121" i="36"/>
  <c r="I121" i="36"/>
  <c r="K120" i="36"/>
  <c r="J120" i="36"/>
  <c r="I120" i="36"/>
  <c r="K119" i="36"/>
  <c r="J119" i="36"/>
  <c r="I119" i="36"/>
  <c r="K118" i="36"/>
  <c r="J118" i="36"/>
  <c r="I118" i="36"/>
  <c r="K117" i="36"/>
  <c r="J117" i="36"/>
  <c r="I117" i="36"/>
  <c r="K116" i="36"/>
  <c r="J116" i="36"/>
  <c r="I116" i="36"/>
  <c r="K115" i="36"/>
  <c r="J115" i="36"/>
  <c r="I115" i="36"/>
  <c r="K114" i="36"/>
  <c r="J114" i="36"/>
  <c r="I114" i="36"/>
  <c r="K113" i="36"/>
  <c r="J113" i="36"/>
  <c r="I113" i="36"/>
  <c r="K112" i="36"/>
  <c r="J112" i="36"/>
  <c r="I112" i="36"/>
  <c r="K111" i="36"/>
  <c r="J111" i="36"/>
  <c r="I111" i="36"/>
  <c r="K110" i="36"/>
  <c r="J110" i="36"/>
  <c r="I110" i="36"/>
  <c r="K109" i="36"/>
  <c r="J109" i="36"/>
  <c r="I109" i="36"/>
  <c r="K108" i="36"/>
  <c r="J108" i="36"/>
  <c r="I108" i="36"/>
  <c r="K107" i="36"/>
  <c r="J107" i="36"/>
  <c r="I107" i="36"/>
  <c r="K121" i="37"/>
  <c r="J121" i="37"/>
  <c r="I121" i="37"/>
  <c r="K120" i="37"/>
  <c r="J120" i="37"/>
  <c r="I120" i="37"/>
  <c r="K119" i="37"/>
  <c r="J119" i="37"/>
  <c r="I119" i="37"/>
  <c r="K118" i="37"/>
  <c r="J118" i="37"/>
  <c r="I118" i="37"/>
  <c r="K117" i="37"/>
  <c r="J117" i="37"/>
  <c r="I117" i="37"/>
  <c r="K116" i="37"/>
  <c r="J116" i="37"/>
  <c r="I116" i="37"/>
  <c r="K115" i="37"/>
  <c r="J115" i="37"/>
  <c r="I115" i="37"/>
  <c r="K114" i="37"/>
  <c r="J114" i="37"/>
  <c r="I114" i="37"/>
  <c r="K113" i="37"/>
  <c r="J113" i="37"/>
  <c r="I113" i="37"/>
  <c r="K112" i="37"/>
  <c r="J112" i="37"/>
  <c r="I112" i="37"/>
  <c r="K111" i="37"/>
  <c r="J111" i="37"/>
  <c r="I111" i="37"/>
  <c r="K110" i="37"/>
  <c r="J110" i="37"/>
  <c r="I110" i="37"/>
  <c r="K109" i="37"/>
  <c r="J109" i="37"/>
  <c r="I109" i="37"/>
  <c r="K108" i="37"/>
  <c r="J108" i="37"/>
  <c r="I108" i="37"/>
  <c r="K107" i="37"/>
  <c r="J107" i="37"/>
  <c r="I107" i="37"/>
  <c r="K121" i="30"/>
  <c r="J121" i="30"/>
  <c r="I121" i="30"/>
  <c r="K120" i="30"/>
  <c r="J120" i="30"/>
  <c r="I120" i="30"/>
  <c r="K119" i="30"/>
  <c r="J119" i="30"/>
  <c r="I119" i="30"/>
  <c r="K118" i="30"/>
  <c r="J118" i="30"/>
  <c r="I118" i="30"/>
  <c r="K117" i="30"/>
  <c r="J117" i="30"/>
  <c r="I117" i="30"/>
  <c r="K116" i="30"/>
  <c r="J116" i="30"/>
  <c r="I116" i="30"/>
  <c r="K115" i="30"/>
  <c r="J115" i="30"/>
  <c r="I115" i="30"/>
  <c r="K114" i="30"/>
  <c r="J114" i="30"/>
  <c r="I114" i="30"/>
  <c r="K113" i="30"/>
  <c r="J113" i="30"/>
  <c r="I113" i="30"/>
  <c r="K112" i="30"/>
  <c r="J112" i="30"/>
  <c r="I112" i="30"/>
  <c r="K111" i="30"/>
  <c r="J111" i="30"/>
  <c r="I111" i="30"/>
  <c r="K110" i="30"/>
  <c r="J110" i="30"/>
  <c r="I110" i="30"/>
  <c r="K109" i="30"/>
  <c r="J109" i="30"/>
  <c r="I109" i="30"/>
  <c r="K108" i="30"/>
  <c r="J108" i="30"/>
  <c r="I108" i="30"/>
  <c r="K107" i="30"/>
  <c r="J107" i="30"/>
  <c r="I107" i="30"/>
  <c r="K211" i="33"/>
  <c r="J211" i="33"/>
  <c r="I211" i="33"/>
  <c r="K210" i="33"/>
  <c r="J210" i="33"/>
  <c r="I210" i="33"/>
  <c r="K209" i="33"/>
  <c r="J209" i="33"/>
  <c r="I209" i="33"/>
  <c r="K208" i="33"/>
  <c r="J208" i="33"/>
  <c r="I208" i="33"/>
  <c r="K207" i="33"/>
  <c r="J207" i="33"/>
  <c r="I207" i="33"/>
  <c r="K206" i="33"/>
  <c r="J206" i="33"/>
  <c r="I206" i="33"/>
  <c r="K205" i="33"/>
  <c r="J205" i="33"/>
  <c r="I205" i="33"/>
  <c r="K204" i="33"/>
  <c r="J204" i="33"/>
  <c r="I204" i="33"/>
  <c r="K203" i="33"/>
  <c r="J203" i="33"/>
  <c r="I203" i="33"/>
  <c r="K202" i="33"/>
  <c r="J202" i="33"/>
  <c r="I202" i="33"/>
  <c r="K201" i="33"/>
  <c r="J201" i="33"/>
  <c r="I201" i="33"/>
  <c r="K200" i="33"/>
  <c r="J200" i="33"/>
  <c r="I200" i="33"/>
  <c r="K199" i="33"/>
  <c r="J199" i="33"/>
  <c r="I199" i="33"/>
  <c r="K198" i="33"/>
  <c r="J198" i="33"/>
  <c r="I198" i="33"/>
  <c r="K197" i="33"/>
  <c r="J197" i="33"/>
  <c r="I197" i="33"/>
  <c r="K196" i="33"/>
  <c r="J196" i="33"/>
  <c r="I196" i="33"/>
  <c r="K195" i="33"/>
  <c r="J195" i="33"/>
  <c r="I195" i="33"/>
  <c r="K194" i="33"/>
  <c r="J194" i="33"/>
  <c r="I194" i="33"/>
  <c r="K193" i="33"/>
  <c r="J193" i="33"/>
  <c r="I193" i="33"/>
  <c r="K192" i="33"/>
  <c r="J192" i="33"/>
  <c r="I192" i="33"/>
  <c r="K191" i="33"/>
  <c r="J191" i="33"/>
  <c r="I191" i="33"/>
  <c r="K190" i="33"/>
  <c r="J190" i="33"/>
  <c r="I190" i="33"/>
  <c r="K189" i="33"/>
  <c r="J189" i="33"/>
  <c r="I189" i="33"/>
  <c r="K188" i="33"/>
  <c r="J188" i="33"/>
  <c r="I188" i="33"/>
  <c r="K187" i="33"/>
  <c r="J187" i="33"/>
  <c r="I187" i="33"/>
  <c r="K186" i="33"/>
  <c r="J186" i="33"/>
  <c r="I186" i="33"/>
  <c r="K185" i="33"/>
  <c r="J185" i="33"/>
  <c r="I185" i="33"/>
  <c r="K184" i="33"/>
  <c r="J184" i="33"/>
  <c r="I184" i="33"/>
  <c r="K183" i="33"/>
  <c r="J183" i="33"/>
  <c r="I183" i="33"/>
  <c r="K182" i="33"/>
  <c r="J182" i="33"/>
  <c r="I182" i="33"/>
  <c r="K211" i="8"/>
  <c r="J211" i="8"/>
  <c r="I211" i="8"/>
  <c r="K210" i="8"/>
  <c r="J210" i="8"/>
  <c r="I210" i="8"/>
  <c r="K209" i="8"/>
  <c r="J209" i="8"/>
  <c r="I209" i="8"/>
  <c r="K208" i="8"/>
  <c r="J208" i="8"/>
  <c r="I208" i="8"/>
  <c r="K207" i="8"/>
  <c r="J207" i="8"/>
  <c r="I207" i="8"/>
  <c r="K206" i="8"/>
  <c r="J206" i="8"/>
  <c r="I206" i="8"/>
  <c r="K205" i="8"/>
  <c r="J205" i="8"/>
  <c r="I205" i="8"/>
  <c r="K204" i="8"/>
  <c r="J204" i="8"/>
  <c r="I204" i="8"/>
  <c r="K203" i="8"/>
  <c r="J203" i="8"/>
  <c r="I203" i="8"/>
  <c r="K202" i="8"/>
  <c r="J202" i="8"/>
  <c r="I202" i="8"/>
  <c r="K201" i="8"/>
  <c r="J201" i="8"/>
  <c r="I201" i="8"/>
  <c r="K200" i="8"/>
  <c r="J200" i="8"/>
  <c r="I200" i="8"/>
  <c r="K199" i="8"/>
  <c r="J199" i="8"/>
  <c r="I199" i="8"/>
  <c r="K198" i="8"/>
  <c r="J198" i="8"/>
  <c r="I198" i="8"/>
  <c r="K197" i="8"/>
  <c r="J197" i="8"/>
  <c r="I197" i="8"/>
  <c r="K196" i="8"/>
  <c r="J196" i="8"/>
  <c r="I196" i="8"/>
  <c r="K195" i="8"/>
  <c r="J195" i="8"/>
  <c r="I195" i="8"/>
  <c r="K194" i="8"/>
  <c r="J194" i="8"/>
  <c r="I194" i="8"/>
  <c r="K193" i="8"/>
  <c r="J193" i="8"/>
  <c r="I193" i="8"/>
  <c r="K192" i="8"/>
  <c r="J192" i="8"/>
  <c r="I192" i="8"/>
  <c r="K191" i="8"/>
  <c r="J191" i="8"/>
  <c r="I191" i="8"/>
  <c r="K190" i="8"/>
  <c r="J190" i="8"/>
  <c r="I190" i="8"/>
  <c r="K189" i="8"/>
  <c r="J189" i="8"/>
  <c r="I189" i="8"/>
  <c r="K188" i="8"/>
  <c r="J188" i="8"/>
  <c r="I188" i="8"/>
  <c r="K187" i="8"/>
  <c r="J187" i="8"/>
  <c r="I187" i="8"/>
  <c r="K186" i="8"/>
  <c r="J186" i="8"/>
  <c r="I186" i="8"/>
  <c r="K185" i="8"/>
  <c r="J185" i="8"/>
  <c r="I185" i="8"/>
  <c r="K184" i="8"/>
  <c r="J184" i="8"/>
  <c r="I184" i="8"/>
  <c r="K183" i="8"/>
  <c r="J183" i="8"/>
  <c r="I183" i="8"/>
  <c r="K182" i="8"/>
  <c r="J182" i="8"/>
  <c r="I182" i="8"/>
  <c r="AZ41" i="32" l="1"/>
  <c r="AZ40" i="32"/>
  <c r="AZ39" i="32"/>
  <c r="AZ38" i="32"/>
  <c r="AZ37" i="32"/>
  <c r="AZ36" i="32"/>
  <c r="AZ35" i="32"/>
  <c r="AZ34" i="32"/>
  <c r="AZ33" i="32"/>
  <c r="AZ32" i="32"/>
  <c r="AZ31" i="32"/>
  <c r="AZ30" i="32"/>
  <c r="AZ29" i="32"/>
  <c r="AZ28" i="32"/>
  <c r="BA27" i="32"/>
  <c r="AZ27" i="32"/>
  <c r="AZ81" i="30" l="1"/>
  <c r="AZ80" i="30"/>
  <c r="AZ79" i="30"/>
  <c r="AZ78" i="30"/>
  <c r="AZ77" i="30"/>
  <c r="AZ76" i="30"/>
  <c r="AZ75" i="30"/>
  <c r="AZ74" i="30"/>
  <c r="AZ73" i="30"/>
  <c r="AZ72" i="30"/>
  <c r="AZ71" i="30"/>
  <c r="AZ70" i="30"/>
  <c r="AZ69" i="30"/>
  <c r="AZ68" i="30"/>
  <c r="AZ67" i="30"/>
  <c r="BA67" i="30"/>
  <c r="AZ101" i="32"/>
  <c r="AZ100" i="32"/>
  <c r="AZ99" i="32"/>
  <c r="AZ98" i="32"/>
  <c r="AZ97" i="32"/>
  <c r="AZ96" i="32"/>
  <c r="AZ95" i="32"/>
  <c r="AZ94" i="32"/>
  <c r="AZ93" i="32"/>
  <c r="AZ92" i="32"/>
  <c r="AZ91" i="32"/>
  <c r="AZ90" i="32"/>
  <c r="AZ89" i="32"/>
  <c r="AZ88" i="32"/>
  <c r="BA87" i="32"/>
  <c r="AZ87" i="32"/>
  <c r="AZ101" i="31"/>
  <c r="AZ100" i="31"/>
  <c r="AZ99" i="31"/>
  <c r="AZ98" i="31"/>
  <c r="AZ97" i="31"/>
  <c r="AZ96" i="31"/>
  <c r="AZ95" i="31"/>
  <c r="AZ94" i="31"/>
  <c r="AZ93" i="31"/>
  <c r="AZ92" i="31"/>
  <c r="AZ91" i="31"/>
  <c r="AZ90" i="31"/>
  <c r="AZ89" i="31"/>
  <c r="AZ88" i="31"/>
  <c r="BA87" i="31"/>
  <c r="AZ87" i="31"/>
  <c r="AZ101" i="34"/>
  <c r="AZ100" i="34"/>
  <c r="AZ99" i="34"/>
  <c r="AZ98" i="34"/>
  <c r="AZ97" i="34"/>
  <c r="AZ96" i="34"/>
  <c r="AZ95" i="34"/>
  <c r="AZ94" i="34"/>
  <c r="AZ93" i="34"/>
  <c r="AZ92" i="34"/>
  <c r="AZ91" i="34"/>
  <c r="AZ90" i="34"/>
  <c r="AZ89" i="34"/>
  <c r="AZ88" i="34"/>
  <c r="BA87" i="34"/>
  <c r="AZ87" i="34"/>
  <c r="AZ101" i="35"/>
  <c r="AZ100" i="35"/>
  <c r="AZ99" i="35"/>
  <c r="AZ98" i="35"/>
  <c r="AZ97" i="35"/>
  <c r="AZ96" i="35"/>
  <c r="AZ95" i="35"/>
  <c r="AZ94" i="35"/>
  <c r="AZ93" i="35"/>
  <c r="AZ92" i="35"/>
  <c r="AZ91" i="35"/>
  <c r="AZ90" i="35"/>
  <c r="AZ89" i="35"/>
  <c r="AZ88" i="35"/>
  <c r="BA87" i="35"/>
  <c r="AZ87" i="35"/>
  <c r="AZ101" i="36"/>
  <c r="AZ100" i="36"/>
  <c r="AZ99" i="36"/>
  <c r="AZ98" i="36"/>
  <c r="AZ97" i="36"/>
  <c r="AZ96" i="36"/>
  <c r="AZ95" i="36"/>
  <c r="AZ94" i="36"/>
  <c r="AZ93" i="36"/>
  <c r="AZ92" i="36"/>
  <c r="AZ91" i="36"/>
  <c r="AZ90" i="36"/>
  <c r="AZ89" i="36"/>
  <c r="AZ88" i="36"/>
  <c r="BA87" i="36"/>
  <c r="AZ87" i="36"/>
  <c r="AZ101" i="37"/>
  <c r="AZ100" i="37"/>
  <c r="AZ99" i="37"/>
  <c r="AZ98" i="37"/>
  <c r="AZ97" i="37"/>
  <c r="AZ96" i="37"/>
  <c r="AZ95" i="37"/>
  <c r="AZ94" i="37"/>
  <c r="AZ93" i="37"/>
  <c r="AZ92" i="37"/>
  <c r="AZ91" i="37"/>
  <c r="AZ90" i="37"/>
  <c r="AZ89" i="37"/>
  <c r="AZ88" i="37"/>
  <c r="BA87" i="37"/>
  <c r="AZ87" i="37"/>
  <c r="AZ101" i="30"/>
  <c r="AZ100" i="30"/>
  <c r="AZ99" i="30"/>
  <c r="AZ98" i="30"/>
  <c r="AZ97" i="30"/>
  <c r="AZ96" i="30"/>
  <c r="AZ95" i="30"/>
  <c r="AZ94" i="30"/>
  <c r="AZ93" i="30"/>
  <c r="AZ92" i="30"/>
  <c r="AZ91" i="30"/>
  <c r="AZ90" i="30"/>
  <c r="AZ89" i="30"/>
  <c r="AZ88" i="30"/>
  <c r="BA87" i="30"/>
  <c r="AZ87" i="30"/>
  <c r="AZ81" i="32"/>
  <c r="AZ80" i="32"/>
  <c r="AZ79" i="32"/>
  <c r="AZ78" i="32"/>
  <c r="AZ77" i="32"/>
  <c r="AZ76" i="32"/>
  <c r="AZ75" i="32"/>
  <c r="AZ74" i="32"/>
  <c r="AZ73" i="32"/>
  <c r="AZ72" i="32"/>
  <c r="AZ71" i="32"/>
  <c r="AZ70" i="32"/>
  <c r="AZ69" i="32"/>
  <c r="AZ68" i="32"/>
  <c r="BA67" i="32"/>
  <c r="AZ67" i="32"/>
  <c r="AZ81" i="31"/>
  <c r="AZ80" i="31"/>
  <c r="AZ79" i="31"/>
  <c r="AZ78" i="31"/>
  <c r="AZ77" i="31"/>
  <c r="AZ76" i="31"/>
  <c r="AZ75" i="31"/>
  <c r="AZ74" i="31"/>
  <c r="AZ73" i="31"/>
  <c r="AZ72" i="31"/>
  <c r="AZ71" i="31"/>
  <c r="AZ70" i="31"/>
  <c r="AZ69" i="31"/>
  <c r="AZ68" i="31"/>
  <c r="BA67" i="31"/>
  <c r="AZ67" i="31"/>
  <c r="AZ81" i="34"/>
  <c r="AZ80" i="34"/>
  <c r="AZ79" i="34"/>
  <c r="AZ78" i="34"/>
  <c r="AZ77" i="34"/>
  <c r="AZ76" i="34"/>
  <c r="AZ75" i="34"/>
  <c r="AZ74" i="34"/>
  <c r="AZ73" i="34"/>
  <c r="AZ72" i="34"/>
  <c r="AZ71" i="34"/>
  <c r="AZ70" i="34"/>
  <c r="AZ69" i="34"/>
  <c r="AZ68" i="34"/>
  <c r="BA67" i="34"/>
  <c r="AZ67" i="34"/>
  <c r="AZ81" i="35"/>
  <c r="AZ80" i="35"/>
  <c r="AZ79" i="35"/>
  <c r="AZ78" i="35"/>
  <c r="AZ77" i="35"/>
  <c r="AZ76" i="35"/>
  <c r="AZ75" i="35"/>
  <c r="AZ74" i="35"/>
  <c r="AZ73" i="35"/>
  <c r="AZ72" i="35"/>
  <c r="AZ71" i="35"/>
  <c r="AZ70" i="35"/>
  <c r="AZ69" i="35"/>
  <c r="AZ68" i="35"/>
  <c r="BA67" i="35"/>
  <c r="AZ67" i="35"/>
  <c r="AZ81" i="36"/>
  <c r="AZ80" i="36"/>
  <c r="AZ79" i="36"/>
  <c r="AZ78" i="36"/>
  <c r="AZ77" i="36"/>
  <c r="AZ76" i="36"/>
  <c r="AZ75" i="36"/>
  <c r="AZ74" i="36"/>
  <c r="AZ73" i="36"/>
  <c r="AZ72" i="36"/>
  <c r="AZ71" i="36"/>
  <c r="AZ70" i="36"/>
  <c r="AZ69" i="36"/>
  <c r="AZ68" i="36"/>
  <c r="BA67" i="36"/>
  <c r="AZ67" i="36"/>
  <c r="AZ81" i="37"/>
  <c r="AZ80" i="37"/>
  <c r="AZ79" i="37"/>
  <c r="AZ78" i="37"/>
  <c r="AZ77" i="37"/>
  <c r="AZ76" i="37"/>
  <c r="AZ75" i="37"/>
  <c r="AZ74" i="37"/>
  <c r="AZ73" i="37"/>
  <c r="AZ72" i="37"/>
  <c r="AZ71" i="37"/>
  <c r="AZ70" i="37"/>
  <c r="AZ69" i="37"/>
  <c r="AZ68" i="37"/>
  <c r="BA67" i="37"/>
  <c r="AZ67" i="37"/>
  <c r="AZ61" i="32"/>
  <c r="AZ60" i="32"/>
  <c r="AZ59" i="32"/>
  <c r="AZ58" i="32"/>
  <c r="AZ57" i="32"/>
  <c r="AZ56" i="32"/>
  <c r="AZ55" i="32"/>
  <c r="AZ54" i="32"/>
  <c r="AZ53" i="32"/>
  <c r="AZ52" i="32"/>
  <c r="AZ51" i="32"/>
  <c r="AZ50" i="32"/>
  <c r="AZ49" i="32"/>
  <c r="AZ48" i="32"/>
  <c r="BA47" i="32"/>
  <c r="AZ47" i="32"/>
  <c r="AZ61" i="31"/>
  <c r="AZ60" i="31"/>
  <c r="AZ59" i="31"/>
  <c r="AZ58" i="31"/>
  <c r="AZ57" i="31"/>
  <c r="AZ56" i="31"/>
  <c r="AZ55" i="31"/>
  <c r="AZ54" i="31"/>
  <c r="AZ53" i="31"/>
  <c r="AZ52" i="31"/>
  <c r="AZ51" i="31"/>
  <c r="AZ50" i="31"/>
  <c r="AZ49" i="31"/>
  <c r="AZ48" i="31"/>
  <c r="BA47" i="31"/>
  <c r="AZ47" i="31"/>
  <c r="AZ61" i="34"/>
  <c r="AZ60" i="34"/>
  <c r="AZ59" i="34"/>
  <c r="AZ58" i="34"/>
  <c r="AZ57" i="34"/>
  <c r="AZ56" i="34"/>
  <c r="AZ55" i="34"/>
  <c r="AZ54" i="34"/>
  <c r="AZ53" i="34"/>
  <c r="AZ52" i="34"/>
  <c r="AZ51" i="34"/>
  <c r="AZ50" i="34"/>
  <c r="AZ49" i="34"/>
  <c r="AZ48" i="34"/>
  <c r="BA47" i="34"/>
  <c r="AZ47" i="34"/>
  <c r="AZ61" i="35"/>
  <c r="AZ60" i="35"/>
  <c r="AZ59" i="35"/>
  <c r="AZ58" i="35"/>
  <c r="AZ57" i="35"/>
  <c r="AZ56" i="35"/>
  <c r="AZ55" i="35"/>
  <c r="AZ54" i="35"/>
  <c r="AZ53" i="35"/>
  <c r="AZ52" i="35"/>
  <c r="AZ51" i="35"/>
  <c r="AZ50" i="35"/>
  <c r="AZ49" i="35"/>
  <c r="AZ48" i="35"/>
  <c r="BA47" i="35"/>
  <c r="AZ47" i="35"/>
  <c r="AZ53" i="30"/>
  <c r="AZ52" i="30"/>
  <c r="AZ51" i="30"/>
  <c r="AZ50" i="30"/>
  <c r="AZ49" i="30"/>
  <c r="AZ48" i="30"/>
  <c r="BA47" i="30"/>
  <c r="AZ47" i="30"/>
  <c r="AZ41" i="31"/>
  <c r="AZ40" i="31"/>
  <c r="AZ39" i="31"/>
  <c r="AZ38" i="31"/>
  <c r="AZ37" i="31"/>
  <c r="AZ36" i="31"/>
  <c r="AZ35" i="31"/>
  <c r="AZ34" i="31"/>
  <c r="AZ33" i="31"/>
  <c r="AZ32" i="31"/>
  <c r="AZ31" i="31"/>
  <c r="AZ30" i="31"/>
  <c r="AZ29" i="31"/>
  <c r="AZ28" i="31"/>
  <c r="BA27" i="31"/>
  <c r="AZ27" i="31"/>
  <c r="AZ41" i="34"/>
  <c r="AZ40" i="34"/>
  <c r="AZ39" i="34"/>
  <c r="AZ38" i="34"/>
  <c r="AZ37" i="34"/>
  <c r="AZ36" i="34"/>
  <c r="AZ35" i="34"/>
  <c r="AZ34" i="34"/>
  <c r="AZ33" i="34"/>
  <c r="AZ32" i="34"/>
  <c r="AZ31" i="34"/>
  <c r="AZ30" i="34"/>
  <c r="AZ29" i="34"/>
  <c r="AZ28" i="34"/>
  <c r="BA27" i="34"/>
  <c r="AZ27" i="34"/>
  <c r="AZ41" i="35"/>
  <c r="AZ40" i="35"/>
  <c r="AZ39" i="35"/>
  <c r="AZ38" i="35"/>
  <c r="AZ37" i="35"/>
  <c r="AZ36" i="35"/>
  <c r="AZ35" i="35"/>
  <c r="AZ34" i="35"/>
  <c r="AZ33" i="35"/>
  <c r="AZ32" i="35"/>
  <c r="AZ31" i="35"/>
  <c r="AZ30" i="35"/>
  <c r="AZ29" i="35"/>
  <c r="AZ28" i="35"/>
  <c r="BA27" i="35"/>
  <c r="AZ27" i="35"/>
  <c r="AZ41" i="36"/>
  <c r="AZ40" i="36"/>
  <c r="AZ39" i="36"/>
  <c r="AZ38" i="36"/>
  <c r="AZ37" i="36"/>
  <c r="AZ36" i="36"/>
  <c r="AZ35" i="36"/>
  <c r="AZ34" i="36"/>
  <c r="AZ33" i="36"/>
  <c r="AZ32" i="36"/>
  <c r="AZ31" i="36"/>
  <c r="AZ30" i="36"/>
  <c r="AZ29" i="36"/>
  <c r="AZ28" i="36"/>
  <c r="BA27" i="36"/>
  <c r="AZ27" i="36"/>
  <c r="AZ41" i="37"/>
  <c r="AZ40" i="37"/>
  <c r="AZ39" i="37"/>
  <c r="AZ38" i="37"/>
  <c r="AZ37" i="37"/>
  <c r="AZ36" i="37"/>
  <c r="AZ35" i="37"/>
  <c r="AZ34" i="37"/>
  <c r="AZ33" i="37"/>
  <c r="AZ32" i="37"/>
  <c r="AZ31" i="37"/>
  <c r="AZ30" i="37"/>
  <c r="AZ29" i="37"/>
  <c r="AZ28" i="37"/>
  <c r="BA27" i="37"/>
  <c r="AZ27" i="37"/>
  <c r="AZ41" i="30"/>
  <c r="AZ40" i="30"/>
  <c r="AZ39" i="30"/>
  <c r="AZ38" i="30"/>
  <c r="AZ37" i="30"/>
  <c r="AZ36" i="30"/>
  <c r="AZ35" i="30"/>
  <c r="AZ34" i="30"/>
  <c r="AZ33" i="30"/>
  <c r="AZ32" i="30"/>
  <c r="AZ31" i="30"/>
  <c r="AZ30" i="30"/>
  <c r="AZ29" i="30"/>
  <c r="AZ28" i="30"/>
  <c r="BA27" i="30"/>
  <c r="AZ27" i="30"/>
  <c r="AZ211" i="33"/>
  <c r="AZ210" i="33"/>
  <c r="AZ209" i="33"/>
  <c r="AZ208" i="33"/>
  <c r="AZ207" i="33"/>
  <c r="AZ206" i="33"/>
  <c r="AZ205" i="33"/>
  <c r="AZ204" i="33"/>
  <c r="AZ203" i="33"/>
  <c r="AZ202" i="33"/>
  <c r="AZ201" i="33"/>
  <c r="AZ200" i="33"/>
  <c r="AZ199" i="33"/>
  <c r="AZ198" i="33"/>
  <c r="AZ197" i="33"/>
  <c r="AZ196" i="33"/>
  <c r="AZ195" i="33"/>
  <c r="AZ194" i="33"/>
  <c r="AZ193" i="33"/>
  <c r="AZ192" i="33"/>
  <c r="AZ191" i="33"/>
  <c r="AZ190" i="33"/>
  <c r="AZ189" i="33"/>
  <c r="AZ188" i="33"/>
  <c r="AZ187" i="33"/>
  <c r="AZ186" i="33"/>
  <c r="AZ185" i="33"/>
  <c r="AZ184" i="33"/>
  <c r="AZ183" i="33"/>
  <c r="BA182" i="33"/>
  <c r="AZ182" i="33"/>
  <c r="AZ211" i="8"/>
  <c r="AZ210" i="8"/>
  <c r="AZ209" i="8"/>
  <c r="AZ208" i="8"/>
  <c r="AZ207" i="8"/>
  <c r="AZ206" i="8"/>
  <c r="AZ205" i="8"/>
  <c r="AZ204" i="8"/>
  <c r="AZ203" i="8"/>
  <c r="AZ202" i="8"/>
  <c r="AZ201" i="8"/>
  <c r="AZ200" i="8"/>
  <c r="AZ199" i="8"/>
  <c r="AZ198" i="8"/>
  <c r="AZ197" i="8"/>
  <c r="AZ196" i="8"/>
  <c r="AZ195" i="8"/>
  <c r="AZ194" i="8"/>
  <c r="AZ193" i="8"/>
  <c r="AZ192" i="8"/>
  <c r="AZ191" i="8"/>
  <c r="AZ190" i="8"/>
  <c r="AZ189" i="8"/>
  <c r="AZ188" i="8"/>
  <c r="AZ187" i="8"/>
  <c r="AZ186" i="8"/>
  <c r="AZ185" i="8"/>
  <c r="AZ184" i="8"/>
  <c r="AZ183" i="8"/>
  <c r="BA182" i="8"/>
  <c r="AZ182" i="8"/>
  <c r="AZ176" i="33"/>
  <c r="AZ175" i="33"/>
  <c r="AZ174" i="33"/>
  <c r="AZ173" i="33"/>
  <c r="AZ172" i="33"/>
  <c r="AZ171" i="33"/>
  <c r="AZ170" i="33"/>
  <c r="AZ169" i="33"/>
  <c r="AZ168" i="33"/>
  <c r="AZ167" i="33"/>
  <c r="AZ166" i="33"/>
  <c r="AZ165" i="33"/>
  <c r="AZ164" i="33"/>
  <c r="AZ163" i="33"/>
  <c r="AZ162" i="33"/>
  <c r="AZ161" i="33"/>
  <c r="AZ160" i="33"/>
  <c r="AZ159" i="33"/>
  <c r="AZ158" i="33"/>
  <c r="AZ157" i="33"/>
  <c r="AZ156" i="33"/>
  <c r="AZ155" i="33"/>
  <c r="AZ154" i="33"/>
  <c r="AZ153" i="33"/>
  <c r="AZ152" i="33"/>
  <c r="AZ151" i="33"/>
  <c r="AZ150" i="33"/>
  <c r="AZ149" i="33"/>
  <c r="AZ148" i="33"/>
  <c r="BA147" i="33"/>
  <c r="AZ147" i="33"/>
  <c r="AZ176" i="8"/>
  <c r="AZ175" i="8"/>
  <c r="AZ174" i="8"/>
  <c r="AZ173" i="8"/>
  <c r="AZ172" i="8"/>
  <c r="AZ171" i="8"/>
  <c r="AZ170" i="8"/>
  <c r="AZ169" i="8"/>
  <c r="AZ168" i="8"/>
  <c r="AZ167" i="8"/>
  <c r="AZ166" i="8"/>
  <c r="AZ165" i="8"/>
  <c r="AZ164" i="8"/>
  <c r="AZ163" i="8"/>
  <c r="AZ162" i="8"/>
  <c r="AZ161" i="8"/>
  <c r="AZ160" i="8"/>
  <c r="AZ159" i="8"/>
  <c r="AZ158" i="8"/>
  <c r="AZ157" i="8"/>
  <c r="AZ156" i="8"/>
  <c r="AZ155" i="8"/>
  <c r="AZ154" i="8"/>
  <c r="AZ153" i="8"/>
  <c r="AZ152" i="8"/>
  <c r="AZ151" i="8"/>
  <c r="AZ150" i="8"/>
  <c r="AZ149" i="8"/>
  <c r="AZ148" i="8"/>
  <c r="BA147" i="8"/>
  <c r="AZ147" i="8"/>
  <c r="AZ141" i="33"/>
  <c r="AZ140" i="33"/>
  <c r="AZ139" i="33"/>
  <c r="AZ138" i="33"/>
  <c r="AZ137" i="33"/>
  <c r="AZ136" i="33"/>
  <c r="AZ135" i="33"/>
  <c r="AZ134" i="33"/>
  <c r="AZ133" i="33"/>
  <c r="AZ132" i="33"/>
  <c r="AZ131" i="33"/>
  <c r="AZ130" i="33"/>
  <c r="AZ129" i="33"/>
  <c r="AZ128" i="33"/>
  <c r="AZ127" i="33"/>
  <c r="AZ126" i="33"/>
  <c r="AZ125" i="33"/>
  <c r="AZ124" i="33"/>
  <c r="AZ123" i="33"/>
  <c r="AZ122" i="33"/>
  <c r="AZ121" i="33"/>
  <c r="AZ120" i="33"/>
  <c r="AZ119" i="33"/>
  <c r="AZ118" i="33"/>
  <c r="AZ117" i="33"/>
  <c r="AZ116" i="33"/>
  <c r="AZ115" i="33"/>
  <c r="AZ114" i="33"/>
  <c r="AZ113" i="33"/>
  <c r="BA112" i="33"/>
  <c r="AZ112" i="33"/>
  <c r="AZ141" i="8"/>
  <c r="AZ140" i="8"/>
  <c r="AZ139" i="8"/>
  <c r="AZ138" i="8"/>
  <c r="AZ137" i="8"/>
  <c r="AZ136" i="8"/>
  <c r="AZ135" i="8"/>
  <c r="AZ134" i="8"/>
  <c r="AZ133" i="8"/>
  <c r="AZ132" i="8"/>
  <c r="AZ131" i="8"/>
  <c r="AZ130" i="8"/>
  <c r="AZ129" i="8"/>
  <c r="AZ128" i="8"/>
  <c r="AZ127" i="8"/>
  <c r="AZ126" i="8"/>
  <c r="AZ125" i="8"/>
  <c r="AZ124" i="8"/>
  <c r="AZ123" i="8"/>
  <c r="AZ122" i="8"/>
  <c r="AZ121" i="8"/>
  <c r="AZ120" i="8"/>
  <c r="AZ119" i="8"/>
  <c r="AZ118" i="8"/>
  <c r="AZ117" i="8"/>
  <c r="AZ116" i="8"/>
  <c r="AZ115" i="8"/>
  <c r="AZ114" i="8"/>
  <c r="AZ113" i="8"/>
  <c r="BA112" i="8"/>
  <c r="AZ112" i="8"/>
  <c r="AZ106" i="33"/>
  <c r="AZ105" i="33"/>
  <c r="AZ104" i="33"/>
  <c r="AZ103" i="33"/>
  <c r="AZ102" i="33"/>
  <c r="AZ101" i="33"/>
  <c r="AZ100" i="33"/>
  <c r="AZ99" i="33"/>
  <c r="AZ98" i="33"/>
  <c r="AZ97" i="33"/>
  <c r="AZ96" i="33"/>
  <c r="AZ95" i="33"/>
  <c r="AZ94" i="33"/>
  <c r="AZ93" i="33"/>
  <c r="AZ92" i="33"/>
  <c r="AZ91" i="33"/>
  <c r="AZ90" i="33"/>
  <c r="AZ89" i="33"/>
  <c r="AZ88" i="33"/>
  <c r="AZ87" i="33"/>
  <c r="AZ86" i="33"/>
  <c r="AZ85" i="33"/>
  <c r="AZ84" i="33"/>
  <c r="AZ83" i="33"/>
  <c r="AZ82" i="33"/>
  <c r="AZ81" i="33"/>
  <c r="AZ80" i="33"/>
  <c r="AZ79" i="33"/>
  <c r="AZ78" i="33"/>
  <c r="BA77" i="33"/>
  <c r="AZ77" i="33"/>
  <c r="AZ106" i="8"/>
  <c r="AZ105" i="8"/>
  <c r="AZ104" i="8"/>
  <c r="AZ103" i="8"/>
  <c r="AZ102" i="8"/>
  <c r="AZ101" i="8"/>
  <c r="AZ100" i="8"/>
  <c r="AZ99" i="8"/>
  <c r="AZ98" i="8"/>
  <c r="AZ97" i="8"/>
  <c r="AZ96" i="8"/>
  <c r="AZ95" i="8"/>
  <c r="AZ94" i="8"/>
  <c r="AZ93" i="8"/>
  <c r="AZ92" i="8"/>
  <c r="AZ91" i="8"/>
  <c r="AZ90" i="8"/>
  <c r="AZ89" i="8"/>
  <c r="AZ88" i="8"/>
  <c r="AZ87" i="8"/>
  <c r="AZ86" i="8"/>
  <c r="AZ85" i="8"/>
  <c r="AZ84" i="8"/>
  <c r="AZ83" i="8"/>
  <c r="AZ82" i="8"/>
  <c r="AZ81" i="8"/>
  <c r="AZ80" i="8"/>
  <c r="AZ79" i="8"/>
  <c r="AZ78" i="8"/>
  <c r="BA77" i="8"/>
  <c r="AZ77" i="8"/>
  <c r="AZ71" i="33"/>
  <c r="AZ70" i="33"/>
  <c r="AZ69" i="33"/>
  <c r="AZ68" i="33"/>
  <c r="AZ67" i="33"/>
  <c r="AZ66" i="33"/>
  <c r="AZ65" i="33"/>
  <c r="AZ64" i="33"/>
  <c r="AZ63" i="33"/>
  <c r="AZ62" i="33"/>
  <c r="AZ61" i="33"/>
  <c r="AZ60" i="33"/>
  <c r="AZ59" i="33"/>
  <c r="AZ58" i="33"/>
  <c r="AZ57" i="33"/>
  <c r="AZ56" i="33"/>
  <c r="AZ55" i="33"/>
  <c r="AZ54" i="33"/>
  <c r="AZ53" i="33"/>
  <c r="AZ52" i="33"/>
  <c r="AZ51" i="33"/>
  <c r="AZ50" i="33"/>
  <c r="AZ49" i="33"/>
  <c r="AZ48" i="33"/>
  <c r="AZ47" i="33"/>
  <c r="AZ46" i="33"/>
  <c r="AZ45" i="33"/>
  <c r="AZ44" i="33"/>
  <c r="AZ43" i="33"/>
  <c r="BA42" i="33"/>
  <c r="AZ42" i="33"/>
  <c r="AZ71" i="8"/>
  <c r="AZ70" i="8"/>
  <c r="AZ69" i="8"/>
  <c r="AZ68" i="8"/>
  <c r="AZ67" i="8"/>
  <c r="AZ66" i="8"/>
  <c r="AZ65" i="8"/>
  <c r="AZ64" i="8"/>
  <c r="AZ63" i="8"/>
  <c r="AZ62" i="8"/>
  <c r="AZ61" i="8"/>
  <c r="AZ60" i="8"/>
  <c r="AZ59" i="8"/>
  <c r="AZ58" i="8"/>
  <c r="AZ57" i="8"/>
  <c r="AZ56" i="8"/>
  <c r="AZ55" i="8"/>
  <c r="AZ54" i="8"/>
  <c r="AZ53" i="8"/>
  <c r="AZ52" i="8"/>
  <c r="AZ51" i="8"/>
  <c r="AZ50" i="8"/>
  <c r="AZ49" i="8"/>
  <c r="AZ48" i="8"/>
  <c r="AZ47" i="8"/>
  <c r="AZ46" i="8"/>
  <c r="AZ45" i="8"/>
  <c r="AZ44" i="8"/>
  <c r="AZ43" i="8"/>
  <c r="BA42" i="8"/>
  <c r="AZ42" i="8"/>
  <c r="F9" i="6" l="1"/>
  <c r="F7" i="6"/>
  <c r="X7" i="6" l="1"/>
  <c r="R7" i="6"/>
  <c r="L7" i="6"/>
  <c r="AH7" i="6"/>
  <c r="AB7" i="6"/>
  <c r="AJ7" i="6"/>
  <c r="V7" i="6"/>
  <c r="J7" i="6"/>
  <c r="AF7" i="6"/>
  <c r="P7" i="6"/>
  <c r="Z7" i="6"/>
  <c r="AD7" i="6"/>
  <c r="T7" i="6"/>
  <c r="N7" i="6"/>
  <c r="AH9" i="6"/>
  <c r="AB9" i="6"/>
  <c r="X9" i="6"/>
  <c r="R9" i="6"/>
  <c r="L9" i="6"/>
  <c r="AJ9" i="6"/>
  <c r="V9" i="6"/>
  <c r="J9" i="6"/>
  <c r="AF9" i="6"/>
  <c r="P9" i="6"/>
  <c r="Z9" i="6"/>
  <c r="T9" i="6"/>
  <c r="AD9" i="6"/>
  <c r="N9" i="6"/>
  <c r="AL9" i="6"/>
  <c r="AL7" i="6"/>
  <c r="F10" i="6"/>
  <c r="F8" i="6"/>
  <c r="AJ8" i="6" l="1"/>
  <c r="V8" i="6"/>
  <c r="P8" i="6"/>
  <c r="J8" i="6"/>
  <c r="AF8" i="6"/>
  <c r="Z8" i="6"/>
  <c r="AB8" i="6"/>
  <c r="R8" i="6"/>
  <c r="AH8" i="6"/>
  <c r="X8" i="6"/>
  <c r="N8" i="6"/>
  <c r="AD8" i="6"/>
  <c r="T8" i="6"/>
  <c r="L8" i="6"/>
  <c r="AF10" i="6"/>
  <c r="Z10" i="6"/>
  <c r="AJ10" i="6"/>
  <c r="V10" i="6"/>
  <c r="P10" i="6"/>
  <c r="J10" i="6"/>
  <c r="AB10" i="6"/>
  <c r="R10" i="6"/>
  <c r="AH10" i="6"/>
  <c r="X10" i="6"/>
  <c r="N10" i="6"/>
  <c r="AD10" i="6"/>
  <c r="T10" i="6"/>
  <c r="L10" i="6"/>
  <c r="AL10" i="6"/>
  <c r="AL8" i="6"/>
  <c r="F10" i="7" l="1"/>
  <c r="F9" i="7"/>
  <c r="F8" i="7"/>
  <c r="F7" i="7"/>
  <c r="AL7" i="7" l="1"/>
  <c r="AD7" i="7"/>
  <c r="X7" i="7"/>
  <c r="R7" i="7"/>
  <c r="L7" i="7"/>
  <c r="AH7" i="7"/>
  <c r="N7" i="7"/>
  <c r="AJ7" i="7"/>
  <c r="V7" i="7"/>
  <c r="P7" i="7"/>
  <c r="J7" i="7"/>
  <c r="AB7" i="7"/>
  <c r="AF7" i="7"/>
  <c r="Z7" i="7"/>
  <c r="T7" i="7"/>
  <c r="AL8" i="7"/>
  <c r="AJ8" i="7"/>
  <c r="AB8" i="7"/>
  <c r="T8" i="7"/>
  <c r="N8" i="7"/>
  <c r="AH8" i="7"/>
  <c r="Z8" i="7"/>
  <c r="AF8" i="7"/>
  <c r="R8" i="7"/>
  <c r="V8" i="7"/>
  <c r="P8" i="7"/>
  <c r="J8" i="7"/>
  <c r="X8" i="7"/>
  <c r="L8" i="7"/>
  <c r="AD8" i="7"/>
  <c r="AH9" i="7"/>
  <c r="AB9" i="7"/>
  <c r="AF9" i="7"/>
  <c r="X9" i="7"/>
  <c r="P9" i="7"/>
  <c r="V9" i="7"/>
  <c r="AJ9" i="7"/>
  <c r="Z9" i="7"/>
  <c r="R9" i="7"/>
  <c r="J9" i="7"/>
  <c r="AL9" i="7"/>
  <c r="L9" i="7"/>
  <c r="AD9" i="7"/>
  <c r="N9" i="7"/>
  <c r="T9" i="7"/>
  <c r="AF10" i="7"/>
  <c r="Z10" i="7"/>
  <c r="AL10" i="7"/>
  <c r="X10" i="7"/>
  <c r="R10" i="7"/>
  <c r="L10" i="7"/>
  <c r="AH10" i="7"/>
  <c r="T10" i="7"/>
  <c r="J10" i="7"/>
  <c r="P10" i="7"/>
  <c r="AJ10" i="7"/>
  <c r="V10" i="7"/>
  <c r="AB10" i="7"/>
  <c r="N10" i="7"/>
  <c r="AD10" i="7"/>
  <c r="K132" i="36"/>
  <c r="M132" i="36" s="1"/>
  <c r="J132" i="36"/>
  <c r="I132" i="36"/>
  <c r="K131" i="36"/>
  <c r="M131" i="36" s="1"/>
  <c r="J131" i="36"/>
  <c r="I131" i="36"/>
  <c r="K130" i="36"/>
  <c r="M130" i="36" s="1"/>
  <c r="J130" i="36"/>
  <c r="I130" i="36"/>
  <c r="K129" i="36"/>
  <c r="M129" i="36" s="1"/>
  <c r="J129" i="36"/>
  <c r="I129" i="36"/>
  <c r="K128" i="36"/>
  <c r="M142" i="36" s="1"/>
  <c r="J128" i="36"/>
  <c r="I128" i="36"/>
  <c r="H128" i="36"/>
  <c r="M111" i="36"/>
  <c r="M110" i="36"/>
  <c r="M109" i="36"/>
  <c r="M108" i="36"/>
  <c r="M107" i="36"/>
  <c r="H107" i="36"/>
  <c r="K137" i="35"/>
  <c r="M137" i="35" s="1"/>
  <c r="J137" i="35"/>
  <c r="I137" i="35"/>
  <c r="K136" i="35"/>
  <c r="M136" i="35" s="1"/>
  <c r="J136" i="35"/>
  <c r="I136" i="35"/>
  <c r="K135" i="35"/>
  <c r="M135" i="35" s="1"/>
  <c r="J135" i="35"/>
  <c r="I135" i="35"/>
  <c r="K134" i="35"/>
  <c r="M134" i="35" s="1"/>
  <c r="J134" i="35"/>
  <c r="I134" i="35"/>
  <c r="K133" i="35"/>
  <c r="M133" i="35" s="1"/>
  <c r="J133" i="35"/>
  <c r="I133" i="35"/>
  <c r="K132" i="35"/>
  <c r="M132" i="35" s="1"/>
  <c r="J132" i="35"/>
  <c r="I132" i="35"/>
  <c r="K131" i="35"/>
  <c r="M131" i="35" s="1"/>
  <c r="J131" i="35"/>
  <c r="I131" i="35"/>
  <c r="K130" i="35"/>
  <c r="M130" i="35" s="1"/>
  <c r="J130" i="35"/>
  <c r="I130" i="35"/>
  <c r="K129" i="35"/>
  <c r="M129" i="35" s="1"/>
  <c r="J129" i="35"/>
  <c r="I129" i="35"/>
  <c r="K128" i="35"/>
  <c r="M142" i="35" s="1"/>
  <c r="J128" i="35"/>
  <c r="I128" i="35"/>
  <c r="H128" i="35"/>
  <c r="M115" i="35"/>
  <c r="M114" i="35"/>
  <c r="M113" i="35"/>
  <c r="M112" i="35"/>
  <c r="M111" i="35"/>
  <c r="M110" i="35"/>
  <c r="M109" i="35"/>
  <c r="M108" i="35"/>
  <c r="M107" i="35"/>
  <c r="H107" i="35"/>
  <c r="K135" i="34"/>
  <c r="M135" i="34" s="1"/>
  <c r="J135" i="34"/>
  <c r="I135" i="34"/>
  <c r="K134" i="34"/>
  <c r="M134" i="34" s="1"/>
  <c r="J134" i="34"/>
  <c r="I134" i="34"/>
  <c r="K133" i="34"/>
  <c r="M133" i="34" s="1"/>
  <c r="J133" i="34"/>
  <c r="I133" i="34"/>
  <c r="K132" i="34"/>
  <c r="M132" i="34" s="1"/>
  <c r="J132" i="34"/>
  <c r="I132" i="34"/>
  <c r="K131" i="34"/>
  <c r="M131" i="34" s="1"/>
  <c r="J131" i="34"/>
  <c r="I131" i="34"/>
  <c r="K130" i="34"/>
  <c r="M130" i="34" s="1"/>
  <c r="J130" i="34"/>
  <c r="I130" i="34"/>
  <c r="K129" i="34"/>
  <c r="M129" i="34" s="1"/>
  <c r="J129" i="34"/>
  <c r="I129" i="34"/>
  <c r="K128" i="34"/>
  <c r="J128" i="34"/>
  <c r="I128" i="34"/>
  <c r="H128" i="34"/>
  <c r="M116" i="34"/>
  <c r="M115" i="34"/>
  <c r="M114" i="34"/>
  <c r="M113" i="34"/>
  <c r="M112" i="34"/>
  <c r="M111" i="34"/>
  <c r="M110" i="34"/>
  <c r="M109" i="34"/>
  <c r="M108" i="34"/>
  <c r="M107" i="34"/>
  <c r="L107" i="34"/>
  <c r="H107" i="34"/>
  <c r="BB21" i="34"/>
  <c r="BB20" i="34"/>
  <c r="BB19" i="34"/>
  <c r="BB18" i="34"/>
  <c r="BB17" i="34"/>
  <c r="BB16" i="34"/>
  <c r="BB15" i="34"/>
  <c r="BB14" i="34"/>
  <c r="BB13" i="34"/>
  <c r="BB12" i="34"/>
  <c r="BB11" i="34"/>
  <c r="BB10" i="34"/>
  <c r="BB9" i="34"/>
  <c r="BB8" i="34"/>
  <c r="BB7" i="34"/>
  <c r="K241" i="33"/>
  <c r="M241" i="33" s="1"/>
  <c r="J241" i="33"/>
  <c r="I241" i="33"/>
  <c r="K240" i="33"/>
  <c r="M240" i="33" s="1"/>
  <c r="J240" i="33"/>
  <c r="I240" i="33"/>
  <c r="K239" i="33"/>
  <c r="M239" i="33" s="1"/>
  <c r="J239" i="33"/>
  <c r="I239" i="33"/>
  <c r="K238" i="33"/>
  <c r="M238" i="33" s="1"/>
  <c r="J238" i="33"/>
  <c r="I238" i="33"/>
  <c r="K237" i="33"/>
  <c r="M237" i="33" s="1"/>
  <c r="J237" i="33"/>
  <c r="I237" i="33"/>
  <c r="K236" i="33"/>
  <c r="M236" i="33" s="1"/>
  <c r="J236" i="33"/>
  <c r="I236" i="33"/>
  <c r="K235" i="33"/>
  <c r="M235" i="33" s="1"/>
  <c r="J235" i="33"/>
  <c r="I235" i="33"/>
  <c r="K234" i="33"/>
  <c r="M234" i="33" s="1"/>
  <c r="J234" i="33"/>
  <c r="I234" i="33"/>
  <c r="K233" i="33"/>
  <c r="M233" i="33" s="1"/>
  <c r="J233" i="33"/>
  <c r="I233" i="33"/>
  <c r="K232" i="33"/>
  <c r="M232" i="33" s="1"/>
  <c r="J232" i="33"/>
  <c r="I232" i="33"/>
  <c r="K231" i="33"/>
  <c r="M231" i="33" s="1"/>
  <c r="J231" i="33"/>
  <c r="I231" i="33"/>
  <c r="K230" i="33"/>
  <c r="M230" i="33" s="1"/>
  <c r="J230" i="33"/>
  <c r="I230" i="33"/>
  <c r="K229" i="33"/>
  <c r="M229" i="33" s="1"/>
  <c r="J229" i="33"/>
  <c r="I229" i="33"/>
  <c r="K228" i="33"/>
  <c r="M228" i="33" s="1"/>
  <c r="J228" i="33"/>
  <c r="I228" i="33"/>
  <c r="K227" i="33"/>
  <c r="M227" i="33" s="1"/>
  <c r="J227" i="33"/>
  <c r="I227" i="33"/>
  <c r="K226" i="33"/>
  <c r="M226" i="33" s="1"/>
  <c r="J226" i="33"/>
  <c r="I226" i="33"/>
  <c r="K225" i="33"/>
  <c r="M225" i="33" s="1"/>
  <c r="J225" i="33"/>
  <c r="I225" i="33"/>
  <c r="K224" i="33"/>
  <c r="M224" i="33" s="1"/>
  <c r="J224" i="33"/>
  <c r="I224" i="33"/>
  <c r="K223" i="33"/>
  <c r="M223" i="33" s="1"/>
  <c r="J223" i="33"/>
  <c r="I223" i="33"/>
  <c r="K222" i="33"/>
  <c r="M222" i="33" s="1"/>
  <c r="J222" i="33"/>
  <c r="I222" i="33"/>
  <c r="K221" i="33"/>
  <c r="M221" i="33" s="1"/>
  <c r="J221" i="33"/>
  <c r="I221" i="33"/>
  <c r="K220" i="33"/>
  <c r="M220" i="33" s="1"/>
  <c r="J220" i="33"/>
  <c r="I220" i="33"/>
  <c r="K219" i="33"/>
  <c r="M219" i="33" s="1"/>
  <c r="J219" i="33"/>
  <c r="I219" i="33"/>
  <c r="K218" i="33"/>
  <c r="J218" i="33"/>
  <c r="I218" i="33"/>
  <c r="H218" i="33"/>
  <c r="AW211" i="33"/>
  <c r="AR211" i="33"/>
  <c r="AM211" i="33"/>
  <c r="AH211" i="33"/>
  <c r="AC211" i="33"/>
  <c r="X211" i="33"/>
  <c r="S211" i="33"/>
  <c r="AW210" i="33"/>
  <c r="AR210" i="33"/>
  <c r="AM210" i="33"/>
  <c r="AH210" i="33"/>
  <c r="AC210" i="33"/>
  <c r="X210" i="33"/>
  <c r="S210" i="33"/>
  <c r="AW209" i="33"/>
  <c r="AR209" i="33"/>
  <c r="AM209" i="33"/>
  <c r="AH209" i="33"/>
  <c r="AC209" i="33"/>
  <c r="X209" i="33"/>
  <c r="S209" i="33"/>
  <c r="AW208" i="33"/>
  <c r="AR208" i="33"/>
  <c r="AM208" i="33"/>
  <c r="AH208" i="33"/>
  <c r="AC208" i="33"/>
  <c r="X208" i="33"/>
  <c r="S208" i="33"/>
  <c r="AW207" i="33"/>
  <c r="AR207" i="33"/>
  <c r="AM207" i="33"/>
  <c r="AH207" i="33"/>
  <c r="AC207" i="33"/>
  <c r="X207" i="33"/>
  <c r="S207" i="33"/>
  <c r="AW206" i="33"/>
  <c r="AR206" i="33"/>
  <c r="AM206" i="33"/>
  <c r="AH206" i="33"/>
  <c r="AC206" i="33"/>
  <c r="X206" i="33"/>
  <c r="S206" i="33"/>
  <c r="AW205" i="33"/>
  <c r="AR205" i="33"/>
  <c r="AM205" i="33"/>
  <c r="AH205" i="33"/>
  <c r="AC205" i="33"/>
  <c r="X205" i="33"/>
  <c r="S205" i="33"/>
  <c r="M205" i="33"/>
  <c r="AW204" i="33"/>
  <c r="AR204" i="33"/>
  <c r="AM204" i="33"/>
  <c r="AH204" i="33"/>
  <c r="AC204" i="33"/>
  <c r="X204" i="33"/>
  <c r="S204" i="33"/>
  <c r="M204" i="33"/>
  <c r="AW203" i="33"/>
  <c r="AR203" i="33"/>
  <c r="AM203" i="33"/>
  <c r="AH203" i="33"/>
  <c r="AC203" i="33"/>
  <c r="X203" i="33"/>
  <c r="S203" i="33"/>
  <c r="M203" i="33"/>
  <c r="AW202" i="33"/>
  <c r="AR202" i="33"/>
  <c r="AM202" i="33"/>
  <c r="AH202" i="33"/>
  <c r="AC202" i="33"/>
  <c r="X202" i="33"/>
  <c r="S202" i="33"/>
  <c r="M202" i="33"/>
  <c r="AW201" i="33"/>
  <c r="AR201" i="33"/>
  <c r="AM201" i="33"/>
  <c r="AH201" i="33"/>
  <c r="AC201" i="33"/>
  <c r="X201" i="33"/>
  <c r="S201" i="33"/>
  <c r="M201" i="33"/>
  <c r="AW200" i="33"/>
  <c r="AR200" i="33"/>
  <c r="AM200" i="33"/>
  <c r="AH200" i="33"/>
  <c r="AC200" i="33"/>
  <c r="X200" i="33"/>
  <c r="S200" i="33"/>
  <c r="M200" i="33"/>
  <c r="AW199" i="33"/>
  <c r="AR199" i="33"/>
  <c r="AM199" i="33"/>
  <c r="AH199" i="33"/>
  <c r="AC199" i="33"/>
  <c r="X199" i="33"/>
  <c r="S199" i="33"/>
  <c r="M199" i="33"/>
  <c r="AW198" i="33"/>
  <c r="AR198" i="33"/>
  <c r="AM198" i="33"/>
  <c r="AH198" i="33"/>
  <c r="AC198" i="33"/>
  <c r="X198" i="33"/>
  <c r="S198" i="33"/>
  <c r="M198" i="33"/>
  <c r="AW197" i="33"/>
  <c r="AR197" i="33"/>
  <c r="AM197" i="33"/>
  <c r="AH197" i="33"/>
  <c r="AC197" i="33"/>
  <c r="X197" i="33"/>
  <c r="S197" i="33"/>
  <c r="M197" i="33"/>
  <c r="AW196" i="33"/>
  <c r="AR196" i="33"/>
  <c r="AM196" i="33"/>
  <c r="AH196" i="33"/>
  <c r="AC196" i="33"/>
  <c r="X196" i="33"/>
  <c r="S196" i="33"/>
  <c r="M196" i="33"/>
  <c r="AW195" i="33"/>
  <c r="AR195" i="33"/>
  <c r="AM195" i="33"/>
  <c r="AH195" i="33"/>
  <c r="AC195" i="33"/>
  <c r="X195" i="33"/>
  <c r="S195" i="33"/>
  <c r="M195" i="33"/>
  <c r="AW194" i="33"/>
  <c r="AR194" i="33"/>
  <c r="AM194" i="33"/>
  <c r="AH194" i="33"/>
  <c r="AC194" i="33"/>
  <c r="X194" i="33"/>
  <c r="S194" i="33"/>
  <c r="M194" i="33"/>
  <c r="AW193" i="33"/>
  <c r="AR193" i="33"/>
  <c r="AM193" i="33"/>
  <c r="AH193" i="33"/>
  <c r="AC193" i="33"/>
  <c r="X193" i="33"/>
  <c r="S193" i="33"/>
  <c r="M193" i="33"/>
  <c r="AW192" i="33"/>
  <c r="AR192" i="33"/>
  <c r="AM192" i="33"/>
  <c r="AH192" i="33"/>
  <c r="AC192" i="33"/>
  <c r="X192" i="33"/>
  <c r="S192" i="33"/>
  <c r="M192" i="33"/>
  <c r="AW191" i="33"/>
  <c r="AR191" i="33"/>
  <c r="AM191" i="33"/>
  <c r="AH191" i="33"/>
  <c r="AC191" i="33"/>
  <c r="X191" i="33"/>
  <c r="S191" i="33"/>
  <c r="M191" i="33"/>
  <c r="AW190" i="33"/>
  <c r="AR190" i="33"/>
  <c r="AM190" i="33"/>
  <c r="AH190" i="33"/>
  <c r="AC190" i="33"/>
  <c r="X190" i="33"/>
  <c r="S190" i="33"/>
  <c r="M190" i="33"/>
  <c r="AW189" i="33"/>
  <c r="AR189" i="33"/>
  <c r="AM189" i="33"/>
  <c r="AH189" i="33"/>
  <c r="AC189" i="33"/>
  <c r="X189" i="33"/>
  <c r="S189" i="33"/>
  <c r="M189" i="33"/>
  <c r="AW188" i="33"/>
  <c r="AR188" i="33"/>
  <c r="AM188" i="33"/>
  <c r="AH188" i="33"/>
  <c r="AC188" i="33"/>
  <c r="X188" i="33"/>
  <c r="S188" i="33"/>
  <c r="M188" i="33"/>
  <c r="AW187" i="33"/>
  <c r="AR187" i="33"/>
  <c r="AM187" i="33"/>
  <c r="AH187" i="33"/>
  <c r="AC187" i="33"/>
  <c r="X187" i="33"/>
  <c r="S187" i="33"/>
  <c r="M187" i="33"/>
  <c r="AW186" i="33"/>
  <c r="AR186" i="33"/>
  <c r="AM186" i="33"/>
  <c r="AH186" i="33"/>
  <c r="AC186" i="33"/>
  <c r="X186" i="33"/>
  <c r="S186" i="33"/>
  <c r="M186" i="33"/>
  <c r="AW185" i="33"/>
  <c r="AR185" i="33"/>
  <c r="AM185" i="33"/>
  <c r="AH185" i="33"/>
  <c r="AC185" i="33"/>
  <c r="X185" i="33"/>
  <c r="S185" i="33"/>
  <c r="M185" i="33"/>
  <c r="AW184" i="33"/>
  <c r="AR184" i="33"/>
  <c r="AM184" i="33"/>
  <c r="AH184" i="33"/>
  <c r="AC184" i="33"/>
  <c r="X184" i="33"/>
  <c r="S184" i="33"/>
  <c r="M184" i="33"/>
  <c r="AW183" i="33"/>
  <c r="AR183" i="33"/>
  <c r="AM183" i="33"/>
  <c r="AH183" i="33"/>
  <c r="AC183" i="33"/>
  <c r="X183" i="33"/>
  <c r="S183" i="33"/>
  <c r="M183" i="33"/>
  <c r="AX182" i="33"/>
  <c r="AW182" i="33"/>
  <c r="AS182" i="33"/>
  <c r="AR182" i="33"/>
  <c r="AN182" i="33"/>
  <c r="AM182" i="33"/>
  <c r="AI182" i="33"/>
  <c r="AH182" i="33"/>
  <c r="AD182" i="33"/>
  <c r="AC182" i="33"/>
  <c r="Y182" i="33"/>
  <c r="X182" i="33"/>
  <c r="T182" i="33"/>
  <c r="S182" i="33"/>
  <c r="M182" i="33"/>
  <c r="L182" i="33"/>
  <c r="H182" i="33"/>
  <c r="BB36" i="33"/>
  <c r="BB35" i="33"/>
  <c r="BB34" i="33"/>
  <c r="BB33" i="33"/>
  <c r="BB32" i="33"/>
  <c r="BB31" i="33"/>
  <c r="BB30" i="33"/>
  <c r="BB29" i="33"/>
  <c r="BB28" i="33"/>
  <c r="BB27" i="33"/>
  <c r="BB26" i="33"/>
  <c r="BB25" i="33"/>
  <c r="BB24" i="33"/>
  <c r="BB23" i="33"/>
  <c r="BB22" i="33"/>
  <c r="BB21" i="33"/>
  <c r="BB20" i="33"/>
  <c r="BB19" i="33"/>
  <c r="BB18" i="33"/>
  <c r="BB17" i="33"/>
  <c r="BB16" i="33"/>
  <c r="BB15" i="33"/>
  <c r="BB14" i="33"/>
  <c r="BB13" i="33"/>
  <c r="BB12" i="33"/>
  <c r="BB11" i="33"/>
  <c r="BB10" i="33"/>
  <c r="BB9" i="33"/>
  <c r="BB8" i="33"/>
  <c r="BB7" i="33"/>
  <c r="K128" i="31"/>
  <c r="M142" i="31" s="1"/>
  <c r="J128" i="31"/>
  <c r="I128" i="31"/>
  <c r="H128" i="31"/>
  <c r="M108" i="31"/>
  <c r="M107" i="31"/>
  <c r="L107" i="31"/>
  <c r="H107" i="31"/>
  <c r="BB21" i="31"/>
  <c r="BB20" i="31"/>
  <c r="BB19" i="31"/>
  <c r="BB18" i="31"/>
  <c r="BB17" i="31"/>
  <c r="BB16" i="31"/>
  <c r="BB15" i="31"/>
  <c r="BB14" i="31"/>
  <c r="BB13" i="31"/>
  <c r="BB12" i="31"/>
  <c r="BB11" i="31"/>
  <c r="BB10" i="31"/>
  <c r="BB9" i="31"/>
  <c r="BB8" i="31"/>
  <c r="BB7" i="31"/>
  <c r="K138" i="32"/>
  <c r="M138" i="32" s="1"/>
  <c r="J138" i="32"/>
  <c r="I138" i="32"/>
  <c r="K137" i="32"/>
  <c r="M137" i="32" s="1"/>
  <c r="J137" i="32"/>
  <c r="I137" i="32"/>
  <c r="K136" i="32"/>
  <c r="M136" i="32" s="1"/>
  <c r="J136" i="32"/>
  <c r="I136" i="32"/>
  <c r="K135" i="32"/>
  <c r="M135" i="32" s="1"/>
  <c r="J135" i="32"/>
  <c r="I135" i="32"/>
  <c r="K134" i="32"/>
  <c r="M134" i="32" s="1"/>
  <c r="J134" i="32"/>
  <c r="I134" i="32"/>
  <c r="K133" i="32"/>
  <c r="M133" i="32" s="1"/>
  <c r="J133" i="32"/>
  <c r="I133" i="32"/>
  <c r="K132" i="32"/>
  <c r="M132" i="32" s="1"/>
  <c r="J132" i="32"/>
  <c r="I132" i="32"/>
  <c r="K131" i="32"/>
  <c r="M131" i="32" s="1"/>
  <c r="J131" i="32"/>
  <c r="I131" i="32"/>
  <c r="K130" i="32"/>
  <c r="M130" i="32" s="1"/>
  <c r="J130" i="32"/>
  <c r="I130" i="32"/>
  <c r="K129" i="32"/>
  <c r="M129" i="32" s="1"/>
  <c r="J129" i="32"/>
  <c r="I129" i="32"/>
  <c r="K128" i="32"/>
  <c r="M142" i="32" s="1"/>
  <c r="J128" i="32"/>
  <c r="I128" i="32"/>
  <c r="H128" i="32"/>
  <c r="M117" i="32"/>
  <c r="M116" i="32"/>
  <c r="M115" i="32"/>
  <c r="M114" i="32"/>
  <c r="M113" i="32"/>
  <c r="M112" i="32"/>
  <c r="M111" i="32"/>
  <c r="M110" i="32"/>
  <c r="M109" i="32"/>
  <c r="M108" i="32"/>
  <c r="M107" i="32"/>
  <c r="L107" i="32"/>
  <c r="H107" i="32"/>
  <c r="BB21" i="32"/>
  <c r="BB20" i="32"/>
  <c r="BB19" i="32"/>
  <c r="BB18" i="32"/>
  <c r="BB17" i="32"/>
  <c r="BB16" i="32"/>
  <c r="BB15" i="32"/>
  <c r="BB14" i="32"/>
  <c r="BB13" i="32"/>
  <c r="BB12" i="32"/>
  <c r="BB11" i="32"/>
  <c r="BB10" i="32"/>
  <c r="BB9" i="32"/>
  <c r="BB8" i="32"/>
  <c r="BB7" i="32"/>
  <c r="K134" i="30"/>
  <c r="M134" i="30" s="1"/>
  <c r="J134" i="30"/>
  <c r="I134" i="30"/>
  <c r="K133" i="30"/>
  <c r="M133" i="30" s="1"/>
  <c r="J133" i="30"/>
  <c r="I133" i="30"/>
  <c r="K132" i="30"/>
  <c r="M132" i="30" s="1"/>
  <c r="J132" i="30"/>
  <c r="I132" i="30"/>
  <c r="K131" i="30"/>
  <c r="M131" i="30" s="1"/>
  <c r="J131" i="30"/>
  <c r="I131" i="30"/>
  <c r="K130" i="30"/>
  <c r="M130" i="30" s="1"/>
  <c r="J130" i="30"/>
  <c r="I130" i="30"/>
  <c r="K129" i="30"/>
  <c r="M129" i="30" s="1"/>
  <c r="J129" i="30"/>
  <c r="I129" i="30"/>
  <c r="K128" i="30"/>
  <c r="M142" i="30" s="1"/>
  <c r="J128" i="30"/>
  <c r="I128" i="30"/>
  <c r="H128" i="30"/>
  <c r="M121" i="30"/>
  <c r="M120" i="30"/>
  <c r="M119" i="30"/>
  <c r="M118" i="30"/>
  <c r="M117" i="30"/>
  <c r="M116" i="30"/>
  <c r="M115" i="30"/>
  <c r="M114" i="30"/>
  <c r="M113" i="30"/>
  <c r="M112" i="30"/>
  <c r="M111" i="30"/>
  <c r="M110" i="30"/>
  <c r="M109" i="30"/>
  <c r="M108" i="30"/>
  <c r="M107" i="30"/>
  <c r="L107" i="30"/>
  <c r="H107" i="30"/>
  <c r="BB21" i="30"/>
  <c r="BB20" i="30"/>
  <c r="BB19" i="30"/>
  <c r="BB18" i="30"/>
  <c r="BB17" i="30"/>
  <c r="BB16" i="30"/>
  <c r="BB15" i="30"/>
  <c r="BB14" i="30"/>
  <c r="BB13" i="30"/>
  <c r="BB12" i="30"/>
  <c r="BB11" i="30"/>
  <c r="BB10" i="30"/>
  <c r="BB9" i="30"/>
  <c r="BB8" i="30"/>
  <c r="BB7" i="30"/>
  <c r="G262" i="8"/>
  <c r="G261" i="8"/>
  <c r="G260" i="8"/>
  <c r="G259" i="8"/>
  <c r="G258" i="8"/>
  <c r="G257" i="8"/>
  <c r="G255" i="8"/>
  <c r="G254" i="8"/>
  <c r="G253" i="8"/>
  <c r="G252" i="8"/>
  <c r="G251" i="8"/>
  <c r="G250" i="8"/>
  <c r="K240" i="8"/>
  <c r="M240" i="8" s="1"/>
  <c r="J240" i="8"/>
  <c r="I240" i="8"/>
  <c r="K239" i="8"/>
  <c r="M239" i="8" s="1"/>
  <c r="J239" i="8"/>
  <c r="I239" i="8"/>
  <c r="K238" i="8"/>
  <c r="M238" i="8" s="1"/>
  <c r="J238" i="8"/>
  <c r="I238" i="8"/>
  <c r="K237" i="8"/>
  <c r="M237" i="8" s="1"/>
  <c r="J237" i="8"/>
  <c r="I237" i="8"/>
  <c r="K236" i="8"/>
  <c r="M236" i="8" s="1"/>
  <c r="J236" i="8"/>
  <c r="I236" i="8"/>
  <c r="K235" i="8"/>
  <c r="M235" i="8" s="1"/>
  <c r="J235" i="8"/>
  <c r="I235" i="8"/>
  <c r="K234" i="8"/>
  <c r="M234" i="8" s="1"/>
  <c r="J234" i="8"/>
  <c r="I234" i="8"/>
  <c r="K233" i="8"/>
  <c r="M233" i="8" s="1"/>
  <c r="J233" i="8"/>
  <c r="I233" i="8"/>
  <c r="K232" i="8"/>
  <c r="M232" i="8" s="1"/>
  <c r="J232" i="8"/>
  <c r="I232" i="8"/>
  <c r="K231" i="8"/>
  <c r="M231" i="8" s="1"/>
  <c r="J231" i="8"/>
  <c r="I231" i="8"/>
  <c r="K230" i="8"/>
  <c r="M230" i="8" s="1"/>
  <c r="J230" i="8"/>
  <c r="I230" i="8"/>
  <c r="K229" i="8"/>
  <c r="M229" i="8" s="1"/>
  <c r="J229" i="8"/>
  <c r="I229" i="8"/>
  <c r="K228" i="8"/>
  <c r="M228" i="8" s="1"/>
  <c r="J228" i="8"/>
  <c r="I228" i="8"/>
  <c r="K227" i="8"/>
  <c r="M227" i="8" s="1"/>
  <c r="J227" i="8"/>
  <c r="I227" i="8"/>
  <c r="K226" i="8"/>
  <c r="M226" i="8" s="1"/>
  <c r="J226" i="8"/>
  <c r="I226" i="8"/>
  <c r="K225" i="8"/>
  <c r="M225" i="8" s="1"/>
  <c r="J225" i="8"/>
  <c r="I225" i="8"/>
  <c r="K224" i="8"/>
  <c r="M224" i="8" s="1"/>
  <c r="J224" i="8"/>
  <c r="I224" i="8"/>
  <c r="K223" i="8"/>
  <c r="M223" i="8" s="1"/>
  <c r="J223" i="8"/>
  <c r="I223" i="8"/>
  <c r="K222" i="8"/>
  <c r="M222" i="8" s="1"/>
  <c r="J222" i="8"/>
  <c r="I222" i="8"/>
  <c r="K221" i="8"/>
  <c r="M221" i="8" s="1"/>
  <c r="J221" i="8"/>
  <c r="I221" i="8"/>
  <c r="K220" i="8"/>
  <c r="M220" i="8" s="1"/>
  <c r="J220" i="8"/>
  <c r="I220" i="8"/>
  <c r="K219" i="8"/>
  <c r="M219" i="8" s="1"/>
  <c r="J219" i="8"/>
  <c r="I219" i="8"/>
  <c r="K218" i="8"/>
  <c r="J218" i="8"/>
  <c r="I218" i="8"/>
  <c r="H218" i="8"/>
  <c r="AW211" i="8"/>
  <c r="AR211" i="8"/>
  <c r="AM211" i="8"/>
  <c r="AH211" i="8"/>
  <c r="AC211" i="8"/>
  <c r="X211" i="8"/>
  <c r="S211" i="8"/>
  <c r="AW210" i="8"/>
  <c r="AR210" i="8"/>
  <c r="AM210" i="8"/>
  <c r="AH210" i="8"/>
  <c r="AC210" i="8"/>
  <c r="X210" i="8"/>
  <c r="S210" i="8"/>
  <c r="AW209" i="8"/>
  <c r="AR209" i="8"/>
  <c r="AM209" i="8"/>
  <c r="AH209" i="8"/>
  <c r="AC209" i="8"/>
  <c r="X209" i="8"/>
  <c r="S209" i="8"/>
  <c r="AW208" i="8"/>
  <c r="AR208" i="8"/>
  <c r="AM208" i="8"/>
  <c r="AH208" i="8"/>
  <c r="AC208" i="8"/>
  <c r="X208" i="8"/>
  <c r="AW207" i="8"/>
  <c r="AR207" i="8"/>
  <c r="AM207" i="8"/>
  <c r="AH207" i="8"/>
  <c r="AC207" i="8"/>
  <c r="X207" i="8"/>
  <c r="AW206" i="8"/>
  <c r="AR206" i="8"/>
  <c r="AM206" i="8"/>
  <c r="AH206" i="8"/>
  <c r="AC206" i="8"/>
  <c r="X206" i="8"/>
  <c r="AW205" i="8"/>
  <c r="AR205" i="8"/>
  <c r="AM205" i="8"/>
  <c r="AH205" i="8"/>
  <c r="AC205" i="8"/>
  <c r="X205" i="8"/>
  <c r="AW204" i="8"/>
  <c r="AR204" i="8"/>
  <c r="AM204" i="8"/>
  <c r="AH204" i="8"/>
  <c r="AC204" i="8"/>
  <c r="X204" i="8"/>
  <c r="AW203" i="8"/>
  <c r="AR203" i="8"/>
  <c r="AM203" i="8"/>
  <c r="AH203" i="8"/>
  <c r="AC203" i="8"/>
  <c r="X203" i="8"/>
  <c r="AW202" i="8"/>
  <c r="AR202" i="8"/>
  <c r="AM202" i="8"/>
  <c r="AH202" i="8"/>
  <c r="AC202" i="8"/>
  <c r="X202" i="8"/>
  <c r="M202" i="8"/>
  <c r="AW201" i="8"/>
  <c r="AR201" i="8"/>
  <c r="AM201" i="8"/>
  <c r="AH201" i="8"/>
  <c r="AC201" i="8"/>
  <c r="X201" i="8"/>
  <c r="M201" i="8"/>
  <c r="AW200" i="8"/>
  <c r="AR200" i="8"/>
  <c r="AM200" i="8"/>
  <c r="AH200" i="8"/>
  <c r="AC200" i="8"/>
  <c r="X200" i="8"/>
  <c r="M200" i="8"/>
  <c r="AW199" i="8"/>
  <c r="AR199" i="8"/>
  <c r="AM199" i="8"/>
  <c r="AH199" i="8"/>
  <c r="AC199" i="8"/>
  <c r="X199" i="8"/>
  <c r="M199" i="8"/>
  <c r="AW198" i="8"/>
  <c r="AR198" i="8"/>
  <c r="AM198" i="8"/>
  <c r="AH198" i="8"/>
  <c r="AC198" i="8"/>
  <c r="X198" i="8"/>
  <c r="M198" i="8"/>
  <c r="AW197" i="8"/>
  <c r="AR197" i="8"/>
  <c r="AM197" i="8"/>
  <c r="AH197" i="8"/>
  <c r="AC197" i="8"/>
  <c r="X197" i="8"/>
  <c r="M197" i="8"/>
  <c r="AW196" i="8"/>
  <c r="AR196" i="8"/>
  <c r="AM196" i="8"/>
  <c r="AH196" i="8"/>
  <c r="AC196" i="8"/>
  <c r="X196" i="8"/>
  <c r="M196" i="8"/>
  <c r="AW195" i="8"/>
  <c r="AR195" i="8"/>
  <c r="AM195" i="8"/>
  <c r="AH195" i="8"/>
  <c r="AC195" i="8"/>
  <c r="X195" i="8"/>
  <c r="M195" i="8"/>
  <c r="AW194" i="8"/>
  <c r="AR194" i="8"/>
  <c r="AM194" i="8"/>
  <c r="AH194" i="8"/>
  <c r="AC194" i="8"/>
  <c r="X194" i="8"/>
  <c r="M194" i="8"/>
  <c r="AW193" i="8"/>
  <c r="AR193" i="8"/>
  <c r="AM193" i="8"/>
  <c r="AH193" i="8"/>
  <c r="AC193" i="8"/>
  <c r="X193" i="8"/>
  <c r="M193" i="8"/>
  <c r="AW192" i="8"/>
  <c r="AR192" i="8"/>
  <c r="AM192" i="8"/>
  <c r="AH192" i="8"/>
  <c r="AC192" i="8"/>
  <c r="X192" i="8"/>
  <c r="M192" i="8"/>
  <c r="AW191" i="8"/>
  <c r="AR191" i="8"/>
  <c r="AM191" i="8"/>
  <c r="AH191" i="8"/>
  <c r="AC191" i="8"/>
  <c r="X191" i="8"/>
  <c r="M191" i="8"/>
  <c r="AW190" i="8"/>
  <c r="AR190" i="8"/>
  <c r="AM190" i="8"/>
  <c r="AH190" i="8"/>
  <c r="AC190" i="8"/>
  <c r="X190" i="8"/>
  <c r="M190" i="8"/>
  <c r="AW189" i="8"/>
  <c r="AR189" i="8"/>
  <c r="AM189" i="8"/>
  <c r="AH189" i="8"/>
  <c r="AC189" i="8"/>
  <c r="X189" i="8"/>
  <c r="M189" i="8"/>
  <c r="AW188" i="8"/>
  <c r="AR188" i="8"/>
  <c r="AM188" i="8"/>
  <c r="AH188" i="8"/>
  <c r="AC188" i="8"/>
  <c r="X188" i="8"/>
  <c r="M188" i="8"/>
  <c r="AW187" i="8"/>
  <c r="AR187" i="8"/>
  <c r="AM187" i="8"/>
  <c r="AH187" i="8"/>
  <c r="AC187" i="8"/>
  <c r="X187" i="8"/>
  <c r="M187" i="8"/>
  <c r="AW186" i="8"/>
  <c r="AR186" i="8"/>
  <c r="AM186" i="8"/>
  <c r="AH186" i="8"/>
  <c r="AC186" i="8"/>
  <c r="X186" i="8"/>
  <c r="M186" i="8"/>
  <c r="AW185" i="8"/>
  <c r="AR185" i="8"/>
  <c r="AM185" i="8"/>
  <c r="AH185" i="8"/>
  <c r="AC185" i="8"/>
  <c r="X185" i="8"/>
  <c r="M185" i="8"/>
  <c r="AW184" i="8"/>
  <c r="AR184" i="8"/>
  <c r="AM184" i="8"/>
  <c r="AH184" i="8"/>
  <c r="AC184" i="8"/>
  <c r="X184" i="8"/>
  <c r="M184" i="8"/>
  <c r="AW183" i="8"/>
  <c r="AR183" i="8"/>
  <c r="AM183" i="8"/>
  <c r="AH183" i="8"/>
  <c r="AC183" i="8"/>
  <c r="X183" i="8"/>
  <c r="M183" i="8"/>
  <c r="AX182" i="8"/>
  <c r="AW182" i="8"/>
  <c r="AS182" i="8"/>
  <c r="AR182" i="8"/>
  <c r="AN182" i="8"/>
  <c r="AM182" i="8"/>
  <c r="AI182" i="8"/>
  <c r="AH182" i="8"/>
  <c r="AD182" i="8"/>
  <c r="AC182" i="8"/>
  <c r="Y182" i="8"/>
  <c r="X182" i="8"/>
  <c r="T182" i="8"/>
  <c r="H182" i="8"/>
  <c r="BB36" i="8"/>
  <c r="BB35" i="8"/>
  <c r="BB34" i="8"/>
  <c r="BB33" i="8"/>
  <c r="BB32" i="8"/>
  <c r="BB31" i="8"/>
  <c r="BB30" i="8"/>
  <c r="BB29" i="8"/>
  <c r="BB28" i="8"/>
  <c r="BB27" i="8"/>
  <c r="BB26" i="8"/>
  <c r="BB25" i="8"/>
  <c r="BB24" i="8"/>
  <c r="BB23" i="8"/>
  <c r="BB22" i="8"/>
  <c r="BB21" i="8"/>
  <c r="BB20" i="8"/>
  <c r="BB19" i="8"/>
  <c r="BB18" i="8"/>
  <c r="BB17" i="8"/>
  <c r="BB16" i="8"/>
  <c r="BB15" i="8"/>
  <c r="BB14" i="8"/>
  <c r="BB13" i="8"/>
  <c r="BB12" i="8"/>
  <c r="BB11" i="8"/>
  <c r="BB10" i="8"/>
  <c r="BB9" i="8"/>
  <c r="BB8" i="8"/>
  <c r="BB7" i="8"/>
  <c r="M121" i="32" l="1"/>
  <c r="L107" i="36"/>
  <c r="M112" i="36"/>
  <c r="M113" i="36"/>
  <c r="M114" i="36"/>
  <c r="M115" i="36"/>
  <c r="M116" i="36"/>
  <c r="M117" i="36"/>
  <c r="M118" i="36"/>
  <c r="M119" i="36"/>
  <c r="M120" i="36"/>
  <c r="M121" i="36"/>
  <c r="L128" i="36"/>
  <c r="M135" i="36"/>
  <c r="M139" i="36"/>
  <c r="M128" i="36"/>
  <c r="M136" i="36"/>
  <c r="M140" i="36"/>
  <c r="M133" i="36"/>
  <c r="M137" i="36"/>
  <c r="M141" i="36"/>
  <c r="M134" i="36"/>
  <c r="M138" i="36"/>
  <c r="M139" i="35"/>
  <c r="L107" i="35"/>
  <c r="M116" i="35"/>
  <c r="M117" i="35"/>
  <c r="M118" i="35"/>
  <c r="M119" i="35"/>
  <c r="M120" i="35"/>
  <c r="M121" i="35"/>
  <c r="L128" i="35"/>
  <c r="M140" i="35"/>
  <c r="M128" i="35"/>
  <c r="M141" i="35"/>
  <c r="M138" i="35"/>
  <c r="AZ18" i="34"/>
  <c r="M142" i="34"/>
  <c r="M138" i="34"/>
  <c r="M141" i="34"/>
  <c r="M137" i="34"/>
  <c r="M140" i="34"/>
  <c r="M136" i="34"/>
  <c r="M139" i="34"/>
  <c r="M128" i="34"/>
  <c r="L128" i="34"/>
  <c r="AZ9" i="34"/>
  <c r="AZ7" i="34"/>
  <c r="M117" i="34"/>
  <c r="M118" i="34"/>
  <c r="M119" i="34"/>
  <c r="M120" i="34"/>
  <c r="M121" i="34"/>
  <c r="AZ10" i="34"/>
  <c r="AZ27" i="33"/>
  <c r="M247" i="33"/>
  <c r="M243" i="33"/>
  <c r="M246" i="33"/>
  <c r="M242" i="33"/>
  <c r="M245" i="33"/>
  <c r="M218" i="33"/>
  <c r="M244" i="33"/>
  <c r="M206" i="33"/>
  <c r="M207" i="33"/>
  <c r="M208" i="33"/>
  <c r="M209" i="33"/>
  <c r="M210" i="33"/>
  <c r="M211" i="33"/>
  <c r="L218" i="33"/>
  <c r="M121" i="31"/>
  <c r="AZ21" i="31"/>
  <c r="M109" i="31"/>
  <c r="M110" i="31"/>
  <c r="M111" i="31"/>
  <c r="M112" i="31"/>
  <c r="M113" i="31"/>
  <c r="M114" i="31"/>
  <c r="M115" i="31"/>
  <c r="M116" i="31"/>
  <c r="M117" i="31"/>
  <c r="M118" i="31"/>
  <c r="M119" i="31"/>
  <c r="M120" i="31"/>
  <c r="L128" i="31"/>
  <c r="M131" i="31"/>
  <c r="M135" i="31"/>
  <c r="M139" i="31"/>
  <c r="M128" i="31"/>
  <c r="M132" i="31"/>
  <c r="M136" i="31"/>
  <c r="M140" i="31"/>
  <c r="M129" i="31"/>
  <c r="M133" i="31"/>
  <c r="M137" i="31"/>
  <c r="M141" i="31"/>
  <c r="AZ9" i="31"/>
  <c r="AZ13" i="31"/>
  <c r="AZ17" i="31"/>
  <c r="M130" i="31"/>
  <c r="M134" i="31"/>
  <c r="M138" i="31"/>
  <c r="M139" i="32"/>
  <c r="AZ16" i="32"/>
  <c r="AZ21" i="32"/>
  <c r="AZ19" i="32"/>
  <c r="M140" i="32"/>
  <c r="AZ9" i="32"/>
  <c r="M118" i="32"/>
  <c r="M119" i="32"/>
  <c r="M120" i="32"/>
  <c r="L128" i="32"/>
  <c r="M141" i="32"/>
  <c r="AZ14" i="32"/>
  <c r="M128" i="32"/>
  <c r="M135" i="30"/>
  <c r="M139" i="30"/>
  <c r="M136" i="30"/>
  <c r="M140" i="30"/>
  <c r="M137" i="30"/>
  <c r="M141" i="30"/>
  <c r="L128" i="30"/>
  <c r="AZ13" i="30"/>
  <c r="M128" i="30"/>
  <c r="M138" i="30"/>
  <c r="AZ12" i="8"/>
  <c r="AZ13" i="8"/>
  <c r="AZ30" i="8"/>
  <c r="AZ20" i="8"/>
  <c r="AZ35" i="8"/>
  <c r="AZ31" i="8"/>
  <c r="AZ25" i="8"/>
  <c r="AZ17" i="8"/>
  <c r="AZ9" i="8"/>
  <c r="AZ21" i="8"/>
  <c r="AZ8" i="8"/>
  <c r="M182" i="8"/>
  <c r="M211" i="8"/>
  <c r="M210" i="8"/>
  <c r="M209" i="8"/>
  <c r="M208" i="8"/>
  <c r="M207" i="8"/>
  <c r="M206" i="8"/>
  <c r="M205" i="8"/>
  <c r="M204" i="8"/>
  <c r="M203" i="8"/>
  <c r="L182" i="8"/>
  <c r="AZ32" i="8"/>
  <c r="M247" i="8"/>
  <c r="M243" i="8"/>
  <c r="M246" i="8"/>
  <c r="M242" i="8"/>
  <c r="M245" i="8"/>
  <c r="M241" i="8"/>
  <c r="M244" i="8"/>
  <c r="M218" i="8"/>
  <c r="L218" i="8"/>
  <c r="AZ26" i="8"/>
  <c r="AZ10" i="8"/>
  <c r="AZ14" i="8"/>
  <c r="AZ18" i="8"/>
  <c r="AZ22" i="8"/>
  <c r="C1" i="34" l="1"/>
  <c r="C1" i="32"/>
  <c r="AZ18" i="32"/>
  <c r="AZ13" i="32"/>
  <c r="AZ20" i="32"/>
  <c r="AZ10" i="32"/>
  <c r="AZ12" i="32"/>
  <c r="AZ17" i="34"/>
  <c r="AZ15" i="34"/>
  <c r="AZ13" i="34"/>
  <c r="AZ12" i="34"/>
  <c r="AZ21" i="34"/>
  <c r="AZ19" i="34"/>
  <c r="AZ14" i="34"/>
  <c r="AZ11" i="34"/>
  <c r="AZ15" i="33"/>
  <c r="AZ31" i="33"/>
  <c r="AZ13" i="33"/>
  <c r="AZ35" i="33"/>
  <c r="AZ7" i="33"/>
  <c r="AZ23" i="33"/>
  <c r="AZ21" i="33"/>
  <c r="AZ19" i="33"/>
  <c r="AZ29" i="33"/>
  <c r="AZ11" i="33"/>
  <c r="AZ20" i="31"/>
  <c r="AZ18" i="31"/>
  <c r="AZ11" i="32"/>
  <c r="AZ7" i="32"/>
  <c r="AZ8" i="32"/>
  <c r="C1" i="36"/>
  <c r="C1" i="35"/>
  <c r="AZ16" i="34"/>
  <c r="AZ8" i="34"/>
  <c r="AZ20" i="34"/>
  <c r="AZ32" i="33"/>
  <c r="AZ30" i="33"/>
  <c r="AZ24" i="33"/>
  <c r="AZ22" i="33"/>
  <c r="AZ16" i="33"/>
  <c r="AZ14" i="33"/>
  <c r="AZ8" i="33"/>
  <c r="AZ33" i="33"/>
  <c r="AZ25" i="33"/>
  <c r="AZ17" i="33"/>
  <c r="AZ36" i="33"/>
  <c r="AZ34" i="33"/>
  <c r="AZ28" i="33"/>
  <c r="AZ26" i="33"/>
  <c r="AZ20" i="33"/>
  <c r="AZ18" i="33"/>
  <c r="AZ12" i="33"/>
  <c r="AZ10" i="33"/>
  <c r="C1" i="33"/>
  <c r="AZ9" i="33"/>
  <c r="AZ15" i="31"/>
  <c r="AZ19" i="31"/>
  <c r="C1" i="31"/>
  <c r="AZ16" i="31"/>
  <c r="AZ14" i="31"/>
  <c r="AZ12" i="31"/>
  <c r="AZ10" i="31"/>
  <c r="AZ8" i="31"/>
  <c r="AZ11" i="31"/>
  <c r="AZ7" i="31"/>
  <c r="AZ15" i="32"/>
  <c r="AZ17" i="32"/>
  <c r="AZ21" i="30"/>
  <c r="AZ17" i="30"/>
  <c r="AZ18" i="30"/>
  <c r="AZ14" i="30"/>
  <c r="AZ9" i="30"/>
  <c r="AZ20" i="30"/>
  <c r="AZ16" i="30"/>
  <c r="AZ12" i="30"/>
  <c r="AZ8" i="30"/>
  <c r="C1" i="30"/>
  <c r="AZ11" i="30"/>
  <c r="AZ19" i="30"/>
  <c r="AZ15" i="30"/>
  <c r="AZ10" i="30"/>
  <c r="AZ7" i="30"/>
  <c r="AZ28" i="8"/>
  <c r="AZ16" i="8"/>
  <c r="AZ7" i="8"/>
  <c r="AZ19" i="8"/>
  <c r="AZ33" i="8"/>
  <c r="AZ27" i="8"/>
  <c r="AZ15" i="8"/>
  <c r="AZ34" i="8"/>
  <c r="AZ24" i="8"/>
  <c r="AZ36" i="8"/>
  <c r="AZ23" i="8"/>
  <c r="AZ11" i="8"/>
  <c r="AZ29" i="8"/>
  <c r="C1" i="8"/>
  <c r="M109" i="37" l="1"/>
  <c r="H107" i="37"/>
  <c r="M113" i="37" l="1"/>
  <c r="M110" i="37"/>
  <c r="M114" i="37"/>
  <c r="M111" i="37"/>
  <c r="M120" i="37"/>
  <c r="M119" i="37"/>
  <c r="M112" i="37"/>
  <c r="M107" i="37"/>
  <c r="M108" i="37"/>
  <c r="M118" i="37"/>
  <c r="M117" i="37"/>
  <c r="M121" i="37"/>
  <c r="M116" i="37"/>
  <c r="M115" i="37"/>
  <c r="N9" i="5" l="1"/>
  <c r="Q9" i="5"/>
  <c r="W9" i="5"/>
  <c r="T9" i="5"/>
  <c r="H9" i="5"/>
  <c r="T9" i="3"/>
  <c r="B10" i="13" s="1"/>
  <c r="N9" i="3"/>
  <c r="B8" i="13" s="1"/>
  <c r="K9" i="3"/>
  <c r="B7" i="13" s="1"/>
  <c r="H9" i="3"/>
  <c r="B6" i="13" s="1"/>
  <c r="D6" i="13" l="1"/>
  <c r="H6" i="49"/>
  <c r="D7" i="13"/>
  <c r="H7" i="49"/>
  <c r="D10" i="13"/>
  <c r="H9" i="49"/>
  <c r="D8" i="13"/>
  <c r="H8" i="49"/>
  <c r="C1" i="37"/>
  <c r="L41" i="7" l="1"/>
  <c r="R41" i="7"/>
  <c r="X41" i="7"/>
  <c r="AL41" i="7"/>
  <c r="AF41" i="7"/>
  <c r="T41" i="7"/>
  <c r="AH41" i="7"/>
  <c r="Z41" i="7"/>
  <c r="N41" i="7"/>
  <c r="AB41" i="7"/>
  <c r="J41" i="7"/>
  <c r="V41" i="7"/>
  <c r="P41" i="7"/>
  <c r="AJ41" i="7"/>
  <c r="AD41" i="7"/>
  <c r="K135" i="37"/>
  <c r="J135" i="37"/>
  <c r="I135" i="37"/>
  <c r="K134" i="37"/>
  <c r="J134" i="37"/>
  <c r="I134" i="37"/>
  <c r="C10" i="39" l="1"/>
  <c r="H23" i="39" l="1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N8" i="49" l="1"/>
  <c r="E8" i="13" s="1"/>
  <c r="F11" i="6" l="1"/>
  <c r="I11" i="13"/>
  <c r="I10" i="13"/>
  <c r="I9" i="13"/>
  <c r="H13" i="49" s="1"/>
  <c r="I8" i="13"/>
  <c r="H12" i="49" s="1"/>
  <c r="I6" i="13"/>
  <c r="H10" i="49" s="1"/>
  <c r="AH11" i="6" l="1"/>
  <c r="AF11" i="6"/>
  <c r="X11" i="6"/>
  <c r="R11" i="6"/>
  <c r="L11" i="6"/>
  <c r="AB11" i="6"/>
  <c r="V11" i="6"/>
  <c r="J11" i="6"/>
  <c r="AJ11" i="6"/>
  <c r="P11" i="6"/>
  <c r="Z11" i="6"/>
  <c r="N11" i="6"/>
  <c r="AD11" i="6"/>
  <c r="T11" i="6"/>
  <c r="N13" i="49"/>
  <c r="K9" i="13" s="1"/>
  <c r="N12" i="49"/>
  <c r="K8" i="13" s="1"/>
  <c r="N10" i="49"/>
  <c r="K6" i="13" s="1"/>
  <c r="N9" i="49"/>
  <c r="E10" i="13" s="1"/>
  <c r="N7" i="49"/>
  <c r="E7" i="13" s="1"/>
  <c r="N6" i="49"/>
  <c r="E6" i="13" s="1"/>
  <c r="E9" i="13" s="1"/>
  <c r="AL11" i="6"/>
  <c r="F12" i="6"/>
  <c r="F13" i="6"/>
  <c r="F13" i="7"/>
  <c r="F12" i="7"/>
  <c r="F11" i="7"/>
  <c r="H128" i="37"/>
  <c r="E11" i="13" l="1"/>
  <c r="X13" i="6"/>
  <c r="R13" i="6"/>
  <c r="L13" i="6"/>
  <c r="AH13" i="6"/>
  <c r="AB13" i="6"/>
  <c r="AF13" i="6"/>
  <c r="Z13" i="6"/>
  <c r="V13" i="6"/>
  <c r="J13" i="6"/>
  <c r="AJ13" i="6"/>
  <c r="P13" i="6"/>
  <c r="AD13" i="6"/>
  <c r="T13" i="6"/>
  <c r="N13" i="6"/>
  <c r="AF12" i="6"/>
  <c r="Z12" i="6"/>
  <c r="AJ12" i="6"/>
  <c r="V12" i="6"/>
  <c r="P12" i="6"/>
  <c r="J12" i="6"/>
  <c r="AH12" i="6"/>
  <c r="X12" i="6"/>
  <c r="N12" i="6"/>
  <c r="L12" i="6"/>
  <c r="AB12" i="6"/>
  <c r="T12" i="6"/>
  <c r="AD12" i="6"/>
  <c r="R12" i="6"/>
  <c r="AJ13" i="7"/>
  <c r="V13" i="7"/>
  <c r="P13" i="7"/>
  <c r="J13" i="7"/>
  <c r="AH13" i="7"/>
  <c r="AB13" i="7"/>
  <c r="AL13" i="7"/>
  <c r="Z13" i="7"/>
  <c r="AF13" i="7"/>
  <c r="X13" i="7"/>
  <c r="L13" i="7"/>
  <c r="R13" i="7"/>
  <c r="AD13" i="7"/>
  <c r="N13" i="7"/>
  <c r="T13" i="7"/>
  <c r="AJ11" i="7"/>
  <c r="V11" i="7"/>
  <c r="P11" i="7"/>
  <c r="J11" i="7"/>
  <c r="AH11" i="7"/>
  <c r="AB11" i="7"/>
  <c r="R11" i="7"/>
  <c r="L11" i="7"/>
  <c r="AL11" i="7"/>
  <c r="Z11" i="7"/>
  <c r="X11" i="7"/>
  <c r="AD11" i="7"/>
  <c r="AF11" i="7"/>
  <c r="T11" i="7"/>
  <c r="N11" i="7"/>
  <c r="AF12" i="7"/>
  <c r="Z12" i="7"/>
  <c r="AL12" i="7"/>
  <c r="X12" i="7"/>
  <c r="R12" i="7"/>
  <c r="L12" i="7"/>
  <c r="J12" i="7"/>
  <c r="AJ12" i="7"/>
  <c r="N12" i="7"/>
  <c r="AB12" i="7"/>
  <c r="P12" i="7"/>
  <c r="AH12" i="7"/>
  <c r="T12" i="7"/>
  <c r="V12" i="7"/>
  <c r="AD12" i="7"/>
  <c r="AL12" i="6"/>
  <c r="AL13" i="6"/>
  <c r="E10" i="39" l="1"/>
  <c r="E8" i="39"/>
  <c r="E7" i="39"/>
  <c r="E6" i="39"/>
  <c r="B10" i="39"/>
  <c r="B8" i="39"/>
  <c r="B7" i="39"/>
  <c r="B6" i="39"/>
  <c r="I11" i="39"/>
  <c r="K11" i="39"/>
  <c r="I9" i="39"/>
  <c r="K9" i="39"/>
  <c r="K8" i="39"/>
  <c r="I8" i="39"/>
  <c r="K6" i="39"/>
  <c r="I6" i="39"/>
  <c r="B9" i="39" l="1"/>
  <c r="B11" i="39"/>
  <c r="Q9" i="3"/>
  <c r="B9" i="13" s="1"/>
  <c r="D9" i="13" s="1"/>
  <c r="W9" i="3"/>
  <c r="B11" i="13" s="1"/>
  <c r="D11" i="13" s="1"/>
  <c r="E11" i="39" l="1"/>
  <c r="E9" i="39"/>
  <c r="I7" i="39" l="1"/>
  <c r="L20" i="21" l="1"/>
  <c r="L19" i="21"/>
  <c r="L18" i="21"/>
  <c r="L17" i="21"/>
  <c r="L16" i="21"/>
  <c r="L13" i="21"/>
  <c r="L12" i="21"/>
  <c r="L11" i="21"/>
  <c r="L10" i="21"/>
  <c r="L9" i="21"/>
  <c r="M15" i="40"/>
  <c r="K15" i="40"/>
  <c r="I15" i="40"/>
  <c r="G15" i="40"/>
  <c r="M14" i="40"/>
  <c r="K14" i="40"/>
  <c r="I14" i="40"/>
  <c r="G14" i="40"/>
  <c r="M10" i="40"/>
  <c r="K10" i="40"/>
  <c r="I10" i="40"/>
  <c r="G10" i="40"/>
  <c r="C10" i="40"/>
  <c r="M9" i="40"/>
  <c r="K9" i="40"/>
  <c r="I9" i="40"/>
  <c r="G9" i="40"/>
  <c r="C9" i="40"/>
  <c r="J133" i="37"/>
  <c r="I133" i="37"/>
  <c r="J132" i="37"/>
  <c r="I132" i="37"/>
  <c r="K131" i="37"/>
  <c r="J131" i="37"/>
  <c r="I131" i="37"/>
  <c r="K130" i="37"/>
  <c r="J130" i="37"/>
  <c r="I130" i="37"/>
  <c r="J129" i="37"/>
  <c r="I129" i="37"/>
  <c r="J128" i="37"/>
  <c r="I128" i="37"/>
  <c r="AK46" i="6"/>
  <c r="AK47" i="6" s="1"/>
  <c r="AI46" i="6"/>
  <c r="AI47" i="6" s="1"/>
  <c r="AG46" i="6"/>
  <c r="AG47" i="6" s="1"/>
  <c r="AE46" i="6"/>
  <c r="H20" i="13" s="1"/>
  <c r="AA46" i="6"/>
  <c r="Y46" i="6"/>
  <c r="W46" i="6"/>
  <c r="W47" i="6" s="1"/>
  <c r="U46" i="6"/>
  <c r="U47" i="6" s="1"/>
  <c r="Q46" i="6"/>
  <c r="O46" i="6"/>
  <c r="K46" i="6"/>
  <c r="I46" i="6"/>
  <c r="F36" i="6"/>
  <c r="F28" i="6"/>
  <c r="F22" i="6"/>
  <c r="F21" i="6"/>
  <c r="F20" i="6"/>
  <c r="F19" i="6"/>
  <c r="F18" i="6"/>
  <c r="F17" i="6"/>
  <c r="F16" i="6"/>
  <c r="F15" i="6"/>
  <c r="F14" i="6"/>
  <c r="AK46" i="7"/>
  <c r="AK47" i="7" s="1"/>
  <c r="AI46" i="7"/>
  <c r="AI47" i="7" s="1"/>
  <c r="AG46" i="7"/>
  <c r="AG47" i="7" s="1"/>
  <c r="AE46" i="7"/>
  <c r="AE47" i="7" s="1"/>
  <c r="AA46" i="7"/>
  <c r="Y46" i="7"/>
  <c r="W46" i="7"/>
  <c r="W47" i="7" s="1"/>
  <c r="U46" i="7"/>
  <c r="U47" i="7" s="1"/>
  <c r="Q46" i="7"/>
  <c r="O46" i="7"/>
  <c r="K46" i="7"/>
  <c r="I46" i="7"/>
  <c r="AC45" i="7"/>
  <c r="S45" i="7"/>
  <c r="M45" i="7"/>
  <c r="AC44" i="7"/>
  <c r="S44" i="7"/>
  <c r="M44" i="7"/>
  <c r="AC43" i="7"/>
  <c r="S43" i="7"/>
  <c r="M43" i="7"/>
  <c r="AC42" i="7"/>
  <c r="S42" i="7"/>
  <c r="M42" i="7"/>
  <c r="F35" i="7"/>
  <c r="F34" i="7"/>
  <c r="F30" i="7"/>
  <c r="F27" i="7"/>
  <c r="F26" i="7"/>
  <c r="F23" i="7"/>
  <c r="F22" i="7"/>
  <c r="F18" i="7"/>
  <c r="F14" i="7"/>
  <c r="U40" i="3"/>
  <c r="O40" i="3"/>
  <c r="U38" i="3"/>
  <c r="O38" i="3"/>
  <c r="U37" i="3"/>
  <c r="O37" i="3"/>
  <c r="U36" i="3"/>
  <c r="O36" i="3"/>
  <c r="U35" i="3"/>
  <c r="O35" i="3"/>
  <c r="U34" i="3"/>
  <c r="O34" i="3"/>
  <c r="I20" i="39"/>
  <c r="K20" i="39" s="1"/>
  <c r="U33" i="3"/>
  <c r="O33" i="3"/>
  <c r="U32" i="3"/>
  <c r="O32" i="3"/>
  <c r="U31" i="3"/>
  <c r="O31" i="3"/>
  <c r="U30" i="3"/>
  <c r="O30" i="3"/>
  <c r="U29" i="3"/>
  <c r="O29" i="3"/>
  <c r="U28" i="3"/>
  <c r="O28" i="3"/>
  <c r="U27" i="3"/>
  <c r="O27" i="3"/>
  <c r="U26" i="3"/>
  <c r="O26" i="3"/>
  <c r="U25" i="3"/>
  <c r="O25" i="3"/>
  <c r="U24" i="3"/>
  <c r="O24" i="3"/>
  <c r="U23" i="3"/>
  <c r="O23" i="3"/>
  <c r="U22" i="3"/>
  <c r="O22" i="3"/>
  <c r="U21" i="3"/>
  <c r="O21" i="3"/>
  <c r="U20" i="3"/>
  <c r="O20" i="3"/>
  <c r="U19" i="3"/>
  <c r="O19" i="3"/>
  <c r="U18" i="3"/>
  <c r="O18" i="3"/>
  <c r="U17" i="3"/>
  <c r="O17" i="3"/>
  <c r="U16" i="3"/>
  <c r="O16" i="3"/>
  <c r="U15" i="3"/>
  <c r="O15" i="3"/>
  <c r="U14" i="3"/>
  <c r="O14" i="3"/>
  <c r="U13" i="3"/>
  <c r="O13" i="3"/>
  <c r="U12" i="3"/>
  <c r="O12" i="3"/>
  <c r="U11" i="3"/>
  <c r="O11" i="3"/>
  <c r="U10" i="3"/>
  <c r="O10" i="3"/>
  <c r="U9" i="3"/>
  <c r="O9" i="3"/>
  <c r="J24" i="39"/>
  <c r="D24" i="39"/>
  <c r="I22" i="39"/>
  <c r="K22" i="39" s="1"/>
  <c r="I18" i="39"/>
  <c r="K18" i="39" s="1"/>
  <c r="D8" i="39"/>
  <c r="J24" i="13"/>
  <c r="D24" i="13"/>
  <c r="X55" i="1"/>
  <c r="X54" i="1"/>
  <c r="X53" i="1"/>
  <c r="X52" i="1"/>
  <c r="X47" i="1"/>
  <c r="X46" i="1"/>
  <c r="X45" i="1"/>
  <c r="X44" i="1"/>
  <c r="X43" i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C11" i="1"/>
  <c r="B11" i="1"/>
  <c r="E11" i="1" s="1"/>
  <c r="U10" i="1"/>
  <c r="W10" i="1" s="1"/>
  <c r="O10" i="1"/>
  <c r="Q10" i="1" s="1"/>
  <c r="E10" i="1"/>
  <c r="D10" i="1"/>
  <c r="U9" i="1"/>
  <c r="Q9" i="1"/>
  <c r="O9" i="1"/>
  <c r="C9" i="1"/>
  <c r="B9" i="1"/>
  <c r="U8" i="1"/>
  <c r="W8" i="1" s="1"/>
  <c r="O8" i="1"/>
  <c r="Q8" i="1" s="1"/>
  <c r="E8" i="1"/>
  <c r="D8" i="1"/>
  <c r="U7" i="1"/>
  <c r="W7" i="1" s="1"/>
  <c r="O7" i="1"/>
  <c r="Q7" i="1" s="1"/>
  <c r="E7" i="1"/>
  <c r="D7" i="1"/>
  <c r="W6" i="1"/>
  <c r="U6" i="1"/>
  <c r="O6" i="1"/>
  <c r="Q6" i="1" s="1"/>
  <c r="E6" i="1"/>
  <c r="D6" i="1"/>
  <c r="E9" i="1" l="1"/>
  <c r="X42" i="1"/>
  <c r="V42" i="1" s="1"/>
  <c r="AH15" i="6"/>
  <c r="AB15" i="6"/>
  <c r="X15" i="6"/>
  <c r="R15" i="6"/>
  <c r="L15" i="6"/>
  <c r="AF15" i="6"/>
  <c r="Z15" i="6"/>
  <c r="AJ15" i="6"/>
  <c r="P15" i="6"/>
  <c r="V15" i="6"/>
  <c r="J15" i="6"/>
  <c r="T15" i="6"/>
  <c r="N15" i="6"/>
  <c r="AD15" i="6"/>
  <c r="AH19" i="6"/>
  <c r="AB19" i="6"/>
  <c r="X19" i="6"/>
  <c r="R19" i="6"/>
  <c r="L19" i="6"/>
  <c r="AF19" i="6"/>
  <c r="Z19" i="6"/>
  <c r="AJ19" i="6"/>
  <c r="P19" i="6"/>
  <c r="V19" i="6"/>
  <c r="J19" i="6"/>
  <c r="N19" i="6"/>
  <c r="T19" i="6"/>
  <c r="AD19" i="6"/>
  <c r="AF28" i="6"/>
  <c r="Z28" i="6"/>
  <c r="AJ28" i="6"/>
  <c r="V28" i="6"/>
  <c r="P28" i="6"/>
  <c r="J28" i="6"/>
  <c r="AH28" i="6"/>
  <c r="X28" i="6"/>
  <c r="N28" i="6"/>
  <c r="L28" i="6"/>
  <c r="AB28" i="6"/>
  <c r="T28" i="6"/>
  <c r="AD28" i="6"/>
  <c r="R28" i="6"/>
  <c r="AF16" i="6"/>
  <c r="Z16" i="6"/>
  <c r="AJ16" i="6"/>
  <c r="V16" i="6"/>
  <c r="P16" i="6"/>
  <c r="J16" i="6"/>
  <c r="AH16" i="6"/>
  <c r="X16" i="6"/>
  <c r="N16" i="6"/>
  <c r="L16" i="6"/>
  <c r="AB16" i="6"/>
  <c r="T16" i="6"/>
  <c r="AD16" i="6"/>
  <c r="R16" i="6"/>
  <c r="AF20" i="6"/>
  <c r="Z20" i="6"/>
  <c r="AJ20" i="6"/>
  <c r="V20" i="6"/>
  <c r="P20" i="6"/>
  <c r="J20" i="6"/>
  <c r="AH20" i="6"/>
  <c r="X20" i="6"/>
  <c r="N20" i="6"/>
  <c r="L20" i="6"/>
  <c r="AB20" i="6"/>
  <c r="T20" i="6"/>
  <c r="AD20" i="6"/>
  <c r="R20" i="6"/>
  <c r="X17" i="6"/>
  <c r="R17" i="6"/>
  <c r="L17" i="6"/>
  <c r="AH17" i="6"/>
  <c r="AB17" i="6"/>
  <c r="AF17" i="6"/>
  <c r="Z17" i="6"/>
  <c r="V17" i="6"/>
  <c r="J17" i="6"/>
  <c r="AJ17" i="6"/>
  <c r="P17" i="6"/>
  <c r="AD17" i="6"/>
  <c r="T17" i="6"/>
  <c r="N17" i="6"/>
  <c r="X21" i="6"/>
  <c r="R21" i="6"/>
  <c r="L21" i="6"/>
  <c r="AH21" i="6"/>
  <c r="AB21" i="6"/>
  <c r="AF21" i="6"/>
  <c r="Z21" i="6"/>
  <c r="V21" i="6"/>
  <c r="J21" i="6"/>
  <c r="AJ21" i="6"/>
  <c r="P21" i="6"/>
  <c r="N21" i="6"/>
  <c r="AD21" i="6"/>
  <c r="T21" i="6"/>
  <c r="AJ14" i="6"/>
  <c r="V14" i="6"/>
  <c r="P14" i="6"/>
  <c r="J14" i="6"/>
  <c r="AF14" i="6"/>
  <c r="Z14" i="6"/>
  <c r="AH14" i="6"/>
  <c r="X14" i="6"/>
  <c r="N14" i="6"/>
  <c r="L14" i="6"/>
  <c r="AD14" i="6"/>
  <c r="R14" i="6"/>
  <c r="AB14" i="6"/>
  <c r="T14" i="6"/>
  <c r="AJ18" i="6"/>
  <c r="V18" i="6"/>
  <c r="P18" i="6"/>
  <c r="J18" i="6"/>
  <c r="AF18" i="6"/>
  <c r="Z18" i="6"/>
  <c r="AH18" i="6"/>
  <c r="X18" i="6"/>
  <c r="N18" i="6"/>
  <c r="L18" i="6"/>
  <c r="AD18" i="6"/>
  <c r="R18" i="6"/>
  <c r="AB18" i="6"/>
  <c r="T18" i="6"/>
  <c r="AJ22" i="6"/>
  <c r="V22" i="6"/>
  <c r="P22" i="6"/>
  <c r="J22" i="6"/>
  <c r="AF22" i="6"/>
  <c r="Z22" i="6"/>
  <c r="AH22" i="6"/>
  <c r="X22" i="6"/>
  <c r="N22" i="6"/>
  <c r="L22" i="6"/>
  <c r="AD22" i="6"/>
  <c r="R22" i="6"/>
  <c r="AB22" i="6"/>
  <c r="T22" i="6"/>
  <c r="AL34" i="7"/>
  <c r="X34" i="7"/>
  <c r="R34" i="7"/>
  <c r="L34" i="7"/>
  <c r="AJ34" i="7"/>
  <c r="V34" i="7"/>
  <c r="P34" i="7"/>
  <c r="J34" i="7"/>
  <c r="AH34" i="7"/>
  <c r="Z34" i="7"/>
  <c r="AF34" i="7"/>
  <c r="AB34" i="7"/>
  <c r="N34" i="7"/>
  <c r="AD34" i="7"/>
  <c r="T34" i="7"/>
  <c r="AL26" i="7"/>
  <c r="X26" i="7"/>
  <c r="R26" i="7"/>
  <c r="L26" i="7"/>
  <c r="AJ26" i="7"/>
  <c r="V26" i="7"/>
  <c r="P26" i="7"/>
  <c r="J26" i="7"/>
  <c r="AH26" i="7"/>
  <c r="Z26" i="7"/>
  <c r="AF26" i="7"/>
  <c r="N26" i="7"/>
  <c r="AB26" i="7"/>
  <c r="AD26" i="7"/>
  <c r="T26" i="7"/>
  <c r="AL18" i="7"/>
  <c r="X18" i="7"/>
  <c r="R18" i="7"/>
  <c r="L18" i="7"/>
  <c r="AF18" i="7"/>
  <c r="V18" i="7"/>
  <c r="N18" i="7"/>
  <c r="AJ18" i="7"/>
  <c r="Z18" i="7"/>
  <c r="J18" i="7"/>
  <c r="AH18" i="7"/>
  <c r="AB18" i="7"/>
  <c r="P18" i="7"/>
  <c r="T18" i="7"/>
  <c r="AD18" i="7"/>
  <c r="AH27" i="7"/>
  <c r="AB27" i="7"/>
  <c r="AF27" i="7"/>
  <c r="Z27" i="7"/>
  <c r="AL27" i="7"/>
  <c r="X27" i="7"/>
  <c r="P27" i="7"/>
  <c r="AJ27" i="7"/>
  <c r="V27" i="7"/>
  <c r="J27" i="7"/>
  <c r="R27" i="7"/>
  <c r="L27" i="7"/>
  <c r="AD27" i="7"/>
  <c r="N27" i="7"/>
  <c r="T27" i="7"/>
  <c r="AH23" i="7"/>
  <c r="AB23" i="7"/>
  <c r="AF23" i="7"/>
  <c r="Z23" i="7"/>
  <c r="AD23" i="7"/>
  <c r="L23" i="7"/>
  <c r="R23" i="7"/>
  <c r="J23" i="7"/>
  <c r="P23" i="7"/>
  <c r="X23" i="7"/>
  <c r="AL23" i="7"/>
  <c r="AJ23" i="7"/>
  <c r="V23" i="7"/>
  <c r="N23" i="7"/>
  <c r="T23" i="7"/>
  <c r="AF14" i="7"/>
  <c r="Z14" i="7"/>
  <c r="AL14" i="7"/>
  <c r="X14" i="7"/>
  <c r="R14" i="7"/>
  <c r="L14" i="7"/>
  <c r="AB14" i="7"/>
  <c r="P14" i="7"/>
  <c r="AJ14" i="7"/>
  <c r="V14" i="7"/>
  <c r="N14" i="7"/>
  <c r="T14" i="7"/>
  <c r="J14" i="7"/>
  <c r="AH14" i="7"/>
  <c r="AD14" i="7"/>
  <c r="AH35" i="7"/>
  <c r="AB35" i="7"/>
  <c r="AF35" i="7"/>
  <c r="Z35" i="7"/>
  <c r="AL35" i="7"/>
  <c r="X35" i="7"/>
  <c r="P35" i="7"/>
  <c r="AJ35" i="7"/>
  <c r="V35" i="7"/>
  <c r="L35" i="7"/>
  <c r="R35" i="7"/>
  <c r="J35" i="7"/>
  <c r="T35" i="7"/>
  <c r="AD35" i="7"/>
  <c r="N35" i="7"/>
  <c r="AL22" i="7"/>
  <c r="X22" i="7"/>
  <c r="R22" i="7"/>
  <c r="L22" i="7"/>
  <c r="AJ22" i="7"/>
  <c r="V22" i="7"/>
  <c r="P22" i="7"/>
  <c r="J22" i="7"/>
  <c r="AB22" i="7"/>
  <c r="AH22" i="7"/>
  <c r="Z22" i="7"/>
  <c r="T22" i="7"/>
  <c r="AF22" i="7"/>
  <c r="N22" i="7"/>
  <c r="AD22" i="7"/>
  <c r="AL30" i="7"/>
  <c r="X30" i="7"/>
  <c r="R30" i="7"/>
  <c r="L30" i="7"/>
  <c r="AJ30" i="7"/>
  <c r="V30" i="7"/>
  <c r="P30" i="7"/>
  <c r="J30" i="7"/>
  <c r="AB30" i="7"/>
  <c r="AH30" i="7"/>
  <c r="T30" i="7"/>
  <c r="AF30" i="7"/>
  <c r="Z30" i="7"/>
  <c r="AD30" i="7"/>
  <c r="N30" i="7"/>
  <c r="X34" i="1"/>
  <c r="V34" i="1" s="1"/>
  <c r="X48" i="1"/>
  <c r="V48" i="1" s="1"/>
  <c r="H18" i="13"/>
  <c r="AH36" i="6"/>
  <c r="AB36" i="6"/>
  <c r="X36" i="6"/>
  <c r="R36" i="6"/>
  <c r="L36" i="6"/>
  <c r="AF36" i="6"/>
  <c r="P36" i="6"/>
  <c r="Z36" i="6"/>
  <c r="AJ36" i="6"/>
  <c r="V36" i="6"/>
  <c r="J36" i="6"/>
  <c r="AD36" i="6"/>
  <c r="N36" i="6"/>
  <c r="T36" i="6"/>
  <c r="AL15" i="6"/>
  <c r="AL19" i="6"/>
  <c r="AL28" i="6"/>
  <c r="AL16" i="6"/>
  <c r="AL20" i="6"/>
  <c r="AL17" i="6"/>
  <c r="AL21" i="6"/>
  <c r="AL14" i="6"/>
  <c r="AL18" i="6"/>
  <c r="AL22" i="6"/>
  <c r="F31" i="6"/>
  <c r="F35" i="6"/>
  <c r="F15" i="7"/>
  <c r="F19" i="7"/>
  <c r="F31" i="7"/>
  <c r="F23" i="6"/>
  <c r="F24" i="6"/>
  <c r="F25" i="6"/>
  <c r="F26" i="6"/>
  <c r="F27" i="6"/>
  <c r="F30" i="6"/>
  <c r="F34" i="6"/>
  <c r="F32" i="6"/>
  <c r="F29" i="6"/>
  <c r="F33" i="6"/>
  <c r="F17" i="7"/>
  <c r="F21" i="7"/>
  <c r="F25" i="7"/>
  <c r="F29" i="7"/>
  <c r="F33" i="7"/>
  <c r="F37" i="7"/>
  <c r="F16" i="7"/>
  <c r="F20" i="7"/>
  <c r="F24" i="7"/>
  <c r="F28" i="7"/>
  <c r="F32" i="7"/>
  <c r="F36" i="7"/>
  <c r="K9" i="5"/>
  <c r="I7" i="13" s="1"/>
  <c r="H11" i="49" s="1"/>
  <c r="X28" i="1"/>
  <c r="V28" i="1" s="1"/>
  <c r="D11" i="1"/>
  <c r="O14" i="1"/>
  <c r="B23" i="13"/>
  <c r="C23" i="13" s="1"/>
  <c r="E23" i="13" s="1"/>
  <c r="U14" i="1"/>
  <c r="H17" i="13"/>
  <c r="W9" i="1"/>
  <c r="Q11" i="1"/>
  <c r="D9" i="1"/>
  <c r="AH44" i="7"/>
  <c r="H21" i="13"/>
  <c r="K128" i="37"/>
  <c r="K133" i="37"/>
  <c r="K129" i="37"/>
  <c r="K132" i="37"/>
  <c r="B22" i="13"/>
  <c r="C22" i="13" s="1"/>
  <c r="E22" i="13" s="1"/>
  <c r="B21" i="13"/>
  <c r="C21" i="13" s="1"/>
  <c r="E21" i="13" s="1"/>
  <c r="B18" i="13"/>
  <c r="C18" i="13" s="1"/>
  <c r="E18" i="13" s="1"/>
  <c r="B17" i="13"/>
  <c r="C17" i="13" s="1"/>
  <c r="E17" i="13" s="1"/>
  <c r="N45" i="7"/>
  <c r="AC46" i="7"/>
  <c r="B19" i="13" s="1"/>
  <c r="C19" i="13" s="1"/>
  <c r="E19" i="13" s="1"/>
  <c r="N43" i="7"/>
  <c r="H23" i="13"/>
  <c r="D10" i="39"/>
  <c r="AC46" i="6"/>
  <c r="AC47" i="6" s="1"/>
  <c r="S46" i="6"/>
  <c r="S47" i="6" s="1"/>
  <c r="H16" i="13" s="1"/>
  <c r="M46" i="6"/>
  <c r="M47" i="6" s="1"/>
  <c r="AH42" i="7"/>
  <c r="S46" i="7"/>
  <c r="S47" i="7" s="1"/>
  <c r="M46" i="7"/>
  <c r="B15" i="13" s="1"/>
  <c r="C15" i="13" s="1"/>
  <c r="I17" i="39"/>
  <c r="K17" i="39" s="1"/>
  <c r="I21" i="39"/>
  <c r="K21" i="39" s="1"/>
  <c r="D7" i="39"/>
  <c r="I15" i="39"/>
  <c r="I19" i="39"/>
  <c r="K19" i="39" s="1"/>
  <c r="I23" i="39"/>
  <c r="K23" i="39" s="1"/>
  <c r="I16" i="39"/>
  <c r="K16" i="39" s="1"/>
  <c r="D9" i="39"/>
  <c r="H22" i="13"/>
  <c r="AE47" i="6"/>
  <c r="AL36" i="6"/>
  <c r="B20" i="13"/>
  <c r="C20" i="13" s="1"/>
  <c r="E20" i="13" s="1"/>
  <c r="D11" i="39"/>
  <c r="B36" i="39"/>
  <c r="B35" i="39"/>
  <c r="B34" i="39"/>
  <c r="B33" i="39"/>
  <c r="B32" i="39"/>
  <c r="B30" i="39"/>
  <c r="B29" i="39"/>
  <c r="B28" i="39"/>
  <c r="H7" i="6" l="1"/>
  <c r="H7" i="7"/>
  <c r="R46" i="7" s="1"/>
  <c r="AH27" i="6"/>
  <c r="AB27" i="6"/>
  <c r="X27" i="6"/>
  <c r="R27" i="6"/>
  <c r="L27" i="6"/>
  <c r="AF27" i="6"/>
  <c r="Z27" i="6"/>
  <c r="AJ27" i="6"/>
  <c r="P27" i="6"/>
  <c r="V27" i="6"/>
  <c r="J27" i="6"/>
  <c r="AD27" i="6"/>
  <c r="N27" i="6"/>
  <c r="T27" i="6"/>
  <c r="AH23" i="6"/>
  <c r="AB23" i="6"/>
  <c r="X23" i="6"/>
  <c r="R23" i="6"/>
  <c r="L23" i="6"/>
  <c r="AF23" i="6"/>
  <c r="Z23" i="6"/>
  <c r="AJ23" i="6"/>
  <c r="P23" i="6"/>
  <c r="V23" i="6"/>
  <c r="J23" i="6"/>
  <c r="T23" i="6"/>
  <c r="N23" i="6"/>
  <c r="AD23" i="6"/>
  <c r="AF32" i="6"/>
  <c r="Z32" i="6"/>
  <c r="AJ32" i="6"/>
  <c r="V32" i="6"/>
  <c r="P32" i="6"/>
  <c r="J32" i="6"/>
  <c r="AH32" i="6"/>
  <c r="X32" i="6"/>
  <c r="N32" i="6"/>
  <c r="AD32" i="6"/>
  <c r="T32" i="6"/>
  <c r="L32" i="6"/>
  <c r="AB32" i="6"/>
  <c r="R32" i="6"/>
  <c r="AJ26" i="6"/>
  <c r="V26" i="6"/>
  <c r="P26" i="6"/>
  <c r="J26" i="6"/>
  <c r="AF26" i="6"/>
  <c r="Z26" i="6"/>
  <c r="AH26" i="6"/>
  <c r="X26" i="6"/>
  <c r="N26" i="6"/>
  <c r="L26" i="6"/>
  <c r="AD26" i="6"/>
  <c r="R26" i="6"/>
  <c r="AB26" i="6"/>
  <c r="T26" i="6"/>
  <c r="AH35" i="6"/>
  <c r="AB35" i="6"/>
  <c r="X35" i="6"/>
  <c r="R35" i="6"/>
  <c r="L35" i="6"/>
  <c r="AF35" i="6"/>
  <c r="P35" i="6"/>
  <c r="Z35" i="6"/>
  <c r="AJ35" i="6"/>
  <c r="V35" i="6"/>
  <c r="J35" i="6"/>
  <c r="N35" i="6"/>
  <c r="AD35" i="6"/>
  <c r="T35" i="6"/>
  <c r="AH31" i="6"/>
  <c r="AB31" i="6"/>
  <c r="X31" i="6"/>
  <c r="R31" i="6"/>
  <c r="L31" i="6"/>
  <c r="AF31" i="6"/>
  <c r="Z31" i="6"/>
  <c r="AJ31" i="6"/>
  <c r="V31" i="6"/>
  <c r="P31" i="6"/>
  <c r="J31" i="6"/>
  <c r="T31" i="6"/>
  <c r="N31" i="6"/>
  <c r="AD31" i="6"/>
  <c r="AJ34" i="6"/>
  <c r="V34" i="6"/>
  <c r="P34" i="6"/>
  <c r="J34" i="6"/>
  <c r="AF34" i="6"/>
  <c r="Z34" i="6"/>
  <c r="AH34" i="6"/>
  <c r="X34" i="6"/>
  <c r="N34" i="6"/>
  <c r="AD34" i="6"/>
  <c r="T34" i="6"/>
  <c r="L34" i="6"/>
  <c r="AB34" i="6"/>
  <c r="R34" i="6"/>
  <c r="X25" i="6"/>
  <c r="R25" i="6"/>
  <c r="L25" i="6"/>
  <c r="AH25" i="6"/>
  <c r="AB25" i="6"/>
  <c r="AF25" i="6"/>
  <c r="Z25" i="6"/>
  <c r="V25" i="6"/>
  <c r="J25" i="6"/>
  <c r="AJ25" i="6"/>
  <c r="P25" i="6"/>
  <c r="AD25" i="6"/>
  <c r="N25" i="6"/>
  <c r="T25" i="6"/>
  <c r="X33" i="6"/>
  <c r="R33" i="6"/>
  <c r="L33" i="6"/>
  <c r="AH33" i="6"/>
  <c r="AB33" i="6"/>
  <c r="V33" i="6"/>
  <c r="AF33" i="6"/>
  <c r="P33" i="6"/>
  <c r="Z33" i="6"/>
  <c r="AJ33" i="6"/>
  <c r="J33" i="6"/>
  <c r="AD33" i="6"/>
  <c r="T33" i="6"/>
  <c r="N33" i="6"/>
  <c r="AJ30" i="6"/>
  <c r="V30" i="6"/>
  <c r="P30" i="6"/>
  <c r="J30" i="6"/>
  <c r="AF30" i="6"/>
  <c r="Z30" i="6"/>
  <c r="AH30" i="6"/>
  <c r="X30" i="6"/>
  <c r="N30" i="6"/>
  <c r="L30" i="6"/>
  <c r="AD30" i="6"/>
  <c r="R30" i="6"/>
  <c r="AB30" i="6"/>
  <c r="T30" i="6"/>
  <c r="AF24" i="6"/>
  <c r="Z24" i="6"/>
  <c r="AJ24" i="6"/>
  <c r="V24" i="6"/>
  <c r="P24" i="6"/>
  <c r="J24" i="6"/>
  <c r="AH24" i="6"/>
  <c r="X24" i="6"/>
  <c r="N24" i="6"/>
  <c r="L24" i="6"/>
  <c r="AB24" i="6"/>
  <c r="T24" i="6"/>
  <c r="AD24" i="6"/>
  <c r="R24" i="6"/>
  <c r="X29" i="6"/>
  <c r="R29" i="6"/>
  <c r="L29" i="6"/>
  <c r="AH29" i="6"/>
  <c r="AB29" i="6"/>
  <c r="AF29" i="6"/>
  <c r="Z29" i="6"/>
  <c r="V29" i="6"/>
  <c r="J29" i="6"/>
  <c r="AJ29" i="6"/>
  <c r="P29" i="6"/>
  <c r="AD29" i="6"/>
  <c r="T29" i="6"/>
  <c r="N29" i="6"/>
  <c r="AL32" i="7"/>
  <c r="X32" i="7"/>
  <c r="R32" i="7"/>
  <c r="L32" i="7"/>
  <c r="AJ32" i="7"/>
  <c r="V32" i="7"/>
  <c r="P32" i="7"/>
  <c r="J32" i="7"/>
  <c r="AB32" i="7"/>
  <c r="N32" i="7"/>
  <c r="AH32" i="7"/>
  <c r="Z32" i="7"/>
  <c r="AF32" i="7"/>
  <c r="AD32" i="7"/>
  <c r="T32" i="7"/>
  <c r="AF16" i="7"/>
  <c r="Z16" i="7"/>
  <c r="AL16" i="7"/>
  <c r="X16" i="7"/>
  <c r="R16" i="7"/>
  <c r="L16" i="7"/>
  <c r="AJ16" i="7"/>
  <c r="V16" i="7"/>
  <c r="N16" i="7"/>
  <c r="AH16" i="7"/>
  <c r="T16" i="7"/>
  <c r="J16" i="7"/>
  <c r="AB16" i="7"/>
  <c r="P16" i="7"/>
  <c r="AD16" i="7"/>
  <c r="AJ15" i="7"/>
  <c r="V15" i="7"/>
  <c r="P15" i="7"/>
  <c r="J15" i="7"/>
  <c r="AH15" i="7"/>
  <c r="AB15" i="7"/>
  <c r="AF15" i="7"/>
  <c r="X15" i="7"/>
  <c r="L15" i="7"/>
  <c r="AD15" i="7"/>
  <c r="R15" i="7"/>
  <c r="AL15" i="7"/>
  <c r="Z15" i="7"/>
  <c r="T15" i="7"/>
  <c r="N15" i="7"/>
  <c r="AL28" i="7"/>
  <c r="X28" i="7"/>
  <c r="R28" i="7"/>
  <c r="L28" i="7"/>
  <c r="AJ28" i="7"/>
  <c r="V28" i="7"/>
  <c r="P28" i="7"/>
  <c r="J28" i="7"/>
  <c r="AF28" i="7"/>
  <c r="T28" i="7"/>
  <c r="Z28" i="7"/>
  <c r="AB28" i="7"/>
  <c r="AH28" i="7"/>
  <c r="N28" i="7"/>
  <c r="AD28" i="7"/>
  <c r="AH21" i="7"/>
  <c r="AB21" i="7"/>
  <c r="AF21" i="7"/>
  <c r="Z21" i="7"/>
  <c r="AJ21" i="7"/>
  <c r="V21" i="7"/>
  <c r="L21" i="7"/>
  <c r="J21" i="7"/>
  <c r="P21" i="7"/>
  <c r="AL21" i="7"/>
  <c r="R21" i="7"/>
  <c r="X21" i="7"/>
  <c r="N21" i="7"/>
  <c r="AD21" i="7"/>
  <c r="T21" i="7"/>
  <c r="AH17" i="7"/>
  <c r="AB17" i="7"/>
  <c r="AJ17" i="7"/>
  <c r="Z17" i="7"/>
  <c r="R17" i="7"/>
  <c r="J17" i="7"/>
  <c r="AF17" i="7"/>
  <c r="X17" i="7"/>
  <c r="P17" i="7"/>
  <c r="V17" i="7"/>
  <c r="AL17" i="7"/>
  <c r="AD17" i="7"/>
  <c r="L17" i="7"/>
  <c r="N17" i="7"/>
  <c r="T17" i="7"/>
  <c r="AL24" i="7"/>
  <c r="X24" i="7"/>
  <c r="R24" i="7"/>
  <c r="L24" i="7"/>
  <c r="AJ24" i="7"/>
  <c r="V24" i="7"/>
  <c r="P24" i="7"/>
  <c r="J24" i="7"/>
  <c r="AB24" i="7"/>
  <c r="N24" i="7"/>
  <c r="AH24" i="7"/>
  <c r="Z24" i="7"/>
  <c r="AF24" i="7"/>
  <c r="T24" i="7"/>
  <c r="AD24" i="7"/>
  <c r="AH33" i="7"/>
  <c r="AB33" i="7"/>
  <c r="AF33" i="7"/>
  <c r="Z33" i="7"/>
  <c r="R33" i="7"/>
  <c r="J33" i="7"/>
  <c r="AL33" i="7"/>
  <c r="X33" i="7"/>
  <c r="P33" i="7"/>
  <c r="AJ33" i="7"/>
  <c r="AD33" i="7"/>
  <c r="L33" i="7"/>
  <c r="V33" i="7"/>
  <c r="N33" i="7"/>
  <c r="T33" i="7"/>
  <c r="AH31" i="7"/>
  <c r="AB31" i="7"/>
  <c r="AF31" i="7"/>
  <c r="Z31" i="7"/>
  <c r="AD31" i="7"/>
  <c r="L31" i="7"/>
  <c r="R31" i="7"/>
  <c r="J31" i="7"/>
  <c r="AL31" i="7"/>
  <c r="V31" i="7"/>
  <c r="P31" i="7"/>
  <c r="AJ31" i="7"/>
  <c r="X31" i="7"/>
  <c r="T31" i="7"/>
  <c r="N31" i="7"/>
  <c r="AL20" i="7"/>
  <c r="X20" i="7"/>
  <c r="R20" i="7"/>
  <c r="L20" i="7"/>
  <c r="AH20" i="7"/>
  <c r="Z20" i="7"/>
  <c r="P20" i="7"/>
  <c r="AF20" i="7"/>
  <c r="V20" i="7"/>
  <c r="T20" i="7"/>
  <c r="AJ20" i="7"/>
  <c r="AB20" i="7"/>
  <c r="J20" i="7"/>
  <c r="N20" i="7"/>
  <c r="AD20" i="7"/>
  <c r="AH29" i="7"/>
  <c r="AB29" i="7"/>
  <c r="AF29" i="7"/>
  <c r="Z29" i="7"/>
  <c r="AJ29" i="7"/>
  <c r="V29" i="7"/>
  <c r="L29" i="7"/>
  <c r="P29" i="7"/>
  <c r="X29" i="7"/>
  <c r="AL29" i="7"/>
  <c r="R29" i="7"/>
  <c r="J29" i="7"/>
  <c r="N29" i="7"/>
  <c r="T29" i="7"/>
  <c r="AD29" i="7"/>
  <c r="AH19" i="7"/>
  <c r="AB19" i="7"/>
  <c r="AL19" i="7"/>
  <c r="L19" i="7"/>
  <c r="AJ19" i="7"/>
  <c r="Z19" i="7"/>
  <c r="R19" i="7"/>
  <c r="J19" i="7"/>
  <c r="AF19" i="7"/>
  <c r="V19" i="7"/>
  <c r="AD19" i="7"/>
  <c r="X19" i="7"/>
  <c r="P19" i="7"/>
  <c r="N19" i="7"/>
  <c r="T19" i="7"/>
  <c r="AH25" i="7"/>
  <c r="AB25" i="7"/>
  <c r="AF25" i="7"/>
  <c r="Z25" i="7"/>
  <c r="R25" i="7"/>
  <c r="J25" i="7"/>
  <c r="AL25" i="7"/>
  <c r="X25" i="7"/>
  <c r="P25" i="7"/>
  <c r="L25" i="7"/>
  <c r="V25" i="7"/>
  <c r="AJ25" i="7"/>
  <c r="AD25" i="7"/>
  <c r="N25" i="7"/>
  <c r="T25" i="7"/>
  <c r="L37" i="7"/>
  <c r="R37" i="7"/>
  <c r="X37" i="7"/>
  <c r="AL37" i="7"/>
  <c r="T37" i="7"/>
  <c r="AH37" i="7"/>
  <c r="J37" i="7"/>
  <c r="Z37" i="7"/>
  <c r="AF37" i="7"/>
  <c r="AB37" i="7"/>
  <c r="P37" i="7"/>
  <c r="V37" i="7"/>
  <c r="AJ37" i="7"/>
  <c r="N37" i="7"/>
  <c r="AD37" i="7"/>
  <c r="L39" i="7"/>
  <c r="R39" i="7"/>
  <c r="X39" i="7"/>
  <c r="AL39" i="7"/>
  <c r="N39" i="7"/>
  <c r="AB39" i="7"/>
  <c r="J39" i="7"/>
  <c r="V39" i="7"/>
  <c r="Z39" i="7"/>
  <c r="AF39" i="7"/>
  <c r="T39" i="7"/>
  <c r="AH39" i="7"/>
  <c r="P39" i="7"/>
  <c r="AJ39" i="7"/>
  <c r="AD39" i="7"/>
  <c r="AB40" i="7"/>
  <c r="AH40" i="7"/>
  <c r="AJ40" i="7"/>
  <c r="L40" i="7"/>
  <c r="X40" i="7"/>
  <c r="AL40" i="7"/>
  <c r="J40" i="7"/>
  <c r="P40" i="7"/>
  <c r="V40" i="7"/>
  <c r="R40" i="7"/>
  <c r="AD40" i="7"/>
  <c r="AF40" i="7"/>
  <c r="Z40" i="7"/>
  <c r="N40" i="7"/>
  <c r="T40" i="7"/>
  <c r="L36" i="7"/>
  <c r="R36" i="7"/>
  <c r="X36" i="7"/>
  <c r="AL36" i="7"/>
  <c r="AB36" i="7"/>
  <c r="AH36" i="7"/>
  <c r="J36" i="7"/>
  <c r="V36" i="7"/>
  <c r="AJ36" i="7"/>
  <c r="Z36" i="7"/>
  <c r="P36" i="7"/>
  <c r="AF36" i="7"/>
  <c r="T36" i="7"/>
  <c r="AD36" i="7"/>
  <c r="N36" i="7"/>
  <c r="N11" i="49"/>
  <c r="K7" i="13" s="1"/>
  <c r="AL25" i="6"/>
  <c r="AL31" i="6"/>
  <c r="AL33" i="6"/>
  <c r="AL30" i="6"/>
  <c r="AL24" i="6"/>
  <c r="AL29" i="6"/>
  <c r="AL27" i="6"/>
  <c r="AL23" i="6"/>
  <c r="AL32" i="6"/>
  <c r="AL26" i="6"/>
  <c r="K7" i="39"/>
  <c r="B31" i="39"/>
  <c r="D31" i="39" s="1"/>
  <c r="AD42" i="7"/>
  <c r="R44" i="7"/>
  <c r="L44" i="7"/>
  <c r="Z44" i="7"/>
  <c r="V44" i="7"/>
  <c r="AL35" i="6"/>
  <c r="AB44" i="7"/>
  <c r="AL34" i="6"/>
  <c r="B36" i="13"/>
  <c r="H22" i="49" s="1"/>
  <c r="AD43" i="7"/>
  <c r="AJ44" i="7"/>
  <c r="N42" i="7"/>
  <c r="AB42" i="7"/>
  <c r="T45" i="7"/>
  <c r="X44" i="7"/>
  <c r="AL44" i="7"/>
  <c r="N44" i="7"/>
  <c r="AF44" i="7"/>
  <c r="J44" i="7"/>
  <c r="AD44" i="7"/>
  <c r="P44" i="7"/>
  <c r="T44" i="7"/>
  <c r="K15" i="39"/>
  <c r="I24" i="39"/>
  <c r="M130" i="37"/>
  <c r="M133" i="37"/>
  <c r="M129" i="37"/>
  <c r="M142" i="37"/>
  <c r="M134" i="37"/>
  <c r="M136" i="37"/>
  <c r="M140" i="37"/>
  <c r="M135" i="37"/>
  <c r="M137" i="37"/>
  <c r="M138" i="37"/>
  <c r="M139" i="37"/>
  <c r="L128" i="37"/>
  <c r="M128" i="37"/>
  <c r="M141" i="37"/>
  <c r="M132" i="37"/>
  <c r="M131" i="37"/>
  <c r="AC47" i="7"/>
  <c r="B16" i="13"/>
  <c r="C16" i="13" s="1"/>
  <c r="E16" i="13" s="1"/>
  <c r="H15" i="13"/>
  <c r="AD45" i="7"/>
  <c r="M47" i="7"/>
  <c r="AH43" i="7"/>
  <c r="AB43" i="7"/>
  <c r="AL43" i="7"/>
  <c r="X43" i="7"/>
  <c r="R43" i="7"/>
  <c r="L43" i="7"/>
  <c r="P43" i="7"/>
  <c r="Z43" i="7"/>
  <c r="AJ43" i="7"/>
  <c r="V43" i="7"/>
  <c r="J43" i="7"/>
  <c r="AF43" i="7"/>
  <c r="AL45" i="7"/>
  <c r="X45" i="7"/>
  <c r="R45" i="7"/>
  <c r="L45" i="7"/>
  <c r="AH45" i="7"/>
  <c r="AB45" i="7"/>
  <c r="AJ45" i="7"/>
  <c r="V45" i="7"/>
  <c r="J45" i="7"/>
  <c r="AF45" i="7"/>
  <c r="P45" i="7"/>
  <c r="Z45" i="7"/>
  <c r="T43" i="7"/>
  <c r="H19" i="13"/>
  <c r="D34" i="39"/>
  <c r="E34" i="39"/>
  <c r="Z42" i="7"/>
  <c r="R42" i="7"/>
  <c r="AJ42" i="7"/>
  <c r="X42" i="7"/>
  <c r="T42" i="7"/>
  <c r="AF42" i="7"/>
  <c r="AL42" i="7"/>
  <c r="V42" i="7"/>
  <c r="P42" i="7"/>
  <c r="L42" i="7"/>
  <c r="J42" i="7"/>
  <c r="C22" i="39"/>
  <c r="E22" i="39" s="1"/>
  <c r="C20" i="39"/>
  <c r="E20" i="39" s="1"/>
  <c r="C18" i="39"/>
  <c r="E18" i="39" s="1"/>
  <c r="C16" i="39"/>
  <c r="E16" i="39" s="1"/>
  <c r="D6" i="39"/>
  <c r="C23" i="39"/>
  <c r="E23" i="39" s="1"/>
  <c r="C21" i="39"/>
  <c r="E21" i="39" s="1"/>
  <c r="C19" i="39"/>
  <c r="E19" i="39" s="1"/>
  <c r="C17" i="39"/>
  <c r="E17" i="39" s="1"/>
  <c r="C15" i="39"/>
  <c r="E15" i="13"/>
  <c r="D36" i="39"/>
  <c r="D35" i="39"/>
  <c r="D33" i="39"/>
  <c r="D32" i="39"/>
  <c r="D30" i="39"/>
  <c r="D29" i="39"/>
  <c r="D28" i="39"/>
  <c r="N22" i="49" l="1"/>
  <c r="E36" i="13" s="1"/>
  <c r="C24" i="13"/>
  <c r="E36" i="39"/>
  <c r="I15" i="13"/>
  <c r="K15" i="13" s="1"/>
  <c r="B34" i="13"/>
  <c r="H20" i="49" s="1"/>
  <c r="AH46" i="6"/>
  <c r="E15" i="39"/>
  <c r="C24" i="39"/>
  <c r="P46" i="6"/>
  <c r="N46" i="6"/>
  <c r="X46" i="6"/>
  <c r="R46" i="6"/>
  <c r="V46" i="6"/>
  <c r="J46" i="6"/>
  <c r="L46" i="6"/>
  <c r="AB46" i="6"/>
  <c r="AD46" i="6"/>
  <c r="AF46" i="6"/>
  <c r="AL46" i="6"/>
  <c r="Z46" i="6"/>
  <c r="T46" i="6"/>
  <c r="AJ46" i="6"/>
  <c r="I19" i="13"/>
  <c r="K19" i="13" s="1"/>
  <c r="I23" i="13"/>
  <c r="K23" i="13" s="1"/>
  <c r="I22" i="13"/>
  <c r="K22" i="13" s="1"/>
  <c r="I21" i="13"/>
  <c r="K21" i="13" s="1"/>
  <c r="I20" i="13"/>
  <c r="K20" i="13" s="1"/>
  <c r="I17" i="13"/>
  <c r="K17" i="13" s="1"/>
  <c r="I18" i="13"/>
  <c r="K18" i="13" s="1"/>
  <c r="I16" i="13"/>
  <c r="K16" i="13" s="1"/>
  <c r="J46" i="7"/>
  <c r="V46" i="7"/>
  <c r="L46" i="7"/>
  <c r="Z46" i="7"/>
  <c r="N46" i="7"/>
  <c r="AJ46" i="7"/>
  <c r="AB46" i="7"/>
  <c r="AD46" i="7"/>
  <c r="P46" i="7"/>
  <c r="AF46" i="7"/>
  <c r="T46" i="7"/>
  <c r="X46" i="7"/>
  <c r="AL46" i="7"/>
  <c r="AH46" i="7"/>
  <c r="D36" i="13"/>
  <c r="E35" i="39"/>
  <c r="B35" i="13"/>
  <c r="H21" i="49" s="1"/>
  <c r="E33" i="39"/>
  <c r="B33" i="13"/>
  <c r="H19" i="49" s="1"/>
  <c r="B32" i="13"/>
  <c r="H18" i="49" s="1"/>
  <c r="E32" i="39"/>
  <c r="E31" i="39"/>
  <c r="B31" i="13"/>
  <c r="H17" i="49" s="1"/>
  <c r="B30" i="13"/>
  <c r="H16" i="49" s="1"/>
  <c r="E30" i="39"/>
  <c r="D37" i="39"/>
  <c r="B29" i="13"/>
  <c r="H15" i="49" s="1"/>
  <c r="E29" i="39"/>
  <c r="E28" i="39"/>
  <c r="B28" i="13"/>
  <c r="H14" i="49" s="1"/>
  <c r="N21" i="49" l="1"/>
  <c r="E35" i="13" s="1"/>
  <c r="N19" i="49"/>
  <c r="E33" i="13" s="1"/>
  <c r="N18" i="49"/>
  <c r="E32" i="13" s="1"/>
  <c r="N17" i="49"/>
  <c r="E31" i="13" s="1"/>
  <c r="N16" i="49"/>
  <c r="E30" i="13" s="1"/>
  <c r="N15" i="49"/>
  <c r="E29" i="13" s="1"/>
  <c r="N14" i="49"/>
  <c r="E28" i="13" s="1"/>
  <c r="D34" i="13"/>
  <c r="N20" i="49"/>
  <c r="E34" i="13" s="1"/>
  <c r="I24" i="13"/>
  <c r="D35" i="13"/>
  <c r="D33" i="13"/>
  <c r="D32" i="13"/>
  <c r="D31" i="13"/>
  <c r="D30" i="13"/>
  <c r="D29" i="13"/>
  <c r="D28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<sst xmlns="http://schemas.openxmlformats.org/spreadsheetml/2006/main" count="12372" uniqueCount="939">
  <si>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</si>
  <si>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</si>
  <si>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</si>
  <si>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</si>
  <si>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</si>
  <si>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</si>
  <si>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</si>
  <si>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</si>
  <si>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</si>
  <si>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</si>
  <si>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</si>
  <si>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</si>
  <si>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</si>
  <si>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</si>
  <si>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</si>
  <si>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</si>
  <si>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</si>
  <si>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</si>
  <si>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</si>
  <si>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</si>
  <si>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10"/>
  </si>
  <si>
    <t>（１）收支狀況</t>
    <phoneticPr fontId="10"/>
  </si>
  <si>
    <t>當月</t>
    <phoneticPr fontId="10"/>
  </si>
  <si>
    <t>※單位：千元</t>
    <phoneticPr fontId="10"/>
  </si>
  <si>
    <t>業績金額</t>
    <phoneticPr fontId="10"/>
  </si>
  <si>
    <t>訂單數量</t>
    <phoneticPr fontId="10"/>
  </si>
  <si>
    <t>半成品報廢</t>
    <phoneticPr fontId="10"/>
  </si>
  <si>
    <t>半成品超用</t>
    <phoneticPr fontId="10"/>
  </si>
  <si>
    <t>固定產線</t>
    <phoneticPr fontId="10"/>
  </si>
  <si>
    <t>教育訓練</t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</si>
  <si>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</si>
  <si>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0"/>
  </si>
  <si>
    <t>（３）業績構成比</t>
    <phoneticPr fontId="10"/>
  </si>
  <si>
    <t>（４）訂單數量構成比</t>
    <phoneticPr fontId="10"/>
  </si>
  <si>
    <t>飯糰</t>
    <phoneticPr fontId="10"/>
  </si>
  <si>
    <t>大口飯糰</t>
    <phoneticPr fontId="10"/>
  </si>
  <si>
    <t>便當</t>
    <phoneticPr fontId="10"/>
  </si>
  <si>
    <t>調理麵包</t>
    <phoneticPr fontId="10"/>
  </si>
  <si>
    <t>袋裝調理麵包</t>
    <phoneticPr fontId="10"/>
  </si>
  <si>
    <t>義大利麵</t>
    <phoneticPr fontId="10"/>
  </si>
  <si>
    <t>調理包</t>
    <phoneticPr fontId="10"/>
  </si>
  <si>
    <t>比例</t>
    <phoneticPr fontId="10"/>
  </si>
  <si>
    <t>作業原因</t>
    <phoneticPr fontId="10"/>
  </si>
  <si>
    <t>規格原因</t>
    <phoneticPr fontId="10"/>
  </si>
  <si>
    <t>調理麵</t>
    <phoneticPr fontId="10"/>
  </si>
  <si>
    <t>（６）人時生產性前幾名品項</t>
    <phoneticPr fontId="10"/>
  </si>
  <si>
    <t>人數</t>
    <phoneticPr fontId="10"/>
  </si>
  <si>
    <t>排名</t>
    <phoneticPr fontId="10"/>
  </si>
  <si>
    <t>產能</t>
    <phoneticPr fontId="10"/>
  </si>
  <si>
    <t>人時生產性</t>
    <phoneticPr fontId="10"/>
  </si>
  <si>
    <t>主要原因&amp;對策</t>
  </si>
  <si>
    <t>主要原因&amp;對策</t>
    <phoneticPr fontId="10"/>
  </si>
  <si>
    <t>（８）報廢原因別前幾名品項</t>
    <phoneticPr fontId="10"/>
  </si>
  <si>
    <t>半成品名</t>
    <phoneticPr fontId="10"/>
  </si>
  <si>
    <t>單價</t>
    <phoneticPr fontId="10"/>
  </si>
  <si>
    <t>報廢率</t>
    <phoneticPr fontId="10"/>
  </si>
  <si>
    <t>數量</t>
    <phoneticPr fontId="10"/>
  </si>
  <si>
    <t>實績</t>
    <phoneticPr fontId="10"/>
  </si>
  <si>
    <t>前幾名合計比例</t>
    <phoneticPr fontId="10"/>
  </si>
  <si>
    <t>前幾名合計金額</t>
    <phoneticPr fontId="10"/>
  </si>
  <si>
    <t>※補充</t>
    <phoneticPr fontId="10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</si>
  <si>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0"/>
  </si>
  <si>
    <t>實施率</t>
    <phoneticPr fontId="10"/>
  </si>
  <si>
    <t>（５）品群別人時生產性</t>
    <phoneticPr fontId="10"/>
  </si>
  <si>
    <t>勞務成本</t>
    <phoneticPr fontId="10"/>
  </si>
  <si>
    <t>勞務費率</t>
    <phoneticPr fontId="10"/>
  </si>
  <si>
    <t>比例</t>
    <phoneticPr fontId="10"/>
  </si>
  <si>
    <t>前月</t>
    <phoneticPr fontId="10"/>
  </si>
  <si>
    <t>差異</t>
    <phoneticPr fontId="10"/>
  </si>
  <si>
    <t>KPI</t>
    <phoneticPr fontId="10"/>
  </si>
  <si>
    <t>當月</t>
    <phoneticPr fontId="10"/>
  </si>
  <si>
    <t>（２）ＫＰＩ達成進度</t>
    <phoneticPr fontId="10"/>
  </si>
  <si>
    <t>（７）原因別分析</t>
    <phoneticPr fontId="10"/>
  </si>
  <si>
    <t>月別</t>
    <phoneticPr fontId="10"/>
  </si>
  <si>
    <t>工廠名</t>
    <phoneticPr fontId="10"/>
  </si>
  <si>
    <t>手巻卵黄雞絞肉</t>
    <phoneticPr fontId="10"/>
  </si>
  <si>
    <t>減少暫時停止生產,人時UP</t>
    <phoneticPr fontId="10"/>
  </si>
  <si>
    <t>因組裝2食材,人員增加,產速減少</t>
    <phoneticPr fontId="10"/>
  </si>
  <si>
    <t>透由調整速度提升。</t>
    <phoneticPr fontId="10"/>
  </si>
  <si>
    <t>直巻明太子美奶茲</t>
    <phoneticPr fontId="10"/>
  </si>
  <si>
    <t>大口飯糰燒肉美奶滋</t>
    <phoneticPr fontId="10"/>
  </si>
  <si>
    <t>因摺疊增員。實施教育訓練。</t>
    <phoneticPr fontId="10"/>
  </si>
  <si>
    <t>明太子海苔便當</t>
    <phoneticPr fontId="10"/>
  </si>
  <si>
    <t>指導鋪開炒柴魚片</t>
    <phoneticPr fontId="10"/>
  </si>
  <si>
    <t>肉狀態不良，已連動開發</t>
    <phoneticPr fontId="10"/>
  </si>
  <si>
    <t>油炸白身魚</t>
    <phoneticPr fontId="10"/>
  </si>
  <si>
    <t>油調過多報廢。變更條件。</t>
    <phoneticPr fontId="10"/>
  </si>
  <si>
    <t>川燙蝦子拌醬</t>
    <phoneticPr fontId="10"/>
  </si>
  <si>
    <t>蝦子入數不足</t>
    <phoneticPr fontId="10"/>
  </si>
  <si>
    <t>特製醬汁炙燒牛五花便當</t>
    <phoneticPr fontId="10"/>
  </si>
  <si>
    <t>牛五花醬汁</t>
    <phoneticPr fontId="10"/>
  </si>
  <si>
    <t>難度有差異。調理指導。</t>
    <phoneticPr fontId="10"/>
  </si>
  <si>
    <t>因原料變更。</t>
    <phoneticPr fontId="10"/>
  </si>
  <si>
    <t>牛五花燒成</t>
    <phoneticPr fontId="10"/>
  </si>
  <si>
    <t>大口飯糰三種起司午餐肉</t>
    <phoneticPr fontId="10"/>
  </si>
  <si>
    <t>３種起司燒成</t>
    <phoneticPr fontId="10"/>
  </si>
  <si>
    <t>與燒成範本不同。</t>
    <phoneticPr fontId="10"/>
  </si>
  <si>
    <t>燒成過多，調整調理條件。</t>
    <phoneticPr fontId="10"/>
  </si>
  <si>
    <t>超用率</t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</si>
  <si>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</si>
  <si>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</si>
  <si>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</si>
  <si>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</si>
  <si>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0"/>
  </si>
  <si>
    <t>超用率</t>
    <phoneticPr fontId="10"/>
  </si>
  <si>
    <t>日期</t>
    <phoneticPr fontId="13" type="noConversion"/>
  </si>
  <si>
    <t xml:space="preserve">半成品超用(%) </t>
  </si>
  <si>
    <t xml:space="preserve">人時生產性(個/人) </t>
  </si>
  <si>
    <t xml:space="preserve">人時生產性達成率(%) </t>
  </si>
  <si>
    <t>固定產線-導入率(固定產線數/總產線數)</t>
  </si>
  <si>
    <t>教育訓練-實施率(進度/計畫)</t>
  </si>
  <si>
    <t>品類業績</t>
    <phoneticPr fontId="13" type="noConversion"/>
  </si>
  <si>
    <t>業績(元)</t>
    <phoneticPr fontId="13" type="noConversion"/>
  </si>
  <si>
    <t>比例(%)</t>
    <phoneticPr fontId="13" type="noConversion"/>
  </si>
  <si>
    <t>三</t>
    <phoneticPr fontId="13" type="noConversion"/>
  </si>
  <si>
    <t>日</t>
    <phoneticPr fontId="13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</si>
  <si>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3" type="noConversion"/>
  </si>
  <si>
    <t>週累積</t>
    <phoneticPr fontId="13" type="noConversion"/>
  </si>
  <si>
    <t>月累積</t>
    <phoneticPr fontId="13" type="noConversion"/>
  </si>
  <si>
    <t>訂單數量(個)</t>
    <phoneticPr fontId="13" type="noConversion"/>
  </si>
  <si>
    <t>材料費(元)</t>
    <phoneticPr fontId="13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</si>
  <si>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3" type="noConversion"/>
  </si>
  <si>
    <t>材料費率（材料費／營業額）</t>
    <phoneticPr fontId="13" type="noConversion"/>
  </si>
  <si>
    <t>勞務成本（全廠人事成本）</t>
    <phoneticPr fontId="13" type="noConversion"/>
  </si>
  <si>
    <t>勞務費率（勞務成本／營業額）</t>
    <phoneticPr fontId="13" type="noConversion"/>
  </si>
  <si>
    <t>（２）ＫＰＩ達成進度</t>
    <phoneticPr fontId="10"/>
  </si>
  <si>
    <t>（２）ＫＰＩ達成進度</t>
    <phoneticPr fontId="13" type="noConversion"/>
  </si>
  <si>
    <t>週平均</t>
    <phoneticPr fontId="13" type="noConversion"/>
  </si>
  <si>
    <t>月平均</t>
    <phoneticPr fontId="13" type="noConversion"/>
  </si>
  <si>
    <t>一配</t>
    <phoneticPr fontId="13" type="noConversion"/>
  </si>
  <si>
    <t>二配</t>
    <phoneticPr fontId="13" type="noConversion"/>
  </si>
  <si>
    <t>便當</t>
  </si>
  <si>
    <t>便當</t>
    <phoneticPr fontId="13" type="noConversion"/>
  </si>
  <si>
    <t>主食</t>
  </si>
  <si>
    <t>主食</t>
    <phoneticPr fontId="13" type="noConversion"/>
  </si>
  <si>
    <t>熱食義麵</t>
  </si>
  <si>
    <t>季節調理麵</t>
  </si>
  <si>
    <t>微波小吃</t>
  </si>
  <si>
    <t>微波小吃</t>
    <phoneticPr fontId="13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</si>
  <si>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</si>
  <si>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</si>
  <si>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</si>
  <si>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</si>
  <si>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3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</si>
  <si>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</si>
  <si>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</si>
  <si>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t>合計</t>
    <phoneticPr fontId="13" type="noConversion"/>
  </si>
  <si>
    <t>（４）訂單數量構成比</t>
    <phoneticPr fontId="10"/>
  </si>
  <si>
    <t>訂單量</t>
    <phoneticPr fontId="13" type="noConversion"/>
  </si>
  <si>
    <t>訂單數</t>
    <phoneticPr fontId="13" type="noConversion"/>
  </si>
  <si>
    <t>18℃-飯糰</t>
  </si>
  <si>
    <t>18℃-壽司手卷</t>
  </si>
  <si>
    <t>4℃-飯糰</t>
  </si>
  <si>
    <t>4℃-壽司手卷</t>
  </si>
  <si>
    <t>品群</t>
    <phoneticPr fontId="13" type="noConversion"/>
  </si>
  <si>
    <t>資料繳交</t>
    <phoneticPr fontId="13" type="noConversion"/>
  </si>
  <si>
    <t>五</t>
    <phoneticPr fontId="13" type="noConversion"/>
  </si>
  <si>
    <t>二</t>
    <phoneticPr fontId="13" type="noConversion"/>
  </si>
  <si>
    <t>四</t>
    <phoneticPr fontId="13" type="noConversion"/>
  </si>
  <si>
    <t>六</t>
    <phoneticPr fontId="13" type="noConversion"/>
  </si>
  <si>
    <t>一</t>
    <phoneticPr fontId="13" type="noConversion"/>
  </si>
  <si>
    <t>產線配置圖－每週更新</t>
    <phoneticPr fontId="13" type="noConversion"/>
  </si>
  <si>
    <t>製程不穩</t>
    <phoneticPr fontId="10"/>
  </si>
  <si>
    <t>研發設定</t>
    <phoneticPr fontId="10"/>
  </si>
  <si>
    <t>類別</t>
  </si>
  <si>
    <t>備註-商品名稱</t>
  </si>
  <si>
    <t>品群</t>
    <phoneticPr fontId="10"/>
  </si>
  <si>
    <t>原物料規格</t>
    <phoneticPr fontId="10"/>
  </si>
  <si>
    <t>其他原因</t>
    <phoneticPr fontId="10"/>
  </si>
  <si>
    <t>類型</t>
    <phoneticPr fontId="13" type="noConversion"/>
  </si>
  <si>
    <t>作業原因</t>
    <phoneticPr fontId="10"/>
  </si>
  <si>
    <t>類型</t>
    <phoneticPr fontId="13" type="noConversion"/>
  </si>
  <si>
    <t>原料原因</t>
    <phoneticPr fontId="10"/>
  </si>
  <si>
    <t>個／MH</t>
    <phoneticPr fontId="10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</si>
  <si>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0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</si>
  <si>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0"/>
  </si>
  <si>
    <t>項目</t>
    <phoneticPr fontId="13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</si>
  <si>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</si>
  <si>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</si>
  <si>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t>半成品-報廢(%)</t>
    <phoneticPr fontId="10"/>
  </si>
  <si>
    <t>半成品-超用(%)</t>
    <phoneticPr fontId="10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</si>
  <si>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0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</si>
  <si>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0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</si>
  <si>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</si>
  <si>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3" type="noConversion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</si>
  <si>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</si>
  <si>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</si>
  <si>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</si>
  <si>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r>
      <t>季節調理</t>
    </r>
    <r>
      <rPr>
        <sz val="10"/>
        <color rgb="FF000000"/>
        <rFont val="Arial"/>
        <family val="2"/>
      </rPr>
      <t>麵</t>
    </r>
  </si>
  <si>
    <t>（８）報廢原因別前幾名品項</t>
    <phoneticPr fontId="13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</si>
  <si>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</si>
  <si>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</si>
  <si>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</si>
  <si>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</si>
  <si>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3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</si>
  <si>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</si>
  <si>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</si>
  <si>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3" type="noConversion"/>
  </si>
  <si>
    <t>4℃-壽司手卷(077)</t>
  </si>
  <si>
    <t>4℃-壽司手卷(077)</t>
    <phoneticPr fontId="13" type="noConversion"/>
  </si>
  <si>
    <t>18℃-壽司手卷(071,072,075,076)</t>
  </si>
  <si>
    <t>18℃-壽司手卷(071,072,075,076)</t>
    <phoneticPr fontId="13" type="noConversion"/>
  </si>
  <si>
    <t>主食(091,092,093,094,095)</t>
  </si>
  <si>
    <t>主食(091,092,093,094,095)</t>
    <phoneticPr fontId="13" type="noConversion"/>
  </si>
  <si>
    <t>便當(083)</t>
  </si>
  <si>
    <t>便當(083)</t>
    <phoneticPr fontId="13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</si>
  <si>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3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</si>
  <si>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3" type="noConversion"/>
  </si>
  <si>
    <t>微波小吃(153,154,155)</t>
  </si>
  <si>
    <t>微波小吃(153,154,155)</t>
    <phoneticPr fontId="13" type="noConversion"/>
  </si>
  <si>
    <t>4℃-飯糰(065)</t>
  </si>
  <si>
    <t>熱食義麵(122,123,124,126)</t>
  </si>
  <si>
    <t>季節調理麵(111,112)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</si>
  <si>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</si>
  <si>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</si>
  <si>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t>業績金額</t>
    <phoneticPr fontId="13" type="noConversion"/>
  </si>
  <si>
    <t>項目</t>
    <phoneticPr fontId="13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</si>
  <si>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0"/>
  </si>
  <si>
    <t>製程不穩</t>
    <phoneticPr fontId="10"/>
  </si>
  <si>
    <t>抓樣不穩</t>
    <phoneticPr fontId="10"/>
  </si>
  <si>
    <t>比例</t>
    <phoneticPr fontId="10"/>
  </si>
  <si>
    <t>報廢</t>
    <phoneticPr fontId="10"/>
  </si>
  <si>
    <t>超用</t>
    <phoneticPr fontId="10"/>
  </si>
  <si>
    <t>原物料規格</t>
    <phoneticPr fontId="10"/>
  </si>
  <si>
    <t>研發設定</t>
    <phoneticPr fontId="10"/>
  </si>
  <si>
    <t>其他原因</t>
    <phoneticPr fontId="10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</si>
  <si>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3" type="noConversion"/>
  </si>
  <si>
    <t>展開量高於１０5％</t>
    <phoneticPr fontId="10"/>
  </si>
  <si>
    <t>18℃-壽司手卷(071,072,075,076)</t>
    <phoneticPr fontId="13" type="noConversion"/>
  </si>
  <si>
    <t>鮮食品群番</t>
    <phoneticPr fontId="13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</si>
  <si>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</si>
  <si>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</si>
  <si>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</si>
  <si>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</si>
  <si>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</si>
  <si>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</si>
  <si>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</si>
  <si>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</si>
  <si>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</si>
  <si>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</si>
  <si>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</si>
  <si>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</si>
  <si>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</si>
  <si>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</si>
  <si>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</si>
  <si>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</si>
  <si>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</si>
  <si>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</si>
  <si>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</si>
  <si>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</si>
  <si>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</si>
  <si>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</si>
  <si>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</si>
  <si>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</si>
  <si>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</si>
  <si>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</si>
  <si>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</si>
  <si>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</si>
  <si>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</si>
  <si>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</si>
  <si>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</si>
  <si>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</si>
  <si>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</si>
  <si>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</si>
  <si>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</si>
  <si>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</si>
  <si>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</si>
  <si>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</si>
  <si>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</si>
  <si>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</si>
  <si>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</si>
  <si>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</si>
  <si>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</si>
  <si>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</si>
  <si>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</si>
  <si>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</si>
  <si>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</si>
  <si>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</si>
  <si>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</si>
  <si>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</si>
  <si>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</si>
  <si>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</si>
  <si>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</si>
  <si>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</si>
  <si>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</si>
  <si>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</si>
  <si>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</si>
  <si>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</si>
  <si>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</si>
  <si>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</si>
  <si>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</si>
  <si>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</si>
  <si>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</si>
  <si>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</si>
  <si>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</si>
  <si>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3" type="noConversion"/>
  </si>
  <si>
    <t>（3）業績構成比</t>
    <phoneticPr fontId="13" type="noConversion"/>
  </si>
  <si>
    <t>（4）訂單數量構成比</t>
    <phoneticPr fontId="13" type="noConversion"/>
  </si>
  <si>
    <t>展開量高於１０5％</t>
    <phoneticPr fontId="10"/>
  </si>
  <si>
    <t xml:space="preserve">半成品報廢(%) </t>
    <phoneticPr fontId="13" type="noConversion"/>
  </si>
  <si>
    <t>月別</t>
    <phoneticPr fontId="10"/>
  </si>
  <si>
    <t>週別</t>
    <phoneticPr fontId="13" type="noConversion"/>
  </si>
  <si>
    <t>當週</t>
  </si>
  <si>
    <t>當週</t>
    <phoneticPr fontId="10"/>
  </si>
  <si>
    <t>前週</t>
  </si>
  <si>
    <t>前週</t>
    <phoneticPr fontId="13" type="noConversion"/>
  </si>
  <si>
    <t>前週</t>
    <phoneticPr fontId="10"/>
  </si>
  <si>
    <t>月平均人時性</t>
  </si>
  <si>
    <t>KPI</t>
    <phoneticPr fontId="13" type="noConversion"/>
  </si>
  <si>
    <t>18℃-飯糰(061,063)</t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</si>
  <si>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</si>
  <si>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t>生產課</t>
  </si>
  <si>
    <t>其他</t>
  </si>
  <si>
    <t>二配金咖哩果香甘口咖哩飯</t>
  </si>
  <si>
    <t>北海道秋鮭親子飯糰</t>
  </si>
  <si>
    <t>香辣醬粉絲煲</t>
  </si>
  <si>
    <t>調配課</t>
  </si>
  <si>
    <t>調理多產</t>
  </si>
  <si>
    <t>共用類</t>
  </si>
  <si>
    <t>切-炙燒炭火燒肉片</t>
  </si>
  <si>
    <t>二配港式香滑嫩蛋牛肉燴飯</t>
  </si>
  <si>
    <t>營業額(元)</t>
    <phoneticPr fontId="13" type="noConversion"/>
  </si>
  <si>
    <t>營業額</t>
    <phoneticPr fontId="13" type="noConversion"/>
  </si>
  <si>
    <t>經典肉鬆飯糰</t>
  </si>
  <si>
    <t>蔬食鮪魚飯糰</t>
  </si>
  <si>
    <t>熟成紅鮭飯糰</t>
  </si>
  <si>
    <t>鮪魚飯糰</t>
  </si>
  <si>
    <t>贅沢鮭魚肚飯糰</t>
  </si>
  <si>
    <t>壹號醬炙烤牛飯糰</t>
  </si>
  <si>
    <t>明太子龍蝦風味沙拉飯糰</t>
  </si>
  <si>
    <t>鹽蔥燒肉飯糰</t>
  </si>
  <si>
    <t>雞肉飯飯糰</t>
  </si>
  <si>
    <t>碳烤燒肉飯飯糰(區)</t>
  </si>
  <si>
    <t>二配芝麻香鬆飯糰</t>
  </si>
  <si>
    <t>長野稻荷壽司</t>
  </si>
  <si>
    <t>優質池上飯</t>
  </si>
  <si>
    <t>二配哞哞培根奶香海陸焗飯</t>
  </si>
  <si>
    <t>二配黃金雞排蘑菇白醬歐姆蛋飯</t>
  </si>
  <si>
    <t>二配里肌豬排可可咖哩歐姆蛋飯</t>
  </si>
  <si>
    <t>二配香辣醬蒜味香腸蛋炒飯</t>
  </si>
  <si>
    <t>鐵板滑蛋炸豬排丼</t>
  </si>
  <si>
    <t>二配川味麻婆燒豆腐燴飯</t>
  </si>
  <si>
    <t>嫩烤香料雞胸排蔬滿盒</t>
  </si>
  <si>
    <t>新招牌腿排便當</t>
  </si>
  <si>
    <t>美式雞丁餐盒</t>
  </si>
  <si>
    <t>健身G肉餐盒</t>
  </si>
  <si>
    <t>烤蛋白餐盒</t>
  </si>
  <si>
    <t>椒麻香蔥雞涼拌麵</t>
  </si>
  <si>
    <t>台式麻醬涼麵</t>
  </si>
  <si>
    <t>大滿足香辣涼麵</t>
  </si>
  <si>
    <t>大滿足麻醬涼麵</t>
  </si>
  <si>
    <t>糖燻豬耳絲</t>
  </si>
  <si>
    <t>韓式蒜味炸雞</t>
  </si>
  <si>
    <t>古早味炒炊粉</t>
  </si>
  <si>
    <t>麻油雞飯糰</t>
  </si>
  <si>
    <t>淡麗清酒蒸蛤蜊烤飯糰</t>
  </si>
  <si>
    <t>大口日式塔塔醬蝦排飯糰</t>
  </si>
  <si>
    <t>大口歐風焙煎咖哩漢堡排飯糰</t>
  </si>
  <si>
    <t>大口蒜味香腸燒肉雙拼飯糰</t>
  </si>
  <si>
    <t>大口義式香草雞腿排飯糰</t>
  </si>
  <si>
    <t>晉欣廠</t>
    <phoneticPr fontId="13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</si>
  <si>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</si>
  <si>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t>累計</t>
    <phoneticPr fontId="13" type="noConversion"/>
  </si>
  <si>
    <t>製程不穩</t>
  </si>
  <si>
    <t>切烤雞胸肉</t>
  </si>
  <si>
    <t>壹號醬雞豚雙拼</t>
  </si>
  <si>
    <t>切-究極燒肉片</t>
  </si>
  <si>
    <t>平均人時性</t>
    <phoneticPr fontId="13" type="noConversion"/>
  </si>
  <si>
    <t>排名</t>
    <phoneticPr fontId="13" type="noConversion"/>
  </si>
  <si>
    <t>實際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</si>
  <si>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</si>
  <si>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</si>
  <si>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</si>
  <si>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</si>
  <si>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t>人數</t>
    <phoneticPr fontId="10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</si>
  <si>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0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</si>
  <si>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10"/>
  </si>
  <si>
    <t>前週比</t>
    <phoneticPr fontId="13" type="noConversion"/>
  </si>
  <si>
    <t>主要原因&amp;對策</t>
    <phoneticPr fontId="10"/>
  </si>
  <si>
    <t>▼1</t>
    <phoneticPr fontId="10"/>
  </si>
  <si>
    <t>▼2</t>
    <phoneticPr fontId="10"/>
  </si>
  <si>
    <t>▼3</t>
    <phoneticPr fontId="10"/>
  </si>
  <si>
    <t>▼4</t>
    <phoneticPr fontId="10"/>
  </si>
  <si>
    <t>▼5</t>
    <phoneticPr fontId="10"/>
  </si>
  <si>
    <t>燻之味-糖燻雞胗</t>
  </si>
  <si>
    <t>糖燻野郎起司炙燒牛烤飯糰</t>
  </si>
  <si>
    <t>增加線上抽秤頻率</t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</si>
  <si>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0"/>
  </si>
  <si>
    <t>一</t>
  </si>
  <si>
    <t>二</t>
  </si>
  <si>
    <t>三</t>
  </si>
  <si>
    <t>四</t>
  </si>
  <si>
    <t>五</t>
  </si>
  <si>
    <t>六</t>
  </si>
  <si>
    <t>日</t>
  </si>
  <si>
    <r>
      <t>月</t>
    </r>
    <r>
      <rPr>
        <sz val="11"/>
        <color rgb="FFFF0000"/>
        <rFont val="細明體"/>
        <family val="3"/>
        <charset val="136"/>
      </rPr>
      <t>平均</t>
    </r>
    <phoneticPr fontId="13" type="noConversion"/>
  </si>
  <si>
    <t>產線配置圖－月表</t>
    <phoneticPr fontId="13" type="noConversion"/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</si>
  <si>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</si>
  <si>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</si>
  <si>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</si>
  <si>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</si>
  <si>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</t>
    <phoneticPr fontId="13" type="noConversion"/>
  </si>
  <si>
    <t>排名</t>
    <phoneticPr fontId="13" type="noConversion"/>
  </si>
  <si>
    <t>產線配置圖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</si>
  <si>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</si>
  <si>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</si>
  <si>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</si>
  <si>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t>微波小吃</t>
    <phoneticPr fontId="13" type="noConversion"/>
  </si>
  <si>
    <t>海陸雙拼肉肉餐盒</t>
  </si>
  <si>
    <t>取樣不穩</t>
  </si>
  <si>
    <t>蔬活腿排補力餐盒</t>
  </si>
  <si>
    <t>類型</t>
    <phoneticPr fontId="13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</si>
  <si>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</si>
  <si>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t>（８）超用原因別前幾名品項</t>
    <phoneticPr fontId="13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</si>
  <si>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</si>
  <si>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t>製程不穩</t>
    <phoneticPr fontId="10"/>
  </si>
  <si>
    <t>取樣不穩</t>
    <phoneticPr fontId="10"/>
  </si>
  <si>
    <t>原物料規格</t>
    <phoneticPr fontId="10"/>
  </si>
  <si>
    <t>研發設定</t>
    <phoneticPr fontId="10"/>
  </si>
  <si>
    <t>其他原因</t>
    <phoneticPr fontId="10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</si>
  <si>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</si>
  <si>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t>原物料大小、厚薄差異</t>
  </si>
  <si>
    <t>其他原因</t>
  </si>
  <si>
    <t>占比</t>
    <phoneticPr fontId="13" type="noConversion"/>
  </si>
  <si>
    <t>金額</t>
    <phoneticPr fontId="13" type="noConversion"/>
  </si>
  <si>
    <t>二配三杯醬爆菇菇飯糰</t>
  </si>
  <si>
    <t>兩粒飯糰(鮪魚.焦糖鮭魚)</t>
  </si>
  <si>
    <t/>
  </si>
  <si>
    <t>二配泰式綠咖哩雞</t>
  </si>
  <si>
    <t>香腸腿排雙拼便當</t>
  </si>
  <si>
    <t>日式蕎麥沾麵</t>
  </si>
  <si>
    <t>二配金咖哩濃厚辛口咖哩飯</t>
  </si>
  <si>
    <t>蒜炒紅K高麗菜(111年)</t>
  </si>
  <si>
    <t>川燙青花菜</t>
  </si>
  <si>
    <t>二配起司控培根白醬焗烤飯</t>
  </si>
  <si>
    <t>W4</t>
    <phoneticPr fontId="13" type="noConversion"/>
  </si>
  <si>
    <t>二配大飯糰韓式蒜烤豬五花</t>
  </si>
  <si>
    <r>
      <t>18℃-飯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3" type="noConversion"/>
  </si>
  <si>
    <r>
      <t>18℃-飯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3" type="noConversion"/>
  </si>
  <si>
    <t>平均人時性</t>
    <phoneticPr fontId="13" type="noConversion"/>
  </si>
  <si>
    <t>排名</t>
    <phoneticPr fontId="13" type="noConversion"/>
  </si>
  <si>
    <t>實際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</si>
  <si>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</si>
  <si>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</si>
  <si>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</si>
  <si>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</si>
  <si>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t>日期</t>
    <phoneticPr fontId="13" type="noConversion"/>
  </si>
  <si>
    <t>二</t>
    <phoneticPr fontId="13" type="noConversion"/>
  </si>
  <si>
    <t>三</t>
    <phoneticPr fontId="13" type="noConversion"/>
  </si>
  <si>
    <t>四</t>
    <phoneticPr fontId="13" type="noConversion"/>
  </si>
  <si>
    <t>五</t>
    <phoneticPr fontId="13" type="noConversion"/>
  </si>
  <si>
    <t>六</t>
    <phoneticPr fontId="13" type="noConversion"/>
  </si>
  <si>
    <t>日</t>
    <phoneticPr fontId="13" type="noConversion"/>
  </si>
  <si>
    <t>一</t>
    <phoneticPr fontId="13" type="noConversion"/>
  </si>
  <si>
    <t>平均人時性</t>
    <phoneticPr fontId="13" type="noConversion"/>
  </si>
  <si>
    <t>排名</t>
    <phoneticPr fontId="13" type="noConversion"/>
  </si>
  <si>
    <t>日報</t>
    <phoneticPr fontId="13" type="noConversion"/>
  </si>
  <si>
    <t>實際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</si>
  <si>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</si>
  <si>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</si>
  <si>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</si>
  <si>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</si>
  <si>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t>鮭魚奶油醬油飯糰</t>
  </si>
  <si>
    <t>品群</t>
  </si>
  <si>
    <t>商品名稱</t>
  </si>
  <si>
    <t>計畫</t>
  </si>
  <si>
    <t>平均人時性</t>
  </si>
  <si>
    <t>實績</t>
  </si>
  <si>
    <t>排名</t>
  </si>
  <si>
    <t>日報</t>
  </si>
  <si>
    <t>產線配置圖</t>
  </si>
  <si>
    <t>人數</t>
  </si>
  <si>
    <t>產能／時</t>
  </si>
  <si>
    <t>人時性</t>
  </si>
  <si>
    <t>品群</t>
    <phoneticPr fontId="10"/>
  </si>
  <si>
    <t>排名</t>
    <phoneticPr fontId="10"/>
  </si>
  <si>
    <t>產線配置圖－每週更新</t>
    <phoneticPr fontId="13" type="noConversion"/>
  </si>
  <si>
    <t>資料繳交</t>
    <phoneticPr fontId="13" type="noConversion"/>
  </si>
  <si>
    <t>日期</t>
    <phoneticPr fontId="13" type="noConversion"/>
  </si>
  <si>
    <t>三</t>
    <phoneticPr fontId="13" type="noConversion"/>
  </si>
  <si>
    <t>五</t>
    <phoneticPr fontId="13" type="noConversion"/>
  </si>
  <si>
    <t>日</t>
    <phoneticPr fontId="13" type="noConversion"/>
  </si>
  <si>
    <t>平均人時性</t>
    <phoneticPr fontId="13" type="noConversion"/>
  </si>
  <si>
    <t>生產實績</t>
    <phoneticPr fontId="13" type="noConversion"/>
  </si>
  <si>
    <t>產能／時</t>
    <phoneticPr fontId="13" type="noConversion"/>
  </si>
  <si>
    <t>人時性</t>
    <phoneticPr fontId="13" type="noConversion"/>
  </si>
  <si>
    <t>人數</t>
    <phoneticPr fontId="13" type="noConversion"/>
  </si>
  <si>
    <t>排名</t>
    <phoneticPr fontId="13" type="noConversion"/>
  </si>
  <si>
    <t>日報</t>
    <phoneticPr fontId="13" type="noConversion"/>
  </si>
  <si>
    <t>實際</t>
    <phoneticPr fontId="13" type="noConversion"/>
  </si>
  <si>
    <t>二配炒解凍11N培根片</t>
  </si>
  <si>
    <t>單價高</t>
  </si>
  <si>
    <t>二配川燙醃嫩化淨零碳排牛肉片</t>
  </si>
  <si>
    <t>增加線上抽秤頻率，維持人員放料手感</t>
  </si>
  <si>
    <t>回饋研發，後續開發列入考量，設定放料量範圍。</t>
  </si>
  <si>
    <t>月平均人時性</t>
    <phoneticPr fontId="13" type="noConversion"/>
  </si>
  <si>
    <t>產線配置圖－每週更新</t>
    <phoneticPr fontId="13" type="noConversion"/>
  </si>
  <si>
    <t>資料繳交</t>
    <phoneticPr fontId="13" type="noConversion"/>
  </si>
  <si>
    <t>日期</t>
    <phoneticPr fontId="13" type="noConversion"/>
  </si>
  <si>
    <t>二</t>
    <phoneticPr fontId="13" type="noConversion"/>
  </si>
  <si>
    <t>三</t>
    <phoneticPr fontId="13" type="noConversion"/>
  </si>
  <si>
    <t>四</t>
    <phoneticPr fontId="13" type="noConversion"/>
  </si>
  <si>
    <t>五</t>
    <phoneticPr fontId="13" type="noConversion"/>
  </si>
  <si>
    <t>六</t>
    <phoneticPr fontId="13" type="noConversion"/>
  </si>
  <si>
    <t>日</t>
    <phoneticPr fontId="13" type="noConversion"/>
  </si>
  <si>
    <t>一</t>
    <phoneticPr fontId="13" type="noConversion"/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</si>
  <si>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</si>
  <si>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</si>
  <si>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</si>
  <si>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</si>
  <si>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</t>
    <phoneticPr fontId="13" type="noConversion"/>
  </si>
  <si>
    <t>排名</t>
    <phoneticPr fontId="13" type="noConversion"/>
  </si>
  <si>
    <t>日報</t>
    <phoneticPr fontId="13" type="noConversion"/>
  </si>
  <si>
    <t>實際</t>
    <phoneticPr fontId="13" type="noConversion"/>
  </si>
  <si>
    <t>產線配置圖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</si>
  <si>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</si>
  <si>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</si>
  <si>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</si>
  <si>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</si>
  <si>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3" type="noConversion"/>
  </si>
  <si>
    <t>產線配置圖－月表</t>
    <phoneticPr fontId="13" type="noConversion"/>
  </si>
  <si>
    <t>烤飯糰1</t>
    <phoneticPr fontId="13" type="noConversion"/>
  </si>
  <si>
    <t>烤飯糰2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</si>
  <si>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</si>
  <si>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3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</si>
  <si>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</si>
  <si>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主食</t>
    <phoneticPr fontId="13" type="noConversion"/>
  </si>
  <si>
    <t>便當</t>
    <phoneticPr fontId="13" type="noConversion"/>
  </si>
  <si>
    <t>好吃雞肉便當</t>
  </si>
  <si>
    <t>熱食義麵</t>
    <phoneticPr fontId="13" type="noConversion"/>
  </si>
  <si>
    <t>季節調理麵</t>
    <phoneticPr fontId="13" type="noConversion"/>
  </si>
  <si>
    <t>蒸-醬香雞肉絲CL(全)</t>
  </si>
  <si>
    <t>解凍-醬油漬鮭魚卵</t>
  </si>
  <si>
    <t>品群</t>
    <phoneticPr fontId="10"/>
  </si>
  <si>
    <t>排名</t>
    <phoneticPr fontId="10"/>
  </si>
  <si>
    <t>人數</t>
    <phoneticPr fontId="10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</si>
  <si>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0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</si>
  <si>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10"/>
  </si>
  <si>
    <t>前週比</t>
    <phoneticPr fontId="13" type="noConversion"/>
  </si>
  <si>
    <t>主要原因&amp;對策</t>
    <phoneticPr fontId="10"/>
  </si>
  <si>
    <t>媽媽煮藝-鹹酥雞</t>
  </si>
  <si>
    <r>
      <t>2026/1月</t>
    </r>
    <r>
      <rPr>
        <sz val="10"/>
        <color rgb="FF000000"/>
        <rFont val="細明體"/>
        <family val="3"/>
        <charset val="136"/>
      </rPr>
      <t/>
    </r>
    <phoneticPr fontId="13" type="noConversion"/>
  </si>
  <si>
    <r>
      <t>2026/2月</t>
    </r>
    <r>
      <rPr>
        <sz val="10"/>
        <color rgb="FF000000"/>
        <rFont val="細明體"/>
        <family val="3"/>
        <charset val="136"/>
      </rPr>
      <t/>
    </r>
    <phoneticPr fontId="13" type="noConversion"/>
  </si>
  <si>
    <r>
      <t>2026/3月</t>
    </r>
    <r>
      <rPr>
        <sz val="10"/>
        <color rgb="FF000000"/>
        <rFont val="細明體"/>
        <family val="3"/>
        <charset val="136"/>
      </rPr>
      <t/>
    </r>
  </si>
  <si>
    <r>
      <t>2026/4月</t>
    </r>
    <r>
      <rPr>
        <sz val="10"/>
        <color rgb="FF000000"/>
        <rFont val="細明體"/>
        <family val="3"/>
        <charset val="136"/>
      </rPr>
      <t/>
    </r>
  </si>
  <si>
    <r>
      <t>2026/5月</t>
    </r>
    <r>
      <rPr>
        <sz val="10"/>
        <color rgb="FF000000"/>
        <rFont val="細明體"/>
        <family val="3"/>
        <charset val="136"/>
      </rPr>
      <t/>
    </r>
  </si>
  <si>
    <r>
      <t>2026/6月</t>
    </r>
    <r>
      <rPr>
        <sz val="10"/>
        <color rgb="FF000000"/>
        <rFont val="細明體"/>
        <family val="3"/>
        <charset val="136"/>
      </rPr>
      <t/>
    </r>
  </si>
  <si>
    <r>
      <t>2026/7月</t>
    </r>
    <r>
      <rPr>
        <sz val="10"/>
        <color rgb="FF000000"/>
        <rFont val="細明體"/>
        <family val="3"/>
        <charset val="136"/>
      </rPr>
      <t/>
    </r>
  </si>
  <si>
    <r>
      <t>2026/8月</t>
    </r>
    <r>
      <rPr>
        <sz val="10"/>
        <color rgb="FF000000"/>
        <rFont val="細明體"/>
        <family val="3"/>
        <charset val="136"/>
      </rPr>
      <t/>
    </r>
  </si>
  <si>
    <r>
      <t>2026/9月</t>
    </r>
    <r>
      <rPr>
        <sz val="10"/>
        <color rgb="FF000000"/>
        <rFont val="細明體"/>
        <family val="3"/>
        <charset val="136"/>
      </rPr>
      <t/>
    </r>
  </si>
  <si>
    <r>
      <t>2026/10月</t>
    </r>
    <r>
      <rPr>
        <sz val="10"/>
        <color rgb="FF000000"/>
        <rFont val="細明體"/>
        <family val="3"/>
        <charset val="136"/>
      </rPr>
      <t/>
    </r>
  </si>
  <si>
    <r>
      <t>2026/11月</t>
    </r>
    <r>
      <rPr>
        <sz val="10"/>
        <color rgb="FF000000"/>
        <rFont val="細明體"/>
        <family val="3"/>
        <charset val="136"/>
      </rPr>
      <t/>
    </r>
  </si>
  <si>
    <r>
      <t>2026/12月</t>
    </r>
    <r>
      <rPr>
        <sz val="10"/>
        <color rgb="FF000000"/>
        <rFont val="細明體"/>
        <family val="3"/>
        <charset val="136"/>
      </rPr>
      <t/>
    </r>
  </si>
  <si>
    <t xml:space="preserve">人時性(個/月均) </t>
  </si>
  <si>
    <t xml:space="preserve">人時達成率(%/月均) </t>
  </si>
  <si>
    <t>半成品-報廢(%)</t>
  </si>
  <si>
    <t>半成品-超用(%)</t>
  </si>
  <si>
    <t>訂單數量</t>
  </si>
  <si>
    <t>煙燻培根飯糰(區)</t>
  </si>
  <si>
    <t>二配溏心蛋五目飯糰</t>
  </si>
  <si>
    <t>二配鐵板豆腐燴蛋蓋飯</t>
  </si>
  <si>
    <t>壹號醬壽喜燒牛丼</t>
  </si>
  <si>
    <t>韓式泡菜豬肉豆腐丼飯</t>
  </si>
  <si>
    <t>媽媽煮藝-香滷牛肚絲</t>
  </si>
  <si>
    <t>香檸奶油魚排蔬滿盒</t>
  </si>
  <si>
    <t>賣相要求</t>
  </si>
  <si>
    <t>炒壽喜燒牛五花</t>
  </si>
  <si>
    <t>原物料的大小長短、油花分布不同導致相同賣相的需求下用量不一樣。</t>
  </si>
  <si>
    <r>
      <t>業績金額(</t>
    </r>
    <r>
      <rPr>
        <sz val="10"/>
        <color rgb="FF000000"/>
        <rFont val="細明體"/>
        <family val="3"/>
        <charset val="136"/>
      </rPr>
      <t>千元</t>
    </r>
    <r>
      <rPr>
        <sz val="10"/>
        <color rgb="FF000000"/>
        <rFont val="Meiryo UI"/>
        <family val="2"/>
      </rPr>
      <t>)</t>
    </r>
    <phoneticPr fontId="13" type="noConversion"/>
  </si>
  <si>
    <t>材料費(千元)</t>
    <phoneticPr fontId="13" type="noConversion"/>
  </si>
  <si>
    <t>勞務成本(千元)</t>
    <phoneticPr fontId="13" type="noConversion"/>
  </si>
  <si>
    <t>項目</t>
    <phoneticPr fontId="13" type="noConversion"/>
  </si>
  <si>
    <t>合計/平均</t>
    <phoneticPr fontId="13" type="noConversion"/>
  </si>
  <si>
    <t>平均人時性</t>
    <phoneticPr fontId="13" type="noConversion"/>
  </si>
  <si>
    <t>排名</t>
    <phoneticPr fontId="13" type="noConversion"/>
  </si>
  <si>
    <t>平均人時性</t>
    <phoneticPr fontId="13" type="noConversion"/>
  </si>
  <si>
    <t>實際</t>
    <phoneticPr fontId="13" type="noConversion"/>
  </si>
  <si>
    <t>實際</t>
    <phoneticPr fontId="13" type="noConversion"/>
  </si>
  <si>
    <t>實際</t>
    <phoneticPr fontId="13" type="noConversion"/>
  </si>
  <si>
    <t>平均人時性</t>
    <phoneticPr fontId="13" type="noConversion"/>
  </si>
  <si>
    <t>生產實績</t>
    <phoneticPr fontId="13" type="noConversion"/>
  </si>
  <si>
    <t>生產實績</t>
    <phoneticPr fontId="13" type="noConversion"/>
  </si>
  <si>
    <t>生產實績</t>
    <phoneticPr fontId="13" type="noConversion"/>
  </si>
  <si>
    <t>人數</t>
    <phoneticPr fontId="13" type="noConversion"/>
  </si>
  <si>
    <t>人時性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</si>
  <si>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</si>
  <si>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</si>
  <si>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</si>
  <si>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t>排名</t>
    <phoneticPr fontId="13" type="noConversion"/>
  </si>
  <si>
    <t>資料繳交</t>
    <phoneticPr fontId="13" type="noConversion"/>
  </si>
  <si>
    <t>日期</t>
    <phoneticPr fontId="13" type="noConversion"/>
  </si>
  <si>
    <t>二</t>
    <phoneticPr fontId="13" type="noConversion"/>
  </si>
  <si>
    <t>三</t>
    <phoneticPr fontId="13" type="noConversion"/>
  </si>
  <si>
    <t>四</t>
    <phoneticPr fontId="13" type="noConversion"/>
  </si>
  <si>
    <t>五</t>
    <phoneticPr fontId="13" type="noConversion"/>
  </si>
  <si>
    <t>六</t>
    <phoneticPr fontId="13" type="noConversion"/>
  </si>
  <si>
    <t>日</t>
    <phoneticPr fontId="13" type="noConversion"/>
  </si>
  <si>
    <t>一</t>
    <phoneticPr fontId="13" type="noConversion"/>
  </si>
  <si>
    <t>日報</t>
    <phoneticPr fontId="13" type="noConversion"/>
  </si>
  <si>
    <t>實際</t>
    <phoneticPr fontId="13" type="noConversion"/>
  </si>
  <si>
    <t>二配鹽水G絲飯糰</t>
  </si>
  <si>
    <t>柚檸海灣貝飯糰</t>
  </si>
  <si>
    <t>山葵章魚飯糰</t>
  </si>
  <si>
    <t>平均人時性</t>
    <phoneticPr fontId="13" type="noConversion"/>
  </si>
  <si>
    <t>平均人時性</t>
    <phoneticPr fontId="13" type="noConversion"/>
  </si>
  <si>
    <t>平均人時性</t>
    <phoneticPr fontId="13" type="noConversion"/>
  </si>
  <si>
    <t>生產實績</t>
    <phoneticPr fontId="13" type="noConversion"/>
  </si>
  <si>
    <t>產能／時</t>
    <phoneticPr fontId="13" type="noConversion"/>
  </si>
  <si>
    <t>排名</t>
    <phoneticPr fontId="13" type="noConversion"/>
  </si>
  <si>
    <t>人數</t>
    <phoneticPr fontId="13" type="noConversion"/>
  </si>
  <si>
    <t>人數</t>
    <phoneticPr fontId="13" type="noConversion"/>
  </si>
  <si>
    <t>人時性</t>
    <phoneticPr fontId="13" type="noConversion"/>
  </si>
  <si>
    <t>排名</t>
    <phoneticPr fontId="13" type="noConversion"/>
  </si>
  <si>
    <t>產能／時</t>
    <phoneticPr fontId="13" type="noConversion"/>
  </si>
  <si>
    <t>人時性</t>
    <phoneticPr fontId="13" type="noConversion"/>
  </si>
  <si>
    <t>產能／時</t>
    <phoneticPr fontId="13" type="noConversion"/>
  </si>
  <si>
    <t>人數</t>
    <phoneticPr fontId="13" type="noConversion"/>
  </si>
  <si>
    <t>資料繳交</t>
    <phoneticPr fontId="13" type="noConversion"/>
  </si>
  <si>
    <t>日期</t>
    <phoneticPr fontId="13" type="noConversion"/>
  </si>
  <si>
    <t>三</t>
    <phoneticPr fontId="13" type="noConversion"/>
  </si>
  <si>
    <t>四</t>
    <phoneticPr fontId="13" type="noConversion"/>
  </si>
  <si>
    <t>六</t>
    <phoneticPr fontId="13" type="noConversion"/>
  </si>
  <si>
    <t>日</t>
    <phoneticPr fontId="13" type="noConversion"/>
  </si>
  <si>
    <t>鮭鮪海饌雙手卷</t>
  </si>
  <si>
    <t>經典人氣雙手卷</t>
  </si>
  <si>
    <t>四</t>
    <phoneticPr fontId="13" type="noConversion"/>
  </si>
  <si>
    <t>五</t>
    <phoneticPr fontId="13" type="noConversion"/>
  </si>
  <si>
    <t>實際</t>
    <phoneticPr fontId="13" type="noConversion"/>
  </si>
  <si>
    <t>生產實績</t>
    <phoneticPr fontId="13" type="noConversion"/>
  </si>
  <si>
    <t>排名</t>
    <phoneticPr fontId="13" type="noConversion"/>
  </si>
  <si>
    <t>產能／時</t>
    <phoneticPr fontId="13" type="noConversion"/>
  </si>
  <si>
    <t>產能／時</t>
    <phoneticPr fontId="13" type="noConversion"/>
  </si>
  <si>
    <t>人數</t>
    <phoneticPr fontId="13" type="noConversion"/>
  </si>
  <si>
    <t>排名</t>
    <phoneticPr fontId="13" type="noConversion"/>
  </si>
  <si>
    <t>人時性</t>
    <phoneticPr fontId="13" type="noConversion"/>
  </si>
  <si>
    <t>Q彈燕麥飯</t>
  </si>
  <si>
    <t>鐵道滷排便當</t>
  </si>
  <si>
    <t>平均人時性</t>
    <phoneticPr fontId="13" type="noConversion"/>
  </si>
  <si>
    <t>實際</t>
    <phoneticPr fontId="13" type="noConversion"/>
  </si>
  <si>
    <t>排名</t>
    <phoneticPr fontId="13" type="noConversion"/>
  </si>
  <si>
    <t>排名</t>
    <phoneticPr fontId="13" type="noConversion"/>
  </si>
  <si>
    <t>人時性</t>
    <phoneticPr fontId="13" type="noConversion"/>
  </si>
  <si>
    <t>人數</t>
    <phoneticPr fontId="13" type="noConversion"/>
  </si>
  <si>
    <t>排名</t>
    <phoneticPr fontId="13" type="noConversion"/>
  </si>
  <si>
    <t>二</t>
    <phoneticPr fontId="13" type="noConversion"/>
  </si>
  <si>
    <t>三</t>
    <phoneticPr fontId="13" type="noConversion"/>
  </si>
  <si>
    <t>五</t>
    <phoneticPr fontId="13" type="noConversion"/>
  </si>
  <si>
    <t>六</t>
    <phoneticPr fontId="13" type="noConversion"/>
  </si>
  <si>
    <t>韓式黑嚕嚕炸醬麵</t>
  </si>
  <si>
    <t>炸醬炒泡麵</t>
  </si>
  <si>
    <t>平均人時性</t>
    <phoneticPr fontId="13" type="noConversion"/>
  </si>
  <si>
    <t>實際</t>
    <phoneticPr fontId="13" type="noConversion"/>
  </si>
  <si>
    <t>平均人時性</t>
    <phoneticPr fontId="13" type="noConversion"/>
  </si>
  <si>
    <t>生產實績</t>
    <phoneticPr fontId="13" type="noConversion"/>
  </si>
  <si>
    <t>生產實績</t>
    <phoneticPr fontId="13" type="noConversion"/>
  </si>
  <si>
    <t>人時性</t>
    <phoneticPr fontId="13" type="noConversion"/>
  </si>
  <si>
    <t>產能／時</t>
    <phoneticPr fontId="13" type="noConversion"/>
  </si>
  <si>
    <t>日期</t>
    <phoneticPr fontId="13" type="noConversion"/>
  </si>
  <si>
    <t>二</t>
    <phoneticPr fontId="13" type="noConversion"/>
  </si>
  <si>
    <t>四</t>
    <phoneticPr fontId="13" type="noConversion"/>
  </si>
  <si>
    <t>五</t>
    <phoneticPr fontId="13" type="noConversion"/>
  </si>
  <si>
    <t>和風涓絲冷麵</t>
  </si>
  <si>
    <t>二配兩粒飯糰(鮪魚.焦糖鮭魚)</t>
  </si>
  <si>
    <t>滿滿高麗菜豆芽鐵板麵</t>
  </si>
  <si>
    <t>鰹魚烏龍冷麵</t>
  </si>
  <si>
    <t>煮黑嚕嚕炸醬</t>
  </si>
  <si>
    <t>冰杓放料，冰杓滿度差異、半成品均勻度影響放料量</t>
  </si>
  <si>
    <t>半成品使用前先攪拌均勻。生產前及生產中確認設定及實際放料狀況</t>
  </si>
  <si>
    <t>二配鼎泰豐-麻婆豆腐燴汁(113年)</t>
  </si>
  <si>
    <t>平均人時性</t>
    <phoneticPr fontId="13" type="noConversion"/>
  </si>
  <si>
    <t>排名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</si>
  <si>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</si>
  <si>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</si>
  <si>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</si>
  <si>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t>實際</t>
    <phoneticPr fontId="13" type="noConversion"/>
  </si>
  <si>
    <t>資料繳交</t>
    <phoneticPr fontId="13" type="noConversion"/>
  </si>
  <si>
    <t>日期</t>
    <phoneticPr fontId="13" type="noConversion"/>
  </si>
  <si>
    <t>二</t>
    <phoneticPr fontId="13" type="noConversion"/>
  </si>
  <si>
    <t>三</t>
    <phoneticPr fontId="13" type="noConversion"/>
  </si>
  <si>
    <t>四</t>
    <phoneticPr fontId="13" type="noConversion"/>
  </si>
  <si>
    <t>五</t>
    <phoneticPr fontId="13" type="noConversion"/>
  </si>
  <si>
    <t>日</t>
    <phoneticPr fontId="13" type="noConversion"/>
  </si>
  <si>
    <t>一</t>
    <phoneticPr fontId="13" type="noConversion"/>
  </si>
  <si>
    <t>生產實績</t>
    <phoneticPr fontId="13" type="noConversion"/>
  </si>
  <si>
    <t>黑胡椒洋蔥豬飯糰</t>
  </si>
  <si>
    <t>資料繳交</t>
    <phoneticPr fontId="13" type="noConversion"/>
  </si>
  <si>
    <t>日期</t>
    <phoneticPr fontId="13" type="noConversion"/>
  </si>
  <si>
    <t>五</t>
    <phoneticPr fontId="13" type="noConversion"/>
  </si>
  <si>
    <t>六</t>
    <phoneticPr fontId="13" type="noConversion"/>
  </si>
  <si>
    <t>日</t>
    <phoneticPr fontId="13" type="noConversion"/>
  </si>
  <si>
    <t>一</t>
    <phoneticPr fontId="13" type="noConversion"/>
  </si>
  <si>
    <t>日報</t>
    <phoneticPr fontId="13" type="noConversion"/>
  </si>
  <si>
    <t>椒鹽檸檬鯖魚飯糰</t>
  </si>
  <si>
    <t>資料繳交</t>
    <phoneticPr fontId="13" type="noConversion"/>
  </si>
  <si>
    <t>二</t>
    <phoneticPr fontId="13" type="noConversion"/>
  </si>
  <si>
    <t>三</t>
    <phoneticPr fontId="13" type="noConversion"/>
  </si>
  <si>
    <t>日式炙烤親子丼</t>
  </si>
  <si>
    <t>二配香烤魚排青醬燉飯</t>
  </si>
  <si>
    <t>日期</t>
    <phoneticPr fontId="13" type="noConversion"/>
  </si>
  <si>
    <t>二</t>
    <phoneticPr fontId="13" type="noConversion"/>
  </si>
  <si>
    <t>三</t>
    <phoneticPr fontId="13" type="noConversion"/>
  </si>
  <si>
    <t>四</t>
    <phoneticPr fontId="13" type="noConversion"/>
  </si>
  <si>
    <t>五</t>
    <phoneticPr fontId="13" type="noConversion"/>
  </si>
  <si>
    <t>六</t>
    <phoneticPr fontId="13" type="noConversion"/>
  </si>
  <si>
    <t>日</t>
    <phoneticPr fontId="13" type="noConversion"/>
  </si>
  <si>
    <t>一</t>
    <phoneticPr fontId="13" type="noConversion"/>
  </si>
  <si>
    <t>平均人時性</t>
    <phoneticPr fontId="13" type="noConversion"/>
  </si>
  <si>
    <t>排名</t>
    <phoneticPr fontId="13" type="noConversion"/>
  </si>
  <si>
    <t>日報</t>
    <phoneticPr fontId="13" type="noConversion"/>
  </si>
  <si>
    <t>實際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</si>
  <si>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</si>
  <si>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</si>
  <si>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</si>
  <si>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</si>
  <si>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t>日期</t>
    <phoneticPr fontId="13" type="noConversion"/>
  </si>
  <si>
    <t>二</t>
    <phoneticPr fontId="13" type="noConversion"/>
  </si>
  <si>
    <t>三</t>
    <phoneticPr fontId="13" type="noConversion"/>
  </si>
  <si>
    <t>四</t>
    <phoneticPr fontId="13" type="noConversion"/>
  </si>
  <si>
    <t>五</t>
    <phoneticPr fontId="13" type="noConversion"/>
  </si>
  <si>
    <t>六</t>
    <phoneticPr fontId="13" type="noConversion"/>
  </si>
  <si>
    <t>日</t>
    <phoneticPr fontId="13" type="noConversion"/>
  </si>
  <si>
    <t>一</t>
    <phoneticPr fontId="13" type="noConversion"/>
  </si>
  <si>
    <t>懷舊滷雙拼便當</t>
  </si>
  <si>
    <t>黑胡椒毛豆</t>
  </si>
  <si>
    <t>毛豆三兄弟</t>
  </si>
  <si>
    <t>明太子生鮭飯糰(區)</t>
  </si>
  <si>
    <t>二配厚香料優格咖哩雞排飯</t>
  </si>
  <si>
    <t>二配打拋風味豬肉飯</t>
  </si>
  <si>
    <t>皮蛋辣拌麵</t>
  </si>
  <si>
    <t>慢燉滷肉油蔥粄條</t>
  </si>
  <si>
    <t>日式胡麻雞絲冷麵</t>
  </si>
  <si>
    <t>嘉義崇文白醋涼麵</t>
  </si>
  <si>
    <t>雞汁油蔥手工麵線</t>
  </si>
  <si>
    <t>煮皮蛋拌麵醬</t>
  </si>
  <si>
    <t>展開量高於需求量</t>
    <phoneticPr fontId="10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</si>
  <si>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</si>
  <si>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t>製程不穩</t>
    <phoneticPr fontId="10"/>
  </si>
  <si>
    <t>二配炒打拋肉醬</t>
  </si>
  <si>
    <t>蒸手撕雞</t>
  </si>
  <si>
    <t>二配鼎泰豐-煮麻婆豆腐(113年)</t>
  </si>
  <si>
    <t>展開量高於需求量</t>
  </si>
  <si>
    <t>%</t>
  </si>
  <si>
    <t>元</t>
  </si>
  <si>
    <r>
      <t>調理多</t>
    </r>
    <r>
      <rPr>
        <sz val="12"/>
        <color theme="1"/>
        <rFont val="微軟正黑體"/>
        <family val="2"/>
        <charset val="136"/>
      </rPr>
      <t>產</t>
    </r>
  </si>
  <si>
    <t>百分比</t>
  </si>
  <si>
    <t>生產前先行撥散半成品，便於人員放樣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</si>
  <si>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</si>
  <si>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t>晉欣廠半成品管理日別總表</t>
    <phoneticPr fontId="13" type="noConversion"/>
  </si>
  <si>
    <r>
      <rPr>
        <b/>
        <sz val="16"/>
        <color theme="1"/>
        <rFont val="微軟正黑體"/>
        <family val="2"/>
        <charset val="136"/>
      </rPr>
      <t>日期</t>
    </r>
    <phoneticPr fontId="82" type="noConversion"/>
  </si>
  <si>
    <r>
      <rPr>
        <b/>
        <sz val="16"/>
        <color theme="1"/>
        <rFont val="微軟正黑體"/>
        <family val="2"/>
        <charset val="136"/>
      </rPr>
      <t>營業額</t>
    </r>
    <phoneticPr fontId="13" type="noConversion"/>
  </si>
  <si>
    <r>
      <rPr>
        <b/>
        <sz val="16"/>
        <color theme="1"/>
        <rFont val="微軟正黑體"/>
        <family val="2"/>
        <charset val="136"/>
      </rPr>
      <t>報廢額</t>
    </r>
    <phoneticPr fontId="82" type="noConversion"/>
  </si>
  <si>
    <r>
      <rPr>
        <b/>
        <sz val="16"/>
        <color theme="1"/>
        <rFont val="微軟正黑體"/>
        <family val="2"/>
        <charset val="136"/>
      </rPr>
      <t xml:space="preserve">報廢率
</t>
    </r>
    <r>
      <rPr>
        <b/>
        <sz val="16"/>
        <color theme="1"/>
        <rFont val="Noto Sans CJK SC"/>
        <family val="2"/>
      </rPr>
      <t xml:space="preserve">KPI </t>
    </r>
    <r>
      <rPr>
        <b/>
        <sz val="16"/>
        <color rgb="FFFF0000"/>
        <rFont val="Noto Sans CJK SC"/>
        <family val="2"/>
      </rPr>
      <t>0.25%</t>
    </r>
    <phoneticPr fontId="13" type="noConversion"/>
  </si>
  <si>
    <r>
      <rPr>
        <b/>
        <sz val="16"/>
        <color theme="1"/>
        <rFont val="微軟正黑體"/>
        <family val="2"/>
        <charset val="136"/>
      </rPr>
      <t>超用額</t>
    </r>
    <phoneticPr fontId="82" type="noConversion"/>
  </si>
  <si>
    <r>
      <rPr>
        <b/>
        <sz val="16"/>
        <color theme="1"/>
        <rFont val="微軟正黑體"/>
        <family val="2"/>
        <charset val="136"/>
      </rPr>
      <t>超用率</t>
    </r>
    <phoneticPr fontId="13" type="noConversion"/>
  </si>
  <si>
    <t>營業額合計</t>
    <phoneticPr fontId="13" type="noConversion"/>
  </si>
  <si>
    <r>
      <rPr>
        <b/>
        <sz val="16"/>
        <color rgb="FF000000"/>
        <rFont val="微軟正黑體"/>
        <family val="2"/>
        <charset val="136"/>
      </rPr>
      <t>廢棄週合計</t>
    </r>
    <phoneticPr fontId="13" type="noConversion"/>
  </si>
  <si>
    <r>
      <rPr>
        <b/>
        <sz val="16"/>
        <color rgb="FF000000"/>
        <rFont val="微軟正黑體"/>
        <family val="2"/>
        <charset val="136"/>
      </rPr>
      <t>超用週合計</t>
    </r>
    <phoneticPr fontId="13" type="noConversion"/>
  </si>
  <si>
    <r>
      <rPr>
        <sz val="14"/>
        <rFont val="微軟正黑體"/>
        <family val="2"/>
        <charset val="136"/>
      </rPr>
      <t>營業額合計</t>
    </r>
    <phoneticPr fontId="82" type="noConversion"/>
  </si>
  <si>
    <t>報廢合計</t>
    <phoneticPr fontId="82" type="noConversion"/>
  </si>
  <si>
    <t>超用合計</t>
    <phoneticPr fontId="82" type="noConversion"/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</si>
  <si>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</si>
  <si>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</si>
  <si>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</si>
  <si>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</si>
  <si>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</t>
    <phoneticPr fontId="13" type="noConversion"/>
  </si>
  <si>
    <t>產線配置圖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</si>
  <si>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</si>
  <si>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</si>
  <si>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</si>
  <si>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t>產線配置圖－每週更新</t>
    <phoneticPr fontId="13" type="noConversion"/>
  </si>
  <si>
    <t>二配大飯糰泡菜鮪魚</t>
  </si>
  <si>
    <t>二配鮭魚毛豆炊飯飯糰</t>
  </si>
  <si>
    <t>二配柚香雞胸五穀飯糰</t>
  </si>
  <si>
    <t>排名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</si>
  <si>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</si>
  <si>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3" type="noConversion"/>
  </si>
  <si>
    <t>香辣醬雞肉炒飯飯糰</t>
  </si>
  <si>
    <t>一</t>
    <phoneticPr fontId="13" type="noConversion"/>
  </si>
  <si>
    <t>實際</t>
    <phoneticPr fontId="13" type="noConversion"/>
  </si>
  <si>
    <t>生產實績</t>
    <phoneticPr fontId="13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</si>
  <si>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</si>
  <si>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資料繳交</t>
    <phoneticPr fontId="13" type="noConversion"/>
  </si>
  <si>
    <t>主食</t>
    <phoneticPr fontId="13" type="noConversion"/>
  </si>
  <si>
    <t>二配藤椒雞丁炒飯</t>
  </si>
  <si>
    <t>炙烤醬香燒豚飯</t>
  </si>
  <si>
    <t>二配酸酸辣辣椒麻雞飯</t>
  </si>
  <si>
    <t>二配西班牙風味海鮮燉飯</t>
  </si>
  <si>
    <t>便當</t>
    <phoneticPr fontId="13" type="noConversion"/>
  </si>
  <si>
    <t>熱食義麵</t>
    <phoneticPr fontId="13" type="noConversion"/>
  </si>
  <si>
    <t>平均人時性</t>
    <phoneticPr fontId="13" type="noConversion"/>
  </si>
  <si>
    <t>產線配置圖</t>
    <phoneticPr fontId="13" type="noConversion"/>
  </si>
  <si>
    <t>人時性</t>
    <phoneticPr fontId="13" type="noConversion"/>
  </si>
  <si>
    <t>資料繳交</t>
    <phoneticPr fontId="13" type="noConversion"/>
  </si>
  <si>
    <t>季節調理麵</t>
    <phoneticPr fontId="13" type="noConversion"/>
  </si>
  <si>
    <t>招牌雞絲胡麻涼麵</t>
  </si>
  <si>
    <t>川味花椒口水雞涼麵</t>
  </si>
  <si>
    <t>品群</t>
    <phoneticPr fontId="13" type="noConversion"/>
  </si>
  <si>
    <t>微波小吃</t>
    <phoneticPr fontId="13" type="noConversion"/>
  </si>
  <si>
    <t>燻之味-糖燻雞腿</t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</si>
  <si>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</si>
  <si>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t>自製蔥油-料(粄條)</t>
  </si>
  <si>
    <t>確認備料量</t>
  </si>
  <si>
    <t>炒辣椒圓片</t>
  </si>
  <si>
    <t>炙烤雞腿丁(113年)</t>
  </si>
  <si>
    <t>二配烤藤椒雞丁</t>
  </si>
  <si>
    <t>炒鼎泰豐香辣醬</t>
  </si>
  <si>
    <t>展開量高於需求量</t>
    <phoneticPr fontId="13" type="noConversion"/>
  </si>
  <si>
    <t>備料異常</t>
  </si>
  <si>
    <t>二配蒸燻腸片</t>
  </si>
  <si>
    <t>二配油煮蛤蜊-肉</t>
  </si>
  <si>
    <t>煮慢燉滷肉</t>
  </si>
  <si>
    <t>明太子鮭魚丁-和NAGOMI</t>
  </si>
  <si>
    <t>原物料的大小、長短、厚薄分布差異導致取樣易有不穩定的狀況</t>
  </si>
  <si>
    <t>半成品有結塊的狀況，影響人員放料手感</t>
  </si>
  <si>
    <t>菜梗、葉差異及分布不均，影響人員放料手感</t>
  </si>
  <si>
    <t>112年拌鹽烤豬肉片</t>
  </si>
  <si>
    <r>
      <t>報廢前</t>
    </r>
    <r>
      <rPr>
        <b/>
        <sz val="16"/>
        <color rgb="FF000000"/>
        <rFont val="Meiryo UI"/>
        <family val="2"/>
      </rPr>
      <t>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</si>
  <si>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t>分析原因（件）</t>
    <phoneticPr fontId="13" type="noConversion"/>
  </si>
  <si>
    <t>總件數</t>
    <phoneticPr fontId="13" type="noConversion"/>
  </si>
  <si>
    <t>原因分析</t>
    <phoneticPr fontId="13" type="noConversion"/>
  </si>
  <si>
    <t>類別</t>
    <phoneticPr fontId="13" type="noConversion"/>
  </si>
  <si>
    <t>準備課</t>
    <phoneticPr fontId="82" type="noConversion"/>
  </si>
  <si>
    <t>調配課</t>
    <phoneticPr fontId="82" type="noConversion"/>
  </si>
  <si>
    <t>取樣不穩</t>
    <phoneticPr fontId="82" type="noConversion"/>
  </si>
  <si>
    <t>生產課</t>
    <phoneticPr fontId="82" type="noConversion"/>
  </si>
  <si>
    <t>其他</t>
    <phoneticPr fontId="82" type="noConversion"/>
  </si>
  <si>
    <t>回饋研發，後續開發列入考量。</t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</si>
  <si>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</si>
  <si>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</si>
  <si>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</si>
  <si>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</t>
    <phoneticPr fontId="13" type="noConversion"/>
  </si>
  <si>
    <t>日報</t>
    <phoneticPr fontId="13" type="noConversion"/>
  </si>
  <si>
    <t>實際</t>
    <phoneticPr fontId="13" type="noConversion"/>
  </si>
  <si>
    <t>產線配置圖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</si>
  <si>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</si>
  <si>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</si>
  <si>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</si>
  <si>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</si>
  <si>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t>筋子銀鮭飯糰</t>
  </si>
  <si>
    <t>青木瓜雞絲泰泰雙手卷</t>
  </si>
  <si>
    <t>大口法式蕈菇起司雞排飯糰</t>
  </si>
  <si>
    <t>西西里風烤飯糰</t>
  </si>
  <si>
    <t>銀鮭美乃滋脆卷</t>
  </si>
  <si>
    <t>韓式辣醬起司熱狗飯卷</t>
  </si>
  <si>
    <t>二配玉米濃湯焗烤飯</t>
  </si>
  <si>
    <t>二配美味蟹煲</t>
  </si>
  <si>
    <t>二配泰式檸檬魚飯</t>
  </si>
  <si>
    <t>地中海布格麥烤魚餐盒</t>
  </si>
  <si>
    <t>金門高粱腿排蒜香白肉便當</t>
  </si>
  <si>
    <t>打拋風味豬肉拌麵</t>
  </si>
  <si>
    <t>金門高粱酒雞絲涼麵</t>
  </si>
  <si>
    <t>月見烏龍冷麵</t>
  </si>
  <si>
    <r>
      <t>7</t>
    </r>
    <r>
      <rPr>
        <b/>
        <sz val="18"/>
        <color theme="1"/>
        <rFont val="微軟正黑體"/>
        <family val="2"/>
        <charset val="136"/>
      </rPr>
      <t>月總超用率</t>
    </r>
    <phoneticPr fontId="13" type="noConversion"/>
  </si>
  <si>
    <r>
      <t>7</t>
    </r>
    <r>
      <rPr>
        <b/>
        <sz val="18"/>
        <color theme="1"/>
        <rFont val="微軟正黑體"/>
        <family val="2"/>
        <charset val="136"/>
      </rPr>
      <t>月總超用合計</t>
    </r>
    <phoneticPr fontId="13" type="noConversion"/>
  </si>
  <si>
    <r>
      <t>7</t>
    </r>
    <r>
      <rPr>
        <b/>
        <sz val="18"/>
        <color theme="1"/>
        <rFont val="微軟正黑體"/>
        <family val="2"/>
        <charset val="136"/>
      </rPr>
      <t>月總報廢率</t>
    </r>
    <phoneticPr fontId="13" type="noConversion"/>
  </si>
  <si>
    <r>
      <t>7</t>
    </r>
    <r>
      <rPr>
        <b/>
        <sz val="18"/>
        <color theme="1"/>
        <rFont val="微軟正黑體"/>
        <family val="2"/>
        <charset val="136"/>
      </rPr>
      <t>月總報廢合計</t>
    </r>
    <phoneticPr fontId="13" type="noConversion"/>
  </si>
  <si>
    <t>▲</t>
    <phoneticPr fontId="13" type="noConversion"/>
  </si>
  <si>
    <t>飯糰排名前段品項，皆是使用GKK生產的單餡飯糰，產能及人時生產性相近，主要差異在人員順手度。對比上月差異小。</t>
    <phoneticPr fontId="13" type="noConversion"/>
  </si>
  <si>
    <t>▼</t>
    <phoneticPr fontId="13" type="noConversion"/>
  </si>
  <si>
    <t>－</t>
    <phoneticPr fontId="13" type="noConversion"/>
  </si>
  <si>
    <t>兩支品項性質相同，皆是直接入機台包裝，產能及人時生產性接近。對比上月差異小。</t>
    <phoneticPr fontId="13" type="noConversion"/>
  </si>
  <si>
    <t>兩支雙手捲為同性質商品，產能及人時生產性接近。對比上月差異小。</t>
    <phoneticPr fontId="13" type="noConversion"/>
  </si>
  <si>
    <t>7/14上市新品，為需要再組裝半成品烤飯糰，需要人數對比其他兩支烤飯糰較多，人時生產性對比較低。</t>
    <phoneticPr fontId="13" type="noConversion"/>
  </si>
  <si>
    <r>
      <t>對比上</t>
    </r>
    <r>
      <rPr>
        <sz val="11"/>
        <color theme="1"/>
        <rFont val="Microsoft JhengHei"/>
        <family val="2"/>
      </rPr>
      <t>月</t>
    </r>
    <r>
      <rPr>
        <sz val="11"/>
        <color theme="1"/>
        <rFont val="Meiryo UI"/>
        <family val="2"/>
      </rPr>
      <t>差異小</t>
    </r>
    <phoneticPr fontId="13" type="noConversion"/>
  </si>
  <si>
    <t>兩支品項皆為僅有單一半成品，並使用機台包裝，產能及人時生產性接近。對比上月差異小。</t>
    <phoneticPr fontId="13" type="noConversion"/>
  </si>
  <si>
    <t>對比上月差異小。</t>
    <phoneticPr fontId="13" type="noConversion"/>
  </si>
  <si>
    <t>二配西班牙風味海鮮燉飯</t>
    <phoneticPr fontId="13" type="noConversion"/>
  </si>
  <si>
    <r>
      <t>餐盒類商品半成品數多，</t>
    </r>
    <r>
      <rPr>
        <sz val="8"/>
        <color theme="1"/>
        <rFont val="Microsoft JhengHei"/>
        <family val="2"/>
        <charset val="136"/>
      </rPr>
      <t>使用人數多，</t>
    </r>
    <r>
      <rPr>
        <sz val="8"/>
        <color theme="1"/>
        <rFont val="Meiryo UI"/>
        <family val="2"/>
      </rPr>
      <t>且有賣相需求，人時生</t>
    </r>
    <r>
      <rPr>
        <sz val="8"/>
        <color theme="1"/>
        <rFont val="細明體"/>
        <family val="3"/>
        <charset val="136"/>
      </rPr>
      <t>產</t>
    </r>
    <r>
      <rPr>
        <sz val="8"/>
        <color theme="1"/>
        <rFont val="Meiryo UI"/>
        <family val="2"/>
      </rPr>
      <t>性較低。對比上週差異小。</t>
    </r>
    <phoneticPr fontId="13" type="noConversion"/>
  </si>
  <si>
    <t>使用人數對比上月少一人，人時生產性對比上月提升。</t>
    <phoneticPr fontId="13" type="noConversion"/>
  </si>
  <si>
    <t>使用人數對比上月多一人，人時生產性對比上月下降。</t>
    <phoneticPr fontId="13" type="noConversion"/>
  </si>
  <si>
    <t>皆為單一半成品，且皆為八爪機包裝，使用人數相同，產能及人時生產性相近，對比上月差異小。</t>
    <phoneticPr fontId="13" type="noConversion"/>
  </si>
  <si>
    <t>業績金額</t>
  </si>
  <si>
    <t>7/1-7/31</t>
  </si>
  <si>
    <t>項目</t>
  </si>
  <si>
    <t>比例</t>
  </si>
  <si>
    <t>報廢</t>
  </si>
  <si>
    <t>超用</t>
  </si>
  <si>
    <t>前20名原因分析</t>
  </si>
  <si>
    <t>類型</t>
  </si>
  <si>
    <t>半成品名</t>
  </si>
  <si>
    <t>單價</t>
  </si>
  <si>
    <t>報廢率</t>
  </si>
  <si>
    <t>數量</t>
  </si>
  <si>
    <t>前幾名合計比例</t>
  </si>
  <si>
    <t>前幾名合計金額</t>
  </si>
  <si>
    <t>焙炒芝麻肉鬆</t>
  </si>
  <si>
    <t>煮茄汁豆腐</t>
  </si>
  <si>
    <t>辣炒酸菜絲</t>
  </si>
  <si>
    <t>二配奶香起司醬</t>
  </si>
  <si>
    <t>蔥醬</t>
  </si>
  <si>
    <t>糖鹽度確認上下限差異</t>
  </si>
  <si>
    <t>炒梅干菜</t>
  </si>
  <si>
    <t>半成品收籃含水多寡</t>
  </si>
  <si>
    <t>炒泡麵炒蛋</t>
  </si>
  <si>
    <t>加熱時間長短影響出料</t>
  </si>
  <si>
    <t>炒豬肉(solo)</t>
  </si>
  <si>
    <t>二配蒸-800切板豆腐</t>
  </si>
  <si>
    <t>增加放料抽秤頻率</t>
  </si>
  <si>
    <t>切皮蛋丁</t>
  </si>
  <si>
    <t>炒泡麵豬肉片</t>
  </si>
  <si>
    <t>川燙青白花菜</t>
  </si>
  <si>
    <t>切-烤醃漬五花肉片</t>
  </si>
  <si>
    <t>二配蒸紅雪蟹肉</t>
  </si>
  <si>
    <t>川燙枸杞</t>
  </si>
  <si>
    <t>二配熟成紅鮭飯糰</t>
  </si>
  <si>
    <t>二配解凍-紅鮭</t>
  </si>
  <si>
    <t>二配烤鹹蛋黃碎</t>
  </si>
  <si>
    <t>超用率</t>
  </si>
  <si>
    <t>飯袋覆蓋影響水氣進入導致出料差異</t>
  </si>
  <si>
    <t>二配濃辛辣咖哩醬(114年)</t>
  </si>
  <si>
    <t>二配炒奶香玉米</t>
  </si>
  <si>
    <t>賣相設定</t>
  </si>
  <si>
    <t>月別</t>
  </si>
  <si>
    <t>排序</t>
  </si>
  <si>
    <t>半成品名稱</t>
  </si>
  <si>
    <t>報廢金額
(元)</t>
  </si>
  <si>
    <t>半成品單價
(元/kg)</t>
  </si>
  <si>
    <t>訂單需求
(kg/個)</t>
  </si>
  <si>
    <t>生管展開</t>
  </si>
  <si>
    <t>生產實際產出</t>
  </si>
  <si>
    <t>生產補單</t>
  </si>
  <si>
    <t>總產出</t>
  </si>
  <si>
    <t>超用A(多展)</t>
  </si>
  <si>
    <t>超用B(多展-報廢)</t>
  </si>
  <si>
    <t>分析原因</t>
  </si>
  <si>
    <t>原因說明</t>
  </si>
  <si>
    <t>後續對策</t>
  </si>
  <si>
    <t>次數</t>
  </si>
  <si>
    <t>kg/個</t>
  </si>
  <si>
    <t>0601-0630</t>
  </si>
  <si>
    <t>二配西班牙烤雞腿丁(115年)</t>
  </si>
  <si>
    <t>加熱時間長短影響最終出料</t>
  </si>
  <si>
    <t>穩定加熱時間</t>
  </si>
  <si>
    <t>炒紅K碎蛋</t>
  </si>
  <si>
    <t>二配辛口咖哩豬肉(114年)</t>
  </si>
  <si>
    <t>超用金額
(元)</t>
  </si>
  <si>
    <t>炒韓式燒肉(115年)</t>
  </si>
  <si>
    <t>半成品會互相沾黏且放料時會黏手，導致放料會有不穩定的狀況</t>
  </si>
  <si>
    <t>定時清潔手部，且加強教育訓練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</si>
</sst>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&quot;NT$&quot;#,##0_);[Red]\(&quot;NT$&quot;#,##0\)"/>
    <numFmt numFmtId="187" formatCode="&quot;NT$&quot;#,##0"/>
    <numFmt numFmtId="188" formatCode="_-* #,##0_-;\-* #,##0_-;_-* &quot;-&quot;??_-;_-@_-"/>
    <numFmt numFmtId="189" formatCode="0.000%"/>
    <numFmt numFmtId="190" formatCode="_-* #,##0.0_-;\-* #,##0.0_-;_-* &quot;-&quot;??_-;_-@_-"/>
    <numFmt numFmtId="191" formatCode="#,##0.0"/>
    <numFmt numFmtId="192" formatCode="#,##0.0_ "/>
    <numFmt numFmtId="193" formatCode="m/d\ aaaa"/>
    <numFmt numFmtId="194" formatCode="0,000&quot;元&quot;"/>
    <numFmt numFmtId="195" formatCode="000&quot;元&quot;"/>
    <numFmt numFmtId="196" formatCode="0.00_)"/>
    <numFmt numFmtId="197" formatCode="#,##0_ "/>
    <numFmt numFmtId="198" formatCode="#,##0.00_ "/>
  </numFmts>
  <fonts count="131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b/>
      <sz val="16"/>
      <color rgb="FF000000"/>
      <name val="Meiryo UI"/>
      <family val="2"/>
      <charset val="128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rgb="FFFF0000"/>
      <name val="Meiryo UI"/>
      <family val="2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FF0000"/>
      <name val="Arial"/>
      <family val="3"/>
      <charset val="136"/>
      <scheme val="minor"/>
    </font>
    <font>
      <sz val="6"/>
      <color rgb="FF000000"/>
      <name val="Meiryo UI"/>
      <family val="2"/>
    </font>
    <font>
      <sz val="9"/>
      <color rgb="FF000000"/>
      <name val="Meiryo UI"/>
      <family val="2"/>
    </font>
    <font>
      <sz val="10"/>
      <color rgb="FF000000"/>
      <name val="Arial"/>
      <family val="2"/>
      <scheme val="minor"/>
    </font>
    <font>
      <sz val="11"/>
      <color rgb="FF0070C0"/>
      <name val="新細明體"/>
      <family val="1"/>
      <charset val="136"/>
    </font>
    <font>
      <sz val="11"/>
      <color rgb="FF92D050"/>
      <name val="細明體"/>
      <family val="3"/>
      <charset val="136"/>
    </font>
    <font>
      <sz val="11"/>
      <color rgb="FFFF0000"/>
      <name val="新細明體"/>
      <family val="1"/>
      <charset val="136"/>
    </font>
    <font>
      <sz val="7"/>
      <color rgb="FF000000"/>
      <name val="Meiryo UI"/>
      <family val="2"/>
    </font>
    <font>
      <sz val="10"/>
      <color rgb="FF000000"/>
      <name val="細明體"/>
      <family val="3"/>
      <charset val="136"/>
    </font>
    <font>
      <b/>
      <sz val="12"/>
      <color theme="1"/>
      <name val="細明體"/>
      <family val="3"/>
      <charset val="136"/>
    </font>
    <font>
      <sz val="11"/>
      <color rgb="FFFF0000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theme="1"/>
      <name val="細明體"/>
      <family val="2"/>
      <charset val="136"/>
    </font>
    <font>
      <sz val="9"/>
      <name val="Arial"/>
      <family val="2"/>
      <charset val="136"/>
      <scheme val="minor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b/>
      <i/>
      <sz val="16"/>
      <name val="Helv"/>
      <family val="2"/>
    </font>
    <font>
      <sz val="12"/>
      <color theme="1"/>
      <name val="Arial"/>
      <family val="1"/>
      <charset val="136"/>
      <scheme val="minor"/>
    </font>
    <font>
      <u/>
      <sz val="12"/>
      <color indexed="12"/>
      <name val="新細明體"/>
      <family val="1"/>
      <charset val="136"/>
    </font>
    <font>
      <sz val="10"/>
      <color indexed="8"/>
      <name val="ARIAL"/>
      <family val="2"/>
    </font>
    <font>
      <sz val="12"/>
      <color theme="1"/>
      <name val="Arial"/>
      <family val="2"/>
      <scheme val="minor"/>
    </font>
    <font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1"/>
      <name val="ＭＳ Ｐゴシック"/>
      <family val="2"/>
      <charset val="128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0"/>
      <name val="Meiryo UI"/>
      <family val="2"/>
      <charset val="128"/>
    </font>
    <font>
      <sz val="11"/>
      <color theme="1"/>
      <name val="Microsoft JhengHei"/>
      <family val="3"/>
    </font>
    <font>
      <sz val="11"/>
      <color theme="1"/>
      <name val="Microsoft JhengHei"/>
      <family val="2"/>
    </font>
    <font>
      <b/>
      <sz val="20"/>
      <color theme="0"/>
      <name val="微軟正黑體"/>
      <family val="2"/>
      <charset val="136"/>
    </font>
    <font>
      <b/>
      <sz val="20"/>
      <color theme="0"/>
      <name val="Noto Sans CJK SC"/>
    </font>
    <font>
      <b/>
      <sz val="18"/>
      <color theme="1"/>
      <name val="Noto Sans CJK SC"/>
      <family val="2"/>
    </font>
    <font>
      <b/>
      <sz val="18"/>
      <color theme="1"/>
      <name val="微軟正黑體"/>
      <family val="2"/>
      <charset val="136"/>
    </font>
    <font>
      <b/>
      <sz val="16"/>
      <color theme="1"/>
      <name val="Noto Sans CJK SC"/>
      <family val="2"/>
    </font>
    <font>
      <b/>
      <sz val="16"/>
      <color theme="1"/>
      <name val="微軟正黑體"/>
      <family val="2"/>
      <charset val="136"/>
    </font>
    <font>
      <b/>
      <sz val="16"/>
      <color rgb="FFFF0000"/>
      <name val="Noto Sans CJK SC"/>
      <family val="2"/>
    </font>
    <font>
      <b/>
      <sz val="16"/>
      <color rgb="FF000000"/>
      <name val="微軟正黑體"/>
      <family val="2"/>
      <charset val="136"/>
    </font>
    <font>
      <b/>
      <sz val="16"/>
      <color rgb="FF000000"/>
      <name val="Noto Sans CJK SC"/>
      <family val="2"/>
    </font>
    <font>
      <sz val="14"/>
      <name val="Noto Sans CJK SC"/>
      <family val="2"/>
    </font>
    <font>
      <sz val="14"/>
      <color theme="1"/>
      <name val="Noto Sans CJK SC"/>
      <family val="2"/>
    </font>
    <font>
      <sz val="14"/>
      <color theme="1"/>
      <name val="Arial"/>
      <family val="2"/>
      <charset val="136"/>
      <scheme val="minor"/>
    </font>
    <font>
      <sz val="14"/>
      <name val="Noto Sans CJK SC"/>
    </font>
    <font>
      <sz val="18"/>
      <color theme="1"/>
      <name val="微軟正黑體"/>
      <family val="2"/>
      <charset val="136"/>
    </font>
    <font>
      <sz val="14"/>
      <color theme="1"/>
      <name val="Microsoft JhengHei"/>
      <family val="2"/>
    </font>
    <font>
      <sz val="6"/>
      <name val="Meiryo UI"/>
      <family val="2"/>
    </font>
    <font>
      <sz val="12"/>
      <color rgb="FF000000"/>
      <name val="新細明體"/>
      <family val="2"/>
      <charset val="136"/>
    </font>
    <font>
      <sz val="12"/>
      <color rgb="FF000000"/>
      <name val="細明體"/>
      <family val="2"/>
      <charset val="136"/>
    </font>
    <font>
      <sz val="12"/>
      <color rgb="FF000000"/>
      <name val="Microsoft JhengHei"/>
      <family val="2"/>
    </font>
    <font>
      <sz val="12"/>
      <color theme="1"/>
      <name val="Microsoft JhengHei"/>
      <family val="2"/>
      <charset val="136"/>
    </font>
    <font>
      <sz val="10"/>
      <color rgb="FF000000"/>
      <name val="微軟正黑體"/>
      <family val="2"/>
      <charset val="136"/>
    </font>
    <font>
      <sz val="14"/>
      <color rgb="FF0070C0"/>
      <name val="新細明體"/>
      <family val="1"/>
      <charset val="136"/>
    </font>
    <font>
      <sz val="10"/>
      <color rgb="FF000000"/>
      <name val="Arial"/>
      <family val="2"/>
      <charset val="136"/>
      <scheme val="minor"/>
    </font>
    <font>
      <sz val="8"/>
      <color rgb="FF000000"/>
      <name val="細明體"/>
      <family val="3"/>
      <charset val="136"/>
    </font>
    <font>
      <sz val="6"/>
      <color theme="1"/>
      <name val="細明體"/>
      <family val="2"/>
      <charset val="136"/>
    </font>
    <font>
      <sz val="6"/>
      <color theme="1"/>
      <name val="細明體"/>
      <family val="3"/>
      <charset val="136"/>
    </font>
    <font>
      <sz val="8"/>
      <color theme="1"/>
      <name val="Meiryo UI"/>
      <family val="2"/>
    </font>
    <font>
      <sz val="8"/>
      <color theme="1"/>
      <name val="Microsoft JhengHei"/>
      <family val="2"/>
      <charset val="136"/>
    </font>
    <font>
      <sz val="8"/>
      <color theme="1"/>
      <name val="細明體"/>
      <family val="3"/>
      <charset val="136"/>
    </font>
    <font>
      <sz val="12"/>
      <color theme="1"/>
      <name val="Microsoft JhengHei"/>
      <family val="2"/>
    </font>
  </fonts>
  <fills count="20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2060"/>
        <bgColor indexed="64"/>
      </patternFill>
    </fill>
  </fills>
  <borders count="7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581">
    <xf numFmtId="0" fontId="0" fillId="0" borderId="0"/>
    <xf numFmtId="0" fontId="6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4" fillId="0" borderId="0"/>
    <xf numFmtId="0" fontId="5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3" fontId="2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85" fillId="0" borderId="0"/>
    <xf numFmtId="9" fontId="85" fillId="0" borderId="0" applyFont="0" applyFill="0" applyBorder="0" applyAlignment="0" applyProtection="0"/>
    <xf numFmtId="0" fontId="86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9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196" fontId="87" fillId="0" borderId="0"/>
    <xf numFmtId="0" fontId="9" fillId="0" borderId="0"/>
    <xf numFmtId="0" fontId="85" fillId="0" borderId="0">
      <alignment vertical="center"/>
    </xf>
    <xf numFmtId="0" fontId="88" fillId="0" borderId="0"/>
    <xf numFmtId="42" fontId="86" fillId="0" borderId="0" applyFont="0" applyFill="0" applyBorder="0" applyAlignment="0" applyProtection="0"/>
    <xf numFmtId="0" fontId="89" fillId="0" borderId="0" applyNumberFormat="0" applyFill="0" applyBorder="0" applyAlignment="0" applyProtection="0">
      <alignment vertical="top"/>
      <protection locked="0"/>
    </xf>
    <xf numFmtId="0" fontId="90" fillId="0" borderId="0">
      <alignment vertical="top"/>
    </xf>
    <xf numFmtId="0" fontId="9" fillId="0" borderId="0"/>
    <xf numFmtId="0" fontId="88" fillId="0" borderId="0">
      <alignment vertical="center"/>
    </xf>
    <xf numFmtId="0" fontId="85" fillId="0" borderId="0"/>
    <xf numFmtId="0" fontId="85" fillId="0" borderId="0"/>
    <xf numFmtId="0" fontId="85" fillId="0" borderId="0"/>
    <xf numFmtId="0" fontId="88" fillId="0" borderId="0">
      <alignment vertical="center"/>
    </xf>
    <xf numFmtId="0" fontId="85" fillId="0" borderId="0"/>
    <xf numFmtId="0" fontId="85" fillId="0" borderId="0"/>
    <xf numFmtId="0" fontId="88" fillId="0" borderId="0">
      <alignment vertical="center"/>
    </xf>
    <xf numFmtId="0" fontId="88" fillId="0" borderId="0">
      <alignment vertical="center"/>
    </xf>
    <xf numFmtId="0" fontId="85" fillId="0" borderId="0"/>
    <xf numFmtId="0" fontId="88" fillId="0" borderId="0">
      <alignment vertical="center"/>
    </xf>
    <xf numFmtId="0" fontId="85" fillId="0" borderId="0"/>
    <xf numFmtId="0" fontId="88" fillId="0" borderId="0">
      <alignment vertical="center"/>
    </xf>
    <xf numFmtId="0" fontId="85" fillId="0" borderId="0"/>
    <xf numFmtId="0" fontId="85" fillId="0" borderId="0"/>
    <xf numFmtId="0" fontId="85" fillId="0" borderId="0"/>
    <xf numFmtId="0" fontId="91" fillId="0" borderId="0"/>
    <xf numFmtId="0" fontId="92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3" fillId="0" borderId="0">
      <alignment vertical="center"/>
    </xf>
    <xf numFmtId="0" fontId="85" fillId="0" borderId="0"/>
    <xf numFmtId="0" fontId="85" fillId="0" borderId="0"/>
    <xf numFmtId="0" fontId="91" fillId="0" borderId="0"/>
    <xf numFmtId="0" fontId="3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88" fillId="0" borderId="0"/>
    <xf numFmtId="0" fontId="85" fillId="0" borderId="0"/>
    <xf numFmtId="0" fontId="3" fillId="0" borderId="0">
      <alignment vertical="center"/>
    </xf>
    <xf numFmtId="0" fontId="88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88" fillId="0" borderId="0">
      <alignment vertical="center"/>
    </xf>
    <xf numFmtId="0" fontId="85" fillId="0" borderId="0"/>
    <xf numFmtId="0" fontId="88" fillId="0" borderId="0">
      <alignment vertical="center"/>
    </xf>
    <xf numFmtId="0" fontId="88" fillId="0" borderId="0">
      <alignment vertical="center"/>
    </xf>
    <xf numFmtId="0" fontId="85" fillId="0" borderId="0"/>
    <xf numFmtId="0" fontId="88" fillId="0" borderId="0">
      <alignment vertical="center"/>
    </xf>
    <xf numFmtId="0" fontId="88" fillId="0" borderId="0">
      <alignment vertical="center"/>
    </xf>
    <xf numFmtId="0" fontId="3" fillId="0" borderId="0">
      <alignment vertical="center"/>
    </xf>
    <xf numFmtId="0" fontId="85" fillId="0" borderId="0"/>
    <xf numFmtId="0" fontId="88" fillId="0" borderId="0">
      <alignment vertical="center"/>
    </xf>
    <xf numFmtId="0" fontId="85" fillId="0" borderId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8" fillId="0" borderId="0" applyFont="0" applyFill="0" applyBorder="0" applyAlignment="0" applyProtection="0">
      <alignment vertical="center"/>
    </xf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0" fontId="93" fillId="15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9" fontId="92" fillId="0" borderId="0" applyFont="0" applyFill="0" applyBorder="0" applyAlignment="0" applyProtection="0">
      <alignment vertical="center"/>
    </xf>
    <xf numFmtId="9" fontId="92" fillId="0" borderId="0" applyFont="0" applyFill="0" applyBorder="0" applyAlignment="0" applyProtection="0">
      <alignment vertical="center"/>
    </xf>
    <xf numFmtId="9" fontId="92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92" fillId="0" borderId="0" applyFont="0" applyFill="0" applyBorder="0" applyAlignment="0" applyProtection="0">
      <alignment vertical="center"/>
    </xf>
    <xf numFmtId="9" fontId="8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92" fillId="0" borderId="0" applyFont="0" applyFill="0" applyBorder="0" applyAlignment="0" applyProtection="0">
      <alignment vertical="center"/>
    </xf>
    <xf numFmtId="9" fontId="92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92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/>
    <xf numFmtId="9" fontId="92" fillId="0" borderId="0" applyFont="0" applyFill="0" applyBorder="0" applyAlignment="0" applyProtection="0">
      <alignment vertical="center"/>
    </xf>
    <xf numFmtId="9" fontId="92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/>
    <xf numFmtId="9" fontId="85" fillId="0" borderId="0" applyFont="0" applyFill="0" applyBorder="0" applyAlignment="0" applyProtection="0"/>
    <xf numFmtId="44" fontId="91" fillId="0" borderId="0" applyFont="0" applyFill="0" applyBorder="0" applyAlignment="0" applyProtection="0">
      <alignment vertical="center"/>
    </xf>
    <xf numFmtId="0" fontId="95" fillId="0" borderId="0">
      <alignment vertical="center"/>
    </xf>
    <xf numFmtId="0" fontId="96" fillId="16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949">
    <xf numFmtId="0" fontId="0" fillId="0" borderId="0" xfId="0" applyFont="1" applyAlignment="1"/>
    <xf numFmtId="0" fontId="7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7" fillId="0" borderId="1" xfId="0" applyFont="1" applyBorder="1" applyAlignment="1">
      <alignment horizontal="right" shrinkToFit="1"/>
    </xf>
    <xf numFmtId="0" fontId="7" fillId="0" borderId="1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8" fillId="0" borderId="3" xfId="0" applyFont="1" applyBorder="1" applyAlignment="1">
      <alignment shrinkToFit="1"/>
    </xf>
    <xf numFmtId="0" fontId="8" fillId="2" borderId="1" xfId="0" applyFont="1" applyFill="1" applyBorder="1" applyAlignment="1">
      <alignment shrinkToFit="1"/>
    </xf>
    <xf numFmtId="0" fontId="7" fillId="2" borderId="1" xfId="0" applyFont="1" applyFill="1" applyBorder="1" applyAlignment="1">
      <alignment shrinkToFit="1"/>
    </xf>
    <xf numFmtId="3" fontId="7" fillId="0" borderId="1" xfId="0" applyNumberFormat="1" applyFont="1" applyBorder="1" applyAlignment="1">
      <alignment shrinkToFit="1"/>
    </xf>
    <xf numFmtId="3" fontId="7" fillId="3" borderId="1" xfId="0" applyNumberFormat="1" applyFont="1" applyFill="1" applyBorder="1" applyAlignment="1">
      <alignment shrinkToFit="1"/>
    </xf>
    <xf numFmtId="4" fontId="7" fillId="0" borderId="1" xfId="0" applyNumberFormat="1" applyFont="1" applyBorder="1" applyAlignment="1">
      <alignment horizontal="right" shrinkToFit="1"/>
    </xf>
    <xf numFmtId="10" fontId="7" fillId="2" borderId="1" xfId="0" applyNumberFormat="1" applyFont="1" applyFill="1" applyBorder="1" applyAlignment="1">
      <alignment horizontal="right" shrinkToFit="1"/>
    </xf>
    <xf numFmtId="10" fontId="7" fillId="3" borderId="1" xfId="0" applyNumberFormat="1" applyFont="1" applyFill="1" applyBorder="1" applyAlignment="1">
      <alignment shrinkToFit="1"/>
    </xf>
    <xf numFmtId="10" fontId="7" fillId="0" borderId="1" xfId="0" applyNumberFormat="1" applyFont="1" applyBorder="1" applyAlignment="1">
      <alignment shrinkToFit="1"/>
    </xf>
    <xf numFmtId="10" fontId="8" fillId="0" borderId="0" xfId="0" applyNumberFormat="1" applyFont="1" applyAlignment="1">
      <alignment shrinkToFit="1"/>
    </xf>
    <xf numFmtId="0" fontId="7" fillId="3" borderId="1" xfId="0" applyFont="1" applyFill="1" applyBorder="1" applyAlignment="1">
      <alignment shrinkToFit="1"/>
    </xf>
    <xf numFmtId="4" fontId="7" fillId="0" borderId="1" xfId="0" applyNumberFormat="1" applyFont="1" applyBorder="1" applyAlignment="1">
      <alignment shrinkToFit="1"/>
    </xf>
    <xf numFmtId="0" fontId="8" fillId="2" borderId="5" xfId="0" applyFont="1" applyFill="1" applyBorder="1" applyAlignment="1">
      <alignment shrinkToFit="1"/>
    </xf>
    <xf numFmtId="0" fontId="8" fillId="2" borderId="3" xfId="0" applyFont="1" applyFill="1" applyBorder="1" applyAlignment="1">
      <alignment shrinkToFit="1"/>
    </xf>
    <xf numFmtId="0" fontId="8" fillId="2" borderId="6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2" borderId="6" xfId="0" applyFont="1" applyFill="1" applyBorder="1" applyAlignment="1">
      <alignment shrinkToFit="1"/>
    </xf>
    <xf numFmtId="0" fontId="8" fillId="2" borderId="7" xfId="0" applyFont="1" applyFill="1" applyBorder="1" applyAlignment="1">
      <alignment shrinkToFit="1"/>
    </xf>
    <xf numFmtId="0" fontId="7" fillId="0" borderId="3" xfId="0" applyFont="1" applyBorder="1" applyAlignment="1">
      <alignment shrinkToFit="1"/>
    </xf>
    <xf numFmtId="0" fontId="7" fillId="2" borderId="7" xfId="0" applyFont="1" applyFill="1" applyBorder="1" applyAlignment="1">
      <alignment shrinkToFit="1"/>
    </xf>
    <xf numFmtId="0" fontId="8" fillId="0" borderId="8" xfId="0" applyFont="1" applyBorder="1" applyAlignment="1">
      <alignment shrinkToFit="1"/>
    </xf>
    <xf numFmtId="0" fontId="7" fillId="0" borderId="5" xfId="0" applyFont="1" applyBorder="1" applyAlignment="1">
      <alignment shrinkToFit="1"/>
    </xf>
    <xf numFmtId="0" fontId="7" fillId="0" borderId="14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10" fontId="7" fillId="0" borderId="5" xfId="0" applyNumberFormat="1" applyFont="1" applyBorder="1" applyAlignment="1">
      <alignment shrinkToFit="1"/>
    </xf>
    <xf numFmtId="0" fontId="7" fillId="3" borderId="5" xfId="0" applyFont="1" applyFill="1" applyBorder="1" applyAlignment="1">
      <alignment shrinkToFit="1"/>
    </xf>
    <xf numFmtId="0" fontId="7" fillId="2" borderId="15" xfId="0" applyFont="1" applyFill="1" applyBorder="1" applyAlignment="1">
      <alignment shrinkToFit="1"/>
    </xf>
    <xf numFmtId="10" fontId="7" fillId="3" borderId="17" xfId="0" applyNumberFormat="1" applyFont="1" applyFill="1" applyBorder="1" applyAlignment="1">
      <alignment shrinkToFit="1"/>
    </xf>
    <xf numFmtId="0" fontId="7" fillId="3" borderId="18" xfId="0" applyFont="1" applyFill="1" applyBorder="1" applyAlignment="1">
      <alignment shrinkToFit="1"/>
    </xf>
    <xf numFmtId="0" fontId="7" fillId="0" borderId="6" xfId="0" applyFont="1" applyBorder="1" applyAlignment="1">
      <alignment shrinkToFit="1"/>
    </xf>
    <xf numFmtId="10" fontId="7" fillId="0" borderId="6" xfId="0" applyNumberFormat="1" applyFont="1" applyBorder="1" applyAlignment="1">
      <alignment shrinkToFit="1"/>
    </xf>
    <xf numFmtId="0" fontId="7" fillId="3" borderId="6" xfId="0" applyFont="1" applyFill="1" applyBorder="1" applyAlignment="1">
      <alignment shrinkToFit="1"/>
    </xf>
    <xf numFmtId="10" fontId="7" fillId="0" borderId="0" xfId="0" applyNumberFormat="1" applyFont="1" applyAlignment="1">
      <alignment shrinkToFit="1"/>
    </xf>
    <xf numFmtId="10" fontId="7" fillId="2" borderId="1" xfId="0" applyNumberFormat="1" applyFont="1" applyFill="1" applyBorder="1" applyAlignment="1">
      <alignment shrinkToFit="1"/>
    </xf>
    <xf numFmtId="0" fontId="7" fillId="3" borderId="7" xfId="0" applyFont="1" applyFill="1" applyBorder="1" applyAlignment="1">
      <alignment shrinkToFit="1"/>
    </xf>
    <xf numFmtId="10" fontId="7" fillId="3" borderId="5" xfId="0" applyNumberFormat="1" applyFont="1" applyFill="1" applyBorder="1" applyAlignment="1">
      <alignment shrinkToFit="1"/>
    </xf>
    <xf numFmtId="0" fontId="7" fillId="0" borderId="11" xfId="0" applyFont="1" applyBorder="1" applyAlignment="1">
      <alignment shrinkToFit="1"/>
    </xf>
    <xf numFmtId="10" fontId="7" fillId="0" borderId="14" xfId="0" applyNumberFormat="1" applyFont="1" applyBorder="1" applyAlignment="1">
      <alignment shrinkToFit="1"/>
    </xf>
    <xf numFmtId="10" fontId="7" fillId="3" borderId="14" xfId="0" applyNumberFormat="1" applyFont="1" applyFill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0" fillId="0" borderId="0" xfId="0" applyFont="1" applyAlignment="1">
      <alignment shrinkToFit="1"/>
    </xf>
    <xf numFmtId="0" fontId="11" fillId="0" borderId="1" xfId="0" applyFont="1" applyBorder="1" applyAlignment="1">
      <alignment shrinkToFit="1"/>
    </xf>
    <xf numFmtId="0" fontId="11" fillId="2" borderId="1" xfId="0" applyFont="1" applyFill="1" applyBorder="1" applyAlignment="1">
      <alignment horizontal="left" shrinkToFit="1"/>
    </xf>
    <xf numFmtId="0" fontId="12" fillId="2" borderId="1" xfId="0" applyFont="1" applyFill="1" applyBorder="1" applyAlignment="1">
      <alignment shrinkToFit="1"/>
    </xf>
    <xf numFmtId="0" fontId="11" fillId="2" borderId="6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2" fillId="2" borderId="5" xfId="0" applyFont="1" applyFill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7" fillId="2" borderId="22" xfId="0" applyFont="1" applyFill="1" applyBorder="1" applyAlignment="1">
      <alignment shrinkToFit="1"/>
    </xf>
    <xf numFmtId="0" fontId="7" fillId="2" borderId="23" xfId="0" applyFont="1" applyFill="1" applyBorder="1" applyAlignment="1">
      <alignment shrinkToFit="1"/>
    </xf>
    <xf numFmtId="0" fontId="11" fillId="2" borderId="22" xfId="0" applyFont="1" applyFill="1" applyBorder="1" applyAlignment="1">
      <alignment shrinkToFit="1"/>
    </xf>
    <xf numFmtId="0" fontId="11" fillId="2" borderId="1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16" xfId="0" applyFont="1" applyFill="1" applyBorder="1" applyAlignment="1">
      <alignment shrinkToFit="1"/>
    </xf>
    <xf numFmtId="0" fontId="11" fillId="4" borderId="0" xfId="0" applyFont="1" applyFill="1" applyAlignment="1"/>
    <xf numFmtId="0" fontId="12" fillId="4" borderId="0" xfId="0" applyFont="1" applyFill="1" applyAlignment="1">
      <alignment shrinkToFit="1"/>
    </xf>
    <xf numFmtId="0" fontId="11" fillId="4" borderId="0" xfId="0" applyFont="1" applyFill="1" applyAlignment="1">
      <alignment shrinkToFit="1"/>
    </xf>
    <xf numFmtId="0" fontId="8" fillId="4" borderId="0" xfId="0" applyFont="1" applyFill="1" applyAlignment="1">
      <alignment shrinkToFit="1"/>
    </xf>
    <xf numFmtId="0" fontId="7" fillId="4" borderId="0" xfId="0" applyFont="1" applyFill="1" applyAlignment="1"/>
    <xf numFmtId="10" fontId="7" fillId="4" borderId="0" xfId="0" applyNumberFormat="1" applyFont="1" applyFill="1" applyAlignment="1">
      <alignment shrinkToFit="1"/>
    </xf>
    <xf numFmtId="0" fontId="7" fillId="4" borderId="0" xfId="0" applyFont="1" applyFill="1" applyAlignment="1">
      <alignment shrinkToFit="1"/>
    </xf>
    <xf numFmtId="0" fontId="0" fillId="4" borderId="0" xfId="0" applyFont="1" applyFill="1" applyAlignment="1">
      <alignment shrinkToFit="1"/>
    </xf>
    <xf numFmtId="0" fontId="7" fillId="2" borderId="24" xfId="0" applyFont="1" applyFill="1" applyBorder="1" applyAlignment="1">
      <alignment shrinkToFit="1"/>
    </xf>
    <xf numFmtId="0" fontId="12" fillId="0" borderId="11" xfId="0" applyFont="1" applyBorder="1" applyAlignment="1">
      <alignment horizontal="right" shrinkToFit="1"/>
    </xf>
    <xf numFmtId="0" fontId="12" fillId="0" borderId="3" xfId="0" applyFont="1" applyBorder="1" applyAlignment="1">
      <alignment horizontal="right" shrinkToFit="1"/>
    </xf>
    <xf numFmtId="0" fontId="14" fillId="0" borderId="0" xfId="0" applyFont="1" applyAlignment="1">
      <alignment horizontal="center"/>
    </xf>
    <xf numFmtId="10" fontId="14" fillId="0" borderId="0" xfId="0" applyNumberFormat="1" applyFont="1" applyAlignment="1"/>
    <xf numFmtId="0" fontId="14" fillId="0" borderId="0" xfId="0" applyFont="1" applyAlignment="1"/>
    <xf numFmtId="0" fontId="18" fillId="0" borderId="0" xfId="0" applyFont="1" applyAlignment="1">
      <alignment horizontal="left" vertical="center"/>
    </xf>
    <xf numFmtId="0" fontId="0" fillId="0" borderId="0" xfId="0" applyFont="1" applyAlignment="1">
      <alignment shrinkToFit="1"/>
    </xf>
    <xf numFmtId="0" fontId="26" fillId="0" borderId="0" xfId="0" applyFont="1" applyAlignment="1"/>
    <xf numFmtId="176" fontId="27" fillId="5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vertical="center"/>
    </xf>
    <xf numFmtId="0" fontId="14" fillId="0" borderId="0" xfId="0" applyFont="1" applyFill="1" applyAlignment="1">
      <alignment vertical="center"/>
    </xf>
    <xf numFmtId="0" fontId="26" fillId="0" borderId="0" xfId="0" applyFont="1" applyFill="1" applyAlignment="1"/>
    <xf numFmtId="0" fontId="26" fillId="0" borderId="0" xfId="0" applyFont="1" applyFill="1" applyAlignment="1">
      <alignment horizontal="center"/>
    </xf>
    <xf numFmtId="176" fontId="27" fillId="0" borderId="0" xfId="0" applyNumberFormat="1" applyFont="1" applyFill="1" applyAlignment="1">
      <alignment horizontal="center" vertical="center"/>
    </xf>
    <xf numFmtId="179" fontId="26" fillId="0" borderId="0" xfId="0" applyNumberFormat="1" applyFont="1" applyFill="1" applyAlignment="1">
      <alignment horizontal="center"/>
    </xf>
    <xf numFmtId="176" fontId="26" fillId="0" borderId="0" xfId="0" applyNumberFormat="1" applyFont="1" applyFill="1" applyAlignment="1"/>
    <xf numFmtId="177" fontId="26" fillId="0" borderId="0" xfId="0" applyNumberFormat="1" applyFont="1" applyFill="1" applyAlignment="1"/>
    <xf numFmtId="178" fontId="26" fillId="0" borderId="0" xfId="0" applyNumberFormat="1" applyFont="1" applyFill="1" applyAlignment="1"/>
    <xf numFmtId="10" fontId="26" fillId="0" borderId="0" xfId="0" applyNumberFormat="1" applyFont="1" applyFill="1" applyAlignment="1"/>
    <xf numFmtId="176" fontId="27" fillId="6" borderId="0" xfId="0" applyNumberFormat="1" applyFont="1" applyFill="1" applyAlignment="1">
      <alignment horizontal="center" vertical="center"/>
    </xf>
    <xf numFmtId="176" fontId="27" fillId="7" borderId="0" xfId="0" applyNumberFormat="1" applyFont="1" applyFill="1" applyAlignment="1">
      <alignment horizontal="center" vertical="center"/>
    </xf>
    <xf numFmtId="180" fontId="26" fillId="0" borderId="0" xfId="0" applyNumberFormat="1" applyFont="1" applyFill="1" applyAlignment="1"/>
    <xf numFmtId="180" fontId="14" fillId="0" borderId="0" xfId="0" applyNumberFormat="1" applyFont="1" applyAlignment="1"/>
    <xf numFmtId="176" fontId="17" fillId="0" borderId="0" xfId="0" applyNumberFormat="1" applyFont="1" applyFill="1" applyAlignment="1">
      <alignment horizontal="center" vertical="center"/>
    </xf>
    <xf numFmtId="180" fontId="17" fillId="0" borderId="0" xfId="0" applyNumberFormat="1" applyFont="1" applyFill="1" applyAlignment="1">
      <alignment horizontal="center" vertical="center"/>
    </xf>
    <xf numFmtId="182" fontId="26" fillId="0" borderId="0" xfId="0" applyNumberFormat="1" applyFont="1" applyFill="1" applyAlignment="1"/>
    <xf numFmtId="0" fontId="26" fillId="0" borderId="0" xfId="0" applyFont="1" applyFill="1" applyAlignment="1">
      <alignment vertical="center"/>
    </xf>
    <xf numFmtId="182" fontId="27" fillId="0" borderId="22" xfId="0" applyNumberFormat="1" applyFont="1" applyFill="1" applyBorder="1" applyAlignment="1">
      <alignment horizontal="center" vertical="center"/>
    </xf>
    <xf numFmtId="10" fontId="27" fillId="0" borderId="22" xfId="0" applyNumberFormat="1" applyFont="1" applyFill="1" applyBorder="1" applyAlignment="1">
      <alignment horizontal="center" vertical="center"/>
    </xf>
    <xf numFmtId="10" fontId="26" fillId="0" borderId="22" xfId="0" applyNumberFormat="1" applyFont="1" applyFill="1" applyBorder="1" applyAlignment="1"/>
    <xf numFmtId="182" fontId="26" fillId="0" borderId="0" xfId="0" applyNumberFormat="1" applyFont="1" applyFill="1" applyAlignment="1">
      <alignment horizontal="center"/>
    </xf>
    <xf numFmtId="0" fontId="29" fillId="0" borderId="0" xfId="0" applyFont="1" applyFill="1" applyAlignment="1"/>
    <xf numFmtId="177" fontId="26" fillId="0" borderId="0" xfId="0" applyNumberFormat="1" applyFont="1" applyFill="1" applyAlignment="1">
      <alignment horizontal="center"/>
    </xf>
    <xf numFmtId="177" fontId="17" fillId="0" borderId="22" xfId="0" applyNumberFormat="1" applyFont="1" applyFill="1" applyBorder="1" applyAlignment="1">
      <alignment horizontal="center" vertical="center"/>
    </xf>
    <xf numFmtId="177" fontId="26" fillId="0" borderId="22" xfId="0" applyNumberFormat="1" applyFont="1" applyFill="1" applyBorder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shrinkToFit="1"/>
    </xf>
    <xf numFmtId="0" fontId="0" fillId="0" borderId="0" xfId="0" applyFont="1" applyAlignment="1">
      <alignment horizontal="center" vertical="center" shrinkToFit="1"/>
    </xf>
    <xf numFmtId="0" fontId="0" fillId="0" borderId="0" xfId="0" applyFont="1" applyAlignment="1">
      <alignment wrapText="1" shrinkToFit="1"/>
    </xf>
    <xf numFmtId="0" fontId="7" fillId="0" borderId="3" xfId="0" applyFont="1" applyBorder="1" applyAlignment="1">
      <alignment vertical="center" shrinkToFit="1"/>
    </xf>
    <xf numFmtId="0" fontId="7" fillId="0" borderId="8" xfId="0" applyFont="1" applyBorder="1" applyAlignment="1">
      <alignment vertical="center" shrinkToFit="1"/>
    </xf>
    <xf numFmtId="0" fontId="11" fillId="2" borderId="1" xfId="0" applyFont="1" applyFill="1" applyBorder="1" applyAlignment="1">
      <alignment horizontal="center" vertical="center" shrinkToFit="1"/>
    </xf>
    <xf numFmtId="0" fontId="11" fillId="2" borderId="4" xfId="0" applyFont="1" applyFill="1" applyBorder="1" applyAlignment="1">
      <alignment horizontal="center" vertical="center" shrinkToFit="1"/>
    </xf>
    <xf numFmtId="0" fontId="11" fillId="2" borderId="2" xfId="0" applyFont="1" applyFill="1" applyBorder="1" applyAlignment="1">
      <alignment horizontal="center" vertical="center" shrinkToFit="1"/>
    </xf>
    <xf numFmtId="0" fontId="11" fillId="2" borderId="3" xfId="0" applyFont="1" applyFill="1" applyBorder="1" applyAlignment="1">
      <alignment horizontal="center" vertical="center" shrinkToFit="1"/>
    </xf>
    <xf numFmtId="0" fontId="7" fillId="2" borderId="1" xfId="0" applyFont="1" applyFill="1" applyBorder="1" applyAlignment="1">
      <alignment horizontal="center" vertical="center" shrinkToFit="1"/>
    </xf>
    <xf numFmtId="0" fontId="11" fillId="2" borderId="16" xfId="0" applyFont="1" applyFill="1" applyBorder="1" applyAlignment="1">
      <alignment horizontal="center" shrinkToFit="1"/>
    </xf>
    <xf numFmtId="0" fontId="26" fillId="0" borderId="0" xfId="0" applyFont="1" applyAlignment="1">
      <alignment shrinkToFit="1"/>
    </xf>
    <xf numFmtId="0" fontId="26" fillId="4" borderId="0" xfId="0" applyFont="1" applyFill="1" applyAlignment="1">
      <alignment shrinkToFit="1"/>
    </xf>
    <xf numFmtId="0" fontId="26" fillId="0" borderId="0" xfId="0" applyFont="1" applyFill="1" applyAlignment="1">
      <alignment shrinkToFit="1"/>
    </xf>
    <xf numFmtId="0" fontId="28" fillId="0" borderId="0" xfId="0" applyFont="1" applyFill="1" applyAlignment="1">
      <alignment shrinkToFit="1"/>
    </xf>
    <xf numFmtId="0" fontId="44" fillId="0" borderId="0" xfId="0" applyFont="1" applyFill="1" applyBorder="1" applyAlignment="1">
      <alignment shrinkToFit="1"/>
    </xf>
    <xf numFmtId="0" fontId="26" fillId="0" borderId="22" xfId="0" applyFont="1" applyFill="1" applyBorder="1" applyAlignment="1">
      <alignment shrinkToFit="1"/>
    </xf>
    <xf numFmtId="0" fontId="26" fillId="0" borderId="0" xfId="0" applyFont="1" applyFill="1" applyAlignment="1">
      <alignment horizontal="center" shrinkToFit="1"/>
    </xf>
    <xf numFmtId="0" fontId="28" fillId="0" borderId="0" xfId="0" applyFont="1" applyFill="1" applyAlignment="1">
      <alignment horizontal="center" shrinkToFit="1"/>
    </xf>
    <xf numFmtId="0" fontId="26" fillId="0" borderId="0" xfId="0" applyFont="1" applyFill="1" applyAlignment="1">
      <alignment horizontal="center" vertical="center" shrinkToFit="1"/>
    </xf>
    <xf numFmtId="0" fontId="44" fillId="0" borderId="22" xfId="0" applyFont="1" applyFill="1" applyBorder="1" applyAlignment="1">
      <alignment shrinkToFit="1"/>
    </xf>
    <xf numFmtId="4" fontId="28" fillId="0" borderId="22" xfId="0" applyNumberFormat="1" applyFont="1" applyFill="1" applyBorder="1" applyAlignment="1">
      <alignment shrinkToFit="1"/>
    </xf>
    <xf numFmtId="0" fontId="26" fillId="4" borderId="0" xfId="0" applyFont="1" applyFill="1" applyBorder="1" applyAlignment="1">
      <alignment shrinkToFit="1"/>
    </xf>
    <xf numFmtId="0" fontId="28" fillId="4" borderId="0" xfId="0" applyFont="1" applyFill="1" applyBorder="1" applyAlignment="1">
      <alignment shrinkToFit="1"/>
    </xf>
    <xf numFmtId="0" fontId="48" fillId="0" borderId="0" xfId="0" applyFont="1" applyFill="1" applyBorder="1" applyAlignment="1"/>
    <xf numFmtId="0" fontId="26" fillId="0" borderId="0" xfId="0" applyFont="1" applyFill="1" applyBorder="1" applyAlignment="1">
      <alignment shrinkToFit="1"/>
    </xf>
    <xf numFmtId="0" fontId="50" fillId="0" borderId="0" xfId="0" applyFont="1" applyFill="1" applyBorder="1" applyAlignment="1"/>
    <xf numFmtId="0" fontId="26" fillId="0" borderId="0" xfId="0" applyFont="1" applyFill="1" applyBorder="1" applyAlignment="1">
      <alignment horizontal="center" shrinkToFit="1"/>
    </xf>
    <xf numFmtId="0" fontId="26" fillId="0" borderId="0" xfId="0" applyFont="1" applyFill="1" applyBorder="1" applyAlignment="1">
      <alignment horizontal="center" vertical="center" shrinkToFit="1"/>
    </xf>
    <xf numFmtId="10" fontId="44" fillId="0" borderId="0" xfId="0" applyNumberFormat="1" applyFont="1" applyFill="1" applyBorder="1" applyAlignment="1">
      <alignment shrinkToFit="1"/>
    </xf>
    <xf numFmtId="0" fontId="45" fillId="0" borderId="0" xfId="0" applyFont="1" applyFill="1" applyBorder="1" applyAlignment="1"/>
    <xf numFmtId="0" fontId="51" fillId="0" borderId="22" xfId="0" applyFont="1" applyFill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0" fontId="44" fillId="0" borderId="22" xfId="0" applyFont="1" applyFill="1" applyBorder="1" applyAlignment="1">
      <alignment horizontal="center" shrinkToFit="1"/>
    </xf>
    <xf numFmtId="3" fontId="28" fillId="0" borderId="22" xfId="0" applyNumberFormat="1" applyFont="1" applyFill="1" applyBorder="1" applyAlignment="1">
      <alignment shrinkToFit="1"/>
    </xf>
    <xf numFmtId="10" fontId="28" fillId="0" borderId="22" xfId="0" applyNumberFormat="1" applyFont="1" applyFill="1" applyBorder="1" applyAlignment="1">
      <alignment shrinkToFit="1"/>
    </xf>
    <xf numFmtId="4" fontId="28" fillId="0" borderId="22" xfId="0" applyNumberFormat="1" applyFont="1" applyFill="1" applyBorder="1" applyAlignment="1">
      <alignment horizontal="right" shrinkToFit="1"/>
    </xf>
    <xf numFmtId="0" fontId="44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shrinkToFit="1"/>
    </xf>
    <xf numFmtId="0" fontId="7" fillId="0" borderId="0" xfId="0" applyFont="1" applyBorder="1" applyAlignment="1">
      <alignment horizontal="center" vertical="center" shrinkToFit="1"/>
    </xf>
    <xf numFmtId="0" fontId="7" fillId="0" borderId="0" xfId="0" applyFont="1" applyBorder="1" applyAlignment="1">
      <alignment horizontal="right" shrinkToFit="1"/>
    </xf>
    <xf numFmtId="0" fontId="11" fillId="0" borderId="0" xfId="0" applyFont="1" applyBorder="1" applyAlignment="1">
      <alignment shrinkToFit="1"/>
    </xf>
    <xf numFmtId="0" fontId="7" fillId="0" borderId="0" xfId="0" applyFont="1" applyBorder="1" applyAlignment="1">
      <alignment shrinkToFit="1"/>
    </xf>
    <xf numFmtId="0" fontId="26" fillId="0" borderId="0" xfId="0" applyFont="1" applyBorder="1" applyAlignment="1">
      <alignment shrinkToFit="1"/>
    </xf>
    <xf numFmtId="0" fontId="26" fillId="4" borderId="0" xfId="0" applyFont="1" applyFill="1" applyBorder="1" applyAlignment="1">
      <alignment horizontal="center" vertical="center" shrinkToFit="1"/>
    </xf>
    <xf numFmtId="0" fontId="26" fillId="0" borderId="0" xfId="0" applyFont="1" applyAlignment="1">
      <alignment horizontal="center" vertical="center" shrinkToFit="1"/>
    </xf>
    <xf numFmtId="0" fontId="26" fillId="4" borderId="0" xfId="0" applyFont="1" applyFill="1" applyBorder="1" applyAlignment="1">
      <alignment horizontal="center" shrinkToFit="1"/>
    </xf>
    <xf numFmtId="0" fontId="28" fillId="0" borderId="22" xfId="0" applyFont="1" applyBorder="1" applyAlignment="1">
      <alignment horizontal="center" vertical="center" shrinkToFit="1"/>
    </xf>
    <xf numFmtId="0" fontId="28" fillId="0" borderId="22" xfId="0" applyFont="1" applyBorder="1" applyAlignment="1">
      <alignment horizontal="center" shrinkToFit="1"/>
    </xf>
    <xf numFmtId="0" fontId="44" fillId="0" borderId="22" xfId="0" applyFont="1" applyBorder="1" applyAlignment="1">
      <alignment horizontal="center" shrinkToFit="1"/>
    </xf>
    <xf numFmtId="0" fontId="26" fillId="4" borderId="22" xfId="0" applyFont="1" applyFill="1" applyBorder="1" applyAlignment="1">
      <alignment horizontal="center" shrinkToFit="1"/>
    </xf>
    <xf numFmtId="0" fontId="28" fillId="4" borderId="22" xfId="0" applyFont="1" applyFill="1" applyBorder="1" applyAlignment="1">
      <alignment horizontal="center" shrinkToFit="1"/>
    </xf>
    <xf numFmtId="0" fontId="26" fillId="0" borderId="0" xfId="0" applyFont="1" applyAlignment="1">
      <alignment vertical="center" shrinkToFit="1"/>
    </xf>
    <xf numFmtId="0" fontId="26" fillId="0" borderId="0" xfId="0" applyFont="1" applyAlignment="1">
      <alignment horizontal="center" shrinkToFit="1"/>
    </xf>
    <xf numFmtId="0" fontId="28" fillId="2" borderId="22" xfId="0" applyFont="1" applyFill="1" applyBorder="1" applyAlignment="1">
      <alignment horizontal="center" vertical="center" shrinkToFit="1"/>
    </xf>
    <xf numFmtId="0" fontId="28" fillId="0" borderId="22" xfId="0" applyFont="1" applyBorder="1" applyAlignment="1">
      <alignment shrinkToFit="1"/>
    </xf>
    <xf numFmtId="0" fontId="44" fillId="0" borderId="22" xfId="0" applyFont="1" applyBorder="1" applyAlignment="1">
      <alignment horizontal="right" shrinkToFit="1"/>
    </xf>
    <xf numFmtId="0" fontId="28" fillId="5" borderId="22" xfId="0" applyFont="1" applyFill="1" applyBorder="1" applyAlignment="1">
      <alignment horizontal="center" vertical="center" shrinkToFit="1"/>
    </xf>
    <xf numFmtId="0" fontId="28" fillId="5" borderId="22" xfId="0" applyFont="1" applyFill="1" applyBorder="1" applyAlignment="1">
      <alignment horizontal="center" shrinkToFit="1"/>
    </xf>
    <xf numFmtId="0" fontId="44" fillId="5" borderId="22" xfId="0" applyFont="1" applyFill="1" applyBorder="1" applyAlignment="1">
      <alignment horizontal="center" shrinkToFit="1"/>
    </xf>
    <xf numFmtId="0" fontId="26" fillId="5" borderId="22" xfId="0" applyFont="1" applyFill="1" applyBorder="1" applyAlignment="1">
      <alignment horizontal="center" shrinkToFit="1"/>
    </xf>
    <xf numFmtId="0" fontId="28" fillId="2" borderId="1" xfId="0" applyFont="1" applyFill="1" applyBorder="1" applyAlignment="1">
      <alignment horizontal="center" vertical="center" shrinkToFit="1"/>
    </xf>
    <xf numFmtId="0" fontId="28" fillId="0" borderId="3" xfId="0" applyFont="1" applyBorder="1" applyAlignment="1">
      <alignment vertical="center" shrinkToFit="1"/>
    </xf>
    <xf numFmtId="0" fontId="28" fillId="0" borderId="1" xfId="0" applyFont="1" applyBorder="1" applyAlignment="1">
      <alignment shrinkToFit="1"/>
    </xf>
    <xf numFmtId="0" fontId="28" fillId="0" borderId="8" xfId="0" applyFont="1" applyBorder="1" applyAlignment="1">
      <alignment vertical="center" shrinkToFit="1"/>
    </xf>
    <xf numFmtId="0" fontId="28" fillId="0" borderId="5" xfId="0" applyFont="1" applyBorder="1" applyAlignment="1">
      <alignment shrinkToFit="1"/>
    </xf>
    <xf numFmtId="0" fontId="26" fillId="0" borderId="0" xfId="0" applyFont="1" applyAlignment="1">
      <alignment wrapText="1" shrinkToFit="1"/>
    </xf>
    <xf numFmtId="0" fontId="26" fillId="0" borderId="0" xfId="0" applyFont="1" applyAlignment="1">
      <alignment horizontal="center" vertical="center" wrapText="1" shrinkToFit="1"/>
    </xf>
    <xf numFmtId="10" fontId="28" fillId="2" borderId="22" xfId="0" applyNumberFormat="1" applyFont="1" applyFill="1" applyBorder="1" applyAlignment="1">
      <alignment horizontal="center" vertical="center" shrinkToFit="1"/>
    </xf>
    <xf numFmtId="10" fontId="28" fillId="0" borderId="22" xfId="0" applyNumberFormat="1" applyFont="1" applyBorder="1" applyAlignment="1">
      <alignment shrinkToFit="1"/>
    </xf>
    <xf numFmtId="10" fontId="28" fillId="3" borderId="22" xfId="0" applyNumberFormat="1" applyFont="1" applyFill="1" applyBorder="1" applyAlignment="1">
      <alignment shrinkToFit="1"/>
    </xf>
    <xf numFmtId="0" fontId="28" fillId="2" borderId="23" xfId="0" applyFont="1" applyFill="1" applyBorder="1" applyAlignment="1">
      <alignment horizontal="center" vertical="center" shrinkToFit="1"/>
    </xf>
    <xf numFmtId="10" fontId="28" fillId="2" borderId="23" xfId="0" applyNumberFormat="1" applyFont="1" applyFill="1" applyBorder="1" applyAlignment="1">
      <alignment horizontal="center" vertical="center" shrinkToFit="1"/>
    </xf>
    <xf numFmtId="1" fontId="0" fillId="0" borderId="22" xfId="0" applyNumberFormat="1" applyFont="1" applyBorder="1" applyAlignment="1">
      <alignment horizontal="center" vertical="center"/>
    </xf>
    <xf numFmtId="0" fontId="26" fillId="0" borderId="0" xfId="11" applyFont="1" applyAlignment="1">
      <alignment shrinkToFit="1"/>
    </xf>
    <xf numFmtId="0" fontId="26" fillId="4" borderId="0" xfId="11" applyFont="1" applyFill="1" applyAlignment="1">
      <alignment shrinkToFit="1"/>
    </xf>
    <xf numFmtId="0" fontId="26" fillId="0" borderId="0" xfId="11" applyFont="1" applyBorder="1" applyAlignment="1">
      <alignment shrinkToFit="1"/>
    </xf>
    <xf numFmtId="0" fontId="26" fillId="4" borderId="0" xfId="11" applyFont="1" applyFill="1" applyBorder="1" applyAlignment="1">
      <alignment shrinkToFit="1"/>
    </xf>
    <xf numFmtId="0" fontId="45" fillId="0" borderId="0" xfId="11" applyFont="1" applyAlignment="1">
      <alignment shrinkToFit="1"/>
    </xf>
    <xf numFmtId="184" fontId="63" fillId="0" borderId="0" xfId="11" applyNumberFormat="1" applyFont="1" applyAlignment="1">
      <alignment shrinkToFit="1"/>
    </xf>
    <xf numFmtId="0" fontId="44" fillId="0" borderId="6" xfId="11" applyFont="1" applyFill="1" applyBorder="1" applyAlignment="1">
      <alignment horizontal="center" shrinkToFit="1"/>
    </xf>
    <xf numFmtId="3" fontId="36" fillId="0" borderId="6" xfId="11" applyNumberFormat="1" applyFont="1" applyFill="1" applyBorder="1" applyAlignment="1">
      <alignment shrinkToFit="1"/>
    </xf>
    <xf numFmtId="10" fontId="36" fillId="0" borderId="6" xfId="11" applyNumberFormat="1" applyFont="1" applyFill="1" applyBorder="1" applyAlignment="1">
      <alignment shrinkToFit="1"/>
    </xf>
    <xf numFmtId="3" fontId="28" fillId="0" borderId="22" xfId="11" applyNumberFormat="1" applyFont="1" applyFill="1" applyBorder="1" applyAlignment="1">
      <alignment shrinkToFit="1"/>
    </xf>
    <xf numFmtId="10" fontId="28" fillId="0" borderId="22" xfId="11" applyNumberFormat="1" applyFont="1" applyFill="1" applyBorder="1" applyAlignment="1">
      <alignment shrinkToFit="1"/>
    </xf>
    <xf numFmtId="0" fontId="26" fillId="0" borderId="0" xfId="11" applyFont="1" applyFill="1" applyAlignment="1">
      <alignment shrinkToFit="1"/>
    </xf>
    <xf numFmtId="0" fontId="44" fillId="0" borderId="1" xfId="11" applyFont="1" applyFill="1" applyBorder="1" applyAlignment="1">
      <alignment horizontal="center" shrinkToFit="1"/>
    </xf>
    <xf numFmtId="3" fontId="36" fillId="0" borderId="1" xfId="11" applyNumberFormat="1" applyFont="1" applyFill="1" applyBorder="1" applyAlignment="1">
      <alignment shrinkToFit="1"/>
    </xf>
    <xf numFmtId="0" fontId="35" fillId="0" borderId="34" xfId="0" applyFont="1" applyBorder="1" applyAlignment="1">
      <alignment horizontal="left" vertical="center"/>
    </xf>
    <xf numFmtId="0" fontId="35" fillId="0" borderId="36" xfId="0" applyFont="1" applyBorder="1" applyAlignment="1">
      <alignment horizontal="left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left" vertical="center"/>
    </xf>
    <xf numFmtId="0" fontId="35" fillId="0" borderId="34" xfId="0" applyFont="1" applyFill="1" applyBorder="1" applyAlignment="1">
      <alignment horizontal="left" vertical="center"/>
    </xf>
    <xf numFmtId="0" fontId="35" fillId="0" borderId="26" xfId="0" applyFont="1" applyFill="1" applyBorder="1" applyAlignment="1">
      <alignment horizontal="left" vertical="center"/>
    </xf>
    <xf numFmtId="0" fontId="35" fillId="0" borderId="36" xfId="0" applyFont="1" applyFill="1" applyBorder="1" applyAlignment="1">
      <alignment horizontal="left" vertical="center"/>
    </xf>
    <xf numFmtId="0" fontId="35" fillId="0" borderId="32" xfId="0" applyFont="1" applyFill="1" applyBorder="1" applyAlignment="1">
      <alignment horizontal="left" vertical="center"/>
    </xf>
    <xf numFmtId="0" fontId="35" fillId="0" borderId="37" xfId="0" applyFont="1" applyFill="1" applyBorder="1" applyAlignment="1">
      <alignment horizontal="left" vertical="center"/>
    </xf>
    <xf numFmtId="0" fontId="7" fillId="0" borderId="0" xfId="5"/>
    <xf numFmtId="0" fontId="67" fillId="8" borderId="30" xfId="5" applyFont="1" applyFill="1" applyBorder="1"/>
    <xf numFmtId="0" fontId="67" fillId="0" borderId="0" xfId="5" applyFont="1"/>
    <xf numFmtId="0" fontId="67" fillId="0" borderId="22" xfId="5" applyFont="1" applyBorder="1"/>
    <xf numFmtId="0" fontId="67" fillId="8" borderId="22" xfId="5" applyFont="1" applyFill="1" applyBorder="1"/>
    <xf numFmtId="185" fontId="26" fillId="0" borderId="0" xfId="0" applyNumberFormat="1" applyFont="1" applyFill="1" applyAlignment="1"/>
    <xf numFmtId="0" fontId="51" fillId="8" borderId="22" xfId="0" applyFont="1" applyFill="1" applyBorder="1" applyAlignment="1">
      <alignment horizontal="center" vertical="center" shrinkToFit="1"/>
    </xf>
    <xf numFmtId="0" fontId="28" fillId="0" borderId="22" xfId="11" applyFont="1" applyFill="1" applyBorder="1" applyAlignment="1">
      <alignment horizontal="center" vertical="center" shrinkToFit="1"/>
    </xf>
    <xf numFmtId="0" fontId="68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shrinkToFit="1"/>
    </xf>
    <xf numFmtId="183" fontId="0" fillId="0" borderId="0" xfId="0" applyNumberFormat="1" applyFont="1" applyAlignment="1">
      <alignment horizontal="center" vertical="center"/>
    </xf>
    <xf numFmtId="0" fontId="69" fillId="0" borderId="0" xfId="0" applyFont="1" applyAlignment="1">
      <alignment vertical="center"/>
    </xf>
    <xf numFmtId="0" fontId="62" fillId="2" borderId="22" xfId="0" applyFont="1" applyFill="1" applyBorder="1" applyAlignment="1">
      <alignment horizontal="center" vertical="center" shrinkToFit="1"/>
    </xf>
    <xf numFmtId="0" fontId="29" fillId="5" borderId="23" xfId="11" applyFont="1" applyFill="1" applyBorder="1" applyAlignment="1">
      <alignment horizontal="center" vertical="center"/>
    </xf>
    <xf numFmtId="3" fontId="28" fillId="5" borderId="22" xfId="0" applyNumberFormat="1" applyFont="1" applyFill="1" applyBorder="1" applyAlignment="1">
      <alignment shrinkToFit="1"/>
    </xf>
    <xf numFmtId="10" fontId="28" fillId="5" borderId="22" xfId="0" applyNumberFormat="1" applyFont="1" applyFill="1" applyBorder="1" applyAlignment="1">
      <alignment shrinkToFit="1"/>
    </xf>
    <xf numFmtId="0" fontId="0" fillId="5" borderId="22" xfId="0" applyFont="1" applyFill="1" applyBorder="1" applyAlignment="1">
      <alignment horizontal="center" vertical="center"/>
    </xf>
    <xf numFmtId="186" fontId="70" fillId="0" borderId="22" xfId="0" applyNumberFormat="1" applyFont="1" applyFill="1" applyBorder="1" applyAlignment="1"/>
    <xf numFmtId="186" fontId="26" fillId="0" borderId="0" xfId="0" applyNumberFormat="1" applyFont="1" applyFill="1" applyAlignment="1"/>
    <xf numFmtId="180" fontId="26" fillId="9" borderId="0" xfId="0" applyNumberFormat="1" applyFont="1" applyFill="1" applyAlignment="1"/>
    <xf numFmtId="187" fontId="26" fillId="9" borderId="0" xfId="0" applyNumberFormat="1" applyFont="1" applyFill="1" applyAlignment="1"/>
    <xf numFmtId="177" fontId="26" fillId="9" borderId="0" xfId="0" applyNumberFormat="1" applyFont="1" applyFill="1" applyAlignment="1"/>
    <xf numFmtId="186" fontId="26" fillId="9" borderId="0" xfId="0" applyNumberFormat="1" applyFont="1" applyFill="1" applyAlignment="1"/>
    <xf numFmtId="185" fontId="26" fillId="9" borderId="0" xfId="0" applyNumberFormat="1" applyFont="1" applyFill="1" applyAlignment="1"/>
    <xf numFmtId="186" fontId="70" fillId="9" borderId="22" xfId="0" applyNumberFormat="1" applyFont="1" applyFill="1" applyBorder="1" applyAlignment="1"/>
    <xf numFmtId="177" fontId="26" fillId="9" borderId="22" xfId="0" applyNumberFormat="1" applyFont="1" applyFill="1" applyBorder="1" applyAlignment="1"/>
    <xf numFmtId="188" fontId="28" fillId="0" borderId="22" xfId="14" applyNumberFormat="1" applyFont="1" applyFill="1" applyBorder="1" applyAlignment="1">
      <alignment shrinkToFit="1"/>
    </xf>
    <xf numFmtId="189" fontId="28" fillId="5" borderId="22" xfId="0" applyNumberFormat="1" applyFont="1" applyFill="1" applyBorder="1" applyAlignment="1">
      <alignment shrinkToFit="1"/>
    </xf>
    <xf numFmtId="3" fontId="28" fillId="5" borderId="22" xfId="0" applyNumberFormat="1" applyFont="1" applyFill="1" applyBorder="1" applyAlignment="1">
      <alignment horizontal="right" shrinkToFit="1"/>
    </xf>
    <xf numFmtId="188" fontId="28" fillId="5" borderId="22" xfId="14" applyNumberFormat="1" applyFont="1" applyFill="1" applyBorder="1" applyAlignment="1">
      <alignment shrinkToFit="1"/>
    </xf>
    <xf numFmtId="190" fontId="28" fillId="5" borderId="22" xfId="14" applyNumberFormat="1" applyFont="1" applyFill="1" applyBorder="1" applyAlignment="1">
      <alignment shrinkToFit="1"/>
    </xf>
    <xf numFmtId="191" fontId="28" fillId="0" borderId="22" xfId="0" applyNumberFormat="1" applyFont="1" applyFill="1" applyBorder="1" applyAlignment="1">
      <alignment shrinkToFit="1"/>
    </xf>
    <xf numFmtId="10" fontId="28" fillId="3" borderId="22" xfId="0" applyNumberFormat="1" applyFont="1" applyFill="1" applyBorder="1" applyAlignment="1">
      <alignment horizontal="center" shrinkToFit="1"/>
    </xf>
    <xf numFmtId="0" fontId="11" fillId="2" borderId="22" xfId="0" applyFont="1" applyFill="1" applyBorder="1" applyAlignment="1">
      <alignment horizontal="center" shrinkToFit="1"/>
    </xf>
    <xf numFmtId="189" fontId="26" fillId="9" borderId="0" xfId="0" applyNumberFormat="1" applyFont="1" applyFill="1" applyAlignment="1"/>
    <xf numFmtId="189" fontId="28" fillId="0" borderId="22" xfId="0" applyNumberFormat="1" applyFont="1" applyFill="1" applyBorder="1" applyAlignment="1">
      <alignment shrinkToFit="1"/>
    </xf>
    <xf numFmtId="185" fontId="28" fillId="5" borderId="22" xfId="0" applyNumberFormat="1" applyFont="1" applyFill="1" applyBorder="1" applyAlignment="1">
      <alignment shrinkToFit="1"/>
    </xf>
    <xf numFmtId="185" fontId="28" fillId="0" borderId="22" xfId="0" applyNumberFormat="1" applyFont="1" applyFill="1" applyBorder="1" applyAlignment="1">
      <alignment shrinkToFit="1"/>
    </xf>
    <xf numFmtId="183" fontId="26" fillId="0" borderId="0" xfId="0" applyNumberFormat="1" applyFont="1" applyAlignment="1">
      <alignment shrinkToFit="1"/>
    </xf>
    <xf numFmtId="9" fontId="28" fillId="5" borderId="22" xfId="0" applyNumberFormat="1" applyFont="1" applyFill="1" applyBorder="1" applyAlignment="1">
      <alignment shrinkToFit="1"/>
    </xf>
    <xf numFmtId="9" fontId="28" fillId="0" borderId="22" xfId="0" applyNumberFormat="1" applyFont="1" applyFill="1" applyBorder="1" applyAlignment="1">
      <alignment shrinkToFit="1"/>
    </xf>
    <xf numFmtId="3" fontId="45" fillId="5" borderId="22" xfId="0" applyNumberFormat="1" applyFont="1" applyFill="1" applyBorder="1" applyAlignment="1">
      <alignment shrinkToFit="1"/>
    </xf>
    <xf numFmtId="10" fontId="45" fillId="5" borderId="22" xfId="0" applyNumberFormat="1" applyFont="1" applyFill="1" applyBorder="1" applyAlignment="1">
      <alignment shrinkToFit="1"/>
    </xf>
    <xf numFmtId="189" fontId="45" fillId="5" borderId="22" xfId="0" applyNumberFormat="1" applyFont="1" applyFill="1" applyBorder="1" applyAlignment="1">
      <alignment shrinkToFit="1"/>
    </xf>
    <xf numFmtId="185" fontId="45" fillId="5" borderId="22" xfId="0" applyNumberFormat="1" applyFont="1" applyFill="1" applyBorder="1" applyAlignment="1">
      <alignment shrinkToFit="1"/>
    </xf>
    <xf numFmtId="190" fontId="45" fillId="5" borderId="22" xfId="14" applyNumberFormat="1" applyFont="1" applyFill="1" applyBorder="1" applyAlignment="1">
      <alignment shrinkToFit="1"/>
    </xf>
    <xf numFmtId="191" fontId="28" fillId="0" borderId="22" xfId="0" applyNumberFormat="1" applyFont="1" applyFill="1" applyBorder="1" applyAlignment="1">
      <alignment horizontal="right" shrinkToFit="1"/>
    </xf>
    <xf numFmtId="191" fontId="45" fillId="5" borderId="22" xfId="0" applyNumberFormat="1" applyFont="1" applyFill="1" applyBorder="1" applyAlignment="1">
      <alignment horizontal="right" shrinkToFit="1"/>
    </xf>
    <xf numFmtId="190" fontId="28" fillId="0" borderId="22" xfId="14" applyNumberFormat="1" applyFont="1" applyFill="1" applyBorder="1" applyAlignment="1">
      <alignment horizontal="right" shrinkToFit="1"/>
    </xf>
    <xf numFmtId="0" fontId="26" fillId="10" borderId="0" xfId="0" applyFont="1" applyFill="1" applyBorder="1" applyAlignment="1">
      <alignment shrinkToFit="1"/>
    </xf>
    <xf numFmtId="0" fontId="0" fillId="0" borderId="0" xfId="0" applyFont="1" applyAlignment="1">
      <alignment shrinkToFit="1"/>
    </xf>
    <xf numFmtId="10" fontId="26" fillId="11" borderId="22" xfId="0" applyNumberFormat="1" applyFont="1" applyFill="1" applyBorder="1" applyAlignment="1"/>
    <xf numFmtId="177" fontId="71" fillId="11" borderId="0" xfId="0" applyNumberFormat="1" applyFont="1" applyFill="1" applyAlignment="1"/>
    <xf numFmtId="177" fontId="71" fillId="0" borderId="0" xfId="0" applyNumberFormat="1" applyFont="1" applyFill="1" applyAlignment="1"/>
    <xf numFmtId="10" fontId="76" fillId="11" borderId="22" xfId="0" applyNumberFormat="1" applyFont="1" applyFill="1" applyBorder="1" applyAlignment="1"/>
    <xf numFmtId="177" fontId="76" fillId="0" borderId="0" xfId="0" applyNumberFormat="1" applyFont="1" applyFill="1" applyAlignment="1"/>
    <xf numFmtId="10" fontId="76" fillId="0" borderId="0" xfId="0" applyNumberFormat="1" applyFont="1" applyFill="1" applyAlignment="1"/>
    <xf numFmtId="3" fontId="76" fillId="0" borderId="0" xfId="0" applyNumberFormat="1" applyFont="1" applyFill="1" applyAlignment="1"/>
    <xf numFmtId="186" fontId="70" fillId="11" borderId="22" xfId="0" applyNumberFormat="1" applyFont="1" applyFill="1" applyBorder="1" applyAlignment="1"/>
    <xf numFmtId="3" fontId="28" fillId="12" borderId="22" xfId="0" applyNumberFormat="1" applyFont="1" applyFill="1" applyBorder="1" applyAlignment="1">
      <alignment shrinkToFit="1"/>
    </xf>
    <xf numFmtId="10" fontId="28" fillId="12" borderId="22" xfId="0" applyNumberFormat="1" applyFont="1" applyFill="1" applyBorder="1" applyAlignment="1">
      <alignment shrinkToFit="1"/>
    </xf>
    <xf numFmtId="183" fontId="28" fillId="0" borderId="22" xfId="0" applyNumberFormat="1" applyFont="1" applyFill="1" applyBorder="1" applyAlignment="1">
      <alignment shrinkToFit="1"/>
    </xf>
    <xf numFmtId="3" fontId="28" fillId="0" borderId="22" xfId="0" applyNumberFormat="1" applyFont="1" applyFill="1" applyBorder="1" applyAlignment="1">
      <alignment horizontal="right" shrinkToFit="1"/>
    </xf>
    <xf numFmtId="180" fontId="26" fillId="10" borderId="0" xfId="0" applyNumberFormat="1" applyFont="1" applyFill="1" applyAlignment="1"/>
    <xf numFmtId="4" fontId="28" fillId="12" borderId="22" xfId="0" applyNumberFormat="1" applyFont="1" applyFill="1" applyBorder="1" applyAlignment="1">
      <alignment horizontal="right" shrinkToFit="1"/>
    </xf>
    <xf numFmtId="189" fontId="28" fillId="12" borderId="22" xfId="0" applyNumberFormat="1" applyFont="1" applyFill="1" applyBorder="1" applyAlignment="1">
      <alignment shrinkToFit="1"/>
    </xf>
    <xf numFmtId="185" fontId="28" fillId="12" borderId="22" xfId="0" applyNumberFormat="1" applyFont="1" applyFill="1" applyBorder="1" applyAlignment="1">
      <alignment shrinkToFit="1"/>
    </xf>
    <xf numFmtId="185" fontId="26" fillId="10" borderId="0" xfId="0" applyNumberFormat="1" applyFont="1" applyFill="1" applyAlignment="1"/>
    <xf numFmtId="189" fontId="26" fillId="10" borderId="0" xfId="0" applyNumberFormat="1" applyFont="1" applyFill="1" applyAlignment="1"/>
    <xf numFmtId="191" fontId="26" fillId="0" borderId="0" xfId="0" applyNumberFormat="1" applyFont="1" applyFill="1" applyAlignment="1">
      <alignment shrinkToFit="1"/>
    </xf>
    <xf numFmtId="187" fontId="26" fillId="0" borderId="0" xfId="0" applyNumberFormat="1" applyFont="1" applyFill="1" applyAlignment="1"/>
    <xf numFmtId="189" fontId="26" fillId="0" borderId="0" xfId="0" applyNumberFormat="1" applyFont="1" applyFill="1" applyAlignment="1"/>
    <xf numFmtId="179" fontId="63" fillId="0" borderId="0" xfId="0" applyNumberFormat="1" applyFont="1" applyFill="1" applyAlignment="1">
      <alignment horizontal="center"/>
    </xf>
    <xf numFmtId="176" fontId="45" fillId="0" borderId="0" xfId="0" applyNumberFormat="1" applyFont="1" applyFill="1" applyAlignment="1">
      <alignment horizontal="center" vertical="center"/>
    </xf>
    <xf numFmtId="177" fontId="26" fillId="0" borderId="0" xfId="0" applyNumberFormat="1" applyFont="1" applyFill="1" applyAlignment="1">
      <alignment horizontal="right"/>
    </xf>
    <xf numFmtId="183" fontId="28" fillId="12" borderId="22" xfId="0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5" fillId="13" borderId="37" xfId="0" applyFont="1" applyFill="1" applyBorder="1" applyAlignment="1">
      <alignment horizontal="left" vertical="center"/>
    </xf>
    <xf numFmtId="0" fontId="35" fillId="13" borderId="32" xfId="0" applyFont="1" applyFill="1" applyBorder="1" applyAlignment="1">
      <alignment horizontal="left" vertical="center"/>
    </xf>
    <xf numFmtId="0" fontId="35" fillId="13" borderId="26" xfId="0" applyFont="1" applyFill="1" applyBorder="1" applyAlignment="1">
      <alignment horizontal="left" vertical="center"/>
    </xf>
    <xf numFmtId="0" fontId="35" fillId="13" borderId="36" xfId="0" applyFont="1" applyFill="1" applyBorder="1" applyAlignment="1">
      <alignment horizontal="left" vertical="center"/>
    </xf>
    <xf numFmtId="1" fontId="33" fillId="0" borderId="22" xfId="0" applyNumberFormat="1" applyFont="1" applyFill="1" applyBorder="1" applyAlignment="1">
      <alignment horizontal="center" vertical="center"/>
    </xf>
    <xf numFmtId="0" fontId="33" fillId="5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6" fontId="71" fillId="0" borderId="32" xfId="0" applyNumberFormat="1" applyFont="1" applyFill="1" applyBorder="1" applyAlignment="1">
      <alignment vertical="center"/>
    </xf>
    <xf numFmtId="186" fontId="71" fillId="0" borderId="34" xfId="0" applyNumberFormat="1" applyFont="1" applyFill="1" applyBorder="1" applyAlignment="1">
      <alignment vertical="center"/>
    </xf>
    <xf numFmtId="10" fontId="26" fillId="0" borderId="0" xfId="0" applyNumberFormat="1" applyFont="1" applyFill="1" applyAlignment="1">
      <alignment vertical="center"/>
    </xf>
    <xf numFmtId="187" fontId="26" fillId="0" borderId="0" xfId="0" applyNumberFormat="1" applyFont="1" applyFill="1" applyAlignment="1">
      <alignment vertical="center"/>
    </xf>
    <xf numFmtId="177" fontId="26" fillId="0" borderId="0" xfId="0" applyNumberFormat="1" applyFont="1" applyFill="1" applyAlignment="1">
      <alignment vertical="center"/>
    </xf>
    <xf numFmtId="0" fontId="28" fillId="2" borderId="22" xfId="0" applyFont="1" applyFill="1" applyBorder="1" applyAlignment="1">
      <alignment horizontal="center" shrinkToFit="1"/>
    </xf>
    <xf numFmtId="0" fontId="62" fillId="2" borderId="1" xfId="0" applyFont="1" applyFill="1" applyBorder="1" applyAlignment="1">
      <alignment horizontal="center" vertical="center" shrinkToFit="1"/>
    </xf>
    <xf numFmtId="0" fontId="26" fillId="0" borderId="0" xfId="11" applyFont="1" applyAlignment="1">
      <alignment horizontal="center" vertical="center" shrinkToFit="1"/>
    </xf>
    <xf numFmtId="0" fontId="26" fillId="0" borderId="0" xfId="11" applyFont="1" applyAlignment="1">
      <alignment wrapText="1" shrinkToFit="1"/>
    </xf>
    <xf numFmtId="0" fontId="26" fillId="0" borderId="0" xfId="11" applyFont="1" applyAlignment="1">
      <alignment vertical="center" shrinkToFit="1"/>
    </xf>
    <xf numFmtId="0" fontId="24" fillId="0" borderId="0" xfId="11" applyFont="1" applyAlignment="1">
      <alignment horizontal="center" vertical="center" shrinkToFit="1"/>
    </xf>
    <xf numFmtId="0" fontId="24" fillId="0" borderId="0" xfId="11" applyFont="1" applyAlignment="1">
      <alignment shrinkToFit="1"/>
    </xf>
    <xf numFmtId="0" fontId="24" fillId="0" borderId="0" xfId="11" applyFont="1" applyAlignment="1">
      <alignment wrapText="1" shrinkToFit="1"/>
    </xf>
    <xf numFmtId="0" fontId="24" fillId="0" borderId="0" xfId="11" applyFont="1" applyAlignment="1">
      <alignment vertical="center" shrinkToFit="1"/>
    </xf>
    <xf numFmtId="0" fontId="29" fillId="0" borderId="0" xfId="11" applyFont="1"/>
    <xf numFmtId="0" fontId="29" fillId="0" borderId="0" xfId="11" applyFont="1" applyAlignment="1">
      <alignment vertical="center"/>
    </xf>
    <xf numFmtId="0" fontId="29" fillId="0" borderId="22" xfId="11" applyFont="1" applyBorder="1" applyAlignment="1">
      <alignment horizontal="center" vertical="center"/>
    </xf>
    <xf numFmtId="192" fontId="36" fillId="8" borderId="22" xfId="11" applyNumberFormat="1" applyFont="1" applyFill="1" applyBorder="1" applyAlignment="1">
      <alignment horizontal="center" vertical="center"/>
    </xf>
    <xf numFmtId="0" fontId="81" fillId="0" borderId="22" xfId="11" applyFont="1" applyBorder="1" applyAlignment="1">
      <alignment horizontal="center" vertical="center"/>
    </xf>
    <xf numFmtId="0" fontId="36" fillId="0" borderId="22" xfId="11" applyFont="1" applyBorder="1" applyAlignment="1">
      <alignment horizontal="center" vertical="center"/>
    </xf>
    <xf numFmtId="0" fontId="29" fillId="0" borderId="41" xfId="11" applyFont="1" applyBorder="1" applyAlignment="1">
      <alignment horizontal="center" vertical="center"/>
    </xf>
    <xf numFmtId="0" fontId="29" fillId="0" borderId="0" xfId="11" applyFont="1" applyAlignment="1">
      <alignment horizontal="center" vertical="center"/>
    </xf>
    <xf numFmtId="0" fontId="29" fillId="0" borderId="0" xfId="11" applyFont="1" applyAlignment="1">
      <alignment horizontal="left" vertical="center"/>
    </xf>
    <xf numFmtId="193" fontId="84" fillId="0" borderId="22" xfId="5" applyNumberFormat="1" applyFont="1" applyBorder="1" applyAlignment="1">
      <alignment horizontal="center" vertical="center"/>
    </xf>
    <xf numFmtId="0" fontId="55" fillId="0" borderId="0" xfId="0" applyFont="1" applyFill="1" applyAlignment="1">
      <alignment vertical="center"/>
    </xf>
    <xf numFmtId="0" fontId="55" fillId="0" borderId="0" xfId="0" applyFont="1" applyFill="1" applyAlignment="1"/>
    <xf numFmtId="177" fontId="55" fillId="0" borderId="0" xfId="0" applyNumberFormat="1" applyFont="1" applyFill="1" applyAlignment="1"/>
    <xf numFmtId="177" fontId="55" fillId="0" borderId="0" xfId="0" applyNumberFormat="1" applyFont="1" applyFill="1" applyAlignment="1">
      <alignment horizontal="right"/>
    </xf>
    <xf numFmtId="177" fontId="55" fillId="9" borderId="22" xfId="0" applyNumberFormat="1" applyFont="1" applyFill="1" applyBorder="1" applyAlignment="1"/>
    <xf numFmtId="10" fontId="55" fillId="0" borderId="22" xfId="0" applyNumberFormat="1" applyFont="1" applyFill="1" applyBorder="1" applyAlignment="1"/>
    <xf numFmtId="177" fontId="55" fillId="0" borderId="22" xfId="0" applyNumberFormat="1" applyFont="1" applyFill="1" applyBorder="1" applyAlignment="1"/>
    <xf numFmtId="0" fontId="55" fillId="0" borderId="0" xfId="0" applyFont="1" applyAlignment="1"/>
    <xf numFmtId="0" fontId="26" fillId="0" borderId="37" xfId="0" applyFont="1" applyFill="1" applyBorder="1" applyAlignment="1">
      <alignment vertical="center"/>
    </xf>
    <xf numFmtId="177" fontId="26" fillId="0" borderId="34" xfId="0" applyNumberFormat="1" applyFont="1" applyFill="1" applyBorder="1" applyAlignment="1">
      <alignment vertical="center"/>
    </xf>
    <xf numFmtId="1" fontId="0" fillId="0" borderId="22" xfId="0" applyNumberFormat="1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45" fillId="0" borderId="45" xfId="11" applyFont="1" applyBorder="1" applyAlignment="1">
      <alignment shrinkToFit="1"/>
    </xf>
    <xf numFmtId="184" fontId="63" fillId="17" borderId="46" xfId="11" applyNumberFormat="1" applyFont="1" applyFill="1" applyBorder="1" applyAlignment="1">
      <alignment shrinkToFit="1"/>
    </xf>
    <xf numFmtId="0" fontId="44" fillId="0" borderId="50" xfId="11" applyFont="1" applyFill="1" applyBorder="1" applyAlignment="1">
      <alignment horizontal="center" shrinkToFit="1"/>
    </xf>
    <xf numFmtId="3" fontId="36" fillId="7" borderId="6" xfId="11" applyNumberFormat="1" applyFont="1" applyFill="1" applyBorder="1" applyAlignment="1">
      <alignment shrinkToFit="1"/>
    </xf>
    <xf numFmtId="3" fontId="28" fillId="7" borderId="22" xfId="11" applyNumberFormat="1" applyFont="1" applyFill="1" applyBorder="1" applyAlignment="1">
      <alignment shrinkToFit="1"/>
    </xf>
    <xf numFmtId="10" fontId="28" fillId="0" borderId="49" xfId="11" applyNumberFormat="1" applyFont="1" applyFill="1" applyBorder="1" applyAlignment="1">
      <alignment shrinkToFit="1"/>
    </xf>
    <xf numFmtId="0" fontId="26" fillId="0" borderId="51" xfId="11" applyFont="1" applyBorder="1" applyAlignment="1">
      <alignment shrinkToFit="1"/>
    </xf>
    <xf numFmtId="0" fontId="26" fillId="0" borderId="51" xfId="11" applyFont="1" applyFill="1" applyBorder="1" applyAlignment="1">
      <alignment shrinkToFit="1"/>
    </xf>
    <xf numFmtId="0" fontId="26" fillId="0" borderId="0" xfId="11" applyFont="1" applyFill="1" applyBorder="1" applyAlignment="1">
      <alignment shrinkToFit="1"/>
    </xf>
    <xf numFmtId="10" fontId="28" fillId="0" borderId="42" xfId="11" applyNumberFormat="1" applyFont="1" applyFill="1" applyBorder="1" applyAlignment="1">
      <alignment shrinkToFit="1"/>
    </xf>
    <xf numFmtId="10" fontId="28" fillId="0" borderId="54" xfId="11" applyNumberFormat="1" applyFont="1" applyFill="1" applyBorder="1" applyAlignment="1">
      <alignment shrinkToFit="1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35" fillId="0" borderId="0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179" fontId="55" fillId="0" borderId="0" xfId="0" applyNumberFormat="1" applyFont="1" applyFill="1" applyAlignment="1">
      <alignment horizontal="center"/>
    </xf>
    <xf numFmtId="0" fontId="33" fillId="0" borderId="22" xfId="0" applyFont="1" applyBorder="1" applyAlignment="1">
      <alignment horizontal="center" vertical="center"/>
    </xf>
    <xf numFmtId="179" fontId="98" fillId="0" borderId="0" xfId="0" applyNumberFormat="1" applyFont="1" applyFill="1" applyAlignment="1">
      <alignment horizontal="center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5" fillId="0" borderId="0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33" fillId="4" borderId="22" xfId="0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5" fillId="13" borderId="26" xfId="0" applyFont="1" applyFill="1" applyBorder="1" applyAlignment="1">
      <alignment horizontal="left" vertical="center"/>
    </xf>
    <xf numFmtId="1" fontId="33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44" fillId="2" borderId="22" xfId="11" applyFont="1" applyFill="1" applyBorder="1" applyAlignment="1">
      <alignment horizontal="center" vertical="center" shrinkToFit="1"/>
    </xf>
    <xf numFmtId="0" fontId="62" fillId="2" borderId="22" xfId="11" applyFont="1" applyFill="1" applyBorder="1" applyAlignment="1">
      <alignment horizontal="center" vertical="center" shrinkToFit="1"/>
    </xf>
    <xf numFmtId="3" fontId="28" fillId="6" borderId="22" xfId="0" applyNumberFormat="1" applyFont="1" applyFill="1" applyBorder="1" applyAlignment="1">
      <alignment shrinkToFit="1"/>
    </xf>
    <xf numFmtId="10" fontId="28" fillId="10" borderId="22" xfId="0" applyNumberFormat="1" applyFont="1" applyFill="1" applyBorder="1" applyAlignment="1">
      <alignment shrinkToFit="1"/>
    </xf>
    <xf numFmtId="183" fontId="26" fillId="0" borderId="22" xfId="0" applyNumberFormat="1" applyFont="1" applyFill="1" applyBorder="1" applyAlignment="1">
      <alignment shrinkToFit="1"/>
    </xf>
    <xf numFmtId="185" fontId="26" fillId="0" borderId="22" xfId="13" applyNumberFormat="1" applyFont="1" applyFill="1" applyBorder="1" applyAlignment="1">
      <alignment shrinkToFit="1"/>
    </xf>
    <xf numFmtId="189" fontId="26" fillId="0" borderId="22" xfId="13" applyNumberFormat="1" applyFont="1" applyFill="1" applyBorder="1" applyAlignment="1">
      <alignment shrinkToFit="1"/>
    </xf>
    <xf numFmtId="188" fontId="26" fillId="0" borderId="22" xfId="19" applyNumberFormat="1" applyFont="1" applyFill="1" applyBorder="1" applyAlignment="1">
      <alignment horizontal="center" vertical="center" shrinkToFit="1"/>
    </xf>
    <xf numFmtId="188" fontId="26" fillId="0" borderId="22" xfId="19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0" fillId="0" borderId="27" xfId="0" applyBorder="1" applyAlignment="1">
      <alignment horizontal="left" vertical="center"/>
    </xf>
    <xf numFmtId="0" fontId="0" fillId="0" borderId="28" xfId="0" applyBorder="1" applyAlignment="1">
      <alignment vertical="center"/>
    </xf>
    <xf numFmtId="0" fontId="0" fillId="0" borderId="25" xfId="0" applyBorder="1" applyAlignment="1">
      <alignment vertical="center"/>
    </xf>
    <xf numFmtId="1" fontId="28" fillId="0" borderId="22" xfId="0" applyNumberFormat="1" applyFont="1" applyBorder="1" applyAlignment="1">
      <alignment shrinkToFit="1"/>
    </xf>
    <xf numFmtId="0" fontId="73" fillId="0" borderId="22" xfId="0" applyFont="1" applyBorder="1" applyAlignment="1">
      <alignment horizontal="center" vertical="center" shrinkToFit="1"/>
    </xf>
    <xf numFmtId="0" fontId="33" fillId="0" borderId="27" xfId="0" applyFont="1" applyBorder="1" applyAlignment="1">
      <alignment horizontal="left" vertical="center"/>
    </xf>
    <xf numFmtId="0" fontId="74" fillId="0" borderId="22" xfId="0" applyFont="1" applyBorder="1" applyAlignment="1">
      <alignment horizontal="center" vertical="center" shrinkToFit="1"/>
    </xf>
    <xf numFmtId="0" fontId="75" fillId="0" borderId="22" xfId="0" applyFont="1" applyBorder="1" applyAlignment="1">
      <alignment horizontal="center" vertical="center" shrinkToFit="1"/>
    </xf>
    <xf numFmtId="0" fontId="0" fillId="0" borderId="27" xfId="0" applyBorder="1" applyAlignment="1">
      <alignment vertical="center"/>
    </xf>
    <xf numFmtId="0" fontId="33" fillId="0" borderId="27" xfId="0" applyFont="1" applyBorder="1" applyAlignment="1">
      <alignment vertical="center"/>
    </xf>
    <xf numFmtId="4" fontId="28" fillId="6" borderId="22" xfId="0" applyNumberFormat="1" applyFont="1" applyFill="1" applyBorder="1" applyAlignment="1">
      <alignment horizontal="right" shrinkToFit="1"/>
    </xf>
    <xf numFmtId="10" fontId="28" fillId="6" borderId="22" xfId="0" applyNumberFormat="1" applyFont="1" applyFill="1" applyBorder="1" applyAlignment="1">
      <alignment shrinkToFit="1"/>
    </xf>
    <xf numFmtId="189" fontId="28" fillId="6" borderId="22" xfId="0" applyNumberFormat="1" applyFont="1" applyFill="1" applyBorder="1" applyAlignment="1">
      <alignment shrinkToFit="1"/>
    </xf>
    <xf numFmtId="183" fontId="28" fillId="6" borderId="22" xfId="0" applyNumberFormat="1" applyFont="1" applyFill="1" applyBorder="1" applyAlignment="1">
      <alignment shrinkToFit="1"/>
    </xf>
    <xf numFmtId="0" fontId="28" fillId="0" borderId="22" xfId="0" applyFont="1" applyFill="1" applyBorder="1" applyAlignment="1">
      <alignment vertical="center" shrinkToFit="1"/>
    </xf>
    <xf numFmtId="0" fontId="26" fillId="0" borderId="22" xfId="0" applyFont="1" applyFill="1" applyBorder="1" applyAlignment="1">
      <alignment horizontal="center" shrinkToFit="1"/>
    </xf>
    <xf numFmtId="0" fontId="26" fillId="0" borderId="22" xfId="0" applyFont="1" applyFill="1" applyBorder="1" applyAlignment="1">
      <alignment horizontal="left" vertical="center" shrinkToFit="1"/>
    </xf>
    <xf numFmtId="188" fontId="26" fillId="0" borderId="22" xfId="0" applyNumberFormat="1" applyFont="1" applyFill="1" applyBorder="1" applyAlignment="1">
      <alignment horizontal="center" vertical="center" shrinkToFit="1"/>
    </xf>
    <xf numFmtId="0" fontId="77" fillId="0" borderId="22" xfId="0" applyFont="1" applyFill="1" applyBorder="1" applyAlignment="1">
      <alignment horizontal="center" shrinkToFit="1"/>
    </xf>
    <xf numFmtId="0" fontId="26" fillId="0" borderId="23" xfId="0" applyFont="1" applyFill="1" applyBorder="1" applyAlignment="1">
      <alignment horizontal="left" vertical="center" shrinkToFit="1"/>
    </xf>
    <xf numFmtId="188" fontId="26" fillId="0" borderId="23" xfId="19" applyNumberFormat="1" applyFont="1" applyFill="1" applyBorder="1" applyAlignment="1">
      <alignment shrinkToFit="1"/>
    </xf>
    <xf numFmtId="188" fontId="26" fillId="0" borderId="23" xfId="0" applyNumberFormat="1" applyFont="1" applyFill="1" applyBorder="1" applyAlignment="1">
      <alignment horizontal="center" vertical="center" shrinkToFit="1"/>
    </xf>
    <xf numFmtId="0" fontId="28" fillId="0" borderId="30" xfId="0" applyFont="1" applyFill="1" applyBorder="1" applyAlignment="1">
      <alignment vertical="center" shrinkToFit="1"/>
    </xf>
    <xf numFmtId="183" fontId="28" fillId="0" borderId="30" xfId="0" applyNumberFormat="1" applyFont="1" applyFill="1" applyBorder="1" applyAlignment="1">
      <alignment shrinkToFit="1"/>
    </xf>
    <xf numFmtId="183" fontId="26" fillId="0" borderId="30" xfId="0" applyNumberFormat="1" applyFont="1" applyFill="1" applyBorder="1" applyAlignment="1">
      <alignment shrinkToFit="1"/>
    </xf>
    <xf numFmtId="0" fontId="28" fillId="0" borderId="55" xfId="0" applyFont="1" applyFill="1" applyBorder="1" applyAlignment="1">
      <alignment vertical="center" shrinkToFit="1"/>
    </xf>
    <xf numFmtId="183" fontId="26" fillId="0" borderId="55" xfId="0" applyNumberFormat="1" applyFont="1" applyFill="1" applyBorder="1" applyAlignment="1">
      <alignment shrinkToFit="1"/>
    </xf>
    <xf numFmtId="0" fontId="26" fillId="0" borderId="55" xfId="0" applyFont="1" applyFill="1" applyBorder="1" applyAlignment="1">
      <alignment shrinkToFit="1"/>
    </xf>
    <xf numFmtId="0" fontId="28" fillId="0" borderId="56" xfId="0" applyFont="1" applyFill="1" applyBorder="1" applyAlignment="1">
      <alignment vertical="center" shrinkToFit="1"/>
    </xf>
    <xf numFmtId="189" fontId="26" fillId="0" borderId="56" xfId="13" applyNumberFormat="1" applyFont="1" applyFill="1" applyBorder="1" applyAlignment="1">
      <alignment shrinkToFit="1"/>
    </xf>
    <xf numFmtId="0" fontId="26" fillId="0" borderId="56" xfId="0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/>
    </xf>
    <xf numFmtId="188" fontId="63" fillId="0" borderId="22" xfId="19" applyNumberFormat="1" applyFont="1" applyFill="1" applyBorder="1" applyAlignment="1">
      <alignment horizontal="center" vertical="center" shrinkToFit="1"/>
    </xf>
    <xf numFmtId="188" fontId="63" fillId="0" borderId="22" xfId="19" applyNumberFormat="1" applyFont="1" applyFill="1" applyBorder="1" applyAlignment="1">
      <alignment shrinkToFit="1"/>
    </xf>
    <xf numFmtId="188" fontId="63" fillId="0" borderId="23" xfId="19" applyNumberFormat="1" applyFont="1" applyFill="1" applyBorder="1" applyAlignment="1">
      <alignment shrinkToFit="1"/>
    </xf>
    <xf numFmtId="183" fontId="63" fillId="0" borderId="55" xfId="0" applyNumberFormat="1" applyFont="1" applyFill="1" applyBorder="1" applyAlignment="1">
      <alignment shrinkToFit="1"/>
    </xf>
    <xf numFmtId="185" fontId="63" fillId="0" borderId="22" xfId="13" applyNumberFormat="1" applyFont="1" applyFill="1" applyBorder="1" applyAlignment="1">
      <alignment shrinkToFit="1"/>
    </xf>
    <xf numFmtId="189" fontId="63" fillId="0" borderId="22" xfId="13" applyNumberFormat="1" applyFont="1" applyFill="1" applyBorder="1" applyAlignment="1">
      <alignment shrinkToFit="1"/>
    </xf>
    <xf numFmtId="189" fontId="63" fillId="0" borderId="56" xfId="13" applyNumberFormat="1" applyFont="1" applyFill="1" applyBorder="1" applyAlignment="1">
      <alignment shrinkToFit="1"/>
    </xf>
    <xf numFmtId="183" fontId="45" fillId="0" borderId="30" xfId="0" applyNumberFormat="1" applyFont="1" applyFill="1" applyBorder="1" applyAlignment="1">
      <alignment shrinkToFit="1"/>
    </xf>
    <xf numFmtId="183" fontId="45" fillId="0" borderId="22" xfId="0" applyNumberFormat="1" applyFont="1" applyFill="1" applyBorder="1" applyAlignment="1">
      <alignment shrinkToFit="1"/>
    </xf>
    <xf numFmtId="0" fontId="24" fillId="0" borderId="27" xfId="0" applyFont="1" applyBorder="1" applyAlignment="1">
      <alignment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27" fillId="0" borderId="22" xfId="0" applyNumberFormat="1" applyFont="1" applyBorder="1" applyAlignment="1">
      <alignment shrinkToFit="1"/>
    </xf>
    <xf numFmtId="0" fontId="29" fillId="0" borderId="0" xfId="11" applyFont="1" applyAlignment="1">
      <alignment horizontal="center" vertical="center"/>
    </xf>
    <xf numFmtId="0" fontId="26" fillId="4" borderId="0" xfId="0" applyFont="1" applyFill="1" applyBorder="1" applyAlignment="1"/>
    <xf numFmtId="1" fontId="7" fillId="3" borderId="1" xfId="0" applyNumberFormat="1" applyFont="1" applyFill="1" applyBorder="1" applyAlignment="1">
      <alignment shrinkToFit="1"/>
    </xf>
    <xf numFmtId="1" fontId="28" fillId="3" borderId="18" xfId="0" applyNumberFormat="1" applyFont="1" applyFill="1" applyBorder="1" applyAlignment="1">
      <alignment shrinkToFit="1"/>
    </xf>
    <xf numFmtId="0" fontId="29" fillId="8" borderId="22" xfId="11" applyFont="1" applyFill="1" applyBorder="1" applyAlignment="1">
      <alignment horizontal="left" vertical="center"/>
    </xf>
    <xf numFmtId="197" fontId="36" fillId="0" borderId="22" xfId="11" applyNumberFormat="1" applyFont="1" applyBorder="1" applyAlignment="1">
      <alignment horizontal="center" vertical="center"/>
    </xf>
    <xf numFmtId="198" fontId="36" fillId="8" borderId="22" xfId="11" applyNumberFormat="1" applyFont="1" applyFill="1" applyBorder="1" applyAlignment="1">
      <alignment horizontal="center" vertical="center"/>
    </xf>
    <xf numFmtId="198" fontId="36" fillId="8" borderId="22" xfId="13" applyNumberFormat="1" applyFont="1" applyFill="1" applyBorder="1" applyAlignment="1">
      <alignment horizontal="center" vertical="center"/>
    </xf>
    <xf numFmtId="185" fontId="36" fillId="0" borderId="22" xfId="13" applyNumberFormat="1" applyFont="1" applyFill="1" applyBorder="1" applyAlignment="1">
      <alignment horizontal="center" vertical="center"/>
    </xf>
    <xf numFmtId="197" fontId="36" fillId="0" borderId="22" xfId="13" applyNumberFormat="1" applyFont="1" applyFill="1" applyBorder="1" applyAlignment="1">
      <alignment horizontal="center" vertical="center"/>
    </xf>
    <xf numFmtId="0" fontId="36" fillId="0" borderId="22" xfId="11" applyFont="1" applyBorder="1" applyAlignment="1">
      <alignment horizontal="left" vertical="center"/>
    </xf>
    <xf numFmtId="1" fontId="29" fillId="0" borderId="57" xfId="11" applyNumberFormat="1" applyFont="1" applyBorder="1" applyAlignment="1">
      <alignment horizontal="center" vertical="center"/>
    </xf>
    <xf numFmtId="1" fontId="29" fillId="0" borderId="22" xfId="11" applyNumberFormat="1" applyFont="1" applyBorder="1" applyAlignment="1">
      <alignment horizontal="center" vertical="center"/>
    </xf>
    <xf numFmtId="1" fontId="65" fillId="0" borderId="58" xfId="11" applyNumberFormat="1" applyFont="1" applyBorder="1" applyAlignment="1">
      <alignment horizontal="center" vertical="center"/>
    </xf>
    <xf numFmtId="9" fontId="29" fillId="0" borderId="58" xfId="13" applyFont="1" applyBorder="1" applyAlignment="1">
      <alignment horizontal="center" vertical="center"/>
    </xf>
    <xf numFmtId="0" fontId="0" fillId="0" borderId="0" xfId="0"/>
    <xf numFmtId="0" fontId="0" fillId="0" borderId="0" xfId="5" applyFont="1"/>
    <xf numFmtId="0" fontId="103" fillId="0" borderId="23" xfId="578" applyFont="1" applyFill="1" applyBorder="1" applyAlignment="1">
      <alignment horizontal="center" vertical="center"/>
    </xf>
    <xf numFmtId="194" fontId="103" fillId="0" borderId="23" xfId="578" applyNumberFormat="1" applyFont="1" applyFill="1" applyBorder="1" applyAlignment="1">
      <alignment horizontal="center" vertical="center"/>
    </xf>
    <xf numFmtId="189" fontId="103" fillId="0" borderId="23" xfId="578" applyNumberFormat="1" applyFont="1" applyFill="1" applyBorder="1" applyAlignment="1">
      <alignment horizontal="center" vertical="center"/>
    </xf>
    <xf numFmtId="10" fontId="103" fillId="0" borderId="23" xfId="3" applyNumberFormat="1" applyFont="1" applyFill="1" applyBorder="1" applyAlignment="1">
      <alignment horizontal="center" vertical="center"/>
    </xf>
    <xf numFmtId="0" fontId="105" fillId="0" borderId="23" xfId="578" applyFont="1" applyFill="1" applyBorder="1" applyAlignment="1">
      <alignment horizontal="center" vertical="center" wrapText="1"/>
    </xf>
    <xf numFmtId="0" fontId="108" fillId="0" borderId="23" xfId="11" applyFont="1" applyFill="1" applyBorder="1" applyAlignment="1">
      <alignment horizontal="center" vertical="center"/>
    </xf>
    <xf numFmtId="0" fontId="109" fillId="0" borderId="23" xfId="11" applyFont="1" applyFill="1" applyBorder="1" applyAlignment="1">
      <alignment horizontal="center" vertical="center"/>
    </xf>
    <xf numFmtId="193" fontId="110" fillId="5" borderId="22" xfId="5" applyNumberFormat="1" applyFont="1" applyFill="1" applyBorder="1" applyAlignment="1">
      <alignment horizontal="center" vertical="center"/>
    </xf>
    <xf numFmtId="194" fontId="111" fillId="8" borderId="22" xfId="577" applyNumberFormat="1" applyFont="1" applyFill="1" applyBorder="1" applyAlignment="1">
      <alignment horizontal="center" vertical="center"/>
    </xf>
    <xf numFmtId="194" fontId="111" fillId="8" borderId="22" xfId="579" applyNumberFormat="1" applyFont="1" applyFill="1" applyBorder="1" applyAlignment="1">
      <alignment horizontal="center" vertical="center"/>
    </xf>
    <xf numFmtId="10" fontId="111" fillId="0" borderId="22" xfId="3" applyNumberFormat="1" applyFont="1" applyBorder="1" applyAlignment="1">
      <alignment horizontal="center" vertical="center"/>
    </xf>
    <xf numFmtId="193" fontId="110" fillId="14" borderId="22" xfId="5" applyNumberFormat="1" applyFont="1" applyFill="1" applyBorder="1" applyAlignment="1">
      <alignment horizontal="center" vertical="center"/>
    </xf>
    <xf numFmtId="0" fontId="112" fillId="0" borderId="0" xfId="578" applyFont="1">
      <alignment vertical="center"/>
    </xf>
    <xf numFmtId="193" fontId="113" fillId="0" borderId="22" xfId="5" applyNumberFormat="1" applyFont="1" applyBorder="1" applyAlignment="1">
      <alignment horizontal="center" vertical="center"/>
    </xf>
    <xf numFmtId="0" fontId="2" fillId="0" borderId="0" xfId="578">
      <alignment vertical="center"/>
    </xf>
    <xf numFmtId="0" fontId="104" fillId="0" borderId="0" xfId="578" applyFont="1">
      <alignment vertical="center"/>
    </xf>
    <xf numFmtId="194" fontId="104" fillId="0" borderId="0" xfId="578" applyNumberFormat="1" applyFont="1">
      <alignment vertical="center"/>
    </xf>
    <xf numFmtId="194" fontId="114" fillId="0" borderId="0" xfId="578" applyNumberFormat="1" applyFont="1">
      <alignment vertical="center"/>
    </xf>
    <xf numFmtId="195" fontId="112" fillId="0" borderId="0" xfId="578" applyNumberFormat="1" applyFont="1">
      <alignment vertical="center"/>
    </xf>
    <xf numFmtId="0" fontId="115" fillId="0" borderId="0" xfId="578" applyFont="1">
      <alignment vertical="center"/>
    </xf>
    <xf numFmtId="0" fontId="2" fillId="0" borderId="0" xfId="578" applyFont="1">
      <alignment vertical="center"/>
    </xf>
    <xf numFmtId="195" fontId="2" fillId="0" borderId="0" xfId="578" applyNumberFormat="1">
      <alignment vertical="center"/>
    </xf>
    <xf numFmtId="0" fontId="83" fillId="0" borderId="0" xfId="578" applyFont="1">
      <alignment vertical="center"/>
    </xf>
    <xf numFmtId="194" fontId="83" fillId="0" borderId="0" xfId="578" applyNumberFormat="1" applyFont="1">
      <alignment vertical="center"/>
    </xf>
    <xf numFmtId="0" fontId="112" fillId="0" borderId="0" xfId="577" applyFont="1">
      <alignment vertical="center"/>
    </xf>
    <xf numFmtId="0" fontId="2" fillId="0" borderId="0" xfId="577">
      <alignment vertical="center"/>
    </xf>
    <xf numFmtId="3" fontId="112" fillId="0" borderId="0" xfId="577" applyNumberFormat="1" applyFont="1">
      <alignment vertical="center"/>
    </xf>
    <xf numFmtId="186" fontId="116" fillId="9" borderId="22" xfId="0" applyNumberFormat="1" applyFont="1" applyFill="1" applyBorder="1" applyAlignment="1"/>
    <xf numFmtId="186" fontId="116" fillId="0" borderId="22" xfId="0" applyNumberFormat="1" applyFont="1" applyFill="1" applyBorder="1" applyAlignment="1"/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3" fillId="4" borderId="22" xfId="0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14" fillId="0" borderId="0" xfId="0" applyFont="1" applyFill="1" applyAlignment="1"/>
    <xf numFmtId="180" fontId="14" fillId="0" borderId="0" xfId="0" applyNumberFormat="1" applyFont="1" applyFill="1" applyAlignment="1"/>
    <xf numFmtId="10" fontId="14" fillId="0" borderId="0" xfId="0" applyNumberFormat="1" applyFont="1" applyFill="1" applyAlignment="1"/>
    <xf numFmtId="0" fontId="29" fillId="0" borderId="0" xfId="11" applyFont="1" applyAlignment="1">
      <alignment horizontal="center" vertical="center"/>
    </xf>
    <xf numFmtId="0" fontId="36" fillId="5" borderId="23" xfId="5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4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26" fillId="0" borderId="47" xfId="11" applyFont="1" applyBorder="1" applyAlignment="1">
      <alignment shrinkToFit="1"/>
    </xf>
    <xf numFmtId="0" fontId="28" fillId="0" borderId="48" xfId="11" applyFont="1" applyFill="1" applyBorder="1" applyAlignment="1">
      <alignment horizontal="center" vertical="center" shrinkToFit="1"/>
    </xf>
    <xf numFmtId="0" fontId="28" fillId="0" borderId="25" xfId="11" applyFont="1" applyFill="1" applyBorder="1" applyAlignment="1">
      <alignment horizontal="center" vertical="center" shrinkToFit="1"/>
    </xf>
    <xf numFmtId="0" fontId="28" fillId="0" borderId="27" xfId="11" applyFont="1" applyFill="1" applyBorder="1" applyAlignment="1">
      <alignment horizontal="center" vertical="center" shrinkToFit="1"/>
    </xf>
    <xf numFmtId="10" fontId="36" fillId="0" borderId="67" xfId="11" applyNumberFormat="1" applyFont="1" applyFill="1" applyBorder="1" applyAlignment="1">
      <alignment shrinkToFit="1"/>
    </xf>
    <xf numFmtId="0" fontId="44" fillId="0" borderId="68" xfId="11" applyFont="1" applyFill="1" applyBorder="1" applyAlignment="1">
      <alignment horizontal="center" shrinkToFit="1"/>
    </xf>
    <xf numFmtId="3" fontId="28" fillId="7" borderId="48" xfId="11" applyNumberFormat="1" applyFont="1" applyFill="1" applyBorder="1" applyAlignment="1">
      <alignment shrinkToFit="1"/>
    </xf>
    <xf numFmtId="3" fontId="28" fillId="7" borderId="25" xfId="11" applyNumberFormat="1" applyFont="1" applyFill="1" applyBorder="1" applyAlignment="1">
      <alignment shrinkToFit="1"/>
    </xf>
    <xf numFmtId="10" fontId="28" fillId="0" borderId="27" xfId="11" applyNumberFormat="1" applyFont="1" applyFill="1" applyBorder="1" applyAlignment="1">
      <alignment shrinkToFit="1"/>
    </xf>
    <xf numFmtId="0" fontId="44" fillId="0" borderId="69" xfId="11" applyFont="1" applyFill="1" applyBorder="1" applyAlignment="1">
      <alignment horizontal="center" shrinkToFit="1"/>
    </xf>
    <xf numFmtId="3" fontId="36" fillId="7" borderId="53" xfId="11" applyNumberFormat="1" applyFont="1" applyFill="1" applyBorder="1" applyAlignment="1">
      <alignment shrinkToFit="1"/>
    </xf>
    <xf numFmtId="10" fontId="36" fillId="0" borderId="70" xfId="11" applyNumberFormat="1" applyFont="1" applyFill="1" applyBorder="1" applyAlignment="1">
      <alignment shrinkToFit="1"/>
    </xf>
    <xf numFmtId="0" fontId="44" fillId="0" borderId="71" xfId="11" applyFont="1" applyFill="1" applyBorder="1" applyAlignment="1">
      <alignment horizontal="center" shrinkToFit="1"/>
    </xf>
    <xf numFmtId="3" fontId="28" fillId="7" borderId="72" xfId="11" applyNumberFormat="1" applyFont="1" applyFill="1" applyBorder="1" applyAlignment="1">
      <alignment shrinkToFit="1"/>
    </xf>
    <xf numFmtId="10" fontId="28" fillId="0" borderId="73" xfId="11" applyNumberFormat="1" applyFont="1" applyFill="1" applyBorder="1" applyAlignment="1">
      <alignment shrinkToFit="1"/>
    </xf>
    <xf numFmtId="197" fontId="36" fillId="4" borderId="22" xfId="11" applyNumberFormat="1" applyFont="1" applyFill="1" applyBorder="1" applyAlignment="1">
      <alignment horizontal="center" vertical="center"/>
    </xf>
    <xf numFmtId="0" fontId="29" fillId="0" borderId="22" xfId="11" applyFont="1" applyBorder="1"/>
    <xf numFmtId="0" fontId="118" fillId="0" borderId="22" xfId="11" applyFont="1" applyBorder="1"/>
    <xf numFmtId="0" fontId="119" fillId="0" borderId="22" xfId="11" applyFont="1" applyBorder="1"/>
    <xf numFmtId="0" fontId="120" fillId="0" borderId="22" xfId="11" applyFont="1" applyBorder="1" applyAlignment="1">
      <alignment horizontal="center" vertical="center"/>
    </xf>
    <xf numFmtId="194" fontId="111" fillId="8" borderId="22" xfId="6" applyNumberFormat="1" applyFont="1" applyFill="1" applyBorder="1" applyAlignment="1">
      <alignment horizontal="center" vertical="center"/>
    </xf>
    <xf numFmtId="0" fontId="0" fillId="4" borderId="22" xfId="0" applyFont="1" applyFill="1" applyBorder="1" applyAlignment="1">
      <alignment horizontal="center" vertical="center"/>
    </xf>
    <xf numFmtId="0" fontId="0" fillId="10" borderId="22" xfId="0" applyFont="1" applyFill="1" applyBorder="1" applyAlignment="1">
      <alignment horizontal="center" vertical="center"/>
    </xf>
    <xf numFmtId="0" fontId="121" fillId="0" borderId="27" xfId="0" applyFont="1" applyBorder="1" applyAlignment="1">
      <alignment horizontal="left" vertical="center"/>
    </xf>
    <xf numFmtId="0" fontId="122" fillId="0" borderId="22" xfId="0" applyFont="1" applyBorder="1" applyAlignment="1">
      <alignment horizontal="center" vertical="center" shrinkToFit="1"/>
    </xf>
    <xf numFmtId="0" fontId="123" fillId="0" borderId="27" xfId="0" applyFont="1" applyBorder="1" applyAlignment="1">
      <alignment horizontal="left" vertical="center"/>
    </xf>
    <xf numFmtId="0" fontId="121" fillId="0" borderId="27" xfId="0" applyFont="1" applyBorder="1" applyAlignment="1">
      <alignment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179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44" fillId="2" borderId="22" xfId="0" applyFont="1" applyFill="1" applyBorder="1" applyAlignment="1">
      <alignment horizontal="center" shrinkToFit="1"/>
    </xf>
    <xf numFmtId="0" fontId="44" fillId="0" borderId="22" xfId="0" applyFont="1" applyBorder="1" applyAlignment="1">
      <alignment shrinkToFit="1"/>
    </xf>
    <xf numFmtId="0" fontId="28" fillId="0" borderId="22" xfId="0" applyFont="1" applyBorder="1" applyAlignment="1">
      <alignment shrinkToFit="1"/>
    </xf>
    <xf numFmtId="0" fontId="0" fillId="0" borderId="0" xfId="0" applyFont="1" applyAlignment="1">
      <alignment shrinkToFit="1"/>
    </xf>
    <xf numFmtId="0" fontId="28" fillId="0" borderId="22" xfId="11" applyFont="1" applyFill="1" applyBorder="1" applyAlignment="1">
      <alignment horizontal="center" vertical="center" shrinkToFit="1"/>
    </xf>
    <xf numFmtId="0" fontId="28" fillId="0" borderId="49" xfId="11" applyFont="1" applyFill="1" applyBorder="1" applyAlignment="1">
      <alignment horizontal="center" vertical="center" shrinkToFit="1"/>
    </xf>
    <xf numFmtId="0" fontId="28" fillId="2" borderId="4" xfId="0" applyFont="1" applyFill="1" applyBorder="1" applyAlignment="1">
      <alignment horizontal="center" vertical="center" shrinkToFit="1"/>
    </xf>
    <xf numFmtId="0" fontId="28" fillId="2" borderId="2" xfId="0" applyFont="1" applyFill="1" applyBorder="1" applyAlignment="1">
      <alignment horizontal="center" vertical="center" shrinkToFit="1"/>
    </xf>
    <xf numFmtId="0" fontId="28" fillId="2" borderId="3" xfId="0" applyFont="1" applyFill="1" applyBorder="1" applyAlignment="1">
      <alignment horizontal="center" vertical="center" shrinkToFit="1"/>
    </xf>
    <xf numFmtId="0" fontId="36" fillId="5" borderId="22" xfId="577" applyFont="1" applyFill="1" applyBorder="1" applyAlignment="1">
      <alignment horizontal="center" vertical="center" wrapText="1"/>
    </xf>
    <xf numFmtId="0" fontId="80" fillId="5" borderId="22" xfId="577" applyFont="1" applyFill="1" applyBorder="1" applyAlignment="1">
      <alignment horizontal="center" vertical="center" wrapText="1"/>
    </xf>
    <xf numFmtId="0" fontId="7" fillId="0" borderId="4" xfId="0" applyFont="1" applyBorder="1" applyAlignment="1">
      <alignment shrinkToFit="1"/>
    </xf>
    <xf numFmtId="0" fontId="9" fillId="0" borderId="3" xfId="0" applyFont="1" applyBorder="1" applyAlignment="1">
      <alignment shrinkToFit="1"/>
    </xf>
    <xf numFmtId="0" fontId="7" fillId="0" borderId="9" xfId="0" applyFont="1" applyBorder="1" applyAlignment="1">
      <alignment shrinkToFit="1"/>
    </xf>
    <xf numFmtId="0" fontId="9" fillId="0" borderId="8" xfId="0" applyFont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11" fillId="0" borderId="19" xfId="0" applyFont="1" applyBorder="1" applyAlignment="1">
      <alignment shrinkToFit="1"/>
    </xf>
    <xf numFmtId="0" fontId="9" fillId="0" borderId="21" xfId="0" applyFont="1" applyBorder="1" applyAlignment="1">
      <alignment shrinkToFit="1"/>
    </xf>
    <xf numFmtId="0" fontId="11" fillId="0" borderId="4" xfId="0" applyFont="1" applyBorder="1" applyAlignment="1">
      <alignment shrinkToFit="1"/>
    </xf>
    <xf numFmtId="0" fontId="9" fillId="0" borderId="2" xfId="0" applyFont="1" applyBorder="1" applyAlignment="1">
      <alignment shrinkToFit="1"/>
    </xf>
    <xf numFmtId="0" fontId="9" fillId="0" borderId="10" xfId="0" applyFont="1" applyBorder="1" applyAlignment="1">
      <alignment shrinkToFit="1"/>
    </xf>
    <xf numFmtId="0" fontId="11" fillId="0" borderId="12" xfId="0" applyFont="1" applyBorder="1" applyAlignment="1">
      <alignment shrinkToFit="1"/>
    </xf>
    <xf numFmtId="0" fontId="9" fillId="0" borderId="13" xfId="0" applyFont="1" applyBorder="1" applyAlignment="1">
      <alignment shrinkToFit="1"/>
    </xf>
    <xf numFmtId="0" fontId="9" fillId="0" borderId="11" xfId="0" applyFont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12" fillId="2" borderId="4" xfId="0" applyFont="1" applyFill="1" applyBorder="1" applyAlignment="1">
      <alignment shrinkToFit="1"/>
    </xf>
    <xf numFmtId="0" fontId="12" fillId="2" borderId="3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8" fillId="0" borderId="4" xfId="0" applyFont="1" applyBorder="1" applyAlignment="1">
      <alignment shrinkToFit="1"/>
    </xf>
    <xf numFmtId="0" fontId="7" fillId="0" borderId="19" xfId="0" applyFont="1" applyBorder="1" applyAlignment="1">
      <alignment shrinkToFit="1"/>
    </xf>
    <xf numFmtId="0" fontId="9" fillId="0" borderId="20" xfId="0" applyFont="1" applyBorder="1" applyAlignment="1">
      <alignment shrinkToFit="1"/>
    </xf>
    <xf numFmtId="0" fontId="8" fillId="2" borderId="4" xfId="0" applyFont="1" applyFill="1" applyBorder="1" applyAlignment="1">
      <alignment shrinkToFit="1"/>
    </xf>
    <xf numFmtId="0" fontId="8" fillId="0" borderId="9" xfId="0" applyFont="1" applyBorder="1" applyAlignment="1">
      <alignment shrinkToFit="1"/>
    </xf>
    <xf numFmtId="0" fontId="41" fillId="0" borderId="0" xfId="0" applyFont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10" fontId="27" fillId="0" borderId="0" xfId="0" applyNumberFormat="1" applyFont="1" applyFill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177" fontId="27" fillId="7" borderId="0" xfId="0" applyNumberFormat="1" applyFont="1" applyFill="1" applyAlignment="1">
      <alignment horizontal="center" vertical="center"/>
    </xf>
    <xf numFmtId="178" fontId="27" fillId="6" borderId="0" xfId="0" applyNumberFormat="1" applyFont="1" applyFill="1" applyAlignment="1">
      <alignment horizontal="center" vertical="center"/>
    </xf>
    <xf numFmtId="176" fontId="27" fillId="5" borderId="0" xfId="0" applyNumberFormat="1" applyFont="1" applyFill="1" applyAlignment="1">
      <alignment horizontal="center" vertical="center"/>
    </xf>
    <xf numFmtId="0" fontId="27" fillId="0" borderId="0" xfId="0" applyFont="1" applyFill="1" applyAlignment="1">
      <alignment horizontal="center" vertical="center"/>
    </xf>
    <xf numFmtId="0" fontId="28" fillId="0" borderId="0" xfId="0" applyFont="1" applyFill="1" applyBorder="1" applyAlignment="1">
      <alignment horizontal="center" vertical="center" shrinkToFit="1"/>
    </xf>
    <xf numFmtId="178" fontId="27" fillId="0" borderId="0" xfId="0" applyNumberFormat="1" applyFont="1" applyFill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181" fontId="15" fillId="0" borderId="0" xfId="0" applyNumberFormat="1" applyFont="1" applyFill="1" applyAlignment="1">
      <alignment horizontal="center" vertical="center"/>
    </xf>
    <xf numFmtId="10" fontId="15" fillId="5" borderId="0" xfId="0" applyNumberFormat="1" applyFont="1" applyFill="1" applyAlignment="1">
      <alignment horizontal="center" vertical="center"/>
    </xf>
    <xf numFmtId="10" fontId="15" fillId="0" borderId="0" xfId="0" applyNumberFormat="1" applyFont="1" applyFill="1" applyAlignment="1">
      <alignment horizontal="center" vertical="center"/>
    </xf>
    <xf numFmtId="182" fontId="27" fillId="0" borderId="22" xfId="0" applyNumberFormat="1" applyFont="1" applyFill="1" applyBorder="1" applyAlignment="1">
      <alignment horizontal="center" vertical="center"/>
    </xf>
    <xf numFmtId="0" fontId="30" fillId="0" borderId="22" xfId="0" applyFont="1" applyFill="1" applyBorder="1" applyAlignment="1">
      <alignment horizontal="center" vertical="center"/>
    </xf>
    <xf numFmtId="0" fontId="23" fillId="0" borderId="22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29" fillId="0" borderId="22" xfId="0" applyFont="1" applyFill="1" applyBorder="1" applyAlignment="1">
      <alignment horizontal="center" vertical="center"/>
    </xf>
    <xf numFmtId="0" fontId="28" fillId="0" borderId="22" xfId="0" applyFont="1" applyFill="1" applyBorder="1" applyAlignment="1">
      <alignment horizontal="center" vertical="center" shrinkToFit="1"/>
    </xf>
    <xf numFmtId="182" fontId="28" fillId="0" borderId="22" xfId="0" applyNumberFormat="1" applyFont="1" applyFill="1" applyBorder="1" applyAlignment="1">
      <alignment horizontal="center" vertical="center" shrinkToFit="1"/>
    </xf>
    <xf numFmtId="0" fontId="18" fillId="0" borderId="22" xfId="0" applyFont="1" applyFill="1" applyBorder="1" applyAlignment="1">
      <alignment horizontal="center" vertical="center"/>
    </xf>
    <xf numFmtId="177" fontId="30" fillId="0" borderId="22" xfId="0" applyNumberFormat="1" applyFont="1" applyFill="1" applyBorder="1" applyAlignment="1">
      <alignment horizontal="center" vertical="center"/>
    </xf>
    <xf numFmtId="177" fontId="23" fillId="0" borderId="22" xfId="0" applyNumberFormat="1" applyFont="1" applyFill="1" applyBorder="1" applyAlignment="1">
      <alignment horizontal="center" vertical="center"/>
    </xf>
    <xf numFmtId="177" fontId="27" fillId="0" borderId="22" xfId="0" applyNumberFormat="1" applyFont="1" applyFill="1" applyBorder="1" applyAlignment="1">
      <alignment horizontal="center" vertical="center"/>
    </xf>
    <xf numFmtId="177" fontId="18" fillId="0" borderId="22" xfId="0" applyNumberFormat="1" applyFont="1" applyFill="1" applyBorder="1" applyAlignment="1">
      <alignment horizontal="center" vertical="center"/>
    </xf>
    <xf numFmtId="177" fontId="22" fillId="0" borderId="22" xfId="0" applyNumberFormat="1" applyFont="1" applyFill="1" applyBorder="1" applyAlignment="1">
      <alignment horizontal="center" vertical="center" shrinkToFit="1"/>
    </xf>
    <xf numFmtId="177" fontId="28" fillId="0" borderId="22" xfId="0" applyNumberFormat="1" applyFont="1" applyFill="1" applyBorder="1" applyAlignment="1">
      <alignment horizontal="center" vertical="center" shrinkToFit="1"/>
    </xf>
    <xf numFmtId="183" fontId="0" fillId="0" borderId="23" xfId="0" applyNumberFormat="1" applyFont="1" applyBorder="1" applyAlignment="1">
      <alignment horizontal="center" vertical="center"/>
    </xf>
    <xf numFmtId="183" fontId="0" fillId="0" borderId="29" xfId="0" applyNumberFormat="1" applyFont="1" applyBorder="1" applyAlignment="1">
      <alignment horizontal="center" vertical="center"/>
    </xf>
    <xf numFmtId="183" fontId="0" fillId="0" borderId="30" xfId="0" applyNumberFormat="1" applyFont="1" applyBorder="1" applyAlignment="1">
      <alignment horizontal="center" vertical="center"/>
    </xf>
    <xf numFmtId="183" fontId="0" fillId="4" borderId="22" xfId="0" applyNumberFormat="1" applyFill="1" applyBorder="1" applyAlignment="1">
      <alignment horizontal="center" vertical="center"/>
    </xf>
    <xf numFmtId="183" fontId="0" fillId="0" borderId="31" xfId="0" applyNumberFormat="1" applyFont="1" applyFill="1" applyBorder="1" applyAlignment="1">
      <alignment horizontal="center" vertical="center"/>
    </xf>
    <xf numFmtId="183" fontId="0" fillId="0" borderId="33" xfId="0" applyNumberFormat="1" applyFont="1" applyFill="1" applyBorder="1" applyAlignment="1">
      <alignment horizontal="center" vertical="center"/>
    </xf>
    <xf numFmtId="183" fontId="0" fillId="0" borderId="35" xfId="0" applyNumberFormat="1" applyFont="1" applyFill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33" fillId="0" borderId="31" xfId="0" applyFont="1" applyFill="1" applyBorder="1" applyAlignment="1">
      <alignment horizontal="center" vertical="center"/>
    </xf>
    <xf numFmtId="0" fontId="33" fillId="0" borderId="33" xfId="0" applyFont="1" applyFill="1" applyBorder="1" applyAlignment="1">
      <alignment horizontal="center" vertical="center"/>
    </xf>
    <xf numFmtId="0" fontId="33" fillId="0" borderId="35" xfId="0" applyFont="1" applyFill="1" applyBorder="1" applyAlignment="1">
      <alignment horizontal="center" vertical="center"/>
    </xf>
    <xf numFmtId="0" fontId="33" fillId="0" borderId="27" xfId="0" applyFont="1" applyBorder="1" applyAlignment="1">
      <alignment horizontal="center" vertical="center"/>
    </xf>
    <xf numFmtId="0" fontId="33" fillId="0" borderId="28" xfId="0" applyFont="1" applyBorder="1" applyAlignment="1">
      <alignment horizontal="center" vertical="center"/>
    </xf>
    <xf numFmtId="0" fontId="33" fillId="0" borderId="25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7" xfId="0" applyFont="1" applyFill="1" applyBorder="1" applyAlignment="1">
      <alignment horizontal="center" vertical="center"/>
    </xf>
    <xf numFmtId="0" fontId="33" fillId="0" borderId="28" xfId="0" applyFont="1" applyFill="1" applyBorder="1" applyAlignment="1">
      <alignment horizontal="center" vertical="center"/>
    </xf>
    <xf numFmtId="0" fontId="33" fillId="0" borderId="25" xfId="0" applyFont="1" applyFill="1" applyBorder="1" applyAlignment="1">
      <alignment horizontal="center" vertical="center"/>
    </xf>
    <xf numFmtId="0" fontId="33" fillId="0" borderId="23" xfId="0" applyFont="1" applyFill="1" applyBorder="1" applyAlignment="1">
      <alignment horizontal="center" vertical="center"/>
    </xf>
    <xf numFmtId="0" fontId="33" fillId="0" borderId="29" xfId="0" applyFont="1" applyFill="1" applyBorder="1" applyAlignment="1">
      <alignment horizontal="center" vertical="center"/>
    </xf>
    <xf numFmtId="0" fontId="33" fillId="0" borderId="30" xfId="0" applyFont="1" applyFill="1" applyBorder="1" applyAlignment="1">
      <alignment horizontal="center" vertical="center"/>
    </xf>
    <xf numFmtId="183" fontId="0" fillId="0" borderId="23" xfId="0" applyNumberFormat="1" applyFont="1" applyFill="1" applyBorder="1" applyAlignment="1">
      <alignment horizontal="center" vertical="center"/>
    </xf>
    <xf numFmtId="183" fontId="0" fillId="0" borderId="29" xfId="0" applyNumberFormat="1" applyFont="1" applyFill="1" applyBorder="1" applyAlignment="1">
      <alignment horizontal="center" vertical="center"/>
    </xf>
    <xf numFmtId="183" fontId="0" fillId="0" borderId="30" xfId="0" applyNumberFormat="1" applyFont="1" applyFill="1" applyBorder="1" applyAlignment="1">
      <alignment horizontal="center" vertical="center"/>
    </xf>
    <xf numFmtId="179" fontId="33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79" fontId="33" fillId="0" borderId="27" xfId="0" applyNumberFormat="1" applyFont="1" applyBorder="1" applyAlignment="1">
      <alignment horizontal="center" vertical="center"/>
    </xf>
    <xf numFmtId="179" fontId="33" fillId="0" borderId="28" xfId="0" applyNumberFormat="1" applyFont="1" applyBorder="1" applyAlignment="1">
      <alignment horizontal="center" vertical="center"/>
    </xf>
    <xf numFmtId="179" fontId="33" fillId="0" borderId="25" xfId="0" applyNumberFormat="1" applyFont="1" applyBorder="1" applyAlignment="1">
      <alignment horizontal="center" vertical="center"/>
    </xf>
    <xf numFmtId="0" fontId="33" fillId="0" borderId="23" xfId="0" applyFont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0" fontId="33" fillId="0" borderId="30" xfId="0" applyFont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35" fillId="0" borderId="0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33" fillId="0" borderId="31" xfId="0" applyFont="1" applyBorder="1" applyAlignment="1">
      <alignment horizontal="center" vertical="center"/>
    </xf>
    <xf numFmtId="0" fontId="33" fillId="0" borderId="33" xfId="0" applyFont="1" applyBorder="1" applyAlignment="1">
      <alignment horizontal="center" vertical="center"/>
    </xf>
    <xf numFmtId="0" fontId="33" fillId="0" borderId="35" xfId="0" applyFont="1" applyBorder="1" applyAlignment="1">
      <alignment horizontal="center" vertical="center"/>
    </xf>
    <xf numFmtId="0" fontId="33" fillId="0" borderId="32" xfId="0" applyFont="1" applyBorder="1" applyAlignment="1">
      <alignment horizontal="center" vertical="center"/>
    </xf>
    <xf numFmtId="0" fontId="33" fillId="0" borderId="34" xfId="0" applyFont="1" applyBorder="1" applyAlignment="1">
      <alignment horizontal="center" vertical="center"/>
    </xf>
    <xf numFmtId="0" fontId="33" fillId="0" borderId="36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34" fillId="0" borderId="37" xfId="0" applyFont="1" applyBorder="1" applyAlignment="1">
      <alignment horizontal="left" vertical="center"/>
    </xf>
    <xf numFmtId="0" fontId="35" fillId="0" borderId="37" xfId="0" applyFont="1" applyBorder="1" applyAlignment="1">
      <alignment horizontal="left" vertical="center"/>
    </xf>
    <xf numFmtId="0" fontId="34" fillId="0" borderId="26" xfId="0" applyFont="1" applyBorder="1" applyAlignment="1">
      <alignment horizontal="left" vertical="center"/>
    </xf>
    <xf numFmtId="0" fontId="24" fillId="0" borderId="22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33" fillId="4" borderId="27" xfId="0" applyFont="1" applyFill="1" applyBorder="1" applyAlignment="1">
      <alignment horizontal="center" vertical="center"/>
    </xf>
    <xf numFmtId="0" fontId="33" fillId="4" borderId="28" xfId="0" applyFont="1" applyFill="1" applyBorder="1" applyAlignment="1">
      <alignment horizontal="center" vertical="center"/>
    </xf>
    <xf numFmtId="0" fontId="33" fillId="4" borderId="25" xfId="0" applyFont="1" applyFill="1" applyBorder="1" applyAlignment="1">
      <alignment horizontal="center" vertical="center"/>
    </xf>
    <xf numFmtId="0" fontId="33" fillId="4" borderId="22" xfId="0" applyFont="1" applyFill="1" applyBorder="1" applyAlignment="1">
      <alignment horizontal="center" vertical="center"/>
    </xf>
    <xf numFmtId="0" fontId="34" fillId="13" borderId="0" xfId="0" applyFont="1" applyFill="1" applyAlignment="1">
      <alignment horizontal="left" vertical="center"/>
    </xf>
    <xf numFmtId="0" fontId="35" fillId="13" borderId="0" xfId="0" applyFont="1" applyFill="1" applyAlignment="1">
      <alignment horizontal="left" vertical="center"/>
    </xf>
    <xf numFmtId="0" fontId="35" fillId="13" borderId="0" xfId="0" applyFont="1" applyFill="1" applyBorder="1" applyAlignment="1">
      <alignment horizontal="left" vertical="center"/>
    </xf>
    <xf numFmtId="0" fontId="35" fillId="13" borderId="26" xfId="0" applyFont="1" applyFill="1" applyBorder="1" applyAlignment="1">
      <alignment horizontal="left" vertical="center"/>
    </xf>
    <xf numFmtId="1" fontId="33" fillId="0" borderId="22" xfId="0" applyNumberFormat="1" applyFont="1" applyFill="1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183" fontId="0" fillId="0" borderId="31" xfId="0" applyNumberFormat="1" applyFont="1" applyBorder="1" applyAlignment="1">
      <alignment horizontal="center" vertical="center"/>
    </xf>
    <xf numFmtId="183" fontId="0" fillId="0" borderId="33" xfId="0" applyNumberFormat="1" applyFont="1" applyBorder="1" applyAlignment="1">
      <alignment horizontal="center" vertical="center"/>
    </xf>
    <xf numFmtId="183" fontId="0" fillId="0" borderId="35" xfId="0" applyNumberFormat="1" applyFon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33" xfId="0" applyNumberFormat="1" applyFont="1" applyFill="1" applyBorder="1" applyAlignment="1">
      <alignment horizontal="center" vertical="center"/>
    </xf>
    <xf numFmtId="1" fontId="0" fillId="0" borderId="35" xfId="0" applyNumberFormat="1" applyFont="1" applyFill="1" applyBorder="1" applyAlignment="1">
      <alignment horizontal="center" vertical="center"/>
    </xf>
    <xf numFmtId="1" fontId="33" fillId="0" borderId="31" xfId="0" applyNumberFormat="1" applyFont="1" applyFill="1" applyBorder="1" applyAlignment="1">
      <alignment horizontal="center" vertical="center"/>
    </xf>
    <xf numFmtId="1" fontId="33" fillId="0" borderId="33" xfId="0" applyNumberFormat="1" applyFont="1" applyFill="1" applyBorder="1" applyAlignment="1">
      <alignment horizontal="center" vertical="center"/>
    </xf>
    <xf numFmtId="1" fontId="33" fillId="0" borderId="35" xfId="0" applyNumberFormat="1" applyFont="1" applyFill="1" applyBorder="1" applyAlignment="1">
      <alignment horizontal="center" vertical="center"/>
    </xf>
    <xf numFmtId="1" fontId="33" fillId="0" borderId="23" xfId="0" applyNumberFormat="1" applyFont="1" applyFill="1" applyBorder="1" applyAlignment="1">
      <alignment horizontal="center" vertical="center"/>
    </xf>
    <xf numFmtId="1" fontId="33" fillId="0" borderId="29" xfId="0" applyNumberFormat="1" applyFont="1" applyFill="1" applyBorder="1" applyAlignment="1">
      <alignment horizontal="center" vertical="center"/>
    </xf>
    <xf numFmtId="1" fontId="33" fillId="0" borderId="30" xfId="0" applyNumberFormat="1" applyFont="1" applyFill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44" fillId="2" borderId="22" xfId="0" applyFont="1" applyFill="1" applyBorder="1" applyAlignment="1">
      <alignment horizontal="center" shrinkToFit="1"/>
    </xf>
    <xf numFmtId="0" fontId="55" fillId="0" borderId="22" xfId="0" applyFont="1" applyBorder="1" applyAlignment="1">
      <alignment horizontal="center" shrinkToFit="1"/>
    </xf>
    <xf numFmtId="0" fontId="26" fillId="0" borderId="22" xfId="0" applyFont="1" applyBorder="1" applyAlignment="1">
      <alignment horizontal="center" vertical="center" shrinkToFit="1"/>
    </xf>
    <xf numFmtId="0" fontId="44" fillId="0" borderId="22" xfId="0" applyFont="1" applyBorder="1" applyAlignment="1">
      <alignment shrinkToFit="1"/>
    </xf>
    <xf numFmtId="0" fontId="55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vertical="center" shrinkToFit="1"/>
    </xf>
    <xf numFmtId="0" fontId="52" fillId="0" borderId="22" xfId="0" applyFont="1" applyBorder="1" applyAlignment="1">
      <alignment shrinkToFit="1"/>
    </xf>
    <xf numFmtId="0" fontId="52" fillId="0" borderId="31" xfId="0" applyFont="1" applyBorder="1" applyAlignment="1">
      <alignment horizontal="center" vertical="center" shrinkToFit="1"/>
    </xf>
    <xf numFmtId="0" fontId="52" fillId="0" borderId="32" xfId="0" applyFont="1" applyBorder="1" applyAlignment="1">
      <alignment horizontal="center" vertical="center" shrinkToFit="1"/>
    </xf>
    <xf numFmtId="0" fontId="52" fillId="0" borderId="35" xfId="0" applyFont="1" applyBorder="1" applyAlignment="1">
      <alignment horizontal="center" vertical="center" shrinkToFit="1"/>
    </xf>
    <xf numFmtId="0" fontId="52" fillId="0" borderId="36" xfId="0" applyFont="1" applyBorder="1" applyAlignment="1">
      <alignment horizontal="center" vertical="center" shrinkToFit="1"/>
    </xf>
    <xf numFmtId="0" fontId="44" fillId="2" borderId="22" xfId="11" applyFont="1" applyFill="1" applyBorder="1" applyAlignment="1">
      <alignment horizontal="center" vertical="center" shrinkToFit="1"/>
    </xf>
    <xf numFmtId="0" fontId="55" fillId="0" borderId="22" xfId="11" applyFont="1" applyBorder="1" applyAlignment="1">
      <alignment horizontal="center" vertical="center" shrinkToFit="1"/>
    </xf>
    <xf numFmtId="0" fontId="53" fillId="0" borderId="0" xfId="0" applyFont="1" applyBorder="1" applyAlignment="1">
      <alignment horizontal="left" vertical="center" shrinkToFit="1"/>
    </xf>
    <xf numFmtId="0" fontId="54" fillId="0" borderId="0" xfId="0" applyFont="1" applyBorder="1" applyAlignment="1">
      <alignment horizontal="left" vertical="center" shrinkToFit="1"/>
    </xf>
    <xf numFmtId="0" fontId="22" fillId="0" borderId="22" xfId="0" applyFont="1" applyBorder="1" applyAlignment="1">
      <alignment horizontal="center" vertical="center" shrinkToFit="1"/>
    </xf>
    <xf numFmtId="0" fontId="55" fillId="0" borderId="22" xfId="0" applyFont="1" applyBorder="1" applyAlignment="1">
      <alignment horizontal="center" vertical="center" shrinkToFit="1"/>
    </xf>
    <xf numFmtId="0" fontId="77" fillId="0" borderId="22" xfId="0" applyFont="1" applyBorder="1" applyAlignment="1">
      <alignment horizontal="center" shrinkToFit="1"/>
    </xf>
    <xf numFmtId="0" fontId="52" fillId="0" borderId="31" xfId="0" applyFont="1" applyBorder="1" applyAlignment="1">
      <alignment horizontal="center" vertical="center" wrapText="1" shrinkToFit="1"/>
    </xf>
    <xf numFmtId="0" fontId="52" fillId="0" borderId="32" xfId="0" applyFont="1" applyBorder="1" applyAlignment="1">
      <alignment horizontal="center" vertical="center" wrapText="1" shrinkToFit="1"/>
    </xf>
    <xf numFmtId="0" fontId="52" fillId="0" borderId="33" xfId="0" applyFont="1" applyBorder="1" applyAlignment="1">
      <alignment horizontal="center" vertical="center" wrapText="1" shrinkToFit="1"/>
    </xf>
    <xf numFmtId="0" fontId="52" fillId="0" borderId="34" xfId="0" applyFont="1" applyBorder="1" applyAlignment="1">
      <alignment horizontal="center" vertical="center" wrapText="1" shrinkToFit="1"/>
    </xf>
    <xf numFmtId="0" fontId="52" fillId="0" borderId="35" xfId="0" applyFont="1" applyBorder="1" applyAlignment="1">
      <alignment horizontal="center" vertical="center" wrapText="1" shrinkToFit="1"/>
    </xf>
    <xf numFmtId="0" fontId="52" fillId="0" borderId="36" xfId="0" applyFont="1" applyBorder="1" applyAlignment="1">
      <alignment horizontal="center" vertical="center" wrapText="1" shrinkToFit="1"/>
    </xf>
    <xf numFmtId="0" fontId="124" fillId="0" borderId="31" xfId="0" applyFont="1" applyBorder="1" applyAlignment="1">
      <alignment horizontal="center" vertical="center" wrapText="1" shrinkToFit="1"/>
    </xf>
    <xf numFmtId="0" fontId="124" fillId="0" borderId="32" xfId="0" applyFont="1" applyBorder="1" applyAlignment="1">
      <alignment horizontal="center" vertical="center" wrapText="1" shrinkToFit="1"/>
    </xf>
    <xf numFmtId="0" fontId="124" fillId="0" borderId="35" xfId="0" applyFont="1" applyBorder="1" applyAlignment="1">
      <alignment horizontal="center" vertical="center" wrapText="1" shrinkToFit="1"/>
    </xf>
    <xf numFmtId="0" fontId="124" fillId="0" borderId="36" xfId="0" applyFont="1" applyBorder="1" applyAlignment="1">
      <alignment horizontal="center" vertical="center" wrapText="1" shrinkToFit="1"/>
    </xf>
    <xf numFmtId="0" fontId="28" fillId="0" borderId="22" xfId="0" applyFont="1" applyBorder="1" applyAlignment="1">
      <alignment horizontal="center" shrinkToFit="1"/>
    </xf>
    <xf numFmtId="0" fontId="125" fillId="0" borderId="22" xfId="0" applyFont="1" applyBorder="1" applyAlignment="1">
      <alignment horizontal="center" wrapText="1" shrinkToFit="1"/>
    </xf>
    <xf numFmtId="0" fontId="116" fillId="0" borderId="22" xfId="0" applyFont="1" applyBorder="1" applyAlignment="1">
      <alignment horizontal="center" wrapText="1" shrinkToFit="1"/>
    </xf>
    <xf numFmtId="0" fontId="22" fillId="0" borderId="22" xfId="0" applyFont="1" applyBorder="1" applyAlignment="1">
      <alignment shrinkToFit="1"/>
    </xf>
    <xf numFmtId="0" fontId="67" fillId="0" borderId="22" xfId="0" applyFont="1" applyBorder="1" applyAlignment="1">
      <alignment shrinkToFit="1"/>
    </xf>
    <xf numFmtId="0" fontId="28" fillId="0" borderId="31" xfId="0" applyFont="1" applyBorder="1" applyAlignment="1">
      <alignment horizontal="center" vertical="center" shrinkToFit="1"/>
    </xf>
    <xf numFmtId="0" fontId="28" fillId="0" borderId="32" xfId="0" applyFont="1" applyBorder="1" applyAlignment="1">
      <alignment horizontal="center" vertical="center" shrinkToFit="1"/>
    </xf>
    <xf numFmtId="0" fontId="28" fillId="0" borderId="33" xfId="0" applyFont="1" applyBorder="1" applyAlignment="1">
      <alignment horizontal="center" vertical="center" shrinkToFit="1"/>
    </xf>
    <xf numFmtId="0" fontId="28" fillId="0" borderId="34" xfId="0" applyFont="1" applyBorder="1" applyAlignment="1">
      <alignment horizontal="center" vertical="center" shrinkToFit="1"/>
    </xf>
    <xf numFmtId="0" fontId="28" fillId="0" borderId="35" xfId="0" applyFont="1" applyBorder="1" applyAlignment="1">
      <alignment horizontal="center" vertical="center" shrinkToFit="1"/>
    </xf>
    <xf numFmtId="0" fontId="28" fillId="0" borderId="36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vertical="center" shrinkToFit="1"/>
    </xf>
    <xf numFmtId="0" fontId="44" fillId="0" borderId="22" xfId="0" applyFont="1" applyBorder="1" applyAlignment="1">
      <alignment horizontal="center" vertical="center" shrinkToFit="1"/>
    </xf>
    <xf numFmtId="0" fontId="127" fillId="0" borderId="31" xfId="0" applyFont="1" applyBorder="1" applyAlignment="1">
      <alignment horizontal="center" vertical="center" wrapText="1" shrinkToFit="1"/>
    </xf>
    <xf numFmtId="0" fontId="127" fillId="0" borderId="32" xfId="0" applyFont="1" applyBorder="1" applyAlignment="1">
      <alignment horizontal="center" vertical="center" wrapText="1" shrinkToFit="1"/>
    </xf>
    <xf numFmtId="0" fontId="127" fillId="0" borderId="35" xfId="0" applyFont="1" applyBorder="1" applyAlignment="1">
      <alignment horizontal="center" vertical="center" wrapText="1" shrinkToFit="1"/>
    </xf>
    <xf numFmtId="0" fontId="127" fillId="0" borderId="36" xfId="0" applyFont="1" applyBorder="1" applyAlignment="1">
      <alignment horizontal="center" vertical="center" wrapText="1" shrinkToFit="1"/>
    </xf>
    <xf numFmtId="0" fontId="126" fillId="0" borderId="31" xfId="0" applyFont="1" applyBorder="1" applyAlignment="1">
      <alignment horizontal="center" vertical="center" wrapText="1" shrinkToFit="1"/>
    </xf>
    <xf numFmtId="0" fontId="126" fillId="0" borderId="32" xfId="0" applyFont="1" applyBorder="1" applyAlignment="1">
      <alignment horizontal="center" vertical="center" wrapText="1" shrinkToFit="1"/>
    </xf>
    <xf numFmtId="0" fontId="126" fillId="0" borderId="35" xfId="0" applyFont="1" applyBorder="1" applyAlignment="1">
      <alignment horizontal="center" vertical="center" wrapText="1" shrinkToFit="1"/>
    </xf>
    <xf numFmtId="0" fontId="126" fillId="0" borderId="36" xfId="0" applyFont="1" applyBorder="1" applyAlignment="1">
      <alignment horizontal="center" vertical="center" wrapText="1" shrinkToFit="1"/>
    </xf>
    <xf numFmtId="0" fontId="28" fillId="0" borderId="27" xfId="0" applyFont="1" applyBorder="1" applyAlignment="1">
      <alignment horizontal="center" vertical="center" shrinkToFit="1"/>
    </xf>
    <xf numFmtId="0" fontId="28" fillId="0" borderId="25" xfId="0" applyFont="1" applyBorder="1" applyAlignment="1">
      <alignment horizontal="center" vertical="center" shrinkToFit="1"/>
    </xf>
    <xf numFmtId="0" fontId="26" fillId="0" borderId="23" xfId="0" applyFont="1" applyBorder="1" applyAlignment="1">
      <alignment horizontal="center" vertical="center" shrinkToFit="1"/>
    </xf>
    <xf numFmtId="0" fontId="26" fillId="0" borderId="29" xfId="0" applyFont="1" applyBorder="1" applyAlignment="1">
      <alignment horizontal="center" vertical="center" shrinkToFit="1"/>
    </xf>
    <xf numFmtId="0" fontId="26" fillId="0" borderId="30" xfId="0" applyFont="1" applyBorder="1" applyAlignment="1">
      <alignment horizontal="center" vertical="center" shrinkToFit="1"/>
    </xf>
    <xf numFmtId="0" fontId="44" fillId="2" borderId="23" xfId="0" applyFont="1" applyFill="1" applyBorder="1" applyAlignment="1">
      <alignment horizontal="center" vertical="center" shrinkToFit="1"/>
    </xf>
    <xf numFmtId="0" fontId="44" fillId="2" borderId="29" xfId="0" applyFont="1" applyFill="1" applyBorder="1" applyAlignment="1">
      <alignment horizontal="center" vertical="center" shrinkToFit="1"/>
    </xf>
    <xf numFmtId="0" fontId="44" fillId="2" borderId="30" xfId="0" applyFont="1" applyFill="1" applyBorder="1" applyAlignment="1">
      <alignment horizontal="center" vertical="center" shrinkToFit="1"/>
    </xf>
    <xf numFmtId="0" fontId="44" fillId="0" borderId="27" xfId="0" applyFont="1" applyBorder="1" applyAlignment="1">
      <alignment horizontal="center" vertical="center" shrinkToFit="1"/>
    </xf>
    <xf numFmtId="0" fontId="44" fillId="0" borderId="25" xfId="0" applyFont="1" applyBorder="1" applyAlignment="1">
      <alignment horizontal="center" vertical="center" shrinkToFit="1"/>
    </xf>
    <xf numFmtId="0" fontId="52" fillId="0" borderId="27" xfId="0" applyFont="1" applyBorder="1" applyAlignment="1">
      <alignment horizontal="center" vertical="center" shrinkToFit="1"/>
    </xf>
    <xf numFmtId="0" fontId="44" fillId="2" borderId="27" xfId="0" applyFont="1" applyFill="1" applyBorder="1" applyAlignment="1">
      <alignment horizontal="center" vertical="center" shrinkToFit="1"/>
    </xf>
    <xf numFmtId="0" fontId="44" fillId="2" borderId="25" xfId="0" applyFont="1" applyFill="1" applyBorder="1" applyAlignment="1">
      <alignment horizontal="center" vertical="center" shrinkToFit="1"/>
    </xf>
    <xf numFmtId="0" fontId="44" fillId="2" borderId="27" xfId="11" applyFont="1" applyFill="1" applyBorder="1" applyAlignment="1">
      <alignment horizontal="center" vertical="center" shrinkToFit="1"/>
    </xf>
    <xf numFmtId="0" fontId="44" fillId="2" borderId="28" xfId="11" applyFont="1" applyFill="1" applyBorder="1" applyAlignment="1">
      <alignment horizontal="center" vertical="center" shrinkToFit="1"/>
    </xf>
    <xf numFmtId="0" fontId="44" fillId="2" borderId="25" xfId="11" applyFont="1" applyFill="1" applyBorder="1" applyAlignment="1">
      <alignment horizontal="center" vertical="center" shrinkToFit="1"/>
    </xf>
    <xf numFmtId="0" fontId="44" fillId="2" borderId="27" xfId="0" applyFont="1" applyFill="1" applyBorder="1" applyAlignment="1">
      <alignment horizontal="center" shrinkToFit="1"/>
    </xf>
    <xf numFmtId="0" fontId="44" fillId="2" borderId="25" xfId="0" applyFont="1" applyFill="1" applyBorder="1" applyAlignment="1">
      <alignment horizontal="center" shrinkToFit="1"/>
    </xf>
    <xf numFmtId="0" fontId="44" fillId="2" borderId="28" xfId="0" applyFont="1" applyFill="1" applyBorder="1" applyAlignment="1">
      <alignment horizontal="center" shrinkToFit="1"/>
    </xf>
    <xf numFmtId="0" fontId="22" fillId="0" borderId="27" xfId="0" applyFont="1" applyBorder="1" applyAlignment="1">
      <alignment horizontal="center" vertical="center" shrinkToFit="1"/>
    </xf>
    <xf numFmtId="0" fontId="22" fillId="0" borderId="27" xfId="0" applyFont="1" applyBorder="1" applyAlignment="1">
      <alignment vertical="center" shrinkToFit="1"/>
    </xf>
    <xf numFmtId="0" fontId="28" fillId="0" borderId="25" xfId="0" applyFont="1" applyBorder="1" applyAlignment="1">
      <alignment vertical="center" shrinkToFit="1"/>
    </xf>
    <xf numFmtId="0" fontId="22" fillId="0" borderId="31" xfId="0" applyFont="1" applyBorder="1" applyAlignment="1">
      <alignment horizontal="center" vertical="center" shrinkToFit="1"/>
    </xf>
    <xf numFmtId="0" fontId="22" fillId="0" borderId="32" xfId="0" applyFont="1" applyBorder="1" applyAlignment="1">
      <alignment horizontal="center" vertical="center" shrinkToFit="1"/>
    </xf>
    <xf numFmtId="0" fontId="22" fillId="0" borderId="35" xfId="0" applyFont="1" applyBorder="1" applyAlignment="1">
      <alignment horizontal="center" vertical="center" shrinkToFit="1"/>
    </xf>
    <xf numFmtId="0" fontId="22" fillId="0" borderId="36" xfId="0" applyFont="1" applyBorder="1" applyAlignment="1">
      <alignment horizontal="center" vertical="center" shrinkToFit="1"/>
    </xf>
    <xf numFmtId="0" fontId="22" fillId="0" borderId="27" xfId="0" applyFont="1" applyBorder="1" applyAlignment="1">
      <alignment horizontal="center" vertical="center" wrapText="1" shrinkToFit="1"/>
    </xf>
    <xf numFmtId="0" fontId="22" fillId="0" borderId="25" xfId="0" applyFont="1" applyBorder="1" applyAlignment="1">
      <alignment horizontal="center" vertical="center" shrinkToFit="1"/>
    </xf>
    <xf numFmtId="0" fontId="22" fillId="0" borderId="22" xfId="0" applyFont="1" applyBorder="1" applyAlignment="1">
      <alignment horizontal="center" vertical="center" wrapText="1" shrinkToFit="1"/>
    </xf>
    <xf numFmtId="0" fontId="22" fillId="0" borderId="31" xfId="0" applyFont="1" applyBorder="1" applyAlignment="1">
      <alignment horizontal="center" vertical="center" wrapText="1" shrinkToFit="1"/>
    </xf>
    <xf numFmtId="0" fontId="22" fillId="0" borderId="32" xfId="0" applyFont="1" applyBorder="1" applyAlignment="1">
      <alignment horizontal="center" vertical="center" wrapText="1" shrinkToFit="1"/>
    </xf>
    <xf numFmtId="0" fontId="22" fillId="0" borderId="33" xfId="0" applyFont="1" applyBorder="1" applyAlignment="1">
      <alignment horizontal="center" vertical="center" wrapText="1" shrinkToFit="1"/>
    </xf>
    <xf numFmtId="0" fontId="22" fillId="0" borderId="34" xfId="0" applyFont="1" applyBorder="1" applyAlignment="1">
      <alignment horizontal="center" vertical="center" wrapText="1" shrinkToFit="1"/>
    </xf>
    <xf numFmtId="0" fontId="22" fillId="0" borderId="35" xfId="0" applyFont="1" applyBorder="1" applyAlignment="1">
      <alignment horizontal="center" vertical="center" wrapText="1" shrinkToFit="1"/>
    </xf>
    <xf numFmtId="0" fontId="22" fillId="0" borderId="36" xfId="0" applyFont="1" applyBorder="1" applyAlignment="1">
      <alignment horizontal="center" vertical="center" wrapText="1" shrinkToFit="1"/>
    </xf>
    <xf numFmtId="0" fontId="28" fillId="0" borderId="27" xfId="0" applyFont="1" applyBorder="1" applyAlignment="1">
      <alignment shrinkToFit="1"/>
    </xf>
    <xf numFmtId="0" fontId="28" fillId="0" borderId="25" xfId="0" applyFont="1" applyBorder="1" applyAlignment="1">
      <alignment shrinkToFit="1"/>
    </xf>
    <xf numFmtId="0" fontId="44" fillId="0" borderId="27" xfId="0" applyFont="1" applyBorder="1" applyAlignment="1">
      <alignment shrinkToFit="1"/>
    </xf>
    <xf numFmtId="0" fontId="44" fillId="0" borderId="25" xfId="0" applyFont="1" applyBorder="1" applyAlignment="1">
      <alignment shrinkToFit="1"/>
    </xf>
    <xf numFmtId="0" fontId="60" fillId="0" borderId="22" xfId="11" applyFont="1" applyFill="1" applyBorder="1" applyAlignment="1">
      <alignment horizontal="center" vertical="center" shrinkToFit="1"/>
    </xf>
    <xf numFmtId="0" fontId="30" fillId="0" borderId="22" xfId="11" applyFont="1" applyBorder="1" applyAlignment="1">
      <alignment horizontal="center" vertical="center" shrinkToFit="1"/>
    </xf>
    <xf numFmtId="0" fontId="41" fillId="0" borderId="0" xfId="11" applyFont="1" applyBorder="1" applyAlignment="1">
      <alignment horizontal="center" vertical="center" shrinkToFit="1"/>
    </xf>
    <xf numFmtId="0" fontId="53" fillId="0" borderId="0" xfId="11" applyFont="1" applyBorder="1" applyAlignment="1">
      <alignment horizontal="left" vertical="center" shrinkToFit="1"/>
    </xf>
    <xf numFmtId="0" fontId="45" fillId="0" borderId="22" xfId="11" applyFont="1" applyFill="1" applyBorder="1" applyAlignment="1">
      <alignment horizontal="center" vertical="center"/>
    </xf>
    <xf numFmtId="0" fontId="28" fillId="0" borderId="22" xfId="11" applyFont="1" applyFill="1" applyBorder="1" applyAlignment="1">
      <alignment horizontal="center" vertical="center" shrinkToFit="1"/>
    </xf>
    <xf numFmtId="0" fontId="28" fillId="0" borderId="37" xfId="11" applyFont="1" applyFill="1" applyBorder="1" applyAlignment="1">
      <alignment horizontal="center" vertical="center" shrinkToFit="1"/>
    </xf>
    <xf numFmtId="0" fontId="28" fillId="0" borderId="0" xfId="11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22" xfId="11" applyFont="1" applyBorder="1" applyAlignment="1">
      <alignment horizontal="center" shrinkToFit="1"/>
    </xf>
    <xf numFmtId="0" fontId="60" fillId="0" borderId="28" xfId="11" applyFont="1" applyFill="1" applyBorder="1" applyAlignment="1">
      <alignment horizontal="center" vertical="center" shrinkToFit="1"/>
    </xf>
    <xf numFmtId="0" fontId="60" fillId="0" borderId="25" xfId="11" applyFont="1" applyFill="1" applyBorder="1" applyAlignment="1">
      <alignment horizontal="center" vertical="center" shrinkToFit="1"/>
    </xf>
    <xf numFmtId="0" fontId="60" fillId="0" borderId="27" xfId="11" applyFont="1" applyFill="1" applyBorder="1" applyAlignment="1">
      <alignment horizontal="center" vertical="center" shrinkToFit="1"/>
    </xf>
    <xf numFmtId="0" fontId="60" fillId="0" borderId="52" xfId="11" applyFont="1" applyFill="1" applyBorder="1" applyAlignment="1">
      <alignment horizontal="center" vertical="center" shrinkToFit="1"/>
    </xf>
    <xf numFmtId="0" fontId="45" fillId="0" borderId="48" xfId="11" applyFont="1" applyFill="1" applyBorder="1" applyAlignment="1">
      <alignment horizontal="center" vertical="center"/>
    </xf>
    <xf numFmtId="0" fontId="28" fillId="0" borderId="49" xfId="11" applyFont="1" applyFill="1" applyBorder="1" applyAlignment="1">
      <alignment horizontal="center" vertical="center" shrinkToFit="1"/>
    </xf>
    <xf numFmtId="0" fontId="45" fillId="0" borderId="62" xfId="11" applyFont="1" applyFill="1" applyBorder="1" applyAlignment="1">
      <alignment horizontal="center" vertical="center"/>
    </xf>
    <xf numFmtId="0" fontId="45" fillId="0" borderId="66" xfId="11" applyFont="1" applyFill="1" applyBorder="1" applyAlignment="1">
      <alignment horizontal="center" vertical="center"/>
    </xf>
    <xf numFmtId="0" fontId="26" fillId="0" borderId="62" xfId="11" applyFont="1" applyFill="1" applyBorder="1" applyAlignment="1">
      <alignment horizontal="center" vertical="center" shrinkToFit="1"/>
    </xf>
    <xf numFmtId="0" fontId="26" fillId="0" borderId="65" xfId="11" applyFont="1" applyFill="1" applyBorder="1" applyAlignment="1">
      <alignment horizontal="center" vertical="center" shrinkToFit="1"/>
    </xf>
    <xf numFmtId="0" fontId="60" fillId="0" borderId="48" xfId="11" applyFont="1" applyFill="1" applyBorder="1" applyAlignment="1">
      <alignment horizontal="center" vertical="center" shrinkToFit="1"/>
    </xf>
    <xf numFmtId="0" fontId="60" fillId="0" borderId="49" xfId="11" applyFont="1" applyFill="1" applyBorder="1" applyAlignment="1">
      <alignment horizontal="center" vertical="center" shrinkToFit="1"/>
    </xf>
    <xf numFmtId="0" fontId="60" fillId="0" borderId="66" xfId="11" applyFont="1" applyFill="1" applyBorder="1" applyAlignment="1">
      <alignment horizontal="center" vertical="center" shrinkToFit="1"/>
    </xf>
    <xf numFmtId="0" fontId="26" fillId="0" borderId="63" xfId="11" applyFont="1" applyFill="1" applyBorder="1" applyAlignment="1">
      <alignment horizontal="center" vertical="center" shrinkToFit="1"/>
    </xf>
    <xf numFmtId="0" fontId="26" fillId="0" borderId="64" xfId="11" applyFont="1" applyFill="1" applyBorder="1" applyAlignment="1">
      <alignment horizontal="center" vertical="center" shrinkToFit="1"/>
    </xf>
    <xf numFmtId="0" fontId="26" fillId="0" borderId="36" xfId="11" applyFont="1" applyFill="1" applyBorder="1" applyAlignment="1">
      <alignment horizontal="center" vertical="center" shrinkToFit="1"/>
    </xf>
    <xf numFmtId="0" fontId="26" fillId="0" borderId="30" xfId="11" applyFont="1" applyFill="1" applyBorder="1" applyAlignment="1">
      <alignment horizontal="center" vertical="center" shrinkToFit="1"/>
    </xf>
    <xf numFmtId="0" fontId="26" fillId="0" borderId="35" xfId="11" applyFont="1" applyFill="1" applyBorder="1" applyAlignment="1">
      <alignment horizontal="center" vertical="center" shrinkToFit="1"/>
    </xf>
    <xf numFmtId="0" fontId="14" fillId="18" borderId="59" xfId="11" applyFont="1" applyFill="1" applyBorder="1" applyAlignment="1">
      <alignment horizontal="center" vertical="center" shrinkToFit="1"/>
    </xf>
    <xf numFmtId="0" fontId="14" fillId="18" borderId="60" xfId="11" applyFont="1" applyFill="1" applyBorder="1" applyAlignment="1">
      <alignment horizontal="center" vertical="center" shrinkToFit="1"/>
    </xf>
    <xf numFmtId="0" fontId="14" fillId="18" borderId="61" xfId="11" applyFont="1" applyFill="1" applyBorder="1" applyAlignment="1">
      <alignment horizontal="center" vertical="center" shrinkToFit="1"/>
    </xf>
    <xf numFmtId="0" fontId="26" fillId="0" borderId="26" xfId="11" applyFont="1" applyFill="1" applyBorder="1" applyAlignment="1">
      <alignment horizontal="center" vertical="center" shrinkToFit="1"/>
    </xf>
    <xf numFmtId="0" fontId="28" fillId="2" borderId="27" xfId="0" applyFont="1" applyFill="1" applyBorder="1" applyAlignment="1">
      <alignment horizontal="center" vertical="center" shrinkToFit="1"/>
    </xf>
    <xf numFmtId="0" fontId="28" fillId="2" borderId="28" xfId="0" applyFont="1" applyFill="1" applyBorder="1" applyAlignment="1">
      <alignment horizontal="center" vertical="center" shrinkToFit="1"/>
    </xf>
    <xf numFmtId="0" fontId="28" fillId="2" borderId="25" xfId="0" applyFont="1" applyFill="1" applyBorder="1" applyAlignment="1">
      <alignment horizontal="center" vertical="center" shrinkToFit="1"/>
    </xf>
    <xf numFmtId="0" fontId="28" fillId="2" borderId="27" xfId="0" applyFont="1" applyFill="1" applyBorder="1" applyAlignment="1">
      <alignment horizontal="center" shrinkToFit="1"/>
    </xf>
    <xf numFmtId="0" fontId="28" fillId="2" borderId="28" xfId="0" applyFont="1" applyFill="1" applyBorder="1" applyAlignment="1">
      <alignment horizontal="center" shrinkToFit="1"/>
    </xf>
    <xf numFmtId="0" fontId="28" fillId="2" borderId="25" xfId="0" applyFont="1" applyFill="1" applyBorder="1" applyAlignment="1">
      <alignment horizontal="center" shrinkToFit="1"/>
    </xf>
    <xf numFmtId="0" fontId="26" fillId="0" borderId="23" xfId="0" applyFont="1" applyBorder="1" applyAlignment="1">
      <alignment horizontal="center" vertical="center" wrapText="1" shrinkToFit="1"/>
    </xf>
    <xf numFmtId="0" fontId="26" fillId="0" borderId="29" xfId="0" applyFont="1" applyBorder="1" applyAlignment="1">
      <alignment horizontal="center" vertical="center" wrapText="1" shrinkToFit="1"/>
    </xf>
    <xf numFmtId="0" fontId="26" fillId="0" borderId="30" xfId="0" applyFont="1" applyBorder="1" applyAlignment="1">
      <alignment horizontal="center" vertical="center" wrapText="1" shrinkToFit="1"/>
    </xf>
    <xf numFmtId="0" fontId="7" fillId="0" borderId="2" xfId="0" applyFont="1" applyBorder="1" applyAlignment="1">
      <alignment shrinkToFit="1"/>
    </xf>
    <xf numFmtId="0" fontId="7" fillId="0" borderId="3" xfId="0" applyFont="1" applyBorder="1" applyAlignment="1">
      <alignment shrinkToFit="1"/>
    </xf>
    <xf numFmtId="0" fontId="28" fillId="2" borderId="35" xfId="0" applyFont="1" applyFill="1" applyBorder="1" applyAlignment="1">
      <alignment horizontal="center" vertical="center" shrinkToFit="1"/>
    </xf>
    <xf numFmtId="0" fontId="28" fillId="2" borderId="26" xfId="0" applyFont="1" applyFill="1" applyBorder="1" applyAlignment="1">
      <alignment horizontal="center" vertical="center" shrinkToFit="1"/>
    </xf>
    <xf numFmtId="0" fontId="28" fillId="2" borderId="36" xfId="0" applyFont="1" applyFill="1" applyBorder="1" applyAlignment="1">
      <alignment horizontal="center" vertical="center" shrinkToFit="1"/>
    </xf>
    <xf numFmtId="0" fontId="100" fillId="0" borderId="4" xfId="0" applyFont="1" applyBorder="1" applyAlignment="1">
      <alignment horizontal="center" shrinkToFit="1"/>
    </xf>
    <xf numFmtId="0" fontId="11" fillId="0" borderId="3" xfId="0" applyFont="1" applyBorder="1" applyAlignment="1">
      <alignment horizontal="center" shrinkToFit="1"/>
    </xf>
    <xf numFmtId="0" fontId="26" fillId="0" borderId="27" xfId="0" applyFont="1" applyBorder="1" applyAlignment="1">
      <alignment horizontal="center" vertical="center" shrinkToFit="1"/>
    </xf>
    <xf numFmtId="0" fontId="26" fillId="0" borderId="25" xfId="0" applyFont="1" applyBorder="1" applyAlignment="1">
      <alignment horizontal="center" vertical="center" shrinkToFit="1"/>
    </xf>
    <xf numFmtId="0" fontId="28" fillId="2" borderId="4" xfId="0" applyFont="1" applyFill="1" applyBorder="1" applyAlignment="1">
      <alignment horizontal="center" vertical="center" shrinkToFit="1"/>
    </xf>
    <xf numFmtId="0" fontId="28" fillId="2" borderId="2" xfId="0" applyFont="1" applyFill="1" applyBorder="1" applyAlignment="1">
      <alignment horizontal="center" vertical="center" shrinkToFit="1"/>
    </xf>
    <xf numFmtId="0" fontId="28" fillId="2" borderId="3" xfId="0" applyFont="1" applyFill="1" applyBorder="1" applyAlignment="1">
      <alignment horizontal="center" vertical="center" shrinkToFit="1"/>
    </xf>
    <xf numFmtId="0" fontId="44" fillId="2" borderId="4" xfId="0" applyFont="1" applyFill="1" applyBorder="1" applyAlignment="1">
      <alignment horizontal="center" vertical="center" shrinkToFit="1"/>
    </xf>
    <xf numFmtId="0" fontId="44" fillId="2" borderId="3" xfId="0" applyFont="1" applyFill="1" applyBorder="1" applyAlignment="1">
      <alignment horizontal="center" vertical="center" shrinkToFit="1"/>
    </xf>
    <xf numFmtId="0" fontId="26" fillId="0" borderId="22" xfId="0" applyFont="1" applyFill="1" applyBorder="1" applyAlignment="1">
      <alignment horizontal="center" vertical="center" shrinkToFit="1"/>
    </xf>
    <xf numFmtId="0" fontId="11" fillId="0" borderId="4" xfId="0" applyFont="1" applyBorder="1" applyAlignment="1">
      <alignment horizontal="center" shrinkToFit="1"/>
    </xf>
    <xf numFmtId="0" fontId="62" fillId="0" borderId="22" xfId="0" applyFont="1" applyFill="1" applyBorder="1" applyAlignment="1">
      <alignment horizontal="center" vertical="center" shrinkToFit="1"/>
    </xf>
    <xf numFmtId="0" fontId="26" fillId="8" borderId="22" xfId="0" applyFont="1" applyFill="1" applyBorder="1" applyAlignment="1">
      <alignment horizontal="center" vertical="center" shrinkToFit="1"/>
    </xf>
    <xf numFmtId="0" fontId="28" fillId="8" borderId="22" xfId="0" applyFont="1" applyFill="1" applyBorder="1" applyAlignment="1">
      <alignment horizontal="center" vertical="center" shrinkToFit="1"/>
    </xf>
    <xf numFmtId="0" fontId="99" fillId="0" borderId="4" xfId="0" applyFont="1" applyBorder="1" applyAlignment="1">
      <alignment horizontal="center" shrinkToFit="1"/>
    </xf>
    <xf numFmtId="0" fontId="99" fillId="0" borderId="3" xfId="0" applyFont="1" applyBorder="1" applyAlignment="1">
      <alignment horizontal="center" shrinkToFit="1"/>
    </xf>
    <xf numFmtId="0" fontId="11" fillId="0" borderId="43" xfId="0" applyFont="1" applyBorder="1" applyAlignment="1">
      <alignment horizontal="center" shrinkToFit="1"/>
    </xf>
    <xf numFmtId="0" fontId="11" fillId="0" borderId="44" xfId="0" applyFont="1" applyBorder="1" applyAlignment="1">
      <alignment horizontal="center" shrinkToFit="1"/>
    </xf>
    <xf numFmtId="0" fontId="33" fillId="0" borderId="22" xfId="0" applyFont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 shrinkToFit="1"/>
    </xf>
    <xf numFmtId="0" fontId="7" fillId="2" borderId="4" xfId="0" applyFont="1" applyFill="1" applyBorder="1" applyAlignment="1">
      <alignment horizontal="center" vertical="center" shrinkToFit="1"/>
    </xf>
    <xf numFmtId="0" fontId="7" fillId="2" borderId="2" xfId="0" applyFont="1" applyFill="1" applyBorder="1" applyAlignment="1">
      <alignment horizontal="center" vertical="center" shrinkToFit="1"/>
    </xf>
    <xf numFmtId="0" fontId="7" fillId="2" borderId="3" xfId="0" applyFont="1" applyFill="1" applyBorder="1" applyAlignment="1">
      <alignment horizontal="center" vertical="center" shrinkToFit="1"/>
    </xf>
    <xf numFmtId="0" fontId="12" fillId="2" borderId="4" xfId="0" applyFont="1" applyFill="1" applyBorder="1" applyAlignment="1">
      <alignment horizontal="center" vertical="center" shrinkToFit="1"/>
    </xf>
    <xf numFmtId="0" fontId="12" fillId="2" borderId="3" xfId="0" applyFont="1" applyFill="1" applyBorder="1" applyAlignment="1">
      <alignment horizontal="center" vertical="center" shrinkToFit="1"/>
    </xf>
    <xf numFmtId="0" fontId="33" fillId="0" borderId="22" xfId="0" applyFont="1" applyBorder="1" applyAlignment="1">
      <alignment horizontal="center" vertical="center" wrapText="1" shrinkToFit="1"/>
    </xf>
    <xf numFmtId="0" fontId="0" fillId="0" borderId="22" xfId="0" applyFont="1" applyBorder="1" applyAlignment="1">
      <alignment horizontal="center" vertical="center" wrapText="1" shrinkToFit="1"/>
    </xf>
    <xf numFmtId="0" fontId="7" fillId="2" borderId="0" xfId="0" applyFont="1" applyFill="1" applyBorder="1" applyAlignment="1">
      <alignment horizontal="center" vertical="center" shrinkToFit="1"/>
    </xf>
    <xf numFmtId="0" fontId="7" fillId="2" borderId="40" xfId="0" applyFont="1" applyFill="1" applyBorder="1" applyAlignment="1">
      <alignment horizontal="center" vertical="center" shrinkToFit="1"/>
    </xf>
    <xf numFmtId="0" fontId="7" fillId="2" borderId="39" xfId="0" applyFont="1" applyFill="1" applyBorder="1" applyAlignment="1">
      <alignment horizontal="center" shrinkToFit="1"/>
    </xf>
    <xf numFmtId="0" fontId="7" fillId="2" borderId="2" xfId="0" applyFont="1" applyFill="1" applyBorder="1" applyAlignment="1">
      <alignment horizontal="center" shrinkToFit="1"/>
    </xf>
    <xf numFmtId="0" fontId="7" fillId="2" borderId="3" xfId="0" applyFont="1" applyFill="1" applyBorder="1" applyAlignment="1">
      <alignment horizontal="center" shrinkToFit="1"/>
    </xf>
    <xf numFmtId="0" fontId="7" fillId="0" borderId="3" xfId="0" applyFont="1" applyBorder="1" applyAlignment="1">
      <alignment horizontal="center" shrinkToFit="1"/>
    </xf>
    <xf numFmtId="0" fontId="7" fillId="2" borderId="22" xfId="0" applyFont="1" applyFill="1" applyBorder="1" applyAlignment="1">
      <alignment horizontal="center" shrinkToFit="1"/>
    </xf>
    <xf numFmtId="0" fontId="7" fillId="2" borderId="22" xfId="0" applyFont="1" applyFill="1" applyBorder="1" applyAlignment="1">
      <alignment horizontal="center" vertical="center" shrinkToFit="1"/>
    </xf>
    <xf numFmtId="0" fontId="62" fillId="0" borderId="22" xfId="11" applyFont="1" applyFill="1" applyBorder="1" applyAlignment="1">
      <alignment horizontal="center" vertical="center" shrinkToFit="1"/>
    </xf>
    <xf numFmtId="0" fontId="26" fillId="8" borderId="22" xfId="11" applyFont="1" applyFill="1" applyBorder="1" applyAlignment="1">
      <alignment horizontal="center" vertical="center" shrinkToFit="1"/>
    </xf>
    <xf numFmtId="0" fontId="28" fillId="8" borderId="22" xfId="11" applyFont="1" applyFill="1" applyBorder="1" applyAlignment="1">
      <alignment horizontal="center" vertical="center" shrinkToFit="1"/>
    </xf>
    <xf numFmtId="0" fontId="62" fillId="8" borderId="22" xfId="11" applyFont="1" applyFill="1" applyBorder="1" applyAlignment="1">
      <alignment horizontal="center" vertical="center" shrinkToFit="1"/>
    </xf>
    <xf numFmtId="0" fontId="28" fillId="0" borderId="22" xfId="0" applyFont="1" applyBorder="1" applyAlignment="1">
      <alignment shrinkToFit="1"/>
    </xf>
    <xf numFmtId="0" fontId="28" fillId="2" borderId="22" xfId="0" applyFont="1" applyFill="1" applyBorder="1" applyAlignment="1">
      <alignment horizontal="center" vertical="center" shrinkToFit="1"/>
    </xf>
    <xf numFmtId="0" fontId="28" fillId="0" borderId="0" xfId="0" applyFont="1" applyFill="1" applyBorder="1" applyAlignment="1">
      <alignment horizontal="center" shrinkToFit="1"/>
    </xf>
    <xf numFmtId="0" fontId="28" fillId="0" borderId="38" xfId="0" applyFont="1" applyFill="1" applyBorder="1" applyAlignment="1">
      <alignment horizontal="center" shrinkToFit="1"/>
    </xf>
    <xf numFmtId="0" fontId="28" fillId="2" borderId="23" xfId="0" applyFont="1" applyFill="1" applyBorder="1" applyAlignment="1">
      <alignment horizontal="center" vertical="center" shrinkToFit="1"/>
    </xf>
    <xf numFmtId="0" fontId="28" fillId="2" borderId="29" xfId="0" applyFont="1" applyFill="1" applyBorder="1" applyAlignment="1">
      <alignment horizontal="center" vertical="center" shrinkToFit="1"/>
    </xf>
    <xf numFmtId="0" fontId="53" fillId="0" borderId="26" xfId="0" applyFont="1" applyBorder="1" applyAlignment="1">
      <alignment horizontal="left" vertical="center" shrinkToFit="1"/>
    </xf>
    <xf numFmtId="0" fontId="28" fillId="2" borderId="33" xfId="0" applyFont="1" applyFill="1" applyBorder="1" applyAlignment="1">
      <alignment horizontal="center" vertical="center" shrinkToFit="1"/>
    </xf>
    <xf numFmtId="0" fontId="28" fillId="2" borderId="0" xfId="0" applyFont="1" applyFill="1" applyBorder="1" applyAlignment="1">
      <alignment horizontal="center" vertical="center" shrinkToFit="1"/>
    </xf>
    <xf numFmtId="0" fontId="36" fillId="5" borderId="23" xfId="5" applyFont="1" applyFill="1" applyBorder="1" applyAlignment="1">
      <alignment horizontal="center" vertical="center"/>
    </xf>
    <xf numFmtId="0" fontId="36" fillId="5" borderId="30" xfId="5" applyFont="1" applyFill="1" applyBorder="1" applyAlignment="1">
      <alignment horizontal="center" vertical="center"/>
    </xf>
    <xf numFmtId="0" fontId="36" fillId="5" borderId="23" xfId="577" applyFont="1" applyFill="1" applyBorder="1" applyAlignment="1">
      <alignment horizontal="center" vertical="center" wrapText="1"/>
    </xf>
    <xf numFmtId="0" fontId="36" fillId="5" borderId="30" xfId="577" applyFont="1" applyFill="1" applyBorder="1" applyAlignment="1">
      <alignment horizontal="center" vertical="center" wrapText="1"/>
    </xf>
    <xf numFmtId="0" fontId="51" fillId="5" borderId="31" xfId="5" applyFont="1" applyFill="1" applyBorder="1" applyAlignment="1">
      <alignment horizontal="center" vertical="center"/>
    </xf>
    <xf numFmtId="0" fontId="51" fillId="5" borderId="37" xfId="5" applyFont="1" applyFill="1" applyBorder="1" applyAlignment="1">
      <alignment horizontal="center" vertical="center"/>
    </xf>
    <xf numFmtId="0" fontId="51" fillId="5" borderId="32" xfId="5" applyFont="1" applyFill="1" applyBorder="1" applyAlignment="1">
      <alignment horizontal="center" vertical="center"/>
    </xf>
    <xf numFmtId="0" fontId="51" fillId="5" borderId="33" xfId="5" applyFont="1" applyFill="1" applyBorder="1" applyAlignment="1">
      <alignment horizontal="center" vertical="center"/>
    </xf>
    <xf numFmtId="0" fontId="51" fillId="5" borderId="0" xfId="5" applyFont="1" applyFill="1" applyBorder="1" applyAlignment="1">
      <alignment horizontal="center" vertical="center"/>
    </xf>
    <xf numFmtId="0" fontId="51" fillId="5" borderId="34" xfId="5" applyFont="1" applyFill="1" applyBorder="1" applyAlignment="1">
      <alignment horizontal="center" vertical="center"/>
    </xf>
    <xf numFmtId="0" fontId="51" fillId="5" borderId="35" xfId="5" applyFont="1" applyFill="1" applyBorder="1" applyAlignment="1">
      <alignment horizontal="center" vertical="center"/>
    </xf>
    <xf numFmtId="0" fontId="51" fillId="5" borderId="26" xfId="5" applyFont="1" applyFill="1" applyBorder="1" applyAlignment="1">
      <alignment horizontal="center" vertical="center"/>
    </xf>
    <xf numFmtId="0" fontId="51" fillId="5" borderId="36" xfId="5" applyFont="1" applyFill="1" applyBorder="1" applyAlignment="1">
      <alignment horizontal="center" vertical="center"/>
    </xf>
    <xf numFmtId="0" fontId="117" fillId="0" borderId="31" xfId="11" applyFont="1" applyBorder="1" applyAlignment="1">
      <alignment horizontal="center" vertical="center"/>
    </xf>
    <xf numFmtId="0" fontId="29" fillId="0" borderId="32" xfId="11" applyFont="1" applyBorder="1" applyAlignment="1">
      <alignment horizontal="center" vertical="center"/>
    </xf>
    <xf numFmtId="0" fontId="29" fillId="0" borderId="33" xfId="11" applyFont="1" applyBorder="1" applyAlignment="1">
      <alignment horizontal="center" vertical="center"/>
    </xf>
    <xf numFmtId="0" fontId="29" fillId="0" borderId="34" xfId="11" applyFont="1" applyBorder="1" applyAlignment="1">
      <alignment horizontal="center" vertical="center"/>
    </xf>
    <xf numFmtId="0" fontId="29" fillId="0" borderId="35" xfId="11" applyFont="1" applyBorder="1" applyAlignment="1">
      <alignment horizontal="center" vertical="center"/>
    </xf>
    <xf numFmtId="0" fontId="29" fillId="0" borderId="36" xfId="11" applyFont="1" applyBorder="1" applyAlignment="1">
      <alignment horizontal="center" vertical="center"/>
    </xf>
    <xf numFmtId="0" fontId="39" fillId="0" borderId="26" xfId="11" applyFont="1" applyBorder="1" applyAlignment="1">
      <alignment horizontal="center" vertical="center"/>
    </xf>
    <xf numFmtId="0" fontId="32" fillId="0" borderId="26" xfId="11" applyFont="1" applyBorder="1" applyAlignment="1">
      <alignment horizontal="center" vertical="center"/>
    </xf>
    <xf numFmtId="0" fontId="29" fillId="5" borderId="33" xfId="11" applyFont="1" applyFill="1" applyBorder="1" applyAlignment="1">
      <alignment horizontal="center" vertical="center"/>
    </xf>
    <xf numFmtId="0" fontId="29" fillId="5" borderId="34" xfId="11" applyFont="1" applyFill="1" applyBorder="1" applyAlignment="1">
      <alignment horizontal="center" vertical="center"/>
    </xf>
    <xf numFmtId="0" fontId="29" fillId="5" borderId="35" xfId="11" applyFont="1" applyFill="1" applyBorder="1" applyAlignment="1">
      <alignment horizontal="center" vertical="center"/>
    </xf>
    <xf numFmtId="0" fontId="29" fillId="5" borderId="36" xfId="11" applyFont="1" applyFill="1" applyBorder="1" applyAlignment="1">
      <alignment horizontal="center" vertical="center"/>
    </xf>
    <xf numFmtId="0" fontId="36" fillId="5" borderId="22" xfId="577" applyFont="1" applyFill="1" applyBorder="1" applyAlignment="1">
      <alignment horizontal="center" vertical="center"/>
    </xf>
    <xf numFmtId="0" fontId="80" fillId="5" borderId="22" xfId="577" applyFont="1" applyFill="1" applyBorder="1" applyAlignment="1">
      <alignment horizontal="center" vertical="center"/>
    </xf>
    <xf numFmtId="0" fontId="36" fillId="5" borderId="22" xfId="577" applyFont="1" applyFill="1" applyBorder="1" applyAlignment="1">
      <alignment horizontal="center" vertical="center" wrapText="1"/>
    </xf>
    <xf numFmtId="0" fontId="80" fillId="5" borderId="23" xfId="577" applyFont="1" applyFill="1" applyBorder="1" applyAlignment="1">
      <alignment horizontal="center" vertical="center" wrapText="1"/>
    </xf>
    <xf numFmtId="0" fontId="38" fillId="5" borderId="27" xfId="577" applyFont="1" applyFill="1" applyBorder="1" applyAlignment="1">
      <alignment horizontal="center" vertical="center"/>
    </xf>
    <xf numFmtId="0" fontId="38" fillId="5" borderId="25" xfId="577" applyFont="1" applyFill="1" applyBorder="1" applyAlignment="1">
      <alignment horizontal="center" vertical="center"/>
    </xf>
    <xf numFmtId="0" fontId="38" fillId="5" borderId="27" xfId="577" applyFont="1" applyFill="1" applyBorder="1" applyAlignment="1">
      <alignment horizontal="center" vertical="center" wrapText="1"/>
    </xf>
    <xf numFmtId="0" fontId="38" fillId="5" borderId="28" xfId="577" applyFont="1" applyFill="1" applyBorder="1" applyAlignment="1">
      <alignment horizontal="center" vertical="center" wrapText="1"/>
    </xf>
    <xf numFmtId="0" fontId="36" fillId="5" borderId="22" xfId="5" applyFont="1" applyFill="1" applyBorder="1" applyAlignment="1">
      <alignment horizontal="center" vertical="center"/>
    </xf>
    <xf numFmtId="0" fontId="38" fillId="5" borderId="28" xfId="577" applyFont="1" applyFill="1" applyBorder="1" applyAlignment="1">
      <alignment horizontal="center" vertical="center"/>
    </xf>
    <xf numFmtId="0" fontId="80" fillId="5" borderId="22" xfId="577" applyFont="1" applyFill="1" applyBorder="1" applyAlignment="1">
      <alignment horizontal="center" vertical="center" wrapText="1"/>
    </xf>
    <xf numFmtId="0" fontId="103" fillId="0" borderId="27" xfId="578" applyFont="1" applyFill="1" applyBorder="1" applyAlignment="1">
      <alignment horizontal="center" vertical="center"/>
    </xf>
    <xf numFmtId="0" fontId="103" fillId="0" borderId="25" xfId="578" applyFont="1" applyFill="1" applyBorder="1" applyAlignment="1">
      <alignment horizontal="center" vertical="center"/>
    </xf>
    <xf numFmtId="0" fontId="101" fillId="19" borderId="22" xfId="578" applyFont="1" applyFill="1" applyBorder="1" applyAlignment="1">
      <alignment horizontal="center" vertical="center"/>
    </xf>
    <xf numFmtId="0" fontId="102" fillId="19" borderId="22" xfId="578" applyFont="1" applyFill="1" applyBorder="1" applyAlignment="1">
      <alignment horizontal="center" vertical="center"/>
    </xf>
    <xf numFmtId="195" fontId="111" fillId="5" borderId="22" xfId="578" applyNumberFormat="1" applyFont="1" applyFill="1" applyBorder="1" applyAlignment="1">
      <alignment horizontal="center" vertical="center"/>
    </xf>
    <xf numFmtId="195" fontId="111" fillId="14" borderId="22" xfId="578" applyNumberFormat="1" applyFont="1" applyFill="1" applyBorder="1" applyAlignment="1">
      <alignment horizontal="center" vertical="center"/>
    </xf>
    <xf numFmtId="0" fontId="37" fillId="5" borderId="22" xfId="5" applyFont="1" applyFill="1" applyBorder="1" applyAlignment="1">
      <alignment horizontal="center"/>
    </xf>
    <xf numFmtId="0" fontId="65" fillId="5" borderId="31" xfId="580" applyFont="1" applyFill="1" applyBorder="1" applyAlignment="1">
      <alignment horizontal="center" vertical="center" wrapText="1"/>
    </xf>
    <xf numFmtId="0" fontId="65" fillId="5" borderId="37" xfId="580" applyFont="1" applyFill="1" applyBorder="1" applyAlignment="1">
      <alignment horizontal="center" vertical="center" wrapText="1"/>
    </xf>
    <xf numFmtId="0" fontId="65" fillId="5" borderId="32" xfId="580" applyFont="1" applyFill="1" applyBorder="1" applyAlignment="1">
      <alignment horizontal="center" vertical="center" wrapText="1"/>
    </xf>
    <xf numFmtId="0" fontId="80" fillId="5" borderId="22" xfId="580" applyFont="1" applyFill="1" applyBorder="1" applyAlignment="1">
      <alignment horizontal="center" vertical="center" wrapText="1"/>
    </xf>
    <xf numFmtId="0" fontId="36" fillId="5" borderId="22" xfId="580" applyFont="1" applyFill="1" applyBorder="1" applyAlignment="1">
      <alignment horizontal="center" vertical="center" wrapText="1"/>
    </xf>
    <xf numFmtId="198" fontId="36" fillId="0" borderId="22" xfId="11" applyNumberFormat="1" applyFont="1" applyBorder="1" applyAlignment="1">
      <alignment horizontal="center" vertical="center"/>
    </xf>
    <xf numFmtId="198" fontId="65" fillId="0" borderId="22" xfId="11" applyNumberFormat="1" applyFont="1" applyBorder="1" applyAlignment="1">
      <alignment horizontal="center" vertical="center"/>
    </xf>
    <xf numFmtId="185" fontId="65" fillId="0" borderId="22" xfId="13" applyNumberFormat="1" applyFont="1" applyFill="1" applyBorder="1" applyAlignment="1">
      <alignment horizontal="center" vertical="center"/>
    </xf>
    <xf numFmtId="197" fontId="65" fillId="0" borderId="22" xfId="13" applyNumberFormat="1" applyFont="1" applyFill="1" applyBorder="1" applyAlignment="1">
      <alignment horizontal="center" vertical="center"/>
    </xf>
    <xf numFmtId="0" fontId="130" fillId="0" borderId="22" xfId="11" applyFont="1" applyBorder="1" applyAlignment="1">
      <alignment horizontal="center" vertical="center"/>
    </xf>
    <xf numFmtId="0" fontId="130" fillId="0" borderId="22" xfId="11" applyFont="1" applyBorder="1" applyAlignment="1">
      <alignment horizontal="left" vertical="center"/>
    </xf>
    <xf numFmtId="0" fontId="36" fillId="5" borderId="22" xfId="580" applyFont="1" applyFill="1" applyBorder="1" applyAlignment="1">
      <alignment horizontal="center" vertical="center"/>
    </xf>
    <xf numFmtId="0" fontId="80" fillId="5" borderId="22" xfId="580" applyFont="1" applyFill="1" applyBorder="1" applyAlignment="1">
      <alignment horizontal="center" vertical="center"/>
    </xf>
    <xf numFmtId="0" fontId="36" fillId="5" borderId="22" xfId="580" applyFont="1" applyFill="1" applyBorder="1" applyAlignment="1">
      <alignment horizontal="center" vertical="center" wrapText="1"/>
    </xf>
    <xf numFmtId="0" fontId="36" fillId="5" borderId="23" xfId="580" applyFont="1" applyFill="1" applyBorder="1" applyAlignment="1">
      <alignment horizontal="center" vertical="center" wrapText="1"/>
    </xf>
    <xf numFmtId="0" fontId="80" fillId="5" borderId="23" xfId="580" applyFont="1" applyFill="1" applyBorder="1" applyAlignment="1">
      <alignment horizontal="center" vertical="center" wrapText="1"/>
    </xf>
    <xf numFmtId="0" fontId="38" fillId="5" borderId="27" xfId="580" applyFont="1" applyFill="1" applyBorder="1" applyAlignment="1">
      <alignment horizontal="center" vertical="center"/>
    </xf>
    <xf numFmtId="0" fontId="38" fillId="5" borderId="25" xfId="580" applyFont="1" applyFill="1" applyBorder="1" applyAlignment="1">
      <alignment horizontal="center" vertical="center"/>
    </xf>
    <xf numFmtId="0" fontId="38" fillId="5" borderId="27" xfId="580" applyFont="1" applyFill="1" applyBorder="1" applyAlignment="1">
      <alignment horizontal="center" vertical="center" wrapText="1"/>
    </xf>
    <xf numFmtId="0" fontId="38" fillId="5" borderId="28" xfId="580" applyFont="1" applyFill="1" applyBorder="1" applyAlignment="1">
      <alignment horizontal="center" vertical="center" wrapText="1"/>
    </xf>
    <xf numFmtId="0" fontId="38" fillId="5" borderId="25" xfId="580" applyFont="1" applyFill="1" applyBorder="1" applyAlignment="1">
      <alignment horizontal="center" vertical="center" wrapText="1"/>
    </xf>
    <xf numFmtId="0" fontId="36" fillId="5" borderId="30" xfId="580" applyFont="1" applyFill="1" applyBorder="1" applyAlignment="1">
      <alignment horizontal="center" vertical="center" wrapText="1"/>
    </xf>
    <xf numFmtId="194" fontId="111" fillId="8" borderId="22" xfId="580" applyNumberFormat="1" applyFont="1" applyFill="1" applyBorder="1" applyAlignment="1">
      <alignment horizontal="center" vertical="center"/>
    </xf>
    <xf numFmtId="189" fontId="111" fillId="0" borderId="22" xfId="580" applyNumberFormat="1" applyFont="1" applyBorder="1" applyAlignment="1">
      <alignment horizontal="center" vertical="center"/>
    </xf>
    <xf numFmtId="195" fontId="111" fillId="14" borderId="23" xfId="578" applyNumberFormat="1" applyFont="1" applyFill="1" applyBorder="1" applyAlignment="1">
      <alignment horizontal="center" vertical="center"/>
    </xf>
    <xf numFmtId="195" fontId="111" fillId="14" borderId="29" xfId="578" applyNumberFormat="1" applyFont="1" applyFill="1" applyBorder="1" applyAlignment="1">
      <alignment horizontal="center" vertical="center"/>
    </xf>
    <xf numFmtId="195" fontId="111" fillId="14" borderId="30" xfId="578" applyNumberFormat="1" applyFont="1" applyFill="1" applyBorder="1" applyAlignment="1">
      <alignment horizontal="center" vertical="center"/>
    </xf>
    <xf numFmtId="195" fontId="111" fillId="5" borderId="23" xfId="578" applyNumberFormat="1" applyFont="1" applyFill="1" applyBorder="1" applyAlignment="1">
      <alignment horizontal="center" vertical="center"/>
    </xf>
    <xf numFmtId="195" fontId="111" fillId="5" borderId="29" xfId="578" applyNumberFormat="1" applyFont="1" applyFill="1" applyBorder="1" applyAlignment="1">
      <alignment horizontal="center" vertical="center"/>
    </xf>
    <xf numFmtId="195" fontId="111" fillId="5" borderId="30" xfId="578" applyNumberFormat="1" applyFont="1" applyFill="1" applyBorder="1" applyAlignment="1">
      <alignment horizontal="center" vertical="center"/>
    </xf>
  </cellXfs>
  <cellStyles count="581">
    <cellStyle name="??_x000c_鞜_x0007__x000d_槉U_x0001_??_x0007__x0001__x0001_" xfId="25" xr:uid="{00000000-0005-0000-0000-000000000000}"/>
    <cellStyle name="_98-春節暫停營業明細-ToDC" xfId="26" xr:uid="{00000000-0005-0000-0000-000001000000}"/>
    <cellStyle name="_98-春節暫停營業明細-ToDC_1-晉欣鮮食廠-2012年春節作業體制" xfId="27" xr:uid="{00000000-0005-0000-0000-000002000000}"/>
    <cellStyle name="_excel報告書" xfId="28" xr:uid="{00000000-0005-0000-0000-000003000000}"/>
    <cellStyle name="_excel報告書_1-晉欣鮮食廠-2012年春節作業體制" xfId="29" xr:uid="{00000000-0005-0000-0000-000004000000}"/>
    <cellStyle name="_excel報告書_96年月餅預購競賽獎勵案" xfId="30" xr:uid="{00000000-0005-0000-0000-000005000000}"/>
    <cellStyle name="_excel報告書_96年月餅預購競賽獎勵案_1-晉欣鮮食廠-2012年春節作業體制" xfId="31" xr:uid="{00000000-0005-0000-0000-000006000000}"/>
    <cellStyle name="_excel報告書_96年月餅預購競賽獎勵案_97年春節保全回收報告書" xfId="32" xr:uid="{00000000-0005-0000-0000-000007000000}"/>
    <cellStyle name="_excel報告書_96年月餅預購競賽獎勵案_97年春節保全回收報告書_1-晉欣鮮食廠-2012年春節作業體制" xfId="33" xr:uid="{00000000-0005-0000-0000-000008000000}"/>
    <cellStyle name="_excel報告書_96年月餅預購競賽獎勵案_97年春節保全回收報告書_Book1" xfId="34" xr:uid="{00000000-0005-0000-0000-000009000000}"/>
    <cellStyle name="_excel報告書_96年月餅預購競賽獎勵案_97年春節保全回收報告書_Book1_1-晉欣鮮食廠-2012年春節作業體制" xfId="35" xr:uid="{00000000-0005-0000-0000-00000A000000}"/>
    <cellStyle name="_excel報告書_96年月餅預購競賽獎勵案_97年春節保全回收報告書_春節作業手冊-981217" xfId="36" xr:uid="{00000000-0005-0000-0000-00000B000000}"/>
    <cellStyle name="_excel報告書_96年月餅預購競賽獎勵案_97年春節保全回收報告書_春節作業手冊-981217_1-晉欣鮮食廠-2012年春節作業體制" xfId="37" xr:uid="{00000000-0005-0000-0000-00000C000000}"/>
    <cellStyle name="_excel報告書_96年月餅預購競賽獎勵案_97年營業競賽提案報告書" xfId="38" xr:uid="{00000000-0005-0000-0000-00000D000000}"/>
    <cellStyle name="_excel報告書_96年月餅預購競賽獎勵案_97年營業競賽提案報告書_1-晉欣鮮食廠-2012年春節作業體制" xfId="39" xr:uid="{00000000-0005-0000-0000-00000E000000}"/>
    <cellStyle name="_excel報告書_96年月餅預購競賽獎勵案_97年營業競賽提案報告書_97年春節保全回收報告書" xfId="40" xr:uid="{00000000-0005-0000-0000-00000F000000}"/>
    <cellStyle name="_excel報告書_96年月餅預購競賽獎勵案_97年營業競賽提案報告書_97年春節保全回收報告書_1-晉欣鮮食廠-2012年春節作業體制" xfId="41" xr:uid="{00000000-0005-0000-0000-000010000000}"/>
    <cellStyle name="_excel報告書_96年月餅預購競賽獎勵案_97年營業競賽提案報告書_97年春節保全回收報告書_Book1" xfId="42" xr:uid="{00000000-0005-0000-0000-000011000000}"/>
    <cellStyle name="_excel報告書_96年月餅預購競賽獎勵案_97年營業競賽提案報告書_97年春節保全回收報告書_Book1_1-晉欣鮮食廠-2012年春節作業體制" xfId="43" xr:uid="{00000000-0005-0000-0000-000012000000}"/>
    <cellStyle name="_excel報告書_96年月餅預購競賽獎勵案_97年營業競賽提案報告書_97年春節保全回收報告書_春節作業手冊-981217" xfId="44" xr:uid="{00000000-0005-0000-0000-000013000000}"/>
    <cellStyle name="_excel報告書_96年月餅預購競賽獎勵案_97年營業競賽提案報告書_97年春節保全回收報告書_春節作業手冊-981217_1-晉欣鮮食廠-2012年春節作業體制" xfId="45" xr:uid="{00000000-0005-0000-0000-000014000000}"/>
    <cellStyle name="_excel報告書_96年月餅預購競賽獎勵案_97年營業競賽提案報告書_97年營業競賽提案報告書" xfId="46" xr:uid="{00000000-0005-0000-0000-000015000000}"/>
    <cellStyle name="_excel報告書_96年月餅預購競賽獎勵案_97年營業競賽提案報告書_97年營業競賽提案報告書_1-晉欣鮮食廠-2012年春節作業體制" xfId="47" xr:uid="{00000000-0005-0000-0000-000016000000}"/>
    <cellStyle name="_excel報告書_96年月餅預購競賽獎勵案_97年營業競賽提案報告書_97年營業競賽提案報告書_97年春節保全回收報告書" xfId="48" xr:uid="{00000000-0005-0000-0000-000017000000}"/>
    <cellStyle name="_excel報告書_96年月餅預購競賽獎勵案_97年營業競賽提案報告書_97年營業競賽提案報告書_97年春節保全回收報告書_1-晉欣鮮食廠-2012年春節作業體制" xfId="49" xr:uid="{00000000-0005-0000-0000-000018000000}"/>
    <cellStyle name="_excel報告書_96年月餅預購競賽獎勵案_97年營業競賽提案報告書_97年營業競賽提案報告書_97年春節保全回收報告書_Book1" xfId="50" xr:uid="{00000000-0005-0000-0000-000019000000}"/>
    <cellStyle name="_excel報告書_96年月餅預購競賽獎勵案_97年營業競賽提案報告書_97年營業競賽提案報告書_97年春節保全回收報告書_Book1_1-晉欣鮮食廠-2012年春節作業體制" xfId="51" xr:uid="{00000000-0005-0000-0000-00001A000000}"/>
    <cellStyle name="_excel報告書_96年月餅預購競賽獎勵案_97年營業競賽提案報告書_97年營業競賽提案報告書_97年春節保全回收報告書_春節作業手冊-981217" xfId="52" xr:uid="{00000000-0005-0000-0000-00001B000000}"/>
    <cellStyle name="_excel報告書_96年月餅預購競賽獎勵案_97年營業競賽提案報告書_97年營業競賽提案報告書_97年春節保全回收報告書_春節作業手冊-981217_1-晉欣鮮食廠-2012年春節作業體制" xfId="53" xr:uid="{00000000-0005-0000-0000-00001C000000}"/>
    <cellStyle name="_excel報告書_96年月餅預購競賽獎勵案_97年營業競賽提案報告書_97年營業競賽提案報告書_97年營業競賽提案報告書" xfId="54" xr:uid="{00000000-0005-0000-0000-00001D000000}"/>
    <cellStyle name="_excel報告書_96年月餅預購競賽獎勵案_97年營業競賽提案報告書_97年營業競賽提案報告書_97年營業競賽提案報告書_1-晉欣鮮食廠-2012年春節作業體制" xfId="55" xr:uid="{00000000-0005-0000-0000-00001E000000}"/>
    <cellStyle name="_excel報告書_96年月餅預購競賽獎勵案_97年營業競賽提案報告書_97年營業競賽提案報告書_97年營業競賽提案報告書_97年春節保全回收報告書" xfId="56" xr:uid="{00000000-0005-0000-0000-00001F000000}"/>
    <cellStyle name="_excel報告書_96年月餅預購競賽獎勵案_97年營業競賽提案報告書_97年營業競賽提案報告書_97年營業競賽提案報告書_97年春節保全回收報告書_1-晉欣鮮食廠-2012年春節作業體制" xfId="57" xr:uid="{00000000-0005-0000-0000-000020000000}"/>
    <cellStyle name="_excel報告書_96年月餅預購競賽獎勵案_97年營業競賽提案報告書_97年營業競賽提案報告書_97年營業競賽提案報告書_97年春節保全回收報告書_Book1" xfId="58" xr:uid="{00000000-0005-0000-0000-000021000000}"/>
    <cellStyle name="_excel報告書_96年月餅預購競賽獎勵案_97年營業競賽提案報告書_97年營業競賽提案報告書_97年營業競賽提案報告書_97年春節保全回收報告書_Book1_1-晉欣鮮食廠-2012年春節作業體制" xfId="59" xr:uid="{00000000-0005-0000-0000-000022000000}"/>
    <cellStyle name="_excel報告書_96年月餅預購競賽獎勵案_97年營業競賽提案報告書_97年營業競賽提案報告書_97年營業競賽提案報告書_97年春節保全回收報告書_春節作業手冊-981217" xfId="60" xr:uid="{00000000-0005-0000-0000-000023000000}"/>
    <cellStyle name="_excel報告書_96年月餅預購競賽獎勵案_97年營業競賽提案報告書_97年營業競賽提案報告書_97年營業競賽提案報告書_97年春節保全回收報告書_春節作業手冊-981217_1-晉欣鮮食廠-2012年春節作業體制" xfId="61" xr:uid="{00000000-0005-0000-0000-000024000000}"/>
    <cellStyle name="_excel報告書_96年月餅預購競賽獎勵案_97年營業競賽提案報告書_97年營業競賽提案報告書_97年營業競賽提案報告書_Book1" xfId="62" xr:uid="{00000000-0005-0000-0000-000025000000}"/>
    <cellStyle name="_excel報告書_96年月餅預購競賽獎勵案_97年營業競賽提案報告書_97年營業競賽提案報告書_97年營業競賽提案報告書_Book1_1-晉欣鮮食廠-2012年春節作業體制" xfId="63" xr:uid="{00000000-0005-0000-0000-000026000000}"/>
    <cellStyle name="_excel報告書_96年月餅預購競賽獎勵案_97年營業競賽提案報告書_97年營業競賽提案報告書_97年營業競賽提案報告書_春節作業手冊-981217" xfId="64" xr:uid="{00000000-0005-0000-0000-000027000000}"/>
    <cellStyle name="_excel報告書_96年月餅預購競賽獎勵案_97年營業競賽提案報告書_97年營業競賽提案報告書_97年營業競賽提案報告書_春節作業手冊-981217_1-晉欣鮮食廠-2012年春節作業體制" xfId="65" xr:uid="{00000000-0005-0000-0000-000028000000}"/>
    <cellStyle name="_excel報告書_96年月餅預購競賽獎勵案_97年營業競賽提案報告書_97年營業競賽提案報告書_Book1" xfId="66" xr:uid="{00000000-0005-0000-0000-000029000000}"/>
    <cellStyle name="_excel報告書_96年月餅預購競賽獎勵案_97年營業競賽提案報告書_97年營業競賽提案報告書_Book1_1-晉欣鮮食廠-2012年春節作業體制" xfId="67" xr:uid="{00000000-0005-0000-0000-00002A000000}"/>
    <cellStyle name="_excel報告書_96年月餅預購競賽獎勵案_97年營業競賽提案報告書_97年營業競賽提案報告書_春節作業手冊-981217" xfId="68" xr:uid="{00000000-0005-0000-0000-00002B000000}"/>
    <cellStyle name="_excel報告書_96年月餅預購競賽獎勵案_97年營業競賽提案報告書_97年營業競賽提案報告書_春節作業手冊-981217_1-晉欣鮮食廠-2012年春節作業體制" xfId="69" xr:uid="{00000000-0005-0000-0000-00002C000000}"/>
    <cellStyle name="_excel報告書_96年月餅預購競賽獎勵案_97年營業競賽提案報告書_Book1" xfId="70" xr:uid="{00000000-0005-0000-0000-00002D000000}"/>
    <cellStyle name="_excel報告書_96年月餅預購競賽獎勵案_97年營業競賽提案報告書_Book1_1-晉欣鮮食廠-2012年春節作業體制" xfId="71" xr:uid="{00000000-0005-0000-0000-00002E000000}"/>
    <cellStyle name="_excel報告書_96年月餅預購競賽獎勵案_97年營業競賽提案報告書_春節作業手冊-981217" xfId="72" xr:uid="{00000000-0005-0000-0000-00002F000000}"/>
    <cellStyle name="_excel報告書_96年月餅預購競賽獎勵案_97年營業競賽提案報告書_春節作業手冊-981217_1-晉欣鮮食廠-2012年春節作業體制" xfId="73" xr:uid="{00000000-0005-0000-0000-000030000000}"/>
    <cellStyle name="_excel報告書_96年月餅預購競賽獎勵案_Book1" xfId="74" xr:uid="{00000000-0005-0000-0000-000031000000}"/>
    <cellStyle name="_excel報告書_96年月餅預購競賽獎勵案_Book1_1-晉欣鮮食廠-2012年春節作業體制" xfId="75" xr:uid="{00000000-0005-0000-0000-000032000000}"/>
    <cellStyle name="_excel報告書_96年月餅預購競賽獎勵案_春節作業手冊-981217" xfId="76" xr:uid="{00000000-0005-0000-0000-000033000000}"/>
    <cellStyle name="_excel報告書_96年月餅預購競賽獎勵案_春節作業手冊-981217_1-晉欣鮮食廠-2012年春節作業體制" xfId="77" xr:uid="{00000000-0005-0000-0000-000034000000}"/>
    <cellStyle name="_excel報告書_97年春節保全回收報告書" xfId="78" xr:uid="{00000000-0005-0000-0000-000035000000}"/>
    <cellStyle name="_excel報告書_97年春節保全回收報告書_1-晉欣鮮食廠-2012年春節作業體制" xfId="79" xr:uid="{00000000-0005-0000-0000-000036000000}"/>
    <cellStyle name="_excel報告書_97年春節保全回收報告書_Book1" xfId="80" xr:uid="{00000000-0005-0000-0000-000037000000}"/>
    <cellStyle name="_excel報告書_97年春節保全回收報告書_Book1_1-晉欣鮮食廠-2012年春節作業體制" xfId="81" xr:uid="{00000000-0005-0000-0000-000038000000}"/>
    <cellStyle name="_excel報告書_97年春節保全回收報告書_春節作業手冊-981217" xfId="82" xr:uid="{00000000-0005-0000-0000-000039000000}"/>
    <cellStyle name="_excel報告書_97年春節保全回收報告書_春節作業手冊-981217_1-晉欣鮮食廠-2012年春節作業體制" xfId="83" xr:uid="{00000000-0005-0000-0000-00003A000000}"/>
    <cellStyle name="_excel報告書_97年營業競賽提案報告書" xfId="84" xr:uid="{00000000-0005-0000-0000-00003B000000}"/>
    <cellStyle name="_excel報告書_97年營業競賽提案報告書_1-晉欣鮮食廠-2012年春節作業體制" xfId="85" xr:uid="{00000000-0005-0000-0000-00003C000000}"/>
    <cellStyle name="_excel報告書_97年營業競賽提案報告書_97年春節保全回收報告書" xfId="86" xr:uid="{00000000-0005-0000-0000-00003D000000}"/>
    <cellStyle name="_excel報告書_97年營業競賽提案報告書_97年春節保全回收報告書_1-晉欣鮮食廠-2012年春節作業體制" xfId="87" xr:uid="{00000000-0005-0000-0000-00003E000000}"/>
    <cellStyle name="_excel報告書_97年營業競賽提案報告書_97年春節保全回收報告書_Book1" xfId="88" xr:uid="{00000000-0005-0000-0000-00003F000000}"/>
    <cellStyle name="_excel報告書_97年營業競賽提案報告書_97年春節保全回收報告書_Book1_1-晉欣鮮食廠-2012年春節作業體制" xfId="89" xr:uid="{00000000-0005-0000-0000-000040000000}"/>
    <cellStyle name="_excel報告書_97年營業競賽提案報告書_97年春節保全回收報告書_春節作業手冊-981217" xfId="90" xr:uid="{00000000-0005-0000-0000-000041000000}"/>
    <cellStyle name="_excel報告書_97年營業競賽提案報告書_97年春節保全回收報告書_春節作業手冊-981217_1-晉欣鮮食廠-2012年春節作業體制" xfId="91" xr:uid="{00000000-0005-0000-0000-000042000000}"/>
    <cellStyle name="_excel報告書_97年營業競賽提案報告書_97年營業競賽提案報告書" xfId="92" xr:uid="{00000000-0005-0000-0000-000043000000}"/>
    <cellStyle name="_excel報告書_97年營業競賽提案報告書_97年營業競賽提案報告書_1-晉欣鮮食廠-2012年春節作業體制" xfId="93" xr:uid="{00000000-0005-0000-0000-000044000000}"/>
    <cellStyle name="_excel報告書_97年營業競賽提案報告書_97年營業競賽提案報告書_97年春節保全回收報告書" xfId="94" xr:uid="{00000000-0005-0000-0000-000045000000}"/>
    <cellStyle name="_excel報告書_97年營業競賽提案報告書_97年營業競賽提案報告書_97年春節保全回收報告書_1-晉欣鮮食廠-2012年春節作業體制" xfId="95" xr:uid="{00000000-0005-0000-0000-000046000000}"/>
    <cellStyle name="_excel報告書_97年營業競賽提案報告書_97年營業競賽提案報告書_97年春節保全回收報告書_Book1" xfId="96" xr:uid="{00000000-0005-0000-0000-000047000000}"/>
    <cellStyle name="_excel報告書_97年營業競賽提案報告書_97年營業競賽提案報告書_97年春節保全回收報告書_Book1_1-晉欣鮮食廠-2012年春節作業體制" xfId="97" xr:uid="{00000000-0005-0000-0000-000048000000}"/>
    <cellStyle name="_excel報告書_97年營業競賽提案報告書_97年營業競賽提案報告書_97年春節保全回收報告書_春節作業手冊-981217" xfId="98" xr:uid="{00000000-0005-0000-0000-000049000000}"/>
    <cellStyle name="_excel報告書_97年營業競賽提案報告書_97年營業競賽提案報告書_97年春節保全回收報告書_春節作業手冊-981217_1-晉欣鮮食廠-2012年春節作業體制" xfId="99" xr:uid="{00000000-0005-0000-0000-00004A000000}"/>
    <cellStyle name="_excel報告書_97年營業競賽提案報告書_97年營業競賽提案報告書_97年營業競賽提案報告書" xfId="100" xr:uid="{00000000-0005-0000-0000-00004B000000}"/>
    <cellStyle name="_excel報告書_97年營業競賽提案報告書_97年營業競賽提案報告書_97年營業競賽提案報告書_1-晉欣鮮食廠-2012年春節作業體制" xfId="101" xr:uid="{00000000-0005-0000-0000-00004C000000}"/>
    <cellStyle name="_excel報告書_97年營業競賽提案報告書_97年營業競賽提案報告書_97年營業競賽提案報告書_97年春節保全回收報告書" xfId="102" xr:uid="{00000000-0005-0000-0000-00004D000000}"/>
    <cellStyle name="_excel報告書_97年營業競賽提案報告書_97年營業競賽提案報告書_97年營業競賽提案報告書_97年春節保全回收報告書_1-晉欣鮮食廠-2012年春節作業體制" xfId="103" xr:uid="{00000000-0005-0000-0000-00004E000000}"/>
    <cellStyle name="_excel報告書_97年營業競賽提案報告書_97年營業競賽提案報告書_97年營業競賽提案報告書_97年春節保全回收報告書_Book1" xfId="104" xr:uid="{00000000-0005-0000-0000-00004F000000}"/>
    <cellStyle name="_excel報告書_97年營業競賽提案報告書_97年營業競賽提案報告書_97年營業競賽提案報告書_97年春節保全回收報告書_Book1_1-晉欣鮮食廠-2012年春節作業體制" xfId="105" xr:uid="{00000000-0005-0000-0000-000050000000}"/>
    <cellStyle name="_excel報告書_97年營業競賽提案報告書_97年營業競賽提案報告書_97年營業競賽提案報告書_97年春節保全回收報告書_春節作業手冊-981217" xfId="106" xr:uid="{00000000-0005-0000-0000-000051000000}"/>
    <cellStyle name="_excel報告書_97年營業競賽提案報告書_97年營業競賽提案報告書_97年營業競賽提案報告書_97年春節保全回收報告書_春節作業手冊-981217_1-晉欣鮮食廠-2012年春節作業體制" xfId="107" xr:uid="{00000000-0005-0000-0000-000052000000}"/>
    <cellStyle name="_excel報告書_97年營業競賽提案報告書_97年營業競賽提案報告書_97年營業競賽提案報告書_Book1" xfId="108" xr:uid="{00000000-0005-0000-0000-000053000000}"/>
    <cellStyle name="_excel報告書_97年營業競賽提案報告書_97年營業競賽提案報告書_97年營業競賽提案報告書_Book1_1-晉欣鮮食廠-2012年春節作業體制" xfId="109" xr:uid="{00000000-0005-0000-0000-000054000000}"/>
    <cellStyle name="_excel報告書_97年營業競賽提案報告書_97年營業競賽提案報告書_97年營業競賽提案報告書_春節作業手冊-981217" xfId="110" xr:uid="{00000000-0005-0000-0000-000055000000}"/>
    <cellStyle name="_excel報告書_97年營業競賽提案報告書_97年營業競賽提案報告書_97年營業競賽提案報告書_春節作業手冊-981217_1-晉欣鮮食廠-2012年春節作業體制" xfId="111" xr:uid="{00000000-0005-0000-0000-000056000000}"/>
    <cellStyle name="_excel報告書_97年營業競賽提案報告書_97年營業競賽提案報告書_Book1" xfId="112" xr:uid="{00000000-0005-0000-0000-000057000000}"/>
    <cellStyle name="_excel報告書_97年營業競賽提案報告書_97年營業競賽提案報告書_Book1_1-晉欣鮮食廠-2012年春節作業體制" xfId="113" xr:uid="{00000000-0005-0000-0000-000058000000}"/>
    <cellStyle name="_excel報告書_97年營業競賽提案報告書_97年營業競賽提案報告書_春節作業手冊-981217" xfId="114" xr:uid="{00000000-0005-0000-0000-000059000000}"/>
    <cellStyle name="_excel報告書_97年營業競賽提案報告書_97年營業競賽提案報告書_春節作業手冊-981217_1-晉欣鮮食廠-2012年春節作業體制" xfId="115" xr:uid="{00000000-0005-0000-0000-00005A000000}"/>
    <cellStyle name="_excel報告書_97年營業競賽提案報告書_Book1" xfId="116" xr:uid="{00000000-0005-0000-0000-00005B000000}"/>
    <cellStyle name="_excel報告書_97年營業競賽提案報告書_Book1_1-晉欣鮮食廠-2012年春節作業體制" xfId="117" xr:uid="{00000000-0005-0000-0000-00005C000000}"/>
    <cellStyle name="_excel報告書_97年營業競賽提案報告書_春節作業手冊-981217" xfId="118" xr:uid="{00000000-0005-0000-0000-00005D000000}"/>
    <cellStyle name="_excel報告書_97年營業競賽提案報告書_春節作業手冊-981217_1-晉欣鮮食廠-2012年春節作業體制" xfId="119" xr:uid="{00000000-0005-0000-0000-00005E000000}"/>
    <cellStyle name="_excel報告書_Book1" xfId="120" xr:uid="{00000000-0005-0000-0000-00005F000000}"/>
    <cellStyle name="_excel報告書_Book1_1-晉欣鮮食廠-2012年春節作業體制" xfId="121" xr:uid="{00000000-0005-0000-0000-000060000000}"/>
    <cellStyle name="_excel報告書_春節作業手冊-981217" xfId="122" xr:uid="{00000000-0005-0000-0000-000061000000}"/>
    <cellStyle name="_excel報告書_春節作業手冊-981217_1-晉欣鮮食廠-2012年春節作業體制" xfId="123" xr:uid="{00000000-0005-0000-0000-000062000000}"/>
    <cellStyle name="_日翊98年春節作業-To毓琦" xfId="124" xr:uid="{00000000-0005-0000-0000-000063000000}"/>
    <cellStyle name="_封閉型商圈日商" xfId="125" xr:uid="{00000000-0005-0000-0000-000064000000}"/>
    <cellStyle name="_封閉型商圈日商_1-晉欣鮮食廠-2012年春節作業體制" xfId="126" xr:uid="{00000000-0005-0000-0000-000065000000}"/>
    <cellStyle name="_封閉型商圈日商_97年春節保全回收報告書" xfId="127" xr:uid="{00000000-0005-0000-0000-000066000000}"/>
    <cellStyle name="_封閉型商圈日商_97年春節保全回收報告書_1-晉欣鮮食廠-2012年春節作業體制" xfId="128" xr:uid="{00000000-0005-0000-0000-000067000000}"/>
    <cellStyle name="_封閉型商圈日商_97年春節保全回收報告書_Book1" xfId="129" xr:uid="{00000000-0005-0000-0000-000068000000}"/>
    <cellStyle name="_封閉型商圈日商_97年春節保全回收報告書_Book1_1-晉欣鮮食廠-2012年春節作業體制" xfId="130" xr:uid="{00000000-0005-0000-0000-000069000000}"/>
    <cellStyle name="_封閉型商圈日商_97年春節保全回收報告書_春節作業手冊-981217" xfId="131" xr:uid="{00000000-0005-0000-0000-00006A000000}"/>
    <cellStyle name="_封閉型商圈日商_97年春節保全回收報告書_春節作業手冊-981217_1-晉欣鮮食廠-2012年春節作業體制" xfId="132" xr:uid="{00000000-0005-0000-0000-00006B000000}"/>
    <cellStyle name="_封閉型商圈日商_97年營業競賽提案報告書" xfId="133" xr:uid="{00000000-0005-0000-0000-00006C000000}"/>
    <cellStyle name="_封閉型商圈日商_97年營業競賽提案報告書_1-晉欣鮮食廠-2012年春節作業體制" xfId="134" xr:uid="{00000000-0005-0000-0000-00006D000000}"/>
    <cellStyle name="_封閉型商圈日商_97年營業競賽提案報告書_97年春節保全回收報告書" xfId="135" xr:uid="{00000000-0005-0000-0000-00006E000000}"/>
    <cellStyle name="_封閉型商圈日商_97年營業競賽提案報告書_97年春節保全回收報告書_1-晉欣鮮食廠-2012年春節作業體制" xfId="136" xr:uid="{00000000-0005-0000-0000-00006F000000}"/>
    <cellStyle name="_封閉型商圈日商_97年營業競賽提案報告書_97年春節保全回收報告書_Book1" xfId="137" xr:uid="{00000000-0005-0000-0000-000070000000}"/>
    <cellStyle name="_封閉型商圈日商_97年營業競賽提案報告書_97年春節保全回收報告書_Book1_1-晉欣鮮食廠-2012年春節作業體制" xfId="138" xr:uid="{00000000-0005-0000-0000-000071000000}"/>
    <cellStyle name="_封閉型商圈日商_97年營業競賽提案報告書_97年春節保全回收報告書_春節作業手冊-981217" xfId="139" xr:uid="{00000000-0005-0000-0000-000072000000}"/>
    <cellStyle name="_封閉型商圈日商_97年營業競賽提案報告書_97年春節保全回收報告書_春節作業手冊-981217_1-晉欣鮮食廠-2012年春節作業體制" xfId="140" xr:uid="{00000000-0005-0000-0000-000073000000}"/>
    <cellStyle name="_封閉型商圈日商_97年營業競賽提案報告書_97年營業競賽提案報告書" xfId="141" xr:uid="{00000000-0005-0000-0000-000074000000}"/>
    <cellStyle name="_封閉型商圈日商_97年營業競賽提案報告書_97年營業競賽提案報告書_1-晉欣鮮食廠-2012年春節作業體制" xfId="142" xr:uid="{00000000-0005-0000-0000-000075000000}"/>
    <cellStyle name="_封閉型商圈日商_97年營業競賽提案報告書_97年營業競賽提案報告書_97年春節保全回收報告書" xfId="143" xr:uid="{00000000-0005-0000-0000-000076000000}"/>
    <cellStyle name="_封閉型商圈日商_97年營業競賽提案報告書_97年營業競賽提案報告書_97年春節保全回收報告書_1-晉欣鮮食廠-2012年春節作業體制" xfId="144" xr:uid="{00000000-0005-0000-0000-000077000000}"/>
    <cellStyle name="_封閉型商圈日商_97年營業競賽提案報告書_97年營業競賽提案報告書_97年春節保全回收報告書_Book1" xfId="145" xr:uid="{00000000-0005-0000-0000-000078000000}"/>
    <cellStyle name="_封閉型商圈日商_97年營業競賽提案報告書_97年營業競賽提案報告書_97年春節保全回收報告書_Book1_1-晉欣鮮食廠-2012年春節作業體制" xfId="146" xr:uid="{00000000-0005-0000-0000-000079000000}"/>
    <cellStyle name="_封閉型商圈日商_97年營業競賽提案報告書_97年營業競賽提案報告書_97年春節保全回收報告書_春節作業手冊-981217" xfId="147" xr:uid="{00000000-0005-0000-0000-00007A000000}"/>
    <cellStyle name="_封閉型商圈日商_97年營業競賽提案報告書_97年營業競賽提案報告書_97年春節保全回收報告書_春節作業手冊-981217_1-晉欣鮮食廠-2012年春節作業體制" xfId="148" xr:uid="{00000000-0005-0000-0000-00007B000000}"/>
    <cellStyle name="_封閉型商圈日商_97年營業競賽提案報告書_97年營業競賽提案報告書_97年營業競賽提案報告書" xfId="149" xr:uid="{00000000-0005-0000-0000-00007C000000}"/>
    <cellStyle name="_封閉型商圈日商_97年營業競賽提案報告書_97年營業競賽提案報告書_97年營業競賽提案報告書_1-晉欣鮮食廠-2012年春節作業體制" xfId="150" xr:uid="{00000000-0005-0000-0000-00007D000000}"/>
    <cellStyle name="_封閉型商圈日商_97年營業競賽提案報告書_97年營業競賽提案報告書_97年營業競賽提案報告書_97年春節保全回收報告書" xfId="151" xr:uid="{00000000-0005-0000-0000-00007E000000}"/>
    <cellStyle name="_封閉型商圈日商_97年營業競賽提案報告書_97年營業競賽提案報告書_97年營業競賽提案報告書_97年春節保全回收報告書_1-晉欣鮮食廠-2012年春節作業體制" xfId="152" xr:uid="{00000000-0005-0000-0000-00007F000000}"/>
    <cellStyle name="_封閉型商圈日商_97年營業競賽提案報告書_97年營業競賽提案報告書_97年營業競賽提案報告書_97年春節保全回收報告書_Book1" xfId="153" xr:uid="{00000000-0005-0000-0000-000080000000}"/>
    <cellStyle name="_封閉型商圈日商_97年營業競賽提案報告書_97年營業競賽提案報告書_97年營業競賽提案報告書_97年春節保全回收報告書_Book1_1-晉欣鮮食廠-2012年春節作業體制" xfId="154" xr:uid="{00000000-0005-0000-0000-000081000000}"/>
    <cellStyle name="_封閉型商圈日商_97年營業競賽提案報告書_97年營業競賽提案報告書_97年營業競賽提案報告書_97年春節保全回收報告書_春節作業手冊-981217" xfId="155" xr:uid="{00000000-0005-0000-0000-000082000000}"/>
    <cellStyle name="_封閉型商圈日商_97年營業競賽提案報告書_97年營業競賽提案報告書_97年營業競賽提案報告書_97年春節保全回收報告書_春節作業手冊-981217_1-晉欣鮮食廠-2012年春節作業體制" xfId="156" xr:uid="{00000000-0005-0000-0000-000083000000}"/>
    <cellStyle name="_封閉型商圈日商_97年營業競賽提案報告書_97年營業競賽提案報告書_97年營業競賽提案報告書_Book1" xfId="157" xr:uid="{00000000-0005-0000-0000-000084000000}"/>
    <cellStyle name="_封閉型商圈日商_97年營業競賽提案報告書_97年營業競賽提案報告書_97年營業競賽提案報告書_Book1_1-晉欣鮮食廠-2012年春節作業體制" xfId="158" xr:uid="{00000000-0005-0000-0000-000085000000}"/>
    <cellStyle name="_封閉型商圈日商_97年營業競賽提案報告書_97年營業競賽提案報告書_97年營業競賽提案報告書_春節作業手冊-981217" xfId="159" xr:uid="{00000000-0005-0000-0000-000086000000}"/>
    <cellStyle name="_封閉型商圈日商_97年營業競賽提案報告書_97年營業競賽提案報告書_97年營業競賽提案報告書_春節作業手冊-981217_1-晉欣鮮食廠-2012年春節作業體制" xfId="160" xr:uid="{00000000-0005-0000-0000-000087000000}"/>
    <cellStyle name="_封閉型商圈日商_97年營業競賽提案報告書_97年營業競賽提案報告書_Book1" xfId="161" xr:uid="{00000000-0005-0000-0000-000088000000}"/>
    <cellStyle name="_封閉型商圈日商_97年營業競賽提案報告書_97年營業競賽提案報告書_Book1_1-晉欣鮮食廠-2012年春節作業體制" xfId="162" xr:uid="{00000000-0005-0000-0000-000089000000}"/>
    <cellStyle name="_封閉型商圈日商_97年營業競賽提案報告書_97年營業競賽提案報告書_春節作業手冊-981217" xfId="163" xr:uid="{00000000-0005-0000-0000-00008A000000}"/>
    <cellStyle name="_封閉型商圈日商_97年營業競賽提案報告書_97年營業競賽提案報告書_春節作業手冊-981217_1-晉欣鮮食廠-2012年春節作業體制" xfId="164" xr:uid="{00000000-0005-0000-0000-00008B000000}"/>
    <cellStyle name="_封閉型商圈日商_97年營業競賽提案報告書_Book1" xfId="165" xr:uid="{00000000-0005-0000-0000-00008C000000}"/>
    <cellStyle name="_封閉型商圈日商_97年營業競賽提案報告書_Book1_1-晉欣鮮食廠-2012年春節作業體制" xfId="166" xr:uid="{00000000-0005-0000-0000-00008D000000}"/>
    <cellStyle name="_封閉型商圈日商_97年營業競賽提案報告書_春節作業手冊-981217" xfId="167" xr:uid="{00000000-0005-0000-0000-00008E000000}"/>
    <cellStyle name="_封閉型商圈日商_97年營業競賽提案報告書_春節作業手冊-981217_1-晉欣鮮食廠-2012年春節作業體制" xfId="168" xr:uid="{00000000-0005-0000-0000-00008F000000}"/>
    <cellStyle name="_封閉型商圈日商_Book1" xfId="169" xr:uid="{00000000-0005-0000-0000-000090000000}"/>
    <cellStyle name="_封閉型商圈日商_Book1_1-晉欣鮮食廠-2012年春節作業體制" xfId="170" xr:uid="{00000000-0005-0000-0000-000091000000}"/>
    <cellStyle name="_封閉型商圈日商_春節作業手冊-981217" xfId="171" xr:uid="{00000000-0005-0000-0000-000092000000}"/>
    <cellStyle name="_封閉型商圈日商_春節作業手冊-981217_1-晉欣鮮食廠-2012年春節作業體制" xfId="172" xr:uid="{00000000-0005-0000-0000-000093000000}"/>
    <cellStyle name="_封閉型商圈日商-1" xfId="173" xr:uid="{00000000-0005-0000-0000-000094000000}"/>
    <cellStyle name="_封閉型商圈日商-1_1-晉欣鮮食廠-2012年春節作業體制" xfId="174" xr:uid="{00000000-0005-0000-0000-000095000000}"/>
    <cellStyle name="_封閉型商圈日商-1_97年春節保全回收報告書" xfId="175" xr:uid="{00000000-0005-0000-0000-000096000000}"/>
    <cellStyle name="_封閉型商圈日商-1_97年春節保全回收報告書_1-晉欣鮮食廠-2012年春節作業體制" xfId="176" xr:uid="{00000000-0005-0000-0000-000097000000}"/>
    <cellStyle name="_封閉型商圈日商-1_97年春節保全回收報告書_Book1" xfId="177" xr:uid="{00000000-0005-0000-0000-000098000000}"/>
    <cellStyle name="_封閉型商圈日商-1_97年春節保全回收報告書_Book1_1-晉欣鮮食廠-2012年春節作業體制" xfId="178" xr:uid="{00000000-0005-0000-0000-000099000000}"/>
    <cellStyle name="_封閉型商圈日商-1_97年春節保全回收報告書_春節作業手冊-981217" xfId="179" xr:uid="{00000000-0005-0000-0000-00009A000000}"/>
    <cellStyle name="_封閉型商圈日商-1_97年春節保全回收報告書_春節作業手冊-981217_1-晉欣鮮食廠-2012年春節作業體制" xfId="180" xr:uid="{00000000-0005-0000-0000-00009B000000}"/>
    <cellStyle name="_封閉型商圈日商-1_97年營業競賽提案報告書" xfId="181" xr:uid="{00000000-0005-0000-0000-00009C000000}"/>
    <cellStyle name="_封閉型商圈日商-1_97年營業競賽提案報告書_1-晉欣鮮食廠-2012年春節作業體制" xfId="182" xr:uid="{00000000-0005-0000-0000-00009D000000}"/>
    <cellStyle name="_封閉型商圈日商-1_97年營業競賽提案報告書_97年春節保全回收報告書" xfId="183" xr:uid="{00000000-0005-0000-0000-00009E000000}"/>
    <cellStyle name="_封閉型商圈日商-1_97年營業競賽提案報告書_97年春節保全回收報告書_1-晉欣鮮食廠-2012年春節作業體制" xfId="184" xr:uid="{00000000-0005-0000-0000-00009F000000}"/>
    <cellStyle name="_封閉型商圈日商-1_97年營業競賽提案報告書_97年春節保全回收報告書_Book1" xfId="185" xr:uid="{00000000-0005-0000-0000-0000A0000000}"/>
    <cellStyle name="_封閉型商圈日商-1_97年營業競賽提案報告書_97年春節保全回收報告書_Book1_1-晉欣鮮食廠-2012年春節作業體制" xfId="186" xr:uid="{00000000-0005-0000-0000-0000A1000000}"/>
    <cellStyle name="_封閉型商圈日商-1_97年營業競賽提案報告書_97年春節保全回收報告書_春節作業手冊-981217" xfId="187" xr:uid="{00000000-0005-0000-0000-0000A2000000}"/>
    <cellStyle name="_封閉型商圈日商-1_97年營業競賽提案報告書_97年春節保全回收報告書_春節作業手冊-981217_1-晉欣鮮食廠-2012年春節作業體制" xfId="188" xr:uid="{00000000-0005-0000-0000-0000A3000000}"/>
    <cellStyle name="_封閉型商圈日商-1_97年營業競賽提案報告書_97年營業競賽提案報告書" xfId="189" xr:uid="{00000000-0005-0000-0000-0000A4000000}"/>
    <cellStyle name="_封閉型商圈日商-1_97年營業競賽提案報告書_97年營業競賽提案報告書_1-晉欣鮮食廠-2012年春節作業體制" xfId="190" xr:uid="{00000000-0005-0000-0000-0000A5000000}"/>
    <cellStyle name="_封閉型商圈日商-1_97年營業競賽提案報告書_97年營業競賽提案報告書_97年春節保全回收報告書" xfId="191" xr:uid="{00000000-0005-0000-0000-0000A6000000}"/>
    <cellStyle name="_封閉型商圈日商-1_97年營業競賽提案報告書_97年營業競賽提案報告書_97年春節保全回收報告書_1-晉欣鮮食廠-2012年春節作業體制" xfId="192" xr:uid="{00000000-0005-0000-0000-0000A7000000}"/>
    <cellStyle name="_封閉型商圈日商-1_97年營業競賽提案報告書_97年營業競賽提案報告書_97年春節保全回收報告書_Book1" xfId="193" xr:uid="{00000000-0005-0000-0000-0000A8000000}"/>
    <cellStyle name="_封閉型商圈日商-1_97年營業競賽提案報告書_97年營業競賽提案報告書_97年春節保全回收報告書_Book1_1-晉欣鮮食廠-2012年春節作業體制" xfId="194" xr:uid="{00000000-0005-0000-0000-0000A9000000}"/>
    <cellStyle name="_封閉型商圈日商-1_97年營業競賽提案報告書_97年營業競賽提案報告書_97年春節保全回收報告書_春節作業手冊-981217" xfId="195" xr:uid="{00000000-0005-0000-0000-0000AA000000}"/>
    <cellStyle name="_封閉型商圈日商-1_97年營業競賽提案報告書_97年營業競賽提案報告書_97年春節保全回收報告書_春節作業手冊-981217_1-晉欣鮮食廠-2012年春節作業體制" xfId="196" xr:uid="{00000000-0005-0000-0000-0000AB000000}"/>
    <cellStyle name="_封閉型商圈日商-1_97年營業競賽提案報告書_97年營業競賽提案報告書_97年營業競賽提案報告書" xfId="197" xr:uid="{00000000-0005-0000-0000-0000AC000000}"/>
    <cellStyle name="_封閉型商圈日商-1_97年營業競賽提案報告書_97年營業競賽提案報告書_97年營業競賽提案報告書_1-晉欣鮮食廠-2012年春節作業體制" xfId="198" xr:uid="{00000000-0005-0000-0000-0000AD000000}"/>
    <cellStyle name="_封閉型商圈日商-1_97年營業競賽提案報告書_97年營業競賽提案報告書_97年營業競賽提案報告書_97年春節保全回收報告書" xfId="199" xr:uid="{00000000-0005-0000-0000-0000AE000000}"/>
    <cellStyle name="_封閉型商圈日商-1_97年營業競賽提案報告書_97年營業競賽提案報告書_97年營業競賽提案報告書_97年春節保全回收報告書_1-晉欣鮮食廠-2012年春節作業體制" xfId="200" xr:uid="{00000000-0005-0000-0000-0000AF000000}"/>
    <cellStyle name="_封閉型商圈日商-1_97年營業競賽提案報告書_97年營業競賽提案報告書_97年營業競賽提案報告書_97年春節保全回收報告書_Book1" xfId="201" xr:uid="{00000000-0005-0000-0000-0000B0000000}"/>
    <cellStyle name="_封閉型商圈日商-1_97年營業競賽提案報告書_97年營業競賽提案報告書_97年營業競賽提案報告書_97年春節保全回收報告書_Book1_1-晉欣鮮食廠-2012年春節作業體制" xfId="202" xr:uid="{00000000-0005-0000-0000-0000B1000000}"/>
    <cellStyle name="_封閉型商圈日商-1_97年營業競賽提案報告書_97年營業競賽提案報告書_97年營業競賽提案報告書_97年春節保全回收報告書_春節作業手冊-981217" xfId="203" xr:uid="{00000000-0005-0000-0000-0000B2000000}"/>
    <cellStyle name="_封閉型商圈日商-1_97年營業競賽提案報告書_97年營業競賽提案報告書_97年營業競賽提案報告書_97年春節保全回收報告書_春節作業手冊-981217_1-晉欣鮮食廠-2012年春節作業體制" xfId="204" xr:uid="{00000000-0005-0000-0000-0000B3000000}"/>
    <cellStyle name="_封閉型商圈日商-1_97年營業競賽提案報告書_97年營業競賽提案報告書_97年營業競賽提案報告書_Book1" xfId="205" xr:uid="{00000000-0005-0000-0000-0000B4000000}"/>
    <cellStyle name="_封閉型商圈日商-1_97年營業競賽提案報告書_97年營業競賽提案報告書_97年營業競賽提案報告書_Book1_1-晉欣鮮食廠-2012年春節作業體制" xfId="206" xr:uid="{00000000-0005-0000-0000-0000B5000000}"/>
    <cellStyle name="_封閉型商圈日商-1_97年營業競賽提案報告書_97年營業競賽提案報告書_97年營業競賽提案報告書_春節作業手冊-981217" xfId="207" xr:uid="{00000000-0005-0000-0000-0000B6000000}"/>
    <cellStyle name="_封閉型商圈日商-1_97年營業競賽提案報告書_97年營業競賽提案報告書_97年營業競賽提案報告書_春節作業手冊-981217_1-晉欣鮮食廠-2012年春節作業體制" xfId="208" xr:uid="{00000000-0005-0000-0000-0000B7000000}"/>
    <cellStyle name="_封閉型商圈日商-1_97年營業競賽提案報告書_97年營業競賽提案報告書_Book1" xfId="209" xr:uid="{00000000-0005-0000-0000-0000B8000000}"/>
    <cellStyle name="_封閉型商圈日商-1_97年營業競賽提案報告書_97年營業競賽提案報告書_Book1_1-晉欣鮮食廠-2012年春節作業體制" xfId="210" xr:uid="{00000000-0005-0000-0000-0000B9000000}"/>
    <cellStyle name="_封閉型商圈日商-1_97年營業競賽提案報告書_97年營業競賽提案報告書_春節作業手冊-981217" xfId="211" xr:uid="{00000000-0005-0000-0000-0000BA000000}"/>
    <cellStyle name="_封閉型商圈日商-1_97年營業競賽提案報告書_97年營業競賽提案報告書_春節作業手冊-981217_1-晉欣鮮食廠-2012年春節作業體制" xfId="212" xr:uid="{00000000-0005-0000-0000-0000BB000000}"/>
    <cellStyle name="_封閉型商圈日商-1_97年營業競賽提案報告書_Book1" xfId="213" xr:uid="{00000000-0005-0000-0000-0000BC000000}"/>
    <cellStyle name="_封閉型商圈日商-1_97年營業競賽提案報告書_Book1_1-晉欣鮮食廠-2012年春節作業體制" xfId="214" xr:uid="{00000000-0005-0000-0000-0000BD000000}"/>
    <cellStyle name="_封閉型商圈日商-1_97年營業競賽提案報告書_春節作業手冊-981217" xfId="215" xr:uid="{00000000-0005-0000-0000-0000BE000000}"/>
    <cellStyle name="_封閉型商圈日商-1_97年營業競賽提案報告書_春節作業手冊-981217_1-晉欣鮮食廠-2012年春節作業體制" xfId="216" xr:uid="{00000000-0005-0000-0000-0000BF000000}"/>
    <cellStyle name="_封閉型商圈日商-1_Book1" xfId="217" xr:uid="{00000000-0005-0000-0000-0000C0000000}"/>
    <cellStyle name="_封閉型商圈日商-1_Book1_1-晉欣鮮食廠-2012年春節作業體制" xfId="218" xr:uid="{00000000-0005-0000-0000-0000C1000000}"/>
    <cellStyle name="_封閉型商圈日商-1_春節作業手冊-981217" xfId="219" xr:uid="{00000000-0005-0000-0000-0000C2000000}"/>
    <cellStyle name="_封閉型商圈日商-1_春節作業手冊-981217_1-晉欣鮮食廠-2012年春節作業體制" xfId="220" xr:uid="{00000000-0005-0000-0000-0000C3000000}"/>
    <cellStyle name="_封閉型商圈店舖明細" xfId="221" xr:uid="{00000000-0005-0000-0000-0000C4000000}"/>
    <cellStyle name="_封閉型商圈店舖明細_1-晉欣鮮食廠-2012年春節作業體制" xfId="222" xr:uid="{00000000-0005-0000-0000-0000C5000000}"/>
    <cellStyle name="_封閉型商圈店舖明細_97年春節保全回收報告書" xfId="223" xr:uid="{00000000-0005-0000-0000-0000C6000000}"/>
    <cellStyle name="_封閉型商圈店舖明細_97年春節保全回收報告書_1-晉欣鮮食廠-2012年春節作業體制" xfId="224" xr:uid="{00000000-0005-0000-0000-0000C7000000}"/>
    <cellStyle name="_封閉型商圈店舖明細_97年春節保全回收報告書_Book1" xfId="225" xr:uid="{00000000-0005-0000-0000-0000C8000000}"/>
    <cellStyle name="_封閉型商圈店舖明細_97年春節保全回收報告書_Book1_1-晉欣鮮食廠-2012年春節作業體制" xfId="226" xr:uid="{00000000-0005-0000-0000-0000C9000000}"/>
    <cellStyle name="_封閉型商圈店舖明細_97年春節保全回收報告書_春節作業手冊-981217" xfId="227" xr:uid="{00000000-0005-0000-0000-0000CA000000}"/>
    <cellStyle name="_封閉型商圈店舖明細_97年春節保全回收報告書_春節作業手冊-981217_1-晉欣鮮食廠-2012年春節作業體制" xfId="228" xr:uid="{00000000-0005-0000-0000-0000CB000000}"/>
    <cellStyle name="_封閉型商圈店舖明細_97年營業競賽提案報告書" xfId="229" xr:uid="{00000000-0005-0000-0000-0000CC000000}"/>
    <cellStyle name="_封閉型商圈店舖明細_97年營業競賽提案報告書_1-晉欣鮮食廠-2012年春節作業體制" xfId="230" xr:uid="{00000000-0005-0000-0000-0000CD000000}"/>
    <cellStyle name="_封閉型商圈店舖明細_97年營業競賽提案報告書_97年春節保全回收報告書" xfId="231" xr:uid="{00000000-0005-0000-0000-0000CE000000}"/>
    <cellStyle name="_封閉型商圈店舖明細_97年營業競賽提案報告書_97年春節保全回收報告書_1-晉欣鮮食廠-2012年春節作業體制" xfId="232" xr:uid="{00000000-0005-0000-0000-0000CF000000}"/>
    <cellStyle name="_封閉型商圈店舖明細_97年營業競賽提案報告書_97年春節保全回收報告書_Book1" xfId="233" xr:uid="{00000000-0005-0000-0000-0000D0000000}"/>
    <cellStyle name="_封閉型商圈店舖明細_97年營業競賽提案報告書_97年春節保全回收報告書_Book1_1-晉欣鮮食廠-2012年春節作業體制" xfId="234" xr:uid="{00000000-0005-0000-0000-0000D1000000}"/>
    <cellStyle name="_封閉型商圈店舖明細_97年營業競賽提案報告書_97年春節保全回收報告書_春節作業手冊-981217" xfId="235" xr:uid="{00000000-0005-0000-0000-0000D2000000}"/>
    <cellStyle name="_封閉型商圈店舖明細_97年營業競賽提案報告書_97年春節保全回收報告書_春節作業手冊-981217_1-晉欣鮮食廠-2012年春節作業體制" xfId="236" xr:uid="{00000000-0005-0000-0000-0000D3000000}"/>
    <cellStyle name="_封閉型商圈店舖明細_97年營業競賽提案報告書_97年營業競賽提案報告書" xfId="237" xr:uid="{00000000-0005-0000-0000-0000D4000000}"/>
    <cellStyle name="_封閉型商圈店舖明細_97年營業競賽提案報告書_97年營業競賽提案報告書_1-晉欣鮮食廠-2012年春節作業體制" xfId="238" xr:uid="{00000000-0005-0000-0000-0000D5000000}"/>
    <cellStyle name="_封閉型商圈店舖明細_97年營業競賽提案報告書_97年營業競賽提案報告書_97年春節保全回收報告書" xfId="239" xr:uid="{00000000-0005-0000-0000-0000D6000000}"/>
    <cellStyle name="_封閉型商圈店舖明細_97年營業競賽提案報告書_97年營業競賽提案報告書_97年春節保全回收報告書_1-晉欣鮮食廠-2012年春節作業體制" xfId="240" xr:uid="{00000000-0005-0000-0000-0000D7000000}"/>
    <cellStyle name="_封閉型商圈店舖明細_97年營業競賽提案報告書_97年營業競賽提案報告書_97年春節保全回收報告書_Book1" xfId="241" xr:uid="{00000000-0005-0000-0000-0000D8000000}"/>
    <cellStyle name="_封閉型商圈店舖明細_97年營業競賽提案報告書_97年營業競賽提案報告書_97年春節保全回收報告書_Book1_1-晉欣鮮食廠-2012年春節作業體制" xfId="242" xr:uid="{00000000-0005-0000-0000-0000D9000000}"/>
    <cellStyle name="_封閉型商圈店舖明細_97年營業競賽提案報告書_97年營業競賽提案報告書_97年春節保全回收報告書_春節作業手冊-981217" xfId="243" xr:uid="{00000000-0005-0000-0000-0000DA000000}"/>
    <cellStyle name="_封閉型商圈店舖明細_97年營業競賽提案報告書_97年營業競賽提案報告書_97年春節保全回收報告書_春節作業手冊-981217_1-晉欣鮮食廠-2012年春節作業體制" xfId="244" xr:uid="{00000000-0005-0000-0000-0000DB000000}"/>
    <cellStyle name="_封閉型商圈店舖明細_97年營業競賽提案報告書_97年營業競賽提案報告書_97年營業競賽提案報告書" xfId="245" xr:uid="{00000000-0005-0000-0000-0000DC000000}"/>
    <cellStyle name="_封閉型商圈店舖明細_97年營業競賽提案報告書_97年營業競賽提案報告書_97年營業競賽提案報告書_1-晉欣鮮食廠-2012年春節作業體制" xfId="246" xr:uid="{00000000-0005-0000-0000-0000DD000000}"/>
    <cellStyle name="_封閉型商圈店舖明細_97年營業競賽提案報告書_97年營業競賽提案報告書_97年營業競賽提案報告書_97年春節保全回收報告書" xfId="247" xr:uid="{00000000-0005-0000-0000-0000DE000000}"/>
    <cellStyle name="_封閉型商圈店舖明細_97年營業競賽提案報告書_97年營業競賽提案報告書_97年營業競賽提案報告書_97年春節保全回收報告書_1-晉欣鮮食廠-2012年春節作業體制" xfId="248" xr:uid="{00000000-0005-0000-0000-0000DF000000}"/>
    <cellStyle name="_封閉型商圈店舖明細_97年營業競賽提案報告書_97年營業競賽提案報告書_97年營業競賽提案報告書_97年春節保全回收報告書_Book1" xfId="249" xr:uid="{00000000-0005-0000-0000-0000E0000000}"/>
    <cellStyle name="_封閉型商圈店舖明細_97年營業競賽提案報告書_97年營業競賽提案報告書_97年營業競賽提案報告書_97年春節保全回收報告書_Book1_1-晉欣鮮食廠-2012年春節作業體制" xfId="250" xr:uid="{00000000-0005-0000-0000-0000E1000000}"/>
    <cellStyle name="_封閉型商圈店舖明細_97年營業競賽提案報告書_97年營業競賽提案報告書_97年營業競賽提案報告書_97年春節保全回收報告書_春節作業手冊-981217" xfId="251" xr:uid="{00000000-0005-0000-0000-0000E2000000}"/>
    <cellStyle name="_封閉型商圈店舖明細_97年營業競賽提案報告書_97年營業競賽提案報告書_97年營業競賽提案報告書_97年春節保全回收報告書_春節作業手冊-981217_1-晉欣鮮食廠-2012年春節作業體制" xfId="252" xr:uid="{00000000-0005-0000-0000-0000E3000000}"/>
    <cellStyle name="_封閉型商圈店舖明細_97年營業競賽提案報告書_97年營業競賽提案報告書_97年營業競賽提案報告書_Book1" xfId="253" xr:uid="{00000000-0005-0000-0000-0000E4000000}"/>
    <cellStyle name="_封閉型商圈店舖明細_97年營業競賽提案報告書_97年營業競賽提案報告書_97年營業競賽提案報告書_Book1_1-晉欣鮮食廠-2012年春節作業體制" xfId="254" xr:uid="{00000000-0005-0000-0000-0000E5000000}"/>
    <cellStyle name="_封閉型商圈店舖明細_97年營業競賽提案報告書_97年營業競賽提案報告書_97年營業競賽提案報告書_春節作業手冊-981217" xfId="255" xr:uid="{00000000-0005-0000-0000-0000E6000000}"/>
    <cellStyle name="_封閉型商圈店舖明細_97年營業競賽提案報告書_97年營業競賽提案報告書_97年營業競賽提案報告書_春節作業手冊-981217_1-晉欣鮮食廠-2012年春節作業體制" xfId="256" xr:uid="{00000000-0005-0000-0000-0000E7000000}"/>
    <cellStyle name="_封閉型商圈店舖明細_97年營業競賽提案報告書_97年營業競賽提案報告書_Book1" xfId="257" xr:uid="{00000000-0005-0000-0000-0000E8000000}"/>
    <cellStyle name="_封閉型商圈店舖明細_97年營業競賽提案報告書_97年營業競賽提案報告書_Book1_1-晉欣鮮食廠-2012年春節作業體制" xfId="258" xr:uid="{00000000-0005-0000-0000-0000E9000000}"/>
    <cellStyle name="_封閉型商圈店舖明細_97年營業競賽提案報告書_97年營業競賽提案報告書_春節作業手冊-981217" xfId="259" xr:uid="{00000000-0005-0000-0000-0000EA000000}"/>
    <cellStyle name="_封閉型商圈店舖明細_97年營業競賽提案報告書_97年營業競賽提案報告書_春節作業手冊-981217_1-晉欣鮮食廠-2012年春節作業體制" xfId="260" xr:uid="{00000000-0005-0000-0000-0000EB000000}"/>
    <cellStyle name="_封閉型商圈店舖明細_97年營業競賽提案報告書_Book1" xfId="261" xr:uid="{00000000-0005-0000-0000-0000EC000000}"/>
    <cellStyle name="_封閉型商圈店舖明細_97年營業競賽提案報告書_Book1_1-晉欣鮮食廠-2012年春節作業體制" xfId="262" xr:uid="{00000000-0005-0000-0000-0000ED000000}"/>
    <cellStyle name="_封閉型商圈店舖明細_97年營業競賽提案報告書_春節作業手冊-981217" xfId="263" xr:uid="{00000000-0005-0000-0000-0000EE000000}"/>
    <cellStyle name="_封閉型商圈店舖明細_97年營業競賽提案報告書_春節作業手冊-981217_1-晉欣鮮食廠-2012年春節作業體制" xfId="264" xr:uid="{00000000-0005-0000-0000-0000EF000000}"/>
    <cellStyle name="_封閉型商圈店舖明細_Book1" xfId="265" xr:uid="{00000000-0005-0000-0000-0000F0000000}"/>
    <cellStyle name="_封閉型商圈店舖明細_Book1_1-晉欣鮮食廠-2012年春節作業體制" xfId="266" xr:uid="{00000000-0005-0000-0000-0000F1000000}"/>
    <cellStyle name="_封閉型商圈店舖明細_春節作業手冊-981217" xfId="267" xr:uid="{00000000-0005-0000-0000-0000F2000000}"/>
    <cellStyle name="_封閉型商圈店舖明細_春節作業手冊-981217_1-晉欣鮮食廠-2012年春節作業體制" xfId="268" xr:uid="{00000000-0005-0000-0000-0000F3000000}"/>
    <cellStyle name="_封閉型商圈建議台整品項" xfId="269" xr:uid="{00000000-0005-0000-0000-0000F4000000}"/>
    <cellStyle name="_封閉型商圈建議台整品項_1-晉欣鮮食廠-2012年春節作業體制" xfId="270" xr:uid="{00000000-0005-0000-0000-0000F5000000}"/>
    <cellStyle name="_封閉型商圈建議台整品項_97年春節保全回收報告書" xfId="271" xr:uid="{00000000-0005-0000-0000-0000F6000000}"/>
    <cellStyle name="_封閉型商圈建議台整品項_97年春節保全回收報告書_1-晉欣鮮食廠-2012年春節作業體制" xfId="272" xr:uid="{00000000-0005-0000-0000-0000F7000000}"/>
    <cellStyle name="_封閉型商圈建議台整品項_97年春節保全回收報告書_Book1" xfId="273" xr:uid="{00000000-0005-0000-0000-0000F8000000}"/>
    <cellStyle name="_封閉型商圈建議台整品項_97年春節保全回收報告書_Book1_1-晉欣鮮食廠-2012年春節作業體制" xfId="274" xr:uid="{00000000-0005-0000-0000-0000F9000000}"/>
    <cellStyle name="_封閉型商圈建議台整品項_97年春節保全回收報告書_春節作業手冊-981217" xfId="275" xr:uid="{00000000-0005-0000-0000-0000FA000000}"/>
    <cellStyle name="_封閉型商圈建議台整品項_97年春節保全回收報告書_春節作業手冊-981217_1-晉欣鮮食廠-2012年春節作業體制" xfId="276" xr:uid="{00000000-0005-0000-0000-0000FB000000}"/>
    <cellStyle name="_封閉型商圈建議台整品項_97年營業競賽提案報告書" xfId="277" xr:uid="{00000000-0005-0000-0000-0000FC000000}"/>
    <cellStyle name="_封閉型商圈建議台整品項_97年營業競賽提案報告書_1-晉欣鮮食廠-2012年春節作業體制" xfId="278" xr:uid="{00000000-0005-0000-0000-0000FD000000}"/>
    <cellStyle name="_封閉型商圈建議台整品項_97年營業競賽提案報告書_97年春節保全回收報告書" xfId="279" xr:uid="{00000000-0005-0000-0000-0000FE000000}"/>
    <cellStyle name="_封閉型商圈建議台整品項_97年營業競賽提案報告書_97年春節保全回收報告書_1-晉欣鮮食廠-2012年春節作業體制" xfId="280" xr:uid="{00000000-0005-0000-0000-0000FF000000}"/>
    <cellStyle name="_封閉型商圈建議台整品項_97年營業競賽提案報告書_97年春節保全回收報告書_Book1" xfId="281" xr:uid="{00000000-0005-0000-0000-000000010000}"/>
    <cellStyle name="_封閉型商圈建議台整品項_97年營業競賽提案報告書_97年春節保全回收報告書_Book1_1-晉欣鮮食廠-2012年春節作業體制" xfId="282" xr:uid="{00000000-0005-0000-0000-000001010000}"/>
    <cellStyle name="_封閉型商圈建議台整品項_97年營業競賽提案報告書_97年春節保全回收報告書_春節作業手冊-981217" xfId="283" xr:uid="{00000000-0005-0000-0000-000002010000}"/>
    <cellStyle name="_封閉型商圈建議台整品項_97年營業競賽提案報告書_97年春節保全回收報告書_春節作業手冊-981217_1-晉欣鮮食廠-2012年春節作業體制" xfId="284" xr:uid="{00000000-0005-0000-0000-000003010000}"/>
    <cellStyle name="_封閉型商圈建議台整品項_97年營業競賽提案報告書_97年營業競賽提案報告書" xfId="285" xr:uid="{00000000-0005-0000-0000-000004010000}"/>
    <cellStyle name="_封閉型商圈建議台整品項_97年營業競賽提案報告書_97年營業競賽提案報告書_1-晉欣鮮食廠-2012年春節作業體制" xfId="286" xr:uid="{00000000-0005-0000-0000-000005010000}"/>
    <cellStyle name="_封閉型商圈建議台整品項_97年營業競賽提案報告書_97年營業競賽提案報告書_97年春節保全回收報告書" xfId="287" xr:uid="{00000000-0005-0000-0000-000006010000}"/>
    <cellStyle name="_封閉型商圈建議台整品項_97年營業競賽提案報告書_97年營業競賽提案報告書_97年春節保全回收報告書_1-晉欣鮮食廠-2012年春節作業體制" xfId="288" xr:uid="{00000000-0005-0000-0000-000007010000}"/>
    <cellStyle name="_封閉型商圈建議台整品項_97年營業競賽提案報告書_97年營業競賽提案報告書_97年春節保全回收報告書_Book1" xfId="289" xr:uid="{00000000-0005-0000-0000-000008010000}"/>
    <cellStyle name="_封閉型商圈建議台整品項_97年營業競賽提案報告書_97年營業競賽提案報告書_97年春節保全回收報告書_Book1_1-晉欣鮮食廠-2012年春節作業體制" xfId="290" xr:uid="{00000000-0005-0000-0000-000009010000}"/>
    <cellStyle name="_封閉型商圈建議台整品項_97年營業競賽提案報告書_97年營業競賽提案報告書_97年春節保全回收報告書_春節作業手冊-981217" xfId="291" xr:uid="{00000000-0005-0000-0000-00000A010000}"/>
    <cellStyle name="_封閉型商圈建議台整品項_97年營業競賽提案報告書_97年營業競賽提案報告書_97年春節保全回收報告書_春節作業手冊-981217_1-晉欣鮮食廠-2012年春節作業體制" xfId="292" xr:uid="{00000000-0005-0000-0000-00000B010000}"/>
    <cellStyle name="_封閉型商圈建議台整品項_97年營業競賽提案報告書_97年營業競賽提案報告書_97年營業競賽提案報告書" xfId="293" xr:uid="{00000000-0005-0000-0000-00000C010000}"/>
    <cellStyle name="_封閉型商圈建議台整品項_97年營業競賽提案報告書_97年營業競賽提案報告書_97年營業競賽提案報告書_1-晉欣鮮食廠-2012年春節作業體制" xfId="294" xr:uid="{00000000-0005-0000-0000-00000D010000}"/>
    <cellStyle name="_封閉型商圈建議台整品項_97年營業競賽提案報告書_97年營業競賽提案報告書_97年營業競賽提案報告書_97年春節保全回收報告書" xfId="295" xr:uid="{00000000-0005-0000-0000-00000E010000}"/>
    <cellStyle name="_封閉型商圈建議台整品項_97年營業競賽提案報告書_97年營業競賽提案報告書_97年營業競賽提案報告書_97年春節保全回收報告書_1-晉欣鮮食廠-2012年春節作業體制" xfId="296" xr:uid="{00000000-0005-0000-0000-00000F010000}"/>
    <cellStyle name="_封閉型商圈建議台整品項_97年營業競賽提案報告書_97年營業競賽提案報告書_97年營業競賽提案報告書_97年春節保全回收報告書_Book1" xfId="297" xr:uid="{00000000-0005-0000-0000-000010010000}"/>
    <cellStyle name="_封閉型商圈建議台整品項_97年營業競賽提案報告書_97年營業競賽提案報告書_97年營業競賽提案報告書_97年春節保全回收報告書_Book1_1-晉欣鮮食廠-2012年春節作業體制" xfId="298" xr:uid="{00000000-0005-0000-0000-000011010000}"/>
    <cellStyle name="_封閉型商圈建議台整品項_97年營業競賽提案報告書_97年營業競賽提案報告書_97年營業競賽提案報告書_97年春節保全回收報告書_春節作業手冊-981217" xfId="299" xr:uid="{00000000-0005-0000-0000-000012010000}"/>
    <cellStyle name="_封閉型商圈建議台整品項_97年營業競賽提案報告書_97年營業競賽提案報告書_97年營業競賽提案報告書_97年春節保全回收報告書_春節作業手冊-981217_1-晉欣鮮食廠-2012年春節作業體制" xfId="300" xr:uid="{00000000-0005-0000-0000-000013010000}"/>
    <cellStyle name="_封閉型商圈建議台整品項_97年營業競賽提案報告書_97年營業競賽提案報告書_97年營業競賽提案報告書_Book1" xfId="301" xr:uid="{00000000-0005-0000-0000-000014010000}"/>
    <cellStyle name="_封閉型商圈建議台整品項_97年營業競賽提案報告書_97年營業競賽提案報告書_97年營業競賽提案報告書_Book1_1-晉欣鮮食廠-2012年春節作業體制" xfId="302" xr:uid="{00000000-0005-0000-0000-000015010000}"/>
    <cellStyle name="_封閉型商圈建議台整品項_97年營業競賽提案報告書_97年營業競賽提案報告書_97年營業競賽提案報告書_春節作業手冊-981217" xfId="303" xr:uid="{00000000-0005-0000-0000-000016010000}"/>
    <cellStyle name="_封閉型商圈建議台整品項_97年營業競賽提案報告書_97年營業競賽提案報告書_97年營業競賽提案報告書_春節作業手冊-981217_1-晉欣鮮食廠-2012年春節作業體制" xfId="304" xr:uid="{00000000-0005-0000-0000-000017010000}"/>
    <cellStyle name="_封閉型商圈建議台整品項_97年營業競賽提案報告書_97年營業競賽提案報告書_Book1" xfId="305" xr:uid="{00000000-0005-0000-0000-000018010000}"/>
    <cellStyle name="_封閉型商圈建議台整品項_97年營業競賽提案報告書_97年營業競賽提案報告書_Book1_1-晉欣鮮食廠-2012年春節作業體制" xfId="306" xr:uid="{00000000-0005-0000-0000-000019010000}"/>
    <cellStyle name="_封閉型商圈建議台整品項_97年營業競賽提案報告書_97年營業競賽提案報告書_春節作業手冊-981217" xfId="307" xr:uid="{00000000-0005-0000-0000-00001A010000}"/>
    <cellStyle name="_封閉型商圈建議台整品項_97年營業競賽提案報告書_97年營業競賽提案報告書_春節作業手冊-981217_1-晉欣鮮食廠-2012年春節作業體制" xfId="308" xr:uid="{00000000-0005-0000-0000-00001B010000}"/>
    <cellStyle name="_封閉型商圈建議台整品項_97年營業競賽提案報告書_Book1" xfId="309" xr:uid="{00000000-0005-0000-0000-00001C010000}"/>
    <cellStyle name="_封閉型商圈建議台整品項_97年營業競賽提案報告書_Book1_1-晉欣鮮食廠-2012年春節作業體制" xfId="310" xr:uid="{00000000-0005-0000-0000-00001D010000}"/>
    <cellStyle name="_封閉型商圈建議台整品項_97年營業競賽提案報告書_春節作業手冊-981217" xfId="311" xr:uid="{00000000-0005-0000-0000-00001E010000}"/>
    <cellStyle name="_封閉型商圈建議台整品項_97年營業競賽提案報告書_春節作業手冊-981217_1-晉欣鮮食廠-2012年春節作業體制" xfId="312" xr:uid="{00000000-0005-0000-0000-00001F010000}"/>
    <cellStyle name="_封閉型商圈建議台整品項_Book1" xfId="313" xr:uid="{00000000-0005-0000-0000-000020010000}"/>
    <cellStyle name="_封閉型商圈建議台整品項_Book1_1-晉欣鮮食廠-2012年春節作業體制" xfId="314" xr:uid="{00000000-0005-0000-0000-000021010000}"/>
    <cellStyle name="_封閉型商圈建議台整品項_春節作業手冊-981217" xfId="315" xr:uid="{00000000-0005-0000-0000-000022010000}"/>
    <cellStyle name="_封閉型商圈建議台整品項_春節作業手冊-981217_1-晉欣鮮食廠-2012年春節作業體制" xfId="316" xr:uid="{00000000-0005-0000-0000-000023010000}"/>
    <cellStyle name="_樂清9507租賃用品申請" xfId="317" xr:uid="{00000000-0005-0000-0000-000024010000}"/>
    <cellStyle name="_樂清9507租賃用品申請_1-晉欣鮮食廠-2012年春節作業體制" xfId="318" xr:uid="{00000000-0005-0000-0000-000025010000}"/>
    <cellStyle name="_樂清9507租賃用品申請_96年月餅預購競賽獎勵案" xfId="319" xr:uid="{00000000-0005-0000-0000-000026010000}"/>
    <cellStyle name="_樂清9507租賃用品申請_96年月餅預購競賽獎勵案_1-晉欣鮮食廠-2012年春節作業體制" xfId="320" xr:uid="{00000000-0005-0000-0000-000027010000}"/>
    <cellStyle name="_樂清9507租賃用品申請_96年月餅預購競賽獎勵案_96年月餅預購競賽獎勵案" xfId="321" xr:uid="{00000000-0005-0000-0000-000028010000}"/>
    <cellStyle name="_樂清9507租賃用品申請_96年月餅預購競賽獎勵案_96年月餅預購競賽獎勵案_1-晉欣鮮食廠-2012年春節作業體制" xfId="322" xr:uid="{00000000-0005-0000-0000-000029010000}"/>
    <cellStyle name="_樂清9507租賃用品申請_96年月餅預購競賽獎勵案_96年月餅預購競賽獎勵案_97年春節保全回收報告書" xfId="323" xr:uid="{00000000-0005-0000-0000-00002A010000}"/>
    <cellStyle name="_樂清9507租賃用品申請_96年月餅預購競賽獎勵案_96年月餅預購競賽獎勵案_97年春節保全回收報告書_1-晉欣鮮食廠-2012年春節作業體制" xfId="324" xr:uid="{00000000-0005-0000-0000-00002B010000}"/>
    <cellStyle name="_樂清9507租賃用品申請_96年月餅預購競賽獎勵案_96年月餅預購競賽獎勵案_97年春節保全回收報告書_Book1" xfId="325" xr:uid="{00000000-0005-0000-0000-00002C010000}"/>
    <cellStyle name="_樂清9507租賃用品申請_96年月餅預購競賽獎勵案_96年月餅預購競賽獎勵案_97年春節保全回收報告書_Book1_1-晉欣鮮食廠-2012年春節作業體制" xfId="326" xr:uid="{00000000-0005-0000-0000-00002D010000}"/>
    <cellStyle name="_樂清9507租賃用品申請_96年月餅預購競賽獎勵案_96年月餅預購競賽獎勵案_97年春節保全回收報告書_春節作業手冊-981217" xfId="327" xr:uid="{00000000-0005-0000-0000-00002E010000}"/>
    <cellStyle name="_樂清9507租賃用品申請_96年月餅預購競賽獎勵案_96年月餅預購競賽獎勵案_97年春節保全回收報告書_春節作業手冊-981217_1-晉欣鮮食廠-2012年春節作業體制" xfId="328" xr:uid="{00000000-0005-0000-0000-00002F010000}"/>
    <cellStyle name="_樂清9507租賃用品申請_96年月餅預購競賽獎勵案_96年月餅預購競賽獎勵案_97年營業競賽提案報告書" xfId="329" xr:uid="{00000000-0005-0000-0000-000030010000}"/>
    <cellStyle name="_樂清9507租賃用品申請_96年月餅預購競賽獎勵案_96年月餅預購競賽獎勵案_97年營業競賽提案報告書_1-晉欣鮮食廠-2012年春節作業體制" xfId="330" xr:uid="{00000000-0005-0000-0000-000031010000}"/>
    <cellStyle name="_樂清9507租賃用品申請_96年月餅預購競賽獎勵案_96年月餅預購競賽獎勵案_97年營業競賽提案報告書_97年春節保全回收報告書" xfId="331" xr:uid="{00000000-0005-0000-0000-000032010000}"/>
    <cellStyle name="_樂清9507租賃用品申請_96年月餅預購競賽獎勵案_96年月餅預購競賽獎勵案_97年營業競賽提案報告書_97年春節保全回收報告書_1-晉欣鮮食廠-2012年春節作業體制" xfId="332" xr:uid="{00000000-0005-0000-0000-000033010000}"/>
    <cellStyle name="_樂清9507租賃用品申請_96年月餅預購競賽獎勵案_96年月餅預購競賽獎勵案_97年營業競賽提案報告書_97年春節保全回收報告書_Book1" xfId="333" xr:uid="{00000000-0005-0000-0000-000034010000}"/>
    <cellStyle name="_樂清9507租賃用品申請_96年月餅預購競賽獎勵案_96年月餅預購競賽獎勵案_97年營業競賽提案報告書_97年春節保全回收報告書_Book1_1-晉欣鮮食廠-2012年春節作業體制" xfId="334" xr:uid="{00000000-0005-0000-0000-000035010000}"/>
    <cellStyle name="_樂清9507租賃用品申請_96年月餅預購競賽獎勵案_96年月餅預購競賽獎勵案_97年營業競賽提案報告書_97年春節保全回收報告書_春節作業手冊-981217" xfId="335" xr:uid="{00000000-0005-0000-0000-000036010000}"/>
    <cellStyle name="_樂清9507租賃用品申請_96年月餅預購競賽獎勵案_96年月餅預購競賽獎勵案_97年營業競賽提案報告書_97年春節保全回收報告書_春節作業手冊-981217_1-晉欣鮮食廠-2012年春節作業體制" xfId="336" xr:uid="{00000000-0005-0000-0000-000037010000}"/>
    <cellStyle name="_樂清9507租賃用品申請_96年月餅預購競賽獎勵案_96年月餅預購競賽獎勵案_97年營業競賽提案報告書_97年營業競賽提案報告書" xfId="337" xr:uid="{00000000-0005-0000-0000-000038010000}"/>
    <cellStyle name="_樂清9507租賃用品申請_96年月餅預購競賽獎勵案_96年月餅預購競賽獎勵案_97年營業競賽提案報告書_97年營業競賽提案報告書_1-晉欣鮮食廠-2012年春節作業體制" xfId="338" xr:uid="{00000000-0005-0000-0000-000039010000}"/>
    <cellStyle name="_樂清9507租賃用品申請_96年月餅預購競賽獎勵案_96年月餅預購競賽獎勵案_97年營業競賽提案報告書_97年營業競賽提案報告書_97年春節保全回收報告書" xfId="339" xr:uid="{00000000-0005-0000-0000-00003A010000}"/>
    <cellStyle name="_樂清9507租賃用品申請_96年月餅預購競賽獎勵案_96年月餅預購競賽獎勵案_97年營業競賽提案報告書_97年營業競賽提案報告書_97年春節保全回收報告書_1-晉欣鮮食廠-2012年春節作業體制" xfId="340" xr:uid="{00000000-0005-0000-0000-00003B010000}"/>
    <cellStyle name="_樂清9507租賃用品申請_96年月餅預購競賽獎勵案_96年月餅預購競賽獎勵案_97年營業競賽提案報告書_97年營業競賽提案報告書_97年春節保全回收報告書_Book1" xfId="341" xr:uid="{00000000-0005-0000-0000-00003C010000}"/>
    <cellStyle name="_樂清9507租賃用品申請_96年月餅預購競賽獎勵案_96年月餅預購競賽獎勵案_97年營業競賽提案報告書_97年營業競賽提案報告書_97年春節保全回收報告書_Book1_1-晉欣鮮食廠-2012年春節作業體制" xfId="342" xr:uid="{00000000-0005-0000-0000-00003D010000}"/>
    <cellStyle name="_樂清9507租賃用品申請_96年月餅預購競賽獎勵案_96年月餅預購競賽獎勵案_97年營業競賽提案報告書_97年營業競賽提案報告書_97年春節保全回收報告書_春節作業手冊-981217" xfId="343" xr:uid="{00000000-0005-0000-0000-00003E010000}"/>
    <cellStyle name="_樂清9507租賃用品申請_96年月餅預購競賽獎勵案_96年月餅預購競賽獎勵案_97年營業競賽提案報告書_97年營業競賽提案報告書_97年春節保全回收報告書_春節作業手冊-981217_1-晉欣鮮食廠-2012年春節作業體制" xfId="344" xr:uid="{00000000-0005-0000-0000-00003F010000}"/>
    <cellStyle name="_樂清9507租賃用品申請_96年月餅預購競賽獎勵案_96年月餅預購競賽獎勵案_97年營業競賽提案報告書_97年營業競賽提案報告書_97年營業競賽提案報告書" xfId="345" xr:uid="{00000000-0005-0000-0000-000040010000}"/>
    <cellStyle name="_樂清9507租賃用品申請_96年月餅預購競賽獎勵案_96年月餅預購競賽獎勵案_97年營業競賽提案報告書_97年營業競賽提案報告書_97年營業競賽提案報告書_1-晉欣鮮食廠-2012年春節作業體制" xfId="346" xr:uid="{00000000-0005-0000-0000-000041010000}"/>
    <cellStyle name="_樂清9507租賃用品申請_96年月餅預購競賽獎勵案_96年月餅預購競賽獎勵案_97年營業競賽提案報告書_97年營業競賽提案報告書_97年營業競賽提案報告書_97年春節保全回收報告書" xfId="347" xr:uid="{00000000-0005-0000-0000-000042010000}"/>
    <cellStyle name="_樂清9507租賃用品申請_96年月餅預購競賽獎勵案_96年月餅預購競賽獎勵案_97年營業競賽提案報告書_97年營業競賽提案報告書_97年營業競賽提案報告書_97年春節保全回收報告書_1-晉欣鮮食廠-2012年春節作業體制" xfId="348" xr:uid="{00000000-0005-0000-0000-000043010000}"/>
    <cellStyle name="_樂清9507租賃用品申請_96年月餅預購競賽獎勵案_96年月餅預購競賽獎勵案_97年營業競賽提案報告書_97年營業競賽提案報告書_97年營業競賽提案報告書_97年春節保全回收報告書_Book1" xfId="349" xr:uid="{00000000-0005-0000-0000-000044010000}"/>
    <cellStyle name="_樂清9507租賃用品申請_96年月餅預購競賽獎勵案_96年月餅預購競賽獎勵案_97年營業競賽提案報告書_97年營業競賽提案報告書_97年營業競賽提案報告書_97年春節保全回收報告書_Book1_1-晉欣鮮食廠-2012年春節作業體制" xfId="350" xr:uid="{00000000-0005-0000-0000-000045010000}"/>
    <cellStyle name="_樂清9507租賃用品申請_96年月餅預購競賽獎勵案_96年月餅預購競賽獎勵案_97年營業競賽提案報告書_97年營業競賽提案報告書_97年營業競賽提案報告書_97年春節保全回收報告書_春節作業手冊-981217" xfId="351" xr:uid="{00000000-0005-0000-0000-000046010000}"/>
    <cellStyle name="_樂清9507租賃用品申請_96年月餅預購競賽獎勵案_96年月餅預購競賽獎勵案_97年營業競賽提案報告書_97年營業競賽提案報告書_97年營業競賽提案報告書_97年春節保全回收報告書_春節作業手冊-981217_1-晉欣鮮食廠-2012年春節作業體制" xfId="352" xr:uid="{00000000-0005-0000-0000-000047010000}"/>
    <cellStyle name="_樂清9507租賃用品申請_96年月餅預購競賽獎勵案_96年月餅預購競賽獎勵案_97年營業競賽提案報告書_97年營業競賽提案報告書_97年營業競賽提案報告書_Book1" xfId="353" xr:uid="{00000000-0005-0000-0000-000048010000}"/>
    <cellStyle name="_樂清9507租賃用品申請_96年月餅預購競賽獎勵案_96年月餅預購競賽獎勵案_97年營業競賽提案報告書_97年營業競賽提案報告書_97年營業競賽提案報告書_Book1_1-晉欣鮮食廠-2012年春節作業體制" xfId="354" xr:uid="{00000000-0005-0000-0000-000049010000}"/>
    <cellStyle name="_樂清9507租賃用品申請_96年月餅預購競賽獎勵案_96年月餅預購競賽獎勵案_97年營業競賽提案報告書_97年營業競賽提案報告書_97年營業競賽提案報告書_春節作業手冊-981217" xfId="355" xr:uid="{00000000-0005-0000-0000-00004A010000}"/>
    <cellStyle name="_樂清9507租賃用品申請_96年月餅預購競賽獎勵案_96年月餅預購競賽獎勵案_97年營業競賽提案報告書_97年營業競賽提案報告書_97年營業競賽提案報告書_春節作業手冊-981217_1-晉欣鮮食廠-2012年春節作業體制" xfId="356" xr:uid="{00000000-0005-0000-0000-00004B010000}"/>
    <cellStyle name="_樂清9507租賃用品申請_96年月餅預購競賽獎勵案_96年月餅預購競賽獎勵案_97年營業競賽提案報告書_97年營業競賽提案報告書_Book1" xfId="357" xr:uid="{00000000-0005-0000-0000-00004C010000}"/>
    <cellStyle name="_樂清9507租賃用品申請_96年月餅預購競賽獎勵案_96年月餅預購競賽獎勵案_97年營業競賽提案報告書_97年營業競賽提案報告書_Book1_1-晉欣鮮食廠-2012年春節作業體制" xfId="358" xr:uid="{00000000-0005-0000-0000-00004D010000}"/>
    <cellStyle name="_樂清9507租賃用品申請_96年月餅預購競賽獎勵案_96年月餅預購競賽獎勵案_97年營業競賽提案報告書_97年營業競賽提案報告書_春節作業手冊-981217" xfId="359" xr:uid="{00000000-0005-0000-0000-00004E010000}"/>
    <cellStyle name="_樂清9507租賃用品申請_96年月餅預購競賽獎勵案_96年月餅預購競賽獎勵案_97年營業競賽提案報告書_97年營業競賽提案報告書_春節作業手冊-981217_1-晉欣鮮食廠-2012年春節作業體制" xfId="360" xr:uid="{00000000-0005-0000-0000-00004F010000}"/>
    <cellStyle name="_樂清9507租賃用品申請_96年月餅預購競賽獎勵案_96年月餅預購競賽獎勵案_97年營業競賽提案報告書_Book1" xfId="361" xr:uid="{00000000-0005-0000-0000-000050010000}"/>
    <cellStyle name="_樂清9507租賃用品申請_96年月餅預購競賽獎勵案_96年月餅預購競賽獎勵案_97年營業競賽提案報告書_Book1_1-晉欣鮮食廠-2012年春節作業體制" xfId="362" xr:uid="{00000000-0005-0000-0000-000051010000}"/>
    <cellStyle name="_樂清9507租賃用品申請_96年月餅預購競賽獎勵案_96年月餅預購競賽獎勵案_97年營業競賽提案報告書_春節作業手冊-981217" xfId="363" xr:uid="{00000000-0005-0000-0000-000052010000}"/>
    <cellStyle name="_樂清9507租賃用品申請_96年月餅預購競賽獎勵案_96年月餅預購競賽獎勵案_97年營業競賽提案報告書_春節作業手冊-981217_1-晉欣鮮食廠-2012年春節作業體制" xfId="364" xr:uid="{00000000-0005-0000-0000-000053010000}"/>
    <cellStyle name="_樂清9507租賃用品申請_96年月餅預購競賽獎勵案_96年月餅預購競賽獎勵案_Book1" xfId="365" xr:uid="{00000000-0005-0000-0000-000054010000}"/>
    <cellStyle name="_樂清9507租賃用品申請_96年月餅預購競賽獎勵案_96年月餅預購競賽獎勵案_Book1_1-晉欣鮮食廠-2012年春節作業體制" xfId="366" xr:uid="{00000000-0005-0000-0000-000055010000}"/>
    <cellStyle name="_樂清9507租賃用品申請_96年月餅預購競賽獎勵案_96年月餅預購競賽獎勵案_春節作業手冊-981217" xfId="367" xr:uid="{00000000-0005-0000-0000-000056010000}"/>
    <cellStyle name="_樂清9507租賃用品申請_96年月餅預購競賽獎勵案_96年月餅預購競賽獎勵案_春節作業手冊-981217_1-晉欣鮮食廠-2012年春節作業體制" xfId="368" xr:uid="{00000000-0005-0000-0000-000057010000}"/>
    <cellStyle name="_樂清9507租賃用品申請_96年月餅預購競賽獎勵案_97年春節保全回收報告書" xfId="369" xr:uid="{00000000-0005-0000-0000-000058010000}"/>
    <cellStyle name="_樂清9507租賃用品申請_96年月餅預購競賽獎勵案_97年春節保全回收報告書_1-晉欣鮮食廠-2012年春節作業體制" xfId="370" xr:uid="{00000000-0005-0000-0000-000059010000}"/>
    <cellStyle name="_樂清9507租賃用品申請_96年月餅預購競賽獎勵案_97年春節保全回收報告書_Book1" xfId="371" xr:uid="{00000000-0005-0000-0000-00005A010000}"/>
    <cellStyle name="_樂清9507租賃用品申請_96年月餅預購競賽獎勵案_97年春節保全回收報告書_Book1_1-晉欣鮮食廠-2012年春節作業體制" xfId="372" xr:uid="{00000000-0005-0000-0000-00005B010000}"/>
    <cellStyle name="_樂清9507租賃用品申請_96年月餅預購競賽獎勵案_97年春節保全回收報告書_春節作業手冊-981217" xfId="373" xr:uid="{00000000-0005-0000-0000-00005C010000}"/>
    <cellStyle name="_樂清9507租賃用品申請_96年月餅預購競賽獎勵案_97年春節保全回收報告書_春節作業手冊-981217_1-晉欣鮮食廠-2012年春節作業體制" xfId="374" xr:uid="{00000000-0005-0000-0000-00005D010000}"/>
    <cellStyle name="_樂清9507租賃用品申請_96年月餅預購競賽獎勵案_97年營業競賽提案報告書" xfId="375" xr:uid="{00000000-0005-0000-0000-00005E010000}"/>
    <cellStyle name="_樂清9507租賃用品申請_96年月餅預購競賽獎勵案_97年營業競賽提案報告書_1-晉欣鮮食廠-2012年春節作業體制" xfId="376" xr:uid="{00000000-0005-0000-0000-00005F010000}"/>
    <cellStyle name="_樂清9507租賃用品申請_96年月餅預購競賽獎勵案_97年營業競賽提案報告書_97年春節保全回收報告書" xfId="377" xr:uid="{00000000-0005-0000-0000-000060010000}"/>
    <cellStyle name="_樂清9507租賃用品申請_96年月餅預購競賽獎勵案_97年營業競賽提案報告書_97年春節保全回收報告書_1-晉欣鮮食廠-2012年春節作業體制" xfId="378" xr:uid="{00000000-0005-0000-0000-000061010000}"/>
    <cellStyle name="_樂清9507租賃用品申請_96年月餅預購競賽獎勵案_97年營業競賽提案報告書_97年春節保全回收報告書_Book1" xfId="379" xr:uid="{00000000-0005-0000-0000-000062010000}"/>
    <cellStyle name="_樂清9507租賃用品申請_96年月餅預購競賽獎勵案_97年營業競賽提案報告書_97年春節保全回收報告書_Book1_1-晉欣鮮食廠-2012年春節作業體制" xfId="380" xr:uid="{00000000-0005-0000-0000-000063010000}"/>
    <cellStyle name="_樂清9507租賃用品申請_96年月餅預購競賽獎勵案_97年營業競賽提案報告書_97年春節保全回收報告書_春節作業手冊-981217" xfId="381" xr:uid="{00000000-0005-0000-0000-000064010000}"/>
    <cellStyle name="_樂清9507租賃用品申請_96年月餅預購競賽獎勵案_97年營業競賽提案報告書_97年春節保全回收報告書_春節作業手冊-981217_1-晉欣鮮食廠-2012年春節作業體制" xfId="382" xr:uid="{00000000-0005-0000-0000-000065010000}"/>
    <cellStyle name="_樂清9507租賃用品申請_96年月餅預購競賽獎勵案_97年營業競賽提案報告書_97年營業競賽提案報告書" xfId="383" xr:uid="{00000000-0005-0000-0000-000066010000}"/>
    <cellStyle name="_樂清9507租賃用品申請_96年月餅預購競賽獎勵案_97年營業競賽提案報告書_97年營業競賽提案報告書_1-晉欣鮮食廠-2012年春節作業體制" xfId="384" xr:uid="{00000000-0005-0000-0000-000067010000}"/>
    <cellStyle name="_樂清9507租賃用品申請_96年月餅預購競賽獎勵案_97年營業競賽提案報告書_97年營業競賽提案報告書_97年春節保全回收報告書" xfId="385" xr:uid="{00000000-0005-0000-0000-000068010000}"/>
    <cellStyle name="_樂清9507租賃用品申請_96年月餅預購競賽獎勵案_97年營業競賽提案報告書_97年營業競賽提案報告書_97年春節保全回收報告書_1-晉欣鮮食廠-2012年春節作業體制" xfId="386" xr:uid="{00000000-0005-0000-0000-000069010000}"/>
    <cellStyle name="_樂清9507租賃用品申請_96年月餅預購競賽獎勵案_97年營業競賽提案報告書_97年營業競賽提案報告書_97年春節保全回收報告書_Book1" xfId="387" xr:uid="{00000000-0005-0000-0000-00006A010000}"/>
    <cellStyle name="_樂清9507租賃用品申請_96年月餅預購競賽獎勵案_97年營業競賽提案報告書_97年營業競賽提案報告書_97年春節保全回收報告書_Book1_1-晉欣鮮食廠-2012年春節作業體制" xfId="388" xr:uid="{00000000-0005-0000-0000-00006B010000}"/>
    <cellStyle name="_樂清9507租賃用品申請_96年月餅預購競賽獎勵案_97年營業競賽提案報告書_97年營業競賽提案報告書_97年春節保全回收報告書_春節作業手冊-981217" xfId="389" xr:uid="{00000000-0005-0000-0000-00006C010000}"/>
    <cellStyle name="_樂清9507租賃用品申請_96年月餅預購競賽獎勵案_97年營業競賽提案報告書_97年營業競賽提案報告書_97年春節保全回收報告書_春節作業手冊-981217_1-晉欣鮮食廠-2012年春節作業體制" xfId="390" xr:uid="{00000000-0005-0000-0000-00006D010000}"/>
    <cellStyle name="_樂清9507租賃用品申請_96年月餅預購競賽獎勵案_97年營業競賽提案報告書_97年營業競賽提案報告書_97年營業競賽提案報告書" xfId="391" xr:uid="{00000000-0005-0000-0000-00006E010000}"/>
    <cellStyle name="_樂清9507租賃用品申請_96年月餅預購競賽獎勵案_97年營業競賽提案報告書_97年營業競賽提案報告書_97年營業競賽提案報告書_1-晉欣鮮食廠-2012年春節作業體制" xfId="392" xr:uid="{00000000-0005-0000-0000-00006F010000}"/>
    <cellStyle name="_樂清9507租賃用品申請_96年月餅預購競賽獎勵案_97年營業競賽提案報告書_97年營業競賽提案報告書_97年營業競賽提案報告書_97年春節保全回收報告書" xfId="393" xr:uid="{00000000-0005-0000-0000-000070010000}"/>
    <cellStyle name="_樂清9507租賃用品申請_96年月餅預購競賽獎勵案_97年營業競賽提案報告書_97年營業競賽提案報告書_97年營業競賽提案報告書_97年春節保全回收報告書_1-晉欣鮮食廠-2012年春節作業體制" xfId="394" xr:uid="{00000000-0005-0000-0000-000071010000}"/>
    <cellStyle name="_樂清9507租賃用品申請_96年月餅預購競賽獎勵案_97年營業競賽提案報告書_97年營業競賽提案報告書_97年營業競賽提案報告書_97年春節保全回收報告書_Book1" xfId="395" xr:uid="{00000000-0005-0000-0000-000072010000}"/>
    <cellStyle name="_樂清9507租賃用品申請_96年月餅預購競賽獎勵案_97年營業競賽提案報告書_97年營業競賽提案報告書_97年營業競賽提案報告書_97年春節保全回收報告書_Book1_1-晉欣鮮食廠-2012年春節作業體制" xfId="396" xr:uid="{00000000-0005-0000-0000-000073010000}"/>
    <cellStyle name="_樂清9507租賃用品申請_96年月餅預購競賽獎勵案_97年營業競賽提案報告書_97年營業競賽提案報告書_97年營業競賽提案報告書_97年春節保全回收報告書_春節作業手冊-981217" xfId="397" xr:uid="{00000000-0005-0000-0000-000074010000}"/>
    <cellStyle name="_樂清9507租賃用品申請_96年月餅預購競賽獎勵案_97年營業競賽提案報告書_97年營業競賽提案報告書_97年營業競賽提案報告書_97年春節保全回收報告書_春節作業手冊-981217_1-晉欣鮮食廠-2012年春節作業體制" xfId="398" xr:uid="{00000000-0005-0000-0000-000075010000}"/>
    <cellStyle name="_樂清9507租賃用品申請_96年月餅預購競賽獎勵案_97年營業競賽提案報告書_97年營業競賽提案報告書_97年營業競賽提案報告書_Book1" xfId="399" xr:uid="{00000000-0005-0000-0000-000076010000}"/>
    <cellStyle name="_樂清9507租賃用品申請_96年月餅預購競賽獎勵案_97年營業競賽提案報告書_97年營業競賽提案報告書_97年營業競賽提案報告書_Book1_1-晉欣鮮食廠-2012年春節作業體制" xfId="400" xr:uid="{00000000-0005-0000-0000-000077010000}"/>
    <cellStyle name="_樂清9507租賃用品申請_96年月餅預購競賽獎勵案_97年營業競賽提案報告書_97年營業競賽提案報告書_97年營業競賽提案報告書_春節作業手冊-981217" xfId="401" xr:uid="{00000000-0005-0000-0000-000078010000}"/>
    <cellStyle name="_樂清9507租賃用品申請_96年月餅預購競賽獎勵案_97年營業競賽提案報告書_97年營業競賽提案報告書_97年營業競賽提案報告書_春節作業手冊-981217_1-晉欣鮮食廠-2012年春節作業體制" xfId="402" xr:uid="{00000000-0005-0000-0000-000079010000}"/>
    <cellStyle name="_樂清9507租賃用品申請_96年月餅預購競賽獎勵案_97年營業競賽提案報告書_97年營業競賽提案報告書_Book1" xfId="403" xr:uid="{00000000-0005-0000-0000-00007A010000}"/>
    <cellStyle name="_樂清9507租賃用品申請_96年月餅預購競賽獎勵案_97年營業競賽提案報告書_97年營業競賽提案報告書_Book1_1-晉欣鮮食廠-2012年春節作業體制" xfId="404" xr:uid="{00000000-0005-0000-0000-00007B010000}"/>
    <cellStyle name="_樂清9507租賃用品申請_96年月餅預購競賽獎勵案_97年營業競賽提案報告書_97年營業競賽提案報告書_春節作業手冊-981217" xfId="405" xr:uid="{00000000-0005-0000-0000-00007C010000}"/>
    <cellStyle name="_樂清9507租賃用品申請_96年月餅預購競賽獎勵案_97年營業競賽提案報告書_97年營業競賽提案報告書_春節作業手冊-981217_1-晉欣鮮食廠-2012年春節作業體制" xfId="406" xr:uid="{00000000-0005-0000-0000-00007D010000}"/>
    <cellStyle name="_樂清9507租賃用品申請_96年月餅預購競賽獎勵案_97年營業競賽提案報告書_Book1" xfId="407" xr:uid="{00000000-0005-0000-0000-00007E010000}"/>
    <cellStyle name="_樂清9507租賃用品申請_96年月餅預購競賽獎勵案_97年營業競賽提案報告書_Book1_1-晉欣鮮食廠-2012年春節作業體制" xfId="408" xr:uid="{00000000-0005-0000-0000-00007F010000}"/>
    <cellStyle name="_樂清9507租賃用品申請_96年月餅預購競賽獎勵案_97年營業競賽提案報告書_春節作業手冊-981217" xfId="409" xr:uid="{00000000-0005-0000-0000-000080010000}"/>
    <cellStyle name="_樂清9507租賃用品申請_96年月餅預購競賽獎勵案_97年營業競賽提案報告書_春節作業手冊-981217_1-晉欣鮮食廠-2012年春節作業體制" xfId="410" xr:uid="{00000000-0005-0000-0000-000081010000}"/>
    <cellStyle name="_樂清9507租賃用品申請_96年月餅預購競賽獎勵案_Book1" xfId="411" xr:uid="{00000000-0005-0000-0000-000082010000}"/>
    <cellStyle name="_樂清9507租賃用品申請_96年月餅預購競賽獎勵案_Book1_1-晉欣鮮食廠-2012年春節作業體制" xfId="412" xr:uid="{00000000-0005-0000-0000-000083010000}"/>
    <cellStyle name="_樂清9507租賃用品申請_96年月餅預購競賽獎勵案_春節作業手冊-981217" xfId="413" xr:uid="{00000000-0005-0000-0000-000084010000}"/>
    <cellStyle name="_樂清9507租賃用品申請_96年月餅預購競賽獎勵案_春節作業手冊-981217_1-晉欣鮮食廠-2012年春節作業體制" xfId="414" xr:uid="{00000000-0005-0000-0000-000085010000}"/>
    <cellStyle name="_樂清9507租賃用品申請_97年春節保全回收報告書" xfId="415" xr:uid="{00000000-0005-0000-0000-000086010000}"/>
    <cellStyle name="_樂清9507租賃用品申請_97年春節保全回收報告書_1-晉欣鮮食廠-2012年春節作業體制" xfId="416" xr:uid="{00000000-0005-0000-0000-000087010000}"/>
    <cellStyle name="_樂清9507租賃用品申請_97年春節保全回收報告書_Book1" xfId="417" xr:uid="{00000000-0005-0000-0000-000088010000}"/>
    <cellStyle name="_樂清9507租賃用品申請_97年春節保全回收報告書_Book1_1-晉欣鮮食廠-2012年春節作業體制" xfId="418" xr:uid="{00000000-0005-0000-0000-000089010000}"/>
    <cellStyle name="_樂清9507租賃用品申請_97年春節保全回收報告書_春節作業手冊-981217" xfId="419" xr:uid="{00000000-0005-0000-0000-00008A010000}"/>
    <cellStyle name="_樂清9507租賃用品申請_97年春節保全回收報告書_春節作業手冊-981217_1-晉欣鮮食廠-2012年春節作業體制" xfId="420" xr:uid="{00000000-0005-0000-0000-00008B010000}"/>
    <cellStyle name="_樂清9507租賃用品申請_97年營業競賽提案報告書" xfId="421" xr:uid="{00000000-0005-0000-0000-00008C010000}"/>
    <cellStyle name="_樂清9507租賃用品申請_97年營業競賽提案報告書_1-晉欣鮮食廠-2012年春節作業體制" xfId="422" xr:uid="{00000000-0005-0000-0000-00008D010000}"/>
    <cellStyle name="_樂清9507租賃用品申請_97年營業競賽提案報告書_97年春節保全回收報告書" xfId="423" xr:uid="{00000000-0005-0000-0000-00008E010000}"/>
    <cellStyle name="_樂清9507租賃用品申請_97年營業競賽提案報告書_97年春節保全回收報告書_1-晉欣鮮食廠-2012年春節作業體制" xfId="424" xr:uid="{00000000-0005-0000-0000-00008F010000}"/>
    <cellStyle name="_樂清9507租賃用品申請_97年營業競賽提案報告書_97年春節保全回收報告書_Book1" xfId="425" xr:uid="{00000000-0005-0000-0000-000090010000}"/>
    <cellStyle name="_樂清9507租賃用品申請_97年營業競賽提案報告書_97年春節保全回收報告書_Book1_1-晉欣鮮食廠-2012年春節作業體制" xfId="426" xr:uid="{00000000-0005-0000-0000-000091010000}"/>
    <cellStyle name="_樂清9507租賃用品申請_97年營業競賽提案報告書_97年春節保全回收報告書_春節作業手冊-981217" xfId="427" xr:uid="{00000000-0005-0000-0000-000092010000}"/>
    <cellStyle name="_樂清9507租賃用品申請_97年營業競賽提案報告書_97年春節保全回收報告書_春節作業手冊-981217_1-晉欣鮮食廠-2012年春節作業體制" xfId="428" xr:uid="{00000000-0005-0000-0000-000093010000}"/>
    <cellStyle name="_樂清9507租賃用品申請_97年營業競賽提案報告書_97年營業競賽提案報告書" xfId="429" xr:uid="{00000000-0005-0000-0000-000094010000}"/>
    <cellStyle name="_樂清9507租賃用品申請_97年營業競賽提案報告書_97年營業競賽提案報告書_1-晉欣鮮食廠-2012年春節作業體制" xfId="430" xr:uid="{00000000-0005-0000-0000-000095010000}"/>
    <cellStyle name="_樂清9507租賃用品申請_97年營業競賽提案報告書_97年營業競賽提案報告書_97年春節保全回收報告書" xfId="431" xr:uid="{00000000-0005-0000-0000-000096010000}"/>
    <cellStyle name="_樂清9507租賃用品申請_97年營業競賽提案報告書_97年營業競賽提案報告書_97年春節保全回收報告書_1-晉欣鮮食廠-2012年春節作業體制" xfId="432" xr:uid="{00000000-0005-0000-0000-000097010000}"/>
    <cellStyle name="_樂清9507租賃用品申請_97年營業競賽提案報告書_97年營業競賽提案報告書_97年春節保全回收報告書_Book1" xfId="433" xr:uid="{00000000-0005-0000-0000-000098010000}"/>
    <cellStyle name="_樂清9507租賃用品申請_97年營業競賽提案報告書_97年營業競賽提案報告書_97年春節保全回收報告書_Book1_1-晉欣鮮食廠-2012年春節作業體制" xfId="434" xr:uid="{00000000-0005-0000-0000-000099010000}"/>
    <cellStyle name="_樂清9507租賃用品申請_97年營業競賽提案報告書_97年營業競賽提案報告書_97年春節保全回收報告書_春節作業手冊-981217" xfId="435" xr:uid="{00000000-0005-0000-0000-00009A010000}"/>
    <cellStyle name="_樂清9507租賃用品申請_97年營業競賽提案報告書_97年營業競賽提案報告書_97年春節保全回收報告書_春節作業手冊-981217_1-晉欣鮮食廠-2012年春節作業體制" xfId="436" xr:uid="{00000000-0005-0000-0000-00009B010000}"/>
    <cellStyle name="_樂清9507租賃用品申請_97年營業競賽提案報告書_97年營業競賽提案報告書_97年營業競賽提案報告書" xfId="437" xr:uid="{00000000-0005-0000-0000-00009C010000}"/>
    <cellStyle name="_樂清9507租賃用品申請_97年營業競賽提案報告書_97年營業競賽提案報告書_97年營業競賽提案報告書_1-晉欣鮮食廠-2012年春節作業體制" xfId="438" xr:uid="{00000000-0005-0000-0000-00009D010000}"/>
    <cellStyle name="_樂清9507租賃用品申請_97年營業競賽提案報告書_97年營業競賽提案報告書_97年營業競賽提案報告書_97年春節保全回收報告書" xfId="439" xr:uid="{00000000-0005-0000-0000-00009E010000}"/>
    <cellStyle name="_樂清9507租賃用品申請_97年營業競賽提案報告書_97年營業競賽提案報告書_97年營業競賽提案報告書_97年春節保全回收報告書_1-晉欣鮮食廠-2012年春節作業體制" xfId="440" xr:uid="{00000000-0005-0000-0000-00009F010000}"/>
    <cellStyle name="_樂清9507租賃用品申請_97年營業競賽提案報告書_97年營業競賽提案報告書_97年營業競賽提案報告書_97年春節保全回收報告書_Book1" xfId="441" xr:uid="{00000000-0005-0000-0000-0000A0010000}"/>
    <cellStyle name="_樂清9507租賃用品申請_97年營業競賽提案報告書_97年營業競賽提案報告書_97年營業競賽提案報告書_97年春節保全回收報告書_Book1_1-晉欣鮮食廠-2012年春節作業體制" xfId="442" xr:uid="{00000000-0005-0000-0000-0000A1010000}"/>
    <cellStyle name="_樂清9507租賃用品申請_97年營業競賽提案報告書_97年營業競賽提案報告書_97年營業競賽提案報告書_97年春節保全回收報告書_春節作業手冊-981217" xfId="443" xr:uid="{00000000-0005-0000-0000-0000A2010000}"/>
    <cellStyle name="_樂清9507租賃用品申請_97年營業競賽提案報告書_97年營業競賽提案報告書_97年營業競賽提案報告書_97年春節保全回收報告書_春節作業手冊-981217_1-晉欣鮮食廠-2012年春節作業體制" xfId="444" xr:uid="{00000000-0005-0000-0000-0000A3010000}"/>
    <cellStyle name="_樂清9507租賃用品申請_97年營業競賽提案報告書_97年營業競賽提案報告書_97年營業競賽提案報告書_Book1" xfId="445" xr:uid="{00000000-0005-0000-0000-0000A4010000}"/>
    <cellStyle name="_樂清9507租賃用品申請_97年營業競賽提案報告書_97年營業競賽提案報告書_97年營業競賽提案報告書_Book1_1-晉欣鮮食廠-2012年春節作業體制" xfId="446" xr:uid="{00000000-0005-0000-0000-0000A5010000}"/>
    <cellStyle name="_樂清9507租賃用品申請_97年營業競賽提案報告書_97年營業競賽提案報告書_97年營業競賽提案報告書_春節作業手冊-981217" xfId="447" xr:uid="{00000000-0005-0000-0000-0000A6010000}"/>
    <cellStyle name="_樂清9507租賃用品申請_97年營業競賽提案報告書_97年營業競賽提案報告書_97年營業競賽提案報告書_春節作業手冊-981217_1-晉欣鮮食廠-2012年春節作業體制" xfId="448" xr:uid="{00000000-0005-0000-0000-0000A7010000}"/>
    <cellStyle name="_樂清9507租賃用品申請_97年營業競賽提案報告書_97年營業競賽提案報告書_Book1" xfId="449" xr:uid="{00000000-0005-0000-0000-0000A8010000}"/>
    <cellStyle name="_樂清9507租賃用品申請_97年營業競賽提案報告書_97年營業競賽提案報告書_Book1_1-晉欣鮮食廠-2012年春節作業體制" xfId="450" xr:uid="{00000000-0005-0000-0000-0000A9010000}"/>
    <cellStyle name="_樂清9507租賃用品申請_97年營業競賽提案報告書_97年營業競賽提案報告書_春節作業手冊-981217" xfId="451" xr:uid="{00000000-0005-0000-0000-0000AA010000}"/>
    <cellStyle name="_樂清9507租賃用品申請_97年營業競賽提案報告書_97年營業競賽提案報告書_春節作業手冊-981217_1-晉欣鮮食廠-2012年春節作業體制" xfId="452" xr:uid="{00000000-0005-0000-0000-0000AB010000}"/>
    <cellStyle name="_樂清9507租賃用品申請_97年營業競賽提案報告書_Book1" xfId="453" xr:uid="{00000000-0005-0000-0000-0000AC010000}"/>
    <cellStyle name="_樂清9507租賃用品申請_97年營業競賽提案報告書_Book1_1-晉欣鮮食廠-2012年春節作業體制" xfId="454" xr:uid="{00000000-0005-0000-0000-0000AD010000}"/>
    <cellStyle name="_樂清9507租賃用品申請_97年營業競賽提案報告書_春節作業手冊-981217" xfId="455" xr:uid="{00000000-0005-0000-0000-0000AE010000}"/>
    <cellStyle name="_樂清9507租賃用品申請_97年營業競賽提案報告書_春節作業手冊-981217_1-晉欣鮮食廠-2012年春節作業體制" xfId="456" xr:uid="{00000000-0005-0000-0000-0000AF010000}"/>
    <cellStyle name="_樂清9507租賃用品申請_Book1" xfId="457" xr:uid="{00000000-0005-0000-0000-0000B0010000}"/>
    <cellStyle name="_樂清9507租賃用品申請_Book1_1-晉欣鮮食廠-2012年春節作業體制" xfId="458" xr:uid="{00000000-0005-0000-0000-0000B1010000}"/>
    <cellStyle name="_樂清9507租賃用品申請_春節作業手冊-981217" xfId="459" xr:uid="{00000000-0005-0000-0000-0000B2010000}"/>
    <cellStyle name="_樂清9507租賃用品申請_春節作業手冊-981217_1-晉欣鮮食廠-2012年春節作業體制" xfId="460" xr:uid="{00000000-0005-0000-0000-0000B3010000}"/>
    <cellStyle name="Normal - Style1" xfId="461" xr:uid="{00000000-0005-0000-0000-0000B4010000}"/>
    <cellStyle name="Normal_Co-wide Monthly" xfId="462" xr:uid="{00000000-0005-0000-0000-0000B5010000}"/>
    <cellStyle name="一般" xfId="0" builtinId="0"/>
    <cellStyle name="一般 10" xfId="469" xr:uid="{00000000-0005-0000-0000-0000B7010000}"/>
    <cellStyle name="一般 10 2" xfId="470" xr:uid="{00000000-0005-0000-0000-0000B8010000}"/>
    <cellStyle name="一般 11" xfId="471" xr:uid="{00000000-0005-0000-0000-0000B9010000}"/>
    <cellStyle name="一般 12" xfId="472" xr:uid="{00000000-0005-0000-0000-0000BA010000}"/>
    <cellStyle name="一般 13" xfId="473" xr:uid="{00000000-0005-0000-0000-0000BB010000}"/>
    <cellStyle name="一般 14" xfId="474" xr:uid="{00000000-0005-0000-0000-0000BC010000}"/>
    <cellStyle name="一般 15" xfId="475" xr:uid="{00000000-0005-0000-0000-0000BD010000}"/>
    <cellStyle name="一般 15 2" xfId="476" xr:uid="{00000000-0005-0000-0000-0000BE010000}"/>
    <cellStyle name="一般 16" xfId="477" xr:uid="{00000000-0005-0000-0000-0000BF010000}"/>
    <cellStyle name="一般 17" xfId="478" xr:uid="{00000000-0005-0000-0000-0000C0010000}"/>
    <cellStyle name="一般 18" xfId="479" xr:uid="{00000000-0005-0000-0000-0000C1010000}"/>
    <cellStyle name="一般 19" xfId="480" xr:uid="{00000000-0005-0000-0000-0000C2010000}"/>
    <cellStyle name="一般 2" xfId="1" xr:uid="{00000000-0005-0000-0000-0000C3010000}"/>
    <cellStyle name="一般 2 2" xfId="481" xr:uid="{00000000-0005-0000-0000-0000C4010000}"/>
    <cellStyle name="一般 2 2 2" xfId="9" xr:uid="{00000000-0005-0000-0000-0000C5010000}"/>
    <cellStyle name="一般 2 2 2 2" xfId="482" xr:uid="{00000000-0005-0000-0000-0000C6010000}"/>
    <cellStyle name="一般 2 2 3" xfId="483" xr:uid="{00000000-0005-0000-0000-0000C7010000}"/>
    <cellStyle name="一般 2 2 30 2 2 30 2" xfId="4" xr:uid="{00000000-0005-0000-0000-0000C8010000}"/>
    <cellStyle name="一般 2 2 30 2 2 30 2 2" xfId="12" xr:uid="{00000000-0005-0000-0000-0000C9010000}"/>
    <cellStyle name="一般 2 2 30 2 2 30 2 2 2" xfId="15" xr:uid="{00000000-0005-0000-0000-0000CA010000}"/>
    <cellStyle name="一般 2 2 30 2 2 30 2 2 2 2 2" xfId="577" xr:uid="{00000000-0005-0000-0000-0000CB010000}"/>
    <cellStyle name="一般 2 2 30 2 2 30 2 2 2 2 2 2" xfId="580" xr:uid="{0DEDAA9F-3093-47DA-B62E-C95FDCCC7C64}"/>
    <cellStyle name="一般 2 2 30 2 2 30 2 2 3" xfId="16" xr:uid="{00000000-0005-0000-0000-0000CC010000}"/>
    <cellStyle name="一般 2 2 30 2 2 30 2 2 4" xfId="17" xr:uid="{00000000-0005-0000-0000-0000CD010000}"/>
    <cellStyle name="一般 2 2 30 2 2 30 2 3 2" xfId="578" xr:uid="{00000000-0005-0000-0000-0000CE010000}"/>
    <cellStyle name="一般 2 2 30 2 3 2" xfId="6" xr:uid="{00000000-0005-0000-0000-0000CF010000}"/>
    <cellStyle name="一般 2 2 30 2 3 2 2 2" xfId="18" xr:uid="{00000000-0005-0000-0000-0000D0010000}"/>
    <cellStyle name="一般 2 2 30 2 3 2 3" xfId="579" xr:uid="{00000000-0005-0000-0000-0000D1010000}"/>
    <cellStyle name="一般 2 2 30 3 30" xfId="7" xr:uid="{00000000-0005-0000-0000-0000D2010000}"/>
    <cellStyle name="一般 2 3" xfId="484" xr:uid="{00000000-0005-0000-0000-0000D3010000}"/>
    <cellStyle name="一般 2 4" xfId="485" xr:uid="{00000000-0005-0000-0000-0000D4010000}"/>
    <cellStyle name="一般 2 5" xfId="486" xr:uid="{00000000-0005-0000-0000-0000D5010000}"/>
    <cellStyle name="一般 2 6" xfId="487" xr:uid="{00000000-0005-0000-0000-0000D6010000}"/>
    <cellStyle name="一般 2 7" xfId="488" xr:uid="{00000000-0005-0000-0000-0000D7010000}"/>
    <cellStyle name="一般 2 8" xfId="489" xr:uid="{00000000-0005-0000-0000-0000D8010000}"/>
    <cellStyle name="一般 2 9" xfId="23" xr:uid="{00000000-0005-0000-0000-0000D9010000}"/>
    <cellStyle name="一般 20" xfId="490" xr:uid="{00000000-0005-0000-0000-0000DA010000}"/>
    <cellStyle name="一般 21" xfId="491" xr:uid="{00000000-0005-0000-0000-0000DB010000}"/>
    <cellStyle name="一般 22" xfId="492" xr:uid="{00000000-0005-0000-0000-0000DC010000}"/>
    <cellStyle name="一般 23" xfId="493" xr:uid="{00000000-0005-0000-0000-0000DD010000}"/>
    <cellStyle name="一般 24" xfId="21" xr:uid="{00000000-0005-0000-0000-0000DE010000}"/>
    <cellStyle name="一般 3" xfId="11" xr:uid="{00000000-0005-0000-0000-0000DF010000}"/>
    <cellStyle name="一般 3 2" xfId="494" xr:uid="{00000000-0005-0000-0000-0000E0010000}"/>
    <cellStyle name="一般 3 2 2" xfId="495" xr:uid="{00000000-0005-0000-0000-0000E1010000}"/>
    <cellStyle name="一般 3 3" xfId="496" xr:uid="{00000000-0005-0000-0000-0000E2010000}"/>
    <cellStyle name="一般 3 4" xfId="497" xr:uid="{00000000-0005-0000-0000-0000E3010000}"/>
    <cellStyle name="一般 3 5" xfId="498" xr:uid="{00000000-0005-0000-0000-0000E4010000}"/>
    <cellStyle name="一般 3 5 2" xfId="499" xr:uid="{00000000-0005-0000-0000-0000E5010000}"/>
    <cellStyle name="一般 3 6" xfId="500" xr:uid="{00000000-0005-0000-0000-0000E6010000}"/>
    <cellStyle name="一般 3 7" xfId="501" xr:uid="{00000000-0005-0000-0000-0000E7010000}"/>
    <cellStyle name="一般 3 8" xfId="463" xr:uid="{00000000-0005-0000-0000-0000E8010000}"/>
    <cellStyle name="一般 4" xfId="5" xr:uid="{00000000-0005-0000-0000-0000E9010000}"/>
    <cellStyle name="一般 4 2" xfId="502" xr:uid="{00000000-0005-0000-0000-0000EA010000}"/>
    <cellStyle name="一般 4 3" xfId="503" xr:uid="{00000000-0005-0000-0000-0000EB010000}"/>
    <cellStyle name="一般 4 4" xfId="464" xr:uid="{00000000-0005-0000-0000-0000EC010000}"/>
    <cellStyle name="一般 5" xfId="504" xr:uid="{00000000-0005-0000-0000-0000ED010000}"/>
    <cellStyle name="一般 5 2" xfId="505" xr:uid="{00000000-0005-0000-0000-0000EE010000}"/>
    <cellStyle name="一般 6" xfId="506" xr:uid="{00000000-0005-0000-0000-0000EF010000}"/>
    <cellStyle name="一般 6 2" xfId="507" xr:uid="{00000000-0005-0000-0000-0000F0010000}"/>
    <cellStyle name="一般 7" xfId="508" xr:uid="{00000000-0005-0000-0000-0000F1010000}"/>
    <cellStyle name="一般 8" xfId="509" xr:uid="{00000000-0005-0000-0000-0000F2010000}"/>
    <cellStyle name="一般 8 2" xfId="510" xr:uid="{00000000-0005-0000-0000-0000F3010000}"/>
    <cellStyle name="一般 9" xfId="511" xr:uid="{00000000-0005-0000-0000-0000F4010000}"/>
    <cellStyle name="一般 9 2" xfId="512" xr:uid="{00000000-0005-0000-0000-0000F5010000}"/>
    <cellStyle name="千分位" xfId="14" builtinId="3"/>
    <cellStyle name="千分位 2" xfId="2" xr:uid="{00000000-0005-0000-0000-0000F7010000}"/>
    <cellStyle name="千分位 2 2" xfId="514" xr:uid="{00000000-0005-0000-0000-0000F8010000}"/>
    <cellStyle name="千分位 2 3" xfId="515" xr:uid="{00000000-0005-0000-0000-0000F9010000}"/>
    <cellStyle name="千分位 2 4" xfId="516" xr:uid="{00000000-0005-0000-0000-0000FA010000}"/>
    <cellStyle name="千分位 2 5" xfId="517" xr:uid="{00000000-0005-0000-0000-0000FB010000}"/>
    <cellStyle name="千分位 2 6" xfId="518" xr:uid="{00000000-0005-0000-0000-0000FC010000}"/>
    <cellStyle name="千分位 2 7" xfId="519" xr:uid="{00000000-0005-0000-0000-0000FD010000}"/>
    <cellStyle name="千分位 2 8" xfId="513" xr:uid="{00000000-0005-0000-0000-0000FE010000}"/>
    <cellStyle name="千分位 3" xfId="19" xr:uid="{00000000-0005-0000-0000-0000FF010000}"/>
    <cellStyle name="千分位 3 2" xfId="520" xr:uid="{00000000-0005-0000-0000-000000020000}"/>
    <cellStyle name="千分位 4" xfId="521" xr:uid="{00000000-0005-0000-0000-000001020000}"/>
    <cellStyle name="千分位 5" xfId="522" xr:uid="{00000000-0005-0000-0000-000002020000}"/>
    <cellStyle name="千分位 5 2" xfId="523" xr:uid="{00000000-0005-0000-0000-000003020000}"/>
    <cellStyle name="千分位 6" xfId="524" xr:uid="{00000000-0005-0000-0000-000004020000}"/>
    <cellStyle name="千分位 7" xfId="525" xr:uid="{00000000-0005-0000-0000-000005020000}"/>
    <cellStyle name="千分位 8" xfId="526" xr:uid="{00000000-0005-0000-0000-000006020000}"/>
    <cellStyle name="千分位 9" xfId="576" xr:uid="{00000000-0005-0000-0000-000007020000}"/>
    <cellStyle name="好_1001024-晉欣重要管制流程 (3)" xfId="527" xr:uid="{00000000-0005-0000-0000-000008020000}"/>
    <cellStyle name="好_Sheet1" xfId="528" xr:uid="{00000000-0005-0000-0000-000009020000}"/>
    <cellStyle name="好_工作日報表---" xfId="529" xr:uid="{00000000-0005-0000-0000-00000A020000}"/>
    <cellStyle name="好_晉欣重要管制流程-油炸作業" xfId="530" xr:uid="{00000000-0005-0000-0000-00000B020000}"/>
    <cellStyle name="好_晉欣重要管制流程-原物料驗收" xfId="531" xr:uid="{00000000-0005-0000-0000-00000C020000}"/>
    <cellStyle name="好_晉欣重要管制流程-烤箱作業" xfId="532" xr:uid="{00000000-0005-0000-0000-00000D020000}"/>
    <cellStyle name="好_晉欣重要管制流程-理貨作業" xfId="533" xr:uid="{00000000-0005-0000-0000-00000E020000}"/>
    <cellStyle name="好_晉欣重要管制流程-煮麵作業" xfId="534" xr:uid="{00000000-0005-0000-0000-00000F020000}"/>
    <cellStyle name="好_晉欣重要管制流程-飯糰機操作&amp;丼飯作業&amp;三明治&amp;標籤&amp;炊飯&amp;美生菜" xfId="535" xr:uid="{00000000-0005-0000-0000-000010020000}"/>
    <cellStyle name="好_晉欣重要管制流程-準備室作業" xfId="536" xr:uid="{00000000-0005-0000-0000-000011020000}"/>
    <cellStyle name="好_晉欣重要管制流程-補料作業" xfId="537" xr:uid="{00000000-0005-0000-0000-000012020000}"/>
    <cellStyle name="好_配料相關一、二--------" xfId="538" xr:uid="{00000000-0005-0000-0000-000013020000}"/>
    <cellStyle name="百分比 2" xfId="8" xr:uid="{00000000-0005-0000-0000-000014020000}"/>
    <cellStyle name="百分比 2 2" xfId="10" xr:uid="{00000000-0005-0000-0000-000015020000}"/>
    <cellStyle name="百分比 2 2 2" xfId="20" xr:uid="{00000000-0005-0000-0000-000016020000}"/>
    <cellStyle name="百分比 2 2 2 2" xfId="540" xr:uid="{00000000-0005-0000-0000-000017020000}"/>
    <cellStyle name="百分比 2 2 3" xfId="539" xr:uid="{00000000-0005-0000-0000-000018020000}"/>
    <cellStyle name="百分比 2 3" xfId="541" xr:uid="{00000000-0005-0000-0000-000019020000}"/>
    <cellStyle name="百分比 2 4" xfId="542" xr:uid="{00000000-0005-0000-0000-00001A020000}"/>
    <cellStyle name="百分比 2 5" xfId="24" xr:uid="{00000000-0005-0000-0000-00001B020000}"/>
    <cellStyle name="百分比 3" xfId="3" xr:uid="{00000000-0005-0000-0000-00001C020000}"/>
    <cellStyle name="百分比 3 2" xfId="544" xr:uid="{00000000-0005-0000-0000-00001D020000}"/>
    <cellStyle name="百分比 3 3" xfId="545" xr:uid="{00000000-0005-0000-0000-00001E020000}"/>
    <cellStyle name="百分比 3 4" xfId="543" xr:uid="{00000000-0005-0000-0000-00001F020000}"/>
    <cellStyle name="百分比 4" xfId="13" xr:uid="{00000000-0005-0000-0000-000020020000}"/>
    <cellStyle name="百分比 4 2" xfId="547" xr:uid="{00000000-0005-0000-0000-000021020000}"/>
    <cellStyle name="百分比 4 2 2" xfId="548" xr:uid="{00000000-0005-0000-0000-000022020000}"/>
    <cellStyle name="百分比 4 2 2 2" xfId="549" xr:uid="{00000000-0005-0000-0000-000023020000}"/>
    <cellStyle name="百分比 4 2 3" xfId="550" xr:uid="{00000000-0005-0000-0000-000024020000}"/>
    <cellStyle name="百分比 4 3" xfId="551" xr:uid="{00000000-0005-0000-0000-000025020000}"/>
    <cellStyle name="百分比 4 3 2" xfId="552" xr:uid="{00000000-0005-0000-0000-000026020000}"/>
    <cellStyle name="百分比 4 3 2 2" xfId="553" xr:uid="{00000000-0005-0000-0000-000027020000}"/>
    <cellStyle name="百分比 4 3 2 2 2" xfId="554" xr:uid="{00000000-0005-0000-0000-000028020000}"/>
    <cellStyle name="百分比 4 3 2 2 2 2" xfId="555" xr:uid="{00000000-0005-0000-0000-000029020000}"/>
    <cellStyle name="百分比 4 3 2 2 2 2 2" xfId="556" xr:uid="{00000000-0005-0000-0000-00002A020000}"/>
    <cellStyle name="百分比 4 4" xfId="557" xr:uid="{00000000-0005-0000-0000-00002B020000}"/>
    <cellStyle name="百分比 4 5" xfId="546" xr:uid="{00000000-0005-0000-0000-00002C020000}"/>
    <cellStyle name="百分比 5" xfId="558" xr:uid="{00000000-0005-0000-0000-00002D020000}"/>
    <cellStyle name="百分比 5 2" xfId="559" xr:uid="{00000000-0005-0000-0000-00002E020000}"/>
    <cellStyle name="百分比 5 3" xfId="560" xr:uid="{00000000-0005-0000-0000-00002F020000}"/>
    <cellStyle name="百分比 6" xfId="561" xr:uid="{00000000-0005-0000-0000-000030020000}"/>
    <cellStyle name="百分比 7" xfId="22" xr:uid="{00000000-0005-0000-0000-000031020000}"/>
    <cellStyle name="貨幣 2" xfId="562" xr:uid="{00000000-0005-0000-0000-000032020000}"/>
    <cellStyle name="貨幣[0]_ AUDIT" xfId="465" xr:uid="{00000000-0005-0000-0000-000033020000}"/>
    <cellStyle name="超連結 2" xfId="466" xr:uid="{00000000-0005-0000-0000-000034020000}"/>
    <cellStyle name="標準 2_關所SOP" xfId="563" xr:uid="{00000000-0005-0000-0000-000035020000}"/>
    <cellStyle name="樣式 1" xfId="467" xr:uid="{00000000-0005-0000-0000-000036020000}"/>
    <cellStyle name="樣式 2" xfId="468" xr:uid="{00000000-0005-0000-0000-000037020000}"/>
    <cellStyle name="壞_1001024-晉欣重要管制流程 (3)" xfId="564" xr:uid="{00000000-0005-0000-0000-000038020000}"/>
    <cellStyle name="壞_Sheet1" xfId="565" xr:uid="{00000000-0005-0000-0000-000039020000}"/>
    <cellStyle name="壞_工作日報表---" xfId="566" xr:uid="{00000000-0005-0000-0000-00003A020000}"/>
    <cellStyle name="壞_晉欣重要管制流程-油炸作業" xfId="567" xr:uid="{00000000-0005-0000-0000-00003B020000}"/>
    <cellStyle name="壞_晉欣重要管制流程-原物料驗收" xfId="568" xr:uid="{00000000-0005-0000-0000-00003C020000}"/>
    <cellStyle name="壞_晉欣重要管制流程-烤箱作業" xfId="569" xr:uid="{00000000-0005-0000-0000-00003D020000}"/>
    <cellStyle name="壞_晉欣重要管制流程-理貨作業" xfId="570" xr:uid="{00000000-0005-0000-0000-00003E020000}"/>
    <cellStyle name="壞_晉欣重要管制流程-煮麵作業" xfId="571" xr:uid="{00000000-0005-0000-0000-00003F020000}"/>
    <cellStyle name="壞_晉欣重要管制流程-飯糰機操作&amp;丼飯作業&amp;三明治&amp;標籤&amp;炊飯&amp;美生菜" xfId="572" xr:uid="{00000000-0005-0000-0000-000040020000}"/>
    <cellStyle name="壞_晉欣重要管制流程-準備室作業" xfId="573" xr:uid="{00000000-0005-0000-0000-000041020000}"/>
    <cellStyle name="壞_晉欣重要管制流程-補料作業" xfId="574" xr:uid="{00000000-0005-0000-0000-000042020000}"/>
    <cellStyle name="壞_配料相關一、二--------" xfId="575" xr:uid="{00000000-0005-0000-0000-000043020000}"/>
  </cellStyles>
  <dxfs count="4">
    <dxf>
      <font>
        <color rgb="FFFF0000"/>
      </font>
      <fill>
        <patternFill>
          <bgColor rgb="FFFFFFCC"/>
        </patternFill>
      </fill>
    </dxf>
    <dxf>
      <font>
        <color theme="1"/>
      </font>
    </dxf>
    <dxf>
      <font>
        <color rgb="FFFF0000"/>
      </font>
      <fill>
        <patternFill>
          <bgColor rgb="FFFFFFCC"/>
        </patternFill>
      </fill>
    </dxf>
    <dxf>
      <font>
        <color theme="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66259</xdr:colOff>
      <xdr:row>15</xdr:row>
      <xdr:rowOff>74543</xdr:rowOff>
    </xdr:from>
    <xdr:to>
      <xdr:col>12</xdr:col>
      <xdr:colOff>627283</xdr:colOff>
      <xdr:row>29</xdr:row>
      <xdr:rowOff>132521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59" y="3602934"/>
          <a:ext cx="8934741" cy="284093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A55"/>
  <sheetViews>
    <sheetView zoomScaleNormal="100" workbookViewId="0">
      <selection activeCell="E17" sqref="E17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9" t="s">
        <v>73</v>
      </c>
      <c r="C2" s="48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1" t="s">
        <v>21</v>
      </c>
      <c r="B4" s="68"/>
      <c r="C4" s="68"/>
      <c r="D4" s="68"/>
      <c r="E4" s="62" t="s">
        <v>23</v>
      </c>
      <c r="G4" s="61" t="s">
        <v>71</v>
      </c>
      <c r="H4" s="68"/>
      <c r="I4" s="68"/>
      <c r="J4" s="68"/>
      <c r="K4" s="68"/>
      <c r="M4" s="61" t="s">
        <v>32</v>
      </c>
      <c r="N4" s="68"/>
      <c r="O4" s="68"/>
      <c r="P4" s="68"/>
      <c r="Q4" s="68"/>
      <c r="R4" s="68"/>
      <c r="S4" s="61" t="s">
        <v>33</v>
      </c>
      <c r="T4" s="68"/>
      <c r="U4" s="68"/>
      <c r="V4" s="68"/>
      <c r="W4" s="68"/>
    </row>
    <row r="5" spans="1:23" ht="15.75" customHeight="1">
      <c r="A5" s="7"/>
      <c r="B5" s="50" t="s">
        <v>22</v>
      </c>
      <c r="C5" s="7" t="s">
        <v>1</v>
      </c>
      <c r="D5" s="7" t="s">
        <v>2</v>
      </c>
      <c r="E5" s="7" t="s">
        <v>3</v>
      </c>
      <c r="G5" s="7"/>
      <c r="H5" s="50" t="s">
        <v>69</v>
      </c>
      <c r="I5" s="50" t="s">
        <v>70</v>
      </c>
      <c r="J5" s="50" t="s">
        <v>67</v>
      </c>
      <c r="K5" s="7" t="s">
        <v>3</v>
      </c>
      <c r="L5" s="63" t="s">
        <v>60</v>
      </c>
      <c r="M5" s="7"/>
      <c r="N5" s="50" t="s">
        <v>22</v>
      </c>
      <c r="O5" s="50" t="s">
        <v>66</v>
      </c>
      <c r="P5" s="50" t="s">
        <v>67</v>
      </c>
      <c r="Q5" s="50" t="s">
        <v>68</v>
      </c>
      <c r="R5" s="68"/>
      <c r="S5" s="7"/>
      <c r="T5" s="50" t="s">
        <v>22</v>
      </c>
      <c r="U5" s="50" t="s">
        <v>66</v>
      </c>
      <c r="V5" s="50" t="s">
        <v>67</v>
      </c>
      <c r="W5" s="50" t="s">
        <v>68</v>
      </c>
    </row>
    <row r="6" spans="1:23" ht="15.75" customHeight="1">
      <c r="A6" s="50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50" t="s">
        <v>30</v>
      </c>
      <c r="H6" s="11">
        <v>110</v>
      </c>
      <c r="I6" s="11">
        <v>100</v>
      </c>
      <c r="J6" s="11">
        <v>90</v>
      </c>
      <c r="K6" s="12"/>
      <c r="L6" s="63" t="s">
        <v>61</v>
      </c>
      <c r="M6" s="50" t="s">
        <v>34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50" t="s">
        <v>34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50" t="s">
        <v>25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4" t="s">
        <v>31</v>
      </c>
      <c r="H7" s="14">
        <v>0.8</v>
      </c>
      <c r="I7" s="14">
        <v>0.85</v>
      </c>
      <c r="J7" s="14">
        <v>0.81</v>
      </c>
      <c r="K7" s="14">
        <v>0.84</v>
      </c>
      <c r="L7" s="67" t="s">
        <v>4</v>
      </c>
      <c r="M7" s="50" t="s">
        <v>35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50" t="s">
        <v>35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50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3" t="s">
        <v>55</v>
      </c>
      <c r="M8" s="50" t="s">
        <v>36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50" t="s">
        <v>36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6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50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3" t="s">
        <v>104</v>
      </c>
      <c r="M9" s="50" t="s">
        <v>44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50" t="s">
        <v>44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50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50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7" t="s">
        <v>7</v>
      </c>
      <c r="M10" s="50" t="s">
        <v>37</v>
      </c>
      <c r="N10" s="9" t="s">
        <v>8</v>
      </c>
      <c r="O10" s="13" t="str">
        <f t="shared" si="1"/>
        <v/>
      </c>
      <c r="P10" s="4" t="s">
        <v>9</v>
      </c>
      <c r="Q10" s="13" t="str">
        <f t="shared" si="2"/>
        <v/>
      </c>
      <c r="S10" s="50" t="s">
        <v>37</v>
      </c>
      <c r="T10" s="9" t="s">
        <v>8</v>
      </c>
      <c r="U10" s="13" t="str">
        <f t="shared" si="3"/>
        <v/>
      </c>
      <c r="V10" s="4" t="s">
        <v>9</v>
      </c>
      <c r="W10" s="13" t="str">
        <f t="shared" si="4"/>
        <v/>
      </c>
    </row>
    <row r="11" spans="1:23" ht="15.75" customHeight="1">
      <c r="A11" s="50" t="s">
        <v>65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50" t="s">
        <v>29</v>
      </c>
      <c r="H11" s="14">
        <v>0.8</v>
      </c>
      <c r="I11" s="14">
        <v>0.85</v>
      </c>
      <c r="J11" s="14">
        <v>1</v>
      </c>
      <c r="K11" s="14">
        <v>0.92</v>
      </c>
      <c r="L11" s="63" t="s">
        <v>62</v>
      </c>
      <c r="M11" s="50" t="s">
        <v>38</v>
      </c>
      <c r="N11" s="9" t="s">
        <v>8</v>
      </c>
      <c r="O11" s="13" t="str">
        <f t="shared" si="1"/>
        <v/>
      </c>
      <c r="P11" s="4" t="s">
        <v>9</v>
      </c>
      <c r="Q11" s="13" t="str">
        <f t="shared" si="2"/>
        <v/>
      </c>
      <c r="S11" s="50" t="s">
        <v>38</v>
      </c>
      <c r="T11" s="9" t="s">
        <v>8</v>
      </c>
      <c r="U11" s="13" t="str">
        <f t="shared" si="3"/>
        <v/>
      </c>
      <c r="V11" s="4" t="s">
        <v>9</v>
      </c>
      <c r="W11" s="13" t="str">
        <f t="shared" si="4"/>
        <v/>
      </c>
    </row>
    <row r="12" spans="1:23" ht="15.75" customHeight="1">
      <c r="M12" s="50" t="s">
        <v>39</v>
      </c>
      <c r="N12" s="9" t="s">
        <v>8</v>
      </c>
      <c r="O12" s="13" t="str">
        <f t="shared" si="1"/>
        <v/>
      </c>
      <c r="P12" s="4" t="s">
        <v>9</v>
      </c>
      <c r="Q12" s="13" t="str">
        <f t="shared" si="2"/>
        <v/>
      </c>
      <c r="S12" s="50" t="s">
        <v>39</v>
      </c>
      <c r="T12" s="9" t="s">
        <v>8</v>
      </c>
      <c r="U12" s="13" t="str">
        <f t="shared" si="3"/>
        <v/>
      </c>
      <c r="V12" s="4" t="s">
        <v>9</v>
      </c>
      <c r="W12" s="13" t="str">
        <f t="shared" si="4"/>
        <v/>
      </c>
    </row>
    <row r="13" spans="1:23" ht="15.75" customHeight="1">
      <c r="A13" s="61" t="s">
        <v>63</v>
      </c>
      <c r="B13" s="68"/>
      <c r="C13" s="68"/>
      <c r="D13" s="68"/>
      <c r="E13" s="68"/>
      <c r="F13" s="68"/>
      <c r="G13" s="47"/>
      <c r="H13" s="47"/>
      <c r="I13" s="47"/>
      <c r="J13" s="47"/>
      <c r="K13" s="47"/>
      <c r="M13" s="50" t="s">
        <v>40</v>
      </c>
      <c r="N13" s="9" t="s">
        <v>8</v>
      </c>
      <c r="O13" s="13" t="str">
        <f t="shared" si="1"/>
        <v/>
      </c>
      <c r="P13" s="4" t="s">
        <v>9</v>
      </c>
      <c r="Q13" s="13" t="str">
        <f t="shared" si="2"/>
        <v/>
      </c>
      <c r="S13" s="50" t="s">
        <v>40</v>
      </c>
      <c r="T13" s="9" t="s">
        <v>8</v>
      </c>
      <c r="U13" s="13" t="str">
        <f t="shared" si="3"/>
        <v/>
      </c>
      <c r="V13" s="4" t="s">
        <v>9</v>
      </c>
      <c r="W13" s="13" t="str">
        <f t="shared" si="4"/>
        <v/>
      </c>
    </row>
    <row r="14" spans="1:23" ht="12.75">
      <c r="A14" s="7"/>
      <c r="B14" s="50" t="s">
        <v>22</v>
      </c>
      <c r="C14" s="7" t="s">
        <v>1</v>
      </c>
      <c r="D14" s="7" t="s">
        <v>2</v>
      </c>
      <c r="E14" s="7" t="s">
        <v>3</v>
      </c>
      <c r="F14" s="68"/>
      <c r="G14" s="7"/>
      <c r="H14" s="50" t="s">
        <v>22</v>
      </c>
      <c r="I14" s="7" t="s">
        <v>1</v>
      </c>
      <c r="J14" s="7" t="s">
        <v>2</v>
      </c>
      <c r="K14" s="7" t="s">
        <v>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50" t="s">
        <v>34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50" t="s">
        <v>37</v>
      </c>
      <c r="H15" s="4"/>
      <c r="I15" s="4"/>
      <c r="J15" s="16">
        <f>H15-I15</f>
        <v>0</v>
      </c>
      <c r="K15" s="17"/>
      <c r="M15" s="61" t="s">
        <v>72</v>
      </c>
      <c r="N15" s="68"/>
      <c r="O15" s="68"/>
      <c r="P15" s="68"/>
      <c r="Q15" s="68"/>
      <c r="R15" s="68"/>
      <c r="S15" s="68"/>
    </row>
    <row r="16" spans="1:23" ht="15.75" customHeight="1">
      <c r="A16" s="50" t="s">
        <v>35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50" t="s">
        <v>38</v>
      </c>
      <c r="H16" s="4"/>
      <c r="I16" s="4"/>
      <c r="J16" s="16">
        <f>H16-I16</f>
        <v>0</v>
      </c>
      <c r="K16" s="17"/>
      <c r="M16" s="18"/>
      <c r="N16" s="46" t="s">
        <v>10</v>
      </c>
      <c r="O16" s="19"/>
      <c r="P16" s="59" t="s">
        <v>42</v>
      </c>
      <c r="Q16" s="19"/>
      <c r="R16" s="52" t="s">
        <v>43</v>
      </c>
      <c r="S16" s="19"/>
    </row>
    <row r="17" spans="1:27" ht="15.75" customHeight="1">
      <c r="A17" s="50" t="s">
        <v>36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50" t="s">
        <v>39</v>
      </c>
      <c r="H17" s="4"/>
      <c r="I17" s="4"/>
      <c r="J17" s="16">
        <f>H17-I17</f>
        <v>0</v>
      </c>
      <c r="K17" s="17"/>
      <c r="M17" s="20"/>
      <c r="N17" s="21" t="s">
        <v>11</v>
      </c>
      <c r="O17" s="51" t="s">
        <v>41</v>
      </c>
      <c r="P17" s="8" t="s">
        <v>11</v>
      </c>
      <c r="Q17" s="51" t="s">
        <v>41</v>
      </c>
      <c r="R17" s="8" t="s">
        <v>11</v>
      </c>
      <c r="S17" s="51" t="s">
        <v>41</v>
      </c>
    </row>
    <row r="18" spans="1:27" ht="15.75" customHeight="1">
      <c r="A18" s="50" t="s">
        <v>44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50" t="s">
        <v>40</v>
      </c>
      <c r="H18" s="4"/>
      <c r="I18" s="4"/>
      <c r="J18" s="16">
        <f>H18-I18</f>
        <v>0</v>
      </c>
      <c r="K18" s="17"/>
      <c r="M18" s="50" t="s">
        <v>26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50" t="s">
        <v>27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1" t="s">
        <v>45</v>
      </c>
      <c r="B20" s="68"/>
      <c r="C20" s="64"/>
      <c r="D20" s="68"/>
      <c r="E20" s="68"/>
      <c r="F20" s="64"/>
      <c r="G20" s="64"/>
      <c r="H20" s="64"/>
      <c r="I20" s="64"/>
      <c r="J20" s="68"/>
      <c r="K20" s="68"/>
    </row>
    <row r="21" spans="1:27" ht="15.75" customHeight="1">
      <c r="A21" s="18"/>
      <c r="B21" s="50" t="s">
        <v>47</v>
      </c>
      <c r="C21" s="580" t="s">
        <v>12</v>
      </c>
      <c r="D21" s="563"/>
      <c r="E21" s="556"/>
      <c r="F21" s="50" t="s">
        <v>46</v>
      </c>
      <c r="G21" s="50" t="s">
        <v>48</v>
      </c>
      <c r="H21" s="50" t="s">
        <v>49</v>
      </c>
      <c r="I21" s="8" t="s">
        <v>13</v>
      </c>
      <c r="J21" s="572" t="s">
        <v>51</v>
      </c>
      <c r="K21" s="556"/>
      <c r="M21" s="61" t="s">
        <v>52</v>
      </c>
      <c r="N21" s="68"/>
      <c r="O21" s="64"/>
      <c r="P21" s="68"/>
      <c r="Q21" s="68"/>
      <c r="R21" s="64"/>
      <c r="S21" s="64"/>
      <c r="T21" s="64"/>
      <c r="U21" s="64"/>
      <c r="V21" s="64"/>
      <c r="W21" s="64"/>
      <c r="X21" s="64"/>
      <c r="Y21" s="64"/>
      <c r="Z21" s="68"/>
      <c r="AA21" s="68"/>
    </row>
    <row r="22" spans="1:27" ht="15.75" customHeight="1">
      <c r="A22" s="53" t="s">
        <v>34</v>
      </c>
      <c r="B22" s="6">
        <v>1</v>
      </c>
      <c r="C22" s="555" t="s">
        <v>14</v>
      </c>
      <c r="D22" s="563"/>
      <c r="E22" s="556"/>
      <c r="F22" s="4">
        <v>3</v>
      </c>
      <c r="G22" s="4">
        <v>3000</v>
      </c>
      <c r="H22" s="4">
        <v>1000</v>
      </c>
      <c r="I22" s="4">
        <v>10</v>
      </c>
      <c r="J22" s="562" t="s">
        <v>76</v>
      </c>
      <c r="K22" s="556"/>
      <c r="M22" s="53" t="s">
        <v>26</v>
      </c>
      <c r="N22" s="58" t="s">
        <v>47</v>
      </c>
      <c r="O22" s="568" t="s">
        <v>12</v>
      </c>
      <c r="P22" s="563"/>
      <c r="Q22" s="556"/>
      <c r="R22" s="574" t="s">
        <v>53</v>
      </c>
      <c r="S22" s="563"/>
      <c r="T22" s="556"/>
      <c r="U22" s="58" t="s">
        <v>54</v>
      </c>
      <c r="V22" s="58" t="s">
        <v>55</v>
      </c>
      <c r="W22" s="58" t="s">
        <v>56</v>
      </c>
      <c r="X22" s="8" t="s">
        <v>11</v>
      </c>
      <c r="Y22" s="8" t="s">
        <v>13</v>
      </c>
      <c r="Z22" s="572" t="s">
        <v>51</v>
      </c>
      <c r="AA22" s="556"/>
    </row>
    <row r="23" spans="1:27" ht="15.75" customHeight="1">
      <c r="A23" s="23"/>
      <c r="B23" s="6">
        <v>2</v>
      </c>
      <c r="C23" s="577"/>
      <c r="D23" s="563"/>
      <c r="E23" s="556"/>
      <c r="F23" s="4"/>
      <c r="G23" s="4"/>
      <c r="H23" s="4"/>
      <c r="I23" s="4"/>
      <c r="J23" s="577"/>
      <c r="K23" s="556"/>
      <c r="M23" s="57" t="s">
        <v>42</v>
      </c>
      <c r="N23" s="24">
        <v>1</v>
      </c>
      <c r="O23" s="562" t="s">
        <v>82</v>
      </c>
      <c r="P23" s="563"/>
      <c r="Q23" s="556"/>
      <c r="R23" s="562" t="s">
        <v>85</v>
      </c>
      <c r="S23" s="563"/>
      <c r="T23" s="556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562" t="s">
        <v>86</v>
      </c>
      <c r="AA23" s="556"/>
    </row>
    <row r="24" spans="1:27" ht="15.75" customHeight="1">
      <c r="A24" s="23"/>
      <c r="B24" s="6">
        <v>3</v>
      </c>
      <c r="C24" s="577"/>
      <c r="D24" s="563"/>
      <c r="E24" s="556"/>
      <c r="F24" s="4"/>
      <c r="G24" s="4"/>
      <c r="H24" s="4"/>
      <c r="I24" s="4"/>
      <c r="J24" s="577"/>
      <c r="K24" s="556"/>
      <c r="M24" s="25"/>
      <c r="N24" s="24">
        <v>2</v>
      </c>
      <c r="O24" s="555"/>
      <c r="P24" s="563"/>
      <c r="Q24" s="556"/>
      <c r="R24" s="555"/>
      <c r="S24" s="563"/>
      <c r="T24" s="556"/>
      <c r="U24" s="4"/>
      <c r="V24" s="14"/>
      <c r="W24" s="4"/>
      <c r="X24" s="16">
        <f>W24*U24</f>
        <v>0</v>
      </c>
      <c r="Y24" s="4"/>
      <c r="Z24" s="555"/>
      <c r="AA24" s="556"/>
    </row>
    <row r="25" spans="1:27" ht="15.75" customHeight="1">
      <c r="A25" s="23"/>
      <c r="B25" s="6">
        <v>4</v>
      </c>
      <c r="C25" s="577"/>
      <c r="D25" s="563"/>
      <c r="E25" s="556"/>
      <c r="F25" s="4"/>
      <c r="G25" s="4"/>
      <c r="H25" s="4"/>
      <c r="I25" s="4"/>
      <c r="J25" s="577"/>
      <c r="K25" s="556"/>
      <c r="M25" s="25"/>
      <c r="N25" s="24">
        <v>3</v>
      </c>
      <c r="O25" s="555"/>
      <c r="P25" s="563"/>
      <c r="Q25" s="556"/>
      <c r="R25" s="555"/>
      <c r="S25" s="563"/>
      <c r="T25" s="556"/>
      <c r="U25" s="4"/>
      <c r="V25" s="14"/>
      <c r="W25" s="4"/>
      <c r="X25" s="16">
        <f>W25*U25</f>
        <v>0</v>
      </c>
      <c r="Y25" s="4"/>
      <c r="Z25" s="555"/>
      <c r="AA25" s="556"/>
    </row>
    <row r="26" spans="1:27" ht="15.75" customHeight="1">
      <c r="A26" s="23"/>
      <c r="B26" s="26">
        <v>5</v>
      </c>
      <c r="C26" s="581"/>
      <c r="D26" s="564"/>
      <c r="E26" s="558"/>
      <c r="F26" s="27"/>
      <c r="G26" s="27"/>
      <c r="H26" s="27"/>
      <c r="I26" s="27"/>
      <c r="J26" s="581"/>
      <c r="K26" s="558"/>
      <c r="M26" s="25"/>
      <c r="N26" s="24">
        <v>4</v>
      </c>
      <c r="O26" s="555"/>
      <c r="P26" s="563"/>
      <c r="Q26" s="556"/>
      <c r="R26" s="555"/>
      <c r="S26" s="563"/>
      <c r="T26" s="556"/>
      <c r="U26" s="4"/>
      <c r="V26" s="14"/>
      <c r="W26" s="4"/>
      <c r="X26" s="16">
        <f>W26*U26</f>
        <v>0</v>
      </c>
      <c r="Y26" s="4"/>
      <c r="Z26" s="555"/>
      <c r="AA26" s="556"/>
    </row>
    <row r="27" spans="1:27" ht="15.75" customHeight="1">
      <c r="A27" s="23"/>
      <c r="B27" s="70" t="s">
        <v>101</v>
      </c>
      <c r="C27" s="565" t="s">
        <v>75</v>
      </c>
      <c r="D27" s="566"/>
      <c r="E27" s="567"/>
      <c r="F27" s="28">
        <v>4</v>
      </c>
      <c r="G27" s="28">
        <v>2800</v>
      </c>
      <c r="H27" s="28">
        <v>700</v>
      </c>
      <c r="I27" s="28" t="s">
        <v>15</v>
      </c>
      <c r="J27" s="565" t="s">
        <v>77</v>
      </c>
      <c r="K27" s="567"/>
      <c r="M27" s="25"/>
      <c r="N27" s="29">
        <v>5</v>
      </c>
      <c r="O27" s="557"/>
      <c r="P27" s="564"/>
      <c r="Q27" s="558"/>
      <c r="R27" s="557"/>
      <c r="S27" s="564"/>
      <c r="T27" s="558"/>
      <c r="U27" s="27"/>
      <c r="V27" s="30"/>
      <c r="W27" s="27"/>
      <c r="X27" s="31">
        <f>W27*U27</f>
        <v>0</v>
      </c>
      <c r="Y27" s="4"/>
      <c r="Z27" s="557"/>
      <c r="AA27" s="558"/>
    </row>
    <row r="28" spans="1:27" ht="15.75" customHeight="1">
      <c r="A28" s="23"/>
      <c r="B28" s="71" t="s">
        <v>102</v>
      </c>
      <c r="C28" s="577"/>
      <c r="D28" s="563"/>
      <c r="E28" s="556"/>
      <c r="F28" s="4"/>
      <c r="G28" s="4"/>
      <c r="H28" s="4"/>
      <c r="I28" s="4"/>
      <c r="J28" s="577"/>
      <c r="K28" s="556"/>
      <c r="M28" s="32"/>
      <c r="N28" s="56"/>
      <c r="O28" s="559"/>
      <c r="P28" s="563"/>
      <c r="Q28" s="563"/>
      <c r="R28" s="559"/>
      <c r="S28" s="563"/>
      <c r="T28" s="563"/>
      <c r="U28" s="60" t="s">
        <v>58</v>
      </c>
      <c r="V28" s="33">
        <f>X28/N18</f>
        <v>8.3333333333333329E-2</v>
      </c>
      <c r="W28" s="60" t="s">
        <v>59</v>
      </c>
      <c r="X28" s="34">
        <f>SUM(X23:X27)</f>
        <v>100</v>
      </c>
      <c r="Y28" s="45"/>
      <c r="Z28" s="559"/>
      <c r="AA28" s="556"/>
    </row>
    <row r="29" spans="1:27" ht="15.75" customHeight="1">
      <c r="A29" s="23"/>
      <c r="B29" s="71" t="s">
        <v>100</v>
      </c>
      <c r="C29" s="577"/>
      <c r="D29" s="563"/>
      <c r="E29" s="556"/>
      <c r="F29" s="4"/>
      <c r="G29" s="4"/>
      <c r="H29" s="4"/>
      <c r="I29" s="4"/>
      <c r="J29" s="577"/>
      <c r="K29" s="556"/>
      <c r="M29" s="57" t="s">
        <v>43</v>
      </c>
      <c r="N29" s="24">
        <v>1</v>
      </c>
      <c r="O29" s="578" t="s">
        <v>16</v>
      </c>
      <c r="P29" s="579"/>
      <c r="Q29" s="561"/>
      <c r="R29" s="560" t="s">
        <v>87</v>
      </c>
      <c r="S29" s="579"/>
      <c r="T29" s="561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560" t="s">
        <v>88</v>
      </c>
      <c r="AA29" s="561"/>
    </row>
    <row r="30" spans="1:27" ht="15.75" customHeight="1">
      <c r="A30" s="23"/>
      <c r="B30" s="71" t="s">
        <v>99</v>
      </c>
      <c r="C30" s="577"/>
      <c r="D30" s="563"/>
      <c r="E30" s="556"/>
      <c r="F30" s="4"/>
      <c r="G30" s="4"/>
      <c r="H30" s="4"/>
      <c r="I30" s="4"/>
      <c r="J30" s="577"/>
      <c r="K30" s="556"/>
      <c r="M30" s="25"/>
      <c r="N30" s="24">
        <v>2</v>
      </c>
      <c r="O30" s="555"/>
      <c r="P30" s="563"/>
      <c r="Q30" s="556"/>
      <c r="R30" s="555"/>
      <c r="S30" s="563"/>
      <c r="T30" s="556"/>
      <c r="U30" s="4"/>
      <c r="V30" s="14"/>
      <c r="W30" s="4"/>
      <c r="X30" s="16">
        <f>W30*U30</f>
        <v>0</v>
      </c>
      <c r="Y30" s="4"/>
      <c r="Z30" s="555"/>
      <c r="AA30" s="556"/>
    </row>
    <row r="31" spans="1:27" ht="15.75" customHeight="1">
      <c r="A31" s="20"/>
      <c r="B31" s="71" t="s">
        <v>103</v>
      </c>
      <c r="C31" s="577"/>
      <c r="D31" s="563"/>
      <c r="E31" s="556"/>
      <c r="F31" s="4"/>
      <c r="G31" s="4"/>
      <c r="H31" s="4"/>
      <c r="I31" s="4"/>
      <c r="J31" s="577"/>
      <c r="K31" s="556"/>
      <c r="M31" s="25"/>
      <c r="N31" s="24">
        <v>3</v>
      </c>
      <c r="O31" s="555"/>
      <c r="P31" s="563"/>
      <c r="Q31" s="556"/>
      <c r="R31" s="555"/>
      <c r="S31" s="563"/>
      <c r="T31" s="556"/>
      <c r="U31" s="4"/>
      <c r="V31" s="14"/>
      <c r="W31" s="4"/>
      <c r="X31" s="16">
        <f>W31*U31</f>
        <v>0</v>
      </c>
      <c r="Y31" s="4"/>
      <c r="Z31" s="555"/>
      <c r="AA31" s="556"/>
    </row>
    <row r="32" spans="1:27" ht="15.75" customHeight="1">
      <c r="A32" s="68"/>
      <c r="M32" s="25"/>
      <c r="N32" s="24">
        <v>4</v>
      </c>
      <c r="O32" s="555"/>
      <c r="P32" s="563"/>
      <c r="Q32" s="556"/>
      <c r="R32" s="555"/>
      <c r="S32" s="563"/>
      <c r="T32" s="556"/>
      <c r="U32" s="4"/>
      <c r="V32" s="14"/>
      <c r="W32" s="4"/>
      <c r="X32" s="16">
        <f>W32*U32</f>
        <v>0</v>
      </c>
      <c r="Y32" s="4"/>
      <c r="Z32" s="555"/>
      <c r="AA32" s="556"/>
    </row>
    <row r="33" spans="1:27" ht="15.75" customHeight="1">
      <c r="A33" s="18"/>
      <c r="B33" s="50" t="s">
        <v>47</v>
      </c>
      <c r="C33" s="580" t="s">
        <v>12</v>
      </c>
      <c r="D33" s="563"/>
      <c r="E33" s="556"/>
      <c r="F33" s="50" t="s">
        <v>46</v>
      </c>
      <c r="G33" s="50" t="s">
        <v>48</v>
      </c>
      <c r="H33" s="50" t="s">
        <v>49</v>
      </c>
      <c r="I33" s="8" t="s">
        <v>13</v>
      </c>
      <c r="J33" s="572" t="s">
        <v>51</v>
      </c>
      <c r="K33" s="556"/>
      <c r="M33" s="25"/>
      <c r="N33" s="29">
        <v>5</v>
      </c>
      <c r="O33" s="555"/>
      <c r="P33" s="563"/>
      <c r="Q33" s="556"/>
      <c r="R33" s="555"/>
      <c r="S33" s="563"/>
      <c r="T33" s="556"/>
      <c r="U33" s="27"/>
      <c r="V33" s="30"/>
      <c r="W33" s="27"/>
      <c r="X33" s="31">
        <f>W33*U33</f>
        <v>0</v>
      </c>
      <c r="Y33" s="4"/>
      <c r="Z33" s="555"/>
      <c r="AA33" s="556"/>
    </row>
    <row r="34" spans="1:27" ht="15.75" customHeight="1">
      <c r="A34" s="53" t="s">
        <v>35</v>
      </c>
      <c r="B34" s="6">
        <v>1</v>
      </c>
      <c r="C34" s="562" t="s">
        <v>79</v>
      </c>
      <c r="D34" s="563"/>
      <c r="E34" s="556"/>
      <c r="F34" s="4">
        <v>3</v>
      </c>
      <c r="G34" s="4">
        <v>2500</v>
      </c>
      <c r="H34" s="4">
        <v>833.33</v>
      </c>
      <c r="I34" s="4">
        <v>20</v>
      </c>
      <c r="J34" s="562" t="s">
        <v>78</v>
      </c>
      <c r="K34" s="556"/>
      <c r="M34" s="69"/>
      <c r="N34" s="45"/>
      <c r="O34" s="559"/>
      <c r="P34" s="563"/>
      <c r="Q34" s="563"/>
      <c r="R34" s="559"/>
      <c r="S34" s="563"/>
      <c r="T34" s="563"/>
      <c r="U34" s="60" t="s">
        <v>58</v>
      </c>
      <c r="V34" s="33">
        <f>X34/N18</f>
        <v>0.23125000000000001</v>
      </c>
      <c r="W34" s="60" t="s">
        <v>59</v>
      </c>
      <c r="X34" s="34">
        <f>SUM(X29:X33)</f>
        <v>277.5</v>
      </c>
      <c r="Y34" s="45"/>
      <c r="Z34" s="559"/>
      <c r="AA34" s="556"/>
    </row>
    <row r="35" spans="1:27" ht="15.75" customHeight="1">
      <c r="A35" s="23"/>
      <c r="B35" s="6">
        <v>2</v>
      </c>
      <c r="C35" s="555"/>
      <c r="D35" s="563"/>
      <c r="E35" s="556"/>
      <c r="F35" s="4"/>
      <c r="G35" s="4"/>
      <c r="H35" s="4"/>
      <c r="I35" s="4"/>
      <c r="J35" s="555"/>
      <c r="K35" s="556"/>
      <c r="M35" s="1"/>
      <c r="N35" s="1"/>
      <c r="O35" s="570"/>
      <c r="P35" s="571"/>
      <c r="Q35" s="571"/>
      <c r="R35" s="570"/>
      <c r="S35" s="571"/>
      <c r="T35" s="571"/>
      <c r="U35" s="1"/>
      <c r="V35" s="38"/>
      <c r="W35" s="1"/>
      <c r="X35" s="1"/>
      <c r="Y35" s="570"/>
      <c r="Z35" s="571"/>
      <c r="AA35" s="571"/>
    </row>
    <row r="36" spans="1:27" ht="15.75" customHeight="1">
      <c r="A36" s="23"/>
      <c r="B36" s="6">
        <v>3</v>
      </c>
      <c r="C36" s="555"/>
      <c r="D36" s="563"/>
      <c r="E36" s="556"/>
      <c r="F36" s="4"/>
      <c r="G36" s="4"/>
      <c r="H36" s="4"/>
      <c r="I36" s="4"/>
      <c r="J36" s="555"/>
      <c r="K36" s="556"/>
      <c r="M36" s="53" t="s">
        <v>27</v>
      </c>
      <c r="N36" s="58" t="s">
        <v>47</v>
      </c>
      <c r="O36" s="568" t="s">
        <v>12</v>
      </c>
      <c r="P36" s="559"/>
      <c r="Q36" s="569"/>
      <c r="R36" s="574" t="s">
        <v>53</v>
      </c>
      <c r="S36" s="575"/>
      <c r="T36" s="576"/>
      <c r="U36" s="58" t="s">
        <v>54</v>
      </c>
      <c r="V36" s="58" t="s">
        <v>55</v>
      </c>
      <c r="W36" s="58" t="s">
        <v>56</v>
      </c>
      <c r="X36" s="8" t="s">
        <v>11</v>
      </c>
      <c r="Y36" s="8" t="s">
        <v>13</v>
      </c>
      <c r="Z36" s="572" t="s">
        <v>51</v>
      </c>
      <c r="AA36" s="573"/>
    </row>
    <row r="37" spans="1:27" ht="15.75" customHeight="1">
      <c r="A37" s="23"/>
      <c r="B37" s="6">
        <v>4</v>
      </c>
      <c r="C37" s="555"/>
      <c r="D37" s="563"/>
      <c r="E37" s="556"/>
      <c r="F37" s="4"/>
      <c r="G37" s="4"/>
      <c r="H37" s="4"/>
      <c r="I37" s="4"/>
      <c r="J37" s="555"/>
      <c r="K37" s="556"/>
      <c r="M37" s="57" t="s">
        <v>42</v>
      </c>
      <c r="N37" s="24">
        <v>1</v>
      </c>
      <c r="O37" s="562" t="s">
        <v>89</v>
      </c>
      <c r="P37" s="563"/>
      <c r="Q37" s="556"/>
      <c r="R37" s="562" t="s">
        <v>90</v>
      </c>
      <c r="S37" s="563"/>
      <c r="T37" s="556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562" t="s">
        <v>91</v>
      </c>
      <c r="AA37" s="556"/>
    </row>
    <row r="38" spans="1:27" ht="15.75" customHeight="1">
      <c r="A38" s="23"/>
      <c r="B38" s="26">
        <v>5</v>
      </c>
      <c r="C38" s="557"/>
      <c r="D38" s="564"/>
      <c r="E38" s="558"/>
      <c r="F38" s="27"/>
      <c r="G38" s="27"/>
      <c r="H38" s="27"/>
      <c r="I38" s="27"/>
      <c r="J38" s="557"/>
      <c r="K38" s="558"/>
      <c r="M38" s="25"/>
      <c r="N38" s="24">
        <v>2</v>
      </c>
      <c r="O38" s="555"/>
      <c r="P38" s="563"/>
      <c r="Q38" s="556"/>
      <c r="R38" s="555"/>
      <c r="S38" s="563"/>
      <c r="T38" s="556"/>
      <c r="U38" s="4"/>
      <c r="V38" s="14"/>
      <c r="W38" s="4"/>
      <c r="X38" s="16">
        <f>W38*U38</f>
        <v>0</v>
      </c>
      <c r="Y38" s="4"/>
      <c r="Z38" s="555"/>
      <c r="AA38" s="556"/>
    </row>
    <row r="39" spans="1:27" ht="14.25">
      <c r="A39" s="23"/>
      <c r="B39" s="70" t="s">
        <v>101</v>
      </c>
      <c r="C39" s="565" t="s">
        <v>80</v>
      </c>
      <c r="D39" s="566"/>
      <c r="E39" s="567"/>
      <c r="F39" s="28">
        <v>7</v>
      </c>
      <c r="G39" s="28">
        <v>2200</v>
      </c>
      <c r="H39" s="28">
        <v>314.29000000000002</v>
      </c>
      <c r="I39" s="28">
        <v>-15</v>
      </c>
      <c r="J39" s="565" t="s">
        <v>81</v>
      </c>
      <c r="K39" s="567"/>
      <c r="M39" s="25"/>
      <c r="N39" s="24">
        <v>3</v>
      </c>
      <c r="O39" s="555"/>
      <c r="P39" s="563"/>
      <c r="Q39" s="556"/>
      <c r="R39" s="555"/>
      <c r="S39" s="563"/>
      <c r="T39" s="556"/>
      <c r="U39" s="4"/>
      <c r="V39" s="14"/>
      <c r="W39" s="4"/>
      <c r="X39" s="16">
        <f>W39*U39</f>
        <v>0</v>
      </c>
      <c r="Y39" s="4"/>
      <c r="Z39" s="555"/>
      <c r="AA39" s="556"/>
    </row>
    <row r="40" spans="1:27" ht="14.25">
      <c r="A40" s="23"/>
      <c r="B40" s="71" t="s">
        <v>102</v>
      </c>
      <c r="C40" s="555"/>
      <c r="D40" s="563"/>
      <c r="E40" s="556"/>
      <c r="F40" s="4"/>
      <c r="G40" s="4"/>
      <c r="H40" s="4"/>
      <c r="I40" s="4"/>
      <c r="J40" s="555"/>
      <c r="K40" s="556"/>
      <c r="M40" s="25"/>
      <c r="N40" s="24">
        <v>4</v>
      </c>
      <c r="O40" s="555"/>
      <c r="P40" s="563"/>
      <c r="Q40" s="556"/>
      <c r="R40" s="555"/>
      <c r="S40" s="563"/>
      <c r="T40" s="556"/>
      <c r="U40" s="4"/>
      <c r="V40" s="14"/>
      <c r="W40" s="4"/>
      <c r="X40" s="16">
        <f>W40*U40</f>
        <v>0</v>
      </c>
      <c r="Y40" s="4"/>
      <c r="Z40" s="555"/>
      <c r="AA40" s="556"/>
    </row>
    <row r="41" spans="1:27" ht="14.25">
      <c r="A41" s="23"/>
      <c r="B41" s="71" t="s">
        <v>100</v>
      </c>
      <c r="C41" s="555"/>
      <c r="D41" s="563"/>
      <c r="E41" s="556"/>
      <c r="F41" s="4"/>
      <c r="G41" s="4"/>
      <c r="H41" s="4"/>
      <c r="I41" s="4"/>
      <c r="J41" s="555"/>
      <c r="K41" s="556"/>
      <c r="M41" s="25"/>
      <c r="N41" s="29">
        <v>5</v>
      </c>
      <c r="O41" s="557"/>
      <c r="P41" s="564"/>
      <c r="Q41" s="558"/>
      <c r="R41" s="557"/>
      <c r="S41" s="564"/>
      <c r="T41" s="558"/>
      <c r="U41" s="27"/>
      <c r="V41" s="30"/>
      <c r="W41" s="27"/>
      <c r="X41" s="31">
        <f>W41*U41</f>
        <v>0</v>
      </c>
      <c r="Y41" s="4"/>
      <c r="Z41" s="555"/>
      <c r="AA41" s="556"/>
    </row>
    <row r="42" spans="1:27" ht="14.25">
      <c r="A42" s="23"/>
      <c r="B42" s="71" t="s">
        <v>99</v>
      </c>
      <c r="C42" s="555"/>
      <c r="D42" s="563"/>
      <c r="E42" s="556"/>
      <c r="F42" s="4"/>
      <c r="G42" s="4"/>
      <c r="H42" s="4"/>
      <c r="I42" s="4"/>
      <c r="J42" s="555"/>
      <c r="K42" s="556"/>
      <c r="M42" s="32"/>
      <c r="N42" s="55"/>
      <c r="O42" s="559"/>
      <c r="P42" s="563"/>
      <c r="Q42" s="563"/>
      <c r="R42" s="559"/>
      <c r="S42" s="563"/>
      <c r="T42" s="563"/>
      <c r="U42" s="60" t="s">
        <v>58</v>
      </c>
      <c r="V42" s="33">
        <f>X42/N19</f>
        <v>5.5555555555555552E-2</v>
      </c>
      <c r="W42" s="60" t="s">
        <v>59</v>
      </c>
      <c r="X42" s="34">
        <f>SUM(X37:X41)</f>
        <v>250</v>
      </c>
      <c r="Y42" s="45"/>
      <c r="Z42" s="559"/>
      <c r="AA42" s="556"/>
    </row>
    <row r="43" spans="1:27" ht="14.25">
      <c r="A43" s="20"/>
      <c r="B43" s="71" t="s">
        <v>103</v>
      </c>
      <c r="C43" s="555"/>
      <c r="D43" s="563"/>
      <c r="E43" s="556"/>
      <c r="F43" s="4"/>
      <c r="G43" s="4"/>
      <c r="H43" s="4"/>
      <c r="I43" s="4"/>
      <c r="J43" s="555"/>
      <c r="K43" s="556"/>
      <c r="M43" s="57" t="s">
        <v>43</v>
      </c>
      <c r="N43" s="24">
        <v>1</v>
      </c>
      <c r="O43" s="562" t="s">
        <v>89</v>
      </c>
      <c r="P43" s="563"/>
      <c r="Q43" s="556"/>
      <c r="R43" s="560" t="s">
        <v>93</v>
      </c>
      <c r="S43" s="579"/>
      <c r="T43" s="561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562" t="s">
        <v>92</v>
      </c>
      <c r="AA43" s="556"/>
    </row>
    <row r="44" spans="1:27" ht="14.25">
      <c r="A44" s="68"/>
      <c r="M44" s="25"/>
      <c r="N44" s="24">
        <v>2</v>
      </c>
      <c r="O44" s="555"/>
      <c r="P44" s="563"/>
      <c r="Q44" s="556"/>
      <c r="R44" s="555"/>
      <c r="S44" s="563"/>
      <c r="T44" s="556"/>
      <c r="U44" s="4"/>
      <c r="V44" s="14"/>
      <c r="W44" s="4"/>
      <c r="X44" s="37">
        <f>W44*U44</f>
        <v>0</v>
      </c>
      <c r="Y44" s="4"/>
      <c r="Z44" s="555"/>
      <c r="AA44" s="556"/>
    </row>
    <row r="45" spans="1:27" ht="14.25">
      <c r="A45" s="18"/>
      <c r="B45" s="50" t="s">
        <v>47</v>
      </c>
      <c r="C45" s="580" t="s">
        <v>12</v>
      </c>
      <c r="D45" s="563"/>
      <c r="E45" s="556"/>
      <c r="F45" s="50" t="s">
        <v>46</v>
      </c>
      <c r="G45" s="50" t="s">
        <v>48</v>
      </c>
      <c r="H45" s="50" t="s">
        <v>49</v>
      </c>
      <c r="I45" s="8" t="s">
        <v>13</v>
      </c>
      <c r="J45" s="572" t="s">
        <v>51</v>
      </c>
      <c r="K45" s="556"/>
      <c r="M45" s="25"/>
      <c r="N45" s="24">
        <v>3</v>
      </c>
      <c r="O45" s="555"/>
      <c r="P45" s="563"/>
      <c r="Q45" s="556"/>
      <c r="R45" s="555"/>
      <c r="S45" s="563"/>
      <c r="T45" s="556"/>
      <c r="U45" s="4"/>
      <c r="V45" s="14"/>
      <c r="W45" s="4"/>
      <c r="X45" s="37">
        <f>W45*U45</f>
        <v>0</v>
      </c>
      <c r="Y45" s="4"/>
      <c r="Z45" s="555"/>
      <c r="AA45" s="556"/>
    </row>
    <row r="46" spans="1:27" ht="14.25">
      <c r="A46" s="53" t="s">
        <v>36</v>
      </c>
      <c r="B46" s="6">
        <v>1</v>
      </c>
      <c r="C46" s="562" t="s">
        <v>82</v>
      </c>
      <c r="D46" s="563"/>
      <c r="E46" s="556"/>
      <c r="F46" s="4">
        <v>15</v>
      </c>
      <c r="G46" s="4">
        <v>1200</v>
      </c>
      <c r="H46" s="4">
        <v>80</v>
      </c>
      <c r="I46" s="4">
        <v>5</v>
      </c>
      <c r="J46" s="562" t="s">
        <v>83</v>
      </c>
      <c r="K46" s="556"/>
      <c r="M46" s="25"/>
      <c r="N46" s="24">
        <v>4</v>
      </c>
      <c r="O46" s="555"/>
      <c r="P46" s="563"/>
      <c r="Q46" s="556"/>
      <c r="R46" s="555"/>
      <c r="S46" s="563"/>
      <c r="T46" s="556"/>
      <c r="U46" s="4"/>
      <c r="V46" s="14"/>
      <c r="W46" s="4"/>
      <c r="X46" s="37">
        <f>W46*U46</f>
        <v>0</v>
      </c>
      <c r="Y46" s="4"/>
      <c r="Z46" s="555"/>
      <c r="AA46" s="556"/>
    </row>
    <row r="47" spans="1:27" ht="14.25">
      <c r="A47" s="23"/>
      <c r="B47" s="6">
        <v>2</v>
      </c>
      <c r="C47" s="555"/>
      <c r="D47" s="563"/>
      <c r="E47" s="556"/>
      <c r="F47" s="4"/>
      <c r="G47" s="4"/>
      <c r="H47" s="4"/>
      <c r="I47" s="4"/>
      <c r="J47" s="555"/>
      <c r="K47" s="556"/>
      <c r="M47" s="25"/>
      <c r="N47" s="29">
        <v>5</v>
      </c>
      <c r="O47" s="555"/>
      <c r="P47" s="563"/>
      <c r="Q47" s="556"/>
      <c r="R47" s="555"/>
      <c r="S47" s="563"/>
      <c r="T47" s="556"/>
      <c r="U47" s="27"/>
      <c r="V47" s="30"/>
      <c r="W47" s="27"/>
      <c r="X47" s="40">
        <f>W47*U47</f>
        <v>0</v>
      </c>
      <c r="Y47" s="4"/>
      <c r="Z47" s="555"/>
      <c r="AA47" s="556"/>
    </row>
    <row r="48" spans="1:27" ht="14.25">
      <c r="A48" s="23"/>
      <c r="B48" s="6">
        <v>3</v>
      </c>
      <c r="C48" s="555"/>
      <c r="D48" s="563"/>
      <c r="E48" s="556"/>
      <c r="F48" s="4"/>
      <c r="G48" s="4"/>
      <c r="H48" s="4"/>
      <c r="I48" s="4"/>
      <c r="J48" s="555"/>
      <c r="K48" s="556"/>
      <c r="M48" s="69"/>
      <c r="N48" s="45"/>
      <c r="O48" s="559"/>
      <c r="P48" s="563"/>
      <c r="Q48" s="563"/>
      <c r="R48" s="559"/>
      <c r="S48" s="563"/>
      <c r="T48" s="563"/>
      <c r="U48" s="60" t="s">
        <v>58</v>
      </c>
      <c r="V48" s="33">
        <f>X48/N19</f>
        <v>0.13333333333333333</v>
      </c>
      <c r="W48" s="60" t="s">
        <v>59</v>
      </c>
      <c r="X48" s="34">
        <f>SUM(X43:X47)</f>
        <v>600</v>
      </c>
      <c r="Y48" s="45"/>
      <c r="Z48" s="559"/>
      <c r="AA48" s="556"/>
    </row>
    <row r="49" spans="1:27" ht="14.25">
      <c r="A49" s="23"/>
      <c r="B49" s="6">
        <v>4</v>
      </c>
      <c r="C49" s="555"/>
      <c r="D49" s="563"/>
      <c r="E49" s="556"/>
      <c r="F49" s="4"/>
      <c r="G49" s="4"/>
      <c r="H49" s="4"/>
      <c r="I49" s="4"/>
      <c r="J49" s="555"/>
      <c r="K49" s="556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557"/>
      <c r="D50" s="564"/>
      <c r="E50" s="558"/>
      <c r="F50" s="27"/>
      <c r="G50" s="27"/>
      <c r="H50" s="27"/>
      <c r="I50" s="27"/>
      <c r="J50" s="557"/>
      <c r="K50" s="558"/>
      <c r="M50" s="65" t="s">
        <v>17</v>
      </c>
      <c r="N50" s="67"/>
      <c r="O50" s="67"/>
      <c r="P50" s="67"/>
      <c r="Q50" s="67"/>
      <c r="R50" s="67"/>
      <c r="S50" s="67"/>
      <c r="T50" s="67"/>
      <c r="U50" s="67"/>
      <c r="V50" s="66"/>
      <c r="W50" s="67"/>
      <c r="X50" s="67"/>
      <c r="Y50" s="67"/>
      <c r="Z50" s="67"/>
      <c r="AA50" s="67"/>
    </row>
    <row r="51" spans="1:27" ht="14.25">
      <c r="A51" s="23"/>
      <c r="B51" s="70" t="s">
        <v>101</v>
      </c>
      <c r="C51" s="565" t="s">
        <v>89</v>
      </c>
      <c r="D51" s="566"/>
      <c r="E51" s="567"/>
      <c r="F51" s="28">
        <v>18</v>
      </c>
      <c r="G51" s="28">
        <v>800</v>
      </c>
      <c r="H51" s="28">
        <v>44.44</v>
      </c>
      <c r="I51" s="28">
        <v>-15</v>
      </c>
      <c r="J51" s="565" t="s">
        <v>84</v>
      </c>
      <c r="K51" s="567"/>
      <c r="M51" s="8"/>
      <c r="N51" s="8" t="s">
        <v>18</v>
      </c>
      <c r="O51" s="568" t="s">
        <v>12</v>
      </c>
      <c r="P51" s="559"/>
      <c r="Q51" s="569"/>
      <c r="R51" s="574" t="s">
        <v>53</v>
      </c>
      <c r="S51" s="575"/>
      <c r="T51" s="576"/>
      <c r="U51" s="58" t="s">
        <v>54</v>
      </c>
      <c r="V51" s="39" t="s">
        <v>19</v>
      </c>
      <c r="W51" s="58" t="s">
        <v>57</v>
      </c>
      <c r="X51" s="8" t="s">
        <v>2</v>
      </c>
      <c r="Y51" s="568" t="s">
        <v>50</v>
      </c>
      <c r="Z51" s="559"/>
      <c r="AA51" s="569"/>
    </row>
    <row r="52" spans="1:27" ht="14.25">
      <c r="A52" s="23"/>
      <c r="B52" s="71" t="s">
        <v>102</v>
      </c>
      <c r="C52" s="555"/>
      <c r="D52" s="563"/>
      <c r="E52" s="556"/>
      <c r="F52" s="4"/>
      <c r="G52" s="4"/>
      <c r="H52" s="4"/>
      <c r="I52" s="4"/>
      <c r="J52" s="555"/>
      <c r="K52" s="556"/>
      <c r="M52" s="57" t="s">
        <v>42</v>
      </c>
      <c r="N52" s="24">
        <v>1</v>
      </c>
      <c r="O52" s="562" t="s">
        <v>89</v>
      </c>
      <c r="P52" s="563"/>
      <c r="Q52" s="556"/>
      <c r="R52" s="560" t="s">
        <v>93</v>
      </c>
      <c r="S52" s="579"/>
      <c r="T52" s="561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562" t="s">
        <v>97</v>
      </c>
      <c r="Z52" s="563"/>
      <c r="AA52" s="556"/>
    </row>
    <row r="53" spans="1:27" ht="14.25">
      <c r="A53" s="23"/>
      <c r="B53" s="71" t="s">
        <v>100</v>
      </c>
      <c r="C53" s="555"/>
      <c r="D53" s="563"/>
      <c r="E53" s="556"/>
      <c r="F53" s="4"/>
      <c r="G53" s="4"/>
      <c r="H53" s="4"/>
      <c r="I53" s="4"/>
      <c r="J53" s="555"/>
      <c r="K53" s="556"/>
      <c r="M53" s="25"/>
      <c r="N53" s="29">
        <v>2</v>
      </c>
      <c r="O53" s="557"/>
      <c r="P53" s="564"/>
      <c r="Q53" s="558"/>
      <c r="R53" s="557"/>
      <c r="S53" s="564"/>
      <c r="T53" s="558"/>
      <c r="U53" s="27"/>
      <c r="V53" s="30"/>
      <c r="W53" s="30"/>
      <c r="X53" s="41">
        <f>W53-V53</f>
        <v>0</v>
      </c>
      <c r="Y53" s="557"/>
      <c r="Z53" s="564"/>
      <c r="AA53" s="558"/>
    </row>
    <row r="54" spans="1:27" ht="14.25">
      <c r="A54" s="23"/>
      <c r="B54" s="71" t="s">
        <v>99</v>
      </c>
      <c r="C54" s="555"/>
      <c r="D54" s="563"/>
      <c r="E54" s="556"/>
      <c r="F54" s="4"/>
      <c r="G54" s="4"/>
      <c r="H54" s="4"/>
      <c r="I54" s="4"/>
      <c r="J54" s="555"/>
      <c r="K54" s="556"/>
      <c r="M54" s="57" t="s">
        <v>43</v>
      </c>
      <c r="N54" s="42">
        <v>1</v>
      </c>
      <c r="O54" s="565" t="s">
        <v>94</v>
      </c>
      <c r="P54" s="566"/>
      <c r="Q54" s="567"/>
      <c r="R54" s="565" t="s">
        <v>95</v>
      </c>
      <c r="S54" s="566"/>
      <c r="T54" s="567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565" t="s">
        <v>96</v>
      </c>
      <c r="Z54" s="566"/>
      <c r="AA54" s="567"/>
    </row>
    <row r="55" spans="1:27" ht="14.25">
      <c r="A55" s="20"/>
      <c r="B55" s="71" t="s">
        <v>103</v>
      </c>
      <c r="C55" s="555"/>
      <c r="D55" s="563"/>
      <c r="E55" s="556"/>
      <c r="F55" s="4"/>
      <c r="G55" s="4"/>
      <c r="H55" s="4"/>
      <c r="I55" s="4"/>
      <c r="J55" s="555"/>
      <c r="K55" s="556"/>
      <c r="M55" s="22"/>
      <c r="N55" s="24">
        <v>2</v>
      </c>
      <c r="O55" s="555"/>
      <c r="P55" s="563"/>
      <c r="Q55" s="556"/>
      <c r="R55" s="555"/>
      <c r="S55" s="563"/>
      <c r="T55" s="556"/>
      <c r="U55" s="4"/>
      <c r="V55" s="14"/>
      <c r="W55" s="14"/>
      <c r="X55" s="13">
        <f>W55-V55</f>
        <v>0</v>
      </c>
      <c r="Y55" s="555"/>
      <c r="Z55" s="563"/>
      <c r="AA55" s="556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10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outlinePr summaryBelow="0" summaryRight="0"/>
  </sheetPr>
  <dimension ref="A1:W38"/>
  <sheetViews>
    <sheetView topLeftCell="A11" zoomScale="85" zoomScaleNormal="85" zoomScaleSheetLayoutView="115" workbookViewId="0">
      <selection activeCell="I31" sqref="I31"/>
    </sheetView>
  </sheetViews>
  <sheetFormatPr defaultColWidth="12.5703125" defaultRowHeight="15.75" customHeight="1"/>
  <cols>
    <col min="1" max="1" width="27.42578125" style="120" bestFit="1" customWidth="1"/>
    <col min="2" max="2" width="12.5703125" style="120" customWidth="1"/>
    <col min="3" max="4" width="12.5703125" style="120"/>
    <col min="5" max="5" width="16.42578125" style="120" customWidth="1"/>
    <col min="6" max="6" width="2.42578125" style="120" customWidth="1"/>
    <col min="7" max="7" width="24.85546875" style="120" bestFit="1" customWidth="1"/>
    <col min="8" max="10" width="12.5703125" style="120"/>
    <col min="11" max="11" width="16.42578125" style="120" customWidth="1"/>
    <col min="12" max="12" width="12.5703125" style="121"/>
    <col min="13" max="13" width="26.42578125" style="121" customWidth="1"/>
    <col min="14" max="16384" width="12.5703125" style="120"/>
  </cols>
  <sheetData>
    <row r="1" spans="1:13" ht="15.75" customHeight="1">
      <c r="A1" s="582" t="s">
        <v>361</v>
      </c>
      <c r="B1" s="582"/>
      <c r="C1" s="582"/>
      <c r="D1" s="582"/>
      <c r="E1" s="582"/>
      <c r="F1" s="582"/>
      <c r="G1" s="582"/>
      <c r="H1" s="582"/>
      <c r="I1" s="582"/>
      <c r="J1" s="582"/>
      <c r="K1" s="582"/>
      <c r="L1" s="120"/>
      <c r="M1" s="120"/>
    </row>
    <row r="2" spans="1:13" s="121" customFormat="1" ht="15.75" customHeight="1">
      <c r="A2" s="582"/>
      <c r="B2" s="582"/>
      <c r="C2" s="582"/>
      <c r="D2" s="582"/>
      <c r="E2" s="582"/>
      <c r="F2" s="582"/>
      <c r="G2" s="582"/>
      <c r="H2" s="582"/>
      <c r="I2" s="582"/>
      <c r="J2" s="582"/>
      <c r="K2" s="582"/>
    </row>
    <row r="3" spans="1:13" ht="21.6" customHeight="1">
      <c r="A3" s="140" t="s">
        <v>300</v>
      </c>
      <c r="B3" s="141">
        <v>7</v>
      </c>
      <c r="C3" s="140" t="s">
        <v>20</v>
      </c>
      <c r="D3" s="583" t="s">
        <v>360</v>
      </c>
      <c r="E3" s="583"/>
      <c r="F3" s="131"/>
      <c r="G3" s="132"/>
      <c r="H3" s="131"/>
      <c r="I3" s="131"/>
      <c r="J3" s="131"/>
      <c r="K3" s="131"/>
    </row>
    <row r="4" spans="1:13" s="122" customFormat="1" ht="15.75" customHeight="1">
      <c r="A4" s="133" t="s">
        <v>174</v>
      </c>
      <c r="B4" s="134"/>
      <c r="C4" s="134"/>
      <c r="D4" s="134"/>
      <c r="E4" s="124" t="s">
        <v>23</v>
      </c>
      <c r="F4" s="134"/>
      <c r="G4" s="135" t="s">
        <v>125</v>
      </c>
      <c r="H4" s="134"/>
      <c r="I4" s="134"/>
      <c r="J4" s="134"/>
      <c r="K4" s="134"/>
    </row>
    <row r="5" spans="1:13" s="126" customFormat="1" ht="15.75" customHeight="1">
      <c r="A5" s="147" t="s">
        <v>176</v>
      </c>
      <c r="B5" s="142" t="s">
        <v>22</v>
      </c>
      <c r="C5" s="142" t="s">
        <v>1</v>
      </c>
      <c r="D5" s="142" t="s">
        <v>2</v>
      </c>
      <c r="E5" s="142" t="s">
        <v>3</v>
      </c>
      <c r="F5" s="136"/>
      <c r="G5" s="147" t="s">
        <v>176</v>
      </c>
      <c r="H5" s="142" t="s">
        <v>69</v>
      </c>
      <c r="I5" s="142" t="s">
        <v>22</v>
      </c>
      <c r="J5" s="142" t="s">
        <v>67</v>
      </c>
      <c r="K5" s="142" t="s">
        <v>3</v>
      </c>
      <c r="L5" s="127" t="s">
        <v>60</v>
      </c>
    </row>
    <row r="6" spans="1:13" s="122" customFormat="1" ht="18" customHeight="1">
      <c r="A6" s="129" t="s">
        <v>24</v>
      </c>
      <c r="B6" s="143">
        <f>'（１）收支狀況'!H9/1000</f>
        <v>263724.30599999998</v>
      </c>
      <c r="C6" s="266">
        <v>274410.12599999999</v>
      </c>
      <c r="D6" s="143">
        <f t="shared" ref="D6:D11" si="0">B6-C6</f>
        <v>-10685.820000000007</v>
      </c>
      <c r="E6" s="370">
        <f>每月數值累積總表!N6</f>
        <v>1707955.08</v>
      </c>
      <c r="F6" s="134"/>
      <c r="G6" s="129" t="s">
        <v>177</v>
      </c>
      <c r="H6" s="269">
        <v>366</v>
      </c>
      <c r="I6" s="145">
        <f>'（２）ＫＰＩ達成進度'!H9</f>
        <v>337.18177159809551</v>
      </c>
      <c r="J6" s="271">
        <v>364.12855591473641</v>
      </c>
      <c r="K6" s="390">
        <f>每月數值累積總表!N10/COUNT(每月數值累積總表!B10:M10)</f>
        <v>349.46517951587327</v>
      </c>
      <c r="L6" s="123" t="s">
        <v>173</v>
      </c>
    </row>
    <row r="7" spans="1:13" s="122" customFormat="1" ht="18" customHeight="1">
      <c r="A7" s="129" t="s">
        <v>25</v>
      </c>
      <c r="B7" s="143">
        <f>'（１）收支狀況'!K9</f>
        <v>7772845</v>
      </c>
      <c r="C7" s="266">
        <v>8119475</v>
      </c>
      <c r="D7" s="143">
        <f t="shared" si="0"/>
        <v>-346630</v>
      </c>
      <c r="E7" s="370">
        <f>每月數值累積總表!N7</f>
        <v>51394584</v>
      </c>
      <c r="F7" s="134"/>
      <c r="G7" s="129" t="s">
        <v>178</v>
      </c>
      <c r="H7" s="247">
        <v>0.8</v>
      </c>
      <c r="I7" s="144">
        <f>'（２）ＫＰＩ達成進度'!K9</f>
        <v>0.92126167103304779</v>
      </c>
      <c r="J7" s="267">
        <v>0.99488676479436211</v>
      </c>
      <c r="K7" s="391">
        <f>每月數值累積總表!N11/COUNT(每月數值累積總表!B11:M11)</f>
        <v>0.94585843259571678</v>
      </c>
      <c r="L7" s="123" t="s">
        <v>4</v>
      </c>
    </row>
    <row r="8" spans="1:13" s="122" customFormat="1" ht="18" customHeight="1">
      <c r="A8" s="129" t="s">
        <v>5</v>
      </c>
      <c r="B8" s="143">
        <f>'（１）收支狀況'!N9/1000</f>
        <v>177945.75899999999</v>
      </c>
      <c r="C8" s="266">
        <v>182460.307</v>
      </c>
      <c r="D8" s="143">
        <f t="shared" si="0"/>
        <v>-4514.5480000000098</v>
      </c>
      <c r="E8" s="370">
        <f>每月數值累積總表!N8</f>
        <v>1139182.0860000001</v>
      </c>
      <c r="F8" s="134"/>
      <c r="G8" s="129" t="s">
        <v>179</v>
      </c>
      <c r="H8" s="242">
        <v>2.5000000000000001E-3</v>
      </c>
      <c r="I8" s="242">
        <f>'（２）ＫＰＩ達成進度'!N9</f>
        <v>2.4201877769025335E-3</v>
      </c>
      <c r="J8" s="272">
        <v>2.4197983376305788E-3</v>
      </c>
      <c r="K8" s="392">
        <f>每月數值累積總表!N12/COUNT(每月數值累積總表!B12:M12)</f>
        <v>2.4316813664743311E-3</v>
      </c>
      <c r="L8" s="123" t="s">
        <v>55</v>
      </c>
    </row>
    <row r="9" spans="1:13" s="122" customFormat="1" ht="18" customHeight="1">
      <c r="A9" s="129" t="s">
        <v>6</v>
      </c>
      <c r="B9" s="144">
        <f>'（１）收支狀況'!Q9</f>
        <v>0.67474159549025414</v>
      </c>
      <c r="C9" s="267">
        <v>0.66491827273167026</v>
      </c>
      <c r="D9" s="144">
        <f t="shared" si="0"/>
        <v>9.8233227585838856E-3</v>
      </c>
      <c r="E9" s="371">
        <f>E8/E6</f>
        <v>0.66698597600119558</v>
      </c>
      <c r="F9" s="134"/>
      <c r="G9" s="129" t="s">
        <v>180</v>
      </c>
      <c r="H9" s="242">
        <v>2.5999999999999999E-3</v>
      </c>
      <c r="I9" s="242">
        <f>'（２）ＫＰＩ達成進度'!Q9</f>
        <v>4.0165063875479516E-3</v>
      </c>
      <c r="J9" s="272">
        <v>4.0384936616125067E-3</v>
      </c>
      <c r="K9" s="392">
        <f>每月數值累積總表!N13/COUNT(每月數值累積總表!B13:M13)</f>
        <v>2.8303801867990046E-3</v>
      </c>
      <c r="L9" s="123" t="s">
        <v>98</v>
      </c>
    </row>
    <row r="10" spans="1:13" s="122" customFormat="1" ht="18" customHeight="1">
      <c r="A10" s="129" t="s">
        <v>64</v>
      </c>
      <c r="B10" s="143">
        <f>'（１）收支狀況'!T9/1000</f>
        <v>31544.631597417265</v>
      </c>
      <c r="C10" s="266">
        <v>31252.824021797464</v>
      </c>
      <c r="D10" s="143">
        <f t="shared" si="0"/>
        <v>291.80757561980136</v>
      </c>
      <c r="E10" s="370">
        <f>每月數值累積總表!N9</f>
        <v>221895.49816791964</v>
      </c>
      <c r="F10" s="134"/>
      <c r="G10" s="129" t="s">
        <v>181</v>
      </c>
      <c r="H10" s="244">
        <v>0.8</v>
      </c>
      <c r="I10" s="244">
        <f>'（２）ＫＰＩ達成進度'!T9</f>
        <v>0.91666666666666707</v>
      </c>
      <c r="J10" s="273">
        <v>0.91666666666666707</v>
      </c>
      <c r="K10" s="244"/>
      <c r="L10" s="123" t="s">
        <v>7</v>
      </c>
    </row>
    <row r="11" spans="1:13" s="122" customFormat="1" ht="18" customHeight="1">
      <c r="A11" s="129" t="s">
        <v>65</v>
      </c>
      <c r="B11" s="144">
        <f>'（１）收支狀況'!W9</f>
        <v>0.11961215132524518</v>
      </c>
      <c r="C11" s="267">
        <v>0.11389092843387807</v>
      </c>
      <c r="D11" s="144">
        <f t="shared" si="0"/>
        <v>5.7212228913671032E-3</v>
      </c>
      <c r="E11" s="371">
        <f>E10/E6</f>
        <v>0.12991881388819643</v>
      </c>
      <c r="F11" s="134"/>
      <c r="G11" s="129" t="s">
        <v>182</v>
      </c>
      <c r="H11" s="244">
        <v>1</v>
      </c>
      <c r="I11" s="144">
        <f>'（２）ＫＰＩ達成進度'!W9</f>
        <v>0.58341935483870966</v>
      </c>
      <c r="J11" s="267">
        <v>0.45500000000000002</v>
      </c>
      <c r="K11" s="144"/>
      <c r="L11" s="123" t="s">
        <v>62</v>
      </c>
    </row>
    <row r="12" spans="1:13" s="122" customFormat="1" ht="9.6" customHeight="1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</row>
    <row r="13" spans="1:13" s="122" customFormat="1" ht="15.75" customHeight="1">
      <c r="A13" s="133" t="s">
        <v>32</v>
      </c>
      <c r="B13" s="134"/>
      <c r="C13" s="134"/>
      <c r="D13" s="134"/>
      <c r="E13" s="134"/>
      <c r="F13" s="134"/>
      <c r="G13" s="133" t="s">
        <v>147</v>
      </c>
      <c r="H13" s="134"/>
      <c r="I13" s="134"/>
      <c r="J13" s="134"/>
      <c r="K13" s="134"/>
    </row>
    <row r="14" spans="1:13" s="128" customFormat="1" ht="14.25">
      <c r="A14" s="146"/>
      <c r="B14" s="146" t="s">
        <v>22</v>
      </c>
      <c r="C14" s="146" t="s">
        <v>66</v>
      </c>
      <c r="D14" s="146" t="s">
        <v>67</v>
      </c>
      <c r="E14" s="146" t="s">
        <v>68</v>
      </c>
      <c r="F14" s="137"/>
      <c r="G14" s="146"/>
      <c r="H14" s="146" t="s">
        <v>22</v>
      </c>
      <c r="I14" s="146" t="s">
        <v>66</v>
      </c>
      <c r="J14" s="146" t="s">
        <v>67</v>
      </c>
      <c r="K14" s="146" t="s">
        <v>68</v>
      </c>
    </row>
    <row r="15" spans="1:13" s="122" customFormat="1" ht="18" customHeight="1">
      <c r="A15" s="129" t="s">
        <v>438</v>
      </c>
      <c r="B15" s="143">
        <f>'（３）業績構成比'!M46/1000</f>
        <v>41290.453526652302</v>
      </c>
      <c r="C15" s="144">
        <f t="shared" ref="C15:C23" si="1">IFERROR(B15/$B$6,"")</f>
        <v>0.1565667349851792</v>
      </c>
      <c r="D15" s="267">
        <v>0.15909620594355234</v>
      </c>
      <c r="E15" s="144">
        <f t="shared" ref="E15:E23" si="2">IFERROR(C15-D15,"")</f>
        <v>-2.5294709583731367E-3</v>
      </c>
      <c r="F15" s="134"/>
      <c r="G15" s="129" t="s">
        <v>437</v>
      </c>
      <c r="H15" s="143">
        <f>'（４）訂單數量構成比'!M46</f>
        <v>2146526</v>
      </c>
      <c r="I15" s="144">
        <f t="shared" ref="I15:I23" si="3">IFERROR(H15/$B$7,"")</f>
        <v>0.2761570570363876</v>
      </c>
      <c r="J15" s="267">
        <v>0.30377645804597608</v>
      </c>
      <c r="K15" s="144">
        <f t="shared" ref="K15:K23" si="4">IFERROR(I15-J15,"")</f>
        <v>-2.7619401009588485E-2</v>
      </c>
    </row>
    <row r="16" spans="1:13" s="122" customFormat="1" ht="18" customHeight="1">
      <c r="A16" s="129" t="s">
        <v>201</v>
      </c>
      <c r="B16" s="143">
        <f>'（３）業績構成比'!S46/1000</f>
        <v>5040.4587881481939</v>
      </c>
      <c r="C16" s="144">
        <f t="shared" si="1"/>
        <v>1.9112606132512467E-2</v>
      </c>
      <c r="D16" s="267">
        <v>1.5745696272062962E-2</v>
      </c>
      <c r="E16" s="144">
        <f t="shared" si="2"/>
        <v>3.3669098604495046E-3</v>
      </c>
      <c r="F16" s="134"/>
      <c r="G16" s="129" t="s">
        <v>228</v>
      </c>
      <c r="H16" s="143">
        <f>'（４）訂單數量構成比'!S47</f>
        <v>173357</v>
      </c>
      <c r="I16" s="144">
        <f t="shared" si="3"/>
        <v>2.2302901961894262E-2</v>
      </c>
      <c r="J16" s="267">
        <v>2.0374565500179975E-2</v>
      </c>
      <c r="K16" s="144">
        <f t="shared" si="4"/>
        <v>1.9283364617142876E-3</v>
      </c>
    </row>
    <row r="17" spans="1:12" s="122" customFormat="1" ht="18" customHeight="1">
      <c r="A17" s="129" t="s">
        <v>197</v>
      </c>
      <c r="B17" s="143">
        <f>'（３）業績構成比'!U46/1000</f>
        <v>28134.506449678309</v>
      </c>
      <c r="C17" s="144">
        <f t="shared" si="1"/>
        <v>0.10668150720122972</v>
      </c>
      <c r="D17" s="267">
        <v>0.1122737786417838</v>
      </c>
      <c r="E17" s="144">
        <f t="shared" si="2"/>
        <v>-5.5922714405540752E-3</v>
      </c>
      <c r="F17" s="134"/>
      <c r="G17" s="129" t="s">
        <v>210</v>
      </c>
      <c r="H17" s="143">
        <f>'（４）訂單數量構成比'!U46</f>
        <v>858013</v>
      </c>
      <c r="I17" s="144">
        <f t="shared" si="3"/>
        <v>0.11038596549911905</v>
      </c>
      <c r="J17" s="267">
        <v>0.11176421507359223</v>
      </c>
      <c r="K17" s="144">
        <f t="shared" si="4"/>
        <v>-1.3782495744731754E-3</v>
      </c>
    </row>
    <row r="18" spans="1:12" s="122" customFormat="1" ht="18" customHeight="1">
      <c r="A18" s="129" t="s">
        <v>199</v>
      </c>
      <c r="B18" s="143">
        <f>'（３）業績構成比'!W46/1000</f>
        <v>3984.3017094018178</v>
      </c>
      <c r="C18" s="144">
        <f t="shared" si="1"/>
        <v>1.5107828966670286E-2</v>
      </c>
      <c r="D18" s="267">
        <v>6.4057098964910375E-3</v>
      </c>
      <c r="E18" s="144">
        <f t="shared" si="2"/>
        <v>8.702119070179249E-3</v>
      </c>
      <c r="F18" s="134"/>
      <c r="G18" s="129" t="s">
        <v>198</v>
      </c>
      <c r="H18" s="143">
        <f>'（４）訂單數量構成比'!W46</f>
        <v>142429</v>
      </c>
      <c r="I18" s="144">
        <f t="shared" si="3"/>
        <v>1.8323921292654106E-2</v>
      </c>
      <c r="J18" s="267">
        <v>1.4028244857998692E-2</v>
      </c>
      <c r="K18" s="144">
        <f t="shared" si="4"/>
        <v>4.2956764346554141E-3</v>
      </c>
    </row>
    <row r="19" spans="1:12" s="122" customFormat="1" ht="18" customHeight="1">
      <c r="A19" s="129" t="s">
        <v>203</v>
      </c>
      <c r="B19" s="143">
        <f>'（３）業績構成比'!AC46/1000</f>
        <v>56285.119443669326</v>
      </c>
      <c r="C19" s="144">
        <f t="shared" si="1"/>
        <v>0.21342408781869857</v>
      </c>
      <c r="D19" s="267">
        <v>0.20463247465994192</v>
      </c>
      <c r="E19" s="144">
        <f t="shared" si="2"/>
        <v>8.7916131587566504E-3</v>
      </c>
      <c r="F19" s="134"/>
      <c r="G19" s="129" t="s">
        <v>202</v>
      </c>
      <c r="H19" s="143">
        <f>'（４）訂單數量構成比'!AC46</f>
        <v>1432842</v>
      </c>
      <c r="I19" s="144">
        <f t="shared" si="3"/>
        <v>0.184339453572019</v>
      </c>
      <c r="J19" s="267">
        <v>0.17144616971813223</v>
      </c>
      <c r="K19" s="144">
        <f t="shared" si="4"/>
        <v>1.2893283853886772E-2</v>
      </c>
    </row>
    <row r="20" spans="1:12" s="122" customFormat="1" ht="18" customHeight="1">
      <c r="A20" s="129" t="s">
        <v>205</v>
      </c>
      <c r="B20" s="143">
        <f>'（３）業績構成比'!AE46/1000</f>
        <v>42995.922130518149</v>
      </c>
      <c r="C20" s="144">
        <f t="shared" si="1"/>
        <v>0.16303359664739492</v>
      </c>
      <c r="D20" s="267">
        <v>0.14537345969312873</v>
      </c>
      <c r="E20" s="144">
        <f t="shared" si="2"/>
        <v>1.7660136954266187E-2</v>
      </c>
      <c r="F20" s="134"/>
      <c r="G20" s="129" t="s">
        <v>204</v>
      </c>
      <c r="H20" s="143">
        <f>'（４）訂單數量構成比'!AE46</f>
        <v>734871</v>
      </c>
      <c r="I20" s="144">
        <f t="shared" si="3"/>
        <v>9.4543375044787339E-2</v>
      </c>
      <c r="J20" s="267">
        <v>9.5125016769003368E-2</v>
      </c>
      <c r="K20" s="144">
        <f t="shared" si="4"/>
        <v>-5.8164172421602822E-4</v>
      </c>
    </row>
    <row r="21" spans="1:12" s="122" customFormat="1" ht="18" customHeight="1">
      <c r="A21" s="129" t="s">
        <v>206</v>
      </c>
      <c r="B21" s="143">
        <f>'（３）業績構成比'!AG46/1000</f>
        <v>22151.652559733029</v>
      </c>
      <c r="C21" s="144">
        <f t="shared" si="1"/>
        <v>8.3995490956882191E-2</v>
      </c>
      <c r="D21" s="267">
        <v>0.10428794984341513</v>
      </c>
      <c r="E21" s="144">
        <f t="shared" si="2"/>
        <v>-2.0292458886532944E-2</v>
      </c>
      <c r="F21" s="134"/>
      <c r="G21" s="129" t="s">
        <v>211</v>
      </c>
      <c r="H21" s="143">
        <f>'（４）訂單數量構成比'!AG46</f>
        <v>447236</v>
      </c>
      <c r="I21" s="144">
        <f t="shared" si="3"/>
        <v>5.7538263016951967E-2</v>
      </c>
      <c r="J21" s="267">
        <v>7.2103514650282807E-2</v>
      </c>
      <c r="K21" s="144">
        <f t="shared" si="4"/>
        <v>-1.456525163333084E-2</v>
      </c>
    </row>
    <row r="22" spans="1:12" s="122" customFormat="1" ht="18" customHeight="1">
      <c r="A22" s="129" t="s">
        <v>207</v>
      </c>
      <c r="B22" s="143">
        <f>'（３）業績構成比'!AI46/1000</f>
        <v>41622.925999403626</v>
      </c>
      <c r="C22" s="144">
        <f t="shared" si="1"/>
        <v>0.15782741693669913</v>
      </c>
      <c r="D22" s="267">
        <v>0.16305944866987113</v>
      </c>
      <c r="E22" s="144">
        <f t="shared" si="2"/>
        <v>-5.2320317331719934E-3</v>
      </c>
      <c r="F22" s="134"/>
      <c r="G22" s="129" t="s">
        <v>212</v>
      </c>
      <c r="H22" s="143">
        <f>'（４）訂單數量構成比'!AI46</f>
        <v>1087177</v>
      </c>
      <c r="I22" s="144">
        <f t="shared" si="3"/>
        <v>0.13986860666847209</v>
      </c>
      <c r="J22" s="267">
        <v>0.11777111056022781</v>
      </c>
      <c r="K22" s="144">
        <f t="shared" si="4"/>
        <v>2.2097496108244283E-2</v>
      </c>
    </row>
    <row r="23" spans="1:12" s="122" customFormat="1" ht="18" customHeight="1">
      <c r="A23" s="129" t="s">
        <v>209</v>
      </c>
      <c r="B23" s="143">
        <f>'（３）業績構成比'!AK46/1000</f>
        <v>22218.965392795286</v>
      </c>
      <c r="C23" s="144">
        <f t="shared" si="1"/>
        <v>8.4250730354733738E-2</v>
      </c>
      <c r="D23" s="267">
        <v>8.912527637975301E-2</v>
      </c>
      <c r="E23" s="144">
        <f t="shared" si="2"/>
        <v>-4.8745460250192718E-3</v>
      </c>
      <c r="F23" s="134"/>
      <c r="G23" s="129" t="s">
        <v>208</v>
      </c>
      <c r="H23" s="143">
        <f>'（４）訂單數量構成比'!AK46</f>
        <v>750394</v>
      </c>
      <c r="I23" s="144">
        <f t="shared" si="3"/>
        <v>9.6540455907714609E-2</v>
      </c>
      <c r="J23" s="267">
        <v>9.3610704824606789E-2</v>
      </c>
      <c r="K23" s="144">
        <f t="shared" si="4"/>
        <v>2.9297510831078205E-3</v>
      </c>
    </row>
    <row r="24" spans="1:12" s="122" customFormat="1" ht="15.75" customHeight="1">
      <c r="A24" s="134"/>
      <c r="B24" s="134"/>
      <c r="C24" s="138">
        <f>SUM(C15:C23)</f>
        <v>1.0000000000000002</v>
      </c>
      <c r="D24" s="138">
        <f>SUM(D15:D23)</f>
        <v>1</v>
      </c>
      <c r="E24" s="134"/>
      <c r="F24" s="134"/>
      <c r="G24" s="134"/>
      <c r="H24" s="134"/>
      <c r="I24" s="138">
        <f>SUM(I15:I23)</f>
        <v>1</v>
      </c>
      <c r="J24" s="138">
        <f>SUM(J15:J23)</f>
        <v>1</v>
      </c>
      <c r="K24" s="134"/>
    </row>
    <row r="25" spans="1:12" s="122" customFormat="1" ht="9.6" customHeight="1">
      <c r="A25" s="139"/>
      <c r="B25" s="134"/>
      <c r="C25" s="134"/>
      <c r="D25" s="134"/>
      <c r="E25" s="134"/>
      <c r="F25" s="134"/>
      <c r="G25" s="134"/>
      <c r="H25" s="134"/>
      <c r="I25" s="134"/>
      <c r="J25" s="134"/>
      <c r="K25" s="134"/>
    </row>
    <row r="26" spans="1:12" s="122" customFormat="1" ht="15.75" customHeight="1">
      <c r="A26" s="133" t="s">
        <v>175</v>
      </c>
      <c r="B26" s="134"/>
      <c r="C26" s="134"/>
      <c r="D26" s="134"/>
      <c r="E26" s="134"/>
      <c r="F26" s="134"/>
      <c r="G26" s="134"/>
      <c r="H26" s="134"/>
      <c r="I26" s="134"/>
      <c r="J26" s="134"/>
      <c r="K26" s="134"/>
      <c r="L26" s="134"/>
    </row>
    <row r="27" spans="1:12" s="122" customFormat="1" ht="15.75" customHeight="1">
      <c r="A27" s="129" t="s">
        <v>166</v>
      </c>
      <c r="B27" s="129" t="s">
        <v>22</v>
      </c>
      <c r="C27" s="129" t="s">
        <v>1</v>
      </c>
      <c r="D27" s="129" t="s">
        <v>2</v>
      </c>
      <c r="E27" s="129" t="s">
        <v>3</v>
      </c>
      <c r="F27" s="134"/>
      <c r="G27" s="134"/>
      <c r="H27" s="134"/>
      <c r="I27" s="134"/>
    </row>
    <row r="28" spans="1:12" s="122" customFormat="1" ht="18" customHeight="1">
      <c r="A28" s="129" t="s">
        <v>437</v>
      </c>
      <c r="B28" s="268">
        <f>'（５-1）品群別人時生產性（18℃-飯糰）'!$C$1</f>
        <v>792.17451180030662</v>
      </c>
      <c r="C28" s="282">
        <v>834.38107540551334</v>
      </c>
      <c r="D28" s="238">
        <f t="shared" ref="D28:D36" si="5">B28-C28</f>
        <v>-42.206563605206725</v>
      </c>
      <c r="E28" s="393">
        <f>每月數值累積總表!N14/COUNT(每月數值累積總表!B14:M14)</f>
        <v>794.11387611341627</v>
      </c>
      <c r="F28" s="134"/>
      <c r="G28" s="148"/>
      <c r="H28" s="148"/>
      <c r="I28" s="148"/>
    </row>
    <row r="29" spans="1:12" s="122" customFormat="1" ht="18" customHeight="1">
      <c r="A29" s="129" t="s">
        <v>200</v>
      </c>
      <c r="B29" s="268">
        <f>'（５-2）品群別人時生產性（18-壽司手卷)'!$C$1</f>
        <v>144.1597308165511</v>
      </c>
      <c r="C29" s="282">
        <v>142.5352470188875</v>
      </c>
      <c r="D29" s="238">
        <f t="shared" si="5"/>
        <v>1.6244837976636006</v>
      </c>
      <c r="E29" s="393">
        <f>每月數值累積總表!N15/COUNT(每月數值累積總表!B15:M15)</f>
        <v>168.32117718180095</v>
      </c>
      <c r="F29" s="134"/>
      <c r="G29" s="149"/>
      <c r="H29" s="149"/>
      <c r="I29" s="149"/>
    </row>
    <row r="30" spans="1:12" s="122" customFormat="1" ht="18" customHeight="1">
      <c r="A30" s="129" t="s">
        <v>210</v>
      </c>
      <c r="B30" s="268">
        <f>'（５-3）品群別人時生產性（4℃-飯糰)'!$C$1</f>
        <v>222.59952757069328</v>
      </c>
      <c r="C30" s="282">
        <v>222.12793907376133</v>
      </c>
      <c r="D30" s="238">
        <f t="shared" si="5"/>
        <v>0.47158849693195748</v>
      </c>
      <c r="E30" s="393">
        <f>每月數值累積總表!N16/COUNT(每月數值累積總表!B16:M16)</f>
        <v>241.74759185412077</v>
      </c>
      <c r="F30" s="134"/>
      <c r="G30" s="134"/>
      <c r="H30" s="134"/>
      <c r="I30" s="134"/>
    </row>
    <row r="31" spans="1:12" s="122" customFormat="1" ht="18" customHeight="1">
      <c r="A31" s="129" t="s">
        <v>198</v>
      </c>
      <c r="B31" s="268">
        <f>'（５-4）品群別人時生產性（4℃-壽司手卷)'!$C$1</f>
        <v>152.24308823417576</v>
      </c>
      <c r="C31" s="282">
        <v>115.07894341055128</v>
      </c>
      <c r="D31" s="238">
        <f t="shared" si="5"/>
        <v>37.164144823624483</v>
      </c>
      <c r="E31" s="393">
        <f>每月數值累積總表!N17/COUNT(每月數值累積總表!B17:M17)</f>
        <v>119.17131379559198</v>
      </c>
      <c r="F31" s="134"/>
      <c r="G31" s="134"/>
      <c r="H31" s="134"/>
      <c r="I31" s="134"/>
    </row>
    <row r="32" spans="1:12" s="122" customFormat="1" ht="18" customHeight="1">
      <c r="A32" s="129" t="s">
        <v>202</v>
      </c>
      <c r="B32" s="268">
        <f>'（５-5）品群別人時生產性(主食) '!$C$1</f>
        <v>90.172954338690147</v>
      </c>
      <c r="C32" s="282">
        <v>89.027945993800301</v>
      </c>
      <c r="D32" s="238">
        <f t="shared" si="5"/>
        <v>1.1450083448898454</v>
      </c>
      <c r="E32" s="393">
        <f>每月數值累積總表!N18/COUNT(每月數值累積總表!B18:M18)</f>
        <v>86.379555030232751</v>
      </c>
      <c r="F32" s="134"/>
      <c r="G32" s="134"/>
      <c r="H32" s="134"/>
      <c r="I32" s="134"/>
    </row>
    <row r="33" spans="1:23" s="122" customFormat="1" ht="18" customHeight="1">
      <c r="A33" s="129" t="s">
        <v>204</v>
      </c>
      <c r="B33" s="268">
        <f>'（５-6）品群別人時生產性(便當)'!$C$1</f>
        <v>71.358623225565808</v>
      </c>
      <c r="C33" s="282">
        <v>72.154393507027919</v>
      </c>
      <c r="D33" s="238">
        <f t="shared" si="5"/>
        <v>-0.79577028146211148</v>
      </c>
      <c r="E33" s="393">
        <f>每月數值累積總表!N19/COUNT(每月數值累積總表!B19:M19)</f>
        <v>70.717581343029948</v>
      </c>
      <c r="F33" s="134"/>
      <c r="G33" s="134"/>
      <c r="H33" s="134"/>
      <c r="I33" s="134"/>
    </row>
    <row r="34" spans="1:23" s="122" customFormat="1" ht="18" customHeight="1">
      <c r="A34" s="129" t="s">
        <v>211</v>
      </c>
      <c r="B34" s="268">
        <f>'（５-7）品群別人時生產性(熱食義麵) '!$C$1</f>
        <v>78.155523716202509</v>
      </c>
      <c r="C34" s="282">
        <v>82.547283136519255</v>
      </c>
      <c r="D34" s="238">
        <f t="shared" si="5"/>
        <v>-4.3917594203167454</v>
      </c>
      <c r="E34" s="393">
        <f>每月數值累積總表!N20/COUNT(每月數值累積總表!B20:M20)</f>
        <v>80.430494604117371</v>
      </c>
      <c r="F34" s="134"/>
      <c r="G34" s="134"/>
      <c r="H34" s="134"/>
      <c r="I34" s="134"/>
    </row>
    <row r="35" spans="1:23" s="122" customFormat="1" ht="18" customHeight="1">
      <c r="A35" s="129" t="s">
        <v>212</v>
      </c>
      <c r="B35" s="268">
        <f>'（５-8）品群別人時生產性(季節調理麵) '!$C$1</f>
        <v>121.70792131080641</v>
      </c>
      <c r="C35" s="282">
        <v>126.04327603008255</v>
      </c>
      <c r="D35" s="238">
        <f t="shared" si="5"/>
        <v>-4.3353547192761397</v>
      </c>
      <c r="E35" s="393">
        <f>每月數值累積總表!N21/COUNT(每月數值累積總表!B21:M21)</f>
        <v>124.67139737549935</v>
      </c>
      <c r="F35" s="134"/>
      <c r="G35" s="134"/>
      <c r="H35" s="134"/>
      <c r="I35" s="134"/>
    </row>
    <row r="36" spans="1:23" s="122" customFormat="1" ht="18" customHeight="1">
      <c r="A36" s="125" t="s">
        <v>208</v>
      </c>
      <c r="B36" s="268">
        <f>'（５-9）品群別人時生產性(微波小吃)'!$C$1</f>
        <v>151.27704786354067</v>
      </c>
      <c r="C36" s="282">
        <v>148.12871711859412</v>
      </c>
      <c r="D36" s="238">
        <f t="shared" si="5"/>
        <v>3.1483307449465485</v>
      </c>
      <c r="E36" s="393">
        <f>每月數值累積總表!N22/COUNT(每月數值累積總表!B22:M22)</f>
        <v>156.58706249566242</v>
      </c>
      <c r="F36" s="134"/>
      <c r="G36" s="134"/>
      <c r="H36" s="134"/>
      <c r="I36" s="134"/>
    </row>
    <row r="37" spans="1:23" s="122" customFormat="1" ht="15.75" customHeight="1">
      <c r="N37" s="134"/>
      <c r="O37" s="134"/>
      <c r="P37" s="134"/>
      <c r="Q37" s="134"/>
      <c r="R37" s="134"/>
      <c r="S37" s="134"/>
      <c r="T37" s="134"/>
      <c r="U37" s="134"/>
      <c r="V37" s="134"/>
      <c r="W37" s="134"/>
    </row>
    <row r="38" spans="1:23" s="122" customFormat="1" ht="15.75" customHeight="1"/>
  </sheetData>
  <mergeCells count="2">
    <mergeCell ref="A1:K2"/>
    <mergeCell ref="D3:E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outlinePr summaryBelow="0" summaryRight="0"/>
  </sheetPr>
  <dimension ref="A1:R38"/>
  <sheetViews>
    <sheetView zoomScale="90" zoomScaleNormal="90" zoomScaleSheetLayoutView="100" workbookViewId="0">
      <selection activeCell="B10" sqref="B10"/>
    </sheetView>
  </sheetViews>
  <sheetFormatPr defaultColWidth="12.5703125" defaultRowHeight="15.75" customHeight="1"/>
  <cols>
    <col min="1" max="1" width="27.42578125" style="120" bestFit="1" customWidth="1"/>
    <col min="2" max="2" width="12.5703125" style="120" customWidth="1"/>
    <col min="3" max="4" width="12.5703125" style="120"/>
    <col min="5" max="5" width="16.42578125" style="120" customWidth="1"/>
    <col min="6" max="6" width="2.42578125" style="120" customWidth="1"/>
    <col min="7" max="7" width="24.85546875" style="120" bestFit="1" customWidth="1"/>
    <col min="8" max="10" width="12.5703125" style="120"/>
    <col min="11" max="11" width="16.42578125" style="120" customWidth="1"/>
    <col min="12" max="12" width="12.5703125" style="121"/>
    <col min="13" max="16384" width="12.5703125" style="120"/>
  </cols>
  <sheetData>
    <row r="1" spans="1:18" ht="15.75" customHeight="1">
      <c r="A1" s="582" t="s">
        <v>361</v>
      </c>
      <c r="B1" s="582"/>
      <c r="C1" s="582"/>
      <c r="D1" s="582"/>
      <c r="E1" s="582"/>
      <c r="F1" s="582"/>
      <c r="G1" s="582"/>
      <c r="H1" s="582"/>
      <c r="I1" s="582"/>
      <c r="J1" s="582"/>
      <c r="K1" s="582"/>
      <c r="L1" s="120"/>
    </row>
    <row r="2" spans="1:18" s="121" customFormat="1" ht="15.75" customHeight="1">
      <c r="A2" s="582"/>
      <c r="B2" s="582"/>
      <c r="C2" s="582"/>
      <c r="D2" s="582"/>
      <c r="E2" s="582"/>
      <c r="F2" s="582"/>
      <c r="G2" s="582"/>
      <c r="H2" s="582"/>
      <c r="I2" s="582"/>
      <c r="J2" s="582"/>
      <c r="K2" s="582"/>
    </row>
    <row r="3" spans="1:18" ht="21.6" customHeight="1">
      <c r="A3" s="140" t="s">
        <v>300</v>
      </c>
      <c r="B3" s="212">
        <v>11</v>
      </c>
      <c r="C3" s="214" t="s">
        <v>301</v>
      </c>
      <c r="D3" s="212" t="s">
        <v>435</v>
      </c>
      <c r="E3" s="140" t="s">
        <v>20</v>
      </c>
      <c r="F3" s="583" t="s">
        <v>360</v>
      </c>
      <c r="G3" s="583"/>
      <c r="H3" s="131"/>
      <c r="I3" s="132"/>
      <c r="J3" s="131"/>
      <c r="K3" s="131"/>
      <c r="L3" s="131"/>
      <c r="M3" s="131"/>
      <c r="N3" s="121"/>
    </row>
    <row r="4" spans="1:18" s="122" customFormat="1" ht="15.75" customHeight="1">
      <c r="A4" s="133" t="s">
        <v>174</v>
      </c>
      <c r="B4" s="134"/>
      <c r="C4" s="134"/>
      <c r="D4" s="134"/>
      <c r="E4" s="124" t="s">
        <v>23</v>
      </c>
      <c r="F4" s="134"/>
      <c r="G4" s="135" t="s">
        <v>125</v>
      </c>
      <c r="H4" s="134"/>
      <c r="I4" s="134"/>
      <c r="J4" s="134"/>
      <c r="K4" s="134"/>
    </row>
    <row r="5" spans="1:18" s="126" customFormat="1" ht="15.75" customHeight="1">
      <c r="A5" s="147" t="s">
        <v>176</v>
      </c>
      <c r="B5" s="147" t="s">
        <v>303</v>
      </c>
      <c r="C5" s="147" t="s">
        <v>305</v>
      </c>
      <c r="D5" s="142" t="s">
        <v>2</v>
      </c>
      <c r="E5" s="142" t="s">
        <v>3</v>
      </c>
      <c r="F5" s="136"/>
      <c r="G5" s="147" t="s">
        <v>176</v>
      </c>
      <c r="H5" s="142" t="s">
        <v>69</v>
      </c>
      <c r="I5" s="142" t="s">
        <v>302</v>
      </c>
      <c r="J5" s="142" t="s">
        <v>304</v>
      </c>
      <c r="K5" s="142" t="s">
        <v>3</v>
      </c>
      <c r="L5" s="127" t="s">
        <v>60</v>
      </c>
    </row>
    <row r="6" spans="1:18" s="122" customFormat="1" ht="18" customHeight="1">
      <c r="A6" s="129" t="s">
        <v>24</v>
      </c>
      <c r="B6" s="221">
        <f>'（１）收支狀況'!G33/1000</f>
        <v>0</v>
      </c>
      <c r="C6" s="248">
        <v>48568.542999999998</v>
      </c>
      <c r="D6" s="143">
        <f t="shared" ref="D6:D11" si="0">B6-C6</f>
        <v>-48568.542999999998</v>
      </c>
      <c r="E6" s="233">
        <f>'（１）收支狀況'!H9/1000</f>
        <v>263724.30599999998</v>
      </c>
      <c r="F6" s="134"/>
      <c r="G6" s="129" t="s">
        <v>177</v>
      </c>
      <c r="H6" s="235">
        <v>366</v>
      </c>
      <c r="I6" s="253">
        <f>'（２）ＫＰＩ達成進度'!G33</f>
        <v>0</v>
      </c>
      <c r="J6" s="254">
        <v>342.32011489371604</v>
      </c>
      <c r="K6" s="255">
        <f>'（２）ＫＰＩ達成進度'!H9</f>
        <v>337.18177159809551</v>
      </c>
      <c r="L6" s="123" t="s">
        <v>173</v>
      </c>
    </row>
    <row r="7" spans="1:18" s="122" customFormat="1" ht="18" customHeight="1">
      <c r="A7" s="129" t="s">
        <v>25</v>
      </c>
      <c r="B7" s="221">
        <f>'（１）收支狀況'!J33</f>
        <v>0</v>
      </c>
      <c r="C7" s="248">
        <v>1467152</v>
      </c>
      <c r="D7" s="143">
        <f t="shared" si="0"/>
        <v>-1467152</v>
      </c>
      <c r="E7" s="233">
        <f>'（１）收支狀況'!K9</f>
        <v>7772845</v>
      </c>
      <c r="F7" s="134"/>
      <c r="G7" s="129" t="s">
        <v>178</v>
      </c>
      <c r="H7" s="246">
        <v>0.8</v>
      </c>
      <c r="I7" s="244">
        <f>'（２）ＫＰＩ達成進度'!J33</f>
        <v>0</v>
      </c>
      <c r="J7" s="251">
        <v>0.93530086036534432</v>
      </c>
      <c r="K7" s="247">
        <f>'（２）ＫＰＩ達成進度'!K9</f>
        <v>0.92126167103304779</v>
      </c>
      <c r="L7" s="123" t="s">
        <v>4</v>
      </c>
    </row>
    <row r="8" spans="1:18" s="122" customFormat="1" ht="18" customHeight="1">
      <c r="A8" s="129" t="s">
        <v>5</v>
      </c>
      <c r="B8" s="221">
        <f>'（１）收支狀況'!M33/1000</f>
        <v>0</v>
      </c>
      <c r="C8" s="248">
        <v>32511.102999999999</v>
      </c>
      <c r="D8" s="143">
        <f>B8-C8</f>
        <v>-32511.102999999999</v>
      </c>
      <c r="E8" s="233">
        <f>'（１）收支狀況'!N9/1000</f>
        <v>177945.75899999999</v>
      </c>
      <c r="F8" s="134"/>
      <c r="G8" s="129" t="s">
        <v>179</v>
      </c>
      <c r="H8" s="234">
        <v>2.5000000000000001E-3</v>
      </c>
      <c r="I8" s="242">
        <f>'（２）ＫＰＩ達成進度'!M33</f>
        <v>0</v>
      </c>
      <c r="J8" s="250">
        <v>2.44992700831204E-3</v>
      </c>
      <c r="K8" s="242">
        <f>'（２）ＫＰＩ達成進度'!N9</f>
        <v>2.4201877769025335E-3</v>
      </c>
      <c r="L8" s="123" t="s">
        <v>55</v>
      </c>
    </row>
    <row r="9" spans="1:18" s="122" customFormat="1" ht="18" customHeight="1">
      <c r="A9" s="129" t="s">
        <v>6</v>
      </c>
      <c r="B9" s="222">
        <f>'（１）收支狀況'!P33</f>
        <v>0</v>
      </c>
      <c r="C9" s="249">
        <v>0.66938600567037809</v>
      </c>
      <c r="D9" s="144">
        <f t="shared" si="0"/>
        <v>-0.66938600567037809</v>
      </c>
      <c r="E9" s="144">
        <f>'（１）收支狀況'!Q9</f>
        <v>0.67474159549025414</v>
      </c>
      <c r="F9" s="134"/>
      <c r="G9" s="129" t="s">
        <v>180</v>
      </c>
      <c r="H9" s="234">
        <v>2.5999999999999999E-3</v>
      </c>
      <c r="I9" s="242">
        <f>'（２）ＫＰＩ達成進度'!P33</f>
        <v>0</v>
      </c>
      <c r="J9" s="250">
        <v>2.2296455419316499E-3</v>
      </c>
      <c r="K9" s="242">
        <f>'（２）ＫＰＩ達成進度'!Q9</f>
        <v>4.0165063875479516E-3</v>
      </c>
      <c r="L9" s="123" t="s">
        <v>98</v>
      </c>
    </row>
    <row r="10" spans="1:18" s="122" customFormat="1" ht="18" customHeight="1">
      <c r="A10" s="129" t="s">
        <v>64</v>
      </c>
      <c r="B10" s="221">
        <f>'（１）收支狀況'!S33/1000</f>
        <v>0</v>
      </c>
      <c r="C10" s="248">
        <f>7059638.28/1000</f>
        <v>7059.6382800000001</v>
      </c>
      <c r="D10" s="143">
        <f t="shared" si="0"/>
        <v>-7059.6382800000001</v>
      </c>
      <c r="E10" s="233">
        <f>'（１）收支狀況'!T9/1000</f>
        <v>31544.631597417265</v>
      </c>
      <c r="F10" s="134"/>
      <c r="G10" s="129" t="s">
        <v>181</v>
      </c>
      <c r="H10" s="243">
        <v>0.8</v>
      </c>
      <c r="I10" s="244">
        <v>0.91700000000000004</v>
      </c>
      <c r="J10" s="251">
        <v>0.91700000000000004</v>
      </c>
      <c r="K10" s="244">
        <v>0.91700000000000004</v>
      </c>
      <c r="L10" s="123" t="s">
        <v>7</v>
      </c>
    </row>
    <row r="11" spans="1:18" s="122" customFormat="1" ht="18" customHeight="1">
      <c r="A11" s="129" t="s">
        <v>65</v>
      </c>
      <c r="B11" s="222">
        <f>'（１）收支狀況'!V33</f>
        <v>0</v>
      </c>
      <c r="C11" s="249">
        <v>0.14535412931781796</v>
      </c>
      <c r="D11" s="144">
        <f t="shared" si="0"/>
        <v>-0.14535412931781796</v>
      </c>
      <c r="E11" s="144">
        <f>'（１）收支狀況'!W9</f>
        <v>0.11961215132524518</v>
      </c>
      <c r="F11" s="134"/>
      <c r="G11" s="129" t="s">
        <v>182</v>
      </c>
      <c r="H11" s="243">
        <v>1</v>
      </c>
      <c r="I11" s="244">
        <f>'（２）ＫＰＩ達成進度'!V33</f>
        <v>0</v>
      </c>
      <c r="J11" s="251">
        <v>0.90285714285714291</v>
      </c>
      <c r="K11" s="244">
        <f>'（２）ＫＰＩ達成進度'!W9</f>
        <v>0.58341935483870966</v>
      </c>
      <c r="L11" s="123" t="s">
        <v>62</v>
      </c>
    </row>
    <row r="12" spans="1:18" s="122" customFormat="1" ht="9.6" customHeight="1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</row>
    <row r="13" spans="1:18" s="122" customFormat="1" ht="15.75" customHeight="1">
      <c r="A13" s="133" t="s">
        <v>32</v>
      </c>
      <c r="B13" s="134"/>
      <c r="C13" s="134"/>
      <c r="D13" s="134"/>
      <c r="E13" s="134"/>
      <c r="F13" s="134"/>
      <c r="G13" s="133" t="s">
        <v>147</v>
      </c>
      <c r="H13" s="134"/>
      <c r="I13" s="134"/>
      <c r="J13" s="134"/>
      <c r="K13" s="134"/>
    </row>
    <row r="14" spans="1:18" s="128" customFormat="1" ht="14.25">
      <c r="A14" s="146"/>
      <c r="B14" s="215" t="s">
        <v>303</v>
      </c>
      <c r="C14" s="146" t="s">
        <v>66</v>
      </c>
      <c r="D14" s="215" t="s">
        <v>306</v>
      </c>
      <c r="E14" s="146" t="s">
        <v>68</v>
      </c>
      <c r="F14" s="137"/>
      <c r="G14" s="146"/>
      <c r="H14" s="215" t="s">
        <v>303</v>
      </c>
      <c r="I14" s="146" t="s">
        <v>66</v>
      </c>
      <c r="J14" s="215" t="s">
        <v>306</v>
      </c>
      <c r="K14" s="146" t="s">
        <v>68</v>
      </c>
      <c r="M14" s="122"/>
      <c r="N14" s="122"/>
      <c r="O14" s="122"/>
      <c r="P14" s="122"/>
      <c r="Q14" s="122"/>
      <c r="R14" s="122"/>
    </row>
    <row r="15" spans="1:18" s="122" customFormat="1" ht="18" customHeight="1">
      <c r="A15" s="129" t="s">
        <v>309</v>
      </c>
      <c r="B15" s="236">
        <f>SUM('（３）業績構成比'!I35:I41,'（３）業績構成比'!K35:K41)/1000</f>
        <v>3666.5455561988128</v>
      </c>
      <c r="C15" s="144" t="str">
        <f>IFERROR(B15/$B$6,"")</f>
        <v/>
      </c>
      <c r="D15" s="249">
        <v>0.18934667782754822</v>
      </c>
      <c r="E15" s="144" t="str">
        <f>IFERROR(C15-D15,"")</f>
        <v/>
      </c>
      <c r="F15" s="134"/>
      <c r="G15" s="129" t="s">
        <v>309</v>
      </c>
      <c r="H15" s="236">
        <f>SUM(,'（４）訂單數量構成比'!I35:I41,'（４）訂單數量構成比'!K35:K41)</f>
        <v>189828</v>
      </c>
      <c r="I15" s="144" t="str">
        <f t="shared" ref="I15:I23" si="1">IFERROR(H15/$B$7,"")</f>
        <v/>
      </c>
      <c r="J15" s="249">
        <v>0.32807711811727758</v>
      </c>
      <c r="K15" s="144" t="str">
        <f t="shared" ref="K15:K23" si="2">IFERROR(I15-J15,"")</f>
        <v/>
      </c>
    </row>
    <row r="16" spans="1:18" s="122" customFormat="1" ht="18" customHeight="1">
      <c r="A16" s="129" t="s">
        <v>201</v>
      </c>
      <c r="B16" s="236">
        <f>SUM('（３）業績構成比'!O35:O41,'（３）業績構成比'!Q35:Q41)/1000</f>
        <v>604.51296894473285</v>
      </c>
      <c r="C16" s="144" t="str">
        <f t="shared" ref="C16:C23" si="3">IFERROR(B16/$B$6,"")</f>
        <v/>
      </c>
      <c r="D16" s="249">
        <v>3.5232688102032263E-2</v>
      </c>
      <c r="E16" s="144" t="str">
        <f t="shared" ref="E16:E23" si="4">IFERROR(C16-D16,"")</f>
        <v/>
      </c>
      <c r="F16" s="134"/>
      <c r="G16" s="129" t="s">
        <v>228</v>
      </c>
      <c r="H16" s="236">
        <f>SUM('（４）訂單數量構成比'!O35:O41,'（４）訂單數量構成比'!Q35:Q41)</f>
        <v>20650</v>
      </c>
      <c r="I16" s="144" t="str">
        <f t="shared" si="1"/>
        <v/>
      </c>
      <c r="J16" s="249">
        <v>4.6813145468226874E-2</v>
      </c>
      <c r="K16" s="144" t="str">
        <f t="shared" si="2"/>
        <v/>
      </c>
    </row>
    <row r="17" spans="1:11" s="122" customFormat="1" ht="18" customHeight="1">
      <c r="A17" s="129" t="s">
        <v>197</v>
      </c>
      <c r="B17" s="236">
        <f>SUM('（３）業績構成比'!U35:U41)/1000</f>
        <v>2644.9825004489862</v>
      </c>
      <c r="C17" s="144" t="str">
        <f t="shared" si="3"/>
        <v/>
      </c>
      <c r="D17" s="249">
        <v>9.0034971565151903E-2</v>
      </c>
      <c r="E17" s="144" t="str">
        <f t="shared" si="4"/>
        <v/>
      </c>
      <c r="F17" s="134"/>
      <c r="G17" s="129" t="s">
        <v>210</v>
      </c>
      <c r="H17" s="236">
        <f>SUM('（４）訂單數量構成比'!U35:U41)</f>
        <v>80485</v>
      </c>
      <c r="I17" s="144" t="str">
        <f t="shared" si="1"/>
        <v/>
      </c>
      <c r="J17" s="249">
        <v>8.4512034199592134E-2</v>
      </c>
      <c r="K17" s="144" t="str">
        <f t="shared" si="2"/>
        <v/>
      </c>
    </row>
    <row r="18" spans="1:11" s="122" customFormat="1" ht="18" customHeight="1">
      <c r="A18" s="129" t="s">
        <v>199</v>
      </c>
      <c r="B18" s="236">
        <f>SUM('（３）業績構成比'!W35:W41)/1000</f>
        <v>258.41464828609617</v>
      </c>
      <c r="C18" s="144" t="str">
        <f t="shared" si="3"/>
        <v/>
      </c>
      <c r="D18" s="249">
        <v>1.1775084230339142E-2</v>
      </c>
      <c r="E18" s="144" t="str">
        <f t="shared" si="4"/>
        <v/>
      </c>
      <c r="F18" s="134"/>
      <c r="G18" s="129" t="s">
        <v>198</v>
      </c>
      <c r="H18" s="236">
        <f>SUM('（４）訂單數量構成比'!W35:W41)</f>
        <v>8533</v>
      </c>
      <c r="I18" s="144" t="str">
        <f t="shared" si="1"/>
        <v/>
      </c>
      <c r="J18" s="249">
        <v>1.917865360916933E-2</v>
      </c>
      <c r="K18" s="144" t="str">
        <f t="shared" si="2"/>
        <v/>
      </c>
    </row>
    <row r="19" spans="1:11" s="122" customFormat="1" ht="18" customHeight="1">
      <c r="A19" s="129" t="s">
        <v>203</v>
      </c>
      <c r="B19" s="236">
        <f>SUM('（３）業績構成比'!Y35:Y41,'（３）業績構成比'!AA35:AA41)/1000</f>
        <v>4974.4862832874587</v>
      </c>
      <c r="C19" s="144" t="str">
        <f t="shared" si="3"/>
        <v/>
      </c>
      <c r="D19" s="249">
        <v>0.28328980102486256</v>
      </c>
      <c r="E19" s="144" t="str">
        <f t="shared" si="4"/>
        <v/>
      </c>
      <c r="F19" s="134"/>
      <c r="G19" s="129" t="s">
        <v>202</v>
      </c>
      <c r="H19" s="236">
        <f>SUM('（４）訂單數量構成比'!Y35:Y41,'（４）訂單數量構成比'!AA35:AA41)</f>
        <v>131088</v>
      </c>
      <c r="I19" s="144" t="str">
        <f t="shared" si="1"/>
        <v/>
      </c>
      <c r="J19" s="249">
        <v>0.22873430973750505</v>
      </c>
      <c r="K19" s="144" t="str">
        <f t="shared" si="2"/>
        <v/>
      </c>
    </row>
    <row r="20" spans="1:11" s="122" customFormat="1" ht="18" customHeight="1">
      <c r="A20" s="129" t="s">
        <v>205</v>
      </c>
      <c r="B20" s="236">
        <f>SUM('（３）業績構成比'!AE35:AE41)/1000</f>
        <v>3604.6294621921579</v>
      </c>
      <c r="C20" s="144" t="str">
        <f t="shared" si="3"/>
        <v/>
      </c>
      <c r="D20" s="249">
        <v>0.1504046846615002</v>
      </c>
      <c r="E20" s="144" t="str">
        <f t="shared" si="4"/>
        <v/>
      </c>
      <c r="F20" s="134"/>
      <c r="G20" s="129" t="s">
        <v>204</v>
      </c>
      <c r="H20" s="236">
        <f>SUM('（４）訂單數量構成比'!AE35:AE41)</f>
        <v>61922</v>
      </c>
      <c r="I20" s="144" t="str">
        <f t="shared" si="1"/>
        <v/>
      </c>
      <c r="J20" s="249">
        <v>8.9526511227193906E-2</v>
      </c>
      <c r="K20" s="144" t="str">
        <f t="shared" si="2"/>
        <v/>
      </c>
    </row>
    <row r="21" spans="1:11" s="122" customFormat="1" ht="18" customHeight="1">
      <c r="A21" s="129" t="s">
        <v>206</v>
      </c>
      <c r="B21" s="236">
        <f>SUM('（３）業績構成比'!AG35:AG41)/1000</f>
        <v>2142.0920558630287</v>
      </c>
      <c r="C21" s="144" t="str">
        <f t="shared" si="3"/>
        <v/>
      </c>
      <c r="D21" s="249">
        <v>0.11116644166551118</v>
      </c>
      <c r="E21" s="144" t="str">
        <f t="shared" si="4"/>
        <v/>
      </c>
      <c r="F21" s="134"/>
      <c r="G21" s="129" t="s">
        <v>211</v>
      </c>
      <c r="H21" s="236">
        <f>SUM('（４）訂單數量構成比'!AG35:AG41)</f>
        <v>42664</v>
      </c>
      <c r="I21" s="144" t="str">
        <f t="shared" si="1"/>
        <v/>
      </c>
      <c r="J21" s="249">
        <v>7.3652218720350715E-2</v>
      </c>
      <c r="K21" s="144" t="str">
        <f t="shared" si="2"/>
        <v/>
      </c>
    </row>
    <row r="22" spans="1:11" s="122" customFormat="1" ht="18" customHeight="1">
      <c r="A22" s="129" t="s">
        <v>207</v>
      </c>
      <c r="B22" s="236">
        <f>SUM('（３）業績構成比'!AI35:AI41)/1000</f>
        <v>3374.8585578181101</v>
      </c>
      <c r="C22" s="144" t="str">
        <f t="shared" si="3"/>
        <v/>
      </c>
      <c r="D22" s="249">
        <v>4.6912393901251959E-2</v>
      </c>
      <c r="E22" s="144" t="str">
        <f t="shared" si="4"/>
        <v/>
      </c>
      <c r="F22" s="134"/>
      <c r="G22" s="129" t="s">
        <v>212</v>
      </c>
      <c r="H22" s="236">
        <f>SUM('（４）訂單數量構成比'!AI35:AI41)</f>
        <v>87650</v>
      </c>
      <c r="I22" s="144" t="str">
        <f t="shared" si="1"/>
        <v/>
      </c>
      <c r="J22" s="249">
        <v>4.1703245471498521E-2</v>
      </c>
      <c r="K22" s="144" t="str">
        <f t="shared" si="2"/>
        <v/>
      </c>
    </row>
    <row r="23" spans="1:11" s="122" customFormat="1" ht="18" customHeight="1">
      <c r="A23" s="129" t="s">
        <v>209</v>
      </c>
      <c r="B23" s="236">
        <f>SUM('（３）業績構成比'!AK35:AK41)/1000</f>
        <v>2024.7469669606182</v>
      </c>
      <c r="C23" s="144" t="str">
        <f t="shared" si="3"/>
        <v/>
      </c>
      <c r="D23" s="249">
        <v>8.1837257021802626E-2</v>
      </c>
      <c r="E23" s="144" t="str">
        <f t="shared" si="4"/>
        <v/>
      </c>
      <c r="F23" s="134"/>
      <c r="G23" s="129" t="s">
        <v>208</v>
      </c>
      <c r="H23" s="236">
        <f>SUM('（４）訂單數量構成比'!AK35:AK41)</f>
        <v>68700</v>
      </c>
      <c r="I23" s="144" t="str">
        <f t="shared" si="1"/>
        <v/>
      </c>
      <c r="J23" s="249">
        <v>8.7802763449185903E-2</v>
      </c>
      <c r="K23" s="144" t="str">
        <f t="shared" si="2"/>
        <v/>
      </c>
    </row>
    <row r="24" spans="1:11" s="122" customFormat="1" ht="15.75" customHeight="1">
      <c r="A24" s="134"/>
      <c r="B24" s="134"/>
      <c r="C24" s="138">
        <f>SUM(C15:C23)</f>
        <v>0</v>
      </c>
      <c r="D24" s="138">
        <f>SUM(D15:D23)</f>
        <v>1</v>
      </c>
      <c r="E24" s="134"/>
      <c r="F24" s="134"/>
      <c r="G24" s="134"/>
      <c r="H24" s="134"/>
      <c r="I24" s="138">
        <f>SUM(I15:I23)</f>
        <v>0</v>
      </c>
      <c r="J24" s="138">
        <f>SUM(J15:J23)</f>
        <v>1</v>
      </c>
      <c r="K24" s="134"/>
    </row>
    <row r="25" spans="1:11" s="122" customFormat="1" ht="9.6" customHeight="1">
      <c r="A25" s="139"/>
      <c r="B25" s="134"/>
      <c r="C25" s="134"/>
      <c r="D25" s="134"/>
      <c r="E25" s="134"/>
      <c r="F25" s="134"/>
      <c r="G25" s="134"/>
      <c r="H25" s="134"/>
      <c r="I25" s="134"/>
      <c r="J25" s="134"/>
      <c r="K25" s="134"/>
    </row>
    <row r="26" spans="1:11" s="122" customFormat="1" ht="15.75" customHeight="1">
      <c r="A26" s="133" t="s">
        <v>387</v>
      </c>
      <c r="B26" s="134"/>
      <c r="C26" s="134"/>
      <c r="D26" s="134"/>
      <c r="E26" s="134"/>
      <c r="F26" s="134"/>
      <c r="G26" s="134"/>
      <c r="H26" s="134"/>
      <c r="I26" s="134"/>
      <c r="J26" s="134"/>
      <c r="K26" s="134"/>
    </row>
    <row r="27" spans="1:11" s="122" customFormat="1" ht="15.75" customHeight="1">
      <c r="A27" s="129" t="s">
        <v>166</v>
      </c>
      <c r="B27" s="216" t="s">
        <v>303</v>
      </c>
      <c r="C27" s="216" t="s">
        <v>305</v>
      </c>
      <c r="D27" s="129" t="s">
        <v>2</v>
      </c>
      <c r="E27" s="129" t="s">
        <v>362</v>
      </c>
      <c r="F27" s="134"/>
      <c r="G27" s="134"/>
      <c r="H27" s="134"/>
      <c r="I27" s="134"/>
      <c r="J27" s="134"/>
      <c r="K27" s="134"/>
    </row>
    <row r="28" spans="1:11" s="122" customFormat="1" ht="18" customHeight="1">
      <c r="A28" s="129" t="s">
        <v>309</v>
      </c>
      <c r="B28" s="237">
        <f>'（５-1）品群別人時生產性（18℃-飯糰）'!L147</f>
        <v>818.60877849412282</v>
      </c>
      <c r="C28" s="252">
        <v>773.28751168276119</v>
      </c>
      <c r="D28" s="238">
        <f t="shared" ref="D28:D36" si="5">B28-C28</f>
        <v>45.321266811361625</v>
      </c>
      <c r="E28" s="130">
        <f>'（５-1）品群別人時生產性（18℃-飯糰）'!C1</f>
        <v>792.17451180030662</v>
      </c>
      <c r="F28" s="256">
        <v>147</v>
      </c>
      <c r="G28" s="148"/>
      <c r="H28" s="148"/>
      <c r="I28" s="148"/>
      <c r="J28" s="148"/>
      <c r="K28" s="134"/>
    </row>
    <row r="29" spans="1:11" s="122" customFormat="1" ht="18" customHeight="1">
      <c r="A29" s="129" t="s">
        <v>200</v>
      </c>
      <c r="B29" s="237">
        <f>'（５-2）品群別人時生產性（18-壽司手卷)'!L87</f>
        <v>139.65314773838531</v>
      </c>
      <c r="C29" s="252">
        <v>182.60763657644188</v>
      </c>
      <c r="D29" s="238">
        <f t="shared" si="5"/>
        <v>-42.954488838056562</v>
      </c>
      <c r="E29" s="130">
        <f>'（５-2）品群別人時生產性（18-壽司手卷)'!C1</f>
        <v>144.1597308165511</v>
      </c>
      <c r="F29" s="134">
        <v>87</v>
      </c>
      <c r="G29" s="149"/>
      <c r="H29" s="149"/>
      <c r="I29" s="150"/>
      <c r="J29" s="151"/>
      <c r="K29" s="134"/>
    </row>
    <row r="30" spans="1:11" s="122" customFormat="1" ht="18" customHeight="1">
      <c r="A30" s="129" t="s">
        <v>210</v>
      </c>
      <c r="B30" s="237">
        <f>'（５-3）品群別人時生產性（4℃-飯糰)'!L87</f>
        <v>217.42697364458681</v>
      </c>
      <c r="C30" s="252">
        <v>272.74108911147209</v>
      </c>
      <c r="D30" s="238">
        <f t="shared" si="5"/>
        <v>-55.314115466885283</v>
      </c>
      <c r="E30" s="130">
        <f>'（５-3）品群別人時生產性（4℃-飯糰)'!C1</f>
        <v>222.59952757069328</v>
      </c>
      <c r="F30" s="134"/>
      <c r="G30" s="134"/>
      <c r="H30" s="134"/>
      <c r="I30" s="134"/>
      <c r="J30" s="134"/>
      <c r="K30" s="134"/>
    </row>
    <row r="31" spans="1:11" s="122" customFormat="1" ht="18" customHeight="1">
      <c r="A31" s="129" t="s">
        <v>198</v>
      </c>
      <c r="B31" s="237">
        <f>'（５-4）品群別人時生產性（4℃-壽司手卷)'!L87</f>
        <v>150.7134615384615</v>
      </c>
      <c r="C31" s="252">
        <v>113.81516387747592</v>
      </c>
      <c r="D31" s="238">
        <f t="shared" si="5"/>
        <v>36.898297660985577</v>
      </c>
      <c r="E31" s="130">
        <f>'（５-4）品群別人時生產性（4℃-壽司手卷)'!C1</f>
        <v>152.24308823417576</v>
      </c>
      <c r="F31" s="134"/>
      <c r="G31" s="134"/>
      <c r="H31" s="134"/>
      <c r="I31" s="134"/>
      <c r="J31" s="134"/>
      <c r="K31" s="134"/>
    </row>
    <row r="32" spans="1:11" s="122" customFormat="1" ht="18" customHeight="1">
      <c r="A32" s="129" t="s">
        <v>202</v>
      </c>
      <c r="B32" s="237">
        <f>'（５-5）品群別人時生產性(主食) '!L147</f>
        <v>88.564619111969719</v>
      </c>
      <c r="C32" s="252">
        <v>86.027649035293493</v>
      </c>
      <c r="D32" s="238">
        <f t="shared" si="5"/>
        <v>2.5369700766762264</v>
      </c>
      <c r="E32" s="130">
        <f>'（５-5）品群別人時生產性(主食) '!C1</f>
        <v>90.172954338690147</v>
      </c>
      <c r="F32" s="256"/>
      <c r="G32" s="134"/>
      <c r="H32" s="134"/>
      <c r="I32" s="134"/>
      <c r="J32" s="134"/>
      <c r="K32" s="134"/>
    </row>
    <row r="33" spans="1:11" s="122" customFormat="1" ht="18" customHeight="1">
      <c r="A33" s="129" t="s">
        <v>204</v>
      </c>
      <c r="B33" s="237">
        <f>'（５-6）品群別人時生產性(便當)'!L87</f>
        <v>70.867634795301285</v>
      </c>
      <c r="C33" s="252">
        <v>67.317862575497216</v>
      </c>
      <c r="D33" s="238">
        <f t="shared" si="5"/>
        <v>3.5497722198040691</v>
      </c>
      <c r="E33" s="130">
        <f>'（５-6）品群別人時生產性(便當)'!C1</f>
        <v>71.358623225565808</v>
      </c>
      <c r="F33" s="134"/>
      <c r="G33" s="134"/>
      <c r="H33" s="134"/>
      <c r="I33" s="134"/>
      <c r="J33" s="134"/>
      <c r="K33" s="134"/>
    </row>
    <row r="34" spans="1:11" s="122" customFormat="1" ht="18" customHeight="1">
      <c r="A34" s="129" t="s">
        <v>211</v>
      </c>
      <c r="B34" s="237">
        <f>'（５-7）品群別人時生產性(熱食義麵) '!L87</f>
        <v>78.019854139110549</v>
      </c>
      <c r="C34" s="252">
        <v>77.436510262417258</v>
      </c>
      <c r="D34" s="238">
        <f t="shared" si="5"/>
        <v>0.58334387669329146</v>
      </c>
      <c r="E34" s="130">
        <f>'（５-7）品群別人時生產性(熱食義麵) '!C1</f>
        <v>78.155523716202509</v>
      </c>
      <c r="F34" s="134"/>
      <c r="G34" s="134"/>
      <c r="H34" s="134"/>
      <c r="I34" s="134"/>
      <c r="J34" s="134"/>
      <c r="K34" s="134"/>
    </row>
    <row r="35" spans="1:11" s="122" customFormat="1" ht="18" customHeight="1">
      <c r="A35" s="129" t="s">
        <v>212</v>
      </c>
      <c r="B35" s="237">
        <f>'（５-8）品群別人時生產性(季節調理麵) '!L87</f>
        <v>121.59002444275875</v>
      </c>
      <c r="C35" s="252">
        <v>121.87280560095473</v>
      </c>
      <c r="D35" s="238">
        <f t="shared" si="5"/>
        <v>-0.28278115819598781</v>
      </c>
      <c r="E35" s="130">
        <f>'（５-8）品群別人時生產性(季節調理麵) '!C1</f>
        <v>121.70792131080641</v>
      </c>
      <c r="F35" s="134"/>
      <c r="G35" s="134"/>
      <c r="H35" s="134"/>
      <c r="I35" s="134"/>
      <c r="J35" s="134"/>
      <c r="K35" s="134"/>
    </row>
    <row r="36" spans="1:11" s="122" customFormat="1" ht="18" customHeight="1">
      <c r="A36" s="125" t="s">
        <v>208</v>
      </c>
      <c r="B36" s="237">
        <f>'（５-9）品群別人時生產性(微波小吃)'!L87</f>
        <v>146.53650584877792</v>
      </c>
      <c r="C36" s="252">
        <v>115.15834330868617</v>
      </c>
      <c r="D36" s="238">
        <f t="shared" si="5"/>
        <v>31.378162540091751</v>
      </c>
      <c r="E36" s="130">
        <f>'（５-9）品群別人時生產性(微波小吃)'!C1</f>
        <v>151.27704786354067</v>
      </c>
      <c r="F36" s="134"/>
      <c r="G36" s="134"/>
      <c r="H36" s="134"/>
      <c r="I36" s="134"/>
      <c r="J36" s="134"/>
      <c r="K36" s="134"/>
    </row>
    <row r="37" spans="1:11" s="122" customFormat="1" ht="15.75" customHeight="1">
      <c r="D37" s="276">
        <f>SUM(D28:D36)</f>
        <v>21.716427722474705</v>
      </c>
    </row>
    <row r="38" spans="1:11" s="122" customFormat="1" ht="15.75" customHeight="1"/>
  </sheetData>
  <mergeCells count="2">
    <mergeCell ref="A1:K2"/>
    <mergeCell ref="F3:G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N22"/>
  <sheetViews>
    <sheetView workbookViewId="0">
      <selection activeCell="C27" sqref="C27"/>
    </sheetView>
  </sheetViews>
  <sheetFormatPr defaultRowHeight="12.75"/>
  <cols>
    <col min="1" max="1" width="34.42578125" bestFit="1" customWidth="1"/>
    <col min="2" max="13" width="10.7109375" customWidth="1"/>
    <col min="14" max="14" width="14.42578125" bestFit="1" customWidth="1"/>
  </cols>
  <sheetData>
    <row r="4" spans="1:14" ht="14.25">
      <c r="A4" s="122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</row>
    <row r="5" spans="1:14" ht="15.75">
      <c r="A5" s="394" t="s">
        <v>571</v>
      </c>
      <c r="B5" s="395" t="s">
        <v>541</v>
      </c>
      <c r="C5" s="395" t="s">
        <v>542</v>
      </c>
      <c r="D5" s="395" t="s">
        <v>543</v>
      </c>
      <c r="E5" s="395" t="s">
        <v>544</v>
      </c>
      <c r="F5" s="395" t="s">
        <v>545</v>
      </c>
      <c r="G5" s="395" t="s">
        <v>546</v>
      </c>
      <c r="H5" s="395" t="s">
        <v>547</v>
      </c>
      <c r="I5" s="395" t="s">
        <v>548</v>
      </c>
      <c r="J5" s="395" t="s">
        <v>549</v>
      </c>
      <c r="K5" s="395" t="s">
        <v>550</v>
      </c>
      <c r="L5" s="395" t="s">
        <v>551</v>
      </c>
      <c r="M5" s="395" t="s">
        <v>552</v>
      </c>
      <c r="N5" s="398" t="s">
        <v>572</v>
      </c>
    </row>
    <row r="6" spans="1:14" ht="14.25">
      <c r="A6" s="396" t="s">
        <v>568</v>
      </c>
      <c r="B6" s="417">
        <v>204598.72399999999</v>
      </c>
      <c r="C6" s="417">
        <v>192546.05300000001</v>
      </c>
      <c r="D6" s="417">
        <v>236658.24100000001</v>
      </c>
      <c r="E6" s="417">
        <v>256837.24600000001</v>
      </c>
      <c r="F6" s="417">
        <v>279180.38400000002</v>
      </c>
      <c r="G6" s="417">
        <v>274410.12599999999</v>
      </c>
      <c r="H6" s="375">
        <f>'生產管理報表(月)'!$B6</f>
        <v>263724.30599999998</v>
      </c>
      <c r="I6" s="375"/>
      <c r="J6" s="375"/>
      <c r="K6" s="375"/>
      <c r="L6" s="375"/>
      <c r="M6" s="375"/>
      <c r="N6" s="397">
        <f t="shared" ref="N6:N22" si="0">SUM(B6:M6)</f>
        <v>1707955.08</v>
      </c>
    </row>
    <row r="7" spans="1:14" ht="14.25">
      <c r="A7" s="396" t="s">
        <v>557</v>
      </c>
      <c r="B7" s="418">
        <v>6333014</v>
      </c>
      <c r="C7" s="418">
        <v>5860836</v>
      </c>
      <c r="D7" s="418">
        <v>7295467</v>
      </c>
      <c r="E7" s="418">
        <v>7731298</v>
      </c>
      <c r="F7" s="418">
        <v>8281649</v>
      </c>
      <c r="G7" s="418">
        <v>8119475</v>
      </c>
      <c r="H7" s="376">
        <f>'生產管理報表(月)'!$B7</f>
        <v>7772845</v>
      </c>
      <c r="I7" s="376"/>
      <c r="J7" s="376"/>
      <c r="K7" s="376"/>
      <c r="L7" s="376"/>
      <c r="M7" s="376"/>
      <c r="N7" s="397">
        <f t="shared" si="0"/>
        <v>51394584</v>
      </c>
    </row>
    <row r="8" spans="1:14" ht="14.25">
      <c r="A8" s="396" t="s">
        <v>569</v>
      </c>
      <c r="B8" s="418">
        <v>138760.36300000001</v>
      </c>
      <c r="C8" s="418">
        <v>127549.685</v>
      </c>
      <c r="D8" s="418">
        <v>157257.76699999999</v>
      </c>
      <c r="E8" s="418">
        <v>171758.908</v>
      </c>
      <c r="F8" s="418">
        <v>183449.29699999999</v>
      </c>
      <c r="G8" s="418">
        <v>182460.307</v>
      </c>
      <c r="H8" s="376">
        <f>'生產管理報表(月)'!$B8</f>
        <v>177945.75899999999</v>
      </c>
      <c r="I8" s="376"/>
      <c r="J8" s="376"/>
      <c r="K8" s="376"/>
      <c r="L8" s="376"/>
      <c r="M8" s="376"/>
      <c r="N8" s="397">
        <f t="shared" si="0"/>
        <v>1139182.0860000001</v>
      </c>
    </row>
    <row r="9" spans="1:14" ht="15" thickBot="1">
      <c r="A9" s="399" t="s">
        <v>570</v>
      </c>
      <c r="B9" s="419">
        <v>30102.781930346478</v>
      </c>
      <c r="C9" s="419">
        <v>30046.480786666682</v>
      </c>
      <c r="D9" s="419">
        <v>31852.550870000014</v>
      </c>
      <c r="E9" s="419">
        <v>33551.594643715202</v>
      </c>
      <c r="F9" s="419">
        <v>33544.634317976546</v>
      </c>
      <c r="G9" s="419">
        <v>31252.824021797464</v>
      </c>
      <c r="H9" s="400">
        <f>'生產管理報表(月)'!$B10</f>
        <v>31544.631597417265</v>
      </c>
      <c r="I9" s="400"/>
      <c r="J9" s="400"/>
      <c r="K9" s="400"/>
      <c r="L9" s="400"/>
      <c r="M9" s="400"/>
      <c r="N9" s="401">
        <f t="shared" si="0"/>
        <v>221895.49816791964</v>
      </c>
    </row>
    <row r="10" spans="1:14" ht="16.5" thickTop="1">
      <c r="A10" s="405" t="s">
        <v>553</v>
      </c>
      <c r="B10" s="420">
        <v>325.42302479491974</v>
      </c>
      <c r="C10" s="420">
        <v>348.55662461829377</v>
      </c>
      <c r="D10" s="420">
        <v>353.5274905177302</v>
      </c>
      <c r="E10" s="420">
        <v>355.30917783640808</v>
      </c>
      <c r="F10" s="420">
        <v>362.12961133092892</v>
      </c>
      <c r="G10" s="420">
        <v>364.12855591473641</v>
      </c>
      <c r="H10" s="406">
        <f>'生產管理報表(月)'!$I6</f>
        <v>337.18177159809551</v>
      </c>
      <c r="I10" s="406"/>
      <c r="J10" s="406"/>
      <c r="K10" s="407"/>
      <c r="L10" s="407"/>
      <c r="M10" s="407"/>
      <c r="N10" s="406">
        <f t="shared" si="0"/>
        <v>2446.2562566111128</v>
      </c>
    </row>
    <row r="11" spans="1:14" ht="15.75">
      <c r="A11" s="394" t="s">
        <v>554</v>
      </c>
      <c r="B11" s="421">
        <v>0.88947795387430384</v>
      </c>
      <c r="C11" s="421">
        <v>0.88885113746012978</v>
      </c>
      <c r="D11" s="421">
        <v>0.96631623005916523</v>
      </c>
      <c r="E11" s="421">
        <v>0.97079010337816407</v>
      </c>
      <c r="F11" s="421">
        <v>0.9894251675708442</v>
      </c>
      <c r="G11" s="421">
        <v>0.99488676479436211</v>
      </c>
      <c r="H11" s="373">
        <f>'生產管理報表(月)'!$I7</f>
        <v>0.92126167103304779</v>
      </c>
      <c r="I11" s="373"/>
      <c r="J11" s="373"/>
      <c r="K11" s="125"/>
      <c r="L11" s="125"/>
      <c r="M11" s="125"/>
      <c r="N11" s="373">
        <f t="shared" si="0"/>
        <v>6.6210090281700174</v>
      </c>
    </row>
    <row r="12" spans="1:14" ht="15.75">
      <c r="A12" s="394" t="s">
        <v>555</v>
      </c>
      <c r="B12" s="422">
        <v>2.4547774366926165E-3</v>
      </c>
      <c r="C12" s="422">
        <v>2.4352109892720377E-3</v>
      </c>
      <c r="D12" s="422">
        <v>2.4375052217987885E-3</v>
      </c>
      <c r="E12" s="422">
        <v>2.4307519719539666E-3</v>
      </c>
      <c r="F12" s="422">
        <v>2.4235378310697958E-3</v>
      </c>
      <c r="G12" s="422">
        <v>2.4197983376305788E-3</v>
      </c>
      <c r="H12" s="374">
        <f>'生產管理報表(月)'!$I8</f>
        <v>2.4201877769025335E-3</v>
      </c>
      <c r="I12" s="374"/>
      <c r="J12" s="374"/>
      <c r="K12" s="125"/>
      <c r="L12" s="125"/>
      <c r="M12" s="125"/>
      <c r="N12" s="374">
        <f t="shared" si="0"/>
        <v>1.7021769565320317E-2</v>
      </c>
    </row>
    <row r="13" spans="1:14" ht="16.5" thickBot="1">
      <c r="A13" s="408" t="s">
        <v>556</v>
      </c>
      <c r="B13" s="423">
        <v>2.234630637964113E-3</v>
      </c>
      <c r="C13" s="423">
        <v>1.9856446031897793E-3</v>
      </c>
      <c r="D13" s="423">
        <v>1.8458044939002739E-3</v>
      </c>
      <c r="E13" s="423">
        <v>1.7845320884441751E-3</v>
      </c>
      <c r="F13" s="423">
        <v>3.9070494349342337E-3</v>
      </c>
      <c r="G13" s="423">
        <v>4.0384936616125067E-3</v>
      </c>
      <c r="H13" s="409">
        <f>'生產管理報表(月)'!$I9</f>
        <v>4.0165063875479516E-3</v>
      </c>
      <c r="I13" s="409"/>
      <c r="J13" s="409"/>
      <c r="K13" s="410"/>
      <c r="L13" s="410"/>
      <c r="M13" s="410"/>
      <c r="N13" s="409">
        <f t="shared" si="0"/>
        <v>1.9812661307593033E-2</v>
      </c>
    </row>
    <row r="14" spans="1:14" ht="16.5" thickTop="1">
      <c r="A14" s="402" t="s">
        <v>309</v>
      </c>
      <c r="B14" s="424">
        <v>793.68170694178502</v>
      </c>
      <c r="C14" s="424">
        <v>793.91002640854322</v>
      </c>
      <c r="D14" s="424">
        <v>775.10368778048507</v>
      </c>
      <c r="E14" s="424">
        <v>767.22194505514869</v>
      </c>
      <c r="F14" s="424">
        <v>802.32417940213213</v>
      </c>
      <c r="G14" s="424">
        <v>834.38107540551334</v>
      </c>
      <c r="H14" s="403">
        <f>'生產管理報表(月)'!$B28</f>
        <v>792.17451180030662</v>
      </c>
      <c r="I14" s="403"/>
      <c r="J14" s="403"/>
      <c r="K14" s="403"/>
      <c r="L14" s="403"/>
      <c r="M14" s="403"/>
      <c r="N14" s="404">
        <f t="shared" si="0"/>
        <v>5558.797132793914</v>
      </c>
    </row>
    <row r="15" spans="1:14" ht="15.75">
      <c r="A15" s="394" t="s">
        <v>200</v>
      </c>
      <c r="B15" s="425">
        <v>171.43329270106761</v>
      </c>
      <c r="C15" s="425">
        <v>188.87834023020704</v>
      </c>
      <c r="D15" s="425">
        <v>177.92884819456367</v>
      </c>
      <c r="E15" s="425">
        <v>186.63000723109454</v>
      </c>
      <c r="F15" s="425">
        <v>166.68277408023528</v>
      </c>
      <c r="G15" s="425">
        <v>142.5352470188875</v>
      </c>
      <c r="H15" s="268">
        <f>'生產管理報表(月)'!$B29</f>
        <v>144.1597308165511</v>
      </c>
      <c r="I15" s="268"/>
      <c r="J15" s="268"/>
      <c r="K15" s="268"/>
      <c r="L15" s="268"/>
      <c r="M15" s="268"/>
      <c r="N15" s="372">
        <f t="shared" si="0"/>
        <v>1178.2482402726066</v>
      </c>
    </row>
    <row r="16" spans="1:14" ht="15.75">
      <c r="A16" s="394" t="s">
        <v>210</v>
      </c>
      <c r="B16" s="425">
        <v>255.36298275117537</v>
      </c>
      <c r="C16" s="425">
        <v>249.81281035213033</v>
      </c>
      <c r="D16" s="425">
        <v>259.78140288447474</v>
      </c>
      <c r="E16" s="425">
        <v>246.4912621760665</v>
      </c>
      <c r="F16" s="425">
        <v>236.0572181705439</v>
      </c>
      <c r="G16" s="425">
        <v>222.12793907376133</v>
      </c>
      <c r="H16" s="268">
        <f>'生產管理報表(月)'!$B30</f>
        <v>222.59952757069328</v>
      </c>
      <c r="I16" s="268"/>
      <c r="J16" s="268"/>
      <c r="K16" s="268"/>
      <c r="L16" s="268"/>
      <c r="M16" s="268"/>
      <c r="N16" s="372">
        <f t="shared" si="0"/>
        <v>1692.2331429788453</v>
      </c>
    </row>
    <row r="17" spans="1:14" ht="15.75">
      <c r="A17" s="394" t="s">
        <v>198</v>
      </c>
      <c r="B17" s="425">
        <v>118.36196777858777</v>
      </c>
      <c r="C17" s="425">
        <v>122.98264299131024</v>
      </c>
      <c r="D17" s="425">
        <v>118.72250293429187</v>
      </c>
      <c r="E17" s="425">
        <v>103.71565207567478</v>
      </c>
      <c r="F17" s="425">
        <v>103.09439914455223</v>
      </c>
      <c r="G17" s="425">
        <v>115.07894341055128</v>
      </c>
      <c r="H17" s="268">
        <f>'生產管理報表(月)'!$B31</f>
        <v>152.24308823417576</v>
      </c>
      <c r="I17" s="268"/>
      <c r="J17" s="268"/>
      <c r="K17" s="268"/>
      <c r="L17" s="268"/>
      <c r="M17" s="268"/>
      <c r="N17" s="372">
        <f t="shared" si="0"/>
        <v>834.19919656914385</v>
      </c>
    </row>
    <row r="18" spans="1:14" ht="15.75">
      <c r="A18" s="394" t="s">
        <v>202</v>
      </c>
      <c r="B18" s="425">
        <v>82.894643494802764</v>
      </c>
      <c r="C18" s="425">
        <v>82.248071504989312</v>
      </c>
      <c r="D18" s="425">
        <v>84.213269879346811</v>
      </c>
      <c r="E18" s="425">
        <v>87.4</v>
      </c>
      <c r="F18" s="425">
        <v>88.7</v>
      </c>
      <c r="G18" s="425">
        <v>89.027945993800301</v>
      </c>
      <c r="H18" s="268">
        <f>'生產管理報表(月)'!$B32</f>
        <v>90.172954338690147</v>
      </c>
      <c r="I18" s="268"/>
      <c r="J18" s="268"/>
      <c r="K18" s="268"/>
      <c r="L18" s="268"/>
      <c r="M18" s="268"/>
      <c r="N18" s="372">
        <f t="shared" si="0"/>
        <v>604.65688521162929</v>
      </c>
    </row>
    <row r="19" spans="1:14" ht="15.75">
      <c r="A19" s="394" t="s">
        <v>204</v>
      </c>
      <c r="B19" s="425">
        <v>68.391794846661682</v>
      </c>
      <c r="C19" s="425">
        <v>66.758428134453652</v>
      </c>
      <c r="D19" s="425">
        <v>71.676669418684696</v>
      </c>
      <c r="E19" s="425">
        <v>72.067081633167618</v>
      </c>
      <c r="F19" s="425">
        <v>72.616078635648222</v>
      </c>
      <c r="G19" s="425">
        <v>72.154393507027919</v>
      </c>
      <c r="H19" s="268">
        <f>'生產管理報表(月)'!$B33</f>
        <v>71.358623225565808</v>
      </c>
      <c r="I19" s="268"/>
      <c r="J19" s="268"/>
      <c r="K19" s="268"/>
      <c r="L19" s="268"/>
      <c r="M19" s="268"/>
      <c r="N19" s="372">
        <f t="shared" si="0"/>
        <v>495.02306940120963</v>
      </c>
    </row>
    <row r="20" spans="1:14" ht="15.75">
      <c r="A20" s="394" t="s">
        <v>211</v>
      </c>
      <c r="B20" s="425">
        <v>70.145844555570179</v>
      </c>
      <c r="C20" s="425">
        <v>74.884976507910679</v>
      </c>
      <c r="D20" s="425">
        <v>86.627335908838916</v>
      </c>
      <c r="E20" s="425">
        <v>84.932133935284995</v>
      </c>
      <c r="F20" s="425">
        <v>85.720364468495035</v>
      </c>
      <c r="G20" s="425">
        <v>82.547283136519255</v>
      </c>
      <c r="H20" s="268">
        <f>'生產管理報表(月)'!$B34</f>
        <v>78.155523716202509</v>
      </c>
      <c r="I20" s="268"/>
      <c r="J20" s="268"/>
      <c r="K20" s="268"/>
      <c r="L20" s="268"/>
      <c r="M20" s="268"/>
      <c r="N20" s="372">
        <f t="shared" si="0"/>
        <v>563.0134622288216</v>
      </c>
    </row>
    <row r="21" spans="1:14" ht="15.75">
      <c r="A21" s="394" t="s">
        <v>212</v>
      </c>
      <c r="B21" s="425">
        <v>122.33833293709185</v>
      </c>
      <c r="C21" s="425">
        <v>120.92495988708211</v>
      </c>
      <c r="D21" s="425">
        <v>124.40028744472563</v>
      </c>
      <c r="E21" s="425">
        <v>126.33665211859029</v>
      </c>
      <c r="F21" s="425">
        <v>130.94835190011659</v>
      </c>
      <c r="G21" s="425">
        <v>126.04327603008255</v>
      </c>
      <c r="H21" s="268">
        <f>'生產管理報表(月)'!$B35</f>
        <v>121.70792131080641</v>
      </c>
      <c r="I21" s="268"/>
      <c r="J21" s="268"/>
      <c r="K21" s="268"/>
      <c r="L21" s="268"/>
      <c r="M21" s="268"/>
      <c r="N21" s="372">
        <f t="shared" si="0"/>
        <v>872.69978162849543</v>
      </c>
    </row>
    <row r="22" spans="1:14" ht="15.75">
      <c r="A22" s="394" t="s">
        <v>208</v>
      </c>
      <c r="B22" s="425">
        <v>124.77437732057501</v>
      </c>
      <c r="C22" s="425">
        <v>162.89468264109152</v>
      </c>
      <c r="D22" s="425">
        <v>174.62094805987914</v>
      </c>
      <c r="E22" s="425">
        <v>176.89316015709161</v>
      </c>
      <c r="F22" s="425">
        <v>157.52050430886487</v>
      </c>
      <c r="G22" s="425">
        <v>148.12871711859412</v>
      </c>
      <c r="H22" s="268">
        <f>'生產管理報表(月)'!$B36</f>
        <v>151.27704786354067</v>
      </c>
      <c r="I22" s="268"/>
      <c r="J22" s="268"/>
      <c r="K22" s="268"/>
      <c r="L22" s="268"/>
      <c r="M22" s="268"/>
      <c r="N22" s="372">
        <f t="shared" si="0"/>
        <v>1096.109437469637</v>
      </c>
    </row>
  </sheetData>
  <phoneticPr fontId="1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B2:W57"/>
  <sheetViews>
    <sheetView zoomScale="65" zoomScaleNormal="65" workbookViewId="0">
      <pane xSplit="5" ySplit="4" topLeftCell="F21" activePane="bottomRight" state="frozen"/>
      <selection pane="topRight" activeCell="F1" sqref="F1"/>
      <selection pane="bottomLeft" activeCell="A5" sqref="A5"/>
      <selection pane="bottomRight" activeCell="O40" sqref="O40"/>
    </sheetView>
  </sheetViews>
  <sheetFormatPr defaultColWidth="8.85546875" defaultRowHeight="14.25"/>
  <cols>
    <col min="1" max="1" width="8.85546875" style="83"/>
    <col min="2" max="2" width="12.5703125" style="82" customWidth="1"/>
    <col min="3" max="3" width="8.85546875" style="83"/>
    <col min="4" max="4" width="17.42578125" style="84" customWidth="1"/>
    <col min="5" max="5" width="4.42578125" style="84" customWidth="1"/>
    <col min="6" max="8" width="19.5703125" style="87" customWidth="1"/>
    <col min="9" max="13" width="19.5703125" style="88" customWidth="1"/>
    <col min="14" max="14" width="19.5703125" style="89" customWidth="1"/>
    <col min="15" max="17" width="19.5703125" style="90" customWidth="1"/>
    <col min="18" max="20" width="19.5703125" style="89" customWidth="1"/>
    <col min="21" max="21" width="19.5703125" style="90" customWidth="1"/>
    <col min="22" max="23" width="19.5703125" style="83" customWidth="1"/>
    <col min="24" max="16384" width="8.85546875" style="83"/>
  </cols>
  <sheetData>
    <row r="2" spans="2:23" ht="38.1" customHeight="1">
      <c r="B2" s="585" t="s">
        <v>121</v>
      </c>
      <c r="C2" s="585"/>
      <c r="D2" s="585"/>
      <c r="E2" s="585"/>
      <c r="F2" s="585"/>
      <c r="G2" s="585"/>
      <c r="H2" s="585"/>
      <c r="I2" s="585"/>
      <c r="J2" s="585"/>
      <c r="K2" s="585"/>
      <c r="L2" s="585"/>
      <c r="M2" s="585"/>
      <c r="N2" s="585"/>
      <c r="O2" s="585"/>
      <c r="P2" s="585"/>
      <c r="Q2" s="585"/>
      <c r="R2" s="585"/>
      <c r="S2" s="585"/>
      <c r="T2" s="585"/>
      <c r="U2" s="585"/>
      <c r="V2" s="585"/>
      <c r="W2" s="585"/>
    </row>
    <row r="3" spans="2:23" s="84" customFormat="1" ht="23.45" customHeight="1">
      <c r="B3" s="98"/>
      <c r="C3" s="589" t="s">
        <v>116</v>
      </c>
      <c r="D3" s="590" t="s">
        <v>105</v>
      </c>
      <c r="E3" s="590"/>
      <c r="F3" s="588" t="s">
        <v>321</v>
      </c>
      <c r="G3" s="588"/>
      <c r="H3" s="588"/>
      <c r="I3" s="586" t="s">
        <v>119</v>
      </c>
      <c r="J3" s="586"/>
      <c r="K3" s="586"/>
      <c r="L3" s="587" t="s">
        <v>120</v>
      </c>
      <c r="M3" s="587"/>
      <c r="N3" s="587"/>
      <c r="O3" s="584" t="s">
        <v>122</v>
      </c>
      <c r="P3" s="584"/>
      <c r="Q3" s="584"/>
      <c r="R3" s="591" t="s">
        <v>123</v>
      </c>
      <c r="S3" s="591"/>
      <c r="T3" s="591"/>
      <c r="U3" s="584" t="s">
        <v>124</v>
      </c>
      <c r="V3" s="584"/>
      <c r="W3" s="584"/>
    </row>
    <row r="4" spans="2:23" s="84" customFormat="1" ht="23.45" customHeight="1">
      <c r="B4" s="98"/>
      <c r="C4" s="589"/>
      <c r="D4" s="590"/>
      <c r="E4" s="590"/>
      <c r="F4" s="78" t="s">
        <v>115</v>
      </c>
      <c r="G4" s="78" t="s">
        <v>117</v>
      </c>
      <c r="H4" s="78" t="s">
        <v>118</v>
      </c>
      <c r="I4" s="92" t="s">
        <v>115</v>
      </c>
      <c r="J4" s="92" t="s">
        <v>117</v>
      </c>
      <c r="K4" s="92" t="s">
        <v>118</v>
      </c>
      <c r="L4" s="91" t="s">
        <v>115</v>
      </c>
      <c r="M4" s="91" t="s">
        <v>117</v>
      </c>
      <c r="N4" s="91" t="s">
        <v>118</v>
      </c>
      <c r="O4" s="85" t="s">
        <v>115</v>
      </c>
      <c r="P4" s="85" t="s">
        <v>117</v>
      </c>
      <c r="Q4" s="280" t="s">
        <v>395</v>
      </c>
      <c r="R4" s="85" t="s">
        <v>115</v>
      </c>
      <c r="S4" s="85" t="s">
        <v>117</v>
      </c>
      <c r="T4" s="85" t="s">
        <v>118</v>
      </c>
      <c r="U4" s="85" t="s">
        <v>115</v>
      </c>
      <c r="V4" s="85" t="s">
        <v>117</v>
      </c>
      <c r="W4" s="280" t="s">
        <v>395</v>
      </c>
    </row>
    <row r="5" spans="2:23">
      <c r="B5" s="98"/>
      <c r="C5" s="98"/>
      <c r="D5" s="86"/>
      <c r="E5" s="86"/>
      <c r="F5" s="277"/>
      <c r="G5" s="277"/>
      <c r="H5" s="299"/>
      <c r="K5" s="300"/>
      <c r="L5" s="277"/>
      <c r="M5" s="277"/>
      <c r="N5" s="299"/>
      <c r="Q5" s="298"/>
      <c r="R5" s="225"/>
      <c r="S5" s="277"/>
      <c r="T5" s="299"/>
      <c r="V5" s="90"/>
      <c r="W5" s="298"/>
    </row>
    <row r="6" spans="2:23" ht="16.5" customHeight="1">
      <c r="B6" s="98"/>
      <c r="C6" s="98"/>
      <c r="D6" s="86"/>
      <c r="E6" s="86"/>
      <c r="F6" s="277"/>
      <c r="G6" s="277"/>
      <c r="L6" s="277"/>
      <c r="M6" s="277"/>
      <c r="R6" s="225"/>
      <c r="S6" s="277"/>
      <c r="V6" s="90"/>
    </row>
    <row r="7" spans="2:23" ht="16.5" customHeight="1">
      <c r="B7" s="98"/>
      <c r="C7" s="98"/>
      <c r="D7" s="86"/>
      <c r="E7" s="86"/>
      <c r="F7" s="277"/>
      <c r="G7" s="277"/>
      <c r="H7" s="299"/>
      <c r="K7" s="300"/>
      <c r="L7" s="277"/>
      <c r="M7" s="277"/>
      <c r="N7" s="299"/>
      <c r="Q7" s="298"/>
      <c r="R7" s="225"/>
      <c r="S7" s="277"/>
      <c r="T7" s="299"/>
      <c r="V7" s="90"/>
      <c r="W7" s="298"/>
    </row>
    <row r="8" spans="2:23" ht="16.5" customHeight="1">
      <c r="B8" s="98"/>
      <c r="C8" s="98"/>
      <c r="D8" s="86"/>
      <c r="E8" s="86"/>
      <c r="F8" s="277"/>
      <c r="G8" s="277"/>
      <c r="H8" s="299"/>
      <c r="K8" s="300"/>
      <c r="L8" s="277"/>
      <c r="M8" s="277"/>
      <c r="N8" s="299"/>
      <c r="Q8" s="298"/>
      <c r="R8" s="225"/>
      <c r="S8" s="277"/>
      <c r="T8" s="299"/>
      <c r="V8" s="90"/>
      <c r="W8" s="298"/>
    </row>
    <row r="9" spans="2:23" ht="16.5" customHeight="1">
      <c r="B9" s="98"/>
      <c r="C9" s="98"/>
      <c r="D9" s="279">
        <v>46204</v>
      </c>
      <c r="E9" s="279" t="s">
        <v>390</v>
      </c>
      <c r="F9" s="227">
        <v>8773103</v>
      </c>
      <c r="G9" s="277"/>
      <c r="H9" s="299">
        <f>SUM(F9:F39)</f>
        <v>263724306</v>
      </c>
      <c r="I9" s="228">
        <v>266041</v>
      </c>
      <c r="K9" s="300">
        <f>SUM(I9:I39)</f>
        <v>7772845</v>
      </c>
      <c r="L9" s="227">
        <v>6521226</v>
      </c>
      <c r="M9" s="277"/>
      <c r="N9" s="299">
        <f>SUM(L9:L39)</f>
        <v>177945759</v>
      </c>
      <c r="O9" s="90">
        <f t="shared" ref="O9:O39" si="0">L9/F9</f>
        <v>0.74332035084963666</v>
      </c>
      <c r="Q9" s="298">
        <f>N9/H9</f>
        <v>0.67474159549025414</v>
      </c>
      <c r="R9" s="229">
        <v>1037983.435074535</v>
      </c>
      <c r="S9" s="277"/>
      <c r="T9" s="299">
        <f>SUM(R9:R39)</f>
        <v>31544631.597417265</v>
      </c>
      <c r="U9" s="90">
        <f t="shared" ref="U9:U40" si="1">R9/F9</f>
        <v>0.11831428800899009</v>
      </c>
      <c r="V9" s="90"/>
      <c r="W9" s="298">
        <f>T9/H9</f>
        <v>0.11961215132524518</v>
      </c>
    </row>
    <row r="10" spans="2:23" ht="16.5" customHeight="1">
      <c r="B10" s="98"/>
      <c r="C10" s="98"/>
      <c r="D10" s="279">
        <f>D9+1</f>
        <v>46205</v>
      </c>
      <c r="E10" s="279" t="s">
        <v>391</v>
      </c>
      <c r="F10" s="227">
        <v>8177093</v>
      </c>
      <c r="G10" s="277"/>
      <c r="H10" s="299"/>
      <c r="I10" s="228">
        <v>250642</v>
      </c>
      <c r="K10" s="300"/>
      <c r="L10" s="227">
        <v>5803676</v>
      </c>
      <c r="M10" s="277"/>
      <c r="N10" s="299"/>
      <c r="O10" s="90">
        <f t="shared" si="0"/>
        <v>0.7097480730621506</v>
      </c>
      <c r="Q10" s="298"/>
      <c r="R10" s="229">
        <v>1007943.3424946743</v>
      </c>
      <c r="S10" s="277"/>
      <c r="T10" s="299"/>
      <c r="U10" s="90">
        <f t="shared" si="1"/>
        <v>0.1232642630449078</v>
      </c>
      <c r="V10" s="90"/>
      <c r="W10" s="298"/>
    </row>
    <row r="11" spans="2:23" ht="16.5" customHeight="1">
      <c r="B11" s="98"/>
      <c r="C11" s="98"/>
      <c r="D11" s="279">
        <f t="shared" ref="D11:D37" si="2">D10+1</f>
        <v>46206</v>
      </c>
      <c r="E11" s="279" t="s">
        <v>392</v>
      </c>
      <c r="F11" s="227">
        <v>7340175</v>
      </c>
      <c r="G11" s="277"/>
      <c r="H11" s="299"/>
      <c r="I11" s="228">
        <v>225060</v>
      </c>
      <c r="K11" s="300"/>
      <c r="L11" s="227">
        <v>4734117</v>
      </c>
      <c r="M11" s="277"/>
      <c r="N11" s="299"/>
      <c r="O11" s="90">
        <f t="shared" si="0"/>
        <v>0.64495969101554118</v>
      </c>
      <c r="Q11" s="298"/>
      <c r="R11" s="229">
        <v>1012657.2803106462</v>
      </c>
      <c r="S11" s="277"/>
      <c r="T11" s="299"/>
      <c r="U11" s="90">
        <f t="shared" si="1"/>
        <v>0.13796091786785003</v>
      </c>
      <c r="V11" s="90"/>
      <c r="W11" s="298"/>
    </row>
    <row r="12" spans="2:23" ht="16.5" customHeight="1">
      <c r="B12" s="98"/>
      <c r="C12" s="98"/>
      <c r="D12" s="279">
        <f t="shared" si="2"/>
        <v>46207</v>
      </c>
      <c r="E12" s="279" t="s">
        <v>393</v>
      </c>
      <c r="F12" s="227">
        <v>8235605</v>
      </c>
      <c r="G12" s="277"/>
      <c r="H12" s="299"/>
      <c r="I12" s="228">
        <v>244678</v>
      </c>
      <c r="K12" s="300"/>
      <c r="L12" s="227">
        <v>5628385</v>
      </c>
      <c r="M12" s="277"/>
      <c r="N12" s="299"/>
      <c r="O12" s="90">
        <f t="shared" si="0"/>
        <v>0.68342095085910504</v>
      </c>
      <c r="Q12" s="298"/>
      <c r="R12" s="229">
        <v>1023634.1316370353</v>
      </c>
      <c r="S12" s="277"/>
      <c r="T12" s="299"/>
      <c r="U12" s="90">
        <f t="shared" si="1"/>
        <v>0.12429373818159507</v>
      </c>
      <c r="V12" s="90"/>
      <c r="W12" s="298"/>
    </row>
    <row r="13" spans="2:23" ht="16.5" customHeight="1">
      <c r="B13" s="98"/>
      <c r="C13" s="98"/>
      <c r="D13" s="279">
        <f t="shared" si="2"/>
        <v>46208</v>
      </c>
      <c r="E13" s="279" t="s">
        <v>394</v>
      </c>
      <c r="F13" s="227">
        <v>9197911</v>
      </c>
      <c r="G13" s="277"/>
      <c r="H13" s="299"/>
      <c r="I13" s="228">
        <v>275484</v>
      </c>
      <c r="K13" s="300"/>
      <c r="L13" s="227">
        <v>6061424</v>
      </c>
      <c r="M13" s="277"/>
      <c r="N13" s="299"/>
      <c r="O13" s="90">
        <f t="shared" si="0"/>
        <v>0.65900007077694056</v>
      </c>
      <c r="Q13" s="298"/>
      <c r="R13" s="229">
        <v>1056786.7199495353</v>
      </c>
      <c r="S13" s="277"/>
      <c r="T13" s="299"/>
      <c r="U13" s="90">
        <f t="shared" si="1"/>
        <v>0.11489421021246404</v>
      </c>
      <c r="V13" s="90"/>
      <c r="W13" s="298"/>
    </row>
    <row r="14" spans="2:23" ht="16.5" customHeight="1">
      <c r="B14" s="98"/>
      <c r="C14" s="98"/>
      <c r="D14" s="279">
        <f t="shared" si="2"/>
        <v>46209</v>
      </c>
      <c r="E14" s="279" t="s">
        <v>388</v>
      </c>
      <c r="F14" s="227">
        <v>9363255</v>
      </c>
      <c r="G14" s="277"/>
      <c r="H14" s="299"/>
      <c r="I14" s="228">
        <v>277705</v>
      </c>
      <c r="K14" s="300"/>
      <c r="L14" s="227">
        <v>6157076</v>
      </c>
      <c r="M14" s="277"/>
      <c r="N14" s="299"/>
      <c r="O14" s="90">
        <f t="shared" si="0"/>
        <v>0.65757858778811429</v>
      </c>
      <c r="Q14" s="298"/>
      <c r="R14" s="229">
        <v>1042989.6718696741</v>
      </c>
      <c r="S14" s="277"/>
      <c r="T14" s="299"/>
      <c r="U14" s="90">
        <f t="shared" si="1"/>
        <v>0.11139178329220704</v>
      </c>
      <c r="V14" s="90"/>
      <c r="W14" s="298"/>
    </row>
    <row r="15" spans="2:23" ht="16.5" customHeight="1">
      <c r="B15" s="98"/>
      <c r="C15" s="98"/>
      <c r="D15" s="349">
        <f t="shared" si="2"/>
        <v>46210</v>
      </c>
      <c r="E15" s="349" t="s">
        <v>389</v>
      </c>
      <c r="F15" s="227">
        <v>10402844</v>
      </c>
      <c r="G15" s="277"/>
      <c r="H15" s="299"/>
      <c r="I15" s="228">
        <v>299940</v>
      </c>
      <c r="K15" s="300"/>
      <c r="L15" s="227">
        <v>6702398</v>
      </c>
      <c r="M15" s="277"/>
      <c r="N15" s="299"/>
      <c r="O15" s="90">
        <f t="shared" si="0"/>
        <v>0.6442851589430737</v>
      </c>
      <c r="Q15" s="298"/>
      <c r="R15" s="229">
        <v>1056838.1552672565</v>
      </c>
      <c r="S15" s="277"/>
      <c r="T15" s="299"/>
      <c r="U15" s="90">
        <f t="shared" si="1"/>
        <v>0.10159127208552358</v>
      </c>
      <c r="V15" s="90"/>
      <c r="W15" s="298"/>
    </row>
    <row r="16" spans="2:23" ht="16.5" customHeight="1">
      <c r="B16" s="98"/>
      <c r="C16" s="98"/>
      <c r="D16" s="349">
        <f t="shared" si="2"/>
        <v>46211</v>
      </c>
      <c r="E16" s="349" t="s">
        <v>390</v>
      </c>
      <c r="F16" s="227">
        <v>9579033</v>
      </c>
      <c r="G16" s="277"/>
      <c r="H16" s="299"/>
      <c r="I16" s="228">
        <v>281251</v>
      </c>
      <c r="K16" s="300"/>
      <c r="L16" s="227">
        <v>6361914</v>
      </c>
      <c r="M16" s="277"/>
      <c r="N16" s="299"/>
      <c r="O16" s="90">
        <f t="shared" si="0"/>
        <v>0.664149919934507</v>
      </c>
      <c r="Q16" s="298"/>
      <c r="R16" s="229">
        <v>1049236.3360554508</v>
      </c>
      <c r="S16" s="277"/>
      <c r="T16" s="299"/>
      <c r="U16" s="90">
        <f t="shared" si="1"/>
        <v>0.10953468226442595</v>
      </c>
      <c r="V16" s="90"/>
      <c r="W16" s="298"/>
    </row>
    <row r="17" spans="2:23" ht="16.5" customHeight="1">
      <c r="B17" s="98"/>
      <c r="C17" s="98"/>
      <c r="D17" s="349">
        <f t="shared" si="2"/>
        <v>46212</v>
      </c>
      <c r="E17" s="349" t="s">
        <v>391</v>
      </c>
      <c r="F17" s="227">
        <v>9159433</v>
      </c>
      <c r="G17" s="277"/>
      <c r="H17" s="299"/>
      <c r="I17" s="228">
        <v>269872</v>
      </c>
      <c r="K17" s="300"/>
      <c r="L17" s="227">
        <v>6160391</v>
      </c>
      <c r="M17" s="277"/>
      <c r="N17" s="299"/>
      <c r="O17" s="90">
        <f t="shared" si="0"/>
        <v>0.67257340055874637</v>
      </c>
      <c r="Q17" s="298"/>
      <c r="R17" s="227">
        <v>1048394.8405450343</v>
      </c>
      <c r="S17" s="277"/>
      <c r="T17" s="299"/>
      <c r="U17" s="90">
        <f t="shared" si="1"/>
        <v>0.11446067027784736</v>
      </c>
      <c r="V17" s="90"/>
      <c r="W17" s="298"/>
    </row>
    <row r="18" spans="2:23" ht="16.5" customHeight="1">
      <c r="B18" s="98"/>
      <c r="C18" s="98"/>
      <c r="D18" s="349">
        <f t="shared" si="2"/>
        <v>46213</v>
      </c>
      <c r="E18" s="349" t="s">
        <v>392</v>
      </c>
      <c r="F18" s="227">
        <v>7382110</v>
      </c>
      <c r="G18" s="277"/>
      <c r="H18" s="299"/>
      <c r="I18" s="228">
        <v>221106</v>
      </c>
      <c r="K18" s="300"/>
      <c r="L18" s="227">
        <v>4945405</v>
      </c>
      <c r="M18" s="277"/>
      <c r="N18" s="299"/>
      <c r="O18" s="90">
        <f t="shared" si="0"/>
        <v>0.66991754390005021</v>
      </c>
      <c r="Q18" s="298"/>
      <c r="R18" s="227">
        <v>996977.16284017311</v>
      </c>
      <c r="S18" s="277"/>
      <c r="T18" s="299"/>
      <c r="U18" s="90">
        <f t="shared" si="1"/>
        <v>0.13505314372722341</v>
      </c>
      <c r="V18" s="90"/>
      <c r="W18" s="298"/>
    </row>
    <row r="19" spans="2:23" ht="16.5" customHeight="1">
      <c r="B19" s="98"/>
      <c r="C19" s="98"/>
      <c r="D19" s="349">
        <f t="shared" si="2"/>
        <v>46214</v>
      </c>
      <c r="E19" s="349" t="s">
        <v>393</v>
      </c>
      <c r="F19" s="227">
        <v>7919116</v>
      </c>
      <c r="G19" s="277"/>
      <c r="H19" s="299"/>
      <c r="I19" s="228">
        <v>233330</v>
      </c>
      <c r="K19" s="300"/>
      <c r="L19" s="227">
        <v>5252637</v>
      </c>
      <c r="M19" s="277"/>
      <c r="N19" s="299"/>
      <c r="O19" s="90">
        <f t="shared" si="0"/>
        <v>0.66328577583659587</v>
      </c>
      <c r="Q19" s="298"/>
      <c r="R19" s="227">
        <v>1005335.1471735064</v>
      </c>
      <c r="S19" s="277"/>
      <c r="T19" s="299"/>
      <c r="U19" s="90">
        <f t="shared" si="1"/>
        <v>0.12695042567548026</v>
      </c>
      <c r="V19" s="90"/>
      <c r="W19" s="298"/>
    </row>
    <row r="20" spans="2:23" ht="16.5" customHeight="1">
      <c r="B20" s="98"/>
      <c r="C20" s="98"/>
      <c r="D20" s="349">
        <f t="shared" si="2"/>
        <v>46215</v>
      </c>
      <c r="E20" s="349" t="s">
        <v>394</v>
      </c>
      <c r="F20" s="227">
        <v>9570480</v>
      </c>
      <c r="G20" s="277"/>
      <c r="H20" s="299"/>
      <c r="I20" s="228">
        <v>277272</v>
      </c>
      <c r="K20" s="300"/>
      <c r="L20" s="227">
        <v>6155234</v>
      </c>
      <c r="M20" s="277"/>
      <c r="N20" s="299"/>
      <c r="O20" s="90">
        <f t="shared" si="0"/>
        <v>0.64314788808920764</v>
      </c>
      <c r="Q20" s="298"/>
      <c r="R20" s="227">
        <v>1048548.6436075342</v>
      </c>
      <c r="S20" s="277"/>
      <c r="T20" s="299"/>
      <c r="U20" s="90">
        <f t="shared" si="1"/>
        <v>0.10956071624490457</v>
      </c>
      <c r="V20" s="90"/>
      <c r="W20" s="298"/>
    </row>
    <row r="21" spans="2:23" ht="16.5" customHeight="1">
      <c r="B21" s="98"/>
      <c r="C21" s="98"/>
      <c r="D21" s="349">
        <f t="shared" si="2"/>
        <v>46216</v>
      </c>
      <c r="E21" s="349" t="s">
        <v>388</v>
      </c>
      <c r="F21" s="227">
        <v>9554533</v>
      </c>
      <c r="G21" s="277"/>
      <c r="H21" s="299"/>
      <c r="I21" s="228">
        <v>274460</v>
      </c>
      <c r="K21" s="300"/>
      <c r="L21" s="227">
        <v>6263212</v>
      </c>
      <c r="M21" s="277"/>
      <c r="N21" s="299"/>
      <c r="O21" s="90">
        <f t="shared" si="0"/>
        <v>0.65552256714169077</v>
      </c>
      <c r="Q21" s="298"/>
      <c r="R21" s="227">
        <v>1038063.1329790619</v>
      </c>
      <c r="S21" s="277"/>
      <c r="T21" s="299"/>
      <c r="U21" s="90">
        <f t="shared" si="1"/>
        <v>0.10864614031675457</v>
      </c>
      <c r="V21" s="90"/>
      <c r="W21" s="298"/>
    </row>
    <row r="22" spans="2:23" ht="16.5" customHeight="1">
      <c r="B22" s="98"/>
      <c r="C22" s="98"/>
      <c r="D22" s="279">
        <f t="shared" si="2"/>
        <v>46217</v>
      </c>
      <c r="E22" s="279" t="s">
        <v>389</v>
      </c>
      <c r="F22" s="227">
        <v>9083724</v>
      </c>
      <c r="G22" s="277"/>
      <c r="H22" s="299"/>
      <c r="I22" s="228">
        <v>267652</v>
      </c>
      <c r="K22" s="300"/>
      <c r="L22" s="227">
        <v>6332473</v>
      </c>
      <c r="M22" s="277"/>
      <c r="N22" s="299"/>
      <c r="O22" s="90">
        <f t="shared" si="0"/>
        <v>0.69712300814071404</v>
      </c>
      <c r="Q22" s="298"/>
      <c r="R22" s="227">
        <v>1022476.3928132229</v>
      </c>
      <c r="S22" s="277"/>
      <c r="T22" s="299"/>
      <c r="U22" s="90">
        <f t="shared" si="1"/>
        <v>0.11256136721164392</v>
      </c>
      <c r="V22" s="90"/>
      <c r="W22" s="298"/>
    </row>
    <row r="23" spans="2:23" ht="16.5" customHeight="1">
      <c r="B23" s="98"/>
      <c r="C23" s="98"/>
      <c r="D23" s="279">
        <f t="shared" si="2"/>
        <v>46218</v>
      </c>
      <c r="E23" s="279" t="s">
        <v>390</v>
      </c>
      <c r="F23" s="227">
        <v>8161181</v>
      </c>
      <c r="G23" s="277"/>
      <c r="H23" s="299"/>
      <c r="I23" s="228">
        <v>240825</v>
      </c>
      <c r="K23" s="300"/>
      <c r="L23" s="227">
        <v>5808941</v>
      </c>
      <c r="M23" s="277"/>
      <c r="N23" s="299"/>
      <c r="O23" s="90">
        <f t="shared" si="0"/>
        <v>0.71177700874420013</v>
      </c>
      <c r="Q23" s="298"/>
      <c r="R23" s="227">
        <v>1031004.5430771115</v>
      </c>
      <c r="S23" s="277"/>
      <c r="T23" s="299"/>
      <c r="U23" s="90">
        <f t="shared" si="1"/>
        <v>0.12633031212971646</v>
      </c>
      <c r="V23" s="90"/>
      <c r="W23" s="298"/>
    </row>
    <row r="24" spans="2:23" ht="16.5" customHeight="1">
      <c r="B24" s="98"/>
      <c r="C24" s="98"/>
      <c r="D24" s="279">
        <f t="shared" si="2"/>
        <v>46219</v>
      </c>
      <c r="E24" s="279" t="s">
        <v>391</v>
      </c>
      <c r="F24" s="227">
        <v>7874647</v>
      </c>
      <c r="G24" s="277"/>
      <c r="H24" s="299"/>
      <c r="I24" s="228">
        <v>234974</v>
      </c>
      <c r="K24" s="300"/>
      <c r="L24" s="227">
        <v>5274369</v>
      </c>
      <c r="M24" s="277"/>
      <c r="N24" s="299"/>
      <c r="O24" s="90">
        <f t="shared" si="0"/>
        <v>0.6697911665119719</v>
      </c>
      <c r="Q24" s="298"/>
      <c r="R24" s="227">
        <v>985306.94765697257</v>
      </c>
      <c r="S24" s="277"/>
      <c r="T24" s="299"/>
      <c r="U24" s="90">
        <f t="shared" si="1"/>
        <v>0.12512395129038451</v>
      </c>
      <c r="V24" s="90"/>
      <c r="W24" s="298"/>
    </row>
    <row r="25" spans="2:23" ht="16.5" customHeight="1">
      <c r="B25" s="98"/>
      <c r="C25" s="98"/>
      <c r="D25" s="279">
        <f t="shared" si="2"/>
        <v>46220</v>
      </c>
      <c r="E25" s="279" t="s">
        <v>392</v>
      </c>
      <c r="F25" s="227">
        <v>7204022</v>
      </c>
      <c r="G25" s="277"/>
      <c r="H25" s="299"/>
      <c r="I25" s="228">
        <v>212382</v>
      </c>
      <c r="K25" s="300"/>
      <c r="L25" s="227">
        <v>4956467</v>
      </c>
      <c r="M25" s="277"/>
      <c r="N25" s="299"/>
      <c r="O25" s="90">
        <f t="shared" si="0"/>
        <v>0.68801386225638961</v>
      </c>
      <c r="Q25" s="298"/>
      <c r="R25" s="227">
        <v>969904.95061877789</v>
      </c>
      <c r="S25" s="277"/>
      <c r="T25" s="299"/>
      <c r="U25" s="90">
        <f t="shared" si="1"/>
        <v>0.13463381297541538</v>
      </c>
      <c r="V25" s="90"/>
      <c r="W25" s="298"/>
    </row>
    <row r="26" spans="2:23">
      <c r="B26" s="98"/>
      <c r="C26" s="98"/>
      <c r="D26" s="279">
        <f t="shared" si="2"/>
        <v>46221</v>
      </c>
      <c r="E26" s="279" t="s">
        <v>393</v>
      </c>
      <c r="F26" s="227">
        <v>7376905</v>
      </c>
      <c r="G26" s="277"/>
      <c r="H26" s="299"/>
      <c r="I26" s="228">
        <v>218843</v>
      </c>
      <c r="K26" s="300"/>
      <c r="L26" s="227">
        <v>5165082</v>
      </c>
      <c r="M26" s="277"/>
      <c r="N26" s="299"/>
      <c r="O26" s="90">
        <f t="shared" si="0"/>
        <v>0.70016924441889927</v>
      </c>
      <c r="Q26" s="298"/>
      <c r="R26" s="227">
        <v>987650.50066044484</v>
      </c>
      <c r="S26" s="277"/>
      <c r="T26" s="299"/>
      <c r="U26" s="90">
        <f t="shared" si="1"/>
        <v>0.13388412900267047</v>
      </c>
      <c r="V26" s="90"/>
      <c r="W26" s="298"/>
    </row>
    <row r="27" spans="2:23">
      <c r="B27" s="98"/>
      <c r="C27" s="98"/>
      <c r="D27" s="279">
        <f t="shared" si="2"/>
        <v>46222</v>
      </c>
      <c r="E27" s="279" t="s">
        <v>394</v>
      </c>
      <c r="F27" s="227">
        <v>8954762</v>
      </c>
      <c r="G27" s="277"/>
      <c r="H27" s="299"/>
      <c r="I27" s="228">
        <v>262074</v>
      </c>
      <c r="K27" s="300"/>
      <c r="L27" s="227">
        <v>5732448</v>
      </c>
      <c r="M27" s="277"/>
      <c r="N27" s="299"/>
      <c r="O27" s="90">
        <f t="shared" si="0"/>
        <v>0.64015637713207785</v>
      </c>
      <c r="Q27" s="298"/>
      <c r="R27" s="227">
        <v>1009789.0347229447</v>
      </c>
      <c r="S27" s="277"/>
      <c r="T27" s="299"/>
      <c r="U27" s="90">
        <f t="shared" si="1"/>
        <v>0.11276559161739248</v>
      </c>
      <c r="V27" s="90"/>
      <c r="W27" s="298"/>
    </row>
    <row r="28" spans="2:23">
      <c r="B28" s="98"/>
      <c r="C28" s="98"/>
      <c r="D28" s="279">
        <f t="shared" si="2"/>
        <v>46223</v>
      </c>
      <c r="E28" s="279" t="s">
        <v>388</v>
      </c>
      <c r="F28" s="227">
        <v>8839399</v>
      </c>
      <c r="G28" s="277"/>
      <c r="H28" s="299"/>
      <c r="I28" s="228">
        <v>256394</v>
      </c>
      <c r="K28" s="300"/>
      <c r="L28" s="227">
        <v>5514875</v>
      </c>
      <c r="M28" s="277"/>
      <c r="N28" s="299"/>
      <c r="O28" s="90">
        <f t="shared" si="0"/>
        <v>0.62389705453956767</v>
      </c>
      <c r="Q28" s="298"/>
      <c r="R28" s="227">
        <v>1018762.7602264171</v>
      </c>
      <c r="S28" s="277"/>
      <c r="T28" s="299"/>
      <c r="U28" s="90">
        <f t="shared" si="1"/>
        <v>0.11525249173913488</v>
      </c>
      <c r="V28" s="90"/>
      <c r="W28" s="298"/>
    </row>
    <row r="29" spans="2:23">
      <c r="B29" s="98"/>
      <c r="C29" s="98"/>
      <c r="D29" s="349">
        <f t="shared" si="2"/>
        <v>46224</v>
      </c>
      <c r="E29" s="349" t="s">
        <v>389</v>
      </c>
      <c r="F29" s="227">
        <v>9279114</v>
      </c>
      <c r="G29" s="277"/>
      <c r="H29" s="299"/>
      <c r="I29" s="228">
        <v>265548</v>
      </c>
      <c r="K29" s="300"/>
      <c r="L29" s="227">
        <v>6464236</v>
      </c>
      <c r="M29" s="277"/>
      <c r="N29" s="299"/>
      <c r="O29" s="90">
        <f t="shared" si="0"/>
        <v>0.69664366662593002</v>
      </c>
      <c r="Q29" s="298"/>
      <c r="R29" s="227">
        <v>1038107.9348228803</v>
      </c>
      <c r="S29" s="277"/>
      <c r="T29" s="299"/>
      <c r="U29" s="90">
        <f t="shared" si="1"/>
        <v>0.11187576042528202</v>
      </c>
      <c r="V29" s="90"/>
      <c r="W29" s="298"/>
    </row>
    <row r="30" spans="2:23">
      <c r="B30" s="98"/>
      <c r="C30" s="98"/>
      <c r="D30" s="349">
        <f t="shared" si="2"/>
        <v>46225</v>
      </c>
      <c r="E30" s="349" t="s">
        <v>390</v>
      </c>
      <c r="F30" s="227">
        <v>8679383</v>
      </c>
      <c r="G30" s="277"/>
      <c r="H30" s="299"/>
      <c r="I30" s="228">
        <v>252084</v>
      </c>
      <c r="K30" s="300"/>
      <c r="L30" s="227">
        <v>5815781</v>
      </c>
      <c r="M30" s="277"/>
      <c r="N30" s="299"/>
      <c r="O30" s="90">
        <f t="shared" si="0"/>
        <v>0.67006848297857113</v>
      </c>
      <c r="Q30" s="298"/>
      <c r="R30" s="227">
        <v>1011026.194386229</v>
      </c>
      <c r="S30" s="277"/>
      <c r="T30" s="299"/>
      <c r="U30" s="90">
        <f t="shared" si="1"/>
        <v>0.11648595232935671</v>
      </c>
      <c r="V30" s="90"/>
      <c r="W30" s="298"/>
    </row>
    <row r="31" spans="2:23">
      <c r="B31" s="98"/>
      <c r="C31" s="98"/>
      <c r="D31" s="349">
        <f t="shared" si="2"/>
        <v>46226</v>
      </c>
      <c r="E31" s="349" t="s">
        <v>391</v>
      </c>
      <c r="F31" s="227">
        <v>8118844</v>
      </c>
      <c r="G31" s="277"/>
      <c r="H31" s="299"/>
      <c r="I31" s="228">
        <v>237368</v>
      </c>
      <c r="K31" s="300"/>
      <c r="L31" s="227">
        <v>5155217</v>
      </c>
      <c r="M31" s="277"/>
      <c r="N31" s="299"/>
      <c r="O31" s="90">
        <f t="shared" si="0"/>
        <v>0.63496933799935062</v>
      </c>
      <c r="Q31" s="298"/>
      <c r="R31" s="227">
        <v>1006760.0993295389</v>
      </c>
      <c r="S31" s="277"/>
      <c r="T31" s="299"/>
      <c r="U31" s="90">
        <f t="shared" si="1"/>
        <v>0.12400288752062964</v>
      </c>
      <c r="V31" s="90"/>
      <c r="W31" s="298"/>
    </row>
    <row r="32" spans="2:23">
      <c r="B32" s="98"/>
      <c r="C32" s="98"/>
      <c r="D32" s="349">
        <f t="shared" si="2"/>
        <v>46227</v>
      </c>
      <c r="E32" s="349" t="s">
        <v>392</v>
      </c>
      <c r="F32" s="227">
        <v>7260099</v>
      </c>
      <c r="G32" s="277"/>
      <c r="H32" s="299"/>
      <c r="I32" s="228">
        <v>213646</v>
      </c>
      <c r="K32" s="300"/>
      <c r="L32" s="227">
        <v>4906187</v>
      </c>
      <c r="M32" s="277"/>
      <c r="N32" s="299"/>
      <c r="O32" s="90">
        <f t="shared" si="0"/>
        <v>0.67577411823172107</v>
      </c>
      <c r="Q32" s="298"/>
      <c r="R32" s="227">
        <v>987157.77532560751</v>
      </c>
      <c r="S32" s="277"/>
      <c r="T32" s="299"/>
      <c r="U32" s="90">
        <f t="shared" si="1"/>
        <v>0.1359702912213191</v>
      </c>
      <c r="V32" s="90"/>
      <c r="W32" s="298"/>
    </row>
    <row r="33" spans="2:23">
      <c r="B33" s="98"/>
      <c r="C33" s="98"/>
      <c r="D33" s="349">
        <f t="shared" si="2"/>
        <v>46228</v>
      </c>
      <c r="E33" s="349" t="s">
        <v>393</v>
      </c>
      <c r="F33" s="227">
        <v>7568928</v>
      </c>
      <c r="G33" s="277"/>
      <c r="H33" s="299"/>
      <c r="I33" s="228">
        <v>220865</v>
      </c>
      <c r="K33" s="300"/>
      <c r="L33" s="227">
        <v>5280259</v>
      </c>
      <c r="M33" s="277"/>
      <c r="N33" s="299"/>
      <c r="O33" s="90">
        <f t="shared" si="0"/>
        <v>0.69762309801335143</v>
      </c>
      <c r="Q33" s="298"/>
      <c r="R33" s="227">
        <v>984806.99155818194</v>
      </c>
      <c r="S33" s="277"/>
      <c r="T33" s="299"/>
      <c r="U33" s="90">
        <f t="shared" si="1"/>
        <v>0.13011181921114615</v>
      </c>
      <c r="V33" s="90"/>
      <c r="W33" s="298"/>
    </row>
    <row r="34" spans="2:23">
      <c r="B34" s="98"/>
      <c r="C34" s="98"/>
      <c r="D34" s="349">
        <f t="shared" si="2"/>
        <v>46229</v>
      </c>
      <c r="E34" s="349" t="s">
        <v>394</v>
      </c>
      <c r="F34" s="227">
        <v>9434578</v>
      </c>
      <c r="G34" s="277"/>
      <c r="H34" s="299"/>
      <c r="I34" s="228">
        <v>274740</v>
      </c>
      <c r="K34" s="300"/>
      <c r="L34" s="227">
        <v>5950064</v>
      </c>
      <c r="M34" s="277"/>
      <c r="N34" s="299"/>
      <c r="O34" s="90">
        <f t="shared" si="0"/>
        <v>0.63066562171620177</v>
      </c>
      <c r="Q34" s="298"/>
      <c r="R34" s="227">
        <v>1081625.5399648272</v>
      </c>
      <c r="S34" s="277"/>
      <c r="T34" s="299"/>
      <c r="U34" s="90">
        <f t="shared" si="1"/>
        <v>0.11464482459785984</v>
      </c>
      <c r="V34" s="90"/>
      <c r="W34" s="298"/>
    </row>
    <row r="35" spans="2:23">
      <c r="B35" s="98"/>
      <c r="C35" s="98"/>
      <c r="D35" s="349">
        <f t="shared" si="2"/>
        <v>46230</v>
      </c>
      <c r="E35" s="349" t="s">
        <v>388</v>
      </c>
      <c r="F35" s="227">
        <v>9238485</v>
      </c>
      <c r="G35" s="277"/>
      <c r="H35" s="299"/>
      <c r="I35" s="228">
        <v>270305</v>
      </c>
      <c r="K35" s="300"/>
      <c r="L35" s="227">
        <v>6273686</v>
      </c>
      <c r="M35" s="277"/>
      <c r="N35" s="299"/>
      <c r="O35" s="90">
        <f t="shared" si="0"/>
        <v>0.67908168925965673</v>
      </c>
      <c r="Q35" s="298"/>
      <c r="R35" s="227">
        <v>1039021.1376974966</v>
      </c>
      <c r="S35" s="277"/>
      <c r="T35" s="299"/>
      <c r="U35" s="90">
        <f t="shared" si="1"/>
        <v>0.11246661521856631</v>
      </c>
      <c r="V35" s="90"/>
      <c r="W35" s="298"/>
    </row>
    <row r="36" spans="2:23">
      <c r="B36" s="98"/>
      <c r="D36" s="279">
        <f t="shared" si="2"/>
        <v>46231</v>
      </c>
      <c r="E36" s="279" t="s">
        <v>389</v>
      </c>
      <c r="F36" s="227">
        <v>8700275</v>
      </c>
      <c r="G36" s="277"/>
      <c r="I36" s="228">
        <v>256784</v>
      </c>
      <c r="L36" s="227">
        <v>6236241</v>
      </c>
      <c r="M36" s="277"/>
      <c r="N36" s="87"/>
      <c r="O36" s="90">
        <f t="shared" si="0"/>
        <v>0.71678665329544178</v>
      </c>
      <c r="Q36" s="87"/>
      <c r="R36" s="227">
        <v>986497.00424745306</v>
      </c>
      <c r="S36" s="277"/>
      <c r="T36" s="87"/>
      <c r="U36" s="90">
        <f t="shared" si="1"/>
        <v>0.11338687619040239</v>
      </c>
      <c r="V36" s="90"/>
      <c r="W36" s="87"/>
    </row>
    <row r="37" spans="2:23">
      <c r="B37" s="98"/>
      <c r="D37" s="279">
        <f t="shared" si="2"/>
        <v>46232</v>
      </c>
      <c r="E37" s="279" t="s">
        <v>390</v>
      </c>
      <c r="F37" s="227">
        <v>8324343</v>
      </c>
      <c r="G37" s="277"/>
      <c r="I37" s="228">
        <v>245995</v>
      </c>
      <c r="L37" s="227">
        <v>5957129</v>
      </c>
      <c r="M37" s="277"/>
      <c r="N37" s="87"/>
      <c r="O37" s="90">
        <f t="shared" si="0"/>
        <v>0.71562752760187798</v>
      </c>
      <c r="Q37" s="87"/>
      <c r="R37" s="227">
        <v>998692.8327414114</v>
      </c>
      <c r="S37" s="277"/>
      <c r="T37" s="87"/>
      <c r="U37" s="90">
        <f t="shared" si="1"/>
        <v>0.11997257113761547</v>
      </c>
      <c r="V37" s="90"/>
      <c r="W37" s="87"/>
    </row>
    <row r="38" spans="2:23">
      <c r="B38" s="98"/>
      <c r="D38" s="279">
        <f>D37+1</f>
        <v>46233</v>
      </c>
      <c r="E38" s="279" t="s">
        <v>391</v>
      </c>
      <c r="F38" s="227">
        <v>7885992</v>
      </c>
      <c r="G38" s="277"/>
      <c r="I38" s="228">
        <v>234341</v>
      </c>
      <c r="L38" s="227">
        <v>5662746</v>
      </c>
      <c r="M38" s="277"/>
      <c r="N38" s="87"/>
      <c r="O38" s="90">
        <f t="shared" si="0"/>
        <v>0.71807655904292067</v>
      </c>
      <c r="Q38" s="87"/>
      <c r="R38" s="227">
        <v>960954.77050450572</v>
      </c>
      <c r="S38" s="277"/>
      <c r="T38" s="87"/>
      <c r="U38" s="90">
        <f t="shared" si="1"/>
        <v>0.12185591495711709</v>
      </c>
      <c r="V38" s="90"/>
      <c r="W38" s="87"/>
    </row>
    <row r="39" spans="2:23">
      <c r="B39" s="98"/>
      <c r="D39" s="279">
        <f t="shared" ref="D39" si="3">D38+1</f>
        <v>46234</v>
      </c>
      <c r="E39" s="279" t="s">
        <v>392</v>
      </c>
      <c r="F39" s="227">
        <v>7084934</v>
      </c>
      <c r="G39" s="277"/>
      <c r="I39" s="228">
        <v>211184</v>
      </c>
      <c r="L39" s="227">
        <v>4712463</v>
      </c>
      <c r="M39" s="277"/>
      <c r="N39" s="87"/>
      <c r="O39" s="90">
        <f t="shared" si="0"/>
        <v>0.66513858844697782</v>
      </c>
      <c r="Q39" s="87"/>
      <c r="R39" s="227">
        <v>999698.18725912366</v>
      </c>
      <c r="S39" s="277"/>
      <c r="T39" s="87"/>
      <c r="U39" s="90">
        <f t="shared" si="1"/>
        <v>0.14110197600416935</v>
      </c>
      <c r="V39" s="90"/>
      <c r="W39" s="87"/>
    </row>
    <row r="40" spans="2:23">
      <c r="B40" s="98"/>
      <c r="D40" s="86"/>
      <c r="E40" s="86"/>
      <c r="F40" s="277"/>
      <c r="G40" s="277"/>
      <c r="L40" s="277"/>
      <c r="M40" s="277"/>
      <c r="N40" s="87"/>
      <c r="O40" s="90" t="e">
        <f>L40/F40</f>
        <v>#DIV/0!</v>
      </c>
      <c r="Q40" s="87"/>
      <c r="R40" s="225"/>
      <c r="S40" s="277"/>
      <c r="T40" s="87"/>
      <c r="U40" s="90" t="e">
        <f t="shared" si="1"/>
        <v>#DIV/0!</v>
      </c>
      <c r="V40" s="90"/>
      <c r="W40" s="87"/>
    </row>
    <row r="41" spans="2:23">
      <c r="B41" s="98"/>
      <c r="D41" s="86"/>
      <c r="E41" s="86"/>
      <c r="G41" s="277"/>
      <c r="M41" s="277"/>
      <c r="N41" s="87"/>
      <c r="Q41" s="87"/>
      <c r="S41" s="277"/>
      <c r="T41" s="87"/>
      <c r="V41" s="90"/>
      <c r="W41" s="87"/>
    </row>
    <row r="42" spans="2:23">
      <c r="B42" s="98"/>
      <c r="D42" s="86"/>
      <c r="E42" s="86"/>
      <c r="G42" s="277"/>
      <c r="M42" s="277"/>
      <c r="N42" s="87"/>
      <c r="Q42" s="87"/>
      <c r="S42" s="277"/>
      <c r="T42" s="87"/>
      <c r="V42" s="90"/>
      <c r="W42" s="87"/>
    </row>
    <row r="43" spans="2:23">
      <c r="B43" s="98"/>
      <c r="D43" s="86"/>
      <c r="E43" s="86"/>
      <c r="G43" s="277"/>
      <c r="M43" s="277"/>
      <c r="N43" s="87"/>
      <c r="Q43" s="87"/>
      <c r="S43" s="277"/>
      <c r="T43" s="87"/>
      <c r="V43" s="90"/>
      <c r="W43" s="87"/>
    </row>
    <row r="44" spans="2:23">
      <c r="B44" s="98"/>
      <c r="M44" s="87"/>
      <c r="S44" s="87"/>
    </row>
    <row r="45" spans="2:23">
      <c r="B45" s="98"/>
      <c r="M45" s="87"/>
    </row>
    <row r="46" spans="2:23">
      <c r="B46" s="98"/>
      <c r="M46" s="87"/>
    </row>
    <row r="47" spans="2:23">
      <c r="B47" s="98"/>
      <c r="M47" s="87"/>
    </row>
    <row r="48" spans="2:23">
      <c r="B48" s="98"/>
      <c r="M48" s="87"/>
    </row>
    <row r="49" spans="2:13">
      <c r="B49" s="98"/>
      <c r="M49" s="87"/>
    </row>
    <row r="50" spans="2:13">
      <c r="M50" s="87"/>
    </row>
    <row r="51" spans="2:13">
      <c r="M51" s="87"/>
    </row>
    <row r="52" spans="2:13">
      <c r="M52" s="87"/>
    </row>
    <row r="53" spans="2:13">
      <c r="M53" s="87"/>
    </row>
    <row r="54" spans="2:13">
      <c r="M54" s="87"/>
    </row>
    <row r="55" spans="2:13">
      <c r="M55" s="87"/>
    </row>
    <row r="56" spans="2:13">
      <c r="M56" s="87"/>
    </row>
    <row r="57" spans="2:13">
      <c r="M57" s="87"/>
    </row>
  </sheetData>
  <mergeCells count="9">
    <mergeCell ref="O3:Q3"/>
    <mergeCell ref="B2:W2"/>
    <mergeCell ref="I3:K3"/>
    <mergeCell ref="L3:N3"/>
    <mergeCell ref="F3:H3"/>
    <mergeCell ref="C3:C4"/>
    <mergeCell ref="D3:E4"/>
    <mergeCell ref="R3:T3"/>
    <mergeCell ref="U3:W3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B1:W49"/>
  <sheetViews>
    <sheetView zoomScale="75" zoomScaleNormal="7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S32" sqref="S32"/>
    </sheetView>
  </sheetViews>
  <sheetFormatPr defaultColWidth="8.85546875" defaultRowHeight="14.25"/>
  <cols>
    <col min="1" max="1" width="4.42578125" style="74" customWidth="1"/>
    <col min="2" max="2" width="12.5703125" style="82" customWidth="1"/>
    <col min="3" max="3" width="8.85546875" style="83"/>
    <col min="4" max="4" width="17.42578125" style="84" customWidth="1"/>
    <col min="5" max="5" width="4.42578125" style="84" customWidth="1"/>
    <col min="6" max="8" width="25.5703125" style="94" customWidth="1"/>
    <col min="9" max="11" width="15" style="73" customWidth="1"/>
    <col min="12" max="17" width="14.5703125" style="73" customWidth="1"/>
    <col min="18" max="21" width="14.140625" style="73" customWidth="1"/>
    <col min="22" max="23" width="14.140625" style="74" customWidth="1"/>
    <col min="24" max="16384" width="8.85546875" style="74"/>
  </cols>
  <sheetData>
    <row r="1" spans="2:23">
      <c r="B1" s="82" t="s">
        <v>308</v>
      </c>
      <c r="C1" s="83">
        <v>366</v>
      </c>
    </row>
    <row r="2" spans="2:23" ht="38.1" customHeight="1">
      <c r="B2" s="585" t="s">
        <v>126</v>
      </c>
      <c r="C2" s="592"/>
      <c r="D2" s="592"/>
      <c r="E2" s="592"/>
      <c r="F2" s="592"/>
      <c r="G2" s="592"/>
      <c r="H2" s="592"/>
      <c r="I2" s="592"/>
      <c r="J2" s="592"/>
      <c r="K2" s="592"/>
      <c r="L2" s="592"/>
      <c r="M2" s="592"/>
      <c r="N2" s="592"/>
      <c r="O2" s="592"/>
      <c r="P2" s="592"/>
      <c r="Q2" s="592"/>
      <c r="R2" s="592"/>
      <c r="S2" s="592"/>
      <c r="T2" s="592"/>
      <c r="U2" s="592"/>
    </row>
    <row r="3" spans="2:23" s="72" customFormat="1" ht="23.45" customHeight="1">
      <c r="B3" s="98"/>
      <c r="C3" s="589" t="s">
        <v>116</v>
      </c>
      <c r="D3" s="590" t="s">
        <v>105</v>
      </c>
      <c r="E3" s="590"/>
      <c r="F3" s="593" t="s">
        <v>107</v>
      </c>
      <c r="G3" s="593"/>
      <c r="H3" s="593"/>
      <c r="I3" s="595" t="s">
        <v>108</v>
      </c>
      <c r="J3" s="595"/>
      <c r="K3" s="595"/>
      <c r="L3" s="594" t="s">
        <v>299</v>
      </c>
      <c r="M3" s="594"/>
      <c r="N3" s="594"/>
      <c r="O3" s="594" t="s">
        <v>106</v>
      </c>
      <c r="P3" s="594"/>
      <c r="Q3" s="594"/>
      <c r="R3" s="594" t="s">
        <v>109</v>
      </c>
      <c r="S3" s="594"/>
      <c r="T3" s="594"/>
      <c r="U3" s="594" t="s">
        <v>110</v>
      </c>
      <c r="V3" s="594"/>
      <c r="W3" s="594"/>
    </row>
    <row r="4" spans="2:23" ht="15.75">
      <c r="B4" s="98"/>
      <c r="C4" s="589"/>
      <c r="D4" s="590"/>
      <c r="E4" s="590"/>
      <c r="F4" s="85" t="s">
        <v>115</v>
      </c>
      <c r="G4" s="96" t="s">
        <v>127</v>
      </c>
      <c r="H4" s="96" t="s">
        <v>128</v>
      </c>
      <c r="I4" s="85" t="s">
        <v>115</v>
      </c>
      <c r="J4" s="95" t="s">
        <v>127</v>
      </c>
      <c r="K4" s="95" t="s">
        <v>128</v>
      </c>
      <c r="L4" s="85" t="s">
        <v>115</v>
      </c>
      <c r="M4" s="95" t="s">
        <v>127</v>
      </c>
      <c r="N4" s="95" t="s">
        <v>128</v>
      </c>
      <c r="O4" s="85" t="s">
        <v>115</v>
      </c>
      <c r="P4" s="95" t="s">
        <v>127</v>
      </c>
      <c r="Q4" s="95" t="s">
        <v>128</v>
      </c>
      <c r="R4" s="85" t="s">
        <v>115</v>
      </c>
      <c r="S4" s="95" t="s">
        <v>127</v>
      </c>
      <c r="T4" s="95" t="s">
        <v>128</v>
      </c>
      <c r="U4" s="85" t="s">
        <v>115</v>
      </c>
      <c r="V4" s="95" t="s">
        <v>127</v>
      </c>
      <c r="W4" s="95" t="s">
        <v>128</v>
      </c>
    </row>
    <row r="5" spans="2:23" s="492" customFormat="1" ht="14.45" customHeight="1">
      <c r="B5" s="98"/>
      <c r="C5" s="98"/>
      <c r="D5" s="86"/>
      <c r="E5" s="86"/>
      <c r="F5" s="93"/>
      <c r="G5" s="93"/>
      <c r="H5" s="93"/>
      <c r="I5" s="90"/>
      <c r="J5" s="211"/>
      <c r="K5" s="211"/>
      <c r="L5" s="278"/>
      <c r="M5" s="278"/>
      <c r="N5" s="278"/>
      <c r="O5" s="278"/>
      <c r="P5" s="278"/>
      <c r="Q5" s="278"/>
      <c r="R5" s="278"/>
      <c r="S5" s="278"/>
      <c r="T5" s="278"/>
      <c r="U5" s="278"/>
      <c r="V5" s="278"/>
      <c r="W5" s="278"/>
    </row>
    <row r="6" spans="2:23" s="492" customFormat="1" ht="14.45" customHeight="1">
      <c r="B6" s="98"/>
      <c r="C6" s="98"/>
      <c r="D6" s="86"/>
      <c r="E6" s="86"/>
      <c r="F6" s="93"/>
      <c r="G6" s="93"/>
      <c r="H6" s="493"/>
      <c r="I6" s="90"/>
      <c r="J6" s="211"/>
      <c r="K6" s="494"/>
      <c r="L6" s="278"/>
      <c r="M6" s="278"/>
      <c r="N6" s="494"/>
      <c r="O6" s="278"/>
      <c r="P6" s="278"/>
      <c r="Q6" s="494"/>
      <c r="R6" s="278"/>
      <c r="S6" s="278"/>
      <c r="T6" s="494"/>
      <c r="U6" s="278"/>
      <c r="V6" s="278"/>
    </row>
    <row r="7" spans="2:23" s="492" customFormat="1" ht="14.45" customHeight="1">
      <c r="B7" s="98"/>
      <c r="C7" s="98"/>
      <c r="D7" s="86"/>
      <c r="E7" s="86"/>
      <c r="F7" s="93"/>
      <c r="G7" s="93"/>
      <c r="H7" s="93"/>
      <c r="I7" s="90"/>
      <c r="J7" s="211"/>
      <c r="K7" s="211"/>
      <c r="L7" s="278"/>
      <c r="M7" s="278"/>
      <c r="N7" s="278"/>
      <c r="O7" s="278"/>
      <c r="P7" s="278"/>
      <c r="Q7" s="278"/>
      <c r="R7" s="278"/>
      <c r="S7" s="278"/>
      <c r="T7" s="278"/>
      <c r="U7" s="278"/>
      <c r="V7" s="278"/>
      <c r="W7" s="278"/>
    </row>
    <row r="8" spans="2:23" s="492" customFormat="1" ht="14.45" customHeight="1">
      <c r="B8" s="98"/>
      <c r="C8" s="98"/>
      <c r="D8" s="86"/>
      <c r="E8" s="86"/>
      <c r="F8" s="93"/>
      <c r="G8" s="93"/>
      <c r="H8" s="93"/>
      <c r="I8" s="90"/>
      <c r="J8" s="211"/>
      <c r="K8" s="211"/>
      <c r="L8" s="278"/>
      <c r="M8" s="278"/>
      <c r="N8" s="278"/>
      <c r="O8" s="278"/>
      <c r="P8" s="278"/>
      <c r="Q8" s="278"/>
      <c r="R8" s="278"/>
      <c r="S8" s="278"/>
      <c r="T8" s="278"/>
      <c r="U8" s="278"/>
      <c r="V8" s="278"/>
      <c r="W8" s="278"/>
    </row>
    <row r="9" spans="2:23" ht="14.45" customHeight="1">
      <c r="B9" s="98"/>
      <c r="C9" s="98"/>
      <c r="D9" s="279">
        <v>46204</v>
      </c>
      <c r="E9" s="279" t="s">
        <v>390</v>
      </c>
      <c r="F9" s="226">
        <v>364.8</v>
      </c>
      <c r="G9" s="93"/>
      <c r="H9" s="93">
        <f>AVERAGE(F9:F39)</f>
        <v>337.18177159809551</v>
      </c>
      <c r="I9" s="90">
        <f t="shared" ref="I9:I39" si="0">F9/$C$1</f>
        <v>0.99672131147540988</v>
      </c>
      <c r="J9" s="211"/>
      <c r="K9" s="211">
        <f>AVERAGE(I9:I39)</f>
        <v>0.92126167103304779</v>
      </c>
      <c r="L9" s="241">
        <v>2.4330243244607983E-3</v>
      </c>
      <c r="M9" s="211"/>
      <c r="N9" s="278">
        <f>AVERAGE(L9:L39)</f>
        <v>2.4201877769025335E-3</v>
      </c>
      <c r="O9" s="241">
        <v>4.1871245505086929E-3</v>
      </c>
      <c r="P9" s="211"/>
      <c r="Q9" s="278">
        <f>AVERAGE(O9:O39)</f>
        <v>4.0165063875479516E-3</v>
      </c>
      <c r="R9" s="230">
        <v>0.91666666666666663</v>
      </c>
      <c r="S9" s="211"/>
      <c r="T9" s="211">
        <f>AVERAGE(R9:R39)</f>
        <v>0.91666666666666707</v>
      </c>
      <c r="U9" s="230">
        <v>0.53200000000000003</v>
      </c>
      <c r="V9" s="211"/>
      <c r="W9" s="211">
        <f>AVERAGE(U9:U39)</f>
        <v>0.58341935483870966</v>
      </c>
    </row>
    <row r="10" spans="2:23" ht="14.45" customHeight="1">
      <c r="B10" s="98"/>
      <c r="C10" s="98"/>
      <c r="D10" s="279">
        <f>D9+1</f>
        <v>46205</v>
      </c>
      <c r="E10" s="279" t="s">
        <v>391</v>
      </c>
      <c r="F10" s="226">
        <v>362.7</v>
      </c>
      <c r="H10" s="93"/>
      <c r="I10" s="90">
        <f t="shared" si="0"/>
        <v>0.99098360655737705</v>
      </c>
      <c r="J10" s="211"/>
      <c r="K10" s="211"/>
      <c r="L10" s="241">
        <v>2.4023279422161399E-3</v>
      </c>
      <c r="M10" s="211"/>
      <c r="N10" s="278"/>
      <c r="O10" s="241">
        <v>3.9076528453328924E-3</v>
      </c>
      <c r="P10" s="211"/>
      <c r="Q10" s="278"/>
      <c r="R10" s="230">
        <v>0.91666666666666663</v>
      </c>
      <c r="S10" s="211"/>
      <c r="T10" s="278"/>
      <c r="U10" s="230">
        <v>0.53400000000000003</v>
      </c>
      <c r="V10" s="211"/>
      <c r="W10" s="278"/>
    </row>
    <row r="11" spans="2:23" ht="14.45" customHeight="1">
      <c r="B11" s="98"/>
      <c r="C11" s="98"/>
      <c r="D11" s="279">
        <f t="shared" ref="D11:D37" si="1">D10+1</f>
        <v>46206</v>
      </c>
      <c r="E11" s="279" t="s">
        <v>392</v>
      </c>
      <c r="F11" s="226">
        <v>365.8</v>
      </c>
      <c r="G11" s="93"/>
      <c r="H11" s="93"/>
      <c r="I11" s="90">
        <f t="shared" si="0"/>
        <v>0.99945355191256835</v>
      </c>
      <c r="J11" s="211"/>
      <c r="K11" s="211"/>
      <c r="L11" s="241">
        <v>2.4222663628591977E-3</v>
      </c>
      <c r="M11" s="211"/>
      <c r="N11" s="278"/>
      <c r="O11" s="241">
        <v>4.1228686353332279E-3</v>
      </c>
      <c r="P11" s="211"/>
      <c r="Q11" s="278"/>
      <c r="R11" s="230">
        <v>0.91666666666666663</v>
      </c>
      <c r="S11" s="211"/>
      <c r="T11" s="278"/>
      <c r="U11" s="230">
        <v>0.53600000000000003</v>
      </c>
      <c r="V11" s="211"/>
      <c r="W11" s="278"/>
    </row>
    <row r="12" spans="2:23" ht="14.45" customHeight="1">
      <c r="B12" s="98"/>
      <c r="C12" s="98"/>
      <c r="D12" s="279">
        <f t="shared" si="1"/>
        <v>46207</v>
      </c>
      <c r="E12" s="279" t="s">
        <v>393</v>
      </c>
      <c r="F12" s="226">
        <v>362.8</v>
      </c>
      <c r="G12" s="93"/>
      <c r="H12" s="93"/>
      <c r="I12" s="90">
        <f t="shared" si="0"/>
        <v>0.99125683060109293</v>
      </c>
      <c r="J12" s="211"/>
      <c r="K12" s="211"/>
      <c r="L12" s="241">
        <v>2.4292960869298609E-3</v>
      </c>
      <c r="M12" s="211"/>
      <c r="N12" s="278"/>
      <c r="O12" s="241">
        <v>4.0008175362303659E-3</v>
      </c>
      <c r="P12" s="211"/>
      <c r="Q12" s="278"/>
      <c r="R12" s="230">
        <v>0.91666666666666663</v>
      </c>
      <c r="S12" s="211"/>
      <c r="T12" s="278"/>
      <c r="U12" s="230">
        <v>0.53800000000000003</v>
      </c>
      <c r="V12" s="211"/>
      <c r="W12" s="278"/>
    </row>
    <row r="13" spans="2:23" ht="14.45" customHeight="1">
      <c r="B13" s="98"/>
      <c r="C13" s="98"/>
      <c r="D13" s="279">
        <f t="shared" si="1"/>
        <v>46208</v>
      </c>
      <c r="E13" s="279" t="s">
        <v>394</v>
      </c>
      <c r="F13" s="226">
        <v>368.3</v>
      </c>
      <c r="G13" s="93"/>
      <c r="H13" s="93"/>
      <c r="I13" s="90">
        <f t="shared" si="0"/>
        <v>1.0062841530054645</v>
      </c>
      <c r="J13" s="211"/>
      <c r="K13" s="211"/>
      <c r="L13" s="241">
        <v>2.4165580641082522E-3</v>
      </c>
      <c r="M13" s="211"/>
      <c r="N13" s="278"/>
      <c r="O13" s="241">
        <v>4.1168915818508298E-3</v>
      </c>
      <c r="P13" s="211"/>
      <c r="Q13" s="278"/>
      <c r="R13" s="230">
        <v>0.91666666666666663</v>
      </c>
      <c r="S13" s="211"/>
      <c r="T13" s="278"/>
      <c r="U13" s="230">
        <v>0.54</v>
      </c>
      <c r="V13" s="211"/>
      <c r="W13" s="278"/>
    </row>
    <row r="14" spans="2:23" ht="14.45" customHeight="1">
      <c r="B14" s="98"/>
      <c r="C14" s="98"/>
      <c r="D14" s="279">
        <f t="shared" si="1"/>
        <v>46209</v>
      </c>
      <c r="E14" s="279" t="s">
        <v>388</v>
      </c>
      <c r="F14" s="226">
        <v>357.2</v>
      </c>
      <c r="G14" s="93"/>
      <c r="H14" s="93"/>
      <c r="I14" s="90">
        <f t="shared" si="0"/>
        <v>0.97595628415300539</v>
      </c>
      <c r="J14" s="211"/>
      <c r="K14" s="211"/>
      <c r="L14" s="241">
        <v>2.4311819981406037E-3</v>
      </c>
      <c r="M14" s="211"/>
      <c r="N14" s="278"/>
      <c r="O14" s="241">
        <v>3.848523127722151E-3</v>
      </c>
      <c r="P14" s="211"/>
      <c r="Q14" s="278"/>
      <c r="R14" s="230">
        <v>0.91666666666666663</v>
      </c>
      <c r="S14" s="211"/>
      <c r="T14" s="278"/>
      <c r="U14" s="230">
        <v>0.54</v>
      </c>
      <c r="V14" s="211"/>
      <c r="W14" s="278"/>
    </row>
    <row r="15" spans="2:23" ht="14.45" customHeight="1">
      <c r="B15" s="98"/>
      <c r="C15" s="98"/>
      <c r="D15" s="349">
        <f t="shared" si="1"/>
        <v>46210</v>
      </c>
      <c r="E15" s="349" t="s">
        <v>389</v>
      </c>
      <c r="F15" s="226">
        <v>322.3503608320778</v>
      </c>
      <c r="G15" s="93"/>
      <c r="H15" s="93"/>
      <c r="I15" s="90">
        <f t="shared" si="0"/>
        <v>0.8807386907980268</v>
      </c>
      <c r="J15" s="211"/>
      <c r="K15" s="211"/>
      <c r="L15" s="241">
        <v>2.4040165804658808E-3</v>
      </c>
      <c r="M15" s="211"/>
      <c r="N15" s="278"/>
      <c r="O15" s="241">
        <v>3.8556381156872213E-3</v>
      </c>
      <c r="P15" s="211"/>
      <c r="Q15" s="278"/>
      <c r="R15" s="230">
        <v>0.91666666666666663</v>
      </c>
      <c r="S15" s="211"/>
      <c r="T15" s="278"/>
      <c r="U15" s="230">
        <v>0.54200000000000004</v>
      </c>
      <c r="V15" s="211"/>
      <c r="W15" s="278"/>
    </row>
    <row r="16" spans="2:23" ht="14.45" customHeight="1">
      <c r="B16" s="98"/>
      <c r="C16" s="98"/>
      <c r="D16" s="349">
        <f t="shared" si="1"/>
        <v>46211</v>
      </c>
      <c r="E16" s="349" t="s">
        <v>390</v>
      </c>
      <c r="F16" s="226">
        <v>320.02861545361668</v>
      </c>
      <c r="G16" s="93"/>
      <c r="H16" s="93"/>
      <c r="I16" s="90">
        <f t="shared" si="0"/>
        <v>0.87439512419020948</v>
      </c>
      <c r="J16" s="211"/>
      <c r="K16" s="211"/>
      <c r="L16" s="241">
        <v>2.4062558297899181E-3</v>
      </c>
      <c r="M16" s="211"/>
      <c r="N16" s="278"/>
      <c r="O16" s="241">
        <v>3.7563089982108801E-3</v>
      </c>
      <c r="P16" s="211"/>
      <c r="Q16" s="278"/>
      <c r="R16" s="230">
        <v>0.91666666666666663</v>
      </c>
      <c r="S16" s="211"/>
      <c r="T16" s="278"/>
      <c r="U16" s="230">
        <v>0.54200000000000004</v>
      </c>
      <c r="V16" s="211"/>
      <c r="W16" s="278"/>
    </row>
    <row r="17" spans="2:23" ht="14.45" customHeight="1">
      <c r="B17" s="98"/>
      <c r="C17" s="98"/>
      <c r="D17" s="349">
        <f t="shared" si="1"/>
        <v>46212</v>
      </c>
      <c r="E17" s="349" t="s">
        <v>391</v>
      </c>
      <c r="F17" s="226">
        <v>320.90240492738479</v>
      </c>
      <c r="H17" s="93"/>
      <c r="I17" s="90">
        <f t="shared" si="0"/>
        <v>0.87678252712400218</v>
      </c>
      <c r="J17" s="211"/>
      <c r="K17" s="211"/>
      <c r="L17" s="241">
        <v>2.4082651185941303E-3</v>
      </c>
      <c r="M17" s="211"/>
      <c r="N17" s="278"/>
      <c r="O17" s="241">
        <v>3.8738159695569496E-3</v>
      </c>
      <c r="P17" s="211"/>
      <c r="Q17" s="278"/>
      <c r="R17" s="230">
        <v>0.91666666666666663</v>
      </c>
      <c r="S17" s="211"/>
      <c r="T17" s="278"/>
      <c r="U17" s="230">
        <v>0.54400000000000004</v>
      </c>
      <c r="V17" s="211"/>
      <c r="W17" s="278"/>
    </row>
    <row r="18" spans="2:23" ht="14.45" customHeight="1">
      <c r="B18" s="98"/>
      <c r="C18" s="98"/>
      <c r="D18" s="349">
        <f t="shared" si="1"/>
        <v>46213</v>
      </c>
      <c r="E18" s="349" t="s">
        <v>392</v>
      </c>
      <c r="F18" s="226">
        <v>321.88914429383982</v>
      </c>
      <c r="G18" s="93"/>
      <c r="H18" s="93"/>
      <c r="I18" s="90">
        <f t="shared" si="0"/>
        <v>0.87947853632196671</v>
      </c>
      <c r="J18" s="211"/>
      <c r="K18" s="211"/>
      <c r="L18" s="241">
        <v>2.4428604558859169E-3</v>
      </c>
      <c r="M18" s="211"/>
      <c r="N18" s="278"/>
      <c r="O18" s="241">
        <v>4.0445004623045613E-3</v>
      </c>
      <c r="P18" s="211"/>
      <c r="Q18" s="278"/>
      <c r="R18" s="230">
        <v>0.91666666666666663</v>
      </c>
      <c r="S18" s="211"/>
      <c r="T18" s="278"/>
      <c r="U18" s="230">
        <v>0.54800000000000004</v>
      </c>
      <c r="V18" s="211"/>
      <c r="W18" s="278"/>
    </row>
    <row r="19" spans="2:23" ht="14.45" customHeight="1">
      <c r="B19" s="98"/>
      <c r="C19" s="98"/>
      <c r="D19" s="349">
        <f t="shared" si="1"/>
        <v>46214</v>
      </c>
      <c r="E19" s="349" t="s">
        <v>393</v>
      </c>
      <c r="F19" s="226">
        <v>327.04084703887497</v>
      </c>
      <c r="G19" s="93"/>
      <c r="H19" s="93"/>
      <c r="I19" s="90">
        <f t="shared" si="0"/>
        <v>0.89355422688217201</v>
      </c>
      <c r="J19" s="211"/>
      <c r="K19" s="211"/>
      <c r="L19" s="241">
        <v>2.4336636816533553E-3</v>
      </c>
      <c r="M19" s="211"/>
      <c r="N19" s="278"/>
      <c r="O19" s="241">
        <v>4.0593259337160714E-3</v>
      </c>
      <c r="P19" s="211"/>
      <c r="Q19" s="278"/>
      <c r="R19" s="230">
        <v>0.91666666666666663</v>
      </c>
      <c r="S19" s="211"/>
      <c r="T19" s="278"/>
      <c r="U19" s="230">
        <v>0.55000000000000004</v>
      </c>
      <c r="V19" s="211"/>
      <c r="W19" s="278"/>
    </row>
    <row r="20" spans="2:23" ht="14.45" customHeight="1">
      <c r="B20" s="98"/>
      <c r="C20" s="98"/>
      <c r="D20" s="349">
        <f t="shared" si="1"/>
        <v>46215</v>
      </c>
      <c r="E20" s="349" t="s">
        <v>394</v>
      </c>
      <c r="F20" s="226">
        <v>326.16636747971563</v>
      </c>
      <c r="G20" s="93"/>
      <c r="H20" s="93"/>
      <c r="I20" s="90">
        <f t="shared" si="0"/>
        <v>0.89116493846916844</v>
      </c>
      <c r="J20" s="211"/>
      <c r="K20" s="211"/>
      <c r="L20" s="241">
        <v>2.4191679142235947E-3</v>
      </c>
      <c r="M20" s="211"/>
      <c r="N20" s="278"/>
      <c r="O20" s="241">
        <v>3.8031416505624033E-3</v>
      </c>
      <c r="P20" s="211"/>
      <c r="Q20" s="278"/>
      <c r="R20" s="230">
        <v>0.91666666666666663</v>
      </c>
      <c r="S20" s="211"/>
      <c r="T20" s="278"/>
      <c r="U20" s="230">
        <v>0.56000000000000005</v>
      </c>
      <c r="V20" s="211"/>
      <c r="W20" s="278"/>
    </row>
    <row r="21" spans="2:23" ht="14.45" customHeight="1">
      <c r="B21" s="98"/>
      <c r="C21" s="98"/>
      <c r="D21" s="349">
        <f t="shared" si="1"/>
        <v>46216</v>
      </c>
      <c r="E21" s="349" t="s">
        <v>388</v>
      </c>
      <c r="F21" s="226">
        <v>323.11421652686118</v>
      </c>
      <c r="G21" s="93"/>
      <c r="H21" s="93"/>
      <c r="I21" s="90">
        <f t="shared" si="0"/>
        <v>0.88282572821546768</v>
      </c>
      <c r="J21" s="211"/>
      <c r="K21" s="211"/>
      <c r="L21" s="241">
        <v>2.4299256698365047E-3</v>
      </c>
      <c r="M21" s="211"/>
      <c r="N21" s="278"/>
      <c r="O21" s="241">
        <v>3.8911986915429902E-3</v>
      </c>
      <c r="P21" s="211"/>
      <c r="Q21" s="278"/>
      <c r="R21" s="230">
        <v>0.91666666666666663</v>
      </c>
      <c r="S21" s="211"/>
      <c r="T21" s="278"/>
      <c r="U21" s="230">
        <v>0.56200000000000006</v>
      </c>
      <c r="V21" s="211"/>
      <c r="W21" s="278"/>
    </row>
    <row r="22" spans="2:23" ht="14.45" customHeight="1">
      <c r="B22" s="98"/>
      <c r="C22" s="98"/>
      <c r="D22" s="279">
        <f t="shared" si="1"/>
        <v>46217</v>
      </c>
      <c r="E22" s="279" t="s">
        <v>389</v>
      </c>
      <c r="F22" s="226">
        <v>337.83979810187856</v>
      </c>
      <c r="G22" s="93"/>
      <c r="H22" s="93"/>
      <c r="I22" s="90">
        <f t="shared" si="0"/>
        <v>0.92305955765540593</v>
      </c>
      <c r="J22" s="211"/>
      <c r="K22" s="211"/>
      <c r="L22" s="241">
        <v>2.4106228899072688E-3</v>
      </c>
      <c r="M22" s="211"/>
      <c r="N22" s="278"/>
      <c r="O22" s="241">
        <v>4.0680275927014609E-3</v>
      </c>
      <c r="P22" s="211"/>
      <c r="Q22" s="278"/>
      <c r="R22" s="230">
        <v>0.91666666666666663</v>
      </c>
      <c r="S22" s="211"/>
      <c r="T22" s="278"/>
      <c r="U22" s="230">
        <v>0.56399999999999995</v>
      </c>
      <c r="V22" s="211"/>
      <c r="W22" s="278"/>
    </row>
    <row r="23" spans="2:23" ht="14.45" customHeight="1">
      <c r="B23" s="98"/>
      <c r="C23" s="98"/>
      <c r="D23" s="279">
        <f t="shared" si="1"/>
        <v>46218</v>
      </c>
      <c r="E23" s="279" t="s">
        <v>390</v>
      </c>
      <c r="F23" s="226">
        <v>333.76441001592372</v>
      </c>
      <c r="G23" s="93"/>
      <c r="H23" s="93"/>
      <c r="I23" s="90">
        <f t="shared" si="0"/>
        <v>0.91192461752984622</v>
      </c>
      <c r="J23" s="211"/>
      <c r="K23" s="211"/>
      <c r="L23" s="241">
        <v>2.4293025727526447E-3</v>
      </c>
      <c r="M23" s="211"/>
      <c r="N23" s="278"/>
      <c r="O23" s="241">
        <v>4.0980949580949897E-3</v>
      </c>
      <c r="P23" s="211"/>
      <c r="Q23" s="278"/>
      <c r="R23" s="230">
        <v>0.91666666666666663</v>
      </c>
      <c r="S23" s="211"/>
      <c r="T23" s="278"/>
      <c r="U23" s="230">
        <v>0.57999999999999996</v>
      </c>
      <c r="V23" s="211"/>
      <c r="W23" s="278"/>
    </row>
    <row r="24" spans="2:23" ht="14.45" customHeight="1">
      <c r="B24" s="98"/>
      <c r="C24" s="98"/>
      <c r="D24" s="279">
        <f t="shared" si="1"/>
        <v>46219</v>
      </c>
      <c r="E24" s="279" t="s">
        <v>391</v>
      </c>
      <c r="F24" s="226">
        <v>339.99868303703249</v>
      </c>
      <c r="G24" s="93"/>
      <c r="H24" s="93"/>
      <c r="I24" s="90">
        <f t="shared" si="0"/>
        <v>0.92895815037440577</v>
      </c>
      <c r="J24" s="211"/>
      <c r="K24" s="211"/>
      <c r="L24" s="241">
        <v>2.429003230240034E-3</v>
      </c>
      <c r="M24" s="211"/>
      <c r="N24" s="278"/>
      <c r="O24" s="241">
        <v>4.3717486138925366E-3</v>
      </c>
      <c r="P24" s="211"/>
      <c r="Q24" s="278"/>
      <c r="R24" s="230">
        <v>0.91666666666666663</v>
      </c>
      <c r="S24" s="211"/>
      <c r="T24" s="278"/>
      <c r="U24" s="230">
        <v>0.58399999999999996</v>
      </c>
      <c r="V24" s="211"/>
      <c r="W24" s="278"/>
    </row>
    <row r="25" spans="2:23" ht="14.45" customHeight="1">
      <c r="B25" s="98"/>
      <c r="C25" s="98"/>
      <c r="D25" s="279">
        <f t="shared" si="1"/>
        <v>46220</v>
      </c>
      <c r="E25" s="279" t="s">
        <v>392</v>
      </c>
      <c r="F25" s="226">
        <v>328.6</v>
      </c>
      <c r="G25" s="93"/>
      <c r="H25" s="93"/>
      <c r="I25" s="90">
        <f t="shared" si="0"/>
        <v>0.89781420765027331</v>
      </c>
      <c r="J25" s="211"/>
      <c r="K25" s="211"/>
      <c r="L25" s="241">
        <v>2.401274718483646E-3</v>
      </c>
      <c r="M25" s="211"/>
      <c r="N25" s="278"/>
      <c r="O25" s="241">
        <v>4.349417828157961E-3</v>
      </c>
      <c r="P25" s="211"/>
      <c r="Q25" s="278"/>
      <c r="R25" s="230">
        <v>0.91666666666666663</v>
      </c>
      <c r="S25" s="211"/>
      <c r="T25" s="278"/>
      <c r="U25" s="230">
        <v>0.59</v>
      </c>
      <c r="V25" s="211"/>
      <c r="W25" s="278"/>
    </row>
    <row r="26" spans="2:23" ht="14.45" customHeight="1">
      <c r="B26" s="98"/>
      <c r="C26" s="98"/>
      <c r="D26" s="279">
        <f t="shared" si="1"/>
        <v>46221</v>
      </c>
      <c r="E26" s="279" t="s">
        <v>393</v>
      </c>
      <c r="F26" s="226">
        <v>329.76302450850426</v>
      </c>
      <c r="G26" s="93"/>
      <c r="H26" s="93"/>
      <c r="I26" s="90">
        <f t="shared" si="0"/>
        <v>0.90099187024181493</v>
      </c>
      <c r="J26" s="211"/>
      <c r="K26" s="211"/>
      <c r="L26" s="241">
        <v>2.4171425550417128E-3</v>
      </c>
      <c r="M26" s="211"/>
      <c r="N26" s="278"/>
      <c r="O26" s="241">
        <v>3.909077581173025E-3</v>
      </c>
      <c r="P26" s="211"/>
      <c r="Q26" s="278"/>
      <c r="R26" s="230">
        <v>0.91666666666666663</v>
      </c>
      <c r="S26" s="211"/>
      <c r="T26" s="278"/>
      <c r="U26" s="230">
        <v>0.6</v>
      </c>
      <c r="V26" s="211"/>
      <c r="W26" s="278"/>
    </row>
    <row r="27" spans="2:23" ht="14.45" customHeight="1">
      <c r="B27" s="98"/>
      <c r="C27" s="98"/>
      <c r="D27" s="279">
        <f t="shared" si="1"/>
        <v>46222</v>
      </c>
      <c r="E27" s="279" t="s">
        <v>394</v>
      </c>
      <c r="F27" s="226">
        <v>330.41729574543558</v>
      </c>
      <c r="G27" s="93"/>
      <c r="H27" s="93"/>
      <c r="I27" s="90">
        <f t="shared" si="0"/>
        <v>0.90277949657222833</v>
      </c>
      <c r="J27" s="211"/>
      <c r="K27" s="211"/>
      <c r="L27" s="241">
        <v>2.4013928566723854E-3</v>
      </c>
      <c r="M27" s="211"/>
      <c r="N27" s="278"/>
      <c r="O27" s="241">
        <v>3.966342652652808E-3</v>
      </c>
      <c r="P27" s="211"/>
      <c r="Q27" s="278"/>
      <c r="R27" s="230">
        <v>0.91666666666666663</v>
      </c>
      <c r="S27" s="211"/>
      <c r="T27" s="278"/>
      <c r="U27" s="230">
        <v>0.60199999999999998</v>
      </c>
      <c r="V27" s="211"/>
      <c r="W27" s="278"/>
    </row>
    <row r="28" spans="2:23" ht="14.45" customHeight="1">
      <c r="B28" s="98"/>
      <c r="C28" s="98"/>
      <c r="D28" s="279">
        <f t="shared" si="1"/>
        <v>46223</v>
      </c>
      <c r="E28" s="279" t="s">
        <v>388</v>
      </c>
      <c r="F28" s="226">
        <v>338.17359832698082</v>
      </c>
      <c r="G28" s="93"/>
      <c r="H28" s="93"/>
      <c r="I28" s="90">
        <f t="shared" si="0"/>
        <v>0.92397158012836289</v>
      </c>
      <c r="J28" s="211"/>
      <c r="K28" s="211"/>
      <c r="L28" s="241">
        <v>2.4026489696867426E-3</v>
      </c>
      <c r="M28" s="211"/>
      <c r="N28" s="278"/>
      <c r="O28" s="241">
        <v>3.9974102316645832E-3</v>
      </c>
      <c r="P28" s="211"/>
      <c r="Q28" s="278"/>
      <c r="R28" s="230">
        <v>0.91666666666666663</v>
      </c>
      <c r="S28" s="211"/>
      <c r="T28" s="278"/>
      <c r="U28" s="230">
        <v>0.60799999999999998</v>
      </c>
      <c r="V28" s="211"/>
      <c r="W28" s="278"/>
    </row>
    <row r="29" spans="2:23" ht="14.45" customHeight="1">
      <c r="B29" s="98"/>
      <c r="C29" s="98"/>
      <c r="D29" s="349">
        <f t="shared" si="1"/>
        <v>46224</v>
      </c>
      <c r="E29" s="349" t="s">
        <v>389</v>
      </c>
      <c r="F29" s="226">
        <v>333.36261171645572</v>
      </c>
      <c r="G29" s="93"/>
      <c r="H29" s="93"/>
      <c r="I29" s="90">
        <f t="shared" si="0"/>
        <v>0.91082680796845827</v>
      </c>
      <c r="J29" s="211"/>
      <c r="K29" s="211"/>
      <c r="L29" s="241">
        <v>2.4292571467491382E-3</v>
      </c>
      <c r="M29" s="211"/>
      <c r="N29" s="278"/>
      <c r="O29" s="241">
        <v>4.0315229591182805E-3</v>
      </c>
      <c r="P29" s="211"/>
      <c r="Q29" s="278"/>
      <c r="R29" s="230">
        <v>0.91666666666666663</v>
      </c>
      <c r="S29" s="211"/>
      <c r="T29" s="278"/>
      <c r="U29" s="230">
        <v>0.62</v>
      </c>
      <c r="V29" s="211"/>
      <c r="W29" s="278"/>
    </row>
    <row r="30" spans="2:23" ht="14.45" customHeight="1">
      <c r="B30" s="98"/>
      <c r="C30" s="98"/>
      <c r="D30" s="349">
        <f t="shared" si="1"/>
        <v>46225</v>
      </c>
      <c r="E30" s="349" t="s">
        <v>390</v>
      </c>
      <c r="F30" s="226">
        <v>330.20491082394881</v>
      </c>
      <c r="G30" s="93"/>
      <c r="H30" s="93"/>
      <c r="I30" s="90">
        <f t="shared" si="0"/>
        <v>0.90219920990149949</v>
      </c>
      <c r="J30" s="211"/>
      <c r="K30" s="211"/>
      <c r="L30" s="241">
        <v>2.4404733608368238E-3</v>
      </c>
      <c r="M30" s="211"/>
      <c r="N30" s="278"/>
      <c r="O30" s="241">
        <v>4.0158513355375396E-3</v>
      </c>
      <c r="P30" s="211"/>
      <c r="Q30" s="278"/>
      <c r="R30" s="230">
        <v>0.91666666666666663</v>
      </c>
      <c r="S30" s="211"/>
      <c r="T30" s="278"/>
      <c r="U30" s="230">
        <v>0.62</v>
      </c>
      <c r="V30" s="211"/>
      <c r="W30" s="278"/>
    </row>
    <row r="31" spans="2:23" ht="14.45" customHeight="1">
      <c r="B31" s="98"/>
      <c r="C31" s="98"/>
      <c r="D31" s="349">
        <f t="shared" si="1"/>
        <v>46226</v>
      </c>
      <c r="E31" s="349" t="s">
        <v>391</v>
      </c>
      <c r="F31" s="226">
        <v>344.68771854971885</v>
      </c>
      <c r="G31" s="93"/>
      <c r="H31" s="93"/>
      <c r="I31" s="90">
        <f t="shared" si="0"/>
        <v>0.94176972281343951</v>
      </c>
      <c r="J31" s="211"/>
      <c r="K31" s="211"/>
      <c r="L31" s="241">
        <v>2.4300777302778561E-3</v>
      </c>
      <c r="M31" s="211"/>
      <c r="N31" s="278"/>
      <c r="O31" s="241">
        <v>3.9689113762748623E-3</v>
      </c>
      <c r="P31" s="211"/>
      <c r="Q31" s="278"/>
      <c r="R31" s="230">
        <v>0.91666666666666663</v>
      </c>
      <c r="S31" s="211"/>
      <c r="T31" s="278"/>
      <c r="U31" s="230">
        <v>0.624</v>
      </c>
      <c r="V31" s="211"/>
      <c r="W31" s="278"/>
    </row>
    <row r="32" spans="2:23" ht="14.45" customHeight="1">
      <c r="B32" s="98"/>
      <c r="C32" s="98"/>
      <c r="D32" s="349">
        <f t="shared" si="1"/>
        <v>46227</v>
      </c>
      <c r="E32" s="349" t="s">
        <v>392</v>
      </c>
      <c r="F32" s="226">
        <v>331.98519726315817</v>
      </c>
      <c r="G32" s="93"/>
      <c r="H32" s="93"/>
      <c r="I32" s="90">
        <f t="shared" si="0"/>
        <v>0.90706338050043211</v>
      </c>
      <c r="J32" s="211"/>
      <c r="K32" s="211"/>
      <c r="L32" s="241">
        <v>2.4092029599045409E-3</v>
      </c>
      <c r="M32" s="211"/>
      <c r="N32" s="278"/>
      <c r="O32" s="241">
        <v>4.0633316059379056E-3</v>
      </c>
      <c r="P32" s="211"/>
      <c r="Q32" s="278"/>
      <c r="R32" s="230">
        <v>0.91666666666666663</v>
      </c>
      <c r="S32" s="211"/>
      <c r="T32" s="278"/>
      <c r="U32" s="230">
        <v>0.624</v>
      </c>
      <c r="V32" s="211"/>
      <c r="W32" s="278"/>
    </row>
    <row r="33" spans="2:23" ht="14.45" customHeight="1">
      <c r="B33" s="98"/>
      <c r="C33" s="98"/>
      <c r="D33" s="349">
        <f t="shared" si="1"/>
        <v>46228</v>
      </c>
      <c r="E33" s="349" t="s">
        <v>393</v>
      </c>
      <c r="F33" s="226">
        <v>329.96702753462233</v>
      </c>
      <c r="G33" s="93"/>
      <c r="H33" s="93"/>
      <c r="I33" s="90">
        <f t="shared" si="0"/>
        <v>0.90154925555907739</v>
      </c>
      <c r="J33" s="211"/>
      <c r="K33" s="211"/>
      <c r="L33" s="241">
        <v>2.4028562565266845E-3</v>
      </c>
      <c r="M33" s="211"/>
      <c r="N33" s="278"/>
      <c r="O33" s="241">
        <v>4.0382498685585695E-3</v>
      </c>
      <c r="P33" s="211"/>
      <c r="Q33" s="278"/>
      <c r="R33" s="230">
        <v>0.91666666666666663</v>
      </c>
      <c r="S33" s="211"/>
      <c r="T33" s="278"/>
      <c r="U33" s="230">
        <v>0.624</v>
      </c>
      <c r="V33" s="211"/>
      <c r="W33" s="278"/>
    </row>
    <row r="34" spans="2:23" ht="14.45" customHeight="1">
      <c r="B34" s="98"/>
      <c r="C34" s="98"/>
      <c r="D34" s="349">
        <f t="shared" si="1"/>
        <v>46229</v>
      </c>
      <c r="E34" s="349" t="s">
        <v>394</v>
      </c>
      <c r="F34" s="226">
        <v>337.15783755883115</v>
      </c>
      <c r="G34" s="93"/>
      <c r="H34" s="93"/>
      <c r="I34" s="90">
        <f t="shared" si="0"/>
        <v>0.92119627748314525</v>
      </c>
      <c r="J34" s="211"/>
      <c r="K34" s="211"/>
      <c r="L34" s="241">
        <v>2.4281291648656673E-3</v>
      </c>
      <c r="M34" s="211"/>
      <c r="N34" s="278"/>
      <c r="O34" s="241">
        <v>3.93842522704046E-3</v>
      </c>
      <c r="P34" s="211"/>
      <c r="Q34" s="278"/>
      <c r="R34" s="230">
        <v>0.91666666666666663</v>
      </c>
      <c r="S34" s="211"/>
      <c r="T34" s="278"/>
      <c r="U34" s="230">
        <v>0.626</v>
      </c>
      <c r="V34" s="211"/>
      <c r="W34" s="278"/>
    </row>
    <row r="35" spans="2:23">
      <c r="B35" s="98"/>
      <c r="C35" s="98"/>
      <c r="D35" s="349">
        <f t="shared" si="1"/>
        <v>46230</v>
      </c>
      <c r="E35" s="349" t="s">
        <v>388</v>
      </c>
      <c r="F35" s="226">
        <v>327.33848854692803</v>
      </c>
      <c r="G35" s="93"/>
      <c r="H35" s="93"/>
      <c r="I35" s="90">
        <f t="shared" si="0"/>
        <v>0.89436745504625148</v>
      </c>
      <c r="J35" s="211"/>
      <c r="K35" s="211"/>
      <c r="L35" s="241">
        <v>2.4138503228613791E-3</v>
      </c>
      <c r="M35" s="211"/>
      <c r="N35" s="278"/>
      <c r="O35" s="241">
        <v>4.0049827436963127E-3</v>
      </c>
      <c r="P35" s="211"/>
      <c r="Q35" s="278"/>
      <c r="R35" s="230">
        <v>0.91666666666666663</v>
      </c>
      <c r="S35" s="211"/>
      <c r="T35" s="211"/>
      <c r="U35" s="230">
        <v>0.628</v>
      </c>
      <c r="V35" s="211"/>
      <c r="W35" s="211"/>
    </row>
    <row r="36" spans="2:23">
      <c r="B36" s="98"/>
      <c r="D36" s="279">
        <f t="shared" si="1"/>
        <v>46231</v>
      </c>
      <c r="E36" s="279" t="s">
        <v>389</v>
      </c>
      <c r="F36" s="226">
        <v>328.4248285461149</v>
      </c>
      <c r="G36" s="93"/>
      <c r="H36" s="93"/>
      <c r="I36" s="90">
        <f t="shared" si="0"/>
        <v>0.89733559712053246</v>
      </c>
      <c r="J36" s="211"/>
      <c r="K36" s="87"/>
      <c r="L36" s="241">
        <v>2.4388992301967454E-3</v>
      </c>
      <c r="M36" s="211"/>
      <c r="N36" s="90"/>
      <c r="O36" s="241">
        <v>4.0723096480537449E-3</v>
      </c>
      <c r="P36" s="211"/>
      <c r="Q36" s="90"/>
      <c r="R36" s="230">
        <v>0.91666666666666663</v>
      </c>
      <c r="S36" s="211"/>
      <c r="T36" s="211"/>
      <c r="U36" s="230">
        <v>0.628</v>
      </c>
      <c r="V36" s="211"/>
      <c r="W36" s="211"/>
    </row>
    <row r="37" spans="2:23">
      <c r="B37" s="98"/>
      <c r="D37" s="279">
        <f t="shared" si="1"/>
        <v>46232</v>
      </c>
      <c r="E37" s="279" t="s">
        <v>390</v>
      </c>
      <c r="F37" s="226">
        <v>328.50777581631075</v>
      </c>
      <c r="G37" s="93"/>
      <c r="H37" s="93"/>
      <c r="I37" s="90">
        <f t="shared" si="0"/>
        <v>0.89756222900631355</v>
      </c>
      <c r="J37" s="211"/>
      <c r="K37" s="87"/>
      <c r="L37" s="241">
        <v>2.4210970163050711E-3</v>
      </c>
      <c r="M37" s="211"/>
      <c r="N37" s="90"/>
      <c r="O37" s="241">
        <v>4.0365122693396035E-3</v>
      </c>
      <c r="P37" s="211"/>
      <c r="Q37" s="90"/>
      <c r="R37" s="230">
        <v>0.91666666666666663</v>
      </c>
      <c r="S37" s="211"/>
      <c r="T37" s="211"/>
      <c r="U37" s="230">
        <v>0.63</v>
      </c>
      <c r="V37" s="211"/>
      <c r="W37" s="211"/>
    </row>
    <row r="38" spans="2:23">
      <c r="B38" s="98"/>
      <c r="D38" s="279">
        <f>D37+1</f>
        <v>46233</v>
      </c>
      <c r="E38" s="279" t="s">
        <v>391</v>
      </c>
      <c r="F38" s="226">
        <v>338.97033023101329</v>
      </c>
      <c r="G38" s="93"/>
      <c r="H38" s="93"/>
      <c r="I38" s="90">
        <f t="shared" si="0"/>
        <v>0.9261484432541347</v>
      </c>
      <c r="J38" s="211"/>
      <c r="K38" s="87"/>
      <c r="L38" s="241">
        <v>2.4213998695408259E-3</v>
      </c>
      <c r="M38" s="211"/>
      <c r="N38" s="90"/>
      <c r="O38" s="241">
        <v>3.9859059441865498E-3</v>
      </c>
      <c r="P38" s="211"/>
      <c r="Q38" s="90"/>
      <c r="R38" s="230">
        <v>0.91666666666666663</v>
      </c>
      <c r="S38" s="211"/>
      <c r="T38" s="211"/>
      <c r="U38" s="230">
        <v>0.63200000000000001</v>
      </c>
      <c r="V38" s="211"/>
      <c r="W38" s="211"/>
    </row>
    <row r="39" spans="2:23">
      <c r="B39" s="98"/>
      <c r="D39" s="279">
        <f t="shared" ref="D39" si="2">D38+1</f>
        <v>46234</v>
      </c>
      <c r="E39" s="279" t="s">
        <v>392</v>
      </c>
      <c r="F39" s="226">
        <v>340.37942666573224</v>
      </c>
      <c r="G39" s="93"/>
      <c r="H39" s="93"/>
      <c r="I39" s="90">
        <f t="shared" si="0"/>
        <v>0.92999843351292966</v>
      </c>
      <c r="K39" s="87"/>
      <c r="L39" s="241">
        <v>2.4203802039652021E-3</v>
      </c>
      <c r="M39" s="90"/>
      <c r="N39" s="90"/>
      <c r="O39" s="241">
        <v>4.1277674793460881E-3</v>
      </c>
      <c r="P39" s="90"/>
      <c r="Q39" s="90"/>
      <c r="R39" s="230">
        <v>0.91666666666666663</v>
      </c>
      <c r="S39" s="211"/>
      <c r="T39" s="211"/>
      <c r="U39" s="230">
        <v>0.63400000000000001</v>
      </c>
      <c r="V39" s="211"/>
      <c r="W39" s="211"/>
    </row>
    <row r="40" spans="2:23">
      <c r="B40" s="98"/>
    </row>
    <row r="41" spans="2:23">
      <c r="B41" s="98"/>
      <c r="D41" s="86"/>
      <c r="E41" s="86"/>
      <c r="F41" s="270"/>
      <c r="G41" s="93"/>
      <c r="H41" s="93"/>
      <c r="I41" s="90"/>
      <c r="J41" s="211"/>
      <c r="K41" s="87"/>
      <c r="L41" s="275"/>
      <c r="M41" s="90"/>
      <c r="N41" s="90"/>
      <c r="O41" s="275"/>
      <c r="P41" s="90"/>
      <c r="Q41" s="90"/>
      <c r="R41" s="274"/>
      <c r="S41" s="211"/>
      <c r="T41" s="211"/>
      <c r="U41" s="274"/>
      <c r="V41" s="211"/>
      <c r="W41" s="211"/>
    </row>
    <row r="42" spans="2:23">
      <c r="B42" s="98"/>
      <c r="D42" s="86"/>
      <c r="E42" s="86"/>
      <c r="F42" s="270"/>
      <c r="G42" s="93"/>
      <c r="H42" s="93"/>
      <c r="I42" s="90"/>
      <c r="J42" s="211"/>
      <c r="K42" s="87"/>
      <c r="L42" s="275"/>
      <c r="M42" s="90"/>
      <c r="N42" s="90"/>
      <c r="O42" s="275"/>
      <c r="P42" s="90"/>
      <c r="Q42" s="90"/>
      <c r="R42" s="274"/>
      <c r="S42" s="211"/>
      <c r="T42" s="211"/>
      <c r="U42" s="274"/>
      <c r="V42" s="211"/>
      <c r="W42" s="211"/>
    </row>
    <row r="43" spans="2:23">
      <c r="B43" s="98"/>
      <c r="D43" s="86"/>
      <c r="E43" s="86"/>
      <c r="F43" s="270"/>
      <c r="G43" s="93"/>
      <c r="H43" s="93"/>
      <c r="I43" s="90"/>
      <c r="J43" s="211"/>
      <c r="K43" s="87"/>
      <c r="L43" s="275"/>
      <c r="M43" s="90"/>
      <c r="N43" s="90"/>
      <c r="O43" s="275"/>
      <c r="P43" s="90"/>
      <c r="Q43" s="90"/>
      <c r="R43" s="274"/>
      <c r="S43" s="211"/>
      <c r="T43" s="211"/>
      <c r="U43" s="274"/>
      <c r="V43" s="211"/>
      <c r="W43" s="211"/>
    </row>
    <row r="44" spans="2:23">
      <c r="B44" s="98"/>
    </row>
    <row r="45" spans="2:23">
      <c r="B45" s="98"/>
    </row>
    <row r="46" spans="2:23">
      <c r="B46" s="98"/>
    </row>
    <row r="47" spans="2:23">
      <c r="B47" s="98"/>
    </row>
    <row r="48" spans="2:23">
      <c r="B48" s="98"/>
    </row>
    <row r="49" spans="2:2">
      <c r="B49" s="98"/>
    </row>
  </sheetData>
  <mergeCells count="9">
    <mergeCell ref="B2:U2"/>
    <mergeCell ref="F3:H3"/>
    <mergeCell ref="L3:N3"/>
    <mergeCell ref="R3:T3"/>
    <mergeCell ref="C3:C4"/>
    <mergeCell ref="D3:E4"/>
    <mergeCell ref="I3:K3"/>
    <mergeCell ref="O3:Q3"/>
    <mergeCell ref="U3:W3"/>
  </mergeCells>
  <phoneticPr fontId="1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CC"/>
  </sheetPr>
  <dimension ref="A2:AT102"/>
  <sheetViews>
    <sheetView zoomScale="70" zoomScaleNormal="7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D7" sqref="D7:E37"/>
    </sheetView>
  </sheetViews>
  <sheetFormatPr defaultColWidth="8.85546875" defaultRowHeight="16.5"/>
  <cols>
    <col min="1" max="1" width="0" style="77" hidden="1" customWidth="1"/>
    <col min="2" max="2" width="13.140625" style="77" hidden="1" customWidth="1"/>
    <col min="3" max="3" width="0" style="103" hidden="1" customWidth="1"/>
    <col min="4" max="4" width="11" style="103" bestFit="1" customWidth="1"/>
    <col min="5" max="5" width="4.140625" style="84" bestFit="1" customWidth="1"/>
    <col min="6" max="8" width="17.42578125" style="102" customWidth="1"/>
    <col min="9" max="9" width="10.5703125" style="97" customWidth="1"/>
    <col min="10" max="10" width="10.5703125" style="90" customWidth="1"/>
    <col min="11" max="11" width="10.5703125" style="97" customWidth="1"/>
    <col min="12" max="14" width="10.5703125" style="90" customWidth="1"/>
    <col min="15" max="15" width="10.5703125" style="97" customWidth="1"/>
    <col min="16" max="16" width="10.5703125" style="90" customWidth="1"/>
    <col min="17" max="17" width="10.5703125" style="97" customWidth="1"/>
    <col min="18" max="18" width="10.5703125" style="90" customWidth="1"/>
    <col min="19" max="19" width="10.5703125" style="97" customWidth="1"/>
    <col min="20" max="20" width="10.5703125" style="90" customWidth="1"/>
    <col min="21" max="21" width="10.5703125" style="97" customWidth="1"/>
    <col min="22" max="22" width="10.5703125" style="90" customWidth="1"/>
    <col min="23" max="23" width="10.5703125" style="97" customWidth="1"/>
    <col min="24" max="24" width="10.5703125" style="90" customWidth="1"/>
    <col min="25" max="25" width="10.5703125" style="97" customWidth="1"/>
    <col min="26" max="26" width="10.5703125" style="90" customWidth="1"/>
    <col min="27" max="27" width="10.5703125" style="97" customWidth="1"/>
    <col min="28" max="28" width="10.5703125" style="90" customWidth="1"/>
    <col min="29" max="29" width="10.5703125" style="97" customWidth="1"/>
    <col min="30" max="30" width="10.5703125" style="90" customWidth="1"/>
    <col min="31" max="31" width="10.5703125" style="97" customWidth="1"/>
    <col min="32" max="32" width="10.5703125" style="90" customWidth="1"/>
    <col min="33" max="33" width="10.42578125" style="97" customWidth="1"/>
    <col min="34" max="34" width="10.42578125" style="90" customWidth="1"/>
    <col min="35" max="35" width="10.42578125" style="97" customWidth="1"/>
    <col min="36" max="36" width="10.42578125" style="90" customWidth="1"/>
    <col min="37" max="37" width="10.42578125" style="97" customWidth="1"/>
    <col min="38" max="38" width="10.42578125" style="90" customWidth="1"/>
    <col min="39" max="16384" width="8.85546875" style="77"/>
  </cols>
  <sheetData>
    <row r="2" spans="1:38" ht="38.1" customHeight="1">
      <c r="A2" s="75"/>
      <c r="B2" s="599" t="s">
        <v>296</v>
      </c>
      <c r="C2" s="599"/>
      <c r="D2" s="599"/>
      <c r="E2" s="599"/>
      <c r="F2" s="599"/>
      <c r="G2" s="599"/>
      <c r="H2" s="599"/>
      <c r="I2" s="599"/>
      <c r="J2" s="599"/>
      <c r="K2" s="599"/>
      <c r="L2" s="599"/>
      <c r="M2" s="599"/>
      <c r="N2" s="599"/>
      <c r="O2" s="599"/>
      <c r="P2" s="599"/>
      <c r="Q2" s="599"/>
      <c r="R2" s="599"/>
      <c r="S2" s="599"/>
      <c r="T2" s="599"/>
      <c r="U2" s="599"/>
      <c r="V2" s="599"/>
      <c r="W2" s="599"/>
      <c r="X2" s="599"/>
      <c r="Y2" s="599"/>
      <c r="Z2" s="599"/>
      <c r="AA2" s="599"/>
      <c r="AB2" s="599"/>
      <c r="AC2" s="599"/>
      <c r="AD2" s="599"/>
      <c r="AE2" s="599"/>
      <c r="AF2" s="599"/>
      <c r="AG2" s="599"/>
      <c r="AH2" s="599"/>
      <c r="AI2" s="599"/>
      <c r="AJ2" s="599"/>
      <c r="AK2" s="599"/>
      <c r="AL2" s="599"/>
    </row>
    <row r="3" spans="1:38" ht="25.35" customHeight="1">
      <c r="B3" s="98"/>
      <c r="C3" s="600" t="s">
        <v>139</v>
      </c>
      <c r="D3" s="601" t="s">
        <v>105</v>
      </c>
      <c r="E3" s="601"/>
      <c r="F3" s="602" t="s">
        <v>322</v>
      </c>
      <c r="G3" s="602"/>
      <c r="H3" s="602"/>
      <c r="I3" s="603" t="s">
        <v>111</v>
      </c>
      <c r="J3" s="603"/>
      <c r="K3" s="603"/>
      <c r="L3" s="603"/>
      <c r="M3" s="603"/>
      <c r="N3" s="603"/>
      <c r="O3" s="603"/>
      <c r="P3" s="603"/>
      <c r="Q3" s="603"/>
      <c r="R3" s="603"/>
      <c r="S3" s="603"/>
      <c r="T3" s="603"/>
      <c r="U3" s="603"/>
      <c r="V3" s="603"/>
      <c r="W3" s="603"/>
      <c r="X3" s="603"/>
      <c r="Y3" s="603"/>
      <c r="Z3" s="603"/>
      <c r="AA3" s="603"/>
      <c r="AB3" s="603"/>
      <c r="AC3" s="603"/>
      <c r="AD3" s="603"/>
      <c r="AE3" s="603"/>
      <c r="AF3" s="603"/>
      <c r="AG3" s="603"/>
      <c r="AH3" s="603"/>
      <c r="AI3" s="603"/>
      <c r="AJ3" s="603"/>
      <c r="AK3" s="603"/>
      <c r="AL3" s="603"/>
    </row>
    <row r="4" spans="1:38" ht="25.35" customHeight="1">
      <c r="B4" s="98"/>
      <c r="C4" s="600"/>
      <c r="D4" s="601"/>
      <c r="E4" s="601"/>
      <c r="F4" s="602"/>
      <c r="G4" s="602"/>
      <c r="H4" s="602"/>
      <c r="I4" s="597" t="s">
        <v>140</v>
      </c>
      <c r="J4" s="597"/>
      <c r="K4" s="597"/>
      <c r="L4" s="597"/>
      <c r="M4" s="597"/>
      <c r="N4" s="597"/>
      <c r="O4" s="597" t="s">
        <v>141</v>
      </c>
      <c r="P4" s="597"/>
      <c r="Q4" s="597"/>
      <c r="R4" s="597"/>
      <c r="S4" s="597"/>
      <c r="T4" s="597"/>
      <c r="U4" s="597" t="s">
        <v>310</v>
      </c>
      <c r="V4" s="597"/>
      <c r="W4" s="597" t="s">
        <v>143</v>
      </c>
      <c r="X4" s="597"/>
      <c r="Y4" s="597" t="s">
        <v>134</v>
      </c>
      <c r="Z4" s="597"/>
      <c r="AA4" s="597"/>
      <c r="AB4" s="597"/>
      <c r="AC4" s="597"/>
      <c r="AD4" s="597"/>
      <c r="AE4" s="597" t="s">
        <v>132</v>
      </c>
      <c r="AF4" s="597"/>
      <c r="AG4" s="597" t="s">
        <v>144</v>
      </c>
      <c r="AH4" s="597"/>
      <c r="AI4" s="597" t="s">
        <v>145</v>
      </c>
      <c r="AJ4" s="597"/>
      <c r="AK4" s="597" t="s">
        <v>138</v>
      </c>
      <c r="AL4" s="597"/>
    </row>
    <row r="5" spans="1:38" ht="25.35" customHeight="1">
      <c r="B5" s="98"/>
      <c r="C5" s="600"/>
      <c r="D5" s="601"/>
      <c r="E5" s="601"/>
      <c r="F5" s="596" t="s">
        <v>115</v>
      </c>
      <c r="G5" s="596" t="s">
        <v>117</v>
      </c>
      <c r="H5" s="596" t="s">
        <v>118</v>
      </c>
      <c r="I5" s="597" t="s">
        <v>129</v>
      </c>
      <c r="J5" s="597"/>
      <c r="K5" s="597" t="s">
        <v>130</v>
      </c>
      <c r="L5" s="597"/>
      <c r="M5" s="598" t="s">
        <v>146</v>
      </c>
      <c r="N5" s="597"/>
      <c r="O5" s="597" t="s">
        <v>129</v>
      </c>
      <c r="P5" s="597"/>
      <c r="Q5" s="597" t="s">
        <v>130</v>
      </c>
      <c r="R5" s="597"/>
      <c r="S5" s="598" t="s">
        <v>146</v>
      </c>
      <c r="T5" s="597"/>
      <c r="U5" s="597" t="s">
        <v>129</v>
      </c>
      <c r="V5" s="597"/>
      <c r="W5" s="597" t="s">
        <v>129</v>
      </c>
      <c r="X5" s="597"/>
      <c r="Y5" s="597" t="s">
        <v>129</v>
      </c>
      <c r="Z5" s="597"/>
      <c r="AA5" s="597" t="s">
        <v>130</v>
      </c>
      <c r="AB5" s="597"/>
      <c r="AC5" s="598" t="s">
        <v>146</v>
      </c>
      <c r="AD5" s="597"/>
      <c r="AE5" s="597" t="s">
        <v>129</v>
      </c>
      <c r="AF5" s="597"/>
      <c r="AG5" s="597" t="s">
        <v>129</v>
      </c>
      <c r="AH5" s="597"/>
      <c r="AI5" s="597" t="s">
        <v>129</v>
      </c>
      <c r="AJ5" s="597"/>
      <c r="AK5" s="597" t="s">
        <v>129</v>
      </c>
      <c r="AL5" s="597"/>
    </row>
    <row r="6" spans="1:38" s="80" customFormat="1" ht="23.45" customHeight="1">
      <c r="B6" s="98"/>
      <c r="C6" s="600"/>
      <c r="D6" s="601"/>
      <c r="E6" s="601"/>
      <c r="F6" s="596"/>
      <c r="G6" s="596"/>
      <c r="H6" s="596"/>
      <c r="I6" s="99" t="s">
        <v>112</v>
      </c>
      <c r="J6" s="100" t="s">
        <v>113</v>
      </c>
      <c r="K6" s="99" t="s">
        <v>112</v>
      </c>
      <c r="L6" s="100" t="s">
        <v>113</v>
      </c>
      <c r="M6" s="99" t="s">
        <v>112</v>
      </c>
      <c r="N6" s="100" t="s">
        <v>113</v>
      </c>
      <c r="O6" s="99" t="s">
        <v>112</v>
      </c>
      <c r="P6" s="100" t="s">
        <v>113</v>
      </c>
      <c r="Q6" s="99" t="s">
        <v>112</v>
      </c>
      <c r="R6" s="100" t="s">
        <v>113</v>
      </c>
      <c r="S6" s="99" t="s">
        <v>112</v>
      </c>
      <c r="T6" s="100" t="s">
        <v>113</v>
      </c>
      <c r="U6" s="99" t="s">
        <v>112</v>
      </c>
      <c r="V6" s="100" t="s">
        <v>113</v>
      </c>
      <c r="W6" s="99" t="s">
        <v>112</v>
      </c>
      <c r="X6" s="100" t="s">
        <v>113</v>
      </c>
      <c r="Y6" s="99" t="s">
        <v>112</v>
      </c>
      <c r="Z6" s="100" t="s">
        <v>113</v>
      </c>
      <c r="AA6" s="99" t="s">
        <v>112</v>
      </c>
      <c r="AB6" s="100" t="s">
        <v>113</v>
      </c>
      <c r="AC6" s="99" t="s">
        <v>112</v>
      </c>
      <c r="AD6" s="100" t="s">
        <v>113</v>
      </c>
      <c r="AE6" s="99" t="s">
        <v>112</v>
      </c>
      <c r="AF6" s="100" t="s">
        <v>113</v>
      </c>
      <c r="AG6" s="99" t="s">
        <v>112</v>
      </c>
      <c r="AH6" s="100" t="s">
        <v>113</v>
      </c>
      <c r="AI6" s="99" t="s">
        <v>112</v>
      </c>
      <c r="AJ6" s="100" t="s">
        <v>113</v>
      </c>
      <c r="AK6" s="99" t="s">
        <v>112</v>
      </c>
      <c r="AL6" s="100" t="s">
        <v>113</v>
      </c>
    </row>
    <row r="7" spans="1:38" ht="14.25">
      <c r="B7" s="98"/>
      <c r="C7" s="328"/>
      <c r="D7" s="279">
        <v>46204</v>
      </c>
      <c r="E7" s="279" t="s">
        <v>390</v>
      </c>
      <c r="F7" s="225">
        <f t="shared" ref="F7" si="0">SUM(M7,S7,U7,W7,AC7,AE7,AG7,AI7,AK7)</f>
        <v>8773103</v>
      </c>
      <c r="G7" s="277"/>
      <c r="H7" s="296">
        <f>SUM($F$7:$F$37)</f>
        <v>263724306</v>
      </c>
      <c r="I7" s="479">
        <v>585584.42961589678</v>
      </c>
      <c r="J7" s="101">
        <f t="shared" ref="J7" si="1">I7/F7</f>
        <v>6.6747698005585568E-2</v>
      </c>
      <c r="K7" s="479">
        <v>926345.84587430244</v>
      </c>
      <c r="L7" s="101">
        <f t="shared" ref="L7" si="2">K7/F7</f>
        <v>0.10558930470488063</v>
      </c>
      <c r="M7" s="224">
        <f t="shared" ref="M7" si="3">SUM(I7+K7)</f>
        <v>1511930.2754901992</v>
      </c>
      <c r="N7" s="101">
        <f t="shared" ref="N7" si="4">M7/F7</f>
        <v>0.1723370027104662</v>
      </c>
      <c r="O7" s="479">
        <v>146097.43900613018</v>
      </c>
      <c r="P7" s="101">
        <f t="shared" ref="P7" si="5">O7/F7</f>
        <v>1.6652880857107248E-2</v>
      </c>
      <c r="Q7" s="231"/>
      <c r="R7" s="101">
        <f t="shared" ref="R7:R35" si="6">Q7/$F7</f>
        <v>0</v>
      </c>
      <c r="S7" s="224">
        <f t="shared" ref="S7:S35" si="7">SUM(O7+Q7)</f>
        <v>146097.43900613018</v>
      </c>
      <c r="T7" s="101">
        <f t="shared" ref="T7" si="8">S7/F7</f>
        <v>1.6652880857107248E-2</v>
      </c>
      <c r="U7" s="479">
        <v>1025972.1162522637</v>
      </c>
      <c r="V7" s="101">
        <f t="shared" ref="V7" si="9">U7/F7</f>
        <v>0.11694518077039147</v>
      </c>
      <c r="W7" s="479">
        <v>96911.017481915012</v>
      </c>
      <c r="X7" s="101">
        <f t="shared" ref="X7" si="10">W7/F7</f>
        <v>1.1046378628167822E-2</v>
      </c>
      <c r="Y7" s="479">
        <v>663881.69098234957</v>
      </c>
      <c r="Z7" s="101">
        <f t="shared" ref="Z7:Z10" si="11">Y7/F7</f>
        <v>7.5672392194910912E-2</v>
      </c>
      <c r="AA7" s="479">
        <v>1059308.1669625016</v>
      </c>
      <c r="AB7" s="101">
        <f t="shared" ref="AB7:AB35" si="12">AA7/$F7</f>
        <v>0.12074498235829462</v>
      </c>
      <c r="AC7" s="224">
        <f t="shared" ref="AC7:AC10" si="13">SUM(Y7+AA7)</f>
        <v>1723189.8579448513</v>
      </c>
      <c r="AD7" s="101">
        <f t="shared" ref="AD7:AD10" si="14">AC7/F7</f>
        <v>0.19641737455320554</v>
      </c>
      <c r="AE7" s="479">
        <v>1371712.5923829239</v>
      </c>
      <c r="AF7" s="101">
        <f t="shared" ref="AF7:AF10" si="15">AE7/F7</f>
        <v>0.15635432439160055</v>
      </c>
      <c r="AG7" s="479">
        <v>751307.60078356043</v>
      </c>
      <c r="AH7" s="101">
        <f t="shared" ref="AH7:AH10" si="16">AG7/F7</f>
        <v>8.5637613143668828E-2</v>
      </c>
      <c r="AI7" s="479">
        <v>1390227.5683277622</v>
      </c>
      <c r="AJ7" s="101">
        <f t="shared" ref="AJ7:AJ10" si="17">AI7/F7</f>
        <v>0.15846474939685107</v>
      </c>
      <c r="AK7" s="479">
        <v>755754.53233039426</v>
      </c>
      <c r="AL7" s="101">
        <f t="shared" ref="AL7" si="18">AK7/F7</f>
        <v>8.6144495548541297E-2</v>
      </c>
    </row>
    <row r="8" spans="1:38" ht="14.25">
      <c r="B8" s="98"/>
      <c r="C8" s="98"/>
      <c r="D8" s="279">
        <f t="shared" ref="D8:D30" si="19">D7+1</f>
        <v>46205</v>
      </c>
      <c r="E8" s="279" t="s">
        <v>391</v>
      </c>
      <c r="F8" s="225">
        <f>SUM(M8,S8,U8,W8,AC8,AE8,AG8,AI8,AK8)</f>
        <v>8177093.0000000009</v>
      </c>
      <c r="G8" s="277"/>
      <c r="I8" s="231">
        <v>575114.80891575839</v>
      </c>
      <c r="J8" s="101">
        <f>I8/F8</f>
        <v>7.0332428519005272E-2</v>
      </c>
      <c r="K8" s="231">
        <v>860849.37071494502</v>
      </c>
      <c r="L8" s="101">
        <f>K8/F8</f>
        <v>0.10527572215638796</v>
      </c>
      <c r="M8" s="224">
        <f>SUM(I8+K8)</f>
        <v>1435964.1796307033</v>
      </c>
      <c r="N8" s="101">
        <f>M8/F8</f>
        <v>0.1756081506753932</v>
      </c>
      <c r="O8" s="231">
        <v>149474.5668758252</v>
      </c>
      <c r="P8" s="101">
        <f>O8/F8</f>
        <v>1.8279670645280074E-2</v>
      </c>
      <c r="Q8" s="231"/>
      <c r="R8" s="101">
        <f t="shared" si="6"/>
        <v>0</v>
      </c>
      <c r="S8" s="224">
        <f t="shared" si="7"/>
        <v>149474.5668758252</v>
      </c>
      <c r="T8" s="101">
        <f>S8/F8</f>
        <v>1.8279670645280074E-2</v>
      </c>
      <c r="U8" s="231">
        <v>925718.70695809333</v>
      </c>
      <c r="V8" s="101">
        <f>U8/F8</f>
        <v>0.11320877810220493</v>
      </c>
      <c r="W8" s="231">
        <v>86523.695918733443</v>
      </c>
      <c r="X8" s="101">
        <f>W8/F8</f>
        <v>1.0581229285118003E-2</v>
      </c>
      <c r="Y8" s="231">
        <v>620467.91096288303</v>
      </c>
      <c r="Z8" s="101">
        <f t="shared" si="11"/>
        <v>7.5878788582064913E-2</v>
      </c>
      <c r="AA8" s="231">
        <v>878967.93781099899</v>
      </c>
      <c r="AB8" s="101">
        <f t="shared" si="12"/>
        <v>0.10749149334745231</v>
      </c>
      <c r="AC8" s="224">
        <f t="shared" si="13"/>
        <v>1499435.848773882</v>
      </c>
      <c r="AD8" s="101">
        <f t="shared" si="14"/>
        <v>0.18337028192951724</v>
      </c>
      <c r="AE8" s="231">
        <v>1271362.4543258264</v>
      </c>
      <c r="AF8" s="101">
        <f t="shared" si="15"/>
        <v>0.15547853672763978</v>
      </c>
      <c r="AG8" s="231">
        <v>683768.58553157432</v>
      </c>
      <c r="AH8" s="101">
        <f t="shared" si="16"/>
        <v>8.362000842250103E-2</v>
      </c>
      <c r="AI8" s="231">
        <v>1397996.8215685328</v>
      </c>
      <c r="AJ8" s="101">
        <f t="shared" si="17"/>
        <v>0.17096501428668265</v>
      </c>
      <c r="AK8" s="231">
        <v>726848.14041682961</v>
      </c>
      <c r="AL8" s="101">
        <f>AK8/F8</f>
        <v>8.8888329925663007E-2</v>
      </c>
    </row>
    <row r="9" spans="1:38" ht="14.25">
      <c r="B9" s="98"/>
      <c r="C9" s="98"/>
      <c r="D9" s="279">
        <f t="shared" si="19"/>
        <v>46206</v>
      </c>
      <c r="E9" s="279" t="s">
        <v>392</v>
      </c>
      <c r="F9" s="225">
        <f t="shared" ref="F9:F37" si="20">SUM(M9,S9,U9,W9,AC9,AE9,AG9,AI9,AK9)</f>
        <v>7340174.9999999991</v>
      </c>
      <c r="G9" s="277"/>
      <c r="H9" s="297"/>
      <c r="I9" s="231">
        <v>502386.00569984509</v>
      </c>
      <c r="J9" s="101">
        <f t="shared" ref="J9:J35" si="21">I9/F9</f>
        <v>6.8443328081393862E-2</v>
      </c>
      <c r="K9" s="231">
        <v>791842.53449997457</v>
      </c>
      <c r="L9" s="101">
        <f t="shared" ref="L9:L35" si="22">K9/F9</f>
        <v>0.10787788227119581</v>
      </c>
      <c r="M9" s="224">
        <f t="shared" ref="M9:M35" si="23">SUM(I9+K9)</f>
        <v>1294228.5401998197</v>
      </c>
      <c r="N9" s="101">
        <f t="shared" ref="N9:N35" si="24">M9/F9</f>
        <v>0.17632121035258966</v>
      </c>
      <c r="O9" s="231">
        <v>126093.22665655735</v>
      </c>
      <c r="P9" s="101">
        <f t="shared" ref="P9:P35" si="25">O9/F9</f>
        <v>1.7178504144186941E-2</v>
      </c>
      <c r="Q9" s="231"/>
      <c r="R9" s="101">
        <f t="shared" si="6"/>
        <v>0</v>
      </c>
      <c r="S9" s="224">
        <f t="shared" si="7"/>
        <v>126093.22665655735</v>
      </c>
      <c r="T9" s="101">
        <f t="shared" ref="T9:T35" si="26">S9/F9</f>
        <v>1.7178504144186941E-2</v>
      </c>
      <c r="U9" s="231">
        <v>815623.06741392671</v>
      </c>
      <c r="V9" s="101">
        <f t="shared" ref="V9:V35" si="27">U9/F9</f>
        <v>0.1111176596489766</v>
      </c>
      <c r="W9" s="231">
        <v>69452.718851115424</v>
      </c>
      <c r="X9" s="101">
        <f t="shared" ref="X9:X35" si="28">W9/F9</f>
        <v>9.4619976841308871E-3</v>
      </c>
      <c r="Y9" s="231">
        <v>570858.45040428068</v>
      </c>
      <c r="Z9" s="101">
        <f t="shared" si="11"/>
        <v>7.777177661353861E-2</v>
      </c>
      <c r="AA9" s="231">
        <v>988937.61569729983</v>
      </c>
      <c r="AB9" s="101">
        <f t="shared" si="12"/>
        <v>0.13472943297636636</v>
      </c>
      <c r="AC9" s="224">
        <f t="shared" si="13"/>
        <v>1559796.0661015804</v>
      </c>
      <c r="AD9" s="101">
        <f t="shared" si="14"/>
        <v>0.21250120958990495</v>
      </c>
      <c r="AE9" s="231">
        <v>1023526.5653253089</v>
      </c>
      <c r="AF9" s="101">
        <f t="shared" si="15"/>
        <v>0.13944171158389398</v>
      </c>
      <c r="AG9" s="231">
        <v>487853.50972971215</v>
      </c>
      <c r="AH9" s="101">
        <f t="shared" si="16"/>
        <v>6.6463471201941668E-2</v>
      </c>
      <c r="AI9" s="231">
        <v>1351860.7173537095</v>
      </c>
      <c r="AJ9" s="101">
        <f t="shared" si="17"/>
        <v>0.18417281840742347</v>
      </c>
      <c r="AK9" s="231">
        <v>611740.58836826961</v>
      </c>
      <c r="AL9" s="101">
        <f t="shared" ref="AL9:AL35" si="29">AK9/F9</f>
        <v>8.3341417386951902E-2</v>
      </c>
    </row>
    <row r="10" spans="1:38" ht="14.25">
      <c r="B10" s="98"/>
      <c r="C10" s="98"/>
      <c r="D10" s="279">
        <f t="shared" si="19"/>
        <v>46207</v>
      </c>
      <c r="E10" s="279" t="s">
        <v>393</v>
      </c>
      <c r="F10" s="225">
        <f t="shared" si="20"/>
        <v>8235605</v>
      </c>
      <c r="G10" s="277"/>
      <c r="H10" s="297"/>
      <c r="I10" s="231">
        <v>487575.21972496092</v>
      </c>
      <c r="J10" s="101">
        <f t="shared" si="21"/>
        <v>5.9203327469561848E-2</v>
      </c>
      <c r="K10" s="231">
        <v>832130.11201227817</v>
      </c>
      <c r="L10" s="101">
        <f t="shared" si="22"/>
        <v>0.10104055646334158</v>
      </c>
      <c r="M10" s="224">
        <f t="shared" si="23"/>
        <v>1319705.3317372391</v>
      </c>
      <c r="N10" s="101">
        <f t="shared" si="24"/>
        <v>0.16024388393290342</v>
      </c>
      <c r="O10" s="231">
        <v>119675.27997394551</v>
      </c>
      <c r="P10" s="101">
        <f t="shared" si="25"/>
        <v>1.4531449720323584E-2</v>
      </c>
      <c r="Q10" s="231"/>
      <c r="R10" s="101">
        <f t="shared" si="6"/>
        <v>0</v>
      </c>
      <c r="S10" s="224">
        <f t="shared" si="7"/>
        <v>119675.27997394551</v>
      </c>
      <c r="T10" s="101">
        <f t="shared" si="26"/>
        <v>1.4531449720323584E-2</v>
      </c>
      <c r="U10" s="231">
        <v>950603.24076876231</v>
      </c>
      <c r="V10" s="101">
        <f t="shared" si="27"/>
        <v>0.115426036189055</v>
      </c>
      <c r="W10" s="231">
        <v>82949.302934944644</v>
      </c>
      <c r="X10" s="101">
        <f t="shared" si="28"/>
        <v>1.0072035137059711E-2</v>
      </c>
      <c r="Y10" s="231">
        <v>617616.13885069627</v>
      </c>
      <c r="Z10" s="101">
        <f t="shared" si="11"/>
        <v>7.4993414430475511E-2</v>
      </c>
      <c r="AA10" s="231">
        <v>1103588.865071127</v>
      </c>
      <c r="AB10" s="101">
        <f t="shared" si="12"/>
        <v>0.13400216074849716</v>
      </c>
      <c r="AC10" s="224">
        <f t="shared" si="13"/>
        <v>1721205.0039218231</v>
      </c>
      <c r="AD10" s="101">
        <f t="shared" si="14"/>
        <v>0.20899557517897266</v>
      </c>
      <c r="AE10" s="231">
        <v>1240739.6147950545</v>
      </c>
      <c r="AF10" s="101">
        <f t="shared" si="15"/>
        <v>0.15065555169232309</v>
      </c>
      <c r="AG10" s="231">
        <v>607209.44074589014</v>
      </c>
      <c r="AH10" s="101">
        <f t="shared" si="16"/>
        <v>7.3729791648080523E-2</v>
      </c>
      <c r="AI10" s="231">
        <v>1485915.5903235064</v>
      </c>
      <c r="AJ10" s="101">
        <f t="shared" si="17"/>
        <v>0.1804257963226146</v>
      </c>
      <c r="AK10" s="231">
        <v>707602.19479883427</v>
      </c>
      <c r="AL10" s="101">
        <f t="shared" si="29"/>
        <v>8.5919880178667418E-2</v>
      </c>
    </row>
    <row r="11" spans="1:38" ht="14.25">
      <c r="B11" s="98"/>
      <c r="C11" s="98"/>
      <c r="D11" s="279">
        <f t="shared" si="19"/>
        <v>46208</v>
      </c>
      <c r="E11" s="279" t="s">
        <v>394</v>
      </c>
      <c r="F11" s="225">
        <f t="shared" si="20"/>
        <v>9197911</v>
      </c>
      <c r="G11" s="277"/>
      <c r="H11" s="297"/>
      <c r="I11" s="231">
        <v>587245.10567372758</v>
      </c>
      <c r="J11" s="101">
        <f t="shared" si="21"/>
        <v>6.3845486836492285E-2</v>
      </c>
      <c r="K11" s="231">
        <v>904227.18951592059</v>
      </c>
      <c r="L11" s="101">
        <f t="shared" si="22"/>
        <v>9.8307886379409473E-2</v>
      </c>
      <c r="M11" s="224">
        <f t="shared" si="23"/>
        <v>1491472.2951896482</v>
      </c>
      <c r="N11" s="101">
        <f t="shared" si="24"/>
        <v>0.16215337321590176</v>
      </c>
      <c r="O11" s="231">
        <v>150097.51386891934</v>
      </c>
      <c r="P11" s="101">
        <f t="shared" si="25"/>
        <v>1.6318652558055775E-2</v>
      </c>
      <c r="Q11" s="231"/>
      <c r="R11" s="101">
        <f t="shared" si="6"/>
        <v>0</v>
      </c>
      <c r="S11" s="224">
        <f t="shared" si="7"/>
        <v>150097.51386891934</v>
      </c>
      <c r="T11" s="101">
        <f t="shared" si="26"/>
        <v>1.6318652558055775E-2</v>
      </c>
      <c r="U11" s="231">
        <v>1139386.3832157301</v>
      </c>
      <c r="V11" s="101">
        <f t="shared" si="27"/>
        <v>0.12387447358598383</v>
      </c>
      <c r="W11" s="231">
        <v>100986.86468119887</v>
      </c>
      <c r="X11" s="101">
        <f t="shared" si="28"/>
        <v>1.0979326140598541E-2</v>
      </c>
      <c r="Y11" s="231">
        <v>687503.18248286913</v>
      </c>
      <c r="Z11" s="101">
        <f>Y11/F11</f>
        <v>7.474557891274107E-2</v>
      </c>
      <c r="AA11" s="231">
        <v>1142201.5484447801</v>
      </c>
      <c r="AB11" s="101">
        <f t="shared" si="12"/>
        <v>0.1241805393034114</v>
      </c>
      <c r="AC11" s="224">
        <f>SUM(Y11+AA11)</f>
        <v>1829704.7309276492</v>
      </c>
      <c r="AD11" s="101">
        <f>AC11/F11</f>
        <v>0.19892611821615247</v>
      </c>
      <c r="AE11" s="231">
        <v>1461187.3521531476</v>
      </c>
      <c r="AF11" s="101">
        <f>AE11/F11</f>
        <v>0.15886078394900185</v>
      </c>
      <c r="AG11" s="231">
        <v>747956.19610779942</v>
      </c>
      <c r="AH11" s="101">
        <f>AG11/F11</f>
        <v>8.1318051034392422E-2</v>
      </c>
      <c r="AI11" s="231">
        <v>1518256.0228899107</v>
      </c>
      <c r="AJ11" s="101">
        <f>AI11/F11</f>
        <v>0.16506530916529968</v>
      </c>
      <c r="AK11" s="231">
        <v>758863.64096599608</v>
      </c>
      <c r="AL11" s="101">
        <f t="shared" si="29"/>
        <v>8.2503912134613624E-2</v>
      </c>
    </row>
    <row r="12" spans="1:38" ht="14.25">
      <c r="B12" s="98"/>
      <c r="C12" s="98"/>
      <c r="D12" s="349">
        <f t="shared" si="19"/>
        <v>46209</v>
      </c>
      <c r="E12" s="279" t="s">
        <v>388</v>
      </c>
      <c r="F12" s="225">
        <f t="shared" si="20"/>
        <v>9363255.0000000019</v>
      </c>
      <c r="G12" s="277"/>
      <c r="H12" s="297"/>
      <c r="I12" s="231">
        <v>582448.09302761115</v>
      </c>
      <c r="J12" s="101">
        <f t="shared" si="21"/>
        <v>6.2205727925556981E-2</v>
      </c>
      <c r="K12" s="231">
        <v>893437.27323763352</v>
      </c>
      <c r="L12" s="101">
        <f t="shared" si="22"/>
        <v>9.5419517383392133E-2</v>
      </c>
      <c r="M12" s="224">
        <f t="shared" si="23"/>
        <v>1475885.3662652448</v>
      </c>
      <c r="N12" s="101">
        <f t="shared" si="24"/>
        <v>0.15762524530894914</v>
      </c>
      <c r="O12" s="231">
        <v>148647.21910499199</v>
      </c>
      <c r="P12" s="101">
        <f t="shared" si="25"/>
        <v>1.5875592313249181E-2</v>
      </c>
      <c r="Q12" s="231"/>
      <c r="R12" s="101">
        <f t="shared" si="6"/>
        <v>0</v>
      </c>
      <c r="S12" s="224">
        <f t="shared" si="7"/>
        <v>148647.21910499199</v>
      </c>
      <c r="T12" s="101">
        <f t="shared" si="26"/>
        <v>1.5875592313249181E-2</v>
      </c>
      <c r="U12" s="231">
        <v>1140636.5179330294</v>
      </c>
      <c r="V12" s="101">
        <f t="shared" si="27"/>
        <v>0.12182051198360284</v>
      </c>
      <c r="W12" s="231">
        <v>73225.825749815558</v>
      </c>
      <c r="X12" s="101">
        <f t="shared" si="28"/>
        <v>7.8205523346117928E-3</v>
      </c>
      <c r="Y12" s="231">
        <v>712903.77454314241</v>
      </c>
      <c r="Z12" s="101">
        <f t="shared" ref="Z12:Z35" si="30">Y12/F12</f>
        <v>7.6138455541704494E-2</v>
      </c>
      <c r="AA12" s="231">
        <v>1373132.3787987232</v>
      </c>
      <c r="AB12" s="101">
        <f t="shared" si="12"/>
        <v>0.14665117833474822</v>
      </c>
      <c r="AC12" s="224">
        <f t="shared" ref="AC12:AC35" si="31">SUM(Y12+AA12)</f>
        <v>2086036.1533418656</v>
      </c>
      <c r="AD12" s="101">
        <f t="shared" ref="AD12:AD35" si="32">AC12/F12</f>
        <v>0.2227896338764527</v>
      </c>
      <c r="AE12" s="231">
        <v>1372438.1182091087</v>
      </c>
      <c r="AF12" s="101">
        <f t="shared" ref="AF12:AF35" si="33">AE12/F12</f>
        <v>0.14657703098005004</v>
      </c>
      <c r="AG12" s="231">
        <v>753905.54598887404</v>
      </c>
      <c r="AH12" s="101">
        <f t="shared" ref="AH12:AH35" si="34">AG12/F12</f>
        <v>8.0517463850858909E-2</v>
      </c>
      <c r="AI12" s="231">
        <v>1504926.4148673564</v>
      </c>
      <c r="AJ12" s="101">
        <f t="shared" ref="AJ12:AJ35" si="35">AI12/F12</f>
        <v>0.16072684284122948</v>
      </c>
      <c r="AK12" s="231">
        <v>807553.83853971539</v>
      </c>
      <c r="AL12" s="101">
        <f t="shared" si="29"/>
        <v>8.6247126510995933E-2</v>
      </c>
    </row>
    <row r="13" spans="1:38" ht="14.25">
      <c r="B13" s="98"/>
      <c r="C13" s="98"/>
      <c r="D13" s="349">
        <f t="shared" si="19"/>
        <v>46210</v>
      </c>
      <c r="E13" s="349" t="s">
        <v>389</v>
      </c>
      <c r="F13" s="225">
        <f t="shared" si="20"/>
        <v>10402844</v>
      </c>
      <c r="G13" s="277"/>
      <c r="H13" s="297"/>
      <c r="I13" s="231">
        <v>593435.70048782288</v>
      </c>
      <c r="J13" s="101">
        <f t="shared" si="21"/>
        <v>5.7045525289797949E-2</v>
      </c>
      <c r="K13" s="231">
        <v>890030.63788666192</v>
      </c>
      <c r="L13" s="101">
        <f t="shared" si="22"/>
        <v>8.5556472622934837E-2</v>
      </c>
      <c r="M13" s="224">
        <f t="shared" si="23"/>
        <v>1483466.3383744848</v>
      </c>
      <c r="N13" s="101">
        <f t="shared" si="24"/>
        <v>0.14260199791273279</v>
      </c>
      <c r="O13" s="231">
        <v>149791.71293863017</v>
      </c>
      <c r="P13" s="101">
        <f t="shared" si="25"/>
        <v>1.4399111717779307E-2</v>
      </c>
      <c r="Q13" s="231"/>
      <c r="R13" s="101">
        <f t="shared" si="6"/>
        <v>0</v>
      </c>
      <c r="S13" s="224">
        <f t="shared" si="7"/>
        <v>149791.71293863017</v>
      </c>
      <c r="T13" s="101">
        <f t="shared" si="26"/>
        <v>1.4399111717779307E-2</v>
      </c>
      <c r="U13" s="231">
        <v>1092598.0643558234</v>
      </c>
      <c r="V13" s="101">
        <f t="shared" si="27"/>
        <v>0.10502878485497076</v>
      </c>
      <c r="W13" s="231">
        <v>361990.6171817038</v>
      </c>
      <c r="X13" s="101">
        <f t="shared" si="28"/>
        <v>3.4797274397434373E-2</v>
      </c>
      <c r="Y13" s="231">
        <v>683930.25773931446</v>
      </c>
      <c r="Z13" s="101">
        <f t="shared" si="30"/>
        <v>6.5744546177883126E-2</v>
      </c>
      <c r="AA13" s="231">
        <v>1289176.9729509109</v>
      </c>
      <c r="AB13" s="101">
        <f t="shared" si="12"/>
        <v>0.12392543548196155</v>
      </c>
      <c r="AC13" s="224">
        <f t="shared" si="31"/>
        <v>1973107.2306902255</v>
      </c>
      <c r="AD13" s="101">
        <f t="shared" si="32"/>
        <v>0.18966998165984469</v>
      </c>
      <c r="AE13" s="231">
        <v>1889345.1261558936</v>
      </c>
      <c r="AF13" s="101">
        <f t="shared" si="33"/>
        <v>0.18161813501729848</v>
      </c>
      <c r="AG13" s="231">
        <v>696363.10899947793</v>
      </c>
      <c r="AH13" s="101">
        <f t="shared" si="34"/>
        <v>6.6939685820481196E-2</v>
      </c>
      <c r="AI13" s="231">
        <v>1944634.5695282936</v>
      </c>
      <c r="AJ13" s="101">
        <f t="shared" si="35"/>
        <v>0.1869329742451481</v>
      </c>
      <c r="AK13" s="231">
        <v>811547.23177546856</v>
      </c>
      <c r="AL13" s="101">
        <f t="shared" si="29"/>
        <v>7.8012054374310386E-2</v>
      </c>
    </row>
    <row r="14" spans="1:38" ht="14.25">
      <c r="B14" s="98"/>
      <c r="C14" s="98"/>
      <c r="D14" s="349">
        <f t="shared" si="19"/>
        <v>46211</v>
      </c>
      <c r="E14" s="349" t="s">
        <v>390</v>
      </c>
      <c r="F14" s="225">
        <f t="shared" si="20"/>
        <v>9579033</v>
      </c>
      <c r="G14" s="277"/>
      <c r="H14" s="297"/>
      <c r="I14" s="231">
        <v>582733.77809664526</v>
      </c>
      <c r="J14" s="101">
        <f t="shared" si="21"/>
        <v>6.0834301134221509E-2</v>
      </c>
      <c r="K14" s="231">
        <v>864415.42938986351</v>
      </c>
      <c r="L14" s="101">
        <f t="shared" si="22"/>
        <v>9.0240364490848241E-2</v>
      </c>
      <c r="M14" s="224">
        <f t="shared" si="23"/>
        <v>1447149.2074865089</v>
      </c>
      <c r="N14" s="101">
        <f t="shared" si="24"/>
        <v>0.15107466562506977</v>
      </c>
      <c r="O14" s="231">
        <v>149764.5778171019</v>
      </c>
      <c r="P14" s="101">
        <f t="shared" si="25"/>
        <v>1.563462385160401E-2</v>
      </c>
      <c r="Q14" s="231"/>
      <c r="R14" s="101">
        <f t="shared" si="6"/>
        <v>0</v>
      </c>
      <c r="S14" s="224">
        <f t="shared" si="7"/>
        <v>149764.5778171019</v>
      </c>
      <c r="T14" s="101">
        <f t="shared" si="26"/>
        <v>1.563462385160401E-2</v>
      </c>
      <c r="U14" s="231">
        <v>967320.14298209187</v>
      </c>
      <c r="V14" s="101">
        <f t="shared" si="27"/>
        <v>0.10098306822641616</v>
      </c>
      <c r="W14" s="231">
        <v>228848.56735720762</v>
      </c>
      <c r="X14" s="101">
        <f t="shared" si="28"/>
        <v>2.389057093312108E-2</v>
      </c>
      <c r="Y14" s="231">
        <v>662393.12244186283</v>
      </c>
      <c r="Z14" s="101">
        <f t="shared" si="30"/>
        <v>6.9150312191414612E-2</v>
      </c>
      <c r="AA14" s="231">
        <v>1264015.5589059058</v>
      </c>
      <c r="AB14" s="101">
        <f t="shared" si="12"/>
        <v>0.13195648860442447</v>
      </c>
      <c r="AC14" s="224">
        <f t="shared" si="31"/>
        <v>1926408.6813477688</v>
      </c>
      <c r="AD14" s="101">
        <f t="shared" si="32"/>
        <v>0.20110680079583906</v>
      </c>
      <c r="AE14" s="231">
        <v>1621356.8014223243</v>
      </c>
      <c r="AF14" s="101">
        <f t="shared" si="33"/>
        <v>0.16926101010637756</v>
      </c>
      <c r="AG14" s="231">
        <v>660044.55620983161</v>
      </c>
      <c r="AH14" s="101">
        <f t="shared" si="34"/>
        <v>6.8905134391940362E-2</v>
      </c>
      <c r="AI14" s="231">
        <v>1768129.0261812811</v>
      </c>
      <c r="AJ14" s="101">
        <f t="shared" si="35"/>
        <v>0.18458324824450245</v>
      </c>
      <c r="AK14" s="231">
        <v>810011.43919588416</v>
      </c>
      <c r="AL14" s="101">
        <f t="shared" si="29"/>
        <v>8.4560877825129541E-2</v>
      </c>
    </row>
    <row r="15" spans="1:38" ht="14.25">
      <c r="B15" s="98"/>
      <c r="C15" s="98"/>
      <c r="D15" s="349">
        <f t="shared" si="19"/>
        <v>46212</v>
      </c>
      <c r="E15" s="349" t="s">
        <v>391</v>
      </c>
      <c r="F15" s="225">
        <f t="shared" si="20"/>
        <v>9159432.9999999981</v>
      </c>
      <c r="G15" s="277"/>
      <c r="H15" s="297"/>
      <c r="I15" s="231">
        <v>550579.74823349749</v>
      </c>
      <c r="J15" s="101">
        <f t="shared" si="21"/>
        <v>6.0110680238994879E-2</v>
      </c>
      <c r="K15" s="231">
        <v>785786.1821564947</v>
      </c>
      <c r="L15" s="101">
        <f t="shared" si="22"/>
        <v>8.5789828055567938E-2</v>
      </c>
      <c r="M15" s="224">
        <f t="shared" si="23"/>
        <v>1336365.9303899922</v>
      </c>
      <c r="N15" s="101">
        <f t="shared" si="24"/>
        <v>0.14590050829456283</v>
      </c>
      <c r="O15" s="231">
        <v>146784.7754105787</v>
      </c>
      <c r="P15" s="101">
        <f t="shared" si="25"/>
        <v>1.6025530773638361E-2</v>
      </c>
      <c r="Q15" s="231"/>
      <c r="R15" s="101">
        <f t="shared" si="6"/>
        <v>0</v>
      </c>
      <c r="S15" s="224">
        <f t="shared" si="7"/>
        <v>146784.7754105787</v>
      </c>
      <c r="T15" s="101">
        <f t="shared" si="26"/>
        <v>1.6025530773638361E-2</v>
      </c>
      <c r="U15" s="231">
        <v>861554.53067437897</v>
      </c>
      <c r="V15" s="101">
        <f t="shared" si="27"/>
        <v>9.4061993867347371E-2</v>
      </c>
      <c r="W15" s="231">
        <v>217569.64678007667</v>
      </c>
      <c r="X15" s="101">
        <f t="shared" si="28"/>
        <v>2.3753615183393636E-2</v>
      </c>
      <c r="Y15" s="231">
        <v>678881.24339512328</v>
      </c>
      <c r="Z15" s="101">
        <f t="shared" si="30"/>
        <v>7.4118260747703862E-2</v>
      </c>
      <c r="AA15" s="231">
        <v>1073459.6872806721</v>
      </c>
      <c r="AB15" s="101">
        <f t="shared" si="12"/>
        <v>0.11719717664626973</v>
      </c>
      <c r="AC15" s="224">
        <f t="shared" si="31"/>
        <v>1752340.9306757953</v>
      </c>
      <c r="AD15" s="101">
        <f t="shared" si="32"/>
        <v>0.19131543739397358</v>
      </c>
      <c r="AE15" s="231">
        <v>1585947.8064551698</v>
      </c>
      <c r="AF15" s="101">
        <f t="shared" si="33"/>
        <v>0.17314912467345633</v>
      </c>
      <c r="AG15" s="231">
        <v>741403.81812177482</v>
      </c>
      <c r="AH15" s="101">
        <f t="shared" si="34"/>
        <v>8.0944291870662183E-2</v>
      </c>
      <c r="AI15" s="231">
        <v>1652100.4833349623</v>
      </c>
      <c r="AJ15" s="101">
        <f t="shared" si="35"/>
        <v>0.18037147969038722</v>
      </c>
      <c r="AK15" s="231">
        <v>865365.07815726975</v>
      </c>
      <c r="AL15" s="101">
        <f t="shared" si="29"/>
        <v>9.4478018252578511E-2</v>
      </c>
    </row>
    <row r="16" spans="1:38" ht="14.25">
      <c r="B16" s="98"/>
      <c r="C16" s="98"/>
      <c r="D16" s="349">
        <f t="shared" si="19"/>
        <v>46213</v>
      </c>
      <c r="E16" s="349" t="s">
        <v>392</v>
      </c>
      <c r="F16" s="225">
        <f t="shared" si="20"/>
        <v>7382110.0000000009</v>
      </c>
      <c r="G16" s="277"/>
      <c r="H16" s="297"/>
      <c r="I16" s="231">
        <v>460120.37470327743</v>
      </c>
      <c r="J16" s="101">
        <f t="shared" si="21"/>
        <v>6.2329113858135055E-2</v>
      </c>
      <c r="K16" s="231">
        <v>709347.80375919805</v>
      </c>
      <c r="L16" s="101">
        <f t="shared" si="22"/>
        <v>9.6090115666008488E-2</v>
      </c>
      <c r="M16" s="224">
        <f t="shared" si="23"/>
        <v>1169468.1784624755</v>
      </c>
      <c r="N16" s="101">
        <f t="shared" si="24"/>
        <v>0.15841922952414356</v>
      </c>
      <c r="O16" s="231">
        <v>121775.96238517684</v>
      </c>
      <c r="P16" s="101">
        <f t="shared" si="25"/>
        <v>1.6496091549052617E-2</v>
      </c>
      <c r="Q16" s="231"/>
      <c r="R16" s="101">
        <f t="shared" si="6"/>
        <v>0</v>
      </c>
      <c r="S16" s="224">
        <f t="shared" si="7"/>
        <v>121775.96238517684</v>
      </c>
      <c r="T16" s="101">
        <f t="shared" si="26"/>
        <v>1.6496091549052617E-2</v>
      </c>
      <c r="U16" s="231">
        <v>741304.915089724</v>
      </c>
      <c r="V16" s="101">
        <f t="shared" si="27"/>
        <v>0.10041910986015162</v>
      </c>
      <c r="W16" s="231">
        <v>88855.565844303273</v>
      </c>
      <c r="X16" s="101">
        <f t="shared" si="28"/>
        <v>1.2036608211514494E-2</v>
      </c>
      <c r="Y16" s="231">
        <v>575865.51287561574</v>
      </c>
      <c r="Z16" s="101">
        <f t="shared" si="30"/>
        <v>7.8008254127290927E-2</v>
      </c>
      <c r="AA16" s="231">
        <v>956824.02816447383</v>
      </c>
      <c r="AB16" s="101">
        <f t="shared" si="12"/>
        <v>0.12961389469467047</v>
      </c>
      <c r="AC16" s="224">
        <f t="shared" si="31"/>
        <v>1532689.5410400894</v>
      </c>
      <c r="AD16" s="101">
        <f t="shared" si="32"/>
        <v>0.20762214882196137</v>
      </c>
      <c r="AE16" s="231">
        <v>1241395.8867611194</v>
      </c>
      <c r="AF16" s="101">
        <f t="shared" si="33"/>
        <v>0.16816274571377549</v>
      </c>
      <c r="AG16" s="231">
        <v>517502.5975592655</v>
      </c>
      <c r="AH16" s="101">
        <f t="shared" si="34"/>
        <v>7.0102260405123393E-2</v>
      </c>
      <c r="AI16" s="231">
        <v>1355671.5642993473</v>
      </c>
      <c r="AJ16" s="101">
        <f t="shared" si="35"/>
        <v>0.18364282898782966</v>
      </c>
      <c r="AK16" s="231">
        <v>613445.78855849872</v>
      </c>
      <c r="AL16" s="101">
        <f t="shared" si="29"/>
        <v>8.3098976926447674E-2</v>
      </c>
    </row>
    <row r="17" spans="2:38" ht="14.25">
      <c r="B17" s="98"/>
      <c r="C17" s="98"/>
      <c r="D17" s="349">
        <f t="shared" si="19"/>
        <v>46214</v>
      </c>
      <c r="E17" s="349" t="s">
        <v>393</v>
      </c>
      <c r="F17" s="225">
        <f t="shared" si="20"/>
        <v>7919115.9999999991</v>
      </c>
      <c r="G17" s="277"/>
      <c r="H17" s="297"/>
      <c r="I17" s="231">
        <v>433945.26943084964</v>
      </c>
      <c r="J17" s="101">
        <f t="shared" si="21"/>
        <v>5.4797185624108763E-2</v>
      </c>
      <c r="K17" s="231">
        <v>777548.25652039552</v>
      </c>
      <c r="L17" s="101">
        <f t="shared" si="22"/>
        <v>9.818624408587974E-2</v>
      </c>
      <c r="M17" s="224">
        <f t="shared" si="23"/>
        <v>1211493.5259512451</v>
      </c>
      <c r="N17" s="101">
        <f t="shared" si="24"/>
        <v>0.15298342970998849</v>
      </c>
      <c r="O17" s="231">
        <v>114353.47422782145</v>
      </c>
      <c r="P17" s="101">
        <f t="shared" si="25"/>
        <v>1.4440181735918689E-2</v>
      </c>
      <c r="Q17" s="231"/>
      <c r="R17" s="101">
        <f t="shared" si="6"/>
        <v>0</v>
      </c>
      <c r="S17" s="224">
        <f t="shared" si="7"/>
        <v>114353.47422782145</v>
      </c>
      <c r="T17" s="101">
        <f t="shared" si="26"/>
        <v>1.4440181735918689E-2</v>
      </c>
      <c r="U17" s="231">
        <v>737706.68274423678</v>
      </c>
      <c r="V17" s="101">
        <f t="shared" si="27"/>
        <v>9.3155180798492776E-2</v>
      </c>
      <c r="W17" s="231">
        <v>123313.17795524096</v>
      </c>
      <c r="X17" s="101">
        <f t="shared" si="28"/>
        <v>1.5571583741826862E-2</v>
      </c>
      <c r="Y17" s="231">
        <v>624159.75062784611</v>
      </c>
      <c r="Z17" s="101">
        <f t="shared" si="30"/>
        <v>7.881684655558098E-2</v>
      </c>
      <c r="AA17" s="231">
        <v>1033867.7100433664</v>
      </c>
      <c r="AB17" s="101">
        <f t="shared" si="12"/>
        <v>0.13055342415029234</v>
      </c>
      <c r="AC17" s="224">
        <f t="shared" si="31"/>
        <v>1658027.4606712125</v>
      </c>
      <c r="AD17" s="101">
        <f t="shared" si="32"/>
        <v>0.20937027070587333</v>
      </c>
      <c r="AE17" s="231">
        <v>1389337.108606677</v>
      </c>
      <c r="AF17" s="101">
        <f t="shared" si="33"/>
        <v>0.1754409341404618</v>
      </c>
      <c r="AG17" s="231">
        <v>592446.51708945131</v>
      </c>
      <c r="AH17" s="101">
        <f t="shared" si="34"/>
        <v>7.4812203418847686E-2</v>
      </c>
      <c r="AI17" s="231">
        <v>1475253.4684766049</v>
      </c>
      <c r="AJ17" s="101">
        <f t="shared" si="35"/>
        <v>0.18629017032666337</v>
      </c>
      <c r="AK17" s="231">
        <v>617184.58427750913</v>
      </c>
      <c r="AL17" s="101">
        <f t="shared" si="29"/>
        <v>7.7936045421927044E-2</v>
      </c>
    </row>
    <row r="18" spans="2:38" ht="14.25">
      <c r="B18" s="98"/>
      <c r="C18" s="98"/>
      <c r="D18" s="349">
        <f t="shared" si="19"/>
        <v>46215</v>
      </c>
      <c r="E18" s="349" t="s">
        <v>394</v>
      </c>
      <c r="F18" s="225">
        <f t="shared" si="20"/>
        <v>9570480.0000000019</v>
      </c>
      <c r="G18" s="277"/>
      <c r="H18" s="297"/>
      <c r="I18" s="231">
        <v>545372.16554682481</v>
      </c>
      <c r="J18" s="101">
        <f t="shared" si="21"/>
        <v>5.6984828926743974E-2</v>
      </c>
      <c r="K18" s="231">
        <v>839966.67570262647</v>
      </c>
      <c r="L18" s="101">
        <f t="shared" si="22"/>
        <v>8.7766410431099201E-2</v>
      </c>
      <c r="M18" s="224">
        <f t="shared" si="23"/>
        <v>1385338.8412494513</v>
      </c>
      <c r="N18" s="101">
        <f t="shared" si="24"/>
        <v>0.14475123935784318</v>
      </c>
      <c r="O18" s="231">
        <v>149015.16618424005</v>
      </c>
      <c r="P18" s="101">
        <f t="shared" si="25"/>
        <v>1.5570291791450379E-2</v>
      </c>
      <c r="Q18" s="231"/>
      <c r="R18" s="101">
        <f t="shared" si="6"/>
        <v>0</v>
      </c>
      <c r="S18" s="224">
        <f t="shared" si="7"/>
        <v>149015.16618424005</v>
      </c>
      <c r="T18" s="101">
        <f t="shared" si="26"/>
        <v>1.5570291791450379E-2</v>
      </c>
      <c r="U18" s="231">
        <v>922765.73598708352</v>
      </c>
      <c r="V18" s="101">
        <f t="shared" si="27"/>
        <v>9.641791592345246E-2</v>
      </c>
      <c r="W18" s="231">
        <v>230490.71066262186</v>
      </c>
      <c r="X18" s="101">
        <f t="shared" si="28"/>
        <v>2.4083505807715164E-2</v>
      </c>
      <c r="Y18" s="231">
        <v>730263.04857716442</v>
      </c>
      <c r="Z18" s="101">
        <f t="shared" si="30"/>
        <v>7.6303701442055602E-2</v>
      </c>
      <c r="AA18" s="231">
        <v>1217728.9692276546</v>
      </c>
      <c r="AB18" s="101">
        <f t="shared" si="12"/>
        <v>0.12723802455338232</v>
      </c>
      <c r="AC18" s="224">
        <f t="shared" si="31"/>
        <v>1947992.0178048192</v>
      </c>
      <c r="AD18" s="101">
        <f t="shared" si="32"/>
        <v>0.20354172599543793</v>
      </c>
      <c r="AE18" s="231">
        <v>1830222.0764042917</v>
      </c>
      <c r="AF18" s="101">
        <f t="shared" si="33"/>
        <v>0.19123618422527305</v>
      </c>
      <c r="AG18" s="231">
        <v>757703.59927125962</v>
      </c>
      <c r="AH18" s="101">
        <f t="shared" si="34"/>
        <v>7.9170908801988973E-2</v>
      </c>
      <c r="AI18" s="231">
        <v>1633188.0416451087</v>
      </c>
      <c r="AJ18" s="101">
        <f t="shared" si="35"/>
        <v>0.17064849847082994</v>
      </c>
      <c r="AK18" s="231">
        <v>713763.81079112482</v>
      </c>
      <c r="AL18" s="101">
        <f t="shared" si="29"/>
        <v>7.4579729626008798E-2</v>
      </c>
    </row>
    <row r="19" spans="2:38" ht="14.25">
      <c r="B19" s="98"/>
      <c r="C19" s="98"/>
      <c r="D19" s="349">
        <f t="shared" si="19"/>
        <v>46216</v>
      </c>
      <c r="E19" s="349" t="s">
        <v>388</v>
      </c>
      <c r="F19" s="225">
        <f t="shared" si="20"/>
        <v>9554532.9999999981</v>
      </c>
      <c r="G19" s="277"/>
      <c r="H19" s="297"/>
      <c r="I19" s="231">
        <v>529486.82853469776</v>
      </c>
      <c r="J19" s="101">
        <f t="shared" si="21"/>
        <v>5.5417342588559571E-2</v>
      </c>
      <c r="K19" s="231">
        <v>814268.37489838747</v>
      </c>
      <c r="L19" s="101">
        <f t="shared" si="22"/>
        <v>8.5223252135754587E-2</v>
      </c>
      <c r="M19" s="224">
        <f t="shared" si="23"/>
        <v>1343755.2034330852</v>
      </c>
      <c r="N19" s="101">
        <f t="shared" si="24"/>
        <v>0.14064059472431414</v>
      </c>
      <c r="O19" s="231">
        <v>143809.30040624976</v>
      </c>
      <c r="P19" s="101">
        <f t="shared" si="25"/>
        <v>1.5051421184714081E-2</v>
      </c>
      <c r="Q19" s="231"/>
      <c r="R19" s="101">
        <f t="shared" si="6"/>
        <v>0</v>
      </c>
      <c r="S19" s="224">
        <f t="shared" si="7"/>
        <v>143809.30040624976</v>
      </c>
      <c r="T19" s="101">
        <f t="shared" si="26"/>
        <v>1.5051421184714081E-2</v>
      </c>
      <c r="U19" s="231">
        <v>962800.34548285371</v>
      </c>
      <c r="V19" s="101">
        <f t="shared" si="27"/>
        <v>0.10076895914042622</v>
      </c>
      <c r="W19" s="231">
        <v>199074.13781873908</v>
      </c>
      <c r="X19" s="101">
        <f t="shared" si="28"/>
        <v>2.0835569652513538E-2</v>
      </c>
      <c r="Y19" s="231">
        <v>763056.30103227613</v>
      </c>
      <c r="Z19" s="101">
        <f t="shared" si="30"/>
        <v>7.9863275476915116E-2</v>
      </c>
      <c r="AA19" s="231">
        <v>1498349.1614457651</v>
      </c>
      <c r="AB19" s="101">
        <f t="shared" si="12"/>
        <v>0.1568207636569747</v>
      </c>
      <c r="AC19" s="224">
        <f t="shared" si="31"/>
        <v>2261405.4624780412</v>
      </c>
      <c r="AD19" s="101">
        <f t="shared" si="32"/>
        <v>0.2366840391338898</v>
      </c>
      <c r="AE19" s="231">
        <v>1661603.042496783</v>
      </c>
      <c r="AF19" s="101">
        <f t="shared" si="33"/>
        <v>0.17390730059719123</v>
      </c>
      <c r="AG19" s="231">
        <v>759555.40390051366</v>
      </c>
      <c r="AH19" s="101">
        <f t="shared" si="34"/>
        <v>7.9496863310903193E-2</v>
      </c>
      <c r="AI19" s="231">
        <v>1428891.9112743149</v>
      </c>
      <c r="AJ19" s="101">
        <f t="shared" si="35"/>
        <v>0.14955120373484659</v>
      </c>
      <c r="AK19" s="231">
        <v>793638.19270941883</v>
      </c>
      <c r="AL19" s="101">
        <f t="shared" si="29"/>
        <v>8.3064048521201292E-2</v>
      </c>
    </row>
    <row r="20" spans="2:38" ht="14.25">
      <c r="B20" s="98"/>
      <c r="C20" s="98"/>
      <c r="D20" s="279">
        <f t="shared" si="19"/>
        <v>46217</v>
      </c>
      <c r="E20" s="279" t="s">
        <v>389</v>
      </c>
      <c r="F20" s="225">
        <f t="shared" si="20"/>
        <v>9083724</v>
      </c>
      <c r="G20" s="277"/>
      <c r="H20" s="297"/>
      <c r="I20" s="231">
        <v>628164.52484462806</v>
      </c>
      <c r="J20" s="101">
        <f t="shared" si="21"/>
        <v>6.9152753303009656E-2</v>
      </c>
      <c r="K20" s="231">
        <v>792676.28181261639</v>
      </c>
      <c r="L20" s="101">
        <f t="shared" si="22"/>
        <v>8.7263360468968057E-2</v>
      </c>
      <c r="M20" s="224">
        <f t="shared" si="23"/>
        <v>1420840.8066572445</v>
      </c>
      <c r="N20" s="101">
        <f t="shared" si="24"/>
        <v>0.1564161137719777</v>
      </c>
      <c r="O20" s="231">
        <v>141169.63502981563</v>
      </c>
      <c r="P20" s="101">
        <f t="shared" si="25"/>
        <v>1.5540942792825457E-2</v>
      </c>
      <c r="Q20" s="231"/>
      <c r="R20" s="101">
        <f t="shared" si="6"/>
        <v>0</v>
      </c>
      <c r="S20" s="224">
        <f t="shared" si="7"/>
        <v>141169.63502981563</v>
      </c>
      <c r="T20" s="101">
        <f t="shared" si="26"/>
        <v>1.5540942792825457E-2</v>
      </c>
      <c r="U20" s="231">
        <v>1127360.2801727802</v>
      </c>
      <c r="V20" s="101">
        <f t="shared" si="27"/>
        <v>0.12410772059705691</v>
      </c>
      <c r="W20" s="231">
        <v>140989.69284660928</v>
      </c>
      <c r="X20" s="101">
        <f t="shared" si="28"/>
        <v>1.5521133496197074E-2</v>
      </c>
      <c r="Y20" s="231">
        <v>708626.64667570253</v>
      </c>
      <c r="Z20" s="101">
        <f t="shared" si="30"/>
        <v>7.8010587582328844E-2</v>
      </c>
      <c r="AA20" s="231">
        <v>1287277.1921116835</v>
      </c>
      <c r="AB20" s="101">
        <f t="shared" si="12"/>
        <v>0.14171249501984909</v>
      </c>
      <c r="AC20" s="224">
        <f t="shared" si="31"/>
        <v>1995903.8387873862</v>
      </c>
      <c r="AD20" s="101">
        <f t="shared" si="32"/>
        <v>0.21972308260217793</v>
      </c>
      <c r="AE20" s="231">
        <v>1587275.3889546499</v>
      </c>
      <c r="AF20" s="101">
        <f t="shared" si="33"/>
        <v>0.17473839902606572</v>
      </c>
      <c r="AG20" s="231">
        <v>709114.66685637203</v>
      </c>
      <c r="AH20" s="101">
        <f t="shared" si="34"/>
        <v>7.8064312264041938E-2</v>
      </c>
      <c r="AI20" s="231">
        <v>1231651.351528293</v>
      </c>
      <c r="AJ20" s="101">
        <f t="shared" si="35"/>
        <v>0.13558881264207201</v>
      </c>
      <c r="AK20" s="231">
        <v>729418.33916685067</v>
      </c>
      <c r="AL20" s="101">
        <f t="shared" si="29"/>
        <v>8.0299482807585379E-2</v>
      </c>
    </row>
    <row r="21" spans="2:38" ht="14.25">
      <c r="B21" s="98"/>
      <c r="C21" s="98"/>
      <c r="D21" s="279">
        <f t="shared" si="19"/>
        <v>46218</v>
      </c>
      <c r="E21" s="279" t="s">
        <v>390</v>
      </c>
      <c r="F21" s="225">
        <f t="shared" si="20"/>
        <v>8161181</v>
      </c>
      <c r="G21" s="277"/>
      <c r="H21" s="297"/>
      <c r="I21" s="231">
        <v>566521.88687828847</v>
      </c>
      <c r="J21" s="101">
        <f t="shared" si="21"/>
        <v>6.9416655123601415E-2</v>
      </c>
      <c r="K21" s="231">
        <v>759650.4676870557</v>
      </c>
      <c r="L21" s="101">
        <f t="shared" si="22"/>
        <v>9.3080948417521403E-2</v>
      </c>
      <c r="M21" s="224">
        <f t="shared" si="23"/>
        <v>1326172.3545653443</v>
      </c>
      <c r="N21" s="101">
        <f t="shared" si="24"/>
        <v>0.16249760354112283</v>
      </c>
      <c r="O21" s="231">
        <v>138323.17956618624</v>
      </c>
      <c r="P21" s="101">
        <f t="shared" si="25"/>
        <v>1.6948917021468612E-2</v>
      </c>
      <c r="Q21" s="231"/>
      <c r="R21" s="101">
        <f t="shared" si="6"/>
        <v>0</v>
      </c>
      <c r="S21" s="224">
        <f t="shared" si="7"/>
        <v>138323.17956618624</v>
      </c>
      <c r="T21" s="101">
        <f t="shared" si="26"/>
        <v>1.6948917021468612E-2</v>
      </c>
      <c r="U21" s="231">
        <v>632210.10446423758</v>
      </c>
      <c r="V21" s="101">
        <f t="shared" si="27"/>
        <v>7.7465516873628654E-2</v>
      </c>
      <c r="W21" s="231">
        <v>98271.591564669099</v>
      </c>
      <c r="X21" s="101">
        <f t="shared" si="28"/>
        <v>1.20413444530478E-2</v>
      </c>
      <c r="Y21" s="231">
        <v>733218.72816939489</v>
      </c>
      <c r="Z21" s="101">
        <f t="shared" si="30"/>
        <v>8.9842233393597676E-2</v>
      </c>
      <c r="AA21" s="231">
        <v>1191883.8408115041</v>
      </c>
      <c r="AB21" s="101">
        <f t="shared" si="12"/>
        <v>0.14604305930863487</v>
      </c>
      <c r="AC21" s="224">
        <f t="shared" si="31"/>
        <v>1925102.5689808989</v>
      </c>
      <c r="AD21" s="101">
        <f t="shared" si="32"/>
        <v>0.23588529270223255</v>
      </c>
      <c r="AE21" s="231">
        <v>1440557.2103594309</v>
      </c>
      <c r="AF21" s="101">
        <f t="shared" si="33"/>
        <v>0.17651332697552363</v>
      </c>
      <c r="AG21" s="231">
        <v>674427.47643276351</v>
      </c>
      <c r="AH21" s="101">
        <f t="shared" si="34"/>
        <v>8.2638465735873703E-2</v>
      </c>
      <c r="AI21" s="231">
        <v>1229367.9899502476</v>
      </c>
      <c r="AJ21" s="101">
        <f t="shared" si="35"/>
        <v>0.15063604029248312</v>
      </c>
      <c r="AK21" s="231">
        <v>696748.52411622158</v>
      </c>
      <c r="AL21" s="101">
        <f t="shared" si="29"/>
        <v>8.5373492404619084E-2</v>
      </c>
    </row>
    <row r="22" spans="2:38" ht="14.25">
      <c r="B22" s="98"/>
      <c r="C22" s="98"/>
      <c r="D22" s="279">
        <f t="shared" si="19"/>
        <v>46219</v>
      </c>
      <c r="E22" s="279" t="s">
        <v>391</v>
      </c>
      <c r="F22" s="225">
        <f t="shared" si="20"/>
        <v>7874647.0000000009</v>
      </c>
      <c r="G22" s="277"/>
      <c r="H22" s="297"/>
      <c r="I22" s="231">
        <v>539796.44291628071</v>
      </c>
      <c r="J22" s="101">
        <f t="shared" si="21"/>
        <v>6.8548652773423452E-2</v>
      </c>
      <c r="K22" s="231">
        <v>692982.74723967491</v>
      </c>
      <c r="L22" s="101">
        <f t="shared" si="22"/>
        <v>8.8001753886831346E-2</v>
      </c>
      <c r="M22" s="224">
        <f t="shared" si="23"/>
        <v>1232779.1901559555</v>
      </c>
      <c r="N22" s="101">
        <f t="shared" si="24"/>
        <v>0.15655040666025477</v>
      </c>
      <c r="O22" s="231">
        <v>138514.86413560034</v>
      </c>
      <c r="P22" s="101">
        <f t="shared" si="25"/>
        <v>1.7589977574309086E-2</v>
      </c>
      <c r="Q22" s="231"/>
      <c r="R22" s="101">
        <f t="shared" si="6"/>
        <v>0</v>
      </c>
      <c r="S22" s="224">
        <f t="shared" si="7"/>
        <v>138514.86413560034</v>
      </c>
      <c r="T22" s="101">
        <f t="shared" si="26"/>
        <v>1.7589977574309086E-2</v>
      </c>
      <c r="U22" s="231">
        <v>900569.53915415821</v>
      </c>
      <c r="V22" s="101">
        <f t="shared" si="27"/>
        <v>0.11436316309215615</v>
      </c>
      <c r="W22" s="231">
        <v>133271.33520494899</v>
      </c>
      <c r="X22" s="101">
        <f t="shared" si="28"/>
        <v>1.6924102782632539E-2</v>
      </c>
      <c r="Y22" s="231">
        <v>681542.12018478976</v>
      </c>
      <c r="Z22" s="101">
        <f t="shared" si="30"/>
        <v>8.6548910723844463E-2</v>
      </c>
      <c r="AA22" s="231">
        <v>961778.78526850196</v>
      </c>
      <c r="AB22" s="101">
        <f t="shared" si="12"/>
        <v>0.12213611419896052</v>
      </c>
      <c r="AC22" s="224">
        <f t="shared" si="31"/>
        <v>1643320.9054532917</v>
      </c>
      <c r="AD22" s="101">
        <f t="shared" si="32"/>
        <v>0.208685024922805</v>
      </c>
      <c r="AE22" s="231">
        <v>1335795.2165572923</v>
      </c>
      <c r="AF22" s="101">
        <f t="shared" si="33"/>
        <v>0.16963239324344218</v>
      </c>
      <c r="AG22" s="231">
        <v>627611.63903972751</v>
      </c>
      <c r="AH22" s="101">
        <f t="shared" si="34"/>
        <v>7.9700288665603358E-2</v>
      </c>
      <c r="AI22" s="231">
        <v>1191830.1419933662</v>
      </c>
      <c r="AJ22" s="101">
        <f t="shared" si="35"/>
        <v>0.15135029443140322</v>
      </c>
      <c r="AK22" s="231">
        <v>670954.16830565978</v>
      </c>
      <c r="AL22" s="101">
        <f t="shared" si="29"/>
        <v>8.5204348627393678E-2</v>
      </c>
    </row>
    <row r="23" spans="2:38" ht="14.25">
      <c r="B23" s="98"/>
      <c r="C23" s="98"/>
      <c r="D23" s="279">
        <f t="shared" si="19"/>
        <v>46220</v>
      </c>
      <c r="E23" s="279" t="s">
        <v>392</v>
      </c>
      <c r="F23" s="225">
        <f t="shared" si="20"/>
        <v>7204022</v>
      </c>
      <c r="G23" s="277"/>
      <c r="H23" s="297"/>
      <c r="I23" s="231">
        <v>497079.54427637823</v>
      </c>
      <c r="J23" s="101">
        <f t="shared" si="21"/>
        <v>6.9000281270154118E-2</v>
      </c>
      <c r="K23" s="231">
        <v>660921.64311433968</v>
      </c>
      <c r="L23" s="101">
        <f t="shared" si="22"/>
        <v>9.1743423758886306E-2</v>
      </c>
      <c r="M23" s="224">
        <f t="shared" si="23"/>
        <v>1158001.1873907179</v>
      </c>
      <c r="N23" s="101">
        <f t="shared" si="24"/>
        <v>0.16074370502904042</v>
      </c>
      <c r="O23" s="231">
        <v>119921.06161320586</v>
      </c>
      <c r="P23" s="101">
        <f t="shared" si="25"/>
        <v>1.6646404135523998E-2</v>
      </c>
      <c r="Q23" s="231"/>
      <c r="R23" s="101">
        <f t="shared" si="6"/>
        <v>0</v>
      </c>
      <c r="S23" s="224">
        <f t="shared" si="7"/>
        <v>119921.06161320586</v>
      </c>
      <c r="T23" s="101">
        <f t="shared" si="26"/>
        <v>1.6646404135523998E-2</v>
      </c>
      <c r="U23" s="231">
        <v>696225.26291655481</v>
      </c>
      <c r="V23" s="101">
        <f t="shared" si="27"/>
        <v>9.6643966789184549E-2</v>
      </c>
      <c r="W23" s="231">
        <v>140632.54790078549</v>
      </c>
      <c r="X23" s="101">
        <f t="shared" si="28"/>
        <v>1.9521393452266732E-2</v>
      </c>
      <c r="Y23" s="231">
        <v>543257.97297493077</v>
      </c>
      <c r="Z23" s="101">
        <f t="shared" si="30"/>
        <v>7.5410371175286636E-2</v>
      </c>
      <c r="AA23" s="231">
        <v>1007343.995205997</v>
      </c>
      <c r="AB23" s="101">
        <f t="shared" si="12"/>
        <v>0.13983077719723747</v>
      </c>
      <c r="AC23" s="224">
        <f t="shared" si="31"/>
        <v>1550601.9681809279</v>
      </c>
      <c r="AD23" s="101">
        <f t="shared" si="32"/>
        <v>0.21524114837252412</v>
      </c>
      <c r="AE23" s="231">
        <v>1201185.9135447759</v>
      </c>
      <c r="AF23" s="101">
        <f t="shared" si="33"/>
        <v>0.16673823505047264</v>
      </c>
      <c r="AG23" s="231">
        <v>459782.61566564761</v>
      </c>
      <c r="AH23" s="101">
        <f t="shared" si="34"/>
        <v>6.3823044358505235E-2</v>
      </c>
      <c r="AI23" s="231">
        <v>1326888.8235659418</v>
      </c>
      <c r="AJ23" s="101">
        <f t="shared" si="35"/>
        <v>0.18418722535355136</v>
      </c>
      <c r="AK23" s="231">
        <v>550782.61922144284</v>
      </c>
      <c r="AL23" s="101">
        <f t="shared" si="29"/>
        <v>7.6454877458930981E-2</v>
      </c>
    </row>
    <row r="24" spans="2:38" ht="14.25">
      <c r="B24" s="98"/>
      <c r="C24" s="98"/>
      <c r="D24" s="279">
        <f t="shared" si="19"/>
        <v>46221</v>
      </c>
      <c r="E24" s="279" t="s">
        <v>393</v>
      </c>
      <c r="F24" s="225">
        <f t="shared" si="20"/>
        <v>7376905.0000000009</v>
      </c>
      <c r="G24" s="277"/>
      <c r="H24" s="297"/>
      <c r="I24" s="231">
        <v>473601.16854442615</v>
      </c>
      <c r="J24" s="101">
        <f t="shared" si="21"/>
        <v>6.4200524277380031E-2</v>
      </c>
      <c r="K24" s="231">
        <v>716046.04392860946</v>
      </c>
      <c r="L24" s="101">
        <f t="shared" si="22"/>
        <v>9.7065916387510665E-2</v>
      </c>
      <c r="M24" s="224">
        <f t="shared" si="23"/>
        <v>1189647.2124730356</v>
      </c>
      <c r="N24" s="101">
        <f t="shared" si="24"/>
        <v>0.16126644066489068</v>
      </c>
      <c r="O24" s="231">
        <v>112871.28591212354</v>
      </c>
      <c r="P24" s="101">
        <f t="shared" si="25"/>
        <v>1.530062891037956E-2</v>
      </c>
      <c r="Q24" s="231"/>
      <c r="R24" s="101">
        <f t="shared" si="6"/>
        <v>0</v>
      </c>
      <c r="S24" s="224">
        <f t="shared" si="7"/>
        <v>112871.28591212354</v>
      </c>
      <c r="T24" s="101">
        <f t="shared" si="26"/>
        <v>1.530062891037956E-2</v>
      </c>
      <c r="U24" s="231">
        <v>795842.02437346207</v>
      </c>
      <c r="V24" s="101">
        <f t="shared" si="27"/>
        <v>0.10788291626006598</v>
      </c>
      <c r="W24" s="231">
        <v>119070.9569300623</v>
      </c>
      <c r="X24" s="101">
        <f t="shared" si="28"/>
        <v>1.6141045184947113E-2</v>
      </c>
      <c r="Y24" s="231">
        <v>592737.63460481772</v>
      </c>
      <c r="Z24" s="101">
        <f t="shared" si="30"/>
        <v>8.0350449762443418E-2</v>
      </c>
      <c r="AA24" s="231">
        <v>1084447.8202123856</v>
      </c>
      <c r="AB24" s="101">
        <f t="shared" si="12"/>
        <v>0.14700579988659004</v>
      </c>
      <c r="AC24" s="224">
        <f t="shared" si="31"/>
        <v>1677185.4548172033</v>
      </c>
      <c r="AD24" s="101">
        <f t="shared" si="32"/>
        <v>0.22735624964903345</v>
      </c>
      <c r="AE24" s="231">
        <v>1211698.0850626826</v>
      </c>
      <c r="AF24" s="101">
        <f t="shared" si="33"/>
        <v>0.16425561737106315</v>
      </c>
      <c r="AG24" s="231">
        <v>501828.85601001774</v>
      </c>
      <c r="AH24" s="101">
        <f t="shared" si="34"/>
        <v>6.8027018920538848E-2</v>
      </c>
      <c r="AI24" s="231">
        <v>1219072.8408482589</v>
      </c>
      <c r="AJ24" s="101">
        <f t="shared" si="35"/>
        <v>0.16525532602741377</v>
      </c>
      <c r="AK24" s="231">
        <v>549688.28357315424</v>
      </c>
      <c r="AL24" s="101">
        <f t="shared" si="29"/>
        <v>7.4514757011667376E-2</v>
      </c>
    </row>
    <row r="25" spans="2:38" ht="14.25">
      <c r="B25" s="98"/>
      <c r="C25" s="98"/>
      <c r="D25" s="279">
        <f t="shared" si="19"/>
        <v>46222</v>
      </c>
      <c r="E25" s="279" t="s">
        <v>394</v>
      </c>
      <c r="F25" s="225">
        <f t="shared" si="20"/>
        <v>8954762</v>
      </c>
      <c r="G25" s="277"/>
      <c r="H25" s="297"/>
      <c r="I25" s="231">
        <v>585604.83042410284</v>
      </c>
      <c r="J25" s="101">
        <f t="shared" si="21"/>
        <v>6.5395912300528242E-2</v>
      </c>
      <c r="K25" s="231">
        <v>778716.01937041117</v>
      </c>
      <c r="L25" s="101">
        <f t="shared" si="22"/>
        <v>8.6961107327074821E-2</v>
      </c>
      <c r="M25" s="224">
        <f t="shared" si="23"/>
        <v>1364320.849794514</v>
      </c>
      <c r="N25" s="101">
        <f t="shared" si="24"/>
        <v>0.15235701962760306</v>
      </c>
      <c r="O25" s="231">
        <v>139781.28061167905</v>
      </c>
      <c r="P25" s="101">
        <f t="shared" si="25"/>
        <v>1.5609714765359375E-2</v>
      </c>
      <c r="Q25" s="231"/>
      <c r="R25" s="101">
        <f t="shared" si="6"/>
        <v>0</v>
      </c>
      <c r="S25" s="224">
        <f t="shared" si="7"/>
        <v>139781.28061167905</v>
      </c>
      <c r="T25" s="101">
        <f t="shared" si="26"/>
        <v>1.5609714765359375E-2</v>
      </c>
      <c r="U25" s="231">
        <v>1046471.8079764254</v>
      </c>
      <c r="V25" s="101">
        <f t="shared" si="27"/>
        <v>0.1168620459121555</v>
      </c>
      <c r="W25" s="231">
        <v>138769.63644049034</v>
      </c>
      <c r="X25" s="101">
        <f t="shared" si="28"/>
        <v>1.5496742006151625E-2</v>
      </c>
      <c r="Y25" s="231">
        <v>782696.69070775004</v>
      </c>
      <c r="Z25" s="101">
        <f t="shared" si="30"/>
        <v>8.7405638553849904E-2</v>
      </c>
      <c r="AA25" s="231">
        <v>1169509.0684006191</v>
      </c>
      <c r="AB25" s="101">
        <f t="shared" si="12"/>
        <v>0.13060191531618809</v>
      </c>
      <c r="AC25" s="224">
        <f t="shared" si="31"/>
        <v>1952205.7591083692</v>
      </c>
      <c r="AD25" s="101">
        <f t="shared" si="32"/>
        <v>0.21800755387003801</v>
      </c>
      <c r="AE25" s="231">
        <v>1627671.6501840712</v>
      </c>
      <c r="AF25" s="101">
        <f t="shared" si="33"/>
        <v>0.18176604249047279</v>
      </c>
      <c r="AG25" s="231">
        <v>698103.87937949656</v>
      </c>
      <c r="AH25" s="101">
        <f t="shared" si="34"/>
        <v>7.7958954060364363E-2</v>
      </c>
      <c r="AI25" s="231">
        <v>1274020.2404319558</v>
      </c>
      <c r="AJ25" s="101">
        <f t="shared" si="35"/>
        <v>0.14227293147846429</v>
      </c>
      <c r="AK25" s="231">
        <v>713416.89607299783</v>
      </c>
      <c r="AL25" s="101">
        <f t="shared" si="29"/>
        <v>7.966899578939092E-2</v>
      </c>
    </row>
    <row r="26" spans="2:38" ht="14.25">
      <c r="B26" s="98"/>
      <c r="C26" s="98"/>
      <c r="D26" s="279">
        <f t="shared" si="19"/>
        <v>46223</v>
      </c>
      <c r="E26" s="279" t="s">
        <v>388</v>
      </c>
      <c r="F26" s="225">
        <f t="shared" si="20"/>
        <v>8839398.9999999981</v>
      </c>
      <c r="G26" s="277"/>
      <c r="H26" s="297"/>
      <c r="I26" s="231">
        <v>565509.17292570369</v>
      </c>
      <c r="J26" s="101">
        <f t="shared" si="21"/>
        <v>6.3975975394447493E-2</v>
      </c>
      <c r="K26" s="231">
        <v>774225.31942138891</v>
      </c>
      <c r="L26" s="101">
        <f t="shared" si="22"/>
        <v>8.7588004503630745E-2</v>
      </c>
      <c r="M26" s="224">
        <f t="shared" si="23"/>
        <v>1339734.4923470926</v>
      </c>
      <c r="N26" s="101">
        <f t="shared" si="24"/>
        <v>0.15156397989807824</v>
      </c>
      <c r="O26" s="231">
        <v>139872.34346267348</v>
      </c>
      <c r="P26" s="101">
        <f t="shared" si="25"/>
        <v>1.5823739087088784E-2</v>
      </c>
      <c r="Q26" s="231"/>
      <c r="R26" s="101">
        <f t="shared" si="6"/>
        <v>0</v>
      </c>
      <c r="S26" s="224">
        <f t="shared" si="7"/>
        <v>139872.34346267348</v>
      </c>
      <c r="T26" s="101">
        <f t="shared" si="26"/>
        <v>1.5823739087088784E-2</v>
      </c>
      <c r="U26" s="231">
        <v>938107.73923570255</v>
      </c>
      <c r="V26" s="101">
        <f t="shared" si="27"/>
        <v>0.10612800024477939</v>
      </c>
      <c r="W26" s="231">
        <v>146004.29530519873</v>
      </c>
      <c r="X26" s="101">
        <f t="shared" si="28"/>
        <v>1.6517445960432236E-2</v>
      </c>
      <c r="Y26" s="231">
        <v>720505.34779966343</v>
      </c>
      <c r="Z26" s="101">
        <f t="shared" si="30"/>
        <v>8.1510671460770526E-2</v>
      </c>
      <c r="AA26" s="231">
        <v>1372589.6175702778</v>
      </c>
      <c r="AB26" s="101">
        <f t="shared" si="12"/>
        <v>0.15528087572133331</v>
      </c>
      <c r="AC26" s="224">
        <f t="shared" si="31"/>
        <v>2093094.9653699412</v>
      </c>
      <c r="AD26" s="101">
        <f t="shared" si="32"/>
        <v>0.23679154718210385</v>
      </c>
      <c r="AE26" s="231">
        <v>1484278.8428969129</v>
      </c>
      <c r="AF26" s="101">
        <f t="shared" si="33"/>
        <v>0.16791626250799555</v>
      </c>
      <c r="AG26" s="231">
        <v>691217.48836899223</v>
      </c>
      <c r="AH26" s="101">
        <f t="shared" si="34"/>
        <v>7.8197339928765791E-2</v>
      </c>
      <c r="AI26" s="231">
        <v>1223283.1939433347</v>
      </c>
      <c r="AJ26" s="101">
        <f t="shared" si="35"/>
        <v>0.13838986043545889</v>
      </c>
      <c r="AK26" s="231">
        <v>783805.63907014939</v>
      </c>
      <c r="AL26" s="101">
        <f t="shared" si="29"/>
        <v>8.8671824755297224E-2</v>
      </c>
    </row>
    <row r="27" spans="2:38" ht="14.25">
      <c r="B27" s="98"/>
      <c r="C27" s="98"/>
      <c r="D27" s="349">
        <f t="shared" si="19"/>
        <v>46224</v>
      </c>
      <c r="E27" s="349" t="s">
        <v>389</v>
      </c>
      <c r="F27" s="225">
        <f t="shared" si="20"/>
        <v>9279113.9999999981</v>
      </c>
      <c r="G27" s="277"/>
      <c r="H27" s="297"/>
      <c r="I27" s="231">
        <v>671835.52764707664</v>
      </c>
      <c r="J27" s="101">
        <f t="shared" si="21"/>
        <v>7.2402982401884142E-2</v>
      </c>
      <c r="K27" s="231">
        <v>765918.47780980368</v>
      </c>
      <c r="L27" s="101">
        <f t="shared" si="22"/>
        <v>8.2542199374832967E-2</v>
      </c>
      <c r="M27" s="224">
        <f t="shared" si="23"/>
        <v>1437754.0054568802</v>
      </c>
      <c r="N27" s="101">
        <f t="shared" si="24"/>
        <v>0.15494518177671709</v>
      </c>
      <c r="O27" s="231">
        <v>244054.65973890401</v>
      </c>
      <c r="P27" s="101">
        <f t="shared" si="25"/>
        <v>2.6301504619827287E-2</v>
      </c>
      <c r="Q27" s="231"/>
      <c r="R27" s="101">
        <f t="shared" si="6"/>
        <v>0</v>
      </c>
      <c r="S27" s="224">
        <f t="shared" si="7"/>
        <v>244054.65973890401</v>
      </c>
      <c r="T27" s="101">
        <f t="shared" si="26"/>
        <v>2.6301504619827287E-2</v>
      </c>
      <c r="U27" s="231">
        <v>842377.56852263783</v>
      </c>
      <c r="V27" s="101">
        <f t="shared" si="27"/>
        <v>9.0782112227809464E-2</v>
      </c>
      <c r="W27" s="231">
        <v>117718.15990650654</v>
      </c>
      <c r="X27" s="101">
        <f t="shared" si="28"/>
        <v>1.2686357760720104E-2</v>
      </c>
      <c r="Y27" s="231">
        <v>760422.40361946844</v>
      </c>
      <c r="Z27" s="101">
        <f t="shared" si="30"/>
        <v>8.194989345097696E-2</v>
      </c>
      <c r="AA27" s="231">
        <v>1332146.5588095405</v>
      </c>
      <c r="AB27" s="101">
        <f t="shared" si="12"/>
        <v>0.14356398238124252</v>
      </c>
      <c r="AC27" s="224">
        <f t="shared" si="31"/>
        <v>2092568.9624290089</v>
      </c>
      <c r="AD27" s="101">
        <f t="shared" si="32"/>
        <v>0.22551387583221946</v>
      </c>
      <c r="AE27" s="231">
        <v>1427783.709349832</v>
      </c>
      <c r="AF27" s="101">
        <f t="shared" si="33"/>
        <v>0.15387069383454416</v>
      </c>
      <c r="AG27" s="231">
        <v>1126434.3902805904</v>
      </c>
      <c r="AH27" s="101">
        <f t="shared" si="34"/>
        <v>0.12139460623940934</v>
      </c>
      <c r="AI27" s="231">
        <v>1256686.9692860327</v>
      </c>
      <c r="AJ27" s="101">
        <f t="shared" si="35"/>
        <v>0.13543178468181694</v>
      </c>
      <c r="AK27" s="231">
        <v>733735.57502960681</v>
      </c>
      <c r="AL27" s="101">
        <f t="shared" si="29"/>
        <v>7.9073883026936298E-2</v>
      </c>
    </row>
    <row r="28" spans="2:38" ht="14.25">
      <c r="B28" s="98"/>
      <c r="C28" s="98"/>
      <c r="D28" s="349">
        <f t="shared" si="19"/>
        <v>46225</v>
      </c>
      <c r="E28" s="349" t="s">
        <v>390</v>
      </c>
      <c r="F28" s="225">
        <f t="shared" si="20"/>
        <v>8679383</v>
      </c>
      <c r="G28" s="277"/>
      <c r="H28" s="297"/>
      <c r="I28" s="231">
        <v>628484.68351565616</v>
      </c>
      <c r="J28" s="101">
        <f t="shared" si="21"/>
        <v>7.2411216732301845E-2</v>
      </c>
      <c r="K28" s="231">
        <v>746983.41918131604</v>
      </c>
      <c r="L28" s="101">
        <f t="shared" si="22"/>
        <v>8.6064115292678753E-2</v>
      </c>
      <c r="M28" s="224">
        <f t="shared" si="23"/>
        <v>1375468.1026969722</v>
      </c>
      <c r="N28" s="101">
        <f t="shared" si="24"/>
        <v>0.1584753320249806</v>
      </c>
      <c r="O28" s="231">
        <v>199018.16884476267</v>
      </c>
      <c r="P28" s="101">
        <f t="shared" si="25"/>
        <v>2.2929990397331547E-2</v>
      </c>
      <c r="Q28" s="231"/>
      <c r="R28" s="101">
        <f t="shared" si="6"/>
        <v>0</v>
      </c>
      <c r="S28" s="224">
        <f t="shared" si="7"/>
        <v>199018.16884476267</v>
      </c>
      <c r="T28" s="101">
        <f t="shared" si="26"/>
        <v>2.2929990397331547E-2</v>
      </c>
      <c r="U28" s="231">
        <v>814994.78186024434</v>
      </c>
      <c r="V28" s="101">
        <f t="shared" si="27"/>
        <v>9.3900082743236968E-2</v>
      </c>
      <c r="W28" s="231">
        <v>132454.12511346495</v>
      </c>
      <c r="X28" s="101">
        <f t="shared" si="28"/>
        <v>1.5260776614358987E-2</v>
      </c>
      <c r="Y28" s="231">
        <v>703748.94680344942</v>
      </c>
      <c r="Z28" s="101">
        <f t="shared" si="30"/>
        <v>8.1082831210864806E-2</v>
      </c>
      <c r="AA28" s="231">
        <v>1254659.3447006824</v>
      </c>
      <c r="AB28" s="101">
        <f t="shared" si="12"/>
        <v>0.14455628294092823</v>
      </c>
      <c r="AC28" s="224">
        <f t="shared" si="31"/>
        <v>1958408.2915041319</v>
      </c>
      <c r="AD28" s="101">
        <f t="shared" si="32"/>
        <v>0.22563911415179302</v>
      </c>
      <c r="AE28" s="231">
        <v>1378266.0883943087</v>
      </c>
      <c r="AF28" s="101">
        <f t="shared" si="33"/>
        <v>0.15879770352273989</v>
      </c>
      <c r="AG28" s="231">
        <v>892666.54453435622</v>
      </c>
      <c r="AH28" s="101">
        <f t="shared" si="34"/>
        <v>0.10284907861933922</v>
      </c>
      <c r="AI28" s="231">
        <v>1196749.1266129196</v>
      </c>
      <c r="AJ28" s="101">
        <f t="shared" si="35"/>
        <v>0.13788412455273832</v>
      </c>
      <c r="AK28" s="231">
        <v>731357.77043883945</v>
      </c>
      <c r="AL28" s="101">
        <f t="shared" si="29"/>
        <v>8.4263797373481442E-2</v>
      </c>
    </row>
    <row r="29" spans="2:38" ht="14.25">
      <c r="B29" s="98"/>
      <c r="C29" s="98"/>
      <c r="D29" s="349">
        <f t="shared" si="19"/>
        <v>46226</v>
      </c>
      <c r="E29" s="349" t="s">
        <v>391</v>
      </c>
      <c r="F29" s="225">
        <f t="shared" si="20"/>
        <v>8118844.0000000009</v>
      </c>
      <c r="G29" s="277"/>
      <c r="H29" s="297"/>
      <c r="I29" s="479">
        <v>605858.58658534382</v>
      </c>
      <c r="J29" s="325">
        <f t="shared" si="21"/>
        <v>7.4623750202041539E-2</v>
      </c>
      <c r="K29" s="479">
        <v>693106.51137080335</v>
      </c>
      <c r="L29" s="325">
        <f t="shared" si="22"/>
        <v>8.5370098424209562E-2</v>
      </c>
      <c r="M29" s="480">
        <f t="shared" si="23"/>
        <v>1298965.097956147</v>
      </c>
      <c r="N29" s="325">
        <f t="shared" si="24"/>
        <v>0.1599938486262511</v>
      </c>
      <c r="O29" s="479">
        <v>195267.07507720072</v>
      </c>
      <c r="P29" s="325">
        <f t="shared" si="25"/>
        <v>2.4051093367134617E-2</v>
      </c>
      <c r="Q29" s="479"/>
      <c r="R29" s="325">
        <f t="shared" si="6"/>
        <v>0</v>
      </c>
      <c r="S29" s="480">
        <f t="shared" si="7"/>
        <v>195267.07507720072</v>
      </c>
      <c r="T29" s="325">
        <f t="shared" si="26"/>
        <v>2.4051093367134617E-2</v>
      </c>
      <c r="U29" s="479">
        <v>756528.35176608211</v>
      </c>
      <c r="V29" s="325">
        <f t="shared" si="27"/>
        <v>9.3181782008138356E-2</v>
      </c>
      <c r="W29" s="479">
        <v>118927.52428626828</v>
      </c>
      <c r="X29" s="325">
        <f t="shared" si="28"/>
        <v>1.4648332236247952E-2</v>
      </c>
      <c r="Y29" s="479">
        <v>577605.81408258481</v>
      </c>
      <c r="Z29" s="325">
        <f t="shared" si="30"/>
        <v>7.1143849306943785E-2</v>
      </c>
      <c r="AA29" s="479">
        <v>1120222.852564987</v>
      </c>
      <c r="AB29" s="325">
        <f t="shared" si="12"/>
        <v>0.13797812257077324</v>
      </c>
      <c r="AC29" s="480">
        <f t="shared" si="31"/>
        <v>1697828.6666475718</v>
      </c>
      <c r="AD29" s="325">
        <f t="shared" si="32"/>
        <v>0.20912197187771703</v>
      </c>
      <c r="AE29" s="479">
        <v>1252533.1482314307</v>
      </c>
      <c r="AF29" s="325">
        <f t="shared" si="33"/>
        <v>0.15427481402911924</v>
      </c>
      <c r="AG29" s="479">
        <v>806621.00867360819</v>
      </c>
      <c r="AH29" s="325">
        <f t="shared" si="34"/>
        <v>9.9351706803777501E-2</v>
      </c>
      <c r="AI29" s="479">
        <v>1270298.0252458137</v>
      </c>
      <c r="AJ29" s="325">
        <f t="shared" si="35"/>
        <v>0.15646291827331743</v>
      </c>
      <c r="AK29" s="479">
        <v>721875.10211587767</v>
      </c>
      <c r="AL29" s="325">
        <f t="shared" si="29"/>
        <v>8.8913532778296708E-2</v>
      </c>
    </row>
    <row r="30" spans="2:38" ht="14.25">
      <c r="B30" s="98"/>
      <c r="C30" s="98"/>
      <c r="D30" s="349">
        <f t="shared" si="19"/>
        <v>46227</v>
      </c>
      <c r="E30" s="349" t="s">
        <v>392</v>
      </c>
      <c r="F30" s="225">
        <f t="shared" si="20"/>
        <v>7260099.0000000019</v>
      </c>
      <c r="G30" s="277"/>
      <c r="H30" s="297"/>
      <c r="I30" s="479">
        <v>550291.32706668298</v>
      </c>
      <c r="J30" s="325">
        <f t="shared" si="21"/>
        <v>7.5796669861758481E-2</v>
      </c>
      <c r="K30" s="479">
        <v>644729.44227702811</v>
      </c>
      <c r="L30" s="325">
        <f t="shared" si="22"/>
        <v>8.8804497332202761E-2</v>
      </c>
      <c r="M30" s="480">
        <f t="shared" si="23"/>
        <v>1195020.769343711</v>
      </c>
      <c r="N30" s="325">
        <f t="shared" si="24"/>
        <v>0.16460116719396123</v>
      </c>
      <c r="O30" s="479">
        <v>197437.77138933912</v>
      </c>
      <c r="P30" s="325">
        <f t="shared" si="25"/>
        <v>2.7194914475593111E-2</v>
      </c>
      <c r="Q30" s="479"/>
      <c r="R30" s="325">
        <f t="shared" si="6"/>
        <v>0</v>
      </c>
      <c r="S30" s="480">
        <f t="shared" si="7"/>
        <v>197437.77138933912</v>
      </c>
      <c r="T30" s="325">
        <f t="shared" si="26"/>
        <v>2.7194914475593111E-2</v>
      </c>
      <c r="U30" s="479">
        <v>681933.2152589726</v>
      </c>
      <c r="V30" s="325">
        <f t="shared" si="27"/>
        <v>9.3928914090423893E-2</v>
      </c>
      <c r="W30" s="479">
        <v>89318.306479448322</v>
      </c>
      <c r="X30" s="325">
        <f t="shared" si="28"/>
        <v>1.2302629272610235E-2</v>
      </c>
      <c r="Y30" s="479">
        <v>545605.05805565452</v>
      </c>
      <c r="Z30" s="325">
        <f t="shared" si="30"/>
        <v>7.5151187064481401E-2</v>
      </c>
      <c r="AA30" s="479">
        <v>992660.79038495256</v>
      </c>
      <c r="AB30" s="325">
        <f t="shared" si="12"/>
        <v>0.13672827194022455</v>
      </c>
      <c r="AC30" s="480">
        <f t="shared" si="31"/>
        <v>1538265.8484406071</v>
      </c>
      <c r="AD30" s="325">
        <f t="shared" si="32"/>
        <v>0.21187945900470595</v>
      </c>
      <c r="AE30" s="479">
        <v>1129262.5137013888</v>
      </c>
      <c r="AF30" s="325">
        <f t="shared" si="33"/>
        <v>0.15554367973513702</v>
      </c>
      <c r="AG30" s="479">
        <v>680798.38839558477</v>
      </c>
      <c r="AH30" s="325">
        <f t="shared" si="34"/>
        <v>9.3772603981789313E-2</v>
      </c>
      <c r="AI30" s="479">
        <v>1155676.9117198491</v>
      </c>
      <c r="AJ30" s="325">
        <f t="shared" si="35"/>
        <v>0.15918197695649175</v>
      </c>
      <c r="AK30" s="479">
        <v>592385.27527109999</v>
      </c>
      <c r="AL30" s="325">
        <f t="shared" si="29"/>
        <v>8.159465528928736E-2</v>
      </c>
    </row>
    <row r="31" spans="2:38" ht="14.25">
      <c r="B31" s="98"/>
      <c r="C31" s="98"/>
      <c r="D31" s="349">
        <f>D30+1</f>
        <v>46228</v>
      </c>
      <c r="E31" s="349" t="s">
        <v>393</v>
      </c>
      <c r="F31" s="225">
        <f t="shared" si="20"/>
        <v>7568927.9999999981</v>
      </c>
      <c r="G31" s="277"/>
      <c r="H31" s="297"/>
      <c r="I31" s="479">
        <v>513845.56985573604</v>
      </c>
      <c r="J31" s="325">
        <f t="shared" si="21"/>
        <v>6.7888817261273479E-2</v>
      </c>
      <c r="K31" s="479">
        <v>714146.52763445501</v>
      </c>
      <c r="L31" s="325">
        <f t="shared" si="22"/>
        <v>9.4352400714401721E-2</v>
      </c>
      <c r="M31" s="480">
        <f t="shared" si="23"/>
        <v>1227992.097490191</v>
      </c>
      <c r="N31" s="325">
        <f t="shared" si="24"/>
        <v>0.1622412179756752</v>
      </c>
      <c r="O31" s="479">
        <v>189469.04654424184</v>
      </c>
      <c r="P31" s="325">
        <f t="shared" si="25"/>
        <v>2.5032481025614443E-2</v>
      </c>
      <c r="Q31" s="479"/>
      <c r="R31" s="325">
        <f t="shared" si="6"/>
        <v>0</v>
      </c>
      <c r="S31" s="480">
        <f t="shared" si="7"/>
        <v>189469.04654424184</v>
      </c>
      <c r="T31" s="325">
        <f t="shared" si="26"/>
        <v>2.5032481025614443E-2</v>
      </c>
      <c r="U31" s="479">
        <v>743969.31738289585</v>
      </c>
      <c r="V31" s="325">
        <f t="shared" si="27"/>
        <v>9.8292561031482401E-2</v>
      </c>
      <c r="W31" s="479">
        <v>77783.098784753252</v>
      </c>
      <c r="X31" s="325">
        <f t="shared" si="28"/>
        <v>1.0276633465763352E-2</v>
      </c>
      <c r="Y31" s="479">
        <v>545688.0277002505</v>
      </c>
      <c r="Z31" s="325">
        <f t="shared" si="30"/>
        <v>7.2095814321427101E-2</v>
      </c>
      <c r="AA31" s="479">
        <v>1231804.3295266663</v>
      </c>
      <c r="AB31" s="325">
        <f t="shared" si="12"/>
        <v>0.16274488666382697</v>
      </c>
      <c r="AC31" s="480">
        <f t="shared" si="31"/>
        <v>1777492.3572269168</v>
      </c>
      <c r="AD31" s="325">
        <f t="shared" si="32"/>
        <v>0.23484070098525409</v>
      </c>
      <c r="AE31" s="479">
        <v>1094295.1500640337</v>
      </c>
      <c r="AF31" s="325">
        <f t="shared" si="33"/>
        <v>0.14457729681984477</v>
      </c>
      <c r="AG31" s="479">
        <v>717949.62971304939</v>
      </c>
      <c r="AH31" s="325">
        <f t="shared" si="34"/>
        <v>9.4854863160681355E-2</v>
      </c>
      <c r="AI31" s="479">
        <v>1189603.4249826083</v>
      </c>
      <c r="AJ31" s="325">
        <f t="shared" si="35"/>
        <v>0.15716934088719151</v>
      </c>
      <c r="AK31" s="479">
        <v>550373.87781130918</v>
      </c>
      <c r="AL31" s="325">
        <f t="shared" si="29"/>
        <v>7.2714904648493062E-2</v>
      </c>
    </row>
    <row r="32" spans="2:38" ht="14.25">
      <c r="B32" s="98"/>
      <c r="C32" s="98"/>
      <c r="D32" s="349">
        <f t="shared" ref="D32:D37" si="36">D31+1</f>
        <v>46229</v>
      </c>
      <c r="E32" s="349" t="s">
        <v>394</v>
      </c>
      <c r="F32" s="225">
        <f t="shared" si="20"/>
        <v>9434578.0000000019</v>
      </c>
      <c r="G32" s="277"/>
      <c r="H32" s="297"/>
      <c r="I32" s="479">
        <v>634596.12456156383</v>
      </c>
      <c r="J32" s="325">
        <f t="shared" si="21"/>
        <v>6.726279909515441E-2</v>
      </c>
      <c r="K32" s="479">
        <v>780310.52186166635</v>
      </c>
      <c r="L32" s="325">
        <f t="shared" si="22"/>
        <v>8.2707517163106412E-2</v>
      </c>
      <c r="M32" s="480">
        <f t="shared" si="23"/>
        <v>1414906.6464232302</v>
      </c>
      <c r="N32" s="325">
        <f t="shared" si="24"/>
        <v>0.14997031625826082</v>
      </c>
      <c r="O32" s="479">
        <v>235470.09993779197</v>
      </c>
      <c r="P32" s="325">
        <f t="shared" si="25"/>
        <v>2.4958201621502512E-2</v>
      </c>
      <c r="Q32" s="479"/>
      <c r="R32" s="325">
        <f t="shared" si="6"/>
        <v>0</v>
      </c>
      <c r="S32" s="480">
        <f t="shared" si="7"/>
        <v>235470.09993779197</v>
      </c>
      <c r="T32" s="325">
        <f t="shared" si="26"/>
        <v>2.4958201621502512E-2</v>
      </c>
      <c r="U32" s="479">
        <v>1069701.1881368994</v>
      </c>
      <c r="V32" s="325">
        <f t="shared" si="27"/>
        <v>0.11338092579624644</v>
      </c>
      <c r="W32" s="479">
        <v>102226.09698349037</v>
      </c>
      <c r="X32" s="325">
        <f t="shared" si="28"/>
        <v>1.0835259084560046E-2</v>
      </c>
      <c r="Y32" s="479">
        <v>692914.17501107499</v>
      </c>
      <c r="Z32" s="325">
        <f t="shared" si="30"/>
        <v>7.3444109001067653E-2</v>
      </c>
      <c r="AA32" s="479">
        <v>1358633.3880896794</v>
      </c>
      <c r="AB32" s="325">
        <f t="shared" si="12"/>
        <v>0.14400574017085652</v>
      </c>
      <c r="AC32" s="480">
        <f t="shared" si="31"/>
        <v>2051547.5631007543</v>
      </c>
      <c r="AD32" s="325">
        <f t="shared" si="32"/>
        <v>0.21744984917192417</v>
      </c>
      <c r="AE32" s="479">
        <v>1464145.3341191236</v>
      </c>
      <c r="AF32" s="325">
        <f t="shared" si="33"/>
        <v>0.15518927652292697</v>
      </c>
      <c r="AG32" s="479">
        <v>991333.05968716706</v>
      </c>
      <c r="AH32" s="325">
        <f t="shared" si="34"/>
        <v>0.10507444632787676</v>
      </c>
      <c r="AI32" s="479">
        <v>1261884.9883732968</v>
      </c>
      <c r="AJ32" s="325">
        <f t="shared" si="35"/>
        <v>0.1337510791021386</v>
      </c>
      <c r="AK32" s="479">
        <v>843363.02323824714</v>
      </c>
      <c r="AL32" s="325">
        <f t="shared" si="29"/>
        <v>8.9390646114563571E-2</v>
      </c>
    </row>
    <row r="33" spans="2:38" ht="14.25">
      <c r="B33" s="98"/>
      <c r="C33" s="98"/>
      <c r="D33" s="349">
        <f t="shared" si="36"/>
        <v>46230</v>
      </c>
      <c r="E33" s="349" t="s">
        <v>388</v>
      </c>
      <c r="F33" s="225">
        <f t="shared" si="20"/>
        <v>9238485</v>
      </c>
      <c r="G33" s="277"/>
      <c r="H33" s="297"/>
      <c r="I33" s="479">
        <v>612555.66484006704</v>
      </c>
      <c r="J33" s="325">
        <f t="shared" si="21"/>
        <v>6.6304774520937901E-2</v>
      </c>
      <c r="K33" s="479">
        <v>768998.00204642501</v>
      </c>
      <c r="L33" s="325">
        <f t="shared" si="22"/>
        <v>8.3238539873845663E-2</v>
      </c>
      <c r="M33" s="480">
        <f t="shared" si="23"/>
        <v>1381553.6668864922</v>
      </c>
      <c r="N33" s="325">
        <f t="shared" si="24"/>
        <v>0.14954331439478358</v>
      </c>
      <c r="O33" s="479">
        <v>213050.49378307993</v>
      </c>
      <c r="P33" s="325">
        <f t="shared" si="25"/>
        <v>2.306119388439554E-2</v>
      </c>
      <c r="Q33" s="479"/>
      <c r="R33" s="325">
        <f t="shared" si="6"/>
        <v>0</v>
      </c>
      <c r="S33" s="480">
        <f t="shared" si="7"/>
        <v>213050.49378307993</v>
      </c>
      <c r="T33" s="325">
        <f t="shared" si="26"/>
        <v>2.306119388439554E-2</v>
      </c>
      <c r="U33" s="479">
        <v>1122597.9304243405</v>
      </c>
      <c r="V33" s="325">
        <f t="shared" si="27"/>
        <v>0.12151320594495099</v>
      </c>
      <c r="W33" s="479">
        <v>117302.93126555835</v>
      </c>
      <c r="X33" s="325">
        <f t="shared" si="28"/>
        <v>1.2697204278142828E-2</v>
      </c>
      <c r="Y33" s="479">
        <v>719817.87733897392</v>
      </c>
      <c r="Z33" s="325">
        <f t="shared" si="30"/>
        <v>7.7915142725130143E-2</v>
      </c>
      <c r="AA33" s="479">
        <v>1262557.8653737332</v>
      </c>
      <c r="AB33" s="325">
        <f t="shared" si="12"/>
        <v>0.13666286900652361</v>
      </c>
      <c r="AC33" s="480">
        <f t="shared" si="31"/>
        <v>1982375.7427127073</v>
      </c>
      <c r="AD33" s="325">
        <f t="shared" si="32"/>
        <v>0.21457801173165375</v>
      </c>
      <c r="AE33" s="479">
        <v>1439847.9366923694</v>
      </c>
      <c r="AF33" s="325">
        <f t="shared" si="33"/>
        <v>0.15585325263745836</v>
      </c>
      <c r="AG33" s="479">
        <v>876129.81225051743</v>
      </c>
      <c r="AH33" s="325">
        <f t="shared" si="34"/>
        <v>9.4834792961239575E-2</v>
      </c>
      <c r="AI33" s="479">
        <v>1197483.1303722786</v>
      </c>
      <c r="AJ33" s="325">
        <f t="shared" si="35"/>
        <v>0.12961899384718151</v>
      </c>
      <c r="AK33" s="479">
        <v>908143.35561265645</v>
      </c>
      <c r="AL33" s="325">
        <f t="shared" si="29"/>
        <v>9.8300030320193896E-2</v>
      </c>
    </row>
    <row r="34" spans="2:38" ht="14.25">
      <c r="B34" s="98"/>
      <c r="C34" s="98"/>
      <c r="D34" s="279">
        <f t="shared" si="36"/>
        <v>46231</v>
      </c>
      <c r="E34" s="279" t="s">
        <v>389</v>
      </c>
      <c r="F34" s="225">
        <f t="shared" si="20"/>
        <v>8700275</v>
      </c>
      <c r="G34" s="277"/>
      <c r="H34" s="297"/>
      <c r="I34" s="479">
        <v>603262.52868638129</v>
      </c>
      <c r="J34" s="325">
        <f t="shared" si="21"/>
        <v>6.9338328809880292E-2</v>
      </c>
      <c r="K34" s="479">
        <v>751265.74826947367</v>
      </c>
      <c r="L34" s="325">
        <f t="shared" si="22"/>
        <v>8.6349655415429244E-2</v>
      </c>
      <c r="M34" s="480">
        <f t="shared" si="23"/>
        <v>1354528.2769558551</v>
      </c>
      <c r="N34" s="325">
        <f t="shared" si="24"/>
        <v>0.15568798422530955</v>
      </c>
      <c r="O34" s="479">
        <v>216344.63870068808</v>
      </c>
      <c r="P34" s="325">
        <f t="shared" si="25"/>
        <v>2.4866413843319675E-2</v>
      </c>
      <c r="Q34" s="479"/>
      <c r="R34" s="325">
        <f t="shared" si="6"/>
        <v>0</v>
      </c>
      <c r="S34" s="480">
        <f t="shared" si="7"/>
        <v>216344.63870068808</v>
      </c>
      <c r="T34" s="325">
        <f t="shared" si="26"/>
        <v>2.4866413843319675E-2</v>
      </c>
      <c r="U34" s="479">
        <v>1036644.3877259293</v>
      </c>
      <c r="V34" s="325">
        <f t="shared" si="27"/>
        <v>0.11915076106513062</v>
      </c>
      <c r="W34" s="479">
        <v>92954.912885850805</v>
      </c>
      <c r="X34" s="325">
        <f t="shared" si="28"/>
        <v>1.068413502858827E-2</v>
      </c>
      <c r="Y34" s="479">
        <v>673989.88000655465</v>
      </c>
      <c r="Z34" s="325">
        <f t="shared" si="30"/>
        <v>7.7467652460014733E-2</v>
      </c>
      <c r="AA34" s="479">
        <v>1229401.401895995</v>
      </c>
      <c r="AB34" s="325">
        <f t="shared" si="12"/>
        <v>0.14130603939484615</v>
      </c>
      <c r="AC34" s="480">
        <f t="shared" si="31"/>
        <v>1903391.2819025498</v>
      </c>
      <c r="AD34" s="325">
        <f t="shared" si="32"/>
        <v>0.2187736918548609</v>
      </c>
      <c r="AE34" s="479">
        <v>1356521.9347200366</v>
      </c>
      <c r="AF34" s="325">
        <f t="shared" si="33"/>
        <v>0.15591713304694813</v>
      </c>
      <c r="AG34" s="479">
        <v>798520.5685431239</v>
      </c>
      <c r="AH34" s="325">
        <f t="shared" si="34"/>
        <v>9.1781072269913749E-2</v>
      </c>
      <c r="AI34" s="479">
        <v>1116518.0826606222</v>
      </c>
      <c r="AJ34" s="325">
        <f t="shared" si="35"/>
        <v>0.12833135534918405</v>
      </c>
      <c r="AK34" s="479">
        <v>824850.91590534337</v>
      </c>
      <c r="AL34" s="325">
        <f t="shared" si="29"/>
        <v>9.4807453316744977E-2</v>
      </c>
    </row>
    <row r="35" spans="2:38" ht="14.25">
      <c r="B35" s="98"/>
      <c r="C35" s="98"/>
      <c r="D35" s="279">
        <f t="shared" si="36"/>
        <v>46232</v>
      </c>
      <c r="E35" s="279" t="s">
        <v>390</v>
      </c>
      <c r="F35" s="225">
        <f t="shared" si="20"/>
        <v>8324343.0000000009</v>
      </c>
      <c r="G35" s="277"/>
      <c r="H35" s="297"/>
      <c r="I35" s="479">
        <v>589000.29774245247</v>
      </c>
      <c r="J35" s="325">
        <f t="shared" si="21"/>
        <v>7.0756370531878901E-2</v>
      </c>
      <c r="K35" s="479">
        <v>729127.96946627158</v>
      </c>
      <c r="L35" s="325">
        <f t="shared" si="22"/>
        <v>8.7589851771637889E-2</v>
      </c>
      <c r="M35" s="480">
        <f t="shared" si="23"/>
        <v>1318128.267208724</v>
      </c>
      <c r="N35" s="325">
        <f t="shared" si="24"/>
        <v>0.1583462223035168</v>
      </c>
      <c r="O35" s="479">
        <v>216599.63008771063</v>
      </c>
      <c r="P35" s="325">
        <f t="shared" si="25"/>
        <v>2.6020027056514922E-2</v>
      </c>
      <c r="Q35" s="479"/>
      <c r="R35" s="325">
        <f t="shared" si="6"/>
        <v>0</v>
      </c>
      <c r="S35" s="480">
        <f t="shared" si="7"/>
        <v>216599.63008771063</v>
      </c>
      <c r="T35" s="325">
        <f t="shared" si="26"/>
        <v>2.6020027056514922E-2</v>
      </c>
      <c r="U35" s="479">
        <v>968615.47729784832</v>
      </c>
      <c r="V35" s="325">
        <f t="shared" si="27"/>
        <v>0.11635939044052464</v>
      </c>
      <c r="W35" s="479">
        <v>97229.993593751249</v>
      </c>
      <c r="X35" s="325">
        <f t="shared" si="28"/>
        <v>1.1680200298540225E-2</v>
      </c>
      <c r="Y35" s="479">
        <v>649741.1913785201</v>
      </c>
      <c r="Z35" s="325">
        <f t="shared" si="30"/>
        <v>7.8053149825580231E-2</v>
      </c>
      <c r="AA35" s="479">
        <v>1207425.2819815527</v>
      </c>
      <c r="AB35" s="325">
        <f t="shared" si="12"/>
        <v>0.14504751690091969</v>
      </c>
      <c r="AC35" s="480">
        <f t="shared" si="31"/>
        <v>1857166.4733600728</v>
      </c>
      <c r="AD35" s="325">
        <f t="shared" si="32"/>
        <v>0.22310066672649992</v>
      </c>
      <c r="AE35" s="479">
        <v>1297826.6808317655</v>
      </c>
      <c r="AF35" s="325">
        <f t="shared" si="33"/>
        <v>0.15590740084013421</v>
      </c>
      <c r="AG35" s="479">
        <v>753145.31434979057</v>
      </c>
      <c r="AH35" s="325">
        <f t="shared" si="34"/>
        <v>9.0475045820407746E-2</v>
      </c>
      <c r="AI35" s="479">
        <v>1089677.2920187039</v>
      </c>
      <c r="AJ35" s="325">
        <f t="shared" si="35"/>
        <v>0.1309024978930714</v>
      </c>
      <c r="AK35" s="479">
        <v>725953.87125163223</v>
      </c>
      <c r="AL35" s="325">
        <f t="shared" si="29"/>
        <v>8.7208548620789916E-2</v>
      </c>
    </row>
    <row r="36" spans="2:38" ht="14.25">
      <c r="B36" s="98"/>
      <c r="C36" s="98"/>
      <c r="D36" s="279">
        <f t="shared" si="36"/>
        <v>46233</v>
      </c>
      <c r="E36" s="279" t="s">
        <v>391</v>
      </c>
      <c r="F36" s="225">
        <f t="shared" si="20"/>
        <v>7885992.0000000019</v>
      </c>
      <c r="G36" s="277"/>
      <c r="H36" s="297"/>
      <c r="I36" s="231">
        <v>552671.7833564399</v>
      </c>
      <c r="J36" s="101">
        <f t="shared" ref="J36" si="37">I36/F36</f>
        <v>7.0082721787752225E-2</v>
      </c>
      <c r="K36" s="231">
        <v>678790.14300753491</v>
      </c>
      <c r="L36" s="101">
        <f t="shared" ref="L36" si="38">K36/F36</f>
        <v>8.6075428811940816E-2</v>
      </c>
      <c r="M36" s="224">
        <f t="shared" ref="M36" si="39">SUM(I36+K36)</f>
        <v>1231461.9263639748</v>
      </c>
      <c r="N36" s="101">
        <f t="shared" ref="N36" si="40">M36/F36</f>
        <v>0.15615815059969304</v>
      </c>
      <c r="O36" s="231">
        <v>208171.90349129023</v>
      </c>
      <c r="P36" s="101">
        <f t="shared" ref="P36" si="41">O36/F36</f>
        <v>2.6397681292510845E-2</v>
      </c>
      <c r="Q36" s="231"/>
      <c r="R36" s="101">
        <f t="shared" ref="R36" si="42">Q36/$F36</f>
        <v>0</v>
      </c>
      <c r="S36" s="224">
        <f t="shared" ref="S36" si="43">SUM(O36+Q36)</f>
        <v>208171.90349129023</v>
      </c>
      <c r="T36" s="101">
        <f t="shared" ref="T36" si="44">S36/F36</f>
        <v>2.6397681292510845E-2</v>
      </c>
      <c r="U36" s="231">
        <v>899137.90517656144</v>
      </c>
      <c r="V36" s="101">
        <f t="shared" ref="V36" si="45">U36/F36</f>
        <v>0.11401709577901692</v>
      </c>
      <c r="W36" s="231">
        <v>93008.686002876071</v>
      </c>
      <c r="X36" s="101">
        <f t="shared" ref="X36" si="46">W36/F36</f>
        <v>1.1794164387039202E-2</v>
      </c>
      <c r="Y36" s="231">
        <v>618149.51097348158</v>
      </c>
      <c r="Z36" s="101">
        <f t="shared" ref="Z36" si="47">Y36/F36</f>
        <v>7.8385764400151742E-2</v>
      </c>
      <c r="AA36" s="231">
        <v>991952.74309342704</v>
      </c>
      <c r="AB36" s="101">
        <f t="shared" ref="AB36" si="48">AA36/$F36</f>
        <v>0.1257866788469259</v>
      </c>
      <c r="AC36" s="224">
        <f t="shared" ref="AC36" si="49">SUM(Y36+AA36)</f>
        <v>1610102.2540669087</v>
      </c>
      <c r="AD36" s="101">
        <f t="shared" ref="AD36" si="50">AC36/F36</f>
        <v>0.20417244324707765</v>
      </c>
      <c r="AE36" s="231">
        <v>1287578.8253542988</v>
      </c>
      <c r="AF36" s="101">
        <f t="shared" ref="AF36" si="51">AE36/F36</f>
        <v>0.16327417341461906</v>
      </c>
      <c r="AG36" s="231">
        <v>720441.31359132275</v>
      </c>
      <c r="AH36" s="101">
        <f t="shared" ref="AH36" si="52">AG36/F36</f>
        <v>9.1357094147612949E-2</v>
      </c>
      <c r="AI36" s="231">
        <v>1133233.8965380767</v>
      </c>
      <c r="AJ36" s="101">
        <f t="shared" ref="AJ36" si="53">AI36/F36</f>
        <v>0.14370213621039388</v>
      </c>
      <c r="AK36" s="231">
        <v>702855.28941469197</v>
      </c>
      <c r="AL36" s="101">
        <f t="shared" ref="AL36:AL41" si="54">AK36/F36</f>
        <v>8.9127060922036414E-2</v>
      </c>
    </row>
    <row r="37" spans="2:38" ht="14.25">
      <c r="B37" s="98"/>
      <c r="C37" s="98"/>
      <c r="D37" s="279">
        <f t="shared" si="36"/>
        <v>46234</v>
      </c>
      <c r="E37" s="279" t="s">
        <v>392</v>
      </c>
      <c r="F37" s="225">
        <f t="shared" si="20"/>
        <v>7084934.0000000019</v>
      </c>
      <c r="G37" s="277"/>
      <c r="H37" s="297"/>
      <c r="I37" s="231">
        <v>481892.84793548757</v>
      </c>
      <c r="J37" s="101">
        <f t="shared" ref="J37:J41" si="55">I37/F37</f>
        <v>6.8016561330774217E-2</v>
      </c>
      <c r="K37" s="231">
        <v>635062.51469062688</v>
      </c>
      <c r="L37" s="101">
        <f t="shared" ref="L37:L41" si="56">K37/F37</f>
        <v>8.9635628883857871E-2</v>
      </c>
      <c r="M37" s="224">
        <f t="shared" ref="M37:M41" si="57">SUM(I37+K37)</f>
        <v>1116955.3626261144</v>
      </c>
      <c r="N37" s="101">
        <f t="shared" ref="N37:N41" si="58">M37/F37</f>
        <v>0.15765219021463209</v>
      </c>
      <c r="O37" s="231">
        <v>179741.43536573189</v>
      </c>
      <c r="P37" s="101">
        <f t="shared" ref="P37:P41" si="59">O37/F37</f>
        <v>2.5369528546875925E-2</v>
      </c>
      <c r="Q37" s="231"/>
      <c r="R37" s="101">
        <f t="shared" ref="R37:R45" si="60">Q37/$F37</f>
        <v>0</v>
      </c>
      <c r="S37" s="224">
        <f t="shared" ref="S37:S45" si="61">SUM(O37+Q37)</f>
        <v>179741.43536573189</v>
      </c>
      <c r="T37" s="101">
        <f t="shared" ref="T37:T41" si="62">S37/F37</f>
        <v>2.5369528546875925E-2</v>
      </c>
      <c r="U37" s="231">
        <v>777229.11797457642</v>
      </c>
      <c r="V37" s="101">
        <f t="shared" ref="V37:V41" si="63">U37/F37</f>
        <v>0.10970167371701363</v>
      </c>
      <c r="W37" s="231">
        <v>68175.968689468849</v>
      </c>
      <c r="X37" s="101">
        <f t="shared" ref="X37:X41" si="64">W37/F37</f>
        <v>9.6226681419288914E-3</v>
      </c>
      <c r="Y37" s="231">
        <v>545390.29673808522</v>
      </c>
      <c r="Z37" s="101">
        <f t="shared" ref="Z37:Z41" si="65">Y37/F37</f>
        <v>7.6978881770540852E-2</v>
      </c>
      <c r="AA37" s="231">
        <v>961827.25912239193</v>
      </c>
      <c r="AB37" s="101">
        <f t="shared" ref="AB37:AB45" si="66">AA37/$F37</f>
        <v>0.13575669993854447</v>
      </c>
      <c r="AC37" s="224">
        <f t="shared" ref="AC37:AC41" si="67">SUM(Y37+AA37)</f>
        <v>1507217.555860477</v>
      </c>
      <c r="AD37" s="101">
        <f t="shared" ref="AD37:AD41" si="68">AC37/F37</f>
        <v>0.21273558170908533</v>
      </c>
      <c r="AE37" s="231">
        <v>1019223.9560060934</v>
      </c>
      <c r="AF37" s="101">
        <f t="shared" ref="AF37:AF41" si="69">AE37/F37</f>
        <v>0.14385793234010269</v>
      </c>
      <c r="AG37" s="231">
        <v>668505.42792191531</v>
      </c>
      <c r="AH37" s="101">
        <f t="shared" ref="AH37:AH41" si="70">AG37/F37</f>
        <v>9.4355914666518437E-2</v>
      </c>
      <c r="AI37" s="231">
        <v>1151947.3692613298</v>
      </c>
      <c r="AJ37" s="101">
        <f t="shared" ref="AJ37:AJ41" si="71">AI37/F37</f>
        <v>0.16259112212778967</v>
      </c>
      <c r="AK37" s="231">
        <v>595937.80629429407</v>
      </c>
      <c r="AL37" s="101">
        <f t="shared" si="54"/>
        <v>8.4113388536053255E-2</v>
      </c>
    </row>
    <row r="38" spans="2:38" ht="14.25">
      <c r="B38" s="98"/>
      <c r="C38" s="83"/>
      <c r="D38" s="351"/>
      <c r="E38" s="351"/>
      <c r="F38" s="225"/>
      <c r="G38" s="277"/>
      <c r="H38" s="97"/>
      <c r="I38" s="231"/>
      <c r="J38" s="101" t="e">
        <f t="shared" si="55"/>
        <v>#DIV/0!</v>
      </c>
      <c r="K38" s="231"/>
      <c r="L38" s="101" t="e">
        <f t="shared" si="56"/>
        <v>#DIV/0!</v>
      </c>
      <c r="M38" s="224">
        <f t="shared" si="57"/>
        <v>0</v>
      </c>
      <c r="N38" s="101" t="e">
        <f t="shared" si="58"/>
        <v>#DIV/0!</v>
      </c>
      <c r="O38" s="231"/>
      <c r="P38" s="101" t="e">
        <f t="shared" si="59"/>
        <v>#DIV/0!</v>
      </c>
      <c r="Q38" s="231"/>
      <c r="R38" s="101" t="e">
        <f t="shared" si="60"/>
        <v>#DIV/0!</v>
      </c>
      <c r="S38" s="224">
        <f t="shared" si="61"/>
        <v>0</v>
      </c>
      <c r="T38" s="101" t="e">
        <f t="shared" si="62"/>
        <v>#DIV/0!</v>
      </c>
      <c r="U38" s="231"/>
      <c r="V38" s="101" t="e">
        <f t="shared" si="63"/>
        <v>#DIV/0!</v>
      </c>
      <c r="W38" s="231"/>
      <c r="X38" s="101" t="e">
        <f t="shared" si="64"/>
        <v>#DIV/0!</v>
      </c>
      <c r="Y38" s="231"/>
      <c r="Z38" s="101" t="e">
        <f t="shared" si="65"/>
        <v>#DIV/0!</v>
      </c>
      <c r="AA38" s="231"/>
      <c r="AB38" s="101" t="e">
        <f t="shared" si="66"/>
        <v>#DIV/0!</v>
      </c>
      <c r="AC38" s="224">
        <f t="shared" si="67"/>
        <v>0</v>
      </c>
      <c r="AD38" s="101" t="e">
        <f t="shared" si="68"/>
        <v>#DIV/0!</v>
      </c>
      <c r="AE38" s="231"/>
      <c r="AF38" s="101" t="e">
        <f t="shared" si="69"/>
        <v>#DIV/0!</v>
      </c>
      <c r="AG38" s="231"/>
      <c r="AH38" s="101" t="e">
        <f t="shared" si="70"/>
        <v>#DIV/0!</v>
      </c>
      <c r="AI38" s="231"/>
      <c r="AJ38" s="101" t="e">
        <f t="shared" si="71"/>
        <v>#DIV/0!</v>
      </c>
      <c r="AK38" s="231"/>
      <c r="AL38" s="101" t="e">
        <f t="shared" si="54"/>
        <v>#DIV/0!</v>
      </c>
    </row>
    <row r="39" spans="2:38" ht="14.25">
      <c r="B39" s="98"/>
      <c r="C39" s="83"/>
      <c r="D39" s="349"/>
      <c r="E39" s="349"/>
      <c r="F39" s="225"/>
      <c r="G39" s="277"/>
      <c r="H39" s="97"/>
      <c r="I39" s="231"/>
      <c r="J39" s="101" t="e">
        <f t="shared" si="55"/>
        <v>#DIV/0!</v>
      </c>
      <c r="K39" s="231"/>
      <c r="L39" s="101" t="e">
        <f t="shared" si="56"/>
        <v>#DIV/0!</v>
      </c>
      <c r="M39" s="224">
        <f t="shared" si="57"/>
        <v>0</v>
      </c>
      <c r="N39" s="101" t="e">
        <f t="shared" si="58"/>
        <v>#DIV/0!</v>
      </c>
      <c r="O39" s="231"/>
      <c r="P39" s="101" t="e">
        <f t="shared" si="59"/>
        <v>#DIV/0!</v>
      </c>
      <c r="Q39" s="231"/>
      <c r="R39" s="101" t="e">
        <f t="shared" si="60"/>
        <v>#DIV/0!</v>
      </c>
      <c r="S39" s="224">
        <f t="shared" si="61"/>
        <v>0</v>
      </c>
      <c r="T39" s="101" t="e">
        <f t="shared" si="62"/>
        <v>#DIV/0!</v>
      </c>
      <c r="U39" s="231"/>
      <c r="V39" s="101" t="e">
        <f t="shared" si="63"/>
        <v>#DIV/0!</v>
      </c>
      <c r="W39" s="231"/>
      <c r="X39" s="101" t="e">
        <f t="shared" si="64"/>
        <v>#DIV/0!</v>
      </c>
      <c r="Y39" s="231"/>
      <c r="Z39" s="101" t="e">
        <f t="shared" si="65"/>
        <v>#DIV/0!</v>
      </c>
      <c r="AA39" s="231"/>
      <c r="AB39" s="101" t="e">
        <f t="shared" si="66"/>
        <v>#DIV/0!</v>
      </c>
      <c r="AC39" s="224">
        <f t="shared" si="67"/>
        <v>0</v>
      </c>
      <c r="AD39" s="101" t="e">
        <f t="shared" si="68"/>
        <v>#DIV/0!</v>
      </c>
      <c r="AE39" s="231"/>
      <c r="AF39" s="101" t="e">
        <f t="shared" si="69"/>
        <v>#DIV/0!</v>
      </c>
      <c r="AG39" s="231"/>
      <c r="AH39" s="101" t="e">
        <f t="shared" si="70"/>
        <v>#DIV/0!</v>
      </c>
      <c r="AI39" s="231"/>
      <c r="AJ39" s="101" t="e">
        <f t="shared" si="71"/>
        <v>#DIV/0!</v>
      </c>
      <c r="AK39" s="231"/>
      <c r="AL39" s="101" t="e">
        <f t="shared" si="54"/>
        <v>#DIV/0!</v>
      </c>
    </row>
    <row r="40" spans="2:38" ht="14.25">
      <c r="B40" s="98"/>
      <c r="C40" s="83"/>
      <c r="D40" s="349"/>
      <c r="E40" s="349"/>
      <c r="F40" s="225"/>
      <c r="G40" s="277"/>
      <c r="H40" s="97"/>
      <c r="I40" s="231"/>
      <c r="J40" s="101" t="e">
        <f t="shared" si="55"/>
        <v>#DIV/0!</v>
      </c>
      <c r="K40" s="231"/>
      <c r="L40" s="101" t="e">
        <f t="shared" si="56"/>
        <v>#DIV/0!</v>
      </c>
      <c r="M40" s="224">
        <f t="shared" si="57"/>
        <v>0</v>
      </c>
      <c r="N40" s="101" t="e">
        <f t="shared" si="58"/>
        <v>#DIV/0!</v>
      </c>
      <c r="O40" s="231"/>
      <c r="P40" s="101" t="e">
        <f t="shared" si="59"/>
        <v>#DIV/0!</v>
      </c>
      <c r="Q40" s="231"/>
      <c r="R40" s="101" t="e">
        <f t="shared" si="60"/>
        <v>#DIV/0!</v>
      </c>
      <c r="S40" s="224">
        <f t="shared" si="61"/>
        <v>0</v>
      </c>
      <c r="T40" s="101" t="e">
        <f t="shared" si="62"/>
        <v>#DIV/0!</v>
      </c>
      <c r="U40" s="231"/>
      <c r="V40" s="101" t="e">
        <f t="shared" si="63"/>
        <v>#DIV/0!</v>
      </c>
      <c r="W40" s="231"/>
      <c r="X40" s="101" t="e">
        <f t="shared" si="64"/>
        <v>#DIV/0!</v>
      </c>
      <c r="Y40" s="231"/>
      <c r="Z40" s="101" t="e">
        <f t="shared" si="65"/>
        <v>#DIV/0!</v>
      </c>
      <c r="AA40" s="231"/>
      <c r="AB40" s="101" t="e">
        <f t="shared" si="66"/>
        <v>#DIV/0!</v>
      </c>
      <c r="AC40" s="224">
        <f t="shared" si="67"/>
        <v>0</v>
      </c>
      <c r="AD40" s="101" t="e">
        <f t="shared" si="68"/>
        <v>#DIV/0!</v>
      </c>
      <c r="AE40" s="231"/>
      <c r="AF40" s="101" t="e">
        <f t="shared" si="69"/>
        <v>#DIV/0!</v>
      </c>
      <c r="AG40" s="231"/>
      <c r="AH40" s="101" t="e">
        <f t="shared" si="70"/>
        <v>#DIV/0!</v>
      </c>
      <c r="AI40" s="231"/>
      <c r="AJ40" s="101" t="e">
        <f t="shared" si="71"/>
        <v>#DIV/0!</v>
      </c>
      <c r="AK40" s="231"/>
      <c r="AL40" s="101" t="e">
        <f t="shared" si="54"/>
        <v>#DIV/0!</v>
      </c>
    </row>
    <row r="41" spans="2:38" ht="14.25">
      <c r="B41" s="98"/>
      <c r="C41" s="83"/>
      <c r="D41" s="349"/>
      <c r="E41" s="349"/>
      <c r="F41" s="225"/>
      <c r="G41" s="277"/>
      <c r="H41" s="97"/>
      <c r="I41" s="231"/>
      <c r="J41" s="101" t="e">
        <f t="shared" si="55"/>
        <v>#DIV/0!</v>
      </c>
      <c r="K41" s="231"/>
      <c r="L41" s="101" t="e">
        <f t="shared" si="56"/>
        <v>#DIV/0!</v>
      </c>
      <c r="M41" s="224">
        <f t="shared" si="57"/>
        <v>0</v>
      </c>
      <c r="N41" s="101" t="e">
        <f t="shared" si="58"/>
        <v>#DIV/0!</v>
      </c>
      <c r="O41" s="231"/>
      <c r="P41" s="101" t="e">
        <f t="shared" si="59"/>
        <v>#DIV/0!</v>
      </c>
      <c r="Q41" s="231"/>
      <c r="R41" s="101" t="e">
        <f t="shared" si="60"/>
        <v>#DIV/0!</v>
      </c>
      <c r="S41" s="224">
        <f t="shared" si="61"/>
        <v>0</v>
      </c>
      <c r="T41" s="101" t="e">
        <f t="shared" si="62"/>
        <v>#DIV/0!</v>
      </c>
      <c r="U41" s="231"/>
      <c r="V41" s="101" t="e">
        <f t="shared" si="63"/>
        <v>#DIV/0!</v>
      </c>
      <c r="W41" s="231"/>
      <c r="X41" s="101" t="e">
        <f t="shared" si="64"/>
        <v>#DIV/0!</v>
      </c>
      <c r="Y41" s="231"/>
      <c r="Z41" s="101" t="e">
        <f t="shared" si="65"/>
        <v>#DIV/0!</v>
      </c>
      <c r="AA41" s="231"/>
      <c r="AB41" s="101" t="e">
        <f t="shared" si="66"/>
        <v>#DIV/0!</v>
      </c>
      <c r="AC41" s="224">
        <f t="shared" si="67"/>
        <v>0</v>
      </c>
      <c r="AD41" s="101" t="e">
        <f t="shared" si="68"/>
        <v>#DIV/0!</v>
      </c>
      <c r="AE41" s="231"/>
      <c r="AF41" s="101" t="e">
        <f t="shared" si="69"/>
        <v>#DIV/0!</v>
      </c>
      <c r="AG41" s="231"/>
      <c r="AH41" s="101" t="e">
        <f t="shared" si="70"/>
        <v>#DIV/0!</v>
      </c>
      <c r="AI41" s="231"/>
      <c r="AJ41" s="101" t="e">
        <f t="shared" si="71"/>
        <v>#DIV/0!</v>
      </c>
      <c r="AK41" s="231"/>
      <c r="AL41" s="101" t="e">
        <f t="shared" si="54"/>
        <v>#DIV/0!</v>
      </c>
    </row>
    <row r="42" spans="2:38" ht="14.25">
      <c r="B42" s="98"/>
      <c r="C42" s="83"/>
      <c r="D42" s="86"/>
      <c r="E42" s="86"/>
      <c r="F42" s="225"/>
      <c r="G42" s="277"/>
      <c r="H42" s="97"/>
      <c r="I42" s="231"/>
      <c r="J42" s="101" t="e">
        <f>I42/F42</f>
        <v>#DIV/0!</v>
      </c>
      <c r="K42" s="231"/>
      <c r="L42" s="101" t="e">
        <f>K42/F42</f>
        <v>#DIV/0!</v>
      </c>
      <c r="M42" s="224">
        <f>SUM(I42+K42)</f>
        <v>0</v>
      </c>
      <c r="N42" s="101" t="e">
        <f>M42/F42</f>
        <v>#DIV/0!</v>
      </c>
      <c r="O42" s="231"/>
      <c r="P42" s="101" t="e">
        <f>O42/F42</f>
        <v>#DIV/0!</v>
      </c>
      <c r="Q42" s="231"/>
      <c r="R42" s="101" t="e">
        <f t="shared" si="60"/>
        <v>#DIV/0!</v>
      </c>
      <c r="S42" s="224">
        <f t="shared" si="61"/>
        <v>0</v>
      </c>
      <c r="T42" s="101" t="e">
        <f>S42/F42</f>
        <v>#DIV/0!</v>
      </c>
      <c r="U42" s="231"/>
      <c r="V42" s="101" t="e">
        <f>U42/F42</f>
        <v>#DIV/0!</v>
      </c>
      <c r="W42" s="231"/>
      <c r="X42" s="101" t="e">
        <f>W42/F42</f>
        <v>#DIV/0!</v>
      </c>
      <c r="Y42" s="231"/>
      <c r="Z42" s="101" t="e">
        <f>Y42/F42</f>
        <v>#DIV/0!</v>
      </c>
      <c r="AA42" s="231"/>
      <c r="AB42" s="101" t="e">
        <f t="shared" si="66"/>
        <v>#DIV/0!</v>
      </c>
      <c r="AC42" s="224">
        <f>SUM(Y42+AA42)</f>
        <v>0</v>
      </c>
      <c r="AD42" s="101" t="e">
        <f>AC42/F42</f>
        <v>#DIV/0!</v>
      </c>
      <c r="AE42" s="231"/>
      <c r="AF42" s="101" t="e">
        <f>AE42/F42</f>
        <v>#DIV/0!</v>
      </c>
      <c r="AG42" s="231"/>
      <c r="AH42" s="101" t="e">
        <f>AG42/F42</f>
        <v>#DIV/0!</v>
      </c>
      <c r="AI42" s="231"/>
      <c r="AJ42" s="101" t="e">
        <f>AI42/F42</f>
        <v>#DIV/0!</v>
      </c>
      <c r="AK42" s="231"/>
      <c r="AL42" s="101" t="e">
        <f>AK42/F42</f>
        <v>#DIV/0!</v>
      </c>
    </row>
    <row r="43" spans="2:38" ht="14.25">
      <c r="B43" s="98"/>
      <c r="C43" s="83"/>
      <c r="D43" s="86"/>
      <c r="E43" s="86"/>
      <c r="F43" s="225"/>
      <c r="G43" s="225"/>
      <c r="H43" s="97"/>
      <c r="I43" s="231"/>
      <c r="J43" s="101" t="e">
        <f>I43/F43</f>
        <v>#DIV/0!</v>
      </c>
      <c r="K43" s="231"/>
      <c r="L43" s="101" t="e">
        <f>K43/F43</f>
        <v>#DIV/0!</v>
      </c>
      <c r="M43" s="224">
        <f>SUM(I43+K43)</f>
        <v>0</v>
      </c>
      <c r="N43" s="101" t="e">
        <f>M43/F43</f>
        <v>#DIV/0!</v>
      </c>
      <c r="O43" s="231"/>
      <c r="P43" s="101" t="e">
        <f>O43/F43</f>
        <v>#DIV/0!</v>
      </c>
      <c r="Q43" s="231"/>
      <c r="R43" s="101" t="e">
        <f t="shared" si="60"/>
        <v>#DIV/0!</v>
      </c>
      <c r="S43" s="224">
        <f t="shared" si="61"/>
        <v>0</v>
      </c>
      <c r="T43" s="101" t="e">
        <f>S43/F43</f>
        <v>#DIV/0!</v>
      </c>
      <c r="U43" s="231"/>
      <c r="V43" s="101" t="e">
        <f>U43/F43</f>
        <v>#DIV/0!</v>
      </c>
      <c r="W43" s="231"/>
      <c r="X43" s="101" t="e">
        <f>W43/F43</f>
        <v>#DIV/0!</v>
      </c>
      <c r="Y43" s="231"/>
      <c r="Z43" s="101" t="e">
        <f>Y43/F43</f>
        <v>#DIV/0!</v>
      </c>
      <c r="AA43" s="231"/>
      <c r="AB43" s="101" t="e">
        <f t="shared" si="66"/>
        <v>#DIV/0!</v>
      </c>
      <c r="AC43" s="224">
        <f>SUM(Y43+AA43)</f>
        <v>0</v>
      </c>
      <c r="AD43" s="101" t="e">
        <f>AC43/F43</f>
        <v>#DIV/0!</v>
      </c>
      <c r="AE43" s="231"/>
      <c r="AF43" s="101" t="e">
        <f>AE43/F43</f>
        <v>#DIV/0!</v>
      </c>
      <c r="AG43" s="231"/>
      <c r="AH43" s="101" t="e">
        <f>AG43/F43</f>
        <v>#DIV/0!</v>
      </c>
      <c r="AI43" s="231"/>
      <c r="AJ43" s="101" t="e">
        <f>AI43/F43</f>
        <v>#DIV/0!</v>
      </c>
      <c r="AK43" s="231"/>
      <c r="AL43" s="101" t="e">
        <f>AK43/F43</f>
        <v>#DIV/0!</v>
      </c>
    </row>
    <row r="44" spans="2:38" ht="14.25">
      <c r="B44" s="98"/>
      <c r="C44" s="83"/>
      <c r="D44" s="86"/>
      <c r="E44" s="86"/>
      <c r="F44" s="225"/>
      <c r="G44" s="225"/>
      <c r="H44" s="97"/>
      <c r="I44" s="231"/>
      <c r="J44" s="101" t="e">
        <f>I44/F44</f>
        <v>#DIV/0!</v>
      </c>
      <c r="K44" s="231"/>
      <c r="L44" s="101" t="e">
        <f>K44/F44</f>
        <v>#DIV/0!</v>
      </c>
      <c r="M44" s="224">
        <f>SUM(I44+K44)</f>
        <v>0</v>
      </c>
      <c r="N44" s="101" t="e">
        <f>M44/F44</f>
        <v>#DIV/0!</v>
      </c>
      <c r="O44" s="231"/>
      <c r="P44" s="101" t="e">
        <f>O44/F44</f>
        <v>#DIV/0!</v>
      </c>
      <c r="Q44" s="231"/>
      <c r="R44" s="101" t="e">
        <f t="shared" si="60"/>
        <v>#DIV/0!</v>
      </c>
      <c r="S44" s="224">
        <f t="shared" si="61"/>
        <v>0</v>
      </c>
      <c r="T44" s="101" t="e">
        <f>S44/F44</f>
        <v>#DIV/0!</v>
      </c>
      <c r="U44" s="231"/>
      <c r="V44" s="101" t="e">
        <f>U44/F44</f>
        <v>#DIV/0!</v>
      </c>
      <c r="W44" s="231"/>
      <c r="X44" s="101" t="e">
        <f>W44/F44</f>
        <v>#DIV/0!</v>
      </c>
      <c r="Y44" s="231"/>
      <c r="Z44" s="101" t="e">
        <f>Y44/F44</f>
        <v>#DIV/0!</v>
      </c>
      <c r="AA44" s="231"/>
      <c r="AB44" s="101" t="e">
        <f t="shared" si="66"/>
        <v>#DIV/0!</v>
      </c>
      <c r="AC44" s="224">
        <f>SUM(Y44+AA44)</f>
        <v>0</v>
      </c>
      <c r="AD44" s="101" t="e">
        <f>AC44/F44</f>
        <v>#DIV/0!</v>
      </c>
      <c r="AE44" s="231"/>
      <c r="AF44" s="101" t="e">
        <f>AE44/F44</f>
        <v>#DIV/0!</v>
      </c>
      <c r="AG44" s="231"/>
      <c r="AH44" s="101" t="e">
        <f>AG44/F44</f>
        <v>#DIV/0!</v>
      </c>
      <c r="AI44" s="231"/>
      <c r="AJ44" s="101" t="e">
        <f>AI44/F44</f>
        <v>#DIV/0!</v>
      </c>
      <c r="AK44" s="231"/>
      <c r="AL44" s="101" t="e">
        <f>AK44/F44</f>
        <v>#DIV/0!</v>
      </c>
    </row>
    <row r="45" spans="2:38" ht="14.25">
      <c r="B45" s="98"/>
      <c r="C45" s="83"/>
      <c r="D45" s="86"/>
      <c r="E45" s="86"/>
      <c r="F45" s="225"/>
      <c r="G45" s="225"/>
      <c r="H45" s="97"/>
      <c r="I45" s="231"/>
      <c r="J45" s="101" t="e">
        <f>I45/F45</f>
        <v>#DIV/0!</v>
      </c>
      <c r="K45" s="231"/>
      <c r="L45" s="101" t="e">
        <f>K45/F45</f>
        <v>#DIV/0!</v>
      </c>
      <c r="M45" s="224">
        <f>SUM(I45+K45)</f>
        <v>0</v>
      </c>
      <c r="N45" s="101" t="e">
        <f>M45/F45</f>
        <v>#DIV/0!</v>
      </c>
      <c r="O45" s="231"/>
      <c r="P45" s="101" t="e">
        <f>O45/F45</f>
        <v>#DIV/0!</v>
      </c>
      <c r="Q45" s="231"/>
      <c r="R45" s="101" t="e">
        <f t="shared" si="60"/>
        <v>#DIV/0!</v>
      </c>
      <c r="S45" s="224">
        <f t="shared" si="61"/>
        <v>0</v>
      </c>
      <c r="T45" s="101" t="e">
        <f>S45/F45</f>
        <v>#DIV/0!</v>
      </c>
      <c r="U45" s="231"/>
      <c r="V45" s="101" t="e">
        <f>U45/F45</f>
        <v>#DIV/0!</v>
      </c>
      <c r="W45" s="231"/>
      <c r="X45" s="101" t="e">
        <f>W45/F45</f>
        <v>#DIV/0!</v>
      </c>
      <c r="Y45" s="231"/>
      <c r="Z45" s="101" t="e">
        <f>Y45/F45</f>
        <v>#DIV/0!</v>
      </c>
      <c r="AA45" s="231"/>
      <c r="AB45" s="101" t="e">
        <f t="shared" si="66"/>
        <v>#DIV/0!</v>
      </c>
      <c r="AC45" s="224">
        <f>SUM(Y45+AA45)</f>
        <v>0</v>
      </c>
      <c r="AD45" s="101" t="e">
        <f>AC45/F45</f>
        <v>#DIV/0!</v>
      </c>
      <c r="AE45" s="231"/>
      <c r="AF45" s="101" t="e">
        <f>AE45/F45</f>
        <v>#DIV/0!</v>
      </c>
      <c r="AG45" s="231"/>
      <c r="AH45" s="101" t="e">
        <f>AG45/F45</f>
        <v>#DIV/0!</v>
      </c>
      <c r="AI45" s="231"/>
      <c r="AJ45" s="101" t="e">
        <f>AI45/F45</f>
        <v>#DIV/0!</v>
      </c>
      <c r="AK45" s="231"/>
      <c r="AL45" s="101" t="e">
        <f>AK45/F45</f>
        <v>#DIV/0!</v>
      </c>
    </row>
    <row r="46" spans="2:38" ht="14.25">
      <c r="B46" s="98"/>
      <c r="C46" s="83"/>
      <c r="D46" s="84"/>
      <c r="F46" s="97"/>
      <c r="G46" s="97"/>
      <c r="H46" s="97"/>
      <c r="I46" s="265">
        <f>SUM(I7:I45)</f>
        <v>17316600.040294111</v>
      </c>
      <c r="J46" s="261">
        <f>I46/$H$7</f>
        <v>6.5661752240212964E-2</v>
      </c>
      <c r="K46" s="265">
        <f>SUM(K7:K45)</f>
        <v>23973853.486358184</v>
      </c>
      <c r="L46" s="261">
        <f>K46/$H$7</f>
        <v>9.0904982744966195E-2</v>
      </c>
      <c r="M46" s="265">
        <f>SUM(M7:M45)</f>
        <v>41290453.526652299</v>
      </c>
      <c r="N46" s="261">
        <f>M46/$H$7</f>
        <v>0.15656673498517917</v>
      </c>
      <c r="O46" s="265">
        <f>SUM(O7:O45)</f>
        <v>5040458.7881481936</v>
      </c>
      <c r="P46" s="261">
        <f>O46/$H$7</f>
        <v>1.9112606132512464E-2</v>
      </c>
      <c r="Q46" s="265">
        <f>SUM(Q7:Q45)</f>
        <v>0</v>
      </c>
      <c r="R46" s="261">
        <f>Q46/$H$7</f>
        <v>0</v>
      </c>
      <c r="S46" s="265">
        <f>SUM(S7:S45)</f>
        <v>5040458.7881481936</v>
      </c>
      <c r="T46" s="261">
        <f>S46/$H$7</f>
        <v>1.9112606132512464E-2</v>
      </c>
      <c r="U46" s="265">
        <f>SUM(U7:U45)</f>
        <v>28134506.449678309</v>
      </c>
      <c r="V46" s="261">
        <f>U46/$H$7</f>
        <v>0.10668150720122972</v>
      </c>
      <c r="W46" s="265">
        <f>SUM(W7:W45)</f>
        <v>3984301.709401818</v>
      </c>
      <c r="X46" s="261">
        <f>W46/$H$7</f>
        <v>1.5107828966670284E-2</v>
      </c>
      <c r="Y46" s="265">
        <f>SUM(Y7:Y45)</f>
        <v>20387438.707740575</v>
      </c>
      <c r="Z46" s="261">
        <f>Y46/$H$7</f>
        <v>7.7305876795977141E-2</v>
      </c>
      <c r="AA46" s="265">
        <f>SUM(AA7:AA45)</f>
        <v>35897680.735928759</v>
      </c>
      <c r="AB46" s="261">
        <f>AA46/$H$7</f>
        <v>0.13611821102272142</v>
      </c>
      <c r="AC46" s="265">
        <f>SUM(AC7:AC45)</f>
        <v>56285119.443669327</v>
      </c>
      <c r="AD46" s="261">
        <f>AC46/$H$7</f>
        <v>0.21342408781869854</v>
      </c>
      <c r="AE46" s="265">
        <f>SUM(AE7:AE45)</f>
        <v>42995922.130518146</v>
      </c>
      <c r="AF46" s="261">
        <f>AE46/$H$7</f>
        <v>0.16303359664739489</v>
      </c>
      <c r="AG46" s="265">
        <f>SUM(AG7:AG45)</f>
        <v>22151652.559733029</v>
      </c>
      <c r="AH46" s="261">
        <f>AG46/$H$7</f>
        <v>8.3995490956882177E-2</v>
      </c>
      <c r="AI46" s="265">
        <f>SUM(AI7:AI45)</f>
        <v>41622925.999403626</v>
      </c>
      <c r="AJ46" s="261">
        <f>AI46/$H$7</f>
        <v>0.15782741693669913</v>
      </c>
      <c r="AK46" s="265">
        <f>SUM(AK7:AK45)</f>
        <v>22218965.392795287</v>
      </c>
      <c r="AL46" s="261">
        <f>AK46/$H$7</f>
        <v>8.4250730354733724E-2</v>
      </c>
    </row>
    <row r="47" spans="2:38" ht="14.25">
      <c r="B47" s="98"/>
      <c r="C47" s="83"/>
      <c r="D47" s="84"/>
      <c r="F47" s="97"/>
      <c r="G47" s="97"/>
      <c r="H47" s="97"/>
      <c r="I47" s="262"/>
      <c r="J47" s="263"/>
      <c r="K47" s="262"/>
      <c r="L47" s="263"/>
      <c r="M47" s="264">
        <f>M46</f>
        <v>41290453.526652299</v>
      </c>
      <c r="N47" s="263"/>
      <c r="O47" s="262"/>
      <c r="P47" s="263"/>
      <c r="Q47" s="262"/>
      <c r="R47" s="263"/>
      <c r="S47" s="264">
        <f>S46</f>
        <v>5040458.7881481936</v>
      </c>
      <c r="T47" s="263"/>
      <c r="U47" s="264">
        <f>U46</f>
        <v>28134506.449678309</v>
      </c>
      <c r="V47" s="263"/>
      <c r="W47" s="264">
        <f>W46</f>
        <v>3984301.709401818</v>
      </c>
      <c r="X47" s="263"/>
      <c r="Y47" s="262"/>
      <c r="Z47" s="263"/>
      <c r="AA47" s="262"/>
      <c r="AB47" s="263"/>
      <c r="AC47" s="264">
        <f>AC46</f>
        <v>56285119.443669327</v>
      </c>
      <c r="AD47" s="263"/>
      <c r="AE47" s="264">
        <f>AE46</f>
        <v>42995922.130518146</v>
      </c>
      <c r="AF47" s="263"/>
      <c r="AG47" s="264">
        <f>AG46</f>
        <v>22151652.559733029</v>
      </c>
      <c r="AH47" s="263"/>
      <c r="AI47" s="264">
        <f>AI46</f>
        <v>41622925.999403626</v>
      </c>
      <c r="AJ47" s="263"/>
      <c r="AK47" s="264">
        <f>AK46</f>
        <v>22218965.392795287</v>
      </c>
      <c r="AL47" s="263"/>
    </row>
    <row r="48" spans="2:38" ht="14.25">
      <c r="B48" s="98"/>
      <c r="C48" s="83"/>
      <c r="D48" s="84"/>
      <c r="F48" s="97"/>
      <c r="G48" s="97"/>
      <c r="H48" s="97"/>
    </row>
    <row r="49" spans="1:46" ht="14.25">
      <c r="B49" s="98"/>
      <c r="C49" s="83"/>
      <c r="D49" s="84"/>
      <c r="F49" s="97"/>
      <c r="G49" s="97"/>
      <c r="H49" s="97"/>
    </row>
    <row r="50" spans="1:46" s="84" customFormat="1" ht="14.25">
      <c r="A50" s="77"/>
      <c r="B50" s="98"/>
      <c r="C50" s="83"/>
      <c r="F50" s="102"/>
      <c r="G50" s="102"/>
      <c r="H50" s="102"/>
      <c r="I50" s="97"/>
      <c r="J50" s="90"/>
      <c r="K50" s="97"/>
      <c r="L50" s="90"/>
      <c r="M50" s="90"/>
      <c r="N50" s="90"/>
      <c r="O50" s="97"/>
      <c r="P50" s="90"/>
      <c r="Q50" s="97"/>
      <c r="R50" s="90"/>
      <c r="S50" s="97"/>
      <c r="T50" s="90"/>
      <c r="U50" s="97"/>
      <c r="V50" s="90"/>
      <c r="W50" s="97"/>
      <c r="X50" s="90"/>
      <c r="Y50" s="97"/>
      <c r="Z50" s="90"/>
      <c r="AA50" s="97"/>
      <c r="AB50" s="90"/>
      <c r="AC50" s="97"/>
      <c r="AD50" s="90"/>
      <c r="AE50" s="97"/>
      <c r="AF50" s="90"/>
      <c r="AG50" s="97"/>
      <c r="AH50" s="90"/>
      <c r="AI50" s="97"/>
      <c r="AJ50" s="90"/>
      <c r="AK50" s="97"/>
      <c r="AL50" s="90"/>
      <c r="AM50" s="77"/>
      <c r="AN50" s="77"/>
      <c r="AO50" s="77"/>
      <c r="AP50" s="77"/>
      <c r="AQ50" s="77"/>
      <c r="AR50" s="77"/>
      <c r="AS50" s="77"/>
      <c r="AT50" s="77"/>
    </row>
    <row r="51" spans="1:46" s="84" customFormat="1" ht="14.25">
      <c r="A51" s="77"/>
      <c r="B51" s="98"/>
      <c r="C51" s="83"/>
      <c r="F51" s="102"/>
      <c r="G51" s="102"/>
      <c r="H51" s="102"/>
      <c r="I51" s="97"/>
      <c r="J51" s="90"/>
      <c r="K51" s="97"/>
      <c r="L51" s="90"/>
      <c r="M51" s="90"/>
      <c r="N51" s="90"/>
      <c r="O51" s="97"/>
      <c r="P51" s="90"/>
      <c r="Q51" s="97"/>
      <c r="R51" s="90"/>
      <c r="S51" s="97"/>
      <c r="T51" s="90"/>
      <c r="U51" s="97"/>
      <c r="V51" s="90"/>
      <c r="W51" s="97"/>
      <c r="X51" s="90"/>
      <c r="Y51" s="97"/>
      <c r="Z51" s="90"/>
      <c r="AA51" s="97"/>
      <c r="AB51" s="90"/>
      <c r="AC51" s="97"/>
      <c r="AD51" s="90"/>
      <c r="AE51" s="97"/>
      <c r="AF51" s="90"/>
      <c r="AG51" s="97"/>
      <c r="AH51" s="90"/>
      <c r="AI51" s="97"/>
      <c r="AJ51" s="90"/>
      <c r="AK51" s="97"/>
      <c r="AL51" s="90"/>
      <c r="AM51" s="77"/>
      <c r="AN51" s="77"/>
      <c r="AO51" s="77"/>
      <c r="AP51" s="77"/>
      <c r="AQ51" s="77"/>
      <c r="AR51" s="77"/>
      <c r="AS51" s="77"/>
      <c r="AT51" s="77"/>
    </row>
    <row r="52" spans="1:46" s="84" customFormat="1" ht="14.25">
      <c r="A52" s="77"/>
      <c r="B52" s="98"/>
      <c r="C52" s="83"/>
      <c r="F52" s="102"/>
      <c r="G52" s="102"/>
      <c r="H52" s="102"/>
      <c r="I52" s="97"/>
      <c r="J52" s="90"/>
      <c r="K52" s="97"/>
      <c r="L52" s="90"/>
      <c r="M52" s="90"/>
      <c r="N52" s="90"/>
      <c r="O52" s="97"/>
      <c r="P52" s="90"/>
      <c r="Q52" s="97"/>
      <c r="R52" s="90"/>
      <c r="S52" s="97"/>
      <c r="T52" s="90"/>
      <c r="U52" s="97"/>
      <c r="V52" s="90"/>
      <c r="W52" s="97"/>
      <c r="X52" s="90"/>
      <c r="Y52" s="97"/>
      <c r="Z52" s="90"/>
      <c r="AA52" s="97"/>
      <c r="AB52" s="90"/>
      <c r="AC52" s="97"/>
      <c r="AD52" s="90"/>
      <c r="AE52" s="97"/>
      <c r="AF52" s="90"/>
      <c r="AG52" s="97"/>
      <c r="AH52" s="90"/>
      <c r="AI52" s="97"/>
      <c r="AJ52" s="90"/>
      <c r="AK52" s="97"/>
      <c r="AL52" s="90"/>
      <c r="AM52" s="77"/>
      <c r="AN52" s="77"/>
      <c r="AO52" s="77"/>
      <c r="AP52" s="77"/>
      <c r="AQ52" s="77"/>
      <c r="AR52" s="77"/>
      <c r="AS52" s="77"/>
      <c r="AT52" s="77"/>
    </row>
    <row r="53" spans="1:46" s="84" customFormat="1" ht="14.25">
      <c r="A53" s="77"/>
      <c r="B53" s="98"/>
      <c r="C53" s="83"/>
      <c r="F53" s="102"/>
      <c r="G53" s="102"/>
      <c r="H53" s="102"/>
      <c r="I53" s="97"/>
      <c r="J53" s="90"/>
      <c r="K53" s="97"/>
      <c r="L53" s="90"/>
      <c r="M53" s="90"/>
      <c r="N53" s="90"/>
      <c r="O53" s="97"/>
      <c r="P53" s="90"/>
      <c r="Q53" s="97"/>
      <c r="R53" s="90"/>
      <c r="S53" s="97"/>
      <c r="T53" s="90"/>
      <c r="U53" s="97"/>
      <c r="V53" s="90"/>
      <c r="W53" s="97"/>
      <c r="X53" s="90"/>
      <c r="Y53" s="97"/>
      <c r="Z53" s="90"/>
      <c r="AA53" s="97"/>
      <c r="AB53" s="90"/>
      <c r="AC53" s="97"/>
      <c r="AD53" s="90"/>
      <c r="AE53" s="97"/>
      <c r="AF53" s="90"/>
      <c r="AG53" s="97"/>
      <c r="AH53" s="90"/>
      <c r="AI53" s="97"/>
      <c r="AJ53" s="90"/>
      <c r="AK53" s="97"/>
      <c r="AL53" s="90"/>
      <c r="AM53" s="77"/>
      <c r="AN53" s="77"/>
      <c r="AO53" s="77"/>
      <c r="AP53" s="77"/>
      <c r="AQ53" s="77"/>
      <c r="AR53" s="77"/>
      <c r="AS53" s="77"/>
      <c r="AT53" s="77"/>
    </row>
    <row r="54" spans="1:46" s="84" customFormat="1" ht="14.25">
      <c r="A54" s="77"/>
      <c r="B54" s="98"/>
      <c r="C54" s="83"/>
      <c r="F54" s="102"/>
      <c r="G54" s="102"/>
      <c r="H54" s="102"/>
      <c r="I54" s="97"/>
      <c r="J54" s="90"/>
      <c r="K54" s="97"/>
      <c r="L54" s="90"/>
      <c r="M54" s="90"/>
      <c r="N54" s="90"/>
      <c r="O54" s="97"/>
      <c r="P54" s="90"/>
      <c r="Q54" s="97"/>
      <c r="R54" s="90"/>
      <c r="S54" s="97"/>
      <c r="T54" s="90"/>
      <c r="U54" s="97"/>
      <c r="V54" s="90"/>
      <c r="W54" s="97"/>
      <c r="X54" s="90"/>
      <c r="Y54" s="97"/>
      <c r="Z54" s="90"/>
      <c r="AA54" s="97"/>
      <c r="AB54" s="90"/>
      <c r="AC54" s="97"/>
      <c r="AD54" s="90"/>
      <c r="AE54" s="97"/>
      <c r="AF54" s="90"/>
      <c r="AG54" s="97"/>
      <c r="AH54" s="90"/>
      <c r="AI54" s="97"/>
      <c r="AJ54" s="90"/>
      <c r="AK54" s="97"/>
      <c r="AL54" s="90"/>
      <c r="AM54" s="77"/>
      <c r="AN54" s="77"/>
      <c r="AO54" s="77"/>
      <c r="AP54" s="77"/>
      <c r="AQ54" s="77"/>
      <c r="AR54" s="77"/>
      <c r="AS54" s="77"/>
      <c r="AT54" s="77"/>
    </row>
    <row r="55" spans="1:46" s="84" customFormat="1" ht="14.25">
      <c r="A55" s="77"/>
      <c r="B55" s="98"/>
      <c r="C55" s="83"/>
      <c r="F55" s="102"/>
      <c r="G55" s="102"/>
      <c r="H55" s="102"/>
      <c r="I55" s="97"/>
      <c r="J55" s="90"/>
      <c r="K55" s="97"/>
      <c r="L55" s="90"/>
      <c r="M55" s="90"/>
      <c r="N55" s="90"/>
      <c r="O55" s="97"/>
      <c r="P55" s="90"/>
      <c r="Q55" s="97"/>
      <c r="R55" s="90"/>
      <c r="S55" s="97"/>
      <c r="T55" s="90"/>
      <c r="U55" s="97"/>
      <c r="V55" s="90"/>
      <c r="W55" s="97"/>
      <c r="X55" s="90"/>
      <c r="Y55" s="97"/>
      <c r="Z55" s="90"/>
      <c r="AA55" s="97"/>
      <c r="AB55" s="90"/>
      <c r="AC55" s="97"/>
      <c r="AD55" s="90"/>
      <c r="AE55" s="97"/>
      <c r="AF55" s="90"/>
      <c r="AG55" s="97"/>
      <c r="AH55" s="90"/>
      <c r="AI55" s="97"/>
      <c r="AJ55" s="90"/>
      <c r="AK55" s="97"/>
      <c r="AL55" s="90"/>
      <c r="AM55" s="77"/>
      <c r="AN55" s="77"/>
      <c r="AO55" s="77"/>
      <c r="AP55" s="77"/>
      <c r="AQ55" s="77"/>
      <c r="AR55" s="77"/>
      <c r="AS55" s="77"/>
      <c r="AT55" s="77"/>
    </row>
    <row r="56" spans="1:46" s="84" customFormat="1" ht="14.25">
      <c r="A56" s="77"/>
      <c r="B56" s="98"/>
      <c r="C56" s="83"/>
      <c r="F56" s="102"/>
      <c r="G56" s="102"/>
      <c r="H56" s="102"/>
      <c r="I56" s="97"/>
      <c r="J56" s="90"/>
      <c r="K56" s="97"/>
      <c r="L56" s="90"/>
      <c r="M56" s="90"/>
      <c r="N56" s="90"/>
      <c r="O56" s="97"/>
      <c r="P56" s="90"/>
      <c r="Q56" s="97"/>
      <c r="R56" s="90"/>
      <c r="S56" s="97"/>
      <c r="T56" s="90"/>
      <c r="U56" s="97"/>
      <c r="V56" s="90"/>
      <c r="W56" s="97"/>
      <c r="X56" s="90"/>
      <c r="Y56" s="97"/>
      <c r="Z56" s="90"/>
      <c r="AA56" s="97"/>
      <c r="AB56" s="90"/>
      <c r="AC56" s="97"/>
      <c r="AD56" s="90"/>
      <c r="AE56" s="97"/>
      <c r="AF56" s="90"/>
      <c r="AG56" s="97"/>
      <c r="AH56" s="90"/>
      <c r="AI56" s="97"/>
      <c r="AJ56" s="90"/>
      <c r="AK56" s="97"/>
      <c r="AL56" s="90"/>
      <c r="AM56" s="77"/>
      <c r="AN56" s="77"/>
      <c r="AO56" s="77"/>
      <c r="AP56" s="77"/>
      <c r="AQ56" s="77"/>
      <c r="AR56" s="77"/>
      <c r="AS56" s="77"/>
      <c r="AT56" s="77"/>
    </row>
    <row r="57" spans="1:46" s="84" customFormat="1" ht="14.25">
      <c r="A57" s="77"/>
      <c r="B57" s="98"/>
      <c r="C57" s="83"/>
      <c r="F57" s="102"/>
      <c r="G57" s="102"/>
      <c r="H57" s="102"/>
      <c r="I57" s="97"/>
      <c r="J57" s="90"/>
      <c r="K57" s="97"/>
      <c r="L57" s="90"/>
      <c r="M57" s="90"/>
      <c r="N57" s="90"/>
      <c r="O57" s="97"/>
      <c r="P57" s="90"/>
      <c r="Q57" s="97"/>
      <c r="R57" s="90"/>
      <c r="S57" s="97"/>
      <c r="T57" s="90"/>
      <c r="U57" s="97"/>
      <c r="V57" s="90"/>
      <c r="W57" s="97"/>
      <c r="X57" s="90"/>
      <c r="Y57" s="97"/>
      <c r="Z57" s="90"/>
      <c r="AA57" s="97"/>
      <c r="AB57" s="90"/>
      <c r="AC57" s="97"/>
      <c r="AD57" s="90"/>
      <c r="AE57" s="97"/>
      <c r="AF57" s="90"/>
      <c r="AG57" s="97"/>
      <c r="AH57" s="90"/>
      <c r="AI57" s="97"/>
      <c r="AJ57" s="90"/>
      <c r="AK57" s="97"/>
      <c r="AL57" s="90"/>
      <c r="AM57" s="77"/>
      <c r="AN57" s="77"/>
      <c r="AO57" s="77"/>
      <c r="AP57" s="77"/>
      <c r="AQ57" s="77"/>
      <c r="AR57" s="77"/>
      <c r="AS57" s="77"/>
      <c r="AT57" s="77"/>
    </row>
    <row r="58" spans="1:46" s="84" customFormat="1" ht="14.25">
      <c r="A58" s="77"/>
      <c r="B58" s="98"/>
      <c r="C58" s="83"/>
      <c r="F58" s="102"/>
      <c r="G58" s="102"/>
      <c r="H58" s="102"/>
      <c r="I58" s="97"/>
      <c r="J58" s="90"/>
      <c r="K58" s="97"/>
      <c r="L58" s="90"/>
      <c r="M58" s="90"/>
      <c r="N58" s="90"/>
      <c r="O58" s="97"/>
      <c r="P58" s="90"/>
      <c r="Q58" s="97"/>
      <c r="R58" s="90"/>
      <c r="S58" s="97"/>
      <c r="T58" s="90"/>
      <c r="U58" s="97"/>
      <c r="V58" s="90"/>
      <c r="W58" s="97"/>
      <c r="X58" s="90"/>
      <c r="Y58" s="97"/>
      <c r="Z58" s="90"/>
      <c r="AA58" s="97"/>
      <c r="AB58" s="90"/>
      <c r="AC58" s="97"/>
      <c r="AD58" s="90"/>
      <c r="AE58" s="97"/>
      <c r="AF58" s="90"/>
      <c r="AG58" s="97"/>
      <c r="AH58" s="90"/>
      <c r="AI58" s="97"/>
      <c r="AJ58" s="90"/>
      <c r="AK58" s="97"/>
      <c r="AL58" s="90"/>
      <c r="AM58" s="77"/>
      <c r="AN58" s="77"/>
      <c r="AO58" s="77"/>
      <c r="AP58" s="77"/>
      <c r="AQ58" s="77"/>
      <c r="AR58" s="77"/>
      <c r="AS58" s="77"/>
      <c r="AT58" s="77"/>
    </row>
    <row r="59" spans="1:46" s="84" customFormat="1" ht="14.25">
      <c r="A59" s="77"/>
      <c r="B59" s="98"/>
      <c r="C59" s="83"/>
      <c r="F59" s="102"/>
      <c r="G59" s="102"/>
      <c r="H59" s="102"/>
      <c r="I59" s="97"/>
      <c r="J59" s="90"/>
      <c r="K59" s="97"/>
      <c r="L59" s="90"/>
      <c r="M59" s="90"/>
      <c r="N59" s="90"/>
      <c r="O59" s="97"/>
      <c r="P59" s="90"/>
      <c r="Q59" s="97"/>
      <c r="R59" s="90"/>
      <c r="S59" s="97"/>
      <c r="T59" s="90"/>
      <c r="U59" s="97"/>
      <c r="V59" s="90"/>
      <c r="W59" s="97"/>
      <c r="X59" s="90"/>
      <c r="Y59" s="97"/>
      <c r="Z59" s="90"/>
      <c r="AA59" s="97"/>
      <c r="AB59" s="90"/>
      <c r="AC59" s="97"/>
      <c r="AD59" s="90"/>
      <c r="AE59" s="97"/>
      <c r="AF59" s="90"/>
      <c r="AG59" s="97"/>
      <c r="AH59" s="90"/>
      <c r="AI59" s="97"/>
      <c r="AJ59" s="90"/>
      <c r="AK59" s="97"/>
      <c r="AL59" s="90"/>
      <c r="AM59" s="77"/>
      <c r="AN59" s="77"/>
      <c r="AO59" s="77"/>
      <c r="AP59" s="77"/>
      <c r="AQ59" s="77"/>
      <c r="AR59" s="77"/>
      <c r="AS59" s="77"/>
      <c r="AT59" s="77"/>
    </row>
    <row r="60" spans="1:46" s="84" customFormat="1" ht="14.25">
      <c r="A60" s="77"/>
      <c r="B60" s="98"/>
      <c r="C60" s="83"/>
      <c r="F60" s="102"/>
      <c r="G60" s="102"/>
      <c r="H60" s="102"/>
      <c r="I60" s="97"/>
      <c r="J60" s="90"/>
      <c r="K60" s="97"/>
      <c r="L60" s="90"/>
      <c r="M60" s="90"/>
      <c r="N60" s="90"/>
      <c r="O60" s="97"/>
      <c r="P60" s="90"/>
      <c r="Q60" s="97"/>
      <c r="R60" s="90"/>
      <c r="S60" s="97"/>
      <c r="T60" s="90"/>
      <c r="U60" s="97"/>
      <c r="V60" s="90"/>
      <c r="W60" s="97"/>
      <c r="X60" s="90"/>
      <c r="Y60" s="97"/>
      <c r="Z60" s="90"/>
      <c r="AA60" s="97"/>
      <c r="AB60" s="90"/>
      <c r="AC60" s="97"/>
      <c r="AD60" s="90"/>
      <c r="AE60" s="97"/>
      <c r="AF60" s="90"/>
      <c r="AG60" s="97"/>
      <c r="AH60" s="90"/>
      <c r="AI60" s="97"/>
      <c r="AJ60" s="90"/>
      <c r="AK60" s="97"/>
      <c r="AL60" s="90"/>
      <c r="AM60" s="77"/>
      <c r="AN60" s="77"/>
      <c r="AO60" s="77"/>
      <c r="AP60" s="77"/>
      <c r="AQ60" s="77"/>
      <c r="AR60" s="77"/>
      <c r="AS60" s="77"/>
      <c r="AT60" s="77"/>
    </row>
    <row r="61" spans="1:46" s="84" customFormat="1" ht="14.25">
      <c r="A61" s="77"/>
      <c r="B61" s="98"/>
      <c r="C61" s="83"/>
      <c r="F61" s="102"/>
      <c r="G61" s="102"/>
      <c r="H61" s="102"/>
      <c r="I61" s="97"/>
      <c r="J61" s="90"/>
      <c r="K61" s="97"/>
      <c r="L61" s="90"/>
      <c r="M61" s="90"/>
      <c r="N61" s="90"/>
      <c r="O61" s="97"/>
      <c r="P61" s="90"/>
      <c r="Q61" s="97"/>
      <c r="R61" s="90"/>
      <c r="S61" s="97"/>
      <c r="T61" s="90"/>
      <c r="U61" s="97"/>
      <c r="V61" s="90"/>
      <c r="W61" s="97"/>
      <c r="X61" s="90"/>
      <c r="Y61" s="97"/>
      <c r="Z61" s="90"/>
      <c r="AA61" s="97"/>
      <c r="AB61" s="90"/>
      <c r="AC61" s="97"/>
      <c r="AD61" s="90"/>
      <c r="AE61" s="97"/>
      <c r="AF61" s="90"/>
      <c r="AG61" s="97"/>
      <c r="AH61" s="90"/>
      <c r="AI61" s="97"/>
      <c r="AJ61" s="90"/>
      <c r="AK61" s="97"/>
      <c r="AL61" s="90"/>
      <c r="AM61" s="77"/>
      <c r="AN61" s="77"/>
      <c r="AO61" s="77"/>
      <c r="AP61" s="77"/>
      <c r="AQ61" s="77"/>
      <c r="AR61" s="77"/>
      <c r="AS61" s="77"/>
      <c r="AT61" s="77"/>
    </row>
    <row r="62" spans="1:46" s="84" customFormat="1" ht="14.25">
      <c r="A62" s="77"/>
      <c r="B62" s="98"/>
      <c r="C62" s="83"/>
      <c r="F62" s="102"/>
      <c r="G62" s="102"/>
      <c r="H62" s="102"/>
      <c r="I62" s="97"/>
      <c r="J62" s="90"/>
      <c r="K62" s="97"/>
      <c r="L62" s="90"/>
      <c r="M62" s="90"/>
      <c r="N62" s="90"/>
      <c r="O62" s="97"/>
      <c r="P62" s="90"/>
      <c r="Q62" s="97"/>
      <c r="R62" s="90"/>
      <c r="S62" s="97"/>
      <c r="T62" s="90"/>
      <c r="U62" s="97"/>
      <c r="V62" s="90"/>
      <c r="W62" s="97"/>
      <c r="X62" s="90"/>
      <c r="Y62" s="97"/>
      <c r="Z62" s="90"/>
      <c r="AA62" s="97"/>
      <c r="AB62" s="90"/>
      <c r="AC62" s="97"/>
      <c r="AD62" s="90"/>
      <c r="AE62" s="97"/>
      <c r="AF62" s="90"/>
      <c r="AG62" s="97"/>
      <c r="AH62" s="90"/>
      <c r="AI62" s="97"/>
      <c r="AJ62" s="90"/>
      <c r="AK62" s="97"/>
      <c r="AL62" s="90"/>
      <c r="AM62" s="77"/>
      <c r="AN62" s="77"/>
      <c r="AO62" s="77"/>
      <c r="AP62" s="77"/>
      <c r="AQ62" s="77"/>
      <c r="AR62" s="77"/>
      <c r="AS62" s="77"/>
      <c r="AT62" s="77"/>
    </row>
    <row r="63" spans="1:46" s="84" customFormat="1" ht="14.25">
      <c r="A63" s="77"/>
      <c r="B63" s="98"/>
      <c r="C63" s="83"/>
      <c r="F63" s="102"/>
      <c r="G63" s="102"/>
      <c r="H63" s="102"/>
      <c r="I63" s="97"/>
      <c r="J63" s="90"/>
      <c r="K63" s="97"/>
      <c r="L63" s="90"/>
      <c r="M63" s="90"/>
      <c r="N63" s="90"/>
      <c r="O63" s="97"/>
      <c r="P63" s="90"/>
      <c r="Q63" s="97"/>
      <c r="R63" s="90"/>
      <c r="S63" s="97"/>
      <c r="T63" s="90"/>
      <c r="U63" s="97"/>
      <c r="V63" s="90"/>
      <c r="W63" s="97"/>
      <c r="X63" s="90"/>
      <c r="Y63" s="97"/>
      <c r="Z63" s="90"/>
      <c r="AA63" s="97"/>
      <c r="AB63" s="90"/>
      <c r="AC63" s="97"/>
      <c r="AD63" s="90"/>
      <c r="AE63" s="97"/>
      <c r="AF63" s="90"/>
      <c r="AG63" s="97"/>
      <c r="AH63" s="90"/>
      <c r="AI63" s="97"/>
      <c r="AJ63" s="90"/>
      <c r="AK63" s="97"/>
      <c r="AL63" s="90"/>
      <c r="AM63" s="77"/>
      <c r="AN63" s="77"/>
      <c r="AO63" s="77"/>
      <c r="AP63" s="77"/>
      <c r="AQ63" s="77"/>
      <c r="AR63" s="77"/>
      <c r="AS63" s="77"/>
      <c r="AT63" s="77"/>
    </row>
    <row r="64" spans="1:46" s="84" customFormat="1" ht="14.25">
      <c r="A64" s="77"/>
      <c r="B64" s="98"/>
      <c r="C64" s="83"/>
      <c r="F64" s="102"/>
      <c r="G64" s="102"/>
      <c r="H64" s="102"/>
      <c r="I64" s="97"/>
      <c r="J64" s="90"/>
      <c r="K64" s="97"/>
      <c r="L64" s="90"/>
      <c r="M64" s="90"/>
      <c r="N64" s="90"/>
      <c r="O64" s="97"/>
      <c r="P64" s="90"/>
      <c r="Q64" s="97"/>
      <c r="R64" s="90"/>
      <c r="S64" s="97"/>
      <c r="T64" s="90"/>
      <c r="U64" s="97"/>
      <c r="V64" s="90"/>
      <c r="W64" s="97"/>
      <c r="X64" s="90"/>
      <c r="Y64" s="97"/>
      <c r="Z64" s="90"/>
      <c r="AA64" s="97"/>
      <c r="AB64" s="90"/>
      <c r="AC64" s="97"/>
      <c r="AD64" s="90"/>
      <c r="AE64" s="97"/>
      <c r="AF64" s="90"/>
      <c r="AG64" s="97"/>
      <c r="AH64" s="90"/>
      <c r="AI64" s="97"/>
      <c r="AJ64" s="90"/>
      <c r="AK64" s="97"/>
      <c r="AL64" s="90"/>
      <c r="AM64" s="77"/>
      <c r="AN64" s="77"/>
      <c r="AO64" s="77"/>
      <c r="AP64" s="77"/>
      <c r="AQ64" s="77"/>
      <c r="AR64" s="77"/>
      <c r="AS64" s="77"/>
      <c r="AT64" s="77"/>
    </row>
    <row r="65" spans="1:46" s="84" customFormat="1" ht="14.25">
      <c r="A65" s="77"/>
      <c r="B65" s="98"/>
      <c r="C65" s="83"/>
      <c r="F65" s="102"/>
      <c r="G65" s="102"/>
      <c r="H65" s="102"/>
      <c r="I65" s="97"/>
      <c r="J65" s="90"/>
      <c r="K65" s="97"/>
      <c r="L65" s="90"/>
      <c r="M65" s="90"/>
      <c r="N65" s="90"/>
      <c r="O65" s="97"/>
      <c r="P65" s="90"/>
      <c r="Q65" s="97"/>
      <c r="R65" s="90"/>
      <c r="S65" s="97"/>
      <c r="T65" s="90"/>
      <c r="U65" s="97"/>
      <c r="V65" s="90"/>
      <c r="W65" s="97"/>
      <c r="X65" s="90"/>
      <c r="Y65" s="97"/>
      <c r="Z65" s="90"/>
      <c r="AA65" s="97"/>
      <c r="AB65" s="90"/>
      <c r="AC65" s="97"/>
      <c r="AD65" s="90"/>
      <c r="AE65" s="97"/>
      <c r="AF65" s="90"/>
      <c r="AG65" s="97"/>
      <c r="AH65" s="90"/>
      <c r="AI65" s="97"/>
      <c r="AJ65" s="90"/>
      <c r="AK65" s="97"/>
      <c r="AL65" s="90"/>
      <c r="AM65" s="77"/>
      <c r="AN65" s="77"/>
      <c r="AO65" s="77"/>
      <c r="AP65" s="77"/>
      <c r="AQ65" s="77"/>
      <c r="AR65" s="77"/>
      <c r="AS65" s="77"/>
      <c r="AT65" s="77"/>
    </row>
    <row r="66" spans="1:46" s="84" customFormat="1" ht="14.25">
      <c r="A66" s="77"/>
      <c r="B66" s="98"/>
      <c r="C66" s="83"/>
      <c r="F66" s="102"/>
      <c r="G66" s="102"/>
      <c r="H66" s="102"/>
      <c r="I66" s="97"/>
      <c r="J66" s="90"/>
      <c r="K66" s="97"/>
      <c r="L66" s="90"/>
      <c r="M66" s="90"/>
      <c r="N66" s="90"/>
      <c r="O66" s="97"/>
      <c r="P66" s="90"/>
      <c r="Q66" s="97"/>
      <c r="R66" s="90"/>
      <c r="S66" s="97"/>
      <c r="T66" s="90"/>
      <c r="U66" s="97"/>
      <c r="V66" s="90"/>
      <c r="W66" s="97"/>
      <c r="X66" s="90"/>
      <c r="Y66" s="97"/>
      <c r="Z66" s="90"/>
      <c r="AA66" s="97"/>
      <c r="AB66" s="90"/>
      <c r="AC66" s="97"/>
      <c r="AD66" s="90"/>
      <c r="AE66" s="97"/>
      <c r="AF66" s="90"/>
      <c r="AG66" s="97"/>
      <c r="AH66" s="90"/>
      <c r="AI66" s="97"/>
      <c r="AJ66" s="90"/>
      <c r="AK66" s="97"/>
      <c r="AL66" s="90"/>
      <c r="AM66" s="77"/>
      <c r="AN66" s="77"/>
      <c r="AO66" s="77"/>
      <c r="AP66" s="77"/>
      <c r="AQ66" s="77"/>
      <c r="AR66" s="77"/>
      <c r="AS66" s="77"/>
      <c r="AT66" s="77"/>
    </row>
    <row r="67" spans="1:46" s="84" customFormat="1" ht="14.25">
      <c r="A67" s="77"/>
      <c r="B67" s="98"/>
      <c r="C67" s="83"/>
      <c r="F67" s="102"/>
      <c r="G67" s="102"/>
      <c r="H67" s="102"/>
      <c r="I67" s="97"/>
      <c r="J67" s="90"/>
      <c r="K67" s="97"/>
      <c r="L67" s="90"/>
      <c r="M67" s="90"/>
      <c r="N67" s="90"/>
      <c r="O67" s="97"/>
      <c r="P67" s="90"/>
      <c r="Q67" s="97"/>
      <c r="R67" s="90"/>
      <c r="S67" s="97"/>
      <c r="T67" s="90"/>
      <c r="U67" s="97"/>
      <c r="V67" s="90"/>
      <c r="W67" s="97"/>
      <c r="X67" s="90"/>
      <c r="Y67" s="97"/>
      <c r="Z67" s="90"/>
      <c r="AA67" s="97"/>
      <c r="AB67" s="90"/>
      <c r="AC67" s="97"/>
      <c r="AD67" s="90"/>
      <c r="AE67" s="97"/>
      <c r="AF67" s="90"/>
      <c r="AG67" s="97"/>
      <c r="AH67" s="90"/>
      <c r="AI67" s="97"/>
      <c r="AJ67" s="90"/>
      <c r="AK67" s="97"/>
      <c r="AL67" s="90"/>
      <c r="AM67" s="77"/>
      <c r="AN67" s="77"/>
      <c r="AO67" s="77"/>
      <c r="AP67" s="77"/>
      <c r="AQ67" s="77"/>
      <c r="AR67" s="77"/>
      <c r="AS67" s="77"/>
      <c r="AT67" s="77"/>
    </row>
    <row r="68" spans="1:46" s="84" customFormat="1" ht="14.25">
      <c r="A68" s="77"/>
      <c r="B68" s="98"/>
      <c r="C68" s="83"/>
      <c r="F68" s="102"/>
      <c r="G68" s="102"/>
      <c r="H68" s="102"/>
      <c r="I68" s="97"/>
      <c r="J68" s="90"/>
      <c r="K68" s="97"/>
      <c r="L68" s="90"/>
      <c r="M68" s="90"/>
      <c r="N68" s="90"/>
      <c r="O68" s="97"/>
      <c r="P68" s="90"/>
      <c r="Q68" s="97"/>
      <c r="R68" s="90"/>
      <c r="S68" s="97"/>
      <c r="T68" s="90"/>
      <c r="U68" s="97"/>
      <c r="V68" s="90"/>
      <c r="W68" s="97"/>
      <c r="X68" s="90"/>
      <c r="Y68" s="97"/>
      <c r="Z68" s="90"/>
      <c r="AA68" s="97"/>
      <c r="AB68" s="90"/>
      <c r="AC68" s="97"/>
      <c r="AD68" s="90"/>
      <c r="AE68" s="97"/>
      <c r="AF68" s="90"/>
      <c r="AG68" s="97"/>
      <c r="AH68" s="90"/>
      <c r="AI68" s="97"/>
      <c r="AJ68" s="90"/>
      <c r="AK68" s="97"/>
      <c r="AL68" s="90"/>
      <c r="AM68" s="77"/>
      <c r="AN68" s="77"/>
      <c r="AO68" s="77"/>
      <c r="AP68" s="77"/>
      <c r="AQ68" s="77"/>
      <c r="AR68" s="77"/>
      <c r="AS68" s="77"/>
      <c r="AT68" s="77"/>
    </row>
    <row r="69" spans="1:46" s="84" customFormat="1" ht="14.25">
      <c r="A69" s="77"/>
      <c r="B69" s="98"/>
      <c r="C69" s="83"/>
      <c r="F69" s="102"/>
      <c r="G69" s="102"/>
      <c r="H69" s="102"/>
      <c r="I69" s="97"/>
      <c r="J69" s="90"/>
      <c r="K69" s="97"/>
      <c r="L69" s="90"/>
      <c r="M69" s="90"/>
      <c r="N69" s="90"/>
      <c r="O69" s="97"/>
      <c r="P69" s="90"/>
      <c r="Q69" s="97"/>
      <c r="R69" s="90"/>
      <c r="S69" s="97"/>
      <c r="T69" s="90"/>
      <c r="U69" s="97"/>
      <c r="V69" s="90"/>
      <c r="W69" s="97"/>
      <c r="X69" s="90"/>
      <c r="Y69" s="97"/>
      <c r="Z69" s="90"/>
      <c r="AA69" s="97"/>
      <c r="AB69" s="90"/>
      <c r="AC69" s="97"/>
      <c r="AD69" s="90"/>
      <c r="AE69" s="97"/>
      <c r="AF69" s="90"/>
      <c r="AG69" s="97"/>
      <c r="AH69" s="90"/>
      <c r="AI69" s="97"/>
      <c r="AJ69" s="90"/>
      <c r="AK69" s="97"/>
      <c r="AL69" s="90"/>
      <c r="AM69" s="77"/>
      <c r="AN69" s="77"/>
      <c r="AO69" s="77"/>
      <c r="AP69" s="77"/>
      <c r="AQ69" s="77"/>
      <c r="AR69" s="77"/>
      <c r="AS69" s="77"/>
      <c r="AT69" s="77"/>
    </row>
    <row r="70" spans="1:46" s="84" customFormat="1" ht="14.25">
      <c r="A70" s="77"/>
      <c r="B70" s="98"/>
      <c r="C70" s="83"/>
      <c r="F70" s="102"/>
      <c r="G70" s="102"/>
      <c r="H70" s="102"/>
      <c r="I70" s="97"/>
      <c r="J70" s="90"/>
      <c r="K70" s="97"/>
      <c r="L70" s="90"/>
      <c r="M70" s="90"/>
      <c r="N70" s="90"/>
      <c r="O70" s="97"/>
      <c r="P70" s="90"/>
      <c r="Q70" s="97"/>
      <c r="R70" s="90"/>
      <c r="S70" s="97"/>
      <c r="T70" s="90"/>
      <c r="U70" s="97"/>
      <c r="V70" s="90"/>
      <c r="W70" s="97"/>
      <c r="X70" s="90"/>
      <c r="Y70" s="97"/>
      <c r="Z70" s="90"/>
      <c r="AA70" s="97"/>
      <c r="AB70" s="90"/>
      <c r="AC70" s="97"/>
      <c r="AD70" s="90"/>
      <c r="AE70" s="97"/>
      <c r="AF70" s="90"/>
      <c r="AG70" s="97"/>
      <c r="AH70" s="90"/>
      <c r="AI70" s="97"/>
      <c r="AJ70" s="90"/>
      <c r="AK70" s="97"/>
      <c r="AL70" s="90"/>
      <c r="AM70" s="77"/>
      <c r="AN70" s="77"/>
      <c r="AO70" s="77"/>
      <c r="AP70" s="77"/>
      <c r="AQ70" s="77"/>
      <c r="AR70" s="77"/>
      <c r="AS70" s="77"/>
      <c r="AT70" s="77"/>
    </row>
    <row r="71" spans="1:46" s="84" customFormat="1" ht="14.25">
      <c r="A71" s="77"/>
      <c r="B71" s="98"/>
      <c r="C71" s="83"/>
      <c r="F71" s="102"/>
      <c r="G71" s="102"/>
      <c r="H71" s="102"/>
      <c r="I71" s="97"/>
      <c r="J71" s="90"/>
      <c r="K71" s="97"/>
      <c r="L71" s="90"/>
      <c r="M71" s="90"/>
      <c r="N71" s="90"/>
      <c r="O71" s="97"/>
      <c r="P71" s="90"/>
      <c r="Q71" s="97"/>
      <c r="R71" s="90"/>
      <c r="S71" s="97"/>
      <c r="T71" s="90"/>
      <c r="U71" s="97"/>
      <c r="V71" s="90"/>
      <c r="W71" s="97"/>
      <c r="X71" s="90"/>
      <c r="Y71" s="97"/>
      <c r="Z71" s="90"/>
      <c r="AA71" s="97"/>
      <c r="AB71" s="90"/>
      <c r="AC71" s="97"/>
      <c r="AD71" s="90"/>
      <c r="AE71" s="97"/>
      <c r="AF71" s="90"/>
      <c r="AG71" s="97"/>
      <c r="AH71" s="90"/>
      <c r="AI71" s="97"/>
      <c r="AJ71" s="90"/>
      <c r="AK71" s="97"/>
      <c r="AL71" s="90"/>
      <c r="AM71" s="77"/>
      <c r="AN71" s="77"/>
      <c r="AO71" s="77"/>
      <c r="AP71" s="77"/>
      <c r="AQ71" s="77"/>
      <c r="AR71" s="77"/>
      <c r="AS71" s="77"/>
      <c r="AT71" s="77"/>
    </row>
    <row r="72" spans="1:46" s="84" customFormat="1" ht="14.25">
      <c r="A72" s="77"/>
      <c r="B72" s="98"/>
      <c r="C72" s="83"/>
      <c r="F72" s="102"/>
      <c r="G72" s="102"/>
      <c r="H72" s="102"/>
      <c r="I72" s="97"/>
      <c r="J72" s="90"/>
      <c r="K72" s="97"/>
      <c r="L72" s="90"/>
      <c r="M72" s="90"/>
      <c r="N72" s="90"/>
      <c r="O72" s="97"/>
      <c r="P72" s="90"/>
      <c r="Q72" s="97"/>
      <c r="R72" s="90"/>
      <c r="S72" s="97"/>
      <c r="T72" s="90"/>
      <c r="U72" s="97"/>
      <c r="V72" s="90"/>
      <c r="W72" s="97"/>
      <c r="X72" s="90"/>
      <c r="Y72" s="97"/>
      <c r="Z72" s="90"/>
      <c r="AA72" s="97"/>
      <c r="AB72" s="90"/>
      <c r="AC72" s="97"/>
      <c r="AD72" s="90"/>
      <c r="AE72" s="97"/>
      <c r="AF72" s="90"/>
      <c r="AG72" s="97"/>
      <c r="AH72" s="90"/>
      <c r="AI72" s="97"/>
      <c r="AJ72" s="90"/>
      <c r="AK72" s="97"/>
      <c r="AL72" s="90"/>
      <c r="AM72" s="77"/>
      <c r="AN72" s="77"/>
      <c r="AO72" s="77"/>
      <c r="AP72" s="77"/>
      <c r="AQ72" s="77"/>
      <c r="AR72" s="77"/>
      <c r="AS72" s="77"/>
      <c r="AT72" s="77"/>
    </row>
    <row r="73" spans="1:46" s="84" customFormat="1" ht="14.25">
      <c r="A73" s="77"/>
      <c r="B73" s="98"/>
      <c r="C73" s="83"/>
      <c r="F73" s="102"/>
      <c r="G73" s="102"/>
      <c r="H73" s="102"/>
      <c r="I73" s="97"/>
      <c r="J73" s="90"/>
      <c r="K73" s="97"/>
      <c r="L73" s="90"/>
      <c r="M73" s="90"/>
      <c r="N73" s="90"/>
      <c r="O73" s="97"/>
      <c r="P73" s="90"/>
      <c r="Q73" s="97"/>
      <c r="R73" s="90"/>
      <c r="S73" s="97"/>
      <c r="T73" s="90"/>
      <c r="U73" s="97"/>
      <c r="V73" s="90"/>
      <c r="W73" s="97"/>
      <c r="X73" s="90"/>
      <c r="Y73" s="97"/>
      <c r="Z73" s="90"/>
      <c r="AA73" s="97"/>
      <c r="AB73" s="90"/>
      <c r="AC73" s="97"/>
      <c r="AD73" s="90"/>
      <c r="AE73" s="97"/>
      <c r="AF73" s="90"/>
      <c r="AG73" s="97"/>
      <c r="AH73" s="90"/>
      <c r="AI73" s="97"/>
      <c r="AJ73" s="90"/>
      <c r="AK73" s="97"/>
      <c r="AL73" s="90"/>
      <c r="AM73" s="77"/>
      <c r="AN73" s="77"/>
      <c r="AO73" s="77"/>
      <c r="AP73" s="77"/>
      <c r="AQ73" s="77"/>
      <c r="AR73" s="77"/>
      <c r="AS73" s="77"/>
      <c r="AT73" s="77"/>
    </row>
    <row r="74" spans="1:46" s="84" customFormat="1" ht="14.25">
      <c r="A74" s="77"/>
      <c r="B74" s="98"/>
      <c r="C74" s="83"/>
      <c r="F74" s="102"/>
      <c r="G74" s="102"/>
      <c r="H74" s="102"/>
      <c r="I74" s="97"/>
      <c r="J74" s="90"/>
      <c r="K74" s="97"/>
      <c r="L74" s="90"/>
      <c r="M74" s="90"/>
      <c r="N74" s="90"/>
      <c r="O74" s="97"/>
      <c r="P74" s="90"/>
      <c r="Q74" s="97"/>
      <c r="R74" s="90"/>
      <c r="S74" s="97"/>
      <c r="T74" s="90"/>
      <c r="U74" s="97"/>
      <c r="V74" s="90"/>
      <c r="W74" s="97"/>
      <c r="X74" s="90"/>
      <c r="Y74" s="97"/>
      <c r="Z74" s="90"/>
      <c r="AA74" s="97"/>
      <c r="AB74" s="90"/>
      <c r="AC74" s="97"/>
      <c r="AD74" s="90"/>
      <c r="AE74" s="97"/>
      <c r="AF74" s="90"/>
      <c r="AG74" s="97"/>
      <c r="AH74" s="90"/>
      <c r="AI74" s="97"/>
      <c r="AJ74" s="90"/>
      <c r="AK74" s="97"/>
      <c r="AL74" s="90"/>
      <c r="AM74" s="77"/>
      <c r="AN74" s="77"/>
      <c r="AO74" s="77"/>
      <c r="AP74" s="77"/>
      <c r="AQ74" s="77"/>
      <c r="AR74" s="77"/>
      <c r="AS74" s="77"/>
      <c r="AT74" s="77"/>
    </row>
    <row r="75" spans="1:46" s="84" customFormat="1" ht="14.25">
      <c r="A75" s="77"/>
      <c r="B75" s="98"/>
      <c r="C75" s="83"/>
      <c r="F75" s="102"/>
      <c r="G75" s="102"/>
      <c r="H75" s="102"/>
      <c r="I75" s="97"/>
      <c r="J75" s="90"/>
      <c r="K75" s="97"/>
      <c r="L75" s="90"/>
      <c r="M75" s="90"/>
      <c r="N75" s="90"/>
      <c r="O75" s="97"/>
      <c r="P75" s="90"/>
      <c r="Q75" s="97"/>
      <c r="R75" s="90"/>
      <c r="S75" s="97"/>
      <c r="T75" s="90"/>
      <c r="U75" s="97"/>
      <c r="V75" s="90"/>
      <c r="W75" s="97"/>
      <c r="X75" s="90"/>
      <c r="Y75" s="97"/>
      <c r="Z75" s="90"/>
      <c r="AA75" s="97"/>
      <c r="AB75" s="90"/>
      <c r="AC75" s="97"/>
      <c r="AD75" s="90"/>
      <c r="AE75" s="97"/>
      <c r="AF75" s="90"/>
      <c r="AG75" s="97"/>
      <c r="AH75" s="90"/>
      <c r="AI75" s="97"/>
      <c r="AJ75" s="90"/>
      <c r="AK75" s="97"/>
      <c r="AL75" s="90"/>
      <c r="AM75" s="77"/>
      <c r="AN75" s="77"/>
      <c r="AO75" s="77"/>
      <c r="AP75" s="77"/>
      <c r="AQ75" s="77"/>
      <c r="AR75" s="77"/>
      <c r="AS75" s="77"/>
      <c r="AT75" s="77"/>
    </row>
    <row r="76" spans="1:46" s="84" customFormat="1" ht="14.25">
      <c r="A76" s="77"/>
      <c r="B76" s="98"/>
      <c r="C76" s="83"/>
      <c r="F76" s="102"/>
      <c r="G76" s="102"/>
      <c r="H76" s="102"/>
      <c r="I76" s="97"/>
      <c r="J76" s="90"/>
      <c r="K76" s="97"/>
      <c r="L76" s="90"/>
      <c r="M76" s="90"/>
      <c r="N76" s="90"/>
      <c r="O76" s="97"/>
      <c r="P76" s="90"/>
      <c r="Q76" s="97"/>
      <c r="R76" s="90"/>
      <c r="S76" s="97"/>
      <c r="T76" s="90"/>
      <c r="U76" s="97"/>
      <c r="V76" s="90"/>
      <c r="W76" s="97"/>
      <c r="X76" s="90"/>
      <c r="Y76" s="97"/>
      <c r="Z76" s="90"/>
      <c r="AA76" s="97"/>
      <c r="AB76" s="90"/>
      <c r="AC76" s="97"/>
      <c r="AD76" s="90"/>
      <c r="AE76" s="97"/>
      <c r="AF76" s="90"/>
      <c r="AG76" s="97"/>
      <c r="AH76" s="90"/>
      <c r="AI76" s="97"/>
      <c r="AJ76" s="90"/>
      <c r="AK76" s="97"/>
      <c r="AL76" s="90"/>
      <c r="AM76" s="77"/>
      <c r="AN76" s="77"/>
      <c r="AO76" s="77"/>
      <c r="AP76" s="77"/>
      <c r="AQ76" s="77"/>
      <c r="AR76" s="77"/>
      <c r="AS76" s="77"/>
      <c r="AT76" s="77"/>
    </row>
    <row r="77" spans="1:46" s="84" customFormat="1" ht="14.25">
      <c r="A77" s="77"/>
      <c r="B77" s="98"/>
      <c r="C77" s="83"/>
      <c r="F77" s="102"/>
      <c r="G77" s="102"/>
      <c r="H77" s="102"/>
      <c r="I77" s="97"/>
      <c r="J77" s="90"/>
      <c r="K77" s="97"/>
      <c r="L77" s="90"/>
      <c r="M77" s="90"/>
      <c r="N77" s="90"/>
      <c r="O77" s="97"/>
      <c r="P77" s="90"/>
      <c r="Q77" s="97"/>
      <c r="R77" s="90"/>
      <c r="S77" s="97"/>
      <c r="T77" s="90"/>
      <c r="U77" s="97"/>
      <c r="V77" s="90"/>
      <c r="W77" s="97"/>
      <c r="X77" s="90"/>
      <c r="Y77" s="97"/>
      <c r="Z77" s="90"/>
      <c r="AA77" s="97"/>
      <c r="AB77" s="90"/>
      <c r="AC77" s="97"/>
      <c r="AD77" s="90"/>
      <c r="AE77" s="97"/>
      <c r="AF77" s="90"/>
      <c r="AG77" s="97"/>
      <c r="AH77" s="90"/>
      <c r="AI77" s="97"/>
      <c r="AJ77" s="90"/>
      <c r="AK77" s="97"/>
      <c r="AL77" s="90"/>
      <c r="AM77" s="77"/>
      <c r="AN77" s="77"/>
      <c r="AO77" s="77"/>
      <c r="AP77" s="77"/>
      <c r="AQ77" s="77"/>
      <c r="AR77" s="77"/>
      <c r="AS77" s="77"/>
      <c r="AT77" s="77"/>
    </row>
    <row r="78" spans="1:46" s="84" customFormat="1" ht="14.25">
      <c r="A78" s="77"/>
      <c r="B78" s="98"/>
      <c r="C78" s="83"/>
      <c r="F78" s="102"/>
      <c r="G78" s="102"/>
      <c r="H78" s="102"/>
      <c r="I78" s="97"/>
      <c r="J78" s="90"/>
      <c r="K78" s="97"/>
      <c r="L78" s="90"/>
      <c r="M78" s="90"/>
      <c r="N78" s="90"/>
      <c r="O78" s="97"/>
      <c r="P78" s="90"/>
      <c r="Q78" s="97"/>
      <c r="R78" s="90"/>
      <c r="S78" s="97"/>
      <c r="T78" s="90"/>
      <c r="U78" s="97"/>
      <c r="V78" s="90"/>
      <c r="W78" s="97"/>
      <c r="X78" s="90"/>
      <c r="Y78" s="97"/>
      <c r="Z78" s="90"/>
      <c r="AA78" s="97"/>
      <c r="AB78" s="90"/>
      <c r="AC78" s="97"/>
      <c r="AD78" s="90"/>
      <c r="AE78" s="97"/>
      <c r="AF78" s="90"/>
      <c r="AG78" s="97"/>
      <c r="AH78" s="90"/>
      <c r="AI78" s="97"/>
      <c r="AJ78" s="90"/>
      <c r="AK78" s="97"/>
      <c r="AL78" s="90"/>
      <c r="AM78" s="77"/>
      <c r="AN78" s="77"/>
      <c r="AO78" s="77"/>
      <c r="AP78" s="77"/>
      <c r="AQ78" s="77"/>
      <c r="AR78" s="77"/>
      <c r="AS78" s="77"/>
      <c r="AT78" s="77"/>
    </row>
    <row r="79" spans="1:46" s="84" customFormat="1" ht="14.25">
      <c r="A79" s="77"/>
      <c r="B79" s="98"/>
      <c r="C79" s="83"/>
      <c r="F79" s="102"/>
      <c r="G79" s="102"/>
      <c r="H79" s="102"/>
      <c r="I79" s="97"/>
      <c r="J79" s="90"/>
      <c r="K79" s="97"/>
      <c r="L79" s="90"/>
      <c r="M79" s="90"/>
      <c r="N79" s="90"/>
      <c r="O79" s="97"/>
      <c r="P79" s="90"/>
      <c r="Q79" s="97"/>
      <c r="R79" s="90"/>
      <c r="S79" s="97"/>
      <c r="T79" s="90"/>
      <c r="U79" s="97"/>
      <c r="V79" s="90"/>
      <c r="W79" s="97"/>
      <c r="X79" s="90"/>
      <c r="Y79" s="97"/>
      <c r="Z79" s="90"/>
      <c r="AA79" s="97"/>
      <c r="AB79" s="90"/>
      <c r="AC79" s="97"/>
      <c r="AD79" s="90"/>
      <c r="AE79" s="97"/>
      <c r="AF79" s="90"/>
      <c r="AG79" s="97"/>
      <c r="AH79" s="90"/>
      <c r="AI79" s="97"/>
      <c r="AJ79" s="90"/>
      <c r="AK79" s="97"/>
      <c r="AL79" s="90"/>
      <c r="AM79" s="77"/>
      <c r="AN79" s="77"/>
      <c r="AO79" s="77"/>
      <c r="AP79" s="77"/>
      <c r="AQ79" s="77"/>
      <c r="AR79" s="77"/>
      <c r="AS79" s="77"/>
      <c r="AT79" s="77"/>
    </row>
    <row r="80" spans="1:46" s="84" customFormat="1" ht="14.25">
      <c r="A80" s="77"/>
      <c r="B80" s="98"/>
      <c r="C80" s="83"/>
      <c r="F80" s="102"/>
      <c r="G80" s="102"/>
      <c r="H80" s="102"/>
      <c r="I80" s="97"/>
      <c r="J80" s="90"/>
      <c r="K80" s="97"/>
      <c r="L80" s="90"/>
      <c r="M80" s="90"/>
      <c r="N80" s="90"/>
      <c r="O80" s="97"/>
      <c r="P80" s="90"/>
      <c r="Q80" s="97"/>
      <c r="R80" s="90"/>
      <c r="S80" s="97"/>
      <c r="T80" s="90"/>
      <c r="U80" s="97"/>
      <c r="V80" s="90"/>
      <c r="W80" s="97"/>
      <c r="X80" s="90"/>
      <c r="Y80" s="97"/>
      <c r="Z80" s="90"/>
      <c r="AA80" s="97"/>
      <c r="AB80" s="90"/>
      <c r="AC80" s="97"/>
      <c r="AD80" s="90"/>
      <c r="AE80" s="97"/>
      <c r="AF80" s="90"/>
      <c r="AG80" s="97"/>
      <c r="AH80" s="90"/>
      <c r="AI80" s="97"/>
      <c r="AJ80" s="90"/>
      <c r="AK80" s="97"/>
      <c r="AL80" s="90"/>
      <c r="AM80" s="77"/>
      <c r="AN80" s="77"/>
      <c r="AO80" s="77"/>
      <c r="AP80" s="77"/>
      <c r="AQ80" s="77"/>
      <c r="AR80" s="77"/>
      <c r="AS80" s="77"/>
      <c r="AT80" s="77"/>
    </row>
    <row r="81" spans="1:46" s="84" customFormat="1" ht="14.25">
      <c r="A81" s="77"/>
      <c r="B81" s="98"/>
      <c r="C81" s="83"/>
      <c r="F81" s="102"/>
      <c r="G81" s="102"/>
      <c r="H81" s="102"/>
      <c r="I81" s="97"/>
      <c r="J81" s="90"/>
      <c r="K81" s="97"/>
      <c r="L81" s="90"/>
      <c r="M81" s="90"/>
      <c r="N81" s="90"/>
      <c r="O81" s="97"/>
      <c r="P81" s="90"/>
      <c r="Q81" s="97"/>
      <c r="R81" s="90"/>
      <c r="S81" s="97"/>
      <c r="T81" s="90"/>
      <c r="U81" s="97"/>
      <c r="V81" s="90"/>
      <c r="W81" s="97"/>
      <c r="X81" s="90"/>
      <c r="Y81" s="97"/>
      <c r="Z81" s="90"/>
      <c r="AA81" s="97"/>
      <c r="AB81" s="90"/>
      <c r="AC81" s="97"/>
      <c r="AD81" s="90"/>
      <c r="AE81" s="97"/>
      <c r="AF81" s="90"/>
      <c r="AG81" s="97"/>
      <c r="AH81" s="90"/>
      <c r="AI81" s="97"/>
      <c r="AJ81" s="90"/>
      <c r="AK81" s="97"/>
      <c r="AL81" s="90"/>
      <c r="AM81" s="77"/>
      <c r="AN81" s="77"/>
      <c r="AO81" s="77"/>
      <c r="AP81" s="77"/>
      <c r="AQ81" s="77"/>
      <c r="AR81" s="77"/>
      <c r="AS81" s="77"/>
      <c r="AT81" s="77"/>
    </row>
    <row r="82" spans="1:46" s="84" customFormat="1" ht="14.25">
      <c r="A82" s="77"/>
      <c r="B82" s="98"/>
      <c r="C82" s="83"/>
      <c r="F82" s="102"/>
      <c r="G82" s="102"/>
      <c r="H82" s="102"/>
      <c r="I82" s="97"/>
      <c r="J82" s="90"/>
      <c r="K82" s="97"/>
      <c r="L82" s="90"/>
      <c r="M82" s="90"/>
      <c r="N82" s="90"/>
      <c r="O82" s="97"/>
      <c r="P82" s="90"/>
      <c r="Q82" s="97"/>
      <c r="R82" s="90"/>
      <c r="S82" s="97"/>
      <c r="T82" s="90"/>
      <c r="U82" s="97"/>
      <c r="V82" s="90"/>
      <c r="W82" s="97"/>
      <c r="X82" s="90"/>
      <c r="Y82" s="97"/>
      <c r="Z82" s="90"/>
      <c r="AA82" s="97"/>
      <c r="AB82" s="90"/>
      <c r="AC82" s="97"/>
      <c r="AD82" s="90"/>
      <c r="AE82" s="97"/>
      <c r="AF82" s="90"/>
      <c r="AG82" s="97"/>
      <c r="AH82" s="90"/>
      <c r="AI82" s="97"/>
      <c r="AJ82" s="90"/>
      <c r="AK82" s="97"/>
      <c r="AL82" s="90"/>
      <c r="AM82" s="77"/>
      <c r="AN82" s="77"/>
      <c r="AO82" s="77"/>
      <c r="AP82" s="77"/>
      <c r="AQ82" s="77"/>
      <c r="AR82" s="77"/>
      <c r="AS82" s="77"/>
      <c r="AT82" s="77"/>
    </row>
    <row r="83" spans="1:46" s="84" customFormat="1" ht="14.25">
      <c r="A83" s="77"/>
      <c r="B83" s="98"/>
      <c r="C83" s="83"/>
      <c r="F83" s="102"/>
      <c r="G83" s="102"/>
      <c r="H83" s="102"/>
      <c r="I83" s="97"/>
      <c r="J83" s="90"/>
      <c r="K83" s="97"/>
      <c r="L83" s="90"/>
      <c r="M83" s="90"/>
      <c r="N83" s="90"/>
      <c r="O83" s="97"/>
      <c r="P83" s="90"/>
      <c r="Q83" s="97"/>
      <c r="R83" s="90"/>
      <c r="S83" s="97"/>
      <c r="T83" s="90"/>
      <c r="U83" s="97"/>
      <c r="V83" s="90"/>
      <c r="W83" s="97"/>
      <c r="X83" s="90"/>
      <c r="Y83" s="97"/>
      <c r="Z83" s="90"/>
      <c r="AA83" s="97"/>
      <c r="AB83" s="90"/>
      <c r="AC83" s="97"/>
      <c r="AD83" s="90"/>
      <c r="AE83" s="97"/>
      <c r="AF83" s="90"/>
      <c r="AG83" s="97"/>
      <c r="AH83" s="90"/>
      <c r="AI83" s="97"/>
      <c r="AJ83" s="90"/>
      <c r="AK83" s="97"/>
      <c r="AL83" s="90"/>
      <c r="AM83" s="77"/>
      <c r="AN83" s="77"/>
      <c r="AO83" s="77"/>
      <c r="AP83" s="77"/>
      <c r="AQ83" s="77"/>
      <c r="AR83" s="77"/>
      <c r="AS83" s="77"/>
      <c r="AT83" s="77"/>
    </row>
    <row r="84" spans="1:46" s="84" customFormat="1" ht="14.25">
      <c r="A84" s="77"/>
      <c r="B84" s="98"/>
      <c r="C84" s="83"/>
      <c r="F84" s="102"/>
      <c r="G84" s="102"/>
      <c r="H84" s="102"/>
      <c r="I84" s="97"/>
      <c r="J84" s="90"/>
      <c r="K84" s="97"/>
      <c r="L84" s="90"/>
      <c r="M84" s="90"/>
      <c r="N84" s="90"/>
      <c r="O84" s="97"/>
      <c r="P84" s="90"/>
      <c r="Q84" s="97"/>
      <c r="R84" s="90"/>
      <c r="S84" s="97"/>
      <c r="T84" s="90"/>
      <c r="U84" s="97"/>
      <c r="V84" s="90"/>
      <c r="W84" s="97"/>
      <c r="X84" s="90"/>
      <c r="Y84" s="97"/>
      <c r="Z84" s="90"/>
      <c r="AA84" s="97"/>
      <c r="AB84" s="90"/>
      <c r="AC84" s="97"/>
      <c r="AD84" s="90"/>
      <c r="AE84" s="97"/>
      <c r="AF84" s="90"/>
      <c r="AG84" s="97"/>
      <c r="AH84" s="90"/>
      <c r="AI84" s="97"/>
      <c r="AJ84" s="90"/>
      <c r="AK84" s="97"/>
      <c r="AL84" s="90"/>
      <c r="AM84" s="77"/>
      <c r="AN84" s="77"/>
      <c r="AO84" s="77"/>
      <c r="AP84" s="77"/>
      <c r="AQ84" s="77"/>
      <c r="AR84" s="77"/>
      <c r="AS84" s="77"/>
      <c r="AT84" s="77"/>
    </row>
    <row r="85" spans="1:46" s="84" customFormat="1" ht="14.25">
      <c r="A85" s="77"/>
      <c r="B85" s="98"/>
      <c r="C85" s="83"/>
      <c r="F85" s="102"/>
      <c r="G85" s="102"/>
      <c r="H85" s="102"/>
      <c r="I85" s="97"/>
      <c r="J85" s="90"/>
      <c r="K85" s="97"/>
      <c r="L85" s="90"/>
      <c r="M85" s="90"/>
      <c r="N85" s="90"/>
      <c r="O85" s="97"/>
      <c r="P85" s="90"/>
      <c r="Q85" s="97"/>
      <c r="R85" s="90"/>
      <c r="S85" s="97"/>
      <c r="T85" s="90"/>
      <c r="U85" s="97"/>
      <c r="V85" s="90"/>
      <c r="W85" s="97"/>
      <c r="X85" s="90"/>
      <c r="Y85" s="97"/>
      <c r="Z85" s="90"/>
      <c r="AA85" s="97"/>
      <c r="AB85" s="90"/>
      <c r="AC85" s="97"/>
      <c r="AD85" s="90"/>
      <c r="AE85" s="97"/>
      <c r="AF85" s="90"/>
      <c r="AG85" s="97"/>
      <c r="AH85" s="90"/>
      <c r="AI85" s="97"/>
      <c r="AJ85" s="90"/>
      <c r="AK85" s="97"/>
      <c r="AL85" s="90"/>
      <c r="AM85" s="77"/>
      <c r="AN85" s="77"/>
      <c r="AO85" s="77"/>
      <c r="AP85" s="77"/>
      <c r="AQ85" s="77"/>
      <c r="AR85" s="77"/>
      <c r="AS85" s="77"/>
      <c r="AT85" s="77"/>
    </row>
    <row r="86" spans="1:46" s="84" customFormat="1" ht="14.25">
      <c r="A86" s="77"/>
      <c r="B86" s="98"/>
      <c r="C86" s="83"/>
      <c r="F86" s="102"/>
      <c r="G86" s="102"/>
      <c r="H86" s="102"/>
      <c r="I86" s="97"/>
      <c r="J86" s="90"/>
      <c r="K86" s="97"/>
      <c r="L86" s="90"/>
      <c r="M86" s="90"/>
      <c r="N86" s="90"/>
      <c r="O86" s="97"/>
      <c r="P86" s="90"/>
      <c r="Q86" s="97"/>
      <c r="R86" s="90"/>
      <c r="S86" s="97"/>
      <c r="T86" s="90"/>
      <c r="U86" s="97"/>
      <c r="V86" s="90"/>
      <c r="W86" s="97"/>
      <c r="X86" s="90"/>
      <c r="Y86" s="97"/>
      <c r="Z86" s="90"/>
      <c r="AA86" s="97"/>
      <c r="AB86" s="90"/>
      <c r="AC86" s="97"/>
      <c r="AD86" s="90"/>
      <c r="AE86" s="97"/>
      <c r="AF86" s="90"/>
      <c r="AG86" s="97"/>
      <c r="AH86" s="90"/>
      <c r="AI86" s="97"/>
      <c r="AJ86" s="90"/>
      <c r="AK86" s="97"/>
      <c r="AL86" s="90"/>
      <c r="AM86" s="77"/>
      <c r="AN86" s="77"/>
      <c r="AO86" s="77"/>
      <c r="AP86" s="77"/>
      <c r="AQ86" s="77"/>
      <c r="AR86" s="77"/>
      <c r="AS86" s="77"/>
      <c r="AT86" s="77"/>
    </row>
    <row r="87" spans="1:46" s="84" customFormat="1" ht="14.25">
      <c r="A87" s="77"/>
      <c r="B87" s="98"/>
      <c r="C87" s="83"/>
      <c r="F87" s="102"/>
      <c r="G87" s="102"/>
      <c r="H87" s="102"/>
      <c r="I87" s="97"/>
      <c r="J87" s="90"/>
      <c r="K87" s="97"/>
      <c r="L87" s="90"/>
      <c r="M87" s="90"/>
      <c r="N87" s="90"/>
      <c r="O87" s="97"/>
      <c r="P87" s="90"/>
      <c r="Q87" s="97"/>
      <c r="R87" s="90"/>
      <c r="S87" s="97"/>
      <c r="T87" s="90"/>
      <c r="U87" s="97"/>
      <c r="V87" s="90"/>
      <c r="W87" s="97"/>
      <c r="X87" s="90"/>
      <c r="Y87" s="97"/>
      <c r="Z87" s="90"/>
      <c r="AA87" s="97"/>
      <c r="AB87" s="90"/>
      <c r="AC87" s="97"/>
      <c r="AD87" s="90"/>
      <c r="AE87" s="97"/>
      <c r="AF87" s="90"/>
      <c r="AG87" s="97"/>
      <c r="AH87" s="90"/>
      <c r="AI87" s="97"/>
      <c r="AJ87" s="90"/>
      <c r="AK87" s="97"/>
      <c r="AL87" s="90"/>
      <c r="AM87" s="77"/>
      <c r="AN87" s="77"/>
      <c r="AO87" s="77"/>
      <c r="AP87" s="77"/>
      <c r="AQ87" s="77"/>
      <c r="AR87" s="77"/>
      <c r="AS87" s="77"/>
      <c r="AT87" s="77"/>
    </row>
    <row r="88" spans="1:46" s="84" customFormat="1" ht="14.25">
      <c r="A88" s="77"/>
      <c r="B88" s="98"/>
      <c r="C88" s="83"/>
      <c r="F88" s="102"/>
      <c r="G88" s="102"/>
      <c r="H88" s="102"/>
      <c r="I88" s="97"/>
      <c r="J88" s="90"/>
      <c r="K88" s="97"/>
      <c r="L88" s="90"/>
      <c r="M88" s="90"/>
      <c r="N88" s="90"/>
      <c r="O88" s="97"/>
      <c r="P88" s="90"/>
      <c r="Q88" s="97"/>
      <c r="R88" s="90"/>
      <c r="S88" s="97"/>
      <c r="T88" s="90"/>
      <c r="U88" s="97"/>
      <c r="V88" s="90"/>
      <c r="W88" s="97"/>
      <c r="X88" s="90"/>
      <c r="Y88" s="97"/>
      <c r="Z88" s="90"/>
      <c r="AA88" s="97"/>
      <c r="AB88" s="90"/>
      <c r="AC88" s="97"/>
      <c r="AD88" s="90"/>
      <c r="AE88" s="97"/>
      <c r="AF88" s="90"/>
      <c r="AG88" s="97"/>
      <c r="AH88" s="90"/>
      <c r="AI88" s="97"/>
      <c r="AJ88" s="90"/>
      <c r="AK88" s="97"/>
      <c r="AL88" s="90"/>
      <c r="AM88" s="77"/>
      <c r="AN88" s="77"/>
      <c r="AO88" s="77"/>
      <c r="AP88" s="77"/>
      <c r="AQ88" s="77"/>
      <c r="AR88" s="77"/>
      <c r="AS88" s="77"/>
      <c r="AT88" s="77"/>
    </row>
    <row r="89" spans="1:46" s="84" customFormat="1" ht="14.25">
      <c r="A89" s="77"/>
      <c r="B89" s="98"/>
      <c r="C89" s="83"/>
      <c r="F89" s="102"/>
      <c r="G89" s="102"/>
      <c r="H89" s="102"/>
      <c r="I89" s="97"/>
      <c r="J89" s="90"/>
      <c r="K89" s="97"/>
      <c r="L89" s="90"/>
      <c r="M89" s="90"/>
      <c r="N89" s="90"/>
      <c r="O89" s="97"/>
      <c r="P89" s="90"/>
      <c r="Q89" s="97"/>
      <c r="R89" s="90"/>
      <c r="S89" s="97"/>
      <c r="T89" s="90"/>
      <c r="U89" s="97"/>
      <c r="V89" s="90"/>
      <c r="W89" s="97"/>
      <c r="X89" s="90"/>
      <c r="Y89" s="97"/>
      <c r="Z89" s="90"/>
      <c r="AA89" s="97"/>
      <c r="AB89" s="90"/>
      <c r="AC89" s="97"/>
      <c r="AD89" s="90"/>
      <c r="AE89" s="97"/>
      <c r="AF89" s="90"/>
      <c r="AG89" s="97"/>
      <c r="AH89" s="90"/>
      <c r="AI89" s="97"/>
      <c r="AJ89" s="90"/>
      <c r="AK89" s="97"/>
      <c r="AL89" s="90"/>
      <c r="AM89" s="77"/>
      <c r="AN89" s="77"/>
      <c r="AO89" s="77"/>
      <c r="AP89" s="77"/>
      <c r="AQ89" s="77"/>
      <c r="AR89" s="77"/>
      <c r="AS89" s="77"/>
      <c r="AT89" s="77"/>
    </row>
    <row r="90" spans="1:46" s="84" customFormat="1" ht="14.25">
      <c r="A90" s="77"/>
      <c r="B90" s="98"/>
      <c r="C90" s="83"/>
      <c r="F90" s="102"/>
      <c r="G90" s="102"/>
      <c r="H90" s="102"/>
      <c r="I90" s="97"/>
      <c r="J90" s="90"/>
      <c r="K90" s="97"/>
      <c r="L90" s="90"/>
      <c r="M90" s="90"/>
      <c r="N90" s="90"/>
      <c r="O90" s="97"/>
      <c r="P90" s="90"/>
      <c r="Q90" s="97"/>
      <c r="R90" s="90"/>
      <c r="S90" s="97"/>
      <c r="T90" s="90"/>
      <c r="U90" s="97"/>
      <c r="V90" s="90"/>
      <c r="W90" s="97"/>
      <c r="X90" s="90"/>
      <c r="Y90" s="97"/>
      <c r="Z90" s="90"/>
      <c r="AA90" s="97"/>
      <c r="AB90" s="90"/>
      <c r="AC90" s="97"/>
      <c r="AD90" s="90"/>
      <c r="AE90" s="97"/>
      <c r="AF90" s="90"/>
      <c r="AG90" s="97"/>
      <c r="AH90" s="90"/>
      <c r="AI90" s="97"/>
      <c r="AJ90" s="90"/>
      <c r="AK90" s="97"/>
      <c r="AL90" s="90"/>
      <c r="AM90" s="77"/>
      <c r="AN90" s="77"/>
      <c r="AO90" s="77"/>
      <c r="AP90" s="77"/>
      <c r="AQ90" s="77"/>
      <c r="AR90" s="77"/>
      <c r="AS90" s="77"/>
      <c r="AT90" s="77"/>
    </row>
    <row r="91" spans="1:46" s="84" customFormat="1" ht="14.25">
      <c r="A91" s="77"/>
      <c r="B91" s="98"/>
      <c r="C91" s="83"/>
      <c r="F91" s="102"/>
      <c r="G91" s="102"/>
      <c r="H91" s="102"/>
      <c r="I91" s="97"/>
      <c r="J91" s="90"/>
      <c r="K91" s="97"/>
      <c r="L91" s="90"/>
      <c r="M91" s="90"/>
      <c r="N91" s="90"/>
      <c r="O91" s="97"/>
      <c r="P91" s="90"/>
      <c r="Q91" s="97"/>
      <c r="R91" s="90"/>
      <c r="S91" s="97"/>
      <c r="T91" s="90"/>
      <c r="U91" s="97"/>
      <c r="V91" s="90"/>
      <c r="W91" s="97"/>
      <c r="X91" s="90"/>
      <c r="Y91" s="97"/>
      <c r="Z91" s="90"/>
      <c r="AA91" s="97"/>
      <c r="AB91" s="90"/>
      <c r="AC91" s="97"/>
      <c r="AD91" s="90"/>
      <c r="AE91" s="97"/>
      <c r="AF91" s="90"/>
      <c r="AG91" s="97"/>
      <c r="AH91" s="90"/>
      <c r="AI91" s="97"/>
      <c r="AJ91" s="90"/>
      <c r="AK91" s="97"/>
      <c r="AL91" s="90"/>
      <c r="AM91" s="77"/>
      <c r="AN91" s="77"/>
      <c r="AO91" s="77"/>
      <c r="AP91" s="77"/>
      <c r="AQ91" s="77"/>
      <c r="AR91" s="77"/>
      <c r="AS91" s="77"/>
      <c r="AT91" s="77"/>
    </row>
    <row r="92" spans="1:46" s="84" customFormat="1" ht="14.25">
      <c r="A92" s="77"/>
      <c r="B92" s="98"/>
      <c r="C92" s="83"/>
      <c r="F92" s="102"/>
      <c r="G92" s="102"/>
      <c r="H92" s="102"/>
      <c r="I92" s="97"/>
      <c r="J92" s="90"/>
      <c r="K92" s="97"/>
      <c r="L92" s="90"/>
      <c r="M92" s="90"/>
      <c r="N92" s="90"/>
      <c r="O92" s="97"/>
      <c r="P92" s="90"/>
      <c r="Q92" s="97"/>
      <c r="R92" s="90"/>
      <c r="S92" s="97"/>
      <c r="T92" s="90"/>
      <c r="U92" s="97"/>
      <c r="V92" s="90"/>
      <c r="W92" s="97"/>
      <c r="X92" s="90"/>
      <c r="Y92" s="97"/>
      <c r="Z92" s="90"/>
      <c r="AA92" s="97"/>
      <c r="AB92" s="90"/>
      <c r="AC92" s="97"/>
      <c r="AD92" s="90"/>
      <c r="AE92" s="97"/>
      <c r="AF92" s="90"/>
      <c r="AG92" s="97"/>
      <c r="AH92" s="90"/>
      <c r="AI92" s="97"/>
      <c r="AJ92" s="90"/>
      <c r="AK92" s="97"/>
      <c r="AL92" s="90"/>
      <c r="AM92" s="77"/>
      <c r="AN92" s="77"/>
      <c r="AO92" s="77"/>
      <c r="AP92" s="77"/>
      <c r="AQ92" s="77"/>
      <c r="AR92" s="77"/>
      <c r="AS92" s="77"/>
      <c r="AT92" s="77"/>
    </row>
    <row r="93" spans="1:46" s="84" customFormat="1" ht="14.25">
      <c r="A93" s="77"/>
      <c r="B93" s="98"/>
      <c r="C93" s="83"/>
      <c r="F93" s="102"/>
      <c r="G93" s="102"/>
      <c r="H93" s="102"/>
      <c r="I93" s="97"/>
      <c r="J93" s="90"/>
      <c r="K93" s="97"/>
      <c r="L93" s="90"/>
      <c r="M93" s="90"/>
      <c r="N93" s="90"/>
      <c r="O93" s="97"/>
      <c r="P93" s="90"/>
      <c r="Q93" s="97"/>
      <c r="R93" s="90"/>
      <c r="S93" s="97"/>
      <c r="T93" s="90"/>
      <c r="U93" s="97"/>
      <c r="V93" s="90"/>
      <c r="W93" s="97"/>
      <c r="X93" s="90"/>
      <c r="Y93" s="97"/>
      <c r="Z93" s="90"/>
      <c r="AA93" s="97"/>
      <c r="AB93" s="90"/>
      <c r="AC93" s="97"/>
      <c r="AD93" s="90"/>
      <c r="AE93" s="97"/>
      <c r="AF93" s="90"/>
      <c r="AG93" s="97"/>
      <c r="AH93" s="90"/>
      <c r="AI93" s="97"/>
      <c r="AJ93" s="90"/>
      <c r="AK93" s="97"/>
      <c r="AL93" s="90"/>
      <c r="AM93" s="77"/>
      <c r="AN93" s="77"/>
      <c r="AO93" s="77"/>
      <c r="AP93" s="77"/>
      <c r="AQ93" s="77"/>
      <c r="AR93" s="77"/>
      <c r="AS93" s="77"/>
      <c r="AT93" s="77"/>
    </row>
    <row r="94" spans="1:46" s="84" customFormat="1" ht="14.25">
      <c r="A94" s="77"/>
      <c r="B94" s="98"/>
      <c r="C94" s="83"/>
      <c r="F94" s="102"/>
      <c r="G94" s="102"/>
      <c r="H94" s="102"/>
      <c r="I94" s="97"/>
      <c r="J94" s="90"/>
      <c r="K94" s="97"/>
      <c r="L94" s="90"/>
      <c r="M94" s="90"/>
      <c r="N94" s="90"/>
      <c r="O94" s="97"/>
      <c r="P94" s="90"/>
      <c r="Q94" s="97"/>
      <c r="R94" s="90"/>
      <c r="S94" s="97"/>
      <c r="T94" s="90"/>
      <c r="U94" s="97"/>
      <c r="V94" s="90"/>
      <c r="W94" s="97"/>
      <c r="X94" s="90"/>
      <c r="Y94" s="97"/>
      <c r="Z94" s="90"/>
      <c r="AA94" s="97"/>
      <c r="AB94" s="90"/>
      <c r="AC94" s="97"/>
      <c r="AD94" s="90"/>
      <c r="AE94" s="97"/>
      <c r="AF94" s="90"/>
      <c r="AG94" s="97"/>
      <c r="AH94" s="90"/>
      <c r="AI94" s="97"/>
      <c r="AJ94" s="90"/>
      <c r="AK94" s="97"/>
      <c r="AL94" s="90"/>
      <c r="AM94" s="77"/>
      <c r="AN94" s="77"/>
      <c r="AO94" s="77"/>
      <c r="AP94" s="77"/>
      <c r="AQ94" s="77"/>
      <c r="AR94" s="77"/>
      <c r="AS94" s="77"/>
      <c r="AT94" s="77"/>
    </row>
    <row r="95" spans="1:46" s="84" customFormat="1" ht="14.25">
      <c r="A95" s="77"/>
      <c r="B95" s="98"/>
      <c r="C95" s="83"/>
      <c r="F95" s="102"/>
      <c r="G95" s="102"/>
      <c r="H95" s="102"/>
      <c r="I95" s="97"/>
      <c r="J95" s="90"/>
      <c r="K95" s="97"/>
      <c r="L95" s="90"/>
      <c r="M95" s="90"/>
      <c r="N95" s="90"/>
      <c r="O95" s="97"/>
      <c r="P95" s="90"/>
      <c r="Q95" s="97"/>
      <c r="R95" s="90"/>
      <c r="S95" s="97"/>
      <c r="T95" s="90"/>
      <c r="U95" s="97"/>
      <c r="V95" s="90"/>
      <c r="W95" s="97"/>
      <c r="X95" s="90"/>
      <c r="Y95" s="97"/>
      <c r="Z95" s="90"/>
      <c r="AA95" s="97"/>
      <c r="AB95" s="90"/>
      <c r="AC95" s="97"/>
      <c r="AD95" s="90"/>
      <c r="AE95" s="97"/>
      <c r="AF95" s="90"/>
      <c r="AG95" s="97"/>
      <c r="AH95" s="90"/>
      <c r="AI95" s="97"/>
      <c r="AJ95" s="90"/>
      <c r="AK95" s="97"/>
      <c r="AL95" s="90"/>
      <c r="AM95" s="77"/>
      <c r="AN95" s="77"/>
      <c r="AO95" s="77"/>
      <c r="AP95" s="77"/>
      <c r="AQ95" s="77"/>
      <c r="AR95" s="77"/>
      <c r="AS95" s="77"/>
      <c r="AT95" s="77"/>
    </row>
    <row r="96" spans="1:46" s="84" customFormat="1" ht="14.25">
      <c r="A96" s="77"/>
      <c r="B96" s="98"/>
      <c r="C96" s="83"/>
      <c r="F96" s="102"/>
      <c r="G96" s="102"/>
      <c r="H96" s="102"/>
      <c r="I96" s="97"/>
      <c r="J96" s="90"/>
      <c r="K96" s="97"/>
      <c r="L96" s="90"/>
      <c r="M96" s="90"/>
      <c r="N96" s="90"/>
      <c r="O96" s="97"/>
      <c r="P96" s="90"/>
      <c r="Q96" s="97"/>
      <c r="R96" s="90"/>
      <c r="S96" s="97"/>
      <c r="T96" s="90"/>
      <c r="U96" s="97"/>
      <c r="V96" s="90"/>
      <c r="W96" s="97"/>
      <c r="X96" s="90"/>
      <c r="Y96" s="97"/>
      <c r="Z96" s="90"/>
      <c r="AA96" s="97"/>
      <c r="AB96" s="90"/>
      <c r="AC96" s="97"/>
      <c r="AD96" s="90"/>
      <c r="AE96" s="97"/>
      <c r="AF96" s="90"/>
      <c r="AG96" s="97"/>
      <c r="AH96" s="90"/>
      <c r="AI96" s="97"/>
      <c r="AJ96" s="90"/>
      <c r="AK96" s="97"/>
      <c r="AL96" s="90"/>
      <c r="AM96" s="77"/>
      <c r="AN96" s="77"/>
      <c r="AO96" s="77"/>
      <c r="AP96" s="77"/>
      <c r="AQ96" s="77"/>
      <c r="AR96" s="77"/>
      <c r="AS96" s="77"/>
      <c r="AT96" s="77"/>
    </row>
    <row r="97" spans="1:46" s="84" customFormat="1" ht="14.25">
      <c r="A97" s="77"/>
      <c r="B97" s="98"/>
      <c r="C97" s="83"/>
      <c r="F97" s="102"/>
      <c r="G97" s="102"/>
      <c r="H97" s="102"/>
      <c r="I97" s="97"/>
      <c r="J97" s="90"/>
      <c r="K97" s="97"/>
      <c r="L97" s="90"/>
      <c r="M97" s="90"/>
      <c r="N97" s="90"/>
      <c r="O97" s="97"/>
      <c r="P97" s="90"/>
      <c r="Q97" s="97"/>
      <c r="R97" s="90"/>
      <c r="S97" s="97"/>
      <c r="T97" s="90"/>
      <c r="U97" s="97"/>
      <c r="V97" s="90"/>
      <c r="W97" s="97"/>
      <c r="X97" s="90"/>
      <c r="Y97" s="97"/>
      <c r="Z97" s="90"/>
      <c r="AA97" s="97"/>
      <c r="AB97" s="90"/>
      <c r="AC97" s="97"/>
      <c r="AD97" s="90"/>
      <c r="AE97" s="97"/>
      <c r="AF97" s="90"/>
      <c r="AG97" s="97"/>
      <c r="AH97" s="90"/>
      <c r="AI97" s="97"/>
      <c r="AJ97" s="90"/>
      <c r="AK97" s="97"/>
      <c r="AL97" s="90"/>
      <c r="AM97" s="77"/>
      <c r="AN97" s="77"/>
      <c r="AO97" s="77"/>
      <c r="AP97" s="77"/>
      <c r="AQ97" s="77"/>
      <c r="AR97" s="77"/>
      <c r="AS97" s="77"/>
      <c r="AT97" s="77"/>
    </row>
    <row r="98" spans="1:46" s="84" customFormat="1" ht="14.25">
      <c r="A98" s="77"/>
      <c r="B98" s="98"/>
      <c r="C98" s="83"/>
      <c r="F98" s="102"/>
      <c r="G98" s="102"/>
      <c r="H98" s="102"/>
      <c r="I98" s="97"/>
      <c r="J98" s="90"/>
      <c r="K98" s="97"/>
      <c r="L98" s="90"/>
      <c r="M98" s="90"/>
      <c r="N98" s="90"/>
      <c r="O98" s="97"/>
      <c r="P98" s="90"/>
      <c r="Q98" s="97"/>
      <c r="R98" s="90"/>
      <c r="S98" s="97"/>
      <c r="T98" s="90"/>
      <c r="U98" s="97"/>
      <c r="V98" s="90"/>
      <c r="W98" s="97"/>
      <c r="X98" s="90"/>
      <c r="Y98" s="97"/>
      <c r="Z98" s="90"/>
      <c r="AA98" s="97"/>
      <c r="AB98" s="90"/>
      <c r="AC98" s="97"/>
      <c r="AD98" s="90"/>
      <c r="AE98" s="97"/>
      <c r="AF98" s="90"/>
      <c r="AG98" s="97"/>
      <c r="AH98" s="90"/>
      <c r="AI98" s="97"/>
      <c r="AJ98" s="90"/>
      <c r="AK98" s="97"/>
      <c r="AL98" s="90"/>
      <c r="AM98" s="77"/>
      <c r="AN98" s="77"/>
      <c r="AO98" s="77"/>
      <c r="AP98" s="77"/>
      <c r="AQ98" s="77"/>
      <c r="AR98" s="77"/>
      <c r="AS98" s="77"/>
      <c r="AT98" s="77"/>
    </row>
    <row r="99" spans="1:46" s="84" customFormat="1" ht="14.25">
      <c r="A99" s="77"/>
      <c r="B99" s="98"/>
      <c r="C99" s="83"/>
      <c r="F99" s="102"/>
      <c r="G99" s="102"/>
      <c r="H99" s="102"/>
      <c r="I99" s="97"/>
      <c r="J99" s="90"/>
      <c r="K99" s="97"/>
      <c r="L99" s="90"/>
      <c r="M99" s="90"/>
      <c r="N99" s="90"/>
      <c r="O99" s="97"/>
      <c r="P99" s="90"/>
      <c r="Q99" s="97"/>
      <c r="R99" s="90"/>
      <c r="S99" s="97"/>
      <c r="T99" s="90"/>
      <c r="U99" s="97"/>
      <c r="V99" s="90"/>
      <c r="W99" s="97"/>
      <c r="X99" s="90"/>
      <c r="Y99" s="97"/>
      <c r="Z99" s="90"/>
      <c r="AA99" s="97"/>
      <c r="AB99" s="90"/>
      <c r="AC99" s="97"/>
      <c r="AD99" s="90"/>
      <c r="AE99" s="97"/>
      <c r="AF99" s="90"/>
      <c r="AG99" s="97"/>
      <c r="AH99" s="90"/>
      <c r="AI99" s="97"/>
      <c r="AJ99" s="90"/>
      <c r="AK99" s="97"/>
      <c r="AL99" s="90"/>
      <c r="AM99" s="77"/>
      <c r="AN99" s="77"/>
      <c r="AO99" s="77"/>
      <c r="AP99" s="77"/>
      <c r="AQ99" s="77"/>
      <c r="AR99" s="77"/>
      <c r="AS99" s="77"/>
      <c r="AT99" s="77"/>
    </row>
    <row r="100" spans="1:46" s="84" customFormat="1" ht="14.25">
      <c r="A100" s="77"/>
      <c r="B100" s="98"/>
      <c r="C100" s="83"/>
      <c r="F100" s="102"/>
      <c r="G100" s="102"/>
      <c r="H100" s="102"/>
      <c r="I100" s="97"/>
      <c r="J100" s="90"/>
      <c r="K100" s="97"/>
      <c r="L100" s="90"/>
      <c r="M100" s="90"/>
      <c r="N100" s="90"/>
      <c r="O100" s="97"/>
      <c r="P100" s="90"/>
      <c r="Q100" s="97"/>
      <c r="R100" s="90"/>
      <c r="S100" s="97"/>
      <c r="T100" s="90"/>
      <c r="U100" s="97"/>
      <c r="V100" s="90"/>
      <c r="W100" s="97"/>
      <c r="X100" s="90"/>
      <c r="Y100" s="97"/>
      <c r="Z100" s="90"/>
      <c r="AA100" s="97"/>
      <c r="AB100" s="90"/>
      <c r="AC100" s="97"/>
      <c r="AD100" s="90"/>
      <c r="AE100" s="97"/>
      <c r="AF100" s="90"/>
      <c r="AG100" s="97"/>
      <c r="AH100" s="90"/>
      <c r="AI100" s="97"/>
      <c r="AJ100" s="90"/>
      <c r="AK100" s="97"/>
      <c r="AL100" s="90"/>
      <c r="AM100" s="77"/>
      <c r="AN100" s="77"/>
      <c r="AO100" s="77"/>
      <c r="AP100" s="77"/>
      <c r="AQ100" s="77"/>
      <c r="AR100" s="77"/>
      <c r="AS100" s="77"/>
      <c r="AT100" s="77"/>
    </row>
    <row r="101" spans="1:46" s="84" customFormat="1" ht="14.25">
      <c r="A101" s="77"/>
      <c r="B101" s="98"/>
      <c r="C101" s="83"/>
      <c r="F101" s="102"/>
      <c r="G101" s="102"/>
      <c r="H101" s="102"/>
      <c r="I101" s="97"/>
      <c r="J101" s="90"/>
      <c r="K101" s="97"/>
      <c r="L101" s="90"/>
      <c r="M101" s="90"/>
      <c r="N101" s="90"/>
      <c r="O101" s="97"/>
      <c r="P101" s="90"/>
      <c r="Q101" s="97"/>
      <c r="R101" s="90"/>
      <c r="S101" s="97"/>
      <c r="T101" s="90"/>
      <c r="U101" s="97"/>
      <c r="V101" s="90"/>
      <c r="W101" s="97"/>
      <c r="X101" s="90"/>
      <c r="Y101" s="97"/>
      <c r="Z101" s="90"/>
      <c r="AA101" s="97"/>
      <c r="AB101" s="90"/>
      <c r="AC101" s="97"/>
      <c r="AD101" s="90"/>
      <c r="AE101" s="97"/>
      <c r="AF101" s="90"/>
      <c r="AG101" s="97"/>
      <c r="AH101" s="90"/>
      <c r="AI101" s="97"/>
      <c r="AJ101" s="90"/>
      <c r="AK101" s="97"/>
      <c r="AL101" s="90"/>
      <c r="AM101" s="77"/>
      <c r="AN101" s="77"/>
      <c r="AO101" s="77"/>
      <c r="AP101" s="77"/>
      <c r="AQ101" s="77"/>
      <c r="AR101" s="77"/>
      <c r="AS101" s="77"/>
      <c r="AT101" s="77"/>
    </row>
    <row r="102" spans="1:46" s="84" customFormat="1" ht="14.25">
      <c r="A102" s="77"/>
      <c r="B102" s="98"/>
      <c r="C102" s="83"/>
      <c r="F102" s="102"/>
      <c r="G102" s="102"/>
      <c r="H102" s="102"/>
      <c r="I102" s="97"/>
      <c r="J102" s="90"/>
      <c r="K102" s="97"/>
      <c r="L102" s="90"/>
      <c r="M102" s="90"/>
      <c r="N102" s="90"/>
      <c r="O102" s="97"/>
      <c r="P102" s="90"/>
      <c r="Q102" s="97"/>
      <c r="R102" s="90"/>
      <c r="S102" s="97"/>
      <c r="T102" s="90"/>
      <c r="U102" s="97"/>
      <c r="V102" s="90"/>
      <c r="W102" s="97"/>
      <c r="X102" s="90"/>
      <c r="Y102" s="97"/>
      <c r="Z102" s="90"/>
      <c r="AA102" s="97"/>
      <c r="AB102" s="90"/>
      <c r="AC102" s="97"/>
      <c r="AD102" s="90"/>
      <c r="AE102" s="97"/>
      <c r="AF102" s="90"/>
      <c r="AG102" s="97"/>
      <c r="AH102" s="90"/>
      <c r="AI102" s="97"/>
      <c r="AJ102" s="90"/>
      <c r="AK102" s="97"/>
      <c r="AL102" s="90"/>
      <c r="AM102" s="77"/>
      <c r="AN102" s="77"/>
      <c r="AO102" s="77"/>
      <c r="AP102" s="77"/>
      <c r="AQ102" s="77"/>
      <c r="AR102" s="77"/>
      <c r="AS102" s="77"/>
      <c r="AT102" s="77"/>
    </row>
  </sheetData>
  <mergeCells count="32">
    <mergeCell ref="AI4:AJ4"/>
    <mergeCell ref="AK4:AL4"/>
    <mergeCell ref="B2:AL2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G5:G6"/>
    <mergeCell ref="H5:H6"/>
    <mergeCell ref="I5:J5"/>
    <mergeCell ref="K5:L5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</mergeCells>
  <phoneticPr fontId="1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2:AL102"/>
  <sheetViews>
    <sheetView zoomScale="70" zoomScaleNormal="70" workbookViewId="0">
      <pane xSplit="5" ySplit="6" topLeftCell="F30" activePane="bottomRight" state="frozen"/>
      <selection activeCell="AK7" activeCellId="11" sqref="I7:I36 K7:K38 O7:O40 Q7:Q39 U7:U38 W7:W37 Y7:Y39 AA7:AA39 AE7:AE38 AG7:AG39 AI7:AI40 AK7:AK40"/>
      <selection pane="topRight" activeCell="AK7" activeCellId="11" sqref="I7:I36 K7:K38 O7:O40 Q7:Q39 U7:U38 W7:W37 Y7:Y39 AA7:AA39 AE7:AE38 AG7:AG39 AI7:AI40 AK7:AK40"/>
      <selection pane="bottomLeft" activeCell="AK7" activeCellId="11" sqref="I7:I36 K7:K38 O7:O40 Q7:Q39 U7:U38 W7:W37 Y7:Y39 AA7:AA39 AE7:AE38 AG7:AG39 AI7:AI40 AK7:AK40"/>
      <selection pane="bottomRight" activeCell="H8" sqref="H8"/>
    </sheetView>
  </sheetViews>
  <sheetFormatPr defaultColWidth="8.85546875" defaultRowHeight="16.5"/>
  <cols>
    <col min="1" max="1" width="0" style="77" hidden="1" customWidth="1"/>
    <col min="2" max="2" width="13.140625" style="77" hidden="1" customWidth="1"/>
    <col min="3" max="3" width="0" style="103" hidden="1" customWidth="1"/>
    <col min="4" max="4" width="17" style="103" customWidth="1"/>
    <col min="5" max="5" width="4.28515625" style="84" bestFit="1" customWidth="1"/>
    <col min="6" max="6" width="12.7109375" style="104" customWidth="1"/>
    <col min="7" max="8" width="17.42578125" style="104" customWidth="1"/>
    <col min="9" max="9" width="10.5703125" style="88" customWidth="1"/>
    <col min="10" max="10" width="10.5703125" style="90" customWidth="1"/>
    <col min="11" max="11" width="10.5703125" style="88" customWidth="1"/>
    <col min="12" max="12" width="10.5703125" style="90" customWidth="1"/>
    <col min="13" max="13" width="10.5703125" style="88" customWidth="1"/>
    <col min="14" max="14" width="10.5703125" style="90" customWidth="1"/>
    <col min="15" max="15" width="10.5703125" style="88" customWidth="1"/>
    <col min="16" max="16" width="10.5703125" style="90" customWidth="1"/>
    <col min="17" max="17" width="10.5703125" style="88" customWidth="1"/>
    <col min="18" max="18" width="10.5703125" style="90" customWidth="1"/>
    <col min="19" max="19" width="10.5703125" style="88" customWidth="1"/>
    <col min="20" max="20" width="10.5703125" style="90" customWidth="1"/>
    <col min="21" max="21" width="10.5703125" style="88" customWidth="1"/>
    <col min="22" max="22" width="10.5703125" style="90" customWidth="1"/>
    <col min="23" max="23" width="10.5703125" style="88" customWidth="1"/>
    <col min="24" max="24" width="10.5703125" style="90" customWidth="1"/>
    <col min="25" max="25" width="10.5703125" style="88" customWidth="1"/>
    <col min="26" max="26" width="10.5703125" style="90" customWidth="1"/>
    <col min="27" max="27" width="10.5703125" style="88" customWidth="1"/>
    <col min="28" max="28" width="10.5703125" style="90" customWidth="1"/>
    <col min="29" max="29" width="10.5703125" style="88" customWidth="1"/>
    <col min="30" max="30" width="10.5703125" style="90" customWidth="1"/>
    <col min="31" max="31" width="10.5703125" style="88" customWidth="1"/>
    <col min="32" max="32" width="10.5703125" style="90" customWidth="1"/>
    <col min="33" max="33" width="10.42578125" style="88" customWidth="1"/>
    <col min="34" max="34" width="10.42578125" style="90" customWidth="1"/>
    <col min="35" max="35" width="10.42578125" style="88" customWidth="1"/>
    <col min="36" max="36" width="10.42578125" style="90" customWidth="1"/>
    <col min="37" max="37" width="10.42578125" style="88" customWidth="1"/>
    <col min="38" max="38" width="10.42578125" style="90" customWidth="1"/>
    <col min="39" max="16384" width="8.85546875" style="77"/>
  </cols>
  <sheetData>
    <row r="2" spans="1:38" ht="38.1" customHeight="1">
      <c r="A2" s="75"/>
      <c r="B2" s="599" t="s">
        <v>297</v>
      </c>
      <c r="C2" s="599"/>
      <c r="D2" s="599"/>
      <c r="E2" s="599"/>
      <c r="F2" s="599"/>
      <c r="G2" s="599"/>
      <c r="H2" s="599"/>
      <c r="I2" s="599"/>
      <c r="J2" s="599"/>
      <c r="K2" s="599"/>
      <c r="L2" s="599"/>
      <c r="M2" s="599"/>
      <c r="N2" s="599"/>
      <c r="O2" s="599"/>
      <c r="P2" s="599"/>
      <c r="Q2" s="599"/>
      <c r="R2" s="599"/>
      <c r="S2" s="599"/>
      <c r="T2" s="599"/>
      <c r="U2" s="599"/>
      <c r="V2" s="599"/>
      <c r="W2" s="599"/>
      <c r="X2" s="599"/>
      <c r="Y2" s="599"/>
      <c r="Z2" s="599"/>
      <c r="AA2" s="599"/>
      <c r="AB2" s="599"/>
      <c r="AC2" s="599"/>
      <c r="AD2" s="599"/>
      <c r="AE2" s="599"/>
      <c r="AF2" s="599"/>
      <c r="AG2" s="599"/>
      <c r="AH2" s="599"/>
      <c r="AI2" s="599"/>
      <c r="AJ2" s="599"/>
      <c r="AK2" s="599"/>
      <c r="AL2" s="599"/>
    </row>
    <row r="3" spans="1:38" ht="25.35" customHeight="1">
      <c r="B3" s="98"/>
      <c r="C3" s="600" t="s">
        <v>139</v>
      </c>
      <c r="D3" s="601" t="s">
        <v>105</v>
      </c>
      <c r="E3" s="601"/>
      <c r="F3" s="608" t="s">
        <v>148</v>
      </c>
      <c r="G3" s="609"/>
      <c r="H3" s="609"/>
      <c r="I3" s="607" t="s">
        <v>295</v>
      </c>
      <c r="J3" s="607"/>
      <c r="K3" s="607"/>
      <c r="L3" s="607"/>
      <c r="M3" s="607"/>
      <c r="N3" s="607"/>
      <c r="O3" s="607"/>
      <c r="P3" s="607"/>
      <c r="Q3" s="607"/>
      <c r="R3" s="607"/>
      <c r="S3" s="607"/>
      <c r="T3" s="607"/>
      <c r="U3" s="607"/>
      <c r="V3" s="607"/>
      <c r="W3" s="607"/>
      <c r="X3" s="607"/>
      <c r="Y3" s="607"/>
      <c r="Z3" s="607"/>
      <c r="AA3" s="607"/>
      <c r="AB3" s="607"/>
      <c r="AC3" s="607"/>
      <c r="AD3" s="607"/>
      <c r="AE3" s="607"/>
      <c r="AF3" s="607"/>
      <c r="AG3" s="607"/>
      <c r="AH3" s="607"/>
      <c r="AI3" s="607"/>
      <c r="AJ3" s="607"/>
      <c r="AK3" s="607"/>
      <c r="AL3" s="607"/>
    </row>
    <row r="4" spans="1:38" ht="25.35" customHeight="1">
      <c r="B4" s="98"/>
      <c r="C4" s="600"/>
      <c r="D4" s="601"/>
      <c r="E4" s="601"/>
      <c r="F4" s="609"/>
      <c r="G4" s="609"/>
      <c r="H4" s="609"/>
      <c r="I4" s="604" t="s">
        <v>140</v>
      </c>
      <c r="J4" s="604"/>
      <c r="K4" s="604"/>
      <c r="L4" s="604"/>
      <c r="M4" s="604"/>
      <c r="N4" s="604"/>
      <c r="O4" s="604" t="s">
        <v>141</v>
      </c>
      <c r="P4" s="604"/>
      <c r="Q4" s="604"/>
      <c r="R4" s="604"/>
      <c r="S4" s="604"/>
      <c r="T4" s="604"/>
      <c r="U4" s="604" t="s">
        <v>142</v>
      </c>
      <c r="V4" s="604"/>
      <c r="W4" s="604" t="s">
        <v>143</v>
      </c>
      <c r="X4" s="604"/>
      <c r="Y4" s="604" t="s">
        <v>134</v>
      </c>
      <c r="Z4" s="604"/>
      <c r="AA4" s="604"/>
      <c r="AB4" s="604"/>
      <c r="AC4" s="604"/>
      <c r="AD4" s="604"/>
      <c r="AE4" s="604" t="s">
        <v>132</v>
      </c>
      <c r="AF4" s="604"/>
      <c r="AG4" s="604" t="s">
        <v>144</v>
      </c>
      <c r="AH4" s="604"/>
      <c r="AI4" s="604" t="s">
        <v>145</v>
      </c>
      <c r="AJ4" s="604"/>
      <c r="AK4" s="604" t="s">
        <v>138</v>
      </c>
      <c r="AL4" s="604"/>
    </row>
    <row r="5" spans="1:38" ht="25.35" customHeight="1">
      <c r="B5" s="98"/>
      <c r="C5" s="600"/>
      <c r="D5" s="601"/>
      <c r="E5" s="601"/>
      <c r="F5" s="606" t="s">
        <v>115</v>
      </c>
      <c r="G5" s="606" t="s">
        <v>117</v>
      </c>
      <c r="H5" s="606" t="s">
        <v>118</v>
      </c>
      <c r="I5" s="604" t="s">
        <v>129</v>
      </c>
      <c r="J5" s="604"/>
      <c r="K5" s="604" t="s">
        <v>130</v>
      </c>
      <c r="L5" s="604"/>
      <c r="M5" s="605" t="s">
        <v>146</v>
      </c>
      <c r="N5" s="604"/>
      <c r="O5" s="604" t="s">
        <v>129</v>
      </c>
      <c r="P5" s="604"/>
      <c r="Q5" s="604" t="s">
        <v>130</v>
      </c>
      <c r="R5" s="604"/>
      <c r="S5" s="605" t="s">
        <v>146</v>
      </c>
      <c r="T5" s="604"/>
      <c r="U5" s="604" t="s">
        <v>129</v>
      </c>
      <c r="V5" s="604"/>
      <c r="W5" s="604" t="s">
        <v>129</v>
      </c>
      <c r="X5" s="604"/>
      <c r="Y5" s="604" t="s">
        <v>129</v>
      </c>
      <c r="Z5" s="604"/>
      <c r="AA5" s="604" t="s">
        <v>130</v>
      </c>
      <c r="AB5" s="604"/>
      <c r="AC5" s="605" t="s">
        <v>146</v>
      </c>
      <c r="AD5" s="604"/>
      <c r="AE5" s="604" t="s">
        <v>129</v>
      </c>
      <c r="AF5" s="604"/>
      <c r="AG5" s="604" t="s">
        <v>129</v>
      </c>
      <c r="AH5" s="604"/>
      <c r="AI5" s="604" t="s">
        <v>129</v>
      </c>
      <c r="AJ5" s="604"/>
      <c r="AK5" s="604" t="s">
        <v>129</v>
      </c>
      <c r="AL5" s="604"/>
    </row>
    <row r="6" spans="1:38" s="80" customFormat="1" ht="23.45" customHeight="1">
      <c r="B6" s="98"/>
      <c r="C6" s="600"/>
      <c r="D6" s="601"/>
      <c r="E6" s="601"/>
      <c r="F6" s="606"/>
      <c r="G6" s="606"/>
      <c r="H6" s="606"/>
      <c r="I6" s="105" t="s">
        <v>149</v>
      </c>
      <c r="J6" s="100" t="s">
        <v>113</v>
      </c>
      <c r="K6" s="105" t="s">
        <v>149</v>
      </c>
      <c r="L6" s="100" t="s">
        <v>113</v>
      </c>
      <c r="M6" s="105" t="s">
        <v>149</v>
      </c>
      <c r="N6" s="100" t="s">
        <v>113</v>
      </c>
      <c r="O6" s="105" t="s">
        <v>149</v>
      </c>
      <c r="P6" s="100" t="s">
        <v>113</v>
      </c>
      <c r="Q6" s="105" t="s">
        <v>149</v>
      </c>
      <c r="R6" s="100" t="s">
        <v>113</v>
      </c>
      <c r="S6" s="105" t="s">
        <v>149</v>
      </c>
      <c r="T6" s="100" t="s">
        <v>113</v>
      </c>
      <c r="U6" s="105" t="s">
        <v>149</v>
      </c>
      <c r="V6" s="100" t="s">
        <v>113</v>
      </c>
      <c r="W6" s="105" t="s">
        <v>149</v>
      </c>
      <c r="X6" s="100" t="s">
        <v>113</v>
      </c>
      <c r="Y6" s="105" t="s">
        <v>149</v>
      </c>
      <c r="Z6" s="100" t="s">
        <v>113</v>
      </c>
      <c r="AA6" s="105" t="s">
        <v>149</v>
      </c>
      <c r="AB6" s="100" t="s">
        <v>113</v>
      </c>
      <c r="AC6" s="105" t="s">
        <v>149</v>
      </c>
      <c r="AD6" s="100" t="s">
        <v>113</v>
      </c>
      <c r="AE6" s="105" t="s">
        <v>149</v>
      </c>
      <c r="AF6" s="100" t="s">
        <v>113</v>
      </c>
      <c r="AG6" s="105" t="s">
        <v>149</v>
      </c>
      <c r="AH6" s="100" t="s">
        <v>113</v>
      </c>
      <c r="AI6" s="105" t="s">
        <v>149</v>
      </c>
      <c r="AJ6" s="100" t="s">
        <v>113</v>
      </c>
      <c r="AK6" s="105" t="s">
        <v>149</v>
      </c>
      <c r="AL6" s="100" t="s">
        <v>113</v>
      </c>
    </row>
    <row r="7" spans="1:38" ht="14.25">
      <c r="B7" s="98"/>
      <c r="C7" s="83"/>
      <c r="D7" s="279">
        <v>46204</v>
      </c>
      <c r="E7" s="279" t="s">
        <v>390</v>
      </c>
      <c r="F7" s="88">
        <f t="shared" ref="F7" si="0">SUM(M7,S7,U7,W7,AC7,AE7,AG7,AI7,AK7)</f>
        <v>266041</v>
      </c>
      <c r="G7" s="281"/>
      <c r="H7" s="329">
        <f>SUM($F$7:$F$37)</f>
        <v>7772845</v>
      </c>
      <c r="I7" s="232">
        <v>30799</v>
      </c>
      <c r="J7" s="101">
        <f t="shared" ref="J7" si="1">I7/F7</f>
        <v>0.11576787036584586</v>
      </c>
      <c r="K7" s="232">
        <v>48363</v>
      </c>
      <c r="L7" s="101">
        <f t="shared" ref="L7" si="2">K7/F7</f>
        <v>0.1817877695543168</v>
      </c>
      <c r="M7" s="106">
        <f t="shared" ref="M7" si="3">SUM(I7+K7)</f>
        <v>79162</v>
      </c>
      <c r="N7" s="101">
        <f t="shared" ref="N7" si="4">M7/F7</f>
        <v>0.29755563992016271</v>
      </c>
      <c r="O7" s="232">
        <v>5051</v>
      </c>
      <c r="P7" s="101">
        <f t="shared" ref="P7" si="5">O7/F7</f>
        <v>1.8985795422510065E-2</v>
      </c>
      <c r="Q7" s="232"/>
      <c r="R7" s="101">
        <f t="shared" ref="R7:R35" si="6">Q7/F7</f>
        <v>0</v>
      </c>
      <c r="S7" s="106">
        <f t="shared" ref="S7:S35" si="7">SUM(O7+Q7)</f>
        <v>5051</v>
      </c>
      <c r="T7" s="101">
        <f t="shared" ref="T7" si="8">S7/F7</f>
        <v>1.8985795422510065E-2</v>
      </c>
      <c r="U7" s="232">
        <v>31085</v>
      </c>
      <c r="V7" s="101">
        <f t="shared" ref="V7" si="9">U7/F7</f>
        <v>0.1168428926368492</v>
      </c>
      <c r="W7" s="232">
        <v>4955</v>
      </c>
      <c r="X7" s="101">
        <f t="shared" ref="X7" si="10">W7/F7</f>
        <v>1.8624948786089363E-2</v>
      </c>
      <c r="Y7" s="232">
        <v>24565</v>
      </c>
      <c r="Z7" s="101">
        <f t="shared" ref="Z7" si="11">Y7/F7</f>
        <v>9.2335391913276527E-2</v>
      </c>
      <c r="AA7" s="232">
        <v>20001</v>
      </c>
      <c r="AB7" s="101">
        <f t="shared" ref="AB7:AB35" si="12">AA7/F7</f>
        <v>7.5180141406775647E-2</v>
      </c>
      <c r="AC7" s="106">
        <f t="shared" ref="AC7" si="13">SUM(Y7+AA7)</f>
        <v>44566</v>
      </c>
      <c r="AD7" s="101">
        <f t="shared" ref="AD7" si="14">AC7/F7</f>
        <v>0.16751553332005217</v>
      </c>
      <c r="AE7" s="232">
        <v>23645</v>
      </c>
      <c r="AF7" s="101">
        <f t="shared" ref="AF7" si="15">AE7/F7</f>
        <v>8.8877278314244801E-2</v>
      </c>
      <c r="AG7" s="232">
        <v>15204</v>
      </c>
      <c r="AH7" s="101">
        <f t="shared" ref="AH7" si="16">AG7/F7</f>
        <v>5.714908604312869E-2</v>
      </c>
      <c r="AI7" s="232">
        <v>36664</v>
      </c>
      <c r="AJ7" s="101">
        <f t="shared" ref="AJ7" si="17">AI7/F7</f>
        <v>0.13781334455967315</v>
      </c>
      <c r="AK7" s="232">
        <v>25709</v>
      </c>
      <c r="AL7" s="101">
        <f t="shared" ref="AL7:AL13" si="18">AK7/F7</f>
        <v>9.6635480997289885E-2</v>
      </c>
    </row>
    <row r="8" spans="1:38" ht="14.25">
      <c r="B8" s="98"/>
      <c r="C8" s="83"/>
      <c r="D8" s="279">
        <f t="shared" ref="D8:D30" si="19">D7+1</f>
        <v>46205</v>
      </c>
      <c r="E8" s="279" t="s">
        <v>391</v>
      </c>
      <c r="F8" s="88">
        <f>SUM(M8,S8,U8,W8,AC8,AE8,AG8,AI8,AK8)</f>
        <v>250642</v>
      </c>
      <c r="G8" s="281"/>
      <c r="I8" s="232">
        <v>30282</v>
      </c>
      <c r="J8" s="101">
        <f>I8/F8</f>
        <v>0.12081774004356811</v>
      </c>
      <c r="K8" s="232">
        <v>45042</v>
      </c>
      <c r="L8" s="101">
        <f>K8/F8</f>
        <v>0.17970651367288804</v>
      </c>
      <c r="M8" s="106">
        <f>SUM(I8+K8)</f>
        <v>75324</v>
      </c>
      <c r="N8" s="101">
        <f>M8/F8</f>
        <v>0.30052425371645614</v>
      </c>
      <c r="O8" s="232">
        <v>5158</v>
      </c>
      <c r="P8" s="101">
        <f>O8/F8</f>
        <v>2.0579152735774531E-2</v>
      </c>
      <c r="Q8" s="232"/>
      <c r="R8" s="101">
        <f t="shared" si="6"/>
        <v>0</v>
      </c>
      <c r="S8" s="106">
        <f t="shared" si="7"/>
        <v>5158</v>
      </c>
      <c r="T8" s="101">
        <f>S8/F8</f>
        <v>2.0579152735774531E-2</v>
      </c>
      <c r="U8" s="232">
        <v>28211</v>
      </c>
      <c r="V8" s="101">
        <f>U8/F8</f>
        <v>0.11255495886563305</v>
      </c>
      <c r="W8" s="232">
        <v>4424</v>
      </c>
      <c r="X8" s="101">
        <f>W8/F8</f>
        <v>1.7650673071552252E-2</v>
      </c>
      <c r="Y8" s="232">
        <v>23481</v>
      </c>
      <c r="Z8" s="101">
        <f>Y8/F8</f>
        <v>9.3683420974936357E-2</v>
      </c>
      <c r="AA8" s="232">
        <v>16614</v>
      </c>
      <c r="AB8" s="101">
        <f t="shared" si="12"/>
        <v>6.6285778121783254E-2</v>
      </c>
      <c r="AC8" s="106">
        <f>SUM(Y8+AA8)</f>
        <v>40095</v>
      </c>
      <c r="AD8" s="101">
        <f>AC8/F8</f>
        <v>0.15996919909671961</v>
      </c>
      <c r="AE8" s="232">
        <v>21867</v>
      </c>
      <c r="AF8" s="101">
        <f>AE8/F8</f>
        <v>8.7243957517096099E-2</v>
      </c>
      <c r="AG8" s="232">
        <v>13965</v>
      </c>
      <c r="AH8" s="101">
        <f>AG8/F8</f>
        <v>5.5716918952130927E-2</v>
      </c>
      <c r="AI8" s="232">
        <v>36867</v>
      </c>
      <c r="AJ8" s="101">
        <f>AI8/F8</f>
        <v>0.14709027218103909</v>
      </c>
      <c r="AK8" s="232">
        <v>24731</v>
      </c>
      <c r="AL8" s="101">
        <f t="shared" si="18"/>
        <v>9.867061386359828E-2</v>
      </c>
    </row>
    <row r="9" spans="1:38" ht="14.25">
      <c r="B9" s="98"/>
      <c r="C9" s="83"/>
      <c r="D9" s="279">
        <f t="shared" si="19"/>
        <v>46206</v>
      </c>
      <c r="E9" s="279" t="s">
        <v>392</v>
      </c>
      <c r="F9" s="88">
        <f t="shared" ref="F9:F37" si="20">SUM(M9,S9,U9,W9,AC9,AE9,AG9,AI9,AK9)</f>
        <v>225060</v>
      </c>
      <c r="G9" s="281"/>
      <c r="H9" s="329"/>
      <c r="I9" s="232">
        <v>26488</v>
      </c>
      <c r="J9" s="101">
        <f t="shared" ref="J9:J35" si="21">I9/F9</f>
        <v>0.1176930596285435</v>
      </c>
      <c r="K9" s="232">
        <v>41510</v>
      </c>
      <c r="L9" s="101">
        <f t="shared" ref="L9:L35" si="22">K9/F9</f>
        <v>0.18443970496756421</v>
      </c>
      <c r="M9" s="106">
        <f t="shared" ref="M9:M35" si="23">SUM(I9+K9)</f>
        <v>67998</v>
      </c>
      <c r="N9" s="101">
        <f t="shared" ref="N9:N35" si="24">M9/F9</f>
        <v>0.30213276459610772</v>
      </c>
      <c r="O9" s="232">
        <v>4366</v>
      </c>
      <c r="P9" s="101">
        <f t="shared" ref="P9:P35" si="25">O9/F9</f>
        <v>1.9399271305429663E-2</v>
      </c>
      <c r="Q9" s="232"/>
      <c r="R9" s="101">
        <f t="shared" si="6"/>
        <v>0</v>
      </c>
      <c r="S9" s="106">
        <f t="shared" si="7"/>
        <v>4366</v>
      </c>
      <c r="T9" s="101">
        <f t="shared" ref="T9:T35" si="26">S9/F9</f>
        <v>1.9399271305429663E-2</v>
      </c>
      <c r="U9" s="232">
        <v>24706</v>
      </c>
      <c r="V9" s="101">
        <f t="shared" ref="V9:V35" si="27">U9/F9</f>
        <v>0.10977517106549364</v>
      </c>
      <c r="W9" s="232">
        <v>3552</v>
      </c>
      <c r="X9" s="101">
        <f t="shared" ref="X9:X35" si="28">W9/F9</f>
        <v>1.5782458011197015E-2</v>
      </c>
      <c r="Y9" s="232">
        <v>21695</v>
      </c>
      <c r="Z9" s="101">
        <f t="shared" ref="Z9:Z35" si="29">Y9/F9</f>
        <v>9.6396516484493031E-2</v>
      </c>
      <c r="AA9" s="232">
        <v>18698</v>
      </c>
      <c r="AB9" s="101">
        <f t="shared" si="12"/>
        <v>8.3080067537545543E-2</v>
      </c>
      <c r="AC9" s="106">
        <f t="shared" ref="AC9:AC35" si="30">SUM(Y9+AA9)</f>
        <v>40393</v>
      </c>
      <c r="AD9" s="101">
        <f t="shared" ref="AD9:AD35" si="31">AC9/F9</f>
        <v>0.17947658402203856</v>
      </c>
      <c r="AE9" s="232">
        <v>17683</v>
      </c>
      <c r="AF9" s="101">
        <f t="shared" ref="AF9:AF35" si="32">AE9/F9</f>
        <v>7.8570159068692788E-2</v>
      </c>
      <c r="AG9" s="232">
        <v>10006</v>
      </c>
      <c r="AH9" s="101">
        <f t="shared" ref="AH9:AH35" si="33">AG9/F9</f>
        <v>4.4459255309695189E-2</v>
      </c>
      <c r="AI9" s="232">
        <v>35581</v>
      </c>
      <c r="AJ9" s="101">
        <f t="shared" ref="AJ9:AJ35" si="34">AI9/F9</f>
        <v>0.15809561894605884</v>
      </c>
      <c r="AK9" s="232">
        <v>20775</v>
      </c>
      <c r="AL9" s="101">
        <f t="shared" si="18"/>
        <v>9.2308717675286589E-2</v>
      </c>
    </row>
    <row r="10" spans="1:38" ht="14.25">
      <c r="B10" s="98"/>
      <c r="C10" s="83"/>
      <c r="D10" s="279">
        <f t="shared" si="19"/>
        <v>46207</v>
      </c>
      <c r="E10" s="279" t="s">
        <v>393</v>
      </c>
      <c r="F10" s="88">
        <f t="shared" si="20"/>
        <v>244678</v>
      </c>
      <c r="G10" s="281"/>
      <c r="H10" s="329"/>
      <c r="I10" s="232">
        <v>25810</v>
      </c>
      <c r="J10" s="101">
        <f t="shared" si="21"/>
        <v>0.10548557696237504</v>
      </c>
      <c r="K10" s="232">
        <v>43807</v>
      </c>
      <c r="L10" s="101">
        <f t="shared" si="22"/>
        <v>0.17903939054594201</v>
      </c>
      <c r="M10" s="106">
        <f t="shared" si="23"/>
        <v>69617</v>
      </c>
      <c r="N10" s="101">
        <f t="shared" si="24"/>
        <v>0.28452496750831707</v>
      </c>
      <c r="O10" s="232">
        <v>4139</v>
      </c>
      <c r="P10" s="101">
        <f t="shared" si="25"/>
        <v>1.6916110152935693E-2</v>
      </c>
      <c r="Q10" s="232"/>
      <c r="R10" s="101">
        <f t="shared" si="6"/>
        <v>0</v>
      </c>
      <c r="S10" s="106">
        <f t="shared" si="7"/>
        <v>4139</v>
      </c>
      <c r="T10" s="101">
        <f t="shared" si="26"/>
        <v>1.6916110152935693E-2</v>
      </c>
      <c r="U10" s="232">
        <v>28764</v>
      </c>
      <c r="V10" s="101">
        <f t="shared" si="27"/>
        <v>0.11755858720440743</v>
      </c>
      <c r="W10" s="232">
        <v>4242</v>
      </c>
      <c r="X10" s="101">
        <f t="shared" si="28"/>
        <v>1.7337071579790583E-2</v>
      </c>
      <c r="Y10" s="232">
        <v>20098</v>
      </c>
      <c r="Z10" s="101">
        <f t="shared" si="29"/>
        <v>8.2140609290577815E-2</v>
      </c>
      <c r="AA10" s="232">
        <v>20867</v>
      </c>
      <c r="AB10" s="101">
        <f t="shared" si="12"/>
        <v>8.5283515477484695E-2</v>
      </c>
      <c r="AC10" s="106">
        <f t="shared" si="30"/>
        <v>40965</v>
      </c>
      <c r="AD10" s="101">
        <f t="shared" si="31"/>
        <v>0.16742412476806251</v>
      </c>
      <c r="AE10" s="232">
        <v>21388</v>
      </c>
      <c r="AF10" s="101">
        <f t="shared" si="32"/>
        <v>8.7412844636624465E-2</v>
      </c>
      <c r="AG10" s="232">
        <v>12423</v>
      </c>
      <c r="AH10" s="101">
        <f t="shared" si="33"/>
        <v>5.0772852483672422E-2</v>
      </c>
      <c r="AI10" s="232">
        <v>39278</v>
      </c>
      <c r="AJ10" s="101">
        <f t="shared" si="34"/>
        <v>0.16052934877675967</v>
      </c>
      <c r="AK10" s="232">
        <v>23862</v>
      </c>
      <c r="AL10" s="101">
        <f t="shared" si="18"/>
        <v>9.7524092889430189E-2</v>
      </c>
    </row>
    <row r="11" spans="1:38" ht="14.25">
      <c r="B11" s="98"/>
      <c r="C11" s="83"/>
      <c r="D11" s="279">
        <f t="shared" si="19"/>
        <v>46208</v>
      </c>
      <c r="E11" s="279" t="s">
        <v>394</v>
      </c>
      <c r="F11" s="88">
        <f t="shared" si="20"/>
        <v>275484</v>
      </c>
      <c r="G11" s="281"/>
      <c r="H11" s="329"/>
      <c r="I11" s="232">
        <v>31053</v>
      </c>
      <c r="J11" s="101">
        <f t="shared" si="21"/>
        <v>0.11272160996645904</v>
      </c>
      <c r="K11" s="232">
        <v>47550</v>
      </c>
      <c r="L11" s="101">
        <f t="shared" si="22"/>
        <v>0.17260530557128545</v>
      </c>
      <c r="M11" s="106">
        <f t="shared" si="23"/>
        <v>78603</v>
      </c>
      <c r="N11" s="101">
        <f t="shared" si="24"/>
        <v>0.28532691553774447</v>
      </c>
      <c r="O11" s="232">
        <v>5189</v>
      </c>
      <c r="P11" s="101">
        <f t="shared" si="25"/>
        <v>1.8835939655297586E-2</v>
      </c>
      <c r="Q11" s="232"/>
      <c r="R11" s="101">
        <f t="shared" si="6"/>
        <v>0</v>
      </c>
      <c r="S11" s="106">
        <f t="shared" si="7"/>
        <v>5189</v>
      </c>
      <c r="T11" s="101">
        <f t="shared" si="26"/>
        <v>1.8835939655297586E-2</v>
      </c>
      <c r="U11" s="232">
        <v>34498</v>
      </c>
      <c r="V11" s="101">
        <f t="shared" si="27"/>
        <v>0.12522687343003586</v>
      </c>
      <c r="W11" s="232">
        <v>5164</v>
      </c>
      <c r="X11" s="101">
        <f t="shared" si="28"/>
        <v>1.8745190283283239E-2</v>
      </c>
      <c r="Y11" s="232">
        <v>23893</v>
      </c>
      <c r="Z11" s="101">
        <f t="shared" si="29"/>
        <v>8.6730989821550433E-2</v>
      </c>
      <c r="AA11" s="232">
        <v>21595</v>
      </c>
      <c r="AB11" s="101">
        <f t="shared" si="12"/>
        <v>7.8389307545991785E-2</v>
      </c>
      <c r="AC11" s="106">
        <f t="shared" si="30"/>
        <v>45488</v>
      </c>
      <c r="AD11" s="101">
        <f t="shared" si="31"/>
        <v>0.16512029736754222</v>
      </c>
      <c r="AE11" s="232">
        <v>25274</v>
      </c>
      <c r="AF11" s="101">
        <f t="shared" si="32"/>
        <v>9.1743985131622893E-2</v>
      </c>
      <c r="AG11" s="232">
        <v>15287</v>
      </c>
      <c r="AH11" s="101">
        <f t="shared" si="33"/>
        <v>5.5491425999332086E-2</v>
      </c>
      <c r="AI11" s="232">
        <v>40194</v>
      </c>
      <c r="AJ11" s="101">
        <f t="shared" si="34"/>
        <v>0.14590321034978437</v>
      </c>
      <c r="AK11" s="232">
        <v>25787</v>
      </c>
      <c r="AL11" s="325">
        <f t="shared" si="18"/>
        <v>9.3606162245357269E-2</v>
      </c>
    </row>
    <row r="12" spans="1:38" ht="14.25">
      <c r="B12" s="98"/>
      <c r="C12" s="83"/>
      <c r="D12" s="349">
        <f t="shared" si="19"/>
        <v>46209</v>
      </c>
      <c r="E12" s="279" t="s">
        <v>388</v>
      </c>
      <c r="F12" s="88">
        <f t="shared" si="20"/>
        <v>277705</v>
      </c>
      <c r="G12" s="281"/>
      <c r="H12" s="329"/>
      <c r="I12" s="232">
        <v>30810</v>
      </c>
      <c r="J12" s="101">
        <f t="shared" si="21"/>
        <v>0.11094506760771322</v>
      </c>
      <c r="K12" s="232">
        <v>46954</v>
      </c>
      <c r="L12" s="101">
        <f t="shared" si="22"/>
        <v>0.16907869861903818</v>
      </c>
      <c r="M12" s="106">
        <f t="shared" si="23"/>
        <v>77764</v>
      </c>
      <c r="N12" s="101">
        <f t="shared" si="24"/>
        <v>0.2800237662267514</v>
      </c>
      <c r="O12" s="232">
        <v>5140</v>
      </c>
      <c r="P12" s="101">
        <f t="shared" si="25"/>
        <v>1.8508849318521453E-2</v>
      </c>
      <c r="Q12" s="232"/>
      <c r="R12" s="101">
        <f t="shared" si="6"/>
        <v>0</v>
      </c>
      <c r="S12" s="106">
        <f t="shared" si="7"/>
        <v>5140</v>
      </c>
      <c r="T12" s="101">
        <f t="shared" si="26"/>
        <v>1.8508849318521453E-2</v>
      </c>
      <c r="U12" s="232">
        <v>34501</v>
      </c>
      <c r="V12" s="101">
        <f t="shared" si="27"/>
        <v>0.12423614987126627</v>
      </c>
      <c r="W12" s="232">
        <v>3744</v>
      </c>
      <c r="X12" s="101">
        <f t="shared" si="28"/>
        <v>1.3481932266253759E-2</v>
      </c>
      <c r="Y12" s="232">
        <v>24268</v>
      </c>
      <c r="Z12" s="101">
        <f t="shared" si="29"/>
        <v>8.7387695576240973E-2</v>
      </c>
      <c r="AA12" s="232">
        <v>25885</v>
      </c>
      <c r="AB12" s="101">
        <f t="shared" si="12"/>
        <v>9.3210421130336146E-2</v>
      </c>
      <c r="AC12" s="106">
        <f t="shared" si="30"/>
        <v>50153</v>
      </c>
      <c r="AD12" s="101">
        <f t="shared" si="31"/>
        <v>0.18059811670657713</v>
      </c>
      <c r="AE12" s="232">
        <v>23823</v>
      </c>
      <c r="AF12" s="101">
        <f t="shared" si="32"/>
        <v>8.5785275742244468E-2</v>
      </c>
      <c r="AG12" s="232">
        <v>15413</v>
      </c>
      <c r="AH12" s="101">
        <f t="shared" si="33"/>
        <v>5.5501341351434079E-2</v>
      </c>
      <c r="AI12" s="232">
        <v>39832</v>
      </c>
      <c r="AJ12" s="101">
        <f t="shared" si="34"/>
        <v>0.1434327793881997</v>
      </c>
      <c r="AK12" s="232">
        <v>27335</v>
      </c>
      <c r="AL12" s="101">
        <f t="shared" si="18"/>
        <v>9.8431789128751737E-2</v>
      </c>
    </row>
    <row r="13" spans="1:38" ht="14.25">
      <c r="B13" s="98"/>
      <c r="C13" s="83"/>
      <c r="D13" s="349">
        <f t="shared" si="19"/>
        <v>46210</v>
      </c>
      <c r="E13" s="349" t="s">
        <v>389</v>
      </c>
      <c r="F13" s="88">
        <f t="shared" si="20"/>
        <v>299940</v>
      </c>
      <c r="G13" s="281"/>
      <c r="H13" s="329"/>
      <c r="I13" s="232">
        <v>31385</v>
      </c>
      <c r="J13" s="101">
        <f t="shared" si="21"/>
        <v>0.10463759418550377</v>
      </c>
      <c r="K13" s="232">
        <v>46625</v>
      </c>
      <c r="L13" s="101">
        <f t="shared" si="22"/>
        <v>0.15544775621791024</v>
      </c>
      <c r="M13" s="106">
        <f t="shared" si="23"/>
        <v>78010</v>
      </c>
      <c r="N13" s="101">
        <f t="shared" si="24"/>
        <v>0.26008535040341402</v>
      </c>
      <c r="O13" s="232">
        <v>5185</v>
      </c>
      <c r="P13" s="101">
        <f t="shared" si="25"/>
        <v>1.7286790691471626E-2</v>
      </c>
      <c r="Q13" s="232"/>
      <c r="R13" s="101">
        <f t="shared" si="6"/>
        <v>0</v>
      </c>
      <c r="S13" s="106">
        <f t="shared" si="7"/>
        <v>5185</v>
      </c>
      <c r="T13" s="101">
        <f t="shared" si="26"/>
        <v>1.7286790691471626E-2</v>
      </c>
      <c r="U13" s="232">
        <v>33107</v>
      </c>
      <c r="V13" s="101">
        <f t="shared" si="27"/>
        <v>0.11037874241514969</v>
      </c>
      <c r="W13" s="232">
        <v>11009</v>
      </c>
      <c r="X13" s="101">
        <f t="shared" si="28"/>
        <v>3.6704007468160299E-2</v>
      </c>
      <c r="Y13" s="232">
        <v>24596</v>
      </c>
      <c r="Z13" s="101">
        <f t="shared" si="29"/>
        <v>8.2003067280122688E-2</v>
      </c>
      <c r="AA13" s="232">
        <v>24316</v>
      </c>
      <c r="AB13" s="101">
        <f t="shared" si="12"/>
        <v>8.1069547242781884E-2</v>
      </c>
      <c r="AC13" s="106">
        <f t="shared" si="30"/>
        <v>48912</v>
      </c>
      <c r="AD13" s="101">
        <f t="shared" si="31"/>
        <v>0.16307261452290459</v>
      </c>
      <c r="AE13" s="232">
        <v>31543</v>
      </c>
      <c r="AF13" s="101">
        <f t="shared" si="32"/>
        <v>0.10516436620657464</v>
      </c>
      <c r="AG13" s="232">
        <v>14226</v>
      </c>
      <c r="AH13" s="101">
        <f t="shared" si="33"/>
        <v>4.7429485897179435E-2</v>
      </c>
      <c r="AI13" s="232">
        <v>50502</v>
      </c>
      <c r="AJ13" s="101">
        <f t="shared" si="34"/>
        <v>0.16837367473494699</v>
      </c>
      <c r="AK13" s="232">
        <v>27446</v>
      </c>
      <c r="AL13" s="101">
        <f t="shared" si="18"/>
        <v>9.1504967660198708E-2</v>
      </c>
    </row>
    <row r="14" spans="1:38" ht="14.25">
      <c r="B14" s="98"/>
      <c r="C14" s="83"/>
      <c r="D14" s="349">
        <f t="shared" si="19"/>
        <v>46211</v>
      </c>
      <c r="E14" s="349" t="s">
        <v>390</v>
      </c>
      <c r="F14" s="88">
        <f t="shared" si="20"/>
        <v>281251</v>
      </c>
      <c r="G14" s="281"/>
      <c r="H14" s="329"/>
      <c r="I14" s="232">
        <v>30846</v>
      </c>
      <c r="J14" s="101">
        <f t="shared" si="21"/>
        <v>0.10967427671368279</v>
      </c>
      <c r="K14" s="232">
        <v>45332</v>
      </c>
      <c r="L14" s="101">
        <f t="shared" si="22"/>
        <v>0.16117987136045739</v>
      </c>
      <c r="M14" s="106">
        <f t="shared" si="23"/>
        <v>76178</v>
      </c>
      <c r="N14" s="101">
        <f t="shared" si="24"/>
        <v>0.27085414807414016</v>
      </c>
      <c r="O14" s="232">
        <v>5180</v>
      </c>
      <c r="P14" s="101">
        <f t="shared" si="25"/>
        <v>1.8417712292578516E-2</v>
      </c>
      <c r="Q14" s="232"/>
      <c r="R14" s="101">
        <f t="shared" si="6"/>
        <v>0</v>
      </c>
      <c r="S14" s="106">
        <f t="shared" si="7"/>
        <v>5180</v>
      </c>
      <c r="T14" s="101">
        <f t="shared" si="26"/>
        <v>1.8417712292578516E-2</v>
      </c>
      <c r="U14" s="232">
        <v>29243</v>
      </c>
      <c r="V14" s="101">
        <f t="shared" si="27"/>
        <v>0.1039747414231416</v>
      </c>
      <c r="W14" s="232">
        <v>7605</v>
      </c>
      <c r="X14" s="101">
        <f t="shared" si="28"/>
        <v>2.7039903858119614E-2</v>
      </c>
      <c r="Y14" s="232">
        <v>24759</v>
      </c>
      <c r="Z14" s="101">
        <f t="shared" si="29"/>
        <v>8.8031686998446226E-2</v>
      </c>
      <c r="AA14" s="232">
        <v>23840</v>
      </c>
      <c r="AB14" s="101">
        <f t="shared" si="12"/>
        <v>8.4764143060824679E-2</v>
      </c>
      <c r="AC14" s="106">
        <f t="shared" si="30"/>
        <v>48599</v>
      </c>
      <c r="AD14" s="101">
        <f t="shared" si="31"/>
        <v>0.17279583005927091</v>
      </c>
      <c r="AE14" s="232">
        <v>27372</v>
      </c>
      <c r="AF14" s="101">
        <f t="shared" si="32"/>
        <v>9.7322320631748865E-2</v>
      </c>
      <c r="AG14" s="232">
        <v>13493</v>
      </c>
      <c r="AH14" s="101">
        <f t="shared" si="33"/>
        <v>4.7974940533544772E-2</v>
      </c>
      <c r="AI14" s="232">
        <v>46093</v>
      </c>
      <c r="AJ14" s="101">
        <f t="shared" si="34"/>
        <v>0.16388563951772617</v>
      </c>
      <c r="AK14" s="232">
        <v>27488</v>
      </c>
      <c r="AL14" s="101">
        <f>AK14/F14</f>
        <v>9.7734763609729394E-2</v>
      </c>
    </row>
    <row r="15" spans="1:38" ht="14.25">
      <c r="B15" s="98"/>
      <c r="C15" s="83"/>
      <c r="D15" s="349">
        <f t="shared" si="19"/>
        <v>46212</v>
      </c>
      <c r="E15" s="349" t="s">
        <v>391</v>
      </c>
      <c r="F15" s="88">
        <f t="shared" si="20"/>
        <v>269872</v>
      </c>
      <c r="G15" s="281"/>
      <c r="H15" s="329"/>
      <c r="I15" s="232">
        <v>29074</v>
      </c>
      <c r="J15" s="101">
        <f t="shared" si="21"/>
        <v>0.107732554692595</v>
      </c>
      <c r="K15" s="232">
        <v>41191</v>
      </c>
      <c r="L15" s="101">
        <f t="shared" si="22"/>
        <v>0.15263161795221439</v>
      </c>
      <c r="M15" s="106">
        <f t="shared" si="23"/>
        <v>70265</v>
      </c>
      <c r="N15" s="101">
        <f t="shared" si="24"/>
        <v>0.26036417264480938</v>
      </c>
      <c r="O15" s="232">
        <v>5078</v>
      </c>
      <c r="P15" s="101">
        <f t="shared" si="25"/>
        <v>1.8816327740558487E-2</v>
      </c>
      <c r="Q15" s="232"/>
      <c r="R15" s="101">
        <f t="shared" si="6"/>
        <v>0</v>
      </c>
      <c r="S15" s="106">
        <f t="shared" si="7"/>
        <v>5078</v>
      </c>
      <c r="T15" s="101">
        <f t="shared" si="26"/>
        <v>1.8816327740558487E-2</v>
      </c>
      <c r="U15" s="232">
        <v>26242</v>
      </c>
      <c r="V15" s="101">
        <f t="shared" si="27"/>
        <v>9.7238690934961763E-2</v>
      </c>
      <c r="W15" s="232">
        <v>7555</v>
      </c>
      <c r="X15" s="101">
        <f t="shared" si="28"/>
        <v>2.7994753068121183E-2</v>
      </c>
      <c r="Y15" s="232">
        <v>26089</v>
      </c>
      <c r="Z15" s="101">
        <f t="shared" si="29"/>
        <v>9.6671755498903181E-2</v>
      </c>
      <c r="AA15" s="232">
        <v>20289</v>
      </c>
      <c r="AB15" s="101">
        <f t="shared" si="12"/>
        <v>7.518008537380684E-2</v>
      </c>
      <c r="AC15" s="106">
        <f t="shared" si="30"/>
        <v>46378</v>
      </c>
      <c r="AD15" s="101">
        <f t="shared" si="31"/>
        <v>0.17185184087271002</v>
      </c>
      <c r="AE15" s="232">
        <v>26647</v>
      </c>
      <c r="AF15" s="101">
        <f t="shared" si="32"/>
        <v>9.8739402383352104E-2</v>
      </c>
      <c r="AG15" s="232">
        <v>15152</v>
      </c>
      <c r="AH15" s="101">
        <f t="shared" si="33"/>
        <v>5.6145135471630997E-2</v>
      </c>
      <c r="AI15" s="232">
        <v>43111</v>
      </c>
      <c r="AJ15" s="101">
        <f t="shared" si="34"/>
        <v>0.15974610185569454</v>
      </c>
      <c r="AK15" s="232">
        <v>29444</v>
      </c>
      <c r="AL15" s="101">
        <f t="shared" ref="AL15:AL33" si="35">AK15/F15</f>
        <v>0.1091035750281615</v>
      </c>
    </row>
    <row r="16" spans="1:38" ht="14.25">
      <c r="B16" s="98"/>
      <c r="C16" s="83"/>
      <c r="D16" s="349">
        <f t="shared" si="19"/>
        <v>46213</v>
      </c>
      <c r="E16" s="349" t="s">
        <v>392</v>
      </c>
      <c r="F16" s="88">
        <f t="shared" si="20"/>
        <v>221106</v>
      </c>
      <c r="G16" s="281"/>
      <c r="H16" s="329"/>
      <c r="I16" s="232">
        <v>24363</v>
      </c>
      <c r="J16" s="101">
        <f t="shared" si="21"/>
        <v>0.11018696914602046</v>
      </c>
      <c r="K16" s="232">
        <v>37252</v>
      </c>
      <c r="L16" s="101">
        <f t="shared" si="22"/>
        <v>0.16848027642850036</v>
      </c>
      <c r="M16" s="106">
        <f t="shared" si="23"/>
        <v>61615</v>
      </c>
      <c r="N16" s="101">
        <f t="shared" si="24"/>
        <v>0.27866724557452083</v>
      </c>
      <c r="O16" s="232">
        <v>4218</v>
      </c>
      <c r="P16" s="101">
        <f t="shared" si="25"/>
        <v>1.9076822881332934E-2</v>
      </c>
      <c r="Q16" s="232"/>
      <c r="R16" s="101">
        <f t="shared" si="6"/>
        <v>0</v>
      </c>
      <c r="S16" s="106">
        <f t="shared" si="7"/>
        <v>4218</v>
      </c>
      <c r="T16" s="101">
        <f t="shared" si="26"/>
        <v>1.9076822881332934E-2</v>
      </c>
      <c r="U16" s="232">
        <v>22465</v>
      </c>
      <c r="V16" s="101">
        <f t="shared" si="27"/>
        <v>0.1016028511211817</v>
      </c>
      <c r="W16" s="232">
        <v>3234</v>
      </c>
      <c r="X16" s="101">
        <f t="shared" si="28"/>
        <v>1.4626468752544029E-2</v>
      </c>
      <c r="Y16" s="232">
        <v>23399</v>
      </c>
      <c r="Z16" s="101">
        <f t="shared" si="29"/>
        <v>0.10582706936944271</v>
      </c>
      <c r="AA16" s="232">
        <v>18132</v>
      </c>
      <c r="AB16" s="101">
        <f t="shared" si="12"/>
        <v>8.2005915714634614E-2</v>
      </c>
      <c r="AC16" s="106">
        <f t="shared" si="30"/>
        <v>41531</v>
      </c>
      <c r="AD16" s="101">
        <f t="shared" si="31"/>
        <v>0.18783298508407731</v>
      </c>
      <c r="AE16" s="232">
        <v>21121</v>
      </c>
      <c r="AF16" s="101">
        <f t="shared" si="32"/>
        <v>9.5524318652591964E-2</v>
      </c>
      <c r="AG16" s="232">
        <v>10563</v>
      </c>
      <c r="AH16" s="101">
        <f t="shared" si="33"/>
        <v>4.7773466120322378E-2</v>
      </c>
      <c r="AI16" s="232">
        <v>35531</v>
      </c>
      <c r="AJ16" s="101">
        <f t="shared" si="34"/>
        <v>0.16069667942073032</v>
      </c>
      <c r="AK16" s="232">
        <v>20828</v>
      </c>
      <c r="AL16" s="101">
        <f t="shared" si="35"/>
        <v>9.4199162392698529E-2</v>
      </c>
    </row>
    <row r="17" spans="2:38" ht="14.25">
      <c r="B17" s="98"/>
      <c r="C17" s="83"/>
      <c r="D17" s="349">
        <f t="shared" si="19"/>
        <v>46214</v>
      </c>
      <c r="E17" s="349" t="s">
        <v>393</v>
      </c>
      <c r="F17" s="88">
        <f t="shared" si="20"/>
        <v>233330</v>
      </c>
      <c r="G17" s="281"/>
      <c r="H17" s="329"/>
      <c r="I17" s="232">
        <v>23194</v>
      </c>
      <c r="J17" s="101">
        <f t="shared" si="21"/>
        <v>9.9404277203960056E-2</v>
      </c>
      <c r="K17" s="232">
        <v>40889</v>
      </c>
      <c r="L17" s="101">
        <f t="shared" si="22"/>
        <v>0.17524107487249818</v>
      </c>
      <c r="M17" s="106">
        <f t="shared" si="23"/>
        <v>64083</v>
      </c>
      <c r="N17" s="101">
        <f t="shared" si="24"/>
        <v>0.27464535207645824</v>
      </c>
      <c r="O17" s="232">
        <v>3957</v>
      </c>
      <c r="P17" s="101">
        <f t="shared" si="25"/>
        <v>1.6958813697338534E-2</v>
      </c>
      <c r="Q17" s="232"/>
      <c r="R17" s="101">
        <f t="shared" si="6"/>
        <v>0</v>
      </c>
      <c r="S17" s="106">
        <f t="shared" si="7"/>
        <v>3957</v>
      </c>
      <c r="T17" s="101">
        <f t="shared" si="26"/>
        <v>1.6958813697338534E-2</v>
      </c>
      <c r="U17" s="232">
        <v>21974</v>
      </c>
      <c r="V17" s="101">
        <f t="shared" si="27"/>
        <v>9.4175631080444008E-2</v>
      </c>
      <c r="W17" s="232">
        <v>4725</v>
      </c>
      <c r="X17" s="101">
        <f t="shared" si="28"/>
        <v>2.0250289289846998E-2</v>
      </c>
      <c r="Y17" s="232">
        <v>23874</v>
      </c>
      <c r="Z17" s="101">
        <f t="shared" si="29"/>
        <v>0.10231860455149359</v>
      </c>
      <c r="AA17" s="232">
        <v>19591</v>
      </c>
      <c r="AB17" s="101">
        <f t="shared" si="12"/>
        <v>8.3962628037543396E-2</v>
      </c>
      <c r="AC17" s="106">
        <f t="shared" si="30"/>
        <v>43465</v>
      </c>
      <c r="AD17" s="101">
        <f t="shared" si="31"/>
        <v>0.18628123258903698</v>
      </c>
      <c r="AE17" s="232">
        <v>23515</v>
      </c>
      <c r="AF17" s="101">
        <f t="shared" si="32"/>
        <v>0.10078001114301632</v>
      </c>
      <c r="AG17" s="232">
        <v>12094</v>
      </c>
      <c r="AH17" s="101">
        <f t="shared" si="33"/>
        <v>5.1832169030986155E-2</v>
      </c>
      <c r="AI17" s="232">
        <v>38679</v>
      </c>
      <c r="AJ17" s="101">
        <f t="shared" si="34"/>
        <v>0.16576951099301418</v>
      </c>
      <c r="AK17" s="232">
        <v>20838</v>
      </c>
      <c r="AL17" s="101">
        <f t="shared" si="35"/>
        <v>8.9306990099858569E-2</v>
      </c>
    </row>
    <row r="18" spans="2:38" ht="14.25">
      <c r="B18" s="98"/>
      <c r="C18" s="83"/>
      <c r="D18" s="349">
        <f t="shared" si="19"/>
        <v>46215</v>
      </c>
      <c r="E18" s="349" t="s">
        <v>394</v>
      </c>
      <c r="F18" s="88">
        <f t="shared" si="20"/>
        <v>277272</v>
      </c>
      <c r="G18" s="281"/>
      <c r="H18" s="329"/>
      <c r="I18" s="232">
        <v>29004</v>
      </c>
      <c r="J18" s="101">
        <f t="shared" si="21"/>
        <v>0.1046048645373496</v>
      </c>
      <c r="K18" s="232">
        <v>44094</v>
      </c>
      <c r="L18" s="101">
        <f t="shared" si="22"/>
        <v>0.15902795810611961</v>
      </c>
      <c r="M18" s="106">
        <f t="shared" si="23"/>
        <v>73098</v>
      </c>
      <c r="N18" s="101">
        <f t="shared" si="24"/>
        <v>0.26363282264346921</v>
      </c>
      <c r="O18" s="232">
        <v>5159</v>
      </c>
      <c r="P18" s="101">
        <f t="shared" si="25"/>
        <v>1.8606278311549668E-2</v>
      </c>
      <c r="Q18" s="232"/>
      <c r="R18" s="101">
        <f t="shared" si="6"/>
        <v>0</v>
      </c>
      <c r="S18" s="106">
        <f t="shared" si="7"/>
        <v>5159</v>
      </c>
      <c r="T18" s="101">
        <f t="shared" si="26"/>
        <v>1.8606278311549668E-2</v>
      </c>
      <c r="U18" s="232">
        <v>27419</v>
      </c>
      <c r="V18" s="101">
        <f t="shared" si="27"/>
        <v>9.8888456100868466E-2</v>
      </c>
      <c r="W18" s="232">
        <v>7599</v>
      </c>
      <c r="X18" s="101">
        <f t="shared" si="28"/>
        <v>2.7406301393577425E-2</v>
      </c>
      <c r="Y18" s="232">
        <v>27686</v>
      </c>
      <c r="Z18" s="101">
        <f t="shared" si="29"/>
        <v>9.9851409446319858E-2</v>
      </c>
      <c r="AA18" s="232">
        <v>23091</v>
      </c>
      <c r="AB18" s="101">
        <f t="shared" si="12"/>
        <v>8.3279234830779883E-2</v>
      </c>
      <c r="AC18" s="106">
        <f t="shared" si="30"/>
        <v>50777</v>
      </c>
      <c r="AD18" s="101">
        <f t="shared" si="31"/>
        <v>0.18313064427709974</v>
      </c>
      <c r="AE18" s="232">
        <v>31015</v>
      </c>
      <c r="AF18" s="101">
        <f t="shared" si="32"/>
        <v>0.11185767044634871</v>
      </c>
      <c r="AG18" s="232">
        <v>15442</v>
      </c>
      <c r="AH18" s="101">
        <f t="shared" si="33"/>
        <v>5.5692605095357624E-2</v>
      </c>
      <c r="AI18" s="232">
        <v>42764</v>
      </c>
      <c r="AJ18" s="101">
        <f t="shared" si="34"/>
        <v>0.15423122421304711</v>
      </c>
      <c r="AK18" s="232">
        <v>23999</v>
      </c>
      <c r="AL18" s="101">
        <f t="shared" si="35"/>
        <v>8.6553997518682022E-2</v>
      </c>
    </row>
    <row r="19" spans="2:38" ht="14.25">
      <c r="B19" s="98"/>
      <c r="C19" s="83"/>
      <c r="D19" s="349">
        <f t="shared" si="19"/>
        <v>46216</v>
      </c>
      <c r="E19" s="349" t="s">
        <v>388</v>
      </c>
      <c r="F19" s="88">
        <f t="shared" si="20"/>
        <v>274460</v>
      </c>
      <c r="G19" s="281"/>
      <c r="H19" s="329"/>
      <c r="I19" s="232">
        <v>28132</v>
      </c>
      <c r="J19" s="101">
        <f t="shared" si="21"/>
        <v>0.10249945347227282</v>
      </c>
      <c r="K19" s="232">
        <v>42677</v>
      </c>
      <c r="L19" s="101">
        <f t="shared" si="22"/>
        <v>0.15549442541718284</v>
      </c>
      <c r="M19" s="106">
        <f t="shared" si="23"/>
        <v>70809</v>
      </c>
      <c r="N19" s="101">
        <f t="shared" si="24"/>
        <v>0.25799387888945569</v>
      </c>
      <c r="O19" s="232">
        <v>4976</v>
      </c>
      <c r="P19" s="101">
        <f t="shared" si="25"/>
        <v>1.8130146469430883E-2</v>
      </c>
      <c r="Q19" s="232"/>
      <c r="R19" s="101">
        <f t="shared" si="6"/>
        <v>0</v>
      </c>
      <c r="S19" s="106">
        <f t="shared" si="7"/>
        <v>4976</v>
      </c>
      <c r="T19" s="101">
        <f t="shared" si="26"/>
        <v>1.8130146469430883E-2</v>
      </c>
      <c r="U19" s="232">
        <v>28620</v>
      </c>
      <c r="V19" s="101">
        <f t="shared" si="27"/>
        <v>0.10427749034467682</v>
      </c>
      <c r="W19" s="232">
        <v>6824</v>
      </c>
      <c r="X19" s="101">
        <f t="shared" si="28"/>
        <v>2.4863368068206659E-2</v>
      </c>
      <c r="Y19" s="232">
        <v>27054</v>
      </c>
      <c r="Z19" s="101">
        <f t="shared" si="29"/>
        <v>9.8571740872986952E-2</v>
      </c>
      <c r="AA19" s="232">
        <v>28320</v>
      </c>
      <c r="AB19" s="101">
        <f t="shared" si="12"/>
        <v>0.10318443489033011</v>
      </c>
      <c r="AC19" s="106">
        <f t="shared" si="30"/>
        <v>55374</v>
      </c>
      <c r="AD19" s="101">
        <f t="shared" si="31"/>
        <v>0.20175617576331706</v>
      </c>
      <c r="AE19" s="232">
        <v>28265</v>
      </c>
      <c r="AF19" s="101">
        <f t="shared" si="32"/>
        <v>0.10298404139036654</v>
      </c>
      <c r="AG19" s="232">
        <v>15507</v>
      </c>
      <c r="AH19" s="101">
        <f t="shared" si="33"/>
        <v>5.6500036435181811E-2</v>
      </c>
      <c r="AI19" s="232">
        <v>37505</v>
      </c>
      <c r="AJ19" s="101">
        <f t="shared" si="34"/>
        <v>0.13665014938424544</v>
      </c>
      <c r="AK19" s="232">
        <v>26580</v>
      </c>
      <c r="AL19" s="101">
        <f t="shared" si="35"/>
        <v>9.6844713255119147E-2</v>
      </c>
    </row>
    <row r="20" spans="2:38" ht="14.25">
      <c r="B20" s="98"/>
      <c r="C20" s="83"/>
      <c r="D20" s="279">
        <f t="shared" si="19"/>
        <v>46217</v>
      </c>
      <c r="E20" s="279" t="s">
        <v>389</v>
      </c>
      <c r="F20" s="88">
        <f t="shared" si="20"/>
        <v>267652</v>
      </c>
      <c r="G20" s="281"/>
      <c r="H20" s="329"/>
      <c r="I20" s="232">
        <v>31183</v>
      </c>
      <c r="J20" s="101">
        <f t="shared" si="21"/>
        <v>0.11650576121232048</v>
      </c>
      <c r="K20" s="232">
        <v>41526</v>
      </c>
      <c r="L20" s="101">
        <f t="shared" si="22"/>
        <v>0.15514922361872879</v>
      </c>
      <c r="M20" s="106">
        <f t="shared" si="23"/>
        <v>72709</v>
      </c>
      <c r="N20" s="101">
        <f t="shared" si="24"/>
        <v>0.27165498483104927</v>
      </c>
      <c r="O20" s="232">
        <v>4883</v>
      </c>
      <c r="P20" s="101">
        <f t="shared" si="25"/>
        <v>1.8243839014840165E-2</v>
      </c>
      <c r="Q20" s="232"/>
      <c r="R20" s="101">
        <f t="shared" si="6"/>
        <v>0</v>
      </c>
      <c r="S20" s="106">
        <f t="shared" si="7"/>
        <v>4883</v>
      </c>
      <c r="T20" s="101">
        <f t="shared" si="26"/>
        <v>1.8243839014840165E-2</v>
      </c>
      <c r="U20" s="232">
        <v>35856</v>
      </c>
      <c r="V20" s="101">
        <f t="shared" si="27"/>
        <v>0.13396499932748493</v>
      </c>
      <c r="W20" s="232">
        <v>4986</v>
      </c>
      <c r="X20" s="101">
        <f t="shared" si="28"/>
        <v>1.8628667075157295E-2</v>
      </c>
      <c r="Y20" s="232">
        <v>26499</v>
      </c>
      <c r="Z20" s="101">
        <f t="shared" si="29"/>
        <v>9.9005424954792046E-2</v>
      </c>
      <c r="AA20" s="232">
        <v>24316</v>
      </c>
      <c r="AB20" s="101">
        <f t="shared" si="12"/>
        <v>9.0849311792925144E-2</v>
      </c>
      <c r="AC20" s="106">
        <f t="shared" si="30"/>
        <v>50815</v>
      </c>
      <c r="AD20" s="101">
        <f t="shared" si="31"/>
        <v>0.18985473674771719</v>
      </c>
      <c r="AE20" s="232">
        <v>27135</v>
      </c>
      <c r="AF20" s="101">
        <f t="shared" si="32"/>
        <v>0.10138164482238129</v>
      </c>
      <c r="AG20" s="232">
        <v>14469</v>
      </c>
      <c r="AH20" s="101">
        <f t="shared" si="33"/>
        <v>5.4059001987655612E-2</v>
      </c>
      <c r="AI20" s="232">
        <v>32304</v>
      </c>
      <c r="AJ20" s="101">
        <f t="shared" si="34"/>
        <v>0.12069403553868456</v>
      </c>
      <c r="AK20" s="232">
        <v>24495</v>
      </c>
      <c r="AL20" s="101">
        <f t="shared" si="35"/>
        <v>9.1518090655029666E-2</v>
      </c>
    </row>
    <row r="21" spans="2:38" ht="14.25">
      <c r="B21" s="98"/>
      <c r="C21" s="83"/>
      <c r="D21" s="279">
        <f t="shared" si="19"/>
        <v>46218</v>
      </c>
      <c r="E21" s="279" t="s">
        <v>390</v>
      </c>
      <c r="F21" s="88">
        <f t="shared" si="20"/>
        <v>240825</v>
      </c>
      <c r="G21" s="281"/>
      <c r="H21" s="329"/>
      <c r="I21" s="232">
        <v>28818</v>
      </c>
      <c r="J21" s="101">
        <f t="shared" si="21"/>
        <v>0.1196636561818748</v>
      </c>
      <c r="K21" s="232">
        <v>39775</v>
      </c>
      <c r="L21" s="101">
        <f t="shared" si="22"/>
        <v>0.16516142427073602</v>
      </c>
      <c r="M21" s="106">
        <f t="shared" si="23"/>
        <v>68593</v>
      </c>
      <c r="N21" s="101">
        <f t="shared" si="24"/>
        <v>0.28482508045261079</v>
      </c>
      <c r="O21" s="232">
        <v>4787</v>
      </c>
      <c r="P21" s="101">
        <f t="shared" si="25"/>
        <v>1.9877504411917369E-2</v>
      </c>
      <c r="Q21" s="232"/>
      <c r="R21" s="101">
        <f t="shared" si="6"/>
        <v>0</v>
      </c>
      <c r="S21" s="106">
        <f t="shared" si="7"/>
        <v>4787</v>
      </c>
      <c r="T21" s="101">
        <f t="shared" si="26"/>
        <v>1.9877504411917369E-2</v>
      </c>
      <c r="U21" s="232">
        <v>20860</v>
      </c>
      <c r="V21" s="101">
        <f t="shared" si="27"/>
        <v>8.6618914149278525E-2</v>
      </c>
      <c r="W21" s="232">
        <v>3171</v>
      </c>
      <c r="X21" s="101">
        <f t="shared" si="28"/>
        <v>1.3167237620678916E-2</v>
      </c>
      <c r="Y21" s="232">
        <v>26849</v>
      </c>
      <c r="Z21" s="101">
        <f t="shared" si="29"/>
        <v>0.11148759472646112</v>
      </c>
      <c r="AA21" s="232">
        <v>22493</v>
      </c>
      <c r="AB21" s="101">
        <f t="shared" si="12"/>
        <v>9.3399771618395105E-2</v>
      </c>
      <c r="AC21" s="106">
        <f t="shared" si="30"/>
        <v>49342</v>
      </c>
      <c r="AD21" s="101">
        <f t="shared" si="31"/>
        <v>0.20488736634485621</v>
      </c>
      <c r="AE21" s="232">
        <v>24651</v>
      </c>
      <c r="AF21" s="101">
        <f t="shared" si="32"/>
        <v>0.1023606353161009</v>
      </c>
      <c r="AG21" s="232">
        <v>13750</v>
      </c>
      <c r="AH21" s="101">
        <f t="shared" si="33"/>
        <v>5.7095401224955884E-2</v>
      </c>
      <c r="AI21" s="232">
        <v>32207</v>
      </c>
      <c r="AJ21" s="101">
        <f t="shared" si="34"/>
        <v>0.13373611543652031</v>
      </c>
      <c r="AK21" s="232">
        <v>23464</v>
      </c>
      <c r="AL21" s="101">
        <f t="shared" si="35"/>
        <v>9.7431745043081081E-2</v>
      </c>
    </row>
    <row r="22" spans="2:38" ht="14.25">
      <c r="B22" s="98"/>
      <c r="C22" s="83"/>
      <c r="D22" s="279">
        <f t="shared" si="19"/>
        <v>46219</v>
      </c>
      <c r="E22" s="279" t="s">
        <v>391</v>
      </c>
      <c r="F22" s="88">
        <f t="shared" si="20"/>
        <v>234974</v>
      </c>
      <c r="G22" s="281"/>
      <c r="H22" s="329"/>
      <c r="I22" s="232">
        <v>27547</v>
      </c>
      <c r="J22" s="101">
        <f t="shared" si="21"/>
        <v>0.1172342471933065</v>
      </c>
      <c r="K22" s="232">
        <v>36434</v>
      </c>
      <c r="L22" s="101">
        <f t="shared" si="22"/>
        <v>0.15505545294372994</v>
      </c>
      <c r="M22" s="106">
        <f t="shared" si="23"/>
        <v>63981</v>
      </c>
      <c r="N22" s="101">
        <f t="shared" si="24"/>
        <v>0.27228970013703646</v>
      </c>
      <c r="O22" s="232">
        <v>4789</v>
      </c>
      <c r="P22" s="101">
        <f t="shared" si="25"/>
        <v>2.038097832100573E-2</v>
      </c>
      <c r="Q22" s="232"/>
      <c r="R22" s="101">
        <f t="shared" si="6"/>
        <v>0</v>
      </c>
      <c r="S22" s="106">
        <f t="shared" si="7"/>
        <v>4789</v>
      </c>
      <c r="T22" s="101">
        <f t="shared" si="26"/>
        <v>2.038097832100573E-2</v>
      </c>
      <c r="U22" s="232">
        <v>28285</v>
      </c>
      <c r="V22" s="101">
        <f t="shared" si="27"/>
        <v>0.12037502021500252</v>
      </c>
      <c r="W22" s="232">
        <v>4616</v>
      </c>
      <c r="X22" s="101">
        <f t="shared" si="28"/>
        <v>1.9644726650608152E-2</v>
      </c>
      <c r="Y22" s="232">
        <v>25588</v>
      </c>
      <c r="Z22" s="101">
        <f t="shared" si="29"/>
        <v>0.10889715457880446</v>
      </c>
      <c r="AA22" s="232">
        <v>18178</v>
      </c>
      <c r="AB22" s="101">
        <f t="shared" si="12"/>
        <v>7.736175066177535E-2</v>
      </c>
      <c r="AC22" s="106">
        <f t="shared" si="30"/>
        <v>43766</v>
      </c>
      <c r="AD22" s="101">
        <f t="shared" si="31"/>
        <v>0.18625890524057981</v>
      </c>
      <c r="AE22" s="232">
        <v>22732</v>
      </c>
      <c r="AF22" s="101">
        <f t="shared" si="32"/>
        <v>9.6742618332241015E-2</v>
      </c>
      <c r="AG22" s="232">
        <v>12798</v>
      </c>
      <c r="AH22" s="101">
        <f t="shared" si="33"/>
        <v>5.4465600449411428E-2</v>
      </c>
      <c r="AI22" s="232">
        <v>31318</v>
      </c>
      <c r="AJ22" s="101">
        <f t="shared" si="34"/>
        <v>0.13328283129197274</v>
      </c>
      <c r="AK22" s="232">
        <v>22689</v>
      </c>
      <c r="AL22" s="101">
        <f t="shared" si="35"/>
        <v>9.6559619362142191E-2</v>
      </c>
    </row>
    <row r="23" spans="2:38" ht="14.25">
      <c r="B23" s="98"/>
      <c r="C23" s="83"/>
      <c r="D23" s="279">
        <f t="shared" si="19"/>
        <v>46220</v>
      </c>
      <c r="E23" s="279" t="s">
        <v>392</v>
      </c>
      <c r="F23" s="88">
        <f t="shared" si="20"/>
        <v>212382</v>
      </c>
      <c r="G23" s="281"/>
      <c r="H23" s="329"/>
      <c r="I23" s="232">
        <v>25016</v>
      </c>
      <c r="J23" s="101">
        <f t="shared" si="21"/>
        <v>0.11778775979131942</v>
      </c>
      <c r="K23" s="232">
        <v>34812</v>
      </c>
      <c r="L23" s="101">
        <f t="shared" si="22"/>
        <v>0.16391219594880921</v>
      </c>
      <c r="M23" s="106">
        <f t="shared" si="23"/>
        <v>59828</v>
      </c>
      <c r="N23" s="101">
        <f t="shared" si="24"/>
        <v>0.28169995574012863</v>
      </c>
      <c r="O23" s="232">
        <v>4152</v>
      </c>
      <c r="P23" s="101">
        <f t="shared" si="25"/>
        <v>1.9549679351357461E-2</v>
      </c>
      <c r="Q23" s="232"/>
      <c r="R23" s="101">
        <f t="shared" si="6"/>
        <v>0</v>
      </c>
      <c r="S23" s="106">
        <f t="shared" si="7"/>
        <v>4152</v>
      </c>
      <c r="T23" s="101">
        <f t="shared" si="26"/>
        <v>1.9549679351357461E-2</v>
      </c>
      <c r="U23" s="232">
        <v>21402</v>
      </c>
      <c r="V23" s="101">
        <f t="shared" si="27"/>
        <v>0.10077125180100008</v>
      </c>
      <c r="W23" s="232">
        <v>4592</v>
      </c>
      <c r="X23" s="101">
        <f t="shared" si="28"/>
        <v>2.1621418010942545E-2</v>
      </c>
      <c r="Y23" s="232">
        <v>20133</v>
      </c>
      <c r="Z23" s="101">
        <f t="shared" si="29"/>
        <v>9.4796169166878552E-2</v>
      </c>
      <c r="AA23" s="232">
        <v>19042</v>
      </c>
      <c r="AB23" s="101">
        <f t="shared" si="12"/>
        <v>8.9659198990498248E-2</v>
      </c>
      <c r="AC23" s="106">
        <f t="shared" si="30"/>
        <v>39175</v>
      </c>
      <c r="AD23" s="101">
        <f t="shared" si="31"/>
        <v>0.18445536815737681</v>
      </c>
      <c r="AE23" s="232">
        <v>20471</v>
      </c>
      <c r="AF23" s="101">
        <f t="shared" si="32"/>
        <v>9.6387641137196181E-2</v>
      </c>
      <c r="AG23" s="232">
        <v>9386</v>
      </c>
      <c r="AH23" s="101">
        <f t="shared" si="33"/>
        <v>4.419395240651279E-2</v>
      </c>
      <c r="AI23" s="232">
        <v>34848</v>
      </c>
      <c r="AJ23" s="101">
        <f t="shared" si="34"/>
        <v>0.16408170183913892</v>
      </c>
      <c r="AK23" s="232">
        <v>18528</v>
      </c>
      <c r="AL23" s="101">
        <f t="shared" si="35"/>
        <v>8.7239031556346588E-2</v>
      </c>
    </row>
    <row r="24" spans="2:38" ht="14.25">
      <c r="B24" s="98"/>
      <c r="C24" s="83"/>
      <c r="D24" s="279">
        <f t="shared" si="19"/>
        <v>46221</v>
      </c>
      <c r="E24" s="279" t="s">
        <v>393</v>
      </c>
      <c r="F24" s="88">
        <f t="shared" si="20"/>
        <v>218843</v>
      </c>
      <c r="G24" s="281"/>
      <c r="H24" s="329"/>
      <c r="I24" s="232">
        <v>23950</v>
      </c>
      <c r="J24" s="101">
        <f t="shared" si="21"/>
        <v>0.10943918699707096</v>
      </c>
      <c r="K24" s="232">
        <v>37809</v>
      </c>
      <c r="L24" s="101">
        <f t="shared" si="22"/>
        <v>0.17276769190698354</v>
      </c>
      <c r="M24" s="106">
        <f t="shared" si="23"/>
        <v>61759</v>
      </c>
      <c r="N24" s="101">
        <f t="shared" si="24"/>
        <v>0.28220687890405449</v>
      </c>
      <c r="O24" s="232">
        <v>3909</v>
      </c>
      <c r="P24" s="101">
        <f t="shared" si="25"/>
        <v>1.786212033284135E-2</v>
      </c>
      <c r="Q24" s="232"/>
      <c r="R24" s="101">
        <f t="shared" si="6"/>
        <v>0</v>
      </c>
      <c r="S24" s="106">
        <f t="shared" si="7"/>
        <v>3909</v>
      </c>
      <c r="T24" s="101">
        <f t="shared" si="26"/>
        <v>1.786212033284135E-2</v>
      </c>
      <c r="U24" s="232">
        <v>24361</v>
      </c>
      <c r="V24" s="101">
        <f t="shared" si="27"/>
        <v>0.11131724569668666</v>
      </c>
      <c r="W24" s="232">
        <v>3839</v>
      </c>
      <c r="X24" s="101">
        <f t="shared" si="28"/>
        <v>1.7542256320741353E-2</v>
      </c>
      <c r="Y24" s="232">
        <v>22798</v>
      </c>
      <c r="Z24" s="101">
        <f t="shared" si="29"/>
        <v>0.10417513925508241</v>
      </c>
      <c r="AA24" s="232">
        <v>20502</v>
      </c>
      <c r="AB24" s="101">
        <f t="shared" si="12"/>
        <v>9.3683599658202457E-2</v>
      </c>
      <c r="AC24" s="106">
        <f t="shared" si="30"/>
        <v>43300</v>
      </c>
      <c r="AD24" s="101">
        <f t="shared" si="31"/>
        <v>0.19785873891328487</v>
      </c>
      <c r="AE24" s="232">
        <v>20853</v>
      </c>
      <c r="AF24" s="101">
        <f t="shared" si="32"/>
        <v>9.5287489204589598E-2</v>
      </c>
      <c r="AG24" s="232">
        <v>10232</v>
      </c>
      <c r="AH24" s="101">
        <f t="shared" si="33"/>
        <v>4.6754979597245512E-2</v>
      </c>
      <c r="AI24" s="232">
        <v>32141</v>
      </c>
      <c r="AJ24" s="101">
        <f t="shared" si="34"/>
        <v>0.14686784589865795</v>
      </c>
      <c r="AK24" s="232">
        <v>18449</v>
      </c>
      <c r="AL24" s="101">
        <f t="shared" si="35"/>
        <v>8.4302445131898204E-2</v>
      </c>
    </row>
    <row r="25" spans="2:38" ht="14.25">
      <c r="B25" s="98"/>
      <c r="C25" s="83"/>
      <c r="D25" s="279">
        <f t="shared" si="19"/>
        <v>46222</v>
      </c>
      <c r="E25" s="279" t="s">
        <v>394</v>
      </c>
      <c r="F25" s="88">
        <f t="shared" si="20"/>
        <v>262074</v>
      </c>
      <c r="G25" s="281"/>
      <c r="H25" s="329"/>
      <c r="I25" s="232">
        <v>29438</v>
      </c>
      <c r="J25" s="101">
        <f t="shared" si="21"/>
        <v>0.11232705266451461</v>
      </c>
      <c r="K25" s="232">
        <v>40995</v>
      </c>
      <c r="L25" s="101">
        <f t="shared" si="22"/>
        <v>0.15642528446164061</v>
      </c>
      <c r="M25" s="106">
        <f t="shared" si="23"/>
        <v>70433</v>
      </c>
      <c r="N25" s="101">
        <f t="shared" si="24"/>
        <v>0.26875233712615521</v>
      </c>
      <c r="O25" s="232">
        <v>4838</v>
      </c>
      <c r="P25" s="101">
        <f t="shared" si="25"/>
        <v>1.8460434839014935E-2</v>
      </c>
      <c r="Q25" s="232"/>
      <c r="R25" s="101">
        <f t="shared" si="6"/>
        <v>0</v>
      </c>
      <c r="S25" s="106">
        <f t="shared" si="7"/>
        <v>4838</v>
      </c>
      <c r="T25" s="101">
        <f t="shared" si="26"/>
        <v>1.8460434839014935E-2</v>
      </c>
      <c r="U25" s="232">
        <v>32484</v>
      </c>
      <c r="V25" s="101">
        <f t="shared" si="27"/>
        <v>0.12394972412372078</v>
      </c>
      <c r="W25" s="232">
        <v>4656</v>
      </c>
      <c r="X25" s="101">
        <f t="shared" si="28"/>
        <v>1.7765974495753109E-2</v>
      </c>
      <c r="Y25" s="232">
        <v>28013</v>
      </c>
      <c r="Z25" s="101">
        <f t="shared" si="29"/>
        <v>0.10688965711974481</v>
      </c>
      <c r="AA25" s="232">
        <v>22110</v>
      </c>
      <c r="AB25" s="101">
        <f t="shared" si="12"/>
        <v>8.4365484557796647E-2</v>
      </c>
      <c r="AC25" s="106">
        <f t="shared" si="30"/>
        <v>50123</v>
      </c>
      <c r="AD25" s="101">
        <f t="shared" si="31"/>
        <v>0.19125514167754146</v>
      </c>
      <c r="AE25" s="232">
        <v>27863</v>
      </c>
      <c r="AF25" s="101">
        <f t="shared" si="32"/>
        <v>0.10631729969397956</v>
      </c>
      <c r="AG25" s="232">
        <v>14233</v>
      </c>
      <c r="AH25" s="101">
        <f t="shared" si="33"/>
        <v>5.4309088272777917E-2</v>
      </c>
      <c r="AI25" s="232">
        <v>33524</v>
      </c>
      <c r="AJ25" s="101">
        <f t="shared" si="34"/>
        <v>0.1279180689423598</v>
      </c>
      <c r="AK25" s="232">
        <v>23920</v>
      </c>
      <c r="AL25" s="101">
        <f t="shared" si="35"/>
        <v>9.1271930828697237E-2</v>
      </c>
    </row>
    <row r="26" spans="2:38" ht="14.25">
      <c r="B26" s="98"/>
      <c r="C26" s="83"/>
      <c r="D26" s="279">
        <f t="shared" si="19"/>
        <v>46223</v>
      </c>
      <c r="E26" s="279" t="s">
        <v>388</v>
      </c>
      <c r="F26" s="88">
        <f t="shared" si="20"/>
        <v>256394</v>
      </c>
      <c r="G26" s="281"/>
      <c r="H26" s="329"/>
      <c r="I26" s="324">
        <v>28684</v>
      </c>
      <c r="J26" s="325">
        <f t="shared" si="21"/>
        <v>0.11187469285552704</v>
      </c>
      <c r="K26" s="324">
        <v>40821</v>
      </c>
      <c r="L26" s="325">
        <f t="shared" si="22"/>
        <v>0.15921199404042216</v>
      </c>
      <c r="M26" s="326">
        <f t="shared" si="23"/>
        <v>69505</v>
      </c>
      <c r="N26" s="325">
        <f t="shared" si="24"/>
        <v>0.27108668689594922</v>
      </c>
      <c r="O26" s="324">
        <v>4840</v>
      </c>
      <c r="P26" s="325">
        <f t="shared" si="25"/>
        <v>1.8877196814278026E-2</v>
      </c>
      <c r="Q26" s="324"/>
      <c r="R26" s="325">
        <f t="shared" si="6"/>
        <v>0</v>
      </c>
      <c r="S26" s="326">
        <f t="shared" si="7"/>
        <v>4840</v>
      </c>
      <c r="T26" s="325">
        <f t="shared" si="26"/>
        <v>1.8877196814278026E-2</v>
      </c>
      <c r="U26" s="324">
        <v>28424</v>
      </c>
      <c r="V26" s="325">
        <f t="shared" si="27"/>
        <v>0.11086062856385095</v>
      </c>
      <c r="W26" s="324">
        <v>4934</v>
      </c>
      <c r="X26" s="325">
        <f t="shared" si="28"/>
        <v>1.9243820058191689E-2</v>
      </c>
      <c r="Y26" s="324">
        <v>25271</v>
      </c>
      <c r="Z26" s="325">
        <f t="shared" si="29"/>
        <v>9.8563148903640485E-2</v>
      </c>
      <c r="AA26" s="324">
        <v>25664</v>
      </c>
      <c r="AB26" s="325">
        <f t="shared" si="12"/>
        <v>0.10009594608298165</v>
      </c>
      <c r="AC26" s="326">
        <f t="shared" si="30"/>
        <v>50935</v>
      </c>
      <c r="AD26" s="325">
        <f t="shared" si="31"/>
        <v>0.19865909498662215</v>
      </c>
      <c r="AE26" s="324">
        <v>25390</v>
      </c>
      <c r="AF26" s="325">
        <f t="shared" si="32"/>
        <v>9.9027278329446092E-2</v>
      </c>
      <c r="AG26" s="324">
        <v>14121</v>
      </c>
      <c r="AH26" s="325">
        <f t="shared" si="33"/>
        <v>5.5075391779838841E-2</v>
      </c>
      <c r="AI26" s="324">
        <v>31936</v>
      </c>
      <c r="AJ26" s="325">
        <f t="shared" si="34"/>
        <v>0.12455829699602955</v>
      </c>
      <c r="AK26" s="324">
        <v>26309</v>
      </c>
      <c r="AL26" s="101">
        <f t="shared" si="35"/>
        <v>0.1026116055757935</v>
      </c>
    </row>
    <row r="27" spans="2:38" ht="14.25">
      <c r="B27" s="98"/>
      <c r="C27" s="83"/>
      <c r="D27" s="349">
        <f t="shared" si="19"/>
        <v>46224</v>
      </c>
      <c r="E27" s="349" t="s">
        <v>389</v>
      </c>
      <c r="F27" s="88">
        <f t="shared" si="20"/>
        <v>265548</v>
      </c>
      <c r="G27" s="281"/>
      <c r="H27" s="329"/>
      <c r="I27" s="324">
        <v>32628</v>
      </c>
      <c r="J27" s="325">
        <f t="shared" si="21"/>
        <v>0.12287044150210132</v>
      </c>
      <c r="K27" s="324">
        <v>40293</v>
      </c>
      <c r="L27" s="325">
        <f t="shared" si="22"/>
        <v>0.15173527949749199</v>
      </c>
      <c r="M27" s="326">
        <f t="shared" si="23"/>
        <v>72921</v>
      </c>
      <c r="N27" s="325">
        <f t="shared" si="24"/>
        <v>0.27460572099959329</v>
      </c>
      <c r="O27" s="324">
        <v>8315</v>
      </c>
      <c r="P27" s="325">
        <f t="shared" si="25"/>
        <v>3.1312606383779959E-2</v>
      </c>
      <c r="Q27" s="324"/>
      <c r="R27" s="325">
        <f t="shared" si="6"/>
        <v>0</v>
      </c>
      <c r="S27" s="326">
        <f t="shared" si="7"/>
        <v>8315</v>
      </c>
      <c r="T27" s="325">
        <f t="shared" si="26"/>
        <v>3.1312606383779959E-2</v>
      </c>
      <c r="U27" s="324">
        <v>25343</v>
      </c>
      <c r="V27" s="325">
        <f t="shared" si="27"/>
        <v>9.5436606564538243E-2</v>
      </c>
      <c r="W27" s="324">
        <v>3956</v>
      </c>
      <c r="X27" s="325">
        <f t="shared" si="28"/>
        <v>1.4897494991489298E-2</v>
      </c>
      <c r="Y27" s="324">
        <v>26722</v>
      </c>
      <c r="Z27" s="325">
        <f t="shared" si="29"/>
        <v>0.10062964134544414</v>
      </c>
      <c r="AA27" s="324">
        <v>24938</v>
      </c>
      <c r="AB27" s="325">
        <f t="shared" si="12"/>
        <v>9.3911458568695677E-2</v>
      </c>
      <c r="AC27" s="326">
        <f t="shared" si="30"/>
        <v>51660</v>
      </c>
      <c r="AD27" s="325">
        <f t="shared" si="31"/>
        <v>0.19454109991413981</v>
      </c>
      <c r="AE27" s="324">
        <v>24546</v>
      </c>
      <c r="AF27" s="325">
        <f t="shared" si="32"/>
        <v>9.2435265940620903E-2</v>
      </c>
      <c r="AG27" s="324">
        <v>22185</v>
      </c>
      <c r="AH27" s="325">
        <f t="shared" si="33"/>
        <v>8.3544217994486872E-2</v>
      </c>
      <c r="AI27" s="324">
        <v>31917</v>
      </c>
      <c r="AJ27" s="325">
        <f t="shared" si="34"/>
        <v>0.12019295946495549</v>
      </c>
      <c r="AK27" s="324">
        <v>24705</v>
      </c>
      <c r="AL27" s="101">
        <f t="shared" si="35"/>
        <v>9.3034027746396131E-2</v>
      </c>
    </row>
    <row r="28" spans="2:38" ht="14.25">
      <c r="B28" s="98"/>
      <c r="C28" s="83"/>
      <c r="D28" s="349">
        <f t="shared" si="19"/>
        <v>46225</v>
      </c>
      <c r="E28" s="349" t="s">
        <v>390</v>
      </c>
      <c r="F28" s="88">
        <f t="shared" si="20"/>
        <v>252084</v>
      </c>
      <c r="G28" s="281"/>
      <c r="H28" s="329"/>
      <c r="I28" s="324">
        <v>30957</v>
      </c>
      <c r="J28" s="325">
        <f t="shared" si="21"/>
        <v>0.12280430332746227</v>
      </c>
      <c r="K28" s="324">
        <v>39254</v>
      </c>
      <c r="L28" s="325">
        <f t="shared" si="22"/>
        <v>0.15571793529141079</v>
      </c>
      <c r="M28" s="326">
        <f t="shared" si="23"/>
        <v>70211</v>
      </c>
      <c r="N28" s="325">
        <f t="shared" si="24"/>
        <v>0.2785222386188731</v>
      </c>
      <c r="O28" s="324">
        <v>6808</v>
      </c>
      <c r="P28" s="325">
        <f t="shared" si="25"/>
        <v>2.7006870725631137E-2</v>
      </c>
      <c r="Q28" s="324"/>
      <c r="R28" s="325">
        <f t="shared" si="6"/>
        <v>0</v>
      </c>
      <c r="S28" s="326">
        <f t="shared" si="7"/>
        <v>6808</v>
      </c>
      <c r="T28" s="325">
        <f t="shared" si="26"/>
        <v>2.7006870725631137E-2</v>
      </c>
      <c r="U28" s="324">
        <v>24560</v>
      </c>
      <c r="V28" s="325">
        <f t="shared" si="27"/>
        <v>9.7427841513146415E-2</v>
      </c>
      <c r="W28" s="324">
        <v>4365</v>
      </c>
      <c r="X28" s="325">
        <f t="shared" si="28"/>
        <v>1.7315656685866616E-2</v>
      </c>
      <c r="Y28" s="324">
        <v>26081</v>
      </c>
      <c r="Z28" s="325">
        <f t="shared" si="29"/>
        <v>0.10346154456451025</v>
      </c>
      <c r="AA28" s="324">
        <v>23505</v>
      </c>
      <c r="AB28" s="325">
        <f t="shared" si="12"/>
        <v>9.3242728614271436E-2</v>
      </c>
      <c r="AC28" s="326">
        <f t="shared" si="30"/>
        <v>49586</v>
      </c>
      <c r="AD28" s="325">
        <f t="shared" si="31"/>
        <v>0.19670427317878167</v>
      </c>
      <c r="AE28" s="324">
        <v>23590</v>
      </c>
      <c r="AF28" s="325">
        <f t="shared" si="32"/>
        <v>9.3579917805176049E-2</v>
      </c>
      <c r="AG28" s="324">
        <v>17713</v>
      </c>
      <c r="AH28" s="325">
        <f t="shared" si="33"/>
        <v>7.0266260452864923E-2</v>
      </c>
      <c r="AI28" s="324">
        <v>30670</v>
      </c>
      <c r="AJ28" s="325">
        <f t="shared" si="34"/>
        <v>0.12166579394170197</v>
      </c>
      <c r="AK28" s="324">
        <v>24581</v>
      </c>
      <c r="AL28" s="101">
        <f t="shared" si="35"/>
        <v>9.7511147077958146E-2</v>
      </c>
    </row>
    <row r="29" spans="2:38" ht="14.25">
      <c r="B29" s="98"/>
      <c r="C29" s="83"/>
      <c r="D29" s="349">
        <f t="shared" si="19"/>
        <v>46226</v>
      </c>
      <c r="E29" s="349" t="s">
        <v>391</v>
      </c>
      <c r="F29" s="88">
        <f t="shared" si="20"/>
        <v>237368</v>
      </c>
      <c r="G29" s="281"/>
      <c r="H29" s="329"/>
      <c r="I29" s="324">
        <v>30005</v>
      </c>
      <c r="J29" s="325">
        <f t="shared" si="21"/>
        <v>0.12640709783964141</v>
      </c>
      <c r="K29" s="324">
        <v>36501</v>
      </c>
      <c r="L29" s="325">
        <f t="shared" si="22"/>
        <v>0.15377388696033165</v>
      </c>
      <c r="M29" s="326">
        <f t="shared" si="23"/>
        <v>66506</v>
      </c>
      <c r="N29" s="325">
        <f t="shared" si="24"/>
        <v>0.28018098479997305</v>
      </c>
      <c r="O29" s="324">
        <v>6681</v>
      </c>
      <c r="P29" s="325">
        <f t="shared" si="25"/>
        <v>2.814616966061137E-2</v>
      </c>
      <c r="Q29" s="324"/>
      <c r="R29" s="325">
        <f t="shared" si="6"/>
        <v>0</v>
      </c>
      <c r="S29" s="326">
        <f t="shared" si="7"/>
        <v>6681</v>
      </c>
      <c r="T29" s="325">
        <f t="shared" si="26"/>
        <v>2.814616966061137E-2</v>
      </c>
      <c r="U29" s="324">
        <v>22957</v>
      </c>
      <c r="V29" s="325">
        <f t="shared" si="27"/>
        <v>9.6714805702537834E-2</v>
      </c>
      <c r="W29" s="324">
        <v>4002</v>
      </c>
      <c r="X29" s="325">
        <f t="shared" si="28"/>
        <v>1.6859896868996662E-2</v>
      </c>
      <c r="Y29" s="324">
        <v>21845</v>
      </c>
      <c r="Z29" s="325">
        <f t="shared" si="29"/>
        <v>9.2030096727444305E-2</v>
      </c>
      <c r="AA29" s="324">
        <v>21091</v>
      </c>
      <c r="AB29" s="325">
        <f t="shared" si="12"/>
        <v>8.8853594418792758E-2</v>
      </c>
      <c r="AC29" s="326">
        <f t="shared" si="30"/>
        <v>42936</v>
      </c>
      <c r="AD29" s="325">
        <f t="shared" si="31"/>
        <v>0.18088369114623706</v>
      </c>
      <c r="AE29" s="324">
        <v>21318</v>
      </c>
      <c r="AF29" s="325">
        <f t="shared" si="32"/>
        <v>8.9809915405614907E-2</v>
      </c>
      <c r="AG29" s="324">
        <v>16027</v>
      </c>
      <c r="AH29" s="325">
        <f t="shared" si="33"/>
        <v>6.7519631963870452E-2</v>
      </c>
      <c r="AI29" s="324">
        <v>32562</v>
      </c>
      <c r="AJ29" s="325">
        <f t="shared" si="34"/>
        <v>0.1371794007616865</v>
      </c>
      <c r="AK29" s="324">
        <v>24379</v>
      </c>
      <c r="AL29" s="101">
        <f t="shared" si="35"/>
        <v>0.10270550369047218</v>
      </c>
    </row>
    <row r="30" spans="2:38" ht="14.25">
      <c r="B30" s="98"/>
      <c r="C30" s="83"/>
      <c r="D30" s="349">
        <f t="shared" si="19"/>
        <v>46227</v>
      </c>
      <c r="E30" s="349" t="s">
        <v>392</v>
      </c>
      <c r="F30" s="88">
        <f t="shared" si="20"/>
        <v>213646</v>
      </c>
      <c r="G30" s="281"/>
      <c r="H30" s="329"/>
      <c r="I30" s="324">
        <v>26917</v>
      </c>
      <c r="J30" s="325">
        <f t="shared" si="21"/>
        <v>0.12598878518671072</v>
      </c>
      <c r="K30" s="324">
        <v>34076</v>
      </c>
      <c r="L30" s="325">
        <f t="shared" si="22"/>
        <v>0.15949748649635379</v>
      </c>
      <c r="M30" s="326">
        <f t="shared" si="23"/>
        <v>60993</v>
      </c>
      <c r="N30" s="325">
        <f t="shared" si="24"/>
        <v>0.28548627168306451</v>
      </c>
      <c r="O30" s="324">
        <v>6735</v>
      </c>
      <c r="P30" s="325">
        <f t="shared" si="25"/>
        <v>3.152410997631596E-2</v>
      </c>
      <c r="Q30" s="324"/>
      <c r="R30" s="325">
        <f t="shared" si="6"/>
        <v>0</v>
      </c>
      <c r="S30" s="326">
        <f t="shared" si="7"/>
        <v>6735</v>
      </c>
      <c r="T30" s="325">
        <f t="shared" si="26"/>
        <v>3.152410997631596E-2</v>
      </c>
      <c r="U30" s="324">
        <v>20664</v>
      </c>
      <c r="V30" s="325">
        <f t="shared" si="27"/>
        <v>9.6720743660073202E-2</v>
      </c>
      <c r="W30" s="324">
        <v>2983</v>
      </c>
      <c r="X30" s="325">
        <f t="shared" si="28"/>
        <v>1.396234893234603E-2</v>
      </c>
      <c r="Y30" s="324">
        <v>20979</v>
      </c>
      <c r="Z30" s="325">
        <f t="shared" si="29"/>
        <v>9.8195145240257242E-2</v>
      </c>
      <c r="AA30" s="324">
        <v>18688</v>
      </c>
      <c r="AB30" s="325">
        <f t="shared" si="12"/>
        <v>8.7471799144379025E-2</v>
      </c>
      <c r="AC30" s="326">
        <f t="shared" si="30"/>
        <v>39667</v>
      </c>
      <c r="AD30" s="325">
        <f t="shared" si="31"/>
        <v>0.18566694438463627</v>
      </c>
      <c r="AE30" s="324">
        <v>19297</v>
      </c>
      <c r="AF30" s="325">
        <f t="shared" si="32"/>
        <v>9.0322308866068166E-2</v>
      </c>
      <c r="AG30" s="324">
        <v>13515</v>
      </c>
      <c r="AH30" s="325">
        <f t="shared" si="33"/>
        <v>6.3258848749801075E-2</v>
      </c>
      <c r="AI30" s="324">
        <v>29865</v>
      </c>
      <c r="AJ30" s="325">
        <f t="shared" si="34"/>
        <v>0.13978731172125852</v>
      </c>
      <c r="AK30" s="324">
        <v>19927</v>
      </c>
      <c r="AL30" s="101">
        <f t="shared" si="35"/>
        <v>9.3271112026436259E-2</v>
      </c>
    </row>
    <row r="31" spans="2:38" ht="14.25">
      <c r="B31" s="98"/>
      <c r="C31" s="83"/>
      <c r="D31" s="349">
        <f>D30+1</f>
        <v>46228</v>
      </c>
      <c r="E31" s="349" t="s">
        <v>393</v>
      </c>
      <c r="F31" s="88">
        <f t="shared" si="20"/>
        <v>220865</v>
      </c>
      <c r="G31" s="281"/>
      <c r="H31" s="329"/>
      <c r="I31" s="324">
        <v>25461</v>
      </c>
      <c r="J31" s="325">
        <f t="shared" si="21"/>
        <v>0.11527856382858308</v>
      </c>
      <c r="K31" s="324">
        <v>37773</v>
      </c>
      <c r="L31" s="325">
        <f t="shared" si="22"/>
        <v>0.17102302311366671</v>
      </c>
      <c r="M31" s="326">
        <f t="shared" si="23"/>
        <v>63234</v>
      </c>
      <c r="N31" s="325">
        <f t="shared" si="24"/>
        <v>0.28630158694224978</v>
      </c>
      <c r="O31" s="324">
        <v>6466</v>
      </c>
      <c r="P31" s="325">
        <f t="shared" si="25"/>
        <v>2.9275801960473594E-2</v>
      </c>
      <c r="Q31" s="324"/>
      <c r="R31" s="325">
        <f t="shared" si="6"/>
        <v>0</v>
      </c>
      <c r="S31" s="326">
        <f t="shared" si="7"/>
        <v>6466</v>
      </c>
      <c r="T31" s="325">
        <f t="shared" si="26"/>
        <v>2.9275801960473594E-2</v>
      </c>
      <c r="U31" s="324">
        <v>22474</v>
      </c>
      <c r="V31" s="325">
        <f t="shared" si="27"/>
        <v>0.10175446539741471</v>
      </c>
      <c r="W31" s="324">
        <v>2566</v>
      </c>
      <c r="X31" s="325">
        <f t="shared" si="28"/>
        <v>1.1617956670364249E-2</v>
      </c>
      <c r="Y31" s="324">
        <v>20577</v>
      </c>
      <c r="Z31" s="325">
        <f t="shared" si="29"/>
        <v>9.3165508342199985E-2</v>
      </c>
      <c r="AA31" s="324">
        <v>23115</v>
      </c>
      <c r="AB31" s="325">
        <f t="shared" si="12"/>
        <v>0.10465669073868653</v>
      </c>
      <c r="AC31" s="326">
        <f t="shared" si="30"/>
        <v>43692</v>
      </c>
      <c r="AD31" s="325">
        <f t="shared" si="31"/>
        <v>0.19782219908088652</v>
      </c>
      <c r="AE31" s="324">
        <v>18824</v>
      </c>
      <c r="AF31" s="325">
        <f t="shared" si="32"/>
        <v>8.5228533266927767E-2</v>
      </c>
      <c r="AG31" s="324">
        <v>14237</v>
      </c>
      <c r="AH31" s="325">
        <f t="shared" si="33"/>
        <v>6.4460190614176086E-2</v>
      </c>
      <c r="AI31" s="324">
        <v>30901</v>
      </c>
      <c r="AJ31" s="325">
        <f t="shared" si="34"/>
        <v>0.13990899418196637</v>
      </c>
      <c r="AK31" s="324">
        <v>18471</v>
      </c>
      <c r="AL31" s="101">
        <f t="shared" si="35"/>
        <v>8.3630271885540938E-2</v>
      </c>
    </row>
    <row r="32" spans="2:38" ht="14.25">
      <c r="B32" s="98"/>
      <c r="C32" s="83"/>
      <c r="D32" s="349">
        <f t="shared" ref="D32:D37" si="36">D31+1</f>
        <v>46229</v>
      </c>
      <c r="E32" s="349" t="s">
        <v>394</v>
      </c>
      <c r="F32" s="88">
        <f t="shared" si="20"/>
        <v>274740</v>
      </c>
      <c r="G32" s="281"/>
      <c r="H32" s="329"/>
      <c r="I32" s="324">
        <v>31352</v>
      </c>
      <c r="J32" s="325">
        <f t="shared" si="21"/>
        <v>0.1141151634272403</v>
      </c>
      <c r="K32" s="324">
        <v>41222</v>
      </c>
      <c r="L32" s="325">
        <f t="shared" si="22"/>
        <v>0.15004003785397102</v>
      </c>
      <c r="M32" s="326">
        <f t="shared" si="23"/>
        <v>72574</v>
      </c>
      <c r="N32" s="325">
        <f t="shared" si="24"/>
        <v>0.26415520128121134</v>
      </c>
      <c r="O32" s="324">
        <v>8033</v>
      </c>
      <c r="P32" s="325">
        <f t="shared" si="25"/>
        <v>2.9238552813569192E-2</v>
      </c>
      <c r="Q32" s="324"/>
      <c r="R32" s="325">
        <f t="shared" si="6"/>
        <v>0</v>
      </c>
      <c r="S32" s="326">
        <f t="shared" si="7"/>
        <v>8033</v>
      </c>
      <c r="T32" s="325">
        <f t="shared" si="26"/>
        <v>2.9238552813569192E-2</v>
      </c>
      <c r="U32" s="324">
        <v>32815</v>
      </c>
      <c r="V32" s="325">
        <f t="shared" si="27"/>
        <v>0.11944019800538691</v>
      </c>
      <c r="W32" s="324">
        <v>3453</v>
      </c>
      <c r="X32" s="325">
        <f t="shared" si="28"/>
        <v>1.2568246341996069E-2</v>
      </c>
      <c r="Y32" s="324">
        <v>26545</v>
      </c>
      <c r="Z32" s="325">
        <f t="shared" si="29"/>
        <v>9.6618621241901431E-2</v>
      </c>
      <c r="AA32" s="324">
        <v>25480</v>
      </c>
      <c r="AB32" s="325">
        <f t="shared" si="12"/>
        <v>9.2742229016524708E-2</v>
      </c>
      <c r="AC32" s="326">
        <f t="shared" si="30"/>
        <v>52025</v>
      </c>
      <c r="AD32" s="325">
        <f t="shared" si="31"/>
        <v>0.18936085025842614</v>
      </c>
      <c r="AE32" s="324">
        <v>25123</v>
      </c>
      <c r="AF32" s="325">
        <f t="shared" si="32"/>
        <v>9.1442818664919559E-2</v>
      </c>
      <c r="AG32" s="324">
        <v>19639</v>
      </c>
      <c r="AH32" s="325">
        <f t="shared" si="33"/>
        <v>7.1482128557909294E-2</v>
      </c>
      <c r="AI32" s="324">
        <v>32649</v>
      </c>
      <c r="AJ32" s="325">
        <f t="shared" si="34"/>
        <v>0.11883599039091505</v>
      </c>
      <c r="AK32" s="324">
        <v>28429</v>
      </c>
      <c r="AL32" s="101">
        <f t="shared" si="35"/>
        <v>0.10347601368566645</v>
      </c>
    </row>
    <row r="33" spans="2:38" ht="14.25">
      <c r="B33" s="98"/>
      <c r="C33" s="83"/>
      <c r="D33" s="349">
        <f t="shared" si="36"/>
        <v>46230</v>
      </c>
      <c r="E33" s="349" t="s">
        <v>388</v>
      </c>
      <c r="F33" s="88">
        <f t="shared" si="20"/>
        <v>270305</v>
      </c>
      <c r="G33" s="281"/>
      <c r="H33" s="329"/>
      <c r="I33" s="324">
        <v>30498</v>
      </c>
      <c r="J33" s="325">
        <f t="shared" si="21"/>
        <v>0.11282810158894582</v>
      </c>
      <c r="K33" s="324">
        <v>40682</v>
      </c>
      <c r="L33" s="325">
        <f t="shared" si="22"/>
        <v>0.15050406022826066</v>
      </c>
      <c r="M33" s="326">
        <f t="shared" si="23"/>
        <v>71180</v>
      </c>
      <c r="N33" s="325">
        <f t="shared" si="24"/>
        <v>0.26333216181720648</v>
      </c>
      <c r="O33" s="324">
        <v>7284</v>
      </c>
      <c r="P33" s="325">
        <f t="shared" si="25"/>
        <v>2.694733726716117E-2</v>
      </c>
      <c r="Q33" s="324"/>
      <c r="R33" s="325">
        <f t="shared" si="6"/>
        <v>0</v>
      </c>
      <c r="S33" s="326">
        <f t="shared" si="7"/>
        <v>7284</v>
      </c>
      <c r="T33" s="325">
        <f t="shared" si="26"/>
        <v>2.694733726716117E-2</v>
      </c>
      <c r="U33" s="324">
        <v>34564</v>
      </c>
      <c r="V33" s="325">
        <f t="shared" si="27"/>
        <v>0.12787036865762749</v>
      </c>
      <c r="W33" s="324">
        <v>4048</v>
      </c>
      <c r="X33" s="325">
        <f t="shared" si="28"/>
        <v>1.4975675625682101E-2</v>
      </c>
      <c r="Y33" s="324">
        <v>25747</v>
      </c>
      <c r="Z33" s="325">
        <f t="shared" si="29"/>
        <v>9.5251660161669222E-2</v>
      </c>
      <c r="AA33" s="324">
        <v>23686</v>
      </c>
      <c r="AB33" s="325">
        <f t="shared" si="12"/>
        <v>8.7626939938217935E-2</v>
      </c>
      <c r="AC33" s="326">
        <f t="shared" si="30"/>
        <v>49433</v>
      </c>
      <c r="AD33" s="325">
        <f t="shared" si="31"/>
        <v>0.18287860009988716</v>
      </c>
      <c r="AE33" s="324">
        <v>24644</v>
      </c>
      <c r="AF33" s="325">
        <f t="shared" si="32"/>
        <v>9.1171084515639739E-2</v>
      </c>
      <c r="AG33" s="324">
        <v>17546</v>
      </c>
      <c r="AH33" s="325">
        <f t="shared" si="33"/>
        <v>6.4911858826140839E-2</v>
      </c>
      <c r="AI33" s="324">
        <v>31003</v>
      </c>
      <c r="AJ33" s="325">
        <f t="shared" si="34"/>
        <v>0.11469636151754499</v>
      </c>
      <c r="AK33" s="324">
        <v>30603</v>
      </c>
      <c r="AL33" s="101">
        <f t="shared" si="35"/>
        <v>0.11321655167311001</v>
      </c>
    </row>
    <row r="34" spans="2:38" ht="14.25">
      <c r="B34" s="98"/>
      <c r="C34" s="83"/>
      <c r="D34" s="279">
        <f t="shared" si="36"/>
        <v>46231</v>
      </c>
      <c r="E34" s="279" t="s">
        <v>389</v>
      </c>
      <c r="F34" s="88">
        <f t="shared" si="20"/>
        <v>256784</v>
      </c>
      <c r="G34" s="281"/>
      <c r="H34" s="329"/>
      <c r="I34" s="232">
        <v>30028</v>
      </c>
      <c r="J34" s="101">
        <f t="shared" si="21"/>
        <v>0.11693875007788647</v>
      </c>
      <c r="K34" s="232">
        <v>39717</v>
      </c>
      <c r="L34" s="101">
        <f t="shared" si="22"/>
        <v>0.15467085176646519</v>
      </c>
      <c r="M34" s="106">
        <f t="shared" si="23"/>
        <v>69745</v>
      </c>
      <c r="N34" s="101">
        <f t="shared" si="24"/>
        <v>0.27160960184435168</v>
      </c>
      <c r="O34" s="232">
        <v>7391</v>
      </c>
      <c r="P34" s="101">
        <f t="shared" si="25"/>
        <v>2.8782945977942551E-2</v>
      </c>
      <c r="Q34" s="232"/>
      <c r="R34" s="101">
        <f t="shared" si="6"/>
        <v>0</v>
      </c>
      <c r="S34" s="106">
        <f t="shared" si="7"/>
        <v>7391</v>
      </c>
      <c r="T34" s="101">
        <f t="shared" si="26"/>
        <v>2.8782945977942551E-2</v>
      </c>
      <c r="U34" s="232">
        <v>31644</v>
      </c>
      <c r="V34" s="101">
        <f t="shared" si="27"/>
        <v>0.12323197707022245</v>
      </c>
      <c r="W34" s="232">
        <v>3097</v>
      </c>
      <c r="X34" s="101">
        <f t="shared" si="28"/>
        <v>1.206072029409932E-2</v>
      </c>
      <c r="Y34" s="232">
        <v>25524</v>
      </c>
      <c r="Z34" s="101">
        <f t="shared" si="29"/>
        <v>9.9398716430930276E-2</v>
      </c>
      <c r="AA34" s="232">
        <v>23079</v>
      </c>
      <c r="AB34" s="101">
        <f t="shared" si="12"/>
        <v>8.9877095146115027E-2</v>
      </c>
      <c r="AC34" s="106">
        <f t="shared" si="30"/>
        <v>48603</v>
      </c>
      <c r="AD34" s="101">
        <f t="shared" si="31"/>
        <v>0.18927581157704529</v>
      </c>
      <c r="AE34" s="232">
        <v>23354</v>
      </c>
      <c r="AF34" s="101">
        <f t="shared" si="32"/>
        <v>9.0948034145429624E-2</v>
      </c>
      <c r="AG34" s="232">
        <v>15946</v>
      </c>
      <c r="AH34" s="101">
        <f t="shared" si="33"/>
        <v>6.2098884665711257E-2</v>
      </c>
      <c r="AI34" s="232">
        <v>29081</v>
      </c>
      <c r="AJ34" s="101">
        <f t="shared" si="34"/>
        <v>0.11325082559661039</v>
      </c>
      <c r="AK34" s="232">
        <v>27923</v>
      </c>
      <c r="AL34" s="101">
        <f t="shared" ref="AL34:AL36" si="37">AK34/F34</f>
        <v>0.10874119882858745</v>
      </c>
    </row>
    <row r="35" spans="2:38" ht="14.25">
      <c r="B35" s="98"/>
      <c r="C35" s="83"/>
      <c r="D35" s="279">
        <f t="shared" si="36"/>
        <v>46232</v>
      </c>
      <c r="E35" s="279" t="s">
        <v>390</v>
      </c>
      <c r="F35" s="88">
        <f t="shared" si="20"/>
        <v>245995</v>
      </c>
      <c r="G35" s="281"/>
      <c r="H35" s="329"/>
      <c r="I35" s="232">
        <v>29390</v>
      </c>
      <c r="J35" s="101">
        <f t="shared" si="21"/>
        <v>0.11947397304823269</v>
      </c>
      <c r="K35" s="232">
        <v>38551</v>
      </c>
      <c r="L35" s="101">
        <f t="shared" si="22"/>
        <v>0.15671456736925549</v>
      </c>
      <c r="M35" s="106">
        <f t="shared" si="23"/>
        <v>67941</v>
      </c>
      <c r="N35" s="101">
        <f t="shared" si="24"/>
        <v>0.27618854041748814</v>
      </c>
      <c r="O35" s="232">
        <v>7398</v>
      </c>
      <c r="P35" s="101">
        <f t="shared" si="25"/>
        <v>3.007378198743877E-2</v>
      </c>
      <c r="Q35" s="232"/>
      <c r="R35" s="101">
        <f t="shared" si="6"/>
        <v>0</v>
      </c>
      <c r="S35" s="106">
        <f t="shared" si="7"/>
        <v>7398</v>
      </c>
      <c r="T35" s="101">
        <f t="shared" si="26"/>
        <v>3.007378198743877E-2</v>
      </c>
      <c r="U35" s="232">
        <v>29389</v>
      </c>
      <c r="V35" s="101">
        <f t="shared" si="27"/>
        <v>0.11946990792495782</v>
      </c>
      <c r="W35" s="232">
        <v>3201</v>
      </c>
      <c r="X35" s="101">
        <f t="shared" si="28"/>
        <v>1.3012459602837456E-2</v>
      </c>
      <c r="Y35" s="232">
        <v>25111</v>
      </c>
      <c r="Z35" s="101">
        <f t="shared" si="29"/>
        <v>0.10207931055509259</v>
      </c>
      <c r="AA35" s="232">
        <v>22664</v>
      </c>
      <c r="AB35" s="101">
        <f t="shared" si="12"/>
        <v>9.213195390150207E-2</v>
      </c>
      <c r="AC35" s="106">
        <f t="shared" si="30"/>
        <v>47775</v>
      </c>
      <c r="AD35" s="101">
        <f t="shared" si="31"/>
        <v>0.19421126445659465</v>
      </c>
      <c r="AE35" s="232">
        <v>22289</v>
      </c>
      <c r="AF35" s="101">
        <f t="shared" si="32"/>
        <v>9.0607532673428318E-2</v>
      </c>
      <c r="AG35" s="232">
        <v>15045</v>
      </c>
      <c r="AH35" s="101">
        <f t="shared" si="33"/>
        <v>6.11597796703185E-2</v>
      </c>
      <c r="AI35" s="232">
        <v>28332</v>
      </c>
      <c r="AJ35" s="101">
        <f t="shared" si="34"/>
        <v>0.11517307262342731</v>
      </c>
      <c r="AK35" s="232">
        <v>24625</v>
      </c>
      <c r="AL35" s="101">
        <f t="shared" si="37"/>
        <v>0.10010366064350902</v>
      </c>
    </row>
    <row r="36" spans="2:38" ht="14.25">
      <c r="B36" s="98"/>
      <c r="C36" s="83"/>
      <c r="D36" s="279">
        <f t="shared" si="36"/>
        <v>46233</v>
      </c>
      <c r="E36" s="279" t="s">
        <v>391</v>
      </c>
      <c r="F36" s="88">
        <f t="shared" si="20"/>
        <v>234341</v>
      </c>
      <c r="G36" s="281"/>
      <c r="H36" s="329"/>
      <c r="I36" s="232">
        <v>27837</v>
      </c>
      <c r="J36" s="101">
        <f t="shared" ref="J36" si="38">I36/F36</f>
        <v>0.1187884322419039</v>
      </c>
      <c r="K36" s="232">
        <v>36010</v>
      </c>
      <c r="L36" s="101">
        <f t="shared" ref="L36" si="39">K36/F36</f>
        <v>0.15366495832995505</v>
      </c>
      <c r="M36" s="106">
        <f t="shared" ref="M36" si="40">SUM(I36+K36)</f>
        <v>63847</v>
      </c>
      <c r="N36" s="101">
        <f t="shared" ref="N36" si="41">M36/F36</f>
        <v>0.27245339057185897</v>
      </c>
      <c r="O36" s="232">
        <v>7109</v>
      </c>
      <c r="P36" s="101">
        <f t="shared" ref="P36" si="42">O36/F36</f>
        <v>3.0336134095186075E-2</v>
      </c>
      <c r="Q36" s="232"/>
      <c r="R36" s="101">
        <f t="shared" ref="R36" si="43">Q36/F36</f>
        <v>0</v>
      </c>
      <c r="S36" s="106">
        <f t="shared" ref="S36" si="44">SUM(O36+Q36)</f>
        <v>7109</v>
      </c>
      <c r="T36" s="101">
        <f t="shared" ref="T36" si="45">S36/F36</f>
        <v>3.0336134095186075E-2</v>
      </c>
      <c r="U36" s="232">
        <v>27396</v>
      </c>
      <c r="V36" s="101">
        <f t="shared" ref="V36" si="46">U36/F36</f>
        <v>0.11690655924486112</v>
      </c>
      <c r="W36" s="232">
        <v>3112</v>
      </c>
      <c r="X36" s="101">
        <f t="shared" ref="X36" si="47">W36/F36</f>
        <v>1.3279793121988896E-2</v>
      </c>
      <c r="Y36" s="232">
        <v>24399</v>
      </c>
      <c r="Z36" s="101">
        <f t="shared" ref="Z36" si="48">Y36/F36</f>
        <v>0.10411750397924392</v>
      </c>
      <c r="AA36" s="232">
        <v>18642</v>
      </c>
      <c r="AB36" s="101">
        <f t="shared" ref="AB36" si="49">AA36/F36</f>
        <v>7.9550740160705985E-2</v>
      </c>
      <c r="AC36" s="106">
        <f t="shared" ref="AC36" si="50">SUM(Y36+AA36)</f>
        <v>43041</v>
      </c>
      <c r="AD36" s="101">
        <f t="shared" ref="AD36" si="51">AC36/F36</f>
        <v>0.18366824413994989</v>
      </c>
      <c r="AE36" s="232">
        <v>22080</v>
      </c>
      <c r="AF36" s="101">
        <f t="shared" ref="AF36" si="52">AE36/F36</f>
        <v>9.4221668423365948E-2</v>
      </c>
      <c r="AG36" s="232">
        <v>14381</v>
      </c>
      <c r="AH36" s="101">
        <f t="shared" ref="AH36" si="53">AG36/F36</f>
        <v>6.1367835760707687E-2</v>
      </c>
      <c r="AI36" s="232">
        <v>29469</v>
      </c>
      <c r="AJ36" s="101">
        <f t="shared" ref="AJ36" si="54">AI36/F36</f>
        <v>0.12575264251667442</v>
      </c>
      <c r="AK36" s="232">
        <v>23906</v>
      </c>
      <c r="AL36" s="101">
        <f t="shared" si="37"/>
        <v>0.10201373212540699</v>
      </c>
    </row>
    <row r="37" spans="2:38" ht="14.25">
      <c r="B37" s="98"/>
      <c r="C37" s="83"/>
      <c r="D37" s="279">
        <f t="shared" si="36"/>
        <v>46234</v>
      </c>
      <c r="E37" s="279" t="s">
        <v>392</v>
      </c>
      <c r="F37" s="88">
        <f t="shared" si="20"/>
        <v>211184</v>
      </c>
      <c r="G37" s="281"/>
      <c r="H37" s="329"/>
      <c r="I37" s="232">
        <v>24286</v>
      </c>
      <c r="J37" s="101">
        <f t="shared" ref="J37" si="55">I37/F37</f>
        <v>0.11499924236684597</v>
      </c>
      <c r="K37" s="232">
        <v>33754</v>
      </c>
      <c r="L37" s="101">
        <f t="shared" ref="L37" si="56">K37/F37</f>
        <v>0.15983218425638307</v>
      </c>
      <c r="M37" s="106">
        <f t="shared" ref="M37" si="57">SUM(I37+K37)</f>
        <v>58040</v>
      </c>
      <c r="N37" s="101">
        <f t="shared" ref="N37" si="58">M37/F37</f>
        <v>0.27483142662322901</v>
      </c>
      <c r="O37" s="232">
        <v>6143</v>
      </c>
      <c r="P37" s="101">
        <f t="shared" ref="P37" si="59">O37/F37</f>
        <v>2.908837790741723E-2</v>
      </c>
      <c r="Q37" s="232"/>
      <c r="R37" s="101">
        <f t="shared" ref="R37" si="60">Q37/F37</f>
        <v>0</v>
      </c>
      <c r="S37" s="106">
        <f t="shared" ref="S37" si="61">SUM(O37+Q37)</f>
        <v>6143</v>
      </c>
      <c r="T37" s="101">
        <f t="shared" ref="T37" si="62">S37/F37</f>
        <v>2.908837790741723E-2</v>
      </c>
      <c r="U37" s="232">
        <v>23700</v>
      </c>
      <c r="V37" s="101">
        <f t="shared" ref="V37" si="63">U37/F37</f>
        <v>0.11222441094022274</v>
      </c>
      <c r="W37" s="232">
        <v>2220</v>
      </c>
      <c r="X37" s="101">
        <f t="shared" ref="X37" si="64">W37/F37</f>
        <v>1.0512160012122131E-2</v>
      </c>
      <c r="Y37" s="232">
        <v>22188</v>
      </c>
      <c r="Z37" s="101">
        <f t="shared" ref="Z37" si="65">Y37/F37</f>
        <v>0.10506477763466929</v>
      </c>
      <c r="AA37" s="232">
        <v>18084</v>
      </c>
      <c r="AB37" s="101">
        <f t="shared" ref="AB37" si="66">AA37/F37</f>
        <v>8.5631487233881351E-2</v>
      </c>
      <c r="AC37" s="106">
        <f t="shared" ref="AC37" si="67">SUM(Y37+AA37)</f>
        <v>40272</v>
      </c>
      <c r="AD37" s="101">
        <f t="shared" ref="AD37" si="68">AC37/F37</f>
        <v>0.19069626486855065</v>
      </c>
      <c r="AE37" s="232">
        <v>17553</v>
      </c>
      <c r="AF37" s="101">
        <f t="shared" ref="AF37" si="69">AE37/F37</f>
        <v>8.3117092203954843E-2</v>
      </c>
      <c r="AG37" s="232">
        <v>13238</v>
      </c>
      <c r="AH37" s="101">
        <f t="shared" ref="AH37" si="70">AG37/F37</f>
        <v>6.2684673081294037E-2</v>
      </c>
      <c r="AI37" s="232">
        <v>29849</v>
      </c>
      <c r="AJ37" s="101">
        <f t="shared" ref="AJ37" si="71">AI37/F37</f>
        <v>0.14134120009091597</v>
      </c>
      <c r="AK37" s="232">
        <v>20169</v>
      </c>
      <c r="AL37" s="101">
        <f t="shared" ref="AL37" si="72">AK37/F37</f>
        <v>9.5504394272293361E-2</v>
      </c>
    </row>
    <row r="38" spans="2:38" s="327" customFormat="1" ht="14.25">
      <c r="B38" s="320"/>
      <c r="C38" s="321"/>
      <c r="D38" s="351"/>
      <c r="E38" s="351"/>
      <c r="F38" s="322"/>
      <c r="G38" s="323"/>
      <c r="H38" s="329"/>
      <c r="I38" s="232"/>
      <c r="J38" s="325"/>
      <c r="K38" s="232"/>
      <c r="L38" s="325"/>
      <c r="M38" s="326"/>
      <c r="N38" s="325"/>
      <c r="O38" s="232"/>
      <c r="P38" s="325"/>
      <c r="Q38" s="232"/>
      <c r="R38" s="325"/>
      <c r="S38" s="326"/>
      <c r="T38" s="325"/>
      <c r="U38" s="232"/>
      <c r="V38" s="325"/>
      <c r="W38" s="232"/>
      <c r="X38" s="325"/>
      <c r="Y38" s="232"/>
      <c r="Z38" s="325"/>
      <c r="AA38" s="232"/>
      <c r="AB38" s="325"/>
      <c r="AC38" s="326"/>
      <c r="AD38" s="325"/>
      <c r="AE38" s="232"/>
      <c r="AF38" s="325"/>
      <c r="AG38" s="232"/>
      <c r="AH38" s="325"/>
      <c r="AI38" s="232"/>
      <c r="AJ38" s="325"/>
      <c r="AK38" s="232"/>
      <c r="AL38" s="325"/>
    </row>
    <row r="39" spans="2:38" ht="14.25">
      <c r="B39" s="98"/>
      <c r="C39" s="83"/>
      <c r="D39" s="349"/>
      <c r="E39" s="349"/>
      <c r="F39" s="88"/>
      <c r="G39" s="281"/>
      <c r="H39" s="88"/>
      <c r="I39" s="232"/>
      <c r="J39" s="101"/>
      <c r="K39" s="232"/>
      <c r="L39" s="101"/>
      <c r="M39" s="106"/>
      <c r="N39" s="101"/>
      <c r="O39" s="232"/>
      <c r="P39" s="101"/>
      <c r="Q39" s="232"/>
      <c r="R39" s="101"/>
      <c r="S39" s="106"/>
      <c r="T39" s="101"/>
      <c r="U39" s="232"/>
      <c r="V39" s="101"/>
      <c r="W39" s="232"/>
      <c r="X39" s="101"/>
      <c r="Y39" s="232"/>
      <c r="Z39" s="101"/>
      <c r="AA39" s="232"/>
      <c r="AB39" s="101"/>
      <c r="AC39" s="106"/>
      <c r="AD39" s="101"/>
      <c r="AE39" s="232"/>
      <c r="AF39" s="101"/>
      <c r="AG39" s="232"/>
      <c r="AH39" s="101"/>
      <c r="AI39" s="232"/>
      <c r="AJ39" s="101"/>
      <c r="AK39" s="232"/>
      <c r="AL39" s="101"/>
    </row>
    <row r="40" spans="2:38" ht="14.25">
      <c r="B40" s="98"/>
      <c r="C40" s="83"/>
      <c r="D40" s="349"/>
      <c r="E40" s="349"/>
      <c r="F40" s="88"/>
      <c r="G40" s="281"/>
      <c r="H40" s="88"/>
      <c r="I40" s="232"/>
      <c r="J40" s="101"/>
      <c r="K40" s="232"/>
      <c r="L40" s="101"/>
      <c r="M40" s="106"/>
      <c r="N40" s="101"/>
      <c r="O40" s="232"/>
      <c r="P40" s="101"/>
      <c r="Q40" s="232"/>
      <c r="R40" s="101"/>
      <c r="S40" s="106"/>
      <c r="T40" s="101"/>
      <c r="U40" s="232"/>
      <c r="V40" s="101"/>
      <c r="W40" s="232"/>
      <c r="X40" s="101"/>
      <c r="Y40" s="232"/>
      <c r="Z40" s="101"/>
      <c r="AA40" s="232"/>
      <c r="AB40" s="101"/>
      <c r="AC40" s="106"/>
      <c r="AD40" s="101"/>
      <c r="AE40" s="232"/>
      <c r="AF40" s="101"/>
      <c r="AG40" s="232"/>
      <c r="AH40" s="101"/>
      <c r="AI40" s="232"/>
      <c r="AJ40" s="101"/>
      <c r="AK40" s="232"/>
      <c r="AL40" s="101"/>
    </row>
    <row r="41" spans="2:38" ht="14.25">
      <c r="B41" s="98"/>
      <c r="C41" s="83"/>
      <c r="D41" s="349"/>
      <c r="E41" s="349"/>
      <c r="F41" s="88"/>
      <c r="G41" s="281"/>
      <c r="H41" s="88"/>
      <c r="I41" s="232"/>
      <c r="J41" s="101"/>
      <c r="K41" s="232"/>
      <c r="L41" s="101"/>
      <c r="M41" s="106"/>
      <c r="N41" s="101"/>
      <c r="O41" s="232"/>
      <c r="P41" s="101"/>
      <c r="Q41" s="232"/>
      <c r="R41" s="101"/>
      <c r="S41" s="106"/>
      <c r="T41" s="101"/>
      <c r="U41" s="232"/>
      <c r="V41" s="101"/>
      <c r="W41" s="232"/>
      <c r="X41" s="101"/>
      <c r="Y41" s="232"/>
      <c r="Z41" s="101"/>
      <c r="AA41" s="232"/>
      <c r="AB41" s="101"/>
      <c r="AC41" s="106"/>
      <c r="AD41" s="101"/>
      <c r="AE41" s="232"/>
      <c r="AF41" s="101"/>
      <c r="AG41" s="232"/>
      <c r="AH41" s="101"/>
      <c r="AI41" s="232"/>
      <c r="AJ41" s="101"/>
      <c r="AK41" s="232"/>
      <c r="AL41" s="101"/>
    </row>
    <row r="42" spans="2:38" ht="14.25">
      <c r="B42" s="98"/>
      <c r="C42" s="83"/>
      <c r="D42" s="86"/>
      <c r="E42" s="86"/>
      <c r="F42" s="88"/>
      <c r="G42" s="281"/>
      <c r="H42" s="88"/>
      <c r="I42" s="232"/>
      <c r="J42" s="101"/>
      <c r="K42" s="232"/>
      <c r="L42" s="101"/>
      <c r="M42" s="106"/>
      <c r="N42" s="101"/>
      <c r="O42" s="232"/>
      <c r="P42" s="101"/>
      <c r="Q42" s="232"/>
      <c r="R42" s="101"/>
      <c r="S42" s="106"/>
      <c r="T42" s="101"/>
      <c r="U42" s="232"/>
      <c r="V42" s="101"/>
      <c r="W42" s="232"/>
      <c r="X42" s="101"/>
      <c r="Y42" s="232"/>
      <c r="Z42" s="101"/>
      <c r="AA42" s="232"/>
      <c r="AB42" s="101"/>
      <c r="AC42" s="106"/>
      <c r="AD42" s="101"/>
      <c r="AE42" s="232"/>
      <c r="AF42" s="101"/>
      <c r="AG42" s="232"/>
      <c r="AH42" s="101"/>
      <c r="AI42" s="232"/>
      <c r="AJ42" s="101"/>
      <c r="AK42" s="232"/>
      <c r="AL42" s="101"/>
    </row>
    <row r="43" spans="2:38" ht="14.25">
      <c r="B43" s="98"/>
      <c r="C43" s="83"/>
      <c r="D43" s="86"/>
      <c r="E43" s="86"/>
      <c r="F43" s="88"/>
      <c r="G43" s="281"/>
      <c r="H43" s="88"/>
      <c r="I43" s="232"/>
      <c r="J43" s="101"/>
      <c r="K43" s="232"/>
      <c r="L43" s="101"/>
      <c r="M43" s="106"/>
      <c r="N43" s="101"/>
      <c r="O43" s="232"/>
      <c r="P43" s="101"/>
      <c r="Q43" s="232"/>
      <c r="R43" s="101"/>
      <c r="S43" s="106"/>
      <c r="T43" s="101"/>
      <c r="U43" s="232"/>
      <c r="V43" s="101"/>
      <c r="W43" s="232"/>
      <c r="X43" s="101"/>
      <c r="Y43" s="232"/>
      <c r="Z43" s="101"/>
      <c r="AA43" s="232"/>
      <c r="AB43" s="101"/>
      <c r="AC43" s="106"/>
      <c r="AD43" s="101"/>
      <c r="AE43" s="232"/>
      <c r="AF43" s="101"/>
      <c r="AG43" s="232"/>
      <c r="AH43" s="101"/>
      <c r="AI43" s="232"/>
      <c r="AJ43" s="101"/>
      <c r="AK43" s="232"/>
      <c r="AL43" s="101"/>
    </row>
    <row r="44" spans="2:38" ht="14.25">
      <c r="B44" s="98"/>
      <c r="C44" s="83"/>
      <c r="D44" s="86"/>
      <c r="E44" s="86"/>
      <c r="F44" s="88"/>
      <c r="G44" s="281"/>
      <c r="H44" s="88"/>
      <c r="I44" s="232"/>
      <c r="J44" s="101"/>
      <c r="K44" s="232"/>
      <c r="L44" s="101"/>
      <c r="M44" s="106"/>
      <c r="N44" s="101"/>
      <c r="O44" s="232"/>
      <c r="P44" s="101"/>
      <c r="Q44" s="232"/>
      <c r="R44" s="101"/>
      <c r="S44" s="106"/>
      <c r="T44" s="101"/>
      <c r="U44" s="232"/>
      <c r="V44" s="101"/>
      <c r="W44" s="232"/>
      <c r="X44" s="101"/>
      <c r="Y44" s="232"/>
      <c r="Z44" s="101"/>
      <c r="AA44" s="232"/>
      <c r="AB44" s="101"/>
      <c r="AC44" s="106"/>
      <c r="AD44" s="101"/>
      <c r="AE44" s="232"/>
      <c r="AF44" s="101"/>
      <c r="AG44" s="232"/>
      <c r="AH44" s="101"/>
      <c r="AI44" s="232"/>
      <c r="AJ44" s="101"/>
      <c r="AK44" s="232"/>
      <c r="AL44" s="101"/>
    </row>
    <row r="45" spans="2:38" ht="14.25">
      <c r="B45" s="98"/>
      <c r="C45" s="83"/>
      <c r="D45" s="86"/>
      <c r="E45" s="86"/>
      <c r="F45" s="88"/>
      <c r="G45" s="281"/>
      <c r="H45" s="88"/>
      <c r="I45" s="232"/>
      <c r="J45" s="101"/>
      <c r="K45" s="232"/>
      <c r="L45" s="101"/>
      <c r="M45" s="106"/>
      <c r="N45" s="101"/>
      <c r="O45" s="232"/>
      <c r="P45" s="101"/>
      <c r="Q45" s="232"/>
      <c r="R45" s="101"/>
      <c r="S45" s="106"/>
      <c r="T45" s="101"/>
      <c r="U45" s="232"/>
      <c r="V45" s="101"/>
      <c r="W45" s="232"/>
      <c r="X45" s="101"/>
      <c r="Y45" s="232"/>
      <c r="Z45" s="101"/>
      <c r="AA45" s="232"/>
      <c r="AB45" s="101"/>
      <c r="AC45" s="106"/>
      <c r="AD45" s="101"/>
      <c r="AE45" s="232"/>
      <c r="AF45" s="101"/>
      <c r="AG45" s="232"/>
      <c r="AH45" s="101"/>
      <c r="AI45" s="232"/>
      <c r="AJ45" s="101"/>
      <c r="AK45" s="232"/>
      <c r="AL45" s="101"/>
    </row>
    <row r="46" spans="2:38" ht="14.25">
      <c r="B46" s="98"/>
      <c r="C46" s="83"/>
      <c r="D46" s="84"/>
      <c r="F46" s="88"/>
      <c r="G46" s="88"/>
      <c r="H46" s="88"/>
      <c r="I46" s="259">
        <f>SUM(I7:I45)</f>
        <v>885235</v>
      </c>
      <c r="J46" s="258">
        <f>I46/$H$7</f>
        <v>0.11388815806824915</v>
      </c>
      <c r="K46" s="259">
        <f>SUM(K7:K45)</f>
        <v>1261291</v>
      </c>
      <c r="L46" s="258">
        <f>K46/$H$7</f>
        <v>0.16226889896813843</v>
      </c>
      <c r="M46" s="259">
        <f>SUM(M7:M45)</f>
        <v>2146526</v>
      </c>
      <c r="N46" s="258">
        <f>M46/$H$7</f>
        <v>0.2761570570363876</v>
      </c>
      <c r="O46" s="259">
        <f>SUM(O7:O45)</f>
        <v>173357</v>
      </c>
      <c r="P46" s="258">
        <f>O46/$H$7</f>
        <v>2.2302901961894262E-2</v>
      </c>
      <c r="Q46" s="259">
        <f>SUM(Q7:Q45)</f>
        <v>0</v>
      </c>
      <c r="R46" s="258">
        <f>Q46/$H$7</f>
        <v>0</v>
      </c>
      <c r="S46" s="259">
        <f>SUM(S7:S45)</f>
        <v>173357</v>
      </c>
      <c r="T46" s="258">
        <f>S46/$H$7</f>
        <v>2.2302901961894262E-2</v>
      </c>
      <c r="U46" s="259">
        <f>SUM(U7:U45)</f>
        <v>858013</v>
      </c>
      <c r="V46" s="258">
        <f>U46/$H$7</f>
        <v>0.11038596549911905</v>
      </c>
      <c r="W46" s="259">
        <f>SUM(W7:W45)</f>
        <v>142429</v>
      </c>
      <c r="X46" s="258">
        <f>W46/$H$7</f>
        <v>1.8323921292654106E-2</v>
      </c>
      <c r="Y46" s="259">
        <f>SUM(Y7:Y45)</f>
        <v>756326</v>
      </c>
      <c r="Z46" s="258">
        <f>Y46/$H$7</f>
        <v>9.7303625635143887E-2</v>
      </c>
      <c r="AA46" s="259">
        <f>SUM(AA7:AA45)</f>
        <v>676516</v>
      </c>
      <c r="AB46" s="258">
        <f>AA46/$H$7</f>
        <v>8.7035827936875101E-2</v>
      </c>
      <c r="AC46" s="259">
        <f>SUM(AC7:AC45)</f>
        <v>1432842</v>
      </c>
      <c r="AD46" s="258">
        <f>AC46/$H$7</f>
        <v>0.184339453572019</v>
      </c>
      <c r="AE46" s="259">
        <f>SUM(AE7:AE45)</f>
        <v>734871</v>
      </c>
      <c r="AF46" s="258">
        <f>AE46/$H$7</f>
        <v>9.4543375044787339E-2</v>
      </c>
      <c r="AG46" s="259">
        <f>SUM(AG7:AG45)</f>
        <v>447236</v>
      </c>
      <c r="AH46" s="258">
        <f>AG46/$H$7</f>
        <v>5.7538263016951967E-2</v>
      </c>
      <c r="AI46" s="259">
        <f>SUM(AI7:AI45)</f>
        <v>1087177</v>
      </c>
      <c r="AJ46" s="258">
        <f>AI46/$H$7</f>
        <v>0.13986860666847209</v>
      </c>
      <c r="AK46" s="259">
        <f>SUM(AK7:AK45)</f>
        <v>750394</v>
      </c>
      <c r="AL46" s="258">
        <f>AK46/$H$7</f>
        <v>9.6540455907714609E-2</v>
      </c>
    </row>
    <row r="47" spans="2:38" ht="14.25">
      <c r="B47" s="98"/>
      <c r="C47" s="83"/>
      <c r="D47" s="84"/>
      <c r="F47" s="88"/>
      <c r="G47" s="88"/>
      <c r="H47" s="88"/>
      <c r="M47" s="260">
        <f>M46</f>
        <v>2146526</v>
      </c>
      <c r="S47" s="260">
        <f>S46</f>
        <v>173357</v>
      </c>
      <c r="U47" s="260">
        <f>U46</f>
        <v>858013</v>
      </c>
      <c r="W47" s="260">
        <f>W46</f>
        <v>142429</v>
      </c>
      <c r="Y47" s="260"/>
      <c r="AA47" s="260"/>
      <c r="AC47" s="260">
        <f>AC46</f>
        <v>1432842</v>
      </c>
      <c r="AE47" s="260">
        <f>AE46</f>
        <v>734871</v>
      </c>
      <c r="AG47" s="260">
        <f>AG46</f>
        <v>447236</v>
      </c>
      <c r="AI47" s="260">
        <f>AI46</f>
        <v>1087177</v>
      </c>
      <c r="AK47" s="260">
        <f>AK46</f>
        <v>750394</v>
      </c>
    </row>
    <row r="48" spans="2:38" ht="14.25">
      <c r="B48" s="98"/>
      <c r="C48" s="83"/>
      <c r="D48" s="84"/>
      <c r="F48" s="88"/>
      <c r="G48" s="88"/>
      <c r="H48" s="88"/>
    </row>
    <row r="49" spans="2:8" ht="14.25">
      <c r="B49" s="98"/>
      <c r="C49" s="83"/>
      <c r="D49" s="84"/>
      <c r="F49" s="88"/>
      <c r="G49" s="88"/>
      <c r="H49" s="88"/>
    </row>
    <row r="50" spans="2:8" ht="14.25">
      <c r="B50" s="98"/>
      <c r="C50" s="83"/>
      <c r="D50" s="84"/>
    </row>
    <row r="51" spans="2:8" ht="14.25">
      <c r="B51" s="98"/>
      <c r="C51" s="83"/>
      <c r="D51" s="84"/>
    </row>
    <row r="52" spans="2:8" ht="14.25">
      <c r="B52" s="98"/>
      <c r="C52" s="83"/>
      <c r="D52" s="84"/>
    </row>
    <row r="53" spans="2:8" ht="14.25">
      <c r="B53" s="98"/>
      <c r="C53" s="83"/>
      <c r="D53" s="84"/>
    </row>
    <row r="54" spans="2:8" ht="14.25">
      <c r="B54" s="98"/>
      <c r="C54" s="83"/>
      <c r="D54" s="84"/>
    </row>
    <row r="55" spans="2:8" ht="14.25">
      <c r="B55" s="98"/>
      <c r="C55" s="83"/>
      <c r="D55" s="84"/>
    </row>
    <row r="56" spans="2:8" ht="14.25">
      <c r="B56" s="98"/>
      <c r="C56" s="83"/>
      <c r="D56" s="84"/>
    </row>
    <row r="57" spans="2:8" ht="14.25">
      <c r="B57" s="98"/>
      <c r="C57" s="83"/>
      <c r="D57" s="84"/>
    </row>
    <row r="58" spans="2:8" ht="14.25">
      <c r="B58" s="98"/>
      <c r="C58" s="83"/>
      <c r="D58" s="84"/>
    </row>
    <row r="59" spans="2:8" ht="14.25">
      <c r="B59" s="98"/>
      <c r="C59" s="83"/>
      <c r="D59" s="84"/>
    </row>
    <row r="60" spans="2:8" ht="14.25">
      <c r="B60" s="98"/>
      <c r="C60" s="83"/>
      <c r="D60" s="84"/>
    </row>
    <row r="61" spans="2:8" ht="14.25">
      <c r="B61" s="98"/>
      <c r="C61" s="83"/>
      <c r="D61" s="84"/>
    </row>
    <row r="62" spans="2:8" ht="14.25">
      <c r="B62" s="98"/>
      <c r="C62" s="83"/>
      <c r="D62" s="84"/>
    </row>
    <row r="63" spans="2:8" ht="14.25">
      <c r="B63" s="98"/>
      <c r="C63" s="83"/>
      <c r="D63" s="84"/>
    </row>
    <row r="64" spans="2:8" ht="14.25">
      <c r="B64" s="98"/>
      <c r="C64" s="83"/>
      <c r="D64" s="84"/>
    </row>
    <row r="65" spans="2:4" ht="14.25">
      <c r="B65" s="98"/>
      <c r="C65" s="83"/>
      <c r="D65" s="84"/>
    </row>
    <row r="66" spans="2:4" ht="14.25">
      <c r="B66" s="98"/>
      <c r="C66" s="83"/>
      <c r="D66" s="84"/>
    </row>
    <row r="67" spans="2:4" ht="14.25">
      <c r="B67" s="98"/>
      <c r="C67" s="83"/>
      <c r="D67" s="84"/>
    </row>
    <row r="68" spans="2:4" ht="14.25">
      <c r="B68" s="98"/>
      <c r="C68" s="83"/>
      <c r="D68" s="84"/>
    </row>
    <row r="69" spans="2:4" ht="14.25">
      <c r="B69" s="98"/>
      <c r="C69" s="83"/>
      <c r="D69" s="84"/>
    </row>
    <row r="70" spans="2:4" ht="14.25">
      <c r="B70" s="98"/>
      <c r="C70" s="83"/>
      <c r="D70" s="84"/>
    </row>
    <row r="71" spans="2:4" ht="14.25">
      <c r="B71" s="98"/>
      <c r="C71" s="83"/>
      <c r="D71" s="84"/>
    </row>
    <row r="72" spans="2:4" ht="14.25">
      <c r="B72" s="98"/>
      <c r="C72" s="83"/>
      <c r="D72" s="84"/>
    </row>
    <row r="73" spans="2:4" ht="14.25">
      <c r="B73" s="98"/>
      <c r="C73" s="83"/>
      <c r="D73" s="84"/>
    </row>
    <row r="74" spans="2:4" ht="14.25">
      <c r="B74" s="98"/>
      <c r="C74" s="83"/>
      <c r="D74" s="84"/>
    </row>
    <row r="75" spans="2:4" ht="14.25">
      <c r="B75" s="98"/>
      <c r="C75" s="83"/>
      <c r="D75" s="84"/>
    </row>
    <row r="76" spans="2:4" ht="14.25">
      <c r="B76" s="98"/>
      <c r="C76" s="83"/>
      <c r="D76" s="84"/>
    </row>
    <row r="77" spans="2:4" ht="14.25">
      <c r="B77" s="98"/>
      <c r="C77" s="83"/>
      <c r="D77" s="84"/>
    </row>
    <row r="78" spans="2:4" ht="14.25">
      <c r="B78" s="98"/>
      <c r="C78" s="83"/>
      <c r="D78" s="84"/>
    </row>
    <row r="79" spans="2:4" ht="14.25">
      <c r="B79" s="98"/>
      <c r="C79" s="83"/>
      <c r="D79" s="84"/>
    </row>
    <row r="80" spans="2:4" ht="14.25">
      <c r="B80" s="98"/>
      <c r="C80" s="83"/>
      <c r="D80" s="84"/>
    </row>
    <row r="81" spans="2:4" ht="14.25">
      <c r="B81" s="98"/>
      <c r="C81" s="83"/>
      <c r="D81" s="84"/>
    </row>
    <row r="82" spans="2:4" ht="14.25">
      <c r="B82" s="98"/>
      <c r="C82" s="83"/>
      <c r="D82" s="84"/>
    </row>
    <row r="83" spans="2:4" ht="14.25">
      <c r="B83" s="98"/>
      <c r="C83" s="83"/>
      <c r="D83" s="84"/>
    </row>
    <row r="84" spans="2:4" ht="14.25">
      <c r="B84" s="98"/>
      <c r="C84" s="83"/>
      <c r="D84" s="84"/>
    </row>
    <row r="85" spans="2:4" ht="14.25">
      <c r="B85" s="98"/>
      <c r="C85" s="83"/>
      <c r="D85" s="84"/>
    </row>
    <row r="86" spans="2:4" ht="14.25">
      <c r="B86" s="98"/>
      <c r="C86" s="83"/>
      <c r="D86" s="84"/>
    </row>
    <row r="87" spans="2:4" ht="14.25">
      <c r="B87" s="98"/>
      <c r="C87" s="83"/>
      <c r="D87" s="84"/>
    </row>
    <row r="88" spans="2:4" ht="14.25">
      <c r="B88" s="98"/>
      <c r="C88" s="83"/>
      <c r="D88" s="84"/>
    </row>
    <row r="89" spans="2:4" ht="14.25">
      <c r="B89" s="98"/>
      <c r="C89" s="83"/>
      <c r="D89" s="84"/>
    </row>
    <row r="90" spans="2:4" ht="14.25">
      <c r="B90" s="98"/>
      <c r="C90" s="83"/>
      <c r="D90" s="84"/>
    </row>
    <row r="91" spans="2:4" ht="14.25">
      <c r="B91" s="98"/>
      <c r="C91" s="83"/>
      <c r="D91" s="84"/>
    </row>
    <row r="92" spans="2:4" ht="14.25">
      <c r="B92" s="98"/>
      <c r="C92" s="83"/>
      <c r="D92" s="84"/>
    </row>
    <row r="93" spans="2:4" ht="14.25">
      <c r="B93" s="98"/>
      <c r="C93" s="83"/>
      <c r="D93" s="84"/>
    </row>
    <row r="94" spans="2:4" ht="14.25">
      <c r="B94" s="98"/>
      <c r="C94" s="83"/>
      <c r="D94" s="84"/>
    </row>
    <row r="95" spans="2:4" ht="14.25">
      <c r="B95" s="98"/>
      <c r="C95" s="83"/>
      <c r="D95" s="84"/>
    </row>
    <row r="96" spans="2:4" ht="14.25">
      <c r="B96" s="98"/>
      <c r="C96" s="83"/>
      <c r="D96" s="84"/>
    </row>
    <row r="97" spans="2:4" ht="14.25">
      <c r="B97" s="98"/>
      <c r="C97" s="83"/>
      <c r="D97" s="84"/>
    </row>
    <row r="98" spans="2:4" ht="14.25">
      <c r="B98" s="98"/>
      <c r="C98" s="83"/>
      <c r="D98" s="84"/>
    </row>
    <row r="99" spans="2:4" ht="14.25">
      <c r="B99" s="98"/>
      <c r="C99" s="83"/>
      <c r="D99" s="84"/>
    </row>
    <row r="100" spans="2:4" ht="14.25">
      <c r="B100" s="98"/>
      <c r="C100" s="83"/>
      <c r="D100" s="84"/>
    </row>
    <row r="101" spans="2:4" ht="14.25">
      <c r="B101" s="98"/>
      <c r="C101" s="83"/>
      <c r="D101" s="84"/>
    </row>
    <row r="102" spans="2:4" ht="14.25">
      <c r="B102" s="98"/>
      <c r="C102" s="83"/>
      <c r="D102" s="84"/>
    </row>
  </sheetData>
  <mergeCells count="32">
    <mergeCell ref="C3:C6"/>
    <mergeCell ref="G5:G6"/>
    <mergeCell ref="H5:H6"/>
    <mergeCell ref="I3:AL3"/>
    <mergeCell ref="D3:E6"/>
    <mergeCell ref="O4:T4"/>
    <mergeCell ref="O5:P5"/>
    <mergeCell ref="I5:J5"/>
    <mergeCell ref="AI4:AJ4"/>
    <mergeCell ref="AI5:AJ5"/>
    <mergeCell ref="F3:H4"/>
    <mergeCell ref="AA5:AB5"/>
    <mergeCell ref="K5:L5"/>
    <mergeCell ref="S5:T5"/>
    <mergeCell ref="F5:F6"/>
    <mergeCell ref="M5:N5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Y4:AD4"/>
    <mergeCell ref="I4:N4"/>
    <mergeCell ref="AK4:AL4"/>
    <mergeCell ref="Q5:R5"/>
  </mergeCells>
  <phoneticPr fontId="1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CC"/>
  </sheetPr>
  <dimension ref="A1:BB262"/>
  <sheetViews>
    <sheetView topLeftCell="A123" zoomScale="55" zoomScaleNormal="55" workbookViewId="0">
      <pane xSplit="15" topLeftCell="P1" activePane="topRight" state="frozen"/>
      <selection activeCell="R218" sqref="R218"/>
      <selection pane="topRight" activeCell="AE147" sqref="AE147:AG17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18" t="s">
        <v>495</v>
      </c>
      <c r="C1" s="217">
        <f>AVERAGE(L7,L42,L77,L112,L147,L182)</f>
        <v>792.17451180030662</v>
      </c>
    </row>
    <row r="2" spans="1:54" ht="15.75">
      <c r="A2" s="81"/>
      <c r="B2" s="643" t="s">
        <v>496</v>
      </c>
      <c r="C2" s="643"/>
      <c r="D2" s="643"/>
      <c r="E2" s="643"/>
      <c r="F2" s="643"/>
      <c r="G2" s="643"/>
      <c r="H2" s="643"/>
      <c r="I2" s="355"/>
      <c r="J2" s="355"/>
      <c r="K2" s="355"/>
      <c r="L2" s="355"/>
      <c r="M2" s="197"/>
      <c r="N2" s="639" t="s">
        <v>497</v>
      </c>
      <c r="O2" s="639" t="s">
        <v>498</v>
      </c>
      <c r="P2" s="634"/>
      <c r="Q2" s="635"/>
      <c r="R2" s="635"/>
      <c r="S2" s="635"/>
      <c r="T2" s="635"/>
      <c r="U2" s="636">
        <v>46204</v>
      </c>
      <c r="V2" s="637"/>
      <c r="W2" s="637"/>
      <c r="X2" s="637"/>
      <c r="Y2" s="638"/>
      <c r="Z2" s="636">
        <f>U2+1</f>
        <v>46205</v>
      </c>
      <c r="AA2" s="637"/>
      <c r="AB2" s="637"/>
      <c r="AC2" s="637"/>
      <c r="AD2" s="638"/>
      <c r="AE2" s="636">
        <f>Z2+1</f>
        <v>46206</v>
      </c>
      <c r="AF2" s="637"/>
      <c r="AG2" s="637"/>
      <c r="AH2" s="637"/>
      <c r="AI2" s="638"/>
      <c r="AJ2" s="636">
        <f>AE2+1</f>
        <v>46207</v>
      </c>
      <c r="AK2" s="637"/>
      <c r="AL2" s="637"/>
      <c r="AM2" s="637"/>
      <c r="AN2" s="638"/>
      <c r="AO2" s="636">
        <f>AJ2+1</f>
        <v>46208</v>
      </c>
      <c r="AP2" s="637"/>
      <c r="AQ2" s="637"/>
      <c r="AR2" s="637"/>
      <c r="AS2" s="638"/>
      <c r="AT2" s="636">
        <f>AO2+1</f>
        <v>46209</v>
      </c>
      <c r="AU2" s="637"/>
      <c r="AV2" s="637"/>
      <c r="AW2" s="637"/>
      <c r="AX2" s="638"/>
    </row>
    <row r="3" spans="1:54" ht="15.75">
      <c r="A3" s="81"/>
      <c r="B3" s="659"/>
      <c r="C3" s="659"/>
      <c r="D3" s="659"/>
      <c r="E3" s="659"/>
      <c r="F3" s="659"/>
      <c r="G3" s="659"/>
      <c r="H3" s="659"/>
      <c r="I3" s="356"/>
      <c r="J3" s="356"/>
      <c r="K3" s="356"/>
      <c r="L3" s="356"/>
      <c r="M3" s="198"/>
      <c r="N3" s="641"/>
      <c r="O3" s="641"/>
      <c r="P3" s="634" t="s">
        <v>499</v>
      </c>
      <c r="Q3" s="635"/>
      <c r="R3" s="635"/>
      <c r="S3" s="635"/>
      <c r="T3" s="635"/>
      <c r="U3" s="634" t="s">
        <v>500</v>
      </c>
      <c r="V3" s="635"/>
      <c r="W3" s="635"/>
      <c r="X3" s="635"/>
      <c r="Y3" s="635"/>
      <c r="Z3" s="634" t="s">
        <v>501</v>
      </c>
      <c r="AA3" s="635"/>
      <c r="AB3" s="635"/>
      <c r="AC3" s="635"/>
      <c r="AD3" s="635"/>
      <c r="AE3" s="634" t="s">
        <v>502</v>
      </c>
      <c r="AF3" s="635"/>
      <c r="AG3" s="635"/>
      <c r="AH3" s="635"/>
      <c r="AI3" s="635"/>
      <c r="AJ3" s="634" t="s">
        <v>503</v>
      </c>
      <c r="AK3" s="635"/>
      <c r="AL3" s="635"/>
      <c r="AM3" s="635"/>
      <c r="AN3" s="635"/>
      <c r="AO3" s="634" t="s">
        <v>504</v>
      </c>
      <c r="AP3" s="635"/>
      <c r="AQ3" s="635"/>
      <c r="AR3" s="635"/>
      <c r="AS3" s="635"/>
      <c r="AT3" s="634" t="s">
        <v>505</v>
      </c>
      <c r="AU3" s="635"/>
      <c r="AV3" s="635"/>
      <c r="AW3" s="635"/>
      <c r="AX3" s="635"/>
    </row>
    <row r="4" spans="1:54" ht="14.25">
      <c r="A4" s="81"/>
      <c r="B4" s="624" t="s">
        <v>760</v>
      </c>
      <c r="C4" s="624" t="s">
        <v>761</v>
      </c>
      <c r="D4" s="624"/>
      <c r="E4" s="624" t="s">
        <v>762</v>
      </c>
      <c r="F4" s="624"/>
      <c r="G4" s="624"/>
      <c r="H4" s="647" t="s">
        <v>763</v>
      </c>
      <c r="I4" s="617" t="s">
        <v>764</v>
      </c>
      <c r="J4" s="617"/>
      <c r="K4" s="617"/>
      <c r="L4" s="618" t="s">
        <v>763</v>
      </c>
      <c r="M4" s="628" t="s">
        <v>670</v>
      </c>
      <c r="N4" s="624"/>
      <c r="O4" s="624" t="s">
        <v>488</v>
      </c>
      <c r="P4" s="621" t="s">
        <v>576</v>
      </c>
      <c r="Q4" s="622"/>
      <c r="R4" s="622"/>
      <c r="S4" s="623"/>
      <c r="T4" s="624" t="s">
        <v>604</v>
      </c>
      <c r="U4" s="621" t="s">
        <v>599</v>
      </c>
      <c r="V4" s="622"/>
      <c r="W4" s="622"/>
      <c r="X4" s="623"/>
      <c r="Y4" s="624" t="s">
        <v>573</v>
      </c>
      <c r="Z4" s="621" t="s">
        <v>599</v>
      </c>
      <c r="AA4" s="622"/>
      <c r="AB4" s="622"/>
      <c r="AC4" s="623"/>
      <c r="AD4" s="624" t="s">
        <v>603</v>
      </c>
      <c r="AE4" s="621" t="s">
        <v>457</v>
      </c>
      <c r="AF4" s="622"/>
      <c r="AG4" s="622"/>
      <c r="AH4" s="623"/>
      <c r="AI4" s="624" t="s">
        <v>579</v>
      </c>
      <c r="AJ4" s="621" t="s">
        <v>578</v>
      </c>
      <c r="AK4" s="622"/>
      <c r="AL4" s="622"/>
      <c r="AM4" s="623"/>
      <c r="AN4" s="624" t="s">
        <v>454</v>
      </c>
      <c r="AO4" s="621" t="s">
        <v>576</v>
      </c>
      <c r="AP4" s="622"/>
      <c r="AQ4" s="622"/>
      <c r="AR4" s="623"/>
      <c r="AS4" s="624" t="s">
        <v>605</v>
      </c>
      <c r="AT4" s="621" t="s">
        <v>457</v>
      </c>
      <c r="AU4" s="622"/>
      <c r="AV4" s="622"/>
      <c r="AW4" s="623"/>
      <c r="AX4" s="624" t="s">
        <v>579</v>
      </c>
    </row>
    <row r="5" spans="1:54" ht="14.25">
      <c r="A5" s="81"/>
      <c r="B5" s="624"/>
      <c r="C5" s="624"/>
      <c r="D5" s="624"/>
      <c r="E5" s="624" t="s">
        <v>765</v>
      </c>
      <c r="F5" s="624"/>
      <c r="G5" s="624"/>
      <c r="H5" s="648"/>
      <c r="I5" s="617" t="s">
        <v>765</v>
      </c>
      <c r="J5" s="617"/>
      <c r="K5" s="617"/>
      <c r="L5" s="619"/>
      <c r="M5" s="629"/>
      <c r="N5" s="624"/>
      <c r="O5" s="624"/>
      <c r="P5" s="621" t="s">
        <v>580</v>
      </c>
      <c r="Q5" s="622"/>
      <c r="R5" s="622"/>
      <c r="S5" s="623"/>
      <c r="T5" s="624"/>
      <c r="U5" s="621" t="s">
        <v>581</v>
      </c>
      <c r="V5" s="622"/>
      <c r="W5" s="622"/>
      <c r="X5" s="623"/>
      <c r="Y5" s="624"/>
      <c r="Z5" s="621" t="s">
        <v>582</v>
      </c>
      <c r="AA5" s="622"/>
      <c r="AB5" s="622"/>
      <c r="AC5" s="623"/>
      <c r="AD5" s="624"/>
      <c r="AE5" s="621" t="s">
        <v>582</v>
      </c>
      <c r="AF5" s="622"/>
      <c r="AG5" s="622"/>
      <c r="AH5" s="623"/>
      <c r="AI5" s="624"/>
      <c r="AJ5" s="621" t="s">
        <v>582</v>
      </c>
      <c r="AK5" s="622"/>
      <c r="AL5" s="622"/>
      <c r="AM5" s="623"/>
      <c r="AN5" s="624"/>
      <c r="AO5" s="621" t="s">
        <v>606</v>
      </c>
      <c r="AP5" s="622"/>
      <c r="AQ5" s="622"/>
      <c r="AR5" s="623"/>
      <c r="AS5" s="624"/>
      <c r="AT5" s="621" t="s">
        <v>370</v>
      </c>
      <c r="AU5" s="622"/>
      <c r="AV5" s="622"/>
      <c r="AW5" s="623"/>
      <c r="AX5" s="624"/>
    </row>
    <row r="6" spans="1:54" ht="14.25">
      <c r="A6" s="79"/>
      <c r="B6" s="624"/>
      <c r="C6" s="624"/>
      <c r="D6" s="624"/>
      <c r="E6" s="482" t="s">
        <v>766</v>
      </c>
      <c r="F6" s="482" t="s">
        <v>767</v>
      </c>
      <c r="G6" s="482" t="s">
        <v>768</v>
      </c>
      <c r="H6" s="649"/>
      <c r="I6" s="481" t="s">
        <v>766</v>
      </c>
      <c r="J6" s="481" t="s">
        <v>767</v>
      </c>
      <c r="K6" s="481" t="s">
        <v>768</v>
      </c>
      <c r="L6" s="620"/>
      <c r="M6" s="630"/>
      <c r="N6" s="624"/>
      <c r="O6" s="624"/>
      <c r="P6" s="413" t="s">
        <v>583</v>
      </c>
      <c r="Q6" s="413" t="s">
        <v>607</v>
      </c>
      <c r="R6" s="413" t="s">
        <v>445</v>
      </c>
      <c r="S6" s="413" t="s">
        <v>608</v>
      </c>
      <c r="T6" s="624"/>
      <c r="U6" s="413" t="s">
        <v>609</v>
      </c>
      <c r="V6" s="413" t="s">
        <v>586</v>
      </c>
      <c r="W6" s="413" t="s">
        <v>587</v>
      </c>
      <c r="X6" s="413" t="s">
        <v>588</v>
      </c>
      <c r="Y6" s="624"/>
      <c r="Z6" s="413" t="s">
        <v>610</v>
      </c>
      <c r="AA6" s="413" t="s">
        <v>372</v>
      </c>
      <c r="AB6" s="413" t="s">
        <v>611</v>
      </c>
      <c r="AC6" s="413" t="s">
        <v>612</v>
      </c>
      <c r="AD6" s="624"/>
      <c r="AE6" s="413" t="s">
        <v>443</v>
      </c>
      <c r="AF6" s="413" t="s">
        <v>613</v>
      </c>
      <c r="AG6" s="413" t="s">
        <v>614</v>
      </c>
      <c r="AH6" s="413" t="s">
        <v>368</v>
      </c>
      <c r="AI6" s="624"/>
      <c r="AJ6" s="413" t="s">
        <v>583</v>
      </c>
      <c r="AK6" s="413" t="s">
        <v>615</v>
      </c>
      <c r="AL6" s="413" t="s">
        <v>445</v>
      </c>
      <c r="AM6" s="413" t="s">
        <v>608</v>
      </c>
      <c r="AN6" s="624"/>
      <c r="AO6" s="413" t="s">
        <v>609</v>
      </c>
      <c r="AP6" s="413" t="s">
        <v>586</v>
      </c>
      <c r="AQ6" s="413" t="s">
        <v>587</v>
      </c>
      <c r="AR6" s="413" t="s">
        <v>588</v>
      </c>
      <c r="AS6" s="624"/>
      <c r="AT6" s="413" t="s">
        <v>616</v>
      </c>
      <c r="AU6" s="413" t="s">
        <v>372</v>
      </c>
      <c r="AV6" s="413" t="s">
        <v>611</v>
      </c>
      <c r="AW6" s="413" t="s">
        <v>574</v>
      </c>
      <c r="AX6" s="624"/>
    </row>
    <row r="7" spans="1:54" ht="14.25">
      <c r="A7" s="81"/>
      <c r="B7" s="635" t="s">
        <v>150</v>
      </c>
      <c r="C7" s="483">
        <v>1</v>
      </c>
      <c r="D7" s="483" t="s">
        <v>323</v>
      </c>
      <c r="E7" s="483">
        <v>3</v>
      </c>
      <c r="F7" s="483">
        <v>3200</v>
      </c>
      <c r="G7" s="491">
        <v>1066.6666666666667</v>
      </c>
      <c r="H7" s="610">
        <f>AVERAGE(G7:G36)</f>
        <v>779.4753086419754</v>
      </c>
      <c r="I7" s="487">
        <f>IFERROR(AVERAGE(P7,U7,Z7,AE7,AJ7,AO7,AT7),"-")</f>
        <v>3</v>
      </c>
      <c r="J7" s="487">
        <f>IFERROR(AVERAGE(Q7,V7,AA7,AF7,AK7,AP7,AU7),"-")</f>
        <v>3183.0633999570168</v>
      </c>
      <c r="K7" s="363">
        <f>IFERROR(AVERAGE(R7,W7,AB7,AG7,AL7,AQ7,AV7),"-")</f>
        <v>1061.0211333190057</v>
      </c>
      <c r="L7" s="614">
        <f>IFERROR(AVERAGE(K7:K36),"-")</f>
        <v>784.29240892758116</v>
      </c>
      <c r="M7" s="428">
        <v>1</v>
      </c>
      <c r="N7" s="624"/>
      <c r="O7" s="624"/>
      <c r="P7" s="483"/>
      <c r="Q7" s="491"/>
      <c r="R7" s="491"/>
      <c r="S7" s="483"/>
      <c r="T7" s="653"/>
      <c r="U7" s="529">
        <v>3</v>
      </c>
      <c r="V7" s="538">
        <v>3176.6666666666638</v>
      </c>
      <c r="W7" s="538">
        <v>1058.888888888888</v>
      </c>
      <c r="X7" s="534">
        <v>4</v>
      </c>
      <c r="Y7" s="653">
        <v>787.11647096227045</v>
      </c>
      <c r="Z7" s="529">
        <v>3</v>
      </c>
      <c r="AA7" s="538">
        <v>3194.1818181818203</v>
      </c>
      <c r="AB7" s="538">
        <v>1064.7272727272734</v>
      </c>
      <c r="AC7" s="534">
        <v>1</v>
      </c>
      <c r="AD7" s="653">
        <v>785.90306756025291</v>
      </c>
      <c r="AE7" s="529">
        <v>3</v>
      </c>
      <c r="AF7" s="538">
        <v>3195.3191489361707</v>
      </c>
      <c r="AG7" s="538">
        <v>1065.1063829787236</v>
      </c>
      <c r="AH7" s="534">
        <v>3</v>
      </c>
      <c r="AI7" s="653">
        <v>786.14849329195999</v>
      </c>
      <c r="AJ7" s="529">
        <v>3</v>
      </c>
      <c r="AK7" s="538">
        <v>3190.2127659574471</v>
      </c>
      <c r="AL7" s="538">
        <v>1063.4042553191491</v>
      </c>
      <c r="AM7" s="534">
        <v>1</v>
      </c>
      <c r="AN7" s="653">
        <v>778.97211123272837</v>
      </c>
      <c r="AO7" s="529">
        <v>3</v>
      </c>
      <c r="AP7" s="538">
        <v>3150.0000000000027</v>
      </c>
      <c r="AQ7" s="538">
        <v>1050.0000000000009</v>
      </c>
      <c r="AR7" s="534">
        <v>3</v>
      </c>
      <c r="AS7" s="653">
        <v>787.08620424174387</v>
      </c>
      <c r="AT7" s="529">
        <v>3</v>
      </c>
      <c r="AU7" s="538">
        <v>3191.9999999999977</v>
      </c>
      <c r="AV7" s="538">
        <v>1063.9999999999993</v>
      </c>
      <c r="AW7" s="534">
        <v>3</v>
      </c>
      <c r="AX7" s="653">
        <v>780.52810627653105</v>
      </c>
      <c r="AZ7" s="365" t="e">
        <f>RANK(AX7, $K$7:AX$36)</f>
        <v>#VALUE!</v>
      </c>
      <c r="BB7" s="354" t="e">
        <f t="shared" ref="BB7:BB36" si="0">RANK(BA7, BA$7:BA$36)</f>
        <v>#N/A</v>
      </c>
    </row>
    <row r="8" spans="1:54" ht="15" customHeight="1">
      <c r="A8" s="81"/>
      <c r="B8" s="635"/>
      <c r="C8" s="483">
        <v>2</v>
      </c>
      <c r="D8" s="482" t="s">
        <v>324</v>
      </c>
      <c r="E8" s="483">
        <v>3</v>
      </c>
      <c r="F8" s="483">
        <v>3200</v>
      </c>
      <c r="G8" s="491">
        <v>1066.6666666666667</v>
      </c>
      <c r="H8" s="611"/>
      <c r="I8" s="487">
        <f t="shared" ref="I8:K36" si="1">IFERROR(AVERAGE(P8,U8,Z8,AE8,AJ8,AO8,AT8),"-")</f>
        <v>3</v>
      </c>
      <c r="J8" s="487">
        <f t="shared" si="1"/>
        <v>3121.4709322325325</v>
      </c>
      <c r="K8" s="363">
        <f t="shared" si="1"/>
        <v>1040.4903107441776</v>
      </c>
      <c r="L8" s="615"/>
      <c r="M8" s="428">
        <v>5</v>
      </c>
      <c r="N8" s="624"/>
      <c r="O8" s="624"/>
      <c r="P8" s="483"/>
      <c r="Q8" s="491"/>
      <c r="R8" s="491"/>
      <c r="S8" s="483"/>
      <c r="T8" s="653"/>
      <c r="U8" s="529">
        <v>3</v>
      </c>
      <c r="V8" s="538">
        <v>3199.9999999999977</v>
      </c>
      <c r="W8" s="538">
        <v>1066.6666666666658</v>
      </c>
      <c r="X8" s="534">
        <v>1</v>
      </c>
      <c r="Y8" s="653"/>
      <c r="Z8" s="529">
        <v>3</v>
      </c>
      <c r="AA8" s="538">
        <v>3133.3333333333308</v>
      </c>
      <c r="AB8" s="538">
        <v>1044.4444444444437</v>
      </c>
      <c r="AC8" s="534">
        <v>6</v>
      </c>
      <c r="AD8" s="653"/>
      <c r="AE8" s="529">
        <v>3</v>
      </c>
      <c r="AF8" s="538">
        <v>3021.1764705882179</v>
      </c>
      <c r="AG8" s="538">
        <v>1007.0588235294059</v>
      </c>
      <c r="AH8" s="534">
        <v>8</v>
      </c>
      <c r="AI8" s="653"/>
      <c r="AJ8" s="529">
        <v>3</v>
      </c>
      <c r="AK8" s="538">
        <v>3187.9999999999945</v>
      </c>
      <c r="AL8" s="538">
        <v>1062.6666666666649</v>
      </c>
      <c r="AM8" s="534">
        <v>4</v>
      </c>
      <c r="AN8" s="653"/>
      <c r="AO8" s="529">
        <v>3</v>
      </c>
      <c r="AP8" s="538">
        <v>3110.5263157894583</v>
      </c>
      <c r="AQ8" s="538">
        <v>1036.8421052631527</v>
      </c>
      <c r="AR8" s="534">
        <v>7</v>
      </c>
      <c r="AS8" s="653"/>
      <c r="AT8" s="529">
        <v>3</v>
      </c>
      <c r="AU8" s="538">
        <v>3075.7894736841954</v>
      </c>
      <c r="AV8" s="538">
        <v>1025.2631578947319</v>
      </c>
      <c r="AW8" s="534">
        <v>8</v>
      </c>
      <c r="AX8" s="653"/>
      <c r="AZ8" s="365" t="e">
        <f>RANK(AX8, $K$7:AX$36)</f>
        <v>#VALUE!</v>
      </c>
      <c r="BB8" s="354" t="e">
        <f t="shared" si="0"/>
        <v>#N/A</v>
      </c>
    </row>
    <row r="9" spans="1:54" ht="14.25">
      <c r="A9" s="81"/>
      <c r="B9" s="635"/>
      <c r="C9" s="483">
        <v>3</v>
      </c>
      <c r="D9" s="483" t="s">
        <v>314</v>
      </c>
      <c r="E9" s="483">
        <v>4</v>
      </c>
      <c r="F9" s="483">
        <v>3200</v>
      </c>
      <c r="G9" s="491">
        <v>800</v>
      </c>
      <c r="H9" s="611"/>
      <c r="I9" s="487">
        <f t="shared" si="1"/>
        <v>4</v>
      </c>
      <c r="J9" s="487">
        <f t="shared" si="1"/>
        <v>3095.8585164835113</v>
      </c>
      <c r="K9" s="363">
        <f t="shared" si="1"/>
        <v>773.96462912087782</v>
      </c>
      <c r="L9" s="615"/>
      <c r="M9" s="428">
        <v>14</v>
      </c>
      <c r="N9" s="624"/>
      <c r="O9" s="624"/>
      <c r="P9" s="483"/>
      <c r="Q9" s="491"/>
      <c r="R9" s="491"/>
      <c r="S9" s="483"/>
      <c r="T9" s="653"/>
      <c r="U9" s="529">
        <v>4</v>
      </c>
      <c r="V9" s="538">
        <v>3131.2499999999959</v>
      </c>
      <c r="W9" s="538">
        <v>782.81249999999898</v>
      </c>
      <c r="X9" s="534">
        <v>16</v>
      </c>
      <c r="Y9" s="653"/>
      <c r="Z9" s="529">
        <v>4</v>
      </c>
      <c r="AA9" s="538">
        <v>3086.2499999999959</v>
      </c>
      <c r="AB9" s="538">
        <v>771.56249999999898</v>
      </c>
      <c r="AC9" s="534">
        <v>16</v>
      </c>
      <c r="AD9" s="653"/>
      <c r="AE9" s="529">
        <v>4</v>
      </c>
      <c r="AF9" s="538">
        <v>3064.2857142857079</v>
      </c>
      <c r="AG9" s="538">
        <v>766.07142857142696</v>
      </c>
      <c r="AH9" s="534">
        <v>16</v>
      </c>
      <c r="AI9" s="653"/>
      <c r="AJ9" s="529">
        <v>4</v>
      </c>
      <c r="AK9" s="538">
        <v>3124.6153846153766</v>
      </c>
      <c r="AL9" s="538">
        <v>781.15384615384414</v>
      </c>
      <c r="AM9" s="534">
        <v>15</v>
      </c>
      <c r="AN9" s="653"/>
      <c r="AO9" s="529">
        <v>4</v>
      </c>
      <c r="AP9" s="538">
        <v>3123.7499999999959</v>
      </c>
      <c r="AQ9" s="538">
        <v>780.93749999999898</v>
      </c>
      <c r="AR9" s="534">
        <v>18</v>
      </c>
      <c r="AS9" s="653"/>
      <c r="AT9" s="529">
        <v>4</v>
      </c>
      <c r="AU9" s="538">
        <v>3044.9999999999959</v>
      </c>
      <c r="AV9" s="538">
        <v>761.24999999999898</v>
      </c>
      <c r="AW9" s="534">
        <v>16</v>
      </c>
      <c r="AX9" s="653"/>
      <c r="AZ9" s="365" t="e">
        <f>RANK(AX9, $K$7:AX$36)</f>
        <v>#VALUE!</v>
      </c>
      <c r="BB9" s="354" t="e">
        <f t="shared" si="0"/>
        <v>#N/A</v>
      </c>
    </row>
    <row r="10" spans="1:54" ht="14.25">
      <c r="A10" s="81"/>
      <c r="B10" s="635"/>
      <c r="C10" s="483">
        <v>4</v>
      </c>
      <c r="D10" s="483" t="s">
        <v>326</v>
      </c>
      <c r="E10" s="483">
        <v>3</v>
      </c>
      <c r="F10" s="483">
        <v>3200</v>
      </c>
      <c r="G10" s="491">
        <v>1066.6666666666667</v>
      </c>
      <c r="H10" s="611"/>
      <c r="I10" s="487">
        <f t="shared" si="1"/>
        <v>3</v>
      </c>
      <c r="J10" s="487">
        <f t="shared" si="1"/>
        <v>3180.0829722183612</v>
      </c>
      <c r="K10" s="363">
        <f t="shared" si="1"/>
        <v>1060.0276574061206</v>
      </c>
      <c r="L10" s="615"/>
      <c r="M10" s="428">
        <v>6</v>
      </c>
      <c r="N10" s="624"/>
      <c r="O10" s="624"/>
      <c r="P10" s="483"/>
      <c r="Q10" s="491"/>
      <c r="R10" s="491"/>
      <c r="S10" s="483"/>
      <c r="T10" s="653"/>
      <c r="U10" s="529">
        <v>3</v>
      </c>
      <c r="V10" s="538">
        <v>3185.7831325301227</v>
      </c>
      <c r="W10" s="538">
        <v>1061.9277108433741</v>
      </c>
      <c r="X10" s="534">
        <v>2</v>
      </c>
      <c r="Y10" s="653"/>
      <c r="Z10" s="529">
        <v>3</v>
      </c>
      <c r="AA10" s="538">
        <v>3174.0740740740757</v>
      </c>
      <c r="AB10" s="538">
        <v>1058.0246913580252</v>
      </c>
      <c r="AC10" s="534">
        <v>2</v>
      </c>
      <c r="AD10" s="653"/>
      <c r="AE10" s="529">
        <v>3</v>
      </c>
      <c r="AF10" s="538">
        <v>3179.1666666666674</v>
      </c>
      <c r="AG10" s="538">
        <v>1059.7222222222224</v>
      </c>
      <c r="AH10" s="534">
        <v>4</v>
      </c>
      <c r="AI10" s="653"/>
      <c r="AJ10" s="529">
        <v>3</v>
      </c>
      <c r="AK10" s="538">
        <v>3188.4507042253526</v>
      </c>
      <c r="AL10" s="538">
        <v>1062.8169014084508</v>
      </c>
      <c r="AM10" s="534">
        <v>3</v>
      </c>
      <c r="AN10" s="653"/>
      <c r="AO10" s="529">
        <v>3</v>
      </c>
      <c r="AP10" s="538">
        <v>3173.0232558139528</v>
      </c>
      <c r="AQ10" s="538">
        <v>1057.674418604651</v>
      </c>
      <c r="AR10" s="534">
        <v>1</v>
      </c>
      <c r="AS10" s="653"/>
      <c r="AT10" s="529">
        <v>3</v>
      </c>
      <c r="AU10" s="538">
        <v>3179.9999999999995</v>
      </c>
      <c r="AV10" s="538">
        <v>1059.9999999999998</v>
      </c>
      <c r="AW10" s="534">
        <v>4</v>
      </c>
      <c r="AX10" s="653"/>
      <c r="AZ10" s="365" t="e">
        <f>RANK(AX10, $K$7:AX$36)</f>
        <v>#VALUE!</v>
      </c>
      <c r="BB10" s="354" t="e">
        <f t="shared" si="0"/>
        <v>#N/A</v>
      </c>
    </row>
    <row r="11" spans="1:54" ht="14.25">
      <c r="A11" s="81"/>
      <c r="B11" s="635"/>
      <c r="C11" s="483">
        <v>5</v>
      </c>
      <c r="D11" s="483" t="s">
        <v>327</v>
      </c>
      <c r="E11" s="483">
        <v>4</v>
      </c>
      <c r="F11" s="483">
        <v>3200</v>
      </c>
      <c r="G11" s="491">
        <v>800</v>
      </c>
      <c r="H11" s="611"/>
      <c r="I11" s="487">
        <f t="shared" si="1"/>
        <v>4</v>
      </c>
      <c r="J11" s="487">
        <f t="shared" si="1"/>
        <v>3132.7043151356665</v>
      </c>
      <c r="K11" s="363">
        <f t="shared" si="1"/>
        <v>783.17607878391664</v>
      </c>
      <c r="L11" s="615"/>
      <c r="M11" s="428">
        <v>12</v>
      </c>
      <c r="N11" s="624"/>
      <c r="O11" s="624"/>
      <c r="P11" s="483"/>
      <c r="Q11" s="491"/>
      <c r="R11" s="491"/>
      <c r="S11" s="483"/>
      <c r="T11" s="653"/>
      <c r="U11" s="529">
        <v>4</v>
      </c>
      <c r="V11" s="538">
        <v>3125.0000000000009</v>
      </c>
      <c r="W11" s="538">
        <v>781.25000000000023</v>
      </c>
      <c r="X11" s="534">
        <v>17</v>
      </c>
      <c r="Y11" s="653"/>
      <c r="Z11" s="529">
        <v>4</v>
      </c>
      <c r="AA11" s="538">
        <v>3153.9130434782724</v>
      </c>
      <c r="AB11" s="538">
        <v>788.47826086956809</v>
      </c>
      <c r="AC11" s="534">
        <v>14</v>
      </c>
      <c r="AD11" s="653"/>
      <c r="AE11" s="529">
        <v>4</v>
      </c>
      <c r="AF11" s="538">
        <v>3108.5714285714275</v>
      </c>
      <c r="AG11" s="538">
        <v>777.14285714285688</v>
      </c>
      <c r="AH11" s="534">
        <v>15</v>
      </c>
      <c r="AI11" s="653"/>
      <c r="AJ11" s="529">
        <v>4</v>
      </c>
      <c r="AK11" s="538">
        <v>3145.2631578947344</v>
      </c>
      <c r="AL11" s="538">
        <v>786.31578947368359</v>
      </c>
      <c r="AM11" s="534">
        <v>14</v>
      </c>
      <c r="AN11" s="653"/>
      <c r="AO11" s="529">
        <v>4</v>
      </c>
      <c r="AP11" s="538">
        <v>3133.0434782608809</v>
      </c>
      <c r="AQ11" s="538">
        <v>783.26086956522022</v>
      </c>
      <c r="AR11" s="534">
        <v>17</v>
      </c>
      <c r="AS11" s="653"/>
      <c r="AT11" s="529">
        <v>4</v>
      </c>
      <c r="AU11" s="538">
        <v>3130.4347826086851</v>
      </c>
      <c r="AV11" s="538">
        <v>782.60869565217126</v>
      </c>
      <c r="AW11" s="534">
        <v>15</v>
      </c>
      <c r="AX11" s="653"/>
      <c r="AZ11" s="365" t="e">
        <f>RANK(AX11, $K$7:AX$36)</f>
        <v>#VALUE!</v>
      </c>
      <c r="BB11" s="354" t="e">
        <f t="shared" si="0"/>
        <v>#N/A</v>
      </c>
    </row>
    <row r="12" spans="1:54" ht="14.25">
      <c r="A12" s="81"/>
      <c r="B12" s="635"/>
      <c r="C12" s="483">
        <v>6</v>
      </c>
      <c r="D12" s="483" t="s">
        <v>325</v>
      </c>
      <c r="E12" s="483">
        <v>4</v>
      </c>
      <c r="F12" s="483">
        <v>3200</v>
      </c>
      <c r="G12" s="491">
        <v>800</v>
      </c>
      <c r="H12" s="611"/>
      <c r="I12" s="487">
        <f t="shared" si="1"/>
        <v>4</v>
      </c>
      <c r="J12" s="487">
        <f t="shared" si="1"/>
        <v>3099.6666666666702</v>
      </c>
      <c r="K12" s="363">
        <f t="shared" si="1"/>
        <v>774.91666666666754</v>
      </c>
      <c r="L12" s="615"/>
      <c r="M12" s="428">
        <v>11</v>
      </c>
      <c r="N12" s="624"/>
      <c r="O12" s="624"/>
      <c r="P12" s="483"/>
      <c r="Q12" s="491"/>
      <c r="R12" s="491"/>
      <c r="S12" s="483"/>
      <c r="T12" s="653"/>
      <c r="U12" s="529">
        <v>4</v>
      </c>
      <c r="V12" s="538">
        <v>3195.0000000000114</v>
      </c>
      <c r="W12" s="538">
        <v>798.75000000000284</v>
      </c>
      <c r="X12" s="534">
        <v>13</v>
      </c>
      <c r="Y12" s="653"/>
      <c r="Z12" s="529">
        <v>4</v>
      </c>
      <c r="AA12" s="538">
        <v>3085.0000000000109</v>
      </c>
      <c r="AB12" s="538">
        <v>771.25000000000273</v>
      </c>
      <c r="AC12" s="534">
        <v>17</v>
      </c>
      <c r="AD12" s="653"/>
      <c r="AE12" s="529">
        <v>4</v>
      </c>
      <c r="AF12" s="538">
        <v>2963.9999999999868</v>
      </c>
      <c r="AG12" s="538">
        <v>740.9999999999967</v>
      </c>
      <c r="AH12" s="534">
        <v>18</v>
      </c>
      <c r="AI12" s="653"/>
      <c r="AJ12" s="529">
        <v>4</v>
      </c>
      <c r="AK12" s="538">
        <v>2933.9999999999873</v>
      </c>
      <c r="AL12" s="538">
        <v>733.49999999999682</v>
      </c>
      <c r="AM12" s="534">
        <v>18</v>
      </c>
      <c r="AN12" s="653"/>
      <c r="AO12" s="529">
        <v>4</v>
      </c>
      <c r="AP12" s="538">
        <v>3212.7272727272843</v>
      </c>
      <c r="AQ12" s="538">
        <v>803.18181818182109</v>
      </c>
      <c r="AR12" s="534">
        <v>14</v>
      </c>
      <c r="AS12" s="653"/>
      <c r="AT12" s="529">
        <v>4</v>
      </c>
      <c r="AU12" s="538">
        <v>3207.2727272727388</v>
      </c>
      <c r="AV12" s="538">
        <v>801.81818181818471</v>
      </c>
      <c r="AW12" s="534">
        <v>13</v>
      </c>
      <c r="AX12" s="653"/>
      <c r="AZ12" s="365" t="e">
        <f>RANK(AX12, $K$7:AX$36)</f>
        <v>#VALUE!</v>
      </c>
      <c r="BB12" s="354" t="e">
        <f t="shared" si="0"/>
        <v>#N/A</v>
      </c>
    </row>
    <row r="13" spans="1:54" ht="14.25">
      <c r="A13" s="81"/>
      <c r="B13" s="635"/>
      <c r="C13" s="483">
        <v>7</v>
      </c>
      <c r="D13" s="483" t="s">
        <v>328</v>
      </c>
      <c r="E13" s="483">
        <v>4</v>
      </c>
      <c r="F13" s="483">
        <v>2800</v>
      </c>
      <c r="G13" s="491">
        <v>700</v>
      </c>
      <c r="H13" s="611"/>
      <c r="I13" s="487">
        <f t="shared" si="1"/>
        <v>4</v>
      </c>
      <c r="J13" s="487">
        <f t="shared" si="1"/>
        <v>3037.0454545454554</v>
      </c>
      <c r="K13" s="363">
        <f t="shared" si="1"/>
        <v>759.26136363636385</v>
      </c>
      <c r="L13" s="615"/>
      <c r="M13" s="428">
        <v>10</v>
      </c>
      <c r="N13" s="624"/>
      <c r="O13" s="624"/>
      <c r="P13" s="483"/>
      <c r="Q13" s="491"/>
      <c r="R13" s="491"/>
      <c r="S13" s="483"/>
      <c r="T13" s="653"/>
      <c r="U13" s="529">
        <v>4</v>
      </c>
      <c r="V13" s="538">
        <v>2967.6923076923094</v>
      </c>
      <c r="W13" s="538">
        <v>741.92307692307736</v>
      </c>
      <c r="X13" s="534">
        <v>18</v>
      </c>
      <c r="Y13" s="653"/>
      <c r="Z13" s="529">
        <v>4</v>
      </c>
      <c r="AA13" s="538">
        <v>3150.0000000000009</v>
      </c>
      <c r="AB13" s="538">
        <v>787.50000000000023</v>
      </c>
      <c r="AC13" s="534">
        <v>15</v>
      </c>
      <c r="AD13" s="653"/>
      <c r="AE13" s="529">
        <v>4</v>
      </c>
      <c r="AF13" s="538">
        <v>3038.181818181818</v>
      </c>
      <c r="AG13" s="538">
        <v>759.5454545454545</v>
      </c>
      <c r="AH13" s="534">
        <v>17</v>
      </c>
      <c r="AI13" s="653"/>
      <c r="AJ13" s="529">
        <v>4</v>
      </c>
      <c r="AK13" s="538">
        <v>2929.090909090909</v>
      </c>
      <c r="AL13" s="538">
        <v>732.27272727272725</v>
      </c>
      <c r="AM13" s="534">
        <v>19</v>
      </c>
      <c r="AN13" s="653"/>
      <c r="AO13" s="529">
        <v>4</v>
      </c>
      <c r="AP13" s="538">
        <v>3165.0000000000009</v>
      </c>
      <c r="AQ13" s="538">
        <v>791.25000000000023</v>
      </c>
      <c r="AR13" s="534">
        <v>16</v>
      </c>
      <c r="AS13" s="653"/>
      <c r="AT13" s="529">
        <v>4</v>
      </c>
      <c r="AU13" s="538">
        <v>2972.3076923076942</v>
      </c>
      <c r="AV13" s="538">
        <v>743.07692307692355</v>
      </c>
      <c r="AW13" s="534">
        <v>18</v>
      </c>
      <c r="AX13" s="653"/>
      <c r="AZ13" s="365" t="e">
        <f>RANK(AX13, $K$7:AX$36)</f>
        <v>#VALUE!</v>
      </c>
      <c r="BB13" s="354" t="e">
        <f t="shared" si="0"/>
        <v>#N/A</v>
      </c>
    </row>
    <row r="14" spans="1:54" ht="14.25">
      <c r="A14" s="81"/>
      <c r="B14" s="635"/>
      <c r="C14" s="483">
        <v>8</v>
      </c>
      <c r="D14" s="483" t="s">
        <v>329</v>
      </c>
      <c r="E14" s="483">
        <v>3</v>
      </c>
      <c r="F14" s="483">
        <v>3200</v>
      </c>
      <c r="G14" s="491">
        <v>1066.6666666666667</v>
      </c>
      <c r="H14" s="611"/>
      <c r="I14" s="487">
        <f t="shared" si="1"/>
        <v>3</v>
      </c>
      <c r="J14" s="487">
        <f t="shared" si="1"/>
        <v>3143.4758620689686</v>
      </c>
      <c r="K14" s="363">
        <f t="shared" si="1"/>
        <v>1047.8252873563229</v>
      </c>
      <c r="L14" s="615"/>
      <c r="M14" s="428">
        <v>3</v>
      </c>
      <c r="N14" s="624"/>
      <c r="O14" s="624"/>
      <c r="P14" s="483"/>
      <c r="Q14" s="491"/>
      <c r="R14" s="491"/>
      <c r="S14" s="483"/>
      <c r="T14" s="653"/>
      <c r="U14" s="529">
        <v>3</v>
      </c>
      <c r="V14" s="538">
        <v>3171.7241379310367</v>
      </c>
      <c r="W14" s="538">
        <v>1057.2413793103456</v>
      </c>
      <c r="X14" s="534">
        <v>5</v>
      </c>
      <c r="Y14" s="653"/>
      <c r="Z14" s="529">
        <v>3</v>
      </c>
      <c r="AA14" s="538">
        <v>3097.2413793103469</v>
      </c>
      <c r="AB14" s="538">
        <v>1032.4137931034491</v>
      </c>
      <c r="AC14" s="534">
        <v>7</v>
      </c>
      <c r="AD14" s="653"/>
      <c r="AE14" s="529">
        <v>3</v>
      </c>
      <c r="AF14" s="538">
        <v>3163.2000000000007</v>
      </c>
      <c r="AG14" s="538">
        <v>1054.4000000000003</v>
      </c>
      <c r="AH14" s="534">
        <v>5</v>
      </c>
      <c r="AI14" s="653"/>
      <c r="AJ14" s="529">
        <v>3</v>
      </c>
      <c r="AK14" s="538">
        <v>3108.0000000000009</v>
      </c>
      <c r="AL14" s="538">
        <v>1036.0000000000002</v>
      </c>
      <c r="AM14" s="534">
        <v>6</v>
      </c>
      <c r="AN14" s="653"/>
      <c r="AO14" s="529">
        <v>3</v>
      </c>
      <c r="AP14" s="538">
        <v>3120.0000000000109</v>
      </c>
      <c r="AQ14" s="538">
        <v>1040.0000000000036</v>
      </c>
      <c r="AR14" s="534">
        <v>6</v>
      </c>
      <c r="AS14" s="653"/>
      <c r="AT14" s="529">
        <v>3</v>
      </c>
      <c r="AU14" s="538">
        <v>3200.6896551724158</v>
      </c>
      <c r="AV14" s="538">
        <v>1066.8965517241386</v>
      </c>
      <c r="AW14" s="534">
        <v>1</v>
      </c>
      <c r="AX14" s="653"/>
      <c r="AZ14" s="365" t="e">
        <f>RANK(AX14, $K$7:AX$36)</f>
        <v>#VALUE!</v>
      </c>
      <c r="BB14" s="354" t="e">
        <f t="shared" si="0"/>
        <v>#N/A</v>
      </c>
    </row>
    <row r="15" spans="1:54" ht="14.25">
      <c r="A15" s="81"/>
      <c r="B15" s="635"/>
      <c r="C15" s="483">
        <v>9</v>
      </c>
      <c r="D15" s="483" t="s">
        <v>330</v>
      </c>
      <c r="E15" s="483">
        <v>3</v>
      </c>
      <c r="F15" s="483">
        <v>2800</v>
      </c>
      <c r="G15" s="491">
        <v>933.33333333333337</v>
      </c>
      <c r="H15" s="611"/>
      <c r="I15" s="487">
        <f t="shared" si="1"/>
        <v>3</v>
      </c>
      <c r="J15" s="487">
        <f t="shared" si="1"/>
        <v>3096.7477081610173</v>
      </c>
      <c r="K15" s="363">
        <f t="shared" si="1"/>
        <v>1032.2492360536723</v>
      </c>
      <c r="L15" s="615"/>
      <c r="M15" s="428">
        <v>2</v>
      </c>
      <c r="N15" s="624"/>
      <c r="O15" s="624"/>
      <c r="P15" s="483"/>
      <c r="Q15" s="491"/>
      <c r="R15" s="491"/>
      <c r="S15" s="483"/>
      <c r="T15" s="653"/>
      <c r="U15" s="529">
        <v>3</v>
      </c>
      <c r="V15" s="538">
        <v>3016.8750000000036</v>
      </c>
      <c r="W15" s="538">
        <v>1005.6250000000013</v>
      </c>
      <c r="X15" s="534">
        <v>9</v>
      </c>
      <c r="Y15" s="653"/>
      <c r="Z15" s="529">
        <v>3</v>
      </c>
      <c r="AA15" s="538">
        <v>3094.0000000000027</v>
      </c>
      <c r="AB15" s="538">
        <v>1031.3333333333342</v>
      </c>
      <c r="AC15" s="534">
        <v>8</v>
      </c>
      <c r="AD15" s="653"/>
      <c r="AE15" s="529">
        <v>3</v>
      </c>
      <c r="AF15" s="538">
        <v>3113.3333333333348</v>
      </c>
      <c r="AG15" s="538">
        <v>1037.7777777777783</v>
      </c>
      <c r="AH15" s="534">
        <v>7</v>
      </c>
      <c r="AI15" s="653"/>
      <c r="AJ15" s="529">
        <v>3</v>
      </c>
      <c r="AK15" s="538">
        <v>3096.9230769230785</v>
      </c>
      <c r="AL15" s="538">
        <v>1032.3076923076928</v>
      </c>
      <c r="AM15" s="534">
        <v>7</v>
      </c>
      <c r="AN15" s="653"/>
      <c r="AO15" s="529">
        <v>3</v>
      </c>
      <c r="AP15" s="538">
        <v>3141.2903225806481</v>
      </c>
      <c r="AQ15" s="538">
        <v>1047.0967741935494</v>
      </c>
      <c r="AR15" s="534">
        <v>5</v>
      </c>
      <c r="AS15" s="653"/>
      <c r="AT15" s="529">
        <v>3</v>
      </c>
      <c r="AU15" s="538">
        <v>3118.0645161290354</v>
      </c>
      <c r="AV15" s="538">
        <v>1039.3548387096785</v>
      </c>
      <c r="AW15" s="534">
        <v>7</v>
      </c>
      <c r="AX15" s="653"/>
      <c r="AZ15" s="365" t="e">
        <f>RANK(AX15, $K$7:AX$36)</f>
        <v>#VALUE!</v>
      </c>
      <c r="BB15" s="354" t="e">
        <f t="shared" si="0"/>
        <v>#N/A</v>
      </c>
    </row>
    <row r="16" spans="1:54" ht="14.25">
      <c r="A16" s="81"/>
      <c r="B16" s="635"/>
      <c r="C16" s="483">
        <v>10</v>
      </c>
      <c r="D16" s="483" t="s">
        <v>331</v>
      </c>
      <c r="E16" s="483">
        <v>4</v>
      </c>
      <c r="F16" s="483">
        <v>2800</v>
      </c>
      <c r="G16" s="491">
        <v>700</v>
      </c>
      <c r="H16" s="611"/>
      <c r="I16" s="487">
        <f t="shared" si="1"/>
        <v>4</v>
      </c>
      <c r="J16" s="487">
        <f t="shared" si="1"/>
        <v>3174.6137798093318</v>
      </c>
      <c r="K16" s="363">
        <f t="shared" si="1"/>
        <v>793.65344495233296</v>
      </c>
      <c r="L16" s="615"/>
      <c r="M16" s="428">
        <v>13</v>
      </c>
      <c r="N16" s="624"/>
      <c r="O16" s="624"/>
      <c r="P16" s="483"/>
      <c r="Q16" s="491"/>
      <c r="R16" s="491"/>
      <c r="S16" s="483"/>
      <c r="T16" s="653"/>
      <c r="U16" s="529">
        <v>4</v>
      </c>
      <c r="V16" s="538">
        <v>3146.6666666666638</v>
      </c>
      <c r="W16" s="538">
        <v>786.66666666666595</v>
      </c>
      <c r="X16" s="534">
        <v>15</v>
      </c>
      <c r="Y16" s="653"/>
      <c r="Z16" s="529">
        <v>4</v>
      </c>
      <c r="AA16" s="538">
        <v>3198.1132075471719</v>
      </c>
      <c r="AB16" s="538">
        <v>799.52830188679297</v>
      </c>
      <c r="AC16" s="534">
        <v>13</v>
      </c>
      <c r="AD16" s="653"/>
      <c r="AE16" s="529">
        <v>4</v>
      </c>
      <c r="AF16" s="538">
        <v>3141.2500000000009</v>
      </c>
      <c r="AG16" s="538">
        <v>785.31250000000023</v>
      </c>
      <c r="AH16" s="534">
        <v>14</v>
      </c>
      <c r="AI16" s="653"/>
      <c r="AJ16" s="529">
        <v>4</v>
      </c>
      <c r="AK16" s="538">
        <v>3200.4255319148942</v>
      </c>
      <c r="AL16" s="538">
        <v>800.10638297872356</v>
      </c>
      <c r="AM16" s="534">
        <v>13</v>
      </c>
      <c r="AN16" s="653"/>
      <c r="AO16" s="529">
        <v>4</v>
      </c>
      <c r="AP16" s="538">
        <v>3172.4999999999973</v>
      </c>
      <c r="AQ16" s="538">
        <v>793.12499999999932</v>
      </c>
      <c r="AR16" s="534">
        <v>15</v>
      </c>
      <c r="AS16" s="653"/>
      <c r="AT16" s="529">
        <v>4</v>
      </c>
      <c r="AU16" s="538">
        <v>3188.7272727272652</v>
      </c>
      <c r="AV16" s="538">
        <v>797.18181818181631</v>
      </c>
      <c r="AW16" s="534">
        <v>14</v>
      </c>
      <c r="AX16" s="653"/>
      <c r="AZ16" s="365" t="e">
        <f>RANK(AX16, $K$7:AX$36)</f>
        <v>#VALUE!</v>
      </c>
      <c r="BB16" s="354" t="e">
        <f t="shared" si="0"/>
        <v>#N/A</v>
      </c>
    </row>
    <row r="17" spans="2:54">
      <c r="B17" s="635"/>
      <c r="C17" s="483">
        <v>11</v>
      </c>
      <c r="D17" s="483" t="s">
        <v>332</v>
      </c>
      <c r="E17" s="483">
        <v>4</v>
      </c>
      <c r="F17" s="483">
        <v>2800</v>
      </c>
      <c r="G17" s="491">
        <v>700</v>
      </c>
      <c r="H17" s="611"/>
      <c r="I17" s="487">
        <f t="shared" si="1"/>
        <v>4</v>
      </c>
      <c r="J17" s="487">
        <f t="shared" si="1"/>
        <v>2786.8214473698354</v>
      </c>
      <c r="K17" s="363">
        <f t="shared" si="1"/>
        <v>696.70536184245884</v>
      </c>
      <c r="L17" s="615"/>
      <c r="M17" s="428">
        <v>19</v>
      </c>
      <c r="N17" s="624"/>
      <c r="O17" s="624"/>
      <c r="P17" s="483"/>
      <c r="Q17" s="491"/>
      <c r="R17" s="491"/>
      <c r="S17" s="483"/>
      <c r="T17" s="653"/>
      <c r="U17" s="529">
        <v>4</v>
      </c>
      <c r="V17" s="538">
        <v>2791.4285714285706</v>
      </c>
      <c r="W17" s="538">
        <v>697.85714285714266</v>
      </c>
      <c r="X17" s="534">
        <v>20</v>
      </c>
      <c r="Y17" s="653"/>
      <c r="Z17" s="529">
        <v>4</v>
      </c>
      <c r="AA17" s="538">
        <v>2781.2903225806476</v>
      </c>
      <c r="AB17" s="538">
        <v>695.32258064516191</v>
      </c>
      <c r="AC17" s="534">
        <v>21</v>
      </c>
      <c r="AD17" s="653"/>
      <c r="AE17" s="529">
        <v>4</v>
      </c>
      <c r="AF17" s="538">
        <v>2794.9090909090928</v>
      </c>
      <c r="AG17" s="538">
        <v>698.7272727272732</v>
      </c>
      <c r="AH17" s="534">
        <v>20</v>
      </c>
      <c r="AI17" s="653"/>
      <c r="AJ17" s="529">
        <v>4</v>
      </c>
      <c r="AK17" s="538">
        <v>2759.9999999999977</v>
      </c>
      <c r="AL17" s="538">
        <v>689.99999999999943</v>
      </c>
      <c r="AM17" s="534">
        <v>21</v>
      </c>
      <c r="AN17" s="653"/>
      <c r="AO17" s="529">
        <v>4</v>
      </c>
      <c r="AP17" s="538">
        <v>2797.846153846157</v>
      </c>
      <c r="AQ17" s="538">
        <v>699.46153846153925</v>
      </c>
      <c r="AR17" s="534">
        <v>19</v>
      </c>
      <c r="AS17" s="653"/>
      <c r="AT17" s="529">
        <v>4</v>
      </c>
      <c r="AU17" s="538">
        <v>2795.4545454545455</v>
      </c>
      <c r="AV17" s="538">
        <v>698.86363636363637</v>
      </c>
      <c r="AW17" s="534">
        <v>20</v>
      </c>
      <c r="AX17" s="653"/>
      <c r="AZ17" s="365" t="e">
        <f>RANK(AX17, $K$7:AX$36)</f>
        <v>#VALUE!</v>
      </c>
      <c r="BB17" s="354" t="e">
        <f t="shared" si="0"/>
        <v>#N/A</v>
      </c>
    </row>
    <row r="18" spans="2:54">
      <c r="B18" s="635"/>
      <c r="C18" s="483">
        <v>12</v>
      </c>
      <c r="D18" s="483" t="s">
        <v>333</v>
      </c>
      <c r="E18" s="483">
        <v>4</v>
      </c>
      <c r="F18" s="483">
        <v>2800</v>
      </c>
      <c r="G18" s="491">
        <v>700</v>
      </c>
      <c r="H18" s="611"/>
      <c r="I18" s="487">
        <f t="shared" si="1"/>
        <v>4</v>
      </c>
      <c r="J18" s="487">
        <f t="shared" si="1"/>
        <v>2759.9999999999905</v>
      </c>
      <c r="K18" s="363">
        <f t="shared" si="1"/>
        <v>689.99999999999761</v>
      </c>
      <c r="L18" s="615"/>
      <c r="M18" s="428">
        <v>20</v>
      </c>
      <c r="N18" s="624"/>
      <c r="O18" s="624"/>
      <c r="P18" s="483"/>
      <c r="Q18" s="491"/>
      <c r="R18" s="491"/>
      <c r="S18" s="483"/>
      <c r="T18" s="653"/>
      <c r="U18" s="529">
        <v>4</v>
      </c>
      <c r="V18" s="538">
        <v>2529.5999999999931</v>
      </c>
      <c r="W18" s="538">
        <v>632.39999999999827</v>
      </c>
      <c r="X18" s="534">
        <v>22</v>
      </c>
      <c r="Y18" s="653"/>
      <c r="Z18" s="529">
        <v>4</v>
      </c>
      <c r="AA18" s="538">
        <v>2981.9999999999868</v>
      </c>
      <c r="AB18" s="538">
        <v>745.4999999999967</v>
      </c>
      <c r="AC18" s="534">
        <v>20</v>
      </c>
      <c r="AD18" s="653"/>
      <c r="AE18" s="529">
        <v>4</v>
      </c>
      <c r="AF18" s="538">
        <v>2849.9999999999873</v>
      </c>
      <c r="AG18" s="538">
        <v>712.49999999999682</v>
      </c>
      <c r="AH18" s="534">
        <v>19</v>
      </c>
      <c r="AI18" s="653"/>
      <c r="AJ18" s="529">
        <v>4</v>
      </c>
      <c r="AK18" s="538">
        <v>3035.9999999999864</v>
      </c>
      <c r="AL18" s="538">
        <v>758.99999999999659</v>
      </c>
      <c r="AM18" s="534">
        <v>17</v>
      </c>
      <c r="AN18" s="653"/>
      <c r="AO18" s="529">
        <v>4</v>
      </c>
      <c r="AP18" s="538">
        <v>2567.9999999999927</v>
      </c>
      <c r="AQ18" s="538">
        <v>641.99999999999818</v>
      </c>
      <c r="AR18" s="534">
        <v>22</v>
      </c>
      <c r="AS18" s="653"/>
      <c r="AT18" s="529">
        <v>4</v>
      </c>
      <c r="AU18" s="538">
        <v>2594.3999999999924</v>
      </c>
      <c r="AV18" s="538">
        <v>648.59999999999809</v>
      </c>
      <c r="AW18" s="534">
        <v>22</v>
      </c>
      <c r="AX18" s="653"/>
      <c r="AZ18" s="365" t="e">
        <f>RANK(AX18, $K$7:AX$36)</f>
        <v>#VALUE!</v>
      </c>
      <c r="BB18" s="354" t="e">
        <f t="shared" si="0"/>
        <v>#N/A</v>
      </c>
    </row>
    <row r="19" spans="2:54">
      <c r="B19" s="635"/>
      <c r="C19" s="483">
        <v>13</v>
      </c>
      <c r="D19" s="483" t="s">
        <v>425</v>
      </c>
      <c r="E19" s="483">
        <v>3</v>
      </c>
      <c r="F19" s="483">
        <v>2800</v>
      </c>
      <c r="G19" s="491">
        <v>933.33333333333337</v>
      </c>
      <c r="H19" s="611"/>
      <c r="I19" s="487">
        <f t="shared" si="1"/>
        <v>3</v>
      </c>
      <c r="J19" s="487">
        <f t="shared" si="1"/>
        <v>2925.1999999999916</v>
      </c>
      <c r="K19" s="363">
        <f t="shared" si="1"/>
        <v>975.06666666666388</v>
      </c>
      <c r="L19" s="615"/>
      <c r="M19" s="428">
        <v>8</v>
      </c>
      <c r="N19" s="624"/>
      <c r="O19" s="624"/>
      <c r="P19" s="483"/>
      <c r="Q19" s="491"/>
      <c r="R19" s="491"/>
      <c r="S19" s="483"/>
      <c r="T19" s="653"/>
      <c r="U19" s="529">
        <v>3</v>
      </c>
      <c r="V19" s="538">
        <v>3091.1999999999912</v>
      </c>
      <c r="W19" s="538">
        <v>1030.3999999999971</v>
      </c>
      <c r="X19" s="534">
        <v>8</v>
      </c>
      <c r="Y19" s="653"/>
      <c r="Z19" s="529">
        <v>3</v>
      </c>
      <c r="AA19" s="538">
        <v>2870.3999999999915</v>
      </c>
      <c r="AB19" s="538">
        <v>956.79999999999711</v>
      </c>
      <c r="AC19" s="534">
        <v>10</v>
      </c>
      <c r="AD19" s="653"/>
      <c r="AE19" s="529">
        <v>3</v>
      </c>
      <c r="AF19" s="538">
        <v>2697.5999999999922</v>
      </c>
      <c r="AG19" s="538">
        <v>899.19999999999743</v>
      </c>
      <c r="AH19" s="534">
        <v>12</v>
      </c>
      <c r="AI19" s="653"/>
      <c r="AJ19" s="529">
        <v>3</v>
      </c>
      <c r="AK19" s="538">
        <v>2800.799999999992</v>
      </c>
      <c r="AL19" s="538">
        <v>933.59999999999729</v>
      </c>
      <c r="AM19" s="534">
        <v>10</v>
      </c>
      <c r="AN19" s="653"/>
      <c r="AO19" s="529">
        <v>3</v>
      </c>
      <c r="AP19" s="538">
        <v>3064.7999999999915</v>
      </c>
      <c r="AQ19" s="538">
        <v>1021.5999999999972</v>
      </c>
      <c r="AR19" s="534">
        <v>8</v>
      </c>
      <c r="AS19" s="653"/>
      <c r="AT19" s="529">
        <v>3</v>
      </c>
      <c r="AU19" s="538">
        <v>3026.3999999999915</v>
      </c>
      <c r="AV19" s="538">
        <v>1008.7999999999971</v>
      </c>
      <c r="AW19" s="534">
        <v>9</v>
      </c>
      <c r="AX19" s="653"/>
      <c r="AZ19" s="365" t="e">
        <f>RANK(AX19, $K$7:AX$36)</f>
        <v>#VALUE!</v>
      </c>
      <c r="BB19" s="354" t="e">
        <f t="shared" si="0"/>
        <v>#N/A</v>
      </c>
    </row>
    <row r="20" spans="2:54">
      <c r="B20" s="635"/>
      <c r="C20" s="483">
        <v>14</v>
      </c>
      <c r="D20" s="483" t="s">
        <v>436</v>
      </c>
      <c r="E20" s="483">
        <v>4</v>
      </c>
      <c r="F20" s="483">
        <v>2200</v>
      </c>
      <c r="G20" s="491">
        <v>550</v>
      </c>
      <c r="H20" s="611"/>
      <c r="I20" s="487">
        <f t="shared" si="1"/>
        <v>3</v>
      </c>
      <c r="J20" s="487">
        <f t="shared" si="1"/>
        <v>2320.7380952380954</v>
      </c>
      <c r="K20" s="363">
        <f t="shared" si="1"/>
        <v>773.57936507936495</v>
      </c>
      <c r="L20" s="615"/>
      <c r="M20" s="428">
        <v>17</v>
      </c>
      <c r="N20" s="624"/>
      <c r="O20" s="624"/>
      <c r="P20" s="483"/>
      <c r="Q20" s="491"/>
      <c r="R20" s="491"/>
      <c r="S20" s="483"/>
      <c r="T20" s="653"/>
      <c r="U20" s="529">
        <v>3</v>
      </c>
      <c r="V20" s="538">
        <v>2379.4285714285688</v>
      </c>
      <c r="W20" s="538">
        <v>793.14285714285631</v>
      </c>
      <c r="X20" s="534">
        <v>14</v>
      </c>
      <c r="Y20" s="653"/>
      <c r="Z20" s="529">
        <v>3</v>
      </c>
      <c r="AA20" s="538">
        <v>2285.1428571428546</v>
      </c>
      <c r="AB20" s="538">
        <v>761.71428571428487</v>
      </c>
      <c r="AC20" s="534">
        <v>18</v>
      </c>
      <c r="AD20" s="653"/>
      <c r="AE20" s="529">
        <v>3</v>
      </c>
      <c r="AF20" s="538">
        <v>2392.0000000000086</v>
      </c>
      <c r="AG20" s="538">
        <v>797.33333333333621</v>
      </c>
      <c r="AH20" s="534">
        <v>13</v>
      </c>
      <c r="AI20" s="653"/>
      <c r="AJ20" s="529">
        <v>3</v>
      </c>
      <c r="AK20" s="538">
        <v>2281.7142857142835</v>
      </c>
      <c r="AL20" s="538">
        <v>760.57142857142787</v>
      </c>
      <c r="AM20" s="534">
        <v>16</v>
      </c>
      <c r="AN20" s="653"/>
      <c r="AO20" s="529">
        <v>3</v>
      </c>
      <c r="AP20" s="538">
        <v>2477.1428571428546</v>
      </c>
      <c r="AQ20" s="538">
        <v>825.71428571428487</v>
      </c>
      <c r="AR20" s="534">
        <v>13</v>
      </c>
      <c r="AS20" s="653"/>
      <c r="AT20" s="529">
        <v>3</v>
      </c>
      <c r="AU20" s="538">
        <v>2108.9999999999991</v>
      </c>
      <c r="AV20" s="538">
        <v>702.99999999999966</v>
      </c>
      <c r="AW20" s="534">
        <v>19</v>
      </c>
      <c r="AX20" s="653"/>
      <c r="AZ20" s="365" t="e">
        <f>RANK(AX20, $K$7:AX$36)</f>
        <v>#VALUE!</v>
      </c>
      <c r="BB20" s="354" t="e">
        <f t="shared" si="0"/>
        <v>#N/A</v>
      </c>
    </row>
    <row r="21" spans="2:54">
      <c r="B21" s="635"/>
      <c r="C21" s="483">
        <v>15</v>
      </c>
      <c r="D21" s="483" t="s">
        <v>662</v>
      </c>
      <c r="E21" s="483">
        <v>8</v>
      </c>
      <c r="F21" s="483">
        <v>1500</v>
      </c>
      <c r="G21" s="491">
        <v>187.5</v>
      </c>
      <c r="H21" s="611"/>
      <c r="I21" s="487">
        <f t="shared" si="1"/>
        <v>12</v>
      </c>
      <c r="J21" s="487">
        <f t="shared" si="1"/>
        <v>1438.9747271032963</v>
      </c>
      <c r="K21" s="363">
        <f t="shared" si="1"/>
        <v>119.91456059194137</v>
      </c>
      <c r="L21" s="615"/>
      <c r="M21" s="428">
        <v>21</v>
      </c>
      <c r="N21" s="624"/>
      <c r="O21" s="624"/>
      <c r="P21" s="483"/>
      <c r="Q21" s="491"/>
      <c r="R21" s="491"/>
      <c r="S21" s="483"/>
      <c r="T21" s="653"/>
      <c r="U21" s="529">
        <v>12</v>
      </c>
      <c r="V21" s="538">
        <v>1433.8983050847469</v>
      </c>
      <c r="W21" s="538">
        <v>119.4915254237289</v>
      </c>
      <c r="X21" s="534">
        <v>26</v>
      </c>
      <c r="Y21" s="653"/>
      <c r="Z21" s="529">
        <v>12</v>
      </c>
      <c r="AA21" s="538">
        <v>1434.9152542372894</v>
      </c>
      <c r="AB21" s="538">
        <v>119.57627118644079</v>
      </c>
      <c r="AC21" s="534">
        <v>26</v>
      </c>
      <c r="AD21" s="653"/>
      <c r="AE21" s="529">
        <v>12</v>
      </c>
      <c r="AF21" s="538">
        <v>1466.0377358490573</v>
      </c>
      <c r="AG21" s="538">
        <v>122.16981132075477</v>
      </c>
      <c r="AH21" s="534">
        <v>26</v>
      </c>
      <c r="AI21" s="653"/>
      <c r="AJ21" s="529">
        <v>12</v>
      </c>
      <c r="AK21" s="538">
        <v>1434.5454545454554</v>
      </c>
      <c r="AL21" s="538">
        <v>119.54545454545462</v>
      </c>
      <c r="AM21" s="534">
        <v>26</v>
      </c>
      <c r="AN21" s="653"/>
      <c r="AO21" s="529">
        <v>12</v>
      </c>
      <c r="AP21" s="538">
        <v>1426.451612903227</v>
      </c>
      <c r="AQ21" s="538">
        <v>118.87096774193559</v>
      </c>
      <c r="AR21" s="534">
        <v>26</v>
      </c>
      <c r="AS21" s="653"/>
      <c r="AT21" s="529">
        <v>12</v>
      </c>
      <c r="AU21" s="538">
        <v>1438.0000000000014</v>
      </c>
      <c r="AV21" s="538">
        <v>119.83333333333344</v>
      </c>
      <c r="AW21" s="534">
        <v>26</v>
      </c>
      <c r="AX21" s="653"/>
      <c r="AZ21" s="365" t="e">
        <f>RANK(AX21, $K$7:AX$36)</f>
        <v>#VALUE!</v>
      </c>
      <c r="BB21" s="354" t="e">
        <f t="shared" si="0"/>
        <v>#N/A</v>
      </c>
    </row>
    <row r="22" spans="2:54">
      <c r="B22" s="635"/>
      <c r="C22" s="483">
        <v>16</v>
      </c>
      <c r="D22" s="483" t="s">
        <v>462</v>
      </c>
      <c r="E22" s="483">
        <v>3</v>
      </c>
      <c r="F22" s="483">
        <v>2800</v>
      </c>
      <c r="G22" s="491">
        <v>933.33333333333337</v>
      </c>
      <c r="H22" s="611"/>
      <c r="I22" s="487">
        <f t="shared" si="1"/>
        <v>3</v>
      </c>
      <c r="J22" s="487">
        <f t="shared" si="1"/>
        <v>2763.8804818643516</v>
      </c>
      <c r="K22" s="363">
        <f t="shared" si="1"/>
        <v>921.29349395478403</v>
      </c>
      <c r="L22" s="615"/>
      <c r="M22" s="428">
        <v>9</v>
      </c>
      <c r="N22" s="624"/>
      <c r="O22" s="624"/>
      <c r="P22" s="483"/>
      <c r="Q22" s="491"/>
      <c r="R22" s="491"/>
      <c r="S22" s="483"/>
      <c r="T22" s="653"/>
      <c r="U22" s="529">
        <v>3</v>
      </c>
      <c r="V22" s="538">
        <v>2771.6666666666642</v>
      </c>
      <c r="W22" s="538">
        <v>923.88888888888812</v>
      </c>
      <c r="X22" s="534">
        <v>12</v>
      </c>
      <c r="Y22" s="653"/>
      <c r="Z22" s="529">
        <v>3</v>
      </c>
      <c r="AA22" s="538">
        <v>2754.8571428571399</v>
      </c>
      <c r="AB22" s="538">
        <v>918.28571428571331</v>
      </c>
      <c r="AC22" s="534">
        <v>11</v>
      </c>
      <c r="AD22" s="653"/>
      <c r="AE22" s="529">
        <v>3</v>
      </c>
      <c r="AF22" s="538">
        <v>2792.903225806454</v>
      </c>
      <c r="AG22" s="538">
        <v>930.9677419354847</v>
      </c>
      <c r="AH22" s="534">
        <v>11</v>
      </c>
      <c r="AI22" s="653"/>
      <c r="AJ22" s="529">
        <v>3</v>
      </c>
      <c r="AK22" s="538">
        <v>2788.0000000000027</v>
      </c>
      <c r="AL22" s="538">
        <v>929.33333333333428</v>
      </c>
      <c r="AM22" s="534">
        <v>11</v>
      </c>
      <c r="AN22" s="653"/>
      <c r="AO22" s="529">
        <v>3</v>
      </c>
      <c r="AP22" s="538">
        <v>2729.1891891891869</v>
      </c>
      <c r="AQ22" s="538">
        <v>909.729729729729</v>
      </c>
      <c r="AR22" s="534">
        <v>12</v>
      </c>
      <c r="AS22" s="653"/>
      <c r="AT22" s="529">
        <v>3</v>
      </c>
      <c r="AU22" s="538">
        <v>2746.6666666666647</v>
      </c>
      <c r="AV22" s="538">
        <v>915.55555555555486</v>
      </c>
      <c r="AW22" s="534">
        <v>11</v>
      </c>
      <c r="AX22" s="653"/>
      <c r="AZ22" s="365" t="e">
        <f>RANK(AX22, $K$7:AX$36)</f>
        <v>#VALUE!</v>
      </c>
      <c r="BB22" s="354" t="e">
        <f t="shared" si="0"/>
        <v>#N/A</v>
      </c>
    </row>
    <row r="23" spans="2:54">
      <c r="B23" s="635"/>
      <c r="C23" s="483">
        <v>17</v>
      </c>
      <c r="D23" s="483" t="s">
        <v>558</v>
      </c>
      <c r="E23" s="483">
        <v>4</v>
      </c>
      <c r="F23" s="483">
        <v>2800</v>
      </c>
      <c r="G23" s="491">
        <v>700</v>
      </c>
      <c r="H23" s="611"/>
      <c r="I23" s="487">
        <f t="shared" si="1"/>
        <v>4</v>
      </c>
      <c r="J23" s="487">
        <f t="shared" si="1"/>
        <v>2749.8472222222263</v>
      </c>
      <c r="K23" s="363">
        <f t="shared" si="1"/>
        <v>687.46180555555657</v>
      </c>
      <c r="L23" s="615"/>
      <c r="M23" s="428">
        <v>18</v>
      </c>
      <c r="N23" s="624"/>
      <c r="O23" s="624"/>
      <c r="P23" s="483"/>
      <c r="Q23" s="491"/>
      <c r="R23" s="491"/>
      <c r="S23" s="483"/>
      <c r="T23" s="653"/>
      <c r="U23" s="529">
        <v>4</v>
      </c>
      <c r="V23" s="538">
        <v>2712.6315789473661</v>
      </c>
      <c r="W23" s="538">
        <v>678.15789473684151</v>
      </c>
      <c r="X23" s="534">
        <v>21</v>
      </c>
      <c r="Y23" s="653"/>
      <c r="Z23" s="529">
        <v>4</v>
      </c>
      <c r="AA23" s="538">
        <v>2776.6666666666765</v>
      </c>
      <c r="AB23" s="538">
        <v>694.16666666666913</v>
      </c>
      <c r="AC23" s="534">
        <v>22</v>
      </c>
      <c r="AD23" s="653"/>
      <c r="AE23" s="529">
        <v>4</v>
      </c>
      <c r="AF23" s="538">
        <v>2763.75000000001</v>
      </c>
      <c r="AG23" s="538">
        <v>690.9375000000025</v>
      </c>
      <c r="AH23" s="534">
        <v>21</v>
      </c>
      <c r="AI23" s="653"/>
      <c r="AJ23" s="529">
        <v>4</v>
      </c>
      <c r="AK23" s="538">
        <v>2772.00000000001</v>
      </c>
      <c r="AL23" s="538">
        <v>693.0000000000025</v>
      </c>
      <c r="AM23" s="534">
        <v>20</v>
      </c>
      <c r="AN23" s="653"/>
      <c r="AO23" s="529">
        <v>4</v>
      </c>
      <c r="AP23" s="538">
        <v>2687.3684210526294</v>
      </c>
      <c r="AQ23" s="538">
        <v>671.84210526315735</v>
      </c>
      <c r="AR23" s="534">
        <v>21</v>
      </c>
      <c r="AS23" s="653"/>
      <c r="AT23" s="529">
        <v>4</v>
      </c>
      <c r="AU23" s="538">
        <v>2786.6666666666642</v>
      </c>
      <c r="AV23" s="538">
        <v>696.66666666666606</v>
      </c>
      <c r="AW23" s="534">
        <v>21</v>
      </c>
      <c r="AX23" s="653"/>
      <c r="AZ23" s="365" t="e">
        <f>RANK(AX23, $K$7:AX$36)</f>
        <v>#VALUE!</v>
      </c>
      <c r="BB23" s="354" t="e">
        <f t="shared" si="0"/>
        <v>#N/A</v>
      </c>
    </row>
    <row r="24" spans="2:54">
      <c r="B24" s="635"/>
      <c r="C24" s="483">
        <v>18</v>
      </c>
      <c r="D24" s="483" t="s">
        <v>559</v>
      </c>
      <c r="E24" s="483">
        <v>12</v>
      </c>
      <c r="F24" s="483">
        <v>1500</v>
      </c>
      <c r="G24" s="491">
        <v>125</v>
      </c>
      <c r="H24" s="611"/>
      <c r="I24" s="487">
        <f t="shared" si="1"/>
        <v>10.833333333333334</v>
      </c>
      <c r="J24" s="487">
        <f t="shared" si="1"/>
        <v>989.77941176470949</v>
      </c>
      <c r="K24" s="363">
        <f t="shared" si="1"/>
        <v>92.477941176470935</v>
      </c>
      <c r="L24" s="615"/>
      <c r="M24" s="428">
        <v>23</v>
      </c>
      <c r="N24" s="624"/>
      <c r="O24" s="624"/>
      <c r="P24" s="483"/>
      <c r="Q24" s="491"/>
      <c r="R24" s="491"/>
      <c r="S24" s="483"/>
      <c r="T24" s="653"/>
      <c r="U24" s="529">
        <v>9</v>
      </c>
      <c r="V24" s="538">
        <v>990.00000000000341</v>
      </c>
      <c r="W24" s="538">
        <v>110.00000000000038</v>
      </c>
      <c r="X24" s="534">
        <v>27</v>
      </c>
      <c r="Y24" s="653"/>
      <c r="Z24" s="529">
        <v>10</v>
      </c>
      <c r="AA24" s="538">
        <v>967.50000000000341</v>
      </c>
      <c r="AB24" s="538">
        <v>96.750000000000341</v>
      </c>
      <c r="AC24" s="534">
        <v>27</v>
      </c>
      <c r="AD24" s="653"/>
      <c r="AE24" s="529">
        <v>12</v>
      </c>
      <c r="AF24" s="538">
        <v>968.57142857143197</v>
      </c>
      <c r="AG24" s="538">
        <v>80.714285714285992</v>
      </c>
      <c r="AH24" s="534">
        <v>27</v>
      </c>
      <c r="AI24" s="653"/>
      <c r="AJ24" s="529">
        <v>12</v>
      </c>
      <c r="AK24" s="538">
        <v>1011.4285714285751</v>
      </c>
      <c r="AL24" s="538">
        <v>84.28571428571459</v>
      </c>
      <c r="AM24" s="534">
        <v>27</v>
      </c>
      <c r="AN24" s="653"/>
      <c r="AO24" s="529">
        <v>10</v>
      </c>
      <c r="AP24" s="538">
        <v>981.17647058823889</v>
      </c>
      <c r="AQ24" s="538">
        <v>98.117647058823891</v>
      </c>
      <c r="AR24" s="534">
        <v>27</v>
      </c>
      <c r="AS24" s="653"/>
      <c r="AT24" s="529">
        <v>12</v>
      </c>
      <c r="AU24" s="538">
        <v>1020.0000000000036</v>
      </c>
      <c r="AV24" s="538">
        <v>85.000000000000298</v>
      </c>
      <c r="AW24" s="534">
        <v>27</v>
      </c>
      <c r="AX24" s="653"/>
      <c r="AZ24" s="365" t="e">
        <f>RANK(AX24, $K$7:AX$36)</f>
        <v>#VALUE!</v>
      </c>
      <c r="BB24" s="354" t="e">
        <f t="shared" si="0"/>
        <v>#N/A</v>
      </c>
    </row>
    <row r="25" spans="2:54">
      <c r="B25" s="635"/>
      <c r="C25" s="483">
        <v>19</v>
      </c>
      <c r="D25" s="483" t="s">
        <v>600</v>
      </c>
      <c r="E25" s="483">
        <v>3</v>
      </c>
      <c r="F25" s="483">
        <v>3000</v>
      </c>
      <c r="G25" s="491">
        <v>933.33333333333337</v>
      </c>
      <c r="H25" s="611"/>
      <c r="I25" s="487">
        <f t="shared" si="1"/>
        <v>3</v>
      </c>
      <c r="J25" s="487">
        <f t="shared" si="1"/>
        <v>2705.0000000000027</v>
      </c>
      <c r="K25" s="363">
        <f t="shared" si="1"/>
        <v>901.66666666666754</v>
      </c>
      <c r="L25" s="615"/>
      <c r="M25" s="428">
        <v>22</v>
      </c>
      <c r="N25" s="624"/>
      <c r="O25" s="624"/>
      <c r="P25" s="483"/>
      <c r="Q25" s="491"/>
      <c r="R25" s="491"/>
      <c r="S25" s="483"/>
      <c r="T25" s="653"/>
      <c r="U25" s="529">
        <v>3</v>
      </c>
      <c r="V25" s="538">
        <v>2828.00000000001</v>
      </c>
      <c r="W25" s="538">
        <v>942.66666666667004</v>
      </c>
      <c r="X25" s="534">
        <v>11</v>
      </c>
      <c r="Y25" s="653"/>
      <c r="Z25" s="529">
        <v>3</v>
      </c>
      <c r="AA25" s="538">
        <v>2584.0000000000091</v>
      </c>
      <c r="AB25" s="538">
        <v>861.33333333333633</v>
      </c>
      <c r="AC25" s="534">
        <v>12</v>
      </c>
      <c r="AD25" s="653"/>
      <c r="AE25" s="529">
        <v>3</v>
      </c>
      <c r="AF25" s="538">
        <v>2979.9999999999709</v>
      </c>
      <c r="AG25" s="538">
        <v>993.33333333332359</v>
      </c>
      <c r="AH25" s="534">
        <v>9</v>
      </c>
      <c r="AI25" s="653"/>
      <c r="AJ25" s="529">
        <v>3</v>
      </c>
      <c r="AK25" s="538">
        <v>2576.0000000000091</v>
      </c>
      <c r="AL25" s="538">
        <v>858.6666666666697</v>
      </c>
      <c r="AM25" s="534">
        <v>12</v>
      </c>
      <c r="AN25" s="653"/>
      <c r="AO25" s="529">
        <v>3</v>
      </c>
      <c r="AP25" s="538">
        <v>2820.00000000001</v>
      </c>
      <c r="AQ25" s="538">
        <v>940.0000000000033</v>
      </c>
      <c r="AR25" s="534">
        <v>11</v>
      </c>
      <c r="AS25" s="653"/>
      <c r="AT25" s="529">
        <v>3</v>
      </c>
      <c r="AU25" s="538">
        <v>2442.0000000000086</v>
      </c>
      <c r="AV25" s="538">
        <v>814.00000000000284</v>
      </c>
      <c r="AW25" s="534">
        <v>12</v>
      </c>
      <c r="AX25" s="653"/>
      <c r="AZ25" s="365" t="e">
        <f>RANK(AX25, $K$7:AX$36)</f>
        <v>#VALUE!</v>
      </c>
      <c r="BB25" s="354" t="e">
        <f t="shared" si="0"/>
        <v>#N/A</v>
      </c>
    </row>
    <row r="26" spans="2:54">
      <c r="B26" s="635"/>
      <c r="C26" s="483">
        <v>20</v>
      </c>
      <c r="D26" s="483" t="s">
        <v>601</v>
      </c>
      <c r="E26" s="483">
        <v>4</v>
      </c>
      <c r="F26" s="483">
        <v>3200</v>
      </c>
      <c r="G26" s="491">
        <v>800</v>
      </c>
      <c r="H26" s="611"/>
      <c r="I26" s="487">
        <f t="shared" si="1"/>
        <v>4</v>
      </c>
      <c r="J26" s="487">
        <f t="shared" si="1"/>
        <v>2841.8966588966518</v>
      </c>
      <c r="K26" s="363">
        <f t="shared" si="1"/>
        <v>710.47416472416296</v>
      </c>
      <c r="L26" s="615"/>
      <c r="M26" s="428">
        <v>7</v>
      </c>
      <c r="N26" s="624"/>
      <c r="O26" s="624"/>
      <c r="P26" s="483"/>
      <c r="Q26" s="491"/>
      <c r="R26" s="491"/>
      <c r="S26" s="483"/>
      <c r="T26" s="653"/>
      <c r="U26" s="529">
        <v>4</v>
      </c>
      <c r="V26" s="538">
        <v>2843.0769230769156</v>
      </c>
      <c r="W26" s="538">
        <v>710.7692307692289</v>
      </c>
      <c r="X26" s="534">
        <v>19</v>
      </c>
      <c r="Y26" s="653"/>
      <c r="Z26" s="529">
        <v>4</v>
      </c>
      <c r="AA26" s="538">
        <v>2994.9999999999905</v>
      </c>
      <c r="AB26" s="538">
        <v>748.74999999999761</v>
      </c>
      <c r="AC26" s="534">
        <v>19</v>
      </c>
      <c r="AD26" s="653"/>
      <c r="AE26" s="529">
        <v>4</v>
      </c>
      <c r="AF26" s="538">
        <v>2748.0000000000095</v>
      </c>
      <c r="AG26" s="538">
        <v>687.00000000000239</v>
      </c>
      <c r="AH26" s="534">
        <v>22</v>
      </c>
      <c r="AI26" s="653"/>
      <c r="AJ26" s="529">
        <v>4</v>
      </c>
      <c r="AK26" s="538">
        <v>2686.6666666666524</v>
      </c>
      <c r="AL26" s="538">
        <v>671.6666666666631</v>
      </c>
      <c r="AM26" s="534">
        <v>22</v>
      </c>
      <c r="AN26" s="653"/>
      <c r="AO26" s="529">
        <v>4</v>
      </c>
      <c r="AP26" s="538">
        <v>2794.9999999999914</v>
      </c>
      <c r="AQ26" s="538">
        <v>698.74999999999784</v>
      </c>
      <c r="AR26" s="534">
        <v>20</v>
      </c>
      <c r="AS26" s="653"/>
      <c r="AT26" s="529">
        <v>4</v>
      </c>
      <c r="AU26" s="538">
        <v>2983.6363636363526</v>
      </c>
      <c r="AV26" s="538">
        <v>745.90909090908815</v>
      </c>
      <c r="AW26" s="534">
        <v>17</v>
      </c>
      <c r="AX26" s="653"/>
      <c r="AZ26" s="365" t="e">
        <f>RANK(AX26, $K$7:AX$36)</f>
        <v>#VALUE!</v>
      </c>
      <c r="BB26" s="354" t="e">
        <f t="shared" si="0"/>
        <v>#N/A</v>
      </c>
    </row>
    <row r="27" spans="2:54">
      <c r="B27" s="635"/>
      <c r="C27" s="483">
        <v>21</v>
      </c>
      <c r="D27" s="486" t="s">
        <v>602</v>
      </c>
      <c r="E27" s="483">
        <v>3</v>
      </c>
      <c r="F27" s="483">
        <v>3200</v>
      </c>
      <c r="G27" s="491">
        <v>1066.6666666666667</v>
      </c>
      <c r="H27" s="611"/>
      <c r="I27" s="487">
        <f t="shared" si="1"/>
        <v>3</v>
      </c>
      <c r="J27" s="487">
        <f t="shared" si="1"/>
        <v>3102.4494949494929</v>
      </c>
      <c r="K27" s="363">
        <f t="shared" si="1"/>
        <v>1034.1498316498312</v>
      </c>
      <c r="L27" s="615"/>
      <c r="M27" s="428">
        <v>16</v>
      </c>
      <c r="N27" s="624"/>
      <c r="O27" s="624"/>
      <c r="P27" s="483"/>
      <c r="Q27" s="491"/>
      <c r="R27" s="491"/>
      <c r="S27" s="483"/>
      <c r="T27" s="653"/>
      <c r="U27" s="529">
        <v>3</v>
      </c>
      <c r="V27" s="538">
        <v>3185.0000000000114</v>
      </c>
      <c r="W27" s="538">
        <v>1061.6666666666704</v>
      </c>
      <c r="X27" s="534">
        <v>3</v>
      </c>
      <c r="Y27" s="653"/>
      <c r="Z27" s="529">
        <v>3</v>
      </c>
      <c r="AA27" s="538">
        <v>3150.0000000000109</v>
      </c>
      <c r="AB27" s="538">
        <v>1050.0000000000036</v>
      </c>
      <c r="AC27" s="534">
        <v>5</v>
      </c>
      <c r="AD27" s="653"/>
      <c r="AE27" s="529">
        <v>3</v>
      </c>
      <c r="AF27" s="538">
        <v>3206.6666666666497</v>
      </c>
      <c r="AG27" s="538">
        <v>1068.8888888888832</v>
      </c>
      <c r="AH27" s="534">
        <v>2</v>
      </c>
      <c r="AI27" s="653"/>
      <c r="AJ27" s="529">
        <v>3</v>
      </c>
      <c r="AK27" s="538">
        <v>3006.6666666666506</v>
      </c>
      <c r="AL27" s="538">
        <v>1002.2222222222168</v>
      </c>
      <c r="AM27" s="534">
        <v>8</v>
      </c>
      <c r="AN27" s="653"/>
      <c r="AO27" s="529">
        <v>3</v>
      </c>
      <c r="AP27" s="538">
        <v>2930.0000000000105</v>
      </c>
      <c r="AQ27" s="538">
        <v>976.66666666667015</v>
      </c>
      <c r="AR27" s="534">
        <v>10</v>
      </c>
      <c r="AS27" s="653"/>
      <c r="AT27" s="529">
        <v>3</v>
      </c>
      <c r="AU27" s="538">
        <v>3136.3636363636251</v>
      </c>
      <c r="AV27" s="538">
        <v>1045.4545454545416</v>
      </c>
      <c r="AW27" s="534">
        <v>6</v>
      </c>
      <c r="AX27" s="653"/>
      <c r="AZ27" s="365" t="e">
        <f>RANK(AX27, $K$7:AX$36)</f>
        <v>#VALUE!</v>
      </c>
      <c r="BB27" s="354" t="e">
        <f t="shared" si="0"/>
        <v>#N/A</v>
      </c>
    </row>
    <row r="28" spans="2:54">
      <c r="B28" s="635"/>
      <c r="C28" s="483">
        <v>22</v>
      </c>
      <c r="D28" s="483" t="s">
        <v>684</v>
      </c>
      <c r="E28" s="483">
        <v>3</v>
      </c>
      <c r="F28" s="483">
        <v>3200</v>
      </c>
      <c r="G28" s="491">
        <v>1066.6666666666667</v>
      </c>
      <c r="H28" s="611"/>
      <c r="I28" s="487">
        <f t="shared" si="1"/>
        <v>3</v>
      </c>
      <c r="J28" s="487">
        <f t="shared" si="1"/>
        <v>3201.2818553995039</v>
      </c>
      <c r="K28" s="363">
        <f t="shared" si="1"/>
        <v>1067.0939517998345</v>
      </c>
      <c r="L28" s="615"/>
      <c r="M28" s="428">
        <v>15</v>
      </c>
      <c r="N28" s="624"/>
      <c r="O28" s="624"/>
      <c r="P28" s="483"/>
      <c r="Q28" s="491"/>
      <c r="R28" s="491"/>
      <c r="S28" s="483"/>
      <c r="T28" s="653"/>
      <c r="U28" s="529">
        <v>3</v>
      </c>
      <c r="V28" s="538">
        <v>3160.5882352941135</v>
      </c>
      <c r="W28" s="538">
        <v>1053.5294117647045</v>
      </c>
      <c r="X28" s="534">
        <v>6</v>
      </c>
      <c r="Y28" s="653"/>
      <c r="Z28" s="529">
        <v>3</v>
      </c>
      <c r="AA28" s="538">
        <v>3157.0588235294081</v>
      </c>
      <c r="AB28" s="538">
        <v>1052.3529411764694</v>
      </c>
      <c r="AC28" s="534">
        <v>4</v>
      </c>
      <c r="AD28" s="653"/>
      <c r="AE28" s="529">
        <v>3</v>
      </c>
      <c r="AF28" s="538">
        <v>3413.0769230769351</v>
      </c>
      <c r="AG28" s="538">
        <v>1137.6923076923117</v>
      </c>
      <c r="AH28" s="534">
        <v>1</v>
      </c>
      <c r="AI28" s="653"/>
      <c r="AJ28" s="529">
        <v>3</v>
      </c>
      <c r="AK28" s="538">
        <v>3188.5714285714398</v>
      </c>
      <c r="AL28" s="538">
        <v>1062.8571428571465</v>
      </c>
      <c r="AM28" s="534">
        <v>2</v>
      </c>
      <c r="AN28" s="653"/>
      <c r="AO28" s="529">
        <v>3</v>
      </c>
      <c r="AP28" s="538">
        <v>3142.9411764705847</v>
      </c>
      <c r="AQ28" s="538">
        <v>1047.6470588235281</v>
      </c>
      <c r="AR28" s="534">
        <v>4</v>
      </c>
      <c r="AS28" s="653"/>
      <c r="AT28" s="529">
        <v>3</v>
      </c>
      <c r="AU28" s="538">
        <v>3145.4545454545414</v>
      </c>
      <c r="AV28" s="538">
        <v>1048.4848484848471</v>
      </c>
      <c r="AW28" s="534">
        <v>5</v>
      </c>
      <c r="AX28" s="653"/>
      <c r="AZ28" s="365" t="e">
        <f>RANK(AX28, $K$7:AX$36)</f>
        <v>#VALUE!</v>
      </c>
      <c r="BB28" s="354" t="e">
        <f t="shared" si="0"/>
        <v>#N/A</v>
      </c>
    </row>
    <row r="29" spans="2:54">
      <c r="B29" s="635"/>
      <c r="C29" s="483">
        <v>23</v>
      </c>
      <c r="D29" s="483" t="s">
        <v>692</v>
      </c>
      <c r="E29" s="483">
        <v>3</v>
      </c>
      <c r="F29" s="483">
        <v>3200</v>
      </c>
      <c r="G29" s="491">
        <v>1066.6666666666667</v>
      </c>
      <c r="H29" s="611"/>
      <c r="I29" s="487">
        <f t="shared" si="1"/>
        <v>3</v>
      </c>
      <c r="J29" s="487">
        <f t="shared" si="1"/>
        <v>3156.2346992088405</v>
      </c>
      <c r="K29" s="363">
        <f t="shared" si="1"/>
        <v>1052.0782330696136</v>
      </c>
      <c r="L29" s="615"/>
      <c r="M29" s="428">
        <v>4</v>
      </c>
      <c r="N29" s="624"/>
      <c r="O29" s="624"/>
      <c r="P29" s="483"/>
      <c r="Q29" s="491"/>
      <c r="R29" s="491"/>
      <c r="S29" s="483"/>
      <c r="T29" s="653"/>
      <c r="U29" s="529">
        <v>3</v>
      </c>
      <c r="V29" s="538">
        <v>3126.2068965517356</v>
      </c>
      <c r="W29" s="538">
        <v>1042.0689655172453</v>
      </c>
      <c r="X29" s="534">
        <v>7</v>
      </c>
      <c r="Y29" s="653"/>
      <c r="Z29" s="529">
        <v>3</v>
      </c>
      <c r="AA29" s="538">
        <v>3164.9999999999932</v>
      </c>
      <c r="AB29" s="538">
        <v>1054.9999999999977</v>
      </c>
      <c r="AC29" s="534">
        <v>3</v>
      </c>
      <c r="AD29" s="653"/>
      <c r="AE29" s="529">
        <v>3</v>
      </c>
      <c r="AF29" s="538">
        <v>3127.5000000000109</v>
      </c>
      <c r="AG29" s="538">
        <v>1042.5000000000036</v>
      </c>
      <c r="AH29" s="534">
        <v>6</v>
      </c>
      <c r="AI29" s="653"/>
      <c r="AJ29" s="529">
        <v>3</v>
      </c>
      <c r="AK29" s="538">
        <v>3147.272727272727</v>
      </c>
      <c r="AL29" s="538">
        <v>1049.090909090909</v>
      </c>
      <c r="AM29" s="534">
        <v>5</v>
      </c>
      <c r="AN29" s="653"/>
      <c r="AO29" s="529">
        <v>3</v>
      </c>
      <c r="AP29" s="538">
        <v>3171.4285714285643</v>
      </c>
      <c r="AQ29" s="538">
        <v>1057.1428571428548</v>
      </c>
      <c r="AR29" s="534">
        <v>2</v>
      </c>
      <c r="AS29" s="653"/>
      <c r="AT29" s="529">
        <v>3</v>
      </c>
      <c r="AU29" s="538">
        <v>3200.0000000000114</v>
      </c>
      <c r="AV29" s="538">
        <v>1066.6666666666704</v>
      </c>
      <c r="AW29" s="534">
        <v>2</v>
      </c>
      <c r="AX29" s="653"/>
      <c r="AZ29" s="365" t="e">
        <f>RANK(AX29, $K$7:AX$36)</f>
        <v>#VALUE!</v>
      </c>
      <c r="BB29" s="354" t="e">
        <f t="shared" si="0"/>
        <v>#N/A</v>
      </c>
    </row>
    <row r="30" spans="2:54">
      <c r="B30" s="635"/>
      <c r="C30" s="483">
        <v>24</v>
      </c>
      <c r="D30" s="483" t="s">
        <v>725</v>
      </c>
      <c r="E30" s="483">
        <v>3</v>
      </c>
      <c r="F30" s="483">
        <v>3200</v>
      </c>
      <c r="G30" s="491">
        <v>1066.6666666666667</v>
      </c>
      <c r="H30" s="611"/>
      <c r="I30" s="487">
        <f t="shared" si="1"/>
        <v>3</v>
      </c>
      <c r="J30" s="487">
        <f t="shared" si="1"/>
        <v>2959.8934594816951</v>
      </c>
      <c r="K30" s="363">
        <f t="shared" si="1"/>
        <v>986.63115316056485</v>
      </c>
      <c r="L30" s="615"/>
      <c r="M30" s="428" t="e">
        <v>#VALUE!</v>
      </c>
      <c r="N30" s="624"/>
      <c r="O30" s="624"/>
      <c r="P30" s="483"/>
      <c r="Q30" s="491"/>
      <c r="R30" s="491"/>
      <c r="S30" s="483"/>
      <c r="T30" s="653"/>
      <c r="U30" s="529">
        <v>3</v>
      </c>
      <c r="V30" s="538">
        <v>2945.9999999999927</v>
      </c>
      <c r="W30" s="538">
        <v>981.99999999999761</v>
      </c>
      <c r="X30" s="534">
        <v>10</v>
      </c>
      <c r="Y30" s="653"/>
      <c r="Z30" s="529">
        <v>3</v>
      </c>
      <c r="AA30" s="538">
        <v>2953.8461538461647</v>
      </c>
      <c r="AB30" s="538">
        <v>984.61538461538828</v>
      </c>
      <c r="AC30" s="534">
        <v>9</v>
      </c>
      <c r="AD30" s="653"/>
      <c r="AE30" s="529">
        <v>3</v>
      </c>
      <c r="AF30" s="538">
        <v>2932.9411764705919</v>
      </c>
      <c r="AG30" s="538">
        <v>977.64705882353064</v>
      </c>
      <c r="AH30" s="534">
        <v>10</v>
      </c>
      <c r="AI30" s="653"/>
      <c r="AJ30" s="529">
        <v>3</v>
      </c>
      <c r="AK30" s="538">
        <v>2952.7272727272689</v>
      </c>
      <c r="AL30" s="538">
        <v>984.242424242423</v>
      </c>
      <c r="AM30" s="534">
        <v>9</v>
      </c>
      <c r="AN30" s="653"/>
      <c r="AO30" s="529">
        <v>3</v>
      </c>
      <c r="AP30" s="538">
        <v>2998.4615384615372</v>
      </c>
      <c r="AQ30" s="538">
        <v>999.48717948717911</v>
      </c>
      <c r="AR30" s="534">
        <v>9</v>
      </c>
      <c r="AS30" s="653"/>
      <c r="AT30" s="529">
        <v>3</v>
      </c>
      <c r="AU30" s="538">
        <v>2975.3846153846139</v>
      </c>
      <c r="AV30" s="538">
        <v>991.79487179487126</v>
      </c>
      <c r="AW30" s="534">
        <v>10</v>
      </c>
      <c r="AX30" s="653"/>
      <c r="AZ30" s="365" t="e">
        <f>RANK(AX30, $K$7:AX$36)</f>
        <v>#VALUE!</v>
      </c>
      <c r="BB30" s="354" t="e">
        <f t="shared" si="0"/>
        <v>#N/A</v>
      </c>
    </row>
    <row r="31" spans="2:54">
      <c r="B31" s="635"/>
      <c r="C31" s="483">
        <v>25</v>
      </c>
      <c r="D31" s="483" t="s">
        <v>770</v>
      </c>
      <c r="E31" s="483">
        <v>4</v>
      </c>
      <c r="F31" s="483">
        <v>2200</v>
      </c>
      <c r="G31" s="491">
        <v>550</v>
      </c>
      <c r="H31" s="611"/>
      <c r="I31" s="487">
        <f t="shared" si="1"/>
        <v>4</v>
      </c>
      <c r="J31" s="487">
        <f t="shared" si="1"/>
        <v>2209.069624819625</v>
      </c>
      <c r="K31" s="363">
        <f t="shared" si="1"/>
        <v>552.26740620490625</v>
      </c>
      <c r="L31" s="615"/>
      <c r="M31" s="428" t="e">
        <v>#VALUE!</v>
      </c>
      <c r="N31" s="624"/>
      <c r="O31" s="624"/>
      <c r="P31" s="483"/>
      <c r="Q31" s="491"/>
      <c r="R31" s="491"/>
      <c r="S31" s="483"/>
      <c r="T31" s="653"/>
      <c r="U31" s="529">
        <v>4</v>
      </c>
      <c r="V31" s="538">
        <v>2157.3333333333335</v>
      </c>
      <c r="W31" s="538">
        <v>539.33333333333337</v>
      </c>
      <c r="X31" s="534">
        <v>23</v>
      </c>
      <c r="Y31" s="653"/>
      <c r="Z31" s="529">
        <v>4</v>
      </c>
      <c r="AA31" s="538">
        <v>2167.5000000000036</v>
      </c>
      <c r="AB31" s="538">
        <v>541.87500000000091</v>
      </c>
      <c r="AC31" s="534">
        <v>23</v>
      </c>
      <c r="AD31" s="653"/>
      <c r="AE31" s="529">
        <v>4</v>
      </c>
      <c r="AF31" s="538">
        <v>2172.8571428571408</v>
      </c>
      <c r="AG31" s="538">
        <v>543.21428571428521</v>
      </c>
      <c r="AH31" s="534">
        <v>23</v>
      </c>
      <c r="AI31" s="653"/>
      <c r="AJ31" s="529">
        <v>4</v>
      </c>
      <c r="AK31" s="538">
        <v>2213.4545454545537</v>
      </c>
      <c r="AL31" s="538">
        <v>553.36363636363842</v>
      </c>
      <c r="AM31" s="534">
        <v>23</v>
      </c>
      <c r="AN31" s="653"/>
      <c r="AO31" s="529">
        <v>4</v>
      </c>
      <c r="AP31" s="538">
        <v>2331.272727272722</v>
      </c>
      <c r="AQ31" s="538">
        <v>582.81818181818051</v>
      </c>
      <c r="AR31" s="534">
        <v>23</v>
      </c>
      <c r="AS31" s="653"/>
      <c r="AT31" s="529">
        <v>4</v>
      </c>
      <c r="AU31" s="538">
        <v>2211.9999999999964</v>
      </c>
      <c r="AV31" s="538">
        <v>552.99999999999909</v>
      </c>
      <c r="AW31" s="534">
        <v>23</v>
      </c>
      <c r="AX31" s="653"/>
      <c r="AZ31" s="365" t="e">
        <f>RANK(AX31, $K$7:AX$36)</f>
        <v>#VALUE!</v>
      </c>
      <c r="BB31" s="354" t="e">
        <f t="shared" si="0"/>
        <v>#N/A</v>
      </c>
    </row>
    <row r="32" spans="2:54">
      <c r="B32" s="635"/>
      <c r="C32" s="483">
        <v>26</v>
      </c>
      <c r="D32" s="483" t="s">
        <v>771</v>
      </c>
      <c r="E32" s="483">
        <v>5</v>
      </c>
      <c r="F32" s="483">
        <v>2200</v>
      </c>
      <c r="G32" s="483">
        <v>333.33333333333331</v>
      </c>
      <c r="H32" s="611"/>
      <c r="I32" s="487">
        <f t="shared" si="1"/>
        <v>5</v>
      </c>
      <c r="J32" s="487">
        <f t="shared" si="1"/>
        <v>1966.8349358974344</v>
      </c>
      <c r="K32" s="363">
        <f t="shared" si="1"/>
        <v>393.3669871794869</v>
      </c>
      <c r="L32" s="615"/>
      <c r="M32" s="428" t="e">
        <v>#VALUE!</v>
      </c>
      <c r="N32" s="624"/>
      <c r="O32" s="624"/>
      <c r="P32" s="483"/>
      <c r="Q32" s="491"/>
      <c r="R32" s="491"/>
      <c r="S32" s="483"/>
      <c r="T32" s="653"/>
      <c r="U32" s="529">
        <v>5</v>
      </c>
      <c r="V32" s="538">
        <v>1966.1538461538451</v>
      </c>
      <c r="W32" s="538">
        <v>393.230769230769</v>
      </c>
      <c r="X32" s="534">
        <v>25</v>
      </c>
      <c r="Y32" s="653"/>
      <c r="Z32" s="529">
        <v>5</v>
      </c>
      <c r="AA32" s="538">
        <v>1955.999999999998</v>
      </c>
      <c r="AB32" s="538">
        <v>391.19999999999959</v>
      </c>
      <c r="AC32" s="534">
        <v>25</v>
      </c>
      <c r="AD32" s="653"/>
      <c r="AE32" s="529">
        <v>5</v>
      </c>
      <c r="AF32" s="538">
        <v>1948.1249999999975</v>
      </c>
      <c r="AG32" s="538">
        <v>389.62499999999949</v>
      </c>
      <c r="AH32" s="534">
        <v>25</v>
      </c>
      <c r="AI32" s="653"/>
      <c r="AJ32" s="529">
        <v>5</v>
      </c>
      <c r="AK32" s="538">
        <v>1984.9999999999984</v>
      </c>
      <c r="AL32" s="538">
        <v>396.99999999999966</v>
      </c>
      <c r="AM32" s="534">
        <v>24</v>
      </c>
      <c r="AN32" s="653"/>
      <c r="AO32" s="529">
        <v>5</v>
      </c>
      <c r="AP32" s="538">
        <v>1936.4999999999995</v>
      </c>
      <c r="AQ32" s="538">
        <v>387.2999999999999</v>
      </c>
      <c r="AR32" s="534">
        <v>25</v>
      </c>
      <c r="AS32" s="653"/>
      <c r="AT32" s="529">
        <v>5</v>
      </c>
      <c r="AU32" s="538">
        <v>2009.2307692307681</v>
      </c>
      <c r="AV32" s="538">
        <v>401.84615384615364</v>
      </c>
      <c r="AW32" s="534">
        <v>24</v>
      </c>
      <c r="AX32" s="653"/>
      <c r="AZ32" s="365" t="e">
        <f>RANK(AX32, $K$7:AX$36)</f>
        <v>#VALUE!</v>
      </c>
      <c r="BB32" s="354" t="e">
        <f t="shared" si="0"/>
        <v>#N/A</v>
      </c>
    </row>
    <row r="33" spans="2:54">
      <c r="B33" s="635"/>
      <c r="C33" s="483">
        <v>27</v>
      </c>
      <c r="D33" s="483" t="s">
        <v>772</v>
      </c>
      <c r="E33" s="483">
        <v>5</v>
      </c>
      <c r="F33" s="483">
        <v>2200</v>
      </c>
      <c r="G33" s="483">
        <v>333.33333333333331</v>
      </c>
      <c r="H33" s="611"/>
      <c r="I33" s="487">
        <f t="shared" si="1"/>
        <v>5</v>
      </c>
      <c r="J33" s="487">
        <f t="shared" si="1"/>
        <v>1975.4082184146364</v>
      </c>
      <c r="K33" s="363">
        <f t="shared" si="1"/>
        <v>395.08164368292722</v>
      </c>
      <c r="L33" s="615"/>
      <c r="M33" s="428" t="e">
        <v>#VALUE!</v>
      </c>
      <c r="N33" s="624"/>
      <c r="O33" s="624"/>
      <c r="P33" s="483"/>
      <c r="Q33" s="491"/>
      <c r="R33" s="491"/>
      <c r="S33" s="483"/>
      <c r="T33" s="653"/>
      <c r="U33" s="529">
        <v>5</v>
      </c>
      <c r="V33" s="538">
        <v>1998.9473684210527</v>
      </c>
      <c r="W33" s="538">
        <v>399.78947368421052</v>
      </c>
      <c r="X33" s="534">
        <v>24</v>
      </c>
      <c r="Y33" s="653"/>
      <c r="Z33" s="529">
        <v>5</v>
      </c>
      <c r="AA33" s="538">
        <v>1984.3902439024384</v>
      </c>
      <c r="AB33" s="538">
        <v>396.87804878048769</v>
      </c>
      <c r="AC33" s="534">
        <v>24</v>
      </c>
      <c r="AD33" s="653"/>
      <c r="AE33" s="529">
        <v>5</v>
      </c>
      <c r="AF33" s="538">
        <v>2002.1052631578962</v>
      </c>
      <c r="AG33" s="538">
        <v>400.42105263157924</v>
      </c>
      <c r="AH33" s="534">
        <v>24</v>
      </c>
      <c r="AI33" s="653"/>
      <c r="AJ33" s="529">
        <v>5</v>
      </c>
      <c r="AK33" s="538">
        <v>1966.2857142857122</v>
      </c>
      <c r="AL33" s="538">
        <v>393.25714285714241</v>
      </c>
      <c r="AM33" s="534">
        <v>25</v>
      </c>
      <c r="AN33" s="653"/>
      <c r="AO33" s="529">
        <v>5</v>
      </c>
      <c r="AP33" s="538">
        <v>1954.0540540540526</v>
      </c>
      <c r="AQ33" s="538">
        <v>390.81081081081049</v>
      </c>
      <c r="AR33" s="534">
        <v>24</v>
      </c>
      <c r="AS33" s="653"/>
      <c r="AT33" s="529">
        <v>5</v>
      </c>
      <c r="AU33" s="538">
        <v>1946.6666666666654</v>
      </c>
      <c r="AV33" s="538">
        <v>389.33333333333309</v>
      </c>
      <c r="AW33" s="534">
        <v>25</v>
      </c>
      <c r="AX33" s="653"/>
      <c r="AZ33" s="365" t="e">
        <f>RANK(AX33, $K$7:AX$36)</f>
        <v>#VALUE!</v>
      </c>
      <c r="BB33" s="354" t="e">
        <f t="shared" si="0"/>
        <v>#N/A</v>
      </c>
    </row>
    <row r="34" spans="2:54">
      <c r="B34" s="635"/>
      <c r="C34" s="483">
        <v>28</v>
      </c>
      <c r="D34" s="483"/>
      <c r="E34" s="483"/>
      <c r="F34" s="483"/>
      <c r="G34" s="483"/>
      <c r="H34" s="611"/>
      <c r="I34" s="487" t="str">
        <f t="shared" si="1"/>
        <v>-</v>
      </c>
      <c r="J34" s="487" t="str">
        <f t="shared" si="1"/>
        <v>-</v>
      </c>
      <c r="K34" s="363" t="str">
        <f t="shared" si="1"/>
        <v>-</v>
      </c>
      <c r="L34" s="615"/>
      <c r="M34" s="428" t="e">
        <v>#VALUE!</v>
      </c>
      <c r="N34" s="624"/>
      <c r="O34" s="624"/>
      <c r="P34" s="483"/>
      <c r="Q34" s="491"/>
      <c r="R34" s="491"/>
      <c r="S34" s="483"/>
      <c r="T34" s="653"/>
      <c r="U34" s="529" t="s">
        <v>427</v>
      </c>
      <c r="V34" s="538" t="s">
        <v>427</v>
      </c>
      <c r="W34" s="538" t="s">
        <v>427</v>
      </c>
      <c r="X34" s="534" t="e">
        <v>#VALUE!</v>
      </c>
      <c r="Y34" s="653"/>
      <c r="Z34" s="529" t="s">
        <v>427</v>
      </c>
      <c r="AA34" s="538" t="s">
        <v>427</v>
      </c>
      <c r="AB34" s="538" t="s">
        <v>427</v>
      </c>
      <c r="AC34" s="534" t="e">
        <v>#VALUE!</v>
      </c>
      <c r="AD34" s="653"/>
      <c r="AE34" s="529" t="s">
        <v>427</v>
      </c>
      <c r="AF34" s="538" t="s">
        <v>427</v>
      </c>
      <c r="AG34" s="538" t="s">
        <v>427</v>
      </c>
      <c r="AH34" s="534" t="e">
        <v>#VALUE!</v>
      </c>
      <c r="AI34" s="653"/>
      <c r="AJ34" s="529" t="s">
        <v>427</v>
      </c>
      <c r="AK34" s="538" t="s">
        <v>427</v>
      </c>
      <c r="AL34" s="538" t="s">
        <v>427</v>
      </c>
      <c r="AM34" s="534" t="e">
        <v>#VALUE!</v>
      </c>
      <c r="AN34" s="653"/>
      <c r="AO34" s="529" t="s">
        <v>427</v>
      </c>
      <c r="AP34" s="538" t="s">
        <v>427</v>
      </c>
      <c r="AQ34" s="538" t="s">
        <v>427</v>
      </c>
      <c r="AR34" s="534" t="e">
        <v>#VALUE!</v>
      </c>
      <c r="AS34" s="653"/>
      <c r="AT34" s="529" t="s">
        <v>427</v>
      </c>
      <c r="AU34" s="538" t="s">
        <v>427</v>
      </c>
      <c r="AV34" s="538" t="s">
        <v>427</v>
      </c>
      <c r="AW34" s="534" t="e">
        <v>#VALUE!</v>
      </c>
      <c r="AX34" s="653"/>
      <c r="AZ34" s="365" t="e">
        <f>RANK(AX34, $K$7:AX$36)</f>
        <v>#VALUE!</v>
      </c>
      <c r="BB34" s="354" t="e">
        <f t="shared" si="0"/>
        <v>#N/A</v>
      </c>
    </row>
    <row r="35" spans="2:54">
      <c r="B35" s="635"/>
      <c r="C35" s="483">
        <v>29</v>
      </c>
      <c r="D35" s="483"/>
      <c r="E35" s="483"/>
      <c r="F35" s="483"/>
      <c r="G35" s="483"/>
      <c r="H35" s="611"/>
      <c r="I35" s="487" t="str">
        <f t="shared" si="1"/>
        <v>-</v>
      </c>
      <c r="J35" s="487" t="str">
        <f t="shared" si="1"/>
        <v>-</v>
      </c>
      <c r="K35" s="363" t="str">
        <f t="shared" si="1"/>
        <v>-</v>
      </c>
      <c r="L35" s="615"/>
      <c r="M35" s="428" t="e">
        <v>#VALUE!</v>
      </c>
      <c r="N35" s="624"/>
      <c r="O35" s="624"/>
      <c r="P35" s="483"/>
      <c r="Q35" s="491"/>
      <c r="R35" s="491"/>
      <c r="S35" s="483"/>
      <c r="T35" s="653"/>
      <c r="U35" s="529" t="s">
        <v>427</v>
      </c>
      <c r="V35" s="538" t="s">
        <v>427</v>
      </c>
      <c r="W35" s="538" t="s">
        <v>427</v>
      </c>
      <c r="X35" s="534" t="e">
        <v>#VALUE!</v>
      </c>
      <c r="Y35" s="653"/>
      <c r="Z35" s="529" t="s">
        <v>427</v>
      </c>
      <c r="AA35" s="538" t="s">
        <v>427</v>
      </c>
      <c r="AB35" s="538" t="s">
        <v>427</v>
      </c>
      <c r="AC35" s="534" t="e">
        <v>#VALUE!</v>
      </c>
      <c r="AD35" s="653"/>
      <c r="AE35" s="529" t="s">
        <v>427</v>
      </c>
      <c r="AF35" s="538" t="s">
        <v>427</v>
      </c>
      <c r="AG35" s="538" t="s">
        <v>427</v>
      </c>
      <c r="AH35" s="534" t="e">
        <v>#VALUE!</v>
      </c>
      <c r="AI35" s="653"/>
      <c r="AJ35" s="529" t="s">
        <v>427</v>
      </c>
      <c r="AK35" s="538" t="s">
        <v>427</v>
      </c>
      <c r="AL35" s="538" t="s">
        <v>427</v>
      </c>
      <c r="AM35" s="534" t="e">
        <v>#VALUE!</v>
      </c>
      <c r="AN35" s="653"/>
      <c r="AO35" s="529" t="s">
        <v>427</v>
      </c>
      <c r="AP35" s="538" t="s">
        <v>427</v>
      </c>
      <c r="AQ35" s="538" t="s">
        <v>427</v>
      </c>
      <c r="AR35" s="534" t="e">
        <v>#VALUE!</v>
      </c>
      <c r="AS35" s="653"/>
      <c r="AT35" s="529" t="s">
        <v>427</v>
      </c>
      <c r="AU35" s="538" t="s">
        <v>427</v>
      </c>
      <c r="AV35" s="538" t="s">
        <v>427</v>
      </c>
      <c r="AW35" s="534" t="e">
        <v>#VALUE!</v>
      </c>
      <c r="AX35" s="653"/>
      <c r="AZ35" s="365" t="e">
        <f>RANK(AX35, $K$7:AX$36)</f>
        <v>#VALUE!</v>
      </c>
      <c r="BB35" s="354" t="e">
        <f t="shared" si="0"/>
        <v>#N/A</v>
      </c>
    </row>
    <row r="36" spans="2:54">
      <c r="B36" s="635"/>
      <c r="C36" s="483">
        <v>30</v>
      </c>
      <c r="D36" s="483"/>
      <c r="E36" s="483"/>
      <c r="F36" s="483"/>
      <c r="G36" s="483"/>
      <c r="H36" s="612"/>
      <c r="I36" s="487" t="str">
        <f t="shared" si="1"/>
        <v>-</v>
      </c>
      <c r="J36" s="487" t="str">
        <f t="shared" si="1"/>
        <v>-</v>
      </c>
      <c r="K36" s="363" t="str">
        <f t="shared" si="1"/>
        <v>-</v>
      </c>
      <c r="L36" s="616"/>
      <c r="M36" s="428" t="e">
        <v>#VALUE!</v>
      </c>
      <c r="N36" s="624"/>
      <c r="O36" s="624"/>
      <c r="P36" s="483"/>
      <c r="Q36" s="491"/>
      <c r="R36" s="491"/>
      <c r="S36" s="483"/>
      <c r="T36" s="653"/>
      <c r="U36" s="529" t="s">
        <v>427</v>
      </c>
      <c r="V36" s="538" t="s">
        <v>427</v>
      </c>
      <c r="W36" s="538" t="s">
        <v>427</v>
      </c>
      <c r="X36" s="534" t="e">
        <v>#VALUE!</v>
      </c>
      <c r="Y36" s="653"/>
      <c r="Z36" s="529" t="s">
        <v>427</v>
      </c>
      <c r="AA36" s="538" t="s">
        <v>427</v>
      </c>
      <c r="AB36" s="538" t="s">
        <v>427</v>
      </c>
      <c r="AC36" s="534" t="e">
        <v>#VALUE!</v>
      </c>
      <c r="AD36" s="653"/>
      <c r="AE36" s="529" t="s">
        <v>427</v>
      </c>
      <c r="AF36" s="538" t="s">
        <v>427</v>
      </c>
      <c r="AG36" s="538" t="s">
        <v>427</v>
      </c>
      <c r="AH36" s="534" t="e">
        <v>#VALUE!</v>
      </c>
      <c r="AI36" s="653"/>
      <c r="AJ36" s="529" t="s">
        <v>427</v>
      </c>
      <c r="AK36" s="538" t="s">
        <v>427</v>
      </c>
      <c r="AL36" s="538" t="s">
        <v>427</v>
      </c>
      <c r="AM36" s="534" t="e">
        <v>#VALUE!</v>
      </c>
      <c r="AN36" s="653"/>
      <c r="AO36" s="529" t="s">
        <v>427</v>
      </c>
      <c r="AP36" s="538" t="s">
        <v>427</v>
      </c>
      <c r="AQ36" s="538" t="s">
        <v>427</v>
      </c>
      <c r="AR36" s="534" t="e">
        <v>#VALUE!</v>
      </c>
      <c r="AS36" s="653"/>
      <c r="AT36" s="529" t="s">
        <v>427</v>
      </c>
      <c r="AU36" s="538" t="s">
        <v>427</v>
      </c>
      <c r="AV36" s="538" t="s">
        <v>427</v>
      </c>
      <c r="AW36" s="534" t="e">
        <v>#VALUE!</v>
      </c>
      <c r="AX36" s="653"/>
      <c r="AZ36" s="365" t="e">
        <f>RANK(AX36, $K$7:AX$36)</f>
        <v>#VALUE!</v>
      </c>
      <c r="BB36" s="354" t="e">
        <f t="shared" si="0"/>
        <v>#N/A</v>
      </c>
    </row>
    <row r="37" spans="2:54" ht="15.75">
      <c r="B37" s="657" t="s">
        <v>769</v>
      </c>
      <c r="C37" s="658"/>
      <c r="D37" s="658"/>
      <c r="E37" s="658"/>
      <c r="F37" s="658"/>
      <c r="G37" s="658"/>
      <c r="H37" s="658"/>
      <c r="I37" s="200"/>
      <c r="J37" s="200"/>
      <c r="K37" s="200"/>
      <c r="L37" s="200"/>
      <c r="M37" s="201"/>
      <c r="N37" s="639" t="s">
        <v>617</v>
      </c>
      <c r="O37" s="639" t="s">
        <v>618</v>
      </c>
      <c r="P37" s="634">
        <f>AT2+1</f>
        <v>46210</v>
      </c>
      <c r="Q37" s="635"/>
      <c r="R37" s="635"/>
      <c r="S37" s="635"/>
      <c r="T37" s="635"/>
      <c r="U37" s="634">
        <f>P37+1</f>
        <v>46211</v>
      </c>
      <c r="V37" s="635"/>
      <c r="W37" s="635"/>
      <c r="X37" s="635"/>
      <c r="Y37" s="635"/>
      <c r="Z37" s="634">
        <f>U37+1</f>
        <v>46212</v>
      </c>
      <c r="AA37" s="635"/>
      <c r="AB37" s="635"/>
      <c r="AC37" s="635"/>
      <c r="AD37" s="635"/>
      <c r="AE37" s="634">
        <f>Z37+1</f>
        <v>46213</v>
      </c>
      <c r="AF37" s="635"/>
      <c r="AG37" s="635"/>
      <c r="AH37" s="635"/>
      <c r="AI37" s="635"/>
      <c r="AJ37" s="634">
        <f>AE37+1</f>
        <v>46214</v>
      </c>
      <c r="AK37" s="635"/>
      <c r="AL37" s="635"/>
      <c r="AM37" s="635"/>
      <c r="AN37" s="635"/>
      <c r="AO37" s="634">
        <f>AJ37+1</f>
        <v>46215</v>
      </c>
      <c r="AP37" s="635"/>
      <c r="AQ37" s="635"/>
      <c r="AR37" s="635"/>
      <c r="AS37" s="635"/>
      <c r="AT37" s="634">
        <f>AO37+1</f>
        <v>46216</v>
      </c>
      <c r="AU37" s="635"/>
      <c r="AV37" s="635"/>
      <c r="AW37" s="635"/>
      <c r="AX37" s="635"/>
    </row>
    <row r="38" spans="2:54" ht="15.75">
      <c r="B38" s="646"/>
      <c r="C38" s="646"/>
      <c r="D38" s="646"/>
      <c r="E38" s="646"/>
      <c r="F38" s="646"/>
      <c r="G38" s="646"/>
      <c r="H38" s="646"/>
      <c r="I38" s="202"/>
      <c r="J38" s="202"/>
      <c r="K38" s="202"/>
      <c r="L38" s="202"/>
      <c r="M38" s="203"/>
      <c r="N38" s="641"/>
      <c r="O38" s="641"/>
      <c r="P38" s="634" t="s">
        <v>157</v>
      </c>
      <c r="Q38" s="635"/>
      <c r="R38" s="635"/>
      <c r="S38" s="635"/>
      <c r="T38" s="635"/>
      <c r="U38" s="634" t="s">
        <v>619</v>
      </c>
      <c r="V38" s="635"/>
      <c r="W38" s="635"/>
      <c r="X38" s="635"/>
      <c r="Y38" s="635"/>
      <c r="Z38" s="634" t="s">
        <v>620</v>
      </c>
      <c r="AA38" s="635"/>
      <c r="AB38" s="635"/>
      <c r="AC38" s="635"/>
      <c r="AD38" s="635"/>
      <c r="AE38" s="634" t="s">
        <v>480</v>
      </c>
      <c r="AF38" s="635"/>
      <c r="AG38" s="635"/>
      <c r="AH38" s="635"/>
      <c r="AI38" s="635"/>
      <c r="AJ38" s="634" t="s">
        <v>621</v>
      </c>
      <c r="AK38" s="635"/>
      <c r="AL38" s="635"/>
      <c r="AM38" s="635"/>
      <c r="AN38" s="635"/>
      <c r="AO38" s="634" t="s">
        <v>622</v>
      </c>
      <c r="AP38" s="635"/>
      <c r="AQ38" s="635"/>
      <c r="AR38" s="635"/>
      <c r="AS38" s="635"/>
      <c r="AT38" s="634" t="s">
        <v>597</v>
      </c>
      <c r="AU38" s="635"/>
      <c r="AV38" s="635"/>
      <c r="AW38" s="635"/>
      <c r="AX38" s="635"/>
    </row>
    <row r="39" spans="2:54">
      <c r="B39" s="639" t="s">
        <v>760</v>
      </c>
      <c r="C39" s="647" t="s">
        <v>827</v>
      </c>
      <c r="D39" s="650"/>
      <c r="E39" s="621" t="s">
        <v>828</v>
      </c>
      <c r="F39" s="622"/>
      <c r="G39" s="623"/>
      <c r="H39" s="639" t="s">
        <v>829</v>
      </c>
      <c r="I39" s="625" t="s">
        <v>830</v>
      </c>
      <c r="J39" s="626"/>
      <c r="K39" s="627"/>
      <c r="L39" s="628" t="s">
        <v>829</v>
      </c>
      <c r="M39" s="628" t="s">
        <v>440</v>
      </c>
      <c r="N39" s="639"/>
      <c r="O39" s="639" t="s">
        <v>831</v>
      </c>
      <c r="P39" s="621" t="s">
        <v>832</v>
      </c>
      <c r="Q39" s="622"/>
      <c r="R39" s="622"/>
      <c r="S39" s="623"/>
      <c r="T39" s="639" t="s">
        <v>829</v>
      </c>
      <c r="U39" s="621" t="s">
        <v>832</v>
      </c>
      <c r="V39" s="622"/>
      <c r="W39" s="622"/>
      <c r="X39" s="623"/>
      <c r="Y39" s="639" t="s">
        <v>829</v>
      </c>
      <c r="Z39" s="621" t="s">
        <v>832</v>
      </c>
      <c r="AA39" s="622"/>
      <c r="AB39" s="622"/>
      <c r="AC39" s="623"/>
      <c r="AD39" s="639" t="s">
        <v>829</v>
      </c>
      <c r="AE39" s="621" t="s">
        <v>832</v>
      </c>
      <c r="AF39" s="622"/>
      <c r="AG39" s="622"/>
      <c r="AH39" s="623"/>
      <c r="AI39" s="639" t="s">
        <v>829</v>
      </c>
      <c r="AJ39" s="621" t="s">
        <v>832</v>
      </c>
      <c r="AK39" s="622"/>
      <c r="AL39" s="622"/>
      <c r="AM39" s="623"/>
      <c r="AN39" s="639" t="s">
        <v>829</v>
      </c>
      <c r="AO39" s="621" t="s">
        <v>832</v>
      </c>
      <c r="AP39" s="622"/>
      <c r="AQ39" s="622"/>
      <c r="AR39" s="623"/>
      <c r="AS39" s="639" t="s">
        <v>829</v>
      </c>
      <c r="AT39" s="621" t="s">
        <v>832</v>
      </c>
      <c r="AU39" s="622"/>
      <c r="AV39" s="622"/>
      <c r="AW39" s="623"/>
      <c r="AX39" s="639" t="s">
        <v>829</v>
      </c>
    </row>
    <row r="40" spans="2:54">
      <c r="B40" s="640"/>
      <c r="C40" s="648"/>
      <c r="D40" s="651"/>
      <c r="E40" s="621" t="s">
        <v>833</v>
      </c>
      <c r="F40" s="622"/>
      <c r="G40" s="623"/>
      <c r="H40" s="640"/>
      <c r="I40" s="625" t="s">
        <v>833</v>
      </c>
      <c r="J40" s="626"/>
      <c r="K40" s="627"/>
      <c r="L40" s="629"/>
      <c r="M40" s="629"/>
      <c r="N40" s="640"/>
      <c r="O40" s="640"/>
      <c r="P40" s="621" t="s">
        <v>834</v>
      </c>
      <c r="Q40" s="622"/>
      <c r="R40" s="622"/>
      <c r="S40" s="623"/>
      <c r="T40" s="640"/>
      <c r="U40" s="621" t="s">
        <v>834</v>
      </c>
      <c r="V40" s="622"/>
      <c r="W40" s="622"/>
      <c r="X40" s="623"/>
      <c r="Y40" s="640"/>
      <c r="Z40" s="621" t="s">
        <v>834</v>
      </c>
      <c r="AA40" s="622"/>
      <c r="AB40" s="622"/>
      <c r="AC40" s="623"/>
      <c r="AD40" s="640"/>
      <c r="AE40" s="621" t="s">
        <v>834</v>
      </c>
      <c r="AF40" s="622"/>
      <c r="AG40" s="622"/>
      <c r="AH40" s="623"/>
      <c r="AI40" s="640"/>
      <c r="AJ40" s="621" t="s">
        <v>834</v>
      </c>
      <c r="AK40" s="622"/>
      <c r="AL40" s="622"/>
      <c r="AM40" s="623"/>
      <c r="AN40" s="640"/>
      <c r="AO40" s="621" t="s">
        <v>834</v>
      </c>
      <c r="AP40" s="622"/>
      <c r="AQ40" s="622"/>
      <c r="AR40" s="623"/>
      <c r="AS40" s="640"/>
      <c r="AT40" s="621" t="s">
        <v>834</v>
      </c>
      <c r="AU40" s="622"/>
      <c r="AV40" s="622"/>
      <c r="AW40" s="623"/>
      <c r="AX40" s="640"/>
    </row>
    <row r="41" spans="2:54">
      <c r="B41" s="641"/>
      <c r="C41" s="649"/>
      <c r="D41" s="652"/>
      <c r="E41" s="533" t="s">
        <v>835</v>
      </c>
      <c r="F41" s="533" t="s">
        <v>836</v>
      </c>
      <c r="G41" s="533" t="s">
        <v>837</v>
      </c>
      <c r="H41" s="641"/>
      <c r="I41" s="535" t="s">
        <v>835</v>
      </c>
      <c r="J41" s="535" t="s">
        <v>836</v>
      </c>
      <c r="K41" s="535" t="s">
        <v>837</v>
      </c>
      <c r="L41" s="630"/>
      <c r="M41" s="630"/>
      <c r="N41" s="640"/>
      <c r="O41" s="640"/>
      <c r="P41" s="533" t="s">
        <v>835</v>
      </c>
      <c r="Q41" s="533" t="s">
        <v>836</v>
      </c>
      <c r="R41" s="533" t="s">
        <v>837</v>
      </c>
      <c r="S41" s="533" t="s">
        <v>440</v>
      </c>
      <c r="T41" s="641"/>
      <c r="U41" s="533" t="s">
        <v>835</v>
      </c>
      <c r="V41" s="533" t="s">
        <v>836</v>
      </c>
      <c r="W41" s="533" t="s">
        <v>837</v>
      </c>
      <c r="X41" s="533" t="s">
        <v>440</v>
      </c>
      <c r="Y41" s="641"/>
      <c r="Z41" s="533" t="s">
        <v>835</v>
      </c>
      <c r="AA41" s="533" t="s">
        <v>836</v>
      </c>
      <c r="AB41" s="533" t="s">
        <v>837</v>
      </c>
      <c r="AC41" s="533" t="s">
        <v>440</v>
      </c>
      <c r="AD41" s="641"/>
      <c r="AE41" s="533" t="s">
        <v>835</v>
      </c>
      <c r="AF41" s="533" t="s">
        <v>836</v>
      </c>
      <c r="AG41" s="533" t="s">
        <v>837</v>
      </c>
      <c r="AH41" s="533" t="s">
        <v>440</v>
      </c>
      <c r="AI41" s="641"/>
      <c r="AJ41" s="533" t="s">
        <v>835</v>
      </c>
      <c r="AK41" s="533" t="s">
        <v>836</v>
      </c>
      <c r="AL41" s="533" t="s">
        <v>837</v>
      </c>
      <c r="AM41" s="533" t="s">
        <v>440</v>
      </c>
      <c r="AN41" s="641"/>
      <c r="AO41" s="533" t="s">
        <v>835</v>
      </c>
      <c r="AP41" s="533" t="s">
        <v>836</v>
      </c>
      <c r="AQ41" s="533" t="s">
        <v>837</v>
      </c>
      <c r="AR41" s="533" t="s">
        <v>440</v>
      </c>
      <c r="AS41" s="641"/>
      <c r="AT41" s="533" t="s">
        <v>835</v>
      </c>
      <c r="AU41" s="533" t="s">
        <v>836</v>
      </c>
      <c r="AV41" s="533" t="s">
        <v>837</v>
      </c>
      <c r="AW41" s="533" t="s">
        <v>440</v>
      </c>
      <c r="AX41" s="641"/>
    </row>
    <row r="42" spans="2:54">
      <c r="B42" s="654" t="s">
        <v>150</v>
      </c>
      <c r="C42" s="529">
        <v>1</v>
      </c>
      <c r="D42" s="416" t="s">
        <v>323</v>
      </c>
      <c r="E42" s="416">
        <v>3</v>
      </c>
      <c r="F42" s="416">
        <v>3200</v>
      </c>
      <c r="G42" s="531">
        <v>1066.6666666666667</v>
      </c>
      <c r="H42" s="610">
        <f>AVERAGE(G42:G71)</f>
        <v>773.55769230769215</v>
      </c>
      <c r="I42" s="531">
        <f>IFERROR(AVERAGE(P42,U42,Z42,AE42,AJ42,AO42,AT42),"-")</f>
        <v>3</v>
      </c>
      <c r="J42" s="531">
        <f>IFERROR(AVERAGE(Q42,V42,AA42,AF42,AK42,AP42,AU42),"-")</f>
        <v>3195.7687620257279</v>
      </c>
      <c r="K42" s="363">
        <f>IFERROR(AVERAGE(R42,W42,AB42,AG42,AL42,AQ42,AV42),"-")</f>
        <v>1065.256254008576</v>
      </c>
      <c r="L42" s="614">
        <f>IFERROR(AVERAGE(K42:K71),"-")</f>
        <v>777.29419305090289</v>
      </c>
      <c r="M42" s="531">
        <f>RANK(K42, K$42:$K$71)</f>
        <v>2</v>
      </c>
      <c r="N42" s="640"/>
      <c r="O42" s="640"/>
      <c r="P42" s="529">
        <v>3</v>
      </c>
      <c r="Q42" s="538">
        <v>3368.4210526315815</v>
      </c>
      <c r="R42" s="538">
        <v>1122.8070175438604</v>
      </c>
      <c r="S42" s="529">
        <f t="shared" ref="S42:S71" si="2">RANK(R42, R$42:R$71)</f>
        <v>1</v>
      </c>
      <c r="T42" s="610">
        <f t="shared" ref="T42" si="3">AVERAGE(R42:R71)</f>
        <v>776.35028505939545</v>
      </c>
      <c r="U42" s="529">
        <v>3</v>
      </c>
      <c r="V42" s="538">
        <v>3157.0909090909063</v>
      </c>
      <c r="W42" s="538">
        <v>1052.3636363636354</v>
      </c>
      <c r="X42" s="529">
        <f t="shared" ref="X42:X71" si="4">RANK(W42, W$42:W$71)</f>
        <v>3</v>
      </c>
      <c r="Y42" s="610">
        <f t="shared" ref="Y42" si="5">AVERAGE(W42:W71)</f>
        <v>774.17663611798423</v>
      </c>
      <c r="Z42" s="529">
        <v>3</v>
      </c>
      <c r="AA42" s="538">
        <v>3158.8235294117612</v>
      </c>
      <c r="AB42" s="538">
        <v>1052.9411764705872</v>
      </c>
      <c r="AC42" s="529">
        <f t="shared" ref="AC42:AC71" si="6">RANK(AB42, AB$42:AB$71)</f>
        <v>3</v>
      </c>
      <c r="AD42" s="610">
        <f t="shared" ref="AD42" si="7">AVERAGE(AB42:AB71)</f>
        <v>773.25302918537659</v>
      </c>
      <c r="AE42" s="529">
        <v>3</v>
      </c>
      <c r="AF42" s="538">
        <v>3175.909090909091</v>
      </c>
      <c r="AG42" s="538">
        <v>1058.6363636363637</v>
      </c>
      <c r="AH42" s="529">
        <f t="shared" ref="AH42:AH71" si="8">RANK(AG42, AG$42:AG$71)</f>
        <v>5</v>
      </c>
      <c r="AI42" s="610">
        <f t="shared" ref="AI42" si="9">AVERAGE(AG42:AG71)</f>
        <v>776.53225248422382</v>
      </c>
      <c r="AJ42" s="529">
        <v>3</v>
      </c>
      <c r="AK42" s="538">
        <v>3141.333333333333</v>
      </c>
      <c r="AL42" s="538">
        <v>1047.1111111111111</v>
      </c>
      <c r="AM42" s="529">
        <f t="shared" ref="AM42:AM71" si="10">RANK(AL42, AL$42:AL$71)</f>
        <v>4</v>
      </c>
      <c r="AN42" s="610">
        <f t="shared" ref="AN42" si="11">AVERAGE(AL42:AL71)</f>
        <v>778.63734149079278</v>
      </c>
      <c r="AO42" s="529">
        <v>3</v>
      </c>
      <c r="AP42" s="538">
        <v>3161.1111111111127</v>
      </c>
      <c r="AQ42" s="538">
        <v>1053.7037037037042</v>
      </c>
      <c r="AR42" s="529">
        <f t="shared" ref="AR42:AR71" si="12">RANK(AQ42, AQ$42:AQ$71)</f>
        <v>3</v>
      </c>
      <c r="AS42" s="610">
        <f t="shared" ref="AS42" si="13">AVERAGE(AQ42:AQ71)</f>
        <v>780.44223139703593</v>
      </c>
      <c r="AT42" s="529">
        <v>3</v>
      </c>
      <c r="AU42" s="538">
        <v>3207.6923076923094</v>
      </c>
      <c r="AV42" s="538">
        <v>1069.2307692307697</v>
      </c>
      <c r="AW42" s="529">
        <f t="shared" ref="AW42:AW71" si="14">RANK(AV42, AV$42:AV$71)</f>
        <v>1</v>
      </c>
      <c r="AX42" s="610">
        <f t="shared" ref="AX42" si="15">AVERAGE(AV42:AV71)</f>
        <v>781.66757562151122</v>
      </c>
      <c r="AZ42" s="377" t="e">
        <f t="shared" ref="AZ42:AZ71" si="16">RANK(AY42, AY$42:AY$71)</f>
        <v>#N/A</v>
      </c>
      <c r="BA42" s="610" t="e">
        <f t="shared" ref="BA42" si="17">AVERAGE(AY42:AY71)</f>
        <v>#DIV/0!</v>
      </c>
    </row>
    <row r="43" spans="2:54">
      <c r="B43" s="655"/>
      <c r="C43" s="529">
        <v>2</v>
      </c>
      <c r="D43" s="535" t="s">
        <v>324</v>
      </c>
      <c r="E43" s="416">
        <v>3</v>
      </c>
      <c r="F43" s="416">
        <v>3200</v>
      </c>
      <c r="G43" s="531">
        <v>1066.6666666666667</v>
      </c>
      <c r="H43" s="611"/>
      <c r="I43" s="531">
        <f t="shared" ref="I43:K71" si="18">IFERROR(AVERAGE(P43,U43,Z43,AE43,AJ43,AO43,AT43),"-")</f>
        <v>3</v>
      </c>
      <c r="J43" s="531">
        <f t="shared" si="18"/>
        <v>3145.39845411848</v>
      </c>
      <c r="K43" s="363">
        <f t="shared" si="18"/>
        <v>1048.4661513728267</v>
      </c>
      <c r="L43" s="615"/>
      <c r="M43" s="531">
        <f>RANK(K43, K$42:$K$71)</f>
        <v>3</v>
      </c>
      <c r="N43" s="640"/>
      <c r="O43" s="640"/>
      <c r="P43" s="529">
        <v>3</v>
      </c>
      <c r="Q43" s="538">
        <v>3148.4210526315637</v>
      </c>
      <c r="R43" s="538">
        <v>1049.4736842105212</v>
      </c>
      <c r="S43" s="529">
        <f t="shared" si="2"/>
        <v>3</v>
      </c>
      <c r="T43" s="611"/>
      <c r="U43" s="529">
        <v>3</v>
      </c>
      <c r="V43" s="538">
        <v>3097.89473684209</v>
      </c>
      <c r="W43" s="538">
        <v>1032.6315789473633</v>
      </c>
      <c r="X43" s="529">
        <f t="shared" si="4"/>
        <v>7</v>
      </c>
      <c r="Y43" s="611"/>
      <c r="Z43" s="529">
        <v>3</v>
      </c>
      <c r="AA43" s="538">
        <v>3153.3333333333308</v>
      </c>
      <c r="AB43" s="538">
        <v>1051.1111111111102</v>
      </c>
      <c r="AC43" s="529">
        <f t="shared" si="6"/>
        <v>4</v>
      </c>
      <c r="AD43" s="611"/>
      <c r="AE43" s="529">
        <v>3</v>
      </c>
      <c r="AF43" s="538">
        <v>3187.9999999999945</v>
      </c>
      <c r="AG43" s="538">
        <v>1062.6666666666649</v>
      </c>
      <c r="AH43" s="529">
        <f t="shared" si="8"/>
        <v>3</v>
      </c>
      <c r="AI43" s="611"/>
      <c r="AJ43" s="529">
        <v>3</v>
      </c>
      <c r="AK43" s="538">
        <v>3128.5714285714221</v>
      </c>
      <c r="AL43" s="538">
        <v>1042.8571428571406</v>
      </c>
      <c r="AM43" s="529">
        <f t="shared" si="10"/>
        <v>7</v>
      </c>
      <c r="AN43" s="611"/>
      <c r="AO43" s="529">
        <v>3</v>
      </c>
      <c r="AP43" s="538">
        <v>3153.3333333333308</v>
      </c>
      <c r="AQ43" s="538">
        <v>1051.1111111111102</v>
      </c>
      <c r="AR43" s="529">
        <f t="shared" si="12"/>
        <v>5</v>
      </c>
      <c r="AS43" s="611"/>
      <c r="AT43" s="529">
        <v>3</v>
      </c>
      <c r="AU43" s="538">
        <v>3148.2352941176287</v>
      </c>
      <c r="AV43" s="538">
        <v>1049.4117647058763</v>
      </c>
      <c r="AW43" s="529">
        <f t="shared" si="14"/>
        <v>6</v>
      </c>
      <c r="AX43" s="611"/>
      <c r="AZ43" s="377" t="e">
        <f t="shared" si="16"/>
        <v>#N/A</v>
      </c>
      <c r="BA43" s="611"/>
    </row>
    <row r="44" spans="2:54">
      <c r="B44" s="655"/>
      <c r="C44" s="529">
        <v>3</v>
      </c>
      <c r="D44" s="416" t="s">
        <v>314</v>
      </c>
      <c r="E44" s="416">
        <v>4</v>
      </c>
      <c r="F44" s="416">
        <v>3200</v>
      </c>
      <c r="G44" s="531">
        <v>800</v>
      </c>
      <c r="H44" s="611"/>
      <c r="I44" s="531">
        <f t="shared" si="18"/>
        <v>4</v>
      </c>
      <c r="J44" s="531">
        <f t="shared" si="18"/>
        <v>3087.0278293135389</v>
      </c>
      <c r="K44" s="363">
        <f t="shared" si="18"/>
        <v>771.75695732838471</v>
      </c>
      <c r="L44" s="615"/>
      <c r="M44" s="531">
        <f>RANK(K44, K$42:$K$71)</f>
        <v>15</v>
      </c>
      <c r="N44" s="640"/>
      <c r="O44" s="640"/>
      <c r="P44" s="529">
        <v>4</v>
      </c>
      <c r="Q44" s="538">
        <v>3059.9999999999964</v>
      </c>
      <c r="R44" s="538">
        <v>764.99999999999909</v>
      </c>
      <c r="S44" s="529">
        <f t="shared" si="2"/>
        <v>15</v>
      </c>
      <c r="T44" s="611"/>
      <c r="U44" s="529">
        <v>4</v>
      </c>
      <c r="V44" s="538">
        <v>3044.9999999999959</v>
      </c>
      <c r="W44" s="538">
        <v>761.24999999999898</v>
      </c>
      <c r="X44" s="529">
        <f t="shared" si="4"/>
        <v>16</v>
      </c>
      <c r="Y44" s="611"/>
      <c r="Z44" s="529">
        <v>4</v>
      </c>
      <c r="AA44" s="538">
        <v>3023.999999999995</v>
      </c>
      <c r="AB44" s="538">
        <v>755.99999999999875</v>
      </c>
      <c r="AC44" s="529">
        <f t="shared" si="6"/>
        <v>15</v>
      </c>
      <c r="AD44" s="611"/>
      <c r="AE44" s="529">
        <v>4</v>
      </c>
      <c r="AF44" s="538">
        <v>3134.99999999999</v>
      </c>
      <c r="AG44" s="538">
        <v>783.7499999999975</v>
      </c>
      <c r="AH44" s="529">
        <f t="shared" si="8"/>
        <v>14</v>
      </c>
      <c r="AI44" s="611"/>
      <c r="AJ44" s="529">
        <v>4</v>
      </c>
      <c r="AK44" s="538">
        <v>3070.9090909090796</v>
      </c>
      <c r="AL44" s="538">
        <v>767.72727272726991</v>
      </c>
      <c r="AM44" s="529">
        <f t="shared" si="10"/>
        <v>15</v>
      </c>
      <c r="AN44" s="611"/>
      <c r="AO44" s="529">
        <v>4</v>
      </c>
      <c r="AP44" s="538">
        <v>3180.0000000000109</v>
      </c>
      <c r="AQ44" s="538">
        <v>795.00000000000273</v>
      </c>
      <c r="AR44" s="529">
        <f t="shared" si="12"/>
        <v>13</v>
      </c>
      <c r="AS44" s="611"/>
      <c r="AT44" s="529">
        <v>4</v>
      </c>
      <c r="AU44" s="538">
        <v>3094.2857142857079</v>
      </c>
      <c r="AV44" s="538">
        <v>773.57142857142696</v>
      </c>
      <c r="AW44" s="529">
        <f t="shared" si="14"/>
        <v>15</v>
      </c>
      <c r="AX44" s="611"/>
      <c r="AZ44" s="377" t="e">
        <f t="shared" si="16"/>
        <v>#N/A</v>
      </c>
      <c r="BA44" s="611"/>
    </row>
    <row r="45" spans="2:54">
      <c r="B45" s="655"/>
      <c r="C45" s="529">
        <v>4</v>
      </c>
      <c r="D45" s="416" t="s">
        <v>326</v>
      </c>
      <c r="E45" s="416">
        <v>3</v>
      </c>
      <c r="F45" s="416">
        <v>3200</v>
      </c>
      <c r="G45" s="531">
        <v>1066.6666666666667</v>
      </c>
      <c r="H45" s="611"/>
      <c r="I45" s="531">
        <f t="shared" si="18"/>
        <v>3</v>
      </c>
      <c r="J45" s="531">
        <f t="shared" si="18"/>
        <v>3196.5980510180129</v>
      </c>
      <c r="K45" s="363">
        <f t="shared" si="18"/>
        <v>1065.5326836726711</v>
      </c>
      <c r="L45" s="615"/>
      <c r="M45" s="531">
        <f>RANK(K45, K$42:$K$71)</f>
        <v>1</v>
      </c>
      <c r="N45" s="640"/>
      <c r="O45" s="640"/>
      <c r="P45" s="529">
        <v>3</v>
      </c>
      <c r="Q45" s="538">
        <v>3184.827586206899</v>
      </c>
      <c r="R45" s="538">
        <v>1061.6091954022997</v>
      </c>
      <c r="S45" s="529">
        <f t="shared" si="2"/>
        <v>2</v>
      </c>
      <c r="T45" s="611"/>
      <c r="U45" s="529">
        <v>3</v>
      </c>
      <c r="V45" s="538">
        <v>3193.2558139534881</v>
      </c>
      <c r="W45" s="538">
        <v>1064.4186046511627</v>
      </c>
      <c r="X45" s="529">
        <f t="shared" si="4"/>
        <v>1</v>
      </c>
      <c r="Y45" s="611"/>
      <c r="Z45" s="529">
        <v>3</v>
      </c>
      <c r="AA45" s="538">
        <v>3211.8987341772104</v>
      </c>
      <c r="AB45" s="538">
        <v>1070.6329113924035</v>
      </c>
      <c r="AC45" s="529">
        <f t="shared" si="6"/>
        <v>1</v>
      </c>
      <c r="AD45" s="611"/>
      <c r="AE45" s="529">
        <v>3</v>
      </c>
      <c r="AF45" s="538">
        <v>3197.0149253731302</v>
      </c>
      <c r="AG45" s="538">
        <v>1065.6716417910434</v>
      </c>
      <c r="AH45" s="529">
        <f t="shared" si="8"/>
        <v>2</v>
      </c>
      <c r="AI45" s="611"/>
      <c r="AJ45" s="529">
        <v>3</v>
      </c>
      <c r="AK45" s="538">
        <v>3199.7014925373132</v>
      </c>
      <c r="AL45" s="538">
        <v>1066.5671641791043</v>
      </c>
      <c r="AM45" s="529">
        <f t="shared" si="10"/>
        <v>2</v>
      </c>
      <c r="AN45" s="611"/>
      <c r="AO45" s="529">
        <v>3</v>
      </c>
      <c r="AP45" s="538">
        <v>3200.4878048780511</v>
      </c>
      <c r="AQ45" s="538">
        <v>1066.8292682926838</v>
      </c>
      <c r="AR45" s="529">
        <f t="shared" si="12"/>
        <v>1</v>
      </c>
      <c r="AS45" s="611"/>
      <c r="AT45" s="529">
        <v>3</v>
      </c>
      <c r="AU45" s="538">
        <v>3188.9999999999991</v>
      </c>
      <c r="AV45" s="538">
        <v>1062.9999999999998</v>
      </c>
      <c r="AW45" s="529">
        <f t="shared" si="14"/>
        <v>3</v>
      </c>
      <c r="AX45" s="611"/>
      <c r="AZ45" s="377" t="e">
        <f t="shared" si="16"/>
        <v>#N/A</v>
      </c>
      <c r="BA45" s="611"/>
    </row>
    <row r="46" spans="2:54">
      <c r="B46" s="655"/>
      <c r="C46" s="529">
        <v>5</v>
      </c>
      <c r="D46" s="416" t="s">
        <v>327</v>
      </c>
      <c r="E46" s="416">
        <v>4</v>
      </c>
      <c r="F46" s="416">
        <v>3200</v>
      </c>
      <c r="G46" s="531">
        <v>800</v>
      </c>
      <c r="H46" s="611"/>
      <c r="I46" s="531">
        <f t="shared" si="18"/>
        <v>4</v>
      </c>
      <c r="J46" s="531">
        <f t="shared" si="18"/>
        <v>3088.65411092667</v>
      </c>
      <c r="K46" s="363">
        <f t="shared" si="18"/>
        <v>772.1635277316675</v>
      </c>
      <c r="L46" s="615"/>
      <c r="M46" s="531">
        <f>RANK(K46, K$42:$K$71)</f>
        <v>14</v>
      </c>
      <c r="N46" s="640"/>
      <c r="O46" s="640"/>
      <c r="P46" s="529">
        <v>4</v>
      </c>
      <c r="Q46" s="538">
        <v>3095.0000000000009</v>
      </c>
      <c r="R46" s="538">
        <v>773.75000000000023</v>
      </c>
      <c r="S46" s="529">
        <f t="shared" si="2"/>
        <v>14</v>
      </c>
      <c r="T46" s="611"/>
      <c r="U46" s="529">
        <v>4</v>
      </c>
      <c r="V46" s="538">
        <v>3070.0000000000009</v>
      </c>
      <c r="W46" s="538">
        <v>767.50000000000023</v>
      </c>
      <c r="X46" s="529">
        <f t="shared" si="4"/>
        <v>14</v>
      </c>
      <c r="Y46" s="611"/>
      <c r="Z46" s="529">
        <v>4</v>
      </c>
      <c r="AA46" s="538">
        <v>3092.727272727273</v>
      </c>
      <c r="AB46" s="538">
        <v>773.18181818181824</v>
      </c>
      <c r="AC46" s="529">
        <f t="shared" si="6"/>
        <v>13</v>
      </c>
      <c r="AD46" s="611"/>
      <c r="AE46" s="529">
        <v>4</v>
      </c>
      <c r="AF46" s="538">
        <v>3066.3157894736819</v>
      </c>
      <c r="AG46" s="538">
        <v>766.57894736842047</v>
      </c>
      <c r="AH46" s="529">
        <f t="shared" si="8"/>
        <v>15</v>
      </c>
      <c r="AI46" s="611"/>
      <c r="AJ46" s="529">
        <v>4</v>
      </c>
      <c r="AK46" s="538">
        <v>3056.2500000000105</v>
      </c>
      <c r="AL46" s="538">
        <v>764.06250000000261</v>
      </c>
      <c r="AM46" s="529">
        <f t="shared" si="10"/>
        <v>16</v>
      </c>
      <c r="AN46" s="611"/>
      <c r="AO46" s="529">
        <v>4</v>
      </c>
      <c r="AP46" s="538">
        <v>3054.2857142857133</v>
      </c>
      <c r="AQ46" s="538">
        <v>763.57142857142833</v>
      </c>
      <c r="AR46" s="529">
        <f t="shared" si="12"/>
        <v>16</v>
      </c>
      <c r="AS46" s="611"/>
      <c r="AT46" s="529">
        <v>4</v>
      </c>
      <c r="AU46" s="538">
        <v>3186.0000000000114</v>
      </c>
      <c r="AV46" s="538">
        <v>796.50000000000284</v>
      </c>
      <c r="AW46" s="529">
        <f t="shared" si="14"/>
        <v>14</v>
      </c>
      <c r="AX46" s="611"/>
      <c r="AZ46" s="377" t="e">
        <f t="shared" si="16"/>
        <v>#N/A</v>
      </c>
      <c r="BA46" s="611"/>
    </row>
    <row r="47" spans="2:54">
      <c r="B47" s="655"/>
      <c r="C47" s="529">
        <v>6</v>
      </c>
      <c r="D47" s="416" t="s">
        <v>325</v>
      </c>
      <c r="E47" s="416">
        <v>4</v>
      </c>
      <c r="F47" s="416">
        <v>3200</v>
      </c>
      <c r="G47" s="531">
        <v>800</v>
      </c>
      <c r="H47" s="611"/>
      <c r="I47" s="531">
        <f t="shared" si="18"/>
        <v>4</v>
      </c>
      <c r="J47" s="531">
        <f t="shared" si="18"/>
        <v>3105.7244897959099</v>
      </c>
      <c r="K47" s="363">
        <f t="shared" si="18"/>
        <v>776.43112244897748</v>
      </c>
      <c r="L47" s="615"/>
      <c r="M47" s="531">
        <f>RANK(K47, K$42:$K$71)</f>
        <v>13</v>
      </c>
      <c r="N47" s="640"/>
      <c r="O47" s="640"/>
      <c r="P47" s="529">
        <v>4</v>
      </c>
      <c r="Q47" s="538">
        <v>3159.99999999999</v>
      </c>
      <c r="R47" s="538">
        <v>789.9999999999975</v>
      </c>
      <c r="S47" s="529">
        <f t="shared" si="2"/>
        <v>12</v>
      </c>
      <c r="T47" s="611"/>
      <c r="U47" s="529">
        <v>4</v>
      </c>
      <c r="V47" s="538">
        <v>3185.4545454545569</v>
      </c>
      <c r="W47" s="538">
        <v>796.36363636363922</v>
      </c>
      <c r="X47" s="529">
        <f t="shared" si="4"/>
        <v>12</v>
      </c>
      <c r="Y47" s="611"/>
      <c r="Z47" s="529">
        <v>4</v>
      </c>
      <c r="AA47" s="538">
        <v>2994.5454545454431</v>
      </c>
      <c r="AB47" s="538">
        <v>748.63636363636078</v>
      </c>
      <c r="AC47" s="529">
        <f t="shared" si="6"/>
        <v>16</v>
      </c>
      <c r="AD47" s="611"/>
      <c r="AE47" s="529">
        <v>4</v>
      </c>
      <c r="AF47" s="538">
        <v>3187.4999999999795</v>
      </c>
      <c r="AG47" s="538">
        <v>796.87499999999488</v>
      </c>
      <c r="AH47" s="529">
        <f t="shared" si="8"/>
        <v>12</v>
      </c>
      <c r="AI47" s="611"/>
      <c r="AJ47" s="529">
        <v>4</v>
      </c>
      <c r="AK47" s="538">
        <v>3128.5714285714039</v>
      </c>
      <c r="AL47" s="538">
        <v>782.14285714285097</v>
      </c>
      <c r="AM47" s="529">
        <f t="shared" si="10"/>
        <v>14</v>
      </c>
      <c r="AN47" s="611"/>
      <c r="AO47" s="529">
        <v>4</v>
      </c>
      <c r="AP47" s="538">
        <v>3102.0000000000109</v>
      </c>
      <c r="AQ47" s="538">
        <v>775.50000000000273</v>
      </c>
      <c r="AR47" s="529">
        <f t="shared" si="12"/>
        <v>14</v>
      </c>
      <c r="AS47" s="611"/>
      <c r="AT47" s="529">
        <v>4</v>
      </c>
      <c r="AU47" s="538">
        <v>2981.9999999999868</v>
      </c>
      <c r="AV47" s="538">
        <v>745.4999999999967</v>
      </c>
      <c r="AW47" s="529">
        <f t="shared" si="14"/>
        <v>17</v>
      </c>
      <c r="AX47" s="611"/>
      <c r="AZ47" s="377" t="e">
        <f t="shared" si="16"/>
        <v>#N/A</v>
      </c>
      <c r="BA47" s="611"/>
    </row>
    <row r="48" spans="2:54">
      <c r="B48" s="655"/>
      <c r="C48" s="529">
        <v>7</v>
      </c>
      <c r="D48" s="416" t="s">
        <v>328</v>
      </c>
      <c r="E48" s="416">
        <v>4</v>
      </c>
      <c r="F48" s="416">
        <v>2800</v>
      </c>
      <c r="G48" s="531">
        <v>700</v>
      </c>
      <c r="H48" s="611"/>
      <c r="I48" s="531">
        <f t="shared" si="18"/>
        <v>4</v>
      </c>
      <c r="J48" s="531">
        <f t="shared" si="18"/>
        <v>3014.750392464678</v>
      </c>
      <c r="K48" s="363">
        <f t="shared" si="18"/>
        <v>753.68759811616951</v>
      </c>
      <c r="L48" s="615"/>
      <c r="M48" s="531">
        <f>RANK(K48, K$42:$K$71)</f>
        <v>16</v>
      </c>
      <c r="N48" s="640"/>
      <c r="O48" s="640"/>
      <c r="P48" s="529">
        <v>4</v>
      </c>
      <c r="Q48" s="538">
        <v>2995.7142857142881</v>
      </c>
      <c r="R48" s="538">
        <v>748.92857142857201</v>
      </c>
      <c r="S48" s="529">
        <f t="shared" si="2"/>
        <v>16</v>
      </c>
      <c r="T48" s="611"/>
      <c r="U48" s="529">
        <v>4</v>
      </c>
      <c r="V48" s="538">
        <v>3055.3846153846171</v>
      </c>
      <c r="W48" s="538">
        <v>763.84615384615427</v>
      </c>
      <c r="X48" s="529">
        <f t="shared" si="4"/>
        <v>15</v>
      </c>
      <c r="Y48" s="611"/>
      <c r="Z48" s="529">
        <v>4</v>
      </c>
      <c r="AA48" s="538">
        <v>2986.1538461538476</v>
      </c>
      <c r="AB48" s="538">
        <v>746.53846153846189</v>
      </c>
      <c r="AC48" s="529">
        <f t="shared" si="6"/>
        <v>17</v>
      </c>
      <c r="AD48" s="611"/>
      <c r="AE48" s="529">
        <v>4</v>
      </c>
      <c r="AF48" s="538">
        <v>2915.9999999999986</v>
      </c>
      <c r="AG48" s="538">
        <v>728.99999999999966</v>
      </c>
      <c r="AH48" s="529">
        <f t="shared" si="8"/>
        <v>17</v>
      </c>
      <c r="AI48" s="611"/>
      <c r="AJ48" s="529">
        <v>4</v>
      </c>
      <c r="AK48" s="538">
        <v>3159.9999999999973</v>
      </c>
      <c r="AL48" s="538">
        <v>789.99999999999932</v>
      </c>
      <c r="AM48" s="529">
        <f t="shared" si="10"/>
        <v>12</v>
      </c>
      <c r="AN48" s="611"/>
      <c r="AO48" s="529">
        <v>4</v>
      </c>
      <c r="AP48" s="538">
        <v>3045.0000000000009</v>
      </c>
      <c r="AQ48" s="538">
        <v>761.25000000000023</v>
      </c>
      <c r="AR48" s="529">
        <f t="shared" si="12"/>
        <v>17</v>
      </c>
      <c r="AS48" s="611"/>
      <c r="AT48" s="529">
        <v>4</v>
      </c>
      <c r="AU48" s="538">
        <v>2945.0000000000009</v>
      </c>
      <c r="AV48" s="538">
        <v>736.25000000000023</v>
      </c>
      <c r="AW48" s="529">
        <f t="shared" si="14"/>
        <v>19</v>
      </c>
      <c r="AX48" s="611"/>
      <c r="AZ48" s="377" t="e">
        <f t="shared" si="16"/>
        <v>#N/A</v>
      </c>
      <c r="BA48" s="611"/>
    </row>
    <row r="49" spans="2:53">
      <c r="B49" s="655"/>
      <c r="C49" s="529">
        <v>8</v>
      </c>
      <c r="D49" s="416" t="s">
        <v>329</v>
      </c>
      <c r="E49" s="416">
        <v>3</v>
      </c>
      <c r="F49" s="416">
        <v>3200</v>
      </c>
      <c r="G49" s="531">
        <v>1066.6666666666667</v>
      </c>
      <c r="H49" s="611"/>
      <c r="I49" s="531">
        <f t="shared" si="18"/>
        <v>3</v>
      </c>
      <c r="J49" s="531">
        <f t="shared" si="18"/>
        <v>3134.9265344286409</v>
      </c>
      <c r="K49" s="363">
        <f t="shared" si="18"/>
        <v>1044.9755114762136</v>
      </c>
      <c r="L49" s="615"/>
      <c r="M49" s="531">
        <f>RANK(K49, K$42:$K$71)</f>
        <v>5</v>
      </c>
      <c r="N49" s="640"/>
      <c r="O49" s="640"/>
      <c r="P49" s="529">
        <v>3</v>
      </c>
      <c r="Q49" s="538">
        <v>3100.6451612903252</v>
      </c>
      <c r="R49" s="538">
        <v>1033.5483870967751</v>
      </c>
      <c r="S49" s="529">
        <f t="shared" si="2"/>
        <v>7</v>
      </c>
      <c r="T49" s="611"/>
      <c r="U49" s="529">
        <v>3</v>
      </c>
      <c r="V49" s="538">
        <v>3110.0000000000114</v>
      </c>
      <c r="W49" s="538">
        <v>1036.6666666666704</v>
      </c>
      <c r="X49" s="529">
        <f t="shared" si="4"/>
        <v>5</v>
      </c>
      <c r="Y49" s="611"/>
      <c r="Z49" s="529">
        <v>3</v>
      </c>
      <c r="AA49" s="538">
        <v>3111.4285714285738</v>
      </c>
      <c r="AB49" s="538">
        <v>1037.142857142858</v>
      </c>
      <c r="AC49" s="529">
        <f t="shared" si="6"/>
        <v>6</v>
      </c>
      <c r="AD49" s="611"/>
      <c r="AE49" s="529">
        <v>3</v>
      </c>
      <c r="AF49" s="538">
        <v>3159.1304347826085</v>
      </c>
      <c r="AG49" s="538">
        <v>1053.0434782608695</v>
      </c>
      <c r="AH49" s="529">
        <f t="shared" si="8"/>
        <v>6</v>
      </c>
      <c r="AI49" s="611"/>
      <c r="AJ49" s="529">
        <v>3</v>
      </c>
      <c r="AK49" s="538">
        <v>3133.0434782608695</v>
      </c>
      <c r="AL49" s="538">
        <v>1044.3478260869565</v>
      </c>
      <c r="AM49" s="529">
        <f t="shared" si="10"/>
        <v>6</v>
      </c>
      <c r="AN49" s="611"/>
      <c r="AO49" s="529">
        <v>3</v>
      </c>
      <c r="AP49" s="538">
        <v>3143.5714285714307</v>
      </c>
      <c r="AQ49" s="538">
        <v>1047.8571428571436</v>
      </c>
      <c r="AR49" s="529">
        <f t="shared" si="12"/>
        <v>7</v>
      </c>
      <c r="AS49" s="611"/>
      <c r="AT49" s="529">
        <v>3</v>
      </c>
      <c r="AU49" s="538">
        <v>3186.6666666666683</v>
      </c>
      <c r="AV49" s="538">
        <v>1062.2222222222229</v>
      </c>
      <c r="AW49" s="529">
        <f t="shared" si="14"/>
        <v>4</v>
      </c>
      <c r="AX49" s="611"/>
      <c r="AZ49" s="377" t="e">
        <f t="shared" si="16"/>
        <v>#N/A</v>
      </c>
      <c r="BA49" s="611"/>
    </row>
    <row r="50" spans="2:53">
      <c r="B50" s="655"/>
      <c r="C50" s="529">
        <v>9</v>
      </c>
      <c r="D50" s="416" t="s">
        <v>330</v>
      </c>
      <c r="E50" s="416">
        <v>3</v>
      </c>
      <c r="F50" s="416">
        <v>2800</v>
      </c>
      <c r="G50" s="531">
        <v>933.33333333333337</v>
      </c>
      <c r="H50" s="611"/>
      <c r="I50" s="531">
        <f t="shared" si="18"/>
        <v>3</v>
      </c>
      <c r="J50" s="531">
        <f t="shared" si="18"/>
        <v>3130.8413907842032</v>
      </c>
      <c r="K50" s="363">
        <f t="shared" si="18"/>
        <v>1043.6137969280678</v>
      </c>
      <c r="L50" s="615"/>
      <c r="M50" s="531">
        <f>RANK(K50, K$42:$K$71)</f>
        <v>7</v>
      </c>
      <c r="N50" s="640"/>
      <c r="O50" s="640"/>
      <c r="P50" s="529">
        <v>3</v>
      </c>
      <c r="Q50" s="538">
        <v>3120.0000000000036</v>
      </c>
      <c r="R50" s="538">
        <v>1040.0000000000011</v>
      </c>
      <c r="S50" s="529">
        <f t="shared" si="2"/>
        <v>5</v>
      </c>
      <c r="T50" s="611"/>
      <c r="U50" s="529">
        <v>3</v>
      </c>
      <c r="V50" s="538">
        <v>3106.8750000000036</v>
      </c>
      <c r="W50" s="538">
        <v>1035.6250000000011</v>
      </c>
      <c r="X50" s="529">
        <f t="shared" si="4"/>
        <v>6</v>
      </c>
      <c r="Y50" s="611"/>
      <c r="Z50" s="529">
        <v>3</v>
      </c>
      <c r="AA50" s="538">
        <v>3128.2758620689769</v>
      </c>
      <c r="AB50" s="538">
        <v>1042.758620689659</v>
      </c>
      <c r="AC50" s="529">
        <f t="shared" si="6"/>
        <v>5</v>
      </c>
      <c r="AD50" s="611"/>
      <c r="AE50" s="529">
        <v>3</v>
      </c>
      <c r="AF50" s="538">
        <v>3079.2000000000007</v>
      </c>
      <c r="AG50" s="538">
        <v>1026.4000000000003</v>
      </c>
      <c r="AH50" s="529">
        <f t="shared" si="8"/>
        <v>8</v>
      </c>
      <c r="AI50" s="611"/>
      <c r="AJ50" s="529">
        <v>3</v>
      </c>
      <c r="AK50" s="538">
        <v>3135.6521739130435</v>
      </c>
      <c r="AL50" s="538">
        <v>1045.2173913043478</v>
      </c>
      <c r="AM50" s="529">
        <f t="shared" si="10"/>
        <v>5</v>
      </c>
      <c r="AN50" s="611"/>
      <c r="AO50" s="529">
        <v>3</v>
      </c>
      <c r="AP50" s="538">
        <v>3155.172413793106</v>
      </c>
      <c r="AQ50" s="538">
        <v>1051.7241379310353</v>
      </c>
      <c r="AR50" s="529">
        <f t="shared" si="12"/>
        <v>4</v>
      </c>
      <c r="AS50" s="611"/>
      <c r="AT50" s="529">
        <v>3</v>
      </c>
      <c r="AU50" s="538">
        <v>3190.7142857142881</v>
      </c>
      <c r="AV50" s="538">
        <v>1063.5714285714294</v>
      </c>
      <c r="AW50" s="529">
        <f t="shared" si="14"/>
        <v>2</v>
      </c>
      <c r="AX50" s="611"/>
      <c r="AZ50" s="377" t="e">
        <f t="shared" si="16"/>
        <v>#N/A</v>
      </c>
      <c r="BA50" s="611"/>
    </row>
    <row r="51" spans="2:53">
      <c r="B51" s="655"/>
      <c r="C51" s="529">
        <v>10</v>
      </c>
      <c r="D51" s="416" t="s">
        <v>331</v>
      </c>
      <c r="E51" s="416">
        <v>4</v>
      </c>
      <c r="F51" s="416">
        <v>2800</v>
      </c>
      <c r="G51" s="531">
        <v>700</v>
      </c>
      <c r="H51" s="611"/>
      <c r="I51" s="531">
        <f t="shared" si="18"/>
        <v>4</v>
      </c>
      <c r="J51" s="531">
        <f t="shared" si="18"/>
        <v>3178.0712623588729</v>
      </c>
      <c r="K51" s="363">
        <f t="shared" si="18"/>
        <v>794.51781558971823</v>
      </c>
      <c r="L51" s="615"/>
      <c r="M51" s="531">
        <f>RANK(K51, K$42:$K$71)</f>
        <v>12</v>
      </c>
      <c r="N51" s="640"/>
      <c r="O51" s="640"/>
      <c r="P51" s="529">
        <v>4</v>
      </c>
      <c r="Q51" s="538">
        <v>3147.3684210526253</v>
      </c>
      <c r="R51" s="538">
        <v>786.84210526315633</v>
      </c>
      <c r="S51" s="529">
        <f t="shared" si="2"/>
        <v>13</v>
      </c>
      <c r="T51" s="611"/>
      <c r="U51" s="529">
        <v>4</v>
      </c>
      <c r="V51" s="538">
        <v>3146.7857142857119</v>
      </c>
      <c r="W51" s="538">
        <v>786.69642857142799</v>
      </c>
      <c r="X51" s="529">
        <f t="shared" si="4"/>
        <v>13</v>
      </c>
      <c r="Y51" s="611"/>
      <c r="Z51" s="529">
        <v>4</v>
      </c>
      <c r="AA51" s="538">
        <v>3258.8235294117658</v>
      </c>
      <c r="AB51" s="538">
        <v>814.70588235294144</v>
      </c>
      <c r="AC51" s="529">
        <f t="shared" si="6"/>
        <v>12</v>
      </c>
      <c r="AD51" s="611"/>
      <c r="AE51" s="529">
        <v>4</v>
      </c>
      <c r="AF51" s="538">
        <v>3166.6666666666665</v>
      </c>
      <c r="AG51" s="538">
        <v>791.66666666666663</v>
      </c>
      <c r="AH51" s="529">
        <f t="shared" si="8"/>
        <v>13</v>
      </c>
      <c r="AI51" s="611"/>
      <c r="AJ51" s="529">
        <v>4</v>
      </c>
      <c r="AK51" s="538">
        <v>3154.0909090909026</v>
      </c>
      <c r="AL51" s="538">
        <v>788.52272727272566</v>
      </c>
      <c r="AM51" s="529">
        <f t="shared" si="10"/>
        <v>13</v>
      </c>
      <c r="AN51" s="611"/>
      <c r="AO51" s="529">
        <v>4</v>
      </c>
      <c r="AP51" s="538">
        <v>3184.528301886794</v>
      </c>
      <c r="AQ51" s="538">
        <v>796.1320754716985</v>
      </c>
      <c r="AR51" s="529">
        <f t="shared" si="12"/>
        <v>12</v>
      </c>
      <c r="AS51" s="611"/>
      <c r="AT51" s="529">
        <v>4</v>
      </c>
      <c r="AU51" s="538">
        <v>3188.2352941176432</v>
      </c>
      <c r="AV51" s="538">
        <v>797.0588235294108</v>
      </c>
      <c r="AW51" s="529">
        <f t="shared" si="14"/>
        <v>13</v>
      </c>
      <c r="AX51" s="611"/>
      <c r="AZ51" s="377" t="e">
        <f t="shared" si="16"/>
        <v>#N/A</v>
      </c>
      <c r="BA51" s="611"/>
    </row>
    <row r="52" spans="2:53">
      <c r="B52" s="655"/>
      <c r="C52" s="529">
        <v>11</v>
      </c>
      <c r="D52" s="416" t="s">
        <v>332</v>
      </c>
      <c r="E52" s="416">
        <v>4</v>
      </c>
      <c r="F52" s="416">
        <v>2800</v>
      </c>
      <c r="G52" s="531">
        <v>700</v>
      </c>
      <c r="H52" s="611"/>
      <c r="I52" s="531">
        <f t="shared" si="18"/>
        <v>4</v>
      </c>
      <c r="J52" s="531">
        <f t="shared" si="18"/>
        <v>2776.8139502262397</v>
      </c>
      <c r="K52" s="363">
        <f t="shared" si="18"/>
        <v>694.20348755655994</v>
      </c>
      <c r="L52" s="615"/>
      <c r="M52" s="531">
        <f>RANK(K52, K$42:$K$71)</f>
        <v>20</v>
      </c>
      <c r="N52" s="640"/>
      <c r="O52" s="640"/>
      <c r="P52" s="529">
        <v>4</v>
      </c>
      <c r="Q52" s="538">
        <v>2790.9090909090937</v>
      </c>
      <c r="R52" s="538">
        <v>697.72727272727343</v>
      </c>
      <c r="S52" s="529">
        <f t="shared" si="2"/>
        <v>18</v>
      </c>
      <c r="T52" s="611"/>
      <c r="U52" s="529">
        <v>4</v>
      </c>
      <c r="V52" s="538">
        <v>2760.8955223880594</v>
      </c>
      <c r="W52" s="538">
        <v>690.22388059701484</v>
      </c>
      <c r="X52" s="529">
        <f t="shared" si="4"/>
        <v>19</v>
      </c>
      <c r="Y52" s="611"/>
      <c r="Z52" s="529">
        <v>4</v>
      </c>
      <c r="AA52" s="538">
        <v>2767.6190476190473</v>
      </c>
      <c r="AB52" s="538">
        <v>691.90476190476181</v>
      </c>
      <c r="AC52" s="529">
        <f t="shared" si="6"/>
        <v>19</v>
      </c>
      <c r="AD52" s="611"/>
      <c r="AE52" s="529">
        <v>4</v>
      </c>
      <c r="AF52" s="538">
        <v>2793.3333333333308</v>
      </c>
      <c r="AG52" s="538">
        <v>698.33333333333269</v>
      </c>
      <c r="AH52" s="529">
        <f t="shared" si="8"/>
        <v>19</v>
      </c>
      <c r="AI52" s="611"/>
      <c r="AJ52" s="529">
        <v>4</v>
      </c>
      <c r="AK52" s="538">
        <v>2767.9245283018845</v>
      </c>
      <c r="AL52" s="538">
        <v>691.98113207547112</v>
      </c>
      <c r="AM52" s="529">
        <f t="shared" si="10"/>
        <v>19</v>
      </c>
      <c r="AN52" s="611"/>
      <c r="AO52" s="529">
        <v>4</v>
      </c>
      <c r="AP52" s="538">
        <v>2782.5000000000032</v>
      </c>
      <c r="AQ52" s="538">
        <v>695.6250000000008</v>
      </c>
      <c r="AR52" s="529">
        <f t="shared" si="12"/>
        <v>20</v>
      </c>
      <c r="AS52" s="611"/>
      <c r="AT52" s="529">
        <v>4</v>
      </c>
      <c r="AU52" s="538">
        <v>2774.5161290322608</v>
      </c>
      <c r="AV52" s="538">
        <v>693.62903225806519</v>
      </c>
      <c r="AW52" s="529">
        <f t="shared" si="14"/>
        <v>21</v>
      </c>
      <c r="AX52" s="611"/>
      <c r="AZ52" s="377" t="e">
        <f t="shared" si="16"/>
        <v>#N/A</v>
      </c>
      <c r="BA52" s="611"/>
    </row>
    <row r="53" spans="2:53">
      <c r="B53" s="655"/>
      <c r="C53" s="529">
        <v>12</v>
      </c>
      <c r="D53" s="535" t="s">
        <v>462</v>
      </c>
      <c r="E53" s="416">
        <v>3</v>
      </c>
      <c r="F53" s="416">
        <v>2800</v>
      </c>
      <c r="G53" s="531">
        <v>933.33333333333337</v>
      </c>
      <c r="H53" s="611"/>
      <c r="I53" s="531">
        <f t="shared" si="18"/>
        <v>3</v>
      </c>
      <c r="J53" s="531">
        <f t="shared" si="18"/>
        <v>2751.6101809144702</v>
      </c>
      <c r="K53" s="363">
        <f t="shared" si="18"/>
        <v>917.20339363815663</v>
      </c>
      <c r="L53" s="615"/>
      <c r="M53" s="531">
        <f>RANK(K53, K$42:$K$71)</f>
        <v>11</v>
      </c>
      <c r="N53" s="640"/>
      <c r="O53" s="640"/>
      <c r="P53" s="529">
        <v>3</v>
      </c>
      <c r="Q53" s="538">
        <v>2751.6666666666642</v>
      </c>
      <c r="R53" s="538">
        <v>917.22222222222138</v>
      </c>
      <c r="S53" s="529">
        <f t="shared" si="2"/>
        <v>11</v>
      </c>
      <c r="T53" s="611"/>
      <c r="U53" s="529">
        <v>3</v>
      </c>
      <c r="V53" s="538">
        <v>2745.7894736842086</v>
      </c>
      <c r="W53" s="538">
        <v>915.2631578947362</v>
      </c>
      <c r="X53" s="529">
        <f t="shared" si="4"/>
        <v>11</v>
      </c>
      <c r="Y53" s="611"/>
      <c r="Z53" s="529">
        <v>3</v>
      </c>
      <c r="AA53" s="538">
        <v>2771.9999999999973</v>
      </c>
      <c r="AB53" s="538">
        <v>923.99999999999909</v>
      </c>
      <c r="AC53" s="529">
        <f t="shared" si="6"/>
        <v>10</v>
      </c>
      <c r="AD53" s="611"/>
      <c r="AE53" s="529">
        <v>3</v>
      </c>
      <c r="AF53" s="538">
        <v>2734.0000000000027</v>
      </c>
      <c r="AG53" s="538">
        <v>911.33333333333428</v>
      </c>
      <c r="AH53" s="529">
        <f t="shared" si="8"/>
        <v>11</v>
      </c>
      <c r="AI53" s="611"/>
      <c r="AJ53" s="529">
        <v>3</v>
      </c>
      <c r="AK53" s="538">
        <v>2734.2857142857165</v>
      </c>
      <c r="AL53" s="538">
        <v>911.42857142857213</v>
      </c>
      <c r="AM53" s="529">
        <f t="shared" si="10"/>
        <v>11</v>
      </c>
      <c r="AN53" s="611"/>
      <c r="AO53" s="529">
        <v>3</v>
      </c>
      <c r="AP53" s="538">
        <v>2788.2352941176437</v>
      </c>
      <c r="AQ53" s="538">
        <v>929.41176470588118</v>
      </c>
      <c r="AR53" s="529">
        <f t="shared" si="12"/>
        <v>11</v>
      </c>
      <c r="AS53" s="611"/>
      <c r="AT53" s="529">
        <v>3</v>
      </c>
      <c r="AU53" s="538">
        <v>2735.2941176470554</v>
      </c>
      <c r="AV53" s="538">
        <v>911.76470588235179</v>
      </c>
      <c r="AW53" s="529">
        <f t="shared" si="14"/>
        <v>11</v>
      </c>
      <c r="AX53" s="611"/>
      <c r="AZ53" s="377" t="e">
        <f t="shared" si="16"/>
        <v>#N/A</v>
      </c>
      <c r="BA53" s="611"/>
    </row>
    <row r="54" spans="2:53">
      <c r="B54" s="655"/>
      <c r="C54" s="529">
        <v>13</v>
      </c>
      <c r="D54" s="416" t="s">
        <v>558</v>
      </c>
      <c r="E54" s="416">
        <v>4</v>
      </c>
      <c r="F54" s="416">
        <v>2800</v>
      </c>
      <c r="G54" s="531">
        <v>700</v>
      </c>
      <c r="H54" s="611"/>
      <c r="I54" s="531">
        <f t="shared" si="18"/>
        <v>4</v>
      </c>
      <c r="J54" s="531">
        <f t="shared" si="18"/>
        <v>2714.4162559760807</v>
      </c>
      <c r="K54" s="363">
        <f t="shared" si="18"/>
        <v>678.60406399402018</v>
      </c>
      <c r="L54" s="615"/>
      <c r="M54" s="531">
        <f>RANK(K54, K$42:$K$71)</f>
        <v>21</v>
      </c>
      <c r="N54" s="640"/>
      <c r="O54" s="640"/>
      <c r="P54" s="529">
        <v>4</v>
      </c>
      <c r="Q54" s="538">
        <v>2741.0526315789452</v>
      </c>
      <c r="R54" s="538">
        <v>685.26315789473631</v>
      </c>
      <c r="S54" s="529">
        <f t="shared" si="2"/>
        <v>21</v>
      </c>
      <c r="T54" s="611"/>
      <c r="U54" s="529">
        <v>4</v>
      </c>
      <c r="V54" s="538">
        <v>2671.578947368419</v>
      </c>
      <c r="W54" s="538">
        <v>667.89473684210475</v>
      </c>
      <c r="X54" s="529">
        <f t="shared" si="4"/>
        <v>21</v>
      </c>
      <c r="Y54" s="611"/>
      <c r="Z54" s="529">
        <v>4</v>
      </c>
      <c r="AA54" s="538">
        <v>2756.6666666666765</v>
      </c>
      <c r="AB54" s="538">
        <v>689.16666666666913</v>
      </c>
      <c r="AC54" s="529">
        <f t="shared" si="6"/>
        <v>20</v>
      </c>
      <c r="AD54" s="611"/>
      <c r="AE54" s="529">
        <v>4</v>
      </c>
      <c r="AF54" s="538">
        <v>2624.0000000000095</v>
      </c>
      <c r="AG54" s="538">
        <v>656.00000000000239</v>
      </c>
      <c r="AH54" s="529">
        <f t="shared" si="8"/>
        <v>21</v>
      </c>
      <c r="AI54" s="611"/>
      <c r="AJ54" s="529">
        <v>4</v>
      </c>
      <c r="AK54" s="538">
        <v>2618.5714285714375</v>
      </c>
      <c r="AL54" s="538">
        <v>654.64285714285938</v>
      </c>
      <c r="AM54" s="529">
        <f t="shared" si="10"/>
        <v>21</v>
      </c>
      <c r="AN54" s="611"/>
      <c r="AO54" s="529">
        <v>4</v>
      </c>
      <c r="AP54" s="538">
        <v>2795.294117647069</v>
      </c>
      <c r="AQ54" s="538">
        <v>698.82352941176725</v>
      </c>
      <c r="AR54" s="529">
        <f t="shared" si="12"/>
        <v>19</v>
      </c>
      <c r="AS54" s="611"/>
      <c r="AT54" s="529">
        <v>4</v>
      </c>
      <c r="AU54" s="538">
        <v>2793.75000000001</v>
      </c>
      <c r="AV54" s="538">
        <v>698.4375000000025</v>
      </c>
      <c r="AW54" s="529">
        <f t="shared" si="14"/>
        <v>20</v>
      </c>
      <c r="AX54" s="611"/>
      <c r="AZ54" s="377" t="e">
        <f t="shared" si="16"/>
        <v>#N/A</v>
      </c>
      <c r="BA54" s="611"/>
    </row>
    <row r="55" spans="2:53">
      <c r="B55" s="655"/>
      <c r="C55" s="529">
        <v>14</v>
      </c>
      <c r="D55" s="416" t="s">
        <v>601</v>
      </c>
      <c r="E55" s="416">
        <v>4</v>
      </c>
      <c r="F55" s="416">
        <v>3200</v>
      </c>
      <c r="G55" s="531">
        <v>800</v>
      </c>
      <c r="H55" s="611"/>
      <c r="I55" s="531">
        <f t="shared" si="18"/>
        <v>4</v>
      </c>
      <c r="J55" s="531">
        <f t="shared" si="18"/>
        <v>2861.1842918985753</v>
      </c>
      <c r="K55" s="363">
        <f t="shared" si="18"/>
        <v>715.29607297464383</v>
      </c>
      <c r="L55" s="615"/>
      <c r="M55" s="531">
        <f>RANK(K55, K$42:$K$71)</f>
        <v>18</v>
      </c>
      <c r="N55" s="640"/>
      <c r="O55" s="640"/>
      <c r="P55" s="529">
        <v>4</v>
      </c>
      <c r="Q55" s="538">
        <v>2774.9999999999914</v>
      </c>
      <c r="R55" s="538">
        <v>693.74999999999784</v>
      </c>
      <c r="S55" s="529">
        <f t="shared" si="2"/>
        <v>19</v>
      </c>
      <c r="T55" s="611"/>
      <c r="U55" s="529">
        <v>4</v>
      </c>
      <c r="V55" s="538">
        <v>2956.3636363636251</v>
      </c>
      <c r="W55" s="538">
        <v>739.09090909090628</v>
      </c>
      <c r="X55" s="529">
        <f t="shared" si="4"/>
        <v>17</v>
      </c>
      <c r="Y55" s="611"/>
      <c r="Z55" s="529">
        <v>4</v>
      </c>
      <c r="AA55" s="538">
        <v>2814.545454545444</v>
      </c>
      <c r="AB55" s="538">
        <v>703.63636363636101</v>
      </c>
      <c r="AC55" s="529">
        <f t="shared" si="6"/>
        <v>18</v>
      </c>
      <c r="AD55" s="611"/>
      <c r="AE55" s="529">
        <v>4</v>
      </c>
      <c r="AF55" s="538">
        <v>2849.9999999999532</v>
      </c>
      <c r="AG55" s="538">
        <v>712.49999999998829</v>
      </c>
      <c r="AH55" s="529">
        <f t="shared" si="8"/>
        <v>18</v>
      </c>
      <c r="AI55" s="611"/>
      <c r="AJ55" s="529">
        <v>4</v>
      </c>
      <c r="AK55" s="538">
        <v>2665.7142857143253</v>
      </c>
      <c r="AL55" s="538">
        <v>666.42857142858134</v>
      </c>
      <c r="AM55" s="529">
        <f t="shared" si="10"/>
        <v>20</v>
      </c>
      <c r="AN55" s="611"/>
      <c r="AO55" s="529">
        <v>4</v>
      </c>
      <c r="AP55" s="538">
        <v>2993.3333333333176</v>
      </c>
      <c r="AQ55" s="538">
        <v>748.33333333332939</v>
      </c>
      <c r="AR55" s="529">
        <f t="shared" si="12"/>
        <v>18</v>
      </c>
      <c r="AS55" s="611"/>
      <c r="AT55" s="529">
        <v>4</v>
      </c>
      <c r="AU55" s="538">
        <v>2973.3333333333703</v>
      </c>
      <c r="AV55" s="538">
        <v>743.33333333334258</v>
      </c>
      <c r="AW55" s="529">
        <f t="shared" si="14"/>
        <v>18</v>
      </c>
      <c r="AX55" s="611"/>
      <c r="AZ55" s="377" t="e">
        <f t="shared" si="16"/>
        <v>#N/A</v>
      </c>
      <c r="BA55" s="611"/>
    </row>
    <row r="56" spans="2:53">
      <c r="B56" s="655"/>
      <c r="C56" s="529">
        <v>15</v>
      </c>
      <c r="D56" s="535" t="s">
        <v>602</v>
      </c>
      <c r="E56" s="416">
        <v>3</v>
      </c>
      <c r="F56" s="416">
        <v>3200</v>
      </c>
      <c r="G56" s="531">
        <v>1066.6666666666667</v>
      </c>
      <c r="H56" s="611"/>
      <c r="I56" s="531">
        <f t="shared" si="18"/>
        <v>3</v>
      </c>
      <c r="J56" s="531">
        <f t="shared" si="18"/>
        <v>3054.227272727273</v>
      </c>
      <c r="K56" s="363">
        <f t="shared" si="18"/>
        <v>1018.0757575757577</v>
      </c>
      <c r="L56" s="615"/>
      <c r="M56" s="531">
        <f>RANK(K56, K$42:$K$71)</f>
        <v>8</v>
      </c>
      <c r="N56" s="640"/>
      <c r="O56" s="640"/>
      <c r="P56" s="529">
        <v>3</v>
      </c>
      <c r="Q56" s="538">
        <v>2954.9999999999905</v>
      </c>
      <c r="R56" s="538">
        <v>984.99999999999682</v>
      </c>
      <c r="S56" s="529">
        <f t="shared" si="2"/>
        <v>10</v>
      </c>
      <c r="T56" s="611"/>
      <c r="U56" s="529">
        <v>3</v>
      </c>
      <c r="V56" s="538">
        <v>3049.0909090909199</v>
      </c>
      <c r="W56" s="538">
        <v>1016.36363636364</v>
      </c>
      <c r="X56" s="529">
        <f t="shared" si="4"/>
        <v>8</v>
      </c>
      <c r="Y56" s="611"/>
      <c r="Z56" s="529">
        <v>3</v>
      </c>
      <c r="AA56" s="538">
        <v>3078.0000000000109</v>
      </c>
      <c r="AB56" s="538">
        <v>1026.0000000000036</v>
      </c>
      <c r="AC56" s="529">
        <f t="shared" si="6"/>
        <v>8</v>
      </c>
      <c r="AD56" s="611"/>
      <c r="AE56" s="529">
        <v>3</v>
      </c>
      <c r="AF56" s="538">
        <v>2977.5000000000105</v>
      </c>
      <c r="AG56" s="538">
        <v>992.50000000000352</v>
      </c>
      <c r="AH56" s="529">
        <f t="shared" si="8"/>
        <v>9</v>
      </c>
      <c r="AI56" s="611"/>
      <c r="AJ56" s="529">
        <v>3</v>
      </c>
      <c r="AK56" s="538">
        <v>3120.0000000000109</v>
      </c>
      <c r="AL56" s="538">
        <v>1040.0000000000036</v>
      </c>
      <c r="AM56" s="529">
        <f t="shared" si="10"/>
        <v>8</v>
      </c>
      <c r="AN56" s="611"/>
      <c r="AO56" s="529">
        <v>3</v>
      </c>
      <c r="AP56" s="538">
        <v>3179.9999999999827</v>
      </c>
      <c r="AQ56" s="538">
        <v>1059.9999999999943</v>
      </c>
      <c r="AR56" s="529">
        <f t="shared" si="12"/>
        <v>2</v>
      </c>
      <c r="AS56" s="611"/>
      <c r="AT56" s="529">
        <v>3</v>
      </c>
      <c r="AU56" s="538">
        <v>3019.9999999999841</v>
      </c>
      <c r="AV56" s="538">
        <v>1006.6666666666614</v>
      </c>
      <c r="AW56" s="529">
        <f t="shared" si="14"/>
        <v>8</v>
      </c>
      <c r="AX56" s="611"/>
      <c r="AZ56" s="377" t="e">
        <f t="shared" si="16"/>
        <v>#N/A</v>
      </c>
      <c r="BA56" s="611"/>
    </row>
    <row r="57" spans="2:53">
      <c r="B57" s="655"/>
      <c r="C57" s="529">
        <v>16</v>
      </c>
      <c r="D57" s="416" t="s">
        <v>684</v>
      </c>
      <c r="E57" s="416">
        <v>3</v>
      </c>
      <c r="F57" s="416">
        <v>3200</v>
      </c>
      <c r="G57" s="531">
        <v>1066.6666666666667</v>
      </c>
      <c r="H57" s="611"/>
      <c r="I57" s="531">
        <f t="shared" si="18"/>
        <v>3</v>
      </c>
      <c r="J57" s="531">
        <f t="shared" si="18"/>
        <v>3135.6515437059174</v>
      </c>
      <c r="K57" s="363">
        <f t="shared" si="18"/>
        <v>1045.2171812353058</v>
      </c>
      <c r="L57" s="615"/>
      <c r="M57" s="531">
        <f>RANK(K57, K$42:$K$71)</f>
        <v>4</v>
      </c>
      <c r="N57" s="640"/>
      <c r="O57" s="640"/>
      <c r="P57" s="529">
        <v>3</v>
      </c>
      <c r="Q57" s="538">
        <v>3111.1764705882315</v>
      </c>
      <c r="R57" s="538">
        <v>1037.0588235294106</v>
      </c>
      <c r="S57" s="529">
        <f t="shared" si="2"/>
        <v>6</v>
      </c>
      <c r="T57" s="611"/>
      <c r="U57" s="529">
        <v>3</v>
      </c>
      <c r="V57" s="538">
        <v>3134.5454545454509</v>
      </c>
      <c r="W57" s="538">
        <v>1044.8484848484836</v>
      </c>
      <c r="X57" s="529">
        <f t="shared" si="4"/>
        <v>4</v>
      </c>
      <c r="Y57" s="611"/>
      <c r="Z57" s="529">
        <v>3</v>
      </c>
      <c r="AA57" s="538">
        <v>3174.1935483870921</v>
      </c>
      <c r="AB57" s="538">
        <v>1058.0645161290306</v>
      </c>
      <c r="AC57" s="529">
        <f t="shared" si="6"/>
        <v>2</v>
      </c>
      <c r="AD57" s="611"/>
      <c r="AE57" s="529">
        <v>3</v>
      </c>
      <c r="AF57" s="538">
        <v>3113.0769230769151</v>
      </c>
      <c r="AG57" s="538">
        <v>1037.6923076923051</v>
      </c>
      <c r="AH57" s="529">
        <f t="shared" si="8"/>
        <v>7</v>
      </c>
      <c r="AI57" s="611"/>
      <c r="AJ57" s="529">
        <v>3</v>
      </c>
      <c r="AK57" s="538">
        <v>3145.0000000000114</v>
      </c>
      <c r="AL57" s="538">
        <v>1048.3333333333371</v>
      </c>
      <c r="AM57" s="529">
        <f t="shared" si="10"/>
        <v>3</v>
      </c>
      <c r="AN57" s="611"/>
      <c r="AO57" s="529">
        <v>3</v>
      </c>
      <c r="AP57" s="538">
        <v>3112.2580645161243</v>
      </c>
      <c r="AQ57" s="538">
        <v>1037.4193548387082</v>
      </c>
      <c r="AR57" s="529">
        <f t="shared" si="12"/>
        <v>8</v>
      </c>
      <c r="AS57" s="611"/>
      <c r="AT57" s="529">
        <v>3</v>
      </c>
      <c r="AU57" s="538">
        <v>3159.3103448275974</v>
      </c>
      <c r="AV57" s="538">
        <v>1053.1034482758657</v>
      </c>
      <c r="AW57" s="529">
        <f t="shared" si="14"/>
        <v>5</v>
      </c>
      <c r="AX57" s="611"/>
      <c r="AZ57" s="377" t="e">
        <f t="shared" si="16"/>
        <v>#N/A</v>
      </c>
      <c r="BA57" s="611"/>
    </row>
    <row r="58" spans="2:53">
      <c r="B58" s="655"/>
      <c r="C58" s="529">
        <v>17</v>
      </c>
      <c r="D58" s="416" t="s">
        <v>692</v>
      </c>
      <c r="E58" s="416">
        <v>3</v>
      </c>
      <c r="F58" s="416">
        <v>3200</v>
      </c>
      <c r="G58" s="531">
        <v>1066.6666666666667</v>
      </c>
      <c r="H58" s="611"/>
      <c r="I58" s="531">
        <f t="shared" si="18"/>
        <v>3</v>
      </c>
      <c r="J58" s="531">
        <f t="shared" si="18"/>
        <v>3132.9784718205801</v>
      </c>
      <c r="K58" s="363">
        <f t="shared" si="18"/>
        <v>1044.3261572735266</v>
      </c>
      <c r="L58" s="615"/>
      <c r="M58" s="531">
        <f>RANK(K58, K$42:$K$71)</f>
        <v>6</v>
      </c>
      <c r="N58" s="640"/>
      <c r="O58" s="640"/>
      <c r="P58" s="529">
        <v>3</v>
      </c>
      <c r="Q58" s="538">
        <v>3144.4444444444371</v>
      </c>
      <c r="R58" s="538">
        <v>1048.1481481481458</v>
      </c>
      <c r="S58" s="529">
        <f t="shared" si="2"/>
        <v>4</v>
      </c>
      <c r="T58" s="611"/>
      <c r="U58" s="529">
        <v>3</v>
      </c>
      <c r="V58" s="538">
        <v>3175.3846153846175</v>
      </c>
      <c r="W58" s="538">
        <v>1058.4615384615392</v>
      </c>
      <c r="X58" s="529">
        <f t="shared" si="4"/>
        <v>2</v>
      </c>
      <c r="Y58" s="611"/>
      <c r="Z58" s="529">
        <v>3</v>
      </c>
      <c r="AA58" s="538">
        <v>3099.2307692307613</v>
      </c>
      <c r="AB58" s="538">
        <v>1033.0769230769204</v>
      </c>
      <c r="AC58" s="529">
        <f t="shared" si="6"/>
        <v>7</v>
      </c>
      <c r="AD58" s="611"/>
      <c r="AE58" s="529">
        <v>3</v>
      </c>
      <c r="AF58" s="538">
        <v>3201.0000000000114</v>
      </c>
      <c r="AG58" s="538">
        <v>1067.0000000000039</v>
      </c>
      <c r="AH58" s="529">
        <f t="shared" si="8"/>
        <v>1</v>
      </c>
      <c r="AI58" s="611"/>
      <c r="AJ58" s="529">
        <v>3</v>
      </c>
      <c r="AK58" s="538">
        <v>3075.7894736842218</v>
      </c>
      <c r="AL58" s="538">
        <v>1025.2631578947405</v>
      </c>
      <c r="AM58" s="529">
        <f t="shared" si="10"/>
        <v>9</v>
      </c>
      <c r="AN58" s="611"/>
      <c r="AO58" s="529">
        <v>3</v>
      </c>
      <c r="AP58" s="538">
        <v>3145.0000000000114</v>
      </c>
      <c r="AQ58" s="538">
        <v>1048.3333333333371</v>
      </c>
      <c r="AR58" s="529">
        <f t="shared" si="12"/>
        <v>6</v>
      </c>
      <c r="AS58" s="611"/>
      <c r="AT58" s="529">
        <v>3</v>
      </c>
      <c r="AU58" s="538">
        <v>3090.0000000000009</v>
      </c>
      <c r="AV58" s="538">
        <v>1030.0000000000002</v>
      </c>
      <c r="AW58" s="529">
        <f t="shared" si="14"/>
        <v>7</v>
      </c>
      <c r="AX58" s="611"/>
      <c r="AZ58" s="377" t="e">
        <f t="shared" si="16"/>
        <v>#N/A</v>
      </c>
      <c r="BA58" s="611"/>
    </row>
    <row r="59" spans="2:53">
      <c r="B59" s="655"/>
      <c r="C59" s="529">
        <v>18</v>
      </c>
      <c r="D59" s="535" t="s">
        <v>725</v>
      </c>
      <c r="E59" s="416">
        <v>3</v>
      </c>
      <c r="F59" s="416">
        <v>3200</v>
      </c>
      <c r="G59" s="531">
        <v>1066.6666666666667</v>
      </c>
      <c r="H59" s="611"/>
      <c r="I59" s="531">
        <f t="shared" si="18"/>
        <v>3</v>
      </c>
      <c r="J59" s="531">
        <f t="shared" si="18"/>
        <v>2958.5798659106899</v>
      </c>
      <c r="K59" s="363">
        <f t="shared" si="18"/>
        <v>986.19328863689668</v>
      </c>
      <c r="L59" s="615"/>
      <c r="M59" s="531">
        <f>RANK(K59, K$42:$K$71)</f>
        <v>10</v>
      </c>
      <c r="N59" s="640"/>
      <c r="O59" s="640"/>
      <c r="P59" s="529">
        <v>3</v>
      </c>
      <c r="Q59" s="538">
        <v>2964.6153846153829</v>
      </c>
      <c r="R59" s="538">
        <v>988.20512820512761</v>
      </c>
      <c r="S59" s="529">
        <f t="shared" si="2"/>
        <v>9</v>
      </c>
      <c r="T59" s="611"/>
      <c r="U59" s="529">
        <v>3</v>
      </c>
      <c r="V59" s="538">
        <v>2952.6315789473601</v>
      </c>
      <c r="W59" s="538">
        <v>984.21052631578675</v>
      </c>
      <c r="X59" s="529">
        <f t="shared" si="4"/>
        <v>10</v>
      </c>
      <c r="Y59" s="611"/>
      <c r="Z59" s="529">
        <v>3</v>
      </c>
      <c r="AA59" s="538">
        <v>2941.6216216216194</v>
      </c>
      <c r="AB59" s="538">
        <v>980.54054054053984</v>
      </c>
      <c r="AC59" s="529">
        <f t="shared" si="6"/>
        <v>9</v>
      </c>
      <c r="AD59" s="611"/>
      <c r="AE59" s="529">
        <v>3</v>
      </c>
      <c r="AF59" s="538">
        <v>2937.9999999999945</v>
      </c>
      <c r="AG59" s="538">
        <v>979.33333333333155</v>
      </c>
      <c r="AH59" s="529">
        <f t="shared" si="8"/>
        <v>10</v>
      </c>
      <c r="AI59" s="611"/>
      <c r="AJ59" s="529">
        <v>3</v>
      </c>
      <c r="AK59" s="538">
        <v>2989.2857142857079</v>
      </c>
      <c r="AL59" s="538">
        <v>996.42857142856928</v>
      </c>
      <c r="AM59" s="529">
        <f t="shared" si="10"/>
        <v>10</v>
      </c>
      <c r="AN59" s="611"/>
      <c r="AO59" s="529">
        <v>3</v>
      </c>
      <c r="AP59" s="538">
        <v>2963.3333333333376</v>
      </c>
      <c r="AQ59" s="538">
        <v>987.77777777777919</v>
      </c>
      <c r="AR59" s="529">
        <f t="shared" si="12"/>
        <v>9</v>
      </c>
      <c r="AS59" s="611"/>
      <c r="AT59" s="529">
        <v>3</v>
      </c>
      <c r="AU59" s="538">
        <v>2960.5714285714257</v>
      </c>
      <c r="AV59" s="538">
        <v>986.85714285714187</v>
      </c>
      <c r="AW59" s="529">
        <f t="shared" si="14"/>
        <v>9</v>
      </c>
      <c r="AX59" s="611"/>
      <c r="AZ59" s="377" t="e">
        <f t="shared" si="16"/>
        <v>#N/A</v>
      </c>
      <c r="BA59" s="611"/>
    </row>
    <row r="60" spans="2:53">
      <c r="B60" s="655"/>
      <c r="C60" s="529">
        <v>19</v>
      </c>
      <c r="D60" s="535" t="s">
        <v>333</v>
      </c>
      <c r="E60" s="416">
        <v>4</v>
      </c>
      <c r="F60" s="416">
        <v>2800</v>
      </c>
      <c r="G60" s="531">
        <v>700</v>
      </c>
      <c r="H60" s="611"/>
      <c r="I60" s="531">
        <f t="shared" si="18"/>
        <v>4</v>
      </c>
      <c r="J60" s="531">
        <f t="shared" si="18"/>
        <v>2807.3142857142821</v>
      </c>
      <c r="K60" s="363">
        <f t="shared" si="18"/>
        <v>701.82857142857051</v>
      </c>
      <c r="L60" s="615"/>
      <c r="M60" s="531">
        <f>RANK(K60, K$42:$K$71)</f>
        <v>19</v>
      </c>
      <c r="N60" s="640"/>
      <c r="O60" s="640"/>
      <c r="P60" s="529">
        <v>4</v>
      </c>
      <c r="Q60" s="538">
        <v>2762.3999999999924</v>
      </c>
      <c r="R60" s="538">
        <v>690.59999999999809</v>
      </c>
      <c r="S60" s="529">
        <f t="shared" si="2"/>
        <v>20</v>
      </c>
      <c r="T60" s="611"/>
      <c r="U60" s="529">
        <v>4</v>
      </c>
      <c r="V60" s="538">
        <v>2726.3999999999924</v>
      </c>
      <c r="W60" s="538">
        <v>681.59999999999809</v>
      </c>
      <c r="X60" s="529">
        <f t="shared" si="4"/>
        <v>20</v>
      </c>
      <c r="Y60" s="611"/>
      <c r="Z60" s="529">
        <v>4</v>
      </c>
      <c r="AA60" s="538">
        <v>2599.1999999999925</v>
      </c>
      <c r="AB60" s="538">
        <v>649.79999999999814</v>
      </c>
      <c r="AC60" s="529">
        <f t="shared" si="6"/>
        <v>21</v>
      </c>
      <c r="AD60" s="611"/>
      <c r="AE60" s="529">
        <v>4</v>
      </c>
      <c r="AF60" s="538">
        <v>2733.0000000000095</v>
      </c>
      <c r="AG60" s="538">
        <v>683.25000000000239</v>
      </c>
      <c r="AH60" s="529">
        <f t="shared" si="8"/>
        <v>20</v>
      </c>
      <c r="AI60" s="611"/>
      <c r="AJ60" s="529">
        <v>4</v>
      </c>
      <c r="AK60" s="538">
        <v>2961.0000000000105</v>
      </c>
      <c r="AL60" s="538">
        <v>740.25000000000261</v>
      </c>
      <c r="AM60" s="529">
        <f t="shared" si="10"/>
        <v>17</v>
      </c>
      <c r="AN60" s="611"/>
      <c r="AO60" s="529">
        <v>4</v>
      </c>
      <c r="AP60" s="538">
        <v>2647.1999999999925</v>
      </c>
      <c r="AQ60" s="538">
        <v>661.79999999999814</v>
      </c>
      <c r="AR60" s="529">
        <f t="shared" si="12"/>
        <v>21</v>
      </c>
      <c r="AS60" s="611"/>
      <c r="AT60" s="529">
        <v>4</v>
      </c>
      <c r="AU60" s="538">
        <v>3221.9999999999854</v>
      </c>
      <c r="AV60" s="538">
        <v>805.49999999999636</v>
      </c>
      <c r="AW60" s="529">
        <f t="shared" si="14"/>
        <v>12</v>
      </c>
      <c r="AX60" s="611"/>
      <c r="AZ60" s="377" t="e">
        <f t="shared" si="16"/>
        <v>#N/A</v>
      </c>
      <c r="BA60" s="611"/>
    </row>
    <row r="61" spans="2:53">
      <c r="B61" s="655"/>
      <c r="C61" s="529">
        <v>20</v>
      </c>
      <c r="D61" s="535" t="s">
        <v>425</v>
      </c>
      <c r="E61" s="416">
        <v>3</v>
      </c>
      <c r="F61" s="416">
        <v>2800</v>
      </c>
      <c r="G61" s="531">
        <v>933.33333333333337</v>
      </c>
      <c r="H61" s="611"/>
      <c r="I61" s="531">
        <f t="shared" si="18"/>
        <v>3</v>
      </c>
      <c r="J61" s="531">
        <f t="shared" si="18"/>
        <v>2993.914285714276</v>
      </c>
      <c r="K61" s="363">
        <f t="shared" si="18"/>
        <v>997.97142857142524</v>
      </c>
      <c r="L61" s="615"/>
      <c r="M61" s="531">
        <f>RANK(K61, K$42:$K$71)</f>
        <v>9</v>
      </c>
      <c r="N61" s="640"/>
      <c r="O61" s="640"/>
      <c r="P61" s="529">
        <v>3</v>
      </c>
      <c r="Q61" s="538">
        <v>3014.3999999999915</v>
      </c>
      <c r="R61" s="538">
        <v>1004.7999999999971</v>
      </c>
      <c r="S61" s="529">
        <f t="shared" si="2"/>
        <v>8</v>
      </c>
      <c r="T61" s="611"/>
      <c r="U61" s="529">
        <v>3</v>
      </c>
      <c r="V61" s="538">
        <v>3011.9999999999918</v>
      </c>
      <c r="W61" s="538">
        <v>1003.9999999999973</v>
      </c>
      <c r="X61" s="529">
        <f t="shared" si="4"/>
        <v>9</v>
      </c>
      <c r="Y61" s="611"/>
      <c r="Z61" s="529">
        <v>3</v>
      </c>
      <c r="AA61" s="538">
        <v>2764.799999999992</v>
      </c>
      <c r="AB61" s="538">
        <v>921.59999999999729</v>
      </c>
      <c r="AC61" s="529">
        <f t="shared" si="6"/>
        <v>11</v>
      </c>
      <c r="AD61" s="611"/>
      <c r="AE61" s="529">
        <v>3</v>
      </c>
      <c r="AF61" s="538">
        <v>3185.9999999999859</v>
      </c>
      <c r="AG61" s="538">
        <v>1061.9999999999952</v>
      </c>
      <c r="AH61" s="529">
        <f t="shared" si="8"/>
        <v>4</v>
      </c>
      <c r="AI61" s="611"/>
      <c r="AJ61" s="529">
        <v>3</v>
      </c>
      <c r="AK61" s="538">
        <v>3272.9999999999854</v>
      </c>
      <c r="AL61" s="538">
        <v>1090.9999999999952</v>
      </c>
      <c r="AM61" s="529">
        <f t="shared" si="10"/>
        <v>1</v>
      </c>
      <c r="AN61" s="611"/>
      <c r="AO61" s="529">
        <v>3</v>
      </c>
      <c r="AP61" s="538">
        <v>2899.1999999999921</v>
      </c>
      <c r="AQ61" s="538">
        <v>966.39999999999736</v>
      </c>
      <c r="AR61" s="529">
        <f t="shared" si="12"/>
        <v>10</v>
      </c>
      <c r="AS61" s="611"/>
      <c r="AT61" s="529">
        <v>3</v>
      </c>
      <c r="AU61" s="538">
        <v>2807.9999999999923</v>
      </c>
      <c r="AV61" s="538">
        <v>935.99999999999739</v>
      </c>
      <c r="AW61" s="529">
        <f t="shared" si="14"/>
        <v>10</v>
      </c>
      <c r="AX61" s="611"/>
      <c r="AZ61" s="377" t="e">
        <f t="shared" si="16"/>
        <v>#N/A</v>
      </c>
      <c r="BA61" s="611"/>
    </row>
    <row r="62" spans="2:53">
      <c r="B62" s="655"/>
      <c r="C62" s="529">
        <v>21</v>
      </c>
      <c r="D62" s="535" t="s">
        <v>436</v>
      </c>
      <c r="E62" s="416">
        <v>4</v>
      </c>
      <c r="F62" s="416">
        <v>2200</v>
      </c>
      <c r="G62" s="531">
        <v>550</v>
      </c>
      <c r="H62" s="611"/>
      <c r="I62" s="531">
        <f t="shared" si="18"/>
        <v>3</v>
      </c>
      <c r="J62" s="531">
        <f t="shared" si="18"/>
        <v>2234.7244897959181</v>
      </c>
      <c r="K62" s="363">
        <f t="shared" si="18"/>
        <v>744.90816326530592</v>
      </c>
      <c r="L62" s="615"/>
      <c r="M62" s="531">
        <f>RANK(K62, K$42:$K$71)</f>
        <v>17</v>
      </c>
      <c r="N62" s="640"/>
      <c r="O62" s="640"/>
      <c r="P62" s="529">
        <v>3</v>
      </c>
      <c r="Q62" s="538">
        <v>2165.9999999999991</v>
      </c>
      <c r="R62" s="538">
        <v>721.99999999999966</v>
      </c>
      <c r="S62" s="529">
        <f t="shared" si="2"/>
        <v>17</v>
      </c>
      <c r="T62" s="611"/>
      <c r="U62" s="529">
        <v>3</v>
      </c>
      <c r="V62" s="538">
        <v>2104.4999999999991</v>
      </c>
      <c r="W62" s="538">
        <v>701.49999999999966</v>
      </c>
      <c r="X62" s="529">
        <f t="shared" si="4"/>
        <v>18</v>
      </c>
      <c r="Y62" s="611"/>
      <c r="Z62" s="529">
        <v>3</v>
      </c>
      <c r="AA62" s="538">
        <v>2279.9999999999977</v>
      </c>
      <c r="AB62" s="538">
        <v>759.9999999999992</v>
      </c>
      <c r="AC62" s="529">
        <f t="shared" si="6"/>
        <v>14</v>
      </c>
      <c r="AD62" s="611"/>
      <c r="AE62" s="529">
        <v>3</v>
      </c>
      <c r="AF62" s="538">
        <v>2292.0000000000082</v>
      </c>
      <c r="AG62" s="538">
        <v>764.00000000000273</v>
      </c>
      <c r="AH62" s="529">
        <f t="shared" si="8"/>
        <v>16</v>
      </c>
      <c r="AI62" s="611"/>
      <c r="AJ62" s="529">
        <v>3</v>
      </c>
      <c r="AK62" s="538">
        <v>2159.9999999999977</v>
      </c>
      <c r="AL62" s="538">
        <v>719.9999999999992</v>
      </c>
      <c r="AM62" s="529">
        <f t="shared" si="10"/>
        <v>18</v>
      </c>
      <c r="AN62" s="611"/>
      <c r="AO62" s="529">
        <v>3</v>
      </c>
      <c r="AP62" s="538">
        <v>2324.5714285714262</v>
      </c>
      <c r="AQ62" s="538">
        <v>774.85714285714209</v>
      </c>
      <c r="AR62" s="529">
        <f t="shared" si="12"/>
        <v>15</v>
      </c>
      <c r="AS62" s="611"/>
      <c r="AT62" s="529">
        <v>3</v>
      </c>
      <c r="AU62" s="538">
        <v>2315.9999999999977</v>
      </c>
      <c r="AV62" s="538">
        <v>771.9999999999992</v>
      </c>
      <c r="AW62" s="529">
        <f t="shared" si="14"/>
        <v>16</v>
      </c>
      <c r="AX62" s="611"/>
      <c r="AZ62" s="377" t="e">
        <f t="shared" si="16"/>
        <v>#N/A</v>
      </c>
      <c r="BA62" s="611"/>
    </row>
    <row r="63" spans="2:53">
      <c r="B63" s="655"/>
      <c r="C63" s="529">
        <v>22</v>
      </c>
      <c r="D63" s="535" t="s">
        <v>770</v>
      </c>
      <c r="E63" s="416">
        <v>4</v>
      </c>
      <c r="F63" s="416">
        <v>2200</v>
      </c>
      <c r="G63" s="531">
        <v>550</v>
      </c>
      <c r="H63" s="611"/>
      <c r="I63" s="531">
        <f t="shared" si="18"/>
        <v>4</v>
      </c>
      <c r="J63" s="531">
        <f t="shared" si="18"/>
        <v>2184.2883116883154</v>
      </c>
      <c r="K63" s="363">
        <f t="shared" si="18"/>
        <v>546.07207792207885</v>
      </c>
      <c r="L63" s="615"/>
      <c r="M63" s="531">
        <f>RANK(K63, K$42:$K$71)</f>
        <v>22</v>
      </c>
      <c r="N63" s="640"/>
      <c r="O63" s="640"/>
      <c r="P63" s="529">
        <v>4</v>
      </c>
      <c r="Q63" s="538">
        <v>2153.9999999999959</v>
      </c>
      <c r="R63" s="538">
        <v>538.49999999999898</v>
      </c>
      <c r="S63" s="529">
        <f t="shared" si="2"/>
        <v>22</v>
      </c>
      <c r="T63" s="611"/>
      <c r="U63" s="529">
        <v>4</v>
      </c>
      <c r="V63" s="538">
        <v>2102.9999999999964</v>
      </c>
      <c r="W63" s="538">
        <v>525.74999999999909</v>
      </c>
      <c r="X63" s="529">
        <f t="shared" si="4"/>
        <v>22</v>
      </c>
      <c r="Y63" s="611"/>
      <c r="Z63" s="529">
        <v>4</v>
      </c>
      <c r="AA63" s="538">
        <v>2343.6000000000081</v>
      </c>
      <c r="AB63" s="538">
        <v>585.90000000000202</v>
      </c>
      <c r="AC63" s="529">
        <f t="shared" si="6"/>
        <v>22</v>
      </c>
      <c r="AD63" s="611"/>
      <c r="AE63" s="529">
        <v>4</v>
      </c>
      <c r="AF63" s="538">
        <v>2091.6000000000004</v>
      </c>
      <c r="AG63" s="538">
        <v>522.90000000000009</v>
      </c>
      <c r="AH63" s="529">
        <f t="shared" si="8"/>
        <v>22</v>
      </c>
      <c r="AI63" s="611"/>
      <c r="AJ63" s="529">
        <v>4</v>
      </c>
      <c r="AK63" s="538">
        <v>2167.6363636363717</v>
      </c>
      <c r="AL63" s="538">
        <v>541.90909090909292</v>
      </c>
      <c r="AM63" s="529">
        <f t="shared" si="10"/>
        <v>22</v>
      </c>
      <c r="AN63" s="611"/>
      <c r="AO63" s="529">
        <v>4</v>
      </c>
      <c r="AP63" s="538">
        <v>2234.1818181818262</v>
      </c>
      <c r="AQ63" s="538">
        <v>558.54545454545655</v>
      </c>
      <c r="AR63" s="529">
        <f t="shared" si="12"/>
        <v>22</v>
      </c>
      <c r="AS63" s="611"/>
      <c r="AT63" s="529">
        <v>4</v>
      </c>
      <c r="AU63" s="538">
        <v>2196.0000000000077</v>
      </c>
      <c r="AV63" s="538">
        <v>549.00000000000193</v>
      </c>
      <c r="AW63" s="529">
        <f t="shared" si="14"/>
        <v>22</v>
      </c>
      <c r="AX63" s="611"/>
      <c r="AZ63" s="377" t="e">
        <f t="shared" si="16"/>
        <v>#N/A</v>
      </c>
      <c r="BA63" s="611"/>
    </row>
    <row r="64" spans="2:53">
      <c r="B64" s="655"/>
      <c r="C64" s="529">
        <v>23</v>
      </c>
      <c r="D64" s="416" t="s">
        <v>771</v>
      </c>
      <c r="E64" s="416">
        <v>5</v>
      </c>
      <c r="F64" s="416">
        <v>2200</v>
      </c>
      <c r="G64" s="531">
        <v>333.33333333333331</v>
      </c>
      <c r="H64" s="611"/>
      <c r="I64" s="531">
        <f t="shared" si="18"/>
        <v>5</v>
      </c>
      <c r="J64" s="531">
        <f t="shared" si="18"/>
        <v>1961.6722408261521</v>
      </c>
      <c r="K64" s="363">
        <f t="shared" si="18"/>
        <v>392.33444816523041</v>
      </c>
      <c r="L64" s="615"/>
      <c r="M64" s="531">
        <f>RANK(K64, K$42:$K$71)</f>
        <v>23</v>
      </c>
      <c r="N64" s="640"/>
      <c r="O64" s="640"/>
      <c r="P64" s="529">
        <v>5</v>
      </c>
      <c r="Q64" s="538">
        <v>2038.4210526315776</v>
      </c>
      <c r="R64" s="538">
        <v>407.6842105263155</v>
      </c>
      <c r="S64" s="529">
        <f t="shared" si="2"/>
        <v>23</v>
      </c>
      <c r="T64" s="611"/>
      <c r="U64" s="529">
        <v>5</v>
      </c>
      <c r="V64" s="538">
        <v>1975.2631578947355</v>
      </c>
      <c r="W64" s="538">
        <v>395.05263157894711</v>
      </c>
      <c r="X64" s="529">
        <f t="shared" si="4"/>
        <v>24</v>
      </c>
      <c r="Y64" s="611"/>
      <c r="Z64" s="529">
        <v>5</v>
      </c>
      <c r="AA64" s="538">
        <v>1983.5294117647036</v>
      </c>
      <c r="AB64" s="538">
        <v>396.70588235294071</v>
      </c>
      <c r="AC64" s="529">
        <f t="shared" si="6"/>
        <v>23</v>
      </c>
      <c r="AD64" s="611"/>
      <c r="AE64" s="529">
        <v>5</v>
      </c>
      <c r="AF64" s="538">
        <v>1905.9999999999966</v>
      </c>
      <c r="AG64" s="538">
        <v>381.19999999999931</v>
      </c>
      <c r="AH64" s="529">
        <f t="shared" si="8"/>
        <v>23</v>
      </c>
      <c r="AI64" s="611"/>
      <c r="AJ64" s="529">
        <v>5</v>
      </c>
      <c r="AK64" s="538">
        <v>1948.8888888888841</v>
      </c>
      <c r="AL64" s="538">
        <v>389.77777777777681</v>
      </c>
      <c r="AM64" s="529">
        <f t="shared" si="10"/>
        <v>23</v>
      </c>
      <c r="AN64" s="611"/>
      <c r="AO64" s="529">
        <v>5</v>
      </c>
      <c r="AP64" s="538">
        <v>1948.8888888888841</v>
      </c>
      <c r="AQ64" s="538">
        <v>389.77777777777681</v>
      </c>
      <c r="AR64" s="529">
        <f t="shared" si="12"/>
        <v>23</v>
      </c>
      <c r="AS64" s="611"/>
      <c r="AT64" s="529">
        <v>5</v>
      </c>
      <c r="AU64" s="538">
        <v>1930.7142857142817</v>
      </c>
      <c r="AV64" s="538">
        <v>386.14285714285631</v>
      </c>
      <c r="AW64" s="529">
        <f t="shared" si="14"/>
        <v>24</v>
      </c>
      <c r="AX64" s="611"/>
      <c r="AZ64" s="377" t="e">
        <f t="shared" si="16"/>
        <v>#N/A</v>
      </c>
      <c r="BA64" s="611"/>
    </row>
    <row r="65" spans="2:53">
      <c r="B65" s="655"/>
      <c r="C65" s="529">
        <v>24</v>
      </c>
      <c r="D65" s="535" t="s">
        <v>772</v>
      </c>
      <c r="E65" s="416">
        <v>5</v>
      </c>
      <c r="F65" s="416">
        <v>2200</v>
      </c>
      <c r="G65" s="531">
        <v>333.33333333333331</v>
      </c>
      <c r="H65" s="611"/>
      <c r="I65" s="531">
        <f t="shared" si="18"/>
        <v>5</v>
      </c>
      <c r="J65" s="531">
        <f t="shared" si="18"/>
        <v>1920.8103839236817</v>
      </c>
      <c r="K65" s="363">
        <f t="shared" si="18"/>
        <v>384.16207678473626</v>
      </c>
      <c r="L65" s="615"/>
      <c r="M65" s="531">
        <f>RANK(K65, K$42:$K$71)</f>
        <v>24</v>
      </c>
      <c r="N65" s="640"/>
      <c r="O65" s="640"/>
      <c r="P65" s="529">
        <v>5</v>
      </c>
      <c r="Q65" s="538">
        <v>1979.9999999999975</v>
      </c>
      <c r="R65" s="538">
        <v>395.99999999999949</v>
      </c>
      <c r="S65" s="529">
        <f t="shared" si="2"/>
        <v>24</v>
      </c>
      <c r="T65" s="611"/>
      <c r="U65" s="529">
        <v>5</v>
      </c>
      <c r="V65" s="538">
        <v>1988.2758620689615</v>
      </c>
      <c r="W65" s="538">
        <v>397.65517241379229</v>
      </c>
      <c r="X65" s="529">
        <f t="shared" si="4"/>
        <v>23</v>
      </c>
      <c r="Y65" s="611"/>
      <c r="Z65" s="529">
        <v>5</v>
      </c>
      <c r="AA65" s="538">
        <v>1898.3999999999946</v>
      </c>
      <c r="AB65" s="538">
        <v>379.67999999999893</v>
      </c>
      <c r="AC65" s="529">
        <f t="shared" si="6"/>
        <v>24</v>
      </c>
      <c r="AD65" s="611"/>
      <c r="AE65" s="529">
        <v>5</v>
      </c>
      <c r="AF65" s="538">
        <v>1894.285714285721</v>
      </c>
      <c r="AG65" s="538">
        <v>378.8571428571442</v>
      </c>
      <c r="AH65" s="529">
        <f t="shared" si="8"/>
        <v>24</v>
      </c>
      <c r="AI65" s="611"/>
      <c r="AJ65" s="529">
        <v>5</v>
      </c>
      <c r="AK65" s="538">
        <v>1876.7999999999947</v>
      </c>
      <c r="AL65" s="538">
        <v>375.35999999999893</v>
      </c>
      <c r="AM65" s="529">
        <f t="shared" si="10"/>
        <v>24</v>
      </c>
      <c r="AN65" s="611"/>
      <c r="AO65" s="529">
        <v>5</v>
      </c>
      <c r="AP65" s="538">
        <v>1876.7999999999947</v>
      </c>
      <c r="AQ65" s="538">
        <v>375.35999999999893</v>
      </c>
      <c r="AR65" s="529">
        <f t="shared" si="12"/>
        <v>24</v>
      </c>
      <c r="AS65" s="611"/>
      <c r="AT65" s="529">
        <v>5</v>
      </c>
      <c r="AU65" s="538">
        <v>1931.1111111111068</v>
      </c>
      <c r="AV65" s="538">
        <v>386.22222222222138</v>
      </c>
      <c r="AW65" s="529">
        <f t="shared" si="14"/>
        <v>23</v>
      </c>
      <c r="AX65" s="611"/>
      <c r="AZ65" s="377" t="e">
        <f t="shared" si="16"/>
        <v>#N/A</v>
      </c>
      <c r="BA65" s="611"/>
    </row>
    <row r="66" spans="2:53">
      <c r="B66" s="655"/>
      <c r="C66" s="529">
        <v>25</v>
      </c>
      <c r="D66" s="416" t="s">
        <v>662</v>
      </c>
      <c r="E66" s="416">
        <v>8</v>
      </c>
      <c r="F66" s="416">
        <v>1500</v>
      </c>
      <c r="G66" s="531">
        <v>187.5</v>
      </c>
      <c r="H66" s="611"/>
      <c r="I66" s="531">
        <f t="shared" si="18"/>
        <v>12</v>
      </c>
      <c r="J66" s="531">
        <f t="shared" si="18"/>
        <v>1338.7675551164332</v>
      </c>
      <c r="K66" s="363">
        <f t="shared" si="18"/>
        <v>111.56396292636943</v>
      </c>
      <c r="L66" s="615"/>
      <c r="M66" s="531">
        <f>RANK(K66, K$42:$K$71)</f>
        <v>25</v>
      </c>
      <c r="N66" s="640"/>
      <c r="O66" s="640"/>
      <c r="P66" s="529">
        <v>12</v>
      </c>
      <c r="Q66" s="538">
        <v>1290.4477611940283</v>
      </c>
      <c r="R66" s="538">
        <v>107.53731343283569</v>
      </c>
      <c r="S66" s="529">
        <f t="shared" si="2"/>
        <v>25</v>
      </c>
      <c r="T66" s="611"/>
      <c r="U66" s="529">
        <v>12</v>
      </c>
      <c r="V66" s="538">
        <v>1349.5081967213127</v>
      </c>
      <c r="W66" s="538">
        <v>112.45901639344272</v>
      </c>
      <c r="X66" s="529">
        <f t="shared" si="4"/>
        <v>25</v>
      </c>
      <c r="Y66" s="611"/>
      <c r="Z66" s="529">
        <v>12</v>
      </c>
      <c r="AA66" s="538">
        <v>1347.9310344827597</v>
      </c>
      <c r="AB66" s="538">
        <v>112.32758620689664</v>
      </c>
      <c r="AC66" s="529">
        <f t="shared" si="6"/>
        <v>25</v>
      </c>
      <c r="AD66" s="611"/>
      <c r="AE66" s="529">
        <v>12</v>
      </c>
      <c r="AF66" s="538">
        <v>1340.7272727272734</v>
      </c>
      <c r="AG66" s="538">
        <v>111.72727272727279</v>
      </c>
      <c r="AH66" s="529">
        <f t="shared" si="8"/>
        <v>25</v>
      </c>
      <c r="AI66" s="611"/>
      <c r="AJ66" s="529">
        <v>12</v>
      </c>
      <c r="AK66" s="538">
        <v>1344.8275862068974</v>
      </c>
      <c r="AL66" s="538">
        <v>112.06896551724145</v>
      </c>
      <c r="AM66" s="529">
        <f t="shared" si="10"/>
        <v>25</v>
      </c>
      <c r="AN66" s="611"/>
      <c r="AO66" s="529">
        <v>12</v>
      </c>
      <c r="AP66" s="538">
        <v>1344.8275862068974</v>
      </c>
      <c r="AQ66" s="538">
        <v>112.06896551724145</v>
      </c>
      <c r="AR66" s="529">
        <f t="shared" si="12"/>
        <v>25</v>
      </c>
      <c r="AS66" s="611"/>
      <c r="AT66" s="529">
        <v>12</v>
      </c>
      <c r="AU66" s="538">
        <v>1353.103448275863</v>
      </c>
      <c r="AV66" s="538">
        <v>112.75862068965525</v>
      </c>
      <c r="AW66" s="529">
        <f t="shared" si="14"/>
        <v>25</v>
      </c>
      <c r="AX66" s="611"/>
      <c r="AZ66" s="377" t="e">
        <f t="shared" si="16"/>
        <v>#N/A</v>
      </c>
      <c r="BA66" s="611"/>
    </row>
    <row r="67" spans="2:53">
      <c r="B67" s="655"/>
      <c r="C67" s="529">
        <v>26</v>
      </c>
      <c r="D67" s="416" t="s">
        <v>559</v>
      </c>
      <c r="E67" s="416">
        <v>12</v>
      </c>
      <c r="F67" s="416">
        <v>1500</v>
      </c>
      <c r="G67" s="531">
        <v>125</v>
      </c>
      <c r="H67" s="611"/>
      <c r="I67" s="531">
        <f t="shared" si="18"/>
        <v>10.285714285714286</v>
      </c>
      <c r="J67" s="531">
        <f t="shared" si="18"/>
        <v>976.95631966921962</v>
      </c>
      <c r="K67" s="363">
        <f t="shared" si="18"/>
        <v>95.287468701615822</v>
      </c>
      <c r="L67" s="615"/>
      <c r="M67" s="531">
        <f>RANK(K67, K$42:$K$71)</f>
        <v>26</v>
      </c>
      <c r="N67" s="640"/>
      <c r="O67" s="640"/>
      <c r="P67" s="529">
        <v>10</v>
      </c>
      <c r="Q67" s="538">
        <v>936.52173913043816</v>
      </c>
      <c r="R67" s="538">
        <v>93.652173913043811</v>
      </c>
      <c r="S67" s="529">
        <f t="shared" si="2"/>
        <v>26</v>
      </c>
      <c r="T67" s="611"/>
      <c r="U67" s="529">
        <v>10</v>
      </c>
      <c r="V67" s="538">
        <v>968.57142857143197</v>
      </c>
      <c r="W67" s="538">
        <v>96.857142857143202</v>
      </c>
      <c r="X67" s="529">
        <f t="shared" si="4"/>
        <v>26</v>
      </c>
      <c r="Y67" s="611"/>
      <c r="Z67" s="529">
        <v>10</v>
      </c>
      <c r="AA67" s="538">
        <v>985.26315789474029</v>
      </c>
      <c r="AB67" s="538">
        <v>98.526315789474026</v>
      </c>
      <c r="AC67" s="529">
        <f t="shared" si="6"/>
        <v>26</v>
      </c>
      <c r="AD67" s="611"/>
      <c r="AE67" s="529">
        <v>10</v>
      </c>
      <c r="AF67" s="538">
        <v>969.23076923077258</v>
      </c>
      <c r="AG67" s="538">
        <v>96.923076923077261</v>
      </c>
      <c r="AH67" s="529">
        <f t="shared" si="8"/>
        <v>26</v>
      </c>
      <c r="AI67" s="611"/>
      <c r="AJ67" s="529">
        <v>10</v>
      </c>
      <c r="AK67" s="538">
        <v>1011.4285714285751</v>
      </c>
      <c r="AL67" s="538">
        <v>101.14285714285751</v>
      </c>
      <c r="AM67" s="529">
        <f t="shared" si="10"/>
        <v>26</v>
      </c>
      <c r="AN67" s="611"/>
      <c r="AO67" s="529">
        <v>12</v>
      </c>
      <c r="AP67" s="538">
        <v>1011.4285714285751</v>
      </c>
      <c r="AQ67" s="538">
        <v>84.28571428571459</v>
      </c>
      <c r="AR67" s="529">
        <f t="shared" si="12"/>
        <v>26</v>
      </c>
      <c r="AS67" s="611"/>
      <c r="AT67" s="529">
        <v>10</v>
      </c>
      <c r="AU67" s="538">
        <v>956.25000000000341</v>
      </c>
      <c r="AV67" s="538">
        <v>95.625000000000341</v>
      </c>
      <c r="AW67" s="529">
        <f t="shared" si="14"/>
        <v>26</v>
      </c>
      <c r="AX67" s="611"/>
      <c r="AZ67" s="377" t="e">
        <f t="shared" si="16"/>
        <v>#N/A</v>
      </c>
      <c r="BA67" s="611"/>
    </row>
    <row r="68" spans="2:53">
      <c r="B68" s="655"/>
      <c r="C68" s="529">
        <v>27</v>
      </c>
      <c r="D68" s="416"/>
      <c r="E68" s="416"/>
      <c r="F68" s="416"/>
      <c r="G68" s="531"/>
      <c r="H68" s="611"/>
      <c r="I68" s="531" t="str">
        <f t="shared" si="18"/>
        <v>-</v>
      </c>
      <c r="J68" s="531" t="str">
        <f t="shared" si="18"/>
        <v>-</v>
      </c>
      <c r="K68" s="363" t="str">
        <f t="shared" si="18"/>
        <v>-</v>
      </c>
      <c r="L68" s="615"/>
      <c r="M68" s="531" t="e">
        <f>RANK(K68, K$42:$K$71)</f>
        <v>#VALUE!</v>
      </c>
      <c r="N68" s="640"/>
      <c r="O68" s="640"/>
      <c r="P68" s="529"/>
      <c r="Q68" s="538"/>
      <c r="R68" s="538"/>
      <c r="S68" s="529" t="e">
        <f t="shared" si="2"/>
        <v>#N/A</v>
      </c>
      <c r="T68" s="611"/>
      <c r="U68" s="529"/>
      <c r="V68" s="538"/>
      <c r="W68" s="538"/>
      <c r="X68" s="529" t="e">
        <f t="shared" si="4"/>
        <v>#N/A</v>
      </c>
      <c r="Y68" s="611"/>
      <c r="Z68" s="529"/>
      <c r="AA68" s="538"/>
      <c r="AB68" s="538"/>
      <c r="AC68" s="529" t="e">
        <f t="shared" si="6"/>
        <v>#N/A</v>
      </c>
      <c r="AD68" s="611"/>
      <c r="AE68" s="529"/>
      <c r="AF68" s="538"/>
      <c r="AG68" s="538"/>
      <c r="AH68" s="529" t="e">
        <f t="shared" si="8"/>
        <v>#N/A</v>
      </c>
      <c r="AI68" s="611"/>
      <c r="AJ68" s="529"/>
      <c r="AK68" s="538"/>
      <c r="AL68" s="538"/>
      <c r="AM68" s="529" t="e">
        <f t="shared" si="10"/>
        <v>#N/A</v>
      </c>
      <c r="AN68" s="611"/>
      <c r="AO68" s="529"/>
      <c r="AP68" s="538"/>
      <c r="AQ68" s="538"/>
      <c r="AR68" s="529" t="e">
        <f t="shared" si="12"/>
        <v>#N/A</v>
      </c>
      <c r="AS68" s="611"/>
      <c r="AT68" s="529"/>
      <c r="AU68" s="538"/>
      <c r="AV68" s="538"/>
      <c r="AW68" s="529" t="e">
        <f t="shared" si="14"/>
        <v>#N/A</v>
      </c>
      <c r="AX68" s="611"/>
      <c r="AZ68" s="377" t="e">
        <f t="shared" si="16"/>
        <v>#N/A</v>
      </c>
      <c r="BA68" s="611"/>
    </row>
    <row r="69" spans="2:53">
      <c r="B69" s="655"/>
      <c r="C69" s="529">
        <v>28</v>
      </c>
      <c r="D69" s="416"/>
      <c r="E69" s="416"/>
      <c r="F69" s="416"/>
      <c r="G69" s="416"/>
      <c r="H69" s="611"/>
      <c r="I69" s="531" t="str">
        <f t="shared" si="18"/>
        <v>-</v>
      </c>
      <c r="J69" s="531" t="str">
        <f t="shared" si="18"/>
        <v>-</v>
      </c>
      <c r="K69" s="363" t="str">
        <f t="shared" si="18"/>
        <v>-</v>
      </c>
      <c r="L69" s="615"/>
      <c r="M69" s="531" t="e">
        <f>RANK(K69, K$42:$K$71)</f>
        <v>#VALUE!</v>
      </c>
      <c r="N69" s="640"/>
      <c r="O69" s="640"/>
      <c r="P69" s="529"/>
      <c r="Q69" s="538"/>
      <c r="R69" s="538"/>
      <c r="S69" s="529" t="e">
        <f t="shared" si="2"/>
        <v>#N/A</v>
      </c>
      <c r="T69" s="611"/>
      <c r="U69" s="529"/>
      <c r="V69" s="538"/>
      <c r="W69" s="538"/>
      <c r="X69" s="529" t="e">
        <f t="shared" si="4"/>
        <v>#N/A</v>
      </c>
      <c r="Y69" s="611"/>
      <c r="Z69" s="529"/>
      <c r="AA69" s="538"/>
      <c r="AB69" s="538"/>
      <c r="AC69" s="529" t="e">
        <f t="shared" si="6"/>
        <v>#N/A</v>
      </c>
      <c r="AD69" s="611"/>
      <c r="AE69" s="529"/>
      <c r="AF69" s="538"/>
      <c r="AG69" s="538"/>
      <c r="AH69" s="529" t="e">
        <f t="shared" si="8"/>
        <v>#N/A</v>
      </c>
      <c r="AI69" s="611"/>
      <c r="AJ69" s="529"/>
      <c r="AK69" s="538"/>
      <c r="AL69" s="538"/>
      <c r="AM69" s="529" t="e">
        <f t="shared" si="10"/>
        <v>#N/A</v>
      </c>
      <c r="AN69" s="611"/>
      <c r="AO69" s="529"/>
      <c r="AP69" s="538"/>
      <c r="AQ69" s="538"/>
      <c r="AR69" s="529" t="e">
        <f t="shared" si="12"/>
        <v>#N/A</v>
      </c>
      <c r="AS69" s="611"/>
      <c r="AT69" s="529"/>
      <c r="AU69" s="538"/>
      <c r="AV69" s="538"/>
      <c r="AW69" s="529" t="e">
        <f t="shared" si="14"/>
        <v>#N/A</v>
      </c>
      <c r="AX69" s="611"/>
      <c r="AZ69" s="377" t="e">
        <f t="shared" si="16"/>
        <v>#N/A</v>
      </c>
      <c r="BA69" s="611"/>
    </row>
    <row r="70" spans="2:53">
      <c r="B70" s="655"/>
      <c r="C70" s="529">
        <v>29</v>
      </c>
      <c r="D70" s="416"/>
      <c r="E70" s="416"/>
      <c r="F70" s="416"/>
      <c r="G70" s="416"/>
      <c r="H70" s="611"/>
      <c r="I70" s="531" t="str">
        <f t="shared" si="18"/>
        <v>-</v>
      </c>
      <c r="J70" s="531" t="str">
        <f t="shared" si="18"/>
        <v>-</v>
      </c>
      <c r="K70" s="363" t="str">
        <f t="shared" si="18"/>
        <v>-</v>
      </c>
      <c r="L70" s="615"/>
      <c r="M70" s="531" t="e">
        <f>RANK(K70, K$42:$K$71)</f>
        <v>#VALUE!</v>
      </c>
      <c r="N70" s="640"/>
      <c r="O70" s="640"/>
      <c r="P70" s="529"/>
      <c r="Q70" s="538"/>
      <c r="R70" s="538"/>
      <c r="S70" s="529" t="e">
        <f t="shared" si="2"/>
        <v>#N/A</v>
      </c>
      <c r="T70" s="611"/>
      <c r="U70" s="529"/>
      <c r="V70" s="538"/>
      <c r="W70" s="538"/>
      <c r="X70" s="529" t="e">
        <f t="shared" si="4"/>
        <v>#N/A</v>
      </c>
      <c r="Y70" s="611"/>
      <c r="Z70" s="529"/>
      <c r="AA70" s="538"/>
      <c r="AB70" s="538"/>
      <c r="AC70" s="529" t="e">
        <f t="shared" si="6"/>
        <v>#N/A</v>
      </c>
      <c r="AD70" s="611"/>
      <c r="AE70" s="529"/>
      <c r="AF70" s="538"/>
      <c r="AG70" s="538"/>
      <c r="AH70" s="529" t="e">
        <f t="shared" si="8"/>
        <v>#N/A</v>
      </c>
      <c r="AI70" s="611"/>
      <c r="AJ70" s="529"/>
      <c r="AK70" s="538"/>
      <c r="AL70" s="538"/>
      <c r="AM70" s="529" t="e">
        <f t="shared" si="10"/>
        <v>#N/A</v>
      </c>
      <c r="AN70" s="611"/>
      <c r="AO70" s="529"/>
      <c r="AP70" s="538"/>
      <c r="AQ70" s="538"/>
      <c r="AR70" s="529" t="e">
        <f t="shared" si="12"/>
        <v>#N/A</v>
      </c>
      <c r="AS70" s="611"/>
      <c r="AT70" s="529"/>
      <c r="AU70" s="538"/>
      <c r="AV70" s="538"/>
      <c r="AW70" s="529" t="e">
        <f t="shared" si="14"/>
        <v>#N/A</v>
      </c>
      <c r="AX70" s="611"/>
      <c r="AZ70" s="377" t="e">
        <f t="shared" si="16"/>
        <v>#N/A</v>
      </c>
      <c r="BA70" s="611"/>
    </row>
    <row r="71" spans="2:53">
      <c r="B71" s="656"/>
      <c r="C71" s="529">
        <v>30</v>
      </c>
      <c r="D71" s="416"/>
      <c r="E71" s="416"/>
      <c r="F71" s="416"/>
      <c r="G71" s="416"/>
      <c r="H71" s="612"/>
      <c r="I71" s="531" t="str">
        <f t="shared" si="18"/>
        <v>-</v>
      </c>
      <c r="J71" s="531" t="str">
        <f t="shared" si="18"/>
        <v>-</v>
      </c>
      <c r="K71" s="363" t="str">
        <f t="shared" si="18"/>
        <v>-</v>
      </c>
      <c r="L71" s="616"/>
      <c r="M71" s="531" t="e">
        <f>RANK(K71, K$42:$K$71)</f>
        <v>#VALUE!</v>
      </c>
      <c r="N71" s="641"/>
      <c r="O71" s="641"/>
      <c r="P71" s="529"/>
      <c r="Q71" s="538"/>
      <c r="R71" s="538"/>
      <c r="S71" s="529" t="e">
        <f t="shared" si="2"/>
        <v>#N/A</v>
      </c>
      <c r="T71" s="612"/>
      <c r="U71" s="529"/>
      <c r="V71" s="538"/>
      <c r="W71" s="538"/>
      <c r="X71" s="529" t="e">
        <f t="shared" si="4"/>
        <v>#N/A</v>
      </c>
      <c r="Y71" s="612"/>
      <c r="Z71" s="529"/>
      <c r="AA71" s="538"/>
      <c r="AB71" s="538"/>
      <c r="AC71" s="529" t="e">
        <f t="shared" si="6"/>
        <v>#N/A</v>
      </c>
      <c r="AD71" s="612"/>
      <c r="AE71" s="529"/>
      <c r="AF71" s="538"/>
      <c r="AG71" s="538"/>
      <c r="AH71" s="529" t="e">
        <f t="shared" si="8"/>
        <v>#N/A</v>
      </c>
      <c r="AI71" s="612"/>
      <c r="AJ71" s="529"/>
      <c r="AK71" s="538"/>
      <c r="AL71" s="538"/>
      <c r="AM71" s="529" t="e">
        <f t="shared" si="10"/>
        <v>#N/A</v>
      </c>
      <c r="AN71" s="612"/>
      <c r="AO71" s="529"/>
      <c r="AP71" s="538"/>
      <c r="AQ71" s="538"/>
      <c r="AR71" s="529" t="e">
        <f t="shared" si="12"/>
        <v>#N/A</v>
      </c>
      <c r="AS71" s="612"/>
      <c r="AT71" s="529"/>
      <c r="AU71" s="538"/>
      <c r="AV71" s="538"/>
      <c r="AW71" s="529" t="e">
        <f t="shared" si="14"/>
        <v>#N/A</v>
      </c>
      <c r="AX71" s="612"/>
      <c r="AZ71" s="377" t="e">
        <f t="shared" si="16"/>
        <v>#N/A</v>
      </c>
      <c r="BA71" s="612"/>
    </row>
    <row r="72" spans="2:53" ht="15.75">
      <c r="B72" s="657" t="s">
        <v>769</v>
      </c>
      <c r="C72" s="658"/>
      <c r="D72" s="658"/>
      <c r="E72" s="658"/>
      <c r="F72" s="658"/>
      <c r="G72" s="658"/>
      <c r="H72" s="658"/>
      <c r="I72" s="205"/>
      <c r="J72" s="200"/>
      <c r="K72" s="205"/>
      <c r="L72" s="205"/>
      <c r="M72" s="201"/>
      <c r="N72" s="639" t="s">
        <v>675</v>
      </c>
      <c r="O72" s="639" t="s">
        <v>676</v>
      </c>
      <c r="P72" s="634">
        <f>P37+7</f>
        <v>46217</v>
      </c>
      <c r="Q72" s="635"/>
      <c r="R72" s="635"/>
      <c r="S72" s="635"/>
      <c r="T72" s="635"/>
      <c r="U72" s="634">
        <f t="shared" ref="U72" si="19">P72+1</f>
        <v>46218</v>
      </c>
      <c r="V72" s="635"/>
      <c r="W72" s="635"/>
      <c r="X72" s="635"/>
      <c r="Y72" s="635"/>
      <c r="Z72" s="634">
        <f t="shared" ref="Z72" si="20">U72+1</f>
        <v>46219</v>
      </c>
      <c r="AA72" s="635"/>
      <c r="AB72" s="635"/>
      <c r="AC72" s="635"/>
      <c r="AD72" s="635"/>
      <c r="AE72" s="634">
        <f t="shared" ref="AE72" si="21">Z72+1</f>
        <v>46220</v>
      </c>
      <c r="AF72" s="635"/>
      <c r="AG72" s="635"/>
      <c r="AH72" s="635"/>
      <c r="AI72" s="635"/>
      <c r="AJ72" s="634">
        <f t="shared" ref="AJ72" si="22">AE72+1</f>
        <v>46221</v>
      </c>
      <c r="AK72" s="635"/>
      <c r="AL72" s="635"/>
      <c r="AM72" s="635"/>
      <c r="AN72" s="635"/>
      <c r="AO72" s="634">
        <f t="shared" ref="AO72" si="23">AJ72+1</f>
        <v>46222</v>
      </c>
      <c r="AP72" s="635"/>
      <c r="AQ72" s="635"/>
      <c r="AR72" s="635"/>
      <c r="AS72" s="635"/>
      <c r="AT72" s="634">
        <f t="shared" ref="AT72" si="24">AO72+1</f>
        <v>46223</v>
      </c>
      <c r="AU72" s="635"/>
      <c r="AV72" s="635"/>
      <c r="AW72" s="635"/>
      <c r="AX72" s="635"/>
    </row>
    <row r="73" spans="2:53" ht="15.75">
      <c r="B73" s="646"/>
      <c r="C73" s="646"/>
      <c r="D73" s="646"/>
      <c r="E73" s="646"/>
      <c r="F73" s="646"/>
      <c r="G73" s="646"/>
      <c r="H73" s="646"/>
      <c r="I73" s="202"/>
      <c r="J73" s="202"/>
      <c r="K73" s="202"/>
      <c r="L73" s="202"/>
      <c r="M73" s="203"/>
      <c r="N73" s="641"/>
      <c r="O73" s="641"/>
      <c r="P73" s="634" t="s">
        <v>677</v>
      </c>
      <c r="Q73" s="635"/>
      <c r="R73" s="635"/>
      <c r="S73" s="635"/>
      <c r="T73" s="635"/>
      <c r="U73" s="634" t="s">
        <v>678</v>
      </c>
      <c r="V73" s="635"/>
      <c r="W73" s="635"/>
      <c r="X73" s="635"/>
      <c r="Y73" s="635"/>
      <c r="Z73" s="634" t="s">
        <v>679</v>
      </c>
      <c r="AA73" s="635"/>
      <c r="AB73" s="635"/>
      <c r="AC73" s="635"/>
      <c r="AD73" s="635"/>
      <c r="AE73" s="634" t="s">
        <v>680</v>
      </c>
      <c r="AF73" s="635"/>
      <c r="AG73" s="635"/>
      <c r="AH73" s="635"/>
      <c r="AI73" s="635"/>
      <c r="AJ73" s="634" t="s">
        <v>159</v>
      </c>
      <c r="AK73" s="635"/>
      <c r="AL73" s="635"/>
      <c r="AM73" s="635"/>
      <c r="AN73" s="635"/>
      <c r="AO73" s="634" t="s">
        <v>681</v>
      </c>
      <c r="AP73" s="635"/>
      <c r="AQ73" s="635"/>
      <c r="AR73" s="635"/>
      <c r="AS73" s="635"/>
      <c r="AT73" s="634" t="s">
        <v>682</v>
      </c>
      <c r="AU73" s="635"/>
      <c r="AV73" s="635"/>
      <c r="AW73" s="635"/>
      <c r="AX73" s="635"/>
    </row>
    <row r="74" spans="2:53">
      <c r="B74" s="639" t="s">
        <v>760</v>
      </c>
      <c r="C74" s="647" t="s">
        <v>827</v>
      </c>
      <c r="D74" s="650"/>
      <c r="E74" s="621" t="s">
        <v>828</v>
      </c>
      <c r="F74" s="622"/>
      <c r="G74" s="623"/>
      <c r="H74" s="639" t="s">
        <v>829</v>
      </c>
      <c r="I74" s="625" t="s">
        <v>830</v>
      </c>
      <c r="J74" s="626"/>
      <c r="K74" s="627"/>
      <c r="L74" s="628" t="s">
        <v>829</v>
      </c>
      <c r="M74" s="628" t="s">
        <v>440</v>
      </c>
      <c r="N74" s="639"/>
      <c r="O74" s="639" t="s">
        <v>831</v>
      </c>
      <c r="P74" s="621" t="s">
        <v>832</v>
      </c>
      <c r="Q74" s="622"/>
      <c r="R74" s="622"/>
      <c r="S74" s="623"/>
      <c r="T74" s="639" t="s">
        <v>829</v>
      </c>
      <c r="U74" s="621" t="s">
        <v>832</v>
      </c>
      <c r="V74" s="622"/>
      <c r="W74" s="622"/>
      <c r="X74" s="623"/>
      <c r="Y74" s="639" t="s">
        <v>829</v>
      </c>
      <c r="Z74" s="621" t="s">
        <v>832</v>
      </c>
      <c r="AA74" s="622"/>
      <c r="AB74" s="622"/>
      <c r="AC74" s="623"/>
      <c r="AD74" s="639" t="s">
        <v>829</v>
      </c>
      <c r="AE74" s="621" t="s">
        <v>832</v>
      </c>
      <c r="AF74" s="622"/>
      <c r="AG74" s="622"/>
      <c r="AH74" s="623"/>
      <c r="AI74" s="639" t="s">
        <v>829</v>
      </c>
      <c r="AJ74" s="621" t="s">
        <v>832</v>
      </c>
      <c r="AK74" s="622"/>
      <c r="AL74" s="622"/>
      <c r="AM74" s="623"/>
      <c r="AN74" s="639" t="s">
        <v>829</v>
      </c>
      <c r="AO74" s="621" t="s">
        <v>832</v>
      </c>
      <c r="AP74" s="622"/>
      <c r="AQ74" s="622"/>
      <c r="AR74" s="623"/>
      <c r="AS74" s="639" t="s">
        <v>829</v>
      </c>
      <c r="AT74" s="621" t="s">
        <v>832</v>
      </c>
      <c r="AU74" s="622"/>
      <c r="AV74" s="622"/>
      <c r="AW74" s="623"/>
      <c r="AX74" s="639" t="s">
        <v>829</v>
      </c>
    </row>
    <row r="75" spans="2:53">
      <c r="B75" s="640"/>
      <c r="C75" s="648"/>
      <c r="D75" s="651"/>
      <c r="E75" s="621" t="s">
        <v>833</v>
      </c>
      <c r="F75" s="622"/>
      <c r="G75" s="623"/>
      <c r="H75" s="640"/>
      <c r="I75" s="625" t="s">
        <v>833</v>
      </c>
      <c r="J75" s="626"/>
      <c r="K75" s="627"/>
      <c r="L75" s="629"/>
      <c r="M75" s="629"/>
      <c r="N75" s="640"/>
      <c r="O75" s="640"/>
      <c r="P75" s="621" t="s">
        <v>834</v>
      </c>
      <c r="Q75" s="622"/>
      <c r="R75" s="622"/>
      <c r="S75" s="623"/>
      <c r="T75" s="640"/>
      <c r="U75" s="621" t="s">
        <v>834</v>
      </c>
      <c r="V75" s="622"/>
      <c r="W75" s="622"/>
      <c r="X75" s="623"/>
      <c r="Y75" s="640"/>
      <c r="Z75" s="621" t="s">
        <v>834</v>
      </c>
      <c r="AA75" s="622"/>
      <c r="AB75" s="622"/>
      <c r="AC75" s="623"/>
      <c r="AD75" s="640"/>
      <c r="AE75" s="621" t="s">
        <v>834</v>
      </c>
      <c r="AF75" s="622"/>
      <c r="AG75" s="622"/>
      <c r="AH75" s="623"/>
      <c r="AI75" s="640"/>
      <c r="AJ75" s="621" t="s">
        <v>834</v>
      </c>
      <c r="AK75" s="622"/>
      <c r="AL75" s="622"/>
      <c r="AM75" s="623"/>
      <c r="AN75" s="640"/>
      <c r="AO75" s="621" t="s">
        <v>834</v>
      </c>
      <c r="AP75" s="622"/>
      <c r="AQ75" s="622"/>
      <c r="AR75" s="623"/>
      <c r="AS75" s="640"/>
      <c r="AT75" s="621" t="s">
        <v>834</v>
      </c>
      <c r="AU75" s="622"/>
      <c r="AV75" s="622"/>
      <c r="AW75" s="623"/>
      <c r="AX75" s="640"/>
    </row>
    <row r="76" spans="2:53">
      <c r="B76" s="641"/>
      <c r="C76" s="649"/>
      <c r="D76" s="652"/>
      <c r="E76" s="533" t="s">
        <v>835</v>
      </c>
      <c r="F76" s="533" t="s">
        <v>836</v>
      </c>
      <c r="G76" s="533" t="s">
        <v>837</v>
      </c>
      <c r="H76" s="641"/>
      <c r="I76" s="535" t="s">
        <v>835</v>
      </c>
      <c r="J76" s="535" t="s">
        <v>836</v>
      </c>
      <c r="K76" s="535" t="s">
        <v>837</v>
      </c>
      <c r="L76" s="630"/>
      <c r="M76" s="630"/>
      <c r="N76" s="640"/>
      <c r="O76" s="640"/>
      <c r="P76" s="533" t="s">
        <v>835</v>
      </c>
      <c r="Q76" s="533" t="s">
        <v>836</v>
      </c>
      <c r="R76" s="533" t="s">
        <v>837</v>
      </c>
      <c r="S76" s="533" t="s">
        <v>440</v>
      </c>
      <c r="T76" s="641"/>
      <c r="U76" s="533" t="s">
        <v>835</v>
      </c>
      <c r="V76" s="533" t="s">
        <v>836</v>
      </c>
      <c r="W76" s="533" t="s">
        <v>837</v>
      </c>
      <c r="X76" s="533" t="s">
        <v>440</v>
      </c>
      <c r="Y76" s="641"/>
      <c r="Z76" s="533" t="s">
        <v>835</v>
      </c>
      <c r="AA76" s="533" t="s">
        <v>836</v>
      </c>
      <c r="AB76" s="533" t="s">
        <v>837</v>
      </c>
      <c r="AC76" s="533" t="s">
        <v>440</v>
      </c>
      <c r="AD76" s="641"/>
      <c r="AE76" s="533" t="s">
        <v>835</v>
      </c>
      <c r="AF76" s="533" t="s">
        <v>836</v>
      </c>
      <c r="AG76" s="533" t="s">
        <v>837</v>
      </c>
      <c r="AH76" s="533" t="s">
        <v>440</v>
      </c>
      <c r="AI76" s="641"/>
      <c r="AJ76" s="533" t="s">
        <v>835</v>
      </c>
      <c r="AK76" s="533" t="s">
        <v>836</v>
      </c>
      <c r="AL76" s="533" t="s">
        <v>837</v>
      </c>
      <c r="AM76" s="533" t="s">
        <v>440</v>
      </c>
      <c r="AN76" s="641"/>
      <c r="AO76" s="533" t="s">
        <v>835</v>
      </c>
      <c r="AP76" s="533" t="s">
        <v>836</v>
      </c>
      <c r="AQ76" s="533" t="s">
        <v>837</v>
      </c>
      <c r="AR76" s="533" t="s">
        <v>440</v>
      </c>
      <c r="AS76" s="641"/>
      <c r="AT76" s="533" t="s">
        <v>835</v>
      </c>
      <c r="AU76" s="533" t="s">
        <v>836</v>
      </c>
      <c r="AV76" s="533" t="s">
        <v>837</v>
      </c>
      <c r="AW76" s="533" t="s">
        <v>440</v>
      </c>
      <c r="AX76" s="641"/>
    </row>
    <row r="77" spans="2:53">
      <c r="B77" s="654" t="s">
        <v>150</v>
      </c>
      <c r="C77" s="529">
        <v>1</v>
      </c>
      <c r="D77" s="416" t="s">
        <v>323</v>
      </c>
      <c r="E77" s="416">
        <v>3</v>
      </c>
      <c r="F77" s="416">
        <v>3200</v>
      </c>
      <c r="G77" s="531">
        <v>1066.6666666666667</v>
      </c>
      <c r="H77" s="610">
        <f>AVERAGE(G77:G106)</f>
        <v>763.30128205128187</v>
      </c>
      <c r="I77" s="531">
        <f>IFERROR(AVERAGE(P77,U77,Z77,AE77,AJ77,AO77,AT77),"-")</f>
        <v>3</v>
      </c>
      <c r="J77" s="531">
        <f>IFERROR(AVERAGE(Q77,V77,AA77,AF77,AK77,AP77,AU77),"-")</f>
        <v>3199.7758763249299</v>
      </c>
      <c r="K77" s="363">
        <f>IFERROR(AVERAGE(R77,W77,AB77,AG77,AL77,AQ77,AV77),"-")</f>
        <v>1066.5919587749768</v>
      </c>
      <c r="L77" s="631">
        <f>IFERROR(AVERAGE(K77:K106),"-")</f>
        <v>777.47147059917438</v>
      </c>
      <c r="M77" s="531">
        <f>RANK(K77, K$77:$K$106)</f>
        <v>1</v>
      </c>
      <c r="N77" s="640"/>
      <c r="O77" s="640"/>
      <c r="P77" s="529">
        <v>3</v>
      </c>
      <c r="Q77" s="538">
        <v>3169.811320754714</v>
      </c>
      <c r="R77" s="538">
        <v>1056.6037735849047</v>
      </c>
      <c r="S77" s="537">
        <v>3</v>
      </c>
      <c r="T77" s="642">
        <v>773.88672604691624</v>
      </c>
      <c r="U77" s="529">
        <v>3</v>
      </c>
      <c r="V77" s="538">
        <v>3185.9999999999959</v>
      </c>
      <c r="W77" s="538">
        <v>1061.9999999999986</v>
      </c>
      <c r="X77" s="537">
        <v>3</v>
      </c>
      <c r="Y77" s="642">
        <v>776.67758253482214</v>
      </c>
      <c r="Z77" s="529">
        <v>3</v>
      </c>
      <c r="AA77" s="538">
        <v>3252.499999999995</v>
      </c>
      <c r="AB77" s="538">
        <v>1084.1666666666649</v>
      </c>
      <c r="AC77" s="538">
        <v>3</v>
      </c>
      <c r="AD77" s="642">
        <v>799.3484343656263</v>
      </c>
      <c r="AE77" s="529">
        <v>3</v>
      </c>
      <c r="AF77" s="538">
        <v>3150.666666666667</v>
      </c>
      <c r="AG77" s="538">
        <v>1050.2222222222224</v>
      </c>
      <c r="AH77" s="538">
        <v>4</v>
      </c>
      <c r="AI77" s="642">
        <v>766.7650416833045</v>
      </c>
      <c r="AJ77" s="529">
        <v>3</v>
      </c>
      <c r="AK77" s="538">
        <v>3144.5454545454545</v>
      </c>
      <c r="AL77" s="538">
        <v>1048.1818181818182</v>
      </c>
      <c r="AM77" s="538">
        <v>4</v>
      </c>
      <c r="AN77" s="642">
        <v>767.2125752526764</v>
      </c>
      <c r="AO77" s="529">
        <v>3</v>
      </c>
      <c r="AP77" s="538">
        <v>3197.3076923076892</v>
      </c>
      <c r="AQ77" s="538">
        <v>1065.7692307692298</v>
      </c>
      <c r="AR77" s="538">
        <v>1</v>
      </c>
      <c r="AS77" s="642">
        <v>759.39201678159338</v>
      </c>
      <c r="AT77" s="529">
        <v>3</v>
      </c>
      <c r="AU77" s="538">
        <v>3297.5999999999958</v>
      </c>
      <c r="AV77" s="538">
        <v>1099.1999999999987</v>
      </c>
      <c r="AW77" s="538">
        <v>3</v>
      </c>
      <c r="AX77" s="642">
        <v>799.01791752928045</v>
      </c>
      <c r="AZ77" s="377" t="e">
        <f t="shared" ref="AZ77:AZ106" si="25">RANK(AY77, AY$77:AY$106)</f>
        <v>#N/A</v>
      </c>
      <c r="BA77" s="610" t="e">
        <f t="shared" ref="BA77" si="26">AVERAGE(AY77:AY106)</f>
        <v>#DIV/0!</v>
      </c>
    </row>
    <row r="78" spans="2:53">
      <c r="B78" s="655"/>
      <c r="C78" s="529">
        <v>2</v>
      </c>
      <c r="D78" s="535" t="s">
        <v>324</v>
      </c>
      <c r="E78" s="416">
        <v>3</v>
      </c>
      <c r="F78" s="416">
        <v>3200</v>
      </c>
      <c r="G78" s="531">
        <v>1066.6666666666667</v>
      </c>
      <c r="H78" s="611"/>
      <c r="I78" s="531">
        <f t="shared" ref="I78:K106" si="27">IFERROR(AVERAGE(P78,U78,Z78,AE78,AJ78,AO78,AT78),"-")</f>
        <v>3</v>
      </c>
      <c r="J78" s="531">
        <f t="shared" si="27"/>
        <v>3148.6191476590543</v>
      </c>
      <c r="K78" s="363">
        <f t="shared" si="27"/>
        <v>1049.5397158863514</v>
      </c>
      <c r="L78" s="632"/>
      <c r="M78" s="531">
        <f>RANK(K78, K$77:$K$106)</f>
        <v>6</v>
      </c>
      <c r="N78" s="640"/>
      <c r="O78" s="640"/>
      <c r="P78" s="529">
        <v>3</v>
      </c>
      <c r="Q78" s="538">
        <v>3052.9411764705706</v>
      </c>
      <c r="R78" s="538">
        <v>1017.6470588235235</v>
      </c>
      <c r="S78" s="537">
        <v>7</v>
      </c>
      <c r="T78" s="642"/>
      <c r="U78" s="529">
        <v>3</v>
      </c>
      <c r="V78" s="538">
        <v>3138.7499999999959</v>
      </c>
      <c r="W78" s="538">
        <v>1046.2499999999986</v>
      </c>
      <c r="X78" s="537">
        <v>6</v>
      </c>
      <c r="Y78" s="642"/>
      <c r="Z78" s="529">
        <v>3</v>
      </c>
      <c r="AA78" s="538">
        <v>3343.9999999999941</v>
      </c>
      <c r="AB78" s="538">
        <v>1114.6666666666647</v>
      </c>
      <c r="AC78" s="538">
        <v>1</v>
      </c>
      <c r="AD78" s="642"/>
      <c r="AE78" s="529">
        <v>3</v>
      </c>
      <c r="AF78" s="538">
        <v>3201.4285714285643</v>
      </c>
      <c r="AG78" s="538">
        <v>1067.1428571428548</v>
      </c>
      <c r="AH78" s="538">
        <v>1</v>
      </c>
      <c r="AI78" s="642"/>
      <c r="AJ78" s="529">
        <v>3</v>
      </c>
      <c r="AK78" s="538">
        <v>3025.714285714279</v>
      </c>
      <c r="AL78" s="538">
        <v>1008.5714285714263</v>
      </c>
      <c r="AM78" s="538">
        <v>8</v>
      </c>
      <c r="AN78" s="642"/>
      <c r="AO78" s="529">
        <v>3</v>
      </c>
      <c r="AP78" s="538">
        <v>3059.9999999999823</v>
      </c>
      <c r="AQ78" s="538">
        <v>1019.9999999999941</v>
      </c>
      <c r="AR78" s="538">
        <v>6</v>
      </c>
      <c r="AS78" s="642"/>
      <c r="AT78" s="529">
        <v>3</v>
      </c>
      <c r="AU78" s="538">
        <v>3217.4999999999959</v>
      </c>
      <c r="AV78" s="538">
        <v>1072.4999999999986</v>
      </c>
      <c r="AW78" s="538">
        <v>6</v>
      </c>
      <c r="AX78" s="642"/>
      <c r="AZ78" s="377" t="e">
        <f t="shared" si="25"/>
        <v>#N/A</v>
      </c>
      <c r="BA78" s="611"/>
    </row>
    <row r="79" spans="2:53">
      <c r="B79" s="655"/>
      <c r="C79" s="529">
        <v>3</v>
      </c>
      <c r="D79" s="416" t="s">
        <v>314</v>
      </c>
      <c r="E79" s="416">
        <v>4</v>
      </c>
      <c r="F79" s="416">
        <v>3200</v>
      </c>
      <c r="G79" s="531">
        <v>800</v>
      </c>
      <c r="H79" s="611"/>
      <c r="I79" s="531">
        <f t="shared" si="27"/>
        <v>4</v>
      </c>
      <c r="J79" s="531">
        <f t="shared" si="27"/>
        <v>3176.8144712430344</v>
      </c>
      <c r="K79" s="363">
        <f t="shared" si="27"/>
        <v>794.2036178107586</v>
      </c>
      <c r="L79" s="632"/>
      <c r="M79" s="531">
        <f>RANK(K79, K$77:$K$106)</f>
        <v>13</v>
      </c>
      <c r="N79" s="640"/>
      <c r="O79" s="640"/>
      <c r="P79" s="529">
        <v>4</v>
      </c>
      <c r="Q79" s="538">
        <v>3077.1428571428683</v>
      </c>
      <c r="R79" s="538">
        <v>769.28571428571706</v>
      </c>
      <c r="S79" s="537">
        <v>16</v>
      </c>
      <c r="T79" s="642"/>
      <c r="U79" s="529">
        <v>4</v>
      </c>
      <c r="V79" s="538">
        <v>3034.2857142857251</v>
      </c>
      <c r="W79" s="538">
        <v>758.57142857143128</v>
      </c>
      <c r="X79" s="537">
        <v>16</v>
      </c>
      <c r="Y79" s="642"/>
      <c r="Z79" s="529">
        <v>4</v>
      </c>
      <c r="AA79" s="538">
        <v>3339.9999999999673</v>
      </c>
      <c r="AB79" s="538">
        <v>834.99999999999181</v>
      </c>
      <c r="AC79" s="538">
        <v>13</v>
      </c>
      <c r="AD79" s="642"/>
      <c r="AE79" s="529">
        <v>4</v>
      </c>
      <c r="AF79" s="538">
        <v>2994.5454545454431</v>
      </c>
      <c r="AG79" s="538">
        <v>748.63636363636078</v>
      </c>
      <c r="AH79" s="538">
        <v>16</v>
      </c>
      <c r="AI79" s="642"/>
      <c r="AJ79" s="529">
        <v>4</v>
      </c>
      <c r="AK79" s="538">
        <v>3203.9999999999859</v>
      </c>
      <c r="AL79" s="538">
        <v>800.99999999999648</v>
      </c>
      <c r="AM79" s="538">
        <v>11</v>
      </c>
      <c r="AN79" s="642"/>
      <c r="AO79" s="529">
        <v>4</v>
      </c>
      <c r="AP79" s="538">
        <v>3134.99999999999</v>
      </c>
      <c r="AQ79" s="538">
        <v>783.7499999999975</v>
      </c>
      <c r="AR79" s="538">
        <v>14</v>
      </c>
      <c r="AS79" s="642"/>
      <c r="AT79" s="529">
        <v>4</v>
      </c>
      <c r="AU79" s="538">
        <v>3452.7272727272602</v>
      </c>
      <c r="AV79" s="538">
        <v>863.18181818181506</v>
      </c>
      <c r="AW79" s="538">
        <v>12</v>
      </c>
      <c r="AX79" s="642"/>
      <c r="AZ79" s="377" t="e">
        <f t="shared" si="25"/>
        <v>#N/A</v>
      </c>
      <c r="BA79" s="611"/>
    </row>
    <row r="80" spans="2:53">
      <c r="B80" s="655"/>
      <c r="C80" s="529">
        <v>4</v>
      </c>
      <c r="D80" s="416" t="s">
        <v>326</v>
      </c>
      <c r="E80" s="416">
        <v>3</v>
      </c>
      <c r="F80" s="416">
        <v>3200</v>
      </c>
      <c r="G80" s="531">
        <v>1066.6666666666667</v>
      </c>
      <c r="H80" s="611"/>
      <c r="I80" s="531">
        <f t="shared" si="27"/>
        <v>3</v>
      </c>
      <c r="J80" s="531">
        <f t="shared" si="27"/>
        <v>3190.3198771153666</v>
      </c>
      <c r="K80" s="363">
        <f t="shared" si="27"/>
        <v>1063.4399590384558</v>
      </c>
      <c r="L80" s="632"/>
      <c r="M80" s="531">
        <f>RANK(K80, K$77:$K$106)</f>
        <v>2</v>
      </c>
      <c r="N80" s="640"/>
      <c r="O80" s="640"/>
      <c r="P80" s="529">
        <v>3</v>
      </c>
      <c r="Q80" s="538">
        <v>3197.9220779220759</v>
      </c>
      <c r="R80" s="538">
        <v>1065.9740259740254</v>
      </c>
      <c r="S80" s="537">
        <v>1</v>
      </c>
      <c r="T80" s="642"/>
      <c r="U80" s="529">
        <v>3</v>
      </c>
      <c r="V80" s="538">
        <v>3192.8000000000011</v>
      </c>
      <c r="W80" s="538">
        <v>1064.2666666666671</v>
      </c>
      <c r="X80" s="537">
        <v>2</v>
      </c>
      <c r="Y80" s="642"/>
      <c r="Z80" s="529">
        <v>3</v>
      </c>
      <c r="AA80" s="538">
        <v>3208.333333333338</v>
      </c>
      <c r="AB80" s="538">
        <v>1069.4444444444459</v>
      </c>
      <c r="AC80" s="538">
        <v>5</v>
      </c>
      <c r="AD80" s="642"/>
      <c r="AE80" s="529">
        <v>3</v>
      </c>
      <c r="AF80" s="538">
        <v>3168.9230769230762</v>
      </c>
      <c r="AG80" s="538">
        <v>1056.3076923076922</v>
      </c>
      <c r="AH80" s="538">
        <v>3</v>
      </c>
      <c r="AI80" s="642"/>
      <c r="AJ80" s="529">
        <v>3</v>
      </c>
      <c r="AK80" s="538">
        <v>3178.0952380952417</v>
      </c>
      <c r="AL80" s="538">
        <v>1059.3650793650806</v>
      </c>
      <c r="AM80" s="538">
        <v>2</v>
      </c>
      <c r="AN80" s="642"/>
      <c r="AO80" s="529">
        <v>3</v>
      </c>
      <c r="AP80" s="538">
        <v>3171.4285714285697</v>
      </c>
      <c r="AQ80" s="538">
        <v>1057.1428571428567</v>
      </c>
      <c r="AR80" s="538">
        <v>4</v>
      </c>
      <c r="AS80" s="642"/>
      <c r="AT80" s="529">
        <v>3</v>
      </c>
      <c r="AU80" s="538">
        <v>3214.7368421052647</v>
      </c>
      <c r="AV80" s="538">
        <v>1071.5789473684215</v>
      </c>
      <c r="AW80" s="538">
        <v>7</v>
      </c>
      <c r="AX80" s="642"/>
      <c r="AZ80" s="377" t="e">
        <f t="shared" si="25"/>
        <v>#N/A</v>
      </c>
      <c r="BA80" s="611"/>
    </row>
    <row r="81" spans="2:53">
      <c r="B81" s="655"/>
      <c r="C81" s="529">
        <v>5</v>
      </c>
      <c r="D81" s="416" t="s">
        <v>327</v>
      </c>
      <c r="E81" s="416">
        <v>4</v>
      </c>
      <c r="F81" s="416">
        <v>3200</v>
      </c>
      <c r="G81" s="531">
        <v>800</v>
      </c>
      <c r="H81" s="611"/>
      <c r="I81" s="531">
        <f t="shared" si="27"/>
        <v>4</v>
      </c>
      <c r="J81" s="531">
        <f t="shared" si="27"/>
        <v>3187.2066089593723</v>
      </c>
      <c r="K81" s="363">
        <f t="shared" si="27"/>
        <v>796.80165223984307</v>
      </c>
      <c r="L81" s="632"/>
      <c r="M81" s="531">
        <f>RANK(K81, K$77:$K$106)</f>
        <v>11</v>
      </c>
      <c r="N81" s="640"/>
      <c r="O81" s="640"/>
      <c r="P81" s="529">
        <v>4</v>
      </c>
      <c r="Q81" s="538">
        <v>3077.1428571428564</v>
      </c>
      <c r="R81" s="538">
        <v>769.28571428571411</v>
      </c>
      <c r="S81" s="537">
        <v>17</v>
      </c>
      <c r="T81" s="642"/>
      <c r="U81" s="529">
        <v>4</v>
      </c>
      <c r="V81" s="538">
        <v>3158.9999999999991</v>
      </c>
      <c r="W81" s="538">
        <v>789.74999999999977</v>
      </c>
      <c r="X81" s="537">
        <v>14</v>
      </c>
      <c r="Y81" s="642"/>
      <c r="Z81" s="529">
        <v>4</v>
      </c>
      <c r="AA81" s="538">
        <v>3359.9999999999973</v>
      </c>
      <c r="AB81" s="538">
        <v>839.99999999999932</v>
      </c>
      <c r="AC81" s="538">
        <v>12</v>
      </c>
      <c r="AD81" s="642"/>
      <c r="AE81" s="529">
        <v>4</v>
      </c>
      <c r="AF81" s="538">
        <v>3105.8823529411725</v>
      </c>
      <c r="AG81" s="538">
        <v>776.47058823529312</v>
      </c>
      <c r="AH81" s="538">
        <v>14</v>
      </c>
      <c r="AI81" s="642"/>
      <c r="AJ81" s="529">
        <v>4</v>
      </c>
      <c r="AK81" s="538">
        <v>3139.9999999999945</v>
      </c>
      <c r="AL81" s="538">
        <v>784.99999999999864</v>
      </c>
      <c r="AM81" s="538">
        <v>15</v>
      </c>
      <c r="AN81" s="642"/>
      <c r="AO81" s="529">
        <v>4</v>
      </c>
      <c r="AP81" s="538">
        <v>3148.4210526315769</v>
      </c>
      <c r="AQ81" s="538">
        <v>787.10526315789423</v>
      </c>
      <c r="AR81" s="538">
        <v>13</v>
      </c>
      <c r="AS81" s="642"/>
      <c r="AT81" s="529">
        <v>4</v>
      </c>
      <c r="AU81" s="538">
        <v>3320.0000000000118</v>
      </c>
      <c r="AV81" s="538">
        <v>830.00000000000296</v>
      </c>
      <c r="AW81" s="538">
        <v>13</v>
      </c>
      <c r="AX81" s="642"/>
      <c r="AZ81" s="377" t="e">
        <f t="shared" si="25"/>
        <v>#N/A</v>
      </c>
      <c r="BA81" s="611"/>
    </row>
    <row r="82" spans="2:53">
      <c r="B82" s="655"/>
      <c r="C82" s="529">
        <v>6</v>
      </c>
      <c r="D82" s="416" t="s">
        <v>325</v>
      </c>
      <c r="E82" s="416">
        <v>4</v>
      </c>
      <c r="F82" s="416">
        <v>3200</v>
      </c>
      <c r="G82" s="531">
        <v>800</v>
      </c>
      <c r="H82" s="611"/>
      <c r="I82" s="531">
        <f t="shared" si="27"/>
        <v>4</v>
      </c>
      <c r="J82" s="531">
        <f t="shared" si="27"/>
        <v>3129.2278911564595</v>
      </c>
      <c r="K82" s="363">
        <f t="shared" si="27"/>
        <v>782.30697278911487</v>
      </c>
      <c r="L82" s="632"/>
      <c r="M82" s="531">
        <f>RANK(K82, K$77:$K$106)</f>
        <v>15</v>
      </c>
      <c r="N82" s="640"/>
      <c r="O82" s="640"/>
      <c r="P82" s="529">
        <v>4</v>
      </c>
      <c r="Q82" s="538">
        <v>3220.0000000000114</v>
      </c>
      <c r="R82" s="538">
        <v>805.00000000000284</v>
      </c>
      <c r="S82" s="537">
        <v>12</v>
      </c>
      <c r="T82" s="642"/>
      <c r="U82" s="529">
        <v>4</v>
      </c>
      <c r="V82" s="538">
        <v>3114.0000000000109</v>
      </c>
      <c r="W82" s="538">
        <v>778.50000000000273</v>
      </c>
      <c r="X82" s="537">
        <v>15</v>
      </c>
      <c r="Y82" s="642"/>
      <c r="Z82" s="529">
        <v>4</v>
      </c>
      <c r="AA82" s="538">
        <v>2986.6666666666774</v>
      </c>
      <c r="AB82" s="538">
        <v>746.66666666666936</v>
      </c>
      <c r="AC82" s="538">
        <v>18</v>
      </c>
      <c r="AD82" s="642"/>
      <c r="AE82" s="529">
        <v>4</v>
      </c>
      <c r="AF82" s="538">
        <v>3051.4285714285475</v>
      </c>
      <c r="AG82" s="538">
        <v>762.85714285713686</v>
      </c>
      <c r="AH82" s="538">
        <v>15</v>
      </c>
      <c r="AI82" s="642"/>
      <c r="AJ82" s="529">
        <v>4</v>
      </c>
      <c r="AK82" s="538">
        <v>2785.7142857142635</v>
      </c>
      <c r="AL82" s="538">
        <v>696.42857142856587</v>
      </c>
      <c r="AM82" s="538">
        <v>18</v>
      </c>
      <c r="AN82" s="642"/>
      <c r="AO82" s="529">
        <v>4</v>
      </c>
      <c r="AP82" s="538">
        <v>3232.4999999999791</v>
      </c>
      <c r="AQ82" s="538">
        <v>808.12499999999477</v>
      </c>
      <c r="AR82" s="538">
        <v>11</v>
      </c>
      <c r="AS82" s="642"/>
      <c r="AT82" s="529">
        <v>4</v>
      </c>
      <c r="AU82" s="538">
        <v>3514.285714285727</v>
      </c>
      <c r="AV82" s="538">
        <v>878.57142857143174</v>
      </c>
      <c r="AW82" s="538">
        <v>11</v>
      </c>
      <c r="AX82" s="642"/>
      <c r="AZ82" s="377" t="e">
        <f t="shared" si="25"/>
        <v>#N/A</v>
      </c>
      <c r="BA82" s="611"/>
    </row>
    <row r="83" spans="2:53">
      <c r="B83" s="655"/>
      <c r="C83" s="529">
        <v>7</v>
      </c>
      <c r="D83" s="416" t="s">
        <v>328</v>
      </c>
      <c r="E83" s="416">
        <v>4</v>
      </c>
      <c r="F83" s="416">
        <v>2800</v>
      </c>
      <c r="G83" s="531">
        <v>700</v>
      </c>
      <c r="H83" s="611"/>
      <c r="I83" s="531">
        <f t="shared" si="27"/>
        <v>4</v>
      </c>
      <c r="J83" s="531">
        <f t="shared" si="27"/>
        <v>3175.396103896102</v>
      </c>
      <c r="K83" s="363">
        <f t="shared" si="27"/>
        <v>793.84902597402549</v>
      </c>
      <c r="L83" s="632"/>
      <c r="M83" s="531">
        <f>RANK(K83, K$77:$K$106)</f>
        <v>14</v>
      </c>
      <c r="N83" s="640"/>
      <c r="O83" s="640"/>
      <c r="P83" s="529">
        <v>4</v>
      </c>
      <c r="Q83" s="538">
        <v>3152.727272727273</v>
      </c>
      <c r="R83" s="538">
        <v>788.18181818181824</v>
      </c>
      <c r="S83" s="537">
        <v>14</v>
      </c>
      <c r="T83" s="642"/>
      <c r="U83" s="529">
        <v>4</v>
      </c>
      <c r="V83" s="538">
        <v>3174.5454545454545</v>
      </c>
      <c r="W83" s="538">
        <v>793.63636363636363</v>
      </c>
      <c r="X83" s="537">
        <v>12</v>
      </c>
      <c r="Y83" s="642"/>
      <c r="Z83" s="529">
        <v>4</v>
      </c>
      <c r="AA83" s="538">
        <v>3439.9999999999973</v>
      </c>
      <c r="AB83" s="538">
        <v>859.99999999999932</v>
      </c>
      <c r="AC83" s="538">
        <v>11</v>
      </c>
      <c r="AD83" s="642"/>
      <c r="AE83" s="529">
        <v>4</v>
      </c>
      <c r="AF83" s="538">
        <v>3149.9999999999959</v>
      </c>
      <c r="AG83" s="538">
        <v>787.49999999999898</v>
      </c>
      <c r="AH83" s="538">
        <v>13</v>
      </c>
      <c r="AI83" s="642"/>
      <c r="AJ83" s="529">
        <v>4</v>
      </c>
      <c r="AK83" s="538">
        <v>2992.4999999999964</v>
      </c>
      <c r="AL83" s="538">
        <v>748.12499999999909</v>
      </c>
      <c r="AM83" s="538">
        <v>16</v>
      </c>
      <c r="AN83" s="642"/>
      <c r="AO83" s="529">
        <v>4</v>
      </c>
      <c r="AP83" s="538">
        <v>3077.9999999999991</v>
      </c>
      <c r="AQ83" s="538">
        <v>769.49999999999977</v>
      </c>
      <c r="AR83" s="538">
        <v>16</v>
      </c>
      <c r="AS83" s="642"/>
      <c r="AT83" s="529">
        <v>4</v>
      </c>
      <c r="AU83" s="538">
        <v>3239.9999999999973</v>
      </c>
      <c r="AV83" s="538">
        <v>809.99999999999932</v>
      </c>
      <c r="AW83" s="538">
        <v>14</v>
      </c>
      <c r="AX83" s="642"/>
      <c r="AZ83" s="377" t="e">
        <f t="shared" si="25"/>
        <v>#N/A</v>
      </c>
      <c r="BA83" s="611"/>
    </row>
    <row r="84" spans="2:53">
      <c r="B84" s="655"/>
      <c r="C84" s="529">
        <v>8</v>
      </c>
      <c r="D84" s="416" t="s">
        <v>329</v>
      </c>
      <c r="E84" s="416">
        <v>3</v>
      </c>
      <c r="F84" s="416">
        <v>3200</v>
      </c>
      <c r="G84" s="531">
        <v>1066.6666666666667</v>
      </c>
      <c r="H84" s="611"/>
      <c r="I84" s="531">
        <f t="shared" si="27"/>
        <v>3</v>
      </c>
      <c r="J84" s="531">
        <f t="shared" si="27"/>
        <v>3182.9373737373744</v>
      </c>
      <c r="K84" s="363">
        <f t="shared" si="27"/>
        <v>1060.9791245791246</v>
      </c>
      <c r="L84" s="632"/>
      <c r="M84" s="531">
        <f>RANK(K84, K$77:$K$106)</f>
        <v>3</v>
      </c>
      <c r="N84" s="640"/>
      <c r="O84" s="640"/>
      <c r="P84" s="529">
        <v>3</v>
      </c>
      <c r="Q84" s="538">
        <v>3166.6666666666683</v>
      </c>
      <c r="R84" s="538">
        <v>1055.5555555555561</v>
      </c>
      <c r="S84" s="537">
        <v>4</v>
      </c>
      <c r="T84" s="642"/>
      <c r="U84" s="529">
        <v>3</v>
      </c>
      <c r="V84" s="538">
        <v>3142.2222222222235</v>
      </c>
      <c r="W84" s="538">
        <v>1047.4074074074078</v>
      </c>
      <c r="X84" s="537">
        <v>5</v>
      </c>
      <c r="Y84" s="642"/>
      <c r="Z84" s="529">
        <v>3</v>
      </c>
      <c r="AA84" s="538">
        <v>3204.0000000000009</v>
      </c>
      <c r="AB84" s="538">
        <v>1068.0000000000002</v>
      </c>
      <c r="AC84" s="538">
        <v>6</v>
      </c>
      <c r="AD84" s="642"/>
      <c r="AE84" s="529">
        <v>3</v>
      </c>
      <c r="AF84" s="538">
        <v>3193.6363636363576</v>
      </c>
      <c r="AG84" s="538">
        <v>1064.5454545454525</v>
      </c>
      <c r="AH84" s="538">
        <v>2</v>
      </c>
      <c r="AI84" s="642"/>
      <c r="AJ84" s="529">
        <v>3</v>
      </c>
      <c r="AK84" s="538">
        <v>3103.6363636363635</v>
      </c>
      <c r="AL84" s="538">
        <v>1034.5454545454545</v>
      </c>
      <c r="AM84" s="538">
        <v>6</v>
      </c>
      <c r="AN84" s="642"/>
      <c r="AO84" s="529">
        <v>3</v>
      </c>
      <c r="AP84" s="538">
        <v>3180.0000000000018</v>
      </c>
      <c r="AQ84" s="538">
        <v>1060.0000000000007</v>
      </c>
      <c r="AR84" s="538">
        <v>2</v>
      </c>
      <c r="AS84" s="642"/>
      <c r="AT84" s="529">
        <v>3</v>
      </c>
      <c r="AU84" s="538">
        <v>3290.400000000001</v>
      </c>
      <c r="AV84" s="538">
        <v>1096.8000000000004</v>
      </c>
      <c r="AW84" s="538">
        <v>4</v>
      </c>
      <c r="AX84" s="642"/>
      <c r="AZ84" s="377" t="e">
        <f t="shared" si="25"/>
        <v>#N/A</v>
      </c>
      <c r="BA84" s="611"/>
    </row>
    <row r="85" spans="2:53">
      <c r="B85" s="655"/>
      <c r="C85" s="529">
        <v>9</v>
      </c>
      <c r="D85" s="416" t="s">
        <v>330</v>
      </c>
      <c r="E85" s="416">
        <v>3</v>
      </c>
      <c r="F85" s="416">
        <v>2800</v>
      </c>
      <c r="G85" s="531">
        <v>933.33333333333337</v>
      </c>
      <c r="H85" s="611"/>
      <c r="I85" s="531">
        <f t="shared" si="27"/>
        <v>3</v>
      </c>
      <c r="J85" s="531">
        <f t="shared" si="27"/>
        <v>3159.5519430237773</v>
      </c>
      <c r="K85" s="363">
        <f t="shared" si="27"/>
        <v>1053.1839810079259</v>
      </c>
      <c r="L85" s="632"/>
      <c r="M85" s="531">
        <f>RANK(K85, K$77:$K$106)</f>
        <v>5</v>
      </c>
      <c r="N85" s="640"/>
      <c r="O85" s="640"/>
      <c r="P85" s="529">
        <v>3</v>
      </c>
      <c r="Q85" s="538">
        <v>3177.8571428571454</v>
      </c>
      <c r="R85" s="538">
        <v>1059.2857142857151</v>
      </c>
      <c r="S85" s="537">
        <v>2</v>
      </c>
      <c r="T85" s="642"/>
      <c r="U85" s="529">
        <v>3</v>
      </c>
      <c r="V85" s="538">
        <v>3093.1034482758646</v>
      </c>
      <c r="W85" s="538">
        <v>1031.0344827586216</v>
      </c>
      <c r="X85" s="537">
        <v>8</v>
      </c>
      <c r="Y85" s="642"/>
      <c r="Z85" s="529">
        <v>3</v>
      </c>
      <c r="AA85" s="538">
        <v>3203.0769230769247</v>
      </c>
      <c r="AB85" s="538">
        <v>1067.6923076923083</v>
      </c>
      <c r="AC85" s="538">
        <v>7</v>
      </c>
      <c r="AD85" s="642"/>
      <c r="AE85" s="529">
        <v>3</v>
      </c>
      <c r="AF85" s="538">
        <v>3094.9999999999905</v>
      </c>
      <c r="AG85" s="538">
        <v>1031.6666666666636</v>
      </c>
      <c r="AH85" s="538">
        <v>5</v>
      </c>
      <c r="AI85" s="642"/>
      <c r="AJ85" s="529">
        <v>3</v>
      </c>
      <c r="AK85" s="538">
        <v>3067.8260869565115</v>
      </c>
      <c r="AL85" s="538">
        <v>1022.6086956521705</v>
      </c>
      <c r="AM85" s="538">
        <v>7</v>
      </c>
      <c r="AN85" s="642"/>
      <c r="AO85" s="529">
        <v>3</v>
      </c>
      <c r="AP85" s="538">
        <v>3180.0000000000018</v>
      </c>
      <c r="AQ85" s="538">
        <v>1060.0000000000007</v>
      </c>
      <c r="AR85" s="538">
        <v>2</v>
      </c>
      <c r="AS85" s="642"/>
      <c r="AT85" s="529">
        <v>3</v>
      </c>
      <c r="AU85" s="538">
        <v>3300.0000000000018</v>
      </c>
      <c r="AV85" s="538">
        <v>1100.0000000000007</v>
      </c>
      <c r="AW85" s="538">
        <v>2</v>
      </c>
      <c r="AX85" s="642"/>
      <c r="AZ85" s="377" t="e">
        <f t="shared" si="25"/>
        <v>#N/A</v>
      </c>
      <c r="BA85" s="611"/>
    </row>
    <row r="86" spans="2:53">
      <c r="B86" s="655"/>
      <c r="C86" s="529">
        <v>10</v>
      </c>
      <c r="D86" s="416" t="s">
        <v>331</v>
      </c>
      <c r="E86" s="416">
        <v>4</v>
      </c>
      <c r="F86" s="416">
        <v>2800</v>
      </c>
      <c r="G86" s="531">
        <v>700</v>
      </c>
      <c r="H86" s="611"/>
      <c r="I86" s="531">
        <f t="shared" si="27"/>
        <v>4</v>
      </c>
      <c r="J86" s="531">
        <f t="shared" si="27"/>
        <v>3185.5110954263155</v>
      </c>
      <c r="K86" s="363">
        <f t="shared" si="27"/>
        <v>796.37777385657887</v>
      </c>
      <c r="L86" s="632"/>
      <c r="M86" s="531">
        <f>RANK(K86, K$77:$K$106)</f>
        <v>12</v>
      </c>
      <c r="N86" s="640"/>
      <c r="O86" s="640"/>
      <c r="P86" s="529">
        <v>4</v>
      </c>
      <c r="Q86" s="538">
        <v>3146.4000000000005</v>
      </c>
      <c r="R86" s="538">
        <v>786.60000000000014</v>
      </c>
      <c r="S86" s="537">
        <v>15</v>
      </c>
      <c r="T86" s="642"/>
      <c r="U86" s="529">
        <v>4</v>
      </c>
      <c r="V86" s="538">
        <v>3162.5000000000009</v>
      </c>
      <c r="W86" s="538">
        <v>790.62500000000023</v>
      </c>
      <c r="X86" s="537">
        <v>13</v>
      </c>
      <c r="Y86" s="642"/>
      <c r="Z86" s="529">
        <v>4</v>
      </c>
      <c r="AA86" s="538">
        <v>3267.3913043478324</v>
      </c>
      <c r="AB86" s="538">
        <v>816.84782608695809</v>
      </c>
      <c r="AC86" s="538">
        <v>14</v>
      </c>
      <c r="AD86" s="642"/>
      <c r="AE86" s="529">
        <v>4</v>
      </c>
      <c r="AF86" s="538">
        <v>3163.636363636369</v>
      </c>
      <c r="AG86" s="538">
        <v>790.90909090909224</v>
      </c>
      <c r="AH86" s="538">
        <v>12</v>
      </c>
      <c r="AI86" s="642"/>
      <c r="AJ86" s="529">
        <v>4</v>
      </c>
      <c r="AK86" s="538">
        <v>3170.0000000000055</v>
      </c>
      <c r="AL86" s="538">
        <v>792.50000000000136</v>
      </c>
      <c r="AM86" s="538">
        <v>14</v>
      </c>
      <c r="AN86" s="642"/>
      <c r="AO86" s="529">
        <v>4</v>
      </c>
      <c r="AP86" s="538">
        <v>3152.400000000001</v>
      </c>
      <c r="AQ86" s="538">
        <v>788.10000000000025</v>
      </c>
      <c r="AR86" s="538">
        <v>12</v>
      </c>
      <c r="AS86" s="642"/>
      <c r="AT86" s="529">
        <v>4</v>
      </c>
      <c r="AU86" s="538">
        <v>3236.2500000000009</v>
      </c>
      <c r="AV86" s="538">
        <v>809.06250000000023</v>
      </c>
      <c r="AW86" s="538">
        <v>16</v>
      </c>
      <c r="AX86" s="642"/>
      <c r="AZ86" s="377" t="e">
        <f t="shared" si="25"/>
        <v>#N/A</v>
      </c>
      <c r="BA86" s="611"/>
    </row>
    <row r="87" spans="2:53">
      <c r="B87" s="655"/>
      <c r="C87" s="529">
        <v>11</v>
      </c>
      <c r="D87" s="416" t="s">
        <v>332</v>
      </c>
      <c r="E87" s="416">
        <v>4</v>
      </c>
      <c r="F87" s="416">
        <v>2800</v>
      </c>
      <c r="G87" s="531">
        <v>700</v>
      </c>
      <c r="H87" s="611"/>
      <c r="I87" s="531">
        <f t="shared" si="27"/>
        <v>4</v>
      </c>
      <c r="J87" s="531">
        <f t="shared" si="27"/>
        <v>2776.6321709909521</v>
      </c>
      <c r="K87" s="363">
        <f t="shared" si="27"/>
        <v>694.15804274773802</v>
      </c>
      <c r="L87" s="632"/>
      <c r="M87" s="531">
        <f>RANK(K87, K$77:$K$106)</f>
        <v>20</v>
      </c>
      <c r="N87" s="640"/>
      <c r="O87" s="640"/>
      <c r="P87" s="529">
        <v>4</v>
      </c>
      <c r="Q87" s="538">
        <v>2760.0000000000027</v>
      </c>
      <c r="R87" s="538">
        <v>690.00000000000068</v>
      </c>
      <c r="S87" s="537">
        <v>20</v>
      </c>
      <c r="T87" s="642"/>
      <c r="U87" s="529">
        <v>4</v>
      </c>
      <c r="V87" s="538">
        <v>2777.2881355932191</v>
      </c>
      <c r="W87" s="538">
        <v>694.32203389830477</v>
      </c>
      <c r="X87" s="537">
        <v>20</v>
      </c>
      <c r="Y87" s="642"/>
      <c r="Z87" s="529">
        <v>4</v>
      </c>
      <c r="AA87" s="538">
        <v>2811.4285714285693</v>
      </c>
      <c r="AB87" s="538">
        <v>702.85714285714232</v>
      </c>
      <c r="AC87" s="538">
        <v>20</v>
      </c>
      <c r="AD87" s="642"/>
      <c r="AE87" s="529">
        <v>4</v>
      </c>
      <c r="AF87" s="538">
        <v>2764.7058823529383</v>
      </c>
      <c r="AG87" s="538">
        <v>691.17647058823457</v>
      </c>
      <c r="AH87" s="538">
        <v>20</v>
      </c>
      <c r="AI87" s="642"/>
      <c r="AJ87" s="529">
        <v>4</v>
      </c>
      <c r="AK87" s="538">
        <v>2762.3076923076937</v>
      </c>
      <c r="AL87" s="538">
        <v>690.57692307692344</v>
      </c>
      <c r="AM87" s="538">
        <v>19</v>
      </c>
      <c r="AN87" s="642"/>
      <c r="AO87" s="529">
        <v>4</v>
      </c>
      <c r="AP87" s="538">
        <v>2759.0000000000027</v>
      </c>
      <c r="AQ87" s="538">
        <v>689.75000000000068</v>
      </c>
      <c r="AR87" s="538">
        <v>18</v>
      </c>
      <c r="AS87" s="642"/>
      <c r="AT87" s="529">
        <v>4</v>
      </c>
      <c r="AU87" s="538">
        <v>2801.6949152542361</v>
      </c>
      <c r="AV87" s="538">
        <v>700.42372881355902</v>
      </c>
      <c r="AW87" s="538">
        <v>21</v>
      </c>
      <c r="AX87" s="642"/>
      <c r="AZ87" s="377" t="e">
        <f t="shared" si="25"/>
        <v>#N/A</v>
      </c>
      <c r="BA87" s="611"/>
    </row>
    <row r="88" spans="2:53">
      <c r="B88" s="655"/>
      <c r="C88" s="529">
        <v>12</v>
      </c>
      <c r="D88" s="535" t="s">
        <v>462</v>
      </c>
      <c r="E88" s="416">
        <v>3</v>
      </c>
      <c r="F88" s="416">
        <v>2800</v>
      </c>
      <c r="G88" s="531">
        <v>933.33333333333337</v>
      </c>
      <c r="H88" s="611"/>
      <c r="I88" s="531">
        <f t="shared" si="27"/>
        <v>3</v>
      </c>
      <c r="J88" s="531">
        <f t="shared" si="27"/>
        <v>2803.332025862454</v>
      </c>
      <c r="K88" s="363">
        <f t="shared" si="27"/>
        <v>934.44400862081795</v>
      </c>
      <c r="L88" s="632"/>
      <c r="M88" s="531">
        <f>RANK(K88, K$77:$K$106)</f>
        <v>10</v>
      </c>
      <c r="N88" s="640"/>
      <c r="O88" s="640"/>
      <c r="P88" s="529">
        <v>3</v>
      </c>
      <c r="Q88" s="538">
        <v>2788.2352941176437</v>
      </c>
      <c r="R88" s="538">
        <v>929.41176470588118</v>
      </c>
      <c r="S88" s="537">
        <v>10</v>
      </c>
      <c r="T88" s="642"/>
      <c r="U88" s="529">
        <v>3</v>
      </c>
      <c r="V88" s="538">
        <v>2799.3749999999964</v>
      </c>
      <c r="W88" s="538">
        <v>933.12499999999875</v>
      </c>
      <c r="X88" s="537">
        <v>10</v>
      </c>
      <c r="Y88" s="642"/>
      <c r="Z88" s="529">
        <v>3</v>
      </c>
      <c r="AA88" s="538">
        <v>2862.0000000000027</v>
      </c>
      <c r="AB88" s="538">
        <v>954.00000000000091</v>
      </c>
      <c r="AC88" s="538">
        <v>10</v>
      </c>
      <c r="AD88" s="642"/>
      <c r="AE88" s="529">
        <v>3</v>
      </c>
      <c r="AF88" s="538">
        <v>2732.1428571428592</v>
      </c>
      <c r="AG88" s="538">
        <v>910.71428571428635</v>
      </c>
      <c r="AH88" s="538">
        <v>10</v>
      </c>
      <c r="AI88" s="642"/>
      <c r="AJ88" s="529">
        <v>3</v>
      </c>
      <c r="AK88" s="538">
        <v>2794.6153846153861</v>
      </c>
      <c r="AL88" s="538">
        <v>931.538461538462</v>
      </c>
      <c r="AM88" s="538">
        <v>10</v>
      </c>
      <c r="AN88" s="642"/>
      <c r="AO88" s="529">
        <v>3</v>
      </c>
      <c r="AP88" s="538">
        <v>2784.3749999999964</v>
      </c>
      <c r="AQ88" s="538">
        <v>928.12499999999875</v>
      </c>
      <c r="AR88" s="538">
        <v>9</v>
      </c>
      <c r="AS88" s="642"/>
      <c r="AT88" s="529">
        <v>3</v>
      </c>
      <c r="AU88" s="538">
        <v>2862.580645161293</v>
      </c>
      <c r="AV88" s="538">
        <v>954.19354838709762</v>
      </c>
      <c r="AW88" s="538">
        <v>9</v>
      </c>
      <c r="AX88" s="642"/>
      <c r="AZ88" s="377" t="e">
        <f t="shared" si="25"/>
        <v>#N/A</v>
      </c>
      <c r="BA88" s="611"/>
    </row>
    <row r="89" spans="2:53">
      <c r="B89" s="655"/>
      <c r="C89" s="529">
        <v>13</v>
      </c>
      <c r="D89" s="416" t="s">
        <v>558</v>
      </c>
      <c r="E89" s="416">
        <v>4</v>
      </c>
      <c r="F89" s="416">
        <v>2800</v>
      </c>
      <c r="G89" s="531">
        <v>700</v>
      </c>
      <c r="H89" s="611"/>
      <c r="I89" s="531">
        <f t="shared" si="27"/>
        <v>4</v>
      </c>
      <c r="J89" s="531">
        <f t="shared" si="27"/>
        <v>2763.5996860282676</v>
      </c>
      <c r="K89" s="363">
        <f t="shared" si="27"/>
        <v>690.89992150706689</v>
      </c>
      <c r="L89" s="632"/>
      <c r="M89" s="531">
        <f>RANK(K89, K$77:$K$106)</f>
        <v>21</v>
      </c>
      <c r="N89" s="640"/>
      <c r="O89" s="640"/>
      <c r="P89" s="529">
        <v>4</v>
      </c>
      <c r="Q89" s="538">
        <v>2707.50000000001</v>
      </c>
      <c r="R89" s="538">
        <v>676.8750000000025</v>
      </c>
      <c r="S89" s="537">
        <v>21</v>
      </c>
      <c r="T89" s="642"/>
      <c r="U89" s="529">
        <v>4</v>
      </c>
      <c r="V89" s="538">
        <v>2692.5000000000095</v>
      </c>
      <c r="W89" s="538">
        <v>673.12500000000239</v>
      </c>
      <c r="X89" s="537">
        <v>21</v>
      </c>
      <c r="Y89" s="642"/>
      <c r="Z89" s="529">
        <v>4</v>
      </c>
      <c r="AA89" s="538">
        <v>2931.428571428582</v>
      </c>
      <c r="AB89" s="538">
        <v>732.8571428571455</v>
      </c>
      <c r="AC89" s="538">
        <v>19</v>
      </c>
      <c r="AD89" s="642"/>
      <c r="AE89" s="529">
        <v>4</v>
      </c>
      <c r="AF89" s="538">
        <v>2681.538461538471</v>
      </c>
      <c r="AG89" s="538">
        <v>670.38461538461775</v>
      </c>
      <c r="AH89" s="538">
        <v>21</v>
      </c>
      <c r="AI89" s="642"/>
      <c r="AJ89" s="529">
        <v>4</v>
      </c>
      <c r="AK89" s="538">
        <v>2675.0000000000095</v>
      </c>
      <c r="AL89" s="538">
        <v>668.75000000000239</v>
      </c>
      <c r="AM89" s="538">
        <v>20</v>
      </c>
      <c r="AN89" s="642"/>
      <c r="AO89" s="529">
        <v>4</v>
      </c>
      <c r="AP89" s="538">
        <v>2648.0000000000095</v>
      </c>
      <c r="AQ89" s="538">
        <v>662.00000000000239</v>
      </c>
      <c r="AR89" s="538">
        <v>20</v>
      </c>
      <c r="AS89" s="642"/>
      <c r="AT89" s="529">
        <v>4</v>
      </c>
      <c r="AU89" s="538">
        <v>3009.23076923078</v>
      </c>
      <c r="AV89" s="538">
        <v>752.30769230769499</v>
      </c>
      <c r="AW89" s="538">
        <v>19</v>
      </c>
      <c r="AX89" s="642"/>
      <c r="AZ89" s="377" t="e">
        <f t="shared" si="25"/>
        <v>#N/A</v>
      </c>
      <c r="BA89" s="611"/>
    </row>
    <row r="90" spans="2:53">
      <c r="B90" s="655"/>
      <c r="C90" s="529">
        <v>14</v>
      </c>
      <c r="D90" s="416" t="s">
        <v>601</v>
      </c>
      <c r="E90" s="416">
        <v>4</v>
      </c>
      <c r="F90" s="416">
        <v>3200</v>
      </c>
      <c r="G90" s="531">
        <v>800</v>
      </c>
      <c r="H90" s="611"/>
      <c r="I90" s="531">
        <f t="shared" si="27"/>
        <v>4</v>
      </c>
      <c r="J90" s="531">
        <f t="shared" si="27"/>
        <v>2850.9353741496552</v>
      </c>
      <c r="K90" s="363">
        <f t="shared" si="27"/>
        <v>712.7338435374138</v>
      </c>
      <c r="L90" s="632"/>
      <c r="M90" s="531">
        <f>RANK(K90, K$77:$K$106)</f>
        <v>19</v>
      </c>
      <c r="N90" s="640"/>
      <c r="O90" s="640"/>
      <c r="P90" s="529">
        <v>4</v>
      </c>
      <c r="Q90" s="538">
        <v>2839.999999999985</v>
      </c>
      <c r="R90" s="538">
        <v>709.99999999999625</v>
      </c>
      <c r="S90" s="537">
        <v>19</v>
      </c>
      <c r="T90" s="642"/>
      <c r="U90" s="529">
        <v>4</v>
      </c>
      <c r="V90" s="538">
        <v>2853.333333333318</v>
      </c>
      <c r="W90" s="538">
        <v>713.33333333332951</v>
      </c>
      <c r="X90" s="537">
        <v>18</v>
      </c>
      <c r="Y90" s="642"/>
      <c r="Z90" s="529">
        <v>4</v>
      </c>
      <c r="AA90" s="538">
        <v>3022.5000000000105</v>
      </c>
      <c r="AB90" s="538">
        <v>755.62500000000261</v>
      </c>
      <c r="AC90" s="538">
        <v>16</v>
      </c>
      <c r="AD90" s="642"/>
      <c r="AE90" s="529">
        <v>4</v>
      </c>
      <c r="AF90" s="538">
        <v>2890.00000000001</v>
      </c>
      <c r="AG90" s="538">
        <v>722.5000000000025</v>
      </c>
      <c r="AH90" s="538">
        <v>18</v>
      </c>
      <c r="AI90" s="642"/>
      <c r="AJ90" s="529">
        <v>4</v>
      </c>
      <c r="AK90" s="538">
        <v>2520.0000000000091</v>
      </c>
      <c r="AL90" s="538">
        <v>630.00000000000227</v>
      </c>
      <c r="AM90" s="538">
        <v>21</v>
      </c>
      <c r="AN90" s="642"/>
      <c r="AO90" s="529">
        <v>4</v>
      </c>
      <c r="AP90" s="538">
        <v>2744.999999999955</v>
      </c>
      <c r="AQ90" s="538">
        <v>686.24999999998875</v>
      </c>
      <c r="AR90" s="538">
        <v>19</v>
      </c>
      <c r="AS90" s="642"/>
      <c r="AT90" s="529">
        <v>4</v>
      </c>
      <c r="AU90" s="538">
        <v>3085.7142857142967</v>
      </c>
      <c r="AV90" s="538">
        <v>771.42857142857417</v>
      </c>
      <c r="AW90" s="538">
        <v>17</v>
      </c>
      <c r="AX90" s="642"/>
      <c r="AZ90" s="377" t="e">
        <f t="shared" si="25"/>
        <v>#N/A</v>
      </c>
      <c r="BA90" s="611"/>
    </row>
    <row r="91" spans="2:53">
      <c r="B91" s="655"/>
      <c r="C91" s="529">
        <v>15</v>
      </c>
      <c r="D91" s="535" t="s">
        <v>684</v>
      </c>
      <c r="E91" s="416">
        <v>3</v>
      </c>
      <c r="F91" s="416">
        <v>3200</v>
      </c>
      <c r="G91" s="531">
        <v>1066.6666666666667</v>
      </c>
      <c r="H91" s="611"/>
      <c r="I91" s="531">
        <f t="shared" si="27"/>
        <v>3</v>
      </c>
      <c r="J91" s="531">
        <f t="shared" si="27"/>
        <v>3166.704980733557</v>
      </c>
      <c r="K91" s="363">
        <f t="shared" si="27"/>
        <v>1055.5683269111855</v>
      </c>
      <c r="L91" s="632"/>
      <c r="M91" s="531">
        <f>RANK(K91, K$77:$K$106)</f>
        <v>4</v>
      </c>
      <c r="N91" s="640"/>
      <c r="O91" s="640"/>
      <c r="P91" s="529">
        <v>3</v>
      </c>
      <c r="Q91" s="538">
        <v>3162.8571428571454</v>
      </c>
      <c r="R91" s="538">
        <v>1054.2857142857151</v>
      </c>
      <c r="S91" s="537">
        <v>5</v>
      </c>
      <c r="T91" s="642"/>
      <c r="U91" s="529">
        <v>3</v>
      </c>
      <c r="V91" s="538">
        <v>3135.0000000000027</v>
      </c>
      <c r="W91" s="538">
        <v>1045.0000000000009</v>
      </c>
      <c r="X91" s="537">
        <v>7</v>
      </c>
      <c r="Y91" s="642"/>
      <c r="Z91" s="529">
        <v>3</v>
      </c>
      <c r="AA91" s="538">
        <v>3244.6153846153961</v>
      </c>
      <c r="AB91" s="538">
        <v>1081.5384615384653</v>
      </c>
      <c r="AC91" s="538">
        <v>4</v>
      </c>
      <c r="AD91" s="642"/>
      <c r="AE91" s="529">
        <v>3</v>
      </c>
      <c r="AF91" s="538">
        <v>3079.0909090909199</v>
      </c>
      <c r="AG91" s="538">
        <v>1026.3636363636399</v>
      </c>
      <c r="AH91" s="538">
        <v>6</v>
      </c>
      <c r="AI91" s="642"/>
      <c r="AJ91" s="529">
        <v>3</v>
      </c>
      <c r="AK91" s="538">
        <v>3108.5714285714398</v>
      </c>
      <c r="AL91" s="538">
        <v>1036.19047619048</v>
      </c>
      <c r="AM91" s="538">
        <v>5</v>
      </c>
      <c r="AN91" s="642"/>
      <c r="AO91" s="529">
        <v>3</v>
      </c>
      <c r="AP91" s="538">
        <v>3119.9999999999832</v>
      </c>
      <c r="AQ91" s="538">
        <v>1039.9999999999943</v>
      </c>
      <c r="AR91" s="538">
        <v>5</v>
      </c>
      <c r="AS91" s="642"/>
      <c r="AT91" s="529">
        <v>3</v>
      </c>
      <c r="AU91" s="538">
        <v>3316.8000000000116</v>
      </c>
      <c r="AV91" s="538">
        <v>1105.6000000000038</v>
      </c>
      <c r="AW91" s="538">
        <v>1</v>
      </c>
      <c r="AX91" s="642"/>
      <c r="AZ91" s="377" t="e">
        <f t="shared" si="25"/>
        <v>#N/A</v>
      </c>
      <c r="BA91" s="611"/>
    </row>
    <row r="92" spans="2:53">
      <c r="B92" s="655"/>
      <c r="C92" s="529">
        <v>16</v>
      </c>
      <c r="D92" s="416" t="s">
        <v>692</v>
      </c>
      <c r="E92" s="416">
        <v>3</v>
      </c>
      <c r="F92" s="416">
        <v>3200</v>
      </c>
      <c r="G92" s="531">
        <v>1066.6666666666667</v>
      </c>
      <c r="H92" s="611"/>
      <c r="I92" s="531">
        <f t="shared" si="27"/>
        <v>3</v>
      </c>
      <c r="J92" s="531">
        <f t="shared" si="27"/>
        <v>3106.6060084945157</v>
      </c>
      <c r="K92" s="363">
        <f t="shared" si="27"/>
        <v>1035.5353361648383</v>
      </c>
      <c r="L92" s="632"/>
      <c r="M92" s="531">
        <f>RANK(K92, K$77:$K$106)</f>
        <v>7</v>
      </c>
      <c r="N92" s="640"/>
      <c r="O92" s="640"/>
      <c r="P92" s="529">
        <v>3</v>
      </c>
      <c r="Q92" s="538">
        <v>3103.6363636363635</v>
      </c>
      <c r="R92" s="538">
        <v>1034.5454545454545</v>
      </c>
      <c r="S92" s="537">
        <v>6</v>
      </c>
      <c r="T92" s="642"/>
      <c r="U92" s="529">
        <v>3</v>
      </c>
      <c r="V92" s="538">
        <v>3142.8571428571299</v>
      </c>
      <c r="W92" s="538">
        <v>1047.6190476190434</v>
      </c>
      <c r="X92" s="537">
        <v>4</v>
      </c>
      <c r="Y92" s="642"/>
      <c r="Z92" s="529">
        <v>3</v>
      </c>
      <c r="AA92" s="538">
        <v>3337.8947368421032</v>
      </c>
      <c r="AB92" s="538">
        <v>1112.6315789473676</v>
      </c>
      <c r="AC92" s="538">
        <v>2</v>
      </c>
      <c r="AD92" s="642"/>
      <c r="AE92" s="529">
        <v>3</v>
      </c>
      <c r="AF92" s="538">
        <v>3021.1764705882315</v>
      </c>
      <c r="AG92" s="538">
        <v>1007.0588235294105</v>
      </c>
      <c r="AH92" s="538">
        <v>7</v>
      </c>
      <c r="AI92" s="642"/>
      <c r="AJ92" s="529">
        <v>3</v>
      </c>
      <c r="AK92" s="538">
        <v>3168.0000000000114</v>
      </c>
      <c r="AL92" s="538">
        <v>1056.0000000000039</v>
      </c>
      <c r="AM92" s="538">
        <v>3</v>
      </c>
      <c r="AN92" s="642"/>
      <c r="AO92" s="529">
        <v>3</v>
      </c>
      <c r="AP92" s="538">
        <v>2754.782608695652</v>
      </c>
      <c r="AQ92" s="538">
        <v>918.26086956521738</v>
      </c>
      <c r="AR92" s="538">
        <v>10</v>
      </c>
      <c r="AS92" s="642"/>
      <c r="AT92" s="529">
        <v>3</v>
      </c>
      <c r="AU92" s="538">
        <v>3217.8947368421168</v>
      </c>
      <c r="AV92" s="538">
        <v>1072.6315789473722</v>
      </c>
      <c r="AW92" s="538">
        <v>5</v>
      </c>
      <c r="AX92" s="642"/>
      <c r="AZ92" s="377" t="e">
        <f t="shared" si="25"/>
        <v>#N/A</v>
      </c>
      <c r="BA92" s="611"/>
    </row>
    <row r="93" spans="2:53">
      <c r="B93" s="655"/>
      <c r="C93" s="529">
        <v>17</v>
      </c>
      <c r="D93" s="416" t="s">
        <v>725</v>
      </c>
      <c r="E93" s="416">
        <v>3</v>
      </c>
      <c r="F93" s="416">
        <v>3200</v>
      </c>
      <c r="G93" s="531">
        <v>1066.6666666666667</v>
      </c>
      <c r="H93" s="611"/>
      <c r="I93" s="531">
        <f t="shared" si="27"/>
        <v>3</v>
      </c>
      <c r="J93" s="531">
        <f t="shared" si="27"/>
        <v>2982.4827030812298</v>
      </c>
      <c r="K93" s="363">
        <f t="shared" si="27"/>
        <v>994.16090102707653</v>
      </c>
      <c r="L93" s="632"/>
      <c r="M93" s="531">
        <f>RANK(K93, K$77:$K$106)</f>
        <v>9</v>
      </c>
      <c r="N93" s="640"/>
      <c r="O93" s="640"/>
      <c r="P93" s="529">
        <v>3</v>
      </c>
      <c r="Q93" s="538">
        <v>2936.4705882352978</v>
      </c>
      <c r="R93" s="538">
        <v>978.82352941176589</v>
      </c>
      <c r="S93" s="537">
        <v>8</v>
      </c>
      <c r="T93" s="642"/>
      <c r="U93" s="529">
        <v>3</v>
      </c>
      <c r="V93" s="538">
        <v>2979.9999999999959</v>
      </c>
      <c r="W93" s="538">
        <v>993.33333333333201</v>
      </c>
      <c r="X93" s="537">
        <v>9</v>
      </c>
      <c r="Y93" s="642"/>
      <c r="Z93" s="529">
        <v>3</v>
      </c>
      <c r="AA93" s="538">
        <v>3071.9999999999945</v>
      </c>
      <c r="AB93" s="538">
        <v>1023.9999999999982</v>
      </c>
      <c r="AC93" s="538">
        <v>9</v>
      </c>
      <c r="AD93" s="642"/>
      <c r="AE93" s="529">
        <v>3</v>
      </c>
      <c r="AF93" s="538">
        <v>2933.3333333333262</v>
      </c>
      <c r="AG93" s="538">
        <v>977.77777777777544</v>
      </c>
      <c r="AH93" s="538">
        <v>9</v>
      </c>
      <c r="AI93" s="642"/>
      <c r="AJ93" s="529">
        <v>3</v>
      </c>
      <c r="AK93" s="538">
        <v>2983.1999999999916</v>
      </c>
      <c r="AL93" s="538">
        <v>994.39999999999725</v>
      </c>
      <c r="AM93" s="538">
        <v>9</v>
      </c>
      <c r="AN93" s="642"/>
      <c r="AO93" s="529">
        <v>3</v>
      </c>
      <c r="AP93" s="538">
        <v>2934.3749999999964</v>
      </c>
      <c r="AQ93" s="538">
        <v>978.12499999999875</v>
      </c>
      <c r="AR93" s="538">
        <v>7</v>
      </c>
      <c r="AS93" s="642"/>
      <c r="AT93" s="529">
        <v>3</v>
      </c>
      <c r="AU93" s="538">
        <v>3038.0000000000027</v>
      </c>
      <c r="AV93" s="538">
        <v>1012.6666666666675</v>
      </c>
      <c r="AW93" s="538">
        <v>8</v>
      </c>
      <c r="AX93" s="642"/>
      <c r="AZ93" s="377" t="e">
        <f t="shared" si="25"/>
        <v>#N/A</v>
      </c>
      <c r="BA93" s="611"/>
    </row>
    <row r="94" spans="2:53">
      <c r="B94" s="655"/>
      <c r="C94" s="529">
        <v>18</v>
      </c>
      <c r="D94" s="535" t="s">
        <v>333</v>
      </c>
      <c r="E94" s="416">
        <v>4</v>
      </c>
      <c r="F94" s="416">
        <v>2800</v>
      </c>
      <c r="G94" s="531">
        <v>700</v>
      </c>
      <c r="H94" s="611"/>
      <c r="I94" s="531">
        <f t="shared" si="27"/>
        <v>4</v>
      </c>
      <c r="J94" s="531">
        <f t="shared" si="27"/>
        <v>2977.2857142857142</v>
      </c>
      <c r="K94" s="363">
        <f t="shared" si="27"/>
        <v>744.32142857142856</v>
      </c>
      <c r="L94" s="632"/>
      <c r="M94" s="531">
        <f>RANK(K94, K$77:$K$106)</f>
        <v>17</v>
      </c>
      <c r="N94" s="640"/>
      <c r="O94" s="640"/>
      <c r="P94" s="529">
        <v>4</v>
      </c>
      <c r="Q94" s="538">
        <v>3221.9999999999854</v>
      </c>
      <c r="R94" s="538">
        <v>805.49999999999636</v>
      </c>
      <c r="S94" s="537">
        <v>11</v>
      </c>
      <c r="T94" s="642"/>
      <c r="U94" s="529">
        <v>4</v>
      </c>
      <c r="V94" s="538">
        <v>2991.0000000000109</v>
      </c>
      <c r="W94" s="538">
        <v>747.75000000000273</v>
      </c>
      <c r="X94" s="537">
        <v>17</v>
      </c>
      <c r="Y94" s="642"/>
      <c r="Z94" s="529">
        <v>4</v>
      </c>
      <c r="AA94" s="538">
        <v>2799.00000000001</v>
      </c>
      <c r="AB94" s="538">
        <v>699.7500000000025</v>
      </c>
      <c r="AC94" s="538">
        <v>21</v>
      </c>
      <c r="AD94" s="642"/>
      <c r="AE94" s="529">
        <v>4</v>
      </c>
      <c r="AF94" s="538">
        <v>2793.00000000001</v>
      </c>
      <c r="AG94" s="538">
        <v>698.2500000000025</v>
      </c>
      <c r="AH94" s="538">
        <v>19</v>
      </c>
      <c r="AI94" s="642"/>
      <c r="AJ94" s="529">
        <v>4</v>
      </c>
      <c r="AK94" s="538">
        <v>2886.0000000000105</v>
      </c>
      <c r="AL94" s="538">
        <v>721.50000000000261</v>
      </c>
      <c r="AM94" s="538">
        <v>17</v>
      </c>
      <c r="AN94" s="642"/>
      <c r="AO94" s="529">
        <v>4</v>
      </c>
      <c r="AP94" s="538">
        <v>3098.9999999999864</v>
      </c>
      <c r="AQ94" s="538">
        <v>774.74999999999659</v>
      </c>
      <c r="AR94" s="538">
        <v>15</v>
      </c>
      <c r="AS94" s="642"/>
      <c r="AT94" s="529">
        <v>4</v>
      </c>
      <c r="AU94" s="538">
        <v>3050.9999999999864</v>
      </c>
      <c r="AV94" s="538">
        <v>762.74999999999659</v>
      </c>
      <c r="AW94" s="538">
        <v>18</v>
      </c>
      <c r="AX94" s="642"/>
      <c r="AZ94" s="377" t="e">
        <f t="shared" si="25"/>
        <v>#N/A</v>
      </c>
      <c r="BA94" s="611"/>
    </row>
    <row r="95" spans="2:53">
      <c r="B95" s="655"/>
      <c r="C95" s="529">
        <v>19</v>
      </c>
      <c r="D95" s="535" t="s">
        <v>425</v>
      </c>
      <c r="E95" s="416">
        <v>3</v>
      </c>
      <c r="F95" s="416">
        <v>2800</v>
      </c>
      <c r="G95" s="531">
        <v>933.33333333333337</v>
      </c>
      <c r="H95" s="611"/>
      <c r="I95" s="531">
        <f t="shared" si="27"/>
        <v>3</v>
      </c>
      <c r="J95" s="531">
        <f t="shared" si="27"/>
        <v>2993.5714285714171</v>
      </c>
      <c r="K95" s="363">
        <f t="shared" si="27"/>
        <v>997.85714285713914</v>
      </c>
      <c r="L95" s="632"/>
      <c r="M95" s="531">
        <f>RANK(K95, K$77:$K$106)</f>
        <v>8</v>
      </c>
      <c r="N95" s="640"/>
      <c r="O95" s="640"/>
      <c r="P95" s="529">
        <v>3</v>
      </c>
      <c r="Q95" s="538">
        <v>2807.9999999999923</v>
      </c>
      <c r="R95" s="538">
        <v>935.99999999999739</v>
      </c>
      <c r="S95" s="537">
        <v>9</v>
      </c>
      <c r="T95" s="642"/>
      <c r="U95" s="529">
        <v>3</v>
      </c>
      <c r="V95" s="538">
        <v>3314.999999999985</v>
      </c>
      <c r="W95" s="538">
        <v>1104.999999999995</v>
      </c>
      <c r="X95" s="537">
        <v>1</v>
      </c>
      <c r="Y95" s="642"/>
      <c r="Z95" s="529">
        <v>3</v>
      </c>
      <c r="AA95" s="538">
        <v>3182.9999999999859</v>
      </c>
      <c r="AB95" s="538">
        <v>1060.9999999999952</v>
      </c>
      <c r="AC95" s="538">
        <v>8</v>
      </c>
      <c r="AD95" s="642"/>
      <c r="AE95" s="529">
        <v>3</v>
      </c>
      <c r="AF95" s="538">
        <v>2969.9999999999868</v>
      </c>
      <c r="AG95" s="538">
        <v>989.99999999999557</v>
      </c>
      <c r="AH95" s="538">
        <v>8</v>
      </c>
      <c r="AI95" s="642"/>
      <c r="AJ95" s="529">
        <v>3</v>
      </c>
      <c r="AK95" s="538">
        <v>3182.9999999999859</v>
      </c>
      <c r="AL95" s="538">
        <v>1060.9999999999952</v>
      </c>
      <c r="AM95" s="538">
        <v>1</v>
      </c>
      <c r="AN95" s="642"/>
      <c r="AO95" s="529">
        <v>3</v>
      </c>
      <c r="AP95" s="538">
        <v>2791.1999999999921</v>
      </c>
      <c r="AQ95" s="538">
        <v>930.39999999999736</v>
      </c>
      <c r="AR95" s="538">
        <v>8</v>
      </c>
      <c r="AS95" s="642"/>
      <c r="AT95" s="529">
        <v>3</v>
      </c>
      <c r="AU95" s="538">
        <v>2704.799999999992</v>
      </c>
      <c r="AV95" s="538">
        <v>901.59999999999729</v>
      </c>
      <c r="AW95" s="538">
        <v>10</v>
      </c>
      <c r="AX95" s="642"/>
      <c r="AZ95" s="377" t="e">
        <f t="shared" si="25"/>
        <v>#N/A</v>
      </c>
      <c r="BA95" s="611"/>
    </row>
    <row r="96" spans="2:53">
      <c r="B96" s="655"/>
      <c r="C96" s="529">
        <v>20</v>
      </c>
      <c r="D96" s="535" t="s">
        <v>436</v>
      </c>
      <c r="E96" s="416">
        <v>4</v>
      </c>
      <c r="F96" s="416">
        <v>2200</v>
      </c>
      <c r="G96" s="531">
        <v>550</v>
      </c>
      <c r="H96" s="611"/>
      <c r="I96" s="531">
        <f t="shared" si="27"/>
        <v>3</v>
      </c>
      <c r="J96" s="531">
        <f t="shared" si="27"/>
        <v>2228.1224489795941</v>
      </c>
      <c r="K96" s="363">
        <f t="shared" si="27"/>
        <v>742.70748299319803</v>
      </c>
      <c r="L96" s="632"/>
      <c r="M96" s="531">
        <f>RANK(K96, K$77:$K$106)</f>
        <v>18</v>
      </c>
      <c r="N96" s="640"/>
      <c r="O96" s="640"/>
      <c r="P96" s="529">
        <v>3</v>
      </c>
      <c r="Q96" s="538">
        <v>2221.7142857142835</v>
      </c>
      <c r="R96" s="538">
        <v>740.57142857142787</v>
      </c>
      <c r="S96" s="537">
        <v>18</v>
      </c>
      <c r="T96" s="642"/>
      <c r="U96" s="529">
        <v>3</v>
      </c>
      <c r="V96" s="538">
        <v>2115.4285714285693</v>
      </c>
      <c r="W96" s="538">
        <v>705.14285714285643</v>
      </c>
      <c r="X96" s="537">
        <v>19</v>
      </c>
      <c r="Y96" s="642"/>
      <c r="Z96" s="529">
        <v>3</v>
      </c>
      <c r="AA96" s="538">
        <v>2264.0000000000082</v>
      </c>
      <c r="AB96" s="538">
        <v>754.66666666666936</v>
      </c>
      <c r="AC96" s="538">
        <v>17</v>
      </c>
      <c r="AD96" s="642"/>
      <c r="AE96" s="529">
        <v>3</v>
      </c>
      <c r="AF96" s="538">
        <v>2222.0000000000082</v>
      </c>
      <c r="AG96" s="538">
        <v>740.66666666666936</v>
      </c>
      <c r="AH96" s="538">
        <v>17</v>
      </c>
      <c r="AI96" s="642"/>
      <c r="AJ96" s="529">
        <v>3</v>
      </c>
      <c r="AK96" s="538">
        <v>2380.0000000000082</v>
      </c>
      <c r="AL96" s="538">
        <v>793.3333333333361</v>
      </c>
      <c r="AM96" s="538">
        <v>13</v>
      </c>
      <c r="AN96" s="642"/>
      <c r="AO96" s="529">
        <v>3</v>
      </c>
      <c r="AP96" s="538">
        <v>2216.5714285714266</v>
      </c>
      <c r="AQ96" s="538">
        <v>738.85714285714221</v>
      </c>
      <c r="AR96" s="538">
        <v>17</v>
      </c>
      <c r="AS96" s="642"/>
      <c r="AT96" s="529">
        <v>3</v>
      </c>
      <c r="AU96" s="538">
        <v>2177.1428571428551</v>
      </c>
      <c r="AV96" s="538">
        <v>725.71428571428498</v>
      </c>
      <c r="AW96" s="538">
        <v>20</v>
      </c>
      <c r="AX96" s="642"/>
      <c r="AZ96" s="377" t="e">
        <f t="shared" si="25"/>
        <v>#N/A</v>
      </c>
      <c r="BA96" s="611"/>
    </row>
    <row r="97" spans="2:53">
      <c r="B97" s="655"/>
      <c r="C97" s="529">
        <v>21</v>
      </c>
      <c r="D97" s="535" t="s">
        <v>770</v>
      </c>
      <c r="E97" s="416">
        <v>4</v>
      </c>
      <c r="F97" s="416">
        <v>2200</v>
      </c>
      <c r="G97" s="531">
        <v>550</v>
      </c>
      <c r="H97" s="611"/>
      <c r="I97" s="531">
        <f t="shared" si="27"/>
        <v>4</v>
      </c>
      <c r="J97" s="531">
        <f t="shared" si="27"/>
        <v>2265.1285714285732</v>
      </c>
      <c r="K97" s="363">
        <f t="shared" si="27"/>
        <v>566.2821428571433</v>
      </c>
      <c r="L97" s="632"/>
      <c r="M97" s="531">
        <f>RANK(K97, K$77:$K$106)</f>
        <v>22</v>
      </c>
      <c r="N97" s="640"/>
      <c r="O97" s="640"/>
      <c r="P97" s="529">
        <v>4</v>
      </c>
      <c r="Q97" s="538">
        <v>2289.6000000000085</v>
      </c>
      <c r="R97" s="538">
        <v>572.40000000000214</v>
      </c>
      <c r="S97" s="537">
        <v>22</v>
      </c>
      <c r="T97" s="642"/>
      <c r="U97" s="529">
        <v>4</v>
      </c>
      <c r="V97" s="538">
        <v>2182.8000000000079</v>
      </c>
      <c r="W97" s="538">
        <v>545.70000000000198</v>
      </c>
      <c r="X97" s="537">
        <v>22</v>
      </c>
      <c r="Y97" s="642"/>
      <c r="Z97" s="529">
        <v>4</v>
      </c>
      <c r="AA97" s="538">
        <v>2294.9999999999991</v>
      </c>
      <c r="AB97" s="538">
        <v>573.74999999999977</v>
      </c>
      <c r="AC97" s="538">
        <v>22</v>
      </c>
      <c r="AD97" s="642"/>
      <c r="AE97" s="529">
        <v>4</v>
      </c>
      <c r="AF97" s="538">
        <v>2164.4999999999991</v>
      </c>
      <c r="AG97" s="538">
        <v>541.12499999999977</v>
      </c>
      <c r="AH97" s="538">
        <v>22</v>
      </c>
      <c r="AI97" s="642"/>
      <c r="AJ97" s="529">
        <v>4</v>
      </c>
      <c r="AK97" s="538">
        <v>2233.4999999999991</v>
      </c>
      <c r="AL97" s="538">
        <v>558.37499999999977</v>
      </c>
      <c r="AM97" s="538">
        <v>22</v>
      </c>
      <c r="AN97" s="642"/>
      <c r="AO97" s="529">
        <v>4</v>
      </c>
      <c r="AP97" s="538">
        <v>2375.9999999999991</v>
      </c>
      <c r="AQ97" s="538">
        <v>593.99999999999977</v>
      </c>
      <c r="AR97" s="538">
        <v>21</v>
      </c>
      <c r="AS97" s="642"/>
      <c r="AT97" s="529">
        <v>4</v>
      </c>
      <c r="AU97" s="538">
        <v>2314.4999999999991</v>
      </c>
      <c r="AV97" s="538">
        <v>578.62499999999977</v>
      </c>
      <c r="AW97" s="538">
        <v>22</v>
      </c>
      <c r="AX97" s="642"/>
      <c r="AZ97" s="377" t="e">
        <f t="shared" si="25"/>
        <v>#N/A</v>
      </c>
      <c r="BA97" s="611"/>
    </row>
    <row r="98" spans="2:53">
      <c r="B98" s="655"/>
      <c r="C98" s="529">
        <v>22</v>
      </c>
      <c r="D98" s="535" t="s">
        <v>771</v>
      </c>
      <c r="E98" s="416">
        <v>5</v>
      </c>
      <c r="F98" s="416">
        <v>2200</v>
      </c>
      <c r="G98" s="531">
        <v>333.33333333333331</v>
      </c>
      <c r="H98" s="611"/>
      <c r="I98" s="531">
        <f t="shared" si="27"/>
        <v>5</v>
      </c>
      <c r="J98" s="531">
        <f t="shared" si="27"/>
        <v>2049.4203853790373</v>
      </c>
      <c r="K98" s="363">
        <f t="shared" si="27"/>
        <v>409.88407707580745</v>
      </c>
      <c r="L98" s="632"/>
      <c r="M98" s="531">
        <f>RANK(K98, K$77:$K$106)</f>
        <v>23</v>
      </c>
      <c r="N98" s="640"/>
      <c r="O98" s="640"/>
      <c r="P98" s="529">
        <v>5</v>
      </c>
      <c r="Q98" s="538">
        <v>2072.4999999999936</v>
      </c>
      <c r="R98" s="538">
        <v>414.49999999999875</v>
      </c>
      <c r="S98" s="537">
        <v>23</v>
      </c>
      <c r="T98" s="642"/>
      <c r="U98" s="529">
        <v>5</v>
      </c>
      <c r="V98" s="538">
        <v>2094.5454545454622</v>
      </c>
      <c r="W98" s="538">
        <v>418.90909090909247</v>
      </c>
      <c r="X98" s="537">
        <v>23</v>
      </c>
      <c r="Y98" s="642"/>
      <c r="Z98" s="529">
        <v>5</v>
      </c>
      <c r="AA98" s="538">
        <v>2020.000000000007</v>
      </c>
      <c r="AB98" s="538">
        <v>404.00000000000142</v>
      </c>
      <c r="AC98" s="538">
        <v>24</v>
      </c>
      <c r="AD98" s="642"/>
      <c r="AE98" s="529">
        <v>5</v>
      </c>
      <c r="AF98" s="538">
        <v>2043.3333333333408</v>
      </c>
      <c r="AG98" s="538">
        <v>408.66666666666816</v>
      </c>
      <c r="AH98" s="538">
        <v>23</v>
      </c>
      <c r="AI98" s="642"/>
      <c r="AJ98" s="529">
        <v>5</v>
      </c>
      <c r="AK98" s="538">
        <v>2050.0000000000073</v>
      </c>
      <c r="AL98" s="538">
        <v>410.00000000000148</v>
      </c>
      <c r="AM98" s="538">
        <v>23</v>
      </c>
      <c r="AN98" s="642"/>
      <c r="AO98" s="529">
        <v>5</v>
      </c>
      <c r="AP98" s="538">
        <v>1997.1428571428644</v>
      </c>
      <c r="AQ98" s="538">
        <v>399.42857142857287</v>
      </c>
      <c r="AR98" s="538">
        <v>24</v>
      </c>
      <c r="AS98" s="642"/>
      <c r="AT98" s="529">
        <v>5</v>
      </c>
      <c r="AU98" s="538">
        <v>2068.421052631586</v>
      </c>
      <c r="AV98" s="538">
        <v>413.6842105263172</v>
      </c>
      <c r="AW98" s="538">
        <v>23</v>
      </c>
      <c r="AX98" s="642"/>
      <c r="AZ98" s="377" t="e">
        <f t="shared" si="25"/>
        <v>#N/A</v>
      </c>
      <c r="BA98" s="611"/>
    </row>
    <row r="99" spans="2:53">
      <c r="B99" s="655"/>
      <c r="C99" s="529">
        <v>23</v>
      </c>
      <c r="D99" s="416" t="s">
        <v>772</v>
      </c>
      <c r="E99" s="416">
        <v>5</v>
      </c>
      <c r="F99" s="416">
        <v>2200</v>
      </c>
      <c r="G99" s="531">
        <v>333.33333333333331</v>
      </c>
      <c r="H99" s="611"/>
      <c r="I99" s="531">
        <f t="shared" si="27"/>
        <v>5</v>
      </c>
      <c r="J99" s="531">
        <f t="shared" si="27"/>
        <v>1990.8209592338869</v>
      </c>
      <c r="K99" s="363">
        <f t="shared" si="27"/>
        <v>398.16419184677733</v>
      </c>
      <c r="L99" s="632"/>
      <c r="M99" s="531">
        <f>RANK(K99, K$77:$K$106)</f>
        <v>24</v>
      </c>
      <c r="N99" s="640"/>
      <c r="O99" s="640"/>
      <c r="P99" s="529">
        <v>5</v>
      </c>
      <c r="Q99" s="538">
        <v>2028.4615384615333</v>
      </c>
      <c r="R99" s="538">
        <v>405.69230769230666</v>
      </c>
      <c r="S99" s="537">
        <v>24</v>
      </c>
      <c r="T99" s="642"/>
      <c r="U99" s="529">
        <v>5</v>
      </c>
      <c r="V99" s="538">
        <v>2035.1999999999941</v>
      </c>
      <c r="W99" s="538">
        <v>407.03999999999883</v>
      </c>
      <c r="X99" s="537">
        <v>24</v>
      </c>
      <c r="Y99" s="642"/>
      <c r="Z99" s="529">
        <v>5</v>
      </c>
      <c r="AA99" s="538">
        <v>2051.4285714285788</v>
      </c>
      <c r="AB99" s="538">
        <v>410.28571428571576</v>
      </c>
      <c r="AC99" s="538">
        <v>23</v>
      </c>
      <c r="AD99" s="642"/>
      <c r="AE99" s="529">
        <v>5</v>
      </c>
      <c r="AF99" s="538">
        <v>2016.6666666666738</v>
      </c>
      <c r="AG99" s="538">
        <v>403.33333333333474</v>
      </c>
      <c r="AH99" s="538">
        <v>24</v>
      </c>
      <c r="AI99" s="642"/>
      <c r="AJ99" s="529">
        <v>5</v>
      </c>
      <c r="AK99" s="538">
        <v>1976.2499999999873</v>
      </c>
      <c r="AL99" s="538">
        <v>395.24999999999744</v>
      </c>
      <c r="AM99" s="538">
        <v>24</v>
      </c>
      <c r="AN99" s="642"/>
      <c r="AO99" s="529">
        <v>5</v>
      </c>
      <c r="AP99" s="538">
        <v>2043.5294117646745</v>
      </c>
      <c r="AQ99" s="538">
        <v>408.70588235293491</v>
      </c>
      <c r="AR99" s="538">
        <v>23</v>
      </c>
      <c r="AS99" s="642"/>
      <c r="AT99" s="529">
        <v>5</v>
      </c>
      <c r="AU99" s="538">
        <v>1784.2105263157657</v>
      </c>
      <c r="AV99" s="538">
        <v>356.84210526315314</v>
      </c>
      <c r="AW99" s="538">
        <v>24</v>
      </c>
      <c r="AX99" s="642"/>
      <c r="AZ99" s="377" t="e">
        <f t="shared" si="25"/>
        <v>#N/A</v>
      </c>
      <c r="BA99" s="611"/>
    </row>
    <row r="100" spans="2:53">
      <c r="B100" s="655"/>
      <c r="C100" s="529">
        <v>24</v>
      </c>
      <c r="D100" s="535" t="s">
        <v>662</v>
      </c>
      <c r="E100" s="416">
        <v>8</v>
      </c>
      <c r="F100" s="416">
        <v>1500</v>
      </c>
      <c r="G100" s="531">
        <v>187.5</v>
      </c>
      <c r="H100" s="611"/>
      <c r="I100" s="531">
        <f t="shared" si="27"/>
        <v>12</v>
      </c>
      <c r="J100" s="531">
        <f t="shared" si="27"/>
        <v>1440.563768089937</v>
      </c>
      <c r="K100" s="363">
        <f t="shared" si="27"/>
        <v>120.04698067416142</v>
      </c>
      <c r="L100" s="632"/>
      <c r="M100" s="531">
        <f>RANK(K100, K$77:$K$106)</f>
        <v>25</v>
      </c>
      <c r="N100" s="640"/>
      <c r="O100" s="640"/>
      <c r="P100" s="529">
        <v>12</v>
      </c>
      <c r="Q100" s="538">
        <v>1432.3636363636374</v>
      </c>
      <c r="R100" s="538">
        <v>119.36363636363645</v>
      </c>
      <c r="S100" s="537">
        <v>25</v>
      </c>
      <c r="T100" s="642"/>
      <c r="U100" s="529">
        <v>12</v>
      </c>
      <c r="V100" s="538">
        <v>1458.1132075471708</v>
      </c>
      <c r="W100" s="538">
        <v>121.50943396226423</v>
      </c>
      <c r="X100" s="537">
        <v>25</v>
      </c>
      <c r="Y100" s="642"/>
      <c r="Z100" s="529">
        <v>12</v>
      </c>
      <c r="AA100" s="538">
        <v>1443.6000000000004</v>
      </c>
      <c r="AB100" s="538">
        <v>120.30000000000003</v>
      </c>
      <c r="AC100" s="538">
        <v>25</v>
      </c>
      <c r="AD100" s="642"/>
      <c r="AE100" s="529">
        <v>12</v>
      </c>
      <c r="AF100" s="538">
        <v>1421.6326530612248</v>
      </c>
      <c r="AG100" s="538">
        <v>118.46938775510206</v>
      </c>
      <c r="AH100" s="538">
        <v>25</v>
      </c>
      <c r="AI100" s="642"/>
      <c r="AJ100" s="529">
        <v>12</v>
      </c>
      <c r="AK100" s="538">
        <v>1424.7058823529419</v>
      </c>
      <c r="AL100" s="538">
        <v>118.7254901960785</v>
      </c>
      <c r="AM100" s="538">
        <v>25</v>
      </c>
      <c r="AN100" s="642"/>
      <c r="AO100" s="529">
        <v>12</v>
      </c>
      <c r="AP100" s="538">
        <v>1444.2857142857154</v>
      </c>
      <c r="AQ100" s="538">
        <v>120.35714285714295</v>
      </c>
      <c r="AR100" s="538">
        <v>25</v>
      </c>
      <c r="AS100" s="642"/>
      <c r="AT100" s="529">
        <v>12</v>
      </c>
      <c r="AU100" s="538">
        <v>1459.2452830188688</v>
      </c>
      <c r="AV100" s="538">
        <v>121.60377358490574</v>
      </c>
      <c r="AW100" s="538">
        <v>25</v>
      </c>
      <c r="AX100" s="642"/>
      <c r="AZ100" s="377" t="e">
        <f t="shared" si="25"/>
        <v>#N/A</v>
      </c>
      <c r="BA100" s="611"/>
    </row>
    <row r="101" spans="2:53">
      <c r="B101" s="655"/>
      <c r="C101" s="529">
        <v>25</v>
      </c>
      <c r="D101" s="416" t="s">
        <v>559</v>
      </c>
      <c r="E101" s="416">
        <v>12</v>
      </c>
      <c r="F101" s="416">
        <v>1500</v>
      </c>
      <c r="G101" s="531">
        <v>125</v>
      </c>
      <c r="H101" s="611"/>
      <c r="I101" s="531">
        <f t="shared" si="27"/>
        <v>11.428571428571429</v>
      </c>
      <c r="J101" s="531">
        <f t="shared" si="27"/>
        <v>1058.8571428571465</v>
      </c>
      <c r="K101" s="363">
        <f t="shared" si="27"/>
        <v>93.428571428571772</v>
      </c>
      <c r="L101" s="632"/>
      <c r="M101" s="531">
        <f>RANK(K101, K$77:$K$106)</f>
        <v>26</v>
      </c>
      <c r="N101" s="640"/>
      <c r="O101" s="640"/>
      <c r="P101" s="529">
        <v>12</v>
      </c>
      <c r="Q101" s="538">
        <v>1016.0000000000036</v>
      </c>
      <c r="R101" s="538">
        <v>84.66666666666697</v>
      </c>
      <c r="S101" s="537">
        <v>26</v>
      </c>
      <c r="T101" s="642"/>
      <c r="U101" s="529">
        <v>12</v>
      </c>
      <c r="V101" s="538">
        <v>1028.0000000000036</v>
      </c>
      <c r="W101" s="538">
        <v>85.66666666666697</v>
      </c>
      <c r="X101" s="537">
        <v>26</v>
      </c>
      <c r="Y101" s="642"/>
      <c r="Z101" s="529">
        <v>12</v>
      </c>
      <c r="AA101" s="538">
        <v>1070.0000000000039</v>
      </c>
      <c r="AB101" s="538">
        <v>89.166666666666984</v>
      </c>
      <c r="AC101" s="538">
        <v>26</v>
      </c>
      <c r="AD101" s="642"/>
      <c r="AE101" s="529">
        <v>12</v>
      </c>
      <c r="AF101" s="538">
        <v>1068.0000000000039</v>
      </c>
      <c r="AG101" s="538">
        <v>89.000000000000327</v>
      </c>
      <c r="AH101" s="538">
        <v>26</v>
      </c>
      <c r="AI101" s="642"/>
      <c r="AJ101" s="529">
        <v>12</v>
      </c>
      <c r="AK101" s="538">
        <v>1050.0000000000039</v>
      </c>
      <c r="AL101" s="538">
        <v>87.500000000000327</v>
      </c>
      <c r="AM101" s="538">
        <v>26</v>
      </c>
      <c r="AN101" s="642"/>
      <c r="AO101" s="529">
        <v>10</v>
      </c>
      <c r="AP101" s="538">
        <v>1145.0000000000041</v>
      </c>
      <c r="AQ101" s="538">
        <v>114.50000000000041</v>
      </c>
      <c r="AR101" s="538">
        <v>26</v>
      </c>
      <c r="AS101" s="642"/>
      <c r="AT101" s="529">
        <v>10</v>
      </c>
      <c r="AU101" s="538">
        <v>1035.0000000000036</v>
      </c>
      <c r="AV101" s="538">
        <v>103.50000000000037</v>
      </c>
      <c r="AW101" s="538">
        <v>26</v>
      </c>
      <c r="AX101" s="642"/>
      <c r="AZ101" s="377" t="e">
        <f t="shared" si="25"/>
        <v>#N/A</v>
      </c>
      <c r="BA101" s="611"/>
    </row>
    <row r="102" spans="2:53">
      <c r="B102" s="655"/>
      <c r="C102" s="529">
        <v>26</v>
      </c>
      <c r="D102" s="416" t="s">
        <v>838</v>
      </c>
      <c r="E102" s="416">
        <v>4</v>
      </c>
      <c r="F102" s="416">
        <v>3200</v>
      </c>
      <c r="G102" s="531">
        <v>800</v>
      </c>
      <c r="H102" s="611"/>
      <c r="I102" s="531">
        <f t="shared" si="27"/>
        <v>4</v>
      </c>
      <c r="J102" s="531">
        <f t="shared" si="27"/>
        <v>3067.1682192040571</v>
      </c>
      <c r="K102" s="363">
        <f t="shared" si="27"/>
        <v>766.79205480101427</v>
      </c>
      <c r="L102" s="632"/>
      <c r="M102" s="531">
        <f>RANK(K102, K$77:$K$106)</f>
        <v>16</v>
      </c>
      <c r="N102" s="640"/>
      <c r="O102" s="640"/>
      <c r="P102" s="529">
        <v>4</v>
      </c>
      <c r="Q102" s="538">
        <v>3180.0000000000005</v>
      </c>
      <c r="R102" s="538">
        <v>795.00000000000011</v>
      </c>
      <c r="S102" s="537">
        <v>13</v>
      </c>
      <c r="T102" s="642"/>
      <c r="U102" s="529">
        <v>4</v>
      </c>
      <c r="V102" s="538">
        <v>3180.0000000000005</v>
      </c>
      <c r="W102" s="538">
        <v>795.00000000000011</v>
      </c>
      <c r="X102" s="537">
        <v>11</v>
      </c>
      <c r="Y102" s="642"/>
      <c r="Z102" s="529">
        <v>4</v>
      </c>
      <c r="AA102" s="538">
        <v>3216.5853658536571</v>
      </c>
      <c r="AB102" s="538">
        <v>804.14634146341427</v>
      </c>
      <c r="AC102" s="538">
        <v>15</v>
      </c>
      <c r="AD102" s="642"/>
      <c r="AE102" s="529">
        <v>4</v>
      </c>
      <c r="AF102" s="538">
        <v>3216.5853658536571</v>
      </c>
      <c r="AG102" s="538">
        <v>804.14634146341427</v>
      </c>
      <c r="AH102" s="538">
        <v>11</v>
      </c>
      <c r="AI102" s="642"/>
      <c r="AJ102" s="529">
        <v>4</v>
      </c>
      <c r="AK102" s="538">
        <v>3192.2448979591845</v>
      </c>
      <c r="AL102" s="538">
        <v>798.06122448979613</v>
      </c>
      <c r="AM102" s="538">
        <v>12</v>
      </c>
      <c r="AN102" s="642"/>
      <c r="AO102" s="529">
        <v>4</v>
      </c>
      <c r="AP102" s="538">
        <v>2244.7619047619073</v>
      </c>
      <c r="AQ102" s="538">
        <v>561.19047619047683</v>
      </c>
      <c r="AR102" s="538">
        <v>22</v>
      </c>
      <c r="AS102" s="642"/>
      <c r="AT102" s="529">
        <v>4</v>
      </c>
      <c r="AU102" s="538">
        <v>3239.9999999999923</v>
      </c>
      <c r="AV102" s="538">
        <v>809.99999999999807</v>
      </c>
      <c r="AW102" s="538">
        <v>15</v>
      </c>
      <c r="AX102" s="642"/>
      <c r="AZ102" s="377" t="e">
        <f t="shared" si="25"/>
        <v>#N/A</v>
      </c>
      <c r="BA102" s="611"/>
    </row>
    <row r="103" spans="2:53">
      <c r="B103" s="655"/>
      <c r="C103" s="529">
        <v>27</v>
      </c>
      <c r="D103" s="416"/>
      <c r="E103" s="416"/>
      <c r="F103" s="416"/>
      <c r="G103" s="531"/>
      <c r="H103" s="611"/>
      <c r="I103" s="531" t="str">
        <f t="shared" si="27"/>
        <v>-</v>
      </c>
      <c r="J103" s="531" t="str">
        <f t="shared" si="27"/>
        <v>-</v>
      </c>
      <c r="K103" s="363" t="str">
        <f t="shared" si="27"/>
        <v>-</v>
      </c>
      <c r="L103" s="632"/>
      <c r="M103" s="531" t="e">
        <f>RANK(K103, K$77:$K$106)</f>
        <v>#VALUE!</v>
      </c>
      <c r="N103" s="640"/>
      <c r="O103" s="640"/>
      <c r="P103" s="529" t="s">
        <v>427</v>
      </c>
      <c r="Q103" s="538" t="s">
        <v>427</v>
      </c>
      <c r="R103" s="538" t="s">
        <v>427</v>
      </c>
      <c r="S103" s="537" t="e">
        <v>#VALUE!</v>
      </c>
      <c r="T103" s="642"/>
      <c r="U103" s="529" t="s">
        <v>427</v>
      </c>
      <c r="V103" s="538" t="s">
        <v>427</v>
      </c>
      <c r="W103" s="538" t="s">
        <v>427</v>
      </c>
      <c r="X103" s="537" t="e">
        <v>#VALUE!</v>
      </c>
      <c r="Y103" s="642"/>
      <c r="Z103" s="529" t="s">
        <v>427</v>
      </c>
      <c r="AA103" s="538" t="s">
        <v>427</v>
      </c>
      <c r="AB103" s="538" t="s">
        <v>427</v>
      </c>
      <c r="AC103" s="538" t="e">
        <v>#VALUE!</v>
      </c>
      <c r="AD103" s="642"/>
      <c r="AE103" s="529" t="s">
        <v>427</v>
      </c>
      <c r="AF103" s="538" t="s">
        <v>427</v>
      </c>
      <c r="AG103" s="538" t="s">
        <v>427</v>
      </c>
      <c r="AH103" s="538" t="e">
        <v>#VALUE!</v>
      </c>
      <c r="AI103" s="642"/>
      <c r="AJ103" s="529" t="s">
        <v>427</v>
      </c>
      <c r="AK103" s="538" t="s">
        <v>427</v>
      </c>
      <c r="AL103" s="538" t="s">
        <v>427</v>
      </c>
      <c r="AM103" s="538" t="e">
        <v>#VALUE!</v>
      </c>
      <c r="AN103" s="642"/>
      <c r="AO103" s="529" t="s">
        <v>427</v>
      </c>
      <c r="AP103" s="538" t="s">
        <v>427</v>
      </c>
      <c r="AQ103" s="538" t="s">
        <v>427</v>
      </c>
      <c r="AR103" s="538" t="e">
        <v>#VALUE!</v>
      </c>
      <c r="AS103" s="642"/>
      <c r="AT103" s="529" t="s">
        <v>427</v>
      </c>
      <c r="AU103" s="538" t="s">
        <v>427</v>
      </c>
      <c r="AV103" s="538" t="s">
        <v>427</v>
      </c>
      <c r="AW103" s="538" t="e">
        <v>#VALUE!</v>
      </c>
      <c r="AX103" s="642"/>
      <c r="AZ103" s="377" t="e">
        <f t="shared" si="25"/>
        <v>#N/A</v>
      </c>
      <c r="BA103" s="611"/>
    </row>
    <row r="104" spans="2:53">
      <c r="B104" s="655"/>
      <c r="C104" s="529">
        <v>28</v>
      </c>
      <c r="D104" s="416"/>
      <c r="E104" s="416"/>
      <c r="F104" s="416"/>
      <c r="G104" s="416"/>
      <c r="H104" s="611"/>
      <c r="I104" s="531" t="str">
        <f t="shared" si="27"/>
        <v>-</v>
      </c>
      <c r="J104" s="531" t="str">
        <f t="shared" si="27"/>
        <v>-</v>
      </c>
      <c r="K104" s="363" t="str">
        <f t="shared" si="27"/>
        <v>-</v>
      </c>
      <c r="L104" s="632"/>
      <c r="M104" s="531" t="e">
        <f>RANK(K104, K$77:$K$106)</f>
        <v>#VALUE!</v>
      </c>
      <c r="N104" s="640"/>
      <c r="O104" s="640"/>
      <c r="P104" s="529" t="s">
        <v>427</v>
      </c>
      <c r="Q104" s="538" t="s">
        <v>427</v>
      </c>
      <c r="R104" s="538" t="s">
        <v>427</v>
      </c>
      <c r="S104" s="537" t="e">
        <v>#VALUE!</v>
      </c>
      <c r="T104" s="642"/>
      <c r="U104" s="529" t="s">
        <v>427</v>
      </c>
      <c r="V104" s="538" t="s">
        <v>427</v>
      </c>
      <c r="W104" s="538" t="s">
        <v>427</v>
      </c>
      <c r="X104" s="537" t="e">
        <v>#VALUE!</v>
      </c>
      <c r="Y104" s="642"/>
      <c r="Z104" s="529" t="s">
        <v>427</v>
      </c>
      <c r="AA104" s="538" t="s">
        <v>427</v>
      </c>
      <c r="AB104" s="538" t="s">
        <v>427</v>
      </c>
      <c r="AC104" s="538" t="e">
        <v>#VALUE!</v>
      </c>
      <c r="AD104" s="642"/>
      <c r="AE104" s="529" t="s">
        <v>427</v>
      </c>
      <c r="AF104" s="538" t="s">
        <v>427</v>
      </c>
      <c r="AG104" s="538" t="s">
        <v>427</v>
      </c>
      <c r="AH104" s="538" t="e">
        <v>#VALUE!</v>
      </c>
      <c r="AI104" s="642"/>
      <c r="AJ104" s="529" t="s">
        <v>427</v>
      </c>
      <c r="AK104" s="538" t="s">
        <v>427</v>
      </c>
      <c r="AL104" s="538" t="s">
        <v>427</v>
      </c>
      <c r="AM104" s="538" t="e">
        <v>#VALUE!</v>
      </c>
      <c r="AN104" s="642"/>
      <c r="AO104" s="529" t="s">
        <v>427</v>
      </c>
      <c r="AP104" s="538" t="s">
        <v>427</v>
      </c>
      <c r="AQ104" s="538" t="s">
        <v>427</v>
      </c>
      <c r="AR104" s="538" t="e">
        <v>#VALUE!</v>
      </c>
      <c r="AS104" s="642"/>
      <c r="AT104" s="529" t="s">
        <v>427</v>
      </c>
      <c r="AU104" s="538" t="s">
        <v>427</v>
      </c>
      <c r="AV104" s="538" t="s">
        <v>427</v>
      </c>
      <c r="AW104" s="538" t="e">
        <v>#VALUE!</v>
      </c>
      <c r="AX104" s="642"/>
      <c r="AZ104" s="377" t="e">
        <f t="shared" si="25"/>
        <v>#N/A</v>
      </c>
      <c r="BA104" s="611"/>
    </row>
    <row r="105" spans="2:53">
      <c r="B105" s="655"/>
      <c r="C105" s="529">
        <v>29</v>
      </c>
      <c r="D105" s="416"/>
      <c r="E105" s="416"/>
      <c r="F105" s="416"/>
      <c r="G105" s="416"/>
      <c r="H105" s="611"/>
      <c r="I105" s="531" t="str">
        <f t="shared" si="27"/>
        <v>-</v>
      </c>
      <c r="J105" s="531" t="str">
        <f t="shared" si="27"/>
        <v>-</v>
      </c>
      <c r="K105" s="363" t="str">
        <f t="shared" si="27"/>
        <v>-</v>
      </c>
      <c r="L105" s="632"/>
      <c r="M105" s="531" t="e">
        <f>RANK(K105, K$77:$K$106)</f>
        <v>#VALUE!</v>
      </c>
      <c r="N105" s="640"/>
      <c r="O105" s="640"/>
      <c r="P105" s="529" t="s">
        <v>427</v>
      </c>
      <c r="Q105" s="538" t="s">
        <v>427</v>
      </c>
      <c r="R105" s="538" t="s">
        <v>427</v>
      </c>
      <c r="S105" s="537" t="e">
        <v>#VALUE!</v>
      </c>
      <c r="T105" s="642"/>
      <c r="U105" s="529" t="s">
        <v>427</v>
      </c>
      <c r="V105" s="538" t="s">
        <v>427</v>
      </c>
      <c r="W105" s="538" t="s">
        <v>427</v>
      </c>
      <c r="X105" s="537" t="e">
        <v>#VALUE!</v>
      </c>
      <c r="Y105" s="642"/>
      <c r="Z105" s="529" t="s">
        <v>427</v>
      </c>
      <c r="AA105" s="538" t="s">
        <v>427</v>
      </c>
      <c r="AB105" s="538" t="s">
        <v>427</v>
      </c>
      <c r="AC105" s="538" t="e">
        <v>#VALUE!</v>
      </c>
      <c r="AD105" s="642"/>
      <c r="AE105" s="529" t="s">
        <v>427</v>
      </c>
      <c r="AF105" s="538" t="s">
        <v>427</v>
      </c>
      <c r="AG105" s="538" t="s">
        <v>427</v>
      </c>
      <c r="AH105" s="538" t="e">
        <v>#VALUE!</v>
      </c>
      <c r="AI105" s="642"/>
      <c r="AJ105" s="529" t="s">
        <v>427</v>
      </c>
      <c r="AK105" s="538" t="s">
        <v>427</v>
      </c>
      <c r="AL105" s="538" t="s">
        <v>427</v>
      </c>
      <c r="AM105" s="538" t="e">
        <v>#VALUE!</v>
      </c>
      <c r="AN105" s="642"/>
      <c r="AO105" s="529" t="s">
        <v>427</v>
      </c>
      <c r="AP105" s="538" t="s">
        <v>427</v>
      </c>
      <c r="AQ105" s="538" t="s">
        <v>427</v>
      </c>
      <c r="AR105" s="538" t="e">
        <v>#VALUE!</v>
      </c>
      <c r="AS105" s="642"/>
      <c r="AT105" s="529" t="s">
        <v>427</v>
      </c>
      <c r="AU105" s="538" t="s">
        <v>427</v>
      </c>
      <c r="AV105" s="538" t="s">
        <v>427</v>
      </c>
      <c r="AW105" s="538" t="e">
        <v>#VALUE!</v>
      </c>
      <c r="AX105" s="642"/>
      <c r="AZ105" s="377" t="e">
        <f t="shared" si="25"/>
        <v>#N/A</v>
      </c>
      <c r="BA105" s="611"/>
    </row>
    <row r="106" spans="2:53">
      <c r="B106" s="656"/>
      <c r="C106" s="529">
        <v>30</v>
      </c>
      <c r="D106" s="416"/>
      <c r="E106" s="416"/>
      <c r="F106" s="416"/>
      <c r="G106" s="416"/>
      <c r="H106" s="612"/>
      <c r="I106" s="531" t="str">
        <f t="shared" si="27"/>
        <v>-</v>
      </c>
      <c r="J106" s="531" t="str">
        <f t="shared" si="27"/>
        <v>-</v>
      </c>
      <c r="K106" s="363" t="str">
        <f t="shared" si="27"/>
        <v>-</v>
      </c>
      <c r="L106" s="633"/>
      <c r="M106" s="531" t="e">
        <f>RANK(K106, K$77:$K$106)</f>
        <v>#VALUE!</v>
      </c>
      <c r="N106" s="641"/>
      <c r="O106" s="641"/>
      <c r="P106" s="529" t="s">
        <v>427</v>
      </c>
      <c r="Q106" s="538" t="s">
        <v>427</v>
      </c>
      <c r="R106" s="538" t="s">
        <v>427</v>
      </c>
      <c r="S106" s="537" t="e">
        <v>#VALUE!</v>
      </c>
      <c r="T106" s="642"/>
      <c r="U106" s="529" t="s">
        <v>427</v>
      </c>
      <c r="V106" s="538" t="s">
        <v>427</v>
      </c>
      <c r="W106" s="538" t="s">
        <v>427</v>
      </c>
      <c r="X106" s="537" t="e">
        <v>#VALUE!</v>
      </c>
      <c r="Y106" s="642"/>
      <c r="Z106" s="529" t="s">
        <v>427</v>
      </c>
      <c r="AA106" s="538" t="s">
        <v>427</v>
      </c>
      <c r="AB106" s="538" t="s">
        <v>427</v>
      </c>
      <c r="AC106" s="538" t="e">
        <v>#VALUE!</v>
      </c>
      <c r="AD106" s="642"/>
      <c r="AE106" s="529" t="s">
        <v>427</v>
      </c>
      <c r="AF106" s="538" t="s">
        <v>427</v>
      </c>
      <c r="AG106" s="538" t="s">
        <v>427</v>
      </c>
      <c r="AH106" s="538" t="e">
        <v>#VALUE!</v>
      </c>
      <c r="AI106" s="642"/>
      <c r="AJ106" s="529" t="s">
        <v>427</v>
      </c>
      <c r="AK106" s="538" t="s">
        <v>427</v>
      </c>
      <c r="AL106" s="538" t="s">
        <v>427</v>
      </c>
      <c r="AM106" s="538" t="e">
        <v>#VALUE!</v>
      </c>
      <c r="AN106" s="642"/>
      <c r="AO106" s="529" t="s">
        <v>427</v>
      </c>
      <c r="AP106" s="538" t="s">
        <v>427</v>
      </c>
      <c r="AQ106" s="538" t="s">
        <v>427</v>
      </c>
      <c r="AR106" s="538" t="e">
        <v>#VALUE!</v>
      </c>
      <c r="AS106" s="642"/>
      <c r="AT106" s="529" t="s">
        <v>427</v>
      </c>
      <c r="AU106" s="538" t="s">
        <v>427</v>
      </c>
      <c r="AV106" s="538" t="s">
        <v>427</v>
      </c>
      <c r="AW106" s="538" t="e">
        <v>#VALUE!</v>
      </c>
      <c r="AX106" s="642"/>
      <c r="AZ106" s="377" t="e">
        <f t="shared" si="25"/>
        <v>#N/A</v>
      </c>
      <c r="BA106" s="612"/>
    </row>
    <row r="107" spans="2:53" ht="15.75">
      <c r="B107" s="643" t="s">
        <v>769</v>
      </c>
      <c r="C107" s="644"/>
      <c r="D107" s="644"/>
      <c r="E107" s="644"/>
      <c r="F107" s="644"/>
      <c r="G107" s="644"/>
      <c r="H107" s="645"/>
      <c r="I107" s="205"/>
      <c r="J107" s="205"/>
      <c r="K107" s="205"/>
      <c r="L107" s="205"/>
      <c r="M107" s="204"/>
      <c r="N107" s="639" t="s">
        <v>685</v>
      </c>
      <c r="O107" s="639" t="s">
        <v>686</v>
      </c>
      <c r="P107" s="634">
        <f>P72+7</f>
        <v>46224</v>
      </c>
      <c r="Q107" s="635"/>
      <c r="R107" s="635"/>
      <c r="S107" s="635"/>
      <c r="T107" s="635"/>
      <c r="U107" s="636">
        <f>P107+1</f>
        <v>46225</v>
      </c>
      <c r="V107" s="637"/>
      <c r="W107" s="637"/>
      <c r="X107" s="637"/>
      <c r="Y107" s="638"/>
      <c r="Z107" s="636">
        <f>U107+1</f>
        <v>46226</v>
      </c>
      <c r="AA107" s="637"/>
      <c r="AB107" s="637"/>
      <c r="AC107" s="637"/>
      <c r="AD107" s="638"/>
      <c r="AE107" s="636">
        <f>Z107+1</f>
        <v>46227</v>
      </c>
      <c r="AF107" s="637"/>
      <c r="AG107" s="637"/>
      <c r="AH107" s="637"/>
      <c r="AI107" s="638"/>
      <c r="AJ107" s="636">
        <f>AE107+1</f>
        <v>46228</v>
      </c>
      <c r="AK107" s="637"/>
      <c r="AL107" s="637"/>
      <c r="AM107" s="637"/>
      <c r="AN107" s="638"/>
      <c r="AO107" s="636">
        <f>AJ107+1</f>
        <v>46229</v>
      </c>
      <c r="AP107" s="637"/>
      <c r="AQ107" s="637"/>
      <c r="AR107" s="637"/>
      <c r="AS107" s="638"/>
      <c r="AT107" s="636">
        <f>AO107+1</f>
        <v>46230</v>
      </c>
      <c r="AU107" s="637"/>
      <c r="AV107" s="637"/>
      <c r="AW107" s="637"/>
      <c r="AX107" s="638"/>
    </row>
    <row r="108" spans="2:53" ht="15.75">
      <c r="B108" s="646"/>
      <c r="C108" s="646"/>
      <c r="D108" s="646"/>
      <c r="E108" s="646"/>
      <c r="F108" s="646"/>
      <c r="G108" s="646"/>
      <c r="H108" s="646"/>
      <c r="I108" s="202"/>
      <c r="J108" s="202"/>
      <c r="K108" s="202"/>
      <c r="L108" s="202"/>
      <c r="M108" s="203"/>
      <c r="N108" s="641"/>
      <c r="O108" s="641"/>
      <c r="P108" s="634" t="s">
        <v>677</v>
      </c>
      <c r="Q108" s="635"/>
      <c r="R108" s="635"/>
      <c r="S108" s="635"/>
      <c r="T108" s="635"/>
      <c r="U108" s="634" t="s">
        <v>678</v>
      </c>
      <c r="V108" s="635"/>
      <c r="W108" s="635"/>
      <c r="X108" s="635"/>
      <c r="Y108" s="635"/>
      <c r="Z108" s="634" t="s">
        <v>679</v>
      </c>
      <c r="AA108" s="635"/>
      <c r="AB108" s="635"/>
      <c r="AC108" s="635"/>
      <c r="AD108" s="635"/>
      <c r="AE108" s="634" t="s">
        <v>687</v>
      </c>
      <c r="AF108" s="635"/>
      <c r="AG108" s="635"/>
      <c r="AH108" s="635"/>
      <c r="AI108" s="635"/>
      <c r="AJ108" s="634" t="s">
        <v>688</v>
      </c>
      <c r="AK108" s="635"/>
      <c r="AL108" s="635"/>
      <c r="AM108" s="635"/>
      <c r="AN108" s="635"/>
      <c r="AO108" s="634" t="s">
        <v>689</v>
      </c>
      <c r="AP108" s="635"/>
      <c r="AQ108" s="635"/>
      <c r="AR108" s="635"/>
      <c r="AS108" s="635"/>
      <c r="AT108" s="634" t="s">
        <v>690</v>
      </c>
      <c r="AU108" s="635"/>
      <c r="AV108" s="635"/>
      <c r="AW108" s="635"/>
      <c r="AX108" s="635"/>
    </row>
    <row r="109" spans="2:53">
      <c r="B109" s="624" t="s">
        <v>760</v>
      </c>
      <c r="C109" s="624" t="s">
        <v>827</v>
      </c>
      <c r="D109" s="624"/>
      <c r="E109" s="624" t="s">
        <v>828</v>
      </c>
      <c r="F109" s="624"/>
      <c r="G109" s="624"/>
      <c r="H109" s="647" t="s">
        <v>829</v>
      </c>
      <c r="I109" s="617" t="s">
        <v>830</v>
      </c>
      <c r="J109" s="617"/>
      <c r="K109" s="617"/>
      <c r="L109" s="618" t="s">
        <v>829</v>
      </c>
      <c r="M109" s="628" t="s">
        <v>440</v>
      </c>
      <c r="N109" s="624"/>
      <c r="O109" s="624" t="s">
        <v>831</v>
      </c>
      <c r="P109" s="621" t="s">
        <v>832</v>
      </c>
      <c r="Q109" s="622"/>
      <c r="R109" s="622"/>
      <c r="S109" s="623"/>
      <c r="T109" s="624" t="s">
        <v>829</v>
      </c>
      <c r="U109" s="621" t="s">
        <v>832</v>
      </c>
      <c r="V109" s="622"/>
      <c r="W109" s="622"/>
      <c r="X109" s="623"/>
      <c r="Y109" s="624" t="s">
        <v>829</v>
      </c>
      <c r="Z109" s="621" t="s">
        <v>832</v>
      </c>
      <c r="AA109" s="622"/>
      <c r="AB109" s="622"/>
      <c r="AC109" s="623"/>
      <c r="AD109" s="624" t="s">
        <v>829</v>
      </c>
      <c r="AE109" s="621" t="s">
        <v>832</v>
      </c>
      <c r="AF109" s="622"/>
      <c r="AG109" s="622"/>
      <c r="AH109" s="623"/>
      <c r="AI109" s="624" t="s">
        <v>829</v>
      </c>
      <c r="AJ109" s="621" t="s">
        <v>832</v>
      </c>
      <c r="AK109" s="622"/>
      <c r="AL109" s="622"/>
      <c r="AM109" s="623"/>
      <c r="AN109" s="624" t="s">
        <v>829</v>
      </c>
      <c r="AO109" s="621" t="s">
        <v>832</v>
      </c>
      <c r="AP109" s="622"/>
      <c r="AQ109" s="622"/>
      <c r="AR109" s="623"/>
      <c r="AS109" s="624" t="s">
        <v>829</v>
      </c>
      <c r="AT109" s="621" t="s">
        <v>832</v>
      </c>
      <c r="AU109" s="622"/>
      <c r="AV109" s="622"/>
      <c r="AW109" s="623"/>
      <c r="AX109" s="624" t="s">
        <v>829</v>
      </c>
    </row>
    <row r="110" spans="2:53">
      <c r="B110" s="624"/>
      <c r="C110" s="624"/>
      <c r="D110" s="624"/>
      <c r="E110" s="624" t="s">
        <v>833</v>
      </c>
      <c r="F110" s="624"/>
      <c r="G110" s="624"/>
      <c r="H110" s="648"/>
      <c r="I110" s="617" t="s">
        <v>833</v>
      </c>
      <c r="J110" s="617"/>
      <c r="K110" s="617"/>
      <c r="L110" s="619"/>
      <c r="M110" s="629"/>
      <c r="N110" s="624"/>
      <c r="O110" s="624"/>
      <c r="P110" s="621" t="s">
        <v>834</v>
      </c>
      <c r="Q110" s="622"/>
      <c r="R110" s="622"/>
      <c r="S110" s="623"/>
      <c r="T110" s="624"/>
      <c r="U110" s="621" t="s">
        <v>834</v>
      </c>
      <c r="V110" s="622"/>
      <c r="W110" s="622"/>
      <c r="X110" s="623"/>
      <c r="Y110" s="624"/>
      <c r="Z110" s="621" t="s">
        <v>834</v>
      </c>
      <c r="AA110" s="622"/>
      <c r="AB110" s="622"/>
      <c r="AC110" s="623"/>
      <c r="AD110" s="624"/>
      <c r="AE110" s="621" t="s">
        <v>834</v>
      </c>
      <c r="AF110" s="622"/>
      <c r="AG110" s="622"/>
      <c r="AH110" s="623"/>
      <c r="AI110" s="624"/>
      <c r="AJ110" s="621" t="s">
        <v>834</v>
      </c>
      <c r="AK110" s="622"/>
      <c r="AL110" s="622"/>
      <c r="AM110" s="623"/>
      <c r="AN110" s="624"/>
      <c r="AO110" s="621" t="s">
        <v>834</v>
      </c>
      <c r="AP110" s="622"/>
      <c r="AQ110" s="622"/>
      <c r="AR110" s="623"/>
      <c r="AS110" s="624"/>
      <c r="AT110" s="621" t="s">
        <v>834</v>
      </c>
      <c r="AU110" s="622"/>
      <c r="AV110" s="622"/>
      <c r="AW110" s="623"/>
      <c r="AX110" s="624"/>
    </row>
    <row r="111" spans="2:53">
      <c r="B111" s="624"/>
      <c r="C111" s="624"/>
      <c r="D111" s="624"/>
      <c r="E111" s="533" t="s">
        <v>835</v>
      </c>
      <c r="F111" s="533" t="s">
        <v>836</v>
      </c>
      <c r="G111" s="533" t="s">
        <v>837</v>
      </c>
      <c r="H111" s="649"/>
      <c r="I111" s="535" t="s">
        <v>835</v>
      </c>
      <c r="J111" s="535" t="s">
        <v>836</v>
      </c>
      <c r="K111" s="535" t="s">
        <v>837</v>
      </c>
      <c r="L111" s="620"/>
      <c r="M111" s="630"/>
      <c r="N111" s="624"/>
      <c r="O111" s="624"/>
      <c r="P111" s="533" t="s">
        <v>835</v>
      </c>
      <c r="Q111" s="533" t="s">
        <v>836</v>
      </c>
      <c r="R111" s="533" t="s">
        <v>837</v>
      </c>
      <c r="S111" s="533" t="s">
        <v>440</v>
      </c>
      <c r="T111" s="624"/>
      <c r="U111" s="533" t="s">
        <v>835</v>
      </c>
      <c r="V111" s="533" t="s">
        <v>836</v>
      </c>
      <c r="W111" s="533" t="s">
        <v>837</v>
      </c>
      <c r="X111" s="533" t="s">
        <v>440</v>
      </c>
      <c r="Y111" s="624"/>
      <c r="Z111" s="533" t="s">
        <v>835</v>
      </c>
      <c r="AA111" s="533" t="s">
        <v>836</v>
      </c>
      <c r="AB111" s="533" t="s">
        <v>837</v>
      </c>
      <c r="AC111" s="533" t="s">
        <v>440</v>
      </c>
      <c r="AD111" s="624"/>
      <c r="AE111" s="533" t="s">
        <v>835</v>
      </c>
      <c r="AF111" s="533" t="s">
        <v>836</v>
      </c>
      <c r="AG111" s="533" t="s">
        <v>837</v>
      </c>
      <c r="AH111" s="533" t="s">
        <v>440</v>
      </c>
      <c r="AI111" s="624"/>
      <c r="AJ111" s="533" t="s">
        <v>835</v>
      </c>
      <c r="AK111" s="533" t="s">
        <v>836</v>
      </c>
      <c r="AL111" s="533" t="s">
        <v>837</v>
      </c>
      <c r="AM111" s="533" t="s">
        <v>440</v>
      </c>
      <c r="AN111" s="624"/>
      <c r="AO111" s="533" t="s">
        <v>835</v>
      </c>
      <c r="AP111" s="533" t="s">
        <v>836</v>
      </c>
      <c r="AQ111" s="533" t="s">
        <v>837</v>
      </c>
      <c r="AR111" s="533" t="s">
        <v>440</v>
      </c>
      <c r="AS111" s="624"/>
      <c r="AT111" s="533" t="s">
        <v>835</v>
      </c>
      <c r="AU111" s="533" t="s">
        <v>836</v>
      </c>
      <c r="AV111" s="533" t="s">
        <v>837</v>
      </c>
      <c r="AW111" s="533" t="s">
        <v>440</v>
      </c>
      <c r="AX111" s="624"/>
    </row>
    <row r="112" spans="2:53">
      <c r="B112" s="635" t="s">
        <v>150</v>
      </c>
      <c r="C112" s="529">
        <v>1</v>
      </c>
      <c r="D112" s="416" t="s">
        <v>323</v>
      </c>
      <c r="E112" s="416">
        <v>3</v>
      </c>
      <c r="F112" s="416">
        <v>3200</v>
      </c>
      <c r="G112" s="531">
        <v>1066.6666666666667</v>
      </c>
      <c r="H112" s="610">
        <f>AVERAGE(G112:G141)</f>
        <v>788.83333333333314</v>
      </c>
      <c r="I112" s="531">
        <f>IFERROR(AVERAGE(P112,U112,Z112,AE112,AJ112,AO112,AT112),"-")</f>
        <v>3</v>
      </c>
      <c r="J112" s="531">
        <f>IFERROR(AVERAGE(Q112,V112,AA112,AF112,AK112,AP112,AU112),"-")</f>
        <v>3207.0315988548164</v>
      </c>
      <c r="K112" s="363">
        <f>IFERROR(AVERAGE(R112,W112,AB112,AG112,AL112,AQ112,AV112),"-")</f>
        <v>1069.0105329516055</v>
      </c>
      <c r="L112" s="614">
        <f>IFERROR(AVERAGE(K112:K141),"-")</f>
        <v>803.20570792975252</v>
      </c>
      <c r="M112" s="531">
        <f>RANK(K112, K$112:$K$141)</f>
        <v>1</v>
      </c>
      <c r="N112" s="624"/>
      <c r="O112" s="624"/>
      <c r="P112" s="538">
        <v>3</v>
      </c>
      <c r="Q112" s="538">
        <v>3193.8461538461502</v>
      </c>
      <c r="R112" s="538">
        <v>1064.6153846153834</v>
      </c>
      <c r="S112" s="529">
        <f t="shared" ref="S112:S141" si="28">RANK(R112, R$112:R$141)</f>
        <v>2</v>
      </c>
      <c r="T112" s="610">
        <f t="shared" ref="T112" si="29">AVERAGE(R112:R141)</f>
        <v>801.46743256080447</v>
      </c>
      <c r="U112" s="538">
        <v>3</v>
      </c>
      <c r="V112" s="538">
        <v>3178.8235294117612</v>
      </c>
      <c r="W112" s="538">
        <v>1059.6078431372537</v>
      </c>
      <c r="X112" s="529">
        <f t="shared" ref="X112:X141" si="30">RANK(W112, W$112:W$141)</f>
        <v>2</v>
      </c>
      <c r="Y112" s="610">
        <f t="shared" ref="Y112" si="31">AVERAGE(W112:W141)</f>
        <v>765.39018225733059</v>
      </c>
      <c r="Z112" s="538">
        <v>3</v>
      </c>
      <c r="AA112" s="538">
        <v>3243.5294117647022</v>
      </c>
      <c r="AB112" s="538">
        <v>1081.176470588234</v>
      </c>
      <c r="AC112" s="529">
        <f t="shared" ref="AC112:AC141" si="32">RANK(AB112, AB$112:AB$141)</f>
        <v>5</v>
      </c>
      <c r="AD112" s="610">
        <f t="shared" ref="AD112" si="33">AVERAGE(AB112:AB141)</f>
        <v>831.49450783180441</v>
      </c>
      <c r="AE112" s="538">
        <v>3</v>
      </c>
      <c r="AF112" s="538">
        <v>3252.5581395348831</v>
      </c>
      <c r="AG112" s="538">
        <v>1084.1860465116276</v>
      </c>
      <c r="AH112" s="529">
        <f t="shared" ref="AH112:AH141" si="34">RANK(AG112, AG$112:AG$141)</f>
        <v>5</v>
      </c>
      <c r="AI112" s="610">
        <f t="shared" ref="AI112" si="35">AVERAGE(AG112:AG141)</f>
        <v>820.89821699112076</v>
      </c>
      <c r="AJ112" s="538">
        <v>3</v>
      </c>
      <c r="AK112" s="538">
        <v>3145.3333333333335</v>
      </c>
      <c r="AL112" s="538">
        <v>1048.4444444444446</v>
      </c>
      <c r="AM112" s="529">
        <f t="shared" ref="AM112:AM141" si="36">RANK(AL112, AL$112:AL$141)</f>
        <v>3</v>
      </c>
      <c r="AN112" s="610">
        <f t="shared" ref="AN112" si="37">AVERAGE(AL112:AL141)</f>
        <v>795.65778863119738</v>
      </c>
      <c r="AO112" s="538">
        <v>3</v>
      </c>
      <c r="AP112" s="538">
        <v>3261.9230769230735</v>
      </c>
      <c r="AQ112" s="538">
        <v>1087.3076923076912</v>
      </c>
      <c r="AR112" s="529">
        <f t="shared" ref="AR112:AR141" si="38">RANK(AQ112, AQ$112:AQ$141)</f>
        <v>3</v>
      </c>
      <c r="AS112" s="610">
        <f t="shared" ref="AS112" si="39">AVERAGE(AQ112:AQ141)</f>
        <v>824.35865652611653</v>
      </c>
      <c r="AT112" s="538">
        <v>3</v>
      </c>
      <c r="AU112" s="538">
        <v>3173.2075471698081</v>
      </c>
      <c r="AV112" s="538">
        <v>1057.7358490566028</v>
      </c>
      <c r="AW112" s="529">
        <f t="shared" ref="AW112:AW141" si="40">RANK(AV112, AV$112:AV$141)</f>
        <v>3</v>
      </c>
      <c r="AX112" s="610">
        <f t="shared" ref="AX112" si="41">AVERAGE(AV112:AV141)</f>
        <v>783.17317070989509</v>
      </c>
      <c r="AZ112" s="377" t="e">
        <f t="shared" ref="AZ112:AZ141" si="42">RANK(AY112, AY$112:AY$141)</f>
        <v>#N/A</v>
      </c>
      <c r="BA112" s="610" t="e">
        <f t="shared" ref="BA112" si="43">AVERAGE(AY112:AY141)</f>
        <v>#DIV/0!</v>
      </c>
    </row>
    <row r="113" spans="2:53">
      <c r="B113" s="635"/>
      <c r="C113" s="529">
        <v>2</v>
      </c>
      <c r="D113" s="535" t="s">
        <v>324</v>
      </c>
      <c r="E113" s="416">
        <v>3</v>
      </c>
      <c r="F113" s="416">
        <v>3200</v>
      </c>
      <c r="G113" s="531">
        <v>1066.6666666666667</v>
      </c>
      <c r="H113" s="611"/>
      <c r="I113" s="531">
        <f t="shared" ref="I113:K141" si="44">IFERROR(AVERAGE(P113,U113,Z113,AE113,AJ113,AO113,AT113),"-")</f>
        <v>3</v>
      </c>
      <c r="J113" s="531">
        <f t="shared" si="44"/>
        <v>3164.4637855141991</v>
      </c>
      <c r="K113" s="363">
        <f t="shared" si="44"/>
        <v>1054.8212618380662</v>
      </c>
      <c r="L113" s="615"/>
      <c r="M113" s="531">
        <f>RANK(K113, K$112:$K$141)</f>
        <v>6</v>
      </c>
      <c r="N113" s="624"/>
      <c r="O113" s="624"/>
      <c r="P113" s="538">
        <v>3</v>
      </c>
      <c r="Q113" s="538">
        <v>3046.6666666666642</v>
      </c>
      <c r="R113" s="538">
        <v>1015.5555555555547</v>
      </c>
      <c r="S113" s="529">
        <f t="shared" si="28"/>
        <v>8</v>
      </c>
      <c r="T113" s="611"/>
      <c r="U113" s="538">
        <v>3</v>
      </c>
      <c r="V113" s="538">
        <v>3155.2941176470404</v>
      </c>
      <c r="W113" s="538">
        <v>1051.7647058823468</v>
      </c>
      <c r="X113" s="529">
        <f t="shared" si="30"/>
        <v>3</v>
      </c>
      <c r="Y113" s="611"/>
      <c r="Z113" s="538">
        <v>3</v>
      </c>
      <c r="AA113" s="538">
        <v>3254.9999999999959</v>
      </c>
      <c r="AB113" s="538">
        <v>1084.9999999999986</v>
      </c>
      <c r="AC113" s="529">
        <f t="shared" si="32"/>
        <v>2</v>
      </c>
      <c r="AD113" s="611"/>
      <c r="AE113" s="538">
        <v>3</v>
      </c>
      <c r="AF113" s="538">
        <v>3239.9999999999932</v>
      </c>
      <c r="AG113" s="538">
        <v>1079.9999999999977</v>
      </c>
      <c r="AH113" s="529">
        <f t="shared" si="34"/>
        <v>6</v>
      </c>
      <c r="AI113" s="611"/>
      <c r="AJ113" s="538">
        <v>3</v>
      </c>
      <c r="AK113" s="538">
        <v>3004.2857142857079</v>
      </c>
      <c r="AL113" s="538">
        <v>1001.4285714285693</v>
      </c>
      <c r="AM113" s="529">
        <f t="shared" si="36"/>
        <v>7</v>
      </c>
      <c r="AN113" s="611"/>
      <c r="AO113" s="538">
        <v>3</v>
      </c>
      <c r="AP113" s="538">
        <v>3247.4999999999959</v>
      </c>
      <c r="AQ113" s="538">
        <v>1082.4999999999986</v>
      </c>
      <c r="AR113" s="529">
        <f t="shared" si="38"/>
        <v>4</v>
      </c>
      <c r="AS113" s="611"/>
      <c r="AT113" s="538">
        <v>3</v>
      </c>
      <c r="AU113" s="538">
        <v>3202.4999999999959</v>
      </c>
      <c r="AV113" s="538">
        <v>1067.4999999999986</v>
      </c>
      <c r="AW113" s="529">
        <f t="shared" si="40"/>
        <v>1</v>
      </c>
      <c r="AX113" s="611"/>
      <c r="AZ113" s="377" t="e">
        <f t="shared" si="42"/>
        <v>#N/A</v>
      </c>
      <c r="BA113" s="611"/>
    </row>
    <row r="114" spans="2:53">
      <c r="B114" s="635"/>
      <c r="C114" s="529">
        <v>3</v>
      </c>
      <c r="D114" s="416" t="s">
        <v>314</v>
      </c>
      <c r="E114" s="416">
        <v>4</v>
      </c>
      <c r="F114" s="416">
        <v>3200</v>
      </c>
      <c r="G114" s="531">
        <v>800</v>
      </c>
      <c r="H114" s="611"/>
      <c r="I114" s="531">
        <f t="shared" si="44"/>
        <v>4</v>
      </c>
      <c r="J114" s="531">
        <f t="shared" si="44"/>
        <v>3206.714285714278</v>
      </c>
      <c r="K114" s="363">
        <f t="shared" si="44"/>
        <v>801.67857142856951</v>
      </c>
      <c r="L114" s="615"/>
      <c r="M114" s="531">
        <f>RANK(K114, K$112:$K$141)</f>
        <v>14</v>
      </c>
      <c r="N114" s="624"/>
      <c r="O114" s="624"/>
      <c r="P114" s="538">
        <v>4</v>
      </c>
      <c r="Q114" s="538">
        <v>3137.1428571428683</v>
      </c>
      <c r="R114" s="538">
        <v>784.28571428571706</v>
      </c>
      <c r="S114" s="529">
        <f t="shared" si="28"/>
        <v>15</v>
      </c>
      <c r="T114" s="611"/>
      <c r="U114" s="538">
        <v>4</v>
      </c>
      <c r="V114" s="538">
        <v>3042.8571428571363</v>
      </c>
      <c r="W114" s="538">
        <v>760.71428571428407</v>
      </c>
      <c r="X114" s="529">
        <f t="shared" si="30"/>
        <v>15</v>
      </c>
      <c r="Y114" s="611"/>
      <c r="Z114" s="538">
        <v>4</v>
      </c>
      <c r="AA114" s="538">
        <v>3459.9999999999663</v>
      </c>
      <c r="AB114" s="538">
        <v>864.99999999999159</v>
      </c>
      <c r="AC114" s="529">
        <f t="shared" si="32"/>
        <v>12</v>
      </c>
      <c r="AD114" s="611"/>
      <c r="AE114" s="538">
        <v>4</v>
      </c>
      <c r="AF114" s="538">
        <v>3306.0000000000118</v>
      </c>
      <c r="AG114" s="538">
        <v>826.50000000000296</v>
      </c>
      <c r="AH114" s="529">
        <f t="shared" si="34"/>
        <v>13</v>
      </c>
      <c r="AI114" s="611"/>
      <c r="AJ114" s="538">
        <v>4</v>
      </c>
      <c r="AK114" s="538">
        <v>3185.9999999999859</v>
      </c>
      <c r="AL114" s="538">
        <v>796.49999999999648</v>
      </c>
      <c r="AM114" s="529">
        <f t="shared" si="36"/>
        <v>12</v>
      </c>
      <c r="AN114" s="611"/>
      <c r="AO114" s="538">
        <v>4</v>
      </c>
      <c r="AP114" s="538">
        <v>3249.9999999999682</v>
      </c>
      <c r="AQ114" s="538">
        <v>812.49999999999204</v>
      </c>
      <c r="AR114" s="529">
        <f t="shared" si="38"/>
        <v>15</v>
      </c>
      <c r="AS114" s="611"/>
      <c r="AT114" s="538">
        <v>4</v>
      </c>
      <c r="AU114" s="538">
        <v>3065.0000000000109</v>
      </c>
      <c r="AV114" s="538">
        <v>766.25000000000273</v>
      </c>
      <c r="AW114" s="529">
        <f t="shared" si="40"/>
        <v>17</v>
      </c>
      <c r="AX114" s="611"/>
      <c r="AZ114" s="377" t="e">
        <f t="shared" si="42"/>
        <v>#N/A</v>
      </c>
      <c r="BA114" s="611"/>
    </row>
    <row r="115" spans="2:53">
      <c r="B115" s="635"/>
      <c r="C115" s="529">
        <v>4</v>
      </c>
      <c r="D115" s="416" t="s">
        <v>326</v>
      </c>
      <c r="E115" s="416">
        <v>3</v>
      </c>
      <c r="F115" s="416">
        <v>3200</v>
      </c>
      <c r="G115" s="531">
        <v>1066.6666666666667</v>
      </c>
      <c r="H115" s="611"/>
      <c r="I115" s="531">
        <f t="shared" si="44"/>
        <v>3</v>
      </c>
      <c r="J115" s="531">
        <f t="shared" si="44"/>
        <v>3204.3039671241795</v>
      </c>
      <c r="K115" s="363">
        <f t="shared" si="44"/>
        <v>1068.1013223747266</v>
      </c>
      <c r="L115" s="615"/>
      <c r="M115" s="531">
        <f>RANK(K115, K$112:$K$141)</f>
        <v>3</v>
      </c>
      <c r="N115" s="624"/>
      <c r="O115" s="624"/>
      <c r="P115" s="538">
        <v>3</v>
      </c>
      <c r="Q115" s="538">
        <v>3173.6842105263208</v>
      </c>
      <c r="R115" s="538">
        <v>1057.894736842107</v>
      </c>
      <c r="S115" s="529">
        <f t="shared" si="28"/>
        <v>5</v>
      </c>
      <c r="T115" s="611"/>
      <c r="U115" s="538">
        <v>3</v>
      </c>
      <c r="V115" s="538">
        <v>3202.3999999999974</v>
      </c>
      <c r="W115" s="538">
        <v>1067.4666666666658</v>
      </c>
      <c r="X115" s="529">
        <f t="shared" si="30"/>
        <v>1</v>
      </c>
      <c r="Y115" s="611"/>
      <c r="Z115" s="538">
        <v>3</v>
      </c>
      <c r="AA115" s="538">
        <v>3244.1095890410966</v>
      </c>
      <c r="AB115" s="538">
        <v>1081.3698630136989</v>
      </c>
      <c r="AC115" s="529">
        <f t="shared" si="32"/>
        <v>4</v>
      </c>
      <c r="AD115" s="611"/>
      <c r="AE115" s="538">
        <v>3</v>
      </c>
      <c r="AF115" s="538">
        <v>3216.9230769230726</v>
      </c>
      <c r="AG115" s="538">
        <v>1072.3076923076908</v>
      </c>
      <c r="AH115" s="529">
        <f t="shared" si="34"/>
        <v>7</v>
      </c>
      <c r="AI115" s="611"/>
      <c r="AJ115" s="538">
        <v>3</v>
      </c>
      <c r="AK115" s="538">
        <v>3164.0624999999991</v>
      </c>
      <c r="AL115" s="538">
        <v>1054.6874999999998</v>
      </c>
      <c r="AM115" s="529">
        <f t="shared" si="36"/>
        <v>2</v>
      </c>
      <c r="AN115" s="611"/>
      <c r="AO115" s="538">
        <v>3</v>
      </c>
      <c r="AP115" s="538">
        <v>3226.9230769230753</v>
      </c>
      <c r="AQ115" s="538">
        <v>1075.6410256410252</v>
      </c>
      <c r="AR115" s="529">
        <f t="shared" si="38"/>
        <v>5</v>
      </c>
      <c r="AS115" s="611"/>
      <c r="AT115" s="538">
        <v>3</v>
      </c>
      <c r="AU115" s="538">
        <v>3202.025316455698</v>
      </c>
      <c r="AV115" s="538">
        <v>1067.3417721518992</v>
      </c>
      <c r="AW115" s="529">
        <f t="shared" si="40"/>
        <v>2</v>
      </c>
      <c r="AX115" s="611"/>
      <c r="AZ115" s="377" t="e">
        <f t="shared" si="42"/>
        <v>#N/A</v>
      </c>
      <c r="BA115" s="611"/>
    </row>
    <row r="116" spans="2:53">
      <c r="B116" s="635"/>
      <c r="C116" s="529">
        <v>5</v>
      </c>
      <c r="D116" s="416" t="s">
        <v>327</v>
      </c>
      <c r="E116" s="416">
        <v>4</v>
      </c>
      <c r="F116" s="416">
        <v>3200</v>
      </c>
      <c r="G116" s="531">
        <v>800</v>
      </c>
      <c r="H116" s="611"/>
      <c r="I116" s="531">
        <f t="shared" si="44"/>
        <v>4</v>
      </c>
      <c r="J116" s="531">
        <f t="shared" si="44"/>
        <v>3212.2835660579995</v>
      </c>
      <c r="K116" s="363">
        <f t="shared" si="44"/>
        <v>803.07089151449986</v>
      </c>
      <c r="L116" s="615"/>
      <c r="M116" s="531">
        <f>RANK(K116, K$112:$K$141)</f>
        <v>12</v>
      </c>
      <c r="N116" s="624"/>
      <c r="O116" s="624"/>
      <c r="P116" s="538">
        <v>4</v>
      </c>
      <c r="Q116" s="538">
        <v>3209.9999999999986</v>
      </c>
      <c r="R116" s="538">
        <v>802.49999999999966</v>
      </c>
      <c r="S116" s="529">
        <f t="shared" si="28"/>
        <v>12</v>
      </c>
      <c r="T116" s="611"/>
      <c r="U116" s="538">
        <v>4</v>
      </c>
      <c r="V116" s="538">
        <v>3117.1428571428678</v>
      </c>
      <c r="W116" s="538">
        <v>779.28571428571695</v>
      </c>
      <c r="X116" s="529">
        <f t="shared" si="30"/>
        <v>13</v>
      </c>
      <c r="Y116" s="611"/>
      <c r="Z116" s="538">
        <v>4</v>
      </c>
      <c r="AA116" s="538">
        <v>3221.0526315789321</v>
      </c>
      <c r="AB116" s="538">
        <v>805.26315789473301</v>
      </c>
      <c r="AC116" s="529">
        <f t="shared" si="32"/>
        <v>16</v>
      </c>
      <c r="AD116" s="611"/>
      <c r="AE116" s="538">
        <v>4</v>
      </c>
      <c r="AF116" s="538">
        <v>3330.0000000000118</v>
      </c>
      <c r="AG116" s="538">
        <v>832.50000000000296</v>
      </c>
      <c r="AH116" s="529">
        <f t="shared" si="34"/>
        <v>12</v>
      </c>
      <c r="AI116" s="611"/>
      <c r="AJ116" s="538">
        <v>4</v>
      </c>
      <c r="AK116" s="538">
        <v>3171.9999999999945</v>
      </c>
      <c r="AL116" s="538">
        <v>792.99999999999864</v>
      </c>
      <c r="AM116" s="529">
        <f t="shared" si="36"/>
        <v>13</v>
      </c>
      <c r="AN116" s="611"/>
      <c r="AO116" s="538">
        <v>4</v>
      </c>
      <c r="AP116" s="538">
        <v>3268.4210526315765</v>
      </c>
      <c r="AQ116" s="538">
        <v>817.10526315789411</v>
      </c>
      <c r="AR116" s="529">
        <f t="shared" si="38"/>
        <v>14</v>
      </c>
      <c r="AS116" s="611"/>
      <c r="AT116" s="538">
        <v>4</v>
      </c>
      <c r="AU116" s="538">
        <v>3167.3684210526162</v>
      </c>
      <c r="AV116" s="538">
        <v>791.84210526315405</v>
      </c>
      <c r="AW116" s="529">
        <f t="shared" si="40"/>
        <v>13</v>
      </c>
      <c r="AX116" s="611"/>
      <c r="AZ116" s="377" t="e">
        <f t="shared" si="42"/>
        <v>#N/A</v>
      </c>
      <c r="BA116" s="611"/>
    </row>
    <row r="117" spans="2:53">
      <c r="B117" s="635"/>
      <c r="C117" s="529">
        <v>6</v>
      </c>
      <c r="D117" s="416" t="s">
        <v>325</v>
      </c>
      <c r="E117" s="416">
        <v>4</v>
      </c>
      <c r="F117" s="416">
        <v>3200</v>
      </c>
      <c r="G117" s="531">
        <v>800</v>
      </c>
      <c r="H117" s="611"/>
      <c r="I117" s="531">
        <f t="shared" si="44"/>
        <v>4</v>
      </c>
      <c r="J117" s="531">
        <f t="shared" si="44"/>
        <v>3182.7857142857174</v>
      </c>
      <c r="K117" s="363">
        <f t="shared" si="44"/>
        <v>795.69642857142935</v>
      </c>
      <c r="L117" s="615"/>
      <c r="M117" s="531">
        <f>RANK(K117, K$112:$K$141)</f>
        <v>16</v>
      </c>
      <c r="N117" s="624"/>
      <c r="O117" s="624"/>
      <c r="P117" s="538">
        <v>4</v>
      </c>
      <c r="Q117" s="538">
        <v>2958.0000000000105</v>
      </c>
      <c r="R117" s="538">
        <v>739.50000000000261</v>
      </c>
      <c r="S117" s="529">
        <f t="shared" si="28"/>
        <v>17</v>
      </c>
      <c r="T117" s="611"/>
      <c r="U117" s="538">
        <v>4</v>
      </c>
      <c r="V117" s="538">
        <v>3023.9999999999868</v>
      </c>
      <c r="W117" s="538">
        <v>755.9999999999967</v>
      </c>
      <c r="X117" s="529">
        <f t="shared" si="30"/>
        <v>16</v>
      </c>
      <c r="Y117" s="611"/>
      <c r="Z117" s="538">
        <v>4</v>
      </c>
      <c r="AA117" s="538">
        <v>3592.5000000000127</v>
      </c>
      <c r="AB117" s="538">
        <v>898.12500000000318</v>
      </c>
      <c r="AC117" s="529">
        <f t="shared" si="32"/>
        <v>11</v>
      </c>
      <c r="AD117" s="611"/>
      <c r="AE117" s="538">
        <v>4</v>
      </c>
      <c r="AF117" s="538">
        <v>3248.5714285714403</v>
      </c>
      <c r="AG117" s="538">
        <v>812.14285714286007</v>
      </c>
      <c r="AH117" s="529">
        <f t="shared" si="34"/>
        <v>14</v>
      </c>
      <c r="AI117" s="611"/>
      <c r="AJ117" s="538">
        <v>4</v>
      </c>
      <c r="AK117" s="538">
        <v>2871.4285714285488</v>
      </c>
      <c r="AL117" s="538">
        <v>717.85714285713721</v>
      </c>
      <c r="AM117" s="529">
        <f t="shared" si="36"/>
        <v>19</v>
      </c>
      <c r="AN117" s="611"/>
      <c r="AO117" s="538">
        <v>4</v>
      </c>
      <c r="AP117" s="538">
        <v>3352.5000000000118</v>
      </c>
      <c r="AQ117" s="538">
        <v>838.12500000000296</v>
      </c>
      <c r="AR117" s="529">
        <f t="shared" si="38"/>
        <v>13</v>
      </c>
      <c r="AS117" s="611"/>
      <c r="AT117" s="538">
        <v>4</v>
      </c>
      <c r="AU117" s="538">
        <v>3232.5000000000114</v>
      </c>
      <c r="AV117" s="538">
        <v>808.12500000000284</v>
      </c>
      <c r="AW117" s="529">
        <f t="shared" si="40"/>
        <v>11</v>
      </c>
      <c r="AX117" s="611"/>
      <c r="AZ117" s="377" t="e">
        <f t="shared" si="42"/>
        <v>#N/A</v>
      </c>
      <c r="BA117" s="611"/>
    </row>
    <row r="118" spans="2:53">
      <c r="B118" s="635"/>
      <c r="C118" s="529">
        <v>7</v>
      </c>
      <c r="D118" s="416" t="s">
        <v>328</v>
      </c>
      <c r="E118" s="416">
        <v>4</v>
      </c>
      <c r="F118" s="416">
        <v>2800</v>
      </c>
      <c r="G118" s="531">
        <v>700</v>
      </c>
      <c r="H118" s="611"/>
      <c r="I118" s="531">
        <f t="shared" si="44"/>
        <v>4</v>
      </c>
      <c r="J118" s="531">
        <f t="shared" si="44"/>
        <v>3260.6904761904734</v>
      </c>
      <c r="K118" s="363">
        <f t="shared" si="44"/>
        <v>815.17261904761835</v>
      </c>
      <c r="L118" s="615"/>
      <c r="M118" s="531">
        <f>RANK(K118, K$112:$K$141)</f>
        <v>11</v>
      </c>
      <c r="N118" s="624"/>
      <c r="O118" s="624"/>
      <c r="P118" s="538">
        <v>4</v>
      </c>
      <c r="Q118" s="538">
        <v>3221.9999999999991</v>
      </c>
      <c r="R118" s="538">
        <v>805.49999999999977</v>
      </c>
      <c r="S118" s="529">
        <f t="shared" si="28"/>
        <v>11</v>
      </c>
      <c r="T118" s="611"/>
      <c r="U118" s="538">
        <v>4</v>
      </c>
      <c r="V118" s="538">
        <v>3071.9999999999991</v>
      </c>
      <c r="W118" s="538">
        <v>767.99999999999977</v>
      </c>
      <c r="X118" s="529">
        <f t="shared" si="30"/>
        <v>14</v>
      </c>
      <c r="Y118" s="611"/>
      <c r="Z118" s="538">
        <v>4</v>
      </c>
      <c r="AA118" s="538">
        <v>3399.9999999999973</v>
      </c>
      <c r="AB118" s="538">
        <v>849.99999999999932</v>
      </c>
      <c r="AC118" s="529">
        <f t="shared" si="32"/>
        <v>13</v>
      </c>
      <c r="AD118" s="611"/>
      <c r="AE118" s="538">
        <v>4</v>
      </c>
      <c r="AF118" s="538">
        <v>3539.9999999999923</v>
      </c>
      <c r="AG118" s="538">
        <v>884.99999999999807</v>
      </c>
      <c r="AH118" s="529">
        <f t="shared" si="34"/>
        <v>10</v>
      </c>
      <c r="AI118" s="611"/>
      <c r="AJ118" s="538">
        <v>4</v>
      </c>
      <c r="AK118" s="538">
        <v>2962.4999999999964</v>
      </c>
      <c r="AL118" s="538">
        <v>740.62499999999909</v>
      </c>
      <c r="AM118" s="529">
        <f t="shared" si="36"/>
        <v>17</v>
      </c>
      <c r="AN118" s="611"/>
      <c r="AO118" s="538">
        <v>4</v>
      </c>
      <c r="AP118" s="538">
        <v>3554.9999999999955</v>
      </c>
      <c r="AQ118" s="538">
        <v>888.74999999999886</v>
      </c>
      <c r="AR118" s="529">
        <f t="shared" si="38"/>
        <v>11</v>
      </c>
      <c r="AS118" s="611"/>
      <c r="AT118" s="538">
        <v>4</v>
      </c>
      <c r="AU118" s="538">
        <v>3073.3333333333308</v>
      </c>
      <c r="AV118" s="538">
        <v>768.33333333333269</v>
      </c>
      <c r="AW118" s="529">
        <f t="shared" si="40"/>
        <v>15</v>
      </c>
      <c r="AX118" s="611"/>
      <c r="AZ118" s="377" t="e">
        <f t="shared" si="42"/>
        <v>#N/A</v>
      </c>
      <c r="BA118" s="611"/>
    </row>
    <row r="119" spans="2:53">
      <c r="B119" s="635"/>
      <c r="C119" s="529">
        <v>8</v>
      </c>
      <c r="D119" s="416" t="s">
        <v>329</v>
      </c>
      <c r="E119" s="416">
        <v>3</v>
      </c>
      <c r="F119" s="416">
        <v>3200</v>
      </c>
      <c r="G119" s="531">
        <v>1066.6666666666667</v>
      </c>
      <c r="H119" s="611"/>
      <c r="I119" s="531">
        <f t="shared" si="44"/>
        <v>3</v>
      </c>
      <c r="J119" s="531">
        <f t="shared" si="44"/>
        <v>3181.4551733980293</v>
      </c>
      <c r="K119" s="363">
        <f t="shared" si="44"/>
        <v>1060.4850577993432</v>
      </c>
      <c r="L119" s="615"/>
      <c r="M119" s="531">
        <f>RANK(K119, K$112:$K$141)</f>
        <v>4</v>
      </c>
      <c r="N119" s="624"/>
      <c r="O119" s="624"/>
      <c r="P119" s="538">
        <v>3</v>
      </c>
      <c r="Q119" s="538">
        <v>3177.6923076923094</v>
      </c>
      <c r="R119" s="538">
        <v>1059.2307692307697</v>
      </c>
      <c r="S119" s="529">
        <f t="shared" si="28"/>
        <v>4</v>
      </c>
      <c r="T119" s="611"/>
      <c r="U119" s="538">
        <v>3</v>
      </c>
      <c r="V119" s="538">
        <v>3120.0000000000018</v>
      </c>
      <c r="W119" s="538">
        <v>1040.0000000000007</v>
      </c>
      <c r="X119" s="529">
        <f t="shared" si="30"/>
        <v>5</v>
      </c>
      <c r="Y119" s="611"/>
      <c r="Z119" s="538">
        <v>3</v>
      </c>
      <c r="AA119" s="538">
        <v>3225.6000000000008</v>
      </c>
      <c r="AB119" s="538">
        <v>1075.2000000000003</v>
      </c>
      <c r="AC119" s="529">
        <f t="shared" si="32"/>
        <v>6</v>
      </c>
      <c r="AD119" s="611"/>
      <c r="AE119" s="538">
        <v>3</v>
      </c>
      <c r="AF119" s="538">
        <v>3317.1428571428496</v>
      </c>
      <c r="AG119" s="538">
        <v>1105.7142857142833</v>
      </c>
      <c r="AH119" s="529">
        <f t="shared" si="34"/>
        <v>3</v>
      </c>
      <c r="AI119" s="611"/>
      <c r="AJ119" s="538">
        <v>3</v>
      </c>
      <c r="AK119" s="538">
        <v>3098.1818181818121</v>
      </c>
      <c r="AL119" s="538">
        <v>1032.7272727272707</v>
      </c>
      <c r="AM119" s="529">
        <f t="shared" si="36"/>
        <v>6</v>
      </c>
      <c r="AN119" s="611"/>
      <c r="AO119" s="538">
        <v>3</v>
      </c>
      <c r="AP119" s="538">
        <v>3220.8000000000006</v>
      </c>
      <c r="AQ119" s="538">
        <v>1073.6000000000001</v>
      </c>
      <c r="AR119" s="529">
        <f t="shared" si="38"/>
        <v>6</v>
      </c>
      <c r="AS119" s="611"/>
      <c r="AT119" s="538">
        <v>3</v>
      </c>
      <c r="AU119" s="538">
        <v>3110.7692307692323</v>
      </c>
      <c r="AV119" s="538">
        <v>1036.9230769230774</v>
      </c>
      <c r="AW119" s="529">
        <f t="shared" si="40"/>
        <v>5</v>
      </c>
      <c r="AX119" s="611"/>
      <c r="AZ119" s="377" t="e">
        <f t="shared" si="42"/>
        <v>#N/A</v>
      </c>
      <c r="BA119" s="611"/>
    </row>
    <row r="120" spans="2:53">
      <c r="B120" s="635"/>
      <c r="C120" s="529">
        <v>9</v>
      </c>
      <c r="D120" s="416" t="s">
        <v>330</v>
      </c>
      <c r="E120" s="416">
        <v>3</v>
      </c>
      <c r="F120" s="416">
        <v>2800</v>
      </c>
      <c r="G120" s="531">
        <v>933.33333333333337</v>
      </c>
      <c r="H120" s="611"/>
      <c r="I120" s="531">
        <f t="shared" si="44"/>
        <v>3</v>
      </c>
      <c r="J120" s="531">
        <f t="shared" si="44"/>
        <v>3204.5862246793909</v>
      </c>
      <c r="K120" s="363">
        <f t="shared" si="44"/>
        <v>1068.1954082264635</v>
      </c>
      <c r="L120" s="615"/>
      <c r="M120" s="531">
        <f>RANK(K120, K$112:$K$141)</f>
        <v>2</v>
      </c>
      <c r="N120" s="624"/>
      <c r="O120" s="624"/>
      <c r="P120" s="538">
        <v>3</v>
      </c>
      <c r="Q120" s="538">
        <v>3190.7142857142881</v>
      </c>
      <c r="R120" s="538">
        <v>1063.5714285714294</v>
      </c>
      <c r="S120" s="529">
        <f t="shared" si="28"/>
        <v>3</v>
      </c>
      <c r="T120" s="611"/>
      <c r="U120" s="538">
        <v>3</v>
      </c>
      <c r="V120" s="538">
        <v>3117.8571428571449</v>
      </c>
      <c r="W120" s="538">
        <v>1039.2857142857149</v>
      </c>
      <c r="X120" s="529">
        <f t="shared" si="30"/>
        <v>6</v>
      </c>
      <c r="Y120" s="611"/>
      <c r="Z120" s="538">
        <v>3</v>
      </c>
      <c r="AA120" s="538">
        <v>3253.8461538461556</v>
      </c>
      <c r="AB120" s="538">
        <v>1084.6153846153852</v>
      </c>
      <c r="AC120" s="529">
        <f t="shared" si="32"/>
        <v>3</v>
      </c>
      <c r="AD120" s="611"/>
      <c r="AE120" s="538">
        <v>3</v>
      </c>
      <c r="AF120" s="538">
        <v>3339.1304347825976</v>
      </c>
      <c r="AG120" s="538">
        <v>1113.0434782608659</v>
      </c>
      <c r="AH120" s="529">
        <f t="shared" si="34"/>
        <v>2</v>
      </c>
      <c r="AI120" s="611"/>
      <c r="AJ120" s="538">
        <v>3</v>
      </c>
      <c r="AK120" s="538">
        <v>3179.9999999999882</v>
      </c>
      <c r="AL120" s="538">
        <v>1059.9999999999961</v>
      </c>
      <c r="AM120" s="529">
        <f t="shared" si="36"/>
        <v>1</v>
      </c>
      <c r="AN120" s="611"/>
      <c r="AO120" s="538">
        <v>3</v>
      </c>
      <c r="AP120" s="538">
        <v>3215.5555555555575</v>
      </c>
      <c r="AQ120" s="538">
        <v>1071.8518518518524</v>
      </c>
      <c r="AR120" s="529">
        <f t="shared" si="38"/>
        <v>7</v>
      </c>
      <c r="AS120" s="611"/>
      <c r="AT120" s="538">
        <v>3</v>
      </c>
      <c r="AU120" s="538">
        <v>3135.0000000000027</v>
      </c>
      <c r="AV120" s="538">
        <v>1045.0000000000009</v>
      </c>
      <c r="AW120" s="529">
        <f t="shared" si="40"/>
        <v>4</v>
      </c>
      <c r="AX120" s="611"/>
      <c r="AZ120" s="377" t="e">
        <f t="shared" si="42"/>
        <v>#N/A</v>
      </c>
      <c r="BA120" s="611"/>
    </row>
    <row r="121" spans="2:53">
      <c r="B121" s="635"/>
      <c r="C121" s="529">
        <v>10</v>
      </c>
      <c r="D121" s="416" t="s">
        <v>331</v>
      </c>
      <c r="E121" s="416">
        <v>4</v>
      </c>
      <c r="F121" s="416">
        <v>2800</v>
      </c>
      <c r="G121" s="531">
        <v>700</v>
      </c>
      <c r="H121" s="611"/>
      <c r="I121" s="531">
        <f t="shared" si="44"/>
        <v>4</v>
      </c>
      <c r="J121" s="531">
        <f t="shared" si="44"/>
        <v>3207.7940449835137</v>
      </c>
      <c r="K121" s="363">
        <f t="shared" si="44"/>
        <v>801.94851124587842</v>
      </c>
      <c r="L121" s="615"/>
      <c r="M121" s="531">
        <f>RANK(K121, K$112:$K$141)</f>
        <v>13</v>
      </c>
      <c r="N121" s="624"/>
      <c r="O121" s="624"/>
      <c r="P121" s="538">
        <v>4</v>
      </c>
      <c r="Q121" s="538">
        <v>3191.0204081632664</v>
      </c>
      <c r="R121" s="538">
        <v>797.75510204081661</v>
      </c>
      <c r="S121" s="529">
        <f t="shared" si="28"/>
        <v>13</v>
      </c>
      <c r="T121" s="611"/>
      <c r="U121" s="538">
        <v>4</v>
      </c>
      <c r="V121" s="538">
        <v>3161.632653061225</v>
      </c>
      <c r="W121" s="538">
        <v>790.40816326530626</v>
      </c>
      <c r="X121" s="529">
        <f t="shared" si="30"/>
        <v>12</v>
      </c>
      <c r="Y121" s="611"/>
      <c r="Z121" s="538">
        <v>4</v>
      </c>
      <c r="AA121" s="538">
        <v>3248.9361702127662</v>
      </c>
      <c r="AB121" s="538">
        <v>812.23404255319156</v>
      </c>
      <c r="AC121" s="529">
        <f t="shared" si="32"/>
        <v>15</v>
      </c>
      <c r="AD121" s="611"/>
      <c r="AE121" s="538">
        <v>4</v>
      </c>
      <c r="AF121" s="538">
        <v>3224.6511627906975</v>
      </c>
      <c r="AG121" s="538">
        <v>806.16279069767438</v>
      </c>
      <c r="AH121" s="529">
        <f t="shared" si="34"/>
        <v>16</v>
      </c>
      <c r="AI121" s="611"/>
      <c r="AJ121" s="538">
        <v>4</v>
      </c>
      <c r="AK121" s="538">
        <v>3186.9767441860458</v>
      </c>
      <c r="AL121" s="538">
        <v>796.74418604651146</v>
      </c>
      <c r="AM121" s="529">
        <f t="shared" si="36"/>
        <v>11</v>
      </c>
      <c r="AN121" s="611"/>
      <c r="AO121" s="538">
        <v>4</v>
      </c>
      <c r="AP121" s="538">
        <v>3248.400000000001</v>
      </c>
      <c r="AQ121" s="538">
        <v>812.10000000000025</v>
      </c>
      <c r="AR121" s="529">
        <f t="shared" si="38"/>
        <v>16</v>
      </c>
      <c r="AS121" s="611"/>
      <c r="AT121" s="538">
        <v>4</v>
      </c>
      <c r="AU121" s="538">
        <v>3192.9411764705897</v>
      </c>
      <c r="AV121" s="538">
        <v>798.23529411764741</v>
      </c>
      <c r="AW121" s="529">
        <f t="shared" si="40"/>
        <v>12</v>
      </c>
      <c r="AX121" s="611"/>
      <c r="AZ121" s="377" t="e">
        <f t="shared" si="42"/>
        <v>#N/A</v>
      </c>
      <c r="BA121" s="611"/>
    </row>
    <row r="122" spans="2:53">
      <c r="B122" s="635"/>
      <c r="C122" s="529">
        <v>11</v>
      </c>
      <c r="D122" s="416" t="s">
        <v>332</v>
      </c>
      <c r="E122" s="416">
        <v>4</v>
      </c>
      <c r="F122" s="416">
        <v>2800</v>
      </c>
      <c r="G122" s="531">
        <v>700</v>
      </c>
      <c r="H122" s="611"/>
      <c r="I122" s="531">
        <f t="shared" si="44"/>
        <v>4</v>
      </c>
      <c r="J122" s="531">
        <f t="shared" si="44"/>
        <v>2845.8046880923685</v>
      </c>
      <c r="K122" s="363">
        <f t="shared" si="44"/>
        <v>711.45117202309211</v>
      </c>
      <c r="L122" s="615"/>
      <c r="M122" s="531">
        <f>RANK(K122, K$112:$K$141)</f>
        <v>20</v>
      </c>
      <c r="N122" s="624"/>
      <c r="O122" s="624"/>
      <c r="P122" s="538">
        <v>4</v>
      </c>
      <c r="Q122" s="538">
        <v>2767.1186440677993</v>
      </c>
      <c r="R122" s="538">
        <v>691.77966101694983</v>
      </c>
      <c r="S122" s="529">
        <f t="shared" si="28"/>
        <v>19</v>
      </c>
      <c r="T122" s="611"/>
      <c r="U122" s="538">
        <v>4</v>
      </c>
      <c r="V122" s="538">
        <v>2799.3103448275883</v>
      </c>
      <c r="W122" s="538">
        <v>699.82758620689708</v>
      </c>
      <c r="X122" s="529">
        <f t="shared" si="30"/>
        <v>19</v>
      </c>
      <c r="Y122" s="611"/>
      <c r="Z122" s="538">
        <v>4</v>
      </c>
      <c r="AA122" s="538">
        <v>2817.8947368421036</v>
      </c>
      <c r="AB122" s="538">
        <v>704.4736842105259</v>
      </c>
      <c r="AC122" s="529">
        <f t="shared" si="32"/>
        <v>21</v>
      </c>
      <c r="AD122" s="611"/>
      <c r="AE122" s="538">
        <v>4</v>
      </c>
      <c r="AF122" s="538">
        <v>2840.3999999999965</v>
      </c>
      <c r="AG122" s="538">
        <v>710.09999999999911</v>
      </c>
      <c r="AH122" s="529">
        <f t="shared" si="34"/>
        <v>21</v>
      </c>
      <c r="AI122" s="611"/>
      <c r="AJ122" s="538">
        <v>4</v>
      </c>
      <c r="AK122" s="538">
        <v>2790.0000000000018</v>
      </c>
      <c r="AL122" s="538">
        <v>697.50000000000045</v>
      </c>
      <c r="AM122" s="529">
        <f t="shared" si="36"/>
        <v>20</v>
      </c>
      <c r="AN122" s="611"/>
      <c r="AO122" s="538">
        <v>4</v>
      </c>
      <c r="AP122" s="538">
        <v>2834.9999999999986</v>
      </c>
      <c r="AQ122" s="538">
        <v>708.74999999999966</v>
      </c>
      <c r="AR122" s="529">
        <f t="shared" si="38"/>
        <v>20</v>
      </c>
      <c r="AS122" s="611"/>
      <c r="AT122" s="538">
        <v>4</v>
      </c>
      <c r="AU122" s="538">
        <v>3070.9090909090928</v>
      </c>
      <c r="AV122" s="538">
        <v>767.7272727272732</v>
      </c>
      <c r="AW122" s="529">
        <f t="shared" si="40"/>
        <v>16</v>
      </c>
      <c r="AX122" s="611"/>
      <c r="AZ122" s="377" t="e">
        <f t="shared" si="42"/>
        <v>#N/A</v>
      </c>
      <c r="BA122" s="611"/>
    </row>
    <row r="123" spans="2:53">
      <c r="B123" s="635"/>
      <c r="C123" s="529">
        <v>12</v>
      </c>
      <c r="D123" s="535" t="s">
        <v>462</v>
      </c>
      <c r="E123" s="416">
        <v>3</v>
      </c>
      <c r="F123" s="416">
        <v>2800</v>
      </c>
      <c r="G123" s="531">
        <v>933.33333333333337</v>
      </c>
      <c r="H123" s="611"/>
      <c r="I123" s="531">
        <f t="shared" si="44"/>
        <v>3</v>
      </c>
      <c r="J123" s="531">
        <f t="shared" si="44"/>
        <v>2801.2303391053388</v>
      </c>
      <c r="K123" s="363">
        <f t="shared" si="44"/>
        <v>933.74344636844648</v>
      </c>
      <c r="L123" s="615"/>
      <c r="M123" s="531">
        <f>RANK(K123, K$112:$K$141)</f>
        <v>10</v>
      </c>
      <c r="N123" s="624"/>
      <c r="O123" s="624"/>
      <c r="P123" s="538">
        <v>3</v>
      </c>
      <c r="Q123" s="538">
        <v>2797.4999999999964</v>
      </c>
      <c r="R123" s="538">
        <v>932.49999999999875</v>
      </c>
      <c r="S123" s="529">
        <f t="shared" si="28"/>
        <v>10</v>
      </c>
      <c r="T123" s="611"/>
      <c r="U123" s="538">
        <v>3</v>
      </c>
      <c r="V123" s="538">
        <v>2718.1818181818212</v>
      </c>
      <c r="W123" s="538">
        <v>906.06060606060703</v>
      </c>
      <c r="X123" s="529">
        <f t="shared" si="30"/>
        <v>8</v>
      </c>
      <c r="Y123" s="611"/>
      <c r="Z123" s="538">
        <v>3</v>
      </c>
      <c r="AA123" s="538">
        <v>2868.0000000000027</v>
      </c>
      <c r="AB123" s="538">
        <v>956.00000000000091</v>
      </c>
      <c r="AC123" s="529">
        <f t="shared" si="32"/>
        <v>10</v>
      </c>
      <c r="AD123" s="611"/>
      <c r="AE123" s="538">
        <v>3</v>
      </c>
      <c r="AF123" s="538">
        <v>2868.8888888888905</v>
      </c>
      <c r="AG123" s="538">
        <v>956.29629629629687</v>
      </c>
      <c r="AH123" s="529">
        <f t="shared" si="34"/>
        <v>9</v>
      </c>
      <c r="AI123" s="611"/>
      <c r="AJ123" s="538">
        <v>3</v>
      </c>
      <c r="AK123" s="538">
        <v>2766.6666666666683</v>
      </c>
      <c r="AL123" s="538">
        <v>922.22222222222274</v>
      </c>
      <c r="AM123" s="529">
        <f t="shared" si="36"/>
        <v>10</v>
      </c>
      <c r="AN123" s="611"/>
      <c r="AO123" s="538">
        <v>3</v>
      </c>
      <c r="AP123" s="538">
        <v>2810.6249999999964</v>
      </c>
      <c r="AQ123" s="538">
        <v>936.87499999999875</v>
      </c>
      <c r="AR123" s="529">
        <f t="shared" si="38"/>
        <v>9</v>
      </c>
      <c r="AS123" s="611"/>
      <c r="AT123" s="538">
        <v>3</v>
      </c>
      <c r="AU123" s="538">
        <v>2778.7499999999964</v>
      </c>
      <c r="AV123" s="538">
        <v>926.24999999999875</v>
      </c>
      <c r="AW123" s="529">
        <f t="shared" si="40"/>
        <v>9</v>
      </c>
      <c r="AX123" s="611"/>
      <c r="AZ123" s="377" t="e">
        <f t="shared" si="42"/>
        <v>#N/A</v>
      </c>
      <c r="BA123" s="611"/>
    </row>
    <row r="124" spans="2:53">
      <c r="B124" s="635"/>
      <c r="C124" s="529">
        <v>13</v>
      </c>
      <c r="D124" s="416" t="s">
        <v>558</v>
      </c>
      <c r="E124" s="416">
        <v>4</v>
      </c>
      <c r="F124" s="416">
        <v>2800</v>
      </c>
      <c r="G124" s="531">
        <v>700</v>
      </c>
      <c r="H124" s="611"/>
      <c r="I124" s="531">
        <f t="shared" si="44"/>
        <v>4</v>
      </c>
      <c r="J124" s="531">
        <f t="shared" si="44"/>
        <v>2689.8874822656367</v>
      </c>
      <c r="K124" s="363">
        <f t="shared" si="44"/>
        <v>672.47187056640917</v>
      </c>
      <c r="L124" s="615"/>
      <c r="M124" s="531">
        <f>RANK(K124, K$112:$K$141)</f>
        <v>21</v>
      </c>
      <c r="N124" s="624"/>
      <c r="O124" s="624"/>
      <c r="P124" s="538">
        <v>4</v>
      </c>
      <c r="Q124" s="538">
        <v>2724.7058823529505</v>
      </c>
      <c r="R124" s="538">
        <v>681.17647058823763</v>
      </c>
      <c r="S124" s="529">
        <f t="shared" si="28"/>
        <v>20</v>
      </c>
      <c r="T124" s="611"/>
      <c r="U124" s="538">
        <v>4</v>
      </c>
      <c r="V124" s="538">
        <v>2655.0000000000095</v>
      </c>
      <c r="W124" s="538">
        <v>663.75000000000239</v>
      </c>
      <c r="X124" s="529">
        <f t="shared" si="30"/>
        <v>20</v>
      </c>
      <c r="Y124" s="611"/>
      <c r="Z124" s="538">
        <v>4</v>
      </c>
      <c r="AA124" s="538">
        <v>2884.2857142857083</v>
      </c>
      <c r="AB124" s="538">
        <v>721.07142857142708</v>
      </c>
      <c r="AC124" s="529">
        <f t="shared" si="32"/>
        <v>20</v>
      </c>
      <c r="AD124" s="611"/>
      <c r="AE124" s="538">
        <v>4</v>
      </c>
      <c r="AF124" s="538">
        <v>2989.0909090908981</v>
      </c>
      <c r="AG124" s="538">
        <v>747.27272727272452</v>
      </c>
      <c r="AH124" s="529">
        <f t="shared" si="34"/>
        <v>19</v>
      </c>
      <c r="AI124" s="611"/>
      <c r="AJ124" s="538">
        <v>4</v>
      </c>
      <c r="AK124" s="538">
        <v>2787.272727272737</v>
      </c>
      <c r="AL124" s="538">
        <v>696.81818181818426</v>
      </c>
      <c r="AM124" s="529">
        <f t="shared" si="36"/>
        <v>21</v>
      </c>
      <c r="AN124" s="611"/>
      <c r="AO124" s="538">
        <v>4</v>
      </c>
      <c r="AP124" s="538">
        <v>2892.8571428571531</v>
      </c>
      <c r="AQ124" s="538">
        <v>723.21428571428828</v>
      </c>
      <c r="AR124" s="529">
        <f t="shared" si="38"/>
        <v>19</v>
      </c>
      <c r="AS124" s="611"/>
      <c r="AT124" s="538">
        <v>4</v>
      </c>
      <c r="AU124" s="538">
        <v>1895.9999999999993</v>
      </c>
      <c r="AV124" s="538">
        <v>473.99999999999983</v>
      </c>
      <c r="AW124" s="529">
        <f t="shared" si="40"/>
        <v>22</v>
      </c>
      <c r="AX124" s="611"/>
      <c r="AZ124" s="377" t="e">
        <f t="shared" si="42"/>
        <v>#N/A</v>
      </c>
      <c r="BA124" s="611"/>
    </row>
    <row r="125" spans="2:53">
      <c r="B125" s="635"/>
      <c r="C125" s="529">
        <v>14</v>
      </c>
      <c r="D125" s="416" t="s">
        <v>601</v>
      </c>
      <c r="E125" s="416">
        <v>4</v>
      </c>
      <c r="F125" s="416">
        <v>3200</v>
      </c>
      <c r="G125" s="531">
        <v>800</v>
      </c>
      <c r="H125" s="611"/>
      <c r="I125" s="531">
        <f t="shared" si="44"/>
        <v>4</v>
      </c>
      <c r="J125" s="531">
        <f t="shared" si="44"/>
        <v>3102.3469387755295</v>
      </c>
      <c r="K125" s="363">
        <f t="shared" si="44"/>
        <v>775.58673469388236</v>
      </c>
      <c r="L125" s="615"/>
      <c r="M125" s="531">
        <f>RANK(K125, K$112:$K$141)</f>
        <v>17</v>
      </c>
      <c r="N125" s="624"/>
      <c r="O125" s="624"/>
      <c r="P125" s="538">
        <v>4</v>
      </c>
      <c r="Q125" s="538">
        <v>2914.2857142856915</v>
      </c>
      <c r="R125" s="538">
        <v>728.57142857142287</v>
      </c>
      <c r="S125" s="529">
        <f t="shared" si="28"/>
        <v>18</v>
      </c>
      <c r="T125" s="611"/>
      <c r="U125" s="538">
        <v>4</v>
      </c>
      <c r="V125" s="538">
        <v>2957.1428571429014</v>
      </c>
      <c r="W125" s="538">
        <v>739.28571428572536</v>
      </c>
      <c r="X125" s="529">
        <f t="shared" si="30"/>
        <v>17</v>
      </c>
      <c r="Y125" s="611"/>
      <c r="Z125" s="538">
        <v>4</v>
      </c>
      <c r="AA125" s="538">
        <v>3130.0000000000109</v>
      </c>
      <c r="AB125" s="538">
        <v>782.50000000000273</v>
      </c>
      <c r="AC125" s="529">
        <f t="shared" si="32"/>
        <v>18</v>
      </c>
      <c r="AD125" s="611"/>
      <c r="AE125" s="538">
        <v>4</v>
      </c>
      <c r="AF125" s="538">
        <v>3480.0000000000123</v>
      </c>
      <c r="AG125" s="538">
        <v>870.00000000000307</v>
      </c>
      <c r="AH125" s="529">
        <f t="shared" si="34"/>
        <v>11</v>
      </c>
      <c r="AI125" s="611"/>
      <c r="AJ125" s="538">
        <v>4</v>
      </c>
      <c r="AK125" s="538">
        <v>2955.0000000000105</v>
      </c>
      <c r="AL125" s="538">
        <v>738.75000000000261</v>
      </c>
      <c r="AM125" s="529">
        <f t="shared" si="36"/>
        <v>18</v>
      </c>
      <c r="AN125" s="611"/>
      <c r="AO125" s="538">
        <v>4</v>
      </c>
      <c r="AP125" s="538">
        <v>3540.0000000000691</v>
      </c>
      <c r="AQ125" s="538">
        <v>885.00000000001728</v>
      </c>
      <c r="AR125" s="529">
        <f t="shared" si="38"/>
        <v>12</v>
      </c>
      <c r="AS125" s="611"/>
      <c r="AT125" s="538">
        <v>4</v>
      </c>
      <c r="AU125" s="538">
        <v>2740.0000000000095</v>
      </c>
      <c r="AV125" s="538">
        <v>685.00000000000239</v>
      </c>
      <c r="AW125" s="529">
        <f t="shared" si="40"/>
        <v>19</v>
      </c>
      <c r="AX125" s="611"/>
      <c r="AZ125" s="377" t="e">
        <f t="shared" si="42"/>
        <v>#N/A</v>
      </c>
      <c r="BA125" s="611"/>
    </row>
    <row r="126" spans="2:53">
      <c r="B126" s="635"/>
      <c r="C126" s="529">
        <v>15</v>
      </c>
      <c r="D126" s="535" t="s">
        <v>684</v>
      </c>
      <c r="E126" s="416">
        <v>3</v>
      </c>
      <c r="F126" s="416">
        <v>3200</v>
      </c>
      <c r="G126" s="531">
        <v>1066.6666666666667</v>
      </c>
      <c r="H126" s="611"/>
      <c r="I126" s="531">
        <f t="shared" si="44"/>
        <v>3</v>
      </c>
      <c r="J126" s="531">
        <f t="shared" si="44"/>
        <v>2895.4289989187032</v>
      </c>
      <c r="K126" s="363">
        <f t="shared" si="44"/>
        <v>965.14299963956785</v>
      </c>
      <c r="L126" s="615"/>
      <c r="M126" s="531">
        <f>RANK(K126, K$112:$K$141)</f>
        <v>9</v>
      </c>
      <c r="N126" s="624"/>
      <c r="O126" s="624"/>
      <c r="P126" s="538">
        <v>3</v>
      </c>
      <c r="Q126" s="538">
        <v>3101.5384615384633</v>
      </c>
      <c r="R126" s="538">
        <v>1033.8461538461545</v>
      </c>
      <c r="S126" s="529">
        <f t="shared" si="28"/>
        <v>7</v>
      </c>
      <c r="T126" s="611"/>
      <c r="U126" s="538">
        <v>3</v>
      </c>
      <c r="V126" s="538">
        <v>1057.1052631578962</v>
      </c>
      <c r="W126" s="538">
        <v>352.36842105263207</v>
      </c>
      <c r="X126" s="529">
        <f t="shared" si="30"/>
        <v>24</v>
      </c>
      <c r="Y126" s="611"/>
      <c r="Z126" s="538">
        <v>3</v>
      </c>
      <c r="AA126" s="538">
        <v>3260.0000000000009</v>
      </c>
      <c r="AB126" s="538">
        <v>1086.666666666667</v>
      </c>
      <c r="AC126" s="529">
        <f t="shared" si="32"/>
        <v>1</v>
      </c>
      <c r="AD126" s="611"/>
      <c r="AE126" s="538">
        <v>3</v>
      </c>
      <c r="AF126" s="538">
        <v>3287.3684210526153</v>
      </c>
      <c r="AG126" s="538">
        <v>1095.7894736842052</v>
      </c>
      <c r="AH126" s="529">
        <f t="shared" si="34"/>
        <v>4</v>
      </c>
      <c r="AI126" s="611"/>
      <c r="AJ126" s="538">
        <v>3</v>
      </c>
      <c r="AK126" s="538">
        <v>3138.9473684210639</v>
      </c>
      <c r="AL126" s="538">
        <v>1046.315789473688</v>
      </c>
      <c r="AM126" s="529">
        <f t="shared" si="36"/>
        <v>4</v>
      </c>
      <c r="AN126" s="611"/>
      <c r="AO126" s="538">
        <v>3</v>
      </c>
      <c r="AP126" s="538">
        <v>3313.0434782608813</v>
      </c>
      <c r="AQ126" s="538">
        <v>1104.3478260869604</v>
      </c>
      <c r="AR126" s="529">
        <f t="shared" si="38"/>
        <v>2</v>
      </c>
      <c r="AS126" s="611"/>
      <c r="AT126" s="538">
        <v>3</v>
      </c>
      <c r="AU126" s="538">
        <v>3110.0000000000009</v>
      </c>
      <c r="AV126" s="538">
        <v>1036.666666666667</v>
      </c>
      <c r="AW126" s="529">
        <f t="shared" si="40"/>
        <v>6</v>
      </c>
      <c r="AX126" s="611"/>
      <c r="AZ126" s="377" t="e">
        <f t="shared" si="42"/>
        <v>#N/A</v>
      </c>
      <c r="BA126" s="611"/>
    </row>
    <row r="127" spans="2:53">
      <c r="B127" s="635"/>
      <c r="C127" s="529">
        <v>16</v>
      </c>
      <c r="D127" s="416" t="s">
        <v>692</v>
      </c>
      <c r="E127" s="416">
        <v>3</v>
      </c>
      <c r="F127" s="416">
        <v>3200</v>
      </c>
      <c r="G127" s="531">
        <v>1066.6666666666667</v>
      </c>
      <c r="H127" s="611"/>
      <c r="I127" s="531">
        <f t="shared" si="44"/>
        <v>3</v>
      </c>
      <c r="J127" s="531">
        <f t="shared" si="44"/>
        <v>3174.7393086789384</v>
      </c>
      <c r="K127" s="363">
        <f t="shared" si="44"/>
        <v>1058.2464362263129</v>
      </c>
      <c r="L127" s="615"/>
      <c r="M127" s="531">
        <f>RANK(K127, K$112:$K$141)</f>
        <v>5</v>
      </c>
      <c r="N127" s="624"/>
      <c r="O127" s="624"/>
      <c r="P127" s="538">
        <v>3</v>
      </c>
      <c r="Q127" s="538">
        <v>3107.3684210526162</v>
      </c>
      <c r="R127" s="538">
        <v>1035.7894736842054</v>
      </c>
      <c r="S127" s="529">
        <f t="shared" si="28"/>
        <v>6</v>
      </c>
      <c r="T127" s="611"/>
      <c r="U127" s="538">
        <v>3</v>
      </c>
      <c r="V127" s="538">
        <v>3126.3157894736692</v>
      </c>
      <c r="W127" s="538">
        <v>1042.1052631578898</v>
      </c>
      <c r="X127" s="529">
        <f t="shared" si="30"/>
        <v>4</v>
      </c>
      <c r="Y127" s="611"/>
      <c r="Z127" s="538">
        <v>3</v>
      </c>
      <c r="AA127" s="538">
        <v>3222.3529411764821</v>
      </c>
      <c r="AB127" s="538">
        <v>1074.1176470588273</v>
      </c>
      <c r="AC127" s="529">
        <f t="shared" si="32"/>
        <v>7</v>
      </c>
      <c r="AD127" s="611"/>
      <c r="AE127" s="538">
        <v>3</v>
      </c>
      <c r="AF127" s="538">
        <v>3378.4615384615504</v>
      </c>
      <c r="AG127" s="538">
        <v>1126.1538461538501</v>
      </c>
      <c r="AH127" s="529">
        <f t="shared" si="34"/>
        <v>1</v>
      </c>
      <c r="AI127" s="611"/>
      <c r="AJ127" s="538">
        <v>3</v>
      </c>
      <c r="AK127" s="538">
        <v>3000.0000000000105</v>
      </c>
      <c r="AL127" s="538">
        <v>1000.0000000000035</v>
      </c>
      <c r="AM127" s="529">
        <f t="shared" si="36"/>
        <v>8</v>
      </c>
      <c r="AN127" s="611"/>
      <c r="AO127" s="538">
        <v>3</v>
      </c>
      <c r="AP127" s="538">
        <v>3367.5000000000118</v>
      </c>
      <c r="AQ127" s="538">
        <v>1122.5000000000039</v>
      </c>
      <c r="AR127" s="529">
        <f t="shared" si="38"/>
        <v>1</v>
      </c>
      <c r="AS127" s="611"/>
      <c r="AT127" s="538">
        <v>3</v>
      </c>
      <c r="AU127" s="538">
        <v>3021.1764705882315</v>
      </c>
      <c r="AV127" s="538">
        <v>1007.0588235294105</v>
      </c>
      <c r="AW127" s="529">
        <f t="shared" si="40"/>
        <v>7</v>
      </c>
      <c r="AX127" s="611"/>
      <c r="AZ127" s="377" t="e">
        <f t="shared" si="42"/>
        <v>#N/A</v>
      </c>
      <c r="BA127" s="611"/>
    </row>
    <row r="128" spans="2:53">
      <c r="B128" s="635"/>
      <c r="C128" s="529">
        <v>17</v>
      </c>
      <c r="D128" s="416" t="s">
        <v>725</v>
      </c>
      <c r="E128" s="416">
        <v>3</v>
      </c>
      <c r="F128" s="416">
        <v>3200</v>
      </c>
      <c r="G128" s="531">
        <v>1066.6666666666667</v>
      </c>
      <c r="H128" s="611"/>
      <c r="I128" s="531">
        <f t="shared" si="44"/>
        <v>3</v>
      </c>
      <c r="J128" s="531">
        <f t="shared" si="44"/>
        <v>2897.6662188386285</v>
      </c>
      <c r="K128" s="363">
        <f t="shared" si="44"/>
        <v>965.88873961287629</v>
      </c>
      <c r="L128" s="615"/>
      <c r="M128" s="531">
        <f>RANK(K128, K$112:$K$141)</f>
        <v>8</v>
      </c>
      <c r="N128" s="624"/>
      <c r="O128" s="624"/>
      <c r="P128" s="538">
        <v>3</v>
      </c>
      <c r="Q128" s="538">
        <v>2997.9310344827609</v>
      </c>
      <c r="R128" s="538">
        <v>999.31034482758696</v>
      </c>
      <c r="S128" s="529">
        <f t="shared" si="28"/>
        <v>9</v>
      </c>
      <c r="T128" s="611"/>
      <c r="U128" s="538">
        <v>3</v>
      </c>
      <c r="V128" s="538">
        <v>2993.7931034482704</v>
      </c>
      <c r="W128" s="538">
        <v>997.93103448275679</v>
      </c>
      <c r="X128" s="529">
        <f t="shared" si="30"/>
        <v>7</v>
      </c>
      <c r="Y128" s="611"/>
      <c r="Z128" s="538">
        <v>3</v>
      </c>
      <c r="AA128" s="538">
        <v>3104.4444444444371</v>
      </c>
      <c r="AB128" s="538">
        <v>1034.8148148148123</v>
      </c>
      <c r="AC128" s="529">
        <f t="shared" si="32"/>
        <v>9</v>
      </c>
      <c r="AD128" s="611"/>
      <c r="AE128" s="538">
        <v>3</v>
      </c>
      <c r="AF128" s="538">
        <v>2247.9999999999959</v>
      </c>
      <c r="AG128" s="538">
        <v>749.33333333333201</v>
      </c>
      <c r="AH128" s="529">
        <f t="shared" si="34"/>
        <v>18</v>
      </c>
      <c r="AI128" s="611"/>
      <c r="AJ128" s="538">
        <v>3</v>
      </c>
      <c r="AK128" s="538">
        <v>2877.272727272727</v>
      </c>
      <c r="AL128" s="538">
        <v>959.09090909090901</v>
      </c>
      <c r="AM128" s="529">
        <f t="shared" si="36"/>
        <v>9</v>
      </c>
      <c r="AN128" s="611"/>
      <c r="AO128" s="538">
        <v>3</v>
      </c>
      <c r="AP128" s="538">
        <v>3095.5555555555479</v>
      </c>
      <c r="AQ128" s="538">
        <v>1031.8518518518492</v>
      </c>
      <c r="AR128" s="529">
        <f t="shared" si="38"/>
        <v>8</v>
      </c>
      <c r="AS128" s="611"/>
      <c r="AT128" s="538">
        <v>3</v>
      </c>
      <c r="AU128" s="538">
        <v>2966.6666666666597</v>
      </c>
      <c r="AV128" s="538">
        <v>988.88888888888653</v>
      </c>
      <c r="AW128" s="529">
        <f t="shared" si="40"/>
        <v>8</v>
      </c>
      <c r="AX128" s="611"/>
      <c r="AZ128" s="377" t="e">
        <f t="shared" si="42"/>
        <v>#N/A</v>
      </c>
      <c r="BA128" s="611"/>
    </row>
    <row r="129" spans="2:53">
      <c r="B129" s="635"/>
      <c r="C129" s="529">
        <v>18</v>
      </c>
      <c r="D129" s="535" t="s">
        <v>838</v>
      </c>
      <c r="E129" s="416">
        <v>4</v>
      </c>
      <c r="F129" s="416">
        <v>3200</v>
      </c>
      <c r="G129" s="531">
        <v>800</v>
      </c>
      <c r="H129" s="611"/>
      <c r="I129" s="531">
        <f t="shared" si="44"/>
        <v>4</v>
      </c>
      <c r="J129" s="531">
        <f t="shared" si="44"/>
        <v>3193.4396245122621</v>
      </c>
      <c r="K129" s="363">
        <f t="shared" si="44"/>
        <v>798.35990612806552</v>
      </c>
      <c r="L129" s="615"/>
      <c r="M129" s="531">
        <f>RANK(K129, K$112:$K$141)</f>
        <v>15</v>
      </c>
      <c r="N129" s="624"/>
      <c r="O129" s="624"/>
      <c r="P129" s="538">
        <v>4</v>
      </c>
      <c r="Q129" s="538">
        <v>3161.8867924528317</v>
      </c>
      <c r="R129" s="538">
        <v>790.47169811320794</v>
      </c>
      <c r="S129" s="529">
        <f t="shared" si="28"/>
        <v>14</v>
      </c>
      <c r="T129" s="611"/>
      <c r="U129" s="538">
        <v>4</v>
      </c>
      <c r="V129" s="538">
        <v>3177.6470588235306</v>
      </c>
      <c r="W129" s="538">
        <v>794.41176470588266</v>
      </c>
      <c r="X129" s="529">
        <f t="shared" si="30"/>
        <v>11</v>
      </c>
      <c r="Y129" s="611"/>
      <c r="Z129" s="538">
        <v>4</v>
      </c>
      <c r="AA129" s="538">
        <v>3269.36170212766</v>
      </c>
      <c r="AB129" s="538">
        <v>817.340425531915</v>
      </c>
      <c r="AC129" s="529">
        <f t="shared" si="32"/>
        <v>14</v>
      </c>
      <c r="AD129" s="611"/>
      <c r="AE129" s="538">
        <v>4</v>
      </c>
      <c r="AF129" s="538">
        <v>3248.181818181818</v>
      </c>
      <c r="AG129" s="538">
        <v>812.0454545454545</v>
      </c>
      <c r="AH129" s="529">
        <f t="shared" si="34"/>
        <v>15</v>
      </c>
      <c r="AI129" s="611"/>
      <c r="AJ129" s="538">
        <v>4</v>
      </c>
      <c r="AK129" s="538">
        <v>3157.7142857142826</v>
      </c>
      <c r="AL129" s="538">
        <v>789.42857142857065</v>
      </c>
      <c r="AM129" s="529">
        <f t="shared" si="36"/>
        <v>14</v>
      </c>
      <c r="AN129" s="611"/>
      <c r="AO129" s="538">
        <v>4</v>
      </c>
      <c r="AP129" s="538">
        <v>3204.2857142857069</v>
      </c>
      <c r="AQ129" s="538">
        <v>801.07142857142674</v>
      </c>
      <c r="AR129" s="529">
        <f t="shared" si="38"/>
        <v>17</v>
      </c>
      <c r="AS129" s="611"/>
      <c r="AT129" s="538">
        <v>4</v>
      </c>
      <c r="AU129" s="538">
        <v>3135.000000000005</v>
      </c>
      <c r="AV129" s="538">
        <v>783.75000000000125</v>
      </c>
      <c r="AW129" s="529">
        <f t="shared" si="40"/>
        <v>14</v>
      </c>
      <c r="AX129" s="611"/>
      <c r="AZ129" s="377" t="e">
        <f t="shared" si="42"/>
        <v>#N/A</v>
      </c>
      <c r="BA129" s="611"/>
    </row>
    <row r="130" spans="2:53">
      <c r="B130" s="635"/>
      <c r="C130" s="529">
        <v>19</v>
      </c>
      <c r="D130" s="535" t="s">
        <v>333</v>
      </c>
      <c r="E130" s="416">
        <v>4</v>
      </c>
      <c r="F130" s="416">
        <v>2800</v>
      </c>
      <c r="G130" s="531">
        <v>700</v>
      </c>
      <c r="H130" s="611"/>
      <c r="I130" s="531">
        <f t="shared" si="44"/>
        <v>4</v>
      </c>
      <c r="J130" s="531">
        <f t="shared" si="44"/>
        <v>2863.3714285714277</v>
      </c>
      <c r="K130" s="363">
        <f t="shared" si="44"/>
        <v>715.84285714285693</v>
      </c>
      <c r="L130" s="615"/>
      <c r="M130" s="531">
        <f>RANK(K130, K$112:$K$141)</f>
        <v>19</v>
      </c>
      <c r="N130" s="624"/>
      <c r="O130" s="624"/>
      <c r="P130" s="538">
        <v>4</v>
      </c>
      <c r="Q130" s="538">
        <v>2615.9999999999923</v>
      </c>
      <c r="R130" s="538">
        <v>653.99999999999807</v>
      </c>
      <c r="S130" s="529">
        <f t="shared" si="28"/>
        <v>21</v>
      </c>
      <c r="T130" s="611"/>
      <c r="U130" s="538">
        <v>4</v>
      </c>
      <c r="V130" s="538">
        <v>3197.9999999999859</v>
      </c>
      <c r="W130" s="538">
        <v>799.49999999999648</v>
      </c>
      <c r="X130" s="529">
        <f t="shared" si="30"/>
        <v>10</v>
      </c>
      <c r="Y130" s="611"/>
      <c r="Z130" s="538">
        <v>4</v>
      </c>
      <c r="AA130" s="538">
        <v>3057.0000000000109</v>
      </c>
      <c r="AB130" s="538">
        <v>764.25000000000273</v>
      </c>
      <c r="AC130" s="529">
        <f t="shared" si="32"/>
        <v>19</v>
      </c>
      <c r="AD130" s="611"/>
      <c r="AE130" s="538">
        <v>4</v>
      </c>
      <c r="AF130" s="538">
        <v>2946.0000000000105</v>
      </c>
      <c r="AG130" s="538">
        <v>736.50000000000261</v>
      </c>
      <c r="AH130" s="529">
        <f t="shared" si="34"/>
        <v>20</v>
      </c>
      <c r="AI130" s="611"/>
      <c r="AJ130" s="538">
        <v>4</v>
      </c>
      <c r="AK130" s="538">
        <v>3069.0000000000109</v>
      </c>
      <c r="AL130" s="538">
        <v>767.25000000000273</v>
      </c>
      <c r="AM130" s="529">
        <f t="shared" si="36"/>
        <v>16</v>
      </c>
      <c r="AN130" s="611"/>
      <c r="AO130" s="538">
        <v>4</v>
      </c>
      <c r="AP130" s="538">
        <v>2567.9999999999927</v>
      </c>
      <c r="AQ130" s="538">
        <v>641.99999999999818</v>
      </c>
      <c r="AR130" s="529">
        <f t="shared" si="38"/>
        <v>21</v>
      </c>
      <c r="AS130" s="611"/>
      <c r="AT130" s="538">
        <v>4</v>
      </c>
      <c r="AU130" s="538">
        <v>2589.5999999999926</v>
      </c>
      <c r="AV130" s="538">
        <v>647.39999999999816</v>
      </c>
      <c r="AW130" s="529">
        <f t="shared" si="40"/>
        <v>20</v>
      </c>
      <c r="AX130" s="611"/>
      <c r="AZ130" s="377" t="e">
        <f t="shared" si="42"/>
        <v>#N/A</v>
      </c>
      <c r="BA130" s="611"/>
    </row>
    <row r="131" spans="2:53">
      <c r="B131" s="635"/>
      <c r="C131" s="529">
        <v>20</v>
      </c>
      <c r="D131" s="535" t="s">
        <v>425</v>
      </c>
      <c r="E131" s="416">
        <v>3</v>
      </c>
      <c r="F131" s="416">
        <v>2800</v>
      </c>
      <c r="G131" s="531">
        <v>933.33333333333337</v>
      </c>
      <c r="H131" s="611"/>
      <c r="I131" s="531">
        <f t="shared" si="44"/>
        <v>3</v>
      </c>
      <c r="J131" s="531">
        <f t="shared" si="44"/>
        <v>2951.5714285714171</v>
      </c>
      <c r="K131" s="363">
        <f t="shared" si="44"/>
        <v>983.85714285713925</v>
      </c>
      <c r="L131" s="615"/>
      <c r="M131" s="531">
        <f>RANK(K131, K$112:$K$141)</f>
        <v>7</v>
      </c>
      <c r="N131" s="624"/>
      <c r="O131" s="624"/>
      <c r="P131" s="538">
        <v>3</v>
      </c>
      <c r="Q131" s="538">
        <v>3350.999999999985</v>
      </c>
      <c r="R131" s="538">
        <v>1116.999999999995</v>
      </c>
      <c r="S131" s="529">
        <f t="shared" si="28"/>
        <v>1</v>
      </c>
      <c r="T131" s="611"/>
      <c r="U131" s="538">
        <v>3</v>
      </c>
      <c r="V131" s="538">
        <v>2659.1999999999925</v>
      </c>
      <c r="W131" s="538">
        <v>886.39999999999748</v>
      </c>
      <c r="X131" s="529">
        <f t="shared" si="30"/>
        <v>9</v>
      </c>
      <c r="Y131" s="611"/>
      <c r="Z131" s="538">
        <v>3</v>
      </c>
      <c r="AA131" s="538">
        <v>3125.9999999999859</v>
      </c>
      <c r="AB131" s="538">
        <v>1041.9999999999952</v>
      </c>
      <c r="AC131" s="529">
        <f t="shared" si="32"/>
        <v>8</v>
      </c>
      <c r="AD131" s="611"/>
      <c r="AE131" s="538">
        <v>3</v>
      </c>
      <c r="AF131" s="538">
        <v>2957.9999999999873</v>
      </c>
      <c r="AG131" s="538">
        <v>985.99999999999579</v>
      </c>
      <c r="AH131" s="529">
        <f t="shared" si="34"/>
        <v>8</v>
      </c>
      <c r="AI131" s="611"/>
      <c r="AJ131" s="538">
        <v>3</v>
      </c>
      <c r="AK131" s="538">
        <v>3137.9999999999864</v>
      </c>
      <c r="AL131" s="538">
        <v>1045.9999999999955</v>
      </c>
      <c r="AM131" s="529">
        <f t="shared" si="36"/>
        <v>5</v>
      </c>
      <c r="AN131" s="611"/>
      <c r="AO131" s="538">
        <v>3</v>
      </c>
      <c r="AP131" s="538">
        <v>2774.3999999999919</v>
      </c>
      <c r="AQ131" s="538">
        <v>924.79999999999734</v>
      </c>
      <c r="AR131" s="529">
        <f t="shared" si="38"/>
        <v>10</v>
      </c>
      <c r="AS131" s="611"/>
      <c r="AT131" s="538">
        <v>3</v>
      </c>
      <c r="AU131" s="538">
        <v>2654.3999999999924</v>
      </c>
      <c r="AV131" s="538">
        <v>884.79999999999745</v>
      </c>
      <c r="AW131" s="529">
        <f t="shared" si="40"/>
        <v>10</v>
      </c>
      <c r="AX131" s="611"/>
      <c r="AZ131" s="377" t="e">
        <f t="shared" si="42"/>
        <v>#N/A</v>
      </c>
      <c r="BA131" s="611"/>
    </row>
    <row r="132" spans="2:53">
      <c r="B132" s="635"/>
      <c r="C132" s="529">
        <v>21</v>
      </c>
      <c r="D132" s="535" t="s">
        <v>436</v>
      </c>
      <c r="E132" s="416">
        <v>4</v>
      </c>
      <c r="F132" s="416">
        <v>2200</v>
      </c>
      <c r="G132" s="531">
        <v>550</v>
      </c>
      <c r="H132" s="611"/>
      <c r="I132" s="531">
        <f t="shared" si="44"/>
        <v>3</v>
      </c>
      <c r="J132" s="531">
        <f t="shared" si="44"/>
        <v>2260.4489795918389</v>
      </c>
      <c r="K132" s="363">
        <f t="shared" si="44"/>
        <v>753.4829931972796</v>
      </c>
      <c r="L132" s="615"/>
      <c r="M132" s="531">
        <f>RANK(K132, K$112:$K$141)</f>
        <v>18</v>
      </c>
      <c r="N132" s="624"/>
      <c r="O132" s="624"/>
      <c r="P132" s="529">
        <v>3</v>
      </c>
      <c r="Q132" s="538">
        <v>2235.4285714285688</v>
      </c>
      <c r="R132" s="538">
        <v>745.14285714285631</v>
      </c>
      <c r="S132" s="529">
        <f t="shared" si="28"/>
        <v>16</v>
      </c>
      <c r="T132" s="611"/>
      <c r="U132" s="529">
        <v>3</v>
      </c>
      <c r="V132" s="538">
        <v>2166.8571428571408</v>
      </c>
      <c r="W132" s="538">
        <v>722.28571428571365</v>
      </c>
      <c r="X132" s="529">
        <f t="shared" si="30"/>
        <v>18</v>
      </c>
      <c r="Y132" s="611"/>
      <c r="Z132" s="529">
        <v>3</v>
      </c>
      <c r="AA132" s="538">
        <v>2354.0000000000082</v>
      </c>
      <c r="AB132" s="538">
        <v>784.66666666666936</v>
      </c>
      <c r="AC132" s="529">
        <f t="shared" si="32"/>
        <v>17</v>
      </c>
      <c r="AD132" s="611"/>
      <c r="AE132" s="529">
        <v>3</v>
      </c>
      <c r="AF132" s="538">
        <v>2254.0000000000077</v>
      </c>
      <c r="AG132" s="538">
        <v>751.33333333333587</v>
      </c>
      <c r="AH132" s="529">
        <f t="shared" si="34"/>
        <v>17</v>
      </c>
      <c r="AI132" s="611"/>
      <c r="AJ132" s="529">
        <v>3</v>
      </c>
      <c r="AK132" s="538">
        <v>2354.0000000000082</v>
      </c>
      <c r="AL132" s="538">
        <v>784.66666666666936</v>
      </c>
      <c r="AM132" s="529">
        <f t="shared" si="36"/>
        <v>15</v>
      </c>
      <c r="AN132" s="611"/>
      <c r="AO132" s="529">
        <v>3</v>
      </c>
      <c r="AP132" s="538">
        <v>2252.5714285714262</v>
      </c>
      <c r="AQ132" s="538">
        <v>750.85714285714209</v>
      </c>
      <c r="AR132" s="529">
        <f t="shared" si="38"/>
        <v>18</v>
      </c>
      <c r="AS132" s="611"/>
      <c r="AT132" s="529">
        <v>3</v>
      </c>
      <c r="AU132" s="538">
        <v>2206.2857142857124</v>
      </c>
      <c r="AV132" s="538">
        <v>735.42857142857076</v>
      </c>
      <c r="AW132" s="529">
        <f t="shared" si="40"/>
        <v>18</v>
      </c>
      <c r="AX132" s="611"/>
      <c r="AZ132" s="377" t="e">
        <f t="shared" si="42"/>
        <v>#N/A</v>
      </c>
      <c r="BA132" s="611"/>
    </row>
    <row r="133" spans="2:53">
      <c r="B133" s="635"/>
      <c r="C133" s="529">
        <v>22</v>
      </c>
      <c r="D133" s="535" t="s">
        <v>770</v>
      </c>
      <c r="E133" s="416">
        <v>4</v>
      </c>
      <c r="F133" s="416">
        <v>2200</v>
      </c>
      <c r="G133" s="531">
        <v>550</v>
      </c>
      <c r="H133" s="611"/>
      <c r="I133" s="531">
        <f t="shared" si="44"/>
        <v>4</v>
      </c>
      <c r="J133" s="531">
        <f t="shared" si="44"/>
        <v>2199.5816326530635</v>
      </c>
      <c r="K133" s="363">
        <f t="shared" si="44"/>
        <v>549.89540816326587</v>
      </c>
      <c r="L133" s="615"/>
      <c r="M133" s="531">
        <f>RANK(K133, K$112:$K$141)</f>
        <v>22</v>
      </c>
      <c r="N133" s="624"/>
      <c r="O133" s="624"/>
      <c r="P133" s="529">
        <v>4</v>
      </c>
      <c r="Q133" s="538">
        <v>2209.4999999999991</v>
      </c>
      <c r="R133" s="538">
        <v>552.37499999999977</v>
      </c>
      <c r="S133" s="529">
        <f t="shared" si="28"/>
        <v>22</v>
      </c>
      <c r="T133" s="611"/>
      <c r="U133" s="529">
        <v>4</v>
      </c>
      <c r="V133" s="538">
        <v>2162.9999999999995</v>
      </c>
      <c r="W133" s="538">
        <v>540.74999999999989</v>
      </c>
      <c r="X133" s="529">
        <f t="shared" si="30"/>
        <v>21</v>
      </c>
      <c r="Y133" s="611"/>
      <c r="Z133" s="529">
        <v>4</v>
      </c>
      <c r="AA133" s="538">
        <v>2232.0000000000082</v>
      </c>
      <c r="AB133" s="538">
        <v>558.00000000000205</v>
      </c>
      <c r="AC133" s="529">
        <f t="shared" si="32"/>
        <v>22</v>
      </c>
      <c r="AD133" s="611"/>
      <c r="AE133" s="529">
        <v>4</v>
      </c>
      <c r="AF133" s="538">
        <v>2127.4285714285788</v>
      </c>
      <c r="AG133" s="538">
        <v>531.85714285714471</v>
      </c>
      <c r="AH133" s="529">
        <f t="shared" si="34"/>
        <v>22</v>
      </c>
      <c r="AI133" s="611"/>
      <c r="AJ133" s="529">
        <v>4</v>
      </c>
      <c r="AK133" s="538">
        <v>2100.0000000000077</v>
      </c>
      <c r="AL133" s="538">
        <v>525.00000000000193</v>
      </c>
      <c r="AM133" s="529">
        <f t="shared" si="36"/>
        <v>22</v>
      </c>
      <c r="AN133" s="611"/>
      <c r="AO133" s="529">
        <v>4</v>
      </c>
      <c r="AP133" s="538">
        <v>2319.4285714285688</v>
      </c>
      <c r="AQ133" s="538">
        <v>579.85714285714221</v>
      </c>
      <c r="AR133" s="529">
        <f t="shared" si="38"/>
        <v>22</v>
      </c>
      <c r="AS133" s="611"/>
      <c r="AT133" s="529">
        <v>4</v>
      </c>
      <c r="AU133" s="538">
        <v>2245.7142857142835</v>
      </c>
      <c r="AV133" s="538">
        <v>561.42857142857088</v>
      </c>
      <c r="AW133" s="529">
        <f t="shared" si="40"/>
        <v>21</v>
      </c>
      <c r="AX133" s="611"/>
      <c r="AZ133" s="377" t="e">
        <f t="shared" si="42"/>
        <v>#N/A</v>
      </c>
      <c r="BA133" s="611"/>
    </row>
    <row r="134" spans="2:53">
      <c r="B134" s="635"/>
      <c r="C134" s="529">
        <v>23</v>
      </c>
      <c r="D134" s="416" t="s">
        <v>771</v>
      </c>
      <c r="E134" s="416">
        <v>5</v>
      </c>
      <c r="F134" s="416">
        <v>2200</v>
      </c>
      <c r="G134" s="531">
        <v>333.33333333333331</v>
      </c>
      <c r="H134" s="611"/>
      <c r="I134" s="531">
        <f t="shared" si="44"/>
        <v>5</v>
      </c>
      <c r="J134" s="531">
        <f t="shared" si="44"/>
        <v>1869.1703154946233</v>
      </c>
      <c r="K134" s="363">
        <f t="shared" si="44"/>
        <v>373.83406309892462</v>
      </c>
      <c r="L134" s="615"/>
      <c r="M134" s="531">
        <f>RANK(K134, K$112:$K$141)</f>
        <v>23</v>
      </c>
      <c r="N134" s="624"/>
      <c r="O134" s="624"/>
      <c r="P134" s="529">
        <v>5</v>
      </c>
      <c r="Q134" s="538">
        <v>1954.7368421052702</v>
      </c>
      <c r="R134" s="538">
        <v>390.94736842105402</v>
      </c>
      <c r="S134" s="529">
        <f t="shared" si="28"/>
        <v>23</v>
      </c>
      <c r="T134" s="611"/>
      <c r="U134" s="529">
        <v>5</v>
      </c>
      <c r="V134" s="538">
        <v>1942.1052631579018</v>
      </c>
      <c r="W134" s="538">
        <v>388.42105263158038</v>
      </c>
      <c r="X134" s="529">
        <f t="shared" si="30"/>
        <v>22</v>
      </c>
      <c r="Y134" s="611"/>
      <c r="Z134" s="529">
        <v>5</v>
      </c>
      <c r="AA134" s="538">
        <v>1746.3157894736903</v>
      </c>
      <c r="AB134" s="538">
        <v>349.26315789473807</v>
      </c>
      <c r="AC134" s="529">
        <f t="shared" si="32"/>
        <v>24</v>
      </c>
      <c r="AD134" s="611"/>
      <c r="AE134" s="529">
        <v>5</v>
      </c>
      <c r="AF134" s="538">
        <v>1804.0000000000064</v>
      </c>
      <c r="AG134" s="538">
        <v>360.80000000000126</v>
      </c>
      <c r="AH134" s="529">
        <f t="shared" si="34"/>
        <v>23</v>
      </c>
      <c r="AI134" s="611"/>
      <c r="AJ134" s="529">
        <v>5</v>
      </c>
      <c r="AK134" s="538">
        <v>1826.2500000000064</v>
      </c>
      <c r="AL134" s="538">
        <v>365.25000000000125</v>
      </c>
      <c r="AM134" s="529">
        <f t="shared" si="36"/>
        <v>24</v>
      </c>
      <c r="AN134" s="611"/>
      <c r="AO134" s="529">
        <v>5</v>
      </c>
      <c r="AP134" s="538">
        <v>1876.6666666666567</v>
      </c>
      <c r="AQ134" s="538">
        <v>375.33333333333132</v>
      </c>
      <c r="AR134" s="529">
        <f t="shared" si="38"/>
        <v>23</v>
      </c>
      <c r="AS134" s="611"/>
      <c r="AT134" s="529">
        <v>5</v>
      </c>
      <c r="AU134" s="538">
        <v>1934.1176470588302</v>
      </c>
      <c r="AV134" s="538">
        <v>386.82352941176606</v>
      </c>
      <c r="AW134" s="529">
        <f t="shared" si="40"/>
        <v>23</v>
      </c>
      <c r="AX134" s="611"/>
      <c r="AZ134" s="377" t="e">
        <f t="shared" si="42"/>
        <v>#N/A</v>
      </c>
      <c r="BA134" s="611"/>
    </row>
    <row r="135" spans="2:53">
      <c r="B135" s="635"/>
      <c r="C135" s="529">
        <v>24</v>
      </c>
      <c r="D135" s="535" t="s">
        <v>772</v>
      </c>
      <c r="E135" s="416">
        <v>5</v>
      </c>
      <c r="F135" s="416">
        <v>2200</v>
      </c>
      <c r="G135" s="531">
        <v>333.33333333333331</v>
      </c>
      <c r="H135" s="611"/>
      <c r="I135" s="531">
        <f t="shared" si="44"/>
        <v>5</v>
      </c>
      <c r="J135" s="531">
        <f t="shared" si="44"/>
        <v>1823.7924540445565</v>
      </c>
      <c r="K135" s="363">
        <f t="shared" si="44"/>
        <v>364.75849080891129</v>
      </c>
      <c r="L135" s="615"/>
      <c r="M135" s="531">
        <f>RANK(K135, K$112:$K$141)</f>
        <v>24</v>
      </c>
      <c r="N135" s="624"/>
      <c r="O135" s="624"/>
      <c r="P135" s="529">
        <v>5</v>
      </c>
      <c r="Q135" s="538">
        <v>1833.3333333333399</v>
      </c>
      <c r="R135" s="538">
        <v>366.66666666666799</v>
      </c>
      <c r="S135" s="529">
        <f t="shared" si="28"/>
        <v>24</v>
      </c>
      <c r="T135" s="611"/>
      <c r="U135" s="529">
        <v>5</v>
      </c>
      <c r="V135" s="538">
        <v>1856.4705882352657</v>
      </c>
      <c r="W135" s="538">
        <v>371.29411764705316</v>
      </c>
      <c r="X135" s="529">
        <f t="shared" si="30"/>
        <v>23</v>
      </c>
      <c r="Y135" s="611"/>
      <c r="Z135" s="529">
        <v>5</v>
      </c>
      <c r="AA135" s="538">
        <v>1778.571428571435</v>
      </c>
      <c r="AB135" s="538">
        <v>355.71428571428703</v>
      </c>
      <c r="AC135" s="529">
        <f t="shared" si="32"/>
        <v>23</v>
      </c>
      <c r="AD135" s="611"/>
      <c r="AE135" s="529">
        <v>5</v>
      </c>
      <c r="AF135" s="538">
        <v>1780.0000000000064</v>
      </c>
      <c r="AG135" s="538">
        <v>356.00000000000125</v>
      </c>
      <c r="AH135" s="529">
        <f t="shared" si="34"/>
        <v>24</v>
      </c>
      <c r="AI135" s="611"/>
      <c r="AJ135" s="529">
        <v>5</v>
      </c>
      <c r="AK135" s="538">
        <v>1914.5454545454613</v>
      </c>
      <c r="AL135" s="538">
        <v>382.90909090909224</v>
      </c>
      <c r="AM135" s="529">
        <f t="shared" si="36"/>
        <v>23</v>
      </c>
      <c r="AN135" s="611"/>
      <c r="AO135" s="529">
        <v>5</v>
      </c>
      <c r="AP135" s="538">
        <v>1752.857142857149</v>
      </c>
      <c r="AQ135" s="538">
        <v>350.57142857142981</v>
      </c>
      <c r="AR135" s="529">
        <f t="shared" si="38"/>
        <v>24</v>
      </c>
      <c r="AS135" s="611"/>
      <c r="AT135" s="529">
        <v>5</v>
      </c>
      <c r="AU135" s="538">
        <v>1850.7692307692373</v>
      </c>
      <c r="AV135" s="538">
        <v>370.15384615384744</v>
      </c>
      <c r="AW135" s="529">
        <f t="shared" si="40"/>
        <v>24</v>
      </c>
      <c r="AX135" s="611"/>
      <c r="AZ135" s="377" t="e">
        <f t="shared" si="42"/>
        <v>#N/A</v>
      </c>
      <c r="BA135" s="611"/>
    </row>
    <row r="136" spans="2:53">
      <c r="B136" s="635"/>
      <c r="C136" s="529">
        <v>25</v>
      </c>
      <c r="D136" s="416" t="s">
        <v>662</v>
      </c>
      <c r="E136" s="416">
        <v>8</v>
      </c>
      <c r="F136" s="416">
        <v>1500</v>
      </c>
      <c r="G136" s="531">
        <v>187.5</v>
      </c>
      <c r="H136" s="611"/>
      <c r="I136" s="531">
        <f t="shared" si="44"/>
        <v>12</v>
      </c>
      <c r="J136" s="531">
        <f t="shared" si="44"/>
        <v>1432.7979926230669</v>
      </c>
      <c r="K136" s="363">
        <f t="shared" si="44"/>
        <v>119.39983271858894</v>
      </c>
      <c r="L136" s="615"/>
      <c r="M136" s="531">
        <f>RANK(K136, K$112:$K$141)</f>
        <v>25</v>
      </c>
      <c r="N136" s="624"/>
      <c r="O136" s="624"/>
      <c r="P136" s="529">
        <v>12</v>
      </c>
      <c r="Q136" s="529">
        <v>1520.4000000000003</v>
      </c>
      <c r="R136" s="529">
        <v>126.70000000000003</v>
      </c>
      <c r="S136" s="529">
        <f t="shared" si="28"/>
        <v>25</v>
      </c>
      <c r="T136" s="611"/>
      <c r="U136" s="529">
        <v>12</v>
      </c>
      <c r="V136" s="538">
        <v>1413.9622641509441</v>
      </c>
      <c r="W136" s="538">
        <v>117.83018867924534</v>
      </c>
      <c r="X136" s="529">
        <f t="shared" si="30"/>
        <v>25</v>
      </c>
      <c r="Y136" s="611"/>
      <c r="Z136" s="529">
        <v>12</v>
      </c>
      <c r="AA136" s="529">
        <v>1422.0000000000005</v>
      </c>
      <c r="AB136" s="529">
        <v>118.50000000000004</v>
      </c>
      <c r="AC136" s="529">
        <f t="shared" si="32"/>
        <v>25</v>
      </c>
      <c r="AD136" s="611"/>
      <c r="AE136" s="529">
        <v>12</v>
      </c>
      <c r="AF136" s="529">
        <v>1385.0000000000005</v>
      </c>
      <c r="AG136" s="538">
        <v>115.4166666666667</v>
      </c>
      <c r="AH136" s="529">
        <f t="shared" si="34"/>
        <v>25</v>
      </c>
      <c r="AI136" s="611"/>
      <c r="AJ136" s="529">
        <v>12</v>
      </c>
      <c r="AK136" s="538">
        <v>1538.7500000000005</v>
      </c>
      <c r="AL136" s="538">
        <v>128.22916666666671</v>
      </c>
      <c r="AM136" s="529">
        <f t="shared" si="36"/>
        <v>25</v>
      </c>
      <c r="AN136" s="611"/>
      <c r="AO136" s="529">
        <v>12</v>
      </c>
      <c r="AP136" s="538">
        <v>1349.4736842105235</v>
      </c>
      <c r="AQ136" s="538">
        <v>112.45614035087696</v>
      </c>
      <c r="AR136" s="529">
        <f t="shared" si="38"/>
        <v>25</v>
      </c>
      <c r="AS136" s="611"/>
      <c r="AT136" s="529">
        <v>12</v>
      </c>
      <c r="AU136" s="529">
        <v>1400.0000000000007</v>
      </c>
      <c r="AV136" s="538">
        <v>116.66666666666673</v>
      </c>
      <c r="AW136" s="529">
        <f t="shared" si="40"/>
        <v>25</v>
      </c>
      <c r="AX136" s="611"/>
      <c r="AZ136" s="377" t="e">
        <f t="shared" si="42"/>
        <v>#N/A</v>
      </c>
      <c r="BA136" s="611"/>
    </row>
    <row r="137" spans="2:53">
      <c r="B137" s="635"/>
      <c r="C137" s="529">
        <v>26</v>
      </c>
      <c r="D137" s="416"/>
      <c r="E137" s="416"/>
      <c r="F137" s="416"/>
      <c r="G137" s="531"/>
      <c r="H137" s="611"/>
      <c r="I137" s="531" t="str">
        <f t="shared" si="44"/>
        <v>-</v>
      </c>
      <c r="J137" s="531" t="str">
        <f t="shared" si="44"/>
        <v>-</v>
      </c>
      <c r="K137" s="363" t="str">
        <f t="shared" si="44"/>
        <v>-</v>
      </c>
      <c r="L137" s="615"/>
      <c r="M137" s="531" t="e">
        <f>RANK(K137, K$112:$K$141)</f>
        <v>#VALUE!</v>
      </c>
      <c r="N137" s="624"/>
      <c r="O137" s="624"/>
      <c r="P137" s="529"/>
      <c r="Q137" s="529"/>
      <c r="R137" s="529"/>
      <c r="S137" s="529" t="e">
        <f t="shared" si="28"/>
        <v>#N/A</v>
      </c>
      <c r="T137" s="611"/>
      <c r="U137" s="529"/>
      <c r="V137" s="529"/>
      <c r="W137" s="529"/>
      <c r="X137" s="529" t="e">
        <f t="shared" si="30"/>
        <v>#N/A</v>
      </c>
      <c r="Y137" s="611"/>
      <c r="Z137" s="529"/>
      <c r="AA137" s="529"/>
      <c r="AB137" s="529"/>
      <c r="AC137" s="529" t="e">
        <f t="shared" si="32"/>
        <v>#N/A</v>
      </c>
      <c r="AD137" s="611"/>
      <c r="AE137" s="529"/>
      <c r="AF137" s="529"/>
      <c r="AG137" s="529"/>
      <c r="AH137" s="529" t="e">
        <f t="shared" si="34"/>
        <v>#N/A</v>
      </c>
      <c r="AI137" s="611"/>
      <c r="AJ137" s="529"/>
      <c r="AK137" s="529"/>
      <c r="AL137" s="529"/>
      <c r="AM137" s="529" t="e">
        <f t="shared" si="36"/>
        <v>#N/A</v>
      </c>
      <c r="AN137" s="611"/>
      <c r="AO137" s="529"/>
      <c r="AP137" s="529"/>
      <c r="AQ137" s="529"/>
      <c r="AR137" s="529" t="e">
        <f t="shared" si="38"/>
        <v>#N/A</v>
      </c>
      <c r="AS137" s="611"/>
      <c r="AT137" s="529"/>
      <c r="AU137" s="529"/>
      <c r="AV137" s="529"/>
      <c r="AW137" s="529" t="e">
        <f t="shared" si="40"/>
        <v>#N/A</v>
      </c>
      <c r="AX137" s="611"/>
      <c r="AZ137" s="377" t="e">
        <f t="shared" si="42"/>
        <v>#N/A</v>
      </c>
      <c r="BA137" s="611"/>
    </row>
    <row r="138" spans="2:53">
      <c r="B138" s="635"/>
      <c r="C138" s="529">
        <v>27</v>
      </c>
      <c r="D138" s="416"/>
      <c r="E138" s="416"/>
      <c r="F138" s="416"/>
      <c r="G138" s="531"/>
      <c r="H138" s="611"/>
      <c r="I138" s="531" t="str">
        <f t="shared" si="44"/>
        <v>-</v>
      </c>
      <c r="J138" s="531" t="str">
        <f t="shared" si="44"/>
        <v>-</v>
      </c>
      <c r="K138" s="363" t="str">
        <f t="shared" si="44"/>
        <v>-</v>
      </c>
      <c r="L138" s="615"/>
      <c r="M138" s="531" t="e">
        <f>RANK(K138, K$112:$K$141)</f>
        <v>#VALUE!</v>
      </c>
      <c r="N138" s="624"/>
      <c r="O138" s="624"/>
      <c r="P138" s="529"/>
      <c r="Q138" s="529"/>
      <c r="R138" s="529"/>
      <c r="S138" s="529" t="e">
        <f t="shared" si="28"/>
        <v>#N/A</v>
      </c>
      <c r="T138" s="611"/>
      <c r="U138" s="529"/>
      <c r="V138" s="529"/>
      <c r="W138" s="529"/>
      <c r="X138" s="529" t="e">
        <f t="shared" si="30"/>
        <v>#N/A</v>
      </c>
      <c r="Y138" s="611"/>
      <c r="Z138" s="529"/>
      <c r="AA138" s="529"/>
      <c r="AB138" s="529"/>
      <c r="AC138" s="529" t="e">
        <f t="shared" si="32"/>
        <v>#N/A</v>
      </c>
      <c r="AD138" s="611"/>
      <c r="AE138" s="529"/>
      <c r="AF138" s="529"/>
      <c r="AG138" s="529"/>
      <c r="AH138" s="529" t="e">
        <f t="shared" si="34"/>
        <v>#N/A</v>
      </c>
      <c r="AI138" s="611"/>
      <c r="AJ138" s="529"/>
      <c r="AK138" s="529"/>
      <c r="AL138" s="529"/>
      <c r="AM138" s="529" t="e">
        <f t="shared" si="36"/>
        <v>#N/A</v>
      </c>
      <c r="AN138" s="611"/>
      <c r="AO138" s="529"/>
      <c r="AP138" s="529"/>
      <c r="AQ138" s="529"/>
      <c r="AR138" s="529" t="e">
        <f t="shared" si="38"/>
        <v>#N/A</v>
      </c>
      <c r="AS138" s="611"/>
      <c r="AT138" s="529"/>
      <c r="AU138" s="529"/>
      <c r="AV138" s="529"/>
      <c r="AW138" s="529" t="e">
        <f t="shared" si="40"/>
        <v>#N/A</v>
      </c>
      <c r="AX138" s="611"/>
      <c r="AZ138" s="377" t="e">
        <f t="shared" si="42"/>
        <v>#N/A</v>
      </c>
      <c r="BA138" s="611"/>
    </row>
    <row r="139" spans="2:53">
      <c r="B139" s="635"/>
      <c r="C139" s="529">
        <v>28</v>
      </c>
      <c r="D139" s="416"/>
      <c r="E139" s="416"/>
      <c r="F139" s="416"/>
      <c r="G139" s="416"/>
      <c r="H139" s="611"/>
      <c r="I139" s="531" t="str">
        <f t="shared" si="44"/>
        <v>-</v>
      </c>
      <c r="J139" s="531" t="str">
        <f t="shared" si="44"/>
        <v>-</v>
      </c>
      <c r="K139" s="363" t="str">
        <f t="shared" si="44"/>
        <v>-</v>
      </c>
      <c r="L139" s="615"/>
      <c r="M139" s="531" t="e">
        <f>RANK(K139, K$112:$K$141)</f>
        <v>#VALUE!</v>
      </c>
      <c r="N139" s="624"/>
      <c r="O139" s="624"/>
      <c r="P139" s="529"/>
      <c r="Q139" s="529"/>
      <c r="R139" s="529"/>
      <c r="S139" s="529" t="e">
        <f t="shared" si="28"/>
        <v>#N/A</v>
      </c>
      <c r="T139" s="611"/>
      <c r="U139" s="529"/>
      <c r="V139" s="529"/>
      <c r="W139" s="529"/>
      <c r="X139" s="529" t="e">
        <f t="shared" si="30"/>
        <v>#N/A</v>
      </c>
      <c r="Y139" s="611"/>
      <c r="Z139" s="529"/>
      <c r="AA139" s="529"/>
      <c r="AB139" s="529"/>
      <c r="AC139" s="529" t="e">
        <f t="shared" si="32"/>
        <v>#N/A</v>
      </c>
      <c r="AD139" s="611"/>
      <c r="AE139" s="529"/>
      <c r="AF139" s="529"/>
      <c r="AG139" s="529"/>
      <c r="AH139" s="529" t="e">
        <f t="shared" si="34"/>
        <v>#N/A</v>
      </c>
      <c r="AI139" s="611"/>
      <c r="AJ139" s="529"/>
      <c r="AK139" s="529"/>
      <c r="AL139" s="529"/>
      <c r="AM139" s="529" t="e">
        <f t="shared" si="36"/>
        <v>#N/A</v>
      </c>
      <c r="AN139" s="611"/>
      <c r="AO139" s="529"/>
      <c r="AP139" s="529"/>
      <c r="AQ139" s="529"/>
      <c r="AR139" s="529" t="e">
        <f t="shared" si="38"/>
        <v>#N/A</v>
      </c>
      <c r="AS139" s="611"/>
      <c r="AT139" s="529"/>
      <c r="AU139" s="529"/>
      <c r="AV139" s="529"/>
      <c r="AW139" s="529" t="e">
        <f t="shared" si="40"/>
        <v>#N/A</v>
      </c>
      <c r="AX139" s="611"/>
      <c r="AZ139" s="377" t="e">
        <f t="shared" si="42"/>
        <v>#N/A</v>
      </c>
      <c r="BA139" s="611"/>
    </row>
    <row r="140" spans="2:53">
      <c r="B140" s="635"/>
      <c r="C140" s="529">
        <v>29</v>
      </c>
      <c r="D140" s="416"/>
      <c r="E140" s="416"/>
      <c r="F140" s="416"/>
      <c r="G140" s="416"/>
      <c r="H140" s="611"/>
      <c r="I140" s="531" t="str">
        <f t="shared" si="44"/>
        <v>-</v>
      </c>
      <c r="J140" s="531" t="str">
        <f t="shared" si="44"/>
        <v>-</v>
      </c>
      <c r="K140" s="363" t="str">
        <f t="shared" si="44"/>
        <v>-</v>
      </c>
      <c r="L140" s="615"/>
      <c r="M140" s="531" t="e">
        <f>RANK(K140, K$112:$K$141)</f>
        <v>#VALUE!</v>
      </c>
      <c r="N140" s="624"/>
      <c r="O140" s="624"/>
      <c r="P140" s="529"/>
      <c r="Q140" s="529"/>
      <c r="R140" s="529"/>
      <c r="S140" s="529" t="e">
        <f t="shared" si="28"/>
        <v>#N/A</v>
      </c>
      <c r="T140" s="611"/>
      <c r="U140" s="529"/>
      <c r="V140" s="529"/>
      <c r="W140" s="529"/>
      <c r="X140" s="529" t="e">
        <f t="shared" si="30"/>
        <v>#N/A</v>
      </c>
      <c r="Y140" s="611"/>
      <c r="Z140" s="529"/>
      <c r="AA140" s="529"/>
      <c r="AB140" s="529"/>
      <c r="AC140" s="529" t="e">
        <f t="shared" si="32"/>
        <v>#N/A</v>
      </c>
      <c r="AD140" s="611"/>
      <c r="AE140" s="529"/>
      <c r="AF140" s="529"/>
      <c r="AG140" s="529"/>
      <c r="AH140" s="529" t="e">
        <f t="shared" si="34"/>
        <v>#N/A</v>
      </c>
      <c r="AI140" s="611"/>
      <c r="AJ140" s="529"/>
      <c r="AK140" s="529"/>
      <c r="AL140" s="529"/>
      <c r="AM140" s="529" t="e">
        <f t="shared" si="36"/>
        <v>#N/A</v>
      </c>
      <c r="AN140" s="611"/>
      <c r="AO140" s="529"/>
      <c r="AP140" s="529"/>
      <c r="AQ140" s="529"/>
      <c r="AR140" s="529" t="e">
        <f t="shared" si="38"/>
        <v>#N/A</v>
      </c>
      <c r="AS140" s="611"/>
      <c r="AT140" s="529"/>
      <c r="AU140" s="529"/>
      <c r="AV140" s="529"/>
      <c r="AW140" s="529" t="e">
        <f t="shared" si="40"/>
        <v>#N/A</v>
      </c>
      <c r="AX140" s="611"/>
      <c r="AZ140" s="377" t="e">
        <f t="shared" si="42"/>
        <v>#N/A</v>
      </c>
      <c r="BA140" s="611"/>
    </row>
    <row r="141" spans="2:53">
      <c r="B141" s="635"/>
      <c r="C141" s="529">
        <v>30</v>
      </c>
      <c r="D141" s="416"/>
      <c r="E141" s="416"/>
      <c r="F141" s="416"/>
      <c r="G141" s="416"/>
      <c r="H141" s="612"/>
      <c r="I141" s="531" t="str">
        <f t="shared" si="44"/>
        <v>-</v>
      </c>
      <c r="J141" s="531" t="str">
        <f t="shared" si="44"/>
        <v>-</v>
      </c>
      <c r="K141" s="363" t="str">
        <f t="shared" si="44"/>
        <v>-</v>
      </c>
      <c r="L141" s="616"/>
      <c r="M141" s="531" t="e">
        <f>RANK(K141, K$112:$K$141)</f>
        <v>#VALUE!</v>
      </c>
      <c r="N141" s="624"/>
      <c r="O141" s="624"/>
      <c r="P141" s="529"/>
      <c r="Q141" s="529"/>
      <c r="R141" s="529"/>
      <c r="S141" s="529" t="e">
        <f t="shared" si="28"/>
        <v>#N/A</v>
      </c>
      <c r="T141" s="612"/>
      <c r="U141" s="529"/>
      <c r="V141" s="529"/>
      <c r="W141" s="529"/>
      <c r="X141" s="529" t="e">
        <f t="shared" si="30"/>
        <v>#N/A</v>
      </c>
      <c r="Y141" s="612"/>
      <c r="Z141" s="529"/>
      <c r="AA141" s="529"/>
      <c r="AB141" s="529"/>
      <c r="AC141" s="529" t="e">
        <f t="shared" si="32"/>
        <v>#N/A</v>
      </c>
      <c r="AD141" s="612"/>
      <c r="AE141" s="529"/>
      <c r="AF141" s="529"/>
      <c r="AG141" s="529"/>
      <c r="AH141" s="529" t="e">
        <f t="shared" si="34"/>
        <v>#N/A</v>
      </c>
      <c r="AI141" s="612"/>
      <c r="AJ141" s="529"/>
      <c r="AK141" s="529"/>
      <c r="AL141" s="529"/>
      <c r="AM141" s="529" t="e">
        <f t="shared" si="36"/>
        <v>#N/A</v>
      </c>
      <c r="AN141" s="612"/>
      <c r="AO141" s="529"/>
      <c r="AP141" s="529"/>
      <c r="AQ141" s="529"/>
      <c r="AR141" s="529" t="e">
        <f t="shared" si="38"/>
        <v>#N/A</v>
      </c>
      <c r="AS141" s="612"/>
      <c r="AT141" s="529"/>
      <c r="AU141" s="529"/>
      <c r="AV141" s="529"/>
      <c r="AW141" s="529" t="e">
        <f t="shared" si="40"/>
        <v>#N/A</v>
      </c>
      <c r="AX141" s="612"/>
      <c r="AZ141" s="377" t="e">
        <f t="shared" si="42"/>
        <v>#N/A</v>
      </c>
      <c r="BA141" s="612"/>
    </row>
    <row r="142" spans="2:53" ht="15.75">
      <c r="B142" s="643" t="s">
        <v>769</v>
      </c>
      <c r="C142" s="644"/>
      <c r="D142" s="644"/>
      <c r="E142" s="644"/>
      <c r="F142" s="644"/>
      <c r="G142" s="644"/>
      <c r="H142" s="645"/>
      <c r="I142" s="205"/>
      <c r="J142" s="205"/>
      <c r="K142" s="205"/>
      <c r="L142" s="205"/>
      <c r="M142" s="204"/>
      <c r="N142" s="639" t="s">
        <v>497</v>
      </c>
      <c r="O142" s="639" t="s">
        <v>498</v>
      </c>
      <c r="P142" s="634">
        <f>P107+7</f>
        <v>46231</v>
      </c>
      <c r="Q142" s="635"/>
      <c r="R142" s="635"/>
      <c r="S142" s="635"/>
      <c r="T142" s="635"/>
      <c r="U142" s="636">
        <f>P142+1</f>
        <v>46232</v>
      </c>
      <c r="V142" s="637"/>
      <c r="W142" s="637"/>
      <c r="X142" s="637"/>
      <c r="Y142" s="638"/>
      <c r="Z142" s="636">
        <f>U142+1</f>
        <v>46233</v>
      </c>
      <c r="AA142" s="637"/>
      <c r="AB142" s="637"/>
      <c r="AC142" s="637"/>
      <c r="AD142" s="638"/>
      <c r="AE142" s="636">
        <f>Z142+1</f>
        <v>46234</v>
      </c>
      <c r="AF142" s="637"/>
      <c r="AG142" s="637"/>
      <c r="AH142" s="637"/>
      <c r="AI142" s="638"/>
      <c r="AJ142" s="636"/>
      <c r="AK142" s="637"/>
      <c r="AL142" s="637"/>
      <c r="AM142" s="637"/>
      <c r="AN142" s="638"/>
      <c r="AO142" s="636"/>
      <c r="AP142" s="637"/>
      <c r="AQ142" s="637"/>
      <c r="AR142" s="637"/>
      <c r="AS142" s="638"/>
      <c r="AT142" s="636"/>
      <c r="AU142" s="637"/>
      <c r="AV142" s="637"/>
      <c r="AW142" s="637"/>
      <c r="AX142" s="638"/>
    </row>
    <row r="143" spans="2:53" ht="15.75">
      <c r="B143" s="646"/>
      <c r="C143" s="646"/>
      <c r="D143" s="646"/>
      <c r="E143" s="646"/>
      <c r="F143" s="646"/>
      <c r="G143" s="646"/>
      <c r="H143" s="646"/>
      <c r="I143" s="202"/>
      <c r="J143" s="202"/>
      <c r="K143" s="202"/>
      <c r="L143" s="202"/>
      <c r="M143" s="203"/>
      <c r="N143" s="641"/>
      <c r="O143" s="641"/>
      <c r="P143" s="634" t="s">
        <v>499</v>
      </c>
      <c r="Q143" s="635"/>
      <c r="R143" s="635"/>
      <c r="S143" s="635"/>
      <c r="T143" s="635"/>
      <c r="U143" s="634" t="s">
        <v>500</v>
      </c>
      <c r="V143" s="635"/>
      <c r="W143" s="635"/>
      <c r="X143" s="635"/>
      <c r="Y143" s="635"/>
      <c r="Z143" s="634" t="s">
        <v>501</v>
      </c>
      <c r="AA143" s="635"/>
      <c r="AB143" s="635"/>
      <c r="AC143" s="635"/>
      <c r="AD143" s="635"/>
      <c r="AE143" s="634" t="s">
        <v>502</v>
      </c>
      <c r="AF143" s="635"/>
      <c r="AG143" s="635"/>
      <c r="AH143" s="635"/>
      <c r="AI143" s="635"/>
      <c r="AJ143" s="634" t="s">
        <v>503</v>
      </c>
      <c r="AK143" s="635"/>
      <c r="AL143" s="635"/>
      <c r="AM143" s="635"/>
      <c r="AN143" s="635"/>
      <c r="AO143" s="634" t="s">
        <v>504</v>
      </c>
      <c r="AP143" s="635"/>
      <c r="AQ143" s="635"/>
      <c r="AR143" s="635"/>
      <c r="AS143" s="635"/>
      <c r="AT143" s="634" t="s">
        <v>505</v>
      </c>
      <c r="AU143" s="635"/>
      <c r="AV143" s="635"/>
      <c r="AW143" s="635"/>
      <c r="AX143" s="635"/>
    </row>
    <row r="144" spans="2:53">
      <c r="B144" s="624" t="s">
        <v>760</v>
      </c>
      <c r="C144" s="624" t="s">
        <v>761</v>
      </c>
      <c r="D144" s="624"/>
      <c r="E144" s="624" t="s">
        <v>762</v>
      </c>
      <c r="F144" s="624"/>
      <c r="G144" s="624"/>
      <c r="H144" s="647" t="s">
        <v>763</v>
      </c>
      <c r="I144" s="617" t="s">
        <v>764</v>
      </c>
      <c r="J144" s="617"/>
      <c r="K144" s="617"/>
      <c r="L144" s="618" t="s">
        <v>763</v>
      </c>
      <c r="M144" s="628" t="s">
        <v>511</v>
      </c>
      <c r="N144" s="624"/>
      <c r="O144" s="624" t="s">
        <v>512</v>
      </c>
      <c r="P144" s="621" t="s">
        <v>513</v>
      </c>
      <c r="Q144" s="622"/>
      <c r="R144" s="622"/>
      <c r="S144" s="623"/>
      <c r="T144" s="624" t="s">
        <v>509</v>
      </c>
      <c r="U144" s="621" t="s">
        <v>513</v>
      </c>
      <c r="V144" s="622"/>
      <c r="W144" s="622"/>
      <c r="X144" s="623"/>
      <c r="Y144" s="624" t="s">
        <v>509</v>
      </c>
      <c r="Z144" s="621" t="s">
        <v>513</v>
      </c>
      <c r="AA144" s="622"/>
      <c r="AB144" s="622"/>
      <c r="AC144" s="623"/>
      <c r="AD144" s="624" t="s">
        <v>509</v>
      </c>
      <c r="AE144" s="621" t="s">
        <v>513</v>
      </c>
      <c r="AF144" s="622"/>
      <c r="AG144" s="622"/>
      <c r="AH144" s="623"/>
      <c r="AI144" s="624" t="s">
        <v>509</v>
      </c>
      <c r="AJ144" s="621" t="s">
        <v>513</v>
      </c>
      <c r="AK144" s="622"/>
      <c r="AL144" s="622"/>
      <c r="AM144" s="623"/>
      <c r="AN144" s="624" t="s">
        <v>509</v>
      </c>
      <c r="AO144" s="621" t="s">
        <v>513</v>
      </c>
      <c r="AP144" s="622"/>
      <c r="AQ144" s="622"/>
      <c r="AR144" s="623"/>
      <c r="AS144" s="624" t="s">
        <v>509</v>
      </c>
      <c r="AT144" s="621" t="s">
        <v>513</v>
      </c>
      <c r="AU144" s="622"/>
      <c r="AV144" s="622"/>
      <c r="AW144" s="623"/>
      <c r="AX144" s="624" t="s">
        <v>509</v>
      </c>
    </row>
    <row r="145" spans="2:53">
      <c r="B145" s="624"/>
      <c r="C145" s="624"/>
      <c r="D145" s="624"/>
      <c r="E145" s="624" t="s">
        <v>765</v>
      </c>
      <c r="F145" s="624"/>
      <c r="G145" s="624"/>
      <c r="H145" s="648"/>
      <c r="I145" s="617" t="s">
        <v>765</v>
      </c>
      <c r="J145" s="617"/>
      <c r="K145" s="617"/>
      <c r="L145" s="619"/>
      <c r="M145" s="629"/>
      <c r="N145" s="624"/>
      <c r="O145" s="624"/>
      <c r="P145" s="621" t="s">
        <v>515</v>
      </c>
      <c r="Q145" s="622"/>
      <c r="R145" s="622"/>
      <c r="S145" s="623"/>
      <c r="T145" s="624"/>
      <c r="U145" s="621" t="s">
        <v>515</v>
      </c>
      <c r="V145" s="622"/>
      <c r="W145" s="622"/>
      <c r="X145" s="623"/>
      <c r="Y145" s="624"/>
      <c r="Z145" s="621" t="s">
        <v>515</v>
      </c>
      <c r="AA145" s="622"/>
      <c r="AB145" s="622"/>
      <c r="AC145" s="623"/>
      <c r="AD145" s="624"/>
      <c r="AE145" s="621" t="s">
        <v>515</v>
      </c>
      <c r="AF145" s="622"/>
      <c r="AG145" s="622"/>
      <c r="AH145" s="623"/>
      <c r="AI145" s="624"/>
      <c r="AJ145" s="621" t="s">
        <v>515</v>
      </c>
      <c r="AK145" s="622"/>
      <c r="AL145" s="622"/>
      <c r="AM145" s="623"/>
      <c r="AN145" s="624"/>
      <c r="AO145" s="621" t="s">
        <v>515</v>
      </c>
      <c r="AP145" s="622"/>
      <c r="AQ145" s="622"/>
      <c r="AR145" s="623"/>
      <c r="AS145" s="624"/>
      <c r="AT145" s="621" t="s">
        <v>515</v>
      </c>
      <c r="AU145" s="622"/>
      <c r="AV145" s="622"/>
      <c r="AW145" s="623"/>
      <c r="AX145" s="624"/>
    </row>
    <row r="146" spans="2:53">
      <c r="B146" s="624"/>
      <c r="C146" s="624"/>
      <c r="D146" s="624"/>
      <c r="E146" s="482" t="s">
        <v>766</v>
      </c>
      <c r="F146" s="482" t="s">
        <v>767</v>
      </c>
      <c r="G146" s="482" t="s">
        <v>768</v>
      </c>
      <c r="H146" s="649"/>
      <c r="I146" s="481" t="s">
        <v>766</v>
      </c>
      <c r="J146" s="481" t="s">
        <v>767</v>
      </c>
      <c r="K146" s="481" t="s">
        <v>768</v>
      </c>
      <c r="L146" s="620"/>
      <c r="M146" s="630"/>
      <c r="N146" s="624"/>
      <c r="O146" s="624"/>
      <c r="P146" s="353" t="s">
        <v>516</v>
      </c>
      <c r="Q146" s="353" t="s">
        <v>517</v>
      </c>
      <c r="R146" s="353" t="s">
        <v>518</v>
      </c>
      <c r="S146" s="353" t="s">
        <v>511</v>
      </c>
      <c r="T146" s="624"/>
      <c r="U146" s="353" t="s">
        <v>516</v>
      </c>
      <c r="V146" s="353" t="s">
        <v>517</v>
      </c>
      <c r="W146" s="353" t="s">
        <v>518</v>
      </c>
      <c r="X146" s="353" t="s">
        <v>511</v>
      </c>
      <c r="Y146" s="624"/>
      <c r="Z146" s="353" t="s">
        <v>516</v>
      </c>
      <c r="AA146" s="353" t="s">
        <v>517</v>
      </c>
      <c r="AB146" s="353" t="s">
        <v>518</v>
      </c>
      <c r="AC146" s="353" t="s">
        <v>511</v>
      </c>
      <c r="AD146" s="624"/>
      <c r="AE146" s="353" t="s">
        <v>516</v>
      </c>
      <c r="AF146" s="353" t="s">
        <v>517</v>
      </c>
      <c r="AG146" s="353" t="s">
        <v>518</v>
      </c>
      <c r="AH146" s="353" t="s">
        <v>511</v>
      </c>
      <c r="AI146" s="624"/>
      <c r="AJ146" s="353" t="s">
        <v>516</v>
      </c>
      <c r="AK146" s="353" t="s">
        <v>517</v>
      </c>
      <c r="AL146" s="353" t="s">
        <v>518</v>
      </c>
      <c r="AM146" s="353" t="s">
        <v>511</v>
      </c>
      <c r="AN146" s="624"/>
      <c r="AO146" s="353" t="s">
        <v>516</v>
      </c>
      <c r="AP146" s="353" t="s">
        <v>517</v>
      </c>
      <c r="AQ146" s="353" t="s">
        <v>518</v>
      </c>
      <c r="AR146" s="353" t="s">
        <v>511</v>
      </c>
      <c r="AS146" s="624"/>
      <c r="AT146" s="353" t="s">
        <v>516</v>
      </c>
      <c r="AU146" s="353" t="s">
        <v>517</v>
      </c>
      <c r="AV146" s="353" t="s">
        <v>518</v>
      </c>
      <c r="AW146" s="353" t="s">
        <v>511</v>
      </c>
      <c r="AX146" s="624"/>
    </row>
    <row r="147" spans="2:53">
      <c r="B147" s="635" t="s">
        <v>150</v>
      </c>
      <c r="C147" s="483">
        <v>1</v>
      </c>
      <c r="D147" s="483" t="s">
        <v>323</v>
      </c>
      <c r="E147" s="483">
        <v>3</v>
      </c>
      <c r="F147" s="483">
        <v>3200</v>
      </c>
      <c r="G147" s="491">
        <v>1066.6666666666667</v>
      </c>
      <c r="H147" s="610">
        <f>AVERAGE(G147:G176)</f>
        <v>788.83333333333314</v>
      </c>
      <c r="I147" s="487">
        <f>IFERROR(AVERAGE(P147,U147,Z147,AE147,AJ147,AO147,AT147),"-")</f>
        <v>3</v>
      </c>
      <c r="J147" s="487">
        <f>IFERROR(AVERAGE(Q147,V147,AA147,AF147,AK147,AP147,AU147),"-")</f>
        <v>3210.3073042723336</v>
      </c>
      <c r="K147" s="363">
        <f>IFERROR(AVERAGE(R147,W147,AB147,AG147,AL147,AQ147,AV147),"-")</f>
        <v>1070.1024347574446</v>
      </c>
      <c r="L147" s="614">
        <f>IFERROR(AVERAGE(K147:K176),"-")</f>
        <v>818.60877849412282</v>
      </c>
      <c r="M147" s="365">
        <f>RANK(K147, K$147:$K$176)</f>
        <v>3</v>
      </c>
      <c r="N147" s="624"/>
      <c r="O147" s="624"/>
      <c r="P147" s="483">
        <v>3</v>
      </c>
      <c r="Q147" s="491">
        <v>3185.7692307692273</v>
      </c>
      <c r="R147" s="491">
        <v>1061.9230769230758</v>
      </c>
      <c r="S147" s="540">
        <f>RANK(R147, R$147:R$176)</f>
        <v>3</v>
      </c>
      <c r="T147" s="610">
        <f t="shared" ref="T147" si="45">AVERAGE(R147:R176)</f>
        <v>802.26077676269006</v>
      </c>
      <c r="U147" s="483">
        <v>3</v>
      </c>
      <c r="V147" s="491">
        <v>3207.0588235294081</v>
      </c>
      <c r="W147" s="491">
        <v>1069.0196078431361</v>
      </c>
      <c r="X147" s="540">
        <f>RANK(W147, W$147:W$176)</f>
        <v>1</v>
      </c>
      <c r="Y147" s="610">
        <f t="shared" ref="Y147" si="46">AVERAGE(W147:W176)</f>
        <v>797.98193862942946</v>
      </c>
      <c r="Z147" s="483">
        <v>3</v>
      </c>
      <c r="AA147" s="491">
        <v>3223.7500000000009</v>
      </c>
      <c r="AB147" s="491">
        <v>1074.5833333333337</v>
      </c>
      <c r="AC147" s="540">
        <f>RANK(AB147, AB$147:AB$176)</f>
        <v>8</v>
      </c>
      <c r="AD147" s="610">
        <f t="shared" ref="AD147" si="47">AVERAGE(AB147:AB176)</f>
        <v>834.76588562817187</v>
      </c>
      <c r="AE147" s="483">
        <v>3</v>
      </c>
      <c r="AF147" s="491">
        <v>3224.6511627906975</v>
      </c>
      <c r="AG147" s="491">
        <v>1074.8837209302326</v>
      </c>
      <c r="AH147" s="540">
        <f>RANK(AG147, AG$147:AG$176)</f>
        <v>5</v>
      </c>
      <c r="AI147" s="610">
        <f t="shared" ref="AI147" si="48">AVERAGE(AG147:AG176)</f>
        <v>839.42651295619999</v>
      </c>
      <c r="AJ147" s="483"/>
      <c r="AK147" s="491"/>
      <c r="AL147" s="491"/>
      <c r="AM147" s="540" t="e">
        <f>RANK(AL147, AL$147:AL$176)</f>
        <v>#N/A</v>
      </c>
      <c r="AN147" s="610" t="e">
        <f t="shared" ref="AN147" si="49">AVERAGE(AL147:AL176)</f>
        <v>#DIV/0!</v>
      </c>
      <c r="AO147" s="483"/>
      <c r="AP147" s="491"/>
      <c r="AQ147" s="491"/>
      <c r="AR147" s="540" t="e">
        <f>RANK(AQ147, AQ$147:AQ$176)</f>
        <v>#N/A</v>
      </c>
      <c r="AS147" s="610" t="e">
        <f t="shared" ref="AS147" si="50">AVERAGE(AQ147:AQ176)</f>
        <v>#DIV/0!</v>
      </c>
      <c r="AT147" s="483"/>
      <c r="AU147" s="491"/>
      <c r="AV147" s="491"/>
      <c r="AW147" s="540" t="e">
        <f>RANK(AV147, AV$147:AV$176)</f>
        <v>#N/A</v>
      </c>
      <c r="AX147" s="610" t="e">
        <f t="shared" ref="AX147" si="51">AVERAGE(AV147:AV176)</f>
        <v>#DIV/0!</v>
      </c>
      <c r="AZ147" s="377" t="e">
        <f t="shared" ref="AZ147:AZ176" si="52">RANK(AY147, AY$147:AY$176)</f>
        <v>#N/A</v>
      </c>
      <c r="BA147" s="610" t="e">
        <f t="shared" ref="BA147" si="53">AVERAGE(AY147:AY176)</f>
        <v>#DIV/0!</v>
      </c>
    </row>
    <row r="148" spans="2:53">
      <c r="B148" s="635"/>
      <c r="C148" s="483">
        <v>2</v>
      </c>
      <c r="D148" s="482" t="s">
        <v>324</v>
      </c>
      <c r="E148" s="483">
        <v>3</v>
      </c>
      <c r="F148" s="483">
        <v>3200</v>
      </c>
      <c r="G148" s="491">
        <v>1066.6666666666667</v>
      </c>
      <c r="H148" s="611"/>
      <c r="I148" s="487">
        <f t="shared" ref="I148:K176" si="54">IFERROR(AVERAGE(P148,U148,Z148,AE148,AJ148,AO148,AT148),"-")</f>
        <v>3</v>
      </c>
      <c r="J148" s="487">
        <f t="shared" si="54"/>
        <v>3224.0048076923013</v>
      </c>
      <c r="K148" s="363">
        <f t="shared" si="54"/>
        <v>1074.6682692307672</v>
      </c>
      <c r="L148" s="615"/>
      <c r="M148" s="365">
        <f>RANK(K148, K$147:$K$176)</f>
        <v>2</v>
      </c>
      <c r="N148" s="624"/>
      <c r="O148" s="624"/>
      <c r="P148" s="483">
        <v>3</v>
      </c>
      <c r="Q148" s="491">
        <v>3101.2499999999959</v>
      </c>
      <c r="R148" s="491">
        <v>1033.7499999999986</v>
      </c>
      <c r="S148" s="540">
        <f t="shared" ref="S148:S176" si="55">RANK(R148, R$147:R$176)</f>
        <v>8</v>
      </c>
      <c r="T148" s="611"/>
      <c r="U148" s="483">
        <v>3</v>
      </c>
      <c r="V148" s="491">
        <v>3203.9999999999945</v>
      </c>
      <c r="W148" s="491">
        <v>1067.9999999999982</v>
      </c>
      <c r="X148" s="540">
        <f t="shared" ref="X148:X176" si="56">RANK(W148, W$147:W$176)</f>
        <v>2</v>
      </c>
      <c r="Y148" s="611"/>
      <c r="Z148" s="483">
        <v>3</v>
      </c>
      <c r="AA148" s="491">
        <v>3359.9999999999927</v>
      </c>
      <c r="AB148" s="491">
        <v>1119.9999999999975</v>
      </c>
      <c r="AC148" s="540">
        <f t="shared" ref="AC148:AC176" si="57">RANK(AB148, AB$147:AB$176)</f>
        <v>1</v>
      </c>
      <c r="AD148" s="611"/>
      <c r="AE148" s="483">
        <v>3</v>
      </c>
      <c r="AF148" s="491">
        <v>3230.7692307692223</v>
      </c>
      <c r="AG148" s="491">
        <v>1076.9230769230742</v>
      </c>
      <c r="AH148" s="540">
        <f t="shared" ref="AH148:AH176" si="58">RANK(AG148, AG$147:AG$176)</f>
        <v>4</v>
      </c>
      <c r="AI148" s="611"/>
      <c r="AJ148" s="483"/>
      <c r="AK148" s="491"/>
      <c r="AL148" s="491"/>
      <c r="AM148" s="540" t="e">
        <f t="shared" ref="AM148:AM176" si="59">RANK(AL148, AL$147:AL$176)</f>
        <v>#N/A</v>
      </c>
      <c r="AN148" s="611"/>
      <c r="AO148" s="483"/>
      <c r="AP148" s="491"/>
      <c r="AQ148" s="491"/>
      <c r="AR148" s="540" t="e">
        <f t="shared" ref="AR148:AR176" si="60">RANK(AQ148, AQ$147:AQ$176)</f>
        <v>#N/A</v>
      </c>
      <c r="AS148" s="611"/>
      <c r="AT148" s="483"/>
      <c r="AU148" s="491"/>
      <c r="AV148" s="491"/>
      <c r="AW148" s="540" t="e">
        <f t="shared" ref="AW148:AW176" si="61">RANK(AV148, AV$147:AV$176)</f>
        <v>#N/A</v>
      </c>
      <c r="AX148" s="611"/>
      <c r="AZ148" s="377" t="e">
        <f t="shared" si="52"/>
        <v>#N/A</v>
      </c>
      <c r="BA148" s="611"/>
    </row>
    <row r="149" spans="2:53">
      <c r="B149" s="635"/>
      <c r="C149" s="483">
        <v>3</v>
      </c>
      <c r="D149" s="483" t="s">
        <v>314</v>
      </c>
      <c r="E149" s="483">
        <v>4</v>
      </c>
      <c r="F149" s="483">
        <v>3200</v>
      </c>
      <c r="G149" s="491">
        <v>800</v>
      </c>
      <c r="H149" s="611"/>
      <c r="I149" s="487">
        <f t="shared" si="54"/>
        <v>4</v>
      </c>
      <c r="J149" s="487">
        <f t="shared" si="54"/>
        <v>3015.0000000000182</v>
      </c>
      <c r="K149" s="363">
        <f t="shared" si="54"/>
        <v>753.75000000000455</v>
      </c>
      <c r="L149" s="615"/>
      <c r="M149" s="365">
        <f>RANK(K149, K$147:$K$176)</f>
        <v>18</v>
      </c>
      <c r="N149" s="624"/>
      <c r="O149" s="624"/>
      <c r="P149" s="483">
        <v>4</v>
      </c>
      <c r="Q149" s="491">
        <v>3120.0000000000109</v>
      </c>
      <c r="R149" s="491">
        <v>780.00000000000273</v>
      </c>
      <c r="S149" s="540">
        <f t="shared" si="55"/>
        <v>16</v>
      </c>
      <c r="T149" s="611"/>
      <c r="U149" s="483">
        <v>4</v>
      </c>
      <c r="V149" s="491">
        <v>2990.0000000000109</v>
      </c>
      <c r="W149" s="491">
        <v>747.50000000000273</v>
      </c>
      <c r="X149" s="540">
        <f t="shared" si="56"/>
        <v>16</v>
      </c>
      <c r="Y149" s="611"/>
      <c r="Z149" s="483">
        <v>4</v>
      </c>
      <c r="AA149" s="491">
        <v>2590.0000000000009</v>
      </c>
      <c r="AB149" s="491">
        <v>647.50000000000023</v>
      </c>
      <c r="AC149" s="540">
        <f t="shared" si="57"/>
        <v>22</v>
      </c>
      <c r="AD149" s="611"/>
      <c r="AE149" s="483">
        <v>4</v>
      </c>
      <c r="AF149" s="491">
        <v>3360.0000000000505</v>
      </c>
      <c r="AG149" s="491">
        <v>840.00000000001262</v>
      </c>
      <c r="AH149" s="540">
        <f t="shared" si="58"/>
        <v>15</v>
      </c>
      <c r="AI149" s="611"/>
      <c r="AJ149" s="483"/>
      <c r="AK149" s="491"/>
      <c r="AL149" s="491"/>
      <c r="AM149" s="540" t="e">
        <f t="shared" si="59"/>
        <v>#N/A</v>
      </c>
      <c r="AN149" s="611"/>
      <c r="AO149" s="483"/>
      <c r="AP149" s="491"/>
      <c r="AQ149" s="491"/>
      <c r="AR149" s="540" t="e">
        <f t="shared" si="60"/>
        <v>#N/A</v>
      </c>
      <c r="AS149" s="611"/>
      <c r="AT149" s="483"/>
      <c r="AU149" s="491"/>
      <c r="AV149" s="491"/>
      <c r="AW149" s="540" t="e">
        <f t="shared" si="61"/>
        <v>#N/A</v>
      </c>
      <c r="AX149" s="611"/>
      <c r="AZ149" s="377" t="e">
        <f t="shared" si="52"/>
        <v>#N/A</v>
      </c>
      <c r="BA149" s="611"/>
    </row>
    <row r="150" spans="2:53">
      <c r="B150" s="635"/>
      <c r="C150" s="483">
        <v>4</v>
      </c>
      <c r="D150" s="483" t="s">
        <v>326</v>
      </c>
      <c r="E150" s="483">
        <v>3</v>
      </c>
      <c r="F150" s="483">
        <v>3200</v>
      </c>
      <c r="G150" s="491">
        <v>1066.6666666666667</v>
      </c>
      <c r="H150" s="611"/>
      <c r="I150" s="487">
        <f t="shared" si="54"/>
        <v>3</v>
      </c>
      <c r="J150" s="487">
        <f t="shared" si="54"/>
        <v>3208.1434670592566</v>
      </c>
      <c r="K150" s="363">
        <f t="shared" si="54"/>
        <v>1069.3811556864189</v>
      </c>
      <c r="L150" s="615"/>
      <c r="M150" s="365">
        <f>RANK(K150, K$147:$K$176)</f>
        <v>5</v>
      </c>
      <c r="N150" s="624"/>
      <c r="O150" s="624"/>
      <c r="P150" s="483">
        <v>3</v>
      </c>
      <c r="Q150" s="491">
        <v>3181.5384615384633</v>
      </c>
      <c r="R150" s="491">
        <v>1060.512820512821</v>
      </c>
      <c r="S150" s="540">
        <f t="shared" si="55"/>
        <v>5</v>
      </c>
      <c r="T150" s="611"/>
      <c r="U150" s="483">
        <v>3</v>
      </c>
      <c r="V150" s="491">
        <v>3200.5263157894715</v>
      </c>
      <c r="W150" s="491">
        <v>1066.8421052631572</v>
      </c>
      <c r="X150" s="540">
        <f t="shared" si="56"/>
        <v>3</v>
      </c>
      <c r="Y150" s="611"/>
      <c r="Z150" s="483">
        <v>3</v>
      </c>
      <c r="AA150" s="491">
        <v>3229.5999999999976</v>
      </c>
      <c r="AB150" s="491">
        <v>1076.5333333333326</v>
      </c>
      <c r="AC150" s="540">
        <f t="shared" si="57"/>
        <v>7</v>
      </c>
      <c r="AD150" s="611"/>
      <c r="AE150" s="483">
        <v>3</v>
      </c>
      <c r="AF150" s="491">
        <v>3220.9090909090942</v>
      </c>
      <c r="AG150" s="491">
        <v>1073.6363636363646</v>
      </c>
      <c r="AH150" s="540">
        <f t="shared" si="58"/>
        <v>6</v>
      </c>
      <c r="AI150" s="611"/>
      <c r="AJ150" s="483"/>
      <c r="AK150" s="491"/>
      <c r="AL150" s="491"/>
      <c r="AM150" s="540" t="e">
        <f t="shared" si="59"/>
        <v>#N/A</v>
      </c>
      <c r="AN150" s="611"/>
      <c r="AO150" s="483"/>
      <c r="AP150" s="491"/>
      <c r="AQ150" s="491"/>
      <c r="AR150" s="540" t="e">
        <f t="shared" si="60"/>
        <v>#N/A</v>
      </c>
      <c r="AS150" s="611"/>
      <c r="AT150" s="483"/>
      <c r="AU150" s="491"/>
      <c r="AV150" s="491"/>
      <c r="AW150" s="540" t="e">
        <f t="shared" si="61"/>
        <v>#N/A</v>
      </c>
      <c r="AX150" s="611"/>
      <c r="AZ150" s="377" t="e">
        <f t="shared" si="52"/>
        <v>#N/A</v>
      </c>
      <c r="BA150" s="611"/>
    </row>
    <row r="151" spans="2:53">
      <c r="B151" s="635"/>
      <c r="C151" s="483">
        <v>5</v>
      </c>
      <c r="D151" s="483" t="s">
        <v>327</v>
      </c>
      <c r="E151" s="483">
        <v>4</v>
      </c>
      <c r="F151" s="483">
        <v>3200</v>
      </c>
      <c r="G151" s="491">
        <v>800</v>
      </c>
      <c r="H151" s="611"/>
      <c r="I151" s="487">
        <f t="shared" si="54"/>
        <v>4</v>
      </c>
      <c r="J151" s="487">
        <f t="shared" si="54"/>
        <v>3236.7993421052574</v>
      </c>
      <c r="K151" s="363">
        <f t="shared" si="54"/>
        <v>809.19983552631436</v>
      </c>
      <c r="L151" s="615"/>
      <c r="M151" s="365">
        <f>RANK(K151, K$147:$K$176)</f>
        <v>13</v>
      </c>
      <c r="N151" s="624"/>
      <c r="O151" s="624"/>
      <c r="P151" s="483">
        <v>4</v>
      </c>
      <c r="Q151" s="491">
        <v>3152.9999999999864</v>
      </c>
      <c r="R151" s="491">
        <v>788.24999999999659</v>
      </c>
      <c r="S151" s="540">
        <f t="shared" si="55"/>
        <v>14</v>
      </c>
      <c r="T151" s="611"/>
      <c r="U151" s="483">
        <v>4</v>
      </c>
      <c r="V151" s="491">
        <v>3138.9473684210375</v>
      </c>
      <c r="W151" s="491">
        <v>784.73684210525937</v>
      </c>
      <c r="X151" s="540">
        <f t="shared" si="56"/>
        <v>13</v>
      </c>
      <c r="Y151" s="611"/>
      <c r="Z151" s="483">
        <v>4</v>
      </c>
      <c r="AA151" s="491">
        <v>3311.2500000000118</v>
      </c>
      <c r="AB151" s="491">
        <v>827.81250000000296</v>
      </c>
      <c r="AC151" s="540">
        <f t="shared" si="57"/>
        <v>14</v>
      </c>
      <c r="AD151" s="611"/>
      <c r="AE151" s="483">
        <v>4</v>
      </c>
      <c r="AF151" s="491">
        <v>3343.9999999999941</v>
      </c>
      <c r="AG151" s="491">
        <v>835.99999999999852</v>
      </c>
      <c r="AH151" s="540">
        <f t="shared" si="58"/>
        <v>16</v>
      </c>
      <c r="AI151" s="611"/>
      <c r="AJ151" s="483"/>
      <c r="AK151" s="491"/>
      <c r="AL151" s="491"/>
      <c r="AM151" s="540" t="e">
        <f t="shared" si="59"/>
        <v>#N/A</v>
      </c>
      <c r="AN151" s="611"/>
      <c r="AO151" s="483"/>
      <c r="AP151" s="491"/>
      <c r="AQ151" s="491"/>
      <c r="AR151" s="540" t="e">
        <f t="shared" si="60"/>
        <v>#N/A</v>
      </c>
      <c r="AS151" s="611"/>
      <c r="AT151" s="483"/>
      <c r="AU151" s="491"/>
      <c r="AV151" s="491"/>
      <c r="AW151" s="540" t="e">
        <f t="shared" si="61"/>
        <v>#N/A</v>
      </c>
      <c r="AX151" s="611"/>
      <c r="AZ151" s="377" t="e">
        <f t="shared" si="52"/>
        <v>#N/A</v>
      </c>
      <c r="BA151" s="611"/>
    </row>
    <row r="152" spans="2:53">
      <c r="B152" s="635"/>
      <c r="C152" s="483">
        <v>6</v>
      </c>
      <c r="D152" s="483" t="s">
        <v>325</v>
      </c>
      <c r="E152" s="483">
        <v>4</v>
      </c>
      <c r="F152" s="483">
        <v>3200</v>
      </c>
      <c r="G152" s="491">
        <v>800</v>
      </c>
      <c r="H152" s="611"/>
      <c r="I152" s="487">
        <f t="shared" si="54"/>
        <v>4</v>
      </c>
      <c r="J152" s="487">
        <f t="shared" si="54"/>
        <v>3317.2916666666788</v>
      </c>
      <c r="K152" s="363">
        <f t="shared" si="54"/>
        <v>829.3229166666697</v>
      </c>
      <c r="L152" s="615"/>
      <c r="M152" s="365">
        <f>RANK(K152, K$147:$K$176)</f>
        <v>12</v>
      </c>
      <c r="N152" s="624"/>
      <c r="O152" s="624"/>
      <c r="P152" s="483">
        <v>4</v>
      </c>
      <c r="Q152" s="491">
        <v>3172.5000000000109</v>
      </c>
      <c r="R152" s="491">
        <v>793.12500000000273</v>
      </c>
      <c r="S152" s="540">
        <f t="shared" si="55"/>
        <v>11</v>
      </c>
      <c r="T152" s="611"/>
      <c r="U152" s="483">
        <v>4</v>
      </c>
      <c r="V152" s="491">
        <v>2906.666666666677</v>
      </c>
      <c r="W152" s="491">
        <v>726.66666666666924</v>
      </c>
      <c r="X152" s="540">
        <f t="shared" si="56"/>
        <v>17</v>
      </c>
      <c r="Y152" s="611"/>
      <c r="Z152" s="483">
        <v>4</v>
      </c>
      <c r="AA152" s="491">
        <v>3320.0000000000118</v>
      </c>
      <c r="AB152" s="491">
        <v>830.00000000000296</v>
      </c>
      <c r="AC152" s="540">
        <f t="shared" si="57"/>
        <v>13</v>
      </c>
      <c r="AD152" s="611"/>
      <c r="AE152" s="483">
        <v>4</v>
      </c>
      <c r="AF152" s="491">
        <v>3870.0000000000136</v>
      </c>
      <c r="AG152" s="491">
        <v>967.50000000000341</v>
      </c>
      <c r="AH152" s="540">
        <f t="shared" si="58"/>
        <v>9</v>
      </c>
      <c r="AI152" s="611"/>
      <c r="AJ152" s="483"/>
      <c r="AK152" s="491"/>
      <c r="AL152" s="491"/>
      <c r="AM152" s="540" t="e">
        <f t="shared" si="59"/>
        <v>#N/A</v>
      </c>
      <c r="AN152" s="611"/>
      <c r="AO152" s="483"/>
      <c r="AP152" s="491"/>
      <c r="AQ152" s="491"/>
      <c r="AR152" s="540" t="e">
        <f t="shared" si="60"/>
        <v>#N/A</v>
      </c>
      <c r="AS152" s="611"/>
      <c r="AT152" s="483"/>
      <c r="AU152" s="491"/>
      <c r="AV152" s="491"/>
      <c r="AW152" s="540" t="e">
        <f t="shared" si="61"/>
        <v>#N/A</v>
      </c>
      <c r="AX152" s="611"/>
      <c r="AZ152" s="377" t="e">
        <f t="shared" si="52"/>
        <v>#N/A</v>
      </c>
      <c r="BA152" s="611"/>
    </row>
    <row r="153" spans="2:53">
      <c r="B153" s="635"/>
      <c r="C153" s="483">
        <v>7</v>
      </c>
      <c r="D153" s="483" t="s">
        <v>328</v>
      </c>
      <c r="E153" s="483">
        <v>4</v>
      </c>
      <c r="F153" s="483">
        <v>2800</v>
      </c>
      <c r="G153" s="491">
        <v>700</v>
      </c>
      <c r="H153" s="611"/>
      <c r="I153" s="487">
        <f t="shared" si="54"/>
        <v>4</v>
      </c>
      <c r="J153" s="487">
        <f t="shared" si="54"/>
        <v>3391.5714285714212</v>
      </c>
      <c r="K153" s="363">
        <f t="shared" si="54"/>
        <v>847.89285714285529</v>
      </c>
      <c r="L153" s="615"/>
      <c r="M153" s="365">
        <f>RANK(K153, K$147:$K$176)</f>
        <v>11</v>
      </c>
      <c r="N153" s="624"/>
      <c r="O153" s="624"/>
      <c r="P153" s="483">
        <v>4</v>
      </c>
      <c r="Q153" s="491">
        <v>3126.6666666666642</v>
      </c>
      <c r="R153" s="491">
        <v>781.66666666666606</v>
      </c>
      <c r="S153" s="540">
        <f t="shared" si="55"/>
        <v>15</v>
      </c>
      <c r="T153" s="611"/>
      <c r="U153" s="483">
        <v>4</v>
      </c>
      <c r="V153" s="491">
        <v>3073.3333333333308</v>
      </c>
      <c r="W153" s="491">
        <v>768.33333333333269</v>
      </c>
      <c r="X153" s="540">
        <f t="shared" si="56"/>
        <v>15</v>
      </c>
      <c r="Y153" s="611"/>
      <c r="Z153" s="483">
        <v>4</v>
      </c>
      <c r="AA153" s="491">
        <v>3514.2857142857069</v>
      </c>
      <c r="AB153" s="491">
        <v>878.57142857142674</v>
      </c>
      <c r="AC153" s="540">
        <f t="shared" si="57"/>
        <v>12</v>
      </c>
      <c r="AD153" s="611"/>
      <c r="AE153" s="483">
        <v>4</v>
      </c>
      <c r="AF153" s="491">
        <v>3851.9999999999832</v>
      </c>
      <c r="AG153" s="491">
        <v>962.99999999999579</v>
      </c>
      <c r="AH153" s="540">
        <f t="shared" si="58"/>
        <v>10</v>
      </c>
      <c r="AI153" s="611"/>
      <c r="AJ153" s="483"/>
      <c r="AK153" s="491"/>
      <c r="AL153" s="491"/>
      <c r="AM153" s="540" t="e">
        <f t="shared" si="59"/>
        <v>#N/A</v>
      </c>
      <c r="AN153" s="611"/>
      <c r="AO153" s="483"/>
      <c r="AP153" s="491"/>
      <c r="AQ153" s="491"/>
      <c r="AR153" s="540" t="e">
        <f t="shared" si="60"/>
        <v>#N/A</v>
      </c>
      <c r="AS153" s="611"/>
      <c r="AT153" s="483"/>
      <c r="AU153" s="491"/>
      <c r="AV153" s="491"/>
      <c r="AW153" s="540" t="e">
        <f t="shared" si="61"/>
        <v>#N/A</v>
      </c>
      <c r="AX153" s="611"/>
      <c r="AZ153" s="377" t="e">
        <f t="shared" si="52"/>
        <v>#N/A</v>
      </c>
      <c r="BA153" s="611"/>
    </row>
    <row r="154" spans="2:53">
      <c r="B154" s="635"/>
      <c r="C154" s="483">
        <v>8</v>
      </c>
      <c r="D154" s="483" t="s">
        <v>329</v>
      </c>
      <c r="E154" s="483">
        <v>3</v>
      </c>
      <c r="F154" s="483">
        <v>3200</v>
      </c>
      <c r="G154" s="491">
        <v>1066.6666666666667</v>
      </c>
      <c r="H154" s="611"/>
      <c r="I154" s="487">
        <f t="shared" si="54"/>
        <v>3</v>
      </c>
      <c r="J154" s="487">
        <f t="shared" si="54"/>
        <v>3230.4978260869548</v>
      </c>
      <c r="K154" s="363">
        <f t="shared" si="54"/>
        <v>1076.8326086956517</v>
      </c>
      <c r="L154" s="615"/>
      <c r="M154" s="365">
        <f>RANK(K154, K$147:$K$176)</f>
        <v>1</v>
      </c>
      <c r="N154" s="624"/>
      <c r="O154" s="624"/>
      <c r="P154" s="483">
        <v>3</v>
      </c>
      <c r="Q154" s="491">
        <v>3192.0000000000009</v>
      </c>
      <c r="R154" s="491">
        <v>1064.0000000000002</v>
      </c>
      <c r="S154" s="540">
        <f t="shared" si="55"/>
        <v>2</v>
      </c>
      <c r="T154" s="611"/>
      <c r="U154" s="483">
        <v>3</v>
      </c>
      <c r="V154" s="491">
        <v>3177.6000000000008</v>
      </c>
      <c r="W154" s="491">
        <v>1059.2000000000003</v>
      </c>
      <c r="X154" s="540">
        <f t="shared" si="56"/>
        <v>4</v>
      </c>
      <c r="Y154" s="611"/>
      <c r="Z154" s="483">
        <v>3</v>
      </c>
      <c r="AA154" s="491">
        <v>3297.391304347826</v>
      </c>
      <c r="AB154" s="491">
        <v>1099.1304347826087</v>
      </c>
      <c r="AC154" s="540">
        <f t="shared" si="57"/>
        <v>2</v>
      </c>
      <c r="AD154" s="611"/>
      <c r="AE154" s="483">
        <v>3</v>
      </c>
      <c r="AF154" s="491">
        <v>3254.9999999999918</v>
      </c>
      <c r="AG154" s="491">
        <v>1084.9999999999973</v>
      </c>
      <c r="AH154" s="540">
        <f t="shared" si="58"/>
        <v>2</v>
      </c>
      <c r="AI154" s="611"/>
      <c r="AJ154" s="483"/>
      <c r="AK154" s="491"/>
      <c r="AL154" s="491"/>
      <c r="AM154" s="540" t="e">
        <f t="shared" si="59"/>
        <v>#N/A</v>
      </c>
      <c r="AN154" s="611"/>
      <c r="AO154" s="483"/>
      <c r="AP154" s="491"/>
      <c r="AQ154" s="491"/>
      <c r="AR154" s="540" t="e">
        <f t="shared" si="60"/>
        <v>#N/A</v>
      </c>
      <c r="AS154" s="611"/>
      <c r="AT154" s="483"/>
      <c r="AU154" s="491"/>
      <c r="AV154" s="491"/>
      <c r="AW154" s="540" t="e">
        <f t="shared" si="61"/>
        <v>#N/A</v>
      </c>
      <c r="AX154" s="611"/>
      <c r="AZ154" s="377" t="e">
        <f t="shared" si="52"/>
        <v>#N/A</v>
      </c>
      <c r="BA154" s="611"/>
    </row>
    <row r="155" spans="2:53">
      <c r="B155" s="635"/>
      <c r="C155" s="483">
        <v>9</v>
      </c>
      <c r="D155" s="483" t="s">
        <v>330</v>
      </c>
      <c r="E155" s="483">
        <v>3</v>
      </c>
      <c r="F155" s="483">
        <v>2800</v>
      </c>
      <c r="G155" s="491">
        <v>933.33333333333337</v>
      </c>
      <c r="H155" s="611"/>
      <c r="I155" s="487">
        <f t="shared" si="54"/>
        <v>3</v>
      </c>
      <c r="J155" s="487">
        <f t="shared" si="54"/>
        <v>3193.9967532467517</v>
      </c>
      <c r="K155" s="363">
        <f t="shared" si="54"/>
        <v>1064.6655844155839</v>
      </c>
      <c r="L155" s="615"/>
      <c r="M155" s="365">
        <f>RANK(K155, K$147:$K$176)</f>
        <v>6</v>
      </c>
      <c r="N155" s="624"/>
      <c r="O155" s="624"/>
      <c r="P155" s="483">
        <v>3</v>
      </c>
      <c r="Q155" s="491">
        <v>3156.4285714285738</v>
      </c>
      <c r="R155" s="491">
        <v>1052.142857142858</v>
      </c>
      <c r="S155" s="540">
        <f t="shared" si="55"/>
        <v>6</v>
      </c>
      <c r="T155" s="611"/>
      <c r="U155" s="483">
        <v>3</v>
      </c>
      <c r="V155" s="491">
        <v>3094.2857142857165</v>
      </c>
      <c r="W155" s="491">
        <v>1031.4285714285722</v>
      </c>
      <c r="X155" s="540">
        <f t="shared" si="56"/>
        <v>8</v>
      </c>
      <c r="Y155" s="611"/>
      <c r="Z155" s="483">
        <v>3</v>
      </c>
      <c r="AA155" s="491">
        <v>3287.9999999999905</v>
      </c>
      <c r="AB155" s="491">
        <v>1095.9999999999968</v>
      </c>
      <c r="AC155" s="540">
        <f t="shared" si="57"/>
        <v>3</v>
      </c>
      <c r="AD155" s="611"/>
      <c r="AE155" s="483">
        <v>3</v>
      </c>
      <c r="AF155" s="491">
        <v>3237.272727272727</v>
      </c>
      <c r="AG155" s="491">
        <v>1079.090909090909</v>
      </c>
      <c r="AH155" s="540">
        <f t="shared" si="58"/>
        <v>3</v>
      </c>
      <c r="AI155" s="611"/>
      <c r="AJ155" s="483"/>
      <c r="AK155" s="491"/>
      <c r="AL155" s="491"/>
      <c r="AM155" s="540" t="e">
        <f t="shared" si="59"/>
        <v>#N/A</v>
      </c>
      <c r="AN155" s="611"/>
      <c r="AO155" s="483"/>
      <c r="AP155" s="491"/>
      <c r="AQ155" s="491"/>
      <c r="AR155" s="540" t="e">
        <f t="shared" si="60"/>
        <v>#N/A</v>
      </c>
      <c r="AS155" s="611"/>
      <c r="AT155" s="483"/>
      <c r="AU155" s="491"/>
      <c r="AV155" s="491"/>
      <c r="AW155" s="540" t="e">
        <f t="shared" si="61"/>
        <v>#N/A</v>
      </c>
      <c r="AX155" s="611"/>
      <c r="AZ155" s="377" t="e">
        <f t="shared" si="52"/>
        <v>#N/A</v>
      </c>
      <c r="BA155" s="611"/>
    </row>
    <row r="156" spans="2:53">
      <c r="B156" s="635"/>
      <c r="C156" s="483">
        <v>10</v>
      </c>
      <c r="D156" s="483" t="s">
        <v>331</v>
      </c>
      <c r="E156" s="483">
        <v>4</v>
      </c>
      <c r="F156" s="483">
        <v>2800</v>
      </c>
      <c r="G156" s="491">
        <v>700</v>
      </c>
      <c r="H156" s="611"/>
      <c r="I156" s="487">
        <f t="shared" si="54"/>
        <v>4</v>
      </c>
      <c r="J156" s="487">
        <f t="shared" si="54"/>
        <v>3208.5323056882316</v>
      </c>
      <c r="K156" s="363">
        <f t="shared" si="54"/>
        <v>802.13307642205791</v>
      </c>
      <c r="L156" s="615"/>
      <c r="M156" s="365">
        <f>RANK(K156, K$147:$K$176)</f>
        <v>14</v>
      </c>
      <c r="N156" s="624"/>
      <c r="O156" s="624"/>
      <c r="P156" s="483">
        <v>4</v>
      </c>
      <c r="Q156" s="491">
        <v>3163.2000000000007</v>
      </c>
      <c r="R156" s="491">
        <v>790.80000000000018</v>
      </c>
      <c r="S156" s="540">
        <f t="shared" si="55"/>
        <v>12</v>
      </c>
      <c r="T156" s="611"/>
      <c r="U156" s="483">
        <v>4</v>
      </c>
      <c r="V156" s="491">
        <v>3165.3061224489802</v>
      </c>
      <c r="W156" s="491">
        <v>791.32653061224505</v>
      </c>
      <c r="X156" s="540">
        <f t="shared" si="56"/>
        <v>11</v>
      </c>
      <c r="Y156" s="611"/>
      <c r="Z156" s="483">
        <v>4</v>
      </c>
      <c r="AA156" s="491">
        <v>3252.7659574468094</v>
      </c>
      <c r="AB156" s="491">
        <v>813.19148936170234</v>
      </c>
      <c r="AC156" s="540">
        <f t="shared" si="57"/>
        <v>16</v>
      </c>
      <c r="AD156" s="611"/>
      <c r="AE156" s="483">
        <v>4</v>
      </c>
      <c r="AF156" s="491">
        <v>3252.8571428571358</v>
      </c>
      <c r="AG156" s="491">
        <v>813.21428571428396</v>
      </c>
      <c r="AH156" s="540">
        <f t="shared" si="58"/>
        <v>17</v>
      </c>
      <c r="AI156" s="611"/>
      <c r="AJ156" s="483"/>
      <c r="AK156" s="491"/>
      <c r="AL156" s="491"/>
      <c r="AM156" s="540" t="e">
        <f t="shared" si="59"/>
        <v>#N/A</v>
      </c>
      <c r="AN156" s="611"/>
      <c r="AO156" s="483"/>
      <c r="AP156" s="491"/>
      <c r="AQ156" s="491"/>
      <c r="AR156" s="540" t="e">
        <f t="shared" si="60"/>
        <v>#N/A</v>
      </c>
      <c r="AS156" s="611"/>
      <c r="AT156" s="483"/>
      <c r="AU156" s="491"/>
      <c r="AV156" s="491"/>
      <c r="AW156" s="540" t="e">
        <f t="shared" si="61"/>
        <v>#N/A</v>
      </c>
      <c r="AX156" s="611"/>
      <c r="AZ156" s="377" t="e">
        <f t="shared" si="52"/>
        <v>#N/A</v>
      </c>
      <c r="BA156" s="611"/>
    </row>
    <row r="157" spans="2:53">
      <c r="B157" s="635"/>
      <c r="C157" s="483">
        <v>11</v>
      </c>
      <c r="D157" s="483" t="s">
        <v>332</v>
      </c>
      <c r="E157" s="483">
        <v>4</v>
      </c>
      <c r="F157" s="483">
        <v>2800</v>
      </c>
      <c r="G157" s="491">
        <v>700</v>
      </c>
      <c r="H157" s="611"/>
      <c r="I157" s="487">
        <f t="shared" si="54"/>
        <v>4</v>
      </c>
      <c r="J157" s="487">
        <f t="shared" si="54"/>
        <v>2802.2349840399211</v>
      </c>
      <c r="K157" s="363">
        <f t="shared" si="54"/>
        <v>700.55874600998027</v>
      </c>
      <c r="L157" s="615"/>
      <c r="M157" s="365">
        <f>RANK(K157, K$147:$K$176)</f>
        <v>20</v>
      </c>
      <c r="N157" s="624"/>
      <c r="O157" s="624"/>
      <c r="P157" s="483">
        <v>4</v>
      </c>
      <c r="Q157" s="491">
        <v>2786.9999999999991</v>
      </c>
      <c r="R157" s="491">
        <v>696.74999999999977</v>
      </c>
      <c r="S157" s="540">
        <f t="shared" si="55"/>
        <v>20</v>
      </c>
      <c r="T157" s="611"/>
      <c r="U157" s="483">
        <v>4</v>
      </c>
      <c r="V157" s="491">
        <v>2784.4067796610157</v>
      </c>
      <c r="W157" s="491">
        <v>696.10169491525392</v>
      </c>
      <c r="X157" s="540">
        <f t="shared" si="56"/>
        <v>19</v>
      </c>
      <c r="Y157" s="611"/>
      <c r="Z157" s="483">
        <v>4</v>
      </c>
      <c r="AA157" s="491">
        <v>2831.3793103448261</v>
      </c>
      <c r="AB157" s="491">
        <v>707.84482758620652</v>
      </c>
      <c r="AC157" s="540">
        <f t="shared" si="57"/>
        <v>20</v>
      </c>
      <c r="AD157" s="611"/>
      <c r="AE157" s="483">
        <v>4</v>
      </c>
      <c r="AF157" s="491">
        <v>2806.153846153843</v>
      </c>
      <c r="AG157" s="491">
        <v>701.53846153846075</v>
      </c>
      <c r="AH157" s="540">
        <f t="shared" si="58"/>
        <v>20</v>
      </c>
      <c r="AI157" s="611"/>
      <c r="AJ157" s="483"/>
      <c r="AK157" s="491"/>
      <c r="AL157" s="491"/>
      <c r="AM157" s="540" t="e">
        <f t="shared" si="59"/>
        <v>#N/A</v>
      </c>
      <c r="AN157" s="611"/>
      <c r="AO157" s="483"/>
      <c r="AP157" s="491"/>
      <c r="AQ157" s="491"/>
      <c r="AR157" s="540" t="e">
        <f t="shared" si="60"/>
        <v>#N/A</v>
      </c>
      <c r="AS157" s="611"/>
      <c r="AT157" s="483"/>
      <c r="AU157" s="491"/>
      <c r="AV157" s="491"/>
      <c r="AW157" s="540" t="e">
        <f t="shared" si="61"/>
        <v>#N/A</v>
      </c>
      <c r="AX157" s="611"/>
      <c r="AZ157" s="377" t="e">
        <f t="shared" si="52"/>
        <v>#N/A</v>
      </c>
      <c r="BA157" s="611"/>
    </row>
    <row r="158" spans="2:53">
      <c r="B158" s="635"/>
      <c r="C158" s="483">
        <v>12</v>
      </c>
      <c r="D158" s="483" t="s">
        <v>462</v>
      </c>
      <c r="E158" s="483">
        <v>3</v>
      </c>
      <c r="F158" s="483">
        <v>2800</v>
      </c>
      <c r="G158" s="491">
        <v>933.33333333333337</v>
      </c>
      <c r="H158" s="611"/>
      <c r="I158" s="487">
        <f t="shared" si="54"/>
        <v>3</v>
      </c>
      <c r="J158" s="487">
        <f t="shared" si="54"/>
        <v>2817.2802197802175</v>
      </c>
      <c r="K158" s="363">
        <f t="shared" si="54"/>
        <v>939.09340659340603</v>
      </c>
      <c r="L158" s="615"/>
      <c r="M158" s="365">
        <f>RANK(K158, K$147:$K$176)</f>
        <v>10</v>
      </c>
      <c r="N158" s="624"/>
      <c r="O158" s="624"/>
      <c r="P158" s="483">
        <v>3</v>
      </c>
      <c r="Q158" s="491">
        <v>2773.1249999999964</v>
      </c>
      <c r="R158" s="491">
        <v>924.37499999999875</v>
      </c>
      <c r="S158" s="540">
        <f t="shared" si="55"/>
        <v>10</v>
      </c>
      <c r="T158" s="611"/>
      <c r="U158" s="483">
        <v>3</v>
      </c>
      <c r="V158" s="491">
        <v>2716.8749999999964</v>
      </c>
      <c r="W158" s="491">
        <v>905.62499999999875</v>
      </c>
      <c r="X158" s="540">
        <f t="shared" si="56"/>
        <v>10</v>
      </c>
      <c r="Y158" s="611"/>
      <c r="Z158" s="483">
        <v>3</v>
      </c>
      <c r="AA158" s="491">
        <v>2901.4285714285693</v>
      </c>
      <c r="AB158" s="491">
        <v>967.14285714285643</v>
      </c>
      <c r="AC158" s="540">
        <f t="shared" si="57"/>
        <v>10</v>
      </c>
      <c r="AD158" s="611"/>
      <c r="AE158" s="483">
        <v>3</v>
      </c>
      <c r="AF158" s="491">
        <v>2877.6923076923094</v>
      </c>
      <c r="AG158" s="491">
        <v>959.23076923076985</v>
      </c>
      <c r="AH158" s="540">
        <f t="shared" si="58"/>
        <v>11</v>
      </c>
      <c r="AI158" s="611"/>
      <c r="AJ158" s="483"/>
      <c r="AK158" s="491"/>
      <c r="AL158" s="491"/>
      <c r="AM158" s="540" t="e">
        <f t="shared" si="59"/>
        <v>#N/A</v>
      </c>
      <c r="AN158" s="611"/>
      <c r="AO158" s="483"/>
      <c r="AP158" s="491"/>
      <c r="AQ158" s="491"/>
      <c r="AR158" s="540" t="e">
        <f t="shared" si="60"/>
        <v>#N/A</v>
      </c>
      <c r="AS158" s="611"/>
      <c r="AT158" s="483"/>
      <c r="AU158" s="491"/>
      <c r="AV158" s="491"/>
      <c r="AW158" s="540" t="e">
        <f t="shared" si="61"/>
        <v>#N/A</v>
      </c>
      <c r="AX158" s="611"/>
      <c r="AZ158" s="377" t="e">
        <f t="shared" si="52"/>
        <v>#N/A</v>
      </c>
      <c r="BA158" s="611"/>
    </row>
    <row r="159" spans="2:53">
      <c r="B159" s="635"/>
      <c r="C159" s="483">
        <v>13</v>
      </c>
      <c r="D159" s="483" t="s">
        <v>558</v>
      </c>
      <c r="E159" s="483">
        <v>4</v>
      </c>
      <c r="F159" s="483">
        <v>2800</v>
      </c>
      <c r="G159" s="491">
        <v>700</v>
      </c>
      <c r="H159" s="611"/>
      <c r="I159" s="487">
        <f t="shared" si="54"/>
        <v>4</v>
      </c>
      <c r="J159" s="487">
        <f t="shared" si="54"/>
        <v>2775.2142857142894</v>
      </c>
      <c r="K159" s="363">
        <f t="shared" si="54"/>
        <v>693.80357142857235</v>
      </c>
      <c r="L159" s="615"/>
      <c r="M159" s="365">
        <f>RANK(K159, K$147:$K$176)</f>
        <v>21</v>
      </c>
      <c r="N159" s="624"/>
      <c r="O159" s="624"/>
      <c r="P159" s="483">
        <v>4</v>
      </c>
      <c r="Q159" s="491">
        <v>2631.4285714285807</v>
      </c>
      <c r="R159" s="491">
        <v>657.85714285714516</v>
      </c>
      <c r="S159" s="540">
        <f t="shared" si="55"/>
        <v>21</v>
      </c>
      <c r="T159" s="611"/>
      <c r="U159" s="483">
        <v>4</v>
      </c>
      <c r="V159" s="491">
        <v>2631.4285714285807</v>
      </c>
      <c r="W159" s="491">
        <v>657.85714285714516</v>
      </c>
      <c r="X159" s="540">
        <f t="shared" si="56"/>
        <v>21</v>
      </c>
      <c r="Y159" s="611"/>
      <c r="Z159" s="483">
        <v>4</v>
      </c>
      <c r="AA159" s="491">
        <v>2940.00000000001</v>
      </c>
      <c r="AB159" s="491">
        <v>735.0000000000025</v>
      </c>
      <c r="AC159" s="540">
        <f t="shared" si="57"/>
        <v>18</v>
      </c>
      <c r="AD159" s="611"/>
      <c r="AE159" s="483">
        <v>4</v>
      </c>
      <c r="AF159" s="491">
        <v>2897.9999999999873</v>
      </c>
      <c r="AG159" s="491">
        <v>724.49999999999682</v>
      </c>
      <c r="AH159" s="540">
        <f t="shared" si="58"/>
        <v>19</v>
      </c>
      <c r="AI159" s="611"/>
      <c r="AJ159" s="483"/>
      <c r="AK159" s="491"/>
      <c r="AL159" s="491"/>
      <c r="AM159" s="540" t="e">
        <f t="shared" si="59"/>
        <v>#N/A</v>
      </c>
      <c r="AN159" s="611"/>
      <c r="AO159" s="483"/>
      <c r="AP159" s="491"/>
      <c r="AQ159" s="491"/>
      <c r="AR159" s="540" t="e">
        <f t="shared" si="60"/>
        <v>#N/A</v>
      </c>
      <c r="AS159" s="611"/>
      <c r="AT159" s="483"/>
      <c r="AU159" s="491"/>
      <c r="AV159" s="491"/>
      <c r="AW159" s="540" t="e">
        <f t="shared" si="61"/>
        <v>#N/A</v>
      </c>
      <c r="AX159" s="611"/>
      <c r="AZ159" s="377" t="e">
        <f t="shared" si="52"/>
        <v>#N/A</v>
      </c>
      <c r="BA159" s="611"/>
    </row>
    <row r="160" spans="2:53">
      <c r="B160" s="635"/>
      <c r="C160" s="483">
        <v>14</v>
      </c>
      <c r="D160" s="483" t="s">
        <v>601</v>
      </c>
      <c r="E160" s="483">
        <v>4</v>
      </c>
      <c r="F160" s="483">
        <v>3200</v>
      </c>
      <c r="G160" s="491">
        <v>800</v>
      </c>
      <c r="H160" s="611"/>
      <c r="I160" s="487">
        <f t="shared" si="54"/>
        <v>4</v>
      </c>
      <c r="J160" s="487">
        <f t="shared" si="54"/>
        <v>3147.5000000000023</v>
      </c>
      <c r="K160" s="363">
        <f t="shared" si="54"/>
        <v>786.87500000000057</v>
      </c>
      <c r="L160" s="615"/>
      <c r="M160" s="365">
        <f>RANK(K160, K$147:$K$176)</f>
        <v>16</v>
      </c>
      <c r="N160" s="624"/>
      <c r="O160" s="624"/>
      <c r="P160" s="483">
        <v>4</v>
      </c>
      <c r="Q160" s="491">
        <v>2810.00000000001</v>
      </c>
      <c r="R160" s="491">
        <v>702.5000000000025</v>
      </c>
      <c r="S160" s="540">
        <f t="shared" si="55"/>
        <v>19</v>
      </c>
      <c r="T160" s="611"/>
      <c r="U160" s="483">
        <v>4</v>
      </c>
      <c r="V160" s="491">
        <v>2650.0000000000091</v>
      </c>
      <c r="W160" s="491">
        <v>662.50000000000227</v>
      </c>
      <c r="X160" s="540">
        <f t="shared" si="56"/>
        <v>20</v>
      </c>
      <c r="Y160" s="611"/>
      <c r="Z160" s="483">
        <v>4</v>
      </c>
      <c r="AA160" s="491">
        <v>3569.9999999999768</v>
      </c>
      <c r="AB160" s="491">
        <v>892.4999999999942</v>
      </c>
      <c r="AC160" s="540">
        <f t="shared" si="57"/>
        <v>11</v>
      </c>
      <c r="AD160" s="611"/>
      <c r="AE160" s="483">
        <v>4</v>
      </c>
      <c r="AF160" s="491">
        <v>3560.0000000000127</v>
      </c>
      <c r="AG160" s="491">
        <v>890.00000000000318</v>
      </c>
      <c r="AH160" s="540">
        <f t="shared" si="58"/>
        <v>13</v>
      </c>
      <c r="AI160" s="611"/>
      <c r="AJ160" s="483"/>
      <c r="AK160" s="491"/>
      <c r="AL160" s="491"/>
      <c r="AM160" s="540" t="e">
        <f t="shared" si="59"/>
        <v>#N/A</v>
      </c>
      <c r="AN160" s="611"/>
      <c r="AO160" s="483"/>
      <c r="AP160" s="491"/>
      <c r="AQ160" s="491"/>
      <c r="AR160" s="540" t="e">
        <f t="shared" si="60"/>
        <v>#N/A</v>
      </c>
      <c r="AS160" s="611"/>
      <c r="AT160" s="483"/>
      <c r="AU160" s="491"/>
      <c r="AV160" s="491"/>
      <c r="AW160" s="540" t="e">
        <f t="shared" si="61"/>
        <v>#N/A</v>
      </c>
      <c r="AX160" s="611"/>
      <c r="AZ160" s="377" t="e">
        <f t="shared" si="52"/>
        <v>#N/A</v>
      </c>
      <c r="BA160" s="611"/>
    </row>
    <row r="161" spans="2:53">
      <c r="B161" s="635"/>
      <c r="C161" s="483">
        <v>15</v>
      </c>
      <c r="D161" s="483" t="s">
        <v>684</v>
      </c>
      <c r="E161" s="483">
        <v>3</v>
      </c>
      <c r="F161" s="483">
        <v>3200</v>
      </c>
      <c r="G161" s="491">
        <v>1066.6666666666667</v>
      </c>
      <c r="H161" s="611"/>
      <c r="I161" s="487">
        <f t="shared" si="54"/>
        <v>3</v>
      </c>
      <c r="J161" s="487">
        <f t="shared" si="54"/>
        <v>3209.6093931643791</v>
      </c>
      <c r="K161" s="363">
        <f t="shared" si="54"/>
        <v>1069.8697977214597</v>
      </c>
      <c r="L161" s="615"/>
      <c r="M161" s="365">
        <f>RANK(K161, K$147:$K$176)</f>
        <v>4</v>
      </c>
      <c r="N161" s="624"/>
      <c r="O161" s="624"/>
      <c r="P161" s="483">
        <v>3</v>
      </c>
      <c r="Q161" s="491">
        <v>3182.608695652174</v>
      </c>
      <c r="R161" s="491">
        <v>1060.8695652173913</v>
      </c>
      <c r="S161" s="540">
        <f t="shared" si="55"/>
        <v>4</v>
      </c>
      <c r="T161" s="611"/>
      <c r="U161" s="483">
        <v>3</v>
      </c>
      <c r="V161" s="491">
        <v>3120</v>
      </c>
      <c r="W161" s="491">
        <v>1040</v>
      </c>
      <c r="X161" s="540">
        <f t="shared" si="56"/>
        <v>6</v>
      </c>
      <c r="Y161" s="611"/>
      <c r="Z161" s="483">
        <v>3</v>
      </c>
      <c r="AA161" s="491">
        <v>3278.181818181818</v>
      </c>
      <c r="AB161" s="491">
        <v>1092.7272727272727</v>
      </c>
      <c r="AC161" s="540">
        <f t="shared" si="57"/>
        <v>4</v>
      </c>
      <c r="AD161" s="611"/>
      <c r="AE161" s="483">
        <v>3</v>
      </c>
      <c r="AF161" s="491">
        <v>3257.6470588235252</v>
      </c>
      <c r="AG161" s="491">
        <v>1085.882352941175</v>
      </c>
      <c r="AH161" s="540">
        <f t="shared" si="58"/>
        <v>1</v>
      </c>
      <c r="AI161" s="611"/>
      <c r="AJ161" s="483"/>
      <c r="AK161" s="491"/>
      <c r="AL161" s="491"/>
      <c r="AM161" s="540" t="e">
        <f t="shared" si="59"/>
        <v>#N/A</v>
      </c>
      <c r="AN161" s="611"/>
      <c r="AO161" s="483"/>
      <c r="AP161" s="491"/>
      <c r="AQ161" s="491"/>
      <c r="AR161" s="540" t="e">
        <f t="shared" si="60"/>
        <v>#N/A</v>
      </c>
      <c r="AS161" s="611"/>
      <c r="AT161" s="483"/>
      <c r="AU161" s="491"/>
      <c r="AV161" s="491"/>
      <c r="AW161" s="540" t="e">
        <f t="shared" si="61"/>
        <v>#N/A</v>
      </c>
      <c r="AX161" s="611"/>
      <c r="AZ161" s="377" t="e">
        <f t="shared" si="52"/>
        <v>#N/A</v>
      </c>
      <c r="BA161" s="611"/>
    </row>
    <row r="162" spans="2:53">
      <c r="B162" s="635"/>
      <c r="C162" s="483">
        <v>16</v>
      </c>
      <c r="D162" s="483" t="s">
        <v>692</v>
      </c>
      <c r="E162" s="483">
        <v>3</v>
      </c>
      <c r="F162" s="483">
        <v>3200</v>
      </c>
      <c r="G162" s="491">
        <v>1066.6666666666667</v>
      </c>
      <c r="H162" s="611"/>
      <c r="I162" s="487">
        <f t="shared" si="54"/>
        <v>3</v>
      </c>
      <c r="J162" s="487">
        <f t="shared" si="54"/>
        <v>3170.6128246753224</v>
      </c>
      <c r="K162" s="363">
        <f t="shared" si="54"/>
        <v>1056.870941558441</v>
      </c>
      <c r="L162" s="615"/>
      <c r="M162" s="365">
        <f>RANK(K162, K$147:$K$176)</f>
        <v>7</v>
      </c>
      <c r="N162" s="624"/>
      <c r="O162" s="624"/>
      <c r="P162" s="483">
        <v>3</v>
      </c>
      <c r="Q162" s="491">
        <v>3105.0000000000109</v>
      </c>
      <c r="R162" s="491">
        <v>1035.0000000000036</v>
      </c>
      <c r="S162" s="540">
        <f t="shared" si="55"/>
        <v>7</v>
      </c>
      <c r="T162" s="611"/>
      <c r="U162" s="483">
        <v>3</v>
      </c>
      <c r="V162" s="491">
        <v>3108.74999999998</v>
      </c>
      <c r="W162" s="491">
        <v>1036.2499999999934</v>
      </c>
      <c r="X162" s="540">
        <f t="shared" si="56"/>
        <v>7</v>
      </c>
      <c r="Y162" s="611"/>
      <c r="Z162" s="483">
        <v>3</v>
      </c>
      <c r="AA162" s="491">
        <v>3261.4285714285834</v>
      </c>
      <c r="AB162" s="491">
        <v>1087.1428571428612</v>
      </c>
      <c r="AC162" s="540">
        <f t="shared" si="57"/>
        <v>5</v>
      </c>
      <c r="AD162" s="611"/>
      <c r="AE162" s="483">
        <v>3</v>
      </c>
      <c r="AF162" s="491">
        <v>3207.2727272727152</v>
      </c>
      <c r="AG162" s="491">
        <v>1069.0909090909051</v>
      </c>
      <c r="AH162" s="540">
        <f t="shared" si="58"/>
        <v>7</v>
      </c>
      <c r="AI162" s="611"/>
      <c r="AJ162" s="483"/>
      <c r="AK162" s="491"/>
      <c r="AL162" s="491"/>
      <c r="AM162" s="540" t="e">
        <f t="shared" si="59"/>
        <v>#N/A</v>
      </c>
      <c r="AN162" s="611"/>
      <c r="AO162" s="483"/>
      <c r="AP162" s="491"/>
      <c r="AQ162" s="491"/>
      <c r="AR162" s="540" t="e">
        <f t="shared" si="60"/>
        <v>#N/A</v>
      </c>
      <c r="AS162" s="611"/>
      <c r="AT162" s="483"/>
      <c r="AU162" s="491"/>
      <c r="AV162" s="491"/>
      <c r="AW162" s="540" t="e">
        <f t="shared" si="61"/>
        <v>#N/A</v>
      </c>
      <c r="AX162" s="611"/>
      <c r="AZ162" s="377" t="e">
        <f t="shared" si="52"/>
        <v>#N/A</v>
      </c>
      <c r="BA162" s="611"/>
    </row>
    <row r="163" spans="2:53">
      <c r="B163" s="635"/>
      <c r="C163" s="483">
        <v>17</v>
      </c>
      <c r="D163" s="483" t="s">
        <v>725</v>
      </c>
      <c r="E163" s="483">
        <v>3</v>
      </c>
      <c r="F163" s="483">
        <v>3200</v>
      </c>
      <c r="G163" s="491">
        <v>1066.6666666666667</v>
      </c>
      <c r="H163" s="611"/>
      <c r="I163" s="487">
        <f t="shared" si="54"/>
        <v>3</v>
      </c>
      <c r="J163" s="487">
        <f t="shared" si="54"/>
        <v>3068.4941520467819</v>
      </c>
      <c r="K163" s="363">
        <f t="shared" si="54"/>
        <v>1022.831384015594</v>
      </c>
      <c r="L163" s="615"/>
      <c r="M163" s="365">
        <f>RANK(K163, K$147:$K$176)</f>
        <v>8</v>
      </c>
      <c r="N163" s="624"/>
      <c r="O163" s="624"/>
      <c r="P163" s="483">
        <v>3</v>
      </c>
      <c r="Q163" s="491">
        <v>2935.555555555557</v>
      </c>
      <c r="R163" s="491">
        <v>978.51851851851904</v>
      </c>
      <c r="S163" s="540">
        <f t="shared" si="55"/>
        <v>9</v>
      </c>
      <c r="T163" s="611"/>
      <c r="U163" s="483">
        <v>3</v>
      </c>
      <c r="V163" s="491">
        <v>2999.9999999999923</v>
      </c>
      <c r="W163" s="491">
        <v>999.99999999999739</v>
      </c>
      <c r="X163" s="540">
        <f t="shared" si="56"/>
        <v>9</v>
      </c>
      <c r="Y163" s="611"/>
      <c r="Z163" s="483">
        <v>3</v>
      </c>
      <c r="AA163" s="491">
        <v>3250.0000000000009</v>
      </c>
      <c r="AB163" s="491">
        <v>1083.3333333333337</v>
      </c>
      <c r="AC163" s="540">
        <f t="shared" si="57"/>
        <v>6</v>
      </c>
      <c r="AD163" s="611"/>
      <c r="AE163" s="483">
        <v>3</v>
      </c>
      <c r="AF163" s="491">
        <v>3088.4210526315769</v>
      </c>
      <c r="AG163" s="491">
        <v>1029.4736842105256</v>
      </c>
      <c r="AH163" s="540">
        <f t="shared" si="58"/>
        <v>8</v>
      </c>
      <c r="AI163" s="611"/>
      <c r="AJ163" s="483"/>
      <c r="AK163" s="491"/>
      <c r="AL163" s="491"/>
      <c r="AM163" s="540" t="e">
        <f t="shared" si="59"/>
        <v>#N/A</v>
      </c>
      <c r="AN163" s="611"/>
      <c r="AO163" s="483"/>
      <c r="AP163" s="491"/>
      <c r="AQ163" s="491"/>
      <c r="AR163" s="540" t="e">
        <f t="shared" si="60"/>
        <v>#N/A</v>
      </c>
      <c r="AS163" s="611"/>
      <c r="AT163" s="483"/>
      <c r="AU163" s="491"/>
      <c r="AV163" s="491"/>
      <c r="AW163" s="540" t="e">
        <f t="shared" si="61"/>
        <v>#N/A</v>
      </c>
      <c r="AX163" s="611"/>
      <c r="AZ163" s="377" t="e">
        <f t="shared" si="52"/>
        <v>#N/A</v>
      </c>
      <c r="BA163" s="611"/>
    </row>
    <row r="164" spans="2:53">
      <c r="B164" s="635"/>
      <c r="C164" s="483">
        <v>18</v>
      </c>
      <c r="D164" s="483" t="s">
        <v>838</v>
      </c>
      <c r="E164" s="483">
        <v>4</v>
      </c>
      <c r="F164" s="483">
        <v>3200</v>
      </c>
      <c r="G164" s="491">
        <v>800</v>
      </c>
      <c r="H164" s="611"/>
      <c r="I164" s="487">
        <f t="shared" si="54"/>
        <v>4</v>
      </c>
      <c r="J164" s="487">
        <f t="shared" si="54"/>
        <v>3206.7681912681892</v>
      </c>
      <c r="K164" s="363">
        <f t="shared" si="54"/>
        <v>801.6920478170473</v>
      </c>
      <c r="L164" s="615"/>
      <c r="M164" s="365">
        <f>RANK(K164, K$147:$K$176)</f>
        <v>15</v>
      </c>
      <c r="N164" s="624"/>
      <c r="O164" s="624"/>
      <c r="P164" s="483">
        <v>4</v>
      </c>
      <c r="Q164" s="491">
        <v>3161.5384615384601</v>
      </c>
      <c r="R164" s="491">
        <v>790.38461538461502</v>
      </c>
      <c r="S164" s="540">
        <f t="shared" si="55"/>
        <v>13</v>
      </c>
      <c r="T164" s="611"/>
      <c r="U164" s="483">
        <v>4</v>
      </c>
      <c r="V164" s="491">
        <v>3158.9189189189165</v>
      </c>
      <c r="W164" s="491">
        <v>789.72972972972912</v>
      </c>
      <c r="X164" s="540">
        <f t="shared" si="56"/>
        <v>12</v>
      </c>
      <c r="Y164" s="611"/>
      <c r="Z164" s="483">
        <v>4</v>
      </c>
      <c r="AA164" s="491">
        <v>3291.9999999999941</v>
      </c>
      <c r="AB164" s="491">
        <v>822.99999999999852</v>
      </c>
      <c r="AC164" s="540">
        <f t="shared" si="57"/>
        <v>15</v>
      </c>
      <c r="AD164" s="611"/>
      <c r="AE164" s="483">
        <v>4</v>
      </c>
      <c r="AF164" s="491">
        <v>3214.6153846153866</v>
      </c>
      <c r="AG164" s="491">
        <v>803.65384615384664</v>
      </c>
      <c r="AH164" s="540">
        <f t="shared" si="58"/>
        <v>18</v>
      </c>
      <c r="AI164" s="611"/>
      <c r="AJ164" s="483"/>
      <c r="AK164" s="491"/>
      <c r="AL164" s="491"/>
      <c r="AM164" s="540" t="e">
        <f t="shared" si="59"/>
        <v>#N/A</v>
      </c>
      <c r="AN164" s="611"/>
      <c r="AO164" s="483"/>
      <c r="AP164" s="491"/>
      <c r="AQ164" s="491"/>
      <c r="AR164" s="540" t="e">
        <f t="shared" si="60"/>
        <v>#N/A</v>
      </c>
      <c r="AS164" s="611"/>
      <c r="AT164" s="483"/>
      <c r="AU164" s="491"/>
      <c r="AV164" s="491"/>
      <c r="AW164" s="540" t="e">
        <f t="shared" si="61"/>
        <v>#N/A</v>
      </c>
      <c r="AX164" s="611"/>
      <c r="AZ164" s="377" t="e">
        <f t="shared" si="52"/>
        <v>#N/A</v>
      </c>
      <c r="BA164" s="611"/>
    </row>
    <row r="165" spans="2:53">
      <c r="B165" s="635"/>
      <c r="C165" s="483">
        <v>19</v>
      </c>
      <c r="D165" s="483" t="s">
        <v>333</v>
      </c>
      <c r="E165" s="483">
        <v>4</v>
      </c>
      <c r="F165" s="483">
        <v>2800</v>
      </c>
      <c r="G165" s="491">
        <v>700</v>
      </c>
      <c r="H165" s="611"/>
      <c r="I165" s="487">
        <f t="shared" si="54"/>
        <v>4</v>
      </c>
      <c r="J165" s="487">
        <f t="shared" si="54"/>
        <v>2950.5000000000105</v>
      </c>
      <c r="K165" s="363">
        <f t="shared" si="54"/>
        <v>737.62500000000261</v>
      </c>
      <c r="L165" s="615"/>
      <c r="M165" s="365">
        <f>RANK(K165, K$147:$K$176)</f>
        <v>19</v>
      </c>
      <c r="N165" s="624"/>
      <c r="O165" s="624"/>
      <c r="P165" s="483">
        <v>4</v>
      </c>
      <c r="Q165" s="491">
        <v>3057.0000000000109</v>
      </c>
      <c r="R165" s="491">
        <v>764.25000000000273</v>
      </c>
      <c r="S165" s="540">
        <f t="shared" si="55"/>
        <v>17</v>
      </c>
      <c r="T165" s="611"/>
      <c r="U165" s="483">
        <v>4</v>
      </c>
      <c r="V165" s="491">
        <v>3111.0000000000114</v>
      </c>
      <c r="W165" s="491">
        <v>777.75000000000284</v>
      </c>
      <c r="X165" s="540">
        <f t="shared" si="56"/>
        <v>14</v>
      </c>
      <c r="Y165" s="611"/>
      <c r="Z165" s="483">
        <v>4</v>
      </c>
      <c r="AA165" s="491">
        <v>2901.0000000000105</v>
      </c>
      <c r="AB165" s="491">
        <v>725.25000000000261</v>
      </c>
      <c r="AC165" s="540">
        <f t="shared" si="57"/>
        <v>19</v>
      </c>
      <c r="AD165" s="611"/>
      <c r="AE165" s="483">
        <v>4</v>
      </c>
      <c r="AF165" s="491">
        <v>2733.0000000000095</v>
      </c>
      <c r="AG165" s="491">
        <v>683.25000000000239</v>
      </c>
      <c r="AH165" s="540">
        <f t="shared" si="58"/>
        <v>21</v>
      </c>
      <c r="AI165" s="611"/>
      <c r="AJ165" s="483"/>
      <c r="AK165" s="491"/>
      <c r="AL165" s="491"/>
      <c r="AM165" s="540" t="e">
        <f t="shared" si="59"/>
        <v>#N/A</v>
      </c>
      <c r="AN165" s="611"/>
      <c r="AO165" s="483"/>
      <c r="AP165" s="491"/>
      <c r="AQ165" s="491"/>
      <c r="AR165" s="540" t="e">
        <f t="shared" si="60"/>
        <v>#N/A</v>
      </c>
      <c r="AS165" s="611"/>
      <c r="AT165" s="483"/>
      <c r="AU165" s="491"/>
      <c r="AV165" s="491"/>
      <c r="AW165" s="540" t="e">
        <f t="shared" si="61"/>
        <v>#N/A</v>
      </c>
      <c r="AX165" s="611"/>
      <c r="AZ165" s="377" t="e">
        <f t="shared" si="52"/>
        <v>#N/A</v>
      </c>
      <c r="BA165" s="611"/>
    </row>
    <row r="166" spans="2:53">
      <c r="B166" s="635"/>
      <c r="C166" s="483">
        <v>20</v>
      </c>
      <c r="D166" s="483" t="s">
        <v>425</v>
      </c>
      <c r="E166" s="483">
        <v>3</v>
      </c>
      <c r="F166" s="483">
        <v>2800</v>
      </c>
      <c r="G166" s="491">
        <v>933.33333333333337</v>
      </c>
      <c r="H166" s="611"/>
      <c r="I166" s="487">
        <f t="shared" si="54"/>
        <v>3</v>
      </c>
      <c r="J166" s="487">
        <f t="shared" si="54"/>
        <v>3051.7499999999864</v>
      </c>
      <c r="K166" s="363">
        <f t="shared" si="54"/>
        <v>1017.2499999999955</v>
      </c>
      <c r="L166" s="615"/>
      <c r="M166" s="365">
        <f>RANK(K166, K$147:$K$176)</f>
        <v>9</v>
      </c>
      <c r="N166" s="624"/>
      <c r="O166" s="624"/>
      <c r="P166" s="483">
        <v>3</v>
      </c>
      <c r="Q166" s="491">
        <v>3206.9999999999854</v>
      </c>
      <c r="R166" s="491">
        <v>1068.9999999999952</v>
      </c>
      <c r="S166" s="540">
        <f t="shared" si="55"/>
        <v>1</v>
      </c>
      <c r="T166" s="611"/>
      <c r="U166" s="483">
        <v>3</v>
      </c>
      <c r="V166" s="491">
        <v>3173.9999999999859</v>
      </c>
      <c r="W166" s="491">
        <v>1057.9999999999952</v>
      </c>
      <c r="X166" s="540">
        <f t="shared" si="56"/>
        <v>5</v>
      </c>
      <c r="Y166" s="611"/>
      <c r="Z166" s="483">
        <v>3</v>
      </c>
      <c r="AA166" s="491">
        <v>2990.9999999999868</v>
      </c>
      <c r="AB166" s="491">
        <v>996.99999999999557</v>
      </c>
      <c r="AC166" s="540">
        <f t="shared" si="57"/>
        <v>9</v>
      </c>
      <c r="AD166" s="611"/>
      <c r="AE166" s="483">
        <v>3</v>
      </c>
      <c r="AF166" s="491">
        <v>2834.9999999999873</v>
      </c>
      <c r="AG166" s="491">
        <v>944.99999999999579</v>
      </c>
      <c r="AH166" s="540">
        <f t="shared" si="58"/>
        <v>12</v>
      </c>
      <c r="AI166" s="611"/>
      <c r="AJ166" s="483"/>
      <c r="AK166" s="491"/>
      <c r="AL166" s="491"/>
      <c r="AM166" s="540" t="e">
        <f t="shared" si="59"/>
        <v>#N/A</v>
      </c>
      <c r="AN166" s="611"/>
      <c r="AO166" s="483"/>
      <c r="AP166" s="491"/>
      <c r="AQ166" s="491"/>
      <c r="AR166" s="540" t="e">
        <f t="shared" si="60"/>
        <v>#N/A</v>
      </c>
      <c r="AS166" s="611"/>
      <c r="AT166" s="483"/>
      <c r="AU166" s="491"/>
      <c r="AV166" s="491"/>
      <c r="AW166" s="540" t="e">
        <f t="shared" si="61"/>
        <v>#N/A</v>
      </c>
      <c r="AX166" s="611"/>
      <c r="AZ166" s="377" t="e">
        <f t="shared" si="52"/>
        <v>#N/A</v>
      </c>
      <c r="BA166" s="611"/>
    </row>
    <row r="167" spans="2:53">
      <c r="B167" s="635"/>
      <c r="C167" s="483">
        <v>21</v>
      </c>
      <c r="D167" s="486" t="s">
        <v>436</v>
      </c>
      <c r="E167" s="483">
        <v>4</v>
      </c>
      <c r="F167" s="483">
        <v>2200</v>
      </c>
      <c r="G167" s="491">
        <v>550</v>
      </c>
      <c r="H167" s="611"/>
      <c r="I167" s="487">
        <f t="shared" si="54"/>
        <v>3</v>
      </c>
      <c r="J167" s="487">
        <f t="shared" si="54"/>
        <v>2320.4857142857136</v>
      </c>
      <c r="K167" s="363">
        <f t="shared" si="54"/>
        <v>773.49523809523794</v>
      </c>
      <c r="L167" s="615"/>
      <c r="M167" s="365">
        <f>RANK(K167, K$147:$K$176)</f>
        <v>17</v>
      </c>
      <c r="N167" s="624"/>
      <c r="O167" s="624"/>
      <c r="P167" s="483">
        <v>3</v>
      </c>
      <c r="Q167" s="491">
        <v>2185.7142857142835</v>
      </c>
      <c r="R167" s="491">
        <v>728.57142857142787</v>
      </c>
      <c r="S167" s="540">
        <f t="shared" si="55"/>
        <v>18</v>
      </c>
      <c r="T167" s="611"/>
      <c r="U167" s="483">
        <v>3</v>
      </c>
      <c r="V167" s="491">
        <v>2115.4285714285693</v>
      </c>
      <c r="W167" s="491">
        <v>705.14285714285643</v>
      </c>
      <c r="X167" s="540">
        <f t="shared" si="56"/>
        <v>18</v>
      </c>
      <c r="Y167" s="611"/>
      <c r="Z167" s="483">
        <v>3</v>
      </c>
      <c r="AA167" s="491">
        <v>2348.0000000000086</v>
      </c>
      <c r="AB167" s="491">
        <v>782.66666666666958</v>
      </c>
      <c r="AC167" s="540">
        <f t="shared" si="57"/>
        <v>17</v>
      </c>
      <c r="AD167" s="611"/>
      <c r="AE167" s="483">
        <v>3</v>
      </c>
      <c r="AF167" s="491">
        <v>2632.7999999999925</v>
      </c>
      <c r="AG167" s="491">
        <v>877.59999999999752</v>
      </c>
      <c r="AH167" s="540">
        <f t="shared" si="58"/>
        <v>14</v>
      </c>
      <c r="AI167" s="611"/>
      <c r="AJ167" s="483"/>
      <c r="AK167" s="491"/>
      <c r="AL167" s="491"/>
      <c r="AM167" s="540" t="e">
        <f t="shared" si="59"/>
        <v>#N/A</v>
      </c>
      <c r="AN167" s="611"/>
      <c r="AO167" s="483"/>
      <c r="AP167" s="491"/>
      <c r="AQ167" s="491"/>
      <c r="AR167" s="540" t="e">
        <f t="shared" si="60"/>
        <v>#N/A</v>
      </c>
      <c r="AS167" s="611"/>
      <c r="AT167" s="483"/>
      <c r="AU167" s="491"/>
      <c r="AV167" s="491"/>
      <c r="AW167" s="540" t="e">
        <f t="shared" si="61"/>
        <v>#N/A</v>
      </c>
      <c r="AX167" s="611"/>
      <c r="AZ167" s="377" t="e">
        <f t="shared" si="52"/>
        <v>#N/A</v>
      </c>
      <c r="BA167" s="611"/>
    </row>
    <row r="168" spans="2:53">
      <c r="B168" s="635"/>
      <c r="C168" s="483">
        <v>22</v>
      </c>
      <c r="D168" s="483" t="s">
        <v>770</v>
      </c>
      <c r="E168" s="483">
        <v>4</v>
      </c>
      <c r="F168" s="483">
        <v>2200</v>
      </c>
      <c r="G168" s="491">
        <v>550</v>
      </c>
      <c r="H168" s="611"/>
      <c r="I168" s="487">
        <f t="shared" si="54"/>
        <v>4</v>
      </c>
      <c r="J168" s="487">
        <f t="shared" si="54"/>
        <v>2438.3777777777864</v>
      </c>
      <c r="K168" s="363">
        <f t="shared" si="54"/>
        <v>609.59444444444659</v>
      </c>
      <c r="L168" s="615"/>
      <c r="M168" s="365">
        <f>RANK(K168, K$147:$K$176)</f>
        <v>22</v>
      </c>
      <c r="N168" s="624"/>
      <c r="O168" s="624"/>
      <c r="P168" s="483">
        <v>4</v>
      </c>
      <c r="Q168" s="491">
        <v>2244.0000000000082</v>
      </c>
      <c r="R168" s="491">
        <v>561.00000000000205</v>
      </c>
      <c r="S168" s="540">
        <f t="shared" si="55"/>
        <v>22</v>
      </c>
      <c r="T168" s="611"/>
      <c r="U168" s="483">
        <v>4</v>
      </c>
      <c r="V168" s="491">
        <v>2520.0000000000091</v>
      </c>
      <c r="W168" s="491">
        <v>630.00000000000227</v>
      </c>
      <c r="X168" s="540">
        <f t="shared" si="56"/>
        <v>22</v>
      </c>
      <c r="Y168" s="611"/>
      <c r="Z168" s="483">
        <v>4</v>
      </c>
      <c r="AA168" s="491">
        <v>2678.4000000000096</v>
      </c>
      <c r="AB168" s="491">
        <v>669.60000000000241</v>
      </c>
      <c r="AC168" s="540">
        <f t="shared" si="57"/>
        <v>21</v>
      </c>
      <c r="AD168" s="611"/>
      <c r="AE168" s="483">
        <v>4</v>
      </c>
      <c r="AF168" s="491">
        <v>2311.111111111119</v>
      </c>
      <c r="AG168" s="491">
        <v>577.77777777777976</v>
      </c>
      <c r="AH168" s="540">
        <f t="shared" si="58"/>
        <v>22</v>
      </c>
      <c r="AI168" s="611"/>
      <c r="AJ168" s="483"/>
      <c r="AK168" s="491"/>
      <c r="AL168" s="491"/>
      <c r="AM168" s="540" t="e">
        <f t="shared" si="59"/>
        <v>#N/A</v>
      </c>
      <c r="AN168" s="611"/>
      <c r="AO168" s="483"/>
      <c r="AP168" s="491"/>
      <c r="AQ168" s="491"/>
      <c r="AR168" s="540" t="e">
        <f t="shared" si="60"/>
        <v>#N/A</v>
      </c>
      <c r="AS168" s="611"/>
      <c r="AT168" s="483"/>
      <c r="AU168" s="491"/>
      <c r="AV168" s="491"/>
      <c r="AW168" s="540" t="e">
        <f t="shared" si="61"/>
        <v>#N/A</v>
      </c>
      <c r="AX168" s="611"/>
      <c r="AZ168" s="377" t="e">
        <f t="shared" si="52"/>
        <v>#N/A</v>
      </c>
      <c r="BA168" s="611"/>
    </row>
    <row r="169" spans="2:53">
      <c r="B169" s="635"/>
      <c r="C169" s="483">
        <v>23</v>
      </c>
      <c r="D169" s="483" t="s">
        <v>771</v>
      </c>
      <c r="E169" s="483">
        <v>5</v>
      </c>
      <c r="F169" s="483">
        <v>2200</v>
      </c>
      <c r="G169" s="491">
        <v>333.33333333333331</v>
      </c>
      <c r="H169" s="611"/>
      <c r="I169" s="487">
        <f t="shared" si="54"/>
        <v>5</v>
      </c>
      <c r="J169" s="487">
        <f t="shared" si="54"/>
        <v>1885.785714285721</v>
      </c>
      <c r="K169" s="363">
        <f t="shared" si="54"/>
        <v>377.15714285714421</v>
      </c>
      <c r="L169" s="615"/>
      <c r="M169" s="365">
        <f>RANK(K169, K$147:$K$176)</f>
        <v>23</v>
      </c>
      <c r="N169" s="624"/>
      <c r="O169" s="624"/>
      <c r="P169" s="483">
        <v>5</v>
      </c>
      <c r="Q169" s="491">
        <v>1935.0000000000068</v>
      </c>
      <c r="R169" s="491">
        <v>387.00000000000136</v>
      </c>
      <c r="S169" s="540">
        <f t="shared" si="55"/>
        <v>23</v>
      </c>
      <c r="T169" s="611"/>
      <c r="U169" s="483">
        <v>5</v>
      </c>
      <c r="V169" s="491">
        <v>1916.0000000000068</v>
      </c>
      <c r="W169" s="491">
        <v>383.20000000000135</v>
      </c>
      <c r="X169" s="540">
        <f t="shared" si="56"/>
        <v>23</v>
      </c>
      <c r="Y169" s="611"/>
      <c r="Z169" s="483">
        <v>5</v>
      </c>
      <c r="AA169" s="491">
        <v>1877.1428571428639</v>
      </c>
      <c r="AB169" s="491">
        <v>375.42857142857281</v>
      </c>
      <c r="AC169" s="540">
        <f t="shared" si="57"/>
        <v>23</v>
      </c>
      <c r="AD169" s="611"/>
      <c r="AE169" s="483">
        <v>5</v>
      </c>
      <c r="AF169" s="491">
        <v>1815.0000000000064</v>
      </c>
      <c r="AG169" s="491">
        <v>363.00000000000125</v>
      </c>
      <c r="AH169" s="540">
        <f t="shared" si="58"/>
        <v>23</v>
      </c>
      <c r="AI169" s="611"/>
      <c r="AJ169" s="483"/>
      <c r="AK169" s="491"/>
      <c r="AL169" s="491"/>
      <c r="AM169" s="540" t="e">
        <f t="shared" si="59"/>
        <v>#N/A</v>
      </c>
      <c r="AN169" s="611"/>
      <c r="AO169" s="483"/>
      <c r="AP169" s="491"/>
      <c r="AQ169" s="491"/>
      <c r="AR169" s="540" t="e">
        <f t="shared" si="60"/>
        <v>#N/A</v>
      </c>
      <c r="AS169" s="611"/>
      <c r="AT169" s="483"/>
      <c r="AU169" s="491"/>
      <c r="AV169" s="491"/>
      <c r="AW169" s="540" t="e">
        <f t="shared" si="61"/>
        <v>#N/A</v>
      </c>
      <c r="AX169" s="611"/>
      <c r="AZ169" s="377" t="e">
        <f t="shared" si="52"/>
        <v>#N/A</v>
      </c>
      <c r="BA169" s="611"/>
    </row>
    <row r="170" spans="2:53">
      <c r="B170" s="635"/>
      <c r="C170" s="483">
        <v>24</v>
      </c>
      <c r="D170" s="483" t="s">
        <v>772</v>
      </c>
      <c r="E170" s="483">
        <v>5</v>
      </c>
      <c r="F170" s="483">
        <v>2200</v>
      </c>
      <c r="G170" s="491">
        <v>333.33333333333331</v>
      </c>
      <c r="H170" s="611"/>
      <c r="I170" s="487">
        <f t="shared" si="54"/>
        <v>5</v>
      </c>
      <c r="J170" s="487">
        <f t="shared" si="54"/>
        <v>1829.1590909090974</v>
      </c>
      <c r="K170" s="363">
        <f t="shared" si="54"/>
        <v>365.83181818181947</v>
      </c>
      <c r="L170" s="615"/>
      <c r="M170" s="365">
        <f>RANK(K170, K$147:$K$176)</f>
        <v>24</v>
      </c>
      <c r="N170" s="624"/>
      <c r="O170" s="624"/>
      <c r="P170" s="483">
        <v>5</v>
      </c>
      <c r="Q170" s="491">
        <v>1900.0000000000066</v>
      </c>
      <c r="R170" s="491">
        <v>380.00000000000131</v>
      </c>
      <c r="S170" s="540">
        <f t="shared" si="55"/>
        <v>24</v>
      </c>
      <c r="T170" s="611"/>
      <c r="U170" s="483">
        <v>5</v>
      </c>
      <c r="V170" s="491">
        <v>1903.6363636363703</v>
      </c>
      <c r="W170" s="491">
        <v>380.72727272727406</v>
      </c>
      <c r="X170" s="540">
        <f t="shared" si="56"/>
        <v>24</v>
      </c>
      <c r="Y170" s="611"/>
      <c r="Z170" s="483">
        <v>5</v>
      </c>
      <c r="AA170" s="491">
        <v>1758.0000000000061</v>
      </c>
      <c r="AB170" s="491">
        <v>351.60000000000122</v>
      </c>
      <c r="AC170" s="540">
        <f t="shared" si="57"/>
        <v>24</v>
      </c>
      <c r="AD170" s="611"/>
      <c r="AE170" s="483">
        <v>5</v>
      </c>
      <c r="AF170" s="491">
        <v>1755.0000000000061</v>
      </c>
      <c r="AG170" s="491">
        <v>351.00000000000125</v>
      </c>
      <c r="AH170" s="540">
        <f t="shared" si="58"/>
        <v>24</v>
      </c>
      <c r="AI170" s="611"/>
      <c r="AJ170" s="483"/>
      <c r="AK170" s="491"/>
      <c r="AL170" s="491"/>
      <c r="AM170" s="540" t="e">
        <f t="shared" si="59"/>
        <v>#N/A</v>
      </c>
      <c r="AN170" s="611"/>
      <c r="AO170" s="483"/>
      <c r="AP170" s="491"/>
      <c r="AQ170" s="491"/>
      <c r="AR170" s="540" t="e">
        <f t="shared" si="60"/>
        <v>#N/A</v>
      </c>
      <c r="AS170" s="611"/>
      <c r="AT170" s="483"/>
      <c r="AU170" s="491"/>
      <c r="AV170" s="491"/>
      <c r="AW170" s="540" t="e">
        <f t="shared" si="61"/>
        <v>#N/A</v>
      </c>
      <c r="AX170" s="611"/>
      <c r="AZ170" s="377" t="e">
        <f t="shared" si="52"/>
        <v>#N/A</v>
      </c>
      <c r="BA170" s="611"/>
    </row>
    <row r="171" spans="2:53">
      <c r="B171" s="635"/>
      <c r="C171" s="483">
        <v>25</v>
      </c>
      <c r="D171" s="483" t="s">
        <v>662</v>
      </c>
      <c r="E171" s="483">
        <v>8</v>
      </c>
      <c r="F171" s="483">
        <v>1500</v>
      </c>
      <c r="G171" s="491">
        <v>187.5</v>
      </c>
      <c r="H171" s="611"/>
      <c r="I171" s="487">
        <f t="shared" si="54"/>
        <v>12</v>
      </c>
      <c r="J171" s="487">
        <f t="shared" si="54"/>
        <v>1376.6662210338686</v>
      </c>
      <c r="K171" s="363">
        <f t="shared" si="54"/>
        <v>114.72218508615573</v>
      </c>
      <c r="L171" s="615"/>
      <c r="M171" s="365">
        <f>RANK(K171, K$147:$K$176)</f>
        <v>25</v>
      </c>
      <c r="N171" s="624"/>
      <c r="O171" s="624"/>
      <c r="P171" s="483">
        <v>12</v>
      </c>
      <c r="Q171" s="491">
        <v>1371.2727272727282</v>
      </c>
      <c r="R171" s="491">
        <v>114.27272727272735</v>
      </c>
      <c r="S171" s="540">
        <f t="shared" si="55"/>
        <v>25</v>
      </c>
      <c r="T171" s="611"/>
      <c r="U171" s="483">
        <v>12</v>
      </c>
      <c r="V171" s="491">
        <v>1363.3333333333342</v>
      </c>
      <c r="W171" s="491">
        <v>113.61111111111119</v>
      </c>
      <c r="X171" s="540">
        <f t="shared" si="56"/>
        <v>25</v>
      </c>
      <c r="Y171" s="611"/>
      <c r="Z171" s="483">
        <v>12</v>
      </c>
      <c r="AA171" s="491">
        <v>1387.0588235294124</v>
      </c>
      <c r="AB171" s="491">
        <v>115.58823529411769</v>
      </c>
      <c r="AC171" s="540">
        <f t="shared" si="57"/>
        <v>25</v>
      </c>
      <c r="AD171" s="611"/>
      <c r="AE171" s="483">
        <v>12</v>
      </c>
      <c r="AF171" s="491">
        <v>1385.0000000000005</v>
      </c>
      <c r="AG171" s="491">
        <v>115.4166666666667</v>
      </c>
      <c r="AH171" s="540">
        <f t="shared" si="58"/>
        <v>25</v>
      </c>
      <c r="AI171" s="611"/>
      <c r="AJ171" s="483"/>
      <c r="AK171" s="491"/>
      <c r="AL171" s="491"/>
      <c r="AM171" s="540" t="e">
        <f t="shared" si="59"/>
        <v>#N/A</v>
      </c>
      <c r="AN171" s="611"/>
      <c r="AO171" s="483"/>
      <c r="AP171" s="491"/>
      <c r="AQ171" s="491"/>
      <c r="AR171" s="540" t="e">
        <f t="shared" si="60"/>
        <v>#N/A</v>
      </c>
      <c r="AS171" s="611"/>
      <c r="AT171" s="483"/>
      <c r="AU171" s="491"/>
      <c r="AV171" s="491"/>
      <c r="AW171" s="540" t="e">
        <f t="shared" si="61"/>
        <v>#N/A</v>
      </c>
      <c r="AX171" s="611"/>
      <c r="AZ171" s="377" t="e">
        <f t="shared" si="52"/>
        <v>#N/A</v>
      </c>
      <c r="BA171" s="611"/>
    </row>
    <row r="172" spans="2:53">
      <c r="B172" s="635"/>
      <c r="C172" s="483">
        <v>26</v>
      </c>
      <c r="D172" s="483"/>
      <c r="E172" s="483"/>
      <c r="F172" s="483"/>
      <c r="G172" s="491"/>
      <c r="H172" s="611"/>
      <c r="I172" s="487" t="str">
        <f t="shared" si="54"/>
        <v>-</v>
      </c>
      <c r="J172" s="487" t="str">
        <f t="shared" si="54"/>
        <v>-</v>
      </c>
      <c r="K172" s="363" t="str">
        <f t="shared" si="54"/>
        <v>-</v>
      </c>
      <c r="L172" s="615"/>
      <c r="M172" s="365" t="e">
        <f>RANK(K172, K$147:$K$176)</f>
        <v>#VALUE!</v>
      </c>
      <c r="N172" s="624"/>
      <c r="O172" s="624"/>
      <c r="P172" s="483"/>
      <c r="Q172" s="491"/>
      <c r="R172" s="491"/>
      <c r="S172" s="540" t="e">
        <f t="shared" si="55"/>
        <v>#N/A</v>
      </c>
      <c r="T172" s="611"/>
      <c r="U172" s="483"/>
      <c r="V172" s="491"/>
      <c r="W172" s="491"/>
      <c r="X172" s="540" t="e">
        <f t="shared" si="56"/>
        <v>#N/A</v>
      </c>
      <c r="Y172" s="611"/>
      <c r="Z172" s="483"/>
      <c r="AA172" s="491"/>
      <c r="AB172" s="491"/>
      <c r="AC172" s="540" t="e">
        <f t="shared" si="57"/>
        <v>#N/A</v>
      </c>
      <c r="AD172" s="611"/>
      <c r="AE172" s="483"/>
      <c r="AF172" s="491"/>
      <c r="AG172" s="491"/>
      <c r="AH172" s="540" t="e">
        <f t="shared" si="58"/>
        <v>#N/A</v>
      </c>
      <c r="AI172" s="611"/>
      <c r="AJ172" s="483"/>
      <c r="AK172" s="491"/>
      <c r="AL172" s="491"/>
      <c r="AM172" s="540" t="e">
        <f t="shared" si="59"/>
        <v>#N/A</v>
      </c>
      <c r="AN172" s="611"/>
      <c r="AO172" s="483"/>
      <c r="AP172" s="491"/>
      <c r="AQ172" s="491"/>
      <c r="AR172" s="540" t="e">
        <f t="shared" si="60"/>
        <v>#N/A</v>
      </c>
      <c r="AS172" s="611"/>
      <c r="AT172" s="483"/>
      <c r="AU172" s="491"/>
      <c r="AV172" s="491"/>
      <c r="AW172" s="540" t="e">
        <f t="shared" si="61"/>
        <v>#N/A</v>
      </c>
      <c r="AX172" s="611"/>
      <c r="AZ172" s="377" t="e">
        <f t="shared" si="52"/>
        <v>#N/A</v>
      </c>
      <c r="BA172" s="611"/>
    </row>
    <row r="173" spans="2:53">
      <c r="B173" s="635"/>
      <c r="C173" s="483">
        <v>27</v>
      </c>
      <c r="D173" s="483"/>
      <c r="E173" s="483"/>
      <c r="F173" s="483"/>
      <c r="G173" s="491"/>
      <c r="H173" s="611"/>
      <c r="I173" s="487" t="str">
        <f t="shared" si="54"/>
        <v>-</v>
      </c>
      <c r="J173" s="487" t="str">
        <f t="shared" si="54"/>
        <v>-</v>
      </c>
      <c r="K173" s="363" t="str">
        <f t="shared" si="54"/>
        <v>-</v>
      </c>
      <c r="L173" s="615"/>
      <c r="M173" s="365" t="e">
        <f>RANK(K173, K$147:$K$176)</f>
        <v>#VALUE!</v>
      </c>
      <c r="N173" s="624"/>
      <c r="O173" s="624"/>
      <c r="P173" s="483"/>
      <c r="Q173" s="491"/>
      <c r="R173" s="491"/>
      <c r="S173" s="540" t="e">
        <f t="shared" si="55"/>
        <v>#N/A</v>
      </c>
      <c r="T173" s="611"/>
      <c r="U173" s="483"/>
      <c r="V173" s="491"/>
      <c r="W173" s="491"/>
      <c r="X173" s="540" t="e">
        <f t="shared" si="56"/>
        <v>#N/A</v>
      </c>
      <c r="Y173" s="611"/>
      <c r="Z173" s="483"/>
      <c r="AA173" s="491"/>
      <c r="AB173" s="491"/>
      <c r="AC173" s="540" t="e">
        <f t="shared" si="57"/>
        <v>#N/A</v>
      </c>
      <c r="AD173" s="611"/>
      <c r="AE173" s="483"/>
      <c r="AF173" s="491"/>
      <c r="AG173" s="491"/>
      <c r="AH173" s="540" t="e">
        <f t="shared" si="58"/>
        <v>#N/A</v>
      </c>
      <c r="AI173" s="611"/>
      <c r="AJ173" s="483"/>
      <c r="AK173" s="491"/>
      <c r="AL173" s="491"/>
      <c r="AM173" s="540" t="e">
        <f t="shared" si="59"/>
        <v>#N/A</v>
      </c>
      <c r="AN173" s="611"/>
      <c r="AO173" s="483"/>
      <c r="AP173" s="491"/>
      <c r="AQ173" s="491"/>
      <c r="AR173" s="540" t="e">
        <f t="shared" si="60"/>
        <v>#N/A</v>
      </c>
      <c r="AS173" s="611"/>
      <c r="AT173" s="483"/>
      <c r="AU173" s="491"/>
      <c r="AV173" s="491"/>
      <c r="AW173" s="540" t="e">
        <f t="shared" si="61"/>
        <v>#N/A</v>
      </c>
      <c r="AX173" s="611"/>
      <c r="AZ173" s="377" t="e">
        <f t="shared" si="52"/>
        <v>#N/A</v>
      </c>
      <c r="BA173" s="611"/>
    </row>
    <row r="174" spans="2:53">
      <c r="B174" s="635"/>
      <c r="C174" s="483">
        <v>28</v>
      </c>
      <c r="D174" s="483"/>
      <c r="E174" s="483"/>
      <c r="F174" s="483"/>
      <c r="G174" s="483"/>
      <c r="H174" s="611"/>
      <c r="I174" s="487" t="str">
        <f t="shared" si="54"/>
        <v>-</v>
      </c>
      <c r="J174" s="487" t="str">
        <f t="shared" si="54"/>
        <v>-</v>
      </c>
      <c r="K174" s="363" t="str">
        <f t="shared" si="54"/>
        <v>-</v>
      </c>
      <c r="L174" s="615"/>
      <c r="M174" s="365" t="e">
        <f>RANK(K174, K$147:$K$176)</f>
        <v>#VALUE!</v>
      </c>
      <c r="N174" s="624"/>
      <c r="O174" s="624"/>
      <c r="P174" s="483"/>
      <c r="Q174" s="491"/>
      <c r="R174" s="491"/>
      <c r="S174" s="540" t="e">
        <f t="shared" si="55"/>
        <v>#N/A</v>
      </c>
      <c r="T174" s="611"/>
      <c r="U174" s="483"/>
      <c r="V174" s="491"/>
      <c r="W174" s="491"/>
      <c r="X174" s="540" t="e">
        <f t="shared" si="56"/>
        <v>#N/A</v>
      </c>
      <c r="Y174" s="611"/>
      <c r="Z174" s="483"/>
      <c r="AA174" s="491"/>
      <c r="AB174" s="491"/>
      <c r="AC174" s="540" t="e">
        <f t="shared" si="57"/>
        <v>#N/A</v>
      </c>
      <c r="AD174" s="611"/>
      <c r="AE174" s="483"/>
      <c r="AF174" s="491"/>
      <c r="AG174" s="491"/>
      <c r="AH174" s="540" t="e">
        <f t="shared" si="58"/>
        <v>#N/A</v>
      </c>
      <c r="AI174" s="611"/>
      <c r="AJ174" s="483"/>
      <c r="AK174" s="491"/>
      <c r="AL174" s="491"/>
      <c r="AM174" s="540" t="e">
        <f t="shared" si="59"/>
        <v>#N/A</v>
      </c>
      <c r="AN174" s="611"/>
      <c r="AO174" s="483"/>
      <c r="AP174" s="491"/>
      <c r="AQ174" s="491"/>
      <c r="AR174" s="540" t="e">
        <f t="shared" si="60"/>
        <v>#N/A</v>
      </c>
      <c r="AS174" s="611"/>
      <c r="AT174" s="483"/>
      <c r="AU174" s="491"/>
      <c r="AV174" s="491"/>
      <c r="AW174" s="540" t="e">
        <f t="shared" si="61"/>
        <v>#N/A</v>
      </c>
      <c r="AX174" s="611"/>
      <c r="AZ174" s="377" t="e">
        <f t="shared" si="52"/>
        <v>#N/A</v>
      </c>
      <c r="BA174" s="611"/>
    </row>
    <row r="175" spans="2:53">
      <c r="B175" s="635"/>
      <c r="C175" s="483">
        <v>29</v>
      </c>
      <c r="D175" s="483"/>
      <c r="E175" s="483"/>
      <c r="F175" s="483"/>
      <c r="G175" s="483"/>
      <c r="H175" s="611"/>
      <c r="I175" s="487" t="str">
        <f t="shared" si="54"/>
        <v>-</v>
      </c>
      <c r="J175" s="487" t="str">
        <f t="shared" si="54"/>
        <v>-</v>
      </c>
      <c r="K175" s="363" t="str">
        <f t="shared" si="54"/>
        <v>-</v>
      </c>
      <c r="L175" s="615"/>
      <c r="M175" s="365" t="e">
        <f>RANK(K175, K$147:$K$176)</f>
        <v>#VALUE!</v>
      </c>
      <c r="N175" s="624"/>
      <c r="O175" s="624"/>
      <c r="P175" s="483"/>
      <c r="Q175" s="491"/>
      <c r="R175" s="491"/>
      <c r="S175" s="540" t="e">
        <f t="shared" si="55"/>
        <v>#N/A</v>
      </c>
      <c r="T175" s="611"/>
      <c r="U175" s="483"/>
      <c r="V175" s="491"/>
      <c r="W175" s="491"/>
      <c r="X175" s="540" t="e">
        <f t="shared" si="56"/>
        <v>#N/A</v>
      </c>
      <c r="Y175" s="611"/>
      <c r="Z175" s="483"/>
      <c r="AA175" s="491"/>
      <c r="AB175" s="491"/>
      <c r="AC175" s="540" t="e">
        <f t="shared" si="57"/>
        <v>#N/A</v>
      </c>
      <c r="AD175" s="611"/>
      <c r="AE175" s="483"/>
      <c r="AF175" s="491"/>
      <c r="AG175" s="491"/>
      <c r="AH175" s="540" t="e">
        <f t="shared" si="58"/>
        <v>#N/A</v>
      </c>
      <c r="AI175" s="611"/>
      <c r="AJ175" s="483"/>
      <c r="AK175" s="491"/>
      <c r="AL175" s="491"/>
      <c r="AM175" s="540" t="e">
        <f t="shared" si="59"/>
        <v>#N/A</v>
      </c>
      <c r="AN175" s="611"/>
      <c r="AO175" s="483"/>
      <c r="AP175" s="491"/>
      <c r="AQ175" s="491"/>
      <c r="AR175" s="540" t="e">
        <f t="shared" si="60"/>
        <v>#N/A</v>
      </c>
      <c r="AS175" s="611"/>
      <c r="AT175" s="483"/>
      <c r="AU175" s="491"/>
      <c r="AV175" s="491"/>
      <c r="AW175" s="540" t="e">
        <f t="shared" si="61"/>
        <v>#N/A</v>
      </c>
      <c r="AX175" s="611"/>
      <c r="AZ175" s="377" t="e">
        <f t="shared" si="52"/>
        <v>#N/A</v>
      </c>
      <c r="BA175" s="611"/>
    </row>
    <row r="176" spans="2:53">
      <c r="B176" s="635"/>
      <c r="C176" s="483">
        <v>30</v>
      </c>
      <c r="D176" s="483"/>
      <c r="E176" s="483"/>
      <c r="F176" s="483"/>
      <c r="G176" s="483"/>
      <c r="H176" s="612"/>
      <c r="I176" s="487" t="str">
        <f t="shared" si="54"/>
        <v>-</v>
      </c>
      <c r="J176" s="487" t="str">
        <f t="shared" si="54"/>
        <v>-</v>
      </c>
      <c r="K176" s="363" t="str">
        <f t="shared" si="54"/>
        <v>-</v>
      </c>
      <c r="L176" s="616"/>
      <c r="M176" s="365" t="e">
        <f>RANK(K176, K$147:$K$176)</f>
        <v>#VALUE!</v>
      </c>
      <c r="N176" s="624"/>
      <c r="O176" s="624"/>
      <c r="P176" s="483"/>
      <c r="Q176" s="491"/>
      <c r="R176" s="491"/>
      <c r="S176" s="540" t="e">
        <f t="shared" si="55"/>
        <v>#N/A</v>
      </c>
      <c r="T176" s="612"/>
      <c r="U176" s="483"/>
      <c r="V176" s="491"/>
      <c r="W176" s="491"/>
      <c r="X176" s="540" t="e">
        <f t="shared" si="56"/>
        <v>#N/A</v>
      </c>
      <c r="Y176" s="612"/>
      <c r="Z176" s="483"/>
      <c r="AA176" s="491"/>
      <c r="AB176" s="491"/>
      <c r="AC176" s="540" t="e">
        <f t="shared" si="57"/>
        <v>#N/A</v>
      </c>
      <c r="AD176" s="612"/>
      <c r="AE176" s="483"/>
      <c r="AF176" s="491"/>
      <c r="AG176" s="491"/>
      <c r="AH176" s="540" t="e">
        <f t="shared" si="58"/>
        <v>#N/A</v>
      </c>
      <c r="AI176" s="612"/>
      <c r="AJ176" s="483"/>
      <c r="AK176" s="491"/>
      <c r="AL176" s="491"/>
      <c r="AM176" s="540" t="e">
        <f t="shared" si="59"/>
        <v>#N/A</v>
      </c>
      <c r="AN176" s="612"/>
      <c r="AO176" s="483"/>
      <c r="AP176" s="491"/>
      <c r="AQ176" s="491"/>
      <c r="AR176" s="540" t="e">
        <f t="shared" si="60"/>
        <v>#N/A</v>
      </c>
      <c r="AS176" s="612"/>
      <c r="AT176" s="483"/>
      <c r="AU176" s="491"/>
      <c r="AV176" s="491"/>
      <c r="AW176" s="540" t="e">
        <f t="shared" si="61"/>
        <v>#N/A</v>
      </c>
      <c r="AX176" s="612"/>
      <c r="AZ176" s="377" t="e">
        <f t="shared" si="52"/>
        <v>#N/A</v>
      </c>
      <c r="BA176" s="612"/>
    </row>
    <row r="177" spans="2:53" ht="15.75">
      <c r="B177" s="643" t="s">
        <v>496</v>
      </c>
      <c r="C177" s="644"/>
      <c r="D177" s="644"/>
      <c r="E177" s="644"/>
      <c r="F177" s="644"/>
      <c r="G177" s="644"/>
      <c r="H177" s="645"/>
      <c r="I177" s="205"/>
      <c r="J177" s="205"/>
      <c r="K177" s="205"/>
      <c r="L177" s="205"/>
      <c r="M177" s="204"/>
      <c r="N177" s="639" t="s">
        <v>497</v>
      </c>
      <c r="O177" s="639" t="s">
        <v>498</v>
      </c>
      <c r="P177" s="634"/>
      <c r="Q177" s="635"/>
      <c r="R177" s="635"/>
      <c r="S177" s="635"/>
      <c r="T177" s="635"/>
      <c r="U177" s="636"/>
      <c r="V177" s="637"/>
      <c r="W177" s="637"/>
      <c r="X177" s="637"/>
      <c r="Y177" s="638"/>
      <c r="Z177" s="636"/>
      <c r="AA177" s="637"/>
      <c r="AB177" s="637"/>
      <c r="AC177" s="637"/>
      <c r="AD177" s="638"/>
      <c r="AE177" s="636"/>
      <c r="AF177" s="637"/>
      <c r="AG177" s="637"/>
      <c r="AH177" s="637"/>
      <c r="AI177" s="638"/>
      <c r="AJ177" s="636"/>
      <c r="AK177" s="637"/>
      <c r="AL177" s="637"/>
      <c r="AM177" s="637"/>
      <c r="AN177" s="638"/>
      <c r="AO177" s="636"/>
      <c r="AP177" s="637"/>
      <c r="AQ177" s="637"/>
      <c r="AR177" s="637"/>
      <c r="AS177" s="638"/>
      <c r="AT177" s="636"/>
      <c r="AU177" s="637"/>
      <c r="AV177" s="637"/>
      <c r="AW177" s="637"/>
      <c r="AX177" s="638"/>
    </row>
    <row r="178" spans="2:53" ht="15.75">
      <c r="B178" s="646"/>
      <c r="C178" s="646"/>
      <c r="D178" s="646"/>
      <c r="E178" s="646"/>
      <c r="F178" s="646"/>
      <c r="G178" s="646"/>
      <c r="H178" s="646"/>
      <c r="I178" s="202"/>
      <c r="J178" s="202"/>
      <c r="K178" s="202"/>
      <c r="L178" s="202"/>
      <c r="M178" s="203"/>
      <c r="N178" s="641"/>
      <c r="O178" s="641"/>
      <c r="P178" s="634" t="s">
        <v>499</v>
      </c>
      <c r="Q178" s="635"/>
      <c r="R178" s="635"/>
      <c r="S178" s="635"/>
      <c r="T178" s="635"/>
      <c r="U178" s="634" t="s">
        <v>500</v>
      </c>
      <c r="V178" s="635"/>
      <c r="W178" s="635"/>
      <c r="X178" s="635"/>
      <c r="Y178" s="635"/>
      <c r="Z178" s="634" t="s">
        <v>501</v>
      </c>
      <c r="AA178" s="635"/>
      <c r="AB178" s="635"/>
      <c r="AC178" s="635"/>
      <c r="AD178" s="635"/>
      <c r="AE178" s="634" t="s">
        <v>502</v>
      </c>
      <c r="AF178" s="635"/>
      <c r="AG178" s="635"/>
      <c r="AH178" s="635"/>
      <c r="AI178" s="635"/>
      <c r="AJ178" s="634" t="s">
        <v>503</v>
      </c>
      <c r="AK178" s="635"/>
      <c r="AL178" s="635"/>
      <c r="AM178" s="635"/>
      <c r="AN178" s="635"/>
      <c r="AO178" s="634" t="s">
        <v>504</v>
      </c>
      <c r="AP178" s="635"/>
      <c r="AQ178" s="635"/>
      <c r="AR178" s="635"/>
      <c r="AS178" s="635"/>
      <c r="AT178" s="634" t="s">
        <v>505</v>
      </c>
      <c r="AU178" s="635"/>
      <c r="AV178" s="635"/>
      <c r="AW178" s="635"/>
      <c r="AX178" s="635"/>
    </row>
    <row r="179" spans="2:53">
      <c r="B179" s="624" t="s">
        <v>506</v>
      </c>
      <c r="C179" s="624" t="s">
        <v>507</v>
      </c>
      <c r="D179" s="624"/>
      <c r="E179" s="624" t="s">
        <v>508</v>
      </c>
      <c r="F179" s="624"/>
      <c r="G179" s="624"/>
      <c r="H179" s="647" t="s">
        <v>509</v>
      </c>
      <c r="I179" s="624" t="s">
        <v>510</v>
      </c>
      <c r="J179" s="624"/>
      <c r="K179" s="624"/>
      <c r="L179" s="647" t="s">
        <v>509</v>
      </c>
      <c r="M179" s="639" t="s">
        <v>511</v>
      </c>
      <c r="N179" s="624"/>
      <c r="O179" s="624" t="s">
        <v>512</v>
      </c>
      <c r="P179" s="621" t="s">
        <v>513</v>
      </c>
      <c r="Q179" s="622"/>
      <c r="R179" s="622"/>
      <c r="S179" s="623"/>
      <c r="T179" s="624" t="s">
        <v>509</v>
      </c>
      <c r="U179" s="621" t="s">
        <v>513</v>
      </c>
      <c r="V179" s="622"/>
      <c r="W179" s="622"/>
      <c r="X179" s="623"/>
      <c r="Y179" s="624" t="s">
        <v>509</v>
      </c>
      <c r="Z179" s="621" t="s">
        <v>513</v>
      </c>
      <c r="AA179" s="622"/>
      <c r="AB179" s="622"/>
      <c r="AC179" s="623"/>
      <c r="AD179" s="624" t="s">
        <v>509</v>
      </c>
      <c r="AE179" s="621" t="s">
        <v>513</v>
      </c>
      <c r="AF179" s="622"/>
      <c r="AG179" s="622"/>
      <c r="AH179" s="623"/>
      <c r="AI179" s="624" t="s">
        <v>509</v>
      </c>
      <c r="AJ179" s="621" t="s">
        <v>513</v>
      </c>
      <c r="AK179" s="622"/>
      <c r="AL179" s="622"/>
      <c r="AM179" s="623"/>
      <c r="AN179" s="624" t="s">
        <v>509</v>
      </c>
      <c r="AO179" s="621" t="s">
        <v>513</v>
      </c>
      <c r="AP179" s="622"/>
      <c r="AQ179" s="622"/>
      <c r="AR179" s="623"/>
      <c r="AS179" s="624" t="s">
        <v>509</v>
      </c>
      <c r="AT179" s="662" t="s">
        <v>513</v>
      </c>
      <c r="AU179" s="663"/>
      <c r="AV179" s="663"/>
      <c r="AW179" s="664"/>
      <c r="AX179" s="665" t="s">
        <v>509</v>
      </c>
    </row>
    <row r="180" spans="2:53">
      <c r="B180" s="624"/>
      <c r="C180" s="624"/>
      <c r="D180" s="624"/>
      <c r="E180" s="624" t="s">
        <v>514</v>
      </c>
      <c r="F180" s="624"/>
      <c r="G180" s="624"/>
      <c r="H180" s="648"/>
      <c r="I180" s="624" t="s">
        <v>514</v>
      </c>
      <c r="J180" s="624"/>
      <c r="K180" s="624"/>
      <c r="L180" s="648"/>
      <c r="M180" s="640"/>
      <c r="N180" s="624"/>
      <c r="O180" s="624"/>
      <c r="P180" s="621" t="s">
        <v>515</v>
      </c>
      <c r="Q180" s="622"/>
      <c r="R180" s="622"/>
      <c r="S180" s="623"/>
      <c r="T180" s="624"/>
      <c r="U180" s="621" t="s">
        <v>515</v>
      </c>
      <c r="V180" s="622"/>
      <c r="W180" s="622"/>
      <c r="X180" s="623"/>
      <c r="Y180" s="624"/>
      <c r="Z180" s="621" t="s">
        <v>515</v>
      </c>
      <c r="AA180" s="622"/>
      <c r="AB180" s="622"/>
      <c r="AC180" s="623"/>
      <c r="AD180" s="624"/>
      <c r="AE180" s="621" t="s">
        <v>515</v>
      </c>
      <c r="AF180" s="622"/>
      <c r="AG180" s="622"/>
      <c r="AH180" s="623"/>
      <c r="AI180" s="624"/>
      <c r="AJ180" s="621" t="s">
        <v>515</v>
      </c>
      <c r="AK180" s="622"/>
      <c r="AL180" s="622"/>
      <c r="AM180" s="623"/>
      <c r="AN180" s="624"/>
      <c r="AO180" s="621" t="s">
        <v>515</v>
      </c>
      <c r="AP180" s="622"/>
      <c r="AQ180" s="622"/>
      <c r="AR180" s="623"/>
      <c r="AS180" s="624"/>
      <c r="AT180" s="662" t="s">
        <v>515</v>
      </c>
      <c r="AU180" s="663"/>
      <c r="AV180" s="663"/>
      <c r="AW180" s="664"/>
      <c r="AX180" s="665"/>
    </row>
    <row r="181" spans="2:53">
      <c r="B181" s="624"/>
      <c r="C181" s="624"/>
      <c r="D181" s="624"/>
      <c r="E181" s="353" t="s">
        <v>516</v>
      </c>
      <c r="F181" s="353" t="s">
        <v>517</v>
      </c>
      <c r="G181" s="353" t="s">
        <v>518</v>
      </c>
      <c r="H181" s="649"/>
      <c r="I181" s="353" t="s">
        <v>516</v>
      </c>
      <c r="J181" s="353" t="s">
        <v>517</v>
      </c>
      <c r="K181" s="353" t="s">
        <v>518</v>
      </c>
      <c r="L181" s="649"/>
      <c r="M181" s="641"/>
      <c r="N181" s="624"/>
      <c r="O181" s="624"/>
      <c r="P181" s="353" t="s">
        <v>516</v>
      </c>
      <c r="Q181" s="353" t="s">
        <v>517</v>
      </c>
      <c r="R181" s="353" t="s">
        <v>518</v>
      </c>
      <c r="S181" s="353" t="s">
        <v>511</v>
      </c>
      <c r="T181" s="624"/>
      <c r="U181" s="353" t="s">
        <v>516</v>
      </c>
      <c r="V181" s="353" t="s">
        <v>517</v>
      </c>
      <c r="W181" s="353" t="s">
        <v>518</v>
      </c>
      <c r="X181" s="353" t="s">
        <v>511</v>
      </c>
      <c r="Y181" s="624"/>
      <c r="Z181" s="353" t="s">
        <v>516</v>
      </c>
      <c r="AA181" s="353" t="s">
        <v>517</v>
      </c>
      <c r="AB181" s="353" t="s">
        <v>518</v>
      </c>
      <c r="AC181" s="353" t="s">
        <v>511</v>
      </c>
      <c r="AD181" s="624"/>
      <c r="AE181" s="353" t="s">
        <v>516</v>
      </c>
      <c r="AF181" s="353" t="s">
        <v>517</v>
      </c>
      <c r="AG181" s="353" t="s">
        <v>518</v>
      </c>
      <c r="AH181" s="353" t="s">
        <v>511</v>
      </c>
      <c r="AI181" s="624"/>
      <c r="AJ181" s="353" t="s">
        <v>516</v>
      </c>
      <c r="AK181" s="353" t="s">
        <v>517</v>
      </c>
      <c r="AL181" s="353" t="s">
        <v>518</v>
      </c>
      <c r="AM181" s="353" t="s">
        <v>511</v>
      </c>
      <c r="AN181" s="624"/>
      <c r="AO181" s="353" t="s">
        <v>516</v>
      </c>
      <c r="AP181" s="353" t="s">
        <v>517</v>
      </c>
      <c r="AQ181" s="353" t="s">
        <v>518</v>
      </c>
      <c r="AR181" s="353" t="s">
        <v>511</v>
      </c>
      <c r="AS181" s="624"/>
      <c r="AT181" s="357" t="s">
        <v>516</v>
      </c>
      <c r="AU181" s="357" t="s">
        <v>517</v>
      </c>
      <c r="AV181" s="357" t="s">
        <v>518</v>
      </c>
      <c r="AW181" s="357" t="s">
        <v>511</v>
      </c>
      <c r="AX181" s="665"/>
    </row>
    <row r="182" spans="2:53">
      <c r="B182" s="660" t="s">
        <v>519</v>
      </c>
      <c r="C182" s="359">
        <v>1</v>
      </c>
      <c r="D182" s="497"/>
      <c r="E182" s="497"/>
      <c r="F182" s="497"/>
      <c r="G182" s="501"/>
      <c r="H182" s="671" t="e">
        <f>AVERAGE(G182:G211)</f>
        <v>#DIV/0!</v>
      </c>
      <c r="I182" s="379" t="str">
        <f>IFERROR(AVERAGE(P182,U182,Z182,AE182,AJ182,AO182,AT182),"-")</f>
        <v>-</v>
      </c>
      <c r="J182" s="379" t="str">
        <f>IFERROR(AVERAGE(Q182,V182,AA182,AF182,AK182,AP182,AU182),"-")</f>
        <v>-</v>
      </c>
      <c r="K182" s="363" t="str">
        <f>IFERROR(AVERAGE(R182,W182,AB182,AG182,AL182,AQ182,AV182),"-")</f>
        <v>-</v>
      </c>
      <c r="L182" s="614" t="str">
        <f>IFERROR(AVERAGE(K182:K211),"-")</f>
        <v>-</v>
      </c>
      <c r="M182" s="366" t="e">
        <f>RANK(K182, K$182:$K$211)</f>
        <v>#VALUE!</v>
      </c>
      <c r="N182" s="624"/>
      <c r="O182" s="624"/>
      <c r="P182" s="497"/>
      <c r="Q182" s="501"/>
      <c r="R182" s="501"/>
      <c r="S182" s="359" t="e">
        <f>RANK(R182, R$112:R$141)</f>
        <v>#N/A</v>
      </c>
      <c r="T182" s="674" t="e">
        <f>AVERAGE(R182:R211)</f>
        <v>#DIV/0!</v>
      </c>
      <c r="U182" s="182"/>
      <c r="V182" s="182"/>
      <c r="W182" s="182"/>
      <c r="X182" s="359" t="e">
        <f>RANK(W182, W$112:W$141)</f>
        <v>#N/A</v>
      </c>
      <c r="Y182" s="674" t="e">
        <f>AVERAGE(W182:W211)</f>
        <v>#DIV/0!</v>
      </c>
      <c r="Z182" s="182"/>
      <c r="AA182" s="182"/>
      <c r="AB182" s="182"/>
      <c r="AC182" s="359" t="e">
        <f>RANK(AB182, AB$112:AB$141)</f>
        <v>#N/A</v>
      </c>
      <c r="AD182" s="674" t="e">
        <f>AVERAGE(AB182:AB211)</f>
        <v>#DIV/0!</v>
      </c>
      <c r="AE182" s="182"/>
      <c r="AF182" s="182"/>
      <c r="AG182" s="182"/>
      <c r="AH182" s="359" t="e">
        <f>RANK(AG182, AG$112:AG$141)</f>
        <v>#N/A</v>
      </c>
      <c r="AI182" s="674" t="e">
        <f>AVERAGE(AG182:AG211)</f>
        <v>#DIV/0!</v>
      </c>
      <c r="AJ182" s="182"/>
      <c r="AK182" s="182"/>
      <c r="AL182" s="182"/>
      <c r="AM182" s="359" t="e">
        <f>RANK(AL182, AL$112:AL$141)</f>
        <v>#N/A</v>
      </c>
      <c r="AN182" s="674" t="e">
        <f>AVERAGE(AL182:AL211)</f>
        <v>#DIV/0!</v>
      </c>
      <c r="AO182" s="182"/>
      <c r="AP182" s="182"/>
      <c r="AQ182" s="182"/>
      <c r="AR182" s="359" t="e">
        <f>RANK(AQ182, AQ$112:AQ$141)</f>
        <v>#N/A</v>
      </c>
      <c r="AS182" s="674" t="e">
        <f>AVERAGE(AQ182:AQ211)</f>
        <v>#DIV/0!</v>
      </c>
      <c r="AT182" s="182"/>
      <c r="AU182" s="182"/>
      <c r="AV182" s="182"/>
      <c r="AW182" s="367" t="e">
        <f>RANK(AV182, AV$112:AV$141)</f>
        <v>#N/A</v>
      </c>
      <c r="AX182" s="613" t="e">
        <f>AVERAGE(AV182:AV211)</f>
        <v>#DIV/0!</v>
      </c>
      <c r="AZ182" s="367" t="e">
        <f>RANK(AY182, AY$112:AY$141)</f>
        <v>#N/A</v>
      </c>
      <c r="BA182" s="613" t="e">
        <f>AVERAGE(AY182:AY211)</f>
        <v>#DIV/0!</v>
      </c>
    </row>
    <row r="183" spans="2:53">
      <c r="B183" s="661"/>
      <c r="C183" s="359">
        <v>2</v>
      </c>
      <c r="D183" s="498"/>
      <c r="E183" s="497"/>
      <c r="F183" s="497"/>
      <c r="G183" s="501"/>
      <c r="H183" s="672"/>
      <c r="I183" s="379" t="str">
        <f t="shared" ref="I183:I211" si="62">IFERROR(AVERAGE(P183,U183,Z183,AE183,AJ183,AO183,AT183),"-")</f>
        <v>-</v>
      </c>
      <c r="J183" s="379" t="str">
        <f t="shared" ref="J183:J211" si="63">IFERROR(AVERAGE(Q183,V183,AA183,AF183,AK183,AP183,AU183),"-")</f>
        <v>-</v>
      </c>
      <c r="K183" s="363" t="str">
        <f t="shared" ref="K183:K211" si="64">IFERROR(AVERAGE(R183,W183,AB183,AG183,AL183,AQ183,AV183),"-")</f>
        <v>-</v>
      </c>
      <c r="L183" s="615"/>
      <c r="M183" s="366" t="e">
        <f>RANK(K183, K$182:$K$211)</f>
        <v>#VALUE!</v>
      </c>
      <c r="N183" s="624"/>
      <c r="O183" s="624"/>
      <c r="P183" s="497"/>
      <c r="Q183" s="501"/>
      <c r="R183" s="501"/>
      <c r="S183" s="359" t="e">
        <f t="shared" ref="S183:S211" si="65">RANK(R183, R$112:R$141)</f>
        <v>#N/A</v>
      </c>
      <c r="T183" s="674"/>
      <c r="U183" s="182"/>
      <c r="V183" s="182"/>
      <c r="W183" s="182"/>
      <c r="X183" s="359" t="e">
        <f t="shared" ref="X183:X211" si="66">RANK(W183, W$112:W$141)</f>
        <v>#N/A</v>
      </c>
      <c r="Y183" s="674"/>
      <c r="Z183" s="182"/>
      <c r="AA183" s="182"/>
      <c r="AB183" s="182"/>
      <c r="AC183" s="359" t="e">
        <f t="shared" ref="AC183:AC211" si="67">RANK(AB183, AB$112:AB$141)</f>
        <v>#N/A</v>
      </c>
      <c r="AD183" s="674"/>
      <c r="AE183" s="182"/>
      <c r="AF183" s="182"/>
      <c r="AG183" s="182"/>
      <c r="AH183" s="359" t="e">
        <f t="shared" ref="AH183:AH211" si="68">RANK(AG183, AG$112:AG$141)</f>
        <v>#N/A</v>
      </c>
      <c r="AI183" s="674"/>
      <c r="AJ183" s="182"/>
      <c r="AK183" s="182"/>
      <c r="AL183" s="182"/>
      <c r="AM183" s="359" t="e">
        <f t="shared" ref="AM183:AM211" si="69">RANK(AL183, AL$112:AL$141)</f>
        <v>#N/A</v>
      </c>
      <c r="AN183" s="674"/>
      <c r="AO183" s="182"/>
      <c r="AP183" s="182"/>
      <c r="AQ183" s="182"/>
      <c r="AR183" s="359" t="e">
        <f t="shared" ref="AR183:AR211" si="70">RANK(AQ183, AQ$112:AQ$141)</f>
        <v>#N/A</v>
      </c>
      <c r="AS183" s="674"/>
      <c r="AT183" s="182"/>
      <c r="AU183" s="182"/>
      <c r="AV183" s="182"/>
      <c r="AW183" s="367" t="e">
        <f t="shared" ref="AW183:AW211" si="71">RANK(AV183, AV$112:AV$141)</f>
        <v>#N/A</v>
      </c>
      <c r="AX183" s="613"/>
      <c r="AZ183" s="367" t="e">
        <f t="shared" ref="AZ183:AZ211" si="72">RANK(AY183, AY$112:AY$141)</f>
        <v>#N/A</v>
      </c>
      <c r="BA183" s="613"/>
    </row>
    <row r="184" spans="2:53">
      <c r="B184" s="661"/>
      <c r="C184" s="359">
        <v>3</v>
      </c>
      <c r="D184" s="497"/>
      <c r="E184" s="497"/>
      <c r="F184" s="497"/>
      <c r="G184" s="501"/>
      <c r="H184" s="672"/>
      <c r="I184" s="379" t="str">
        <f t="shared" si="62"/>
        <v>-</v>
      </c>
      <c r="J184" s="379" t="str">
        <f t="shared" si="63"/>
        <v>-</v>
      </c>
      <c r="K184" s="363" t="str">
        <f t="shared" si="64"/>
        <v>-</v>
      </c>
      <c r="L184" s="615"/>
      <c r="M184" s="366" t="e">
        <f>RANK(K184, K$182:$K$211)</f>
        <v>#VALUE!</v>
      </c>
      <c r="N184" s="624"/>
      <c r="O184" s="624"/>
      <c r="P184" s="497"/>
      <c r="Q184" s="501"/>
      <c r="R184" s="501"/>
      <c r="S184" s="359" t="e">
        <f t="shared" si="65"/>
        <v>#N/A</v>
      </c>
      <c r="T184" s="674"/>
      <c r="U184" s="182"/>
      <c r="V184" s="182"/>
      <c r="W184" s="182"/>
      <c r="X184" s="359" t="e">
        <f t="shared" si="66"/>
        <v>#N/A</v>
      </c>
      <c r="Y184" s="674"/>
      <c r="Z184" s="182"/>
      <c r="AA184" s="182"/>
      <c r="AB184" s="182"/>
      <c r="AC184" s="359" t="e">
        <f t="shared" si="67"/>
        <v>#N/A</v>
      </c>
      <c r="AD184" s="674"/>
      <c r="AE184" s="182"/>
      <c r="AF184" s="182"/>
      <c r="AG184" s="182"/>
      <c r="AH184" s="359" t="e">
        <f t="shared" si="68"/>
        <v>#N/A</v>
      </c>
      <c r="AI184" s="674"/>
      <c r="AJ184" s="182"/>
      <c r="AK184" s="182"/>
      <c r="AL184" s="182"/>
      <c r="AM184" s="359" t="e">
        <f t="shared" si="69"/>
        <v>#N/A</v>
      </c>
      <c r="AN184" s="674"/>
      <c r="AO184" s="182"/>
      <c r="AP184" s="182"/>
      <c r="AQ184" s="182"/>
      <c r="AR184" s="359" t="e">
        <f t="shared" si="70"/>
        <v>#N/A</v>
      </c>
      <c r="AS184" s="674"/>
      <c r="AT184" s="182"/>
      <c r="AU184" s="182"/>
      <c r="AV184" s="182"/>
      <c r="AW184" s="367" t="e">
        <f t="shared" si="71"/>
        <v>#N/A</v>
      </c>
      <c r="AX184" s="613"/>
      <c r="AZ184" s="367" t="e">
        <f t="shared" si="72"/>
        <v>#N/A</v>
      </c>
      <c r="BA184" s="613"/>
    </row>
    <row r="185" spans="2:53">
      <c r="B185" s="661"/>
      <c r="C185" s="359">
        <v>4</v>
      </c>
      <c r="D185" s="497"/>
      <c r="E185" s="497"/>
      <c r="F185" s="497"/>
      <c r="G185" s="501"/>
      <c r="H185" s="672"/>
      <c r="I185" s="379" t="str">
        <f t="shared" si="62"/>
        <v>-</v>
      </c>
      <c r="J185" s="379" t="str">
        <f t="shared" si="63"/>
        <v>-</v>
      </c>
      <c r="K185" s="363" t="str">
        <f t="shared" si="64"/>
        <v>-</v>
      </c>
      <c r="L185" s="615"/>
      <c r="M185" s="366" t="e">
        <f>RANK(K185, K$182:$K$211)</f>
        <v>#VALUE!</v>
      </c>
      <c r="N185" s="624"/>
      <c r="O185" s="624"/>
      <c r="P185" s="497"/>
      <c r="Q185" s="501"/>
      <c r="R185" s="501"/>
      <c r="S185" s="359" t="e">
        <f t="shared" si="65"/>
        <v>#N/A</v>
      </c>
      <c r="T185" s="674"/>
      <c r="U185" s="182"/>
      <c r="V185" s="182"/>
      <c r="W185" s="182"/>
      <c r="X185" s="359" t="e">
        <f t="shared" si="66"/>
        <v>#N/A</v>
      </c>
      <c r="Y185" s="674"/>
      <c r="Z185" s="182"/>
      <c r="AA185" s="182"/>
      <c r="AB185" s="182"/>
      <c r="AC185" s="359" t="e">
        <f t="shared" si="67"/>
        <v>#N/A</v>
      </c>
      <c r="AD185" s="674"/>
      <c r="AE185" s="182"/>
      <c r="AF185" s="182"/>
      <c r="AG185" s="182"/>
      <c r="AH185" s="359" t="e">
        <f t="shared" si="68"/>
        <v>#N/A</v>
      </c>
      <c r="AI185" s="674"/>
      <c r="AJ185" s="182"/>
      <c r="AK185" s="182"/>
      <c r="AL185" s="182"/>
      <c r="AM185" s="359" t="e">
        <f t="shared" si="69"/>
        <v>#N/A</v>
      </c>
      <c r="AN185" s="674"/>
      <c r="AO185" s="182"/>
      <c r="AP185" s="182"/>
      <c r="AQ185" s="182"/>
      <c r="AR185" s="359" t="e">
        <f t="shared" si="70"/>
        <v>#N/A</v>
      </c>
      <c r="AS185" s="674"/>
      <c r="AT185" s="182"/>
      <c r="AU185" s="182"/>
      <c r="AV185" s="182"/>
      <c r="AW185" s="367" t="e">
        <f t="shared" si="71"/>
        <v>#N/A</v>
      </c>
      <c r="AX185" s="613"/>
      <c r="AZ185" s="367" t="e">
        <f t="shared" si="72"/>
        <v>#N/A</v>
      </c>
      <c r="BA185" s="613"/>
    </row>
    <row r="186" spans="2:53">
      <c r="B186" s="661"/>
      <c r="C186" s="359">
        <v>5</v>
      </c>
      <c r="D186" s="497"/>
      <c r="E186" s="497"/>
      <c r="F186" s="497"/>
      <c r="G186" s="501"/>
      <c r="H186" s="672"/>
      <c r="I186" s="379" t="str">
        <f t="shared" si="62"/>
        <v>-</v>
      </c>
      <c r="J186" s="379" t="str">
        <f t="shared" si="63"/>
        <v>-</v>
      </c>
      <c r="K186" s="363" t="str">
        <f t="shared" si="64"/>
        <v>-</v>
      </c>
      <c r="L186" s="615"/>
      <c r="M186" s="366" t="e">
        <f>RANK(K186, K$182:$K$211)</f>
        <v>#VALUE!</v>
      </c>
      <c r="N186" s="624"/>
      <c r="O186" s="624"/>
      <c r="P186" s="497"/>
      <c r="Q186" s="501"/>
      <c r="R186" s="501"/>
      <c r="S186" s="359" t="e">
        <f t="shared" si="65"/>
        <v>#N/A</v>
      </c>
      <c r="T186" s="674"/>
      <c r="U186" s="182"/>
      <c r="V186" s="182"/>
      <c r="W186" s="182"/>
      <c r="X186" s="359" t="e">
        <f t="shared" si="66"/>
        <v>#N/A</v>
      </c>
      <c r="Y186" s="674"/>
      <c r="Z186" s="182"/>
      <c r="AA186" s="182"/>
      <c r="AB186" s="182"/>
      <c r="AC186" s="359" t="e">
        <f t="shared" si="67"/>
        <v>#N/A</v>
      </c>
      <c r="AD186" s="674"/>
      <c r="AE186" s="182"/>
      <c r="AF186" s="182"/>
      <c r="AG186" s="182"/>
      <c r="AH186" s="359" t="e">
        <f t="shared" si="68"/>
        <v>#N/A</v>
      </c>
      <c r="AI186" s="674"/>
      <c r="AJ186" s="182"/>
      <c r="AK186" s="182"/>
      <c r="AL186" s="182"/>
      <c r="AM186" s="359" t="e">
        <f t="shared" si="69"/>
        <v>#N/A</v>
      </c>
      <c r="AN186" s="674"/>
      <c r="AO186" s="182"/>
      <c r="AP186" s="182"/>
      <c r="AQ186" s="182"/>
      <c r="AR186" s="359" t="e">
        <f t="shared" si="70"/>
        <v>#N/A</v>
      </c>
      <c r="AS186" s="674"/>
      <c r="AT186" s="182"/>
      <c r="AU186" s="182"/>
      <c r="AV186" s="182"/>
      <c r="AW186" s="367" t="e">
        <f t="shared" si="71"/>
        <v>#N/A</v>
      </c>
      <c r="AX186" s="613"/>
      <c r="AZ186" s="367" t="e">
        <f t="shared" si="72"/>
        <v>#N/A</v>
      </c>
      <c r="BA186" s="613"/>
    </row>
    <row r="187" spans="2:53">
      <c r="B187" s="661"/>
      <c r="C187" s="359">
        <v>6</v>
      </c>
      <c r="D187" s="497"/>
      <c r="E187" s="497"/>
      <c r="F187" s="497"/>
      <c r="G187" s="501"/>
      <c r="H187" s="672"/>
      <c r="I187" s="379" t="str">
        <f t="shared" si="62"/>
        <v>-</v>
      </c>
      <c r="J187" s="379" t="str">
        <f t="shared" si="63"/>
        <v>-</v>
      </c>
      <c r="K187" s="363" t="str">
        <f t="shared" si="64"/>
        <v>-</v>
      </c>
      <c r="L187" s="615"/>
      <c r="M187" s="366" t="e">
        <f>RANK(K187, K$182:$K$211)</f>
        <v>#VALUE!</v>
      </c>
      <c r="N187" s="624"/>
      <c r="O187" s="624"/>
      <c r="P187" s="497"/>
      <c r="Q187" s="501"/>
      <c r="R187" s="501"/>
      <c r="S187" s="359" t="e">
        <f t="shared" si="65"/>
        <v>#N/A</v>
      </c>
      <c r="T187" s="674"/>
      <c r="U187" s="182"/>
      <c r="V187" s="182"/>
      <c r="W187" s="182"/>
      <c r="X187" s="359" t="e">
        <f t="shared" si="66"/>
        <v>#N/A</v>
      </c>
      <c r="Y187" s="674"/>
      <c r="Z187" s="182"/>
      <c r="AA187" s="182"/>
      <c r="AB187" s="182"/>
      <c r="AC187" s="359" t="e">
        <f t="shared" si="67"/>
        <v>#N/A</v>
      </c>
      <c r="AD187" s="674"/>
      <c r="AE187" s="182"/>
      <c r="AF187" s="182"/>
      <c r="AG187" s="182"/>
      <c r="AH187" s="359" t="e">
        <f t="shared" si="68"/>
        <v>#N/A</v>
      </c>
      <c r="AI187" s="674"/>
      <c r="AJ187" s="182"/>
      <c r="AK187" s="182"/>
      <c r="AL187" s="182"/>
      <c r="AM187" s="359" t="e">
        <f t="shared" si="69"/>
        <v>#N/A</v>
      </c>
      <c r="AN187" s="674"/>
      <c r="AO187" s="182"/>
      <c r="AP187" s="182"/>
      <c r="AQ187" s="182"/>
      <c r="AR187" s="359" t="e">
        <f t="shared" si="70"/>
        <v>#N/A</v>
      </c>
      <c r="AS187" s="674"/>
      <c r="AT187" s="182"/>
      <c r="AU187" s="182"/>
      <c r="AV187" s="182"/>
      <c r="AW187" s="367" t="e">
        <f t="shared" si="71"/>
        <v>#N/A</v>
      </c>
      <c r="AX187" s="613"/>
      <c r="AZ187" s="367" t="e">
        <f t="shared" si="72"/>
        <v>#N/A</v>
      </c>
      <c r="BA187" s="613"/>
    </row>
    <row r="188" spans="2:53">
      <c r="B188" s="661"/>
      <c r="C188" s="359">
        <v>7</v>
      </c>
      <c r="D188" s="497"/>
      <c r="E188" s="497"/>
      <c r="F188" s="497"/>
      <c r="G188" s="501"/>
      <c r="H188" s="672"/>
      <c r="I188" s="379" t="str">
        <f t="shared" si="62"/>
        <v>-</v>
      </c>
      <c r="J188" s="379" t="str">
        <f t="shared" si="63"/>
        <v>-</v>
      </c>
      <c r="K188" s="363" t="str">
        <f t="shared" si="64"/>
        <v>-</v>
      </c>
      <c r="L188" s="615"/>
      <c r="M188" s="366" t="e">
        <f>RANK(K188, K$182:$K$211)</f>
        <v>#VALUE!</v>
      </c>
      <c r="N188" s="624"/>
      <c r="O188" s="624"/>
      <c r="P188" s="497"/>
      <c r="Q188" s="501"/>
      <c r="R188" s="501"/>
      <c r="S188" s="359" t="e">
        <f t="shared" si="65"/>
        <v>#N/A</v>
      </c>
      <c r="T188" s="674"/>
      <c r="U188" s="182"/>
      <c r="V188" s="182"/>
      <c r="W188" s="182"/>
      <c r="X188" s="359" t="e">
        <f t="shared" si="66"/>
        <v>#N/A</v>
      </c>
      <c r="Y188" s="674"/>
      <c r="Z188" s="182"/>
      <c r="AA188" s="182"/>
      <c r="AB188" s="182"/>
      <c r="AC188" s="359" t="e">
        <f t="shared" si="67"/>
        <v>#N/A</v>
      </c>
      <c r="AD188" s="674"/>
      <c r="AE188" s="182"/>
      <c r="AF188" s="182"/>
      <c r="AG188" s="182"/>
      <c r="AH188" s="359" t="e">
        <f t="shared" si="68"/>
        <v>#N/A</v>
      </c>
      <c r="AI188" s="674"/>
      <c r="AJ188" s="182"/>
      <c r="AK188" s="182"/>
      <c r="AL188" s="182"/>
      <c r="AM188" s="359" t="e">
        <f t="shared" si="69"/>
        <v>#N/A</v>
      </c>
      <c r="AN188" s="674"/>
      <c r="AO188" s="182"/>
      <c r="AP188" s="182"/>
      <c r="AQ188" s="182"/>
      <c r="AR188" s="359" t="e">
        <f t="shared" si="70"/>
        <v>#N/A</v>
      </c>
      <c r="AS188" s="674"/>
      <c r="AT188" s="182"/>
      <c r="AU188" s="182"/>
      <c r="AV188" s="182"/>
      <c r="AW188" s="367" t="e">
        <f t="shared" si="71"/>
        <v>#N/A</v>
      </c>
      <c r="AX188" s="613"/>
      <c r="AZ188" s="367" t="e">
        <f t="shared" si="72"/>
        <v>#N/A</v>
      </c>
      <c r="BA188" s="613"/>
    </row>
    <row r="189" spans="2:53">
      <c r="B189" s="661"/>
      <c r="C189" s="359">
        <v>8</v>
      </c>
      <c r="D189" s="497"/>
      <c r="E189" s="497"/>
      <c r="F189" s="497"/>
      <c r="G189" s="501"/>
      <c r="H189" s="672"/>
      <c r="I189" s="379" t="str">
        <f t="shared" si="62"/>
        <v>-</v>
      </c>
      <c r="J189" s="379" t="str">
        <f t="shared" si="63"/>
        <v>-</v>
      </c>
      <c r="K189" s="363" t="str">
        <f t="shared" si="64"/>
        <v>-</v>
      </c>
      <c r="L189" s="615"/>
      <c r="M189" s="366" t="e">
        <f>RANK(K189, K$182:$K$211)</f>
        <v>#VALUE!</v>
      </c>
      <c r="N189" s="624"/>
      <c r="O189" s="624"/>
      <c r="P189" s="497"/>
      <c r="Q189" s="501"/>
      <c r="R189" s="501"/>
      <c r="S189" s="359" t="e">
        <f t="shared" si="65"/>
        <v>#N/A</v>
      </c>
      <c r="T189" s="674"/>
      <c r="U189" s="182"/>
      <c r="V189" s="182"/>
      <c r="W189" s="182"/>
      <c r="X189" s="359" t="e">
        <f t="shared" si="66"/>
        <v>#N/A</v>
      </c>
      <c r="Y189" s="674"/>
      <c r="Z189" s="182"/>
      <c r="AA189" s="182"/>
      <c r="AB189" s="182"/>
      <c r="AC189" s="359" t="e">
        <f t="shared" si="67"/>
        <v>#N/A</v>
      </c>
      <c r="AD189" s="674"/>
      <c r="AE189" s="182"/>
      <c r="AF189" s="182"/>
      <c r="AG189" s="182"/>
      <c r="AH189" s="359" t="e">
        <f t="shared" si="68"/>
        <v>#N/A</v>
      </c>
      <c r="AI189" s="674"/>
      <c r="AJ189" s="182"/>
      <c r="AK189" s="182"/>
      <c r="AL189" s="182"/>
      <c r="AM189" s="359" t="e">
        <f t="shared" si="69"/>
        <v>#N/A</v>
      </c>
      <c r="AN189" s="674"/>
      <c r="AO189" s="182"/>
      <c r="AP189" s="182"/>
      <c r="AQ189" s="182"/>
      <c r="AR189" s="359" t="e">
        <f t="shared" si="70"/>
        <v>#N/A</v>
      </c>
      <c r="AS189" s="674"/>
      <c r="AT189" s="182"/>
      <c r="AU189" s="182"/>
      <c r="AV189" s="182"/>
      <c r="AW189" s="367" t="e">
        <f t="shared" si="71"/>
        <v>#N/A</v>
      </c>
      <c r="AX189" s="613"/>
      <c r="AZ189" s="367" t="e">
        <f t="shared" si="72"/>
        <v>#N/A</v>
      </c>
      <c r="BA189" s="613"/>
    </row>
    <row r="190" spans="2:53">
      <c r="B190" s="661"/>
      <c r="C190" s="359">
        <v>9</v>
      </c>
      <c r="D190" s="497"/>
      <c r="E190" s="497"/>
      <c r="F190" s="497"/>
      <c r="G190" s="501"/>
      <c r="H190" s="672"/>
      <c r="I190" s="379" t="str">
        <f t="shared" si="62"/>
        <v>-</v>
      </c>
      <c r="J190" s="379" t="str">
        <f t="shared" si="63"/>
        <v>-</v>
      </c>
      <c r="K190" s="363" t="str">
        <f t="shared" si="64"/>
        <v>-</v>
      </c>
      <c r="L190" s="615"/>
      <c r="M190" s="366" t="e">
        <f>RANK(K190, K$182:$K$211)</f>
        <v>#VALUE!</v>
      </c>
      <c r="N190" s="624"/>
      <c r="O190" s="624"/>
      <c r="P190" s="497"/>
      <c r="Q190" s="501"/>
      <c r="R190" s="501"/>
      <c r="S190" s="359" t="e">
        <f t="shared" si="65"/>
        <v>#N/A</v>
      </c>
      <c r="T190" s="674"/>
      <c r="U190" s="182"/>
      <c r="V190" s="182"/>
      <c r="W190" s="182"/>
      <c r="X190" s="359" t="e">
        <f t="shared" si="66"/>
        <v>#N/A</v>
      </c>
      <c r="Y190" s="674"/>
      <c r="Z190" s="182"/>
      <c r="AA190" s="182"/>
      <c r="AB190" s="182"/>
      <c r="AC190" s="359" t="e">
        <f t="shared" si="67"/>
        <v>#N/A</v>
      </c>
      <c r="AD190" s="674"/>
      <c r="AE190" s="182"/>
      <c r="AF190" s="182"/>
      <c r="AG190" s="182"/>
      <c r="AH190" s="359" t="e">
        <f t="shared" si="68"/>
        <v>#N/A</v>
      </c>
      <c r="AI190" s="674"/>
      <c r="AJ190" s="182"/>
      <c r="AK190" s="182"/>
      <c r="AL190" s="182"/>
      <c r="AM190" s="359" t="e">
        <f t="shared" si="69"/>
        <v>#N/A</v>
      </c>
      <c r="AN190" s="674"/>
      <c r="AO190" s="182"/>
      <c r="AP190" s="182"/>
      <c r="AQ190" s="182"/>
      <c r="AR190" s="359" t="e">
        <f t="shared" si="70"/>
        <v>#N/A</v>
      </c>
      <c r="AS190" s="674"/>
      <c r="AT190" s="182"/>
      <c r="AU190" s="182"/>
      <c r="AV190" s="182"/>
      <c r="AW190" s="367" t="e">
        <f t="shared" si="71"/>
        <v>#N/A</v>
      </c>
      <c r="AX190" s="613"/>
      <c r="AZ190" s="367" t="e">
        <f t="shared" si="72"/>
        <v>#N/A</v>
      </c>
      <c r="BA190" s="613"/>
    </row>
    <row r="191" spans="2:53">
      <c r="B191" s="661"/>
      <c r="C191" s="359">
        <v>10</v>
      </c>
      <c r="D191" s="497"/>
      <c r="E191" s="497"/>
      <c r="F191" s="497"/>
      <c r="G191" s="501"/>
      <c r="H191" s="672"/>
      <c r="I191" s="379" t="str">
        <f t="shared" si="62"/>
        <v>-</v>
      </c>
      <c r="J191" s="379" t="str">
        <f t="shared" si="63"/>
        <v>-</v>
      </c>
      <c r="K191" s="363" t="str">
        <f t="shared" si="64"/>
        <v>-</v>
      </c>
      <c r="L191" s="615"/>
      <c r="M191" s="366" t="e">
        <f>RANK(K191, K$182:$K$211)</f>
        <v>#VALUE!</v>
      </c>
      <c r="N191" s="624"/>
      <c r="O191" s="624"/>
      <c r="P191" s="497"/>
      <c r="Q191" s="501"/>
      <c r="R191" s="501"/>
      <c r="S191" s="359" t="e">
        <f t="shared" si="65"/>
        <v>#N/A</v>
      </c>
      <c r="T191" s="674"/>
      <c r="U191" s="182"/>
      <c r="V191" s="182"/>
      <c r="W191" s="182"/>
      <c r="X191" s="359" t="e">
        <f t="shared" si="66"/>
        <v>#N/A</v>
      </c>
      <c r="Y191" s="674"/>
      <c r="Z191" s="182"/>
      <c r="AA191" s="182"/>
      <c r="AB191" s="182"/>
      <c r="AC191" s="359" t="e">
        <f t="shared" si="67"/>
        <v>#N/A</v>
      </c>
      <c r="AD191" s="674"/>
      <c r="AE191" s="182"/>
      <c r="AF191" s="182"/>
      <c r="AG191" s="182"/>
      <c r="AH191" s="359" t="e">
        <f t="shared" si="68"/>
        <v>#N/A</v>
      </c>
      <c r="AI191" s="674"/>
      <c r="AJ191" s="182"/>
      <c r="AK191" s="182"/>
      <c r="AL191" s="182"/>
      <c r="AM191" s="359" t="e">
        <f t="shared" si="69"/>
        <v>#N/A</v>
      </c>
      <c r="AN191" s="674"/>
      <c r="AO191" s="182"/>
      <c r="AP191" s="182"/>
      <c r="AQ191" s="182"/>
      <c r="AR191" s="359" t="e">
        <f t="shared" si="70"/>
        <v>#N/A</v>
      </c>
      <c r="AS191" s="674"/>
      <c r="AT191" s="182"/>
      <c r="AU191" s="182"/>
      <c r="AV191" s="182"/>
      <c r="AW191" s="367" t="e">
        <f t="shared" si="71"/>
        <v>#N/A</v>
      </c>
      <c r="AX191" s="613"/>
      <c r="AZ191" s="367" t="e">
        <f t="shared" si="72"/>
        <v>#N/A</v>
      </c>
      <c r="BA191" s="613"/>
    </row>
    <row r="192" spans="2:53">
      <c r="B192" s="661"/>
      <c r="C192" s="359">
        <v>11</v>
      </c>
      <c r="D192" s="497"/>
      <c r="E192" s="497"/>
      <c r="F192" s="497"/>
      <c r="G192" s="501"/>
      <c r="H192" s="672"/>
      <c r="I192" s="379" t="str">
        <f t="shared" si="62"/>
        <v>-</v>
      </c>
      <c r="J192" s="379" t="str">
        <f t="shared" si="63"/>
        <v>-</v>
      </c>
      <c r="K192" s="363" t="str">
        <f t="shared" si="64"/>
        <v>-</v>
      </c>
      <c r="L192" s="615"/>
      <c r="M192" s="366" t="e">
        <f>RANK(K192, K$182:$K$211)</f>
        <v>#VALUE!</v>
      </c>
      <c r="N192" s="624"/>
      <c r="O192" s="624"/>
      <c r="P192" s="497"/>
      <c r="Q192" s="501"/>
      <c r="R192" s="501"/>
      <c r="S192" s="359" t="e">
        <f t="shared" si="65"/>
        <v>#N/A</v>
      </c>
      <c r="T192" s="674"/>
      <c r="U192" s="182"/>
      <c r="V192" s="182"/>
      <c r="W192" s="182"/>
      <c r="X192" s="359" t="e">
        <f t="shared" si="66"/>
        <v>#N/A</v>
      </c>
      <c r="Y192" s="674"/>
      <c r="Z192" s="182"/>
      <c r="AA192" s="182"/>
      <c r="AB192" s="182"/>
      <c r="AC192" s="359" t="e">
        <f t="shared" si="67"/>
        <v>#N/A</v>
      </c>
      <c r="AD192" s="674"/>
      <c r="AE192" s="182"/>
      <c r="AF192" s="182"/>
      <c r="AG192" s="182"/>
      <c r="AH192" s="359" t="e">
        <f t="shared" si="68"/>
        <v>#N/A</v>
      </c>
      <c r="AI192" s="674"/>
      <c r="AJ192" s="182"/>
      <c r="AK192" s="182"/>
      <c r="AL192" s="182"/>
      <c r="AM192" s="359" t="e">
        <f t="shared" si="69"/>
        <v>#N/A</v>
      </c>
      <c r="AN192" s="674"/>
      <c r="AO192" s="182"/>
      <c r="AP192" s="182"/>
      <c r="AQ192" s="182"/>
      <c r="AR192" s="359" t="e">
        <f t="shared" si="70"/>
        <v>#N/A</v>
      </c>
      <c r="AS192" s="674"/>
      <c r="AT192" s="182"/>
      <c r="AU192" s="182"/>
      <c r="AV192" s="182"/>
      <c r="AW192" s="367" t="e">
        <f t="shared" si="71"/>
        <v>#N/A</v>
      </c>
      <c r="AX192" s="613"/>
      <c r="AZ192" s="367" t="e">
        <f t="shared" si="72"/>
        <v>#N/A</v>
      </c>
      <c r="BA192" s="613"/>
    </row>
    <row r="193" spans="2:53">
      <c r="B193" s="661"/>
      <c r="C193" s="359">
        <v>12</v>
      </c>
      <c r="D193" s="498"/>
      <c r="E193" s="497"/>
      <c r="F193" s="497"/>
      <c r="G193" s="501"/>
      <c r="H193" s="672"/>
      <c r="I193" s="379" t="str">
        <f t="shared" si="62"/>
        <v>-</v>
      </c>
      <c r="J193" s="379" t="str">
        <f t="shared" si="63"/>
        <v>-</v>
      </c>
      <c r="K193" s="363" t="str">
        <f t="shared" si="64"/>
        <v>-</v>
      </c>
      <c r="L193" s="615"/>
      <c r="M193" s="366" t="e">
        <f>RANK(K193, K$182:$K$211)</f>
        <v>#VALUE!</v>
      </c>
      <c r="N193" s="624"/>
      <c r="O193" s="624"/>
      <c r="P193" s="497"/>
      <c r="Q193" s="501"/>
      <c r="R193" s="501"/>
      <c r="S193" s="359" t="e">
        <f t="shared" si="65"/>
        <v>#N/A</v>
      </c>
      <c r="T193" s="674"/>
      <c r="U193" s="182"/>
      <c r="V193" s="182"/>
      <c r="W193" s="182"/>
      <c r="X193" s="359" t="e">
        <f t="shared" si="66"/>
        <v>#N/A</v>
      </c>
      <c r="Y193" s="674"/>
      <c r="Z193" s="182"/>
      <c r="AA193" s="182"/>
      <c r="AB193" s="182"/>
      <c r="AC193" s="359" t="e">
        <f t="shared" si="67"/>
        <v>#N/A</v>
      </c>
      <c r="AD193" s="674"/>
      <c r="AE193" s="182"/>
      <c r="AF193" s="182"/>
      <c r="AG193" s="182"/>
      <c r="AH193" s="359" t="e">
        <f t="shared" si="68"/>
        <v>#N/A</v>
      </c>
      <c r="AI193" s="674"/>
      <c r="AJ193" s="182"/>
      <c r="AK193" s="182"/>
      <c r="AL193" s="182"/>
      <c r="AM193" s="359" t="e">
        <f t="shared" si="69"/>
        <v>#N/A</v>
      </c>
      <c r="AN193" s="674"/>
      <c r="AO193" s="182"/>
      <c r="AP193" s="182"/>
      <c r="AQ193" s="182"/>
      <c r="AR193" s="359" t="e">
        <f t="shared" si="70"/>
        <v>#N/A</v>
      </c>
      <c r="AS193" s="674"/>
      <c r="AT193" s="182"/>
      <c r="AU193" s="182"/>
      <c r="AV193" s="182"/>
      <c r="AW193" s="367" t="e">
        <f t="shared" si="71"/>
        <v>#N/A</v>
      </c>
      <c r="AX193" s="613"/>
      <c r="AZ193" s="367" t="e">
        <f t="shared" si="72"/>
        <v>#N/A</v>
      </c>
      <c r="BA193" s="613"/>
    </row>
    <row r="194" spans="2:53">
      <c r="B194" s="661"/>
      <c r="C194" s="359">
        <v>13</v>
      </c>
      <c r="D194" s="497"/>
      <c r="E194" s="497"/>
      <c r="F194" s="497"/>
      <c r="G194" s="501"/>
      <c r="H194" s="672"/>
      <c r="I194" s="379" t="str">
        <f t="shared" si="62"/>
        <v>-</v>
      </c>
      <c r="J194" s="379" t="str">
        <f t="shared" si="63"/>
        <v>-</v>
      </c>
      <c r="K194" s="363" t="str">
        <f t="shared" si="64"/>
        <v>-</v>
      </c>
      <c r="L194" s="615"/>
      <c r="M194" s="366" t="e">
        <f>RANK(K194, K$182:$K$211)</f>
        <v>#VALUE!</v>
      </c>
      <c r="N194" s="624"/>
      <c r="O194" s="624"/>
      <c r="P194" s="497"/>
      <c r="Q194" s="501"/>
      <c r="R194" s="501"/>
      <c r="S194" s="359" t="e">
        <f t="shared" si="65"/>
        <v>#N/A</v>
      </c>
      <c r="T194" s="674"/>
      <c r="U194" s="182"/>
      <c r="V194" s="182"/>
      <c r="W194" s="182"/>
      <c r="X194" s="359" t="e">
        <f t="shared" si="66"/>
        <v>#N/A</v>
      </c>
      <c r="Y194" s="674"/>
      <c r="Z194" s="182"/>
      <c r="AA194" s="182"/>
      <c r="AB194" s="182"/>
      <c r="AC194" s="359" t="e">
        <f t="shared" si="67"/>
        <v>#N/A</v>
      </c>
      <c r="AD194" s="674"/>
      <c r="AE194" s="182"/>
      <c r="AF194" s="182"/>
      <c r="AG194" s="182"/>
      <c r="AH194" s="359" t="e">
        <f t="shared" si="68"/>
        <v>#N/A</v>
      </c>
      <c r="AI194" s="674"/>
      <c r="AJ194" s="182"/>
      <c r="AK194" s="182"/>
      <c r="AL194" s="182"/>
      <c r="AM194" s="359" t="e">
        <f t="shared" si="69"/>
        <v>#N/A</v>
      </c>
      <c r="AN194" s="674"/>
      <c r="AO194" s="182"/>
      <c r="AP194" s="182"/>
      <c r="AQ194" s="182"/>
      <c r="AR194" s="359" t="e">
        <f t="shared" si="70"/>
        <v>#N/A</v>
      </c>
      <c r="AS194" s="674"/>
      <c r="AT194" s="182"/>
      <c r="AU194" s="182"/>
      <c r="AV194" s="182"/>
      <c r="AW194" s="367" t="e">
        <f t="shared" si="71"/>
        <v>#N/A</v>
      </c>
      <c r="AX194" s="613"/>
      <c r="AZ194" s="367" t="e">
        <f t="shared" si="72"/>
        <v>#N/A</v>
      </c>
      <c r="BA194" s="613"/>
    </row>
    <row r="195" spans="2:53">
      <c r="B195" s="661"/>
      <c r="C195" s="359">
        <v>14</v>
      </c>
      <c r="D195" s="497"/>
      <c r="E195" s="497"/>
      <c r="F195" s="497"/>
      <c r="G195" s="501"/>
      <c r="H195" s="672"/>
      <c r="I195" s="379" t="str">
        <f t="shared" si="62"/>
        <v>-</v>
      </c>
      <c r="J195" s="379" t="str">
        <f t="shared" si="63"/>
        <v>-</v>
      </c>
      <c r="K195" s="363" t="str">
        <f t="shared" si="64"/>
        <v>-</v>
      </c>
      <c r="L195" s="615"/>
      <c r="M195" s="366" t="e">
        <f>RANK(K195, K$182:$K$211)</f>
        <v>#VALUE!</v>
      </c>
      <c r="N195" s="624"/>
      <c r="O195" s="624"/>
      <c r="P195" s="497"/>
      <c r="Q195" s="501"/>
      <c r="R195" s="501"/>
      <c r="S195" s="359" t="e">
        <f t="shared" si="65"/>
        <v>#N/A</v>
      </c>
      <c r="T195" s="674"/>
      <c r="U195" s="182"/>
      <c r="V195" s="182"/>
      <c r="W195" s="182"/>
      <c r="X195" s="359" t="e">
        <f t="shared" si="66"/>
        <v>#N/A</v>
      </c>
      <c r="Y195" s="674"/>
      <c r="Z195" s="182"/>
      <c r="AA195" s="182"/>
      <c r="AB195" s="182"/>
      <c r="AC195" s="359" t="e">
        <f t="shared" si="67"/>
        <v>#N/A</v>
      </c>
      <c r="AD195" s="674"/>
      <c r="AE195" s="182"/>
      <c r="AF195" s="182"/>
      <c r="AG195" s="182"/>
      <c r="AH195" s="359" t="e">
        <f t="shared" si="68"/>
        <v>#N/A</v>
      </c>
      <c r="AI195" s="674"/>
      <c r="AJ195" s="182"/>
      <c r="AK195" s="182"/>
      <c r="AL195" s="182"/>
      <c r="AM195" s="359" t="e">
        <f t="shared" si="69"/>
        <v>#N/A</v>
      </c>
      <c r="AN195" s="674"/>
      <c r="AO195" s="182"/>
      <c r="AP195" s="182"/>
      <c r="AQ195" s="182"/>
      <c r="AR195" s="359" t="e">
        <f t="shared" si="70"/>
        <v>#N/A</v>
      </c>
      <c r="AS195" s="674"/>
      <c r="AT195" s="182"/>
      <c r="AU195" s="182"/>
      <c r="AV195" s="182"/>
      <c r="AW195" s="367" t="e">
        <f t="shared" si="71"/>
        <v>#N/A</v>
      </c>
      <c r="AX195" s="613"/>
      <c r="AZ195" s="367" t="e">
        <f t="shared" si="72"/>
        <v>#N/A</v>
      </c>
      <c r="BA195" s="613"/>
    </row>
    <row r="196" spans="2:53">
      <c r="B196" s="661"/>
      <c r="C196" s="359">
        <v>15</v>
      </c>
      <c r="D196" s="498"/>
      <c r="E196" s="497"/>
      <c r="F196" s="497"/>
      <c r="G196" s="501"/>
      <c r="H196" s="672"/>
      <c r="I196" s="379" t="str">
        <f t="shared" si="62"/>
        <v>-</v>
      </c>
      <c r="J196" s="379" t="str">
        <f t="shared" si="63"/>
        <v>-</v>
      </c>
      <c r="K196" s="363" t="str">
        <f t="shared" si="64"/>
        <v>-</v>
      </c>
      <c r="L196" s="615"/>
      <c r="M196" s="366" t="e">
        <f>RANK(K196, K$182:$K$211)</f>
        <v>#VALUE!</v>
      </c>
      <c r="N196" s="624"/>
      <c r="O196" s="624"/>
      <c r="P196" s="497"/>
      <c r="Q196" s="501"/>
      <c r="R196" s="501"/>
      <c r="S196" s="359" t="e">
        <f t="shared" si="65"/>
        <v>#N/A</v>
      </c>
      <c r="T196" s="674"/>
      <c r="U196" s="182"/>
      <c r="V196" s="182"/>
      <c r="W196" s="182"/>
      <c r="X196" s="359" t="e">
        <f t="shared" si="66"/>
        <v>#N/A</v>
      </c>
      <c r="Y196" s="674"/>
      <c r="Z196" s="182"/>
      <c r="AA196" s="182"/>
      <c r="AB196" s="182"/>
      <c r="AC196" s="359" t="e">
        <f t="shared" si="67"/>
        <v>#N/A</v>
      </c>
      <c r="AD196" s="674"/>
      <c r="AE196" s="182"/>
      <c r="AF196" s="182"/>
      <c r="AG196" s="182"/>
      <c r="AH196" s="359" t="e">
        <f t="shared" si="68"/>
        <v>#N/A</v>
      </c>
      <c r="AI196" s="674"/>
      <c r="AJ196" s="182"/>
      <c r="AK196" s="182"/>
      <c r="AL196" s="182"/>
      <c r="AM196" s="359" t="e">
        <f t="shared" si="69"/>
        <v>#N/A</v>
      </c>
      <c r="AN196" s="674"/>
      <c r="AO196" s="182"/>
      <c r="AP196" s="182"/>
      <c r="AQ196" s="182"/>
      <c r="AR196" s="359" t="e">
        <f t="shared" si="70"/>
        <v>#N/A</v>
      </c>
      <c r="AS196" s="674"/>
      <c r="AT196" s="182"/>
      <c r="AU196" s="182"/>
      <c r="AV196" s="182"/>
      <c r="AW196" s="367" t="e">
        <f t="shared" si="71"/>
        <v>#N/A</v>
      </c>
      <c r="AX196" s="613"/>
      <c r="AZ196" s="367" t="e">
        <f t="shared" si="72"/>
        <v>#N/A</v>
      </c>
      <c r="BA196" s="613"/>
    </row>
    <row r="197" spans="2:53">
      <c r="B197" s="661"/>
      <c r="C197" s="359">
        <v>16</v>
      </c>
      <c r="D197" s="497"/>
      <c r="E197" s="497"/>
      <c r="F197" s="497"/>
      <c r="G197" s="501"/>
      <c r="H197" s="672"/>
      <c r="I197" s="379" t="str">
        <f t="shared" si="62"/>
        <v>-</v>
      </c>
      <c r="J197" s="379" t="str">
        <f t="shared" si="63"/>
        <v>-</v>
      </c>
      <c r="K197" s="363" t="str">
        <f t="shared" si="64"/>
        <v>-</v>
      </c>
      <c r="L197" s="615"/>
      <c r="M197" s="366" t="e">
        <f>RANK(K197, K$182:$K$211)</f>
        <v>#VALUE!</v>
      </c>
      <c r="N197" s="624"/>
      <c r="O197" s="624"/>
      <c r="P197" s="497"/>
      <c r="Q197" s="501"/>
      <c r="R197" s="501"/>
      <c r="S197" s="359" t="e">
        <f t="shared" si="65"/>
        <v>#N/A</v>
      </c>
      <c r="T197" s="674"/>
      <c r="U197" s="182"/>
      <c r="V197" s="182"/>
      <c r="W197" s="182"/>
      <c r="X197" s="359" t="e">
        <f t="shared" si="66"/>
        <v>#N/A</v>
      </c>
      <c r="Y197" s="674"/>
      <c r="Z197" s="182"/>
      <c r="AA197" s="182"/>
      <c r="AB197" s="182"/>
      <c r="AC197" s="359" t="e">
        <f t="shared" si="67"/>
        <v>#N/A</v>
      </c>
      <c r="AD197" s="674"/>
      <c r="AE197" s="182"/>
      <c r="AF197" s="182"/>
      <c r="AG197" s="182"/>
      <c r="AH197" s="359" t="e">
        <f t="shared" si="68"/>
        <v>#N/A</v>
      </c>
      <c r="AI197" s="674"/>
      <c r="AJ197" s="182"/>
      <c r="AK197" s="182"/>
      <c r="AL197" s="182"/>
      <c r="AM197" s="359" t="e">
        <f t="shared" si="69"/>
        <v>#N/A</v>
      </c>
      <c r="AN197" s="674"/>
      <c r="AO197" s="182"/>
      <c r="AP197" s="182"/>
      <c r="AQ197" s="182"/>
      <c r="AR197" s="359" t="e">
        <f t="shared" si="70"/>
        <v>#N/A</v>
      </c>
      <c r="AS197" s="674"/>
      <c r="AT197" s="182"/>
      <c r="AU197" s="182"/>
      <c r="AV197" s="182"/>
      <c r="AW197" s="367" t="e">
        <f t="shared" si="71"/>
        <v>#N/A</v>
      </c>
      <c r="AX197" s="613"/>
      <c r="AZ197" s="367" t="e">
        <f t="shared" si="72"/>
        <v>#N/A</v>
      </c>
      <c r="BA197" s="613"/>
    </row>
    <row r="198" spans="2:53">
      <c r="B198" s="661"/>
      <c r="C198" s="359">
        <v>17</v>
      </c>
      <c r="D198" s="497"/>
      <c r="E198" s="497"/>
      <c r="F198" s="497"/>
      <c r="G198" s="501"/>
      <c r="H198" s="672"/>
      <c r="I198" s="379" t="str">
        <f t="shared" si="62"/>
        <v>-</v>
      </c>
      <c r="J198" s="379" t="str">
        <f t="shared" si="63"/>
        <v>-</v>
      </c>
      <c r="K198" s="363" t="str">
        <f t="shared" si="64"/>
        <v>-</v>
      </c>
      <c r="L198" s="615"/>
      <c r="M198" s="366" t="e">
        <f>RANK(K198, K$182:$K$211)</f>
        <v>#VALUE!</v>
      </c>
      <c r="N198" s="624"/>
      <c r="O198" s="624"/>
      <c r="P198" s="497"/>
      <c r="Q198" s="501"/>
      <c r="R198" s="501"/>
      <c r="S198" s="359" t="e">
        <f t="shared" si="65"/>
        <v>#N/A</v>
      </c>
      <c r="T198" s="674"/>
      <c r="U198" s="182"/>
      <c r="V198" s="182"/>
      <c r="W198" s="182"/>
      <c r="X198" s="359" t="e">
        <f t="shared" si="66"/>
        <v>#N/A</v>
      </c>
      <c r="Y198" s="674"/>
      <c r="Z198" s="182"/>
      <c r="AA198" s="182"/>
      <c r="AB198" s="182"/>
      <c r="AC198" s="359" t="e">
        <f t="shared" si="67"/>
        <v>#N/A</v>
      </c>
      <c r="AD198" s="674"/>
      <c r="AE198" s="182"/>
      <c r="AF198" s="182"/>
      <c r="AG198" s="182"/>
      <c r="AH198" s="359" t="e">
        <f t="shared" si="68"/>
        <v>#N/A</v>
      </c>
      <c r="AI198" s="674"/>
      <c r="AJ198" s="182"/>
      <c r="AK198" s="182"/>
      <c r="AL198" s="182"/>
      <c r="AM198" s="359" t="e">
        <f t="shared" si="69"/>
        <v>#N/A</v>
      </c>
      <c r="AN198" s="674"/>
      <c r="AO198" s="182"/>
      <c r="AP198" s="182"/>
      <c r="AQ198" s="182"/>
      <c r="AR198" s="359" t="e">
        <f t="shared" si="70"/>
        <v>#N/A</v>
      </c>
      <c r="AS198" s="674"/>
      <c r="AT198" s="182"/>
      <c r="AU198" s="182"/>
      <c r="AV198" s="182"/>
      <c r="AW198" s="367" t="e">
        <f t="shared" si="71"/>
        <v>#N/A</v>
      </c>
      <c r="AX198" s="613"/>
      <c r="AZ198" s="367" t="e">
        <f t="shared" si="72"/>
        <v>#N/A</v>
      </c>
      <c r="BA198" s="613"/>
    </row>
    <row r="199" spans="2:53">
      <c r="B199" s="661"/>
      <c r="C199" s="359">
        <v>18</v>
      </c>
      <c r="D199" s="499"/>
      <c r="E199" s="497"/>
      <c r="F199" s="497"/>
      <c r="G199" s="501"/>
      <c r="H199" s="672"/>
      <c r="I199" s="379" t="str">
        <f t="shared" si="62"/>
        <v>-</v>
      </c>
      <c r="J199" s="379" t="str">
        <f t="shared" si="63"/>
        <v>-</v>
      </c>
      <c r="K199" s="363" t="str">
        <f t="shared" si="64"/>
        <v>-</v>
      </c>
      <c r="L199" s="615"/>
      <c r="M199" s="366" t="e">
        <f>RANK(K199, K$182:$K$211)</f>
        <v>#VALUE!</v>
      </c>
      <c r="N199" s="624"/>
      <c r="O199" s="624"/>
      <c r="P199" s="497"/>
      <c r="Q199" s="501"/>
      <c r="R199" s="501"/>
      <c r="S199" s="359" t="e">
        <f t="shared" si="65"/>
        <v>#N/A</v>
      </c>
      <c r="T199" s="674"/>
      <c r="U199" s="182"/>
      <c r="V199" s="182"/>
      <c r="W199" s="182"/>
      <c r="X199" s="359" t="e">
        <f t="shared" si="66"/>
        <v>#N/A</v>
      </c>
      <c r="Y199" s="674"/>
      <c r="Z199" s="182"/>
      <c r="AA199" s="182"/>
      <c r="AB199" s="182"/>
      <c r="AC199" s="359" t="e">
        <f t="shared" si="67"/>
        <v>#N/A</v>
      </c>
      <c r="AD199" s="674"/>
      <c r="AE199" s="182"/>
      <c r="AF199" s="182"/>
      <c r="AG199" s="182"/>
      <c r="AH199" s="359" t="e">
        <f t="shared" si="68"/>
        <v>#N/A</v>
      </c>
      <c r="AI199" s="674"/>
      <c r="AJ199" s="182"/>
      <c r="AK199" s="182"/>
      <c r="AL199" s="182"/>
      <c r="AM199" s="359" t="e">
        <f t="shared" si="69"/>
        <v>#N/A</v>
      </c>
      <c r="AN199" s="674"/>
      <c r="AO199" s="182"/>
      <c r="AP199" s="182"/>
      <c r="AQ199" s="182"/>
      <c r="AR199" s="359" t="e">
        <f t="shared" si="70"/>
        <v>#N/A</v>
      </c>
      <c r="AS199" s="674"/>
      <c r="AT199" s="182"/>
      <c r="AU199" s="182"/>
      <c r="AV199" s="182"/>
      <c r="AW199" s="367" t="e">
        <f t="shared" si="71"/>
        <v>#N/A</v>
      </c>
      <c r="AX199" s="613"/>
      <c r="AZ199" s="367" t="e">
        <f t="shared" si="72"/>
        <v>#N/A</v>
      </c>
      <c r="BA199" s="613"/>
    </row>
    <row r="200" spans="2:53">
      <c r="B200" s="661"/>
      <c r="C200" s="359">
        <v>19</v>
      </c>
      <c r="D200" s="499"/>
      <c r="E200" s="497"/>
      <c r="F200" s="497"/>
      <c r="G200" s="501"/>
      <c r="H200" s="672"/>
      <c r="I200" s="379" t="str">
        <f t="shared" si="62"/>
        <v>-</v>
      </c>
      <c r="J200" s="379" t="str">
        <f t="shared" si="63"/>
        <v>-</v>
      </c>
      <c r="K200" s="363" t="str">
        <f t="shared" si="64"/>
        <v>-</v>
      </c>
      <c r="L200" s="615"/>
      <c r="M200" s="366" t="e">
        <f>RANK(K200, K$182:$K$211)</f>
        <v>#VALUE!</v>
      </c>
      <c r="N200" s="624"/>
      <c r="O200" s="624"/>
      <c r="P200" s="497"/>
      <c r="Q200" s="501"/>
      <c r="R200" s="501"/>
      <c r="S200" s="359" t="e">
        <f t="shared" si="65"/>
        <v>#N/A</v>
      </c>
      <c r="T200" s="674"/>
      <c r="U200" s="182"/>
      <c r="V200" s="182"/>
      <c r="W200" s="182"/>
      <c r="X200" s="359" t="e">
        <f t="shared" si="66"/>
        <v>#N/A</v>
      </c>
      <c r="Y200" s="674"/>
      <c r="Z200" s="182"/>
      <c r="AA200" s="182"/>
      <c r="AB200" s="182"/>
      <c r="AC200" s="359" t="e">
        <f t="shared" si="67"/>
        <v>#N/A</v>
      </c>
      <c r="AD200" s="674"/>
      <c r="AE200" s="182"/>
      <c r="AF200" s="182"/>
      <c r="AG200" s="182"/>
      <c r="AH200" s="359" t="e">
        <f t="shared" si="68"/>
        <v>#N/A</v>
      </c>
      <c r="AI200" s="674"/>
      <c r="AJ200" s="182"/>
      <c r="AK200" s="182"/>
      <c r="AL200" s="182"/>
      <c r="AM200" s="359" t="e">
        <f t="shared" si="69"/>
        <v>#N/A</v>
      </c>
      <c r="AN200" s="674"/>
      <c r="AO200" s="182"/>
      <c r="AP200" s="182"/>
      <c r="AQ200" s="182"/>
      <c r="AR200" s="359" t="e">
        <f t="shared" si="70"/>
        <v>#N/A</v>
      </c>
      <c r="AS200" s="674"/>
      <c r="AT200" s="182"/>
      <c r="AU200" s="182"/>
      <c r="AV200" s="182"/>
      <c r="AW200" s="367" t="e">
        <f t="shared" si="71"/>
        <v>#N/A</v>
      </c>
      <c r="AX200" s="613"/>
      <c r="AZ200" s="367" t="e">
        <f t="shared" si="72"/>
        <v>#N/A</v>
      </c>
      <c r="BA200" s="613"/>
    </row>
    <row r="201" spans="2:53">
      <c r="B201" s="661"/>
      <c r="C201" s="359">
        <v>20</v>
      </c>
      <c r="D201" s="499"/>
      <c r="E201" s="497"/>
      <c r="F201" s="497"/>
      <c r="G201" s="501"/>
      <c r="H201" s="672"/>
      <c r="I201" s="379" t="str">
        <f t="shared" si="62"/>
        <v>-</v>
      </c>
      <c r="J201" s="379" t="str">
        <f t="shared" si="63"/>
        <v>-</v>
      </c>
      <c r="K201" s="363" t="str">
        <f t="shared" si="64"/>
        <v>-</v>
      </c>
      <c r="L201" s="615"/>
      <c r="M201" s="366" t="e">
        <f>RANK(K201, K$182:$K$211)</f>
        <v>#VALUE!</v>
      </c>
      <c r="N201" s="624"/>
      <c r="O201" s="624"/>
      <c r="P201" s="497"/>
      <c r="Q201" s="501"/>
      <c r="R201" s="501"/>
      <c r="S201" s="359" t="e">
        <f t="shared" si="65"/>
        <v>#N/A</v>
      </c>
      <c r="T201" s="674"/>
      <c r="U201" s="182"/>
      <c r="V201" s="182"/>
      <c r="W201" s="182"/>
      <c r="X201" s="359" t="e">
        <f t="shared" si="66"/>
        <v>#N/A</v>
      </c>
      <c r="Y201" s="674"/>
      <c r="Z201" s="182"/>
      <c r="AA201" s="182"/>
      <c r="AB201" s="182"/>
      <c r="AC201" s="359" t="e">
        <f t="shared" si="67"/>
        <v>#N/A</v>
      </c>
      <c r="AD201" s="674"/>
      <c r="AE201" s="182"/>
      <c r="AF201" s="182"/>
      <c r="AG201" s="182"/>
      <c r="AH201" s="359" t="e">
        <f t="shared" si="68"/>
        <v>#N/A</v>
      </c>
      <c r="AI201" s="674"/>
      <c r="AJ201" s="182"/>
      <c r="AK201" s="182"/>
      <c r="AL201" s="182"/>
      <c r="AM201" s="359" t="e">
        <f t="shared" si="69"/>
        <v>#N/A</v>
      </c>
      <c r="AN201" s="674"/>
      <c r="AO201" s="182"/>
      <c r="AP201" s="182"/>
      <c r="AQ201" s="182"/>
      <c r="AR201" s="359" t="e">
        <f t="shared" si="70"/>
        <v>#N/A</v>
      </c>
      <c r="AS201" s="674"/>
      <c r="AT201" s="182"/>
      <c r="AU201" s="182"/>
      <c r="AV201" s="182"/>
      <c r="AW201" s="367" t="e">
        <f t="shared" si="71"/>
        <v>#N/A</v>
      </c>
      <c r="AX201" s="613"/>
      <c r="AZ201" s="367" t="e">
        <f t="shared" si="72"/>
        <v>#N/A</v>
      </c>
      <c r="BA201" s="613"/>
    </row>
    <row r="202" spans="2:53">
      <c r="B202" s="661"/>
      <c r="C202" s="359">
        <v>21</v>
      </c>
      <c r="D202" s="499"/>
      <c r="E202" s="497"/>
      <c r="F202" s="497"/>
      <c r="G202" s="501"/>
      <c r="H202" s="672"/>
      <c r="I202" s="379" t="str">
        <f t="shared" si="62"/>
        <v>-</v>
      </c>
      <c r="J202" s="379" t="str">
        <f t="shared" si="63"/>
        <v>-</v>
      </c>
      <c r="K202" s="363" t="str">
        <f t="shared" si="64"/>
        <v>-</v>
      </c>
      <c r="L202" s="615"/>
      <c r="M202" s="366" t="e">
        <f>RANK(K202, K$182:$K$211)</f>
        <v>#VALUE!</v>
      </c>
      <c r="N202" s="624"/>
      <c r="O202" s="624"/>
      <c r="P202" s="497"/>
      <c r="Q202" s="501"/>
      <c r="R202" s="501"/>
      <c r="S202" s="359" t="e">
        <f t="shared" si="65"/>
        <v>#N/A</v>
      </c>
      <c r="T202" s="674"/>
      <c r="U202" s="354"/>
      <c r="V202" s="182"/>
      <c r="W202" s="362"/>
      <c r="X202" s="359" t="e">
        <f t="shared" si="66"/>
        <v>#N/A</v>
      </c>
      <c r="Y202" s="674"/>
      <c r="Z202" s="354"/>
      <c r="AA202" s="182"/>
      <c r="AB202" s="362"/>
      <c r="AC202" s="359" t="e">
        <f t="shared" si="67"/>
        <v>#N/A</v>
      </c>
      <c r="AD202" s="674"/>
      <c r="AE202" s="354"/>
      <c r="AF202" s="182"/>
      <c r="AG202" s="362"/>
      <c r="AH202" s="359" t="e">
        <f t="shared" si="68"/>
        <v>#N/A</v>
      </c>
      <c r="AI202" s="674"/>
      <c r="AJ202" s="354"/>
      <c r="AK202" s="182"/>
      <c r="AL202" s="362"/>
      <c r="AM202" s="359" t="e">
        <f t="shared" si="69"/>
        <v>#N/A</v>
      </c>
      <c r="AN202" s="674"/>
      <c r="AO202" s="354"/>
      <c r="AP202" s="182"/>
      <c r="AQ202" s="362"/>
      <c r="AR202" s="359" t="e">
        <f t="shared" si="70"/>
        <v>#N/A</v>
      </c>
      <c r="AS202" s="674"/>
      <c r="AT202" s="354"/>
      <c r="AU202" s="182"/>
      <c r="AV202" s="362"/>
      <c r="AW202" s="367" t="e">
        <f t="shared" si="71"/>
        <v>#N/A</v>
      </c>
      <c r="AX202" s="613"/>
      <c r="AZ202" s="367" t="e">
        <f t="shared" si="72"/>
        <v>#N/A</v>
      </c>
      <c r="BA202" s="613"/>
    </row>
    <row r="203" spans="2:53">
      <c r="B203" s="661"/>
      <c r="C203" s="359">
        <v>22</v>
      </c>
      <c r="D203" s="499"/>
      <c r="E203" s="497"/>
      <c r="F203" s="497"/>
      <c r="G203" s="501"/>
      <c r="H203" s="672"/>
      <c r="I203" s="379" t="str">
        <f t="shared" si="62"/>
        <v>-</v>
      </c>
      <c r="J203" s="379" t="str">
        <f t="shared" si="63"/>
        <v>-</v>
      </c>
      <c r="K203" s="363" t="str">
        <f t="shared" si="64"/>
        <v>-</v>
      </c>
      <c r="L203" s="615"/>
      <c r="M203" s="366" t="e">
        <f>RANK(K203, K$182:$K$211)</f>
        <v>#VALUE!</v>
      </c>
      <c r="N203" s="624"/>
      <c r="O203" s="624"/>
      <c r="P203" s="497"/>
      <c r="Q203" s="501"/>
      <c r="R203" s="501"/>
      <c r="S203" s="359" t="e">
        <f t="shared" si="65"/>
        <v>#N/A</v>
      </c>
      <c r="T203" s="674"/>
      <c r="U203" s="354"/>
      <c r="V203" s="182"/>
      <c r="W203" s="362"/>
      <c r="X203" s="359" t="e">
        <f t="shared" si="66"/>
        <v>#N/A</v>
      </c>
      <c r="Y203" s="674"/>
      <c r="Z203" s="354"/>
      <c r="AA203" s="182"/>
      <c r="AB203" s="362"/>
      <c r="AC203" s="359" t="e">
        <f t="shared" si="67"/>
        <v>#N/A</v>
      </c>
      <c r="AD203" s="674"/>
      <c r="AE203" s="354"/>
      <c r="AF203" s="182"/>
      <c r="AG203" s="362"/>
      <c r="AH203" s="359" t="e">
        <f t="shared" si="68"/>
        <v>#N/A</v>
      </c>
      <c r="AI203" s="674"/>
      <c r="AJ203" s="354"/>
      <c r="AK203" s="182"/>
      <c r="AL203" s="362"/>
      <c r="AM203" s="359" t="e">
        <f t="shared" si="69"/>
        <v>#N/A</v>
      </c>
      <c r="AN203" s="674"/>
      <c r="AO203" s="354"/>
      <c r="AP203" s="182"/>
      <c r="AQ203" s="362"/>
      <c r="AR203" s="359" t="e">
        <f t="shared" si="70"/>
        <v>#N/A</v>
      </c>
      <c r="AS203" s="674"/>
      <c r="AT203" s="354"/>
      <c r="AU203" s="182"/>
      <c r="AV203" s="362"/>
      <c r="AW203" s="367" t="e">
        <f t="shared" si="71"/>
        <v>#N/A</v>
      </c>
      <c r="AX203" s="613"/>
      <c r="AZ203" s="367" t="e">
        <f t="shared" si="72"/>
        <v>#N/A</v>
      </c>
      <c r="BA203" s="613"/>
    </row>
    <row r="204" spans="2:53">
      <c r="B204" s="661"/>
      <c r="C204" s="359">
        <v>23</v>
      </c>
      <c r="D204" s="523"/>
      <c r="E204" s="497"/>
      <c r="F204" s="497"/>
      <c r="G204" s="501"/>
      <c r="H204" s="672"/>
      <c r="I204" s="379" t="str">
        <f t="shared" si="62"/>
        <v>-</v>
      </c>
      <c r="J204" s="379" t="str">
        <f t="shared" si="63"/>
        <v>-</v>
      </c>
      <c r="K204" s="363" t="str">
        <f t="shared" si="64"/>
        <v>-</v>
      </c>
      <c r="L204" s="615"/>
      <c r="M204" s="366" t="e">
        <f>RANK(K204, K$182:$K$211)</f>
        <v>#VALUE!</v>
      </c>
      <c r="N204" s="624"/>
      <c r="O204" s="624"/>
      <c r="P204" s="497"/>
      <c r="Q204" s="501"/>
      <c r="R204" s="501"/>
      <c r="S204" s="359" t="e">
        <f t="shared" si="65"/>
        <v>#N/A</v>
      </c>
      <c r="T204" s="674"/>
      <c r="U204" s="354"/>
      <c r="V204" s="354"/>
      <c r="W204" s="362"/>
      <c r="X204" s="359" t="e">
        <f t="shared" si="66"/>
        <v>#N/A</v>
      </c>
      <c r="Y204" s="674"/>
      <c r="Z204" s="354"/>
      <c r="AA204" s="354"/>
      <c r="AB204" s="362"/>
      <c r="AC204" s="359" t="e">
        <f t="shared" si="67"/>
        <v>#N/A</v>
      </c>
      <c r="AD204" s="674"/>
      <c r="AE204" s="354"/>
      <c r="AF204" s="354"/>
      <c r="AG204" s="362"/>
      <c r="AH204" s="359" t="e">
        <f t="shared" si="68"/>
        <v>#N/A</v>
      </c>
      <c r="AI204" s="674"/>
      <c r="AJ204" s="354"/>
      <c r="AK204" s="354"/>
      <c r="AL204" s="362"/>
      <c r="AM204" s="359" t="e">
        <f t="shared" si="69"/>
        <v>#N/A</v>
      </c>
      <c r="AN204" s="674"/>
      <c r="AO204" s="354"/>
      <c r="AP204" s="354"/>
      <c r="AQ204" s="362"/>
      <c r="AR204" s="359" t="e">
        <f t="shared" si="70"/>
        <v>#N/A</v>
      </c>
      <c r="AS204" s="674"/>
      <c r="AT204" s="354"/>
      <c r="AU204" s="354"/>
      <c r="AV204" s="362"/>
      <c r="AW204" s="367" t="e">
        <f t="shared" si="71"/>
        <v>#N/A</v>
      </c>
      <c r="AX204" s="613"/>
      <c r="AZ204" s="367" t="e">
        <f t="shared" si="72"/>
        <v>#N/A</v>
      </c>
      <c r="BA204" s="613"/>
    </row>
    <row r="205" spans="2:53">
      <c r="B205" s="661"/>
      <c r="C205" s="359">
        <v>24</v>
      </c>
      <c r="D205" s="499"/>
      <c r="E205" s="497"/>
      <c r="F205" s="497"/>
      <c r="G205" s="501"/>
      <c r="H205" s="672"/>
      <c r="I205" s="379" t="str">
        <f t="shared" si="62"/>
        <v>-</v>
      </c>
      <c r="J205" s="379" t="str">
        <f t="shared" si="63"/>
        <v>-</v>
      </c>
      <c r="K205" s="363" t="str">
        <f t="shared" si="64"/>
        <v>-</v>
      </c>
      <c r="L205" s="615"/>
      <c r="M205" s="366" t="e">
        <f>RANK(K205, K$182:$K$211)</f>
        <v>#VALUE!</v>
      </c>
      <c r="N205" s="624"/>
      <c r="O205" s="624"/>
      <c r="P205" s="497"/>
      <c r="Q205" s="501"/>
      <c r="R205" s="501"/>
      <c r="S205" s="359" t="e">
        <f t="shared" si="65"/>
        <v>#N/A</v>
      </c>
      <c r="T205" s="674"/>
      <c r="U205" s="354"/>
      <c r="V205" s="354"/>
      <c r="W205" s="354"/>
      <c r="X205" s="359" t="e">
        <f t="shared" si="66"/>
        <v>#N/A</v>
      </c>
      <c r="Y205" s="674"/>
      <c r="Z205" s="354"/>
      <c r="AA205" s="354"/>
      <c r="AB205" s="354"/>
      <c r="AC205" s="359" t="e">
        <f t="shared" si="67"/>
        <v>#N/A</v>
      </c>
      <c r="AD205" s="674"/>
      <c r="AE205" s="354"/>
      <c r="AF205" s="354"/>
      <c r="AG205" s="354"/>
      <c r="AH205" s="359" t="e">
        <f t="shared" si="68"/>
        <v>#N/A</v>
      </c>
      <c r="AI205" s="674"/>
      <c r="AJ205" s="354"/>
      <c r="AK205" s="354"/>
      <c r="AL205" s="354"/>
      <c r="AM205" s="359" t="e">
        <f t="shared" si="69"/>
        <v>#N/A</v>
      </c>
      <c r="AN205" s="674"/>
      <c r="AO205" s="354"/>
      <c r="AP205" s="354"/>
      <c r="AQ205" s="354"/>
      <c r="AR205" s="359" t="e">
        <f t="shared" si="70"/>
        <v>#N/A</v>
      </c>
      <c r="AS205" s="674"/>
      <c r="AT205" s="354"/>
      <c r="AU205" s="354"/>
      <c r="AV205" s="354"/>
      <c r="AW205" s="367" t="e">
        <f t="shared" si="71"/>
        <v>#N/A</v>
      </c>
      <c r="AX205" s="613"/>
      <c r="AZ205" s="367" t="e">
        <f t="shared" si="72"/>
        <v>#N/A</v>
      </c>
      <c r="BA205" s="613"/>
    </row>
    <row r="206" spans="2:53">
      <c r="B206" s="661"/>
      <c r="C206" s="359">
        <v>25</v>
      </c>
      <c r="D206" s="524"/>
      <c r="E206" s="497"/>
      <c r="F206" s="497"/>
      <c r="G206" s="501"/>
      <c r="H206" s="672"/>
      <c r="I206" s="379" t="str">
        <f t="shared" si="62"/>
        <v>-</v>
      </c>
      <c r="J206" s="379" t="str">
        <f t="shared" si="63"/>
        <v>-</v>
      </c>
      <c r="K206" s="363" t="str">
        <f t="shared" si="64"/>
        <v>-</v>
      </c>
      <c r="L206" s="615"/>
      <c r="M206" s="366" t="e">
        <f>RANK(K206, K$182:$K$211)</f>
        <v>#VALUE!</v>
      </c>
      <c r="N206" s="624"/>
      <c r="O206" s="624"/>
      <c r="P206" s="497"/>
      <c r="Q206" s="501"/>
      <c r="R206" s="501"/>
      <c r="S206" s="359" t="e">
        <f t="shared" si="65"/>
        <v>#N/A</v>
      </c>
      <c r="T206" s="674"/>
      <c r="U206" s="354"/>
      <c r="V206" s="354"/>
      <c r="W206" s="354"/>
      <c r="X206" s="359" t="e">
        <f t="shared" si="66"/>
        <v>#N/A</v>
      </c>
      <c r="Y206" s="674"/>
      <c r="Z206" s="354"/>
      <c r="AA206" s="354"/>
      <c r="AB206" s="354"/>
      <c r="AC206" s="359" t="e">
        <f t="shared" si="67"/>
        <v>#N/A</v>
      </c>
      <c r="AD206" s="674"/>
      <c r="AE206" s="354"/>
      <c r="AF206" s="354"/>
      <c r="AG206" s="354"/>
      <c r="AH206" s="359" t="e">
        <f t="shared" si="68"/>
        <v>#N/A</v>
      </c>
      <c r="AI206" s="674"/>
      <c r="AJ206" s="354"/>
      <c r="AK206" s="354"/>
      <c r="AL206" s="354"/>
      <c r="AM206" s="359" t="e">
        <f t="shared" si="69"/>
        <v>#N/A</v>
      </c>
      <c r="AN206" s="674"/>
      <c r="AO206" s="354"/>
      <c r="AP206" s="354"/>
      <c r="AQ206" s="354"/>
      <c r="AR206" s="359" t="e">
        <f t="shared" si="70"/>
        <v>#N/A</v>
      </c>
      <c r="AS206" s="674"/>
      <c r="AT206" s="354"/>
      <c r="AU206" s="354"/>
      <c r="AV206" s="354"/>
      <c r="AW206" s="367" t="e">
        <f t="shared" si="71"/>
        <v>#N/A</v>
      </c>
      <c r="AX206" s="613"/>
      <c r="AZ206" s="367" t="e">
        <f t="shared" si="72"/>
        <v>#N/A</v>
      </c>
      <c r="BA206" s="613"/>
    </row>
    <row r="207" spans="2:53">
      <c r="B207" s="661"/>
      <c r="C207" s="359">
        <v>26</v>
      </c>
      <c r="D207" s="524"/>
      <c r="E207" s="497"/>
      <c r="F207" s="497"/>
      <c r="G207" s="501"/>
      <c r="H207" s="672"/>
      <c r="I207" s="379" t="str">
        <f t="shared" si="62"/>
        <v>-</v>
      </c>
      <c r="J207" s="379" t="str">
        <f t="shared" si="63"/>
        <v>-</v>
      </c>
      <c r="K207" s="363" t="str">
        <f t="shared" si="64"/>
        <v>-</v>
      </c>
      <c r="L207" s="615"/>
      <c r="M207" s="366" t="e">
        <f>RANK(K207, K$182:$K$211)</f>
        <v>#VALUE!</v>
      </c>
      <c r="N207" s="624"/>
      <c r="O207" s="624"/>
      <c r="P207" s="497"/>
      <c r="Q207" s="501"/>
      <c r="R207" s="501"/>
      <c r="S207" s="359" t="e">
        <f t="shared" si="65"/>
        <v>#N/A</v>
      </c>
      <c r="T207" s="674"/>
      <c r="U207" s="354"/>
      <c r="V207" s="354"/>
      <c r="W207" s="354"/>
      <c r="X207" s="359" t="e">
        <f t="shared" si="66"/>
        <v>#N/A</v>
      </c>
      <c r="Y207" s="674"/>
      <c r="Z207" s="354"/>
      <c r="AA207" s="354"/>
      <c r="AB207" s="354"/>
      <c r="AC207" s="359" t="e">
        <f t="shared" si="67"/>
        <v>#N/A</v>
      </c>
      <c r="AD207" s="674"/>
      <c r="AE207" s="354"/>
      <c r="AF207" s="354"/>
      <c r="AG207" s="354"/>
      <c r="AH207" s="359" t="e">
        <f t="shared" si="68"/>
        <v>#N/A</v>
      </c>
      <c r="AI207" s="674"/>
      <c r="AJ207" s="354"/>
      <c r="AK207" s="354"/>
      <c r="AL207" s="354"/>
      <c r="AM207" s="359" t="e">
        <f t="shared" si="69"/>
        <v>#N/A</v>
      </c>
      <c r="AN207" s="674"/>
      <c r="AO207" s="354"/>
      <c r="AP207" s="354"/>
      <c r="AQ207" s="354"/>
      <c r="AR207" s="359" t="e">
        <f t="shared" si="70"/>
        <v>#N/A</v>
      </c>
      <c r="AS207" s="674"/>
      <c r="AT207" s="354"/>
      <c r="AU207" s="354"/>
      <c r="AV207" s="354"/>
      <c r="AW207" s="367" t="e">
        <f t="shared" si="71"/>
        <v>#N/A</v>
      </c>
      <c r="AX207" s="613"/>
      <c r="AZ207" s="367" t="e">
        <f t="shared" si="72"/>
        <v>#N/A</v>
      </c>
      <c r="BA207" s="613"/>
    </row>
    <row r="208" spans="2:53">
      <c r="B208" s="661"/>
      <c r="C208" s="359">
        <v>27</v>
      </c>
      <c r="D208" s="524"/>
      <c r="E208" s="497"/>
      <c r="F208" s="497"/>
      <c r="G208" s="501"/>
      <c r="H208" s="672"/>
      <c r="I208" s="379" t="str">
        <f t="shared" si="62"/>
        <v>-</v>
      </c>
      <c r="J208" s="379" t="str">
        <f t="shared" si="63"/>
        <v>-</v>
      </c>
      <c r="K208" s="363" t="str">
        <f t="shared" si="64"/>
        <v>-</v>
      </c>
      <c r="L208" s="615"/>
      <c r="M208" s="366" t="e">
        <f>RANK(K208, K$182:$K$211)</f>
        <v>#VALUE!</v>
      </c>
      <c r="N208" s="624"/>
      <c r="O208" s="624"/>
      <c r="P208" s="497"/>
      <c r="Q208" s="501"/>
      <c r="R208" s="501"/>
      <c r="S208" s="359" t="e">
        <f t="shared" si="65"/>
        <v>#N/A</v>
      </c>
      <c r="T208" s="674"/>
      <c r="U208" s="354"/>
      <c r="V208" s="354"/>
      <c r="W208" s="354"/>
      <c r="X208" s="359" t="e">
        <f t="shared" si="66"/>
        <v>#N/A</v>
      </c>
      <c r="Y208" s="674"/>
      <c r="Z208" s="354"/>
      <c r="AA208" s="354"/>
      <c r="AB208" s="354"/>
      <c r="AC208" s="359" t="e">
        <f t="shared" si="67"/>
        <v>#N/A</v>
      </c>
      <c r="AD208" s="674"/>
      <c r="AE208" s="354"/>
      <c r="AF208" s="354"/>
      <c r="AG208" s="354"/>
      <c r="AH208" s="359" t="e">
        <f t="shared" si="68"/>
        <v>#N/A</v>
      </c>
      <c r="AI208" s="674"/>
      <c r="AJ208" s="354"/>
      <c r="AK208" s="354"/>
      <c r="AL208" s="354"/>
      <c r="AM208" s="359" t="e">
        <f t="shared" si="69"/>
        <v>#N/A</v>
      </c>
      <c r="AN208" s="674"/>
      <c r="AO208" s="354"/>
      <c r="AP208" s="354"/>
      <c r="AQ208" s="354"/>
      <c r="AR208" s="359" t="e">
        <f t="shared" si="70"/>
        <v>#N/A</v>
      </c>
      <c r="AS208" s="674"/>
      <c r="AT208" s="354"/>
      <c r="AU208" s="354"/>
      <c r="AV208" s="354"/>
      <c r="AW208" s="367" t="e">
        <f t="shared" si="71"/>
        <v>#N/A</v>
      </c>
      <c r="AX208" s="613"/>
      <c r="AZ208" s="367" t="e">
        <f t="shared" si="72"/>
        <v>#N/A</v>
      </c>
      <c r="BA208" s="613"/>
    </row>
    <row r="209" spans="2:53">
      <c r="B209" s="661"/>
      <c r="C209" s="359">
        <v>28</v>
      </c>
      <c r="D209" s="359"/>
      <c r="E209" s="366"/>
      <c r="F209" s="366"/>
      <c r="G209" s="366"/>
      <c r="H209" s="672"/>
      <c r="I209" s="379" t="str">
        <f t="shared" si="62"/>
        <v>-</v>
      </c>
      <c r="J209" s="379" t="str">
        <f t="shared" si="63"/>
        <v>-</v>
      </c>
      <c r="K209" s="363" t="str">
        <f t="shared" si="64"/>
        <v>-</v>
      </c>
      <c r="L209" s="615"/>
      <c r="M209" s="366" t="e">
        <f>RANK(K209, K$182:$K$211)</f>
        <v>#VALUE!</v>
      </c>
      <c r="N209" s="624"/>
      <c r="O209" s="624"/>
      <c r="P209" s="354"/>
      <c r="Q209" s="354"/>
      <c r="R209" s="354"/>
      <c r="S209" s="359" t="e">
        <f t="shared" si="65"/>
        <v>#N/A</v>
      </c>
      <c r="T209" s="674"/>
      <c r="U209" s="354"/>
      <c r="V209" s="354"/>
      <c r="W209" s="354"/>
      <c r="X209" s="359" t="e">
        <f t="shared" si="66"/>
        <v>#N/A</v>
      </c>
      <c r="Y209" s="674"/>
      <c r="Z209" s="354"/>
      <c r="AA209" s="354"/>
      <c r="AB209" s="354"/>
      <c r="AC209" s="359" t="e">
        <f t="shared" si="67"/>
        <v>#N/A</v>
      </c>
      <c r="AD209" s="674"/>
      <c r="AE209" s="354"/>
      <c r="AF209" s="354"/>
      <c r="AG209" s="354"/>
      <c r="AH209" s="359" t="e">
        <f t="shared" si="68"/>
        <v>#N/A</v>
      </c>
      <c r="AI209" s="674"/>
      <c r="AJ209" s="354"/>
      <c r="AK209" s="354"/>
      <c r="AL209" s="354"/>
      <c r="AM209" s="359" t="e">
        <f t="shared" si="69"/>
        <v>#N/A</v>
      </c>
      <c r="AN209" s="674"/>
      <c r="AO209" s="354"/>
      <c r="AP209" s="354"/>
      <c r="AQ209" s="354"/>
      <c r="AR209" s="359" t="e">
        <f t="shared" si="70"/>
        <v>#N/A</v>
      </c>
      <c r="AS209" s="674"/>
      <c r="AT209" s="354"/>
      <c r="AU209" s="354"/>
      <c r="AV209" s="354"/>
      <c r="AW209" s="367" t="e">
        <f t="shared" si="71"/>
        <v>#N/A</v>
      </c>
      <c r="AX209" s="613"/>
      <c r="AZ209" s="367" t="e">
        <f t="shared" si="72"/>
        <v>#N/A</v>
      </c>
      <c r="BA209" s="613"/>
    </row>
    <row r="210" spans="2:53">
      <c r="B210" s="661"/>
      <c r="C210" s="359">
        <v>29</v>
      </c>
      <c r="D210" s="359"/>
      <c r="E210" s="366"/>
      <c r="F210" s="366"/>
      <c r="G210" s="366"/>
      <c r="H210" s="672"/>
      <c r="I210" s="379" t="str">
        <f t="shared" si="62"/>
        <v>-</v>
      </c>
      <c r="J210" s="379" t="str">
        <f t="shared" si="63"/>
        <v>-</v>
      </c>
      <c r="K210" s="363" t="str">
        <f t="shared" si="64"/>
        <v>-</v>
      </c>
      <c r="L210" s="615"/>
      <c r="M210" s="366" t="e">
        <f>RANK(K210, K$182:$K$211)</f>
        <v>#VALUE!</v>
      </c>
      <c r="N210" s="624"/>
      <c r="O210" s="624"/>
      <c r="P210" s="354"/>
      <c r="Q210" s="354"/>
      <c r="R210" s="354"/>
      <c r="S210" s="359" t="e">
        <f t="shared" si="65"/>
        <v>#N/A</v>
      </c>
      <c r="T210" s="674"/>
      <c r="U210" s="354"/>
      <c r="V210" s="354"/>
      <c r="W210" s="354"/>
      <c r="X210" s="359" t="e">
        <f t="shared" si="66"/>
        <v>#N/A</v>
      </c>
      <c r="Y210" s="674"/>
      <c r="Z210" s="354"/>
      <c r="AA210" s="354"/>
      <c r="AB210" s="354"/>
      <c r="AC210" s="359" t="e">
        <f t="shared" si="67"/>
        <v>#N/A</v>
      </c>
      <c r="AD210" s="674"/>
      <c r="AE210" s="354"/>
      <c r="AF210" s="354"/>
      <c r="AG210" s="354"/>
      <c r="AH210" s="359" t="e">
        <f t="shared" si="68"/>
        <v>#N/A</v>
      </c>
      <c r="AI210" s="674"/>
      <c r="AJ210" s="354"/>
      <c r="AK210" s="354"/>
      <c r="AL210" s="354"/>
      <c r="AM210" s="359" t="e">
        <f t="shared" si="69"/>
        <v>#N/A</v>
      </c>
      <c r="AN210" s="674"/>
      <c r="AO210" s="354"/>
      <c r="AP210" s="354"/>
      <c r="AQ210" s="354"/>
      <c r="AR210" s="359" t="e">
        <f t="shared" si="70"/>
        <v>#N/A</v>
      </c>
      <c r="AS210" s="674"/>
      <c r="AT210" s="354"/>
      <c r="AU210" s="354"/>
      <c r="AV210" s="354"/>
      <c r="AW210" s="367" t="e">
        <f t="shared" si="71"/>
        <v>#N/A</v>
      </c>
      <c r="AX210" s="613"/>
      <c r="AZ210" s="367" t="e">
        <f t="shared" si="72"/>
        <v>#N/A</v>
      </c>
      <c r="BA210" s="613"/>
    </row>
    <row r="211" spans="2:53">
      <c r="B211" s="661"/>
      <c r="C211" s="359">
        <v>30</v>
      </c>
      <c r="D211" s="359"/>
      <c r="E211" s="366"/>
      <c r="F211" s="366"/>
      <c r="G211" s="366"/>
      <c r="H211" s="672"/>
      <c r="I211" s="379" t="str">
        <f t="shared" si="62"/>
        <v>-</v>
      </c>
      <c r="J211" s="379" t="str">
        <f t="shared" si="63"/>
        <v>-</v>
      </c>
      <c r="K211" s="363" t="str">
        <f t="shared" si="64"/>
        <v>-</v>
      </c>
      <c r="L211" s="616"/>
      <c r="M211" s="366" t="e">
        <f>RANK(K211, K$182:$K$211)</f>
        <v>#VALUE!</v>
      </c>
      <c r="N211" s="624"/>
      <c r="O211" s="624"/>
      <c r="P211" s="354"/>
      <c r="Q211" s="354"/>
      <c r="R211" s="354"/>
      <c r="S211" s="359" t="e">
        <f t="shared" si="65"/>
        <v>#N/A</v>
      </c>
      <c r="T211" s="674"/>
      <c r="U211" s="354"/>
      <c r="V211" s="354"/>
      <c r="W211" s="354"/>
      <c r="X211" s="359" t="e">
        <f t="shared" si="66"/>
        <v>#N/A</v>
      </c>
      <c r="Y211" s="674"/>
      <c r="Z211" s="354"/>
      <c r="AA211" s="354"/>
      <c r="AB211" s="354"/>
      <c r="AC211" s="359" t="e">
        <f t="shared" si="67"/>
        <v>#N/A</v>
      </c>
      <c r="AD211" s="674"/>
      <c r="AE211" s="354"/>
      <c r="AF211" s="354"/>
      <c r="AG211" s="354"/>
      <c r="AH211" s="359" t="e">
        <f t="shared" si="68"/>
        <v>#N/A</v>
      </c>
      <c r="AI211" s="674"/>
      <c r="AJ211" s="354"/>
      <c r="AK211" s="354"/>
      <c r="AL211" s="354"/>
      <c r="AM211" s="359" t="e">
        <f t="shared" si="69"/>
        <v>#N/A</v>
      </c>
      <c r="AN211" s="674"/>
      <c r="AO211" s="354"/>
      <c r="AP211" s="354"/>
      <c r="AQ211" s="354"/>
      <c r="AR211" s="359" t="e">
        <f t="shared" si="70"/>
        <v>#N/A</v>
      </c>
      <c r="AS211" s="674"/>
      <c r="AT211" s="354"/>
      <c r="AU211" s="354"/>
      <c r="AV211" s="354"/>
      <c r="AW211" s="367" t="e">
        <f t="shared" si="71"/>
        <v>#N/A</v>
      </c>
      <c r="AX211" s="613"/>
      <c r="AZ211" s="367" t="e">
        <f t="shared" si="72"/>
        <v>#N/A</v>
      </c>
      <c r="BA211" s="613"/>
    </row>
    <row r="213" spans="2:53" ht="15.75">
      <c r="B213" s="666" t="s">
        <v>520</v>
      </c>
      <c r="C213" s="667"/>
      <c r="D213" s="667"/>
      <c r="E213" s="667"/>
      <c r="F213" s="667"/>
      <c r="G213" s="667"/>
      <c r="H213" s="668"/>
      <c r="I213" s="286"/>
      <c r="J213" s="286"/>
      <c r="K213" s="286"/>
      <c r="L213" s="286"/>
      <c r="M213" s="287"/>
    </row>
    <row r="214" spans="2:53" ht="15.75">
      <c r="B214" s="669"/>
      <c r="C214" s="669"/>
      <c r="D214" s="669"/>
      <c r="E214" s="669"/>
      <c r="F214" s="669"/>
      <c r="G214" s="669"/>
      <c r="H214" s="669"/>
      <c r="I214" s="360"/>
      <c r="J214" s="360"/>
      <c r="K214" s="360"/>
      <c r="L214" s="360"/>
      <c r="M214" s="289"/>
    </row>
    <row r="215" spans="2:53">
      <c r="B215" s="624" t="s">
        <v>506</v>
      </c>
      <c r="C215" s="624" t="s">
        <v>507</v>
      </c>
      <c r="D215" s="624"/>
      <c r="E215" s="624" t="s">
        <v>508</v>
      </c>
      <c r="F215" s="624"/>
      <c r="G215" s="624"/>
      <c r="H215" s="624" t="s">
        <v>509</v>
      </c>
      <c r="I215" s="670" t="s">
        <v>510</v>
      </c>
      <c r="J215" s="670"/>
      <c r="K215" s="670"/>
      <c r="L215" s="670" t="s">
        <v>509</v>
      </c>
      <c r="M215" s="670" t="s">
        <v>511</v>
      </c>
    </row>
    <row r="216" spans="2:53">
      <c r="B216" s="624"/>
      <c r="C216" s="624"/>
      <c r="D216" s="624"/>
      <c r="E216" s="624" t="s">
        <v>514</v>
      </c>
      <c r="F216" s="624"/>
      <c r="G216" s="624"/>
      <c r="H216" s="624"/>
      <c r="I216" s="670" t="s">
        <v>514</v>
      </c>
      <c r="J216" s="670"/>
      <c r="K216" s="670"/>
      <c r="L216" s="670"/>
      <c r="M216" s="670"/>
    </row>
    <row r="217" spans="2:53">
      <c r="B217" s="624"/>
      <c r="C217" s="624"/>
      <c r="D217" s="624"/>
      <c r="E217" s="353" t="s">
        <v>516</v>
      </c>
      <c r="F217" s="353" t="s">
        <v>517</v>
      </c>
      <c r="G217" s="353" t="s">
        <v>518</v>
      </c>
      <c r="H217" s="624"/>
      <c r="I217" s="361" t="s">
        <v>516</v>
      </c>
      <c r="J217" s="361" t="s">
        <v>517</v>
      </c>
      <c r="K217" s="361" t="s">
        <v>518</v>
      </c>
      <c r="L217" s="670"/>
      <c r="M217" s="670"/>
    </row>
    <row r="218" spans="2:53">
      <c r="B218" s="660" t="s">
        <v>519</v>
      </c>
      <c r="C218" s="354">
        <v>1</v>
      </c>
      <c r="D218" s="354"/>
      <c r="E218" s="354"/>
      <c r="F218" s="354"/>
      <c r="G218" s="354"/>
      <c r="H218" s="653" t="e">
        <f>AVERAGE(G218:G247)</f>
        <v>#DIV/0!</v>
      </c>
      <c r="I218" s="365" t="e">
        <f t="shared" ref="I218:K240" si="73">AVERAGEIF($D$7:$D$211,$D218,I$7:I$211)</f>
        <v>#DIV/0!</v>
      </c>
      <c r="J218" s="365" t="e">
        <f t="shared" si="73"/>
        <v>#DIV/0!</v>
      </c>
      <c r="K218" s="365" t="e">
        <f>AVERAGEIF($D$7:$D$211,$D218,K$7:K$211)</f>
        <v>#DIV/0!</v>
      </c>
      <c r="L218" s="673" t="e">
        <f>AVERAGE(K218:K247)</f>
        <v>#DIV/0!</v>
      </c>
      <c r="M218" s="365" t="e">
        <f>RANK(K218, K$218:$K$247)</f>
        <v>#DIV/0!</v>
      </c>
    </row>
    <row r="219" spans="2:53">
      <c r="B219" s="635"/>
      <c r="C219" s="354">
        <v>2</v>
      </c>
      <c r="D219" s="354"/>
      <c r="E219" s="354"/>
      <c r="F219" s="354"/>
      <c r="G219" s="354"/>
      <c r="H219" s="653"/>
      <c r="I219" s="365" t="e">
        <f t="shared" si="73"/>
        <v>#DIV/0!</v>
      </c>
      <c r="J219" s="365" t="e">
        <f t="shared" si="73"/>
        <v>#DIV/0!</v>
      </c>
      <c r="K219" s="365" t="e">
        <f t="shared" si="73"/>
        <v>#DIV/0!</v>
      </c>
      <c r="L219" s="673"/>
      <c r="M219" s="365" t="e">
        <f>RANK(K219, K$218:$K$247)</f>
        <v>#DIV/0!</v>
      </c>
    </row>
    <row r="220" spans="2:53">
      <c r="B220" s="635"/>
      <c r="C220" s="354">
        <v>3</v>
      </c>
      <c r="D220" s="354"/>
      <c r="E220" s="354"/>
      <c r="F220" s="354"/>
      <c r="G220" s="354"/>
      <c r="H220" s="653"/>
      <c r="I220" s="365" t="e">
        <f t="shared" si="73"/>
        <v>#DIV/0!</v>
      </c>
      <c r="J220" s="365" t="e">
        <f t="shared" si="73"/>
        <v>#DIV/0!</v>
      </c>
      <c r="K220" s="365" t="e">
        <f t="shared" si="73"/>
        <v>#DIV/0!</v>
      </c>
      <c r="L220" s="673"/>
      <c r="M220" s="365" t="e">
        <f>RANK(K220, K$218:$K$247)</f>
        <v>#DIV/0!</v>
      </c>
    </row>
    <row r="221" spans="2:53">
      <c r="B221" s="635"/>
      <c r="C221" s="354">
        <v>4</v>
      </c>
      <c r="D221" s="354"/>
      <c r="E221" s="354"/>
      <c r="F221" s="354"/>
      <c r="G221" s="354"/>
      <c r="H221" s="653"/>
      <c r="I221" s="365" t="e">
        <f t="shared" si="73"/>
        <v>#DIV/0!</v>
      </c>
      <c r="J221" s="365" t="e">
        <f t="shared" si="73"/>
        <v>#DIV/0!</v>
      </c>
      <c r="K221" s="365" t="e">
        <f t="shared" si="73"/>
        <v>#DIV/0!</v>
      </c>
      <c r="L221" s="673"/>
      <c r="M221" s="365" t="e">
        <f>RANK(K221, K$218:$K$247)</f>
        <v>#DIV/0!</v>
      </c>
    </row>
    <row r="222" spans="2:53">
      <c r="B222" s="635"/>
      <c r="C222" s="354">
        <v>5</v>
      </c>
      <c r="D222" s="354"/>
      <c r="E222" s="354"/>
      <c r="F222" s="354"/>
      <c r="G222" s="354"/>
      <c r="H222" s="653"/>
      <c r="I222" s="365" t="e">
        <f t="shared" si="73"/>
        <v>#DIV/0!</v>
      </c>
      <c r="J222" s="365" t="e">
        <f t="shared" si="73"/>
        <v>#DIV/0!</v>
      </c>
      <c r="K222" s="365" t="e">
        <f t="shared" si="73"/>
        <v>#DIV/0!</v>
      </c>
      <c r="L222" s="673"/>
      <c r="M222" s="365" t="e">
        <f>RANK(K222, K$218:$K$247)</f>
        <v>#DIV/0!</v>
      </c>
    </row>
    <row r="223" spans="2:53">
      <c r="B223" s="635"/>
      <c r="C223" s="354">
        <v>6</v>
      </c>
      <c r="D223" s="354"/>
      <c r="E223" s="354"/>
      <c r="F223" s="354"/>
      <c r="G223" s="354"/>
      <c r="H223" s="653"/>
      <c r="I223" s="365" t="e">
        <f t="shared" si="73"/>
        <v>#DIV/0!</v>
      </c>
      <c r="J223" s="365" t="e">
        <f t="shared" si="73"/>
        <v>#DIV/0!</v>
      </c>
      <c r="K223" s="365" t="e">
        <f t="shared" si="73"/>
        <v>#DIV/0!</v>
      </c>
      <c r="L223" s="673"/>
      <c r="M223" s="365" t="e">
        <f>RANK(K223, K$218:$K$247)</f>
        <v>#DIV/0!</v>
      </c>
    </row>
    <row r="224" spans="2:53">
      <c r="B224" s="635"/>
      <c r="C224" s="354">
        <v>7</v>
      </c>
      <c r="D224" s="353"/>
      <c r="E224" s="354"/>
      <c r="F224" s="354"/>
      <c r="G224" s="354"/>
      <c r="H224" s="653"/>
      <c r="I224" s="365" t="e">
        <f t="shared" si="73"/>
        <v>#DIV/0!</v>
      </c>
      <c r="J224" s="365" t="e">
        <f t="shared" si="73"/>
        <v>#DIV/0!</v>
      </c>
      <c r="K224" s="365" t="e">
        <f t="shared" si="73"/>
        <v>#DIV/0!</v>
      </c>
      <c r="L224" s="673"/>
      <c r="M224" s="365" t="e">
        <f>RANK(K224, K$218:$K$247)</f>
        <v>#DIV/0!</v>
      </c>
    </row>
    <row r="225" spans="2:13" s="108" customFormat="1">
      <c r="B225" s="635"/>
      <c r="C225" s="354">
        <v>8</v>
      </c>
      <c r="D225" s="353"/>
      <c r="E225" s="354"/>
      <c r="F225" s="354"/>
      <c r="G225" s="354"/>
      <c r="H225" s="653"/>
      <c r="I225" s="365" t="e">
        <f t="shared" si="73"/>
        <v>#DIV/0!</v>
      </c>
      <c r="J225" s="365" t="e">
        <f t="shared" si="73"/>
        <v>#DIV/0!</v>
      </c>
      <c r="K225" s="365" t="e">
        <f t="shared" si="73"/>
        <v>#DIV/0!</v>
      </c>
      <c r="L225" s="673"/>
      <c r="M225" s="365" t="e">
        <f>RANK(K225, K$218:$K$247)</f>
        <v>#DIV/0!</v>
      </c>
    </row>
    <row r="226" spans="2:13" s="108" customFormat="1">
      <c r="B226" s="635"/>
      <c r="C226" s="354">
        <v>9</v>
      </c>
      <c r="D226" s="354"/>
      <c r="E226" s="354"/>
      <c r="F226" s="354"/>
      <c r="G226" s="354"/>
      <c r="H226" s="653"/>
      <c r="I226" s="365" t="e">
        <f t="shared" si="73"/>
        <v>#DIV/0!</v>
      </c>
      <c r="J226" s="365" t="e">
        <f t="shared" si="73"/>
        <v>#DIV/0!</v>
      </c>
      <c r="K226" s="365" t="e">
        <f t="shared" si="73"/>
        <v>#DIV/0!</v>
      </c>
      <c r="L226" s="673"/>
      <c r="M226" s="365" t="e">
        <f>RANK(K226, K$218:$K$247)</f>
        <v>#DIV/0!</v>
      </c>
    </row>
    <row r="227" spans="2:13" s="108" customFormat="1">
      <c r="B227" s="635"/>
      <c r="C227" s="354">
        <v>10</v>
      </c>
      <c r="D227" s="354"/>
      <c r="E227" s="354"/>
      <c r="F227" s="354"/>
      <c r="G227" s="354"/>
      <c r="H227" s="653"/>
      <c r="I227" s="365" t="e">
        <f t="shared" si="73"/>
        <v>#DIV/0!</v>
      </c>
      <c r="J227" s="365" t="e">
        <f t="shared" si="73"/>
        <v>#DIV/0!</v>
      </c>
      <c r="K227" s="365" t="e">
        <f t="shared" si="73"/>
        <v>#DIV/0!</v>
      </c>
      <c r="L227" s="673"/>
      <c r="M227" s="365" t="e">
        <f>RANK(K227, K$218:$K$247)</f>
        <v>#DIV/0!</v>
      </c>
    </row>
    <row r="228" spans="2:13" s="108" customFormat="1">
      <c r="B228" s="635"/>
      <c r="C228" s="354">
        <v>11</v>
      </c>
      <c r="D228" s="354"/>
      <c r="E228" s="354"/>
      <c r="F228" s="354"/>
      <c r="G228" s="354"/>
      <c r="H228" s="653"/>
      <c r="I228" s="365" t="e">
        <f t="shared" si="73"/>
        <v>#DIV/0!</v>
      </c>
      <c r="J228" s="365" t="e">
        <f t="shared" si="73"/>
        <v>#DIV/0!</v>
      </c>
      <c r="K228" s="365" t="e">
        <f t="shared" si="73"/>
        <v>#DIV/0!</v>
      </c>
      <c r="L228" s="673"/>
      <c r="M228" s="365" t="e">
        <f>RANK(K228, K$218:$K$247)</f>
        <v>#DIV/0!</v>
      </c>
    </row>
    <row r="229" spans="2:13" s="108" customFormat="1">
      <c r="B229" s="635"/>
      <c r="C229" s="354">
        <v>12</v>
      </c>
      <c r="D229" s="354"/>
      <c r="E229" s="354"/>
      <c r="F229" s="354"/>
      <c r="G229" s="354"/>
      <c r="H229" s="653"/>
      <c r="I229" s="365" t="e">
        <f t="shared" si="73"/>
        <v>#DIV/0!</v>
      </c>
      <c r="J229" s="365" t="e">
        <f t="shared" si="73"/>
        <v>#DIV/0!</v>
      </c>
      <c r="K229" s="365" t="e">
        <f t="shared" si="73"/>
        <v>#DIV/0!</v>
      </c>
      <c r="L229" s="673"/>
      <c r="M229" s="365" t="e">
        <f>RANK(K229, K$218:$K$247)</f>
        <v>#DIV/0!</v>
      </c>
    </row>
    <row r="230" spans="2:13" s="108" customFormat="1">
      <c r="B230" s="635"/>
      <c r="C230" s="354">
        <v>13</v>
      </c>
      <c r="D230" s="354"/>
      <c r="E230" s="354"/>
      <c r="F230" s="354"/>
      <c r="G230" s="354"/>
      <c r="H230" s="653"/>
      <c r="I230" s="365" t="e">
        <f t="shared" si="73"/>
        <v>#DIV/0!</v>
      </c>
      <c r="J230" s="365" t="e">
        <f t="shared" si="73"/>
        <v>#DIV/0!</v>
      </c>
      <c r="K230" s="365" t="e">
        <f t="shared" si="73"/>
        <v>#DIV/0!</v>
      </c>
      <c r="L230" s="673"/>
      <c r="M230" s="365" t="e">
        <f>RANK(K230, K$218:$K$247)</f>
        <v>#DIV/0!</v>
      </c>
    </row>
    <row r="231" spans="2:13" s="108" customFormat="1">
      <c r="B231" s="635"/>
      <c r="C231" s="354">
        <v>14</v>
      </c>
      <c r="D231" s="354"/>
      <c r="E231" s="354"/>
      <c r="F231" s="354"/>
      <c r="G231" s="354"/>
      <c r="H231" s="653"/>
      <c r="I231" s="365" t="e">
        <f t="shared" si="73"/>
        <v>#DIV/0!</v>
      </c>
      <c r="J231" s="365" t="e">
        <f t="shared" si="73"/>
        <v>#DIV/0!</v>
      </c>
      <c r="K231" s="365" t="e">
        <f t="shared" si="73"/>
        <v>#DIV/0!</v>
      </c>
      <c r="L231" s="673"/>
      <c r="M231" s="365" t="e">
        <f>RANK(K231, K$218:$K$247)</f>
        <v>#DIV/0!</v>
      </c>
    </row>
    <row r="232" spans="2:13" s="108" customFormat="1">
      <c r="B232" s="635"/>
      <c r="C232" s="354">
        <v>15</v>
      </c>
      <c r="D232" s="354"/>
      <c r="E232" s="354"/>
      <c r="F232" s="354"/>
      <c r="G232" s="354"/>
      <c r="H232" s="653"/>
      <c r="I232" s="365" t="e">
        <f t="shared" si="73"/>
        <v>#DIV/0!</v>
      </c>
      <c r="J232" s="365" t="e">
        <f t="shared" si="73"/>
        <v>#DIV/0!</v>
      </c>
      <c r="K232" s="365" t="e">
        <f t="shared" si="73"/>
        <v>#DIV/0!</v>
      </c>
      <c r="L232" s="673"/>
      <c r="M232" s="365" t="e">
        <f>RANK(K232, K$218:$K$247)</f>
        <v>#DIV/0!</v>
      </c>
    </row>
    <row r="233" spans="2:13" s="108" customFormat="1">
      <c r="B233" s="635"/>
      <c r="C233" s="354">
        <v>16</v>
      </c>
      <c r="D233" s="354"/>
      <c r="E233" s="354"/>
      <c r="F233" s="354"/>
      <c r="G233" s="354"/>
      <c r="H233" s="653"/>
      <c r="I233" s="365" t="e">
        <f t="shared" si="73"/>
        <v>#DIV/0!</v>
      </c>
      <c r="J233" s="365" t="e">
        <f t="shared" si="73"/>
        <v>#DIV/0!</v>
      </c>
      <c r="K233" s="365" t="e">
        <f t="shared" si="73"/>
        <v>#DIV/0!</v>
      </c>
      <c r="L233" s="673"/>
      <c r="M233" s="365" t="e">
        <f>RANK(K233, K$218:$K$247)</f>
        <v>#DIV/0!</v>
      </c>
    </row>
    <row r="234" spans="2:13" s="108" customFormat="1">
      <c r="B234" s="635"/>
      <c r="C234" s="354">
        <v>17</v>
      </c>
      <c r="D234" s="354"/>
      <c r="E234" s="354"/>
      <c r="F234" s="354"/>
      <c r="G234" s="354"/>
      <c r="H234" s="653"/>
      <c r="I234" s="365" t="e">
        <f t="shared" si="73"/>
        <v>#DIV/0!</v>
      </c>
      <c r="J234" s="365" t="e">
        <f t="shared" si="73"/>
        <v>#DIV/0!</v>
      </c>
      <c r="K234" s="365" t="e">
        <f t="shared" si="73"/>
        <v>#DIV/0!</v>
      </c>
      <c r="L234" s="673"/>
      <c r="M234" s="365" t="e">
        <f>RANK(K234, K$218:$K$247)</f>
        <v>#DIV/0!</v>
      </c>
    </row>
    <row r="235" spans="2:13" s="108" customFormat="1">
      <c r="B235" s="635"/>
      <c r="C235" s="354">
        <v>18</v>
      </c>
      <c r="D235" s="354"/>
      <c r="E235" s="354"/>
      <c r="F235" s="354"/>
      <c r="G235" s="354"/>
      <c r="H235" s="653"/>
      <c r="I235" s="365" t="e">
        <f t="shared" si="73"/>
        <v>#DIV/0!</v>
      </c>
      <c r="J235" s="365" t="e">
        <f t="shared" si="73"/>
        <v>#DIV/0!</v>
      </c>
      <c r="K235" s="365" t="e">
        <f t="shared" si="73"/>
        <v>#DIV/0!</v>
      </c>
      <c r="L235" s="673"/>
      <c r="M235" s="365" t="e">
        <f>RANK(K235, K$218:$K$247)</f>
        <v>#DIV/0!</v>
      </c>
    </row>
    <row r="236" spans="2:13" s="108" customFormat="1">
      <c r="B236" s="635"/>
      <c r="C236" s="354">
        <v>19</v>
      </c>
      <c r="D236" s="354"/>
      <c r="E236" s="354"/>
      <c r="F236" s="354"/>
      <c r="G236" s="354"/>
      <c r="H236" s="653"/>
      <c r="I236" s="365" t="e">
        <f t="shared" si="73"/>
        <v>#DIV/0!</v>
      </c>
      <c r="J236" s="365" t="e">
        <f t="shared" si="73"/>
        <v>#DIV/0!</v>
      </c>
      <c r="K236" s="365" t="e">
        <f t="shared" si="73"/>
        <v>#DIV/0!</v>
      </c>
      <c r="L236" s="673"/>
      <c r="M236" s="365" t="e">
        <f>RANK(K236, K$218:$K$247)</f>
        <v>#DIV/0!</v>
      </c>
    </row>
    <row r="237" spans="2:13" s="108" customFormat="1">
      <c r="B237" s="635"/>
      <c r="C237" s="354">
        <v>20</v>
      </c>
      <c r="D237" s="354"/>
      <c r="E237" s="354"/>
      <c r="F237" s="354"/>
      <c r="G237" s="354"/>
      <c r="H237" s="653"/>
      <c r="I237" s="365" t="e">
        <f t="shared" si="73"/>
        <v>#DIV/0!</v>
      </c>
      <c r="J237" s="365" t="e">
        <f t="shared" si="73"/>
        <v>#DIV/0!</v>
      </c>
      <c r="K237" s="365" t="e">
        <f t="shared" si="73"/>
        <v>#DIV/0!</v>
      </c>
      <c r="L237" s="673"/>
      <c r="M237" s="365" t="e">
        <f>RANK(K237, K$218:$K$247)</f>
        <v>#DIV/0!</v>
      </c>
    </row>
    <row r="238" spans="2:13" s="108" customFormat="1">
      <c r="B238" s="635"/>
      <c r="C238" s="354">
        <v>21</v>
      </c>
      <c r="D238" s="354"/>
      <c r="E238" s="354"/>
      <c r="F238" s="354"/>
      <c r="G238" s="354"/>
      <c r="H238" s="653"/>
      <c r="I238" s="365" t="e">
        <f t="shared" si="73"/>
        <v>#DIV/0!</v>
      </c>
      <c r="J238" s="365" t="e">
        <f t="shared" si="73"/>
        <v>#DIV/0!</v>
      </c>
      <c r="K238" s="365" t="e">
        <f t="shared" si="73"/>
        <v>#DIV/0!</v>
      </c>
      <c r="L238" s="673"/>
      <c r="M238" s="365" t="e">
        <f>RANK(K238, K$218:$K$247)</f>
        <v>#DIV/0!</v>
      </c>
    </row>
    <row r="239" spans="2:13" s="108" customFormat="1">
      <c r="B239" s="635"/>
      <c r="C239" s="354">
        <v>22</v>
      </c>
      <c r="D239" s="354"/>
      <c r="E239" s="354"/>
      <c r="F239" s="354"/>
      <c r="G239" s="354"/>
      <c r="H239" s="653"/>
      <c r="I239" s="365" t="e">
        <f t="shared" si="73"/>
        <v>#DIV/0!</v>
      </c>
      <c r="J239" s="365" t="e">
        <f t="shared" si="73"/>
        <v>#DIV/0!</v>
      </c>
      <c r="K239" s="365" t="e">
        <f t="shared" si="73"/>
        <v>#DIV/0!</v>
      </c>
      <c r="L239" s="673"/>
      <c r="M239" s="365" t="e">
        <f>RANK(K239, K$218:$K$247)</f>
        <v>#DIV/0!</v>
      </c>
    </row>
    <row r="240" spans="2:13" s="108" customFormat="1">
      <c r="B240" s="635"/>
      <c r="C240" s="354">
        <v>23</v>
      </c>
      <c r="D240" s="354"/>
      <c r="E240" s="354"/>
      <c r="F240" s="354"/>
      <c r="G240" s="354"/>
      <c r="H240" s="653"/>
      <c r="I240" s="365" t="e">
        <f t="shared" si="73"/>
        <v>#DIV/0!</v>
      </c>
      <c r="J240" s="365" t="e">
        <f t="shared" si="73"/>
        <v>#DIV/0!</v>
      </c>
      <c r="K240" s="365" t="e">
        <f t="shared" si="73"/>
        <v>#DIV/0!</v>
      </c>
      <c r="L240" s="673"/>
      <c r="M240" s="365" t="e">
        <f>RANK(K240, K$218:$K$247)</f>
        <v>#DIV/0!</v>
      </c>
    </row>
    <row r="241" spans="2:39">
      <c r="B241" s="635"/>
      <c r="C241" s="354">
        <v>24</v>
      </c>
      <c r="D241" s="354"/>
      <c r="E241" s="354"/>
      <c r="F241" s="354"/>
      <c r="G241" s="354"/>
      <c r="H241" s="653"/>
      <c r="I241" s="365"/>
      <c r="J241" s="365"/>
      <c r="K241" s="365"/>
      <c r="L241" s="673"/>
      <c r="M241" s="365" t="e">
        <f>RANK(K241, K$218:$K$247)</f>
        <v>#DIV/0!</v>
      </c>
      <c r="N241" s="108"/>
      <c r="O241" s="108"/>
      <c r="P241" s="108"/>
      <c r="Q241" s="108"/>
      <c r="R241" s="108"/>
      <c r="S241" s="108"/>
      <c r="T241" s="108"/>
      <c r="X241" s="108"/>
      <c r="AC241" s="108"/>
      <c r="AH241" s="108"/>
      <c r="AM241" s="108"/>
    </row>
    <row r="242" spans="2:39">
      <c r="B242" s="635"/>
      <c r="C242" s="354">
        <v>25</v>
      </c>
      <c r="D242" s="354"/>
      <c r="E242" s="354"/>
      <c r="F242" s="354"/>
      <c r="G242" s="354"/>
      <c r="H242" s="653"/>
      <c r="I242" s="365"/>
      <c r="J242" s="365"/>
      <c r="K242" s="365"/>
      <c r="L242" s="673"/>
      <c r="M242" s="365" t="e">
        <f>RANK(K242, K$218:$K$247)</f>
        <v>#DIV/0!</v>
      </c>
      <c r="N242" s="108"/>
      <c r="O242" s="108"/>
      <c r="P242" s="108"/>
      <c r="Q242" s="108"/>
      <c r="R242" s="108"/>
      <c r="S242" s="108"/>
      <c r="T242" s="108"/>
      <c r="X242" s="108"/>
      <c r="AC242" s="108"/>
      <c r="AH242" s="108"/>
      <c r="AM242" s="108"/>
    </row>
    <row r="243" spans="2:39">
      <c r="B243" s="635"/>
      <c r="C243" s="354">
        <v>26</v>
      </c>
      <c r="D243" s="354"/>
      <c r="E243" s="354"/>
      <c r="F243" s="354"/>
      <c r="G243" s="354"/>
      <c r="H243" s="653"/>
      <c r="I243" s="365"/>
      <c r="J243" s="365"/>
      <c r="K243" s="365"/>
      <c r="L243" s="673"/>
      <c r="M243" s="365" t="e">
        <f>RANK(K243, K$218:$K$247)</f>
        <v>#DIV/0!</v>
      </c>
      <c r="N243" s="108"/>
      <c r="O243" s="108"/>
      <c r="P243" s="108"/>
      <c r="Q243" s="108"/>
      <c r="R243" s="108"/>
      <c r="S243" s="108"/>
      <c r="T243" s="108"/>
      <c r="X243" s="108"/>
      <c r="AC243" s="108"/>
      <c r="AH243" s="108"/>
      <c r="AM243" s="108"/>
    </row>
    <row r="244" spans="2:39">
      <c r="B244" s="635"/>
      <c r="C244" s="354">
        <v>27</v>
      </c>
      <c r="D244" s="354"/>
      <c r="E244" s="354"/>
      <c r="F244" s="354"/>
      <c r="G244" s="354"/>
      <c r="H244" s="653"/>
      <c r="I244" s="365"/>
      <c r="J244" s="365"/>
      <c r="K244" s="365"/>
      <c r="L244" s="673"/>
      <c r="M244" s="365" t="e">
        <f>RANK(K244, K$218:$K$247)</f>
        <v>#DIV/0!</v>
      </c>
      <c r="N244" s="108"/>
      <c r="O244" s="108"/>
      <c r="P244" s="108"/>
      <c r="Q244" s="108"/>
      <c r="R244" s="108"/>
      <c r="S244" s="108"/>
      <c r="T244" s="108"/>
      <c r="X244" s="108"/>
      <c r="AC244" s="108"/>
      <c r="AH244" s="108"/>
      <c r="AM244" s="108"/>
    </row>
    <row r="245" spans="2:39">
      <c r="B245" s="635"/>
      <c r="C245" s="354">
        <v>28</v>
      </c>
      <c r="D245" s="354"/>
      <c r="E245" s="354"/>
      <c r="F245" s="354"/>
      <c r="G245" s="354"/>
      <c r="H245" s="653"/>
      <c r="I245" s="365"/>
      <c r="J245" s="365"/>
      <c r="K245" s="365"/>
      <c r="L245" s="673"/>
      <c r="M245" s="365" t="e">
        <f>RANK(K245, K$218:$K$247)</f>
        <v>#DIV/0!</v>
      </c>
      <c r="N245" s="108"/>
      <c r="O245" s="108"/>
      <c r="P245" s="108"/>
      <c r="Q245" s="108"/>
      <c r="R245" s="108"/>
      <c r="S245" s="108"/>
      <c r="T245" s="108"/>
      <c r="X245" s="108"/>
      <c r="AC245" s="108"/>
      <c r="AH245" s="108"/>
      <c r="AM245" s="108"/>
    </row>
    <row r="246" spans="2:39">
      <c r="B246" s="635"/>
      <c r="C246" s="354">
        <v>29</v>
      </c>
      <c r="D246" s="354"/>
      <c r="E246" s="354"/>
      <c r="F246" s="354"/>
      <c r="G246" s="354"/>
      <c r="H246" s="653"/>
      <c r="I246" s="365"/>
      <c r="J246" s="365"/>
      <c r="K246" s="365"/>
      <c r="L246" s="673"/>
      <c r="M246" s="365" t="e">
        <f>RANK(K246, K$218:$K$247)</f>
        <v>#DIV/0!</v>
      </c>
      <c r="N246" s="108"/>
      <c r="O246" s="108"/>
      <c r="P246" s="108"/>
      <c r="Q246" s="108"/>
      <c r="R246" s="108"/>
      <c r="S246" s="108"/>
      <c r="T246" s="108"/>
      <c r="X246" s="108"/>
      <c r="AC246" s="108"/>
      <c r="AH246" s="108"/>
      <c r="AM246" s="108"/>
    </row>
    <row r="247" spans="2:39">
      <c r="B247" s="635"/>
      <c r="C247" s="354">
        <v>30</v>
      </c>
      <c r="D247" s="354"/>
      <c r="E247" s="354"/>
      <c r="F247" s="354"/>
      <c r="G247" s="354"/>
      <c r="H247" s="653"/>
      <c r="I247" s="365"/>
      <c r="J247" s="365"/>
      <c r="K247" s="365"/>
      <c r="L247" s="673"/>
      <c r="M247" s="365" t="e">
        <f>RANK(K247, K$218:$K$247)</f>
        <v>#DIV/0!</v>
      </c>
      <c r="N247" s="108"/>
      <c r="O247" s="108"/>
      <c r="P247" s="108"/>
      <c r="Q247" s="108"/>
      <c r="R247" s="108"/>
      <c r="S247" s="108"/>
      <c r="T247" s="108"/>
      <c r="X247" s="108"/>
      <c r="AC247" s="108"/>
      <c r="AH247" s="108"/>
      <c r="AM247" s="108"/>
    </row>
    <row r="250" spans="2:39">
      <c r="D250" s="354" t="s">
        <v>328</v>
      </c>
      <c r="E250" s="354">
        <v>4</v>
      </c>
      <c r="F250" s="354">
        <v>2700</v>
      </c>
      <c r="G250" s="354">
        <f>F250/E250</f>
        <v>675</v>
      </c>
      <c r="H250" s="107">
        <v>704.2</v>
      </c>
      <c r="N250" s="108"/>
      <c r="O250" s="108"/>
      <c r="P250" s="108"/>
      <c r="Q250" s="108"/>
      <c r="R250" s="108"/>
      <c r="S250" s="108"/>
      <c r="T250" s="108"/>
      <c r="X250" s="108"/>
      <c r="AC250" s="108"/>
      <c r="AH250" s="108"/>
      <c r="AM250" s="108"/>
    </row>
    <row r="251" spans="2:39">
      <c r="D251" s="354" t="s">
        <v>330</v>
      </c>
      <c r="E251" s="354">
        <v>3</v>
      </c>
      <c r="F251" s="354">
        <v>2700</v>
      </c>
      <c r="G251" s="354">
        <f t="shared" ref="G251:G255" si="74">F251/E251</f>
        <v>900</v>
      </c>
      <c r="N251" s="108"/>
      <c r="O251" s="108"/>
      <c r="P251" s="108"/>
      <c r="Q251" s="108"/>
      <c r="R251" s="108"/>
      <c r="S251" s="108"/>
      <c r="T251" s="108"/>
      <c r="X251" s="108"/>
      <c r="AC251" s="108"/>
      <c r="AH251" s="108"/>
      <c r="AM251" s="108"/>
    </row>
    <row r="252" spans="2:39">
      <c r="D252" s="354" t="s">
        <v>331</v>
      </c>
      <c r="E252" s="354">
        <v>4</v>
      </c>
      <c r="F252" s="354">
        <v>2700</v>
      </c>
      <c r="G252" s="354">
        <f t="shared" si="74"/>
        <v>675</v>
      </c>
      <c r="N252" s="108"/>
      <c r="O252" s="108"/>
      <c r="P252" s="108"/>
      <c r="Q252" s="108"/>
      <c r="R252" s="108"/>
      <c r="S252" s="108"/>
      <c r="T252" s="108"/>
      <c r="X252" s="108"/>
      <c r="AC252" s="108"/>
      <c r="AH252" s="108"/>
      <c r="AM252" s="108"/>
    </row>
    <row r="253" spans="2:39">
      <c r="D253" s="354" t="s">
        <v>426</v>
      </c>
      <c r="E253" s="354">
        <v>4</v>
      </c>
      <c r="F253" s="354">
        <v>2700</v>
      </c>
      <c r="G253" s="354">
        <f t="shared" si="74"/>
        <v>675</v>
      </c>
      <c r="N253" s="108"/>
      <c r="O253" s="108"/>
      <c r="P253" s="108"/>
      <c r="Q253" s="108"/>
      <c r="R253" s="108"/>
      <c r="S253" s="108"/>
      <c r="T253" s="108"/>
      <c r="X253" s="108"/>
      <c r="AC253" s="108"/>
      <c r="AH253" s="108"/>
      <c r="AM253" s="108"/>
    </row>
    <row r="254" spans="2:39">
      <c r="D254" s="353" t="s">
        <v>521</v>
      </c>
      <c r="E254" s="354">
        <v>4</v>
      </c>
      <c r="F254" s="354">
        <v>2600</v>
      </c>
      <c r="G254" s="354">
        <f t="shared" si="74"/>
        <v>650</v>
      </c>
      <c r="N254" s="108"/>
      <c r="O254" s="108"/>
      <c r="P254" s="108"/>
      <c r="Q254" s="108"/>
      <c r="R254" s="108"/>
      <c r="S254" s="108"/>
      <c r="T254" s="108"/>
      <c r="X254" s="108"/>
      <c r="AC254" s="108"/>
      <c r="AH254" s="108"/>
      <c r="AM254" s="108"/>
    </row>
    <row r="255" spans="2:39">
      <c r="D255" s="353" t="s">
        <v>522</v>
      </c>
      <c r="E255" s="354">
        <v>4</v>
      </c>
      <c r="F255" s="354">
        <v>2600</v>
      </c>
      <c r="G255" s="354">
        <f t="shared" si="74"/>
        <v>650</v>
      </c>
      <c r="N255" s="108"/>
      <c r="O255" s="108"/>
      <c r="P255" s="108"/>
      <c r="Q255" s="108"/>
      <c r="R255" s="108"/>
      <c r="S255" s="108"/>
      <c r="T255" s="108"/>
      <c r="X255" s="108"/>
      <c r="AC255" s="108"/>
      <c r="AH255" s="108"/>
      <c r="AM255" s="108"/>
    </row>
    <row r="257" spans="4:8" s="108" customFormat="1">
      <c r="D257" s="354" t="s">
        <v>328</v>
      </c>
      <c r="E257" s="354">
        <v>4</v>
      </c>
      <c r="F257" s="354">
        <v>3300</v>
      </c>
      <c r="G257" s="354">
        <f>F257/E257</f>
        <v>825</v>
      </c>
      <c r="H257" s="107">
        <v>845.8</v>
      </c>
    </row>
    <row r="258" spans="4:8" s="108" customFormat="1">
      <c r="D258" s="354" t="s">
        <v>330</v>
      </c>
      <c r="E258" s="354">
        <v>3</v>
      </c>
      <c r="F258" s="354">
        <v>3300</v>
      </c>
      <c r="G258" s="354">
        <f t="shared" ref="G258:G262" si="75">F258/E258</f>
        <v>1100</v>
      </c>
      <c r="H258" s="107"/>
    </row>
    <row r="259" spans="4:8" s="108" customFormat="1">
      <c r="D259" s="354" t="s">
        <v>331</v>
      </c>
      <c r="E259" s="354">
        <v>4</v>
      </c>
      <c r="F259" s="354">
        <v>3300</v>
      </c>
      <c r="G259" s="354">
        <f t="shared" si="75"/>
        <v>825</v>
      </c>
      <c r="H259" s="107"/>
    </row>
    <row r="260" spans="4:8" s="108" customFormat="1">
      <c r="D260" s="354" t="s">
        <v>426</v>
      </c>
      <c r="E260" s="354">
        <v>4</v>
      </c>
      <c r="F260" s="354">
        <v>3100</v>
      </c>
      <c r="G260" s="354">
        <f t="shared" si="75"/>
        <v>775</v>
      </c>
      <c r="H260" s="107"/>
    </row>
    <row r="261" spans="4:8" s="108" customFormat="1">
      <c r="D261" s="353" t="s">
        <v>521</v>
      </c>
      <c r="E261" s="354">
        <v>4</v>
      </c>
      <c r="F261" s="354">
        <v>3100</v>
      </c>
      <c r="G261" s="354">
        <f t="shared" si="75"/>
        <v>775</v>
      </c>
      <c r="H261" s="107"/>
    </row>
    <row r="262" spans="4:8" s="108" customFormat="1">
      <c r="D262" s="353" t="s">
        <v>522</v>
      </c>
      <c r="E262" s="354">
        <v>4</v>
      </c>
      <c r="F262" s="354">
        <v>3100</v>
      </c>
      <c r="G262" s="354">
        <f t="shared" si="75"/>
        <v>775</v>
      </c>
      <c r="H262" s="107"/>
    </row>
  </sheetData>
  <mergeCells count="372">
    <mergeCell ref="B218:B247"/>
    <mergeCell ref="H218:H247"/>
    <mergeCell ref="L218:L247"/>
    <mergeCell ref="T182:T211"/>
    <mergeCell ref="Y182:Y211"/>
    <mergeCell ref="AD182:AD211"/>
    <mergeCell ref="AI182:AI211"/>
    <mergeCell ref="AN182:AN211"/>
    <mergeCell ref="AS182:AS211"/>
    <mergeCell ref="AX182:AX211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H182:H211"/>
    <mergeCell ref="L182:L211"/>
    <mergeCell ref="AE179:AH179"/>
    <mergeCell ref="AI179:AI181"/>
    <mergeCell ref="AJ179:AM179"/>
    <mergeCell ref="AN179:AN181"/>
    <mergeCell ref="AO179:AR179"/>
    <mergeCell ref="AS179:AS181"/>
    <mergeCell ref="AT179:AW179"/>
    <mergeCell ref="AX179:AX181"/>
    <mergeCell ref="P180:S180"/>
    <mergeCell ref="U180:X180"/>
    <mergeCell ref="Z180:AC180"/>
    <mergeCell ref="AE180:AH180"/>
    <mergeCell ref="AJ180:AM180"/>
    <mergeCell ref="AO180:AR180"/>
    <mergeCell ref="AT180:AW180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B177:H178"/>
    <mergeCell ref="N177:N178"/>
    <mergeCell ref="O177:O178"/>
    <mergeCell ref="P177:T177"/>
    <mergeCell ref="U177:Y177"/>
    <mergeCell ref="Z177:AD177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E180:G180"/>
    <mergeCell ref="I180:K180"/>
    <mergeCell ref="B182:B211"/>
    <mergeCell ref="B2:H3"/>
    <mergeCell ref="B7:B36"/>
    <mergeCell ref="B4:B6"/>
    <mergeCell ref="C4:D6"/>
    <mergeCell ref="H4:H6"/>
    <mergeCell ref="H7:H36"/>
    <mergeCell ref="E5:G5"/>
    <mergeCell ref="M4:M6"/>
    <mergeCell ref="T4:T6"/>
    <mergeCell ref="T7:T36"/>
    <mergeCell ref="N4:N36"/>
    <mergeCell ref="O4:O36"/>
    <mergeCell ref="E4:G4"/>
    <mergeCell ref="O2:O3"/>
    <mergeCell ref="P3:T3"/>
    <mergeCell ref="I4:K4"/>
    <mergeCell ref="L4:L6"/>
    <mergeCell ref="I5:K5"/>
    <mergeCell ref="L7:L36"/>
    <mergeCell ref="N37:N38"/>
    <mergeCell ref="O37:O38"/>
    <mergeCell ref="P37:T37"/>
    <mergeCell ref="U37:Y37"/>
    <mergeCell ref="Z37:AD37"/>
    <mergeCell ref="Z2:AD2"/>
    <mergeCell ref="AD4:AD6"/>
    <mergeCell ref="AD7:AD36"/>
    <mergeCell ref="AE2:AI2"/>
    <mergeCell ref="AI4:AI6"/>
    <mergeCell ref="AI7:AI36"/>
    <mergeCell ref="P2:T2"/>
    <mergeCell ref="Z4:AC4"/>
    <mergeCell ref="Z5:AC5"/>
    <mergeCell ref="U2:Y2"/>
    <mergeCell ref="Y4:Y6"/>
    <mergeCell ref="Y7:Y36"/>
    <mergeCell ref="N2:N3"/>
    <mergeCell ref="P38:T38"/>
    <mergeCell ref="U38:Y38"/>
    <mergeCell ref="Z38:AD38"/>
    <mergeCell ref="AE38:AI38"/>
    <mergeCell ref="U3:Y3"/>
    <mergeCell ref="Z3:AD3"/>
    <mergeCell ref="AD77:AD106"/>
    <mergeCell ref="AI77:AI106"/>
    <mergeCell ref="AN77:AN106"/>
    <mergeCell ref="AS77:AS106"/>
    <mergeCell ref="AE4:AH4"/>
    <mergeCell ref="AE5:AH5"/>
    <mergeCell ref="AJ4:AM4"/>
    <mergeCell ref="AJ5:AM5"/>
    <mergeCell ref="AE75:AH75"/>
    <mergeCell ref="N142:N143"/>
    <mergeCell ref="O142:O143"/>
    <mergeCell ref="P142:T142"/>
    <mergeCell ref="U142:Y142"/>
    <mergeCell ref="Z142:AD142"/>
    <mergeCell ref="AE142:AI142"/>
    <mergeCell ref="P109:S109"/>
    <mergeCell ref="U109:X109"/>
    <mergeCell ref="AD109:AD111"/>
    <mergeCell ref="AI109:AI111"/>
    <mergeCell ref="Z109:AC109"/>
    <mergeCell ref="AE109:AH109"/>
    <mergeCell ref="N109:N141"/>
    <mergeCell ref="O109:O141"/>
    <mergeCell ref="AE143:AI143"/>
    <mergeCell ref="AJ2:AN2"/>
    <mergeCell ref="AJ3:AN3"/>
    <mergeCell ref="AN4:AN6"/>
    <mergeCell ref="AN7:AN36"/>
    <mergeCell ref="AJ72:AN72"/>
    <mergeCell ref="AO72:AS72"/>
    <mergeCell ref="Z73:AD73"/>
    <mergeCell ref="AE73:AI73"/>
    <mergeCell ref="AJ73:AN73"/>
    <mergeCell ref="AO73:AS73"/>
    <mergeCell ref="AJ37:AN37"/>
    <mergeCell ref="AO37:AS37"/>
    <mergeCell ref="AJ38:AN38"/>
    <mergeCell ref="AO38:AS38"/>
    <mergeCell ref="AE37:AI37"/>
    <mergeCell ref="AJ39:AM39"/>
    <mergeCell ref="AO39:AR39"/>
    <mergeCell ref="AO40:AR40"/>
    <mergeCell ref="AN39:AN41"/>
    <mergeCell ref="AE39:AH39"/>
    <mergeCell ref="AE3:AI3"/>
    <mergeCell ref="AD147:AD176"/>
    <mergeCell ref="AI147:AI176"/>
    <mergeCell ref="AN147:AN176"/>
    <mergeCell ref="AS147:AS176"/>
    <mergeCell ref="AS144:AS146"/>
    <mergeCell ref="AJ142:AN142"/>
    <mergeCell ref="AO142:AS142"/>
    <mergeCell ref="AJ107:AN107"/>
    <mergeCell ref="AO107:AS107"/>
    <mergeCell ref="AJ143:AN143"/>
    <mergeCell ref="AO143:AS143"/>
    <mergeCell ref="AD112:AD141"/>
    <mergeCell ref="AI112:AI141"/>
    <mergeCell ref="Z143:AD143"/>
    <mergeCell ref="Z107:AD107"/>
    <mergeCell ref="AN109:AN111"/>
    <mergeCell ref="AJ109:AM109"/>
    <mergeCell ref="AN112:AN141"/>
    <mergeCell ref="AS112:AS141"/>
    <mergeCell ref="AO108:AS108"/>
    <mergeCell ref="AS109:AS111"/>
    <mergeCell ref="B37:H38"/>
    <mergeCell ref="B39:B41"/>
    <mergeCell ref="AX144:AX146"/>
    <mergeCell ref="AX147:AX176"/>
    <mergeCell ref="AT107:AX107"/>
    <mergeCell ref="AT108:AX108"/>
    <mergeCell ref="AX109:AX111"/>
    <mergeCell ref="AX112:AX141"/>
    <mergeCell ref="AT72:AX72"/>
    <mergeCell ref="AT73:AX73"/>
    <mergeCell ref="AX74:AX76"/>
    <mergeCell ref="AX77:AX106"/>
    <mergeCell ref="AT142:AX142"/>
    <mergeCell ref="AT143:AX143"/>
    <mergeCell ref="N144:N176"/>
    <mergeCell ref="O144:O176"/>
    <mergeCell ref="T144:T146"/>
    <mergeCell ref="Y144:Y146"/>
    <mergeCell ref="T147:T176"/>
    <mergeCell ref="Y147:Y176"/>
    <mergeCell ref="T112:T141"/>
    <mergeCell ref="Y112:Y141"/>
    <mergeCell ref="P143:T143"/>
    <mergeCell ref="U143:Y143"/>
    <mergeCell ref="AX39:AX41"/>
    <mergeCell ref="AX42:AX71"/>
    <mergeCell ref="AT40:AW40"/>
    <mergeCell ref="B77:B106"/>
    <mergeCell ref="H77:H106"/>
    <mergeCell ref="B107:H108"/>
    <mergeCell ref="B109:B111"/>
    <mergeCell ref="C109:D111"/>
    <mergeCell ref="E109:G109"/>
    <mergeCell ref="H109:H111"/>
    <mergeCell ref="E110:G110"/>
    <mergeCell ref="B42:B71"/>
    <mergeCell ref="H42:H71"/>
    <mergeCell ref="B72:H73"/>
    <mergeCell ref="B74:B76"/>
    <mergeCell ref="C74:D76"/>
    <mergeCell ref="E74:G74"/>
    <mergeCell ref="H74:H76"/>
    <mergeCell ref="E75:G75"/>
    <mergeCell ref="AJ75:AM75"/>
    <mergeCell ref="N107:N108"/>
    <mergeCell ref="O107:O108"/>
    <mergeCell ref="P107:T107"/>
    <mergeCell ref="U107:Y107"/>
    <mergeCell ref="AT2:AX2"/>
    <mergeCell ref="AT3:AX3"/>
    <mergeCell ref="AX4:AX6"/>
    <mergeCell ref="AX7:AX36"/>
    <mergeCell ref="AT4:AW4"/>
    <mergeCell ref="AT5:AW5"/>
    <mergeCell ref="AO2:AS2"/>
    <mergeCell ref="AO3:AS3"/>
    <mergeCell ref="AS4:AS6"/>
    <mergeCell ref="AS7:AS36"/>
    <mergeCell ref="AO4:AR4"/>
    <mergeCell ref="AO5:AR5"/>
    <mergeCell ref="AT37:AX37"/>
    <mergeCell ref="AT38:AX38"/>
    <mergeCell ref="E39:G39"/>
    <mergeCell ref="H39:H41"/>
    <mergeCell ref="E40:G40"/>
    <mergeCell ref="N72:N73"/>
    <mergeCell ref="O72:O73"/>
    <mergeCell ref="P72:T72"/>
    <mergeCell ref="U72:Y72"/>
    <mergeCell ref="Z72:AD72"/>
    <mergeCell ref="N39:N71"/>
    <mergeCell ref="O39:O71"/>
    <mergeCell ref="AS39:AS41"/>
    <mergeCell ref="AN42:AN71"/>
    <mergeCell ref="AS42:AS71"/>
    <mergeCell ref="T42:T71"/>
    <mergeCell ref="Y42:Y71"/>
    <mergeCell ref="AD42:AD71"/>
    <mergeCell ref="AI42:AI71"/>
    <mergeCell ref="AT39:AW39"/>
    <mergeCell ref="U40:X40"/>
    <mergeCell ref="Z40:AC40"/>
    <mergeCell ref="AE40:AH40"/>
    <mergeCell ref="AJ40:AM40"/>
    <mergeCell ref="B147:B176"/>
    <mergeCell ref="H147:H176"/>
    <mergeCell ref="P5:S5"/>
    <mergeCell ref="P4:S4"/>
    <mergeCell ref="U4:X4"/>
    <mergeCell ref="U5:X5"/>
    <mergeCell ref="P39:S39"/>
    <mergeCell ref="U39:X39"/>
    <mergeCell ref="P74:S74"/>
    <mergeCell ref="U74:X74"/>
    <mergeCell ref="B112:B141"/>
    <mergeCell ref="H112:H141"/>
    <mergeCell ref="B142:H143"/>
    <mergeCell ref="B144:B146"/>
    <mergeCell ref="C144:D146"/>
    <mergeCell ref="E144:G144"/>
    <mergeCell ref="H144:H146"/>
    <mergeCell ref="E145:G145"/>
    <mergeCell ref="P75:S75"/>
    <mergeCell ref="U75:X75"/>
    <mergeCell ref="M39:M41"/>
    <mergeCell ref="M74:M76"/>
    <mergeCell ref="M109:M111"/>
    <mergeCell ref="C39:D41"/>
    <mergeCell ref="Y39:Y41"/>
    <mergeCell ref="AD39:AD41"/>
    <mergeCell ref="AI39:AI41"/>
    <mergeCell ref="Z39:AC39"/>
    <mergeCell ref="P144:S144"/>
    <mergeCell ref="U144:X144"/>
    <mergeCell ref="AD144:AD146"/>
    <mergeCell ref="AI144:AI146"/>
    <mergeCell ref="AN144:AN146"/>
    <mergeCell ref="Z144:AC144"/>
    <mergeCell ref="AE144:AH144"/>
    <mergeCell ref="AJ144:AM144"/>
    <mergeCell ref="T74:T76"/>
    <mergeCell ref="Y74:Y76"/>
    <mergeCell ref="T77:T106"/>
    <mergeCell ref="Y77:Y106"/>
    <mergeCell ref="P108:T108"/>
    <mergeCell ref="U108:Y108"/>
    <mergeCell ref="Z108:AD108"/>
    <mergeCell ref="T39:T41"/>
    <mergeCell ref="P40:S40"/>
    <mergeCell ref="Z75:AC75"/>
    <mergeCell ref="Z74:AC74"/>
    <mergeCell ref="AD74:AD76"/>
    <mergeCell ref="M144:M146"/>
    <mergeCell ref="AO109:AR109"/>
    <mergeCell ref="AT109:AW109"/>
    <mergeCell ref="P110:S110"/>
    <mergeCell ref="U110:X110"/>
    <mergeCell ref="Z110:AC110"/>
    <mergeCell ref="AE110:AH110"/>
    <mergeCell ref="AE72:AI72"/>
    <mergeCell ref="AE107:AI107"/>
    <mergeCell ref="AS74:AS76"/>
    <mergeCell ref="AE74:AH74"/>
    <mergeCell ref="AI74:AI76"/>
    <mergeCell ref="AN74:AN76"/>
    <mergeCell ref="AJ74:AM74"/>
    <mergeCell ref="AE108:AI108"/>
    <mergeCell ref="AO75:AR75"/>
    <mergeCell ref="AT75:AW75"/>
    <mergeCell ref="AO74:AR74"/>
    <mergeCell ref="AT74:AW74"/>
    <mergeCell ref="P73:T73"/>
    <mergeCell ref="U73:Y73"/>
    <mergeCell ref="AJ108:AN108"/>
    <mergeCell ref="N74:N106"/>
    <mergeCell ref="O74:O106"/>
    <mergeCell ref="I39:K39"/>
    <mergeCell ref="L39:L41"/>
    <mergeCell ref="I40:K40"/>
    <mergeCell ref="L42:L71"/>
    <mergeCell ref="I74:K74"/>
    <mergeCell ref="L74:L76"/>
    <mergeCell ref="I75:K75"/>
    <mergeCell ref="L77:L106"/>
    <mergeCell ref="I109:K109"/>
    <mergeCell ref="L109:L111"/>
    <mergeCell ref="I110:K110"/>
    <mergeCell ref="BA42:BA71"/>
    <mergeCell ref="BA77:BA106"/>
    <mergeCell ref="BA112:BA141"/>
    <mergeCell ref="BA147:BA176"/>
    <mergeCell ref="BA182:BA211"/>
    <mergeCell ref="L112:L141"/>
    <mergeCell ref="I144:K144"/>
    <mergeCell ref="L144:L146"/>
    <mergeCell ref="I145:K145"/>
    <mergeCell ref="L147:L176"/>
    <mergeCell ref="AJ110:AM110"/>
    <mergeCell ref="AO110:AR110"/>
    <mergeCell ref="AT110:AW110"/>
    <mergeCell ref="T109:T111"/>
    <mergeCell ref="Y109:Y111"/>
    <mergeCell ref="AO144:AR144"/>
    <mergeCell ref="AT144:AW144"/>
    <mergeCell ref="P145:S145"/>
    <mergeCell ref="U145:X145"/>
    <mergeCell ref="Z145:AC145"/>
    <mergeCell ref="AE145:AH145"/>
    <mergeCell ref="AJ145:AM145"/>
    <mergeCell ref="AO145:AR145"/>
    <mergeCell ref="AT145:AW145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CC"/>
  </sheetPr>
  <dimension ref="A1:BB142"/>
  <sheetViews>
    <sheetView topLeftCell="A57" zoomScale="55" zoomScaleNormal="55" workbookViewId="0">
      <pane xSplit="15" topLeftCell="P1" activePane="topRight" state="frozen"/>
      <selection activeCell="P38" sqref="P38:T38"/>
      <selection pane="topRight" activeCell="T87" sqref="S87:T10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18" t="s">
        <v>307</v>
      </c>
      <c r="C1" s="217">
        <f>AVERAGE(L7,L27,L47,L87,L87,L107)</f>
        <v>144.1597308165511</v>
      </c>
    </row>
    <row r="2" spans="1:54" ht="15.75">
      <c r="A2" s="81"/>
      <c r="B2" s="643" t="s">
        <v>496</v>
      </c>
      <c r="C2" s="643"/>
      <c r="D2" s="643"/>
      <c r="E2" s="643"/>
      <c r="F2" s="643"/>
      <c r="G2" s="643"/>
      <c r="H2" s="643"/>
      <c r="I2" s="355"/>
      <c r="J2" s="355"/>
      <c r="K2" s="355"/>
      <c r="L2" s="355"/>
      <c r="M2" s="197"/>
      <c r="N2" s="639" t="s">
        <v>497</v>
      </c>
      <c r="O2" s="639" t="s">
        <v>498</v>
      </c>
      <c r="P2" s="634"/>
      <c r="Q2" s="635"/>
      <c r="R2" s="635"/>
      <c r="S2" s="635"/>
      <c r="T2" s="635"/>
      <c r="U2" s="636">
        <v>46204</v>
      </c>
      <c r="V2" s="637"/>
      <c r="W2" s="637"/>
      <c r="X2" s="637"/>
      <c r="Y2" s="638"/>
      <c r="Z2" s="636">
        <f>U2+1</f>
        <v>46205</v>
      </c>
      <c r="AA2" s="637"/>
      <c r="AB2" s="637"/>
      <c r="AC2" s="637"/>
      <c r="AD2" s="638"/>
      <c r="AE2" s="636">
        <f>Z2+1</f>
        <v>46206</v>
      </c>
      <c r="AF2" s="637"/>
      <c r="AG2" s="637"/>
      <c r="AH2" s="637"/>
      <c r="AI2" s="638"/>
      <c r="AJ2" s="636">
        <f>AE2+1</f>
        <v>46207</v>
      </c>
      <c r="AK2" s="637"/>
      <c r="AL2" s="637"/>
      <c r="AM2" s="637"/>
      <c r="AN2" s="638"/>
      <c r="AO2" s="636">
        <f>AJ2+1</f>
        <v>46208</v>
      </c>
      <c r="AP2" s="637"/>
      <c r="AQ2" s="637"/>
      <c r="AR2" s="637"/>
      <c r="AS2" s="638"/>
      <c r="AT2" s="636">
        <f>AO2+1</f>
        <v>46209</v>
      </c>
      <c r="AU2" s="637"/>
      <c r="AV2" s="637"/>
      <c r="AW2" s="637"/>
      <c r="AX2" s="638"/>
    </row>
    <row r="3" spans="1:54" ht="15.75">
      <c r="A3" s="81"/>
      <c r="B3" s="659"/>
      <c r="C3" s="659"/>
      <c r="D3" s="659"/>
      <c r="E3" s="659"/>
      <c r="F3" s="659"/>
      <c r="G3" s="659"/>
      <c r="H3" s="659"/>
      <c r="I3" s="356"/>
      <c r="J3" s="356"/>
      <c r="K3" s="356"/>
      <c r="L3" s="356"/>
      <c r="M3" s="198"/>
      <c r="N3" s="641"/>
      <c r="O3" s="641"/>
      <c r="P3" s="634" t="s">
        <v>499</v>
      </c>
      <c r="Q3" s="635"/>
      <c r="R3" s="635"/>
      <c r="S3" s="635"/>
      <c r="T3" s="635"/>
      <c r="U3" s="634" t="s">
        <v>500</v>
      </c>
      <c r="V3" s="635"/>
      <c r="W3" s="635"/>
      <c r="X3" s="635"/>
      <c r="Y3" s="635"/>
      <c r="Z3" s="634" t="s">
        <v>501</v>
      </c>
      <c r="AA3" s="635"/>
      <c r="AB3" s="635"/>
      <c r="AC3" s="635"/>
      <c r="AD3" s="635"/>
      <c r="AE3" s="634" t="s">
        <v>502</v>
      </c>
      <c r="AF3" s="635"/>
      <c r="AG3" s="635"/>
      <c r="AH3" s="635"/>
      <c r="AI3" s="635"/>
      <c r="AJ3" s="634" t="s">
        <v>503</v>
      </c>
      <c r="AK3" s="635"/>
      <c r="AL3" s="635"/>
      <c r="AM3" s="635"/>
      <c r="AN3" s="635"/>
      <c r="AO3" s="634" t="s">
        <v>504</v>
      </c>
      <c r="AP3" s="635"/>
      <c r="AQ3" s="635"/>
      <c r="AR3" s="635"/>
      <c r="AS3" s="635"/>
      <c r="AT3" s="634" t="s">
        <v>505</v>
      </c>
      <c r="AU3" s="635"/>
      <c r="AV3" s="635"/>
      <c r="AW3" s="635"/>
      <c r="AX3" s="635"/>
    </row>
    <row r="4" spans="1:54" ht="14.25">
      <c r="A4" s="81"/>
      <c r="B4" s="624" t="s">
        <v>760</v>
      </c>
      <c r="C4" s="624" t="s">
        <v>761</v>
      </c>
      <c r="D4" s="624"/>
      <c r="E4" s="624" t="s">
        <v>762</v>
      </c>
      <c r="F4" s="624"/>
      <c r="G4" s="624"/>
      <c r="H4" s="647" t="s">
        <v>763</v>
      </c>
      <c r="I4" s="617" t="s">
        <v>764</v>
      </c>
      <c r="J4" s="617"/>
      <c r="K4" s="617"/>
      <c r="L4" s="618" t="s">
        <v>763</v>
      </c>
      <c r="M4" s="628" t="s">
        <v>773</v>
      </c>
      <c r="N4" s="624"/>
      <c r="O4" s="624" t="s">
        <v>691</v>
      </c>
      <c r="P4" s="621" t="s">
        <v>674</v>
      </c>
      <c r="Q4" s="622"/>
      <c r="R4" s="622"/>
      <c r="S4" s="623"/>
      <c r="T4" s="624" t="s">
        <v>669</v>
      </c>
      <c r="U4" s="621" t="s">
        <v>674</v>
      </c>
      <c r="V4" s="622"/>
      <c r="W4" s="622"/>
      <c r="X4" s="623"/>
      <c r="Y4" s="624" t="s">
        <v>669</v>
      </c>
      <c r="Z4" s="621" t="s">
        <v>674</v>
      </c>
      <c r="AA4" s="622"/>
      <c r="AB4" s="622"/>
      <c r="AC4" s="623"/>
      <c r="AD4" s="624" t="s">
        <v>669</v>
      </c>
      <c r="AE4" s="621" t="s">
        <v>674</v>
      </c>
      <c r="AF4" s="622"/>
      <c r="AG4" s="622"/>
      <c r="AH4" s="623"/>
      <c r="AI4" s="624" t="s">
        <v>669</v>
      </c>
      <c r="AJ4" s="621" t="s">
        <v>674</v>
      </c>
      <c r="AK4" s="622"/>
      <c r="AL4" s="622"/>
      <c r="AM4" s="623"/>
      <c r="AN4" s="624" t="s">
        <v>669</v>
      </c>
      <c r="AO4" s="621" t="s">
        <v>674</v>
      </c>
      <c r="AP4" s="622"/>
      <c r="AQ4" s="622"/>
      <c r="AR4" s="623"/>
      <c r="AS4" s="624" t="s">
        <v>669</v>
      </c>
      <c r="AT4" s="621" t="s">
        <v>674</v>
      </c>
      <c r="AU4" s="622"/>
      <c r="AV4" s="622"/>
      <c r="AW4" s="623"/>
      <c r="AX4" s="624" t="s">
        <v>669</v>
      </c>
    </row>
    <row r="5" spans="1:54" ht="14.25">
      <c r="A5" s="81"/>
      <c r="B5" s="624"/>
      <c r="C5" s="624"/>
      <c r="D5" s="624"/>
      <c r="E5" s="624" t="s">
        <v>765</v>
      </c>
      <c r="F5" s="624"/>
      <c r="G5" s="624"/>
      <c r="H5" s="648"/>
      <c r="I5" s="617" t="s">
        <v>765</v>
      </c>
      <c r="J5" s="617"/>
      <c r="K5" s="617"/>
      <c r="L5" s="619"/>
      <c r="M5" s="629"/>
      <c r="N5" s="624"/>
      <c r="O5" s="624"/>
      <c r="P5" s="621" t="s">
        <v>683</v>
      </c>
      <c r="Q5" s="622"/>
      <c r="R5" s="622"/>
      <c r="S5" s="623"/>
      <c r="T5" s="624"/>
      <c r="U5" s="621" t="s">
        <v>683</v>
      </c>
      <c r="V5" s="622"/>
      <c r="W5" s="622"/>
      <c r="X5" s="623"/>
      <c r="Y5" s="624"/>
      <c r="Z5" s="621" t="s">
        <v>683</v>
      </c>
      <c r="AA5" s="622"/>
      <c r="AB5" s="622"/>
      <c r="AC5" s="623"/>
      <c r="AD5" s="624"/>
      <c r="AE5" s="621" t="s">
        <v>683</v>
      </c>
      <c r="AF5" s="622"/>
      <c r="AG5" s="622"/>
      <c r="AH5" s="623"/>
      <c r="AI5" s="624"/>
      <c r="AJ5" s="621" t="s">
        <v>683</v>
      </c>
      <c r="AK5" s="622"/>
      <c r="AL5" s="622"/>
      <c r="AM5" s="623"/>
      <c r="AN5" s="624"/>
      <c r="AO5" s="621" t="s">
        <v>683</v>
      </c>
      <c r="AP5" s="622"/>
      <c r="AQ5" s="622"/>
      <c r="AR5" s="623"/>
      <c r="AS5" s="624"/>
      <c r="AT5" s="621" t="s">
        <v>683</v>
      </c>
      <c r="AU5" s="622"/>
      <c r="AV5" s="622"/>
      <c r="AW5" s="623"/>
      <c r="AX5" s="624"/>
    </row>
    <row r="6" spans="1:54" ht="14.25">
      <c r="A6" s="79"/>
      <c r="B6" s="624"/>
      <c r="C6" s="624"/>
      <c r="D6" s="624"/>
      <c r="E6" s="482" t="s">
        <v>766</v>
      </c>
      <c r="F6" s="482" t="s">
        <v>767</v>
      </c>
      <c r="G6" s="482" t="s">
        <v>768</v>
      </c>
      <c r="H6" s="649"/>
      <c r="I6" s="481" t="s">
        <v>766</v>
      </c>
      <c r="J6" s="481" t="s">
        <v>767</v>
      </c>
      <c r="K6" s="481" t="s">
        <v>768</v>
      </c>
      <c r="L6" s="620"/>
      <c r="M6" s="630"/>
      <c r="N6" s="624"/>
      <c r="O6" s="624"/>
      <c r="P6" s="429" t="s">
        <v>671</v>
      </c>
      <c r="Q6" s="429" t="s">
        <v>672</v>
      </c>
      <c r="R6" s="429" t="s">
        <v>673</v>
      </c>
      <c r="S6" s="429" t="s">
        <v>670</v>
      </c>
      <c r="T6" s="624"/>
      <c r="U6" s="429" t="s">
        <v>671</v>
      </c>
      <c r="V6" s="429" t="s">
        <v>672</v>
      </c>
      <c r="W6" s="429" t="s">
        <v>673</v>
      </c>
      <c r="X6" s="429" t="s">
        <v>670</v>
      </c>
      <c r="Y6" s="624"/>
      <c r="Z6" s="429" t="s">
        <v>671</v>
      </c>
      <c r="AA6" s="429" t="s">
        <v>672</v>
      </c>
      <c r="AB6" s="429" t="s">
        <v>673</v>
      </c>
      <c r="AC6" s="429" t="s">
        <v>670</v>
      </c>
      <c r="AD6" s="624"/>
      <c r="AE6" s="429" t="s">
        <v>671</v>
      </c>
      <c r="AF6" s="429" t="s">
        <v>672</v>
      </c>
      <c r="AG6" s="429" t="s">
        <v>673</v>
      </c>
      <c r="AH6" s="429" t="s">
        <v>670</v>
      </c>
      <c r="AI6" s="624"/>
      <c r="AJ6" s="429" t="s">
        <v>671</v>
      </c>
      <c r="AK6" s="429" t="s">
        <v>672</v>
      </c>
      <c r="AL6" s="429" t="s">
        <v>673</v>
      </c>
      <c r="AM6" s="429" t="s">
        <v>670</v>
      </c>
      <c r="AN6" s="624"/>
      <c r="AO6" s="429" t="s">
        <v>671</v>
      </c>
      <c r="AP6" s="429" t="s">
        <v>672</v>
      </c>
      <c r="AQ6" s="429" t="s">
        <v>673</v>
      </c>
      <c r="AR6" s="429" t="s">
        <v>670</v>
      </c>
      <c r="AS6" s="624"/>
      <c r="AT6" s="429" t="s">
        <v>671</v>
      </c>
      <c r="AU6" s="429" t="s">
        <v>672</v>
      </c>
      <c r="AV6" s="429" t="s">
        <v>673</v>
      </c>
      <c r="AW6" s="429" t="s">
        <v>670</v>
      </c>
      <c r="AX6" s="624"/>
    </row>
    <row r="7" spans="1:54" ht="14.25">
      <c r="A7" s="81"/>
      <c r="B7" s="675" t="s">
        <v>774</v>
      </c>
      <c r="C7" s="483">
        <v>1</v>
      </c>
      <c r="D7" s="533" t="s">
        <v>334</v>
      </c>
      <c r="E7" s="529">
        <v>10</v>
      </c>
      <c r="F7" s="529">
        <v>1500</v>
      </c>
      <c r="G7" s="538">
        <v>150</v>
      </c>
      <c r="H7" s="677">
        <f>AVERAGE(G7:G21)</f>
        <v>130</v>
      </c>
      <c r="I7" s="487">
        <f t="shared" ref="I7:K21" si="0">IFERROR(AVERAGE(P7,U7,Z7,AE7,AJ7,AO7,AT7),"-")</f>
        <v>10</v>
      </c>
      <c r="J7" s="487">
        <f t="shared" si="0"/>
        <v>1455.5714285714275</v>
      </c>
      <c r="K7" s="363">
        <f t="shared" si="0"/>
        <v>145.55714285714274</v>
      </c>
      <c r="L7" s="614">
        <f>IFERROR(AVERAGE(K7:K21),"-")</f>
        <v>144.16116343973485</v>
      </c>
      <c r="M7" s="489">
        <f>RANK(K7, K$7:$K$21)</f>
        <v>1</v>
      </c>
      <c r="N7" s="624"/>
      <c r="O7" s="624"/>
      <c r="P7" s="427"/>
      <c r="Q7" s="430"/>
      <c r="R7" s="430"/>
      <c r="S7" s="427"/>
      <c r="T7" s="674"/>
      <c r="U7" s="529">
        <v>10</v>
      </c>
      <c r="V7" s="538">
        <v>1417.7142857142844</v>
      </c>
      <c r="W7" s="538">
        <v>141.77142857142843</v>
      </c>
      <c r="X7" s="529">
        <v>3</v>
      </c>
      <c r="Y7" s="653">
        <v>148.14090354090357</v>
      </c>
      <c r="Z7" s="529">
        <v>10</v>
      </c>
      <c r="AA7" s="538">
        <v>1551.9999999999973</v>
      </c>
      <c r="AB7" s="538">
        <v>155.19999999999973</v>
      </c>
      <c r="AC7" s="529">
        <v>1</v>
      </c>
      <c r="AD7" s="653">
        <v>135.35068027210863</v>
      </c>
      <c r="AE7" s="529">
        <v>10</v>
      </c>
      <c r="AF7" s="538">
        <v>1505.9999999999973</v>
      </c>
      <c r="AG7" s="538">
        <v>150.59999999999974</v>
      </c>
      <c r="AH7" s="529">
        <v>1</v>
      </c>
      <c r="AI7" s="653">
        <v>140.26111111111109</v>
      </c>
      <c r="AJ7" s="529">
        <v>10</v>
      </c>
      <c r="AK7" s="538">
        <v>1363.9999999999975</v>
      </c>
      <c r="AL7" s="538">
        <v>136.39999999999975</v>
      </c>
      <c r="AM7" s="529">
        <v>3</v>
      </c>
      <c r="AN7" s="653">
        <v>145.85555555555558</v>
      </c>
      <c r="AO7" s="529">
        <v>10</v>
      </c>
      <c r="AP7" s="538">
        <v>1443.4285714285768</v>
      </c>
      <c r="AQ7" s="538">
        <v>144.34285714285767</v>
      </c>
      <c r="AR7" s="529">
        <v>3</v>
      </c>
      <c r="AS7" s="653">
        <v>148.16984126984147</v>
      </c>
      <c r="AT7" s="529">
        <v>10</v>
      </c>
      <c r="AU7" s="538">
        <v>1450.2857142857129</v>
      </c>
      <c r="AV7" s="538">
        <v>145.0285714285713</v>
      </c>
      <c r="AW7" s="529">
        <v>3</v>
      </c>
      <c r="AX7" s="653">
        <v>147.18888888888875</v>
      </c>
      <c r="AZ7" s="364" t="e">
        <f>RANK(AX7, $K$7:AX$21)</f>
        <v>#VALUE!</v>
      </c>
      <c r="BB7" s="354" t="e">
        <f>RANK(BA7, BA$7:BA$21)</f>
        <v>#N/A</v>
      </c>
    </row>
    <row r="8" spans="1:54" ht="15" customHeight="1">
      <c r="A8" s="81"/>
      <c r="B8" s="661"/>
      <c r="C8" s="483">
        <v>2</v>
      </c>
      <c r="D8" s="529" t="s">
        <v>623</v>
      </c>
      <c r="E8" s="529">
        <v>15</v>
      </c>
      <c r="F8" s="529">
        <v>1800</v>
      </c>
      <c r="G8" s="538">
        <v>120</v>
      </c>
      <c r="H8" s="678"/>
      <c r="I8" s="487">
        <f t="shared" si="0"/>
        <v>12.333333333333334</v>
      </c>
      <c r="J8" s="487">
        <f t="shared" si="0"/>
        <v>1744.7499999999993</v>
      </c>
      <c r="K8" s="363">
        <f t="shared" si="0"/>
        <v>141.92261904761901</v>
      </c>
      <c r="L8" s="615"/>
      <c r="M8" s="489">
        <f>RANK(K8, K$7:$K$21)</f>
        <v>3</v>
      </c>
      <c r="N8" s="624"/>
      <c r="O8" s="624"/>
      <c r="P8" s="427"/>
      <c r="Q8" s="430"/>
      <c r="R8" s="430"/>
      <c r="S8" s="427"/>
      <c r="T8" s="674"/>
      <c r="U8" s="529">
        <v>12</v>
      </c>
      <c r="V8" s="538">
        <v>1779.2000000000005</v>
      </c>
      <c r="W8" s="538">
        <v>148.26666666666671</v>
      </c>
      <c r="X8" s="529">
        <v>2</v>
      </c>
      <c r="Y8" s="653"/>
      <c r="Z8" s="529">
        <v>14</v>
      </c>
      <c r="AA8" s="538">
        <v>1750.4999999999975</v>
      </c>
      <c r="AB8" s="538">
        <v>125.03571428571411</v>
      </c>
      <c r="AC8" s="529">
        <v>3</v>
      </c>
      <c r="AD8" s="653"/>
      <c r="AE8" s="529">
        <v>12</v>
      </c>
      <c r="AF8" s="538">
        <v>1511.2000000000005</v>
      </c>
      <c r="AG8" s="538">
        <v>125.93333333333338</v>
      </c>
      <c r="AH8" s="529">
        <v>3</v>
      </c>
      <c r="AI8" s="653"/>
      <c r="AJ8" s="529">
        <v>12</v>
      </c>
      <c r="AK8" s="538">
        <v>1813.9999999999991</v>
      </c>
      <c r="AL8" s="538">
        <v>151.1666666666666</v>
      </c>
      <c r="AM8" s="529">
        <v>1</v>
      </c>
      <c r="AN8" s="653"/>
      <c r="AO8" s="529">
        <v>12</v>
      </c>
      <c r="AP8" s="538">
        <v>1819.9999999999986</v>
      </c>
      <c r="AQ8" s="538">
        <v>151.66666666666654</v>
      </c>
      <c r="AR8" s="529">
        <v>1</v>
      </c>
      <c r="AS8" s="653"/>
      <c r="AT8" s="529">
        <v>12</v>
      </c>
      <c r="AU8" s="538">
        <v>1793.6000000000008</v>
      </c>
      <c r="AV8" s="538">
        <v>149.46666666666673</v>
      </c>
      <c r="AW8" s="529">
        <v>1</v>
      </c>
      <c r="AX8" s="653"/>
      <c r="AZ8" s="364" t="e">
        <f>RANK(AX8, $K$7:AX$21)</f>
        <v>#VALUE!</v>
      </c>
      <c r="BB8" s="354" t="e">
        <f t="shared" ref="BB8:BB21" si="1">RANK(BA8, BA$7:BA$21)</f>
        <v>#N/A</v>
      </c>
    </row>
    <row r="9" spans="1:54" ht="14.25">
      <c r="A9" s="81"/>
      <c r="B9" s="661"/>
      <c r="C9" s="483">
        <v>3</v>
      </c>
      <c r="D9" s="529" t="s">
        <v>624</v>
      </c>
      <c r="E9" s="529">
        <v>15</v>
      </c>
      <c r="F9" s="529">
        <v>1800</v>
      </c>
      <c r="G9" s="538">
        <v>120</v>
      </c>
      <c r="H9" s="678"/>
      <c r="I9" s="487">
        <f t="shared" si="0"/>
        <v>12.333333333333334</v>
      </c>
      <c r="J9" s="487">
        <f t="shared" si="0"/>
        <v>1781.9835164835174</v>
      </c>
      <c r="K9" s="363">
        <f t="shared" si="0"/>
        <v>145.00372841444275</v>
      </c>
      <c r="L9" s="615"/>
      <c r="M9" s="489">
        <f>RANK(K9, K$7:$K$21)</f>
        <v>2</v>
      </c>
      <c r="N9" s="624"/>
      <c r="O9" s="624"/>
      <c r="P9" s="427"/>
      <c r="Q9" s="430"/>
      <c r="R9" s="430"/>
      <c r="S9" s="427"/>
      <c r="T9" s="674"/>
      <c r="U9" s="529">
        <v>12</v>
      </c>
      <c r="V9" s="538">
        <v>1852.6153846153866</v>
      </c>
      <c r="W9" s="538">
        <v>154.38461538461556</v>
      </c>
      <c r="X9" s="529">
        <v>1</v>
      </c>
      <c r="Y9" s="653"/>
      <c r="Z9" s="529">
        <v>14</v>
      </c>
      <c r="AA9" s="538">
        <v>1761.4285714285695</v>
      </c>
      <c r="AB9" s="538">
        <v>125.8163265306121</v>
      </c>
      <c r="AC9" s="529">
        <v>2</v>
      </c>
      <c r="AD9" s="653"/>
      <c r="AE9" s="529">
        <v>12</v>
      </c>
      <c r="AF9" s="538">
        <v>1731.0000000000016</v>
      </c>
      <c r="AG9" s="538">
        <v>144.25000000000014</v>
      </c>
      <c r="AH9" s="529">
        <v>2</v>
      </c>
      <c r="AI9" s="653"/>
      <c r="AJ9" s="529">
        <v>12</v>
      </c>
      <c r="AK9" s="538">
        <v>1800.0000000000036</v>
      </c>
      <c r="AL9" s="538">
        <v>150.00000000000031</v>
      </c>
      <c r="AM9" s="529">
        <v>2</v>
      </c>
      <c r="AN9" s="653"/>
      <c r="AO9" s="529">
        <v>12</v>
      </c>
      <c r="AP9" s="538">
        <v>1782.000000000002</v>
      </c>
      <c r="AQ9" s="538">
        <v>148.50000000000017</v>
      </c>
      <c r="AR9" s="529">
        <v>2</v>
      </c>
      <c r="AS9" s="653"/>
      <c r="AT9" s="529">
        <v>12</v>
      </c>
      <c r="AU9" s="538">
        <v>1764.8571428571388</v>
      </c>
      <c r="AV9" s="538">
        <v>147.07142857142824</v>
      </c>
      <c r="AW9" s="529">
        <v>2</v>
      </c>
      <c r="AX9" s="653"/>
      <c r="AZ9" s="364" t="e">
        <f>RANK(AX9, $K$7:AX$21)</f>
        <v>#VALUE!</v>
      </c>
      <c r="BB9" s="354" t="e">
        <f t="shared" si="1"/>
        <v>#N/A</v>
      </c>
    </row>
    <row r="10" spans="1:54" ht="14.25">
      <c r="A10" s="81"/>
      <c r="B10" s="661"/>
      <c r="C10" s="483">
        <v>4</v>
      </c>
      <c r="D10" s="483"/>
      <c r="E10" s="483"/>
      <c r="F10" s="483"/>
      <c r="G10" s="491"/>
      <c r="H10" s="678"/>
      <c r="I10" s="487" t="str">
        <f t="shared" si="0"/>
        <v>-</v>
      </c>
      <c r="J10" s="487" t="str">
        <f t="shared" si="0"/>
        <v>-</v>
      </c>
      <c r="K10" s="363" t="str">
        <f t="shared" si="0"/>
        <v>-</v>
      </c>
      <c r="L10" s="615"/>
      <c r="M10" s="489" t="e">
        <f>RANK(K10, K$7:$K$21)</f>
        <v>#VALUE!</v>
      </c>
      <c r="N10" s="624"/>
      <c r="O10" s="624"/>
      <c r="P10" s="427"/>
      <c r="Q10" s="430"/>
      <c r="R10" s="430"/>
      <c r="S10" s="427"/>
      <c r="T10" s="674"/>
      <c r="U10" s="529" t="s">
        <v>427</v>
      </c>
      <c r="V10" s="538" t="s">
        <v>427</v>
      </c>
      <c r="W10" s="538" t="s">
        <v>427</v>
      </c>
      <c r="X10" s="529"/>
      <c r="Y10" s="653"/>
      <c r="Z10" s="529" t="s">
        <v>427</v>
      </c>
      <c r="AA10" s="538" t="s">
        <v>427</v>
      </c>
      <c r="AB10" s="538" t="s">
        <v>427</v>
      </c>
      <c r="AC10" s="529"/>
      <c r="AD10" s="653"/>
      <c r="AE10" s="529" t="s">
        <v>427</v>
      </c>
      <c r="AF10" s="538" t="s">
        <v>427</v>
      </c>
      <c r="AG10" s="538" t="s">
        <v>427</v>
      </c>
      <c r="AH10" s="529"/>
      <c r="AI10" s="653"/>
      <c r="AJ10" s="529" t="s">
        <v>427</v>
      </c>
      <c r="AK10" s="538" t="s">
        <v>427</v>
      </c>
      <c r="AL10" s="538" t="s">
        <v>427</v>
      </c>
      <c r="AM10" s="529"/>
      <c r="AN10" s="653"/>
      <c r="AO10" s="529" t="s">
        <v>427</v>
      </c>
      <c r="AP10" s="538" t="s">
        <v>427</v>
      </c>
      <c r="AQ10" s="538" t="s">
        <v>427</v>
      </c>
      <c r="AR10" s="529"/>
      <c r="AS10" s="653"/>
      <c r="AT10" s="529" t="s">
        <v>427</v>
      </c>
      <c r="AU10" s="538" t="s">
        <v>427</v>
      </c>
      <c r="AV10" s="538" t="s">
        <v>427</v>
      </c>
      <c r="AW10" s="529"/>
      <c r="AX10" s="653"/>
      <c r="AZ10" s="364" t="e">
        <f>RANK(AX10, $K$7:AX$21)</f>
        <v>#VALUE!</v>
      </c>
      <c r="BB10" s="354" t="e">
        <f t="shared" si="1"/>
        <v>#N/A</v>
      </c>
    </row>
    <row r="11" spans="1:54" ht="14.25">
      <c r="A11" s="81"/>
      <c r="B11" s="661"/>
      <c r="C11" s="483">
        <v>5</v>
      </c>
      <c r="D11" s="483"/>
      <c r="E11" s="483"/>
      <c r="F11" s="483"/>
      <c r="G11" s="491"/>
      <c r="H11" s="678"/>
      <c r="I11" s="487" t="str">
        <f t="shared" si="0"/>
        <v>-</v>
      </c>
      <c r="J11" s="487" t="str">
        <f t="shared" si="0"/>
        <v>-</v>
      </c>
      <c r="K11" s="363" t="str">
        <f t="shared" si="0"/>
        <v>-</v>
      </c>
      <c r="L11" s="615"/>
      <c r="M11" s="489" t="e">
        <f>RANK(K11, K$7:$K$21)</f>
        <v>#VALUE!</v>
      </c>
      <c r="N11" s="624"/>
      <c r="O11" s="624"/>
      <c r="P11" s="427"/>
      <c r="Q11" s="430"/>
      <c r="R11" s="430"/>
      <c r="S11" s="427"/>
      <c r="T11" s="674"/>
      <c r="U11" s="529" t="s">
        <v>427</v>
      </c>
      <c r="V11" s="538" t="s">
        <v>427</v>
      </c>
      <c r="W11" s="538" t="s">
        <v>427</v>
      </c>
      <c r="X11" s="529"/>
      <c r="Y11" s="653"/>
      <c r="Z11" s="529" t="s">
        <v>427</v>
      </c>
      <c r="AA11" s="538" t="s">
        <v>427</v>
      </c>
      <c r="AB11" s="538" t="s">
        <v>427</v>
      </c>
      <c r="AC11" s="529"/>
      <c r="AD11" s="653"/>
      <c r="AE11" s="529" t="s">
        <v>427</v>
      </c>
      <c r="AF11" s="538" t="s">
        <v>427</v>
      </c>
      <c r="AG11" s="538" t="s">
        <v>427</v>
      </c>
      <c r="AH11" s="529"/>
      <c r="AI11" s="653"/>
      <c r="AJ11" s="529" t="s">
        <v>427</v>
      </c>
      <c r="AK11" s="538" t="s">
        <v>427</v>
      </c>
      <c r="AL11" s="538" t="s">
        <v>427</v>
      </c>
      <c r="AM11" s="529"/>
      <c r="AN11" s="653"/>
      <c r="AO11" s="529" t="s">
        <v>427</v>
      </c>
      <c r="AP11" s="538" t="s">
        <v>427</v>
      </c>
      <c r="AQ11" s="538" t="s">
        <v>427</v>
      </c>
      <c r="AR11" s="529"/>
      <c r="AS11" s="653"/>
      <c r="AT11" s="529" t="s">
        <v>427</v>
      </c>
      <c r="AU11" s="538" t="s">
        <v>427</v>
      </c>
      <c r="AV11" s="538" t="s">
        <v>427</v>
      </c>
      <c r="AW11" s="529"/>
      <c r="AX11" s="653"/>
      <c r="AZ11" s="364" t="e">
        <f>RANK(AX11, $K$7:AX$21)</f>
        <v>#VALUE!</v>
      </c>
      <c r="BB11" s="354" t="e">
        <f t="shared" si="1"/>
        <v>#N/A</v>
      </c>
    </row>
    <row r="12" spans="1:54" ht="14.25">
      <c r="A12" s="81"/>
      <c r="B12" s="661"/>
      <c r="C12" s="483">
        <v>6</v>
      </c>
      <c r="D12" s="483"/>
      <c r="E12" s="483"/>
      <c r="F12" s="483"/>
      <c r="G12" s="491"/>
      <c r="H12" s="678"/>
      <c r="I12" s="487" t="str">
        <f t="shared" si="0"/>
        <v>-</v>
      </c>
      <c r="J12" s="487" t="str">
        <f t="shared" si="0"/>
        <v>-</v>
      </c>
      <c r="K12" s="363" t="str">
        <f t="shared" si="0"/>
        <v>-</v>
      </c>
      <c r="L12" s="615"/>
      <c r="M12" s="489" t="e">
        <f>RANK(K12, K$7:$K$21)</f>
        <v>#VALUE!</v>
      </c>
      <c r="N12" s="624"/>
      <c r="O12" s="624"/>
      <c r="P12" s="427"/>
      <c r="Q12" s="430"/>
      <c r="R12" s="430"/>
      <c r="S12" s="427"/>
      <c r="T12" s="674"/>
      <c r="U12" s="529" t="s">
        <v>427</v>
      </c>
      <c r="V12" s="538" t="s">
        <v>427</v>
      </c>
      <c r="W12" s="538" t="s">
        <v>427</v>
      </c>
      <c r="X12" s="529"/>
      <c r="Y12" s="653"/>
      <c r="Z12" s="529" t="s">
        <v>427</v>
      </c>
      <c r="AA12" s="538" t="s">
        <v>427</v>
      </c>
      <c r="AB12" s="538" t="s">
        <v>427</v>
      </c>
      <c r="AC12" s="529"/>
      <c r="AD12" s="653"/>
      <c r="AE12" s="529" t="s">
        <v>427</v>
      </c>
      <c r="AF12" s="538" t="s">
        <v>427</v>
      </c>
      <c r="AG12" s="538" t="s">
        <v>427</v>
      </c>
      <c r="AH12" s="529"/>
      <c r="AI12" s="653"/>
      <c r="AJ12" s="529" t="s">
        <v>427</v>
      </c>
      <c r="AK12" s="538" t="s">
        <v>427</v>
      </c>
      <c r="AL12" s="538" t="s">
        <v>427</v>
      </c>
      <c r="AM12" s="529"/>
      <c r="AN12" s="653"/>
      <c r="AO12" s="529" t="s">
        <v>427</v>
      </c>
      <c r="AP12" s="538" t="s">
        <v>427</v>
      </c>
      <c r="AQ12" s="538" t="s">
        <v>427</v>
      </c>
      <c r="AR12" s="529"/>
      <c r="AS12" s="653"/>
      <c r="AT12" s="529" t="s">
        <v>427</v>
      </c>
      <c r="AU12" s="538" t="s">
        <v>427</v>
      </c>
      <c r="AV12" s="538" t="s">
        <v>427</v>
      </c>
      <c r="AW12" s="529"/>
      <c r="AX12" s="653"/>
      <c r="AZ12" s="364" t="e">
        <f>RANK(AX12, $K$7:AX$21)</f>
        <v>#VALUE!</v>
      </c>
      <c r="BB12" s="354" t="e">
        <f t="shared" si="1"/>
        <v>#N/A</v>
      </c>
    </row>
    <row r="13" spans="1:54" ht="14.25">
      <c r="A13" s="81"/>
      <c r="B13" s="661"/>
      <c r="C13" s="483">
        <v>7</v>
      </c>
      <c r="D13" s="483"/>
      <c r="E13" s="483"/>
      <c r="F13" s="483"/>
      <c r="G13" s="491"/>
      <c r="H13" s="678"/>
      <c r="I13" s="487" t="str">
        <f t="shared" si="0"/>
        <v>-</v>
      </c>
      <c r="J13" s="487" t="str">
        <f t="shared" si="0"/>
        <v>-</v>
      </c>
      <c r="K13" s="363" t="str">
        <f t="shared" si="0"/>
        <v>-</v>
      </c>
      <c r="L13" s="615"/>
      <c r="M13" s="489" t="e">
        <f>RANK(K13, K$7:$K$21)</f>
        <v>#VALUE!</v>
      </c>
      <c r="N13" s="624"/>
      <c r="O13" s="624"/>
      <c r="P13" s="427"/>
      <c r="Q13" s="430"/>
      <c r="R13" s="430"/>
      <c r="S13" s="427"/>
      <c r="T13" s="674"/>
      <c r="U13" s="529" t="s">
        <v>427</v>
      </c>
      <c r="V13" s="538" t="s">
        <v>427</v>
      </c>
      <c r="W13" s="538" t="s">
        <v>427</v>
      </c>
      <c r="X13" s="529"/>
      <c r="Y13" s="653"/>
      <c r="Z13" s="529" t="s">
        <v>427</v>
      </c>
      <c r="AA13" s="538" t="s">
        <v>427</v>
      </c>
      <c r="AB13" s="538" t="s">
        <v>427</v>
      </c>
      <c r="AC13" s="529"/>
      <c r="AD13" s="653"/>
      <c r="AE13" s="529" t="s">
        <v>427</v>
      </c>
      <c r="AF13" s="538" t="s">
        <v>427</v>
      </c>
      <c r="AG13" s="538" t="s">
        <v>427</v>
      </c>
      <c r="AH13" s="529"/>
      <c r="AI13" s="653"/>
      <c r="AJ13" s="529" t="s">
        <v>427</v>
      </c>
      <c r="AK13" s="538" t="s">
        <v>427</v>
      </c>
      <c r="AL13" s="538" t="s">
        <v>427</v>
      </c>
      <c r="AM13" s="529"/>
      <c r="AN13" s="653"/>
      <c r="AO13" s="529" t="s">
        <v>427</v>
      </c>
      <c r="AP13" s="538" t="s">
        <v>427</v>
      </c>
      <c r="AQ13" s="538" t="s">
        <v>427</v>
      </c>
      <c r="AR13" s="529"/>
      <c r="AS13" s="653"/>
      <c r="AT13" s="529" t="s">
        <v>427</v>
      </c>
      <c r="AU13" s="538" t="s">
        <v>427</v>
      </c>
      <c r="AV13" s="538" t="s">
        <v>427</v>
      </c>
      <c r="AW13" s="529"/>
      <c r="AX13" s="653"/>
      <c r="AZ13" s="364" t="e">
        <f>RANK(AX13, $K$7:AX$21)</f>
        <v>#VALUE!</v>
      </c>
      <c r="BB13" s="354" t="e">
        <f t="shared" si="1"/>
        <v>#N/A</v>
      </c>
    </row>
    <row r="14" spans="1:54" ht="14.25">
      <c r="A14" s="81"/>
      <c r="B14" s="661"/>
      <c r="C14" s="483">
        <v>8</v>
      </c>
      <c r="D14" s="483"/>
      <c r="E14" s="483"/>
      <c r="F14" s="483"/>
      <c r="G14" s="491"/>
      <c r="H14" s="678"/>
      <c r="I14" s="487" t="str">
        <f t="shared" si="0"/>
        <v>-</v>
      </c>
      <c r="J14" s="487" t="str">
        <f t="shared" si="0"/>
        <v>-</v>
      </c>
      <c r="K14" s="363" t="str">
        <f t="shared" si="0"/>
        <v>-</v>
      </c>
      <c r="L14" s="615"/>
      <c r="M14" s="489" t="e">
        <f>RANK(K14, K$7:$K$21)</f>
        <v>#VALUE!</v>
      </c>
      <c r="N14" s="624"/>
      <c r="O14" s="624"/>
      <c r="P14" s="427"/>
      <c r="Q14" s="430"/>
      <c r="R14" s="430"/>
      <c r="S14" s="427"/>
      <c r="T14" s="674"/>
      <c r="U14" s="529" t="s">
        <v>427</v>
      </c>
      <c r="V14" s="538" t="s">
        <v>427</v>
      </c>
      <c r="W14" s="538" t="s">
        <v>427</v>
      </c>
      <c r="X14" s="529"/>
      <c r="Y14" s="653"/>
      <c r="Z14" s="529" t="s">
        <v>427</v>
      </c>
      <c r="AA14" s="538" t="s">
        <v>427</v>
      </c>
      <c r="AB14" s="538" t="s">
        <v>427</v>
      </c>
      <c r="AC14" s="529"/>
      <c r="AD14" s="653"/>
      <c r="AE14" s="529" t="s">
        <v>427</v>
      </c>
      <c r="AF14" s="538" t="s">
        <v>427</v>
      </c>
      <c r="AG14" s="538" t="s">
        <v>427</v>
      </c>
      <c r="AH14" s="529"/>
      <c r="AI14" s="653"/>
      <c r="AJ14" s="529" t="s">
        <v>427</v>
      </c>
      <c r="AK14" s="538" t="s">
        <v>427</v>
      </c>
      <c r="AL14" s="538" t="s">
        <v>427</v>
      </c>
      <c r="AM14" s="529"/>
      <c r="AN14" s="653"/>
      <c r="AO14" s="529" t="s">
        <v>427</v>
      </c>
      <c r="AP14" s="538" t="s">
        <v>427</v>
      </c>
      <c r="AQ14" s="538" t="s">
        <v>427</v>
      </c>
      <c r="AR14" s="529"/>
      <c r="AS14" s="653"/>
      <c r="AT14" s="529" t="s">
        <v>427</v>
      </c>
      <c r="AU14" s="538" t="s">
        <v>427</v>
      </c>
      <c r="AV14" s="538" t="s">
        <v>427</v>
      </c>
      <c r="AW14" s="529"/>
      <c r="AX14" s="653"/>
      <c r="AZ14" s="364" t="e">
        <f>RANK(AX14, $K$7:AX$21)</f>
        <v>#VALUE!</v>
      </c>
      <c r="BB14" s="354" t="e">
        <f t="shared" si="1"/>
        <v>#N/A</v>
      </c>
    </row>
    <row r="15" spans="1:54" ht="14.25">
      <c r="A15" s="81"/>
      <c r="B15" s="661"/>
      <c r="C15" s="483">
        <v>9</v>
      </c>
      <c r="D15" s="483"/>
      <c r="E15" s="483"/>
      <c r="F15" s="483"/>
      <c r="G15" s="491"/>
      <c r="H15" s="678"/>
      <c r="I15" s="487" t="str">
        <f t="shared" si="0"/>
        <v>-</v>
      </c>
      <c r="J15" s="487" t="str">
        <f t="shared" si="0"/>
        <v>-</v>
      </c>
      <c r="K15" s="363" t="str">
        <f t="shared" si="0"/>
        <v>-</v>
      </c>
      <c r="L15" s="615"/>
      <c r="M15" s="489" t="e">
        <f>RANK(K15, K$7:$K$21)</f>
        <v>#VALUE!</v>
      </c>
      <c r="N15" s="624"/>
      <c r="O15" s="624"/>
      <c r="P15" s="427"/>
      <c r="Q15" s="430"/>
      <c r="R15" s="430"/>
      <c r="S15" s="427"/>
      <c r="T15" s="674"/>
      <c r="U15" s="529" t="s">
        <v>427</v>
      </c>
      <c r="V15" s="538" t="s">
        <v>427</v>
      </c>
      <c r="W15" s="538" t="s">
        <v>427</v>
      </c>
      <c r="X15" s="529"/>
      <c r="Y15" s="653"/>
      <c r="Z15" s="529" t="s">
        <v>427</v>
      </c>
      <c r="AA15" s="538" t="s">
        <v>427</v>
      </c>
      <c r="AB15" s="538" t="s">
        <v>427</v>
      </c>
      <c r="AC15" s="529"/>
      <c r="AD15" s="653"/>
      <c r="AE15" s="529" t="s">
        <v>427</v>
      </c>
      <c r="AF15" s="538" t="s">
        <v>427</v>
      </c>
      <c r="AG15" s="538" t="s">
        <v>427</v>
      </c>
      <c r="AH15" s="529"/>
      <c r="AI15" s="653"/>
      <c r="AJ15" s="529" t="s">
        <v>427</v>
      </c>
      <c r="AK15" s="538" t="s">
        <v>427</v>
      </c>
      <c r="AL15" s="538" t="s">
        <v>427</v>
      </c>
      <c r="AM15" s="529"/>
      <c r="AN15" s="653"/>
      <c r="AO15" s="529" t="s">
        <v>427</v>
      </c>
      <c r="AP15" s="538" t="s">
        <v>427</v>
      </c>
      <c r="AQ15" s="538" t="s">
        <v>427</v>
      </c>
      <c r="AR15" s="529"/>
      <c r="AS15" s="653"/>
      <c r="AT15" s="529" t="s">
        <v>427</v>
      </c>
      <c r="AU15" s="538" t="s">
        <v>427</v>
      </c>
      <c r="AV15" s="538" t="s">
        <v>427</v>
      </c>
      <c r="AW15" s="529"/>
      <c r="AX15" s="653"/>
      <c r="AZ15" s="364" t="e">
        <f>RANK(AX15, $K$7:AX$21)</f>
        <v>#VALUE!</v>
      </c>
      <c r="BB15" s="354" t="e">
        <f t="shared" si="1"/>
        <v>#N/A</v>
      </c>
    </row>
    <row r="16" spans="1:54" ht="14.25">
      <c r="A16" s="81"/>
      <c r="B16" s="661"/>
      <c r="C16" s="483">
        <v>10</v>
      </c>
      <c r="D16" s="483"/>
      <c r="E16" s="483"/>
      <c r="F16" s="483"/>
      <c r="G16" s="491"/>
      <c r="H16" s="678"/>
      <c r="I16" s="487" t="str">
        <f t="shared" si="0"/>
        <v>-</v>
      </c>
      <c r="J16" s="487" t="str">
        <f t="shared" si="0"/>
        <v>-</v>
      </c>
      <c r="K16" s="363" t="str">
        <f t="shared" si="0"/>
        <v>-</v>
      </c>
      <c r="L16" s="615"/>
      <c r="M16" s="489" t="e">
        <f>RANK(K16, K$7:$K$21)</f>
        <v>#VALUE!</v>
      </c>
      <c r="N16" s="624"/>
      <c r="O16" s="624"/>
      <c r="P16" s="427"/>
      <c r="Q16" s="430"/>
      <c r="R16" s="430"/>
      <c r="S16" s="427"/>
      <c r="T16" s="674"/>
      <c r="U16" s="529" t="s">
        <v>427</v>
      </c>
      <c r="V16" s="538" t="s">
        <v>427</v>
      </c>
      <c r="W16" s="538" t="s">
        <v>427</v>
      </c>
      <c r="X16" s="529"/>
      <c r="Y16" s="653"/>
      <c r="Z16" s="529" t="s">
        <v>427</v>
      </c>
      <c r="AA16" s="538" t="s">
        <v>427</v>
      </c>
      <c r="AB16" s="538" t="s">
        <v>427</v>
      </c>
      <c r="AC16" s="529"/>
      <c r="AD16" s="653"/>
      <c r="AE16" s="529" t="s">
        <v>427</v>
      </c>
      <c r="AF16" s="538" t="s">
        <v>427</v>
      </c>
      <c r="AG16" s="538" t="s">
        <v>427</v>
      </c>
      <c r="AH16" s="529"/>
      <c r="AI16" s="653"/>
      <c r="AJ16" s="529" t="s">
        <v>427</v>
      </c>
      <c r="AK16" s="538" t="s">
        <v>427</v>
      </c>
      <c r="AL16" s="538" t="s">
        <v>427</v>
      </c>
      <c r="AM16" s="529"/>
      <c r="AN16" s="653"/>
      <c r="AO16" s="529" t="s">
        <v>427</v>
      </c>
      <c r="AP16" s="538" t="s">
        <v>427</v>
      </c>
      <c r="AQ16" s="538" t="s">
        <v>427</v>
      </c>
      <c r="AR16" s="529"/>
      <c r="AS16" s="653"/>
      <c r="AT16" s="529" t="s">
        <v>427</v>
      </c>
      <c r="AU16" s="538" t="s">
        <v>427</v>
      </c>
      <c r="AV16" s="538" t="s">
        <v>427</v>
      </c>
      <c r="AW16" s="529"/>
      <c r="AX16" s="653"/>
      <c r="AZ16" s="364" t="e">
        <f>RANK(AX16, $K$7:AX$21)</f>
        <v>#VALUE!</v>
      </c>
      <c r="BB16" s="354" t="e">
        <f t="shared" si="1"/>
        <v>#N/A</v>
      </c>
    </row>
    <row r="17" spans="2:54">
      <c r="B17" s="661"/>
      <c r="C17" s="483">
        <v>11</v>
      </c>
      <c r="D17" s="483"/>
      <c r="E17" s="483"/>
      <c r="F17" s="483"/>
      <c r="G17" s="491"/>
      <c r="H17" s="678"/>
      <c r="I17" s="487" t="str">
        <f t="shared" si="0"/>
        <v>-</v>
      </c>
      <c r="J17" s="487" t="str">
        <f t="shared" si="0"/>
        <v>-</v>
      </c>
      <c r="K17" s="363" t="str">
        <f t="shared" si="0"/>
        <v>-</v>
      </c>
      <c r="L17" s="615"/>
      <c r="M17" s="489" t="e">
        <f>RANK(K17, K$7:$K$21)</f>
        <v>#VALUE!</v>
      </c>
      <c r="N17" s="624"/>
      <c r="O17" s="624"/>
      <c r="P17" s="427"/>
      <c r="Q17" s="430"/>
      <c r="R17" s="430"/>
      <c r="S17" s="427"/>
      <c r="T17" s="674"/>
      <c r="U17" s="529" t="s">
        <v>427</v>
      </c>
      <c r="V17" s="538" t="s">
        <v>427</v>
      </c>
      <c r="W17" s="538" t="s">
        <v>427</v>
      </c>
      <c r="X17" s="529"/>
      <c r="Y17" s="653"/>
      <c r="Z17" s="529" t="s">
        <v>427</v>
      </c>
      <c r="AA17" s="538" t="s">
        <v>427</v>
      </c>
      <c r="AB17" s="538" t="s">
        <v>427</v>
      </c>
      <c r="AC17" s="529"/>
      <c r="AD17" s="653"/>
      <c r="AE17" s="529" t="s">
        <v>427</v>
      </c>
      <c r="AF17" s="538" t="s">
        <v>427</v>
      </c>
      <c r="AG17" s="538" t="s">
        <v>427</v>
      </c>
      <c r="AH17" s="529"/>
      <c r="AI17" s="653"/>
      <c r="AJ17" s="529" t="s">
        <v>427</v>
      </c>
      <c r="AK17" s="538" t="s">
        <v>427</v>
      </c>
      <c r="AL17" s="538" t="s">
        <v>427</v>
      </c>
      <c r="AM17" s="529"/>
      <c r="AN17" s="653"/>
      <c r="AO17" s="529" t="s">
        <v>427</v>
      </c>
      <c r="AP17" s="538" t="s">
        <v>427</v>
      </c>
      <c r="AQ17" s="538" t="s">
        <v>427</v>
      </c>
      <c r="AR17" s="529"/>
      <c r="AS17" s="653"/>
      <c r="AT17" s="529" t="s">
        <v>427</v>
      </c>
      <c r="AU17" s="538" t="s">
        <v>427</v>
      </c>
      <c r="AV17" s="538" t="s">
        <v>427</v>
      </c>
      <c r="AW17" s="529"/>
      <c r="AX17" s="653"/>
      <c r="AZ17" s="364" t="e">
        <f>RANK(AX17, $K$7:AX$21)</f>
        <v>#VALUE!</v>
      </c>
      <c r="BB17" s="354" t="e">
        <f t="shared" si="1"/>
        <v>#N/A</v>
      </c>
    </row>
    <row r="18" spans="2:54">
      <c r="B18" s="661"/>
      <c r="C18" s="483">
        <v>12</v>
      </c>
      <c r="D18" s="483"/>
      <c r="E18" s="483"/>
      <c r="F18" s="483"/>
      <c r="G18" s="491"/>
      <c r="H18" s="678"/>
      <c r="I18" s="487" t="str">
        <f t="shared" si="0"/>
        <v>-</v>
      </c>
      <c r="J18" s="487" t="str">
        <f t="shared" si="0"/>
        <v>-</v>
      </c>
      <c r="K18" s="363" t="str">
        <f t="shared" si="0"/>
        <v>-</v>
      </c>
      <c r="L18" s="615"/>
      <c r="M18" s="489" t="e">
        <f>RANK(K18, K$7:$K$21)</f>
        <v>#VALUE!</v>
      </c>
      <c r="N18" s="624"/>
      <c r="O18" s="624"/>
      <c r="P18" s="427"/>
      <c r="Q18" s="430"/>
      <c r="R18" s="430"/>
      <c r="S18" s="427"/>
      <c r="T18" s="674"/>
      <c r="U18" s="529" t="s">
        <v>427</v>
      </c>
      <c r="V18" s="538" t="s">
        <v>427</v>
      </c>
      <c r="W18" s="538" t="s">
        <v>427</v>
      </c>
      <c r="X18" s="529"/>
      <c r="Y18" s="653"/>
      <c r="Z18" s="529" t="s">
        <v>427</v>
      </c>
      <c r="AA18" s="538" t="s">
        <v>427</v>
      </c>
      <c r="AB18" s="538" t="s">
        <v>427</v>
      </c>
      <c r="AC18" s="529"/>
      <c r="AD18" s="653"/>
      <c r="AE18" s="529" t="s">
        <v>427</v>
      </c>
      <c r="AF18" s="538" t="s">
        <v>427</v>
      </c>
      <c r="AG18" s="538" t="s">
        <v>427</v>
      </c>
      <c r="AH18" s="529"/>
      <c r="AI18" s="653"/>
      <c r="AJ18" s="529" t="s">
        <v>427</v>
      </c>
      <c r="AK18" s="538" t="s">
        <v>427</v>
      </c>
      <c r="AL18" s="538" t="s">
        <v>427</v>
      </c>
      <c r="AM18" s="529"/>
      <c r="AN18" s="653"/>
      <c r="AO18" s="529" t="s">
        <v>427</v>
      </c>
      <c r="AP18" s="538" t="s">
        <v>427</v>
      </c>
      <c r="AQ18" s="538" t="s">
        <v>427</v>
      </c>
      <c r="AR18" s="529"/>
      <c r="AS18" s="653"/>
      <c r="AT18" s="529" t="s">
        <v>427</v>
      </c>
      <c r="AU18" s="538" t="s">
        <v>427</v>
      </c>
      <c r="AV18" s="538" t="s">
        <v>427</v>
      </c>
      <c r="AW18" s="529"/>
      <c r="AX18" s="653"/>
      <c r="AZ18" s="364" t="e">
        <f>RANK(AX18, $K$7:AX$21)</f>
        <v>#VALUE!</v>
      </c>
      <c r="BB18" s="354" t="e">
        <f t="shared" si="1"/>
        <v>#N/A</v>
      </c>
    </row>
    <row r="19" spans="2:54">
      <c r="B19" s="661"/>
      <c r="C19" s="483">
        <v>13</v>
      </c>
      <c r="D19" s="483"/>
      <c r="E19" s="483"/>
      <c r="F19" s="483"/>
      <c r="G19" s="491"/>
      <c r="H19" s="678"/>
      <c r="I19" s="487" t="str">
        <f t="shared" si="0"/>
        <v>-</v>
      </c>
      <c r="J19" s="487" t="str">
        <f t="shared" si="0"/>
        <v>-</v>
      </c>
      <c r="K19" s="363" t="str">
        <f t="shared" si="0"/>
        <v>-</v>
      </c>
      <c r="L19" s="615"/>
      <c r="M19" s="489" t="e">
        <f>RANK(K19, K$7:$K$21)</f>
        <v>#VALUE!</v>
      </c>
      <c r="N19" s="624"/>
      <c r="O19" s="624"/>
      <c r="P19" s="427"/>
      <c r="Q19" s="430"/>
      <c r="R19" s="430"/>
      <c r="S19" s="427"/>
      <c r="T19" s="674"/>
      <c r="U19" s="529" t="s">
        <v>427</v>
      </c>
      <c r="V19" s="538" t="s">
        <v>427</v>
      </c>
      <c r="W19" s="538" t="s">
        <v>427</v>
      </c>
      <c r="X19" s="529"/>
      <c r="Y19" s="653"/>
      <c r="Z19" s="529" t="s">
        <v>427</v>
      </c>
      <c r="AA19" s="538" t="s">
        <v>427</v>
      </c>
      <c r="AB19" s="538" t="s">
        <v>427</v>
      </c>
      <c r="AC19" s="529"/>
      <c r="AD19" s="653"/>
      <c r="AE19" s="529" t="s">
        <v>427</v>
      </c>
      <c r="AF19" s="538" t="s">
        <v>427</v>
      </c>
      <c r="AG19" s="538" t="s">
        <v>427</v>
      </c>
      <c r="AH19" s="529"/>
      <c r="AI19" s="653"/>
      <c r="AJ19" s="529" t="s">
        <v>427</v>
      </c>
      <c r="AK19" s="538" t="s">
        <v>427</v>
      </c>
      <c r="AL19" s="538" t="s">
        <v>427</v>
      </c>
      <c r="AM19" s="529"/>
      <c r="AN19" s="653"/>
      <c r="AO19" s="529" t="s">
        <v>427</v>
      </c>
      <c r="AP19" s="538" t="s">
        <v>427</v>
      </c>
      <c r="AQ19" s="538" t="s">
        <v>427</v>
      </c>
      <c r="AR19" s="529"/>
      <c r="AS19" s="653"/>
      <c r="AT19" s="529" t="s">
        <v>427</v>
      </c>
      <c r="AU19" s="538" t="s">
        <v>427</v>
      </c>
      <c r="AV19" s="538" t="s">
        <v>427</v>
      </c>
      <c r="AW19" s="529"/>
      <c r="AX19" s="653"/>
      <c r="AZ19" s="364" t="e">
        <f>RANK(AX19, $K$7:AX$21)</f>
        <v>#VALUE!</v>
      </c>
      <c r="BB19" s="354" t="e">
        <f t="shared" si="1"/>
        <v>#N/A</v>
      </c>
    </row>
    <row r="20" spans="2:54">
      <c r="B20" s="661"/>
      <c r="C20" s="483">
        <v>14</v>
      </c>
      <c r="D20" s="483"/>
      <c r="E20" s="483"/>
      <c r="F20" s="483"/>
      <c r="G20" s="491"/>
      <c r="H20" s="678"/>
      <c r="I20" s="487" t="str">
        <f t="shared" si="0"/>
        <v>-</v>
      </c>
      <c r="J20" s="487" t="str">
        <f t="shared" si="0"/>
        <v>-</v>
      </c>
      <c r="K20" s="363" t="str">
        <f t="shared" si="0"/>
        <v>-</v>
      </c>
      <c r="L20" s="615"/>
      <c r="M20" s="489" t="e">
        <f>RANK(K20, K$7:$K$21)</f>
        <v>#VALUE!</v>
      </c>
      <c r="N20" s="624"/>
      <c r="O20" s="624"/>
      <c r="P20" s="427"/>
      <c r="Q20" s="430"/>
      <c r="R20" s="430"/>
      <c r="S20" s="427"/>
      <c r="T20" s="674"/>
      <c r="U20" s="529" t="s">
        <v>427</v>
      </c>
      <c r="V20" s="538" t="s">
        <v>427</v>
      </c>
      <c r="W20" s="538" t="s">
        <v>427</v>
      </c>
      <c r="X20" s="529"/>
      <c r="Y20" s="653"/>
      <c r="Z20" s="529" t="s">
        <v>427</v>
      </c>
      <c r="AA20" s="538" t="s">
        <v>427</v>
      </c>
      <c r="AB20" s="538" t="s">
        <v>427</v>
      </c>
      <c r="AC20" s="529"/>
      <c r="AD20" s="653"/>
      <c r="AE20" s="529" t="s">
        <v>427</v>
      </c>
      <c r="AF20" s="538" t="s">
        <v>427</v>
      </c>
      <c r="AG20" s="538" t="s">
        <v>427</v>
      </c>
      <c r="AH20" s="529"/>
      <c r="AI20" s="653"/>
      <c r="AJ20" s="529" t="s">
        <v>427</v>
      </c>
      <c r="AK20" s="538" t="s">
        <v>427</v>
      </c>
      <c r="AL20" s="538" t="s">
        <v>427</v>
      </c>
      <c r="AM20" s="529"/>
      <c r="AN20" s="653"/>
      <c r="AO20" s="529" t="s">
        <v>427</v>
      </c>
      <c r="AP20" s="538" t="s">
        <v>427</v>
      </c>
      <c r="AQ20" s="538" t="s">
        <v>427</v>
      </c>
      <c r="AR20" s="529"/>
      <c r="AS20" s="653"/>
      <c r="AT20" s="529" t="s">
        <v>427</v>
      </c>
      <c r="AU20" s="538" t="s">
        <v>427</v>
      </c>
      <c r="AV20" s="538" t="s">
        <v>427</v>
      </c>
      <c r="AW20" s="529"/>
      <c r="AX20" s="653"/>
      <c r="AZ20" s="364" t="e">
        <f>RANK(AX20, $K$7:AX$21)</f>
        <v>#VALUE!</v>
      </c>
      <c r="BB20" s="354" t="e">
        <f t="shared" si="1"/>
        <v>#N/A</v>
      </c>
    </row>
    <row r="21" spans="2:54">
      <c r="B21" s="661"/>
      <c r="C21" s="483">
        <v>15</v>
      </c>
      <c r="D21" s="483"/>
      <c r="E21" s="483"/>
      <c r="F21" s="483"/>
      <c r="G21" s="483"/>
      <c r="H21" s="679"/>
      <c r="I21" s="487" t="str">
        <f t="shared" si="0"/>
        <v>-</v>
      </c>
      <c r="J21" s="487" t="str">
        <f t="shared" si="0"/>
        <v>-</v>
      </c>
      <c r="K21" s="363" t="str">
        <f t="shared" si="0"/>
        <v>-</v>
      </c>
      <c r="L21" s="616"/>
      <c r="M21" s="489" t="e">
        <f>RANK(K21, K$7:$K$21)</f>
        <v>#VALUE!</v>
      </c>
      <c r="N21" s="624"/>
      <c r="O21" s="624"/>
      <c r="P21" s="427"/>
      <c r="Q21" s="430"/>
      <c r="R21" s="430"/>
      <c r="S21" s="427"/>
      <c r="T21" s="674"/>
      <c r="U21" s="529" t="s">
        <v>427</v>
      </c>
      <c r="V21" s="538" t="s">
        <v>427</v>
      </c>
      <c r="W21" s="538" t="s">
        <v>427</v>
      </c>
      <c r="X21" s="529"/>
      <c r="Y21" s="653"/>
      <c r="Z21" s="529" t="s">
        <v>427</v>
      </c>
      <c r="AA21" s="538" t="s">
        <v>427</v>
      </c>
      <c r="AB21" s="538" t="s">
        <v>427</v>
      </c>
      <c r="AC21" s="529"/>
      <c r="AD21" s="653"/>
      <c r="AE21" s="529" t="s">
        <v>427</v>
      </c>
      <c r="AF21" s="538" t="s">
        <v>427</v>
      </c>
      <c r="AG21" s="538" t="s">
        <v>427</v>
      </c>
      <c r="AH21" s="529"/>
      <c r="AI21" s="653"/>
      <c r="AJ21" s="529" t="s">
        <v>427</v>
      </c>
      <c r="AK21" s="538" t="s">
        <v>427</v>
      </c>
      <c r="AL21" s="538" t="s">
        <v>427</v>
      </c>
      <c r="AM21" s="529"/>
      <c r="AN21" s="653"/>
      <c r="AO21" s="529" t="s">
        <v>427</v>
      </c>
      <c r="AP21" s="538" t="s">
        <v>427</v>
      </c>
      <c r="AQ21" s="538" t="s">
        <v>427</v>
      </c>
      <c r="AR21" s="529"/>
      <c r="AS21" s="653"/>
      <c r="AT21" s="529" t="s">
        <v>427</v>
      </c>
      <c r="AU21" s="538" t="s">
        <v>427</v>
      </c>
      <c r="AV21" s="538" t="s">
        <v>427</v>
      </c>
      <c r="AW21" s="529"/>
      <c r="AX21" s="653"/>
      <c r="AZ21" s="365" t="e">
        <f>RANK(AX21, $K$7:AX$21)</f>
        <v>#VALUE!</v>
      </c>
      <c r="BB21" s="354" t="e">
        <f t="shared" si="1"/>
        <v>#N/A</v>
      </c>
    </row>
    <row r="22" spans="2:54" ht="15.75">
      <c r="B22" s="657" t="s">
        <v>769</v>
      </c>
      <c r="C22" s="658"/>
      <c r="D22" s="658"/>
      <c r="E22" s="658"/>
      <c r="F22" s="658"/>
      <c r="G22" s="658"/>
      <c r="H22" s="658"/>
      <c r="I22" s="200"/>
      <c r="J22" s="200"/>
      <c r="K22" s="200"/>
      <c r="L22" s="200"/>
      <c r="M22" s="201"/>
      <c r="N22" s="639" t="s">
        <v>155</v>
      </c>
      <c r="O22" s="639" t="s">
        <v>105</v>
      </c>
      <c r="P22" s="634">
        <f>AT2+1</f>
        <v>46210</v>
      </c>
      <c r="Q22" s="635"/>
      <c r="R22" s="635"/>
      <c r="S22" s="635"/>
      <c r="T22" s="635"/>
      <c r="U22" s="636">
        <f>P22+1</f>
        <v>46211</v>
      </c>
      <c r="V22" s="637"/>
      <c r="W22" s="637"/>
      <c r="X22" s="637"/>
      <c r="Y22" s="638"/>
      <c r="Z22" s="636">
        <f t="shared" ref="Z22" si="2">U22+1</f>
        <v>46212</v>
      </c>
      <c r="AA22" s="637"/>
      <c r="AB22" s="637"/>
      <c r="AC22" s="637"/>
      <c r="AD22" s="638"/>
      <c r="AE22" s="636">
        <f t="shared" ref="AE22" si="3">Z22+1</f>
        <v>46213</v>
      </c>
      <c r="AF22" s="637"/>
      <c r="AG22" s="637"/>
      <c r="AH22" s="637"/>
      <c r="AI22" s="638"/>
      <c r="AJ22" s="636">
        <f t="shared" ref="AJ22" si="4">AE22+1</f>
        <v>46214</v>
      </c>
      <c r="AK22" s="637"/>
      <c r="AL22" s="637"/>
      <c r="AM22" s="637"/>
      <c r="AN22" s="638"/>
      <c r="AO22" s="636">
        <f t="shared" ref="AO22" si="5">AJ22+1</f>
        <v>46215</v>
      </c>
      <c r="AP22" s="637"/>
      <c r="AQ22" s="637"/>
      <c r="AR22" s="637"/>
      <c r="AS22" s="638"/>
      <c r="AT22" s="636">
        <f t="shared" ref="AT22" si="6">AO22+1</f>
        <v>46216</v>
      </c>
      <c r="AU22" s="637"/>
      <c r="AV22" s="637"/>
      <c r="AW22" s="637"/>
      <c r="AX22" s="638"/>
    </row>
    <row r="23" spans="2:54" ht="15.75">
      <c r="B23" s="646"/>
      <c r="C23" s="646"/>
      <c r="D23" s="646"/>
      <c r="E23" s="646"/>
      <c r="F23" s="646"/>
      <c r="G23" s="646"/>
      <c r="H23" s="646"/>
      <c r="I23" s="202"/>
      <c r="J23" s="202"/>
      <c r="K23" s="202"/>
      <c r="L23" s="202"/>
      <c r="M23" s="203"/>
      <c r="N23" s="641"/>
      <c r="O23" s="641"/>
      <c r="P23" s="634" t="s">
        <v>157</v>
      </c>
      <c r="Q23" s="635"/>
      <c r="R23" s="635"/>
      <c r="S23" s="635"/>
      <c r="T23" s="635"/>
      <c r="U23" s="634" t="s">
        <v>479</v>
      </c>
      <c r="V23" s="635"/>
      <c r="W23" s="635"/>
      <c r="X23" s="635"/>
      <c r="Y23" s="635"/>
      <c r="Z23" s="634" t="s">
        <v>625</v>
      </c>
      <c r="AA23" s="635"/>
      <c r="AB23" s="635"/>
      <c r="AC23" s="635"/>
      <c r="AD23" s="635"/>
      <c r="AE23" s="634" t="s">
        <v>626</v>
      </c>
      <c r="AF23" s="635"/>
      <c r="AG23" s="635"/>
      <c r="AH23" s="635"/>
      <c r="AI23" s="635"/>
      <c r="AJ23" s="634" t="s">
        <v>159</v>
      </c>
      <c r="AK23" s="635"/>
      <c r="AL23" s="635"/>
      <c r="AM23" s="635"/>
      <c r="AN23" s="635"/>
      <c r="AO23" s="634" t="s">
        <v>481</v>
      </c>
      <c r="AP23" s="635"/>
      <c r="AQ23" s="635"/>
      <c r="AR23" s="635"/>
      <c r="AS23" s="635"/>
      <c r="AT23" s="634" t="s">
        <v>160</v>
      </c>
      <c r="AU23" s="635"/>
      <c r="AV23" s="635"/>
      <c r="AW23" s="635"/>
      <c r="AX23" s="635"/>
    </row>
    <row r="24" spans="2:54">
      <c r="B24" s="624" t="s">
        <v>760</v>
      </c>
      <c r="C24" s="624" t="s">
        <v>827</v>
      </c>
      <c r="D24" s="624"/>
      <c r="E24" s="624" t="s">
        <v>828</v>
      </c>
      <c r="F24" s="624"/>
      <c r="G24" s="624"/>
      <c r="H24" s="647" t="s">
        <v>829</v>
      </c>
      <c r="I24" s="624" t="s">
        <v>830</v>
      </c>
      <c r="J24" s="624"/>
      <c r="K24" s="624"/>
      <c r="L24" s="647" t="s">
        <v>829</v>
      </c>
      <c r="M24" s="639" t="s">
        <v>440</v>
      </c>
      <c r="N24" s="624"/>
      <c r="O24" s="624" t="s">
        <v>831</v>
      </c>
      <c r="P24" s="621" t="s">
        <v>832</v>
      </c>
      <c r="Q24" s="622"/>
      <c r="R24" s="622"/>
      <c r="S24" s="623"/>
      <c r="T24" s="624" t="s">
        <v>829</v>
      </c>
      <c r="U24" s="621" t="s">
        <v>832</v>
      </c>
      <c r="V24" s="622"/>
      <c r="W24" s="622"/>
      <c r="X24" s="623"/>
      <c r="Y24" s="624" t="s">
        <v>829</v>
      </c>
      <c r="Z24" s="621" t="s">
        <v>832</v>
      </c>
      <c r="AA24" s="622"/>
      <c r="AB24" s="622"/>
      <c r="AC24" s="623"/>
      <c r="AD24" s="624" t="s">
        <v>829</v>
      </c>
      <c r="AE24" s="621" t="s">
        <v>832</v>
      </c>
      <c r="AF24" s="622"/>
      <c r="AG24" s="622"/>
      <c r="AH24" s="623"/>
      <c r="AI24" s="624" t="s">
        <v>829</v>
      </c>
      <c r="AJ24" s="621" t="s">
        <v>832</v>
      </c>
      <c r="AK24" s="622"/>
      <c r="AL24" s="622"/>
      <c r="AM24" s="623"/>
      <c r="AN24" s="624" t="s">
        <v>829</v>
      </c>
      <c r="AO24" s="621" t="s">
        <v>832</v>
      </c>
      <c r="AP24" s="622"/>
      <c r="AQ24" s="622"/>
      <c r="AR24" s="623"/>
      <c r="AS24" s="624" t="s">
        <v>829</v>
      </c>
      <c r="AT24" s="621" t="s">
        <v>832</v>
      </c>
      <c r="AU24" s="622"/>
      <c r="AV24" s="622"/>
      <c r="AW24" s="623"/>
      <c r="AX24" s="624" t="s">
        <v>829</v>
      </c>
    </row>
    <row r="25" spans="2:54">
      <c r="B25" s="624"/>
      <c r="C25" s="624"/>
      <c r="D25" s="624"/>
      <c r="E25" s="624" t="s">
        <v>833</v>
      </c>
      <c r="F25" s="624"/>
      <c r="G25" s="624"/>
      <c r="H25" s="648"/>
      <c r="I25" s="624" t="s">
        <v>833</v>
      </c>
      <c r="J25" s="624"/>
      <c r="K25" s="624"/>
      <c r="L25" s="648"/>
      <c r="M25" s="640"/>
      <c r="N25" s="624"/>
      <c r="O25" s="624"/>
      <c r="P25" s="621" t="s">
        <v>834</v>
      </c>
      <c r="Q25" s="622"/>
      <c r="R25" s="622"/>
      <c r="S25" s="623"/>
      <c r="T25" s="624"/>
      <c r="U25" s="621" t="s">
        <v>834</v>
      </c>
      <c r="V25" s="622"/>
      <c r="W25" s="622"/>
      <c r="X25" s="623"/>
      <c r="Y25" s="624"/>
      <c r="Z25" s="621" t="s">
        <v>834</v>
      </c>
      <c r="AA25" s="622"/>
      <c r="AB25" s="622"/>
      <c r="AC25" s="623"/>
      <c r="AD25" s="624"/>
      <c r="AE25" s="621" t="s">
        <v>834</v>
      </c>
      <c r="AF25" s="622"/>
      <c r="AG25" s="622"/>
      <c r="AH25" s="623"/>
      <c r="AI25" s="624"/>
      <c r="AJ25" s="621" t="s">
        <v>834</v>
      </c>
      <c r="AK25" s="622"/>
      <c r="AL25" s="622"/>
      <c r="AM25" s="623"/>
      <c r="AN25" s="624"/>
      <c r="AO25" s="621" t="s">
        <v>834</v>
      </c>
      <c r="AP25" s="622"/>
      <c r="AQ25" s="622"/>
      <c r="AR25" s="623"/>
      <c r="AS25" s="624"/>
      <c r="AT25" s="621" t="s">
        <v>834</v>
      </c>
      <c r="AU25" s="622"/>
      <c r="AV25" s="622"/>
      <c r="AW25" s="623"/>
      <c r="AX25" s="624"/>
    </row>
    <row r="26" spans="2:54">
      <c r="B26" s="624"/>
      <c r="C26" s="624"/>
      <c r="D26" s="624"/>
      <c r="E26" s="533" t="s">
        <v>835</v>
      </c>
      <c r="F26" s="533" t="s">
        <v>836</v>
      </c>
      <c r="G26" s="533" t="s">
        <v>837</v>
      </c>
      <c r="H26" s="649"/>
      <c r="I26" s="533" t="s">
        <v>835</v>
      </c>
      <c r="J26" s="533" t="s">
        <v>836</v>
      </c>
      <c r="K26" s="533" t="s">
        <v>837</v>
      </c>
      <c r="L26" s="649"/>
      <c r="M26" s="641"/>
      <c r="N26" s="624"/>
      <c r="O26" s="624"/>
      <c r="P26" s="533" t="s">
        <v>835</v>
      </c>
      <c r="Q26" s="533" t="s">
        <v>836</v>
      </c>
      <c r="R26" s="533" t="s">
        <v>837</v>
      </c>
      <c r="S26" s="533" t="s">
        <v>440</v>
      </c>
      <c r="T26" s="624"/>
      <c r="U26" s="533" t="s">
        <v>835</v>
      </c>
      <c r="V26" s="533" t="s">
        <v>836</v>
      </c>
      <c r="W26" s="533" t="s">
        <v>837</v>
      </c>
      <c r="X26" s="533" t="s">
        <v>440</v>
      </c>
      <c r="Y26" s="624"/>
      <c r="Z26" s="533" t="s">
        <v>835</v>
      </c>
      <c r="AA26" s="533" t="s">
        <v>836</v>
      </c>
      <c r="AB26" s="533" t="s">
        <v>837</v>
      </c>
      <c r="AC26" s="533" t="s">
        <v>440</v>
      </c>
      <c r="AD26" s="624"/>
      <c r="AE26" s="533" t="s">
        <v>835</v>
      </c>
      <c r="AF26" s="533" t="s">
        <v>836</v>
      </c>
      <c r="AG26" s="533" t="s">
        <v>837</v>
      </c>
      <c r="AH26" s="533" t="s">
        <v>440</v>
      </c>
      <c r="AI26" s="624"/>
      <c r="AJ26" s="533" t="s">
        <v>835</v>
      </c>
      <c r="AK26" s="533" t="s">
        <v>836</v>
      </c>
      <c r="AL26" s="533" t="s">
        <v>837</v>
      </c>
      <c r="AM26" s="533" t="s">
        <v>440</v>
      </c>
      <c r="AN26" s="624"/>
      <c r="AO26" s="533" t="s">
        <v>835</v>
      </c>
      <c r="AP26" s="533" t="s">
        <v>836</v>
      </c>
      <c r="AQ26" s="533" t="s">
        <v>837</v>
      </c>
      <c r="AR26" s="533" t="s">
        <v>440</v>
      </c>
      <c r="AS26" s="624"/>
      <c r="AT26" s="533" t="s">
        <v>835</v>
      </c>
      <c r="AU26" s="533" t="s">
        <v>836</v>
      </c>
      <c r="AV26" s="533" t="s">
        <v>837</v>
      </c>
      <c r="AW26" s="533" t="s">
        <v>440</v>
      </c>
      <c r="AX26" s="624"/>
    </row>
    <row r="27" spans="2:54">
      <c r="B27" s="675" t="s">
        <v>774</v>
      </c>
      <c r="C27" s="534">
        <v>1</v>
      </c>
      <c r="D27" s="533" t="s">
        <v>334</v>
      </c>
      <c r="E27" s="529">
        <v>10</v>
      </c>
      <c r="F27" s="529">
        <v>1500</v>
      </c>
      <c r="G27" s="538">
        <v>150</v>
      </c>
      <c r="H27" s="671">
        <f>AVERAGE(G27:G41)</f>
        <v>130</v>
      </c>
      <c r="I27" s="531">
        <f t="shared" ref="I27:K41" si="7">IFERROR(AVERAGE(P27,U27,Z27,AE27,AJ27,AO27,AT27),"-")</f>
        <v>10</v>
      </c>
      <c r="J27" s="531">
        <f t="shared" si="7"/>
        <v>1517.5755102040819</v>
      </c>
      <c r="K27" s="363">
        <f t="shared" si="7"/>
        <v>151.75755102040816</v>
      </c>
      <c r="L27" s="614">
        <f>IFERROR(AVERAGE(K27:K41),"-")</f>
        <v>149.18292390149531</v>
      </c>
      <c r="M27" s="537">
        <f>RANK(K27, K$27:$K$41)</f>
        <v>1</v>
      </c>
      <c r="N27" s="624"/>
      <c r="O27" s="624"/>
      <c r="P27" s="529">
        <v>10</v>
      </c>
      <c r="Q27" s="538">
        <v>1549.714285714284</v>
      </c>
      <c r="R27" s="538">
        <v>154.97142857142839</v>
      </c>
      <c r="S27" s="529">
        <f t="shared" ref="S27:S41" si="8">RANK(R27, R$27:R$41)</f>
        <v>2</v>
      </c>
      <c r="T27" s="610">
        <f t="shared" ref="T27" si="9">AVERAGE(R27:R41)</f>
        <v>154.07252747252741</v>
      </c>
      <c r="U27" s="529">
        <v>10</v>
      </c>
      <c r="V27" s="538">
        <v>1491.42857142857</v>
      </c>
      <c r="W27" s="538">
        <v>149.142857142857</v>
      </c>
      <c r="X27" s="529">
        <f t="shared" ref="X27:X41" si="10">RANK(W27, W$27:W$41)</f>
        <v>3</v>
      </c>
      <c r="Y27" s="610">
        <f t="shared" ref="Y27" si="11">AVERAGE(W27:W41)</f>
        <v>152.75531135531119</v>
      </c>
      <c r="Z27" s="529">
        <v>10</v>
      </c>
      <c r="AA27" s="538">
        <v>1486.2857142857129</v>
      </c>
      <c r="AB27" s="538">
        <v>148.62857142857129</v>
      </c>
      <c r="AC27" s="529">
        <f t="shared" ref="AC27:AC41" si="12">RANK(AB27, AB$27:AB$41)</f>
        <v>1</v>
      </c>
      <c r="AD27" s="610">
        <f t="shared" ref="AD27" si="13">AVERAGE(AB27:AB41)</f>
        <v>132.65714285714279</v>
      </c>
      <c r="AE27" s="529">
        <v>10</v>
      </c>
      <c r="AF27" s="538">
        <v>1490.0000000000014</v>
      </c>
      <c r="AG27" s="538">
        <v>149.00000000000014</v>
      </c>
      <c r="AH27" s="529">
        <f t="shared" ref="AH27:AH41" si="14">RANK(AG27, AG$27:AG$41)</f>
        <v>3</v>
      </c>
      <c r="AI27" s="610">
        <f t="shared" ref="AI27" si="15">AVERAGE(AG27:AG41)</f>
        <v>150.53787878787884</v>
      </c>
      <c r="AJ27" s="529">
        <v>10</v>
      </c>
      <c r="AK27" s="538">
        <v>1605.6000000000006</v>
      </c>
      <c r="AL27" s="538">
        <v>160.56000000000006</v>
      </c>
      <c r="AM27" s="529">
        <f t="shared" ref="AM27:AM41" si="16">RANK(AL27, AL$27:AL$41)</f>
        <v>1</v>
      </c>
      <c r="AN27" s="610">
        <f t="shared" ref="AN27" si="17">AVERAGE(AL27:AL41)</f>
        <v>153.70888888888882</v>
      </c>
      <c r="AO27" s="529">
        <v>10</v>
      </c>
      <c r="AP27" s="538">
        <v>1539.4285714285732</v>
      </c>
      <c r="AQ27" s="538">
        <v>153.94285714285732</v>
      </c>
      <c r="AR27" s="529">
        <f t="shared" ref="AR27:AR41" si="18">RANK(AQ27, AQ$27:AQ$41)</f>
        <v>2</v>
      </c>
      <c r="AS27" s="610">
        <f t="shared" ref="AS27" si="19">AVERAGE(AQ27:AQ41)</f>
        <v>153.22539682539704</v>
      </c>
      <c r="AT27" s="529">
        <v>10</v>
      </c>
      <c r="AU27" s="538">
        <v>1460.5714285714305</v>
      </c>
      <c r="AV27" s="538">
        <v>146.05714285714305</v>
      </c>
      <c r="AW27" s="529">
        <f t="shared" ref="AW27:AW41" si="20">RANK(AV27, AV$27:AV$41)</f>
        <v>2</v>
      </c>
      <c r="AX27" s="610">
        <f t="shared" ref="AX27" si="21">AVERAGE(AV27:AV41)</f>
        <v>147.32332112332134</v>
      </c>
      <c r="AZ27" s="377" t="e">
        <f>RANK(AY27, AY$27:AY$41)</f>
        <v>#N/A</v>
      </c>
      <c r="BA27" s="653" t="e">
        <f>AVERAGE(AY27:AY41)</f>
        <v>#DIV/0!</v>
      </c>
    </row>
    <row r="28" spans="2:54">
      <c r="B28" s="635"/>
      <c r="C28" s="534">
        <v>2</v>
      </c>
      <c r="D28" s="529" t="s">
        <v>623</v>
      </c>
      <c r="E28" s="529">
        <v>15</v>
      </c>
      <c r="F28" s="529">
        <v>1800</v>
      </c>
      <c r="G28" s="538">
        <v>120</v>
      </c>
      <c r="H28" s="672"/>
      <c r="I28" s="531">
        <f t="shared" si="7"/>
        <v>12.285714285714286</v>
      </c>
      <c r="J28" s="531">
        <f t="shared" si="7"/>
        <v>1765.2285714285713</v>
      </c>
      <c r="K28" s="363">
        <f t="shared" si="7"/>
        <v>144.13503401360541</v>
      </c>
      <c r="L28" s="615"/>
      <c r="M28" s="537">
        <f>RANK(K28, K$27:$K$41)</f>
        <v>3</v>
      </c>
      <c r="N28" s="624"/>
      <c r="O28" s="624"/>
      <c r="P28" s="529">
        <v>12</v>
      </c>
      <c r="Q28" s="538">
        <v>1780.8000000000006</v>
      </c>
      <c r="R28" s="538">
        <v>148.40000000000006</v>
      </c>
      <c r="S28" s="529">
        <f t="shared" si="8"/>
        <v>3</v>
      </c>
      <c r="T28" s="611"/>
      <c r="U28" s="529">
        <v>12</v>
      </c>
      <c r="V28" s="538">
        <v>1790.3999999999987</v>
      </c>
      <c r="W28" s="538">
        <v>149.1999999999999</v>
      </c>
      <c r="X28" s="529">
        <f t="shared" si="10"/>
        <v>2</v>
      </c>
      <c r="Y28" s="611"/>
      <c r="Z28" s="529">
        <v>14</v>
      </c>
      <c r="AA28" s="538">
        <v>1744.7999999999986</v>
      </c>
      <c r="AB28" s="538">
        <v>124.62857142857133</v>
      </c>
      <c r="AC28" s="529">
        <f t="shared" si="12"/>
        <v>3</v>
      </c>
      <c r="AD28" s="611"/>
      <c r="AE28" s="529">
        <v>12</v>
      </c>
      <c r="AF28" s="538">
        <v>1814.9999999999991</v>
      </c>
      <c r="AG28" s="538">
        <v>151.24999999999991</v>
      </c>
      <c r="AH28" s="529">
        <f t="shared" si="14"/>
        <v>2</v>
      </c>
      <c r="AI28" s="611"/>
      <c r="AJ28" s="529">
        <v>12</v>
      </c>
      <c r="AK28" s="538">
        <v>1735.9999999999991</v>
      </c>
      <c r="AL28" s="538">
        <v>144.6666666666666</v>
      </c>
      <c r="AM28" s="529">
        <f t="shared" si="16"/>
        <v>3</v>
      </c>
      <c r="AN28" s="611"/>
      <c r="AO28" s="529">
        <v>12</v>
      </c>
      <c r="AP28" s="538">
        <v>1760.8000000000006</v>
      </c>
      <c r="AQ28" s="538">
        <v>146.73333333333338</v>
      </c>
      <c r="AR28" s="529">
        <f t="shared" si="18"/>
        <v>3</v>
      </c>
      <c r="AS28" s="611"/>
      <c r="AT28" s="529">
        <v>12</v>
      </c>
      <c r="AU28" s="538">
        <v>1728.8000000000006</v>
      </c>
      <c r="AV28" s="538">
        <v>144.06666666666672</v>
      </c>
      <c r="AW28" s="529">
        <f t="shared" si="20"/>
        <v>3</v>
      </c>
      <c r="AX28" s="611"/>
      <c r="AZ28" s="377" t="e">
        <f t="shared" ref="AZ28:AZ41" si="22">RANK(AY28, AY$27:AY$41)</f>
        <v>#N/A</v>
      </c>
      <c r="BA28" s="653"/>
    </row>
    <row r="29" spans="2:54">
      <c r="B29" s="635"/>
      <c r="C29" s="534">
        <v>3</v>
      </c>
      <c r="D29" s="529" t="s">
        <v>624</v>
      </c>
      <c r="E29" s="529">
        <v>15</v>
      </c>
      <c r="F29" s="529">
        <v>1800</v>
      </c>
      <c r="G29" s="538">
        <v>120</v>
      </c>
      <c r="H29" s="672"/>
      <c r="I29" s="531">
        <f t="shared" si="7"/>
        <v>12.285714285714286</v>
      </c>
      <c r="J29" s="531">
        <f t="shared" si="7"/>
        <v>1855.5068931068938</v>
      </c>
      <c r="K29" s="363">
        <f t="shared" si="7"/>
        <v>151.65618667047241</v>
      </c>
      <c r="L29" s="615"/>
      <c r="M29" s="537">
        <f>RANK(K29, K$27:$K$41)</f>
        <v>2</v>
      </c>
      <c r="N29" s="624"/>
      <c r="O29" s="624"/>
      <c r="P29" s="529">
        <v>12</v>
      </c>
      <c r="Q29" s="538">
        <v>1906.1538461538457</v>
      </c>
      <c r="R29" s="538">
        <v>158.84615384615381</v>
      </c>
      <c r="S29" s="529">
        <f t="shared" si="8"/>
        <v>1</v>
      </c>
      <c r="T29" s="611"/>
      <c r="U29" s="529">
        <v>12</v>
      </c>
      <c r="V29" s="538">
        <v>1919.0769230769206</v>
      </c>
      <c r="W29" s="538">
        <v>159.92307692307671</v>
      </c>
      <c r="X29" s="529">
        <f t="shared" si="10"/>
        <v>1</v>
      </c>
      <c r="Y29" s="611"/>
      <c r="Z29" s="529">
        <v>14</v>
      </c>
      <c r="AA29" s="538">
        <v>1746.0000000000002</v>
      </c>
      <c r="AB29" s="538">
        <v>124.71428571428574</v>
      </c>
      <c r="AC29" s="529">
        <f t="shared" si="12"/>
        <v>2</v>
      </c>
      <c r="AD29" s="611"/>
      <c r="AE29" s="529">
        <v>12</v>
      </c>
      <c r="AF29" s="538">
        <v>1816.3636363636374</v>
      </c>
      <c r="AG29" s="538">
        <v>151.36363636363646</v>
      </c>
      <c r="AH29" s="529">
        <f t="shared" si="14"/>
        <v>1</v>
      </c>
      <c r="AI29" s="611"/>
      <c r="AJ29" s="529">
        <v>12</v>
      </c>
      <c r="AK29" s="538">
        <v>1870.7999999999977</v>
      </c>
      <c r="AL29" s="538">
        <v>155.89999999999981</v>
      </c>
      <c r="AM29" s="529">
        <f t="shared" si="16"/>
        <v>2</v>
      </c>
      <c r="AN29" s="611"/>
      <c r="AO29" s="529">
        <v>12</v>
      </c>
      <c r="AP29" s="538">
        <v>1908.0000000000045</v>
      </c>
      <c r="AQ29" s="538">
        <v>159.00000000000037</v>
      </c>
      <c r="AR29" s="529">
        <f t="shared" si="18"/>
        <v>1</v>
      </c>
      <c r="AS29" s="611"/>
      <c r="AT29" s="529">
        <v>12</v>
      </c>
      <c r="AU29" s="538">
        <v>1822.1538461538505</v>
      </c>
      <c r="AV29" s="538">
        <v>151.84615384615421</v>
      </c>
      <c r="AW29" s="529">
        <f t="shared" si="20"/>
        <v>1</v>
      </c>
      <c r="AX29" s="611"/>
      <c r="AZ29" s="377" t="e">
        <f t="shared" si="22"/>
        <v>#N/A</v>
      </c>
      <c r="BA29" s="653"/>
    </row>
    <row r="30" spans="2:54">
      <c r="B30" s="635"/>
      <c r="C30" s="534">
        <v>4</v>
      </c>
      <c r="D30" s="529"/>
      <c r="E30" s="529"/>
      <c r="F30" s="529"/>
      <c r="G30" s="538"/>
      <c r="H30" s="672"/>
      <c r="I30" s="531" t="str">
        <f t="shared" si="7"/>
        <v>-</v>
      </c>
      <c r="J30" s="531" t="str">
        <f t="shared" si="7"/>
        <v>-</v>
      </c>
      <c r="K30" s="363" t="str">
        <f t="shared" si="7"/>
        <v>-</v>
      </c>
      <c r="L30" s="615"/>
      <c r="M30" s="537" t="e">
        <f>RANK(K30, K$27:$K$41)</f>
        <v>#VALUE!</v>
      </c>
      <c r="N30" s="624"/>
      <c r="O30" s="624"/>
      <c r="P30" s="529" t="s">
        <v>427</v>
      </c>
      <c r="Q30" s="538" t="s">
        <v>427</v>
      </c>
      <c r="R30" s="538" t="s">
        <v>427</v>
      </c>
      <c r="S30" s="529" t="e">
        <f t="shared" si="8"/>
        <v>#VALUE!</v>
      </c>
      <c r="T30" s="611"/>
      <c r="U30" s="529" t="s">
        <v>427</v>
      </c>
      <c r="V30" s="538" t="s">
        <v>427</v>
      </c>
      <c r="W30" s="538" t="s">
        <v>427</v>
      </c>
      <c r="X30" s="529" t="e">
        <f t="shared" si="10"/>
        <v>#VALUE!</v>
      </c>
      <c r="Y30" s="611"/>
      <c r="Z30" s="529" t="s">
        <v>427</v>
      </c>
      <c r="AA30" s="538" t="s">
        <v>427</v>
      </c>
      <c r="AB30" s="538" t="s">
        <v>427</v>
      </c>
      <c r="AC30" s="529" t="e">
        <f t="shared" si="12"/>
        <v>#VALUE!</v>
      </c>
      <c r="AD30" s="611"/>
      <c r="AE30" s="529" t="s">
        <v>427</v>
      </c>
      <c r="AF30" s="538" t="s">
        <v>427</v>
      </c>
      <c r="AG30" s="538" t="s">
        <v>427</v>
      </c>
      <c r="AH30" s="529" t="e">
        <f t="shared" si="14"/>
        <v>#VALUE!</v>
      </c>
      <c r="AI30" s="611"/>
      <c r="AJ30" s="529" t="s">
        <v>427</v>
      </c>
      <c r="AK30" s="538" t="s">
        <v>427</v>
      </c>
      <c r="AL30" s="538" t="s">
        <v>427</v>
      </c>
      <c r="AM30" s="529" t="e">
        <f t="shared" si="16"/>
        <v>#VALUE!</v>
      </c>
      <c r="AN30" s="611"/>
      <c r="AO30" s="529" t="s">
        <v>427</v>
      </c>
      <c r="AP30" s="538" t="s">
        <v>427</v>
      </c>
      <c r="AQ30" s="538" t="s">
        <v>427</v>
      </c>
      <c r="AR30" s="529" t="e">
        <f t="shared" si="18"/>
        <v>#VALUE!</v>
      </c>
      <c r="AS30" s="611"/>
      <c r="AT30" s="529" t="s">
        <v>427</v>
      </c>
      <c r="AU30" s="538" t="s">
        <v>427</v>
      </c>
      <c r="AV30" s="538" t="s">
        <v>427</v>
      </c>
      <c r="AW30" s="529" t="e">
        <f t="shared" si="20"/>
        <v>#VALUE!</v>
      </c>
      <c r="AX30" s="611"/>
      <c r="AZ30" s="377" t="e">
        <f t="shared" si="22"/>
        <v>#N/A</v>
      </c>
      <c r="BA30" s="653"/>
    </row>
    <row r="31" spans="2:54">
      <c r="B31" s="635"/>
      <c r="C31" s="534">
        <v>5</v>
      </c>
      <c r="D31" s="529"/>
      <c r="E31" s="529"/>
      <c r="F31" s="529"/>
      <c r="G31" s="538"/>
      <c r="H31" s="672"/>
      <c r="I31" s="531" t="str">
        <f t="shared" si="7"/>
        <v>-</v>
      </c>
      <c r="J31" s="531" t="str">
        <f t="shared" si="7"/>
        <v>-</v>
      </c>
      <c r="K31" s="363" t="str">
        <f t="shared" si="7"/>
        <v>-</v>
      </c>
      <c r="L31" s="615"/>
      <c r="M31" s="537" t="e">
        <f>RANK(K31, K$27:$K$41)</f>
        <v>#VALUE!</v>
      </c>
      <c r="N31" s="624"/>
      <c r="O31" s="624"/>
      <c r="P31" s="529" t="s">
        <v>427</v>
      </c>
      <c r="Q31" s="538" t="s">
        <v>427</v>
      </c>
      <c r="R31" s="538" t="s">
        <v>427</v>
      </c>
      <c r="S31" s="529" t="e">
        <f t="shared" si="8"/>
        <v>#VALUE!</v>
      </c>
      <c r="T31" s="611"/>
      <c r="U31" s="529" t="s">
        <v>427</v>
      </c>
      <c r="V31" s="538" t="s">
        <v>427</v>
      </c>
      <c r="W31" s="538" t="s">
        <v>427</v>
      </c>
      <c r="X31" s="529" t="e">
        <f t="shared" si="10"/>
        <v>#VALUE!</v>
      </c>
      <c r="Y31" s="611"/>
      <c r="Z31" s="529" t="s">
        <v>427</v>
      </c>
      <c r="AA31" s="538" t="s">
        <v>427</v>
      </c>
      <c r="AB31" s="538" t="s">
        <v>427</v>
      </c>
      <c r="AC31" s="529" t="e">
        <f t="shared" si="12"/>
        <v>#VALUE!</v>
      </c>
      <c r="AD31" s="611"/>
      <c r="AE31" s="529" t="s">
        <v>427</v>
      </c>
      <c r="AF31" s="538" t="s">
        <v>427</v>
      </c>
      <c r="AG31" s="538" t="s">
        <v>427</v>
      </c>
      <c r="AH31" s="529" t="e">
        <f t="shared" si="14"/>
        <v>#VALUE!</v>
      </c>
      <c r="AI31" s="611"/>
      <c r="AJ31" s="529" t="s">
        <v>427</v>
      </c>
      <c r="AK31" s="538" t="s">
        <v>427</v>
      </c>
      <c r="AL31" s="538" t="s">
        <v>427</v>
      </c>
      <c r="AM31" s="529" t="e">
        <f t="shared" si="16"/>
        <v>#VALUE!</v>
      </c>
      <c r="AN31" s="611"/>
      <c r="AO31" s="529" t="s">
        <v>427</v>
      </c>
      <c r="AP31" s="538" t="s">
        <v>427</v>
      </c>
      <c r="AQ31" s="538" t="s">
        <v>427</v>
      </c>
      <c r="AR31" s="529" t="e">
        <f t="shared" si="18"/>
        <v>#VALUE!</v>
      </c>
      <c r="AS31" s="611"/>
      <c r="AT31" s="529" t="s">
        <v>427</v>
      </c>
      <c r="AU31" s="538" t="s">
        <v>427</v>
      </c>
      <c r="AV31" s="538" t="s">
        <v>427</v>
      </c>
      <c r="AW31" s="529" t="e">
        <f t="shared" si="20"/>
        <v>#VALUE!</v>
      </c>
      <c r="AX31" s="611"/>
      <c r="AZ31" s="377" t="e">
        <f t="shared" si="22"/>
        <v>#N/A</v>
      </c>
      <c r="BA31" s="653"/>
    </row>
    <row r="32" spans="2:54">
      <c r="B32" s="635"/>
      <c r="C32" s="534">
        <v>6</v>
      </c>
      <c r="D32" s="529"/>
      <c r="E32" s="529"/>
      <c r="F32" s="529"/>
      <c r="G32" s="538"/>
      <c r="H32" s="672"/>
      <c r="I32" s="531" t="str">
        <f t="shared" si="7"/>
        <v>-</v>
      </c>
      <c r="J32" s="531" t="str">
        <f t="shared" si="7"/>
        <v>-</v>
      </c>
      <c r="K32" s="363" t="str">
        <f t="shared" si="7"/>
        <v>-</v>
      </c>
      <c r="L32" s="615"/>
      <c r="M32" s="537" t="e">
        <f>RANK(K32, K$27:$K$41)</f>
        <v>#VALUE!</v>
      </c>
      <c r="N32" s="624"/>
      <c r="O32" s="624"/>
      <c r="P32" s="529" t="s">
        <v>427</v>
      </c>
      <c r="Q32" s="538" t="s">
        <v>427</v>
      </c>
      <c r="R32" s="538" t="s">
        <v>427</v>
      </c>
      <c r="S32" s="529" t="e">
        <f t="shared" si="8"/>
        <v>#VALUE!</v>
      </c>
      <c r="T32" s="611"/>
      <c r="U32" s="529" t="s">
        <v>427</v>
      </c>
      <c r="V32" s="538" t="s">
        <v>427</v>
      </c>
      <c r="W32" s="538" t="s">
        <v>427</v>
      </c>
      <c r="X32" s="529" t="e">
        <f t="shared" si="10"/>
        <v>#VALUE!</v>
      </c>
      <c r="Y32" s="611"/>
      <c r="Z32" s="529" t="s">
        <v>427</v>
      </c>
      <c r="AA32" s="538" t="s">
        <v>427</v>
      </c>
      <c r="AB32" s="538" t="s">
        <v>427</v>
      </c>
      <c r="AC32" s="529" t="e">
        <f t="shared" si="12"/>
        <v>#VALUE!</v>
      </c>
      <c r="AD32" s="611"/>
      <c r="AE32" s="529" t="s">
        <v>427</v>
      </c>
      <c r="AF32" s="538" t="s">
        <v>427</v>
      </c>
      <c r="AG32" s="538" t="s">
        <v>427</v>
      </c>
      <c r="AH32" s="529" t="e">
        <f t="shared" si="14"/>
        <v>#VALUE!</v>
      </c>
      <c r="AI32" s="611"/>
      <c r="AJ32" s="529" t="s">
        <v>427</v>
      </c>
      <c r="AK32" s="538" t="s">
        <v>427</v>
      </c>
      <c r="AL32" s="538" t="s">
        <v>427</v>
      </c>
      <c r="AM32" s="529" t="e">
        <f t="shared" si="16"/>
        <v>#VALUE!</v>
      </c>
      <c r="AN32" s="611"/>
      <c r="AO32" s="529" t="s">
        <v>427</v>
      </c>
      <c r="AP32" s="538" t="s">
        <v>427</v>
      </c>
      <c r="AQ32" s="538" t="s">
        <v>427</v>
      </c>
      <c r="AR32" s="529" t="e">
        <f t="shared" si="18"/>
        <v>#VALUE!</v>
      </c>
      <c r="AS32" s="611"/>
      <c r="AT32" s="529" t="s">
        <v>427</v>
      </c>
      <c r="AU32" s="538" t="s">
        <v>427</v>
      </c>
      <c r="AV32" s="538" t="s">
        <v>427</v>
      </c>
      <c r="AW32" s="529" t="e">
        <f t="shared" si="20"/>
        <v>#VALUE!</v>
      </c>
      <c r="AX32" s="611"/>
      <c r="AZ32" s="377" t="e">
        <f t="shared" si="22"/>
        <v>#N/A</v>
      </c>
      <c r="BA32" s="653"/>
    </row>
    <row r="33" spans="2:53">
      <c r="B33" s="635"/>
      <c r="C33" s="534">
        <v>7</v>
      </c>
      <c r="D33" s="529"/>
      <c r="E33" s="529"/>
      <c r="F33" s="529"/>
      <c r="G33" s="538"/>
      <c r="H33" s="672"/>
      <c r="I33" s="531" t="str">
        <f t="shared" si="7"/>
        <v>-</v>
      </c>
      <c r="J33" s="531" t="str">
        <f t="shared" si="7"/>
        <v>-</v>
      </c>
      <c r="K33" s="363" t="str">
        <f t="shared" si="7"/>
        <v>-</v>
      </c>
      <c r="L33" s="615"/>
      <c r="M33" s="537" t="e">
        <f>RANK(K33, K$27:$K$41)</f>
        <v>#VALUE!</v>
      </c>
      <c r="N33" s="624"/>
      <c r="O33" s="624"/>
      <c r="P33" s="529" t="s">
        <v>427</v>
      </c>
      <c r="Q33" s="538" t="s">
        <v>427</v>
      </c>
      <c r="R33" s="538" t="s">
        <v>427</v>
      </c>
      <c r="S33" s="529" t="e">
        <f t="shared" si="8"/>
        <v>#VALUE!</v>
      </c>
      <c r="T33" s="611"/>
      <c r="U33" s="529" t="s">
        <v>427</v>
      </c>
      <c r="V33" s="538" t="s">
        <v>427</v>
      </c>
      <c r="W33" s="538" t="s">
        <v>427</v>
      </c>
      <c r="X33" s="529" t="e">
        <f t="shared" si="10"/>
        <v>#VALUE!</v>
      </c>
      <c r="Y33" s="611"/>
      <c r="Z33" s="529" t="s">
        <v>427</v>
      </c>
      <c r="AA33" s="538" t="s">
        <v>427</v>
      </c>
      <c r="AB33" s="538" t="s">
        <v>427</v>
      </c>
      <c r="AC33" s="529" t="e">
        <f t="shared" si="12"/>
        <v>#VALUE!</v>
      </c>
      <c r="AD33" s="611"/>
      <c r="AE33" s="529" t="s">
        <v>427</v>
      </c>
      <c r="AF33" s="538" t="s">
        <v>427</v>
      </c>
      <c r="AG33" s="538" t="s">
        <v>427</v>
      </c>
      <c r="AH33" s="529" t="e">
        <f t="shared" si="14"/>
        <v>#VALUE!</v>
      </c>
      <c r="AI33" s="611"/>
      <c r="AJ33" s="529" t="s">
        <v>427</v>
      </c>
      <c r="AK33" s="538" t="s">
        <v>427</v>
      </c>
      <c r="AL33" s="538" t="s">
        <v>427</v>
      </c>
      <c r="AM33" s="529" t="e">
        <f t="shared" si="16"/>
        <v>#VALUE!</v>
      </c>
      <c r="AN33" s="611"/>
      <c r="AO33" s="529" t="s">
        <v>427</v>
      </c>
      <c r="AP33" s="538" t="s">
        <v>427</v>
      </c>
      <c r="AQ33" s="538" t="s">
        <v>427</v>
      </c>
      <c r="AR33" s="529" t="e">
        <f t="shared" si="18"/>
        <v>#VALUE!</v>
      </c>
      <c r="AS33" s="611"/>
      <c r="AT33" s="529" t="s">
        <v>427</v>
      </c>
      <c r="AU33" s="538" t="s">
        <v>427</v>
      </c>
      <c r="AV33" s="538" t="s">
        <v>427</v>
      </c>
      <c r="AW33" s="529" t="e">
        <f t="shared" si="20"/>
        <v>#VALUE!</v>
      </c>
      <c r="AX33" s="611"/>
      <c r="AZ33" s="377" t="e">
        <f t="shared" si="22"/>
        <v>#N/A</v>
      </c>
      <c r="BA33" s="653"/>
    </row>
    <row r="34" spans="2:53">
      <c r="B34" s="635"/>
      <c r="C34" s="534">
        <v>8</v>
      </c>
      <c r="D34" s="529"/>
      <c r="E34" s="529"/>
      <c r="F34" s="529"/>
      <c r="G34" s="538"/>
      <c r="H34" s="672"/>
      <c r="I34" s="531" t="str">
        <f t="shared" si="7"/>
        <v>-</v>
      </c>
      <c r="J34" s="531" t="str">
        <f t="shared" si="7"/>
        <v>-</v>
      </c>
      <c r="K34" s="363" t="str">
        <f t="shared" si="7"/>
        <v>-</v>
      </c>
      <c r="L34" s="615"/>
      <c r="M34" s="537" t="e">
        <f>RANK(K34, K$27:$K$41)</f>
        <v>#VALUE!</v>
      </c>
      <c r="N34" s="624"/>
      <c r="O34" s="624"/>
      <c r="P34" s="529" t="s">
        <v>427</v>
      </c>
      <c r="Q34" s="538" t="s">
        <v>427</v>
      </c>
      <c r="R34" s="538" t="s">
        <v>427</v>
      </c>
      <c r="S34" s="529" t="e">
        <f t="shared" si="8"/>
        <v>#VALUE!</v>
      </c>
      <c r="T34" s="611"/>
      <c r="U34" s="529" t="s">
        <v>427</v>
      </c>
      <c r="V34" s="538" t="s">
        <v>427</v>
      </c>
      <c r="W34" s="538" t="s">
        <v>427</v>
      </c>
      <c r="X34" s="529" t="e">
        <f t="shared" si="10"/>
        <v>#VALUE!</v>
      </c>
      <c r="Y34" s="611"/>
      <c r="Z34" s="529" t="s">
        <v>427</v>
      </c>
      <c r="AA34" s="538" t="s">
        <v>427</v>
      </c>
      <c r="AB34" s="538" t="s">
        <v>427</v>
      </c>
      <c r="AC34" s="529" t="e">
        <f t="shared" si="12"/>
        <v>#VALUE!</v>
      </c>
      <c r="AD34" s="611"/>
      <c r="AE34" s="529" t="s">
        <v>427</v>
      </c>
      <c r="AF34" s="538" t="s">
        <v>427</v>
      </c>
      <c r="AG34" s="538" t="s">
        <v>427</v>
      </c>
      <c r="AH34" s="529" t="e">
        <f t="shared" si="14"/>
        <v>#VALUE!</v>
      </c>
      <c r="AI34" s="611"/>
      <c r="AJ34" s="529" t="s">
        <v>427</v>
      </c>
      <c r="AK34" s="538" t="s">
        <v>427</v>
      </c>
      <c r="AL34" s="538" t="s">
        <v>427</v>
      </c>
      <c r="AM34" s="529" t="e">
        <f t="shared" si="16"/>
        <v>#VALUE!</v>
      </c>
      <c r="AN34" s="611"/>
      <c r="AO34" s="529" t="s">
        <v>427</v>
      </c>
      <c r="AP34" s="538" t="s">
        <v>427</v>
      </c>
      <c r="AQ34" s="538" t="s">
        <v>427</v>
      </c>
      <c r="AR34" s="529" t="e">
        <f t="shared" si="18"/>
        <v>#VALUE!</v>
      </c>
      <c r="AS34" s="611"/>
      <c r="AT34" s="529" t="s">
        <v>427</v>
      </c>
      <c r="AU34" s="538" t="s">
        <v>427</v>
      </c>
      <c r="AV34" s="538" t="s">
        <v>427</v>
      </c>
      <c r="AW34" s="529" t="e">
        <f t="shared" si="20"/>
        <v>#VALUE!</v>
      </c>
      <c r="AX34" s="611"/>
      <c r="AZ34" s="377" t="e">
        <f t="shared" si="22"/>
        <v>#N/A</v>
      </c>
      <c r="BA34" s="653"/>
    </row>
    <row r="35" spans="2:53">
      <c r="B35" s="635"/>
      <c r="C35" s="534">
        <v>9</v>
      </c>
      <c r="D35" s="529"/>
      <c r="E35" s="529"/>
      <c r="F35" s="529"/>
      <c r="G35" s="538"/>
      <c r="H35" s="672"/>
      <c r="I35" s="531" t="str">
        <f t="shared" si="7"/>
        <v>-</v>
      </c>
      <c r="J35" s="531" t="str">
        <f t="shared" si="7"/>
        <v>-</v>
      </c>
      <c r="K35" s="363" t="str">
        <f t="shared" si="7"/>
        <v>-</v>
      </c>
      <c r="L35" s="615"/>
      <c r="M35" s="537" t="e">
        <f>RANK(K35, K$27:$K$41)</f>
        <v>#VALUE!</v>
      </c>
      <c r="N35" s="624"/>
      <c r="O35" s="624"/>
      <c r="P35" s="529" t="s">
        <v>427</v>
      </c>
      <c r="Q35" s="538" t="s">
        <v>427</v>
      </c>
      <c r="R35" s="538" t="s">
        <v>427</v>
      </c>
      <c r="S35" s="529" t="e">
        <f t="shared" si="8"/>
        <v>#VALUE!</v>
      </c>
      <c r="T35" s="611"/>
      <c r="U35" s="529" t="s">
        <v>427</v>
      </c>
      <c r="V35" s="538" t="s">
        <v>427</v>
      </c>
      <c r="W35" s="538" t="s">
        <v>427</v>
      </c>
      <c r="X35" s="529" t="e">
        <f t="shared" si="10"/>
        <v>#VALUE!</v>
      </c>
      <c r="Y35" s="611"/>
      <c r="Z35" s="529" t="s">
        <v>427</v>
      </c>
      <c r="AA35" s="538" t="s">
        <v>427</v>
      </c>
      <c r="AB35" s="538" t="s">
        <v>427</v>
      </c>
      <c r="AC35" s="529" t="e">
        <f t="shared" si="12"/>
        <v>#VALUE!</v>
      </c>
      <c r="AD35" s="611"/>
      <c r="AE35" s="529" t="s">
        <v>427</v>
      </c>
      <c r="AF35" s="538" t="s">
        <v>427</v>
      </c>
      <c r="AG35" s="538" t="s">
        <v>427</v>
      </c>
      <c r="AH35" s="529" t="e">
        <f t="shared" si="14"/>
        <v>#VALUE!</v>
      </c>
      <c r="AI35" s="611"/>
      <c r="AJ35" s="529" t="s">
        <v>427</v>
      </c>
      <c r="AK35" s="538" t="s">
        <v>427</v>
      </c>
      <c r="AL35" s="538" t="s">
        <v>427</v>
      </c>
      <c r="AM35" s="529" t="e">
        <f t="shared" si="16"/>
        <v>#VALUE!</v>
      </c>
      <c r="AN35" s="611"/>
      <c r="AO35" s="529" t="s">
        <v>427</v>
      </c>
      <c r="AP35" s="538" t="s">
        <v>427</v>
      </c>
      <c r="AQ35" s="538" t="s">
        <v>427</v>
      </c>
      <c r="AR35" s="529" t="e">
        <f t="shared" si="18"/>
        <v>#VALUE!</v>
      </c>
      <c r="AS35" s="611"/>
      <c r="AT35" s="529" t="s">
        <v>427</v>
      </c>
      <c r="AU35" s="538" t="s">
        <v>427</v>
      </c>
      <c r="AV35" s="538" t="s">
        <v>427</v>
      </c>
      <c r="AW35" s="529" t="e">
        <f t="shared" si="20"/>
        <v>#VALUE!</v>
      </c>
      <c r="AX35" s="611"/>
      <c r="AZ35" s="377" t="e">
        <f t="shared" si="22"/>
        <v>#N/A</v>
      </c>
      <c r="BA35" s="653"/>
    </row>
    <row r="36" spans="2:53">
      <c r="B36" s="635"/>
      <c r="C36" s="534">
        <v>10</v>
      </c>
      <c r="D36" s="529"/>
      <c r="E36" s="529"/>
      <c r="F36" s="529"/>
      <c r="G36" s="538"/>
      <c r="H36" s="672"/>
      <c r="I36" s="531" t="str">
        <f t="shared" si="7"/>
        <v>-</v>
      </c>
      <c r="J36" s="531" t="str">
        <f t="shared" si="7"/>
        <v>-</v>
      </c>
      <c r="K36" s="363" t="str">
        <f t="shared" si="7"/>
        <v>-</v>
      </c>
      <c r="L36" s="615"/>
      <c r="M36" s="537" t="e">
        <f>RANK(K36, K$27:$K$41)</f>
        <v>#VALUE!</v>
      </c>
      <c r="N36" s="624"/>
      <c r="O36" s="624"/>
      <c r="P36" s="529" t="s">
        <v>427</v>
      </c>
      <c r="Q36" s="538" t="s">
        <v>427</v>
      </c>
      <c r="R36" s="538" t="s">
        <v>427</v>
      </c>
      <c r="S36" s="529" t="e">
        <f t="shared" si="8"/>
        <v>#VALUE!</v>
      </c>
      <c r="T36" s="611"/>
      <c r="U36" s="529" t="s">
        <v>427</v>
      </c>
      <c r="V36" s="538" t="s">
        <v>427</v>
      </c>
      <c r="W36" s="538" t="s">
        <v>427</v>
      </c>
      <c r="X36" s="529" t="e">
        <f t="shared" si="10"/>
        <v>#VALUE!</v>
      </c>
      <c r="Y36" s="611"/>
      <c r="Z36" s="529" t="s">
        <v>427</v>
      </c>
      <c r="AA36" s="538" t="s">
        <v>427</v>
      </c>
      <c r="AB36" s="538" t="s">
        <v>427</v>
      </c>
      <c r="AC36" s="529" t="e">
        <f t="shared" si="12"/>
        <v>#VALUE!</v>
      </c>
      <c r="AD36" s="611"/>
      <c r="AE36" s="529" t="s">
        <v>427</v>
      </c>
      <c r="AF36" s="538" t="s">
        <v>427</v>
      </c>
      <c r="AG36" s="538" t="s">
        <v>427</v>
      </c>
      <c r="AH36" s="529" t="e">
        <f t="shared" si="14"/>
        <v>#VALUE!</v>
      </c>
      <c r="AI36" s="611"/>
      <c r="AJ36" s="529" t="s">
        <v>427</v>
      </c>
      <c r="AK36" s="538" t="s">
        <v>427</v>
      </c>
      <c r="AL36" s="538" t="s">
        <v>427</v>
      </c>
      <c r="AM36" s="529" t="e">
        <f t="shared" si="16"/>
        <v>#VALUE!</v>
      </c>
      <c r="AN36" s="611"/>
      <c r="AO36" s="529" t="s">
        <v>427</v>
      </c>
      <c r="AP36" s="538" t="s">
        <v>427</v>
      </c>
      <c r="AQ36" s="538" t="s">
        <v>427</v>
      </c>
      <c r="AR36" s="529" t="e">
        <f t="shared" si="18"/>
        <v>#VALUE!</v>
      </c>
      <c r="AS36" s="611"/>
      <c r="AT36" s="529" t="s">
        <v>427</v>
      </c>
      <c r="AU36" s="538" t="s">
        <v>427</v>
      </c>
      <c r="AV36" s="538" t="s">
        <v>427</v>
      </c>
      <c r="AW36" s="529" t="e">
        <f t="shared" si="20"/>
        <v>#VALUE!</v>
      </c>
      <c r="AX36" s="611"/>
      <c r="AZ36" s="377" t="e">
        <f t="shared" si="22"/>
        <v>#N/A</v>
      </c>
      <c r="BA36" s="653"/>
    </row>
    <row r="37" spans="2:53">
      <c r="B37" s="635"/>
      <c r="C37" s="534">
        <v>11</v>
      </c>
      <c r="D37" s="529"/>
      <c r="E37" s="529"/>
      <c r="F37" s="529"/>
      <c r="G37" s="538"/>
      <c r="H37" s="672"/>
      <c r="I37" s="531" t="str">
        <f t="shared" si="7"/>
        <v>-</v>
      </c>
      <c r="J37" s="531" t="str">
        <f t="shared" si="7"/>
        <v>-</v>
      </c>
      <c r="K37" s="363" t="str">
        <f t="shared" si="7"/>
        <v>-</v>
      </c>
      <c r="L37" s="615"/>
      <c r="M37" s="537" t="e">
        <f>RANK(K37, K$27:$K$41)</f>
        <v>#VALUE!</v>
      </c>
      <c r="N37" s="624"/>
      <c r="O37" s="624"/>
      <c r="P37" s="529" t="s">
        <v>427</v>
      </c>
      <c r="Q37" s="538" t="s">
        <v>427</v>
      </c>
      <c r="R37" s="538" t="s">
        <v>427</v>
      </c>
      <c r="S37" s="529" t="e">
        <f t="shared" si="8"/>
        <v>#VALUE!</v>
      </c>
      <c r="T37" s="611"/>
      <c r="U37" s="529" t="s">
        <v>427</v>
      </c>
      <c r="V37" s="538" t="s">
        <v>427</v>
      </c>
      <c r="W37" s="538" t="s">
        <v>427</v>
      </c>
      <c r="X37" s="529" t="e">
        <f t="shared" si="10"/>
        <v>#VALUE!</v>
      </c>
      <c r="Y37" s="611"/>
      <c r="Z37" s="529" t="s">
        <v>427</v>
      </c>
      <c r="AA37" s="538" t="s">
        <v>427</v>
      </c>
      <c r="AB37" s="538" t="s">
        <v>427</v>
      </c>
      <c r="AC37" s="529" t="e">
        <f t="shared" si="12"/>
        <v>#VALUE!</v>
      </c>
      <c r="AD37" s="611"/>
      <c r="AE37" s="529" t="s">
        <v>427</v>
      </c>
      <c r="AF37" s="538" t="s">
        <v>427</v>
      </c>
      <c r="AG37" s="538" t="s">
        <v>427</v>
      </c>
      <c r="AH37" s="529" t="e">
        <f t="shared" si="14"/>
        <v>#VALUE!</v>
      </c>
      <c r="AI37" s="611"/>
      <c r="AJ37" s="529" t="s">
        <v>427</v>
      </c>
      <c r="AK37" s="538" t="s">
        <v>427</v>
      </c>
      <c r="AL37" s="538" t="s">
        <v>427</v>
      </c>
      <c r="AM37" s="529" t="e">
        <f t="shared" si="16"/>
        <v>#VALUE!</v>
      </c>
      <c r="AN37" s="611"/>
      <c r="AO37" s="529" t="s">
        <v>427</v>
      </c>
      <c r="AP37" s="538" t="s">
        <v>427</v>
      </c>
      <c r="AQ37" s="538" t="s">
        <v>427</v>
      </c>
      <c r="AR37" s="529" t="e">
        <f t="shared" si="18"/>
        <v>#VALUE!</v>
      </c>
      <c r="AS37" s="611"/>
      <c r="AT37" s="529" t="s">
        <v>427</v>
      </c>
      <c r="AU37" s="538" t="s">
        <v>427</v>
      </c>
      <c r="AV37" s="538" t="s">
        <v>427</v>
      </c>
      <c r="AW37" s="529" t="e">
        <f t="shared" si="20"/>
        <v>#VALUE!</v>
      </c>
      <c r="AX37" s="611"/>
      <c r="AZ37" s="377" t="e">
        <f t="shared" si="22"/>
        <v>#N/A</v>
      </c>
      <c r="BA37" s="653"/>
    </row>
    <row r="38" spans="2:53">
      <c r="B38" s="635"/>
      <c r="C38" s="534">
        <v>12</v>
      </c>
      <c r="D38" s="529"/>
      <c r="E38" s="529"/>
      <c r="F38" s="529"/>
      <c r="G38" s="538"/>
      <c r="H38" s="672"/>
      <c r="I38" s="531" t="str">
        <f t="shared" si="7"/>
        <v>-</v>
      </c>
      <c r="J38" s="531" t="str">
        <f t="shared" si="7"/>
        <v>-</v>
      </c>
      <c r="K38" s="363" t="str">
        <f t="shared" si="7"/>
        <v>-</v>
      </c>
      <c r="L38" s="615"/>
      <c r="M38" s="537" t="e">
        <f>RANK(K38, K$27:$K$41)</f>
        <v>#VALUE!</v>
      </c>
      <c r="N38" s="624"/>
      <c r="O38" s="624"/>
      <c r="P38" s="529" t="s">
        <v>427</v>
      </c>
      <c r="Q38" s="538" t="s">
        <v>427</v>
      </c>
      <c r="R38" s="538" t="s">
        <v>427</v>
      </c>
      <c r="S38" s="529" t="e">
        <f t="shared" si="8"/>
        <v>#VALUE!</v>
      </c>
      <c r="T38" s="611"/>
      <c r="U38" s="529" t="s">
        <v>427</v>
      </c>
      <c r="V38" s="538" t="s">
        <v>427</v>
      </c>
      <c r="W38" s="538" t="s">
        <v>427</v>
      </c>
      <c r="X38" s="529" t="e">
        <f t="shared" si="10"/>
        <v>#VALUE!</v>
      </c>
      <c r="Y38" s="611"/>
      <c r="Z38" s="529" t="s">
        <v>427</v>
      </c>
      <c r="AA38" s="538" t="s">
        <v>427</v>
      </c>
      <c r="AB38" s="538" t="s">
        <v>427</v>
      </c>
      <c r="AC38" s="529" t="e">
        <f t="shared" si="12"/>
        <v>#VALUE!</v>
      </c>
      <c r="AD38" s="611"/>
      <c r="AE38" s="529" t="s">
        <v>427</v>
      </c>
      <c r="AF38" s="538" t="s">
        <v>427</v>
      </c>
      <c r="AG38" s="538" t="s">
        <v>427</v>
      </c>
      <c r="AH38" s="529" t="e">
        <f t="shared" si="14"/>
        <v>#VALUE!</v>
      </c>
      <c r="AI38" s="611"/>
      <c r="AJ38" s="529" t="s">
        <v>427</v>
      </c>
      <c r="AK38" s="538" t="s">
        <v>427</v>
      </c>
      <c r="AL38" s="538" t="s">
        <v>427</v>
      </c>
      <c r="AM38" s="529" t="e">
        <f t="shared" si="16"/>
        <v>#VALUE!</v>
      </c>
      <c r="AN38" s="611"/>
      <c r="AO38" s="529" t="s">
        <v>427</v>
      </c>
      <c r="AP38" s="538" t="s">
        <v>427</v>
      </c>
      <c r="AQ38" s="538" t="s">
        <v>427</v>
      </c>
      <c r="AR38" s="529" t="e">
        <f t="shared" si="18"/>
        <v>#VALUE!</v>
      </c>
      <c r="AS38" s="611"/>
      <c r="AT38" s="529" t="s">
        <v>427</v>
      </c>
      <c r="AU38" s="538" t="s">
        <v>427</v>
      </c>
      <c r="AV38" s="538" t="s">
        <v>427</v>
      </c>
      <c r="AW38" s="529" t="e">
        <f t="shared" si="20"/>
        <v>#VALUE!</v>
      </c>
      <c r="AX38" s="611"/>
      <c r="AZ38" s="377" t="e">
        <f t="shared" si="22"/>
        <v>#N/A</v>
      </c>
      <c r="BA38" s="653"/>
    </row>
    <row r="39" spans="2:53">
      <c r="B39" s="635"/>
      <c r="C39" s="534">
        <v>13</v>
      </c>
      <c r="D39" s="529"/>
      <c r="E39" s="529"/>
      <c r="F39" s="529"/>
      <c r="G39" s="538"/>
      <c r="H39" s="672"/>
      <c r="I39" s="531" t="str">
        <f t="shared" si="7"/>
        <v>-</v>
      </c>
      <c r="J39" s="531" t="str">
        <f t="shared" si="7"/>
        <v>-</v>
      </c>
      <c r="K39" s="363" t="str">
        <f t="shared" si="7"/>
        <v>-</v>
      </c>
      <c r="L39" s="615"/>
      <c r="M39" s="537" t="e">
        <f>RANK(K39, K$27:$K$41)</f>
        <v>#VALUE!</v>
      </c>
      <c r="N39" s="624"/>
      <c r="O39" s="624"/>
      <c r="P39" s="529" t="s">
        <v>427</v>
      </c>
      <c r="Q39" s="538" t="s">
        <v>427</v>
      </c>
      <c r="R39" s="538" t="s">
        <v>427</v>
      </c>
      <c r="S39" s="529" t="e">
        <f t="shared" si="8"/>
        <v>#VALUE!</v>
      </c>
      <c r="T39" s="611"/>
      <c r="U39" s="529" t="s">
        <v>427</v>
      </c>
      <c r="V39" s="538" t="s">
        <v>427</v>
      </c>
      <c r="W39" s="538" t="s">
        <v>427</v>
      </c>
      <c r="X39" s="529" t="e">
        <f t="shared" si="10"/>
        <v>#VALUE!</v>
      </c>
      <c r="Y39" s="611"/>
      <c r="Z39" s="529" t="s">
        <v>427</v>
      </c>
      <c r="AA39" s="538" t="s">
        <v>427</v>
      </c>
      <c r="AB39" s="538" t="s">
        <v>427</v>
      </c>
      <c r="AC39" s="529" t="e">
        <f t="shared" si="12"/>
        <v>#VALUE!</v>
      </c>
      <c r="AD39" s="611"/>
      <c r="AE39" s="529" t="s">
        <v>427</v>
      </c>
      <c r="AF39" s="538" t="s">
        <v>427</v>
      </c>
      <c r="AG39" s="538" t="s">
        <v>427</v>
      </c>
      <c r="AH39" s="529" t="e">
        <f t="shared" si="14"/>
        <v>#VALUE!</v>
      </c>
      <c r="AI39" s="611"/>
      <c r="AJ39" s="529" t="s">
        <v>427</v>
      </c>
      <c r="AK39" s="538" t="s">
        <v>427</v>
      </c>
      <c r="AL39" s="538" t="s">
        <v>427</v>
      </c>
      <c r="AM39" s="529" t="e">
        <f t="shared" si="16"/>
        <v>#VALUE!</v>
      </c>
      <c r="AN39" s="611"/>
      <c r="AO39" s="529" t="s">
        <v>427</v>
      </c>
      <c r="AP39" s="538" t="s">
        <v>427</v>
      </c>
      <c r="AQ39" s="538" t="s">
        <v>427</v>
      </c>
      <c r="AR39" s="529" t="e">
        <f t="shared" si="18"/>
        <v>#VALUE!</v>
      </c>
      <c r="AS39" s="611"/>
      <c r="AT39" s="529" t="s">
        <v>427</v>
      </c>
      <c r="AU39" s="538" t="s">
        <v>427</v>
      </c>
      <c r="AV39" s="538" t="s">
        <v>427</v>
      </c>
      <c r="AW39" s="529" t="e">
        <f t="shared" si="20"/>
        <v>#VALUE!</v>
      </c>
      <c r="AX39" s="611"/>
      <c r="AZ39" s="377" t="e">
        <f t="shared" si="22"/>
        <v>#N/A</v>
      </c>
      <c r="BA39" s="653"/>
    </row>
    <row r="40" spans="2:53">
      <c r="B40" s="635"/>
      <c r="C40" s="534">
        <v>14</v>
      </c>
      <c r="D40" s="529"/>
      <c r="E40" s="529"/>
      <c r="F40" s="529"/>
      <c r="G40" s="538"/>
      <c r="H40" s="672"/>
      <c r="I40" s="531" t="str">
        <f t="shared" si="7"/>
        <v>-</v>
      </c>
      <c r="J40" s="531" t="str">
        <f t="shared" si="7"/>
        <v>-</v>
      </c>
      <c r="K40" s="363" t="str">
        <f t="shared" si="7"/>
        <v>-</v>
      </c>
      <c r="L40" s="615"/>
      <c r="M40" s="537" t="e">
        <f>RANK(K40, K$27:$K$41)</f>
        <v>#VALUE!</v>
      </c>
      <c r="N40" s="624"/>
      <c r="O40" s="624"/>
      <c r="P40" s="529" t="s">
        <v>427</v>
      </c>
      <c r="Q40" s="538" t="s">
        <v>427</v>
      </c>
      <c r="R40" s="538" t="s">
        <v>427</v>
      </c>
      <c r="S40" s="529" t="e">
        <f t="shared" si="8"/>
        <v>#VALUE!</v>
      </c>
      <c r="T40" s="611"/>
      <c r="U40" s="529" t="s">
        <v>427</v>
      </c>
      <c r="V40" s="538" t="s">
        <v>427</v>
      </c>
      <c r="W40" s="538" t="s">
        <v>427</v>
      </c>
      <c r="X40" s="529" t="e">
        <f t="shared" si="10"/>
        <v>#VALUE!</v>
      </c>
      <c r="Y40" s="611"/>
      <c r="Z40" s="529" t="s">
        <v>427</v>
      </c>
      <c r="AA40" s="538" t="s">
        <v>427</v>
      </c>
      <c r="AB40" s="538" t="s">
        <v>427</v>
      </c>
      <c r="AC40" s="529" t="e">
        <f t="shared" si="12"/>
        <v>#VALUE!</v>
      </c>
      <c r="AD40" s="611"/>
      <c r="AE40" s="529" t="s">
        <v>427</v>
      </c>
      <c r="AF40" s="538" t="s">
        <v>427</v>
      </c>
      <c r="AG40" s="538" t="s">
        <v>427</v>
      </c>
      <c r="AH40" s="529" t="e">
        <f t="shared" si="14"/>
        <v>#VALUE!</v>
      </c>
      <c r="AI40" s="611"/>
      <c r="AJ40" s="529" t="s">
        <v>427</v>
      </c>
      <c r="AK40" s="538" t="s">
        <v>427</v>
      </c>
      <c r="AL40" s="538" t="s">
        <v>427</v>
      </c>
      <c r="AM40" s="529" t="e">
        <f t="shared" si="16"/>
        <v>#VALUE!</v>
      </c>
      <c r="AN40" s="611"/>
      <c r="AO40" s="529" t="s">
        <v>427</v>
      </c>
      <c r="AP40" s="538" t="s">
        <v>427</v>
      </c>
      <c r="AQ40" s="538" t="s">
        <v>427</v>
      </c>
      <c r="AR40" s="529" t="e">
        <f t="shared" si="18"/>
        <v>#VALUE!</v>
      </c>
      <c r="AS40" s="611"/>
      <c r="AT40" s="529" t="s">
        <v>427</v>
      </c>
      <c r="AU40" s="538" t="s">
        <v>427</v>
      </c>
      <c r="AV40" s="538" t="s">
        <v>427</v>
      </c>
      <c r="AW40" s="529" t="e">
        <f t="shared" si="20"/>
        <v>#VALUE!</v>
      </c>
      <c r="AX40" s="611"/>
      <c r="AZ40" s="377" t="e">
        <f t="shared" si="22"/>
        <v>#N/A</v>
      </c>
      <c r="BA40" s="653"/>
    </row>
    <row r="41" spans="2:53">
      <c r="B41" s="635"/>
      <c r="C41" s="534">
        <v>15</v>
      </c>
      <c r="D41" s="529"/>
      <c r="E41" s="529"/>
      <c r="F41" s="529"/>
      <c r="G41" s="529"/>
      <c r="H41" s="676"/>
      <c r="I41" s="531" t="str">
        <f t="shared" si="7"/>
        <v>-</v>
      </c>
      <c r="J41" s="531" t="str">
        <f t="shared" si="7"/>
        <v>-</v>
      </c>
      <c r="K41" s="363" t="str">
        <f t="shared" si="7"/>
        <v>-</v>
      </c>
      <c r="L41" s="616"/>
      <c r="M41" s="537" t="e">
        <f>RANK(K41, K$27:$K$41)</f>
        <v>#VALUE!</v>
      </c>
      <c r="N41" s="624"/>
      <c r="O41" s="624"/>
      <c r="P41" s="529" t="s">
        <v>427</v>
      </c>
      <c r="Q41" s="538" t="s">
        <v>427</v>
      </c>
      <c r="R41" s="538" t="s">
        <v>427</v>
      </c>
      <c r="S41" s="529" t="e">
        <f t="shared" si="8"/>
        <v>#VALUE!</v>
      </c>
      <c r="T41" s="612"/>
      <c r="U41" s="529" t="s">
        <v>427</v>
      </c>
      <c r="V41" s="538" t="s">
        <v>427</v>
      </c>
      <c r="W41" s="538" t="s">
        <v>427</v>
      </c>
      <c r="X41" s="529" t="e">
        <f t="shared" si="10"/>
        <v>#VALUE!</v>
      </c>
      <c r="Y41" s="612"/>
      <c r="Z41" s="529" t="s">
        <v>427</v>
      </c>
      <c r="AA41" s="538" t="s">
        <v>427</v>
      </c>
      <c r="AB41" s="538" t="s">
        <v>427</v>
      </c>
      <c r="AC41" s="529" t="e">
        <f t="shared" si="12"/>
        <v>#VALUE!</v>
      </c>
      <c r="AD41" s="612"/>
      <c r="AE41" s="529" t="s">
        <v>427</v>
      </c>
      <c r="AF41" s="538" t="s">
        <v>427</v>
      </c>
      <c r="AG41" s="538" t="s">
        <v>427</v>
      </c>
      <c r="AH41" s="529" t="e">
        <f t="shared" si="14"/>
        <v>#VALUE!</v>
      </c>
      <c r="AI41" s="612"/>
      <c r="AJ41" s="529" t="s">
        <v>427</v>
      </c>
      <c r="AK41" s="538" t="s">
        <v>427</v>
      </c>
      <c r="AL41" s="538" t="s">
        <v>427</v>
      </c>
      <c r="AM41" s="529" t="e">
        <f t="shared" si="16"/>
        <v>#VALUE!</v>
      </c>
      <c r="AN41" s="612"/>
      <c r="AO41" s="529" t="s">
        <v>427</v>
      </c>
      <c r="AP41" s="538" t="s">
        <v>427</v>
      </c>
      <c r="AQ41" s="538" t="s">
        <v>427</v>
      </c>
      <c r="AR41" s="529" t="e">
        <f t="shared" si="18"/>
        <v>#VALUE!</v>
      </c>
      <c r="AS41" s="612"/>
      <c r="AT41" s="529" t="s">
        <v>427</v>
      </c>
      <c r="AU41" s="538" t="s">
        <v>427</v>
      </c>
      <c r="AV41" s="538" t="s">
        <v>427</v>
      </c>
      <c r="AW41" s="529" t="e">
        <f t="shared" si="20"/>
        <v>#VALUE!</v>
      </c>
      <c r="AX41" s="612"/>
      <c r="AZ41" s="377" t="e">
        <f t="shared" si="22"/>
        <v>#N/A</v>
      </c>
      <c r="BA41" s="653"/>
    </row>
    <row r="42" spans="2:53" ht="15.75">
      <c r="B42" s="657" t="s">
        <v>769</v>
      </c>
      <c r="C42" s="658"/>
      <c r="D42" s="658"/>
      <c r="E42" s="658"/>
      <c r="F42" s="658"/>
      <c r="G42" s="658"/>
      <c r="H42" s="658"/>
      <c r="I42" s="205"/>
      <c r="J42" s="200"/>
      <c r="K42" s="205"/>
      <c r="L42" s="205"/>
      <c r="M42" s="201"/>
      <c r="N42" s="639" t="s">
        <v>693</v>
      </c>
      <c r="O42" s="639" t="s">
        <v>105</v>
      </c>
      <c r="P42" s="634">
        <f>P22+7</f>
        <v>46217</v>
      </c>
      <c r="Q42" s="635"/>
      <c r="R42" s="635"/>
      <c r="S42" s="635"/>
      <c r="T42" s="635"/>
      <c r="U42" s="636">
        <f>P42+1</f>
        <v>46218</v>
      </c>
      <c r="V42" s="637"/>
      <c r="W42" s="637"/>
      <c r="X42" s="637"/>
      <c r="Y42" s="638"/>
      <c r="Z42" s="636">
        <f>U42+1</f>
        <v>46219</v>
      </c>
      <c r="AA42" s="637"/>
      <c r="AB42" s="637"/>
      <c r="AC42" s="637"/>
      <c r="AD42" s="638"/>
      <c r="AE42" s="636">
        <f>Z42+1</f>
        <v>46220</v>
      </c>
      <c r="AF42" s="637"/>
      <c r="AG42" s="637"/>
      <c r="AH42" s="637"/>
      <c r="AI42" s="638"/>
      <c r="AJ42" s="636">
        <f>AE42+1</f>
        <v>46221</v>
      </c>
      <c r="AK42" s="637"/>
      <c r="AL42" s="637"/>
      <c r="AM42" s="637"/>
      <c r="AN42" s="638"/>
      <c r="AO42" s="636">
        <f>AJ42+1</f>
        <v>46222</v>
      </c>
      <c r="AP42" s="637"/>
      <c r="AQ42" s="637"/>
      <c r="AR42" s="637"/>
      <c r="AS42" s="638"/>
      <c r="AT42" s="636">
        <f>AO42+1</f>
        <v>46223</v>
      </c>
      <c r="AU42" s="637"/>
      <c r="AV42" s="637"/>
      <c r="AW42" s="637"/>
      <c r="AX42" s="638"/>
    </row>
    <row r="43" spans="2:53" ht="15.75">
      <c r="B43" s="646"/>
      <c r="C43" s="646"/>
      <c r="D43" s="646"/>
      <c r="E43" s="646"/>
      <c r="F43" s="646"/>
      <c r="G43" s="646"/>
      <c r="H43" s="646"/>
      <c r="I43" s="202"/>
      <c r="J43" s="202"/>
      <c r="K43" s="202"/>
      <c r="L43" s="202"/>
      <c r="M43" s="203"/>
      <c r="N43" s="641"/>
      <c r="O43" s="641"/>
      <c r="P43" s="634" t="s">
        <v>694</v>
      </c>
      <c r="Q43" s="635"/>
      <c r="R43" s="635"/>
      <c r="S43" s="635"/>
      <c r="T43" s="635"/>
      <c r="U43" s="634" t="s">
        <v>695</v>
      </c>
      <c r="V43" s="635"/>
      <c r="W43" s="635"/>
      <c r="X43" s="635"/>
      <c r="Y43" s="635"/>
      <c r="Z43" s="634" t="s">
        <v>679</v>
      </c>
      <c r="AA43" s="635"/>
      <c r="AB43" s="635"/>
      <c r="AC43" s="635"/>
      <c r="AD43" s="635"/>
      <c r="AE43" s="634" t="s">
        <v>687</v>
      </c>
      <c r="AF43" s="635"/>
      <c r="AG43" s="635"/>
      <c r="AH43" s="635"/>
      <c r="AI43" s="635"/>
      <c r="AJ43" s="634" t="s">
        <v>688</v>
      </c>
      <c r="AK43" s="635"/>
      <c r="AL43" s="635"/>
      <c r="AM43" s="635"/>
      <c r="AN43" s="635"/>
      <c r="AO43" s="634" t="s">
        <v>689</v>
      </c>
      <c r="AP43" s="635"/>
      <c r="AQ43" s="635"/>
      <c r="AR43" s="635"/>
      <c r="AS43" s="635"/>
      <c r="AT43" s="634" t="s">
        <v>690</v>
      </c>
      <c r="AU43" s="635"/>
      <c r="AV43" s="635"/>
      <c r="AW43" s="635"/>
      <c r="AX43" s="635"/>
    </row>
    <row r="44" spans="2:53">
      <c r="B44" s="624" t="s">
        <v>760</v>
      </c>
      <c r="C44" s="624" t="s">
        <v>827</v>
      </c>
      <c r="D44" s="624"/>
      <c r="E44" s="624" t="s">
        <v>828</v>
      </c>
      <c r="F44" s="624"/>
      <c r="G44" s="624"/>
      <c r="H44" s="647" t="s">
        <v>829</v>
      </c>
      <c r="I44" s="624" t="s">
        <v>830</v>
      </c>
      <c r="J44" s="624"/>
      <c r="K44" s="624"/>
      <c r="L44" s="647" t="s">
        <v>829</v>
      </c>
      <c r="M44" s="639" t="s">
        <v>440</v>
      </c>
      <c r="N44" s="624"/>
      <c r="O44" s="624" t="s">
        <v>831</v>
      </c>
      <c r="P44" s="621" t="s">
        <v>832</v>
      </c>
      <c r="Q44" s="622"/>
      <c r="R44" s="622"/>
      <c r="S44" s="623"/>
      <c r="T44" s="624" t="s">
        <v>829</v>
      </c>
      <c r="U44" s="621" t="s">
        <v>832</v>
      </c>
      <c r="V44" s="622"/>
      <c r="W44" s="622"/>
      <c r="X44" s="623"/>
      <c r="Y44" s="624" t="s">
        <v>829</v>
      </c>
      <c r="Z44" s="621" t="s">
        <v>832</v>
      </c>
      <c r="AA44" s="622"/>
      <c r="AB44" s="622"/>
      <c r="AC44" s="623"/>
      <c r="AD44" s="624" t="s">
        <v>829</v>
      </c>
      <c r="AE44" s="621" t="s">
        <v>832</v>
      </c>
      <c r="AF44" s="622"/>
      <c r="AG44" s="622"/>
      <c r="AH44" s="623"/>
      <c r="AI44" s="624" t="s">
        <v>829</v>
      </c>
      <c r="AJ44" s="621" t="s">
        <v>832</v>
      </c>
      <c r="AK44" s="622"/>
      <c r="AL44" s="622"/>
      <c r="AM44" s="623"/>
      <c r="AN44" s="624" t="s">
        <v>829</v>
      </c>
      <c r="AO44" s="621" t="s">
        <v>832</v>
      </c>
      <c r="AP44" s="622"/>
      <c r="AQ44" s="622"/>
      <c r="AR44" s="623"/>
      <c r="AS44" s="624" t="s">
        <v>829</v>
      </c>
      <c r="AT44" s="621" t="s">
        <v>832</v>
      </c>
      <c r="AU44" s="622"/>
      <c r="AV44" s="622"/>
      <c r="AW44" s="623"/>
      <c r="AX44" s="624" t="s">
        <v>829</v>
      </c>
    </row>
    <row r="45" spans="2:53">
      <c r="B45" s="624"/>
      <c r="C45" s="624"/>
      <c r="D45" s="624"/>
      <c r="E45" s="624" t="s">
        <v>833</v>
      </c>
      <c r="F45" s="624"/>
      <c r="G45" s="624"/>
      <c r="H45" s="648"/>
      <c r="I45" s="624" t="s">
        <v>833</v>
      </c>
      <c r="J45" s="624"/>
      <c r="K45" s="624"/>
      <c r="L45" s="648"/>
      <c r="M45" s="640"/>
      <c r="N45" s="624"/>
      <c r="O45" s="624"/>
      <c r="P45" s="621" t="s">
        <v>834</v>
      </c>
      <c r="Q45" s="622"/>
      <c r="R45" s="622"/>
      <c r="S45" s="623"/>
      <c r="T45" s="624"/>
      <c r="U45" s="621" t="s">
        <v>834</v>
      </c>
      <c r="V45" s="622"/>
      <c r="W45" s="622"/>
      <c r="X45" s="623"/>
      <c r="Y45" s="624"/>
      <c r="Z45" s="621" t="s">
        <v>834</v>
      </c>
      <c r="AA45" s="622"/>
      <c r="AB45" s="622"/>
      <c r="AC45" s="623"/>
      <c r="AD45" s="624"/>
      <c r="AE45" s="621" t="s">
        <v>834</v>
      </c>
      <c r="AF45" s="622"/>
      <c r="AG45" s="622"/>
      <c r="AH45" s="623"/>
      <c r="AI45" s="624"/>
      <c r="AJ45" s="621" t="s">
        <v>834</v>
      </c>
      <c r="AK45" s="622"/>
      <c r="AL45" s="622"/>
      <c r="AM45" s="623"/>
      <c r="AN45" s="624"/>
      <c r="AO45" s="621" t="s">
        <v>834</v>
      </c>
      <c r="AP45" s="622"/>
      <c r="AQ45" s="622"/>
      <c r="AR45" s="623"/>
      <c r="AS45" s="624"/>
      <c r="AT45" s="621" t="s">
        <v>834</v>
      </c>
      <c r="AU45" s="622"/>
      <c r="AV45" s="622"/>
      <c r="AW45" s="623"/>
      <c r="AX45" s="624"/>
    </row>
    <row r="46" spans="2:53">
      <c r="B46" s="624"/>
      <c r="C46" s="624"/>
      <c r="D46" s="624"/>
      <c r="E46" s="533" t="s">
        <v>835</v>
      </c>
      <c r="F46" s="533" t="s">
        <v>836</v>
      </c>
      <c r="G46" s="533" t="s">
        <v>837</v>
      </c>
      <c r="H46" s="649"/>
      <c r="I46" s="533" t="s">
        <v>835</v>
      </c>
      <c r="J46" s="533" t="s">
        <v>836</v>
      </c>
      <c r="K46" s="533" t="s">
        <v>837</v>
      </c>
      <c r="L46" s="649"/>
      <c r="M46" s="641"/>
      <c r="N46" s="624"/>
      <c r="O46" s="624"/>
      <c r="P46" s="533" t="s">
        <v>835</v>
      </c>
      <c r="Q46" s="533" t="s">
        <v>836</v>
      </c>
      <c r="R46" s="533" t="s">
        <v>837</v>
      </c>
      <c r="S46" s="533" t="s">
        <v>440</v>
      </c>
      <c r="T46" s="624"/>
      <c r="U46" s="533" t="s">
        <v>835</v>
      </c>
      <c r="V46" s="533" t="s">
        <v>836</v>
      </c>
      <c r="W46" s="533" t="s">
        <v>837</v>
      </c>
      <c r="X46" s="533" t="s">
        <v>440</v>
      </c>
      <c r="Y46" s="624"/>
      <c r="Z46" s="533" t="s">
        <v>835</v>
      </c>
      <c r="AA46" s="533" t="s">
        <v>836</v>
      </c>
      <c r="AB46" s="533" t="s">
        <v>837</v>
      </c>
      <c r="AC46" s="533" t="s">
        <v>440</v>
      </c>
      <c r="AD46" s="624"/>
      <c r="AE46" s="533" t="s">
        <v>835</v>
      </c>
      <c r="AF46" s="533" t="s">
        <v>836</v>
      </c>
      <c r="AG46" s="533" t="s">
        <v>837</v>
      </c>
      <c r="AH46" s="533" t="s">
        <v>440</v>
      </c>
      <c r="AI46" s="624"/>
      <c r="AJ46" s="533" t="s">
        <v>835</v>
      </c>
      <c r="AK46" s="533" t="s">
        <v>836</v>
      </c>
      <c r="AL46" s="533" t="s">
        <v>837</v>
      </c>
      <c r="AM46" s="533" t="s">
        <v>440</v>
      </c>
      <c r="AN46" s="624"/>
      <c r="AO46" s="533" t="s">
        <v>835</v>
      </c>
      <c r="AP46" s="533" t="s">
        <v>836</v>
      </c>
      <c r="AQ46" s="533" t="s">
        <v>837</v>
      </c>
      <c r="AR46" s="533" t="s">
        <v>440</v>
      </c>
      <c r="AS46" s="624"/>
      <c r="AT46" s="533" t="s">
        <v>835</v>
      </c>
      <c r="AU46" s="533" t="s">
        <v>836</v>
      </c>
      <c r="AV46" s="533" t="s">
        <v>837</v>
      </c>
      <c r="AW46" s="533" t="s">
        <v>440</v>
      </c>
      <c r="AX46" s="624"/>
    </row>
    <row r="47" spans="2:53">
      <c r="B47" s="675" t="s">
        <v>774</v>
      </c>
      <c r="C47" s="534">
        <v>1</v>
      </c>
      <c r="D47" s="533" t="s">
        <v>334</v>
      </c>
      <c r="E47" s="529">
        <v>10</v>
      </c>
      <c r="F47" s="529">
        <v>1500</v>
      </c>
      <c r="G47" s="538">
        <v>150</v>
      </c>
      <c r="H47" s="671">
        <f>AVERAGE(G47:G61)</f>
        <v>130</v>
      </c>
      <c r="I47" s="531">
        <f t="shared" ref="I47:K61" si="23">IFERROR(AVERAGE(P47,U47,Z47,AE47,AJ47,AO47,AT47),"-")</f>
        <v>10</v>
      </c>
      <c r="J47" s="531">
        <f t="shared" si="23"/>
        <v>1465.346938775509</v>
      </c>
      <c r="K47" s="363">
        <f t="shared" si="23"/>
        <v>146.53469387755089</v>
      </c>
      <c r="L47" s="614">
        <f>IFERROR(AVERAGE(K47:K61),"-")</f>
        <v>148.14827126475475</v>
      </c>
      <c r="M47" s="537">
        <f>RANK(K47, K$47:$K$61)</f>
        <v>3</v>
      </c>
      <c r="N47" s="624"/>
      <c r="O47" s="624"/>
      <c r="P47" s="529">
        <v>10</v>
      </c>
      <c r="Q47" s="538">
        <v>1405.7142857142844</v>
      </c>
      <c r="R47" s="538">
        <v>140.57142857142844</v>
      </c>
      <c r="S47" s="537">
        <v>3</v>
      </c>
      <c r="T47" s="653">
        <v>147.48717948717956</v>
      </c>
      <c r="U47" s="529">
        <v>10</v>
      </c>
      <c r="V47" s="538">
        <v>1625.999999999997</v>
      </c>
      <c r="W47" s="538">
        <v>162.59999999999971</v>
      </c>
      <c r="X47" s="537">
        <v>1</v>
      </c>
      <c r="Y47" s="653">
        <v>156.91825396825394</v>
      </c>
      <c r="Z47" s="529">
        <v>10</v>
      </c>
      <c r="AA47" s="538">
        <v>1357.7142857142844</v>
      </c>
      <c r="AB47" s="538">
        <v>135.77142857142843</v>
      </c>
      <c r="AC47" s="538">
        <v>3</v>
      </c>
      <c r="AD47" s="642">
        <v>136.59949281487732</v>
      </c>
      <c r="AE47" s="529">
        <v>10</v>
      </c>
      <c r="AF47" s="538">
        <v>1442.0000000000014</v>
      </c>
      <c r="AG47" s="538">
        <v>144.20000000000013</v>
      </c>
      <c r="AH47" s="538">
        <v>3</v>
      </c>
      <c r="AI47" s="642">
        <v>147.57929292929305</v>
      </c>
      <c r="AJ47" s="529">
        <v>10</v>
      </c>
      <c r="AK47" s="538">
        <v>1356.0000000000014</v>
      </c>
      <c r="AL47" s="538">
        <v>135.60000000000014</v>
      </c>
      <c r="AM47" s="538">
        <v>3</v>
      </c>
      <c r="AN47" s="642">
        <v>147.90606060606061</v>
      </c>
      <c r="AO47" s="529">
        <v>10</v>
      </c>
      <c r="AP47" s="538">
        <v>1427.9999999999986</v>
      </c>
      <c r="AQ47" s="538">
        <v>142.79999999999987</v>
      </c>
      <c r="AR47" s="538">
        <v>3</v>
      </c>
      <c r="AS47" s="642">
        <v>146.52307692307681</v>
      </c>
      <c r="AT47" s="529">
        <v>10</v>
      </c>
      <c r="AU47" s="538">
        <v>1641.999999999997</v>
      </c>
      <c r="AV47" s="538">
        <v>164.1999999999997</v>
      </c>
      <c r="AW47" s="538">
        <v>1</v>
      </c>
      <c r="AX47" s="642">
        <v>154.02454212454197</v>
      </c>
      <c r="AZ47" s="378" t="e">
        <f>RANK(AY47, AY$47:AY$61)</f>
        <v>#N/A</v>
      </c>
      <c r="BA47" s="653" t="e">
        <f>AVERAGE(AY47:AY61)</f>
        <v>#DIV/0!</v>
      </c>
    </row>
    <row r="48" spans="2:53">
      <c r="B48" s="635"/>
      <c r="C48" s="534">
        <v>2</v>
      </c>
      <c r="D48" s="529" t="s">
        <v>623</v>
      </c>
      <c r="E48" s="529">
        <v>15</v>
      </c>
      <c r="F48" s="529">
        <v>1800</v>
      </c>
      <c r="G48" s="538">
        <v>120</v>
      </c>
      <c r="H48" s="672"/>
      <c r="I48" s="531">
        <f t="shared" si="23"/>
        <v>12.142857142857142</v>
      </c>
      <c r="J48" s="531">
        <f t="shared" si="23"/>
        <v>1803.9944341372918</v>
      </c>
      <c r="K48" s="363">
        <f t="shared" si="23"/>
        <v>148.70885067313642</v>
      </c>
      <c r="L48" s="615"/>
      <c r="M48" s="537">
        <f>RANK(K48, K$47:$K$61)</f>
        <v>2</v>
      </c>
      <c r="N48" s="624"/>
      <c r="O48" s="624"/>
      <c r="P48" s="529">
        <v>12</v>
      </c>
      <c r="Q48" s="538">
        <v>1829.1428571428594</v>
      </c>
      <c r="R48" s="538">
        <v>152.42857142857162</v>
      </c>
      <c r="S48" s="537">
        <v>1</v>
      </c>
      <c r="T48" s="653"/>
      <c r="U48" s="529">
        <v>12</v>
      </c>
      <c r="V48" s="538">
        <v>1794.8571428571433</v>
      </c>
      <c r="W48" s="538">
        <v>149.57142857142861</v>
      </c>
      <c r="X48" s="537">
        <v>3</v>
      </c>
      <c r="Y48" s="653"/>
      <c r="Z48" s="529">
        <v>13</v>
      </c>
      <c r="AA48" s="538">
        <v>1773.4285714285718</v>
      </c>
      <c r="AB48" s="538">
        <v>136.41758241758245</v>
      </c>
      <c r="AC48" s="538">
        <v>2</v>
      </c>
      <c r="AD48" s="642"/>
      <c r="AE48" s="529">
        <v>12</v>
      </c>
      <c r="AF48" s="538">
        <v>1800.9999999999991</v>
      </c>
      <c r="AG48" s="538">
        <v>150.08333333333326</v>
      </c>
      <c r="AH48" s="538">
        <v>1</v>
      </c>
      <c r="AI48" s="642"/>
      <c r="AJ48" s="529">
        <v>12</v>
      </c>
      <c r="AK48" s="538">
        <v>1833.8181818181831</v>
      </c>
      <c r="AL48" s="538">
        <v>152.81818181818193</v>
      </c>
      <c r="AM48" s="538">
        <v>2</v>
      </c>
      <c r="AN48" s="642"/>
      <c r="AO48" s="529">
        <v>12</v>
      </c>
      <c r="AP48" s="538">
        <v>1800.0000000000005</v>
      </c>
      <c r="AQ48" s="538">
        <v>150.00000000000003</v>
      </c>
      <c r="AR48" s="538">
        <v>1</v>
      </c>
      <c r="AS48" s="642"/>
      <c r="AT48" s="529">
        <v>12</v>
      </c>
      <c r="AU48" s="538">
        <v>1795.714285714286</v>
      </c>
      <c r="AV48" s="538">
        <v>149.64285714285717</v>
      </c>
      <c r="AW48" s="538">
        <v>2</v>
      </c>
      <c r="AX48" s="642"/>
      <c r="AZ48" s="378" t="e">
        <f t="shared" ref="AZ48:AZ53" si="24">RANK(AY48, AY$47:AY$61)</f>
        <v>#N/A</v>
      </c>
      <c r="BA48" s="653"/>
    </row>
    <row r="49" spans="2:53">
      <c r="B49" s="635"/>
      <c r="C49" s="534">
        <v>3</v>
      </c>
      <c r="D49" s="529" t="s">
        <v>624</v>
      </c>
      <c r="E49" s="529">
        <v>15</v>
      </c>
      <c r="F49" s="529">
        <v>1800</v>
      </c>
      <c r="G49" s="538">
        <v>120</v>
      </c>
      <c r="H49" s="672"/>
      <c r="I49" s="531">
        <f t="shared" si="23"/>
        <v>12.142857142857142</v>
      </c>
      <c r="J49" s="531">
        <f t="shared" si="23"/>
        <v>1810.0737262737259</v>
      </c>
      <c r="K49" s="363">
        <f t="shared" si="23"/>
        <v>149.20126924357692</v>
      </c>
      <c r="L49" s="615"/>
      <c r="M49" s="537">
        <f>RANK(K49, K$47:$K$61)</f>
        <v>1</v>
      </c>
      <c r="N49" s="624"/>
      <c r="O49" s="624"/>
      <c r="P49" s="529">
        <v>12</v>
      </c>
      <c r="Q49" s="538">
        <v>1793.5384615384635</v>
      </c>
      <c r="R49" s="538">
        <v>149.46153846153862</v>
      </c>
      <c r="S49" s="537">
        <v>2</v>
      </c>
      <c r="T49" s="653"/>
      <c r="U49" s="529">
        <v>12</v>
      </c>
      <c r="V49" s="538">
        <v>1903.0000000000018</v>
      </c>
      <c r="W49" s="538">
        <v>158.58333333333348</v>
      </c>
      <c r="X49" s="537">
        <v>2</v>
      </c>
      <c r="Y49" s="653"/>
      <c r="Z49" s="529">
        <v>13</v>
      </c>
      <c r="AA49" s="538">
        <v>1788.9230769230746</v>
      </c>
      <c r="AB49" s="538">
        <v>137.60946745562111</v>
      </c>
      <c r="AC49" s="538">
        <v>1</v>
      </c>
      <c r="AD49" s="642"/>
      <c r="AE49" s="529">
        <v>12</v>
      </c>
      <c r="AF49" s="538">
        <v>1781.4545454545491</v>
      </c>
      <c r="AG49" s="538">
        <v>148.45454545454575</v>
      </c>
      <c r="AH49" s="538">
        <v>2</v>
      </c>
      <c r="AI49" s="642"/>
      <c r="AJ49" s="529">
        <v>12</v>
      </c>
      <c r="AK49" s="538">
        <v>1863.5999999999976</v>
      </c>
      <c r="AL49" s="538">
        <v>155.29999999999981</v>
      </c>
      <c r="AM49" s="538">
        <v>1</v>
      </c>
      <c r="AN49" s="642"/>
      <c r="AO49" s="529">
        <v>12</v>
      </c>
      <c r="AP49" s="538">
        <v>1761.230769230767</v>
      </c>
      <c r="AQ49" s="538">
        <v>146.76923076923057</v>
      </c>
      <c r="AR49" s="538">
        <v>2</v>
      </c>
      <c r="AS49" s="642"/>
      <c r="AT49" s="529">
        <v>12</v>
      </c>
      <c r="AU49" s="538">
        <v>1778.7692307692284</v>
      </c>
      <c r="AV49" s="538">
        <v>148.23076923076903</v>
      </c>
      <c r="AW49" s="538">
        <v>3</v>
      </c>
      <c r="AX49" s="642"/>
      <c r="AZ49" s="378" t="e">
        <f t="shared" si="24"/>
        <v>#N/A</v>
      </c>
      <c r="BA49" s="653"/>
    </row>
    <row r="50" spans="2:53">
      <c r="B50" s="635"/>
      <c r="C50" s="534">
        <v>4</v>
      </c>
      <c r="D50" s="529"/>
      <c r="E50" s="529"/>
      <c r="F50" s="529"/>
      <c r="G50" s="538"/>
      <c r="H50" s="672"/>
      <c r="I50" s="531" t="str">
        <f t="shared" si="23"/>
        <v>-</v>
      </c>
      <c r="J50" s="531" t="str">
        <f t="shared" si="23"/>
        <v>-</v>
      </c>
      <c r="K50" s="363" t="str">
        <f t="shared" si="23"/>
        <v>-</v>
      </c>
      <c r="L50" s="615"/>
      <c r="M50" s="537" t="e">
        <f>RANK(K50, K$47:$K$61)</f>
        <v>#VALUE!</v>
      </c>
      <c r="N50" s="624"/>
      <c r="O50" s="624"/>
      <c r="P50" s="529" t="s">
        <v>427</v>
      </c>
      <c r="Q50" s="538" t="s">
        <v>427</v>
      </c>
      <c r="R50" s="538" t="s">
        <v>427</v>
      </c>
      <c r="S50" s="537" t="e">
        <v>#VALUE!</v>
      </c>
      <c r="T50" s="653"/>
      <c r="U50" s="529" t="s">
        <v>427</v>
      </c>
      <c r="V50" s="538" t="s">
        <v>427</v>
      </c>
      <c r="W50" s="538" t="s">
        <v>427</v>
      </c>
      <c r="X50" s="537" t="e">
        <v>#VALUE!</v>
      </c>
      <c r="Y50" s="653"/>
      <c r="Z50" s="529" t="s">
        <v>427</v>
      </c>
      <c r="AA50" s="538" t="s">
        <v>427</v>
      </c>
      <c r="AB50" s="538" t="s">
        <v>427</v>
      </c>
      <c r="AC50" s="538" t="e">
        <v>#VALUE!</v>
      </c>
      <c r="AD50" s="642"/>
      <c r="AE50" s="529" t="s">
        <v>427</v>
      </c>
      <c r="AF50" s="538" t="s">
        <v>427</v>
      </c>
      <c r="AG50" s="538" t="s">
        <v>427</v>
      </c>
      <c r="AH50" s="538" t="e">
        <v>#VALUE!</v>
      </c>
      <c r="AI50" s="642"/>
      <c r="AJ50" s="529" t="s">
        <v>427</v>
      </c>
      <c r="AK50" s="538" t="s">
        <v>427</v>
      </c>
      <c r="AL50" s="538" t="s">
        <v>427</v>
      </c>
      <c r="AM50" s="538" t="e">
        <v>#VALUE!</v>
      </c>
      <c r="AN50" s="642"/>
      <c r="AO50" s="529" t="s">
        <v>427</v>
      </c>
      <c r="AP50" s="538" t="s">
        <v>427</v>
      </c>
      <c r="AQ50" s="538" t="s">
        <v>427</v>
      </c>
      <c r="AR50" s="538" t="e">
        <v>#VALUE!</v>
      </c>
      <c r="AS50" s="642"/>
      <c r="AT50" s="529" t="s">
        <v>427</v>
      </c>
      <c r="AU50" s="538" t="s">
        <v>427</v>
      </c>
      <c r="AV50" s="538" t="s">
        <v>427</v>
      </c>
      <c r="AW50" s="538" t="e">
        <v>#VALUE!</v>
      </c>
      <c r="AX50" s="642"/>
      <c r="AZ50" s="378" t="e">
        <f t="shared" si="24"/>
        <v>#N/A</v>
      </c>
      <c r="BA50" s="653"/>
    </row>
    <row r="51" spans="2:53">
      <c r="B51" s="635"/>
      <c r="C51" s="534">
        <v>5</v>
      </c>
      <c r="D51" s="529"/>
      <c r="E51" s="529"/>
      <c r="F51" s="529"/>
      <c r="G51" s="538"/>
      <c r="H51" s="672"/>
      <c r="I51" s="531" t="str">
        <f t="shared" si="23"/>
        <v>-</v>
      </c>
      <c r="J51" s="531" t="str">
        <f t="shared" si="23"/>
        <v>-</v>
      </c>
      <c r="K51" s="363" t="str">
        <f t="shared" si="23"/>
        <v>-</v>
      </c>
      <c r="L51" s="615"/>
      <c r="M51" s="537" t="e">
        <f>RANK(K51, K$47:$K$61)</f>
        <v>#VALUE!</v>
      </c>
      <c r="N51" s="624"/>
      <c r="O51" s="624"/>
      <c r="P51" s="529" t="s">
        <v>427</v>
      </c>
      <c r="Q51" s="538" t="s">
        <v>427</v>
      </c>
      <c r="R51" s="538" t="s">
        <v>427</v>
      </c>
      <c r="S51" s="537" t="e">
        <v>#VALUE!</v>
      </c>
      <c r="T51" s="653"/>
      <c r="U51" s="529" t="s">
        <v>427</v>
      </c>
      <c r="V51" s="538" t="s">
        <v>427</v>
      </c>
      <c r="W51" s="538" t="s">
        <v>427</v>
      </c>
      <c r="X51" s="537" t="e">
        <v>#VALUE!</v>
      </c>
      <c r="Y51" s="653"/>
      <c r="Z51" s="529" t="s">
        <v>427</v>
      </c>
      <c r="AA51" s="538" t="s">
        <v>427</v>
      </c>
      <c r="AB51" s="538" t="s">
        <v>427</v>
      </c>
      <c r="AC51" s="538" t="e">
        <v>#VALUE!</v>
      </c>
      <c r="AD51" s="642"/>
      <c r="AE51" s="529" t="s">
        <v>427</v>
      </c>
      <c r="AF51" s="538" t="s">
        <v>427</v>
      </c>
      <c r="AG51" s="538" t="s">
        <v>427</v>
      </c>
      <c r="AH51" s="538" t="e">
        <v>#VALUE!</v>
      </c>
      <c r="AI51" s="642"/>
      <c r="AJ51" s="529" t="s">
        <v>427</v>
      </c>
      <c r="AK51" s="538" t="s">
        <v>427</v>
      </c>
      <c r="AL51" s="538" t="s">
        <v>427</v>
      </c>
      <c r="AM51" s="538" t="e">
        <v>#VALUE!</v>
      </c>
      <c r="AN51" s="642"/>
      <c r="AO51" s="529" t="s">
        <v>427</v>
      </c>
      <c r="AP51" s="538" t="s">
        <v>427</v>
      </c>
      <c r="AQ51" s="538" t="s">
        <v>427</v>
      </c>
      <c r="AR51" s="538" t="e">
        <v>#VALUE!</v>
      </c>
      <c r="AS51" s="642"/>
      <c r="AT51" s="529" t="s">
        <v>427</v>
      </c>
      <c r="AU51" s="538" t="s">
        <v>427</v>
      </c>
      <c r="AV51" s="538" t="s">
        <v>427</v>
      </c>
      <c r="AW51" s="538" t="e">
        <v>#VALUE!</v>
      </c>
      <c r="AX51" s="642"/>
      <c r="AZ51" s="378" t="e">
        <f t="shared" si="24"/>
        <v>#N/A</v>
      </c>
      <c r="BA51" s="653"/>
    </row>
    <row r="52" spans="2:53">
      <c r="B52" s="635"/>
      <c r="C52" s="534">
        <v>6</v>
      </c>
      <c r="D52" s="529"/>
      <c r="E52" s="529"/>
      <c r="F52" s="529"/>
      <c r="G52" s="538"/>
      <c r="H52" s="672"/>
      <c r="I52" s="531" t="str">
        <f t="shared" si="23"/>
        <v>-</v>
      </c>
      <c r="J52" s="531" t="str">
        <f t="shared" si="23"/>
        <v>-</v>
      </c>
      <c r="K52" s="363" t="str">
        <f t="shared" si="23"/>
        <v>-</v>
      </c>
      <c r="L52" s="615"/>
      <c r="M52" s="537" t="e">
        <f>RANK(K52, K$47:$K$61)</f>
        <v>#VALUE!</v>
      </c>
      <c r="N52" s="624"/>
      <c r="O52" s="624"/>
      <c r="P52" s="529" t="s">
        <v>427</v>
      </c>
      <c r="Q52" s="538" t="s">
        <v>427</v>
      </c>
      <c r="R52" s="538" t="s">
        <v>427</v>
      </c>
      <c r="S52" s="537" t="e">
        <v>#VALUE!</v>
      </c>
      <c r="T52" s="653"/>
      <c r="U52" s="529" t="s">
        <v>427</v>
      </c>
      <c r="V52" s="538" t="s">
        <v>427</v>
      </c>
      <c r="W52" s="538" t="s">
        <v>427</v>
      </c>
      <c r="X52" s="537" t="e">
        <v>#VALUE!</v>
      </c>
      <c r="Y52" s="653"/>
      <c r="Z52" s="529" t="s">
        <v>427</v>
      </c>
      <c r="AA52" s="538" t="s">
        <v>427</v>
      </c>
      <c r="AB52" s="538" t="s">
        <v>427</v>
      </c>
      <c r="AC52" s="538" t="e">
        <v>#VALUE!</v>
      </c>
      <c r="AD52" s="642"/>
      <c r="AE52" s="529" t="s">
        <v>427</v>
      </c>
      <c r="AF52" s="538" t="s">
        <v>427</v>
      </c>
      <c r="AG52" s="538" t="s">
        <v>427</v>
      </c>
      <c r="AH52" s="538" t="e">
        <v>#VALUE!</v>
      </c>
      <c r="AI52" s="642"/>
      <c r="AJ52" s="529" t="s">
        <v>427</v>
      </c>
      <c r="AK52" s="538" t="s">
        <v>427</v>
      </c>
      <c r="AL52" s="538" t="s">
        <v>427</v>
      </c>
      <c r="AM52" s="538" t="e">
        <v>#VALUE!</v>
      </c>
      <c r="AN52" s="642"/>
      <c r="AO52" s="529" t="s">
        <v>427</v>
      </c>
      <c r="AP52" s="538" t="s">
        <v>427</v>
      </c>
      <c r="AQ52" s="538" t="s">
        <v>427</v>
      </c>
      <c r="AR52" s="538" t="e">
        <v>#VALUE!</v>
      </c>
      <c r="AS52" s="642"/>
      <c r="AT52" s="529" t="s">
        <v>427</v>
      </c>
      <c r="AU52" s="538" t="s">
        <v>427</v>
      </c>
      <c r="AV52" s="538" t="s">
        <v>427</v>
      </c>
      <c r="AW52" s="538" t="e">
        <v>#VALUE!</v>
      </c>
      <c r="AX52" s="642"/>
      <c r="AZ52" s="378" t="e">
        <f t="shared" si="24"/>
        <v>#N/A</v>
      </c>
      <c r="BA52" s="653"/>
    </row>
    <row r="53" spans="2:53">
      <c r="B53" s="635"/>
      <c r="C53" s="534">
        <v>7</v>
      </c>
      <c r="D53" s="529"/>
      <c r="E53" s="529"/>
      <c r="F53" s="529"/>
      <c r="G53" s="538"/>
      <c r="H53" s="672"/>
      <c r="I53" s="531" t="str">
        <f t="shared" si="23"/>
        <v>-</v>
      </c>
      <c r="J53" s="531" t="str">
        <f t="shared" si="23"/>
        <v>-</v>
      </c>
      <c r="K53" s="363" t="str">
        <f t="shared" si="23"/>
        <v>-</v>
      </c>
      <c r="L53" s="615"/>
      <c r="M53" s="537" t="e">
        <f>RANK(K53, K$47:$K$61)</f>
        <v>#VALUE!</v>
      </c>
      <c r="N53" s="624"/>
      <c r="O53" s="624"/>
      <c r="P53" s="529" t="s">
        <v>427</v>
      </c>
      <c r="Q53" s="538" t="s">
        <v>427</v>
      </c>
      <c r="R53" s="538" t="s">
        <v>427</v>
      </c>
      <c r="S53" s="537" t="e">
        <v>#VALUE!</v>
      </c>
      <c r="T53" s="653"/>
      <c r="U53" s="529" t="s">
        <v>427</v>
      </c>
      <c r="V53" s="538" t="s">
        <v>427</v>
      </c>
      <c r="W53" s="538" t="s">
        <v>427</v>
      </c>
      <c r="X53" s="537" t="e">
        <v>#VALUE!</v>
      </c>
      <c r="Y53" s="653"/>
      <c r="Z53" s="529" t="s">
        <v>427</v>
      </c>
      <c r="AA53" s="538" t="s">
        <v>427</v>
      </c>
      <c r="AB53" s="538" t="s">
        <v>427</v>
      </c>
      <c r="AC53" s="538" t="e">
        <v>#VALUE!</v>
      </c>
      <c r="AD53" s="642"/>
      <c r="AE53" s="529" t="s">
        <v>427</v>
      </c>
      <c r="AF53" s="538" t="s">
        <v>427</v>
      </c>
      <c r="AG53" s="538" t="s">
        <v>427</v>
      </c>
      <c r="AH53" s="538" t="e">
        <v>#VALUE!</v>
      </c>
      <c r="AI53" s="642"/>
      <c r="AJ53" s="529" t="s">
        <v>427</v>
      </c>
      <c r="AK53" s="538" t="s">
        <v>427</v>
      </c>
      <c r="AL53" s="538" t="s">
        <v>427</v>
      </c>
      <c r="AM53" s="538" t="e">
        <v>#VALUE!</v>
      </c>
      <c r="AN53" s="642"/>
      <c r="AO53" s="529" t="s">
        <v>427</v>
      </c>
      <c r="AP53" s="538" t="s">
        <v>427</v>
      </c>
      <c r="AQ53" s="538" t="s">
        <v>427</v>
      </c>
      <c r="AR53" s="538" t="e">
        <v>#VALUE!</v>
      </c>
      <c r="AS53" s="642"/>
      <c r="AT53" s="529" t="s">
        <v>427</v>
      </c>
      <c r="AU53" s="538" t="s">
        <v>427</v>
      </c>
      <c r="AV53" s="538" t="s">
        <v>427</v>
      </c>
      <c r="AW53" s="538" t="e">
        <v>#VALUE!</v>
      </c>
      <c r="AX53" s="642"/>
      <c r="AZ53" s="378" t="e">
        <f t="shared" si="24"/>
        <v>#N/A</v>
      </c>
      <c r="BA53" s="653"/>
    </row>
    <row r="54" spans="2:53">
      <c r="B54" s="635"/>
      <c r="C54" s="534">
        <v>8</v>
      </c>
      <c r="D54" s="529"/>
      <c r="E54" s="529"/>
      <c r="F54" s="529"/>
      <c r="G54" s="538"/>
      <c r="H54" s="672"/>
      <c r="I54" s="531" t="str">
        <f t="shared" si="23"/>
        <v>-</v>
      </c>
      <c r="J54" s="531" t="str">
        <f t="shared" si="23"/>
        <v>-</v>
      </c>
      <c r="K54" s="363" t="str">
        <f t="shared" si="23"/>
        <v>-</v>
      </c>
      <c r="L54" s="615"/>
      <c r="M54" s="537" t="e">
        <f>RANK(K54, K$47:$K$61)</f>
        <v>#VALUE!</v>
      </c>
      <c r="N54" s="624"/>
      <c r="O54" s="624"/>
      <c r="P54" s="529" t="s">
        <v>427</v>
      </c>
      <c r="Q54" s="538" t="s">
        <v>427</v>
      </c>
      <c r="R54" s="538" t="s">
        <v>427</v>
      </c>
      <c r="S54" s="537"/>
      <c r="T54" s="653"/>
      <c r="U54" s="529" t="s">
        <v>427</v>
      </c>
      <c r="V54" s="538" t="s">
        <v>427</v>
      </c>
      <c r="W54" s="538" t="s">
        <v>427</v>
      </c>
      <c r="X54" s="529"/>
      <c r="Y54" s="653"/>
      <c r="Z54" s="529" t="s">
        <v>427</v>
      </c>
      <c r="AA54" s="538" t="s">
        <v>427</v>
      </c>
      <c r="AB54" s="538" t="s">
        <v>427</v>
      </c>
      <c r="AC54" s="538"/>
      <c r="AD54" s="642"/>
      <c r="AE54" s="529" t="s">
        <v>427</v>
      </c>
      <c r="AF54" s="538" t="s">
        <v>427</v>
      </c>
      <c r="AG54" s="538" t="s">
        <v>427</v>
      </c>
      <c r="AH54" s="538"/>
      <c r="AI54" s="642"/>
      <c r="AJ54" s="529" t="s">
        <v>427</v>
      </c>
      <c r="AK54" s="538" t="s">
        <v>427</v>
      </c>
      <c r="AL54" s="538" t="s">
        <v>427</v>
      </c>
      <c r="AM54" s="538"/>
      <c r="AN54" s="642"/>
      <c r="AO54" s="529" t="s">
        <v>427</v>
      </c>
      <c r="AP54" s="538" t="s">
        <v>427</v>
      </c>
      <c r="AQ54" s="538" t="s">
        <v>427</v>
      </c>
      <c r="AR54" s="538"/>
      <c r="AS54" s="642"/>
      <c r="AT54" s="529" t="s">
        <v>427</v>
      </c>
      <c r="AU54" s="538" t="s">
        <v>427</v>
      </c>
      <c r="AV54" s="538" t="s">
        <v>427</v>
      </c>
      <c r="AW54" s="538"/>
      <c r="AX54" s="642"/>
      <c r="AZ54" s="378"/>
      <c r="BA54" s="653"/>
    </row>
    <row r="55" spans="2:53">
      <c r="B55" s="635"/>
      <c r="C55" s="534">
        <v>9</v>
      </c>
      <c r="D55" s="529"/>
      <c r="E55" s="529"/>
      <c r="F55" s="529"/>
      <c r="G55" s="538"/>
      <c r="H55" s="672"/>
      <c r="I55" s="531" t="str">
        <f t="shared" si="23"/>
        <v>-</v>
      </c>
      <c r="J55" s="531" t="str">
        <f t="shared" si="23"/>
        <v>-</v>
      </c>
      <c r="K55" s="363" t="str">
        <f t="shared" si="23"/>
        <v>-</v>
      </c>
      <c r="L55" s="615"/>
      <c r="M55" s="537" t="e">
        <f>RANK(K55, K$47:$K$61)</f>
        <v>#VALUE!</v>
      </c>
      <c r="N55" s="624"/>
      <c r="O55" s="624"/>
      <c r="P55" s="529" t="s">
        <v>427</v>
      </c>
      <c r="Q55" s="538" t="s">
        <v>427</v>
      </c>
      <c r="R55" s="538" t="s">
        <v>427</v>
      </c>
      <c r="S55" s="537"/>
      <c r="T55" s="653"/>
      <c r="U55" s="529" t="s">
        <v>427</v>
      </c>
      <c r="V55" s="538" t="s">
        <v>427</v>
      </c>
      <c r="W55" s="538" t="s">
        <v>427</v>
      </c>
      <c r="X55" s="529"/>
      <c r="Y55" s="653"/>
      <c r="Z55" s="529" t="s">
        <v>427</v>
      </c>
      <c r="AA55" s="538" t="s">
        <v>427</v>
      </c>
      <c r="AB55" s="538" t="s">
        <v>427</v>
      </c>
      <c r="AC55" s="538"/>
      <c r="AD55" s="642"/>
      <c r="AE55" s="529" t="s">
        <v>427</v>
      </c>
      <c r="AF55" s="538" t="s">
        <v>427</v>
      </c>
      <c r="AG55" s="538" t="s">
        <v>427</v>
      </c>
      <c r="AH55" s="538"/>
      <c r="AI55" s="642"/>
      <c r="AJ55" s="529" t="s">
        <v>427</v>
      </c>
      <c r="AK55" s="538" t="s">
        <v>427</v>
      </c>
      <c r="AL55" s="538" t="s">
        <v>427</v>
      </c>
      <c r="AM55" s="538"/>
      <c r="AN55" s="642"/>
      <c r="AO55" s="529" t="s">
        <v>427</v>
      </c>
      <c r="AP55" s="538" t="s">
        <v>427</v>
      </c>
      <c r="AQ55" s="538" t="s">
        <v>427</v>
      </c>
      <c r="AR55" s="538"/>
      <c r="AS55" s="642"/>
      <c r="AT55" s="529" t="s">
        <v>427</v>
      </c>
      <c r="AU55" s="538" t="s">
        <v>427</v>
      </c>
      <c r="AV55" s="538" t="s">
        <v>427</v>
      </c>
      <c r="AW55" s="538"/>
      <c r="AX55" s="642"/>
      <c r="AZ55" s="378"/>
      <c r="BA55" s="653"/>
    </row>
    <row r="56" spans="2:53">
      <c r="B56" s="635"/>
      <c r="C56" s="534">
        <v>10</v>
      </c>
      <c r="D56" s="529"/>
      <c r="E56" s="529"/>
      <c r="F56" s="529"/>
      <c r="G56" s="538"/>
      <c r="H56" s="672"/>
      <c r="I56" s="531" t="str">
        <f t="shared" si="23"/>
        <v>-</v>
      </c>
      <c r="J56" s="531" t="str">
        <f t="shared" si="23"/>
        <v>-</v>
      </c>
      <c r="K56" s="363" t="str">
        <f t="shared" si="23"/>
        <v>-</v>
      </c>
      <c r="L56" s="615"/>
      <c r="M56" s="537" t="e">
        <f>RANK(K56, K$47:$K$61)</f>
        <v>#VALUE!</v>
      </c>
      <c r="N56" s="624"/>
      <c r="O56" s="624"/>
      <c r="P56" s="529" t="s">
        <v>427</v>
      </c>
      <c r="Q56" s="538" t="s">
        <v>427</v>
      </c>
      <c r="R56" s="538" t="s">
        <v>427</v>
      </c>
      <c r="S56" s="537"/>
      <c r="T56" s="653"/>
      <c r="U56" s="529" t="s">
        <v>427</v>
      </c>
      <c r="V56" s="538" t="s">
        <v>427</v>
      </c>
      <c r="W56" s="538" t="s">
        <v>427</v>
      </c>
      <c r="X56" s="529"/>
      <c r="Y56" s="653"/>
      <c r="Z56" s="529" t="s">
        <v>427</v>
      </c>
      <c r="AA56" s="538" t="s">
        <v>427</v>
      </c>
      <c r="AB56" s="538" t="s">
        <v>427</v>
      </c>
      <c r="AC56" s="538"/>
      <c r="AD56" s="642"/>
      <c r="AE56" s="529" t="s">
        <v>427</v>
      </c>
      <c r="AF56" s="538" t="s">
        <v>427</v>
      </c>
      <c r="AG56" s="538" t="s">
        <v>427</v>
      </c>
      <c r="AH56" s="538"/>
      <c r="AI56" s="642"/>
      <c r="AJ56" s="529" t="s">
        <v>427</v>
      </c>
      <c r="AK56" s="538" t="s">
        <v>427</v>
      </c>
      <c r="AL56" s="538" t="s">
        <v>427</v>
      </c>
      <c r="AM56" s="538"/>
      <c r="AN56" s="642"/>
      <c r="AO56" s="529" t="s">
        <v>427</v>
      </c>
      <c r="AP56" s="538" t="s">
        <v>427</v>
      </c>
      <c r="AQ56" s="538" t="s">
        <v>427</v>
      </c>
      <c r="AR56" s="538"/>
      <c r="AS56" s="642"/>
      <c r="AT56" s="529" t="s">
        <v>427</v>
      </c>
      <c r="AU56" s="538" t="s">
        <v>427</v>
      </c>
      <c r="AV56" s="538" t="s">
        <v>427</v>
      </c>
      <c r="AW56" s="538"/>
      <c r="AX56" s="642"/>
      <c r="AZ56" s="378"/>
      <c r="BA56" s="653"/>
    </row>
    <row r="57" spans="2:53">
      <c r="B57" s="635"/>
      <c r="C57" s="534">
        <v>11</v>
      </c>
      <c r="D57" s="529"/>
      <c r="E57" s="529"/>
      <c r="F57" s="529"/>
      <c r="G57" s="538"/>
      <c r="H57" s="672"/>
      <c r="I57" s="531" t="str">
        <f t="shared" si="23"/>
        <v>-</v>
      </c>
      <c r="J57" s="531" t="str">
        <f t="shared" si="23"/>
        <v>-</v>
      </c>
      <c r="K57" s="363" t="str">
        <f t="shared" si="23"/>
        <v>-</v>
      </c>
      <c r="L57" s="615"/>
      <c r="M57" s="537" t="e">
        <f>RANK(K57, K$47:$K$61)</f>
        <v>#VALUE!</v>
      </c>
      <c r="N57" s="624"/>
      <c r="O57" s="624"/>
      <c r="P57" s="529" t="s">
        <v>427</v>
      </c>
      <c r="Q57" s="538" t="s">
        <v>427</v>
      </c>
      <c r="R57" s="538" t="s">
        <v>427</v>
      </c>
      <c r="S57" s="537"/>
      <c r="T57" s="653"/>
      <c r="U57" s="529" t="s">
        <v>427</v>
      </c>
      <c r="V57" s="538" t="s">
        <v>427</v>
      </c>
      <c r="W57" s="538" t="s">
        <v>427</v>
      </c>
      <c r="X57" s="529"/>
      <c r="Y57" s="653"/>
      <c r="Z57" s="529" t="s">
        <v>427</v>
      </c>
      <c r="AA57" s="538" t="s">
        <v>427</v>
      </c>
      <c r="AB57" s="538" t="s">
        <v>427</v>
      </c>
      <c r="AC57" s="538"/>
      <c r="AD57" s="642"/>
      <c r="AE57" s="529" t="s">
        <v>427</v>
      </c>
      <c r="AF57" s="538" t="s">
        <v>427</v>
      </c>
      <c r="AG57" s="538" t="s">
        <v>427</v>
      </c>
      <c r="AH57" s="538"/>
      <c r="AI57" s="642"/>
      <c r="AJ57" s="529" t="s">
        <v>427</v>
      </c>
      <c r="AK57" s="538" t="s">
        <v>427</v>
      </c>
      <c r="AL57" s="538" t="s">
        <v>427</v>
      </c>
      <c r="AM57" s="538"/>
      <c r="AN57" s="642"/>
      <c r="AO57" s="529" t="s">
        <v>427</v>
      </c>
      <c r="AP57" s="538" t="s">
        <v>427</v>
      </c>
      <c r="AQ57" s="538" t="s">
        <v>427</v>
      </c>
      <c r="AR57" s="538"/>
      <c r="AS57" s="642"/>
      <c r="AT57" s="529" t="s">
        <v>427</v>
      </c>
      <c r="AU57" s="538" t="s">
        <v>427</v>
      </c>
      <c r="AV57" s="538" t="s">
        <v>427</v>
      </c>
      <c r="AW57" s="538"/>
      <c r="AX57" s="642"/>
      <c r="AZ57" s="378"/>
      <c r="BA57" s="653"/>
    </row>
    <row r="58" spans="2:53">
      <c r="B58" s="635"/>
      <c r="C58" s="534">
        <v>12</v>
      </c>
      <c r="D58" s="529"/>
      <c r="E58" s="529"/>
      <c r="F58" s="529"/>
      <c r="G58" s="538"/>
      <c r="H58" s="672"/>
      <c r="I58" s="531" t="str">
        <f t="shared" si="23"/>
        <v>-</v>
      </c>
      <c r="J58" s="531" t="str">
        <f t="shared" si="23"/>
        <v>-</v>
      </c>
      <c r="K58" s="363" t="str">
        <f t="shared" si="23"/>
        <v>-</v>
      </c>
      <c r="L58" s="615"/>
      <c r="M58" s="537" t="e">
        <f>RANK(K58, K$47:$K$61)</f>
        <v>#VALUE!</v>
      </c>
      <c r="N58" s="624"/>
      <c r="O58" s="624"/>
      <c r="P58" s="529" t="s">
        <v>427</v>
      </c>
      <c r="Q58" s="538" t="s">
        <v>427</v>
      </c>
      <c r="R58" s="538" t="s">
        <v>427</v>
      </c>
      <c r="S58" s="537"/>
      <c r="T58" s="653"/>
      <c r="U58" s="529" t="s">
        <v>427</v>
      </c>
      <c r="V58" s="538" t="s">
        <v>427</v>
      </c>
      <c r="W58" s="538" t="s">
        <v>427</v>
      </c>
      <c r="X58" s="529"/>
      <c r="Y58" s="653"/>
      <c r="Z58" s="529" t="s">
        <v>427</v>
      </c>
      <c r="AA58" s="538" t="s">
        <v>427</v>
      </c>
      <c r="AB58" s="538" t="s">
        <v>427</v>
      </c>
      <c r="AC58" s="538"/>
      <c r="AD58" s="642"/>
      <c r="AE58" s="529" t="s">
        <v>427</v>
      </c>
      <c r="AF58" s="538" t="s">
        <v>427</v>
      </c>
      <c r="AG58" s="538" t="s">
        <v>427</v>
      </c>
      <c r="AH58" s="538"/>
      <c r="AI58" s="642"/>
      <c r="AJ58" s="529" t="s">
        <v>427</v>
      </c>
      <c r="AK58" s="538" t="s">
        <v>427</v>
      </c>
      <c r="AL58" s="538" t="s">
        <v>427</v>
      </c>
      <c r="AM58" s="538"/>
      <c r="AN58" s="642"/>
      <c r="AO58" s="529" t="s">
        <v>427</v>
      </c>
      <c r="AP58" s="538" t="s">
        <v>427</v>
      </c>
      <c r="AQ58" s="538" t="s">
        <v>427</v>
      </c>
      <c r="AR58" s="538"/>
      <c r="AS58" s="642"/>
      <c r="AT58" s="529" t="s">
        <v>427</v>
      </c>
      <c r="AU58" s="538" t="s">
        <v>427</v>
      </c>
      <c r="AV58" s="538" t="s">
        <v>427</v>
      </c>
      <c r="AW58" s="538"/>
      <c r="AX58" s="642"/>
      <c r="AZ58" s="378"/>
      <c r="BA58" s="653"/>
    </row>
    <row r="59" spans="2:53">
      <c r="B59" s="635"/>
      <c r="C59" s="534">
        <v>13</v>
      </c>
      <c r="D59" s="529"/>
      <c r="E59" s="529"/>
      <c r="F59" s="529"/>
      <c r="G59" s="538"/>
      <c r="H59" s="672"/>
      <c r="I59" s="531" t="str">
        <f t="shared" si="23"/>
        <v>-</v>
      </c>
      <c r="J59" s="531" t="str">
        <f t="shared" si="23"/>
        <v>-</v>
      </c>
      <c r="K59" s="363" t="str">
        <f t="shared" si="23"/>
        <v>-</v>
      </c>
      <c r="L59" s="615"/>
      <c r="M59" s="537" t="e">
        <f>RANK(K59, K$47:$K$61)</f>
        <v>#VALUE!</v>
      </c>
      <c r="N59" s="624"/>
      <c r="O59" s="624"/>
      <c r="P59" s="529" t="s">
        <v>427</v>
      </c>
      <c r="Q59" s="538" t="s">
        <v>427</v>
      </c>
      <c r="R59" s="538" t="s">
        <v>427</v>
      </c>
      <c r="S59" s="537"/>
      <c r="T59" s="653"/>
      <c r="U59" s="529" t="s">
        <v>427</v>
      </c>
      <c r="V59" s="538" t="s">
        <v>427</v>
      </c>
      <c r="W59" s="538" t="s">
        <v>427</v>
      </c>
      <c r="X59" s="529"/>
      <c r="Y59" s="653"/>
      <c r="Z59" s="529" t="s">
        <v>427</v>
      </c>
      <c r="AA59" s="538" t="s">
        <v>427</v>
      </c>
      <c r="AB59" s="538" t="s">
        <v>427</v>
      </c>
      <c r="AC59" s="538"/>
      <c r="AD59" s="642"/>
      <c r="AE59" s="529" t="s">
        <v>427</v>
      </c>
      <c r="AF59" s="538" t="s">
        <v>427</v>
      </c>
      <c r="AG59" s="538" t="s">
        <v>427</v>
      </c>
      <c r="AH59" s="538"/>
      <c r="AI59" s="642"/>
      <c r="AJ59" s="529" t="s">
        <v>427</v>
      </c>
      <c r="AK59" s="538" t="s">
        <v>427</v>
      </c>
      <c r="AL59" s="538" t="s">
        <v>427</v>
      </c>
      <c r="AM59" s="538"/>
      <c r="AN59" s="642"/>
      <c r="AO59" s="529" t="s">
        <v>427</v>
      </c>
      <c r="AP59" s="538" t="s">
        <v>427</v>
      </c>
      <c r="AQ59" s="538" t="s">
        <v>427</v>
      </c>
      <c r="AR59" s="538"/>
      <c r="AS59" s="642"/>
      <c r="AT59" s="529" t="s">
        <v>427</v>
      </c>
      <c r="AU59" s="538" t="s">
        <v>427</v>
      </c>
      <c r="AV59" s="538" t="s">
        <v>427</v>
      </c>
      <c r="AW59" s="538"/>
      <c r="AX59" s="642"/>
      <c r="AZ59" s="378"/>
      <c r="BA59" s="653"/>
    </row>
    <row r="60" spans="2:53">
      <c r="B60" s="635"/>
      <c r="C60" s="534">
        <v>14</v>
      </c>
      <c r="D60" s="529"/>
      <c r="E60" s="529"/>
      <c r="F60" s="529"/>
      <c r="G60" s="538"/>
      <c r="H60" s="672"/>
      <c r="I60" s="531" t="str">
        <f t="shared" si="23"/>
        <v>-</v>
      </c>
      <c r="J60" s="531" t="str">
        <f t="shared" si="23"/>
        <v>-</v>
      </c>
      <c r="K60" s="363" t="str">
        <f t="shared" si="23"/>
        <v>-</v>
      </c>
      <c r="L60" s="615"/>
      <c r="M60" s="537" t="e">
        <f>RANK(K60, K$47:$K$61)</f>
        <v>#VALUE!</v>
      </c>
      <c r="N60" s="624"/>
      <c r="O60" s="624"/>
      <c r="P60" s="529" t="s">
        <v>427</v>
      </c>
      <c r="Q60" s="538" t="s">
        <v>427</v>
      </c>
      <c r="R60" s="538" t="s">
        <v>427</v>
      </c>
      <c r="S60" s="537"/>
      <c r="T60" s="653"/>
      <c r="U60" s="529" t="s">
        <v>427</v>
      </c>
      <c r="V60" s="538" t="s">
        <v>427</v>
      </c>
      <c r="W60" s="538" t="s">
        <v>427</v>
      </c>
      <c r="X60" s="529"/>
      <c r="Y60" s="653"/>
      <c r="Z60" s="529" t="s">
        <v>427</v>
      </c>
      <c r="AA60" s="538" t="s">
        <v>427</v>
      </c>
      <c r="AB60" s="538" t="s">
        <v>427</v>
      </c>
      <c r="AC60" s="538"/>
      <c r="AD60" s="642"/>
      <c r="AE60" s="529" t="s">
        <v>427</v>
      </c>
      <c r="AF60" s="538" t="s">
        <v>427</v>
      </c>
      <c r="AG60" s="538" t="s">
        <v>427</v>
      </c>
      <c r="AH60" s="538"/>
      <c r="AI60" s="642"/>
      <c r="AJ60" s="529" t="s">
        <v>427</v>
      </c>
      <c r="AK60" s="538" t="s">
        <v>427</v>
      </c>
      <c r="AL60" s="538" t="s">
        <v>427</v>
      </c>
      <c r="AM60" s="538"/>
      <c r="AN60" s="642"/>
      <c r="AO60" s="529" t="s">
        <v>427</v>
      </c>
      <c r="AP60" s="538" t="s">
        <v>427</v>
      </c>
      <c r="AQ60" s="538" t="s">
        <v>427</v>
      </c>
      <c r="AR60" s="538"/>
      <c r="AS60" s="642"/>
      <c r="AT60" s="529" t="s">
        <v>427</v>
      </c>
      <c r="AU60" s="538" t="s">
        <v>427</v>
      </c>
      <c r="AV60" s="538" t="s">
        <v>427</v>
      </c>
      <c r="AW60" s="538"/>
      <c r="AX60" s="642"/>
      <c r="AZ60" s="378"/>
      <c r="BA60" s="653"/>
    </row>
    <row r="61" spans="2:53">
      <c r="B61" s="635"/>
      <c r="C61" s="534">
        <v>15</v>
      </c>
      <c r="D61" s="529"/>
      <c r="E61" s="529"/>
      <c r="F61" s="529"/>
      <c r="G61" s="529"/>
      <c r="H61" s="676"/>
      <c r="I61" s="531" t="str">
        <f t="shared" si="23"/>
        <v>-</v>
      </c>
      <c r="J61" s="531" t="str">
        <f t="shared" si="23"/>
        <v>-</v>
      </c>
      <c r="K61" s="363" t="str">
        <f t="shared" si="23"/>
        <v>-</v>
      </c>
      <c r="L61" s="616"/>
      <c r="M61" s="537" t="e">
        <f>RANK(K61, K$47:$K$61)</f>
        <v>#VALUE!</v>
      </c>
      <c r="N61" s="624"/>
      <c r="O61" s="624"/>
      <c r="P61" s="529" t="s">
        <v>427</v>
      </c>
      <c r="Q61" s="538" t="s">
        <v>427</v>
      </c>
      <c r="R61" s="538" t="s">
        <v>427</v>
      </c>
      <c r="S61" s="537"/>
      <c r="T61" s="653"/>
      <c r="U61" s="529" t="s">
        <v>427</v>
      </c>
      <c r="V61" s="538" t="s">
        <v>427</v>
      </c>
      <c r="W61" s="538" t="s">
        <v>427</v>
      </c>
      <c r="X61" s="529"/>
      <c r="Y61" s="653"/>
      <c r="Z61" s="529" t="s">
        <v>427</v>
      </c>
      <c r="AA61" s="538" t="s">
        <v>427</v>
      </c>
      <c r="AB61" s="538" t="s">
        <v>427</v>
      </c>
      <c r="AC61" s="538"/>
      <c r="AD61" s="642"/>
      <c r="AE61" s="529" t="s">
        <v>427</v>
      </c>
      <c r="AF61" s="538" t="s">
        <v>427</v>
      </c>
      <c r="AG61" s="538" t="s">
        <v>427</v>
      </c>
      <c r="AH61" s="538"/>
      <c r="AI61" s="642"/>
      <c r="AJ61" s="529" t="s">
        <v>427</v>
      </c>
      <c r="AK61" s="538" t="s">
        <v>427</v>
      </c>
      <c r="AL61" s="538" t="s">
        <v>427</v>
      </c>
      <c r="AM61" s="538"/>
      <c r="AN61" s="642"/>
      <c r="AO61" s="529" t="s">
        <v>427</v>
      </c>
      <c r="AP61" s="538" t="s">
        <v>427</v>
      </c>
      <c r="AQ61" s="538" t="s">
        <v>427</v>
      </c>
      <c r="AR61" s="538"/>
      <c r="AS61" s="642"/>
      <c r="AT61" s="529" t="s">
        <v>427</v>
      </c>
      <c r="AU61" s="538" t="s">
        <v>427</v>
      </c>
      <c r="AV61" s="538" t="s">
        <v>427</v>
      </c>
      <c r="AW61" s="538"/>
      <c r="AX61" s="642"/>
      <c r="AZ61" s="378"/>
      <c r="BA61" s="653"/>
    </row>
    <row r="62" spans="2:53" ht="15.75">
      <c r="B62" s="643" t="s">
        <v>769</v>
      </c>
      <c r="C62" s="644"/>
      <c r="D62" s="644"/>
      <c r="E62" s="644"/>
      <c r="F62" s="644"/>
      <c r="G62" s="644"/>
      <c r="H62" s="645"/>
      <c r="I62" s="205"/>
      <c r="J62" s="205"/>
      <c r="K62" s="205"/>
      <c r="L62" s="205"/>
      <c r="M62" s="204"/>
      <c r="N62" s="639" t="s">
        <v>685</v>
      </c>
      <c r="O62" s="639" t="s">
        <v>686</v>
      </c>
      <c r="P62" s="634">
        <f>P42+7</f>
        <v>46224</v>
      </c>
      <c r="Q62" s="635"/>
      <c r="R62" s="635"/>
      <c r="S62" s="635"/>
      <c r="T62" s="635"/>
      <c r="U62" s="636">
        <f>P62+1</f>
        <v>46225</v>
      </c>
      <c r="V62" s="637"/>
      <c r="W62" s="637"/>
      <c r="X62" s="637"/>
      <c r="Y62" s="638"/>
      <c r="Z62" s="636">
        <f>U62+1</f>
        <v>46226</v>
      </c>
      <c r="AA62" s="637"/>
      <c r="AB62" s="637"/>
      <c r="AC62" s="637"/>
      <c r="AD62" s="638"/>
      <c r="AE62" s="636">
        <f>Z62+1</f>
        <v>46227</v>
      </c>
      <c r="AF62" s="637"/>
      <c r="AG62" s="637"/>
      <c r="AH62" s="637"/>
      <c r="AI62" s="638"/>
      <c r="AJ62" s="636">
        <f>AE62+1</f>
        <v>46228</v>
      </c>
      <c r="AK62" s="637"/>
      <c r="AL62" s="637"/>
      <c r="AM62" s="637"/>
      <c r="AN62" s="638"/>
      <c r="AO62" s="636">
        <f>AJ62+1</f>
        <v>46229</v>
      </c>
      <c r="AP62" s="637"/>
      <c r="AQ62" s="637"/>
      <c r="AR62" s="637"/>
      <c r="AS62" s="638"/>
      <c r="AT62" s="636">
        <f>AO62+1</f>
        <v>46230</v>
      </c>
      <c r="AU62" s="637"/>
      <c r="AV62" s="637"/>
      <c r="AW62" s="637"/>
      <c r="AX62" s="638"/>
    </row>
    <row r="63" spans="2:53" ht="15.75">
      <c r="B63" s="646"/>
      <c r="C63" s="646"/>
      <c r="D63" s="646"/>
      <c r="E63" s="646"/>
      <c r="F63" s="646"/>
      <c r="G63" s="646"/>
      <c r="H63" s="646"/>
      <c r="I63" s="202"/>
      <c r="J63" s="202"/>
      <c r="K63" s="202"/>
      <c r="L63" s="202"/>
      <c r="M63" s="203"/>
      <c r="N63" s="641"/>
      <c r="O63" s="641"/>
      <c r="P63" s="634" t="s">
        <v>677</v>
      </c>
      <c r="Q63" s="635"/>
      <c r="R63" s="635"/>
      <c r="S63" s="635"/>
      <c r="T63" s="635"/>
      <c r="U63" s="634" t="s">
        <v>678</v>
      </c>
      <c r="V63" s="635"/>
      <c r="W63" s="635"/>
      <c r="X63" s="635"/>
      <c r="Y63" s="635"/>
      <c r="Z63" s="634" t="s">
        <v>679</v>
      </c>
      <c r="AA63" s="635"/>
      <c r="AB63" s="635"/>
      <c r="AC63" s="635"/>
      <c r="AD63" s="635"/>
      <c r="AE63" s="634" t="s">
        <v>687</v>
      </c>
      <c r="AF63" s="635"/>
      <c r="AG63" s="635"/>
      <c r="AH63" s="635"/>
      <c r="AI63" s="635"/>
      <c r="AJ63" s="634" t="s">
        <v>688</v>
      </c>
      <c r="AK63" s="635"/>
      <c r="AL63" s="635"/>
      <c r="AM63" s="635"/>
      <c r="AN63" s="635"/>
      <c r="AO63" s="634" t="s">
        <v>689</v>
      </c>
      <c r="AP63" s="635"/>
      <c r="AQ63" s="635"/>
      <c r="AR63" s="635"/>
      <c r="AS63" s="635"/>
      <c r="AT63" s="634" t="s">
        <v>690</v>
      </c>
      <c r="AU63" s="635"/>
      <c r="AV63" s="635"/>
      <c r="AW63" s="635"/>
      <c r="AX63" s="635"/>
    </row>
    <row r="64" spans="2:53">
      <c r="B64" s="624" t="s">
        <v>760</v>
      </c>
      <c r="C64" s="624" t="s">
        <v>827</v>
      </c>
      <c r="D64" s="624"/>
      <c r="E64" s="624" t="s">
        <v>828</v>
      </c>
      <c r="F64" s="624"/>
      <c r="G64" s="624"/>
      <c r="H64" s="647" t="s">
        <v>829</v>
      </c>
      <c r="I64" s="624" t="s">
        <v>830</v>
      </c>
      <c r="J64" s="624"/>
      <c r="K64" s="624"/>
      <c r="L64" s="647" t="s">
        <v>829</v>
      </c>
      <c r="M64" s="639" t="s">
        <v>440</v>
      </c>
      <c r="N64" s="624"/>
      <c r="O64" s="624" t="s">
        <v>831</v>
      </c>
      <c r="P64" s="621" t="s">
        <v>832</v>
      </c>
      <c r="Q64" s="622"/>
      <c r="R64" s="622"/>
      <c r="S64" s="623"/>
      <c r="T64" s="624" t="s">
        <v>829</v>
      </c>
      <c r="U64" s="621" t="s">
        <v>832</v>
      </c>
      <c r="V64" s="622"/>
      <c r="W64" s="622"/>
      <c r="X64" s="623"/>
      <c r="Y64" s="624" t="s">
        <v>829</v>
      </c>
      <c r="Z64" s="621" t="s">
        <v>832</v>
      </c>
      <c r="AA64" s="622"/>
      <c r="AB64" s="622"/>
      <c r="AC64" s="623"/>
      <c r="AD64" s="624" t="s">
        <v>829</v>
      </c>
      <c r="AE64" s="621" t="s">
        <v>832</v>
      </c>
      <c r="AF64" s="622"/>
      <c r="AG64" s="622"/>
      <c r="AH64" s="623"/>
      <c r="AI64" s="624" t="s">
        <v>829</v>
      </c>
      <c r="AJ64" s="621" t="s">
        <v>832</v>
      </c>
      <c r="AK64" s="622"/>
      <c r="AL64" s="622"/>
      <c r="AM64" s="623"/>
      <c r="AN64" s="624" t="s">
        <v>829</v>
      </c>
      <c r="AO64" s="621" t="s">
        <v>832</v>
      </c>
      <c r="AP64" s="622"/>
      <c r="AQ64" s="622"/>
      <c r="AR64" s="623"/>
      <c r="AS64" s="624" t="s">
        <v>829</v>
      </c>
      <c r="AT64" s="621" t="s">
        <v>832</v>
      </c>
      <c r="AU64" s="622"/>
      <c r="AV64" s="622"/>
      <c r="AW64" s="623"/>
      <c r="AX64" s="624" t="s">
        <v>829</v>
      </c>
    </row>
    <row r="65" spans="2:53">
      <c r="B65" s="624"/>
      <c r="C65" s="624"/>
      <c r="D65" s="624"/>
      <c r="E65" s="624" t="s">
        <v>833</v>
      </c>
      <c r="F65" s="624"/>
      <c r="G65" s="624"/>
      <c r="H65" s="648"/>
      <c r="I65" s="624" t="s">
        <v>833</v>
      </c>
      <c r="J65" s="624"/>
      <c r="K65" s="624"/>
      <c r="L65" s="648"/>
      <c r="M65" s="640"/>
      <c r="N65" s="624"/>
      <c r="O65" s="624"/>
      <c r="P65" s="621" t="s">
        <v>834</v>
      </c>
      <c r="Q65" s="622"/>
      <c r="R65" s="622"/>
      <c r="S65" s="623"/>
      <c r="T65" s="624"/>
      <c r="U65" s="621" t="s">
        <v>834</v>
      </c>
      <c r="V65" s="622"/>
      <c r="W65" s="622"/>
      <c r="X65" s="623"/>
      <c r="Y65" s="624"/>
      <c r="Z65" s="621" t="s">
        <v>834</v>
      </c>
      <c r="AA65" s="622"/>
      <c r="AB65" s="622"/>
      <c r="AC65" s="623"/>
      <c r="AD65" s="624"/>
      <c r="AE65" s="621" t="s">
        <v>834</v>
      </c>
      <c r="AF65" s="622"/>
      <c r="AG65" s="622"/>
      <c r="AH65" s="623"/>
      <c r="AI65" s="624"/>
      <c r="AJ65" s="621" t="s">
        <v>834</v>
      </c>
      <c r="AK65" s="622"/>
      <c r="AL65" s="622"/>
      <c r="AM65" s="623"/>
      <c r="AN65" s="624"/>
      <c r="AO65" s="621" t="s">
        <v>834</v>
      </c>
      <c r="AP65" s="622"/>
      <c r="AQ65" s="622"/>
      <c r="AR65" s="623"/>
      <c r="AS65" s="624"/>
      <c r="AT65" s="621" t="s">
        <v>834</v>
      </c>
      <c r="AU65" s="622"/>
      <c r="AV65" s="622"/>
      <c r="AW65" s="623"/>
      <c r="AX65" s="624"/>
    </row>
    <row r="66" spans="2:53">
      <c r="B66" s="624"/>
      <c r="C66" s="624"/>
      <c r="D66" s="624"/>
      <c r="E66" s="533" t="s">
        <v>835</v>
      </c>
      <c r="F66" s="533" t="s">
        <v>836</v>
      </c>
      <c r="G66" s="533" t="s">
        <v>837</v>
      </c>
      <c r="H66" s="649"/>
      <c r="I66" s="533" t="s">
        <v>835</v>
      </c>
      <c r="J66" s="533" t="s">
        <v>836</v>
      </c>
      <c r="K66" s="533" t="s">
        <v>837</v>
      </c>
      <c r="L66" s="649"/>
      <c r="M66" s="641"/>
      <c r="N66" s="624"/>
      <c r="O66" s="624"/>
      <c r="P66" s="533" t="s">
        <v>835</v>
      </c>
      <c r="Q66" s="533" t="s">
        <v>836</v>
      </c>
      <c r="R66" s="533" t="s">
        <v>837</v>
      </c>
      <c r="S66" s="533" t="s">
        <v>440</v>
      </c>
      <c r="T66" s="624"/>
      <c r="U66" s="533" t="s">
        <v>835</v>
      </c>
      <c r="V66" s="533" t="s">
        <v>836</v>
      </c>
      <c r="W66" s="533" t="s">
        <v>837</v>
      </c>
      <c r="X66" s="533" t="s">
        <v>440</v>
      </c>
      <c r="Y66" s="624"/>
      <c r="Z66" s="533" t="s">
        <v>835</v>
      </c>
      <c r="AA66" s="533" t="s">
        <v>836</v>
      </c>
      <c r="AB66" s="533" t="s">
        <v>837</v>
      </c>
      <c r="AC66" s="533" t="s">
        <v>440</v>
      </c>
      <c r="AD66" s="624"/>
      <c r="AE66" s="533" t="s">
        <v>835</v>
      </c>
      <c r="AF66" s="533" t="s">
        <v>836</v>
      </c>
      <c r="AG66" s="533" t="s">
        <v>837</v>
      </c>
      <c r="AH66" s="533" t="s">
        <v>440</v>
      </c>
      <c r="AI66" s="624"/>
      <c r="AJ66" s="533" t="s">
        <v>835</v>
      </c>
      <c r="AK66" s="533" t="s">
        <v>836</v>
      </c>
      <c r="AL66" s="533" t="s">
        <v>837</v>
      </c>
      <c r="AM66" s="533" t="s">
        <v>440</v>
      </c>
      <c r="AN66" s="624"/>
      <c r="AO66" s="533" t="s">
        <v>835</v>
      </c>
      <c r="AP66" s="533" t="s">
        <v>836</v>
      </c>
      <c r="AQ66" s="533" t="s">
        <v>837</v>
      </c>
      <c r="AR66" s="533" t="s">
        <v>440</v>
      </c>
      <c r="AS66" s="624"/>
      <c r="AT66" s="533" t="s">
        <v>835</v>
      </c>
      <c r="AU66" s="533" t="s">
        <v>836</v>
      </c>
      <c r="AV66" s="533" t="s">
        <v>837</v>
      </c>
      <c r="AW66" s="533" t="s">
        <v>440</v>
      </c>
      <c r="AX66" s="624"/>
    </row>
    <row r="67" spans="2:53">
      <c r="B67" s="675" t="s">
        <v>774</v>
      </c>
      <c r="C67" s="534">
        <v>1</v>
      </c>
      <c r="D67" s="533" t="s">
        <v>334</v>
      </c>
      <c r="E67" s="529">
        <v>10</v>
      </c>
      <c r="F67" s="529">
        <v>1500</v>
      </c>
      <c r="G67" s="538">
        <v>150</v>
      </c>
      <c r="H67" s="671">
        <f>AVERAGE(G67:G81)</f>
        <v>127.5</v>
      </c>
      <c r="I67" s="531">
        <f t="shared" ref="I67:K81" si="25">IFERROR(AVERAGE(P67,U67,Z67,AE67,AJ67,AO67,AT67),"-")</f>
        <v>10</v>
      </c>
      <c r="J67" s="531">
        <f t="shared" si="25"/>
        <v>1492.7836734693872</v>
      </c>
      <c r="K67" s="363">
        <f t="shared" si="25"/>
        <v>149.27836734693872</v>
      </c>
      <c r="L67" s="614">
        <f>IFERROR(AVERAGE(K67:K81),"-")</f>
        <v>148.28257070109544</v>
      </c>
      <c r="M67" s="537">
        <f>RANK(K67, K$67:$K$81)</f>
        <v>1</v>
      </c>
      <c r="N67" s="624"/>
      <c r="O67" s="624"/>
      <c r="P67" s="529">
        <v>10</v>
      </c>
      <c r="Q67" s="538">
        <v>1545.9999999999973</v>
      </c>
      <c r="R67" s="538">
        <v>154.59999999999974</v>
      </c>
      <c r="S67" s="534">
        <f t="shared" ref="S67:S81" si="26">RANK(R67, R$67:R$81)</f>
        <v>1</v>
      </c>
      <c r="T67" s="610">
        <f t="shared" ref="T67" si="27">AVERAGE(R67:R81)</f>
        <v>152.00565476190476</v>
      </c>
      <c r="U67" s="529">
        <v>10</v>
      </c>
      <c r="V67" s="538">
        <v>1542.0000000000014</v>
      </c>
      <c r="W67" s="538">
        <v>154.20000000000013</v>
      </c>
      <c r="X67" s="534">
        <f t="shared" ref="X67:X81" si="28">RANK(W67, W$67:W$81)</f>
        <v>1</v>
      </c>
      <c r="Y67" s="610">
        <f t="shared" ref="Y67" si="29">AVERAGE(W67:W81)</f>
        <v>152.30993589743599</v>
      </c>
      <c r="Z67" s="529">
        <v>10</v>
      </c>
      <c r="AA67" s="538">
        <v>1507.9999999999975</v>
      </c>
      <c r="AB67" s="538">
        <v>150.79999999999976</v>
      </c>
      <c r="AC67" s="534">
        <f t="shared" ref="AC67:AC81" si="30">RANK(AB67, AB$67:AB$81)</f>
        <v>4</v>
      </c>
      <c r="AD67" s="610">
        <f t="shared" ref="AD67" si="31">AVERAGE(AB67:AB81)</f>
        <v>154.90352564102565</v>
      </c>
      <c r="AE67" s="529">
        <v>10</v>
      </c>
      <c r="AF67" s="538">
        <v>1336.0000000000011</v>
      </c>
      <c r="AG67" s="538">
        <v>133.60000000000011</v>
      </c>
      <c r="AH67" s="534">
        <f t="shared" ref="AH67:AH81" si="32">RANK(AG67, AG$67:AG$81)</f>
        <v>4</v>
      </c>
      <c r="AI67" s="610">
        <f t="shared" ref="AI67" si="33">AVERAGE(AG67:AG81)</f>
        <v>147.92344497607644</v>
      </c>
      <c r="AJ67" s="529">
        <v>10</v>
      </c>
      <c r="AK67" s="538">
        <v>1543.1999999999957</v>
      </c>
      <c r="AL67" s="538">
        <v>154.31999999999957</v>
      </c>
      <c r="AM67" s="534">
        <f t="shared" ref="AM67:AM81" si="34">RANK(AL67, AL$67:AL$81)</f>
        <v>1</v>
      </c>
      <c r="AN67" s="610">
        <f t="shared" ref="AN67" si="35">AVERAGE(AL67:AL81)</f>
        <v>143.96636363636347</v>
      </c>
      <c r="AO67" s="529">
        <v>10</v>
      </c>
      <c r="AP67" s="538">
        <v>1596.0000000000016</v>
      </c>
      <c r="AQ67" s="538">
        <v>159.60000000000016</v>
      </c>
      <c r="AR67" s="534">
        <f t="shared" ref="AR67:AR81" si="36">RANK(AQ67, AQ$67:AQ$81)</f>
        <v>1</v>
      </c>
      <c r="AS67" s="610">
        <f t="shared" ref="AS67" si="37">AVERAGE(AQ67:AQ81)</f>
        <v>150.20256410256417</v>
      </c>
      <c r="AT67" s="529">
        <v>10</v>
      </c>
      <c r="AU67" s="538">
        <v>1378.285714285716</v>
      </c>
      <c r="AV67" s="538">
        <v>137.82857142857159</v>
      </c>
      <c r="AW67" s="534">
        <f t="shared" ref="AW67:AW81" si="38">RANK(AV67, AV$67:AV$81)</f>
        <v>1</v>
      </c>
      <c r="AX67" s="610">
        <f t="shared" ref="AX67" si="39">AVERAGE(AV67:AV81)</f>
        <v>136.66650589229769</v>
      </c>
      <c r="AZ67" s="378" t="e">
        <f>RANK(AY67, AY$67:AY$81)</f>
        <v>#N/A</v>
      </c>
      <c r="BA67" s="653" t="e">
        <f>AVERAGE(AY67:AY81)</f>
        <v>#DIV/0!</v>
      </c>
    </row>
    <row r="68" spans="2:53">
      <c r="B68" s="635"/>
      <c r="C68" s="534">
        <v>2</v>
      </c>
      <c r="D68" s="529" t="s">
        <v>623</v>
      </c>
      <c r="E68" s="529">
        <v>15</v>
      </c>
      <c r="F68" s="529">
        <v>1800</v>
      </c>
      <c r="G68" s="538">
        <v>120</v>
      </c>
      <c r="H68" s="672"/>
      <c r="I68" s="531">
        <f t="shared" si="25"/>
        <v>12.142857142857142</v>
      </c>
      <c r="J68" s="531">
        <f t="shared" si="25"/>
        <v>1807.7507635221918</v>
      </c>
      <c r="K68" s="363">
        <f t="shared" si="25"/>
        <v>149.01402882831454</v>
      </c>
      <c r="L68" s="615"/>
      <c r="M68" s="537">
        <f>RANK(K68, K$67:$K$81)</f>
        <v>2</v>
      </c>
      <c r="N68" s="624"/>
      <c r="O68" s="624"/>
      <c r="P68" s="529">
        <v>12</v>
      </c>
      <c r="Q68" s="538">
        <v>1790.5714285714309</v>
      </c>
      <c r="R68" s="538">
        <v>149.21428571428592</v>
      </c>
      <c r="S68" s="534">
        <f t="shared" si="26"/>
        <v>4</v>
      </c>
      <c r="T68" s="611"/>
      <c r="U68" s="529">
        <v>12</v>
      </c>
      <c r="V68" s="538">
        <v>1847.0769230769226</v>
      </c>
      <c r="W68" s="538">
        <v>153.92307692307688</v>
      </c>
      <c r="X68" s="534">
        <f t="shared" si="28"/>
        <v>2</v>
      </c>
      <c r="Y68" s="611"/>
      <c r="Z68" s="529">
        <v>12</v>
      </c>
      <c r="AA68" s="538">
        <v>1854.4615384615381</v>
      </c>
      <c r="AB68" s="538">
        <v>154.53846153846152</v>
      </c>
      <c r="AC68" s="534">
        <f t="shared" si="30"/>
        <v>3</v>
      </c>
      <c r="AD68" s="611"/>
      <c r="AE68" s="529">
        <v>12</v>
      </c>
      <c r="AF68" s="538">
        <v>1851.2727272727284</v>
      </c>
      <c r="AG68" s="538">
        <v>154.27272727272737</v>
      </c>
      <c r="AH68" s="534">
        <f t="shared" si="32"/>
        <v>2</v>
      </c>
      <c r="AI68" s="611"/>
      <c r="AJ68" s="529">
        <v>12</v>
      </c>
      <c r="AK68" s="538">
        <v>1791.2727272727259</v>
      </c>
      <c r="AL68" s="538">
        <v>149.27272727272717</v>
      </c>
      <c r="AM68" s="534">
        <f t="shared" si="34"/>
        <v>3</v>
      </c>
      <c r="AN68" s="611"/>
      <c r="AO68" s="529">
        <v>12</v>
      </c>
      <c r="AP68" s="538">
        <v>1737.5999999999988</v>
      </c>
      <c r="AQ68" s="538">
        <v>144.7999999999999</v>
      </c>
      <c r="AR68" s="534">
        <f t="shared" si="36"/>
        <v>3</v>
      </c>
      <c r="AS68" s="611"/>
      <c r="AT68" s="529">
        <v>13</v>
      </c>
      <c r="AU68" s="538">
        <v>1781.9999999999982</v>
      </c>
      <c r="AV68" s="538">
        <v>137.07692307692292</v>
      </c>
      <c r="AW68" s="534">
        <f t="shared" si="38"/>
        <v>2</v>
      </c>
      <c r="AX68" s="611"/>
      <c r="AZ68" s="378" t="e">
        <f t="shared" ref="AZ68:AZ81" si="40">RANK(AY68, AY$67:AY$81)</f>
        <v>#N/A</v>
      </c>
      <c r="BA68" s="653"/>
    </row>
    <row r="69" spans="2:53">
      <c r="B69" s="635"/>
      <c r="C69" s="534">
        <v>3</v>
      </c>
      <c r="D69" s="529" t="s">
        <v>624</v>
      </c>
      <c r="E69" s="529">
        <v>15</v>
      </c>
      <c r="F69" s="529">
        <v>1800</v>
      </c>
      <c r="G69" s="538">
        <v>120</v>
      </c>
      <c r="H69" s="672"/>
      <c r="I69" s="531">
        <f t="shared" si="25"/>
        <v>12.142857142857142</v>
      </c>
      <c r="J69" s="531">
        <f t="shared" si="25"/>
        <v>1806.641758241758</v>
      </c>
      <c r="K69" s="363">
        <f t="shared" si="25"/>
        <v>148.93555931248235</v>
      </c>
      <c r="L69" s="615"/>
      <c r="M69" s="537">
        <f>RANK(K69, K$67:$K$81)</f>
        <v>3</v>
      </c>
      <c r="N69" s="624"/>
      <c r="O69" s="624"/>
      <c r="P69" s="529">
        <v>12</v>
      </c>
      <c r="Q69" s="538">
        <v>1824.0000000000018</v>
      </c>
      <c r="R69" s="538">
        <v>152.00000000000014</v>
      </c>
      <c r="S69" s="534">
        <f t="shared" si="26"/>
        <v>3</v>
      </c>
      <c r="T69" s="611"/>
      <c r="U69" s="529">
        <v>12</v>
      </c>
      <c r="V69" s="538">
        <v>1819.0000000000016</v>
      </c>
      <c r="W69" s="538">
        <v>151.58333333333346</v>
      </c>
      <c r="X69" s="534">
        <f t="shared" si="28"/>
        <v>3</v>
      </c>
      <c r="Y69" s="611"/>
      <c r="Z69" s="529">
        <v>12</v>
      </c>
      <c r="AA69" s="538">
        <v>1855.0000000000018</v>
      </c>
      <c r="AB69" s="538">
        <v>154.58333333333348</v>
      </c>
      <c r="AC69" s="534">
        <f t="shared" si="30"/>
        <v>2</v>
      </c>
      <c r="AD69" s="611"/>
      <c r="AE69" s="529">
        <v>12</v>
      </c>
      <c r="AF69" s="538">
        <v>1852.7999999999947</v>
      </c>
      <c r="AG69" s="538">
        <v>154.39999999999955</v>
      </c>
      <c r="AH69" s="534">
        <f t="shared" si="32"/>
        <v>1</v>
      </c>
      <c r="AI69" s="611"/>
      <c r="AJ69" s="529">
        <v>12</v>
      </c>
      <c r="AK69" s="538">
        <v>1799.9999999999977</v>
      </c>
      <c r="AL69" s="538">
        <v>149.9999999999998</v>
      </c>
      <c r="AM69" s="534">
        <f t="shared" si="34"/>
        <v>2</v>
      </c>
      <c r="AN69" s="611"/>
      <c r="AO69" s="529">
        <v>12</v>
      </c>
      <c r="AP69" s="538">
        <v>1728.923076923079</v>
      </c>
      <c r="AQ69" s="538">
        <v>144.07692307692324</v>
      </c>
      <c r="AR69" s="534">
        <f t="shared" si="36"/>
        <v>4</v>
      </c>
      <c r="AS69" s="611"/>
      <c r="AT69" s="529">
        <v>13</v>
      </c>
      <c r="AU69" s="538">
        <v>1766.7692307692284</v>
      </c>
      <c r="AV69" s="538">
        <v>135.90532544378681</v>
      </c>
      <c r="AW69" s="534">
        <f t="shared" si="38"/>
        <v>3</v>
      </c>
      <c r="AX69" s="611"/>
      <c r="AZ69" s="378" t="e">
        <f t="shared" si="40"/>
        <v>#N/A</v>
      </c>
      <c r="BA69" s="653"/>
    </row>
    <row r="70" spans="2:53">
      <c r="B70" s="635"/>
      <c r="C70" s="534">
        <v>4</v>
      </c>
      <c r="D70" s="529" t="s">
        <v>839</v>
      </c>
      <c r="E70" s="529">
        <v>18</v>
      </c>
      <c r="F70" s="529">
        <v>1800</v>
      </c>
      <c r="G70" s="538">
        <v>120</v>
      </c>
      <c r="H70" s="672"/>
      <c r="I70" s="531">
        <f t="shared" si="25"/>
        <v>12.142857142857142</v>
      </c>
      <c r="J70" s="531">
        <f t="shared" si="25"/>
        <v>1770.2358140311705</v>
      </c>
      <c r="K70" s="363">
        <f t="shared" si="25"/>
        <v>145.90232731664622</v>
      </c>
      <c r="L70" s="615"/>
      <c r="M70" s="537">
        <f>RANK(K70, K$67:$K$81)</f>
        <v>4</v>
      </c>
      <c r="N70" s="624"/>
      <c r="O70" s="624"/>
      <c r="P70" s="529">
        <v>12</v>
      </c>
      <c r="Q70" s="538">
        <v>1826.4999999999991</v>
      </c>
      <c r="R70" s="538">
        <v>152.20833333333326</v>
      </c>
      <c r="S70" s="534">
        <f t="shared" si="26"/>
        <v>2</v>
      </c>
      <c r="T70" s="611"/>
      <c r="U70" s="529">
        <v>12</v>
      </c>
      <c r="V70" s="538">
        <v>1794.4000000000028</v>
      </c>
      <c r="W70" s="538">
        <v>149.53333333333356</v>
      </c>
      <c r="X70" s="534">
        <f t="shared" si="28"/>
        <v>4</v>
      </c>
      <c r="Y70" s="611"/>
      <c r="Z70" s="529">
        <v>12</v>
      </c>
      <c r="AA70" s="538">
        <v>1916.3076923076944</v>
      </c>
      <c r="AB70" s="538">
        <v>159.69230769230788</v>
      </c>
      <c r="AC70" s="534">
        <f t="shared" si="30"/>
        <v>1</v>
      </c>
      <c r="AD70" s="611"/>
      <c r="AE70" s="529">
        <v>12</v>
      </c>
      <c r="AF70" s="538">
        <v>1793.0526315789446</v>
      </c>
      <c r="AG70" s="538">
        <v>149.4210526315787</v>
      </c>
      <c r="AH70" s="534">
        <f t="shared" si="32"/>
        <v>3</v>
      </c>
      <c r="AI70" s="611"/>
      <c r="AJ70" s="529">
        <v>12</v>
      </c>
      <c r="AK70" s="538">
        <v>1467.2727272727282</v>
      </c>
      <c r="AL70" s="538">
        <v>122.27272727272735</v>
      </c>
      <c r="AM70" s="534">
        <f t="shared" si="34"/>
        <v>4</v>
      </c>
      <c r="AN70" s="611"/>
      <c r="AO70" s="529">
        <v>12</v>
      </c>
      <c r="AP70" s="538">
        <v>1828.0000000000009</v>
      </c>
      <c r="AQ70" s="538">
        <v>152.3333333333334</v>
      </c>
      <c r="AR70" s="534">
        <f t="shared" si="36"/>
        <v>2</v>
      </c>
      <c r="AS70" s="611"/>
      <c r="AT70" s="529">
        <v>13</v>
      </c>
      <c r="AU70" s="538">
        <v>1766.1176470588232</v>
      </c>
      <c r="AV70" s="538">
        <v>135.85520361990947</v>
      </c>
      <c r="AW70" s="534">
        <f t="shared" si="38"/>
        <v>4</v>
      </c>
      <c r="AX70" s="611"/>
      <c r="AZ70" s="378" t="e">
        <f t="shared" si="40"/>
        <v>#N/A</v>
      </c>
      <c r="BA70" s="653"/>
    </row>
    <row r="71" spans="2:53">
      <c r="B71" s="635"/>
      <c r="C71" s="534">
        <v>5</v>
      </c>
      <c r="D71" s="529"/>
      <c r="E71" s="529"/>
      <c r="F71" s="529"/>
      <c r="G71" s="538"/>
      <c r="H71" s="672"/>
      <c r="I71" s="531" t="str">
        <f t="shared" si="25"/>
        <v>-</v>
      </c>
      <c r="J71" s="531" t="str">
        <f t="shared" si="25"/>
        <v>-</v>
      </c>
      <c r="K71" s="363" t="str">
        <f t="shared" si="25"/>
        <v>-</v>
      </c>
      <c r="L71" s="615"/>
      <c r="M71" s="537" t="e">
        <f>RANK(K71, K$67:$K$81)</f>
        <v>#VALUE!</v>
      </c>
      <c r="N71" s="624"/>
      <c r="O71" s="624"/>
      <c r="P71" s="529" t="s">
        <v>427</v>
      </c>
      <c r="Q71" s="538" t="s">
        <v>427</v>
      </c>
      <c r="R71" s="538" t="s">
        <v>427</v>
      </c>
      <c r="S71" s="534" t="e">
        <f t="shared" si="26"/>
        <v>#VALUE!</v>
      </c>
      <c r="T71" s="611"/>
      <c r="U71" s="529" t="s">
        <v>427</v>
      </c>
      <c r="V71" s="538" t="s">
        <v>427</v>
      </c>
      <c r="W71" s="538" t="s">
        <v>427</v>
      </c>
      <c r="X71" s="534" t="e">
        <f t="shared" si="28"/>
        <v>#VALUE!</v>
      </c>
      <c r="Y71" s="611"/>
      <c r="Z71" s="529" t="s">
        <v>427</v>
      </c>
      <c r="AA71" s="538" t="s">
        <v>427</v>
      </c>
      <c r="AB71" s="538" t="s">
        <v>427</v>
      </c>
      <c r="AC71" s="534" t="e">
        <f t="shared" si="30"/>
        <v>#VALUE!</v>
      </c>
      <c r="AD71" s="611"/>
      <c r="AE71" s="529" t="s">
        <v>427</v>
      </c>
      <c r="AF71" s="538" t="s">
        <v>427</v>
      </c>
      <c r="AG71" s="538" t="s">
        <v>427</v>
      </c>
      <c r="AH71" s="534" t="e">
        <f t="shared" si="32"/>
        <v>#VALUE!</v>
      </c>
      <c r="AI71" s="611"/>
      <c r="AJ71" s="529" t="s">
        <v>427</v>
      </c>
      <c r="AK71" s="538" t="s">
        <v>427</v>
      </c>
      <c r="AL71" s="538" t="s">
        <v>427</v>
      </c>
      <c r="AM71" s="534" t="e">
        <f t="shared" si="34"/>
        <v>#VALUE!</v>
      </c>
      <c r="AN71" s="611"/>
      <c r="AO71" s="529" t="s">
        <v>427</v>
      </c>
      <c r="AP71" s="538" t="s">
        <v>427</v>
      </c>
      <c r="AQ71" s="538" t="s">
        <v>427</v>
      </c>
      <c r="AR71" s="534" t="e">
        <f t="shared" si="36"/>
        <v>#VALUE!</v>
      </c>
      <c r="AS71" s="611"/>
      <c r="AT71" s="529" t="s">
        <v>427</v>
      </c>
      <c r="AU71" s="538" t="s">
        <v>427</v>
      </c>
      <c r="AV71" s="538" t="s">
        <v>427</v>
      </c>
      <c r="AW71" s="534" t="e">
        <f t="shared" si="38"/>
        <v>#VALUE!</v>
      </c>
      <c r="AX71" s="611"/>
      <c r="AZ71" s="378" t="e">
        <f t="shared" si="40"/>
        <v>#N/A</v>
      </c>
      <c r="BA71" s="653"/>
    </row>
    <row r="72" spans="2:53">
      <c r="B72" s="635"/>
      <c r="C72" s="534">
        <v>6</v>
      </c>
      <c r="D72" s="529"/>
      <c r="E72" s="529"/>
      <c r="F72" s="529"/>
      <c r="G72" s="538"/>
      <c r="H72" s="672"/>
      <c r="I72" s="531" t="str">
        <f t="shared" si="25"/>
        <v>-</v>
      </c>
      <c r="J72" s="531" t="str">
        <f t="shared" si="25"/>
        <v>-</v>
      </c>
      <c r="K72" s="363" t="str">
        <f t="shared" si="25"/>
        <v>-</v>
      </c>
      <c r="L72" s="615"/>
      <c r="M72" s="537" t="e">
        <f>RANK(K72, K$67:$K$81)</f>
        <v>#VALUE!</v>
      </c>
      <c r="N72" s="624"/>
      <c r="O72" s="624"/>
      <c r="P72" s="529" t="s">
        <v>427</v>
      </c>
      <c r="Q72" s="538" t="s">
        <v>427</v>
      </c>
      <c r="R72" s="538" t="s">
        <v>427</v>
      </c>
      <c r="S72" s="534" t="e">
        <f t="shared" si="26"/>
        <v>#VALUE!</v>
      </c>
      <c r="T72" s="611"/>
      <c r="U72" s="529" t="s">
        <v>427</v>
      </c>
      <c r="V72" s="538" t="s">
        <v>427</v>
      </c>
      <c r="W72" s="538" t="s">
        <v>427</v>
      </c>
      <c r="X72" s="534" t="e">
        <f t="shared" si="28"/>
        <v>#VALUE!</v>
      </c>
      <c r="Y72" s="611"/>
      <c r="Z72" s="529" t="s">
        <v>427</v>
      </c>
      <c r="AA72" s="538" t="s">
        <v>427</v>
      </c>
      <c r="AB72" s="538" t="s">
        <v>427</v>
      </c>
      <c r="AC72" s="534" t="e">
        <f t="shared" si="30"/>
        <v>#VALUE!</v>
      </c>
      <c r="AD72" s="611"/>
      <c r="AE72" s="529" t="s">
        <v>427</v>
      </c>
      <c r="AF72" s="538" t="s">
        <v>427</v>
      </c>
      <c r="AG72" s="538" t="s">
        <v>427</v>
      </c>
      <c r="AH72" s="534" t="e">
        <f t="shared" si="32"/>
        <v>#VALUE!</v>
      </c>
      <c r="AI72" s="611"/>
      <c r="AJ72" s="529" t="s">
        <v>427</v>
      </c>
      <c r="AK72" s="538" t="s">
        <v>427</v>
      </c>
      <c r="AL72" s="538" t="s">
        <v>427</v>
      </c>
      <c r="AM72" s="534" t="e">
        <f t="shared" si="34"/>
        <v>#VALUE!</v>
      </c>
      <c r="AN72" s="611"/>
      <c r="AO72" s="529" t="s">
        <v>427</v>
      </c>
      <c r="AP72" s="538" t="s">
        <v>427</v>
      </c>
      <c r="AQ72" s="538" t="s">
        <v>427</v>
      </c>
      <c r="AR72" s="534" t="e">
        <f t="shared" si="36"/>
        <v>#VALUE!</v>
      </c>
      <c r="AS72" s="611"/>
      <c r="AT72" s="529" t="s">
        <v>427</v>
      </c>
      <c r="AU72" s="538" t="s">
        <v>427</v>
      </c>
      <c r="AV72" s="538" t="s">
        <v>427</v>
      </c>
      <c r="AW72" s="534" t="e">
        <f t="shared" si="38"/>
        <v>#VALUE!</v>
      </c>
      <c r="AX72" s="611"/>
      <c r="AZ72" s="378" t="e">
        <f t="shared" si="40"/>
        <v>#N/A</v>
      </c>
      <c r="BA72" s="653"/>
    </row>
    <row r="73" spans="2:53">
      <c r="B73" s="635"/>
      <c r="C73" s="534">
        <v>7</v>
      </c>
      <c r="D73" s="529"/>
      <c r="E73" s="529"/>
      <c r="F73" s="529"/>
      <c r="G73" s="538"/>
      <c r="H73" s="672"/>
      <c r="I73" s="531" t="str">
        <f t="shared" si="25"/>
        <v>-</v>
      </c>
      <c r="J73" s="531" t="str">
        <f t="shared" si="25"/>
        <v>-</v>
      </c>
      <c r="K73" s="363" t="str">
        <f t="shared" si="25"/>
        <v>-</v>
      </c>
      <c r="L73" s="615"/>
      <c r="M73" s="537" t="e">
        <f>RANK(K73, K$67:$K$81)</f>
        <v>#VALUE!</v>
      </c>
      <c r="N73" s="624"/>
      <c r="O73" s="624"/>
      <c r="P73" s="529" t="s">
        <v>427</v>
      </c>
      <c r="Q73" s="538" t="s">
        <v>427</v>
      </c>
      <c r="R73" s="538" t="s">
        <v>427</v>
      </c>
      <c r="S73" s="534" t="e">
        <f t="shared" si="26"/>
        <v>#VALUE!</v>
      </c>
      <c r="T73" s="611"/>
      <c r="U73" s="529" t="s">
        <v>427</v>
      </c>
      <c r="V73" s="538" t="s">
        <v>427</v>
      </c>
      <c r="W73" s="538" t="s">
        <v>427</v>
      </c>
      <c r="X73" s="534" t="e">
        <f t="shared" si="28"/>
        <v>#VALUE!</v>
      </c>
      <c r="Y73" s="611"/>
      <c r="Z73" s="529" t="s">
        <v>427</v>
      </c>
      <c r="AA73" s="538" t="s">
        <v>427</v>
      </c>
      <c r="AB73" s="538" t="s">
        <v>427</v>
      </c>
      <c r="AC73" s="534" t="e">
        <f t="shared" si="30"/>
        <v>#VALUE!</v>
      </c>
      <c r="AD73" s="611"/>
      <c r="AE73" s="529" t="s">
        <v>427</v>
      </c>
      <c r="AF73" s="538" t="s">
        <v>427</v>
      </c>
      <c r="AG73" s="538" t="s">
        <v>427</v>
      </c>
      <c r="AH73" s="534" t="e">
        <f t="shared" si="32"/>
        <v>#VALUE!</v>
      </c>
      <c r="AI73" s="611"/>
      <c r="AJ73" s="529" t="s">
        <v>427</v>
      </c>
      <c r="AK73" s="538" t="s">
        <v>427</v>
      </c>
      <c r="AL73" s="538" t="s">
        <v>427</v>
      </c>
      <c r="AM73" s="534" t="e">
        <f t="shared" si="34"/>
        <v>#VALUE!</v>
      </c>
      <c r="AN73" s="611"/>
      <c r="AO73" s="529" t="s">
        <v>427</v>
      </c>
      <c r="AP73" s="538" t="s">
        <v>427</v>
      </c>
      <c r="AQ73" s="538" t="s">
        <v>427</v>
      </c>
      <c r="AR73" s="534" t="e">
        <f t="shared" si="36"/>
        <v>#VALUE!</v>
      </c>
      <c r="AS73" s="611"/>
      <c r="AT73" s="529" t="s">
        <v>427</v>
      </c>
      <c r="AU73" s="538" t="s">
        <v>427</v>
      </c>
      <c r="AV73" s="538" t="s">
        <v>427</v>
      </c>
      <c r="AW73" s="534" t="e">
        <f t="shared" si="38"/>
        <v>#VALUE!</v>
      </c>
      <c r="AX73" s="611"/>
      <c r="AZ73" s="378" t="e">
        <f t="shared" si="40"/>
        <v>#N/A</v>
      </c>
      <c r="BA73" s="653"/>
    </row>
    <row r="74" spans="2:53">
      <c r="B74" s="635"/>
      <c r="C74" s="534">
        <v>8</v>
      </c>
      <c r="D74" s="529"/>
      <c r="E74" s="529"/>
      <c r="F74" s="529"/>
      <c r="G74" s="538"/>
      <c r="H74" s="672"/>
      <c r="I74" s="531" t="str">
        <f t="shared" si="25"/>
        <v>-</v>
      </c>
      <c r="J74" s="531" t="str">
        <f t="shared" si="25"/>
        <v>-</v>
      </c>
      <c r="K74" s="363" t="str">
        <f t="shared" si="25"/>
        <v>-</v>
      </c>
      <c r="L74" s="615"/>
      <c r="M74" s="537" t="e">
        <f>RANK(K74, K$67:$K$81)</f>
        <v>#VALUE!</v>
      </c>
      <c r="N74" s="624"/>
      <c r="O74" s="624"/>
      <c r="P74" s="529" t="s">
        <v>427</v>
      </c>
      <c r="Q74" s="538" t="s">
        <v>427</v>
      </c>
      <c r="R74" s="538" t="s">
        <v>427</v>
      </c>
      <c r="S74" s="534" t="e">
        <f t="shared" si="26"/>
        <v>#VALUE!</v>
      </c>
      <c r="T74" s="611"/>
      <c r="U74" s="529" t="s">
        <v>427</v>
      </c>
      <c r="V74" s="538" t="s">
        <v>427</v>
      </c>
      <c r="W74" s="538" t="s">
        <v>427</v>
      </c>
      <c r="X74" s="534" t="e">
        <f t="shared" si="28"/>
        <v>#VALUE!</v>
      </c>
      <c r="Y74" s="611"/>
      <c r="Z74" s="529" t="s">
        <v>427</v>
      </c>
      <c r="AA74" s="538" t="s">
        <v>427</v>
      </c>
      <c r="AB74" s="538" t="s">
        <v>427</v>
      </c>
      <c r="AC74" s="534" t="e">
        <f t="shared" si="30"/>
        <v>#VALUE!</v>
      </c>
      <c r="AD74" s="611"/>
      <c r="AE74" s="529" t="s">
        <v>427</v>
      </c>
      <c r="AF74" s="538" t="s">
        <v>427</v>
      </c>
      <c r="AG74" s="538" t="s">
        <v>427</v>
      </c>
      <c r="AH74" s="534" t="e">
        <f t="shared" si="32"/>
        <v>#VALUE!</v>
      </c>
      <c r="AI74" s="611"/>
      <c r="AJ74" s="529" t="s">
        <v>427</v>
      </c>
      <c r="AK74" s="538" t="s">
        <v>427</v>
      </c>
      <c r="AL74" s="538" t="s">
        <v>427</v>
      </c>
      <c r="AM74" s="534" t="e">
        <f t="shared" si="34"/>
        <v>#VALUE!</v>
      </c>
      <c r="AN74" s="611"/>
      <c r="AO74" s="529" t="s">
        <v>427</v>
      </c>
      <c r="AP74" s="538" t="s">
        <v>427</v>
      </c>
      <c r="AQ74" s="538" t="s">
        <v>427</v>
      </c>
      <c r="AR74" s="534" t="e">
        <f t="shared" si="36"/>
        <v>#VALUE!</v>
      </c>
      <c r="AS74" s="611"/>
      <c r="AT74" s="529" t="s">
        <v>427</v>
      </c>
      <c r="AU74" s="538" t="s">
        <v>427</v>
      </c>
      <c r="AV74" s="538" t="s">
        <v>427</v>
      </c>
      <c r="AW74" s="534" t="e">
        <f t="shared" si="38"/>
        <v>#VALUE!</v>
      </c>
      <c r="AX74" s="611"/>
      <c r="AZ74" s="378" t="e">
        <f t="shared" si="40"/>
        <v>#N/A</v>
      </c>
      <c r="BA74" s="653"/>
    </row>
    <row r="75" spans="2:53">
      <c r="B75" s="635"/>
      <c r="C75" s="534">
        <v>9</v>
      </c>
      <c r="D75" s="529"/>
      <c r="E75" s="529"/>
      <c r="F75" s="529"/>
      <c r="G75" s="538"/>
      <c r="H75" s="672"/>
      <c r="I75" s="531" t="str">
        <f t="shared" si="25"/>
        <v>-</v>
      </c>
      <c r="J75" s="531" t="str">
        <f t="shared" si="25"/>
        <v>-</v>
      </c>
      <c r="K75" s="363" t="str">
        <f t="shared" si="25"/>
        <v>-</v>
      </c>
      <c r="L75" s="615"/>
      <c r="M75" s="537" t="e">
        <f>RANK(K75, K$67:$K$81)</f>
        <v>#VALUE!</v>
      </c>
      <c r="N75" s="624"/>
      <c r="O75" s="624"/>
      <c r="P75" s="529" t="s">
        <v>427</v>
      </c>
      <c r="Q75" s="538" t="s">
        <v>427</v>
      </c>
      <c r="R75" s="538" t="s">
        <v>427</v>
      </c>
      <c r="S75" s="534" t="e">
        <f t="shared" si="26"/>
        <v>#VALUE!</v>
      </c>
      <c r="T75" s="611"/>
      <c r="U75" s="529" t="s">
        <v>427</v>
      </c>
      <c r="V75" s="538" t="s">
        <v>427</v>
      </c>
      <c r="W75" s="538" t="s">
        <v>427</v>
      </c>
      <c r="X75" s="534" t="e">
        <f t="shared" si="28"/>
        <v>#VALUE!</v>
      </c>
      <c r="Y75" s="611"/>
      <c r="Z75" s="529" t="s">
        <v>427</v>
      </c>
      <c r="AA75" s="538" t="s">
        <v>427</v>
      </c>
      <c r="AB75" s="538" t="s">
        <v>427</v>
      </c>
      <c r="AC75" s="534" t="e">
        <f t="shared" si="30"/>
        <v>#VALUE!</v>
      </c>
      <c r="AD75" s="611"/>
      <c r="AE75" s="529" t="s">
        <v>427</v>
      </c>
      <c r="AF75" s="538" t="s">
        <v>427</v>
      </c>
      <c r="AG75" s="538" t="s">
        <v>427</v>
      </c>
      <c r="AH75" s="534" t="e">
        <f t="shared" si="32"/>
        <v>#VALUE!</v>
      </c>
      <c r="AI75" s="611"/>
      <c r="AJ75" s="529" t="s">
        <v>427</v>
      </c>
      <c r="AK75" s="538" t="s">
        <v>427</v>
      </c>
      <c r="AL75" s="538" t="s">
        <v>427</v>
      </c>
      <c r="AM75" s="534" t="e">
        <f t="shared" si="34"/>
        <v>#VALUE!</v>
      </c>
      <c r="AN75" s="611"/>
      <c r="AO75" s="529" t="s">
        <v>427</v>
      </c>
      <c r="AP75" s="538" t="s">
        <v>427</v>
      </c>
      <c r="AQ75" s="538" t="s">
        <v>427</v>
      </c>
      <c r="AR75" s="534" t="e">
        <f t="shared" si="36"/>
        <v>#VALUE!</v>
      </c>
      <c r="AS75" s="611"/>
      <c r="AT75" s="529" t="s">
        <v>427</v>
      </c>
      <c r="AU75" s="538" t="s">
        <v>427</v>
      </c>
      <c r="AV75" s="538" t="s">
        <v>427</v>
      </c>
      <c r="AW75" s="534" t="e">
        <f t="shared" si="38"/>
        <v>#VALUE!</v>
      </c>
      <c r="AX75" s="611"/>
      <c r="AZ75" s="378" t="e">
        <f t="shared" si="40"/>
        <v>#N/A</v>
      </c>
      <c r="BA75" s="653"/>
    </row>
    <row r="76" spans="2:53">
      <c r="B76" s="635"/>
      <c r="C76" s="534">
        <v>10</v>
      </c>
      <c r="D76" s="529"/>
      <c r="E76" s="529"/>
      <c r="F76" s="529"/>
      <c r="G76" s="538"/>
      <c r="H76" s="672"/>
      <c r="I76" s="531" t="str">
        <f t="shared" si="25"/>
        <v>-</v>
      </c>
      <c r="J76" s="531" t="str">
        <f t="shared" si="25"/>
        <v>-</v>
      </c>
      <c r="K76" s="363" t="str">
        <f t="shared" si="25"/>
        <v>-</v>
      </c>
      <c r="L76" s="615"/>
      <c r="M76" s="537" t="e">
        <f>RANK(K76, K$67:$K$81)</f>
        <v>#VALUE!</v>
      </c>
      <c r="N76" s="624"/>
      <c r="O76" s="624"/>
      <c r="P76" s="529" t="s">
        <v>427</v>
      </c>
      <c r="Q76" s="538" t="s">
        <v>427</v>
      </c>
      <c r="R76" s="538" t="s">
        <v>427</v>
      </c>
      <c r="S76" s="534" t="e">
        <f t="shared" si="26"/>
        <v>#VALUE!</v>
      </c>
      <c r="T76" s="611"/>
      <c r="U76" s="529" t="s">
        <v>427</v>
      </c>
      <c r="V76" s="538" t="s">
        <v>427</v>
      </c>
      <c r="W76" s="538" t="s">
        <v>427</v>
      </c>
      <c r="X76" s="534" t="e">
        <f t="shared" si="28"/>
        <v>#VALUE!</v>
      </c>
      <c r="Y76" s="611"/>
      <c r="Z76" s="529" t="s">
        <v>427</v>
      </c>
      <c r="AA76" s="538" t="s">
        <v>427</v>
      </c>
      <c r="AB76" s="538" t="s">
        <v>427</v>
      </c>
      <c r="AC76" s="534" t="e">
        <f t="shared" si="30"/>
        <v>#VALUE!</v>
      </c>
      <c r="AD76" s="611"/>
      <c r="AE76" s="529" t="s">
        <v>427</v>
      </c>
      <c r="AF76" s="538" t="s">
        <v>427</v>
      </c>
      <c r="AG76" s="538" t="s">
        <v>427</v>
      </c>
      <c r="AH76" s="534" t="e">
        <f t="shared" si="32"/>
        <v>#VALUE!</v>
      </c>
      <c r="AI76" s="611"/>
      <c r="AJ76" s="529" t="s">
        <v>427</v>
      </c>
      <c r="AK76" s="538" t="s">
        <v>427</v>
      </c>
      <c r="AL76" s="538" t="s">
        <v>427</v>
      </c>
      <c r="AM76" s="534" t="e">
        <f t="shared" si="34"/>
        <v>#VALUE!</v>
      </c>
      <c r="AN76" s="611"/>
      <c r="AO76" s="529" t="s">
        <v>427</v>
      </c>
      <c r="AP76" s="538" t="s">
        <v>427</v>
      </c>
      <c r="AQ76" s="538" t="s">
        <v>427</v>
      </c>
      <c r="AR76" s="534" t="e">
        <f t="shared" si="36"/>
        <v>#VALUE!</v>
      </c>
      <c r="AS76" s="611"/>
      <c r="AT76" s="529" t="s">
        <v>427</v>
      </c>
      <c r="AU76" s="538" t="s">
        <v>427</v>
      </c>
      <c r="AV76" s="538" t="s">
        <v>427</v>
      </c>
      <c r="AW76" s="534" t="e">
        <f t="shared" si="38"/>
        <v>#VALUE!</v>
      </c>
      <c r="AX76" s="611"/>
      <c r="AZ76" s="378" t="e">
        <f t="shared" si="40"/>
        <v>#N/A</v>
      </c>
      <c r="BA76" s="653"/>
    </row>
    <row r="77" spans="2:53">
      <c r="B77" s="635"/>
      <c r="C77" s="534">
        <v>11</v>
      </c>
      <c r="D77" s="529"/>
      <c r="E77" s="529"/>
      <c r="F77" s="529"/>
      <c r="G77" s="538"/>
      <c r="H77" s="672"/>
      <c r="I77" s="531" t="str">
        <f t="shared" si="25"/>
        <v>-</v>
      </c>
      <c r="J77" s="531" t="str">
        <f t="shared" si="25"/>
        <v>-</v>
      </c>
      <c r="K77" s="363" t="str">
        <f t="shared" si="25"/>
        <v>-</v>
      </c>
      <c r="L77" s="615"/>
      <c r="M77" s="537" t="e">
        <f>RANK(K77, K$67:$K$81)</f>
        <v>#VALUE!</v>
      </c>
      <c r="N77" s="624"/>
      <c r="O77" s="624"/>
      <c r="P77" s="529" t="s">
        <v>427</v>
      </c>
      <c r="Q77" s="538" t="s">
        <v>427</v>
      </c>
      <c r="R77" s="538" t="s">
        <v>427</v>
      </c>
      <c r="S77" s="534" t="e">
        <f t="shared" si="26"/>
        <v>#VALUE!</v>
      </c>
      <c r="T77" s="611"/>
      <c r="U77" s="529" t="s">
        <v>427</v>
      </c>
      <c r="V77" s="538" t="s">
        <v>427</v>
      </c>
      <c r="W77" s="538" t="s">
        <v>427</v>
      </c>
      <c r="X77" s="534" t="e">
        <f t="shared" si="28"/>
        <v>#VALUE!</v>
      </c>
      <c r="Y77" s="611"/>
      <c r="Z77" s="529" t="s">
        <v>427</v>
      </c>
      <c r="AA77" s="538" t="s">
        <v>427</v>
      </c>
      <c r="AB77" s="538" t="s">
        <v>427</v>
      </c>
      <c r="AC77" s="534" t="e">
        <f t="shared" si="30"/>
        <v>#VALUE!</v>
      </c>
      <c r="AD77" s="611"/>
      <c r="AE77" s="529" t="s">
        <v>427</v>
      </c>
      <c r="AF77" s="538" t="s">
        <v>427</v>
      </c>
      <c r="AG77" s="538" t="s">
        <v>427</v>
      </c>
      <c r="AH77" s="534" t="e">
        <f t="shared" si="32"/>
        <v>#VALUE!</v>
      </c>
      <c r="AI77" s="611"/>
      <c r="AJ77" s="529" t="s">
        <v>427</v>
      </c>
      <c r="AK77" s="538" t="s">
        <v>427</v>
      </c>
      <c r="AL77" s="538" t="s">
        <v>427</v>
      </c>
      <c r="AM77" s="534" t="e">
        <f t="shared" si="34"/>
        <v>#VALUE!</v>
      </c>
      <c r="AN77" s="611"/>
      <c r="AO77" s="529" t="s">
        <v>427</v>
      </c>
      <c r="AP77" s="538" t="s">
        <v>427</v>
      </c>
      <c r="AQ77" s="538" t="s">
        <v>427</v>
      </c>
      <c r="AR77" s="534" t="e">
        <f t="shared" si="36"/>
        <v>#VALUE!</v>
      </c>
      <c r="AS77" s="611"/>
      <c r="AT77" s="529" t="s">
        <v>427</v>
      </c>
      <c r="AU77" s="538" t="s">
        <v>427</v>
      </c>
      <c r="AV77" s="538" t="s">
        <v>427</v>
      </c>
      <c r="AW77" s="534" t="e">
        <f t="shared" si="38"/>
        <v>#VALUE!</v>
      </c>
      <c r="AX77" s="611"/>
      <c r="AZ77" s="378" t="e">
        <f t="shared" si="40"/>
        <v>#N/A</v>
      </c>
      <c r="BA77" s="653"/>
    </row>
    <row r="78" spans="2:53">
      <c r="B78" s="635"/>
      <c r="C78" s="534">
        <v>12</v>
      </c>
      <c r="D78" s="529"/>
      <c r="E78" s="529"/>
      <c r="F78" s="529"/>
      <c r="G78" s="538"/>
      <c r="H78" s="672"/>
      <c r="I78" s="531" t="str">
        <f t="shared" si="25"/>
        <v>-</v>
      </c>
      <c r="J78" s="531" t="str">
        <f t="shared" si="25"/>
        <v>-</v>
      </c>
      <c r="K78" s="363" t="str">
        <f t="shared" si="25"/>
        <v>-</v>
      </c>
      <c r="L78" s="615"/>
      <c r="M78" s="537" t="e">
        <f>RANK(K78, K$67:$K$81)</f>
        <v>#VALUE!</v>
      </c>
      <c r="N78" s="624"/>
      <c r="O78" s="624"/>
      <c r="P78" s="529" t="s">
        <v>427</v>
      </c>
      <c r="Q78" s="538" t="s">
        <v>427</v>
      </c>
      <c r="R78" s="538" t="s">
        <v>427</v>
      </c>
      <c r="S78" s="534" t="e">
        <f t="shared" si="26"/>
        <v>#VALUE!</v>
      </c>
      <c r="T78" s="611"/>
      <c r="U78" s="529" t="s">
        <v>427</v>
      </c>
      <c r="V78" s="538" t="s">
        <v>427</v>
      </c>
      <c r="W78" s="538" t="s">
        <v>427</v>
      </c>
      <c r="X78" s="534" t="e">
        <f t="shared" si="28"/>
        <v>#VALUE!</v>
      </c>
      <c r="Y78" s="611"/>
      <c r="Z78" s="529" t="s">
        <v>427</v>
      </c>
      <c r="AA78" s="538" t="s">
        <v>427</v>
      </c>
      <c r="AB78" s="538" t="s">
        <v>427</v>
      </c>
      <c r="AC78" s="534" t="e">
        <f t="shared" si="30"/>
        <v>#VALUE!</v>
      </c>
      <c r="AD78" s="611"/>
      <c r="AE78" s="529" t="s">
        <v>427</v>
      </c>
      <c r="AF78" s="538" t="s">
        <v>427</v>
      </c>
      <c r="AG78" s="538" t="s">
        <v>427</v>
      </c>
      <c r="AH78" s="534" t="e">
        <f t="shared" si="32"/>
        <v>#VALUE!</v>
      </c>
      <c r="AI78" s="611"/>
      <c r="AJ78" s="529" t="s">
        <v>427</v>
      </c>
      <c r="AK78" s="538" t="s">
        <v>427</v>
      </c>
      <c r="AL78" s="538" t="s">
        <v>427</v>
      </c>
      <c r="AM78" s="534" t="e">
        <f t="shared" si="34"/>
        <v>#VALUE!</v>
      </c>
      <c r="AN78" s="611"/>
      <c r="AO78" s="529" t="s">
        <v>427</v>
      </c>
      <c r="AP78" s="538" t="s">
        <v>427</v>
      </c>
      <c r="AQ78" s="538" t="s">
        <v>427</v>
      </c>
      <c r="AR78" s="534" t="e">
        <f t="shared" si="36"/>
        <v>#VALUE!</v>
      </c>
      <c r="AS78" s="611"/>
      <c r="AT78" s="529" t="s">
        <v>427</v>
      </c>
      <c r="AU78" s="538" t="s">
        <v>427</v>
      </c>
      <c r="AV78" s="538" t="s">
        <v>427</v>
      </c>
      <c r="AW78" s="534" t="e">
        <f t="shared" si="38"/>
        <v>#VALUE!</v>
      </c>
      <c r="AX78" s="611"/>
      <c r="AZ78" s="378" t="e">
        <f t="shared" si="40"/>
        <v>#N/A</v>
      </c>
      <c r="BA78" s="653"/>
    </row>
    <row r="79" spans="2:53">
      <c r="B79" s="635"/>
      <c r="C79" s="534">
        <v>13</v>
      </c>
      <c r="D79" s="529"/>
      <c r="E79" s="529"/>
      <c r="F79" s="529"/>
      <c r="G79" s="538"/>
      <c r="H79" s="672"/>
      <c r="I79" s="531" t="str">
        <f t="shared" si="25"/>
        <v>-</v>
      </c>
      <c r="J79" s="531" t="str">
        <f t="shared" si="25"/>
        <v>-</v>
      </c>
      <c r="K79" s="363" t="str">
        <f t="shared" si="25"/>
        <v>-</v>
      </c>
      <c r="L79" s="615"/>
      <c r="M79" s="537" t="e">
        <f>RANK(K79, K$67:$K$81)</f>
        <v>#VALUE!</v>
      </c>
      <c r="N79" s="624"/>
      <c r="O79" s="624"/>
      <c r="P79" s="529" t="s">
        <v>427</v>
      </c>
      <c r="Q79" s="538" t="s">
        <v>427</v>
      </c>
      <c r="R79" s="538" t="s">
        <v>427</v>
      </c>
      <c r="S79" s="534" t="e">
        <f t="shared" si="26"/>
        <v>#VALUE!</v>
      </c>
      <c r="T79" s="611"/>
      <c r="U79" s="529" t="s">
        <v>427</v>
      </c>
      <c r="V79" s="538" t="s">
        <v>427</v>
      </c>
      <c r="W79" s="538" t="s">
        <v>427</v>
      </c>
      <c r="X79" s="534" t="e">
        <f t="shared" si="28"/>
        <v>#VALUE!</v>
      </c>
      <c r="Y79" s="611"/>
      <c r="Z79" s="529" t="s">
        <v>427</v>
      </c>
      <c r="AA79" s="538" t="s">
        <v>427</v>
      </c>
      <c r="AB79" s="538" t="s">
        <v>427</v>
      </c>
      <c r="AC79" s="534" t="e">
        <f t="shared" si="30"/>
        <v>#VALUE!</v>
      </c>
      <c r="AD79" s="611"/>
      <c r="AE79" s="529" t="s">
        <v>427</v>
      </c>
      <c r="AF79" s="538" t="s">
        <v>427</v>
      </c>
      <c r="AG79" s="538" t="s">
        <v>427</v>
      </c>
      <c r="AH79" s="534" t="e">
        <f t="shared" si="32"/>
        <v>#VALUE!</v>
      </c>
      <c r="AI79" s="611"/>
      <c r="AJ79" s="529" t="s">
        <v>427</v>
      </c>
      <c r="AK79" s="538" t="s">
        <v>427</v>
      </c>
      <c r="AL79" s="538" t="s">
        <v>427</v>
      </c>
      <c r="AM79" s="534" t="e">
        <f t="shared" si="34"/>
        <v>#VALUE!</v>
      </c>
      <c r="AN79" s="611"/>
      <c r="AO79" s="529" t="s">
        <v>427</v>
      </c>
      <c r="AP79" s="538" t="s">
        <v>427</v>
      </c>
      <c r="AQ79" s="538" t="s">
        <v>427</v>
      </c>
      <c r="AR79" s="534" t="e">
        <f t="shared" si="36"/>
        <v>#VALUE!</v>
      </c>
      <c r="AS79" s="611"/>
      <c r="AT79" s="529" t="s">
        <v>427</v>
      </c>
      <c r="AU79" s="538" t="s">
        <v>427</v>
      </c>
      <c r="AV79" s="538" t="s">
        <v>427</v>
      </c>
      <c r="AW79" s="534" t="e">
        <f t="shared" si="38"/>
        <v>#VALUE!</v>
      </c>
      <c r="AX79" s="611"/>
      <c r="AZ79" s="378" t="e">
        <f t="shared" si="40"/>
        <v>#N/A</v>
      </c>
      <c r="BA79" s="653"/>
    </row>
    <row r="80" spans="2:53">
      <c r="B80" s="635"/>
      <c r="C80" s="534">
        <v>14</v>
      </c>
      <c r="D80" s="529"/>
      <c r="E80" s="529"/>
      <c r="F80" s="529"/>
      <c r="G80" s="538"/>
      <c r="H80" s="672"/>
      <c r="I80" s="531" t="str">
        <f t="shared" si="25"/>
        <v>-</v>
      </c>
      <c r="J80" s="531" t="str">
        <f t="shared" si="25"/>
        <v>-</v>
      </c>
      <c r="K80" s="363" t="str">
        <f t="shared" si="25"/>
        <v>-</v>
      </c>
      <c r="L80" s="615"/>
      <c r="M80" s="537" t="e">
        <f>RANK(K80, K$67:$K$81)</f>
        <v>#VALUE!</v>
      </c>
      <c r="N80" s="624"/>
      <c r="O80" s="624"/>
      <c r="P80" s="529" t="s">
        <v>427</v>
      </c>
      <c r="Q80" s="538" t="s">
        <v>427</v>
      </c>
      <c r="R80" s="538" t="s">
        <v>427</v>
      </c>
      <c r="S80" s="534" t="e">
        <f t="shared" si="26"/>
        <v>#VALUE!</v>
      </c>
      <c r="T80" s="611"/>
      <c r="U80" s="529" t="s">
        <v>427</v>
      </c>
      <c r="V80" s="538" t="s">
        <v>427</v>
      </c>
      <c r="W80" s="538" t="s">
        <v>427</v>
      </c>
      <c r="X80" s="534" t="e">
        <f t="shared" si="28"/>
        <v>#VALUE!</v>
      </c>
      <c r="Y80" s="611"/>
      <c r="Z80" s="529" t="s">
        <v>427</v>
      </c>
      <c r="AA80" s="538" t="s">
        <v>427</v>
      </c>
      <c r="AB80" s="538" t="s">
        <v>427</v>
      </c>
      <c r="AC80" s="534" t="e">
        <f t="shared" si="30"/>
        <v>#VALUE!</v>
      </c>
      <c r="AD80" s="611"/>
      <c r="AE80" s="529" t="s">
        <v>427</v>
      </c>
      <c r="AF80" s="538" t="s">
        <v>427</v>
      </c>
      <c r="AG80" s="538" t="s">
        <v>427</v>
      </c>
      <c r="AH80" s="534" t="e">
        <f t="shared" si="32"/>
        <v>#VALUE!</v>
      </c>
      <c r="AI80" s="611"/>
      <c r="AJ80" s="529" t="s">
        <v>427</v>
      </c>
      <c r="AK80" s="538" t="s">
        <v>427</v>
      </c>
      <c r="AL80" s="538" t="s">
        <v>427</v>
      </c>
      <c r="AM80" s="534" t="e">
        <f t="shared" si="34"/>
        <v>#VALUE!</v>
      </c>
      <c r="AN80" s="611"/>
      <c r="AO80" s="529" t="s">
        <v>427</v>
      </c>
      <c r="AP80" s="538" t="s">
        <v>427</v>
      </c>
      <c r="AQ80" s="538" t="s">
        <v>427</v>
      </c>
      <c r="AR80" s="534" t="e">
        <f t="shared" si="36"/>
        <v>#VALUE!</v>
      </c>
      <c r="AS80" s="611"/>
      <c r="AT80" s="529" t="s">
        <v>427</v>
      </c>
      <c r="AU80" s="538" t="s">
        <v>427</v>
      </c>
      <c r="AV80" s="538" t="s">
        <v>427</v>
      </c>
      <c r="AW80" s="534" t="e">
        <f t="shared" si="38"/>
        <v>#VALUE!</v>
      </c>
      <c r="AX80" s="611"/>
      <c r="AZ80" s="378" t="e">
        <f t="shared" si="40"/>
        <v>#N/A</v>
      </c>
      <c r="BA80" s="653"/>
    </row>
    <row r="81" spans="2:53">
      <c r="B81" s="635"/>
      <c r="C81" s="534">
        <v>15</v>
      </c>
      <c r="D81" s="529"/>
      <c r="E81" s="529"/>
      <c r="F81" s="529"/>
      <c r="G81" s="529"/>
      <c r="H81" s="676"/>
      <c r="I81" s="531" t="str">
        <f t="shared" si="25"/>
        <v>-</v>
      </c>
      <c r="J81" s="531" t="str">
        <f t="shared" si="25"/>
        <v>-</v>
      </c>
      <c r="K81" s="363" t="str">
        <f t="shared" si="25"/>
        <v>-</v>
      </c>
      <c r="L81" s="616"/>
      <c r="M81" s="537" t="e">
        <f>RANK(K81, K$67:$K$81)</f>
        <v>#VALUE!</v>
      </c>
      <c r="N81" s="624"/>
      <c r="O81" s="624"/>
      <c r="P81" s="534" t="s">
        <v>427</v>
      </c>
      <c r="Q81" s="537" t="s">
        <v>427</v>
      </c>
      <c r="R81" s="537" t="s">
        <v>427</v>
      </c>
      <c r="S81" s="534" t="e">
        <f t="shared" si="26"/>
        <v>#VALUE!</v>
      </c>
      <c r="T81" s="612"/>
      <c r="U81" s="534" t="s">
        <v>427</v>
      </c>
      <c r="V81" s="537" t="s">
        <v>427</v>
      </c>
      <c r="W81" s="537" t="s">
        <v>427</v>
      </c>
      <c r="X81" s="534" t="e">
        <f t="shared" si="28"/>
        <v>#VALUE!</v>
      </c>
      <c r="Y81" s="612"/>
      <c r="Z81" s="534" t="s">
        <v>427</v>
      </c>
      <c r="AA81" s="537" t="s">
        <v>427</v>
      </c>
      <c r="AB81" s="537" t="s">
        <v>427</v>
      </c>
      <c r="AC81" s="534" t="e">
        <f t="shared" si="30"/>
        <v>#VALUE!</v>
      </c>
      <c r="AD81" s="612"/>
      <c r="AE81" s="534" t="s">
        <v>427</v>
      </c>
      <c r="AF81" s="537" t="s">
        <v>427</v>
      </c>
      <c r="AG81" s="537" t="s">
        <v>427</v>
      </c>
      <c r="AH81" s="534" t="e">
        <f t="shared" si="32"/>
        <v>#VALUE!</v>
      </c>
      <c r="AI81" s="612"/>
      <c r="AJ81" s="534" t="s">
        <v>427</v>
      </c>
      <c r="AK81" s="537" t="s">
        <v>427</v>
      </c>
      <c r="AL81" s="537" t="s">
        <v>427</v>
      </c>
      <c r="AM81" s="534" t="e">
        <f t="shared" si="34"/>
        <v>#VALUE!</v>
      </c>
      <c r="AN81" s="612"/>
      <c r="AO81" s="534" t="s">
        <v>427</v>
      </c>
      <c r="AP81" s="537" t="s">
        <v>427</v>
      </c>
      <c r="AQ81" s="537" t="s">
        <v>427</v>
      </c>
      <c r="AR81" s="534" t="e">
        <f t="shared" si="36"/>
        <v>#VALUE!</v>
      </c>
      <c r="AS81" s="612"/>
      <c r="AT81" s="534" t="s">
        <v>427</v>
      </c>
      <c r="AU81" s="537" t="s">
        <v>427</v>
      </c>
      <c r="AV81" s="537" t="s">
        <v>427</v>
      </c>
      <c r="AW81" s="534" t="e">
        <f t="shared" si="38"/>
        <v>#VALUE!</v>
      </c>
      <c r="AX81" s="612"/>
      <c r="AZ81" s="378" t="e">
        <f t="shared" si="40"/>
        <v>#N/A</v>
      </c>
      <c r="BA81" s="653"/>
    </row>
    <row r="82" spans="2:53" ht="15.75">
      <c r="B82" s="643" t="s">
        <v>769</v>
      </c>
      <c r="C82" s="644"/>
      <c r="D82" s="644"/>
      <c r="E82" s="644"/>
      <c r="F82" s="644"/>
      <c r="G82" s="644"/>
      <c r="H82" s="645"/>
      <c r="I82" s="205"/>
      <c r="J82" s="205"/>
      <c r="K82" s="205"/>
      <c r="L82" s="205"/>
      <c r="M82" s="204"/>
      <c r="N82" s="639" t="s">
        <v>497</v>
      </c>
      <c r="O82" s="639" t="s">
        <v>498</v>
      </c>
      <c r="P82" s="634">
        <f>P62+7</f>
        <v>46231</v>
      </c>
      <c r="Q82" s="635"/>
      <c r="R82" s="635"/>
      <c r="S82" s="635"/>
      <c r="T82" s="635"/>
      <c r="U82" s="636">
        <f>P82+1</f>
        <v>46232</v>
      </c>
      <c r="V82" s="637"/>
      <c r="W82" s="637"/>
      <c r="X82" s="637"/>
      <c r="Y82" s="638"/>
      <c r="Z82" s="636">
        <f>U82+1</f>
        <v>46233</v>
      </c>
      <c r="AA82" s="637"/>
      <c r="AB82" s="637"/>
      <c r="AC82" s="637"/>
      <c r="AD82" s="638"/>
      <c r="AE82" s="636">
        <f>Z82+1</f>
        <v>46234</v>
      </c>
      <c r="AF82" s="637"/>
      <c r="AG82" s="637"/>
      <c r="AH82" s="637"/>
      <c r="AI82" s="638"/>
      <c r="AJ82" s="636"/>
      <c r="AK82" s="637"/>
      <c r="AL82" s="637"/>
      <c r="AM82" s="637"/>
      <c r="AN82" s="638"/>
      <c r="AO82" s="636"/>
      <c r="AP82" s="637"/>
      <c r="AQ82" s="637"/>
      <c r="AR82" s="637"/>
      <c r="AS82" s="638"/>
      <c r="AT82" s="636"/>
      <c r="AU82" s="637"/>
      <c r="AV82" s="637"/>
      <c r="AW82" s="637"/>
      <c r="AX82" s="638"/>
    </row>
    <row r="83" spans="2:53" ht="15.75">
      <c r="B83" s="646"/>
      <c r="C83" s="646"/>
      <c r="D83" s="646"/>
      <c r="E83" s="646"/>
      <c r="F83" s="646"/>
      <c r="G83" s="646"/>
      <c r="H83" s="646"/>
      <c r="I83" s="202"/>
      <c r="J83" s="202"/>
      <c r="K83" s="202"/>
      <c r="L83" s="202"/>
      <c r="M83" s="203"/>
      <c r="N83" s="641"/>
      <c r="O83" s="641"/>
      <c r="P83" s="634" t="s">
        <v>499</v>
      </c>
      <c r="Q83" s="635"/>
      <c r="R83" s="635"/>
      <c r="S83" s="635"/>
      <c r="T83" s="635"/>
      <c r="U83" s="634" t="s">
        <v>500</v>
      </c>
      <c r="V83" s="635"/>
      <c r="W83" s="635"/>
      <c r="X83" s="635"/>
      <c r="Y83" s="635"/>
      <c r="Z83" s="634" t="s">
        <v>501</v>
      </c>
      <c r="AA83" s="635"/>
      <c r="AB83" s="635"/>
      <c r="AC83" s="635"/>
      <c r="AD83" s="635"/>
      <c r="AE83" s="634" t="s">
        <v>502</v>
      </c>
      <c r="AF83" s="635"/>
      <c r="AG83" s="635"/>
      <c r="AH83" s="635"/>
      <c r="AI83" s="635"/>
      <c r="AJ83" s="634" t="s">
        <v>503</v>
      </c>
      <c r="AK83" s="635"/>
      <c r="AL83" s="635"/>
      <c r="AM83" s="635"/>
      <c r="AN83" s="635"/>
      <c r="AO83" s="634" t="s">
        <v>504</v>
      </c>
      <c r="AP83" s="635"/>
      <c r="AQ83" s="635"/>
      <c r="AR83" s="635"/>
      <c r="AS83" s="635"/>
      <c r="AT83" s="634" t="s">
        <v>505</v>
      </c>
      <c r="AU83" s="635"/>
      <c r="AV83" s="635"/>
      <c r="AW83" s="635"/>
      <c r="AX83" s="635"/>
    </row>
    <row r="84" spans="2:53">
      <c r="B84" s="624" t="s">
        <v>760</v>
      </c>
      <c r="C84" s="624" t="s">
        <v>761</v>
      </c>
      <c r="D84" s="624"/>
      <c r="E84" s="624" t="s">
        <v>762</v>
      </c>
      <c r="F84" s="624"/>
      <c r="G84" s="624"/>
      <c r="H84" s="647" t="s">
        <v>763</v>
      </c>
      <c r="I84" s="624" t="s">
        <v>764</v>
      </c>
      <c r="J84" s="624"/>
      <c r="K84" s="624"/>
      <c r="L84" s="647" t="s">
        <v>763</v>
      </c>
      <c r="M84" s="639" t="s">
        <v>773</v>
      </c>
      <c r="N84" s="624"/>
      <c r="O84" s="624" t="s">
        <v>512</v>
      </c>
      <c r="P84" s="621" t="s">
        <v>513</v>
      </c>
      <c r="Q84" s="622"/>
      <c r="R84" s="622"/>
      <c r="S84" s="623"/>
      <c r="T84" s="624" t="s">
        <v>509</v>
      </c>
      <c r="U84" s="621" t="s">
        <v>513</v>
      </c>
      <c r="V84" s="622"/>
      <c r="W84" s="622"/>
      <c r="X84" s="623"/>
      <c r="Y84" s="624" t="s">
        <v>509</v>
      </c>
      <c r="Z84" s="621" t="s">
        <v>513</v>
      </c>
      <c r="AA84" s="622"/>
      <c r="AB84" s="622"/>
      <c r="AC84" s="623"/>
      <c r="AD84" s="624" t="s">
        <v>509</v>
      </c>
      <c r="AE84" s="621" t="s">
        <v>513</v>
      </c>
      <c r="AF84" s="622"/>
      <c r="AG84" s="622"/>
      <c r="AH84" s="623"/>
      <c r="AI84" s="624" t="s">
        <v>509</v>
      </c>
      <c r="AJ84" s="621" t="s">
        <v>513</v>
      </c>
      <c r="AK84" s="622"/>
      <c r="AL84" s="622"/>
      <c r="AM84" s="623"/>
      <c r="AN84" s="624" t="s">
        <v>509</v>
      </c>
      <c r="AO84" s="621" t="s">
        <v>513</v>
      </c>
      <c r="AP84" s="622"/>
      <c r="AQ84" s="622"/>
      <c r="AR84" s="623"/>
      <c r="AS84" s="624" t="s">
        <v>509</v>
      </c>
      <c r="AT84" s="621" t="s">
        <v>513</v>
      </c>
      <c r="AU84" s="622"/>
      <c r="AV84" s="622"/>
      <c r="AW84" s="623"/>
      <c r="AX84" s="624" t="s">
        <v>509</v>
      </c>
    </row>
    <row r="85" spans="2:53">
      <c r="B85" s="624"/>
      <c r="C85" s="624"/>
      <c r="D85" s="624"/>
      <c r="E85" s="624" t="s">
        <v>765</v>
      </c>
      <c r="F85" s="624"/>
      <c r="G85" s="624"/>
      <c r="H85" s="648"/>
      <c r="I85" s="624" t="s">
        <v>765</v>
      </c>
      <c r="J85" s="624"/>
      <c r="K85" s="624"/>
      <c r="L85" s="648"/>
      <c r="M85" s="640"/>
      <c r="N85" s="624"/>
      <c r="O85" s="624"/>
      <c r="P85" s="621" t="s">
        <v>515</v>
      </c>
      <c r="Q85" s="622"/>
      <c r="R85" s="622"/>
      <c r="S85" s="623"/>
      <c r="T85" s="624"/>
      <c r="U85" s="621" t="s">
        <v>515</v>
      </c>
      <c r="V85" s="622"/>
      <c r="W85" s="622"/>
      <c r="X85" s="623"/>
      <c r="Y85" s="624"/>
      <c r="Z85" s="621" t="s">
        <v>515</v>
      </c>
      <c r="AA85" s="622"/>
      <c r="AB85" s="622"/>
      <c r="AC85" s="623"/>
      <c r="AD85" s="624"/>
      <c r="AE85" s="621" t="s">
        <v>515</v>
      </c>
      <c r="AF85" s="622"/>
      <c r="AG85" s="622"/>
      <c r="AH85" s="623"/>
      <c r="AI85" s="624"/>
      <c r="AJ85" s="621" t="s">
        <v>515</v>
      </c>
      <c r="AK85" s="622"/>
      <c r="AL85" s="622"/>
      <c r="AM85" s="623"/>
      <c r="AN85" s="624"/>
      <c r="AO85" s="621" t="s">
        <v>515</v>
      </c>
      <c r="AP85" s="622"/>
      <c r="AQ85" s="622"/>
      <c r="AR85" s="623"/>
      <c r="AS85" s="624"/>
      <c r="AT85" s="621" t="s">
        <v>515</v>
      </c>
      <c r="AU85" s="622"/>
      <c r="AV85" s="622"/>
      <c r="AW85" s="623"/>
      <c r="AX85" s="624"/>
    </row>
    <row r="86" spans="2:53">
      <c r="B86" s="624"/>
      <c r="C86" s="624"/>
      <c r="D86" s="624"/>
      <c r="E86" s="482" t="s">
        <v>766</v>
      </c>
      <c r="F86" s="482" t="s">
        <v>767</v>
      </c>
      <c r="G86" s="482" t="s">
        <v>768</v>
      </c>
      <c r="H86" s="649"/>
      <c r="I86" s="482" t="s">
        <v>766</v>
      </c>
      <c r="J86" s="482" t="s">
        <v>767</v>
      </c>
      <c r="K86" s="482" t="s">
        <v>768</v>
      </c>
      <c r="L86" s="649"/>
      <c r="M86" s="641"/>
      <c r="N86" s="624"/>
      <c r="O86" s="624"/>
      <c r="P86" s="353" t="s">
        <v>516</v>
      </c>
      <c r="Q86" s="353" t="s">
        <v>517</v>
      </c>
      <c r="R86" s="353" t="s">
        <v>518</v>
      </c>
      <c r="S86" s="353" t="s">
        <v>511</v>
      </c>
      <c r="T86" s="624"/>
      <c r="U86" s="353" t="s">
        <v>516</v>
      </c>
      <c r="V86" s="353" t="s">
        <v>517</v>
      </c>
      <c r="W86" s="353" t="s">
        <v>518</v>
      </c>
      <c r="X86" s="353" t="s">
        <v>511</v>
      </c>
      <c r="Y86" s="624"/>
      <c r="Z86" s="353" t="s">
        <v>516</v>
      </c>
      <c r="AA86" s="353" t="s">
        <v>517</v>
      </c>
      <c r="AB86" s="353" t="s">
        <v>518</v>
      </c>
      <c r="AC86" s="353" t="s">
        <v>511</v>
      </c>
      <c r="AD86" s="624"/>
      <c r="AE86" s="353" t="s">
        <v>516</v>
      </c>
      <c r="AF86" s="353" t="s">
        <v>517</v>
      </c>
      <c r="AG86" s="353" t="s">
        <v>518</v>
      </c>
      <c r="AH86" s="353" t="s">
        <v>511</v>
      </c>
      <c r="AI86" s="624"/>
      <c r="AJ86" s="353" t="s">
        <v>516</v>
      </c>
      <c r="AK86" s="353" t="s">
        <v>517</v>
      </c>
      <c r="AL86" s="353" t="s">
        <v>518</v>
      </c>
      <c r="AM86" s="353" t="s">
        <v>511</v>
      </c>
      <c r="AN86" s="624"/>
      <c r="AO86" s="353" t="s">
        <v>516</v>
      </c>
      <c r="AP86" s="353" t="s">
        <v>517</v>
      </c>
      <c r="AQ86" s="353" t="s">
        <v>518</v>
      </c>
      <c r="AR86" s="353" t="s">
        <v>511</v>
      </c>
      <c r="AS86" s="624"/>
      <c r="AT86" s="353" t="s">
        <v>516</v>
      </c>
      <c r="AU86" s="353" t="s">
        <v>517</v>
      </c>
      <c r="AV86" s="353" t="s">
        <v>518</v>
      </c>
      <c r="AW86" s="353" t="s">
        <v>511</v>
      </c>
      <c r="AX86" s="624"/>
    </row>
    <row r="87" spans="2:53">
      <c r="B87" s="675" t="s">
        <v>774</v>
      </c>
      <c r="C87" s="485">
        <v>1</v>
      </c>
      <c r="D87" s="483" t="s">
        <v>334</v>
      </c>
      <c r="E87" s="483">
        <v>10</v>
      </c>
      <c r="F87" s="483">
        <v>1500</v>
      </c>
      <c r="G87" s="491">
        <v>150</v>
      </c>
      <c r="H87" s="671">
        <f>AVERAGE(G87:G101)</f>
        <v>127.5</v>
      </c>
      <c r="I87" s="487">
        <f t="shared" ref="I87:K101" si="41">IFERROR(AVERAGE(P87,U87,Z87,AE87,AJ87,AO87,AT87),"-")</f>
        <v>10</v>
      </c>
      <c r="J87" s="487">
        <f t="shared" si="41"/>
        <v>1458.0000000000002</v>
      </c>
      <c r="K87" s="363">
        <f t="shared" si="41"/>
        <v>145.80000000000007</v>
      </c>
      <c r="L87" s="614">
        <f>IFERROR(AVERAGE(K87:K101),"-")</f>
        <v>139.65314773838531</v>
      </c>
      <c r="M87" s="490">
        <f>RANK(K87, K$87:$K$101)</f>
        <v>1</v>
      </c>
      <c r="N87" s="624"/>
      <c r="O87" s="624"/>
      <c r="P87" s="540">
        <v>10</v>
      </c>
      <c r="Q87" s="541">
        <v>1560.0000000000016</v>
      </c>
      <c r="R87" s="541">
        <v>156.00000000000017</v>
      </c>
      <c r="S87" s="540">
        <f t="shared" ref="S87:S101" si="42">RANK(R87, R$87:R$101)</f>
        <v>1</v>
      </c>
      <c r="T87" s="653">
        <f t="shared" ref="T87" si="43">AVERAGE(R87:R101)</f>
        <v>142.76231912883497</v>
      </c>
      <c r="U87" s="540">
        <v>10</v>
      </c>
      <c r="V87" s="541">
        <v>1520.0000000000014</v>
      </c>
      <c r="W87" s="541">
        <v>152.00000000000014</v>
      </c>
      <c r="X87" s="540">
        <f t="shared" ref="X87:X101" si="44">RANK(W87, W$87:W$101)</f>
        <v>1</v>
      </c>
      <c r="Y87" s="653">
        <f t="shared" ref="Y87" si="45">AVERAGE(W87:W101)</f>
        <v>140.5040856579318</v>
      </c>
      <c r="Z87" s="540">
        <v>10</v>
      </c>
      <c r="AA87" s="541">
        <v>1441.9999999999975</v>
      </c>
      <c r="AB87" s="541">
        <v>144.19999999999976</v>
      </c>
      <c r="AC87" s="540">
        <f t="shared" ref="AC87:AC101" si="46">RANK(AB87, AB$87:AB$101)</f>
        <v>1</v>
      </c>
      <c r="AD87" s="653">
        <f t="shared" ref="AD87" si="47">AVERAGE(AB87:AB101)</f>
        <v>139.36157078215882</v>
      </c>
      <c r="AE87" s="540">
        <v>10</v>
      </c>
      <c r="AF87" s="541">
        <v>1310.0000000000011</v>
      </c>
      <c r="AG87" s="541">
        <v>131.00000000000011</v>
      </c>
      <c r="AH87" s="540">
        <f t="shared" ref="AH87:AH101" si="48">RANK(AG87, AG$87:AG$101)</f>
        <v>4</v>
      </c>
      <c r="AI87" s="653">
        <f t="shared" ref="AI87" si="49">AVERAGE(AG87:AG101)</f>
        <v>135.98461538461552</v>
      </c>
      <c r="AJ87" s="483"/>
      <c r="AK87" s="491"/>
      <c r="AL87" s="491"/>
      <c r="AM87" s="483"/>
      <c r="AN87" s="653"/>
      <c r="AO87" s="483"/>
      <c r="AP87" s="491"/>
      <c r="AQ87" s="491"/>
      <c r="AR87" s="483"/>
      <c r="AS87" s="653"/>
      <c r="AT87" s="483"/>
      <c r="AU87" s="491"/>
      <c r="AV87" s="491"/>
      <c r="AW87" s="483"/>
      <c r="AX87" s="653"/>
      <c r="AZ87" s="377" t="e">
        <f t="shared" ref="AZ87:AZ101" si="50">RANK(AY87, AY$87:AY$101)</f>
        <v>#N/A</v>
      </c>
      <c r="BA87" s="653" t="e">
        <f t="shared" ref="BA87" si="51">AVERAGE(AY87:AY101)</f>
        <v>#DIV/0!</v>
      </c>
    </row>
    <row r="88" spans="2:53">
      <c r="B88" s="635"/>
      <c r="C88" s="485">
        <v>2</v>
      </c>
      <c r="D88" s="483" t="s">
        <v>623</v>
      </c>
      <c r="E88" s="483">
        <v>15</v>
      </c>
      <c r="F88" s="483">
        <v>1800</v>
      </c>
      <c r="G88" s="491">
        <v>120</v>
      </c>
      <c r="H88" s="672"/>
      <c r="I88" s="487">
        <f t="shared" si="41"/>
        <v>13</v>
      </c>
      <c r="J88" s="487">
        <f t="shared" si="41"/>
        <v>1759.4642857142858</v>
      </c>
      <c r="K88" s="363">
        <f t="shared" si="41"/>
        <v>135.3434065934066</v>
      </c>
      <c r="L88" s="615"/>
      <c r="M88" s="490">
        <f>RANK(K88, K$87:$K$101)</f>
        <v>4</v>
      </c>
      <c r="N88" s="624"/>
      <c r="O88" s="624"/>
      <c r="P88" s="540">
        <v>13</v>
      </c>
      <c r="Q88" s="541">
        <v>1769.1428571428576</v>
      </c>
      <c r="R88" s="541">
        <v>136.08791208791212</v>
      </c>
      <c r="S88" s="540">
        <f t="shared" si="42"/>
        <v>3</v>
      </c>
      <c r="T88" s="653"/>
      <c r="U88" s="540">
        <v>13</v>
      </c>
      <c r="V88" s="541">
        <v>1766.5714285714289</v>
      </c>
      <c r="W88" s="541">
        <v>135.89010989010993</v>
      </c>
      <c r="X88" s="540">
        <f t="shared" si="44"/>
        <v>4</v>
      </c>
      <c r="Y88" s="653"/>
      <c r="Z88" s="540">
        <v>13</v>
      </c>
      <c r="AA88" s="541">
        <v>1757.1428571428576</v>
      </c>
      <c r="AB88" s="541">
        <v>135.16483516483521</v>
      </c>
      <c r="AC88" s="540">
        <f t="shared" si="46"/>
        <v>4</v>
      </c>
      <c r="AD88" s="653"/>
      <c r="AE88" s="540">
        <v>13</v>
      </c>
      <c r="AF88" s="541">
        <v>1744.9999999999991</v>
      </c>
      <c r="AG88" s="541">
        <v>134.23076923076917</v>
      </c>
      <c r="AH88" s="540">
        <f t="shared" si="48"/>
        <v>3</v>
      </c>
      <c r="AI88" s="653"/>
      <c r="AJ88" s="483"/>
      <c r="AK88" s="491"/>
      <c r="AL88" s="491"/>
      <c r="AM88" s="483"/>
      <c r="AN88" s="653"/>
      <c r="AO88" s="483"/>
      <c r="AP88" s="491"/>
      <c r="AQ88" s="491"/>
      <c r="AR88" s="483"/>
      <c r="AS88" s="653"/>
      <c r="AT88" s="483"/>
      <c r="AU88" s="491"/>
      <c r="AV88" s="491"/>
      <c r="AW88" s="483"/>
      <c r="AX88" s="653"/>
      <c r="AZ88" s="377" t="e">
        <f t="shared" si="50"/>
        <v>#N/A</v>
      </c>
      <c r="BA88" s="653"/>
    </row>
    <row r="89" spans="2:53">
      <c r="B89" s="635"/>
      <c r="C89" s="485">
        <v>3</v>
      </c>
      <c r="D89" s="483" t="s">
        <v>624</v>
      </c>
      <c r="E89" s="483">
        <v>15</v>
      </c>
      <c r="F89" s="483">
        <v>1800</v>
      </c>
      <c r="G89" s="491">
        <v>120</v>
      </c>
      <c r="H89" s="672"/>
      <c r="I89" s="487">
        <f t="shared" si="41"/>
        <v>13</v>
      </c>
      <c r="J89" s="487">
        <f t="shared" si="41"/>
        <v>1811.8307692307681</v>
      </c>
      <c r="K89" s="363">
        <f t="shared" si="41"/>
        <v>139.37159763313602</v>
      </c>
      <c r="L89" s="615"/>
      <c r="M89" s="490">
        <f>RANK(K89, K$87:$K$101)</f>
        <v>2</v>
      </c>
      <c r="N89" s="624"/>
      <c r="O89" s="624"/>
      <c r="P89" s="540">
        <v>13</v>
      </c>
      <c r="Q89" s="541">
        <v>1732.6153846153823</v>
      </c>
      <c r="R89" s="541">
        <v>133.27810650887557</v>
      </c>
      <c r="S89" s="540">
        <f t="shared" si="42"/>
        <v>4</v>
      </c>
      <c r="T89" s="653"/>
      <c r="U89" s="540">
        <v>13</v>
      </c>
      <c r="V89" s="541">
        <v>1796.3076923076899</v>
      </c>
      <c r="W89" s="541">
        <v>138.17751479289922</v>
      </c>
      <c r="X89" s="540">
        <f t="shared" si="44"/>
        <v>2</v>
      </c>
      <c r="Y89" s="653"/>
      <c r="Z89" s="540">
        <v>13</v>
      </c>
      <c r="AA89" s="541">
        <v>1855.9999999999966</v>
      </c>
      <c r="AB89" s="541">
        <v>142.76923076923052</v>
      </c>
      <c r="AC89" s="540">
        <f t="shared" si="46"/>
        <v>2</v>
      </c>
      <c r="AD89" s="653"/>
      <c r="AE89" s="540">
        <v>13</v>
      </c>
      <c r="AF89" s="541">
        <v>1862.4000000000037</v>
      </c>
      <c r="AG89" s="541">
        <v>143.26153846153875</v>
      </c>
      <c r="AH89" s="540">
        <f t="shared" si="48"/>
        <v>1</v>
      </c>
      <c r="AI89" s="653"/>
      <c r="AJ89" s="483"/>
      <c r="AK89" s="491"/>
      <c r="AL89" s="491"/>
      <c r="AM89" s="483"/>
      <c r="AN89" s="653"/>
      <c r="AO89" s="483"/>
      <c r="AP89" s="491"/>
      <c r="AQ89" s="491"/>
      <c r="AR89" s="483"/>
      <c r="AS89" s="653"/>
      <c r="AT89" s="483"/>
      <c r="AU89" s="491"/>
      <c r="AV89" s="491"/>
      <c r="AW89" s="483"/>
      <c r="AX89" s="653"/>
      <c r="AZ89" s="377" t="e">
        <f t="shared" si="50"/>
        <v>#N/A</v>
      </c>
      <c r="BA89" s="653"/>
    </row>
    <row r="90" spans="2:53">
      <c r="B90" s="635"/>
      <c r="C90" s="485">
        <v>4</v>
      </c>
      <c r="D90" s="483" t="s">
        <v>839</v>
      </c>
      <c r="E90" s="483">
        <v>18</v>
      </c>
      <c r="F90" s="483">
        <v>1800</v>
      </c>
      <c r="G90" s="491">
        <v>120</v>
      </c>
      <c r="H90" s="672"/>
      <c r="I90" s="487">
        <f t="shared" si="41"/>
        <v>13</v>
      </c>
      <c r="J90" s="487">
        <f t="shared" si="41"/>
        <v>1795.2686274509801</v>
      </c>
      <c r="K90" s="363">
        <f t="shared" si="41"/>
        <v>138.09758672699849</v>
      </c>
      <c r="L90" s="615"/>
      <c r="M90" s="490">
        <f>RANK(K90, K$87:$K$101)</f>
        <v>3</v>
      </c>
      <c r="N90" s="624"/>
      <c r="O90" s="624"/>
      <c r="P90" s="540">
        <v>13</v>
      </c>
      <c r="Q90" s="541">
        <v>1893.8823529411761</v>
      </c>
      <c r="R90" s="541">
        <v>145.68325791855202</v>
      </c>
      <c r="S90" s="540">
        <f t="shared" si="42"/>
        <v>2</v>
      </c>
      <c r="T90" s="653"/>
      <c r="U90" s="540">
        <v>13</v>
      </c>
      <c r="V90" s="541">
        <v>1767.3333333333333</v>
      </c>
      <c r="W90" s="541">
        <v>135.94871794871796</v>
      </c>
      <c r="X90" s="540">
        <f t="shared" si="44"/>
        <v>3</v>
      </c>
      <c r="Y90" s="653"/>
      <c r="Z90" s="540">
        <v>13</v>
      </c>
      <c r="AA90" s="541">
        <v>1759.0588235294083</v>
      </c>
      <c r="AB90" s="541">
        <v>135.31221719456988</v>
      </c>
      <c r="AC90" s="540">
        <f t="shared" si="46"/>
        <v>3</v>
      </c>
      <c r="AD90" s="653"/>
      <c r="AE90" s="540">
        <v>13</v>
      </c>
      <c r="AF90" s="541">
        <v>1760.8000000000027</v>
      </c>
      <c r="AG90" s="541">
        <v>135.44615384615406</v>
      </c>
      <c r="AH90" s="540">
        <f t="shared" si="48"/>
        <v>2</v>
      </c>
      <c r="AI90" s="653"/>
      <c r="AJ90" s="483"/>
      <c r="AK90" s="491"/>
      <c r="AL90" s="491"/>
      <c r="AM90" s="483"/>
      <c r="AN90" s="653"/>
      <c r="AO90" s="483"/>
      <c r="AP90" s="491"/>
      <c r="AQ90" s="491"/>
      <c r="AR90" s="483"/>
      <c r="AS90" s="653"/>
      <c r="AT90" s="483"/>
      <c r="AU90" s="491"/>
      <c r="AV90" s="491"/>
      <c r="AW90" s="483"/>
      <c r="AX90" s="653"/>
      <c r="AZ90" s="377" t="e">
        <f t="shared" si="50"/>
        <v>#N/A</v>
      </c>
      <c r="BA90" s="653"/>
    </row>
    <row r="91" spans="2:53">
      <c r="B91" s="635"/>
      <c r="C91" s="485">
        <v>5</v>
      </c>
      <c r="D91" s="483"/>
      <c r="E91" s="483"/>
      <c r="F91" s="483"/>
      <c r="G91" s="491"/>
      <c r="H91" s="672"/>
      <c r="I91" s="487" t="str">
        <f t="shared" si="41"/>
        <v>-</v>
      </c>
      <c r="J91" s="487" t="str">
        <f t="shared" si="41"/>
        <v>-</v>
      </c>
      <c r="K91" s="363" t="str">
        <f t="shared" si="41"/>
        <v>-</v>
      </c>
      <c r="L91" s="615"/>
      <c r="M91" s="490" t="e">
        <f>RANK(K91, K$87:$K$101)</f>
        <v>#VALUE!</v>
      </c>
      <c r="N91" s="624"/>
      <c r="O91" s="624"/>
      <c r="P91" s="540" t="s">
        <v>427</v>
      </c>
      <c r="Q91" s="541" t="s">
        <v>427</v>
      </c>
      <c r="R91" s="541" t="s">
        <v>427</v>
      </c>
      <c r="S91" s="540" t="e">
        <f t="shared" si="42"/>
        <v>#VALUE!</v>
      </c>
      <c r="T91" s="653"/>
      <c r="U91" s="540" t="s">
        <v>427</v>
      </c>
      <c r="V91" s="541" t="s">
        <v>427</v>
      </c>
      <c r="W91" s="541" t="s">
        <v>427</v>
      </c>
      <c r="X91" s="540" t="e">
        <f t="shared" si="44"/>
        <v>#VALUE!</v>
      </c>
      <c r="Y91" s="653"/>
      <c r="Z91" s="540" t="s">
        <v>427</v>
      </c>
      <c r="AA91" s="541" t="s">
        <v>427</v>
      </c>
      <c r="AB91" s="541" t="s">
        <v>427</v>
      </c>
      <c r="AC91" s="540" t="e">
        <f t="shared" si="46"/>
        <v>#VALUE!</v>
      </c>
      <c r="AD91" s="653"/>
      <c r="AE91" s="540" t="s">
        <v>427</v>
      </c>
      <c r="AF91" s="541" t="s">
        <v>427</v>
      </c>
      <c r="AG91" s="541" t="s">
        <v>427</v>
      </c>
      <c r="AH91" s="540" t="e">
        <f t="shared" si="48"/>
        <v>#VALUE!</v>
      </c>
      <c r="AI91" s="653"/>
      <c r="AJ91" s="483"/>
      <c r="AK91" s="491"/>
      <c r="AL91" s="491"/>
      <c r="AM91" s="483"/>
      <c r="AN91" s="653"/>
      <c r="AO91" s="483"/>
      <c r="AP91" s="491"/>
      <c r="AQ91" s="491"/>
      <c r="AR91" s="483"/>
      <c r="AS91" s="653"/>
      <c r="AT91" s="483"/>
      <c r="AU91" s="491"/>
      <c r="AV91" s="491"/>
      <c r="AW91" s="483"/>
      <c r="AX91" s="653"/>
      <c r="AZ91" s="377" t="e">
        <f t="shared" si="50"/>
        <v>#N/A</v>
      </c>
      <c r="BA91" s="653"/>
    </row>
    <row r="92" spans="2:53">
      <c r="B92" s="635"/>
      <c r="C92" s="485">
        <v>6</v>
      </c>
      <c r="D92" s="483"/>
      <c r="E92" s="483"/>
      <c r="F92" s="483"/>
      <c r="G92" s="491"/>
      <c r="H92" s="672"/>
      <c r="I92" s="487" t="str">
        <f t="shared" si="41"/>
        <v>-</v>
      </c>
      <c r="J92" s="487" t="str">
        <f t="shared" si="41"/>
        <v>-</v>
      </c>
      <c r="K92" s="363" t="str">
        <f t="shared" si="41"/>
        <v>-</v>
      </c>
      <c r="L92" s="615"/>
      <c r="M92" s="490" t="e">
        <f>RANK(K92, K$87:$K$101)</f>
        <v>#VALUE!</v>
      </c>
      <c r="N92" s="624"/>
      <c r="O92" s="624"/>
      <c r="P92" s="540" t="s">
        <v>427</v>
      </c>
      <c r="Q92" s="541" t="s">
        <v>427</v>
      </c>
      <c r="R92" s="541" t="s">
        <v>427</v>
      </c>
      <c r="S92" s="540" t="e">
        <f t="shared" si="42"/>
        <v>#VALUE!</v>
      </c>
      <c r="T92" s="653"/>
      <c r="U92" s="540" t="s">
        <v>427</v>
      </c>
      <c r="V92" s="541" t="s">
        <v>427</v>
      </c>
      <c r="W92" s="541" t="s">
        <v>427</v>
      </c>
      <c r="X92" s="540" t="e">
        <f t="shared" si="44"/>
        <v>#VALUE!</v>
      </c>
      <c r="Y92" s="653"/>
      <c r="Z92" s="540" t="s">
        <v>427</v>
      </c>
      <c r="AA92" s="541" t="s">
        <v>427</v>
      </c>
      <c r="AB92" s="541" t="s">
        <v>427</v>
      </c>
      <c r="AC92" s="540" t="e">
        <f t="shared" si="46"/>
        <v>#VALUE!</v>
      </c>
      <c r="AD92" s="653"/>
      <c r="AE92" s="540" t="s">
        <v>427</v>
      </c>
      <c r="AF92" s="541" t="s">
        <v>427</v>
      </c>
      <c r="AG92" s="541" t="s">
        <v>427</v>
      </c>
      <c r="AH92" s="540" t="e">
        <f t="shared" si="48"/>
        <v>#VALUE!</v>
      </c>
      <c r="AI92" s="653"/>
      <c r="AJ92" s="483"/>
      <c r="AK92" s="491"/>
      <c r="AL92" s="491"/>
      <c r="AM92" s="483"/>
      <c r="AN92" s="653"/>
      <c r="AO92" s="483"/>
      <c r="AP92" s="491"/>
      <c r="AQ92" s="491"/>
      <c r="AR92" s="483"/>
      <c r="AS92" s="653"/>
      <c r="AT92" s="483"/>
      <c r="AU92" s="491"/>
      <c r="AV92" s="491"/>
      <c r="AW92" s="483"/>
      <c r="AX92" s="653"/>
      <c r="AZ92" s="377" t="e">
        <f t="shared" si="50"/>
        <v>#N/A</v>
      </c>
      <c r="BA92" s="653"/>
    </row>
    <row r="93" spans="2:53">
      <c r="B93" s="635"/>
      <c r="C93" s="485">
        <v>7</v>
      </c>
      <c r="D93" s="483"/>
      <c r="E93" s="483"/>
      <c r="F93" s="483"/>
      <c r="G93" s="491"/>
      <c r="H93" s="672"/>
      <c r="I93" s="487" t="str">
        <f t="shared" si="41"/>
        <v>-</v>
      </c>
      <c r="J93" s="487" t="str">
        <f t="shared" si="41"/>
        <v>-</v>
      </c>
      <c r="K93" s="363" t="str">
        <f t="shared" si="41"/>
        <v>-</v>
      </c>
      <c r="L93" s="615"/>
      <c r="M93" s="490" t="e">
        <f>RANK(K93, K$87:$K$101)</f>
        <v>#VALUE!</v>
      </c>
      <c r="N93" s="624"/>
      <c r="O93" s="624"/>
      <c r="P93" s="540" t="s">
        <v>427</v>
      </c>
      <c r="Q93" s="541" t="s">
        <v>427</v>
      </c>
      <c r="R93" s="541" t="s">
        <v>427</v>
      </c>
      <c r="S93" s="540" t="e">
        <f t="shared" si="42"/>
        <v>#VALUE!</v>
      </c>
      <c r="T93" s="653"/>
      <c r="U93" s="540" t="s">
        <v>427</v>
      </c>
      <c r="V93" s="541" t="s">
        <v>427</v>
      </c>
      <c r="W93" s="541" t="s">
        <v>427</v>
      </c>
      <c r="X93" s="540" t="e">
        <f t="shared" si="44"/>
        <v>#VALUE!</v>
      </c>
      <c r="Y93" s="653"/>
      <c r="Z93" s="540" t="s">
        <v>427</v>
      </c>
      <c r="AA93" s="541" t="s">
        <v>427</v>
      </c>
      <c r="AB93" s="541" t="s">
        <v>427</v>
      </c>
      <c r="AC93" s="540" t="e">
        <f t="shared" si="46"/>
        <v>#VALUE!</v>
      </c>
      <c r="AD93" s="653"/>
      <c r="AE93" s="540" t="s">
        <v>427</v>
      </c>
      <c r="AF93" s="541" t="s">
        <v>427</v>
      </c>
      <c r="AG93" s="541" t="s">
        <v>427</v>
      </c>
      <c r="AH93" s="540" t="e">
        <f t="shared" si="48"/>
        <v>#VALUE!</v>
      </c>
      <c r="AI93" s="653"/>
      <c r="AJ93" s="483"/>
      <c r="AK93" s="491"/>
      <c r="AL93" s="491"/>
      <c r="AM93" s="483"/>
      <c r="AN93" s="653"/>
      <c r="AO93" s="483"/>
      <c r="AP93" s="491"/>
      <c r="AQ93" s="491"/>
      <c r="AR93" s="483"/>
      <c r="AS93" s="653"/>
      <c r="AT93" s="483"/>
      <c r="AU93" s="491"/>
      <c r="AV93" s="491"/>
      <c r="AW93" s="483"/>
      <c r="AX93" s="653"/>
      <c r="AZ93" s="377" t="e">
        <f t="shared" si="50"/>
        <v>#N/A</v>
      </c>
      <c r="BA93" s="653"/>
    </row>
    <row r="94" spans="2:53">
      <c r="B94" s="635"/>
      <c r="C94" s="485">
        <v>8</v>
      </c>
      <c r="D94" s="483"/>
      <c r="E94" s="483"/>
      <c r="F94" s="483"/>
      <c r="G94" s="491"/>
      <c r="H94" s="672"/>
      <c r="I94" s="487" t="str">
        <f t="shared" si="41"/>
        <v>-</v>
      </c>
      <c r="J94" s="487" t="str">
        <f t="shared" si="41"/>
        <v>-</v>
      </c>
      <c r="K94" s="363" t="str">
        <f t="shared" si="41"/>
        <v>-</v>
      </c>
      <c r="L94" s="615"/>
      <c r="M94" s="490" t="e">
        <f>RANK(K94, K$87:$K$101)</f>
        <v>#VALUE!</v>
      </c>
      <c r="N94" s="624"/>
      <c r="O94" s="624"/>
      <c r="P94" s="540" t="s">
        <v>427</v>
      </c>
      <c r="Q94" s="541" t="s">
        <v>427</v>
      </c>
      <c r="R94" s="541" t="s">
        <v>427</v>
      </c>
      <c r="S94" s="540" t="e">
        <f t="shared" si="42"/>
        <v>#VALUE!</v>
      </c>
      <c r="T94" s="653"/>
      <c r="U94" s="540" t="s">
        <v>427</v>
      </c>
      <c r="V94" s="541" t="s">
        <v>427</v>
      </c>
      <c r="W94" s="541" t="s">
        <v>427</v>
      </c>
      <c r="X94" s="540" t="e">
        <f t="shared" si="44"/>
        <v>#VALUE!</v>
      </c>
      <c r="Y94" s="653"/>
      <c r="Z94" s="540" t="s">
        <v>427</v>
      </c>
      <c r="AA94" s="541" t="s">
        <v>427</v>
      </c>
      <c r="AB94" s="541" t="s">
        <v>427</v>
      </c>
      <c r="AC94" s="540" t="e">
        <f t="shared" si="46"/>
        <v>#VALUE!</v>
      </c>
      <c r="AD94" s="653"/>
      <c r="AE94" s="540" t="s">
        <v>427</v>
      </c>
      <c r="AF94" s="541" t="s">
        <v>427</v>
      </c>
      <c r="AG94" s="541" t="s">
        <v>427</v>
      </c>
      <c r="AH94" s="540" t="e">
        <f t="shared" si="48"/>
        <v>#VALUE!</v>
      </c>
      <c r="AI94" s="653"/>
      <c r="AJ94" s="483"/>
      <c r="AK94" s="491"/>
      <c r="AL94" s="491"/>
      <c r="AM94" s="483"/>
      <c r="AN94" s="653"/>
      <c r="AO94" s="483"/>
      <c r="AP94" s="491"/>
      <c r="AQ94" s="491"/>
      <c r="AR94" s="483"/>
      <c r="AS94" s="653"/>
      <c r="AT94" s="483"/>
      <c r="AU94" s="491"/>
      <c r="AV94" s="491"/>
      <c r="AW94" s="483"/>
      <c r="AX94" s="653"/>
      <c r="AZ94" s="377" t="e">
        <f t="shared" si="50"/>
        <v>#N/A</v>
      </c>
      <c r="BA94" s="653"/>
    </row>
    <row r="95" spans="2:53">
      <c r="B95" s="635"/>
      <c r="C95" s="485">
        <v>9</v>
      </c>
      <c r="D95" s="483"/>
      <c r="E95" s="483"/>
      <c r="F95" s="483"/>
      <c r="G95" s="491"/>
      <c r="H95" s="672"/>
      <c r="I95" s="487" t="str">
        <f t="shared" si="41"/>
        <v>-</v>
      </c>
      <c r="J95" s="487" t="str">
        <f t="shared" si="41"/>
        <v>-</v>
      </c>
      <c r="K95" s="363" t="str">
        <f t="shared" si="41"/>
        <v>-</v>
      </c>
      <c r="L95" s="615"/>
      <c r="M95" s="490" t="e">
        <f>RANK(K95, K$87:$K$101)</f>
        <v>#VALUE!</v>
      </c>
      <c r="N95" s="624"/>
      <c r="O95" s="624"/>
      <c r="P95" s="540" t="s">
        <v>427</v>
      </c>
      <c r="Q95" s="541" t="s">
        <v>427</v>
      </c>
      <c r="R95" s="541" t="s">
        <v>427</v>
      </c>
      <c r="S95" s="540" t="e">
        <f t="shared" si="42"/>
        <v>#VALUE!</v>
      </c>
      <c r="T95" s="653"/>
      <c r="U95" s="540" t="s">
        <v>427</v>
      </c>
      <c r="V95" s="541" t="s">
        <v>427</v>
      </c>
      <c r="W95" s="541" t="s">
        <v>427</v>
      </c>
      <c r="X95" s="540" t="e">
        <f t="shared" si="44"/>
        <v>#VALUE!</v>
      </c>
      <c r="Y95" s="653"/>
      <c r="Z95" s="540" t="s">
        <v>427</v>
      </c>
      <c r="AA95" s="541" t="s">
        <v>427</v>
      </c>
      <c r="AB95" s="541" t="s">
        <v>427</v>
      </c>
      <c r="AC95" s="540" t="e">
        <f t="shared" si="46"/>
        <v>#VALUE!</v>
      </c>
      <c r="AD95" s="653"/>
      <c r="AE95" s="540" t="s">
        <v>427</v>
      </c>
      <c r="AF95" s="541" t="s">
        <v>427</v>
      </c>
      <c r="AG95" s="541" t="s">
        <v>427</v>
      </c>
      <c r="AH95" s="540" t="e">
        <f t="shared" si="48"/>
        <v>#VALUE!</v>
      </c>
      <c r="AI95" s="653"/>
      <c r="AJ95" s="483"/>
      <c r="AK95" s="491"/>
      <c r="AL95" s="491"/>
      <c r="AM95" s="483"/>
      <c r="AN95" s="653"/>
      <c r="AO95" s="483"/>
      <c r="AP95" s="491"/>
      <c r="AQ95" s="491"/>
      <c r="AR95" s="483"/>
      <c r="AS95" s="653"/>
      <c r="AT95" s="483"/>
      <c r="AU95" s="491"/>
      <c r="AV95" s="491"/>
      <c r="AW95" s="483"/>
      <c r="AX95" s="653"/>
      <c r="AZ95" s="377" t="e">
        <f t="shared" si="50"/>
        <v>#N/A</v>
      </c>
      <c r="BA95" s="653"/>
    </row>
    <row r="96" spans="2:53">
      <c r="B96" s="635"/>
      <c r="C96" s="485">
        <v>10</v>
      </c>
      <c r="D96" s="483"/>
      <c r="E96" s="483"/>
      <c r="F96" s="483"/>
      <c r="G96" s="491"/>
      <c r="H96" s="672"/>
      <c r="I96" s="487" t="str">
        <f t="shared" si="41"/>
        <v>-</v>
      </c>
      <c r="J96" s="487" t="str">
        <f t="shared" si="41"/>
        <v>-</v>
      </c>
      <c r="K96" s="363" t="str">
        <f t="shared" si="41"/>
        <v>-</v>
      </c>
      <c r="L96" s="615"/>
      <c r="M96" s="490" t="e">
        <f>RANK(K96, K$87:$K$101)</f>
        <v>#VALUE!</v>
      </c>
      <c r="N96" s="624"/>
      <c r="O96" s="624"/>
      <c r="P96" s="540" t="s">
        <v>427</v>
      </c>
      <c r="Q96" s="541" t="s">
        <v>427</v>
      </c>
      <c r="R96" s="541" t="s">
        <v>427</v>
      </c>
      <c r="S96" s="540" t="e">
        <f t="shared" si="42"/>
        <v>#VALUE!</v>
      </c>
      <c r="T96" s="653"/>
      <c r="U96" s="540" t="s">
        <v>427</v>
      </c>
      <c r="V96" s="541" t="s">
        <v>427</v>
      </c>
      <c r="W96" s="541" t="s">
        <v>427</v>
      </c>
      <c r="X96" s="540" t="e">
        <f t="shared" si="44"/>
        <v>#VALUE!</v>
      </c>
      <c r="Y96" s="653"/>
      <c r="Z96" s="540" t="s">
        <v>427</v>
      </c>
      <c r="AA96" s="541" t="s">
        <v>427</v>
      </c>
      <c r="AB96" s="541" t="s">
        <v>427</v>
      </c>
      <c r="AC96" s="540" t="e">
        <f t="shared" si="46"/>
        <v>#VALUE!</v>
      </c>
      <c r="AD96" s="653"/>
      <c r="AE96" s="540" t="s">
        <v>427</v>
      </c>
      <c r="AF96" s="541" t="s">
        <v>427</v>
      </c>
      <c r="AG96" s="541" t="s">
        <v>427</v>
      </c>
      <c r="AH96" s="540" t="e">
        <f t="shared" si="48"/>
        <v>#VALUE!</v>
      </c>
      <c r="AI96" s="653"/>
      <c r="AJ96" s="483"/>
      <c r="AK96" s="491"/>
      <c r="AL96" s="491"/>
      <c r="AM96" s="483"/>
      <c r="AN96" s="653"/>
      <c r="AO96" s="483"/>
      <c r="AP96" s="491"/>
      <c r="AQ96" s="491"/>
      <c r="AR96" s="483"/>
      <c r="AS96" s="653"/>
      <c r="AT96" s="483"/>
      <c r="AU96" s="491"/>
      <c r="AV96" s="491"/>
      <c r="AW96" s="483"/>
      <c r="AX96" s="653"/>
      <c r="AZ96" s="377" t="e">
        <f t="shared" si="50"/>
        <v>#N/A</v>
      </c>
      <c r="BA96" s="653"/>
    </row>
    <row r="97" spans="2:53">
      <c r="B97" s="635"/>
      <c r="C97" s="485">
        <v>11</v>
      </c>
      <c r="D97" s="483"/>
      <c r="E97" s="483"/>
      <c r="F97" s="483"/>
      <c r="G97" s="491"/>
      <c r="H97" s="672"/>
      <c r="I97" s="487" t="str">
        <f t="shared" si="41"/>
        <v>-</v>
      </c>
      <c r="J97" s="487" t="str">
        <f t="shared" si="41"/>
        <v>-</v>
      </c>
      <c r="K97" s="363" t="str">
        <f t="shared" si="41"/>
        <v>-</v>
      </c>
      <c r="L97" s="615"/>
      <c r="M97" s="490" t="e">
        <f>RANK(K97, K$87:$K$101)</f>
        <v>#VALUE!</v>
      </c>
      <c r="N97" s="624"/>
      <c r="O97" s="624"/>
      <c r="P97" s="540" t="s">
        <v>427</v>
      </c>
      <c r="Q97" s="541" t="s">
        <v>427</v>
      </c>
      <c r="R97" s="541" t="s">
        <v>427</v>
      </c>
      <c r="S97" s="540" t="e">
        <f t="shared" si="42"/>
        <v>#VALUE!</v>
      </c>
      <c r="T97" s="653"/>
      <c r="U97" s="540" t="s">
        <v>427</v>
      </c>
      <c r="V97" s="541" t="s">
        <v>427</v>
      </c>
      <c r="W97" s="541" t="s">
        <v>427</v>
      </c>
      <c r="X97" s="540" t="e">
        <f t="shared" si="44"/>
        <v>#VALUE!</v>
      </c>
      <c r="Y97" s="653"/>
      <c r="Z97" s="540" t="s">
        <v>427</v>
      </c>
      <c r="AA97" s="541" t="s">
        <v>427</v>
      </c>
      <c r="AB97" s="541" t="s">
        <v>427</v>
      </c>
      <c r="AC97" s="540" t="e">
        <f t="shared" si="46"/>
        <v>#VALUE!</v>
      </c>
      <c r="AD97" s="653"/>
      <c r="AE97" s="540" t="s">
        <v>427</v>
      </c>
      <c r="AF97" s="541" t="s">
        <v>427</v>
      </c>
      <c r="AG97" s="541" t="s">
        <v>427</v>
      </c>
      <c r="AH97" s="540" t="e">
        <f t="shared" si="48"/>
        <v>#VALUE!</v>
      </c>
      <c r="AI97" s="653"/>
      <c r="AJ97" s="483"/>
      <c r="AK97" s="491"/>
      <c r="AL97" s="491"/>
      <c r="AM97" s="483"/>
      <c r="AN97" s="653"/>
      <c r="AO97" s="483"/>
      <c r="AP97" s="491"/>
      <c r="AQ97" s="491"/>
      <c r="AR97" s="483"/>
      <c r="AS97" s="653"/>
      <c r="AT97" s="483"/>
      <c r="AU97" s="491"/>
      <c r="AV97" s="491"/>
      <c r="AW97" s="483"/>
      <c r="AX97" s="653"/>
      <c r="AZ97" s="377" t="e">
        <f t="shared" si="50"/>
        <v>#N/A</v>
      </c>
      <c r="BA97" s="653"/>
    </row>
    <row r="98" spans="2:53">
      <c r="B98" s="635"/>
      <c r="C98" s="485">
        <v>12</v>
      </c>
      <c r="D98" s="483"/>
      <c r="E98" s="483"/>
      <c r="F98" s="483"/>
      <c r="G98" s="491"/>
      <c r="H98" s="672"/>
      <c r="I98" s="487" t="str">
        <f t="shared" si="41"/>
        <v>-</v>
      </c>
      <c r="J98" s="487" t="str">
        <f t="shared" si="41"/>
        <v>-</v>
      </c>
      <c r="K98" s="363" t="str">
        <f t="shared" si="41"/>
        <v>-</v>
      </c>
      <c r="L98" s="615"/>
      <c r="M98" s="490" t="e">
        <f>RANK(K98, K$87:$K$101)</f>
        <v>#VALUE!</v>
      </c>
      <c r="N98" s="624"/>
      <c r="O98" s="624"/>
      <c r="P98" s="540" t="s">
        <v>427</v>
      </c>
      <c r="Q98" s="541" t="s">
        <v>427</v>
      </c>
      <c r="R98" s="541" t="s">
        <v>427</v>
      </c>
      <c r="S98" s="540" t="e">
        <f t="shared" si="42"/>
        <v>#VALUE!</v>
      </c>
      <c r="T98" s="653"/>
      <c r="U98" s="540" t="s">
        <v>427</v>
      </c>
      <c r="V98" s="541" t="s">
        <v>427</v>
      </c>
      <c r="W98" s="541" t="s">
        <v>427</v>
      </c>
      <c r="X98" s="540" t="e">
        <f t="shared" si="44"/>
        <v>#VALUE!</v>
      </c>
      <c r="Y98" s="653"/>
      <c r="Z98" s="540" t="s">
        <v>427</v>
      </c>
      <c r="AA98" s="541" t="s">
        <v>427</v>
      </c>
      <c r="AB98" s="541" t="s">
        <v>427</v>
      </c>
      <c r="AC98" s="540" t="e">
        <f t="shared" si="46"/>
        <v>#VALUE!</v>
      </c>
      <c r="AD98" s="653"/>
      <c r="AE98" s="540" t="s">
        <v>427</v>
      </c>
      <c r="AF98" s="541" t="s">
        <v>427</v>
      </c>
      <c r="AG98" s="541" t="s">
        <v>427</v>
      </c>
      <c r="AH98" s="540" t="e">
        <f t="shared" si="48"/>
        <v>#VALUE!</v>
      </c>
      <c r="AI98" s="653"/>
      <c r="AJ98" s="483"/>
      <c r="AK98" s="491"/>
      <c r="AL98" s="491"/>
      <c r="AM98" s="483"/>
      <c r="AN98" s="653"/>
      <c r="AO98" s="483"/>
      <c r="AP98" s="491"/>
      <c r="AQ98" s="491"/>
      <c r="AR98" s="483"/>
      <c r="AS98" s="653"/>
      <c r="AT98" s="483"/>
      <c r="AU98" s="491"/>
      <c r="AV98" s="491"/>
      <c r="AW98" s="483"/>
      <c r="AX98" s="653"/>
      <c r="AZ98" s="377" t="e">
        <f t="shared" si="50"/>
        <v>#N/A</v>
      </c>
      <c r="BA98" s="653"/>
    </row>
    <row r="99" spans="2:53">
      <c r="B99" s="635"/>
      <c r="C99" s="485">
        <v>13</v>
      </c>
      <c r="D99" s="483"/>
      <c r="E99" s="483"/>
      <c r="F99" s="483"/>
      <c r="G99" s="491"/>
      <c r="H99" s="672"/>
      <c r="I99" s="487" t="str">
        <f t="shared" si="41"/>
        <v>-</v>
      </c>
      <c r="J99" s="487" t="str">
        <f t="shared" si="41"/>
        <v>-</v>
      </c>
      <c r="K99" s="363" t="str">
        <f t="shared" si="41"/>
        <v>-</v>
      </c>
      <c r="L99" s="615"/>
      <c r="M99" s="490" t="e">
        <f>RANK(K99, K$87:$K$101)</f>
        <v>#VALUE!</v>
      </c>
      <c r="N99" s="624"/>
      <c r="O99" s="624"/>
      <c r="P99" s="540" t="s">
        <v>427</v>
      </c>
      <c r="Q99" s="541" t="s">
        <v>427</v>
      </c>
      <c r="R99" s="541" t="s">
        <v>427</v>
      </c>
      <c r="S99" s="540" t="e">
        <f t="shared" si="42"/>
        <v>#VALUE!</v>
      </c>
      <c r="T99" s="653"/>
      <c r="U99" s="540" t="s">
        <v>427</v>
      </c>
      <c r="V99" s="541" t="s">
        <v>427</v>
      </c>
      <c r="W99" s="541" t="s">
        <v>427</v>
      </c>
      <c r="X99" s="540" t="e">
        <f t="shared" si="44"/>
        <v>#VALUE!</v>
      </c>
      <c r="Y99" s="653"/>
      <c r="Z99" s="540" t="s">
        <v>427</v>
      </c>
      <c r="AA99" s="541" t="s">
        <v>427</v>
      </c>
      <c r="AB99" s="541" t="s">
        <v>427</v>
      </c>
      <c r="AC99" s="540" t="e">
        <f t="shared" si="46"/>
        <v>#VALUE!</v>
      </c>
      <c r="AD99" s="653"/>
      <c r="AE99" s="540" t="s">
        <v>427</v>
      </c>
      <c r="AF99" s="541" t="s">
        <v>427</v>
      </c>
      <c r="AG99" s="541" t="s">
        <v>427</v>
      </c>
      <c r="AH99" s="540" t="e">
        <f t="shared" si="48"/>
        <v>#VALUE!</v>
      </c>
      <c r="AI99" s="653"/>
      <c r="AJ99" s="483"/>
      <c r="AK99" s="491"/>
      <c r="AL99" s="491"/>
      <c r="AM99" s="483"/>
      <c r="AN99" s="653"/>
      <c r="AO99" s="483"/>
      <c r="AP99" s="491"/>
      <c r="AQ99" s="491"/>
      <c r="AR99" s="483"/>
      <c r="AS99" s="653"/>
      <c r="AT99" s="483"/>
      <c r="AU99" s="491"/>
      <c r="AV99" s="491"/>
      <c r="AW99" s="483"/>
      <c r="AX99" s="653"/>
      <c r="AZ99" s="377" t="e">
        <f t="shared" si="50"/>
        <v>#N/A</v>
      </c>
      <c r="BA99" s="653"/>
    </row>
    <row r="100" spans="2:53">
      <c r="B100" s="635"/>
      <c r="C100" s="485">
        <v>14</v>
      </c>
      <c r="D100" s="483"/>
      <c r="E100" s="483"/>
      <c r="F100" s="483"/>
      <c r="G100" s="491"/>
      <c r="H100" s="672"/>
      <c r="I100" s="487" t="str">
        <f t="shared" si="41"/>
        <v>-</v>
      </c>
      <c r="J100" s="487" t="str">
        <f t="shared" si="41"/>
        <v>-</v>
      </c>
      <c r="K100" s="363" t="str">
        <f t="shared" si="41"/>
        <v>-</v>
      </c>
      <c r="L100" s="615"/>
      <c r="M100" s="490" t="e">
        <f>RANK(K100, K$87:$K$101)</f>
        <v>#VALUE!</v>
      </c>
      <c r="N100" s="624"/>
      <c r="O100" s="624"/>
      <c r="P100" s="540" t="s">
        <v>427</v>
      </c>
      <c r="Q100" s="541" t="s">
        <v>427</v>
      </c>
      <c r="R100" s="541" t="s">
        <v>427</v>
      </c>
      <c r="S100" s="540" t="e">
        <f t="shared" si="42"/>
        <v>#VALUE!</v>
      </c>
      <c r="T100" s="653"/>
      <c r="U100" s="540" t="s">
        <v>427</v>
      </c>
      <c r="V100" s="541" t="s">
        <v>427</v>
      </c>
      <c r="W100" s="541" t="s">
        <v>427</v>
      </c>
      <c r="X100" s="540" t="e">
        <f t="shared" si="44"/>
        <v>#VALUE!</v>
      </c>
      <c r="Y100" s="653"/>
      <c r="Z100" s="540" t="s">
        <v>427</v>
      </c>
      <c r="AA100" s="541" t="s">
        <v>427</v>
      </c>
      <c r="AB100" s="541" t="s">
        <v>427</v>
      </c>
      <c r="AC100" s="540" t="e">
        <f t="shared" si="46"/>
        <v>#VALUE!</v>
      </c>
      <c r="AD100" s="653"/>
      <c r="AE100" s="540" t="s">
        <v>427</v>
      </c>
      <c r="AF100" s="541" t="s">
        <v>427</v>
      </c>
      <c r="AG100" s="541" t="s">
        <v>427</v>
      </c>
      <c r="AH100" s="540" t="e">
        <f t="shared" si="48"/>
        <v>#VALUE!</v>
      </c>
      <c r="AI100" s="653"/>
      <c r="AJ100" s="483"/>
      <c r="AK100" s="491"/>
      <c r="AL100" s="491"/>
      <c r="AM100" s="483"/>
      <c r="AN100" s="653"/>
      <c r="AO100" s="483"/>
      <c r="AP100" s="491"/>
      <c r="AQ100" s="491"/>
      <c r="AR100" s="483"/>
      <c r="AS100" s="653"/>
      <c r="AT100" s="483"/>
      <c r="AU100" s="491"/>
      <c r="AV100" s="491"/>
      <c r="AW100" s="483"/>
      <c r="AX100" s="653"/>
      <c r="AZ100" s="377" t="e">
        <f t="shared" si="50"/>
        <v>#N/A</v>
      </c>
      <c r="BA100" s="653"/>
    </row>
    <row r="101" spans="2:53">
      <c r="B101" s="635"/>
      <c r="C101" s="485">
        <v>15</v>
      </c>
      <c r="D101" s="483"/>
      <c r="E101" s="483"/>
      <c r="F101" s="483"/>
      <c r="G101" s="483"/>
      <c r="H101" s="676"/>
      <c r="I101" s="487" t="str">
        <f t="shared" si="41"/>
        <v>-</v>
      </c>
      <c r="J101" s="487" t="str">
        <f t="shared" si="41"/>
        <v>-</v>
      </c>
      <c r="K101" s="363" t="str">
        <f t="shared" si="41"/>
        <v>-</v>
      </c>
      <c r="L101" s="616"/>
      <c r="M101" s="490" t="e">
        <f>RANK(K101, K$87:$K$101)</f>
        <v>#VALUE!</v>
      </c>
      <c r="N101" s="624"/>
      <c r="O101" s="624"/>
      <c r="P101" s="542" t="s">
        <v>427</v>
      </c>
      <c r="Q101" s="543" t="s">
        <v>427</v>
      </c>
      <c r="R101" s="543" t="s">
        <v>427</v>
      </c>
      <c r="S101" s="540" t="e">
        <f t="shared" si="42"/>
        <v>#VALUE!</v>
      </c>
      <c r="T101" s="653"/>
      <c r="U101" s="542" t="s">
        <v>427</v>
      </c>
      <c r="V101" s="543" t="s">
        <v>427</v>
      </c>
      <c r="W101" s="543" t="s">
        <v>427</v>
      </c>
      <c r="X101" s="540" t="e">
        <f t="shared" si="44"/>
        <v>#VALUE!</v>
      </c>
      <c r="Y101" s="653"/>
      <c r="Z101" s="542" t="s">
        <v>427</v>
      </c>
      <c r="AA101" s="543" t="s">
        <v>427</v>
      </c>
      <c r="AB101" s="543" t="s">
        <v>427</v>
      </c>
      <c r="AC101" s="540" t="e">
        <f t="shared" si="46"/>
        <v>#VALUE!</v>
      </c>
      <c r="AD101" s="653"/>
      <c r="AE101" s="542" t="s">
        <v>427</v>
      </c>
      <c r="AF101" s="543" t="s">
        <v>427</v>
      </c>
      <c r="AG101" s="543" t="s">
        <v>427</v>
      </c>
      <c r="AH101" s="540" t="e">
        <f t="shared" si="48"/>
        <v>#VALUE!</v>
      </c>
      <c r="AI101" s="653"/>
      <c r="AJ101" s="485"/>
      <c r="AK101" s="490"/>
      <c r="AL101" s="490"/>
      <c r="AM101" s="483"/>
      <c r="AN101" s="653"/>
      <c r="AO101" s="485"/>
      <c r="AP101" s="490"/>
      <c r="AQ101" s="490"/>
      <c r="AR101" s="483"/>
      <c r="AS101" s="653"/>
      <c r="AT101" s="485"/>
      <c r="AU101" s="490"/>
      <c r="AV101" s="490"/>
      <c r="AW101" s="483"/>
      <c r="AX101" s="653"/>
      <c r="AZ101" s="377" t="e">
        <f t="shared" si="50"/>
        <v>#N/A</v>
      </c>
      <c r="BA101" s="653"/>
    </row>
    <row r="102" spans="2:53" ht="15.75">
      <c r="B102" s="643" t="s">
        <v>496</v>
      </c>
      <c r="C102" s="644"/>
      <c r="D102" s="644"/>
      <c r="E102" s="644"/>
      <c r="F102" s="644"/>
      <c r="G102" s="644"/>
      <c r="H102" s="645"/>
      <c r="I102" s="205"/>
      <c r="J102" s="205"/>
      <c r="K102" s="205"/>
      <c r="L102" s="205"/>
      <c r="M102" s="204"/>
      <c r="N102" s="639" t="s">
        <v>497</v>
      </c>
      <c r="O102" s="639" t="s">
        <v>498</v>
      </c>
      <c r="P102" s="634"/>
      <c r="Q102" s="635"/>
      <c r="R102" s="635"/>
      <c r="S102" s="635"/>
      <c r="T102" s="635"/>
      <c r="U102" s="636"/>
      <c r="V102" s="637"/>
      <c r="W102" s="637"/>
      <c r="X102" s="637"/>
      <c r="Y102" s="638"/>
      <c r="Z102" s="636"/>
      <c r="AA102" s="637"/>
      <c r="AB102" s="637"/>
      <c r="AC102" s="637"/>
      <c r="AD102" s="638"/>
      <c r="AE102" s="636"/>
      <c r="AF102" s="637"/>
      <c r="AG102" s="637"/>
      <c r="AH102" s="637"/>
      <c r="AI102" s="638"/>
      <c r="AJ102" s="636"/>
      <c r="AK102" s="637"/>
      <c r="AL102" s="637"/>
      <c r="AM102" s="637"/>
      <c r="AN102" s="638"/>
      <c r="AO102" s="636"/>
      <c r="AP102" s="637"/>
      <c r="AQ102" s="637"/>
      <c r="AR102" s="637"/>
      <c r="AS102" s="638"/>
      <c r="AT102" s="636"/>
      <c r="AU102" s="637"/>
      <c r="AV102" s="637"/>
      <c r="AW102" s="637"/>
      <c r="AX102" s="638"/>
    </row>
    <row r="103" spans="2:53" ht="15.75">
      <c r="B103" s="646"/>
      <c r="C103" s="646"/>
      <c r="D103" s="646"/>
      <c r="E103" s="646"/>
      <c r="F103" s="646"/>
      <c r="G103" s="646"/>
      <c r="H103" s="646"/>
      <c r="I103" s="202"/>
      <c r="J103" s="202"/>
      <c r="K103" s="202"/>
      <c r="L103" s="202"/>
      <c r="M103" s="203"/>
      <c r="N103" s="641"/>
      <c r="O103" s="641"/>
      <c r="P103" s="634" t="s">
        <v>499</v>
      </c>
      <c r="Q103" s="635"/>
      <c r="R103" s="635"/>
      <c r="S103" s="635"/>
      <c r="T103" s="635"/>
      <c r="U103" s="634" t="s">
        <v>500</v>
      </c>
      <c r="V103" s="635"/>
      <c r="W103" s="635"/>
      <c r="X103" s="635"/>
      <c r="Y103" s="635"/>
      <c r="Z103" s="634" t="s">
        <v>501</v>
      </c>
      <c r="AA103" s="635"/>
      <c r="AB103" s="635"/>
      <c r="AC103" s="635"/>
      <c r="AD103" s="635"/>
      <c r="AE103" s="634" t="s">
        <v>502</v>
      </c>
      <c r="AF103" s="635"/>
      <c r="AG103" s="635"/>
      <c r="AH103" s="635"/>
      <c r="AI103" s="635"/>
      <c r="AJ103" s="634" t="s">
        <v>503</v>
      </c>
      <c r="AK103" s="635"/>
      <c r="AL103" s="635"/>
      <c r="AM103" s="635"/>
      <c r="AN103" s="635"/>
      <c r="AO103" s="634" t="s">
        <v>504</v>
      </c>
      <c r="AP103" s="635"/>
      <c r="AQ103" s="635"/>
      <c r="AR103" s="635"/>
      <c r="AS103" s="635"/>
      <c r="AT103" s="634" t="s">
        <v>505</v>
      </c>
      <c r="AU103" s="635"/>
      <c r="AV103" s="635"/>
      <c r="AW103" s="635"/>
      <c r="AX103" s="635"/>
    </row>
    <row r="104" spans="2:53">
      <c r="B104" s="624" t="s">
        <v>506</v>
      </c>
      <c r="C104" s="624" t="s">
        <v>507</v>
      </c>
      <c r="D104" s="624"/>
      <c r="E104" s="624" t="s">
        <v>508</v>
      </c>
      <c r="F104" s="624"/>
      <c r="G104" s="624"/>
      <c r="H104" s="647" t="s">
        <v>509</v>
      </c>
      <c r="I104" s="624" t="s">
        <v>510</v>
      </c>
      <c r="J104" s="624"/>
      <c r="K104" s="624"/>
      <c r="L104" s="647" t="s">
        <v>509</v>
      </c>
      <c r="M104" s="639" t="s">
        <v>511</v>
      </c>
      <c r="N104" s="624"/>
      <c r="O104" s="624" t="s">
        <v>512</v>
      </c>
      <c r="P104" s="621" t="s">
        <v>513</v>
      </c>
      <c r="Q104" s="622"/>
      <c r="R104" s="622"/>
      <c r="S104" s="623"/>
      <c r="T104" s="624" t="s">
        <v>509</v>
      </c>
      <c r="U104" s="621" t="s">
        <v>513</v>
      </c>
      <c r="V104" s="622"/>
      <c r="W104" s="622"/>
      <c r="X104" s="623"/>
      <c r="Y104" s="624" t="s">
        <v>509</v>
      </c>
      <c r="Z104" s="621" t="s">
        <v>513</v>
      </c>
      <c r="AA104" s="622"/>
      <c r="AB104" s="622"/>
      <c r="AC104" s="623"/>
      <c r="AD104" s="624" t="s">
        <v>509</v>
      </c>
      <c r="AE104" s="621" t="s">
        <v>513</v>
      </c>
      <c r="AF104" s="622"/>
      <c r="AG104" s="622"/>
      <c r="AH104" s="623"/>
      <c r="AI104" s="624" t="s">
        <v>509</v>
      </c>
      <c r="AJ104" s="621" t="s">
        <v>513</v>
      </c>
      <c r="AK104" s="622"/>
      <c r="AL104" s="622"/>
      <c r="AM104" s="623"/>
      <c r="AN104" s="624" t="s">
        <v>509</v>
      </c>
      <c r="AO104" s="621" t="s">
        <v>513</v>
      </c>
      <c r="AP104" s="622"/>
      <c r="AQ104" s="622"/>
      <c r="AR104" s="623"/>
      <c r="AS104" s="624" t="s">
        <v>509</v>
      </c>
      <c r="AT104" s="621" t="s">
        <v>513</v>
      </c>
      <c r="AU104" s="622"/>
      <c r="AV104" s="622"/>
      <c r="AW104" s="623"/>
      <c r="AX104" s="624" t="s">
        <v>509</v>
      </c>
    </row>
    <row r="105" spans="2:53">
      <c r="B105" s="624"/>
      <c r="C105" s="624"/>
      <c r="D105" s="624"/>
      <c r="E105" s="624" t="s">
        <v>514</v>
      </c>
      <c r="F105" s="624"/>
      <c r="G105" s="624"/>
      <c r="H105" s="648"/>
      <c r="I105" s="624" t="s">
        <v>514</v>
      </c>
      <c r="J105" s="624"/>
      <c r="K105" s="624"/>
      <c r="L105" s="648"/>
      <c r="M105" s="640"/>
      <c r="N105" s="624"/>
      <c r="O105" s="624"/>
      <c r="P105" s="621" t="s">
        <v>515</v>
      </c>
      <c r="Q105" s="622"/>
      <c r="R105" s="622"/>
      <c r="S105" s="623"/>
      <c r="T105" s="624"/>
      <c r="U105" s="621" t="s">
        <v>515</v>
      </c>
      <c r="V105" s="622"/>
      <c r="W105" s="622"/>
      <c r="X105" s="623"/>
      <c r="Y105" s="624"/>
      <c r="Z105" s="621" t="s">
        <v>515</v>
      </c>
      <c r="AA105" s="622"/>
      <c r="AB105" s="622"/>
      <c r="AC105" s="623"/>
      <c r="AD105" s="624"/>
      <c r="AE105" s="621" t="s">
        <v>515</v>
      </c>
      <c r="AF105" s="622"/>
      <c r="AG105" s="622"/>
      <c r="AH105" s="623"/>
      <c r="AI105" s="624"/>
      <c r="AJ105" s="621" t="s">
        <v>515</v>
      </c>
      <c r="AK105" s="622"/>
      <c r="AL105" s="622"/>
      <c r="AM105" s="623"/>
      <c r="AN105" s="624"/>
      <c r="AO105" s="621" t="s">
        <v>515</v>
      </c>
      <c r="AP105" s="622"/>
      <c r="AQ105" s="622"/>
      <c r="AR105" s="623"/>
      <c r="AS105" s="624"/>
      <c r="AT105" s="621" t="s">
        <v>515</v>
      </c>
      <c r="AU105" s="622"/>
      <c r="AV105" s="622"/>
      <c r="AW105" s="623"/>
      <c r="AX105" s="624"/>
    </row>
    <row r="106" spans="2:53">
      <c r="B106" s="624"/>
      <c r="C106" s="624"/>
      <c r="D106" s="624"/>
      <c r="E106" s="353" t="s">
        <v>516</v>
      </c>
      <c r="F106" s="353" t="s">
        <v>517</v>
      </c>
      <c r="G106" s="353" t="s">
        <v>518</v>
      </c>
      <c r="H106" s="649"/>
      <c r="I106" s="353" t="s">
        <v>516</v>
      </c>
      <c r="J106" s="353" t="s">
        <v>517</v>
      </c>
      <c r="K106" s="353" t="s">
        <v>518</v>
      </c>
      <c r="L106" s="649"/>
      <c r="M106" s="641"/>
      <c r="N106" s="624"/>
      <c r="O106" s="624"/>
      <c r="P106" s="353" t="s">
        <v>516</v>
      </c>
      <c r="Q106" s="353" t="s">
        <v>517</v>
      </c>
      <c r="R106" s="353" t="s">
        <v>518</v>
      </c>
      <c r="S106" s="353" t="s">
        <v>511</v>
      </c>
      <c r="T106" s="624"/>
      <c r="U106" s="353" t="s">
        <v>516</v>
      </c>
      <c r="V106" s="353" t="s">
        <v>517</v>
      </c>
      <c r="W106" s="353" t="s">
        <v>518</v>
      </c>
      <c r="X106" s="353" t="s">
        <v>511</v>
      </c>
      <c r="Y106" s="624"/>
      <c r="Z106" s="353" t="s">
        <v>516</v>
      </c>
      <c r="AA106" s="353" t="s">
        <v>517</v>
      </c>
      <c r="AB106" s="353" t="s">
        <v>518</v>
      </c>
      <c r="AC106" s="353" t="s">
        <v>511</v>
      </c>
      <c r="AD106" s="624"/>
      <c r="AE106" s="353" t="s">
        <v>516</v>
      </c>
      <c r="AF106" s="353" t="s">
        <v>517</v>
      </c>
      <c r="AG106" s="353" t="s">
        <v>518</v>
      </c>
      <c r="AH106" s="353" t="s">
        <v>511</v>
      </c>
      <c r="AI106" s="624"/>
      <c r="AJ106" s="353" t="s">
        <v>516</v>
      </c>
      <c r="AK106" s="353" t="s">
        <v>517</v>
      </c>
      <c r="AL106" s="353" t="s">
        <v>518</v>
      </c>
      <c r="AM106" s="353" t="s">
        <v>511</v>
      </c>
      <c r="AN106" s="624"/>
      <c r="AO106" s="353" t="s">
        <v>516</v>
      </c>
      <c r="AP106" s="353" t="s">
        <v>517</v>
      </c>
      <c r="AQ106" s="353" t="s">
        <v>518</v>
      </c>
      <c r="AR106" s="353" t="s">
        <v>511</v>
      </c>
      <c r="AS106" s="624"/>
      <c r="AT106" s="353" t="s">
        <v>516</v>
      </c>
      <c r="AU106" s="353" t="s">
        <v>517</v>
      </c>
      <c r="AV106" s="353" t="s">
        <v>518</v>
      </c>
      <c r="AW106" s="353" t="s">
        <v>511</v>
      </c>
      <c r="AX106" s="624"/>
    </row>
    <row r="107" spans="2:53">
      <c r="B107" s="675" t="s">
        <v>523</v>
      </c>
      <c r="C107" s="359">
        <v>1</v>
      </c>
      <c r="D107" s="498"/>
      <c r="E107" s="497"/>
      <c r="F107" s="497"/>
      <c r="G107" s="501"/>
      <c r="H107" s="671" t="e">
        <f>AVERAGE(G107:G121)</f>
        <v>#DIV/0!</v>
      </c>
      <c r="I107" s="379" t="str">
        <f t="shared" ref="I107:K121" si="52">IFERROR(AVERAGE(P107,U107,Z107,AE107,AJ107,AO107,AT107),"-")</f>
        <v>-</v>
      </c>
      <c r="J107" s="379" t="str">
        <f t="shared" si="52"/>
        <v>-</v>
      </c>
      <c r="K107" s="363" t="str">
        <f t="shared" si="52"/>
        <v>-</v>
      </c>
      <c r="L107" s="614" t="str">
        <f>IFERROR(AVERAGE(K107:K121),"-")</f>
        <v>-</v>
      </c>
      <c r="M107" s="366" t="e">
        <f>RANK(K107, K$107:$K$121)</f>
        <v>#VALUE!</v>
      </c>
      <c r="N107" s="624"/>
      <c r="O107" s="624"/>
      <c r="P107" s="497"/>
      <c r="Q107" s="501"/>
      <c r="R107" s="501"/>
      <c r="S107" s="500"/>
      <c r="T107" s="674"/>
      <c r="U107" s="182"/>
      <c r="V107" s="182"/>
      <c r="W107" s="362"/>
      <c r="X107" s="359"/>
      <c r="Y107" s="674"/>
      <c r="Z107" s="182"/>
      <c r="AA107" s="182"/>
      <c r="AB107" s="362"/>
      <c r="AC107" s="359"/>
      <c r="AD107" s="674"/>
      <c r="AE107" s="182"/>
      <c r="AF107" s="182"/>
      <c r="AG107" s="362"/>
      <c r="AH107" s="359"/>
      <c r="AI107" s="674"/>
      <c r="AJ107" s="182"/>
      <c r="AK107" s="182"/>
      <c r="AL107" s="362"/>
      <c r="AM107" s="359"/>
      <c r="AN107" s="674"/>
      <c r="AO107" s="182"/>
      <c r="AP107" s="182"/>
      <c r="AQ107" s="362"/>
      <c r="AR107" s="359"/>
      <c r="AS107" s="674"/>
      <c r="AT107" s="182"/>
      <c r="AU107" s="182"/>
      <c r="AV107" s="362"/>
      <c r="AW107" s="359"/>
      <c r="AX107" s="674"/>
      <c r="AZ107" s="500" t="e">
        <f>RANK(AY107, AY$107:AY$121)</f>
        <v>#N/A</v>
      </c>
      <c r="BA107" s="674" t="e">
        <f t="shared" ref="BA107" si="53">AVERAGE(AY107:AY121)</f>
        <v>#DIV/0!</v>
      </c>
    </row>
    <row r="108" spans="2:53">
      <c r="B108" s="661"/>
      <c r="C108" s="359">
        <v>2</v>
      </c>
      <c r="D108" s="497"/>
      <c r="E108" s="497"/>
      <c r="F108" s="497"/>
      <c r="G108" s="501"/>
      <c r="H108" s="672"/>
      <c r="I108" s="379" t="str">
        <f t="shared" si="52"/>
        <v>-</v>
      </c>
      <c r="J108" s="379" t="str">
        <f t="shared" si="52"/>
        <v>-</v>
      </c>
      <c r="K108" s="363" t="str">
        <f t="shared" si="52"/>
        <v>-</v>
      </c>
      <c r="L108" s="615"/>
      <c r="M108" s="366" t="e">
        <f>RANK(K108, K$107:$K$121)</f>
        <v>#VALUE!</v>
      </c>
      <c r="N108" s="624"/>
      <c r="O108" s="624"/>
      <c r="P108" s="497"/>
      <c r="Q108" s="501"/>
      <c r="R108" s="501"/>
      <c r="S108" s="500"/>
      <c r="T108" s="674"/>
      <c r="U108" s="354"/>
      <c r="V108" s="182"/>
      <c r="W108" s="362"/>
      <c r="X108" s="359"/>
      <c r="Y108" s="674"/>
      <c r="Z108" s="354"/>
      <c r="AA108" s="182"/>
      <c r="AB108" s="362"/>
      <c r="AC108" s="359"/>
      <c r="AD108" s="674"/>
      <c r="AE108" s="354"/>
      <c r="AF108" s="182"/>
      <c r="AG108" s="362"/>
      <c r="AH108" s="359"/>
      <c r="AI108" s="674"/>
      <c r="AJ108" s="354"/>
      <c r="AK108" s="182"/>
      <c r="AL108" s="362"/>
      <c r="AM108" s="359"/>
      <c r="AN108" s="674"/>
      <c r="AO108" s="354"/>
      <c r="AP108" s="182"/>
      <c r="AQ108" s="362"/>
      <c r="AR108" s="359"/>
      <c r="AS108" s="674"/>
      <c r="AT108" s="354"/>
      <c r="AU108" s="182"/>
      <c r="AV108" s="362"/>
      <c r="AW108" s="359"/>
      <c r="AX108" s="674"/>
      <c r="AZ108" s="500" t="e">
        <f t="shared" ref="AZ108:AZ121" si="54">RANK(AY108, AY$107:AY$121)</f>
        <v>#N/A</v>
      </c>
      <c r="BA108" s="674"/>
    </row>
    <row r="109" spans="2:53">
      <c r="B109" s="661"/>
      <c r="C109" s="359">
        <v>3</v>
      </c>
      <c r="D109" s="497"/>
      <c r="E109" s="497"/>
      <c r="F109" s="497"/>
      <c r="G109" s="501"/>
      <c r="H109" s="672"/>
      <c r="I109" s="379" t="str">
        <f t="shared" si="52"/>
        <v>-</v>
      </c>
      <c r="J109" s="379" t="str">
        <f t="shared" si="52"/>
        <v>-</v>
      </c>
      <c r="K109" s="363" t="str">
        <f t="shared" si="52"/>
        <v>-</v>
      </c>
      <c r="L109" s="615"/>
      <c r="M109" s="366" t="e">
        <f>RANK(K109, K$107:$K$121)</f>
        <v>#VALUE!</v>
      </c>
      <c r="N109" s="624"/>
      <c r="O109" s="624"/>
      <c r="P109" s="497"/>
      <c r="Q109" s="501"/>
      <c r="R109" s="501"/>
      <c r="S109" s="500"/>
      <c r="T109" s="674"/>
      <c r="U109" s="354"/>
      <c r="V109" s="182"/>
      <c r="W109" s="362"/>
      <c r="X109" s="359"/>
      <c r="Y109" s="674"/>
      <c r="Z109" s="354"/>
      <c r="AA109" s="182"/>
      <c r="AB109" s="362"/>
      <c r="AC109" s="359"/>
      <c r="AD109" s="674"/>
      <c r="AE109" s="354"/>
      <c r="AF109" s="182"/>
      <c r="AG109" s="362"/>
      <c r="AH109" s="359"/>
      <c r="AI109" s="674"/>
      <c r="AJ109" s="354"/>
      <c r="AK109" s="182"/>
      <c r="AL109" s="362"/>
      <c r="AM109" s="359"/>
      <c r="AN109" s="674"/>
      <c r="AO109" s="354"/>
      <c r="AP109" s="182"/>
      <c r="AQ109" s="362"/>
      <c r="AR109" s="359"/>
      <c r="AS109" s="674"/>
      <c r="AT109" s="354"/>
      <c r="AU109" s="182"/>
      <c r="AV109" s="362"/>
      <c r="AW109" s="359"/>
      <c r="AX109" s="674"/>
      <c r="AZ109" s="500" t="e">
        <f t="shared" si="54"/>
        <v>#N/A</v>
      </c>
      <c r="BA109" s="674"/>
    </row>
    <row r="110" spans="2:53">
      <c r="B110" s="661"/>
      <c r="C110" s="359">
        <v>4</v>
      </c>
      <c r="D110" s="354"/>
      <c r="E110" s="354"/>
      <c r="F110" s="354"/>
      <c r="G110" s="182"/>
      <c r="H110" s="672"/>
      <c r="I110" s="379" t="str">
        <f t="shared" si="52"/>
        <v>-</v>
      </c>
      <c r="J110" s="379" t="str">
        <f t="shared" si="52"/>
        <v>-</v>
      </c>
      <c r="K110" s="363" t="str">
        <f t="shared" si="52"/>
        <v>-</v>
      </c>
      <c r="L110" s="615"/>
      <c r="M110" s="366" t="e">
        <f>RANK(K110, K$107:$K$121)</f>
        <v>#VALUE!</v>
      </c>
      <c r="N110" s="624"/>
      <c r="O110" s="624"/>
      <c r="P110" s="354"/>
      <c r="Q110" s="182"/>
      <c r="R110" s="362"/>
      <c r="S110" s="500"/>
      <c r="T110" s="674"/>
      <c r="U110" s="354"/>
      <c r="V110" s="182"/>
      <c r="W110" s="362"/>
      <c r="X110" s="359"/>
      <c r="Y110" s="674"/>
      <c r="Z110" s="354"/>
      <c r="AA110" s="182"/>
      <c r="AB110" s="362"/>
      <c r="AC110" s="359"/>
      <c r="AD110" s="674"/>
      <c r="AE110" s="354"/>
      <c r="AF110" s="182"/>
      <c r="AG110" s="362"/>
      <c r="AH110" s="359"/>
      <c r="AI110" s="674"/>
      <c r="AJ110" s="354"/>
      <c r="AK110" s="182"/>
      <c r="AL110" s="362"/>
      <c r="AM110" s="359"/>
      <c r="AN110" s="674"/>
      <c r="AO110" s="354"/>
      <c r="AP110" s="182"/>
      <c r="AQ110" s="362"/>
      <c r="AR110" s="359"/>
      <c r="AS110" s="674"/>
      <c r="AT110" s="354"/>
      <c r="AU110" s="182"/>
      <c r="AV110" s="362"/>
      <c r="AW110" s="359"/>
      <c r="AX110" s="674"/>
      <c r="AZ110" s="500" t="e">
        <f t="shared" si="54"/>
        <v>#N/A</v>
      </c>
      <c r="BA110" s="674"/>
    </row>
    <row r="111" spans="2:53">
      <c r="B111" s="661"/>
      <c r="C111" s="359">
        <v>5</v>
      </c>
      <c r="D111" s="354"/>
      <c r="E111" s="354"/>
      <c r="F111" s="354"/>
      <c r="G111" s="182"/>
      <c r="H111" s="672"/>
      <c r="I111" s="379" t="str">
        <f t="shared" si="52"/>
        <v>-</v>
      </c>
      <c r="J111" s="379" t="str">
        <f t="shared" si="52"/>
        <v>-</v>
      </c>
      <c r="K111" s="363" t="str">
        <f t="shared" si="52"/>
        <v>-</v>
      </c>
      <c r="L111" s="615"/>
      <c r="M111" s="366" t="e">
        <f>RANK(K111, K$107:$K$121)</f>
        <v>#VALUE!</v>
      </c>
      <c r="N111" s="624"/>
      <c r="O111" s="624"/>
      <c r="P111" s="354"/>
      <c r="Q111" s="182"/>
      <c r="R111" s="362"/>
      <c r="S111" s="500"/>
      <c r="T111" s="674"/>
      <c r="U111" s="354"/>
      <c r="V111" s="182"/>
      <c r="W111" s="362"/>
      <c r="X111" s="359"/>
      <c r="Y111" s="674"/>
      <c r="Z111" s="354"/>
      <c r="AA111" s="182"/>
      <c r="AB111" s="362"/>
      <c r="AC111" s="359"/>
      <c r="AD111" s="674"/>
      <c r="AE111" s="354"/>
      <c r="AF111" s="182"/>
      <c r="AG111" s="362"/>
      <c r="AH111" s="359"/>
      <c r="AI111" s="674"/>
      <c r="AJ111" s="354"/>
      <c r="AK111" s="182"/>
      <c r="AL111" s="362"/>
      <c r="AM111" s="359"/>
      <c r="AN111" s="674"/>
      <c r="AO111" s="354"/>
      <c r="AP111" s="182"/>
      <c r="AQ111" s="362"/>
      <c r="AR111" s="359"/>
      <c r="AS111" s="674"/>
      <c r="AT111" s="354"/>
      <c r="AU111" s="182"/>
      <c r="AV111" s="362"/>
      <c r="AW111" s="359"/>
      <c r="AX111" s="674"/>
      <c r="AZ111" s="500" t="e">
        <f t="shared" si="54"/>
        <v>#N/A</v>
      </c>
      <c r="BA111" s="674"/>
    </row>
    <row r="112" spans="2:53">
      <c r="B112" s="661"/>
      <c r="C112" s="359">
        <v>6</v>
      </c>
      <c r="D112" s="354"/>
      <c r="E112" s="354"/>
      <c r="F112" s="354"/>
      <c r="G112" s="182"/>
      <c r="H112" s="672"/>
      <c r="I112" s="379" t="str">
        <f t="shared" si="52"/>
        <v>-</v>
      </c>
      <c r="J112" s="379" t="str">
        <f t="shared" si="52"/>
        <v>-</v>
      </c>
      <c r="K112" s="363" t="str">
        <f t="shared" si="52"/>
        <v>-</v>
      </c>
      <c r="L112" s="615"/>
      <c r="M112" s="366" t="e">
        <f>RANK(K112, K$107:$K$121)</f>
        <v>#VALUE!</v>
      </c>
      <c r="N112" s="624"/>
      <c r="O112" s="624"/>
      <c r="P112" s="354"/>
      <c r="Q112" s="182"/>
      <c r="R112" s="362"/>
      <c r="S112" s="500"/>
      <c r="T112" s="674"/>
      <c r="U112" s="354"/>
      <c r="V112" s="182"/>
      <c r="W112" s="362"/>
      <c r="X112" s="359"/>
      <c r="Y112" s="674"/>
      <c r="Z112" s="354"/>
      <c r="AA112" s="182"/>
      <c r="AB112" s="362"/>
      <c r="AC112" s="359"/>
      <c r="AD112" s="674"/>
      <c r="AE112" s="354"/>
      <c r="AF112" s="182"/>
      <c r="AG112" s="362"/>
      <c r="AH112" s="359"/>
      <c r="AI112" s="674"/>
      <c r="AJ112" s="354"/>
      <c r="AK112" s="182"/>
      <c r="AL112" s="362"/>
      <c r="AM112" s="359"/>
      <c r="AN112" s="674"/>
      <c r="AO112" s="354"/>
      <c r="AP112" s="182"/>
      <c r="AQ112" s="362"/>
      <c r="AR112" s="359"/>
      <c r="AS112" s="674"/>
      <c r="AT112" s="354"/>
      <c r="AU112" s="182"/>
      <c r="AV112" s="362"/>
      <c r="AW112" s="359"/>
      <c r="AX112" s="674"/>
      <c r="AZ112" s="500" t="e">
        <f t="shared" si="54"/>
        <v>#N/A</v>
      </c>
      <c r="BA112" s="674"/>
    </row>
    <row r="113" spans="2:53">
      <c r="B113" s="661"/>
      <c r="C113" s="359">
        <v>7</v>
      </c>
      <c r="D113" s="354"/>
      <c r="E113" s="354"/>
      <c r="F113" s="354"/>
      <c r="G113" s="182"/>
      <c r="H113" s="672"/>
      <c r="I113" s="379" t="str">
        <f t="shared" si="52"/>
        <v>-</v>
      </c>
      <c r="J113" s="379" t="str">
        <f t="shared" si="52"/>
        <v>-</v>
      </c>
      <c r="K113" s="363" t="str">
        <f t="shared" si="52"/>
        <v>-</v>
      </c>
      <c r="L113" s="615"/>
      <c r="M113" s="366" t="e">
        <f>RANK(K113, K$107:$K$121)</f>
        <v>#VALUE!</v>
      </c>
      <c r="N113" s="624"/>
      <c r="O113" s="624"/>
      <c r="P113" s="354"/>
      <c r="Q113" s="182"/>
      <c r="R113" s="362"/>
      <c r="S113" s="500"/>
      <c r="T113" s="674"/>
      <c r="U113" s="354"/>
      <c r="V113" s="182"/>
      <c r="W113" s="362"/>
      <c r="X113" s="359"/>
      <c r="Y113" s="674"/>
      <c r="Z113" s="354"/>
      <c r="AA113" s="182"/>
      <c r="AB113" s="362"/>
      <c r="AC113" s="359"/>
      <c r="AD113" s="674"/>
      <c r="AE113" s="354"/>
      <c r="AF113" s="182"/>
      <c r="AG113" s="362"/>
      <c r="AH113" s="359"/>
      <c r="AI113" s="674"/>
      <c r="AJ113" s="354"/>
      <c r="AK113" s="182"/>
      <c r="AL113" s="362"/>
      <c r="AM113" s="359"/>
      <c r="AN113" s="674"/>
      <c r="AO113" s="354"/>
      <c r="AP113" s="182"/>
      <c r="AQ113" s="362"/>
      <c r="AR113" s="359"/>
      <c r="AS113" s="674"/>
      <c r="AT113" s="354"/>
      <c r="AU113" s="182"/>
      <c r="AV113" s="362"/>
      <c r="AW113" s="359"/>
      <c r="AX113" s="674"/>
      <c r="AZ113" s="500" t="e">
        <f t="shared" si="54"/>
        <v>#N/A</v>
      </c>
      <c r="BA113" s="674"/>
    </row>
    <row r="114" spans="2:53">
      <c r="B114" s="661"/>
      <c r="C114" s="359">
        <v>8</v>
      </c>
      <c r="D114" s="354"/>
      <c r="E114" s="354"/>
      <c r="F114" s="354"/>
      <c r="G114" s="182"/>
      <c r="H114" s="672"/>
      <c r="I114" s="379" t="str">
        <f t="shared" si="52"/>
        <v>-</v>
      </c>
      <c r="J114" s="379" t="str">
        <f t="shared" si="52"/>
        <v>-</v>
      </c>
      <c r="K114" s="363" t="str">
        <f t="shared" si="52"/>
        <v>-</v>
      </c>
      <c r="L114" s="615"/>
      <c r="M114" s="366" t="e">
        <f>RANK(K114, K$107:$K$121)</f>
        <v>#VALUE!</v>
      </c>
      <c r="N114" s="624"/>
      <c r="O114" s="624"/>
      <c r="P114" s="354"/>
      <c r="Q114" s="182"/>
      <c r="R114" s="362"/>
      <c r="S114" s="500"/>
      <c r="T114" s="674"/>
      <c r="U114" s="354"/>
      <c r="V114" s="182"/>
      <c r="W114" s="362"/>
      <c r="X114" s="359"/>
      <c r="Y114" s="674"/>
      <c r="Z114" s="354"/>
      <c r="AA114" s="182"/>
      <c r="AB114" s="362"/>
      <c r="AC114" s="359"/>
      <c r="AD114" s="674"/>
      <c r="AE114" s="354"/>
      <c r="AF114" s="182"/>
      <c r="AG114" s="362"/>
      <c r="AH114" s="359"/>
      <c r="AI114" s="674"/>
      <c r="AJ114" s="354"/>
      <c r="AK114" s="182"/>
      <c r="AL114" s="362"/>
      <c r="AM114" s="359"/>
      <c r="AN114" s="674"/>
      <c r="AO114" s="354"/>
      <c r="AP114" s="182"/>
      <c r="AQ114" s="362"/>
      <c r="AR114" s="359"/>
      <c r="AS114" s="674"/>
      <c r="AT114" s="354"/>
      <c r="AU114" s="182"/>
      <c r="AV114" s="362"/>
      <c r="AW114" s="359"/>
      <c r="AX114" s="674"/>
      <c r="AZ114" s="500" t="e">
        <f t="shared" si="54"/>
        <v>#N/A</v>
      </c>
      <c r="BA114" s="674"/>
    </row>
    <row r="115" spans="2:53">
      <c r="B115" s="661"/>
      <c r="C115" s="359">
        <v>9</v>
      </c>
      <c r="D115" s="354"/>
      <c r="E115" s="354"/>
      <c r="F115" s="354"/>
      <c r="G115" s="182"/>
      <c r="H115" s="672"/>
      <c r="I115" s="379" t="str">
        <f t="shared" si="52"/>
        <v>-</v>
      </c>
      <c r="J115" s="379" t="str">
        <f t="shared" si="52"/>
        <v>-</v>
      </c>
      <c r="K115" s="363" t="str">
        <f t="shared" si="52"/>
        <v>-</v>
      </c>
      <c r="L115" s="615"/>
      <c r="M115" s="366" t="e">
        <f>RANK(K115, K$107:$K$121)</f>
        <v>#VALUE!</v>
      </c>
      <c r="N115" s="624"/>
      <c r="O115" s="624"/>
      <c r="P115" s="354"/>
      <c r="Q115" s="182"/>
      <c r="R115" s="362"/>
      <c r="S115" s="500"/>
      <c r="T115" s="674"/>
      <c r="U115" s="354"/>
      <c r="V115" s="182"/>
      <c r="W115" s="362"/>
      <c r="X115" s="359"/>
      <c r="Y115" s="674"/>
      <c r="Z115" s="354"/>
      <c r="AA115" s="182"/>
      <c r="AB115" s="362"/>
      <c r="AC115" s="359"/>
      <c r="AD115" s="674"/>
      <c r="AE115" s="354"/>
      <c r="AF115" s="182"/>
      <c r="AG115" s="362"/>
      <c r="AH115" s="359"/>
      <c r="AI115" s="674"/>
      <c r="AJ115" s="354"/>
      <c r="AK115" s="182"/>
      <c r="AL115" s="362"/>
      <c r="AM115" s="359"/>
      <c r="AN115" s="674"/>
      <c r="AO115" s="354"/>
      <c r="AP115" s="182"/>
      <c r="AQ115" s="362"/>
      <c r="AR115" s="359"/>
      <c r="AS115" s="674"/>
      <c r="AT115" s="354"/>
      <c r="AU115" s="182"/>
      <c r="AV115" s="362"/>
      <c r="AW115" s="359"/>
      <c r="AX115" s="674"/>
      <c r="AZ115" s="500" t="e">
        <f t="shared" si="54"/>
        <v>#N/A</v>
      </c>
      <c r="BA115" s="674"/>
    </row>
    <row r="116" spans="2:53">
      <c r="B116" s="661"/>
      <c r="C116" s="359">
        <v>10</v>
      </c>
      <c r="D116" s="354"/>
      <c r="E116" s="354"/>
      <c r="F116" s="354"/>
      <c r="G116" s="182"/>
      <c r="H116" s="672"/>
      <c r="I116" s="379" t="str">
        <f t="shared" si="52"/>
        <v>-</v>
      </c>
      <c r="J116" s="379" t="str">
        <f t="shared" si="52"/>
        <v>-</v>
      </c>
      <c r="K116" s="363" t="str">
        <f t="shared" si="52"/>
        <v>-</v>
      </c>
      <c r="L116" s="615"/>
      <c r="M116" s="366" t="e">
        <f>RANK(K116, K$107:$K$121)</f>
        <v>#VALUE!</v>
      </c>
      <c r="N116" s="624"/>
      <c r="O116" s="624"/>
      <c r="P116" s="354"/>
      <c r="Q116" s="182"/>
      <c r="R116" s="362"/>
      <c r="S116" s="500"/>
      <c r="T116" s="674"/>
      <c r="U116" s="354"/>
      <c r="V116" s="182"/>
      <c r="W116" s="362"/>
      <c r="X116" s="359"/>
      <c r="Y116" s="674"/>
      <c r="Z116" s="354"/>
      <c r="AA116" s="182"/>
      <c r="AB116" s="362"/>
      <c r="AC116" s="359"/>
      <c r="AD116" s="674"/>
      <c r="AE116" s="354"/>
      <c r="AF116" s="182"/>
      <c r="AG116" s="362"/>
      <c r="AH116" s="359"/>
      <c r="AI116" s="674"/>
      <c r="AJ116" s="354"/>
      <c r="AK116" s="182"/>
      <c r="AL116" s="362"/>
      <c r="AM116" s="359"/>
      <c r="AN116" s="674"/>
      <c r="AO116" s="354"/>
      <c r="AP116" s="182"/>
      <c r="AQ116" s="362"/>
      <c r="AR116" s="359"/>
      <c r="AS116" s="674"/>
      <c r="AT116" s="354"/>
      <c r="AU116" s="182"/>
      <c r="AV116" s="362"/>
      <c r="AW116" s="359"/>
      <c r="AX116" s="674"/>
      <c r="AZ116" s="500" t="e">
        <f t="shared" si="54"/>
        <v>#N/A</v>
      </c>
      <c r="BA116" s="674"/>
    </row>
    <row r="117" spans="2:53">
      <c r="B117" s="661"/>
      <c r="C117" s="359">
        <v>11</v>
      </c>
      <c r="D117" s="354"/>
      <c r="E117" s="354"/>
      <c r="F117" s="354"/>
      <c r="G117" s="182"/>
      <c r="H117" s="672"/>
      <c r="I117" s="379" t="str">
        <f t="shared" si="52"/>
        <v>-</v>
      </c>
      <c r="J117" s="379" t="str">
        <f t="shared" si="52"/>
        <v>-</v>
      </c>
      <c r="K117" s="363" t="str">
        <f t="shared" si="52"/>
        <v>-</v>
      </c>
      <c r="L117" s="615"/>
      <c r="M117" s="366" t="e">
        <f>RANK(K117, K$107:$K$121)</f>
        <v>#VALUE!</v>
      </c>
      <c r="N117" s="624"/>
      <c r="O117" s="624"/>
      <c r="P117" s="354"/>
      <c r="Q117" s="354"/>
      <c r="R117" s="354"/>
      <c r="S117" s="500"/>
      <c r="T117" s="674"/>
      <c r="U117" s="354"/>
      <c r="V117" s="354"/>
      <c r="W117" s="354"/>
      <c r="X117" s="359"/>
      <c r="Y117" s="674"/>
      <c r="Z117" s="354"/>
      <c r="AA117" s="354"/>
      <c r="AB117" s="354"/>
      <c r="AC117" s="359"/>
      <c r="AD117" s="674"/>
      <c r="AE117" s="354"/>
      <c r="AF117" s="354"/>
      <c r="AG117" s="354"/>
      <c r="AH117" s="359"/>
      <c r="AI117" s="674"/>
      <c r="AJ117" s="354"/>
      <c r="AK117" s="354"/>
      <c r="AL117" s="354"/>
      <c r="AM117" s="359"/>
      <c r="AN117" s="674"/>
      <c r="AO117" s="354"/>
      <c r="AP117" s="354"/>
      <c r="AQ117" s="354"/>
      <c r="AR117" s="359"/>
      <c r="AS117" s="674"/>
      <c r="AT117" s="354"/>
      <c r="AU117" s="354"/>
      <c r="AV117" s="354"/>
      <c r="AW117" s="359"/>
      <c r="AX117" s="674"/>
      <c r="AZ117" s="500" t="e">
        <f t="shared" si="54"/>
        <v>#N/A</v>
      </c>
      <c r="BA117" s="674"/>
    </row>
    <row r="118" spans="2:53">
      <c r="B118" s="661"/>
      <c r="C118" s="359">
        <v>12</v>
      </c>
      <c r="D118" s="354"/>
      <c r="E118" s="354"/>
      <c r="F118" s="354"/>
      <c r="G118" s="182"/>
      <c r="H118" s="672"/>
      <c r="I118" s="379" t="str">
        <f t="shared" si="52"/>
        <v>-</v>
      </c>
      <c r="J118" s="379" t="str">
        <f t="shared" si="52"/>
        <v>-</v>
      </c>
      <c r="K118" s="363" t="str">
        <f t="shared" si="52"/>
        <v>-</v>
      </c>
      <c r="L118" s="615"/>
      <c r="M118" s="366" t="e">
        <f>RANK(K118, K$107:$K$121)</f>
        <v>#VALUE!</v>
      </c>
      <c r="N118" s="624"/>
      <c r="O118" s="624"/>
      <c r="P118" s="354"/>
      <c r="Q118" s="354"/>
      <c r="R118" s="354"/>
      <c r="S118" s="500"/>
      <c r="T118" s="674"/>
      <c r="U118" s="354"/>
      <c r="V118" s="354"/>
      <c r="W118" s="354"/>
      <c r="X118" s="359"/>
      <c r="Y118" s="674"/>
      <c r="Z118" s="354"/>
      <c r="AA118" s="354"/>
      <c r="AB118" s="354"/>
      <c r="AC118" s="359"/>
      <c r="AD118" s="674"/>
      <c r="AE118" s="354"/>
      <c r="AF118" s="354"/>
      <c r="AG118" s="354"/>
      <c r="AH118" s="359"/>
      <c r="AI118" s="674"/>
      <c r="AJ118" s="354"/>
      <c r="AK118" s="354"/>
      <c r="AL118" s="354"/>
      <c r="AM118" s="359"/>
      <c r="AN118" s="674"/>
      <c r="AO118" s="354"/>
      <c r="AP118" s="354"/>
      <c r="AQ118" s="354"/>
      <c r="AR118" s="359"/>
      <c r="AS118" s="674"/>
      <c r="AT118" s="354"/>
      <c r="AU118" s="354"/>
      <c r="AV118" s="354"/>
      <c r="AW118" s="359"/>
      <c r="AX118" s="674"/>
      <c r="AZ118" s="500" t="e">
        <f t="shared" si="54"/>
        <v>#N/A</v>
      </c>
      <c r="BA118" s="674"/>
    </row>
    <row r="119" spans="2:53">
      <c r="B119" s="661"/>
      <c r="C119" s="359">
        <v>13</v>
      </c>
      <c r="D119" s="354"/>
      <c r="E119" s="354"/>
      <c r="F119" s="354"/>
      <c r="G119" s="182"/>
      <c r="H119" s="672"/>
      <c r="I119" s="379" t="str">
        <f t="shared" si="52"/>
        <v>-</v>
      </c>
      <c r="J119" s="379" t="str">
        <f t="shared" si="52"/>
        <v>-</v>
      </c>
      <c r="K119" s="363" t="str">
        <f t="shared" si="52"/>
        <v>-</v>
      </c>
      <c r="L119" s="615"/>
      <c r="M119" s="366" t="e">
        <f>RANK(K119, K$107:$K$121)</f>
        <v>#VALUE!</v>
      </c>
      <c r="N119" s="624"/>
      <c r="O119" s="624"/>
      <c r="P119" s="354"/>
      <c r="Q119" s="354"/>
      <c r="R119" s="354"/>
      <c r="S119" s="500"/>
      <c r="T119" s="674"/>
      <c r="U119" s="354"/>
      <c r="V119" s="354"/>
      <c r="W119" s="354"/>
      <c r="X119" s="359"/>
      <c r="Y119" s="674"/>
      <c r="Z119" s="354"/>
      <c r="AA119" s="354"/>
      <c r="AB119" s="354"/>
      <c r="AC119" s="359"/>
      <c r="AD119" s="674"/>
      <c r="AE119" s="354"/>
      <c r="AF119" s="354"/>
      <c r="AG119" s="354"/>
      <c r="AH119" s="359"/>
      <c r="AI119" s="674"/>
      <c r="AJ119" s="354"/>
      <c r="AK119" s="354"/>
      <c r="AL119" s="354"/>
      <c r="AM119" s="359"/>
      <c r="AN119" s="674"/>
      <c r="AO119" s="354"/>
      <c r="AP119" s="354"/>
      <c r="AQ119" s="354"/>
      <c r="AR119" s="359"/>
      <c r="AS119" s="674"/>
      <c r="AT119" s="354"/>
      <c r="AU119" s="354"/>
      <c r="AV119" s="354"/>
      <c r="AW119" s="359"/>
      <c r="AX119" s="674"/>
      <c r="AZ119" s="500" t="e">
        <f t="shared" si="54"/>
        <v>#N/A</v>
      </c>
      <c r="BA119" s="674"/>
    </row>
    <row r="120" spans="2:53">
      <c r="B120" s="661"/>
      <c r="C120" s="359">
        <v>14</v>
      </c>
      <c r="D120" s="354"/>
      <c r="E120" s="354"/>
      <c r="F120" s="354"/>
      <c r="G120" s="182"/>
      <c r="H120" s="672"/>
      <c r="I120" s="379" t="str">
        <f t="shared" si="52"/>
        <v>-</v>
      </c>
      <c r="J120" s="379" t="str">
        <f t="shared" si="52"/>
        <v>-</v>
      </c>
      <c r="K120" s="363" t="str">
        <f t="shared" si="52"/>
        <v>-</v>
      </c>
      <c r="L120" s="615"/>
      <c r="M120" s="366" t="e">
        <f>RANK(K120, K$107:$K$121)</f>
        <v>#VALUE!</v>
      </c>
      <c r="N120" s="624"/>
      <c r="O120" s="624"/>
      <c r="P120" s="354"/>
      <c r="Q120" s="354"/>
      <c r="R120" s="354"/>
      <c r="S120" s="500"/>
      <c r="T120" s="674"/>
      <c r="U120" s="354"/>
      <c r="V120" s="354"/>
      <c r="W120" s="354"/>
      <c r="X120" s="359"/>
      <c r="Y120" s="674"/>
      <c r="Z120" s="354"/>
      <c r="AA120" s="354"/>
      <c r="AB120" s="354"/>
      <c r="AC120" s="359"/>
      <c r="AD120" s="674"/>
      <c r="AE120" s="354"/>
      <c r="AF120" s="354"/>
      <c r="AG120" s="354"/>
      <c r="AH120" s="359"/>
      <c r="AI120" s="674"/>
      <c r="AJ120" s="354"/>
      <c r="AK120" s="354"/>
      <c r="AL120" s="354"/>
      <c r="AM120" s="359"/>
      <c r="AN120" s="674"/>
      <c r="AO120" s="354"/>
      <c r="AP120" s="354"/>
      <c r="AQ120" s="354"/>
      <c r="AR120" s="359"/>
      <c r="AS120" s="674"/>
      <c r="AT120" s="354"/>
      <c r="AU120" s="354"/>
      <c r="AV120" s="354"/>
      <c r="AW120" s="359"/>
      <c r="AX120" s="674"/>
      <c r="AZ120" s="500" t="e">
        <f t="shared" si="54"/>
        <v>#N/A</v>
      </c>
      <c r="BA120" s="674"/>
    </row>
    <row r="121" spans="2:53">
      <c r="B121" s="661"/>
      <c r="C121" s="359">
        <v>15</v>
      </c>
      <c r="D121" s="354"/>
      <c r="E121" s="354"/>
      <c r="F121" s="354"/>
      <c r="G121" s="354"/>
      <c r="H121" s="676"/>
      <c r="I121" s="379" t="str">
        <f t="shared" si="52"/>
        <v>-</v>
      </c>
      <c r="J121" s="379" t="str">
        <f t="shared" si="52"/>
        <v>-</v>
      </c>
      <c r="K121" s="363" t="str">
        <f t="shared" si="52"/>
        <v>-</v>
      </c>
      <c r="L121" s="616"/>
      <c r="M121" s="366" t="e">
        <f>RANK(K121, K$107:$K$121)</f>
        <v>#VALUE!</v>
      </c>
      <c r="N121" s="624"/>
      <c r="O121" s="624"/>
      <c r="P121" s="359"/>
      <c r="Q121" s="366"/>
      <c r="R121" s="366"/>
      <c r="S121" s="500"/>
      <c r="T121" s="674"/>
      <c r="U121" s="359"/>
      <c r="V121" s="366"/>
      <c r="W121" s="366"/>
      <c r="X121" s="359"/>
      <c r="Y121" s="674"/>
      <c r="Z121" s="359"/>
      <c r="AA121" s="366"/>
      <c r="AB121" s="366"/>
      <c r="AC121" s="359"/>
      <c r="AD121" s="674"/>
      <c r="AE121" s="359"/>
      <c r="AF121" s="366"/>
      <c r="AG121" s="366"/>
      <c r="AH121" s="359"/>
      <c r="AI121" s="674"/>
      <c r="AJ121" s="359"/>
      <c r="AK121" s="366"/>
      <c r="AL121" s="366"/>
      <c r="AM121" s="359"/>
      <c r="AN121" s="674"/>
      <c r="AO121" s="359"/>
      <c r="AP121" s="366"/>
      <c r="AQ121" s="366"/>
      <c r="AR121" s="359"/>
      <c r="AS121" s="674"/>
      <c r="AT121" s="359"/>
      <c r="AU121" s="366"/>
      <c r="AV121" s="366"/>
      <c r="AW121" s="359"/>
      <c r="AX121" s="674"/>
      <c r="AZ121" s="500" t="e">
        <f t="shared" si="54"/>
        <v>#N/A</v>
      </c>
      <c r="BA121" s="674"/>
    </row>
    <row r="123" spans="2:53" ht="15.75">
      <c r="B123" s="666" t="s">
        <v>520</v>
      </c>
      <c r="C123" s="667"/>
      <c r="D123" s="667"/>
      <c r="E123" s="667"/>
      <c r="F123" s="667"/>
      <c r="G123" s="667"/>
      <c r="H123" s="668"/>
      <c r="I123" s="286"/>
      <c r="J123" s="286"/>
      <c r="K123" s="286"/>
      <c r="L123" s="286"/>
      <c r="M123" s="287"/>
    </row>
    <row r="124" spans="2:53" ht="15.75">
      <c r="B124" s="669"/>
      <c r="C124" s="669"/>
      <c r="D124" s="669"/>
      <c r="E124" s="669"/>
      <c r="F124" s="669"/>
      <c r="G124" s="669"/>
      <c r="H124" s="669"/>
      <c r="I124" s="360"/>
      <c r="J124" s="360"/>
      <c r="K124" s="360"/>
      <c r="L124" s="360"/>
      <c r="M124" s="289"/>
    </row>
    <row r="125" spans="2:53">
      <c r="B125" s="624" t="s">
        <v>506</v>
      </c>
      <c r="C125" s="624" t="s">
        <v>507</v>
      </c>
      <c r="D125" s="624"/>
      <c r="E125" s="624" t="s">
        <v>508</v>
      </c>
      <c r="F125" s="624"/>
      <c r="G125" s="624"/>
      <c r="H125" s="647" t="s">
        <v>509</v>
      </c>
      <c r="I125" s="670" t="s">
        <v>510</v>
      </c>
      <c r="J125" s="670"/>
      <c r="K125" s="670"/>
      <c r="L125" s="683" t="s">
        <v>509</v>
      </c>
      <c r="M125" s="686" t="s">
        <v>511</v>
      </c>
    </row>
    <row r="126" spans="2:53">
      <c r="B126" s="624"/>
      <c r="C126" s="624"/>
      <c r="D126" s="624"/>
      <c r="E126" s="624" t="s">
        <v>514</v>
      </c>
      <c r="F126" s="624"/>
      <c r="G126" s="624"/>
      <c r="H126" s="648"/>
      <c r="I126" s="670" t="s">
        <v>514</v>
      </c>
      <c r="J126" s="670"/>
      <c r="K126" s="670"/>
      <c r="L126" s="684"/>
      <c r="M126" s="687"/>
    </row>
    <row r="127" spans="2:53">
      <c r="B127" s="624"/>
      <c r="C127" s="624"/>
      <c r="D127" s="624"/>
      <c r="E127" s="353" t="s">
        <v>516</v>
      </c>
      <c r="F127" s="353" t="s">
        <v>517</v>
      </c>
      <c r="G127" s="353" t="s">
        <v>518</v>
      </c>
      <c r="H127" s="649"/>
      <c r="I127" s="361" t="s">
        <v>516</v>
      </c>
      <c r="J127" s="361" t="s">
        <v>517</v>
      </c>
      <c r="K127" s="361" t="s">
        <v>518</v>
      </c>
      <c r="L127" s="685"/>
      <c r="M127" s="688"/>
    </row>
    <row r="128" spans="2:53">
      <c r="B128" s="675" t="s">
        <v>523</v>
      </c>
      <c r="C128" s="354">
        <v>1</v>
      </c>
      <c r="D128" s="223"/>
      <c r="E128" s="182"/>
      <c r="F128" s="354"/>
      <c r="G128" s="362"/>
      <c r="H128" s="677" t="e">
        <f>AVERAGE(G128:G142)</f>
        <v>#DIV/0!</v>
      </c>
      <c r="I128" s="365" t="e">
        <f t="shared" ref="I128:K134" si="55">AVERAGEIF($D$7:$D$121,$D128,I$7:I$121)</f>
        <v>#DIV/0!</v>
      </c>
      <c r="J128" s="365" t="e">
        <f t="shared" si="55"/>
        <v>#DIV/0!</v>
      </c>
      <c r="K128" s="365" t="e">
        <f>AVERAGEIF($D$7:$D$121,$D128,K$7:K$121)</f>
        <v>#DIV/0!</v>
      </c>
      <c r="L128" s="680" t="e">
        <f>AVERAGE(K128:K142)</f>
        <v>#DIV/0!</v>
      </c>
      <c r="M128" s="365" t="e">
        <f>RANK(K128, K$128:$K$142)</f>
        <v>#DIV/0!</v>
      </c>
    </row>
    <row r="129" spans="2:13" s="108" customFormat="1">
      <c r="B129" s="635"/>
      <c r="C129" s="354">
        <v>2</v>
      </c>
      <c r="D129" s="223"/>
      <c r="E129" s="182"/>
      <c r="F129" s="354"/>
      <c r="G129" s="362"/>
      <c r="H129" s="678"/>
      <c r="I129" s="365" t="e">
        <f t="shared" si="55"/>
        <v>#DIV/0!</v>
      </c>
      <c r="J129" s="365" t="e">
        <f t="shared" si="55"/>
        <v>#DIV/0!</v>
      </c>
      <c r="K129" s="365" t="e">
        <f t="shared" si="55"/>
        <v>#DIV/0!</v>
      </c>
      <c r="L129" s="681"/>
      <c r="M129" s="365" t="e">
        <f>RANK(K129, K$128:$K$142)</f>
        <v>#DIV/0!</v>
      </c>
    </row>
    <row r="130" spans="2:13" s="108" customFormat="1">
      <c r="B130" s="635"/>
      <c r="C130" s="354">
        <v>3</v>
      </c>
      <c r="D130" s="223"/>
      <c r="E130" s="182"/>
      <c r="F130" s="354"/>
      <c r="G130" s="362"/>
      <c r="H130" s="678"/>
      <c r="I130" s="365" t="e">
        <f t="shared" si="55"/>
        <v>#DIV/0!</v>
      </c>
      <c r="J130" s="365" t="e">
        <f t="shared" si="55"/>
        <v>#DIV/0!</v>
      </c>
      <c r="K130" s="365" t="e">
        <f t="shared" si="55"/>
        <v>#DIV/0!</v>
      </c>
      <c r="L130" s="681"/>
      <c r="M130" s="365" t="e">
        <f>RANK(K130, K$128:$K$142)</f>
        <v>#DIV/0!</v>
      </c>
    </row>
    <row r="131" spans="2:13" s="108" customFormat="1">
      <c r="B131" s="635"/>
      <c r="C131" s="354">
        <v>4</v>
      </c>
      <c r="D131" s="223"/>
      <c r="E131" s="182"/>
      <c r="F131" s="354"/>
      <c r="G131" s="362"/>
      <c r="H131" s="678"/>
      <c r="I131" s="365" t="e">
        <f t="shared" si="55"/>
        <v>#DIV/0!</v>
      </c>
      <c r="J131" s="365" t="e">
        <f t="shared" si="55"/>
        <v>#DIV/0!</v>
      </c>
      <c r="K131" s="365" t="e">
        <f t="shared" si="55"/>
        <v>#DIV/0!</v>
      </c>
      <c r="L131" s="681"/>
      <c r="M131" s="365" t="e">
        <f>RANK(K131, K$128:$K$142)</f>
        <v>#DIV/0!</v>
      </c>
    </row>
    <row r="132" spans="2:13" s="108" customFormat="1">
      <c r="B132" s="635"/>
      <c r="C132" s="354">
        <v>5</v>
      </c>
      <c r="D132" s="223"/>
      <c r="E132" s="182"/>
      <c r="F132" s="354"/>
      <c r="G132" s="362"/>
      <c r="H132" s="678"/>
      <c r="I132" s="365" t="e">
        <f t="shared" si="55"/>
        <v>#DIV/0!</v>
      </c>
      <c r="J132" s="365" t="e">
        <f t="shared" si="55"/>
        <v>#DIV/0!</v>
      </c>
      <c r="K132" s="365" t="e">
        <f t="shared" si="55"/>
        <v>#DIV/0!</v>
      </c>
      <c r="L132" s="681"/>
      <c r="M132" s="365" t="e">
        <f>RANK(K132, K$128:$K$142)</f>
        <v>#DIV/0!</v>
      </c>
    </row>
    <row r="133" spans="2:13" s="108" customFormat="1">
      <c r="B133" s="635"/>
      <c r="C133" s="354">
        <v>6</v>
      </c>
      <c r="D133" s="291"/>
      <c r="E133" s="182"/>
      <c r="F133" s="354"/>
      <c r="G133" s="362"/>
      <c r="H133" s="678"/>
      <c r="I133" s="365" t="e">
        <f t="shared" si="55"/>
        <v>#DIV/0!</v>
      </c>
      <c r="J133" s="365" t="e">
        <f t="shared" si="55"/>
        <v>#DIV/0!</v>
      </c>
      <c r="K133" s="365" t="e">
        <f t="shared" si="55"/>
        <v>#DIV/0!</v>
      </c>
      <c r="L133" s="681"/>
      <c r="M133" s="365" t="e">
        <f>RANK(K133, K$128:$K$142)</f>
        <v>#DIV/0!</v>
      </c>
    </row>
    <row r="134" spans="2:13" s="108" customFormat="1">
      <c r="B134" s="635"/>
      <c r="C134" s="354">
        <v>7</v>
      </c>
      <c r="D134" s="223"/>
      <c r="E134" s="182"/>
      <c r="F134" s="354"/>
      <c r="G134" s="362"/>
      <c r="H134" s="678"/>
      <c r="I134" s="365" t="e">
        <f t="shared" si="55"/>
        <v>#DIV/0!</v>
      </c>
      <c r="J134" s="365" t="e">
        <f t="shared" si="55"/>
        <v>#DIV/0!</v>
      </c>
      <c r="K134" s="365" t="e">
        <f t="shared" si="55"/>
        <v>#DIV/0!</v>
      </c>
      <c r="L134" s="681"/>
      <c r="M134" s="365" t="e">
        <f>RANK(K134, K$128:$K$142)</f>
        <v>#DIV/0!</v>
      </c>
    </row>
    <row r="135" spans="2:13" s="108" customFormat="1">
      <c r="B135" s="635"/>
      <c r="C135" s="354">
        <v>8</v>
      </c>
      <c r="D135" s="223"/>
      <c r="E135" s="182"/>
      <c r="F135" s="354"/>
      <c r="G135" s="362"/>
      <c r="H135" s="678"/>
      <c r="I135" s="365"/>
      <c r="J135" s="365"/>
      <c r="K135" s="365"/>
      <c r="L135" s="681"/>
      <c r="M135" s="365" t="e">
        <f>RANK(K135, K$128:$K$142)</f>
        <v>#DIV/0!</v>
      </c>
    </row>
    <row r="136" spans="2:13" s="108" customFormat="1">
      <c r="B136" s="635"/>
      <c r="C136" s="354">
        <v>9</v>
      </c>
      <c r="D136" s="223"/>
      <c r="E136" s="354"/>
      <c r="F136" s="354"/>
      <c r="G136" s="354"/>
      <c r="H136" s="678"/>
      <c r="I136" s="365"/>
      <c r="J136" s="365"/>
      <c r="K136" s="365"/>
      <c r="L136" s="681"/>
      <c r="M136" s="365" t="e">
        <f>RANK(K136, K$128:$K$142)</f>
        <v>#DIV/0!</v>
      </c>
    </row>
    <row r="137" spans="2:13" s="108" customFormat="1">
      <c r="B137" s="635"/>
      <c r="C137" s="354">
        <v>10</v>
      </c>
      <c r="D137" s="223"/>
      <c r="E137" s="354"/>
      <c r="F137" s="354"/>
      <c r="G137" s="354"/>
      <c r="H137" s="678"/>
      <c r="I137" s="365"/>
      <c r="J137" s="365"/>
      <c r="K137" s="365"/>
      <c r="L137" s="681"/>
      <c r="M137" s="365" t="e">
        <f>RANK(K137, K$128:$K$142)</f>
        <v>#DIV/0!</v>
      </c>
    </row>
    <row r="138" spans="2:13" s="108" customFormat="1">
      <c r="B138" s="635"/>
      <c r="C138" s="354">
        <v>11</v>
      </c>
      <c r="D138" s="223"/>
      <c r="E138" s="354"/>
      <c r="F138" s="354"/>
      <c r="G138" s="354"/>
      <c r="H138" s="678"/>
      <c r="I138" s="365"/>
      <c r="J138" s="365"/>
      <c r="K138" s="365"/>
      <c r="L138" s="681"/>
      <c r="M138" s="365" t="e">
        <f>RANK(K138, K$128:$K$142)</f>
        <v>#DIV/0!</v>
      </c>
    </row>
    <row r="139" spans="2:13" s="108" customFormat="1">
      <c r="B139" s="635"/>
      <c r="C139" s="354">
        <v>12</v>
      </c>
      <c r="D139" s="223"/>
      <c r="E139" s="354"/>
      <c r="F139" s="354"/>
      <c r="G139" s="354"/>
      <c r="H139" s="678"/>
      <c r="I139" s="365"/>
      <c r="J139" s="365"/>
      <c r="K139" s="365"/>
      <c r="L139" s="681"/>
      <c r="M139" s="365" t="e">
        <f>RANK(K139, K$128:$K$142)</f>
        <v>#DIV/0!</v>
      </c>
    </row>
    <row r="140" spans="2:13" s="108" customFormat="1">
      <c r="B140" s="635"/>
      <c r="C140" s="354">
        <v>13</v>
      </c>
      <c r="D140" s="223"/>
      <c r="E140" s="354"/>
      <c r="F140" s="354"/>
      <c r="G140" s="354"/>
      <c r="H140" s="678"/>
      <c r="I140" s="365"/>
      <c r="J140" s="365"/>
      <c r="K140" s="365"/>
      <c r="L140" s="681"/>
      <c r="M140" s="365" t="e">
        <f>RANK(K140, K$128:$K$142)</f>
        <v>#DIV/0!</v>
      </c>
    </row>
    <row r="141" spans="2:13" s="108" customFormat="1">
      <c r="B141" s="635"/>
      <c r="C141" s="354">
        <v>14</v>
      </c>
      <c r="D141" s="223"/>
      <c r="E141" s="354"/>
      <c r="F141" s="354"/>
      <c r="G141" s="354"/>
      <c r="H141" s="678"/>
      <c r="I141" s="365"/>
      <c r="J141" s="365"/>
      <c r="K141" s="365"/>
      <c r="L141" s="681"/>
      <c r="M141" s="365" t="e">
        <f>RANK(K141, K$128:$K$142)</f>
        <v>#DIV/0!</v>
      </c>
    </row>
    <row r="142" spans="2:13" s="108" customFormat="1">
      <c r="B142" s="635"/>
      <c r="C142" s="354">
        <v>15</v>
      </c>
      <c r="D142" s="223"/>
      <c r="E142" s="354"/>
      <c r="F142" s="354"/>
      <c r="G142" s="354"/>
      <c r="H142" s="679"/>
      <c r="I142" s="365"/>
      <c r="J142" s="365"/>
      <c r="K142" s="365"/>
      <c r="L142" s="682"/>
      <c r="M142" s="365" t="e">
        <f>RANK(K142, K$128:$K$142)</f>
        <v>#DIV/0!</v>
      </c>
    </row>
  </sheetData>
  <mergeCells count="372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T65:AW65"/>
    <mergeCell ref="AO64:AR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Y64:Y66"/>
    <mergeCell ref="Z64:AC64"/>
    <mergeCell ref="AX64:AX66"/>
    <mergeCell ref="E65:G65"/>
    <mergeCell ref="B84:B86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P84:S84"/>
    <mergeCell ref="T84:T86"/>
    <mergeCell ref="U84:X84"/>
    <mergeCell ref="U64:X64"/>
    <mergeCell ref="I65:K65"/>
    <mergeCell ref="P65:S65"/>
    <mergeCell ref="U65:X65"/>
    <mergeCell ref="Z65:AC65"/>
    <mergeCell ref="Y87:Y101"/>
    <mergeCell ref="AD87:AD101"/>
    <mergeCell ref="AI87:AI101"/>
    <mergeCell ref="AD84:AD86"/>
    <mergeCell ref="AE84:AH84"/>
    <mergeCell ref="Z84:AC84"/>
    <mergeCell ref="AD64:AD66"/>
    <mergeCell ref="AE64:AH64"/>
    <mergeCell ref="AI64:AI66"/>
    <mergeCell ref="C64:D66"/>
    <mergeCell ref="AS67:AS81"/>
    <mergeCell ref="H64:H66"/>
    <mergeCell ref="I64:K64"/>
    <mergeCell ref="L64:L66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E64:G64"/>
    <mergeCell ref="AO65:AR65"/>
    <mergeCell ref="AJ64:AM64"/>
    <mergeCell ref="AE65:AH65"/>
    <mergeCell ref="AJ65:AM65"/>
    <mergeCell ref="M64:M66"/>
    <mergeCell ref="N64:N81"/>
    <mergeCell ref="O64:O81"/>
    <mergeCell ref="P64:S64"/>
    <mergeCell ref="T64:T66"/>
    <mergeCell ref="BA27:BA41"/>
    <mergeCell ref="BA47:BA61"/>
    <mergeCell ref="BA67:BA8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S64:AS66"/>
    <mergeCell ref="AT64:AW64"/>
    <mergeCell ref="B64:B66"/>
    <mergeCell ref="BA87:BA101"/>
    <mergeCell ref="BA107:BA12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I84:AI86"/>
    <mergeCell ref="AE85:AH85"/>
    <mergeCell ref="Z85:AC85"/>
    <mergeCell ref="Y84:Y8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CC"/>
  </sheetPr>
  <dimension ref="A1:BB142"/>
  <sheetViews>
    <sheetView topLeftCell="A75" zoomScale="55" zoomScaleNormal="55" workbookViewId="0">
      <pane xSplit="15" topLeftCell="P1" activePane="topRight" state="frozen"/>
      <selection activeCell="P38" sqref="P38:T38"/>
      <selection pane="topRight" activeCell="T87" activeCellId="3" sqref="AH87:AI101 AC87:AD101 X87:Y101 S87:T10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18" t="s">
        <v>307</v>
      </c>
      <c r="C1" s="217">
        <f>AVERAGE(L7,L27,L47,L67,L87,L107)</f>
        <v>222.59952757069328</v>
      </c>
    </row>
    <row r="2" spans="1:54" ht="15.75">
      <c r="A2" s="81"/>
      <c r="B2" s="643" t="s">
        <v>496</v>
      </c>
      <c r="C2" s="643"/>
      <c r="D2" s="643"/>
      <c r="E2" s="643"/>
      <c r="F2" s="643"/>
      <c r="G2" s="643"/>
      <c r="H2" s="643"/>
      <c r="I2" s="355"/>
      <c r="J2" s="355"/>
      <c r="K2" s="355"/>
      <c r="L2" s="355"/>
      <c r="M2" s="197"/>
      <c r="N2" s="639" t="s">
        <v>497</v>
      </c>
      <c r="O2" s="639" t="s">
        <v>498</v>
      </c>
      <c r="P2" s="634"/>
      <c r="Q2" s="635"/>
      <c r="R2" s="635"/>
      <c r="S2" s="635"/>
      <c r="T2" s="635"/>
      <c r="U2" s="636">
        <v>46204</v>
      </c>
      <c r="V2" s="637"/>
      <c r="W2" s="637"/>
      <c r="X2" s="637"/>
      <c r="Y2" s="638"/>
      <c r="Z2" s="636">
        <f>U2+1</f>
        <v>46205</v>
      </c>
      <c r="AA2" s="637"/>
      <c r="AB2" s="637"/>
      <c r="AC2" s="637"/>
      <c r="AD2" s="638"/>
      <c r="AE2" s="636">
        <f>Z2+1</f>
        <v>46206</v>
      </c>
      <c r="AF2" s="637"/>
      <c r="AG2" s="637"/>
      <c r="AH2" s="637"/>
      <c r="AI2" s="638"/>
      <c r="AJ2" s="636">
        <f>AE2+1</f>
        <v>46207</v>
      </c>
      <c r="AK2" s="637"/>
      <c r="AL2" s="637"/>
      <c r="AM2" s="637"/>
      <c r="AN2" s="638"/>
      <c r="AO2" s="636">
        <f>AJ2+1</f>
        <v>46208</v>
      </c>
      <c r="AP2" s="637"/>
      <c r="AQ2" s="637"/>
      <c r="AR2" s="637"/>
      <c r="AS2" s="638"/>
      <c r="AT2" s="636">
        <f>AO2+1</f>
        <v>46209</v>
      </c>
      <c r="AU2" s="637"/>
      <c r="AV2" s="637"/>
      <c r="AW2" s="637"/>
      <c r="AX2" s="638"/>
    </row>
    <row r="3" spans="1:54" ht="15.75">
      <c r="A3" s="81"/>
      <c r="B3" s="659"/>
      <c r="C3" s="659"/>
      <c r="D3" s="659"/>
      <c r="E3" s="659"/>
      <c r="F3" s="659"/>
      <c r="G3" s="659"/>
      <c r="H3" s="659"/>
      <c r="I3" s="356"/>
      <c r="J3" s="356"/>
      <c r="K3" s="356"/>
      <c r="L3" s="356"/>
      <c r="M3" s="198"/>
      <c r="N3" s="641"/>
      <c r="O3" s="641"/>
      <c r="P3" s="636" t="s">
        <v>499</v>
      </c>
      <c r="Q3" s="637"/>
      <c r="R3" s="637"/>
      <c r="S3" s="637"/>
      <c r="T3" s="638"/>
      <c r="U3" s="636" t="s">
        <v>500</v>
      </c>
      <c r="V3" s="637"/>
      <c r="W3" s="637"/>
      <c r="X3" s="637"/>
      <c r="Y3" s="638"/>
      <c r="Z3" s="636" t="s">
        <v>501</v>
      </c>
      <c r="AA3" s="637"/>
      <c r="AB3" s="637"/>
      <c r="AC3" s="637"/>
      <c r="AD3" s="638"/>
      <c r="AE3" s="636" t="s">
        <v>502</v>
      </c>
      <c r="AF3" s="637"/>
      <c r="AG3" s="637"/>
      <c r="AH3" s="637"/>
      <c r="AI3" s="638"/>
      <c r="AJ3" s="636" t="s">
        <v>503</v>
      </c>
      <c r="AK3" s="637"/>
      <c r="AL3" s="637"/>
      <c r="AM3" s="637"/>
      <c r="AN3" s="638"/>
      <c r="AO3" s="636" t="s">
        <v>504</v>
      </c>
      <c r="AP3" s="637"/>
      <c r="AQ3" s="637"/>
      <c r="AR3" s="637"/>
      <c r="AS3" s="638"/>
      <c r="AT3" s="636" t="s">
        <v>777</v>
      </c>
      <c r="AU3" s="637"/>
      <c r="AV3" s="637"/>
      <c r="AW3" s="637"/>
      <c r="AX3" s="638"/>
    </row>
    <row r="4" spans="1:54" ht="14.25">
      <c r="A4" s="81"/>
      <c r="B4" s="624" t="s">
        <v>760</v>
      </c>
      <c r="C4" s="624" t="s">
        <v>761</v>
      </c>
      <c r="D4" s="624"/>
      <c r="E4" s="624" t="s">
        <v>762</v>
      </c>
      <c r="F4" s="624"/>
      <c r="G4" s="624"/>
      <c r="H4" s="647" t="s">
        <v>763</v>
      </c>
      <c r="I4" s="617" t="s">
        <v>764</v>
      </c>
      <c r="J4" s="617"/>
      <c r="K4" s="617"/>
      <c r="L4" s="618" t="s">
        <v>763</v>
      </c>
      <c r="M4" s="628" t="s">
        <v>773</v>
      </c>
      <c r="N4" s="624"/>
      <c r="O4" s="624" t="s">
        <v>598</v>
      </c>
      <c r="P4" s="621" t="s">
        <v>599</v>
      </c>
      <c r="Q4" s="622"/>
      <c r="R4" s="622"/>
      <c r="S4" s="623"/>
      <c r="T4" s="624" t="s">
        <v>573</v>
      </c>
      <c r="U4" s="621" t="s">
        <v>599</v>
      </c>
      <c r="V4" s="622"/>
      <c r="W4" s="622"/>
      <c r="X4" s="623"/>
      <c r="Y4" s="624" t="s">
        <v>573</v>
      </c>
      <c r="Z4" s="621" t="s">
        <v>599</v>
      </c>
      <c r="AA4" s="622"/>
      <c r="AB4" s="622"/>
      <c r="AC4" s="623"/>
      <c r="AD4" s="624" t="s">
        <v>573</v>
      </c>
      <c r="AE4" s="621" t="s">
        <v>599</v>
      </c>
      <c r="AF4" s="622"/>
      <c r="AG4" s="622"/>
      <c r="AH4" s="623"/>
      <c r="AI4" s="624" t="s">
        <v>573</v>
      </c>
      <c r="AJ4" s="621" t="s">
        <v>599</v>
      </c>
      <c r="AK4" s="622"/>
      <c r="AL4" s="622"/>
      <c r="AM4" s="623"/>
      <c r="AN4" s="624" t="s">
        <v>573</v>
      </c>
      <c r="AO4" s="621" t="s">
        <v>599</v>
      </c>
      <c r="AP4" s="622"/>
      <c r="AQ4" s="622"/>
      <c r="AR4" s="623"/>
      <c r="AS4" s="624" t="s">
        <v>573</v>
      </c>
      <c r="AT4" s="621" t="s">
        <v>778</v>
      </c>
      <c r="AU4" s="622"/>
      <c r="AV4" s="622"/>
      <c r="AW4" s="623"/>
      <c r="AX4" s="624" t="s">
        <v>763</v>
      </c>
    </row>
    <row r="5" spans="1:54" ht="14.25">
      <c r="A5" s="81"/>
      <c r="B5" s="624"/>
      <c r="C5" s="624"/>
      <c r="D5" s="624"/>
      <c r="E5" s="624" t="s">
        <v>765</v>
      </c>
      <c r="F5" s="624"/>
      <c r="G5" s="624"/>
      <c r="H5" s="648"/>
      <c r="I5" s="617" t="s">
        <v>765</v>
      </c>
      <c r="J5" s="617"/>
      <c r="K5" s="617"/>
      <c r="L5" s="619"/>
      <c r="M5" s="629"/>
      <c r="N5" s="624"/>
      <c r="O5" s="624"/>
      <c r="P5" s="621" t="s">
        <v>582</v>
      </c>
      <c r="Q5" s="622"/>
      <c r="R5" s="622"/>
      <c r="S5" s="623"/>
      <c r="T5" s="624"/>
      <c r="U5" s="621" t="s">
        <v>582</v>
      </c>
      <c r="V5" s="622"/>
      <c r="W5" s="622"/>
      <c r="X5" s="623"/>
      <c r="Y5" s="624"/>
      <c r="Z5" s="621" t="s">
        <v>582</v>
      </c>
      <c r="AA5" s="622"/>
      <c r="AB5" s="622"/>
      <c r="AC5" s="623"/>
      <c r="AD5" s="624"/>
      <c r="AE5" s="621" t="s">
        <v>582</v>
      </c>
      <c r="AF5" s="622"/>
      <c r="AG5" s="622"/>
      <c r="AH5" s="623"/>
      <c r="AI5" s="624"/>
      <c r="AJ5" s="621" t="s">
        <v>582</v>
      </c>
      <c r="AK5" s="622"/>
      <c r="AL5" s="622"/>
      <c r="AM5" s="623"/>
      <c r="AN5" s="624"/>
      <c r="AO5" s="621" t="s">
        <v>582</v>
      </c>
      <c r="AP5" s="622"/>
      <c r="AQ5" s="622"/>
      <c r="AR5" s="623"/>
      <c r="AS5" s="624"/>
      <c r="AT5" s="621" t="s">
        <v>779</v>
      </c>
      <c r="AU5" s="622"/>
      <c r="AV5" s="622"/>
      <c r="AW5" s="623"/>
      <c r="AX5" s="624"/>
    </row>
    <row r="6" spans="1:54" ht="14.25">
      <c r="A6" s="79"/>
      <c r="B6" s="624"/>
      <c r="C6" s="624"/>
      <c r="D6" s="624"/>
      <c r="E6" s="482" t="s">
        <v>766</v>
      </c>
      <c r="F6" s="482" t="s">
        <v>767</v>
      </c>
      <c r="G6" s="482" t="s">
        <v>768</v>
      </c>
      <c r="H6" s="649"/>
      <c r="I6" s="481" t="s">
        <v>766</v>
      </c>
      <c r="J6" s="481" t="s">
        <v>767</v>
      </c>
      <c r="K6" s="481" t="s">
        <v>768</v>
      </c>
      <c r="L6" s="620"/>
      <c r="M6" s="630"/>
      <c r="N6" s="624"/>
      <c r="O6" s="624"/>
      <c r="P6" s="413" t="s">
        <v>585</v>
      </c>
      <c r="Q6" s="413" t="s">
        <v>586</v>
      </c>
      <c r="R6" s="413" t="s">
        <v>587</v>
      </c>
      <c r="S6" s="413" t="s">
        <v>588</v>
      </c>
      <c r="T6" s="624"/>
      <c r="U6" s="413" t="s">
        <v>585</v>
      </c>
      <c r="V6" s="413" t="s">
        <v>586</v>
      </c>
      <c r="W6" s="413" t="s">
        <v>587</v>
      </c>
      <c r="X6" s="413" t="s">
        <v>588</v>
      </c>
      <c r="Y6" s="624"/>
      <c r="Z6" s="413" t="s">
        <v>585</v>
      </c>
      <c r="AA6" s="413" t="s">
        <v>586</v>
      </c>
      <c r="AB6" s="413" t="s">
        <v>587</v>
      </c>
      <c r="AC6" s="413" t="s">
        <v>588</v>
      </c>
      <c r="AD6" s="624"/>
      <c r="AE6" s="413" t="s">
        <v>585</v>
      </c>
      <c r="AF6" s="413" t="s">
        <v>586</v>
      </c>
      <c r="AG6" s="413" t="s">
        <v>587</v>
      </c>
      <c r="AH6" s="413" t="s">
        <v>588</v>
      </c>
      <c r="AI6" s="624"/>
      <c r="AJ6" s="413" t="s">
        <v>585</v>
      </c>
      <c r="AK6" s="413" t="s">
        <v>586</v>
      </c>
      <c r="AL6" s="413" t="s">
        <v>587</v>
      </c>
      <c r="AM6" s="413" t="s">
        <v>588</v>
      </c>
      <c r="AN6" s="624"/>
      <c r="AO6" s="413" t="s">
        <v>585</v>
      </c>
      <c r="AP6" s="413" t="s">
        <v>586</v>
      </c>
      <c r="AQ6" s="413" t="s">
        <v>587</v>
      </c>
      <c r="AR6" s="413" t="s">
        <v>588</v>
      </c>
      <c r="AS6" s="624"/>
      <c r="AT6" s="482" t="s">
        <v>766</v>
      </c>
      <c r="AU6" s="482" t="s">
        <v>767</v>
      </c>
      <c r="AV6" s="482" t="s">
        <v>768</v>
      </c>
      <c r="AW6" s="482" t="s">
        <v>773</v>
      </c>
      <c r="AX6" s="624"/>
    </row>
    <row r="7" spans="1:54" ht="14.25">
      <c r="A7" s="81"/>
      <c r="B7" s="675" t="s">
        <v>775</v>
      </c>
      <c r="C7" s="483">
        <v>1</v>
      </c>
      <c r="D7" s="346" t="s">
        <v>355</v>
      </c>
      <c r="E7" s="537">
        <v>4</v>
      </c>
      <c r="F7" s="537">
        <v>2000</v>
      </c>
      <c r="G7" s="537">
        <v>500</v>
      </c>
      <c r="H7" s="677">
        <f>AVERAGE(G7:G21)</f>
        <v>237.49259259259256</v>
      </c>
      <c r="I7" s="487">
        <f t="shared" ref="I7:K20" si="0">IFERROR(AVERAGE(P7,U7,Z7,AE7,AJ7,AO7,AT7),"-")</f>
        <v>5</v>
      </c>
      <c r="J7" s="487">
        <f t="shared" si="0"/>
        <v>2128.2731011945016</v>
      </c>
      <c r="K7" s="363">
        <f t="shared" si="0"/>
        <v>425.65462023890024</v>
      </c>
      <c r="L7" s="614">
        <f>IFERROR(AVERAGE(K7:K21),"-")</f>
        <v>208.44144960013045</v>
      </c>
      <c r="M7" s="489">
        <f>RANK(K7, K$7:$K$21)</f>
        <v>1</v>
      </c>
      <c r="N7" s="624"/>
      <c r="O7" s="624"/>
      <c r="P7" s="411"/>
      <c r="Q7" s="182"/>
      <c r="R7" s="182"/>
      <c r="S7" s="414"/>
      <c r="T7" s="674"/>
      <c r="U7" s="529">
        <v>5</v>
      </c>
      <c r="V7" s="538">
        <v>2163.5294117647068</v>
      </c>
      <c r="W7" s="538">
        <v>432.70588235294133</v>
      </c>
      <c r="X7" s="529">
        <v>1</v>
      </c>
      <c r="Y7" s="653">
        <v>206.21449669649732</v>
      </c>
      <c r="Z7" s="529">
        <v>5</v>
      </c>
      <c r="AA7" s="538">
        <v>2112.5000000000005</v>
      </c>
      <c r="AB7" s="538">
        <v>422.50000000000011</v>
      </c>
      <c r="AC7" s="529">
        <v>2</v>
      </c>
      <c r="AD7" s="653">
        <v>209.40821943209164</v>
      </c>
      <c r="AE7" s="529">
        <v>5</v>
      </c>
      <c r="AF7" s="538">
        <v>2130.0000000000009</v>
      </c>
      <c r="AG7" s="538">
        <v>426.00000000000017</v>
      </c>
      <c r="AH7" s="529">
        <v>1</v>
      </c>
      <c r="AI7" s="653">
        <v>208.40568423530354</v>
      </c>
      <c r="AJ7" s="529">
        <v>5</v>
      </c>
      <c r="AK7" s="538">
        <v>2125.3333333333335</v>
      </c>
      <c r="AL7" s="538">
        <v>425.06666666666672</v>
      </c>
      <c r="AM7" s="529">
        <v>1</v>
      </c>
      <c r="AN7" s="653">
        <v>209.19334112473439</v>
      </c>
      <c r="AO7" s="529">
        <v>5</v>
      </c>
      <c r="AP7" s="538">
        <v>2101.0344827586209</v>
      </c>
      <c r="AQ7" s="538">
        <v>420.20689655172418</v>
      </c>
      <c r="AR7" s="529">
        <v>2</v>
      </c>
      <c r="AS7" s="653">
        <v>207.87666102887138</v>
      </c>
      <c r="AT7" s="529">
        <v>5</v>
      </c>
      <c r="AU7" s="538">
        <v>2137.2413793103451</v>
      </c>
      <c r="AV7" s="538">
        <v>427.44827586206901</v>
      </c>
      <c r="AW7" s="529">
        <v>1</v>
      </c>
      <c r="AX7" s="653">
        <v>209.55029508328423</v>
      </c>
      <c r="AZ7" s="364" t="e">
        <f>RANK(AX7, $K$7:AX$21)</f>
        <v>#VALUE!</v>
      </c>
      <c r="BB7" s="354" t="e">
        <f>RANK(BA7, BA$7:BA$21)</f>
        <v>#N/A</v>
      </c>
    </row>
    <row r="8" spans="1:54" ht="15" customHeight="1">
      <c r="A8" s="81"/>
      <c r="B8" s="661"/>
      <c r="C8" s="483">
        <v>2</v>
      </c>
      <c r="D8" s="346" t="s">
        <v>385</v>
      </c>
      <c r="E8" s="537">
        <v>4</v>
      </c>
      <c r="F8" s="537">
        <v>2000</v>
      </c>
      <c r="G8" s="537">
        <v>500</v>
      </c>
      <c r="H8" s="678"/>
      <c r="I8" s="487">
        <f t="shared" si="0"/>
        <v>5</v>
      </c>
      <c r="J8" s="487">
        <f t="shared" si="0"/>
        <v>2113.3971929813888</v>
      </c>
      <c r="K8" s="363">
        <f t="shared" si="0"/>
        <v>422.67943859627763</v>
      </c>
      <c r="L8" s="615"/>
      <c r="M8" s="489">
        <f>RANK(K8, K$7:$K$21)</f>
        <v>2</v>
      </c>
      <c r="N8" s="624"/>
      <c r="O8" s="624"/>
      <c r="P8" s="411"/>
      <c r="Q8" s="182"/>
      <c r="R8" s="182"/>
      <c r="S8" s="414"/>
      <c r="T8" s="674"/>
      <c r="U8" s="529">
        <v>5</v>
      </c>
      <c r="V8" s="538">
        <v>2109.6000000000008</v>
      </c>
      <c r="W8" s="538">
        <v>421.92000000000019</v>
      </c>
      <c r="X8" s="529">
        <v>2</v>
      </c>
      <c r="Y8" s="653"/>
      <c r="Z8" s="529">
        <v>5</v>
      </c>
      <c r="AA8" s="538">
        <v>2148.260869565217</v>
      </c>
      <c r="AB8" s="538">
        <v>429.65217391304338</v>
      </c>
      <c r="AC8" s="529">
        <v>1</v>
      </c>
      <c r="AD8" s="653"/>
      <c r="AE8" s="529">
        <v>5</v>
      </c>
      <c r="AF8" s="538">
        <v>2098.4210526315796</v>
      </c>
      <c r="AG8" s="538">
        <v>419.68421052631595</v>
      </c>
      <c r="AH8" s="529">
        <v>2</v>
      </c>
      <c r="AI8" s="653"/>
      <c r="AJ8" s="529">
        <v>5</v>
      </c>
      <c r="AK8" s="538">
        <v>2110.909090909091</v>
      </c>
      <c r="AL8" s="538">
        <v>422.18181818181819</v>
      </c>
      <c r="AM8" s="529">
        <v>2</v>
      </c>
      <c r="AN8" s="653"/>
      <c r="AO8" s="529">
        <v>5</v>
      </c>
      <c r="AP8" s="538">
        <v>2109.7959183673479</v>
      </c>
      <c r="AQ8" s="538">
        <v>421.95918367346957</v>
      </c>
      <c r="AR8" s="529">
        <v>1</v>
      </c>
      <c r="AS8" s="653"/>
      <c r="AT8" s="529">
        <v>5</v>
      </c>
      <c r="AU8" s="538">
        <v>2103.3962264150937</v>
      </c>
      <c r="AV8" s="538">
        <v>420.67924528301876</v>
      </c>
      <c r="AW8" s="529">
        <v>2</v>
      </c>
      <c r="AX8" s="653"/>
      <c r="AZ8" s="364" t="e">
        <f>RANK(AX8, $K$7:AX$21)</f>
        <v>#VALUE!</v>
      </c>
      <c r="BB8" s="354" t="e">
        <f t="shared" ref="BB8:BB21" si="1">RANK(BA8, BA$7:BA$21)</f>
        <v>#N/A</v>
      </c>
    </row>
    <row r="9" spans="1:54" ht="14.25">
      <c r="A9" s="81"/>
      <c r="B9" s="661"/>
      <c r="C9" s="483">
        <v>3</v>
      </c>
      <c r="D9" s="346" t="s">
        <v>356</v>
      </c>
      <c r="E9" s="537">
        <v>12</v>
      </c>
      <c r="F9" s="537">
        <v>2118</v>
      </c>
      <c r="G9" s="537">
        <v>176.5</v>
      </c>
      <c r="H9" s="678"/>
      <c r="I9" s="487">
        <f t="shared" si="0"/>
        <v>12</v>
      </c>
      <c r="J9" s="487">
        <f t="shared" si="0"/>
        <v>1900.3441753089385</v>
      </c>
      <c r="K9" s="363">
        <f t="shared" si="0"/>
        <v>158.36201460907822</v>
      </c>
      <c r="L9" s="615"/>
      <c r="M9" s="489">
        <f>RANK(K9, K$7:$K$21)</f>
        <v>6</v>
      </c>
      <c r="N9" s="624"/>
      <c r="O9" s="624"/>
      <c r="P9" s="411"/>
      <c r="Q9" s="182"/>
      <c r="R9" s="182"/>
      <c r="S9" s="414"/>
      <c r="T9" s="674"/>
      <c r="U9" s="529">
        <v>12</v>
      </c>
      <c r="V9" s="538">
        <v>1886.9565217391305</v>
      </c>
      <c r="W9" s="538">
        <v>157.24637681159422</v>
      </c>
      <c r="X9" s="529">
        <v>6</v>
      </c>
      <c r="Y9" s="653"/>
      <c r="Z9" s="529">
        <v>12</v>
      </c>
      <c r="AA9" s="538">
        <v>1913.5384615384612</v>
      </c>
      <c r="AB9" s="538">
        <v>159.46153846153842</v>
      </c>
      <c r="AC9" s="529">
        <v>6</v>
      </c>
      <c r="AD9" s="653"/>
      <c r="AE9" s="529">
        <v>12</v>
      </c>
      <c r="AF9" s="538">
        <v>1893.0000000000005</v>
      </c>
      <c r="AG9" s="538">
        <v>157.75000000000003</v>
      </c>
      <c r="AH9" s="529">
        <v>6</v>
      </c>
      <c r="AI9" s="653"/>
      <c r="AJ9" s="529">
        <v>12</v>
      </c>
      <c r="AK9" s="538">
        <v>1883.2835820895523</v>
      </c>
      <c r="AL9" s="538">
        <v>156.9402985074627</v>
      </c>
      <c r="AM9" s="529">
        <v>7</v>
      </c>
      <c r="AN9" s="653"/>
      <c r="AO9" s="529">
        <v>12</v>
      </c>
      <c r="AP9" s="538">
        <v>1896.486486486486</v>
      </c>
      <c r="AQ9" s="538">
        <v>158.04054054054049</v>
      </c>
      <c r="AR9" s="529">
        <v>6</v>
      </c>
      <c r="AS9" s="653"/>
      <c r="AT9" s="529">
        <v>12</v>
      </c>
      <c r="AU9" s="538">
        <v>1928.7999999999997</v>
      </c>
      <c r="AV9" s="538">
        <v>160.73333333333332</v>
      </c>
      <c r="AW9" s="529">
        <v>6</v>
      </c>
      <c r="AX9" s="653"/>
      <c r="AZ9" s="364" t="e">
        <f>RANK(AX9, $K$7:AX$21)</f>
        <v>#VALUE!</v>
      </c>
      <c r="BB9" s="354" t="e">
        <f t="shared" si="1"/>
        <v>#N/A</v>
      </c>
    </row>
    <row r="10" spans="1:54" ht="14.25">
      <c r="A10" s="81"/>
      <c r="B10" s="661"/>
      <c r="C10" s="483">
        <v>4</v>
      </c>
      <c r="D10" s="346" t="s">
        <v>357</v>
      </c>
      <c r="E10" s="537">
        <v>13</v>
      </c>
      <c r="F10" s="537">
        <v>2250</v>
      </c>
      <c r="G10" s="537">
        <v>173.1</v>
      </c>
      <c r="H10" s="678"/>
      <c r="I10" s="487">
        <f t="shared" si="0"/>
        <v>13</v>
      </c>
      <c r="J10" s="487">
        <f t="shared" si="0"/>
        <v>2036.283729604341</v>
      </c>
      <c r="K10" s="363">
        <f t="shared" si="0"/>
        <v>156.63720996956468</v>
      </c>
      <c r="L10" s="615"/>
      <c r="M10" s="489">
        <f>RANK(K10, K$7:$K$21)</f>
        <v>7</v>
      </c>
      <c r="N10" s="624"/>
      <c r="O10" s="624"/>
      <c r="P10" s="411"/>
      <c r="Q10" s="182"/>
      <c r="R10" s="182"/>
      <c r="S10" s="414"/>
      <c r="T10" s="674"/>
      <c r="U10" s="529">
        <v>13</v>
      </c>
      <c r="V10" s="538">
        <v>2003.0156250000009</v>
      </c>
      <c r="W10" s="538">
        <v>154.07812500000006</v>
      </c>
      <c r="X10" s="529">
        <v>7</v>
      </c>
      <c r="Y10" s="653"/>
      <c r="Z10" s="529">
        <v>13</v>
      </c>
      <c r="AA10" s="538">
        <v>2010.8135593220341</v>
      </c>
      <c r="AB10" s="538">
        <v>154.67796610169492</v>
      </c>
      <c r="AC10" s="529">
        <v>7</v>
      </c>
      <c r="AD10" s="653"/>
      <c r="AE10" s="529">
        <v>13</v>
      </c>
      <c r="AF10" s="538">
        <v>2044.444444444445</v>
      </c>
      <c r="AG10" s="538">
        <v>157.2649572649573</v>
      </c>
      <c r="AH10" s="529">
        <v>7</v>
      </c>
      <c r="AI10" s="653"/>
      <c r="AJ10" s="529">
        <v>13</v>
      </c>
      <c r="AK10" s="538">
        <v>2056.95652173913</v>
      </c>
      <c r="AL10" s="538">
        <v>158.22742474916384</v>
      </c>
      <c r="AM10" s="529">
        <v>6</v>
      </c>
      <c r="AN10" s="653"/>
      <c r="AO10" s="529">
        <v>13</v>
      </c>
      <c r="AP10" s="538">
        <v>2044.528301886792</v>
      </c>
      <c r="AQ10" s="538">
        <v>157.27140783744554</v>
      </c>
      <c r="AR10" s="529">
        <v>7</v>
      </c>
      <c r="AS10" s="653"/>
      <c r="AT10" s="529">
        <v>13</v>
      </c>
      <c r="AU10" s="538">
        <v>2057.9439252336447</v>
      </c>
      <c r="AV10" s="538">
        <v>158.3033788641265</v>
      </c>
      <c r="AW10" s="529">
        <v>7</v>
      </c>
      <c r="AX10" s="653"/>
      <c r="AZ10" s="364" t="e">
        <f>RANK(AX10, $K$7:AX$21)</f>
        <v>#VALUE!</v>
      </c>
      <c r="BB10" s="354" t="e">
        <f t="shared" si="1"/>
        <v>#N/A</v>
      </c>
    </row>
    <row r="11" spans="1:54" ht="14.25">
      <c r="A11" s="81"/>
      <c r="B11" s="661"/>
      <c r="C11" s="483">
        <v>5</v>
      </c>
      <c r="D11" s="346" t="s">
        <v>358</v>
      </c>
      <c r="E11" s="537">
        <v>13</v>
      </c>
      <c r="F11" s="537">
        <v>2250</v>
      </c>
      <c r="G11" s="537">
        <v>173.1</v>
      </c>
      <c r="H11" s="678"/>
      <c r="I11" s="487">
        <f t="shared" si="0"/>
        <v>13</v>
      </c>
      <c r="J11" s="487">
        <f t="shared" si="0"/>
        <v>2164.6096863645053</v>
      </c>
      <c r="K11" s="363">
        <f t="shared" si="0"/>
        <v>166.50843741265422</v>
      </c>
      <c r="L11" s="615"/>
      <c r="M11" s="489">
        <f>RANK(K11, K$7:$K$21)</f>
        <v>5</v>
      </c>
      <c r="N11" s="624"/>
      <c r="O11" s="624"/>
      <c r="P11" s="411"/>
      <c r="Q11" s="182"/>
      <c r="R11" s="182"/>
      <c r="S11" s="414"/>
      <c r="T11" s="674"/>
      <c r="U11" s="529">
        <v>13</v>
      </c>
      <c r="V11" s="538">
        <v>2158</v>
      </c>
      <c r="W11" s="538">
        <v>166</v>
      </c>
      <c r="X11" s="529">
        <v>5</v>
      </c>
      <c r="Y11" s="653"/>
      <c r="Z11" s="529">
        <v>13</v>
      </c>
      <c r="AA11" s="538">
        <v>2160.722891566264</v>
      </c>
      <c r="AB11" s="538">
        <v>166.20945319740491</v>
      </c>
      <c r="AC11" s="529">
        <v>5</v>
      </c>
      <c r="AD11" s="653"/>
      <c r="AE11" s="529">
        <v>13</v>
      </c>
      <c r="AF11" s="538">
        <v>2140.8333333333339</v>
      </c>
      <c r="AG11" s="538">
        <v>164.67948717948724</v>
      </c>
      <c r="AH11" s="529">
        <v>5</v>
      </c>
      <c r="AI11" s="653"/>
      <c r="AJ11" s="529">
        <v>13</v>
      </c>
      <c r="AK11" s="538">
        <v>2199.7590361445777</v>
      </c>
      <c r="AL11" s="538">
        <v>169.21223354958289</v>
      </c>
      <c r="AM11" s="529">
        <v>5</v>
      </c>
      <c r="AN11" s="653"/>
      <c r="AO11" s="529">
        <v>13</v>
      </c>
      <c r="AP11" s="538">
        <v>2179.1999999999994</v>
      </c>
      <c r="AQ11" s="538">
        <v>167.63076923076918</v>
      </c>
      <c r="AR11" s="529">
        <v>5</v>
      </c>
      <c r="AS11" s="653"/>
      <c r="AT11" s="529">
        <v>13</v>
      </c>
      <c r="AU11" s="538">
        <v>2149.1428571428564</v>
      </c>
      <c r="AV11" s="538">
        <v>165.31868131868126</v>
      </c>
      <c r="AW11" s="529">
        <v>5</v>
      </c>
      <c r="AX11" s="653"/>
      <c r="AZ11" s="364" t="e">
        <f>RANK(AX11, $K$7:AX$21)</f>
        <v>#VALUE!</v>
      </c>
      <c r="BB11" s="354" t="e">
        <f t="shared" si="1"/>
        <v>#N/A</v>
      </c>
    </row>
    <row r="12" spans="1:54" ht="14.25">
      <c r="A12" s="81"/>
      <c r="B12" s="661"/>
      <c r="C12" s="483">
        <v>6</v>
      </c>
      <c r="D12" s="346" t="s">
        <v>359</v>
      </c>
      <c r="E12" s="537">
        <v>10</v>
      </c>
      <c r="F12" s="537">
        <v>2769</v>
      </c>
      <c r="G12" s="537">
        <v>276.89999999999998</v>
      </c>
      <c r="H12" s="678"/>
      <c r="I12" s="487">
        <f t="shared" si="0"/>
        <v>10.333333333333334</v>
      </c>
      <c r="J12" s="487">
        <f t="shared" si="0"/>
        <v>2418.2872313077237</v>
      </c>
      <c r="K12" s="363">
        <f t="shared" si="0"/>
        <v>234.92077739433822</v>
      </c>
      <c r="L12" s="615"/>
      <c r="M12" s="489">
        <f>RANK(K12, K$7:$K$21)</f>
        <v>3</v>
      </c>
      <c r="N12" s="624"/>
      <c r="O12" s="624"/>
      <c r="P12" s="411"/>
      <c r="Q12" s="182"/>
      <c r="R12" s="182"/>
      <c r="S12" s="414"/>
      <c r="T12" s="674"/>
      <c r="U12" s="529">
        <v>12</v>
      </c>
      <c r="V12" s="538">
        <v>2486.8604651162691</v>
      </c>
      <c r="W12" s="538">
        <v>207.23837209302243</v>
      </c>
      <c r="X12" s="529">
        <v>3</v>
      </c>
      <c r="Y12" s="653"/>
      <c r="Z12" s="529">
        <v>10</v>
      </c>
      <c r="AA12" s="538">
        <v>2426.4705882352937</v>
      </c>
      <c r="AB12" s="538">
        <v>242.64705882352936</v>
      </c>
      <c r="AC12" s="529">
        <v>3</v>
      </c>
      <c r="AD12" s="653"/>
      <c r="AE12" s="529">
        <v>10</v>
      </c>
      <c r="AF12" s="538">
        <v>2395.7142857142876</v>
      </c>
      <c r="AG12" s="538">
        <v>239.57142857142875</v>
      </c>
      <c r="AH12" s="529">
        <v>3</v>
      </c>
      <c r="AI12" s="653"/>
      <c r="AJ12" s="529">
        <v>10</v>
      </c>
      <c r="AK12" s="538">
        <v>2416.0000000000027</v>
      </c>
      <c r="AL12" s="538">
        <v>241.60000000000028</v>
      </c>
      <c r="AM12" s="529">
        <v>3</v>
      </c>
      <c r="AN12" s="653"/>
      <c r="AO12" s="529">
        <v>10</v>
      </c>
      <c r="AP12" s="538">
        <v>2383.7999999999993</v>
      </c>
      <c r="AQ12" s="538">
        <v>238.37999999999994</v>
      </c>
      <c r="AR12" s="529">
        <v>3</v>
      </c>
      <c r="AS12" s="653"/>
      <c r="AT12" s="529">
        <v>10</v>
      </c>
      <c r="AU12" s="538">
        <v>2400.878048780487</v>
      </c>
      <c r="AV12" s="538">
        <v>240.0878048780487</v>
      </c>
      <c r="AW12" s="529">
        <v>3</v>
      </c>
      <c r="AX12" s="653"/>
      <c r="AZ12" s="364" t="e">
        <f>RANK(AX12, $K$7:AX$21)</f>
        <v>#VALUE!</v>
      </c>
      <c r="BB12" s="354" t="e">
        <f t="shared" si="1"/>
        <v>#N/A</v>
      </c>
    </row>
    <row r="13" spans="1:54" ht="14.25">
      <c r="A13" s="81"/>
      <c r="B13" s="661"/>
      <c r="C13" s="483">
        <v>7</v>
      </c>
      <c r="D13" s="346" t="s">
        <v>840</v>
      </c>
      <c r="E13" s="537">
        <v>11</v>
      </c>
      <c r="F13" s="537">
        <v>2250</v>
      </c>
      <c r="G13" s="537">
        <v>204.5</v>
      </c>
      <c r="H13" s="678"/>
      <c r="I13" s="487">
        <f t="shared" si="0"/>
        <v>11</v>
      </c>
      <c r="J13" s="487">
        <f t="shared" si="0"/>
        <v>2011.1344491278824</v>
      </c>
      <c r="K13" s="363">
        <f t="shared" si="0"/>
        <v>182.83040446617113</v>
      </c>
      <c r="L13" s="615"/>
      <c r="M13" s="489">
        <f>RANK(K13, K$7:$K$21)</f>
        <v>4</v>
      </c>
      <c r="N13" s="624"/>
      <c r="O13" s="624"/>
      <c r="P13" s="411"/>
      <c r="Q13" s="182"/>
      <c r="R13" s="182"/>
      <c r="S13" s="414"/>
      <c r="T13" s="674"/>
      <c r="U13" s="529">
        <v>11</v>
      </c>
      <c r="V13" s="538">
        <v>2022.1276595744685</v>
      </c>
      <c r="W13" s="538">
        <v>183.82978723404258</v>
      </c>
      <c r="X13" s="529">
        <v>4</v>
      </c>
      <c r="Y13" s="653"/>
      <c r="Z13" s="529">
        <v>11</v>
      </c>
      <c r="AA13" s="538">
        <v>2037.1764705882349</v>
      </c>
      <c r="AB13" s="538">
        <v>185.19786096256681</v>
      </c>
      <c r="AC13" s="529">
        <v>4</v>
      </c>
      <c r="AD13" s="653"/>
      <c r="AE13" s="529">
        <v>11</v>
      </c>
      <c r="AF13" s="538">
        <v>2003.2340425531918</v>
      </c>
      <c r="AG13" s="538">
        <v>182.11218568665379</v>
      </c>
      <c r="AH13" s="529">
        <v>4</v>
      </c>
      <c r="AI13" s="653"/>
      <c r="AJ13" s="529">
        <v>11</v>
      </c>
      <c r="AK13" s="538">
        <v>1980.2105263157912</v>
      </c>
      <c r="AL13" s="538">
        <v>180.019138755981</v>
      </c>
      <c r="AM13" s="529">
        <v>4</v>
      </c>
      <c r="AN13" s="653"/>
      <c r="AO13" s="529">
        <v>11</v>
      </c>
      <c r="AP13" s="538">
        <v>1993.3714285714291</v>
      </c>
      <c r="AQ13" s="538">
        <v>181.21558441558446</v>
      </c>
      <c r="AR13" s="529">
        <v>4</v>
      </c>
      <c r="AS13" s="653"/>
      <c r="AT13" s="529">
        <v>11</v>
      </c>
      <c r="AU13" s="538">
        <v>2030.6865671641792</v>
      </c>
      <c r="AV13" s="538">
        <v>184.60786974219812</v>
      </c>
      <c r="AW13" s="529">
        <v>4</v>
      </c>
      <c r="AX13" s="653"/>
      <c r="AZ13" s="364" t="e">
        <f>RANK(AX13, $K$7:AX$21)</f>
        <v>#VALUE!</v>
      </c>
      <c r="BB13" s="354" t="e">
        <f t="shared" si="1"/>
        <v>#N/A</v>
      </c>
    </row>
    <row r="14" spans="1:54" ht="14.25">
      <c r="A14" s="81"/>
      <c r="B14" s="661"/>
      <c r="C14" s="483">
        <v>8</v>
      </c>
      <c r="D14" s="346" t="s">
        <v>354</v>
      </c>
      <c r="E14" s="537">
        <v>18</v>
      </c>
      <c r="F14" s="537">
        <v>1200</v>
      </c>
      <c r="G14" s="537">
        <v>66.666666666666671</v>
      </c>
      <c r="H14" s="678"/>
      <c r="I14" s="487">
        <f t="shared" si="0"/>
        <v>18.5</v>
      </c>
      <c r="J14" s="487">
        <f t="shared" si="0"/>
        <v>1194.8576072649039</v>
      </c>
      <c r="K14" s="363">
        <f t="shared" si="0"/>
        <v>64.655035487132992</v>
      </c>
      <c r="L14" s="615"/>
      <c r="M14" s="489">
        <f>RANK(K14, K$7:$K$21)</f>
        <v>8</v>
      </c>
      <c r="N14" s="624"/>
      <c r="O14" s="624"/>
      <c r="P14" s="411"/>
      <c r="Q14" s="182"/>
      <c r="R14" s="182"/>
      <c r="S14" s="414"/>
      <c r="T14" s="674"/>
      <c r="U14" s="529">
        <v>18</v>
      </c>
      <c r="V14" s="538">
        <v>1211.8604651162789</v>
      </c>
      <c r="W14" s="538">
        <v>67.32558139534882</v>
      </c>
      <c r="X14" s="529">
        <v>8</v>
      </c>
      <c r="Y14" s="653"/>
      <c r="Z14" s="529">
        <v>18</v>
      </c>
      <c r="AA14" s="538">
        <v>1191.2359550561798</v>
      </c>
      <c r="AB14" s="538">
        <v>66.17977528089888</v>
      </c>
      <c r="AC14" s="529">
        <v>8</v>
      </c>
      <c r="AD14" s="653"/>
      <c r="AE14" s="529">
        <v>18</v>
      </c>
      <c r="AF14" s="538">
        <v>1153.5999999999992</v>
      </c>
      <c r="AG14" s="538">
        <v>64.088888888888846</v>
      </c>
      <c r="AH14" s="529">
        <v>9</v>
      </c>
      <c r="AI14" s="653"/>
      <c r="AJ14" s="529">
        <v>18</v>
      </c>
      <c r="AK14" s="538">
        <v>1174.8148148148143</v>
      </c>
      <c r="AL14" s="538">
        <v>65.267489711934132</v>
      </c>
      <c r="AM14" s="529">
        <v>8</v>
      </c>
      <c r="AN14" s="653"/>
      <c r="AO14" s="529">
        <v>20</v>
      </c>
      <c r="AP14" s="538">
        <v>1226.666666666667</v>
      </c>
      <c r="AQ14" s="538">
        <v>61.33333333333335</v>
      </c>
      <c r="AR14" s="529">
        <v>9</v>
      </c>
      <c r="AS14" s="653"/>
      <c r="AT14" s="529">
        <v>19</v>
      </c>
      <c r="AU14" s="538">
        <v>1210.9677419354841</v>
      </c>
      <c r="AV14" s="538">
        <v>63.735144312393899</v>
      </c>
      <c r="AW14" s="529">
        <v>9</v>
      </c>
      <c r="AX14" s="653"/>
      <c r="AZ14" s="364" t="e">
        <f>RANK(AX14, $K$7:AX$21)</f>
        <v>#VALUE!</v>
      </c>
      <c r="BB14" s="354" t="e">
        <f t="shared" si="1"/>
        <v>#N/A</v>
      </c>
    </row>
    <row r="15" spans="1:54" ht="14.25">
      <c r="A15" s="81"/>
      <c r="B15" s="661"/>
      <c r="C15" s="483">
        <v>9</v>
      </c>
      <c r="D15" s="346" t="s">
        <v>776</v>
      </c>
      <c r="E15" s="537">
        <v>18</v>
      </c>
      <c r="F15" s="537">
        <v>1200</v>
      </c>
      <c r="G15" s="537">
        <v>66.666666666666671</v>
      </c>
      <c r="H15" s="678"/>
      <c r="I15" s="487">
        <f t="shared" si="0"/>
        <v>18</v>
      </c>
      <c r="J15" s="487">
        <f t="shared" si="0"/>
        <v>1147.0519480870164</v>
      </c>
      <c r="K15" s="363">
        <f t="shared" si="0"/>
        <v>63.725108227056467</v>
      </c>
      <c r="L15" s="615"/>
      <c r="M15" s="489">
        <f>RANK(K15, K$7:$K$21)</f>
        <v>9</v>
      </c>
      <c r="N15" s="624"/>
      <c r="O15" s="624"/>
      <c r="P15" s="411"/>
      <c r="Q15" s="182"/>
      <c r="R15" s="182"/>
      <c r="S15" s="414"/>
      <c r="T15" s="674"/>
      <c r="U15" s="529">
        <v>18</v>
      </c>
      <c r="V15" s="538">
        <v>1180.5542168674699</v>
      </c>
      <c r="W15" s="538">
        <v>65.586345381526101</v>
      </c>
      <c r="X15" s="529"/>
      <c r="Y15" s="653"/>
      <c r="Z15" s="529">
        <v>18</v>
      </c>
      <c r="AA15" s="538">
        <v>1046.6666666666663</v>
      </c>
      <c r="AB15" s="538">
        <v>58.148148148148124</v>
      </c>
      <c r="AC15" s="529"/>
      <c r="AD15" s="653"/>
      <c r="AE15" s="529">
        <v>18</v>
      </c>
      <c r="AF15" s="538">
        <v>1161.0000000000002</v>
      </c>
      <c r="AG15" s="538">
        <v>64.500000000000014</v>
      </c>
      <c r="AH15" s="529"/>
      <c r="AI15" s="653"/>
      <c r="AJ15" s="529">
        <v>18</v>
      </c>
      <c r="AK15" s="538">
        <v>1156.0499999999995</v>
      </c>
      <c r="AL15" s="538">
        <v>64.224999999999966</v>
      </c>
      <c r="AM15" s="529"/>
      <c r="AN15" s="653"/>
      <c r="AO15" s="529">
        <v>18</v>
      </c>
      <c r="AP15" s="538">
        <v>1167.3402061855672</v>
      </c>
      <c r="AQ15" s="538">
        <v>64.852233676975956</v>
      </c>
      <c r="AR15" s="529"/>
      <c r="AS15" s="653"/>
      <c r="AT15" s="529">
        <v>18</v>
      </c>
      <c r="AU15" s="538">
        <v>1170.7005988023955</v>
      </c>
      <c r="AV15" s="538">
        <v>65.038922155688638</v>
      </c>
      <c r="AW15" s="529"/>
      <c r="AX15" s="653"/>
      <c r="AZ15" s="364" t="e">
        <f>RANK(AX15, $K$7:AX$21)</f>
        <v>#VALUE!</v>
      </c>
      <c r="BB15" s="354" t="e">
        <f t="shared" si="1"/>
        <v>#N/A</v>
      </c>
    </row>
    <row r="16" spans="1:54" ht="14.25">
      <c r="A16" s="81"/>
      <c r="B16" s="661"/>
      <c r="C16" s="483">
        <v>10</v>
      </c>
      <c r="D16" s="346"/>
      <c r="E16" s="537"/>
      <c r="F16" s="537"/>
      <c r="G16" s="537"/>
      <c r="H16" s="678"/>
      <c r="I16" s="487" t="str">
        <f t="shared" si="0"/>
        <v>-</v>
      </c>
      <c r="J16" s="487" t="str">
        <f t="shared" si="0"/>
        <v>-</v>
      </c>
      <c r="K16" s="363" t="str">
        <f t="shared" si="0"/>
        <v>-</v>
      </c>
      <c r="L16" s="615"/>
      <c r="M16" s="489" t="e">
        <f>RANK(K16, K$7:$K$21)</f>
        <v>#VALUE!</v>
      </c>
      <c r="N16" s="624"/>
      <c r="O16" s="624"/>
      <c r="P16" s="411"/>
      <c r="Q16" s="182"/>
      <c r="R16" s="182"/>
      <c r="S16" s="414"/>
      <c r="T16" s="674"/>
      <c r="U16" s="529" t="s">
        <v>427</v>
      </c>
      <c r="V16" s="538" t="s">
        <v>427</v>
      </c>
      <c r="W16" s="538" t="s">
        <v>427</v>
      </c>
      <c r="X16" s="529"/>
      <c r="Y16" s="653"/>
      <c r="Z16" s="529" t="s">
        <v>427</v>
      </c>
      <c r="AA16" s="538" t="s">
        <v>427</v>
      </c>
      <c r="AB16" s="538" t="s">
        <v>427</v>
      </c>
      <c r="AC16" s="529"/>
      <c r="AD16" s="653"/>
      <c r="AE16" s="529" t="s">
        <v>427</v>
      </c>
      <c r="AF16" s="538" t="s">
        <v>427</v>
      </c>
      <c r="AG16" s="538" t="s">
        <v>427</v>
      </c>
      <c r="AH16" s="529"/>
      <c r="AI16" s="653"/>
      <c r="AJ16" s="529" t="s">
        <v>427</v>
      </c>
      <c r="AK16" s="538" t="s">
        <v>427</v>
      </c>
      <c r="AL16" s="538" t="s">
        <v>427</v>
      </c>
      <c r="AM16" s="529"/>
      <c r="AN16" s="653"/>
      <c r="AO16" s="529" t="s">
        <v>427</v>
      </c>
      <c r="AP16" s="538" t="s">
        <v>427</v>
      </c>
      <c r="AQ16" s="538" t="s">
        <v>427</v>
      </c>
      <c r="AR16" s="529"/>
      <c r="AS16" s="653"/>
      <c r="AT16" s="529" t="s">
        <v>427</v>
      </c>
      <c r="AU16" s="538" t="s">
        <v>427</v>
      </c>
      <c r="AV16" s="538" t="s">
        <v>427</v>
      </c>
      <c r="AW16" s="529"/>
      <c r="AX16" s="653"/>
      <c r="AZ16" s="364" t="e">
        <f>RANK(AX16, $K$7:AX$21)</f>
        <v>#VALUE!</v>
      </c>
      <c r="BB16" s="354" t="e">
        <f t="shared" si="1"/>
        <v>#N/A</v>
      </c>
    </row>
    <row r="17" spans="2:54">
      <c r="B17" s="661"/>
      <c r="C17" s="483">
        <v>11</v>
      </c>
      <c r="D17" s="346"/>
      <c r="E17" s="537"/>
      <c r="F17" s="537"/>
      <c r="G17" s="537"/>
      <c r="H17" s="678"/>
      <c r="I17" s="487" t="str">
        <f t="shared" si="0"/>
        <v>-</v>
      </c>
      <c r="J17" s="487" t="str">
        <f t="shared" si="0"/>
        <v>-</v>
      </c>
      <c r="K17" s="363" t="str">
        <f t="shared" si="0"/>
        <v>-</v>
      </c>
      <c r="L17" s="615"/>
      <c r="M17" s="489" t="e">
        <f>RANK(K17, K$7:$K$21)</f>
        <v>#VALUE!</v>
      </c>
      <c r="N17" s="624"/>
      <c r="O17" s="624"/>
      <c r="P17" s="411"/>
      <c r="Q17" s="182"/>
      <c r="R17" s="182"/>
      <c r="S17" s="414"/>
      <c r="T17" s="674"/>
      <c r="U17" s="529" t="s">
        <v>427</v>
      </c>
      <c r="V17" s="538" t="s">
        <v>427</v>
      </c>
      <c r="W17" s="538" t="s">
        <v>427</v>
      </c>
      <c r="X17" s="529"/>
      <c r="Y17" s="653"/>
      <c r="Z17" s="529" t="s">
        <v>427</v>
      </c>
      <c r="AA17" s="538" t="s">
        <v>427</v>
      </c>
      <c r="AB17" s="538" t="s">
        <v>427</v>
      </c>
      <c r="AC17" s="529"/>
      <c r="AD17" s="653"/>
      <c r="AE17" s="529" t="s">
        <v>427</v>
      </c>
      <c r="AF17" s="538" t="s">
        <v>427</v>
      </c>
      <c r="AG17" s="538" t="s">
        <v>427</v>
      </c>
      <c r="AH17" s="529"/>
      <c r="AI17" s="653"/>
      <c r="AJ17" s="529" t="s">
        <v>427</v>
      </c>
      <c r="AK17" s="538" t="s">
        <v>427</v>
      </c>
      <c r="AL17" s="538" t="s">
        <v>427</v>
      </c>
      <c r="AM17" s="529"/>
      <c r="AN17" s="653"/>
      <c r="AO17" s="529" t="s">
        <v>427</v>
      </c>
      <c r="AP17" s="538" t="s">
        <v>427</v>
      </c>
      <c r="AQ17" s="538" t="s">
        <v>427</v>
      </c>
      <c r="AR17" s="529"/>
      <c r="AS17" s="653"/>
      <c r="AT17" s="529" t="s">
        <v>427</v>
      </c>
      <c r="AU17" s="538" t="s">
        <v>427</v>
      </c>
      <c r="AV17" s="538" t="s">
        <v>427</v>
      </c>
      <c r="AW17" s="529"/>
      <c r="AX17" s="653"/>
      <c r="AZ17" s="364" t="e">
        <f>RANK(AX17, $K$7:AX$21)</f>
        <v>#VALUE!</v>
      </c>
      <c r="BB17" s="354" t="e">
        <f t="shared" si="1"/>
        <v>#N/A</v>
      </c>
    </row>
    <row r="18" spans="2:54">
      <c r="B18" s="661"/>
      <c r="C18" s="483">
        <v>12</v>
      </c>
      <c r="D18" s="346"/>
      <c r="E18" s="537"/>
      <c r="F18" s="537"/>
      <c r="G18" s="537"/>
      <c r="H18" s="678"/>
      <c r="I18" s="487" t="str">
        <f t="shared" si="0"/>
        <v>-</v>
      </c>
      <c r="J18" s="487" t="str">
        <f t="shared" si="0"/>
        <v>-</v>
      </c>
      <c r="K18" s="363" t="str">
        <f t="shared" si="0"/>
        <v>-</v>
      </c>
      <c r="L18" s="615"/>
      <c r="M18" s="489" t="e">
        <f>RANK(K18, K$7:$K$21)</f>
        <v>#VALUE!</v>
      </c>
      <c r="N18" s="624"/>
      <c r="O18" s="624"/>
      <c r="P18" s="411"/>
      <c r="Q18" s="182"/>
      <c r="R18" s="182"/>
      <c r="S18" s="414"/>
      <c r="T18" s="674"/>
      <c r="U18" s="529" t="s">
        <v>427</v>
      </c>
      <c r="V18" s="538" t="s">
        <v>427</v>
      </c>
      <c r="W18" s="538" t="s">
        <v>427</v>
      </c>
      <c r="X18" s="529"/>
      <c r="Y18" s="653"/>
      <c r="Z18" s="529" t="s">
        <v>427</v>
      </c>
      <c r="AA18" s="538" t="s">
        <v>427</v>
      </c>
      <c r="AB18" s="538" t="s">
        <v>427</v>
      </c>
      <c r="AC18" s="529"/>
      <c r="AD18" s="653"/>
      <c r="AE18" s="529" t="s">
        <v>427</v>
      </c>
      <c r="AF18" s="538" t="s">
        <v>427</v>
      </c>
      <c r="AG18" s="538" t="s">
        <v>427</v>
      </c>
      <c r="AH18" s="529"/>
      <c r="AI18" s="653"/>
      <c r="AJ18" s="529" t="s">
        <v>427</v>
      </c>
      <c r="AK18" s="538" t="s">
        <v>427</v>
      </c>
      <c r="AL18" s="538" t="s">
        <v>427</v>
      </c>
      <c r="AM18" s="529"/>
      <c r="AN18" s="653"/>
      <c r="AO18" s="529" t="s">
        <v>427</v>
      </c>
      <c r="AP18" s="538" t="s">
        <v>427</v>
      </c>
      <c r="AQ18" s="538" t="s">
        <v>427</v>
      </c>
      <c r="AR18" s="529"/>
      <c r="AS18" s="653"/>
      <c r="AT18" s="529" t="s">
        <v>427</v>
      </c>
      <c r="AU18" s="538" t="s">
        <v>427</v>
      </c>
      <c r="AV18" s="538" t="s">
        <v>427</v>
      </c>
      <c r="AW18" s="529"/>
      <c r="AX18" s="653"/>
      <c r="AZ18" s="364" t="e">
        <f>RANK(AX18, $K$7:AX$21)</f>
        <v>#VALUE!</v>
      </c>
      <c r="BB18" s="354" t="e">
        <f t="shared" si="1"/>
        <v>#N/A</v>
      </c>
    </row>
    <row r="19" spans="2:54">
      <c r="B19" s="661"/>
      <c r="C19" s="483">
        <v>13</v>
      </c>
      <c r="D19" s="346"/>
      <c r="E19" s="537"/>
      <c r="F19" s="537"/>
      <c r="G19" s="537"/>
      <c r="H19" s="678"/>
      <c r="I19" s="487" t="str">
        <f t="shared" si="0"/>
        <v>-</v>
      </c>
      <c r="J19" s="487" t="str">
        <f t="shared" si="0"/>
        <v>-</v>
      </c>
      <c r="K19" s="363" t="str">
        <f t="shared" si="0"/>
        <v>-</v>
      </c>
      <c r="L19" s="615"/>
      <c r="M19" s="489" t="e">
        <f>RANK(K19, K$7:$K$21)</f>
        <v>#VALUE!</v>
      </c>
      <c r="N19" s="624"/>
      <c r="O19" s="624"/>
      <c r="P19" s="411"/>
      <c r="Q19" s="182"/>
      <c r="R19" s="182"/>
      <c r="S19" s="414"/>
      <c r="T19" s="674"/>
      <c r="U19" s="529" t="s">
        <v>427</v>
      </c>
      <c r="V19" s="538" t="s">
        <v>427</v>
      </c>
      <c r="W19" s="538" t="s">
        <v>427</v>
      </c>
      <c r="X19" s="529"/>
      <c r="Y19" s="653"/>
      <c r="Z19" s="529" t="s">
        <v>427</v>
      </c>
      <c r="AA19" s="538" t="s">
        <v>427</v>
      </c>
      <c r="AB19" s="538" t="s">
        <v>427</v>
      </c>
      <c r="AC19" s="529"/>
      <c r="AD19" s="653"/>
      <c r="AE19" s="529" t="s">
        <v>427</v>
      </c>
      <c r="AF19" s="538" t="s">
        <v>427</v>
      </c>
      <c r="AG19" s="538" t="s">
        <v>427</v>
      </c>
      <c r="AH19" s="529"/>
      <c r="AI19" s="653"/>
      <c r="AJ19" s="529" t="s">
        <v>427</v>
      </c>
      <c r="AK19" s="538" t="s">
        <v>427</v>
      </c>
      <c r="AL19" s="538" t="s">
        <v>427</v>
      </c>
      <c r="AM19" s="529"/>
      <c r="AN19" s="653"/>
      <c r="AO19" s="529" t="s">
        <v>427</v>
      </c>
      <c r="AP19" s="538" t="s">
        <v>427</v>
      </c>
      <c r="AQ19" s="538" t="s">
        <v>427</v>
      </c>
      <c r="AR19" s="529"/>
      <c r="AS19" s="653"/>
      <c r="AT19" s="529" t="s">
        <v>427</v>
      </c>
      <c r="AU19" s="538" t="s">
        <v>427</v>
      </c>
      <c r="AV19" s="538" t="s">
        <v>427</v>
      </c>
      <c r="AW19" s="529"/>
      <c r="AX19" s="653"/>
      <c r="AZ19" s="364" t="e">
        <f>RANK(AX19, $K$7:AX$21)</f>
        <v>#VALUE!</v>
      </c>
      <c r="BB19" s="354" t="e">
        <f t="shared" si="1"/>
        <v>#N/A</v>
      </c>
    </row>
    <row r="20" spans="2:54">
      <c r="B20" s="661"/>
      <c r="C20" s="483">
        <v>14</v>
      </c>
      <c r="D20" s="346"/>
      <c r="E20" s="537"/>
      <c r="F20" s="537"/>
      <c r="G20" s="537"/>
      <c r="H20" s="678"/>
      <c r="I20" s="487" t="str">
        <f t="shared" si="0"/>
        <v>-</v>
      </c>
      <c r="J20" s="487" t="str">
        <f t="shared" si="0"/>
        <v>-</v>
      </c>
      <c r="K20" s="363" t="str">
        <f t="shared" si="0"/>
        <v>-</v>
      </c>
      <c r="L20" s="615"/>
      <c r="M20" s="489" t="e">
        <f>RANK(K20, K$7:$K$21)</f>
        <v>#VALUE!</v>
      </c>
      <c r="N20" s="624"/>
      <c r="O20" s="624"/>
      <c r="P20" s="411"/>
      <c r="Q20" s="182"/>
      <c r="R20" s="182"/>
      <c r="S20" s="414"/>
      <c r="T20" s="674"/>
      <c r="U20" s="529" t="s">
        <v>427</v>
      </c>
      <c r="V20" s="538" t="s">
        <v>427</v>
      </c>
      <c r="W20" s="538" t="s">
        <v>427</v>
      </c>
      <c r="X20" s="529"/>
      <c r="Y20" s="653"/>
      <c r="Z20" s="529" t="s">
        <v>427</v>
      </c>
      <c r="AA20" s="538" t="s">
        <v>427</v>
      </c>
      <c r="AB20" s="538" t="s">
        <v>427</v>
      </c>
      <c r="AC20" s="529"/>
      <c r="AD20" s="653"/>
      <c r="AE20" s="529" t="s">
        <v>427</v>
      </c>
      <c r="AF20" s="538" t="s">
        <v>427</v>
      </c>
      <c r="AG20" s="538" t="s">
        <v>427</v>
      </c>
      <c r="AH20" s="529"/>
      <c r="AI20" s="653"/>
      <c r="AJ20" s="529" t="s">
        <v>427</v>
      </c>
      <c r="AK20" s="538" t="s">
        <v>427</v>
      </c>
      <c r="AL20" s="538" t="s">
        <v>427</v>
      </c>
      <c r="AM20" s="529"/>
      <c r="AN20" s="653"/>
      <c r="AO20" s="529" t="s">
        <v>427</v>
      </c>
      <c r="AP20" s="538" t="s">
        <v>427</v>
      </c>
      <c r="AQ20" s="538" t="s">
        <v>427</v>
      </c>
      <c r="AR20" s="529"/>
      <c r="AS20" s="653"/>
      <c r="AT20" s="529" t="s">
        <v>427</v>
      </c>
      <c r="AU20" s="538" t="s">
        <v>427</v>
      </c>
      <c r="AV20" s="538" t="s">
        <v>427</v>
      </c>
      <c r="AW20" s="529"/>
      <c r="AX20" s="653"/>
      <c r="AZ20" s="364" t="e">
        <f>RANK(AX20, $K$7:AX$21)</f>
        <v>#VALUE!</v>
      </c>
      <c r="BB20" s="354" t="e">
        <f t="shared" si="1"/>
        <v>#N/A</v>
      </c>
    </row>
    <row r="21" spans="2:54">
      <c r="B21" s="661"/>
      <c r="C21" s="483">
        <v>15</v>
      </c>
      <c r="D21" s="346"/>
      <c r="E21" s="537"/>
      <c r="F21" s="537"/>
      <c r="G21" s="537"/>
      <c r="H21" s="679"/>
      <c r="I21" s="490"/>
      <c r="J21" s="490"/>
      <c r="K21" s="488"/>
      <c r="L21" s="616"/>
      <c r="M21" s="489" t="e">
        <f>RANK(K21, K$7:$K$21)</f>
        <v>#N/A</v>
      </c>
      <c r="N21" s="624"/>
      <c r="O21" s="624"/>
      <c r="P21" s="411"/>
      <c r="Q21" s="182"/>
      <c r="R21" s="182"/>
      <c r="S21" s="414"/>
      <c r="T21" s="674"/>
      <c r="U21" s="529" t="s">
        <v>427</v>
      </c>
      <c r="V21" s="538" t="s">
        <v>427</v>
      </c>
      <c r="W21" s="538" t="s">
        <v>427</v>
      </c>
      <c r="X21" s="529"/>
      <c r="Y21" s="653"/>
      <c r="Z21" s="529" t="s">
        <v>427</v>
      </c>
      <c r="AA21" s="538" t="s">
        <v>427</v>
      </c>
      <c r="AB21" s="538" t="s">
        <v>427</v>
      </c>
      <c r="AC21" s="529"/>
      <c r="AD21" s="653"/>
      <c r="AE21" s="529" t="s">
        <v>427</v>
      </c>
      <c r="AF21" s="538" t="s">
        <v>427</v>
      </c>
      <c r="AG21" s="538" t="s">
        <v>427</v>
      </c>
      <c r="AH21" s="529"/>
      <c r="AI21" s="653"/>
      <c r="AJ21" s="529" t="s">
        <v>427</v>
      </c>
      <c r="AK21" s="538" t="s">
        <v>427</v>
      </c>
      <c r="AL21" s="538" t="s">
        <v>427</v>
      </c>
      <c r="AM21" s="529"/>
      <c r="AN21" s="653"/>
      <c r="AO21" s="529" t="s">
        <v>427</v>
      </c>
      <c r="AP21" s="538" t="s">
        <v>427</v>
      </c>
      <c r="AQ21" s="538" t="s">
        <v>427</v>
      </c>
      <c r="AR21" s="529"/>
      <c r="AS21" s="653"/>
      <c r="AT21" s="529" t="s">
        <v>427</v>
      </c>
      <c r="AU21" s="538" t="s">
        <v>427</v>
      </c>
      <c r="AV21" s="538" t="s">
        <v>427</v>
      </c>
      <c r="AW21" s="529"/>
      <c r="AX21" s="653"/>
      <c r="AZ21" s="365" t="e">
        <f>RANK(AX21, $K$7:AX$21)</f>
        <v>#VALUE!</v>
      </c>
      <c r="BB21" s="354" t="e">
        <f t="shared" si="1"/>
        <v>#N/A</v>
      </c>
    </row>
    <row r="22" spans="2:54" ht="15.75">
      <c r="B22" s="657" t="s">
        <v>769</v>
      </c>
      <c r="C22" s="658"/>
      <c r="D22" s="658"/>
      <c r="E22" s="658"/>
      <c r="F22" s="658"/>
      <c r="G22" s="658"/>
      <c r="H22" s="658"/>
      <c r="I22" s="200"/>
      <c r="J22" s="200"/>
      <c r="K22" s="200"/>
      <c r="L22" s="200"/>
      <c r="M22" s="201"/>
      <c r="N22" s="639" t="s">
        <v>589</v>
      </c>
      <c r="O22" s="639" t="s">
        <v>590</v>
      </c>
      <c r="P22" s="634">
        <f>AT2+1</f>
        <v>46210</v>
      </c>
      <c r="Q22" s="635"/>
      <c r="R22" s="635"/>
      <c r="S22" s="635"/>
      <c r="T22" s="635"/>
      <c r="U22" s="636">
        <f>P22+1</f>
        <v>46211</v>
      </c>
      <c r="V22" s="637"/>
      <c r="W22" s="637"/>
      <c r="X22" s="637"/>
      <c r="Y22" s="638"/>
      <c r="Z22" s="636">
        <f t="shared" ref="Z22" si="2">U22+1</f>
        <v>46212</v>
      </c>
      <c r="AA22" s="637"/>
      <c r="AB22" s="637"/>
      <c r="AC22" s="637"/>
      <c r="AD22" s="638"/>
      <c r="AE22" s="636">
        <f t="shared" ref="AE22" si="3">Z22+1</f>
        <v>46213</v>
      </c>
      <c r="AF22" s="637"/>
      <c r="AG22" s="637"/>
      <c r="AH22" s="637"/>
      <c r="AI22" s="638"/>
      <c r="AJ22" s="636">
        <f t="shared" ref="AJ22" si="4">AE22+1</f>
        <v>46214</v>
      </c>
      <c r="AK22" s="637"/>
      <c r="AL22" s="637"/>
      <c r="AM22" s="637"/>
      <c r="AN22" s="638"/>
      <c r="AO22" s="636">
        <f t="shared" ref="AO22" si="5">AJ22+1</f>
        <v>46215</v>
      </c>
      <c r="AP22" s="637"/>
      <c r="AQ22" s="637"/>
      <c r="AR22" s="637"/>
      <c r="AS22" s="638"/>
      <c r="AT22" s="636">
        <f t="shared" ref="AT22" si="6">AO22+1</f>
        <v>46216</v>
      </c>
      <c r="AU22" s="637"/>
      <c r="AV22" s="637"/>
      <c r="AW22" s="637"/>
      <c r="AX22" s="638"/>
    </row>
    <row r="23" spans="2:54" ht="15.75">
      <c r="B23" s="646"/>
      <c r="C23" s="646"/>
      <c r="D23" s="646"/>
      <c r="E23" s="646"/>
      <c r="F23" s="646"/>
      <c r="G23" s="646"/>
      <c r="H23" s="646"/>
      <c r="I23" s="202"/>
      <c r="J23" s="202"/>
      <c r="K23" s="202"/>
      <c r="L23" s="202"/>
      <c r="M23" s="203"/>
      <c r="N23" s="641"/>
      <c r="O23" s="641"/>
      <c r="P23" s="634" t="s">
        <v>591</v>
      </c>
      <c r="Q23" s="635"/>
      <c r="R23" s="635"/>
      <c r="S23" s="635"/>
      <c r="T23" s="635"/>
      <c r="U23" s="634" t="s">
        <v>592</v>
      </c>
      <c r="V23" s="635"/>
      <c r="W23" s="635"/>
      <c r="X23" s="635"/>
      <c r="Y23" s="635"/>
      <c r="Z23" s="634" t="s">
        <v>593</v>
      </c>
      <c r="AA23" s="635"/>
      <c r="AB23" s="635"/>
      <c r="AC23" s="635"/>
      <c r="AD23" s="635"/>
      <c r="AE23" s="634" t="s">
        <v>594</v>
      </c>
      <c r="AF23" s="635"/>
      <c r="AG23" s="635"/>
      <c r="AH23" s="635"/>
      <c r="AI23" s="635"/>
      <c r="AJ23" s="634" t="s">
        <v>595</v>
      </c>
      <c r="AK23" s="635"/>
      <c r="AL23" s="635"/>
      <c r="AM23" s="635"/>
      <c r="AN23" s="635"/>
      <c r="AO23" s="634" t="s">
        <v>596</v>
      </c>
      <c r="AP23" s="635"/>
      <c r="AQ23" s="635"/>
      <c r="AR23" s="635"/>
      <c r="AS23" s="635"/>
      <c r="AT23" s="634" t="s">
        <v>597</v>
      </c>
      <c r="AU23" s="635"/>
      <c r="AV23" s="635"/>
      <c r="AW23" s="635"/>
      <c r="AX23" s="635"/>
    </row>
    <row r="24" spans="2:54">
      <c r="B24" s="624" t="s">
        <v>760</v>
      </c>
      <c r="C24" s="624" t="s">
        <v>827</v>
      </c>
      <c r="D24" s="624"/>
      <c r="E24" s="624" t="s">
        <v>828</v>
      </c>
      <c r="F24" s="624"/>
      <c r="G24" s="624"/>
      <c r="H24" s="647" t="s">
        <v>829</v>
      </c>
      <c r="I24" s="624" t="s">
        <v>830</v>
      </c>
      <c r="J24" s="624"/>
      <c r="K24" s="624"/>
      <c r="L24" s="647" t="s">
        <v>829</v>
      </c>
      <c r="M24" s="639" t="s">
        <v>440</v>
      </c>
      <c r="N24" s="624"/>
      <c r="O24" s="624" t="s">
        <v>831</v>
      </c>
      <c r="P24" s="621" t="s">
        <v>832</v>
      </c>
      <c r="Q24" s="622"/>
      <c r="R24" s="622"/>
      <c r="S24" s="623"/>
      <c r="T24" s="624" t="s">
        <v>829</v>
      </c>
      <c r="U24" s="621" t="s">
        <v>832</v>
      </c>
      <c r="V24" s="622"/>
      <c r="W24" s="622"/>
      <c r="X24" s="623"/>
      <c r="Y24" s="624" t="s">
        <v>829</v>
      </c>
      <c r="Z24" s="621" t="s">
        <v>832</v>
      </c>
      <c r="AA24" s="622"/>
      <c r="AB24" s="622"/>
      <c r="AC24" s="623"/>
      <c r="AD24" s="624" t="s">
        <v>829</v>
      </c>
      <c r="AE24" s="621" t="s">
        <v>832</v>
      </c>
      <c r="AF24" s="622"/>
      <c r="AG24" s="622"/>
      <c r="AH24" s="623"/>
      <c r="AI24" s="624" t="s">
        <v>829</v>
      </c>
      <c r="AJ24" s="621" t="s">
        <v>832</v>
      </c>
      <c r="AK24" s="622"/>
      <c r="AL24" s="622"/>
      <c r="AM24" s="623"/>
      <c r="AN24" s="624" t="s">
        <v>829</v>
      </c>
      <c r="AO24" s="621" t="s">
        <v>832</v>
      </c>
      <c r="AP24" s="622"/>
      <c r="AQ24" s="622"/>
      <c r="AR24" s="623"/>
      <c r="AS24" s="624" t="s">
        <v>829</v>
      </c>
      <c r="AT24" s="621" t="s">
        <v>832</v>
      </c>
      <c r="AU24" s="622"/>
      <c r="AV24" s="622"/>
      <c r="AW24" s="623"/>
      <c r="AX24" s="624" t="s">
        <v>829</v>
      </c>
    </row>
    <row r="25" spans="2:54">
      <c r="B25" s="624"/>
      <c r="C25" s="624"/>
      <c r="D25" s="624"/>
      <c r="E25" s="624" t="s">
        <v>833</v>
      </c>
      <c r="F25" s="624"/>
      <c r="G25" s="624"/>
      <c r="H25" s="648"/>
      <c r="I25" s="624" t="s">
        <v>833</v>
      </c>
      <c r="J25" s="624"/>
      <c r="K25" s="624"/>
      <c r="L25" s="648"/>
      <c r="M25" s="640"/>
      <c r="N25" s="624"/>
      <c r="O25" s="624"/>
      <c r="P25" s="621" t="s">
        <v>834</v>
      </c>
      <c r="Q25" s="622"/>
      <c r="R25" s="622"/>
      <c r="S25" s="623"/>
      <c r="T25" s="624"/>
      <c r="U25" s="621" t="s">
        <v>834</v>
      </c>
      <c r="V25" s="622"/>
      <c r="W25" s="622"/>
      <c r="X25" s="623"/>
      <c r="Y25" s="624"/>
      <c r="Z25" s="621" t="s">
        <v>834</v>
      </c>
      <c r="AA25" s="622"/>
      <c r="AB25" s="622"/>
      <c r="AC25" s="623"/>
      <c r="AD25" s="624"/>
      <c r="AE25" s="621" t="s">
        <v>834</v>
      </c>
      <c r="AF25" s="622"/>
      <c r="AG25" s="622"/>
      <c r="AH25" s="623"/>
      <c r="AI25" s="624"/>
      <c r="AJ25" s="621" t="s">
        <v>834</v>
      </c>
      <c r="AK25" s="622"/>
      <c r="AL25" s="622"/>
      <c r="AM25" s="623"/>
      <c r="AN25" s="624"/>
      <c r="AO25" s="621" t="s">
        <v>834</v>
      </c>
      <c r="AP25" s="622"/>
      <c r="AQ25" s="622"/>
      <c r="AR25" s="623"/>
      <c r="AS25" s="624"/>
      <c r="AT25" s="621" t="s">
        <v>834</v>
      </c>
      <c r="AU25" s="622"/>
      <c r="AV25" s="622"/>
      <c r="AW25" s="623"/>
      <c r="AX25" s="624"/>
    </row>
    <row r="26" spans="2:54">
      <c r="B26" s="624"/>
      <c r="C26" s="624"/>
      <c r="D26" s="624"/>
      <c r="E26" s="533" t="s">
        <v>835</v>
      </c>
      <c r="F26" s="533" t="s">
        <v>836</v>
      </c>
      <c r="G26" s="533" t="s">
        <v>837</v>
      </c>
      <c r="H26" s="649"/>
      <c r="I26" s="533" t="s">
        <v>835</v>
      </c>
      <c r="J26" s="533" t="s">
        <v>836</v>
      </c>
      <c r="K26" s="533" t="s">
        <v>837</v>
      </c>
      <c r="L26" s="649"/>
      <c r="M26" s="641"/>
      <c r="N26" s="624"/>
      <c r="O26" s="624"/>
      <c r="P26" s="533" t="s">
        <v>835</v>
      </c>
      <c r="Q26" s="533" t="s">
        <v>836</v>
      </c>
      <c r="R26" s="533" t="s">
        <v>837</v>
      </c>
      <c r="S26" s="533" t="s">
        <v>440</v>
      </c>
      <c r="T26" s="624"/>
      <c r="U26" s="533" t="s">
        <v>835</v>
      </c>
      <c r="V26" s="533" t="s">
        <v>836</v>
      </c>
      <c r="W26" s="533" t="s">
        <v>837</v>
      </c>
      <c r="X26" s="533" t="s">
        <v>440</v>
      </c>
      <c r="Y26" s="624"/>
      <c r="Z26" s="533" t="s">
        <v>835</v>
      </c>
      <c r="AA26" s="533" t="s">
        <v>836</v>
      </c>
      <c r="AB26" s="533" t="s">
        <v>837</v>
      </c>
      <c r="AC26" s="533" t="s">
        <v>440</v>
      </c>
      <c r="AD26" s="624"/>
      <c r="AE26" s="533" t="s">
        <v>835</v>
      </c>
      <c r="AF26" s="533" t="s">
        <v>836</v>
      </c>
      <c r="AG26" s="533" t="s">
        <v>837</v>
      </c>
      <c r="AH26" s="533" t="s">
        <v>440</v>
      </c>
      <c r="AI26" s="624"/>
      <c r="AJ26" s="533" t="s">
        <v>835</v>
      </c>
      <c r="AK26" s="533" t="s">
        <v>836</v>
      </c>
      <c r="AL26" s="533" t="s">
        <v>837</v>
      </c>
      <c r="AM26" s="533" t="s">
        <v>440</v>
      </c>
      <c r="AN26" s="624"/>
      <c r="AO26" s="533" t="s">
        <v>835</v>
      </c>
      <c r="AP26" s="533" t="s">
        <v>836</v>
      </c>
      <c r="AQ26" s="533" t="s">
        <v>837</v>
      </c>
      <c r="AR26" s="533" t="s">
        <v>440</v>
      </c>
      <c r="AS26" s="624"/>
      <c r="AT26" s="533" t="s">
        <v>835</v>
      </c>
      <c r="AU26" s="533" t="s">
        <v>836</v>
      </c>
      <c r="AV26" s="533" t="s">
        <v>837</v>
      </c>
      <c r="AW26" s="533" t="s">
        <v>440</v>
      </c>
      <c r="AX26" s="624"/>
    </row>
    <row r="27" spans="2:54">
      <c r="B27" s="675" t="s">
        <v>775</v>
      </c>
      <c r="C27" s="534">
        <v>1</v>
      </c>
      <c r="D27" s="346" t="s">
        <v>355</v>
      </c>
      <c r="E27" s="537">
        <v>4</v>
      </c>
      <c r="F27" s="537">
        <v>2000</v>
      </c>
      <c r="G27" s="537">
        <v>500</v>
      </c>
      <c r="H27" s="671">
        <f>AVERAGE(G27:G41)</f>
        <v>237.49259259259256</v>
      </c>
      <c r="I27" s="531">
        <f t="shared" ref="I27:K40" si="7">IFERROR(AVERAGE(P27,U27,Z27,AE27,AJ27,AO27,AT27),"-")</f>
        <v>5</v>
      </c>
      <c r="J27" s="531">
        <f t="shared" si="7"/>
        <v>2144.9602925403005</v>
      </c>
      <c r="K27" s="363">
        <f t="shared" si="7"/>
        <v>428.9920585080601</v>
      </c>
      <c r="L27" s="614">
        <f>IFERROR(AVERAGE(K27:K41),"-")</f>
        <v>213.12431613652436</v>
      </c>
      <c r="M27" s="537">
        <f>RANK(K27, K$27:$K$41)</f>
        <v>1</v>
      </c>
      <c r="N27" s="624"/>
      <c r="O27" s="624"/>
      <c r="P27" s="529">
        <v>5</v>
      </c>
      <c r="Q27" s="538">
        <v>2174.181818181818</v>
      </c>
      <c r="R27" s="538">
        <v>434.83636363636361</v>
      </c>
      <c r="S27" s="529">
        <f t="shared" ref="S27:S41" si="8">RANK(R27, R$27:R$41)</f>
        <v>1</v>
      </c>
      <c r="T27" s="610">
        <f t="shared" ref="T27" si="9">AVERAGE(R27:R41)</f>
        <v>212.25390481430208</v>
      </c>
      <c r="U27" s="529">
        <v>5</v>
      </c>
      <c r="V27" s="538">
        <v>2109.2307692307704</v>
      </c>
      <c r="W27" s="538">
        <v>421.8461538461541</v>
      </c>
      <c r="X27" s="529">
        <f t="shared" ref="X27:X41" si="10">RANK(W27, W$27:W$41)</f>
        <v>2</v>
      </c>
      <c r="Y27" s="610">
        <f t="shared" ref="Y27" si="11">AVERAGE(W27:W41)</f>
        <v>212.08678966732566</v>
      </c>
      <c r="Z27" s="529">
        <v>5</v>
      </c>
      <c r="AA27" s="538">
        <v>2180.816326530613</v>
      </c>
      <c r="AB27" s="538">
        <v>436.16326530612258</v>
      </c>
      <c r="AC27" s="529">
        <f t="shared" ref="AC27:AC41" si="12">RANK(AB27, AB$27:AB$41)</f>
        <v>1</v>
      </c>
      <c r="AD27" s="610">
        <f t="shared" ref="AD27" si="13">AVERAGE(AB27:AB41)</f>
        <v>213.859895140964</v>
      </c>
      <c r="AE27" s="529">
        <v>5</v>
      </c>
      <c r="AF27" s="538">
        <v>2115.428571428572</v>
      </c>
      <c r="AG27" s="538">
        <v>423.0857142857144</v>
      </c>
      <c r="AH27" s="529">
        <f t="shared" ref="AH27:AH41" si="14">RANK(AG27, AG$27:AG$41)</f>
        <v>2</v>
      </c>
      <c r="AI27" s="610">
        <f t="shared" ref="AI27" si="15">AVERAGE(AG27:AG41)</f>
        <v>214.28739738233196</v>
      </c>
      <c r="AJ27" s="529">
        <v>5</v>
      </c>
      <c r="AK27" s="538">
        <v>2123.4146341463406</v>
      </c>
      <c r="AL27" s="538">
        <v>424.68292682926813</v>
      </c>
      <c r="AM27" s="529">
        <f t="shared" ref="AM27:AM41" si="16">RANK(AL27, AL$27:AL$41)</f>
        <v>2</v>
      </c>
      <c r="AN27" s="610">
        <f t="shared" ref="AN27" si="17">AVERAGE(AL27:AL41)</f>
        <v>230.76633580962849</v>
      </c>
      <c r="AO27" s="529">
        <v>5</v>
      </c>
      <c r="AP27" s="538">
        <v>2123.4146341463406</v>
      </c>
      <c r="AQ27" s="538">
        <v>424.68292682926813</v>
      </c>
      <c r="AR27" s="529">
        <f t="shared" ref="AR27:AR41" si="18">RANK(AQ27, AQ$27:AQ$41)</f>
        <v>2</v>
      </c>
      <c r="AS27" s="610">
        <f t="shared" ref="AS27" si="19">AVERAGE(AQ27:AQ41)</f>
        <v>230.76633580962849</v>
      </c>
      <c r="AT27" s="529">
        <v>5</v>
      </c>
      <c r="AU27" s="538">
        <v>2188.2352941176478</v>
      </c>
      <c r="AV27" s="538">
        <v>437.64705882352956</v>
      </c>
      <c r="AW27" s="529">
        <f t="shared" ref="AW27:AW41" si="20">RANK(AV27, AV$27:AV$41)</f>
        <v>1</v>
      </c>
      <c r="AX27" s="610">
        <f t="shared" ref="AX27" si="21">AVERAGE(AV27:AV41)</f>
        <v>232.83771350924519</v>
      </c>
      <c r="AZ27" s="377" t="e">
        <f>RANK(AY27, AY$27:AY$41)</f>
        <v>#N/A</v>
      </c>
      <c r="BA27" s="653" t="e">
        <f>AVERAGE(AY27:AY41)</f>
        <v>#DIV/0!</v>
      </c>
    </row>
    <row r="28" spans="2:54">
      <c r="B28" s="635"/>
      <c r="C28" s="534">
        <v>2</v>
      </c>
      <c r="D28" s="346" t="s">
        <v>385</v>
      </c>
      <c r="E28" s="537">
        <v>4</v>
      </c>
      <c r="F28" s="537">
        <v>2000</v>
      </c>
      <c r="G28" s="537">
        <v>500</v>
      </c>
      <c r="H28" s="672"/>
      <c r="I28" s="531">
        <f t="shared" si="7"/>
        <v>5</v>
      </c>
      <c r="J28" s="531">
        <f t="shared" si="7"/>
        <v>2138.8836636986425</v>
      </c>
      <c r="K28" s="363">
        <f t="shared" si="7"/>
        <v>427.77673273972852</v>
      </c>
      <c r="L28" s="615"/>
      <c r="M28" s="537">
        <f>RANK(K28, K$27:$K$41)</f>
        <v>2</v>
      </c>
      <c r="N28" s="624"/>
      <c r="O28" s="624"/>
      <c r="P28" s="529">
        <v>5</v>
      </c>
      <c r="Q28" s="538">
        <v>2128.301886792452</v>
      </c>
      <c r="R28" s="538">
        <v>425.66037735849039</v>
      </c>
      <c r="S28" s="529">
        <f t="shared" si="8"/>
        <v>2</v>
      </c>
      <c r="T28" s="611"/>
      <c r="U28" s="529">
        <v>5</v>
      </c>
      <c r="V28" s="538">
        <v>2132.5000000000009</v>
      </c>
      <c r="W28" s="538">
        <v>426.50000000000017</v>
      </c>
      <c r="X28" s="529">
        <f t="shared" si="10"/>
        <v>1</v>
      </c>
      <c r="Y28" s="611"/>
      <c r="Z28" s="529">
        <v>5</v>
      </c>
      <c r="AA28" s="538">
        <v>2124.5454545454545</v>
      </c>
      <c r="AB28" s="538">
        <v>424.90909090909088</v>
      </c>
      <c r="AC28" s="529">
        <f t="shared" si="12"/>
        <v>2</v>
      </c>
      <c r="AD28" s="611"/>
      <c r="AE28" s="529">
        <v>5</v>
      </c>
      <c r="AF28" s="538">
        <v>2173.7142857142862</v>
      </c>
      <c r="AG28" s="538">
        <v>434.74285714285725</v>
      </c>
      <c r="AH28" s="529">
        <f t="shared" si="14"/>
        <v>1</v>
      </c>
      <c r="AI28" s="611"/>
      <c r="AJ28" s="529">
        <v>5</v>
      </c>
      <c r="AK28" s="538">
        <v>2146.1538461538453</v>
      </c>
      <c r="AL28" s="538">
        <v>429.23076923076906</v>
      </c>
      <c r="AM28" s="529">
        <f t="shared" si="16"/>
        <v>1</v>
      </c>
      <c r="AN28" s="611"/>
      <c r="AO28" s="529">
        <v>5</v>
      </c>
      <c r="AP28" s="538">
        <v>2146.1538461538453</v>
      </c>
      <c r="AQ28" s="538">
        <v>429.23076923076906</v>
      </c>
      <c r="AR28" s="529">
        <f t="shared" si="18"/>
        <v>1</v>
      </c>
      <c r="AS28" s="611"/>
      <c r="AT28" s="529">
        <v>5</v>
      </c>
      <c r="AU28" s="538">
        <v>2120.816326530613</v>
      </c>
      <c r="AV28" s="538">
        <v>424.16326530612258</v>
      </c>
      <c r="AW28" s="529">
        <f t="shared" si="20"/>
        <v>2</v>
      </c>
      <c r="AX28" s="611"/>
      <c r="AZ28" s="377" t="e">
        <f t="shared" ref="AZ28:AZ41" si="22">RANK(AY28, AY$27:AY$41)</f>
        <v>#N/A</v>
      </c>
      <c r="BA28" s="653"/>
    </row>
    <row r="29" spans="2:54">
      <c r="B29" s="635"/>
      <c r="C29" s="534">
        <v>3</v>
      </c>
      <c r="D29" s="346" t="s">
        <v>356</v>
      </c>
      <c r="E29" s="537">
        <v>12</v>
      </c>
      <c r="F29" s="537">
        <v>2118</v>
      </c>
      <c r="G29" s="537">
        <v>176.5</v>
      </c>
      <c r="H29" s="672"/>
      <c r="I29" s="531">
        <f t="shared" si="7"/>
        <v>12</v>
      </c>
      <c r="J29" s="531">
        <f t="shared" si="7"/>
        <v>1976.6452754123989</v>
      </c>
      <c r="K29" s="363">
        <f t="shared" si="7"/>
        <v>164.7204396176999</v>
      </c>
      <c r="L29" s="615"/>
      <c r="M29" s="537">
        <f>RANK(K29, K$27:$K$41)</f>
        <v>6</v>
      </c>
      <c r="N29" s="624"/>
      <c r="O29" s="624"/>
      <c r="P29" s="529">
        <v>12</v>
      </c>
      <c r="Q29" s="538">
        <v>1957.808219178082</v>
      </c>
      <c r="R29" s="538">
        <v>163.15068493150685</v>
      </c>
      <c r="S29" s="529">
        <f t="shared" si="8"/>
        <v>6</v>
      </c>
      <c r="T29" s="611"/>
      <c r="U29" s="529">
        <v>12</v>
      </c>
      <c r="V29" s="538">
        <v>1960.0000000000002</v>
      </c>
      <c r="W29" s="538">
        <v>163.33333333333334</v>
      </c>
      <c r="X29" s="529">
        <f t="shared" si="10"/>
        <v>6</v>
      </c>
      <c r="Y29" s="611"/>
      <c r="Z29" s="529">
        <v>12</v>
      </c>
      <c r="AA29" s="538">
        <v>2000.0000000000005</v>
      </c>
      <c r="AB29" s="538">
        <v>166.66666666666671</v>
      </c>
      <c r="AC29" s="529">
        <f t="shared" si="12"/>
        <v>6</v>
      </c>
      <c r="AD29" s="611"/>
      <c r="AE29" s="529">
        <v>12</v>
      </c>
      <c r="AF29" s="538">
        <v>2002.2222222222219</v>
      </c>
      <c r="AG29" s="538">
        <v>166.85185185185182</v>
      </c>
      <c r="AH29" s="529">
        <f t="shared" si="14"/>
        <v>6</v>
      </c>
      <c r="AI29" s="611"/>
      <c r="AJ29" s="529">
        <v>12</v>
      </c>
      <c r="AK29" s="538">
        <v>1950.0000000000005</v>
      </c>
      <c r="AL29" s="538">
        <v>162.50000000000003</v>
      </c>
      <c r="AM29" s="529">
        <f t="shared" si="16"/>
        <v>6</v>
      </c>
      <c r="AN29" s="611"/>
      <c r="AO29" s="529">
        <v>12</v>
      </c>
      <c r="AP29" s="538">
        <v>1950.0000000000005</v>
      </c>
      <c r="AQ29" s="538">
        <v>162.50000000000003</v>
      </c>
      <c r="AR29" s="529">
        <f t="shared" si="18"/>
        <v>6</v>
      </c>
      <c r="AS29" s="611"/>
      <c r="AT29" s="529">
        <v>12</v>
      </c>
      <c r="AU29" s="538">
        <v>2016.4864864864871</v>
      </c>
      <c r="AV29" s="538">
        <v>168.0405405405406</v>
      </c>
      <c r="AW29" s="529">
        <f t="shared" si="20"/>
        <v>6</v>
      </c>
      <c r="AX29" s="611"/>
      <c r="AZ29" s="377" t="e">
        <f t="shared" si="22"/>
        <v>#N/A</v>
      </c>
      <c r="BA29" s="653"/>
    </row>
    <row r="30" spans="2:54">
      <c r="B30" s="635"/>
      <c r="C30" s="534">
        <v>4</v>
      </c>
      <c r="D30" s="346" t="s">
        <v>357</v>
      </c>
      <c r="E30" s="537">
        <v>13</v>
      </c>
      <c r="F30" s="537">
        <v>2250</v>
      </c>
      <c r="G30" s="537">
        <v>173.1</v>
      </c>
      <c r="H30" s="672"/>
      <c r="I30" s="531">
        <f t="shared" si="7"/>
        <v>13</v>
      </c>
      <c r="J30" s="531">
        <f t="shared" si="7"/>
        <v>2093.4663024801821</v>
      </c>
      <c r="K30" s="363">
        <f t="shared" si="7"/>
        <v>161.03586942155249</v>
      </c>
      <c r="L30" s="615"/>
      <c r="M30" s="537">
        <f>RANK(K30, K$27:$K$41)</f>
        <v>7</v>
      </c>
      <c r="N30" s="624"/>
      <c r="O30" s="624"/>
      <c r="P30" s="529">
        <v>13</v>
      </c>
      <c r="Q30" s="538">
        <v>2094.6</v>
      </c>
      <c r="R30" s="538">
        <v>161.12307692307692</v>
      </c>
      <c r="S30" s="529">
        <f t="shared" si="8"/>
        <v>7</v>
      </c>
      <c r="T30" s="611"/>
      <c r="U30" s="529">
        <v>13</v>
      </c>
      <c r="V30" s="538">
        <v>2060.2758620689647</v>
      </c>
      <c r="W30" s="538">
        <v>158.48275862068959</v>
      </c>
      <c r="X30" s="529">
        <f t="shared" si="10"/>
        <v>7</v>
      </c>
      <c r="Y30" s="611"/>
      <c r="Z30" s="529">
        <v>13</v>
      </c>
      <c r="AA30" s="538">
        <v>2083.7647058823536</v>
      </c>
      <c r="AB30" s="538">
        <v>160.28959276018105</v>
      </c>
      <c r="AC30" s="529">
        <f t="shared" si="12"/>
        <v>7</v>
      </c>
      <c r="AD30" s="611"/>
      <c r="AE30" s="529">
        <v>13</v>
      </c>
      <c r="AF30" s="538">
        <v>2105.454545454546</v>
      </c>
      <c r="AG30" s="538">
        <v>161.958041958042</v>
      </c>
      <c r="AH30" s="529">
        <f t="shared" si="14"/>
        <v>7</v>
      </c>
      <c r="AI30" s="611"/>
      <c r="AJ30" s="529">
        <v>13</v>
      </c>
      <c r="AK30" s="538">
        <v>2099.2592592592596</v>
      </c>
      <c r="AL30" s="538">
        <v>161.4814814814815</v>
      </c>
      <c r="AM30" s="529">
        <f t="shared" si="16"/>
        <v>7</v>
      </c>
      <c r="AN30" s="611"/>
      <c r="AO30" s="529">
        <v>13</v>
      </c>
      <c r="AP30" s="538">
        <v>2099.2592592592596</v>
      </c>
      <c r="AQ30" s="538">
        <v>161.4814814814815</v>
      </c>
      <c r="AR30" s="529">
        <f t="shared" si="18"/>
        <v>7</v>
      </c>
      <c r="AS30" s="611"/>
      <c r="AT30" s="529">
        <v>13</v>
      </c>
      <c r="AU30" s="538">
        <v>2111.6504854368932</v>
      </c>
      <c r="AV30" s="538">
        <v>162.43465272591487</v>
      </c>
      <c r="AW30" s="529">
        <f t="shared" si="20"/>
        <v>7</v>
      </c>
      <c r="AX30" s="611"/>
      <c r="AZ30" s="377" t="e">
        <f t="shared" si="22"/>
        <v>#N/A</v>
      </c>
      <c r="BA30" s="653"/>
    </row>
    <row r="31" spans="2:54">
      <c r="B31" s="635"/>
      <c r="C31" s="534">
        <v>5</v>
      </c>
      <c r="D31" s="346" t="s">
        <v>358</v>
      </c>
      <c r="E31" s="537">
        <v>13</v>
      </c>
      <c r="F31" s="537">
        <v>2250</v>
      </c>
      <c r="G31" s="537">
        <v>173.1</v>
      </c>
      <c r="H31" s="672"/>
      <c r="I31" s="531">
        <f t="shared" si="7"/>
        <v>13</v>
      </c>
      <c r="J31" s="531">
        <f t="shared" si="7"/>
        <v>2199.3966118193234</v>
      </c>
      <c r="K31" s="363">
        <f t="shared" si="7"/>
        <v>169.18435475533263</v>
      </c>
      <c r="L31" s="615"/>
      <c r="M31" s="537">
        <f>RANK(K31, K$27:$K$41)</f>
        <v>5</v>
      </c>
      <c r="N31" s="624"/>
      <c r="O31" s="624"/>
      <c r="P31" s="529">
        <v>13</v>
      </c>
      <c r="Q31" s="538">
        <v>2188.4210526315792</v>
      </c>
      <c r="R31" s="538">
        <v>168.34008097165994</v>
      </c>
      <c r="S31" s="529">
        <f t="shared" si="8"/>
        <v>5</v>
      </c>
      <c r="T31" s="611"/>
      <c r="U31" s="529">
        <v>13</v>
      </c>
      <c r="V31" s="538">
        <v>2202.5581395348836</v>
      </c>
      <c r="W31" s="538">
        <v>169.42754919499106</v>
      </c>
      <c r="X31" s="529">
        <f t="shared" si="10"/>
        <v>5</v>
      </c>
      <c r="Y31" s="611"/>
      <c r="Z31" s="529">
        <v>13</v>
      </c>
      <c r="AA31" s="538">
        <v>2178.0722891566256</v>
      </c>
      <c r="AB31" s="538">
        <v>167.54402224281736</v>
      </c>
      <c r="AC31" s="529">
        <f t="shared" si="12"/>
        <v>5</v>
      </c>
      <c r="AD31" s="611"/>
      <c r="AE31" s="529">
        <v>13</v>
      </c>
      <c r="AF31" s="538">
        <v>2216.363636363636</v>
      </c>
      <c r="AG31" s="538">
        <v>170.48951048951045</v>
      </c>
      <c r="AH31" s="529">
        <f t="shared" si="14"/>
        <v>5</v>
      </c>
      <c r="AI31" s="611"/>
      <c r="AJ31" s="529">
        <v>13</v>
      </c>
      <c r="AK31" s="538">
        <v>2211.1999999999994</v>
      </c>
      <c r="AL31" s="538">
        <v>170.09230769230766</v>
      </c>
      <c r="AM31" s="529">
        <f t="shared" si="16"/>
        <v>5</v>
      </c>
      <c r="AN31" s="611"/>
      <c r="AO31" s="529">
        <v>13</v>
      </c>
      <c r="AP31" s="538">
        <v>2211.1999999999994</v>
      </c>
      <c r="AQ31" s="538">
        <v>170.09230769230766</v>
      </c>
      <c r="AR31" s="529">
        <f t="shared" si="18"/>
        <v>5</v>
      </c>
      <c r="AS31" s="611"/>
      <c r="AT31" s="529">
        <v>13</v>
      </c>
      <c r="AU31" s="538">
        <v>2187.9611650485435</v>
      </c>
      <c r="AV31" s="538">
        <v>168.30470500373411</v>
      </c>
      <c r="AW31" s="529">
        <f t="shared" si="20"/>
        <v>5</v>
      </c>
      <c r="AX31" s="611"/>
      <c r="AZ31" s="377" t="e">
        <f t="shared" si="22"/>
        <v>#N/A</v>
      </c>
      <c r="BA31" s="653"/>
    </row>
    <row r="32" spans="2:54">
      <c r="B32" s="635"/>
      <c r="C32" s="534">
        <v>6</v>
      </c>
      <c r="D32" s="346" t="s">
        <v>359</v>
      </c>
      <c r="E32" s="537">
        <v>10</v>
      </c>
      <c r="F32" s="537">
        <v>2769</v>
      </c>
      <c r="G32" s="537">
        <v>276.89999999999998</v>
      </c>
      <c r="H32" s="672"/>
      <c r="I32" s="531">
        <f t="shared" si="7"/>
        <v>10</v>
      </c>
      <c r="J32" s="531">
        <f t="shared" si="7"/>
        <v>2402.3305273286019</v>
      </c>
      <c r="K32" s="363">
        <f t="shared" si="7"/>
        <v>240.23305273286019</v>
      </c>
      <c r="L32" s="615"/>
      <c r="M32" s="537">
        <f>RANK(K32, K$27:$K$41)</f>
        <v>3</v>
      </c>
      <c r="N32" s="624"/>
      <c r="O32" s="624"/>
      <c r="P32" s="529">
        <v>10</v>
      </c>
      <c r="Q32" s="538">
        <v>2379.4736842105249</v>
      </c>
      <c r="R32" s="538">
        <v>237.94736842105249</v>
      </c>
      <c r="S32" s="529">
        <f t="shared" si="8"/>
        <v>3</v>
      </c>
      <c r="T32" s="611"/>
      <c r="U32" s="529">
        <v>10</v>
      </c>
      <c r="V32" s="538">
        <v>2435.192307692309</v>
      </c>
      <c r="W32" s="538">
        <v>243.51923076923089</v>
      </c>
      <c r="X32" s="529">
        <f t="shared" si="10"/>
        <v>3</v>
      </c>
      <c r="Y32" s="611"/>
      <c r="Z32" s="529">
        <v>10</v>
      </c>
      <c r="AA32" s="538">
        <v>2452.7096774193551</v>
      </c>
      <c r="AB32" s="538">
        <v>245.27096774193552</v>
      </c>
      <c r="AC32" s="529">
        <f t="shared" si="12"/>
        <v>3</v>
      </c>
      <c r="AD32" s="611"/>
      <c r="AE32" s="529">
        <v>10</v>
      </c>
      <c r="AF32" s="538">
        <v>2371.9999999999991</v>
      </c>
      <c r="AG32" s="538">
        <v>237.1999999999999</v>
      </c>
      <c r="AH32" s="529">
        <f t="shared" si="14"/>
        <v>3</v>
      </c>
      <c r="AI32" s="611"/>
      <c r="AJ32" s="529">
        <v>10</v>
      </c>
      <c r="AK32" s="538">
        <v>2398.8461538461552</v>
      </c>
      <c r="AL32" s="538">
        <v>239.88461538461553</v>
      </c>
      <c r="AM32" s="529">
        <f t="shared" si="16"/>
        <v>3</v>
      </c>
      <c r="AN32" s="611"/>
      <c r="AO32" s="529">
        <v>10</v>
      </c>
      <c r="AP32" s="538">
        <v>2398.8461538461552</v>
      </c>
      <c r="AQ32" s="538">
        <v>239.88461538461553</v>
      </c>
      <c r="AR32" s="529">
        <f t="shared" si="18"/>
        <v>3</v>
      </c>
      <c r="AS32" s="611"/>
      <c r="AT32" s="529">
        <v>10</v>
      </c>
      <c r="AU32" s="538">
        <v>2379.2457142857138</v>
      </c>
      <c r="AV32" s="538">
        <v>237.92457142857137</v>
      </c>
      <c r="AW32" s="529">
        <f t="shared" si="20"/>
        <v>3</v>
      </c>
      <c r="AX32" s="611"/>
      <c r="AZ32" s="377" t="e">
        <f t="shared" si="22"/>
        <v>#N/A</v>
      </c>
      <c r="BA32" s="653"/>
    </row>
    <row r="33" spans="2:53">
      <c r="B33" s="635"/>
      <c r="C33" s="534">
        <v>7</v>
      </c>
      <c r="D33" s="346" t="s">
        <v>840</v>
      </c>
      <c r="E33" s="537">
        <v>11</v>
      </c>
      <c r="F33" s="537">
        <v>2250</v>
      </c>
      <c r="G33" s="537">
        <v>204.5</v>
      </c>
      <c r="H33" s="672"/>
      <c r="I33" s="531">
        <f t="shared" si="7"/>
        <v>11</v>
      </c>
      <c r="J33" s="531">
        <f t="shared" si="7"/>
        <v>2143.5126839228401</v>
      </c>
      <c r="K33" s="363">
        <f t="shared" si="7"/>
        <v>194.86478944753097</v>
      </c>
      <c r="L33" s="615"/>
      <c r="M33" s="537">
        <f>RANK(K33, K$27:$K$41)</f>
        <v>4</v>
      </c>
      <c r="N33" s="624"/>
      <c r="O33" s="624"/>
      <c r="P33" s="529">
        <v>11</v>
      </c>
      <c r="Q33" s="538">
        <v>2135.1063829787236</v>
      </c>
      <c r="R33" s="538">
        <v>194.10058027079305</v>
      </c>
      <c r="S33" s="529">
        <f t="shared" si="8"/>
        <v>4</v>
      </c>
      <c r="T33" s="611"/>
      <c r="U33" s="529">
        <v>11</v>
      </c>
      <c r="V33" s="538">
        <v>2133.2093023255807</v>
      </c>
      <c r="W33" s="538">
        <v>193.9281183932346</v>
      </c>
      <c r="X33" s="529">
        <f t="shared" si="10"/>
        <v>4</v>
      </c>
      <c r="Y33" s="611"/>
      <c r="Z33" s="529">
        <v>11</v>
      </c>
      <c r="AA33" s="538">
        <v>2153.4545454545455</v>
      </c>
      <c r="AB33" s="538">
        <v>195.76859504132233</v>
      </c>
      <c r="AC33" s="529">
        <f t="shared" si="12"/>
        <v>4</v>
      </c>
      <c r="AD33" s="611"/>
      <c r="AE33" s="529">
        <v>11</v>
      </c>
      <c r="AF33" s="538">
        <v>2179.1999999999998</v>
      </c>
      <c r="AG33" s="538">
        <v>198.1090909090909</v>
      </c>
      <c r="AH33" s="529">
        <f t="shared" si="14"/>
        <v>4</v>
      </c>
      <c r="AI33" s="611"/>
      <c r="AJ33" s="529">
        <v>11</v>
      </c>
      <c r="AK33" s="538">
        <v>2108.0000000000009</v>
      </c>
      <c r="AL33" s="538">
        <v>191.63636363636371</v>
      </c>
      <c r="AM33" s="529">
        <f t="shared" si="16"/>
        <v>4</v>
      </c>
      <c r="AN33" s="611"/>
      <c r="AO33" s="529">
        <v>11</v>
      </c>
      <c r="AP33" s="538">
        <v>2108.0000000000009</v>
      </c>
      <c r="AQ33" s="538">
        <v>191.63636363636371</v>
      </c>
      <c r="AR33" s="529">
        <f t="shared" si="18"/>
        <v>4</v>
      </c>
      <c r="AS33" s="611"/>
      <c r="AT33" s="529">
        <v>11</v>
      </c>
      <c r="AU33" s="538">
        <v>2187.6185567010316</v>
      </c>
      <c r="AV33" s="538">
        <v>198.87441424554834</v>
      </c>
      <c r="AW33" s="529">
        <f t="shared" si="20"/>
        <v>4</v>
      </c>
      <c r="AX33" s="611"/>
      <c r="AZ33" s="377" t="e">
        <f t="shared" si="22"/>
        <v>#N/A</v>
      </c>
      <c r="BA33" s="653"/>
    </row>
    <row r="34" spans="2:53">
      <c r="B34" s="635"/>
      <c r="C34" s="534">
        <v>8</v>
      </c>
      <c r="D34" s="346" t="s">
        <v>354</v>
      </c>
      <c r="E34" s="537">
        <v>18</v>
      </c>
      <c r="F34" s="537">
        <v>1200</v>
      </c>
      <c r="G34" s="537">
        <v>66.666666666666671</v>
      </c>
      <c r="H34" s="672"/>
      <c r="I34" s="531">
        <f t="shared" si="7"/>
        <v>18.714285714285715</v>
      </c>
      <c r="J34" s="531">
        <f t="shared" si="7"/>
        <v>1211.0074378308193</v>
      </c>
      <c r="K34" s="363">
        <f t="shared" si="7"/>
        <v>64.819230496386396</v>
      </c>
      <c r="L34" s="615"/>
      <c r="M34" s="537">
        <f>RANK(K34, K$27:$K$41)</f>
        <v>9</v>
      </c>
      <c r="N34" s="624"/>
      <c r="O34" s="624"/>
      <c r="P34" s="529">
        <v>20</v>
      </c>
      <c r="Q34" s="538">
        <v>1232.9032258064517</v>
      </c>
      <c r="R34" s="538">
        <v>61.645161290322584</v>
      </c>
      <c r="S34" s="529">
        <f t="shared" si="8"/>
        <v>9</v>
      </c>
      <c r="T34" s="611"/>
      <c r="U34" s="529">
        <v>19</v>
      </c>
      <c r="V34" s="538">
        <v>1228.2352941176455</v>
      </c>
      <c r="W34" s="538">
        <v>64.643962848297136</v>
      </c>
      <c r="X34" s="529">
        <f t="shared" si="10"/>
        <v>9</v>
      </c>
      <c r="Y34" s="611"/>
      <c r="Z34" s="529">
        <v>20</v>
      </c>
      <c r="AA34" s="538">
        <v>1218.9473684210516</v>
      </c>
      <c r="AB34" s="538">
        <v>60.94736842105258</v>
      </c>
      <c r="AC34" s="529">
        <f t="shared" si="12"/>
        <v>9</v>
      </c>
      <c r="AD34" s="611"/>
      <c r="AE34" s="529">
        <v>18</v>
      </c>
      <c r="AF34" s="538">
        <v>1222.9411764705867</v>
      </c>
      <c r="AG34" s="538">
        <v>67.941176470588147</v>
      </c>
      <c r="AH34" s="529">
        <f t="shared" si="14"/>
        <v>9</v>
      </c>
      <c r="AI34" s="611"/>
      <c r="AJ34" s="529">
        <v>18</v>
      </c>
      <c r="AK34" s="538">
        <v>1199.1999999999989</v>
      </c>
      <c r="AL34" s="538">
        <v>66.622222222222163</v>
      </c>
      <c r="AM34" s="529">
        <f t="shared" si="16"/>
        <v>8</v>
      </c>
      <c r="AN34" s="611"/>
      <c r="AO34" s="529">
        <v>18</v>
      </c>
      <c r="AP34" s="538">
        <v>1199.1999999999989</v>
      </c>
      <c r="AQ34" s="538">
        <v>66.622222222222163</v>
      </c>
      <c r="AR34" s="529">
        <f t="shared" si="18"/>
        <v>8</v>
      </c>
      <c r="AS34" s="611"/>
      <c r="AT34" s="529">
        <v>18</v>
      </c>
      <c r="AU34" s="538">
        <v>1175.6250000000005</v>
      </c>
      <c r="AV34" s="538">
        <v>65.312500000000028</v>
      </c>
      <c r="AW34" s="529">
        <f t="shared" si="20"/>
        <v>8</v>
      </c>
      <c r="AX34" s="611"/>
      <c r="AZ34" s="377" t="e">
        <f t="shared" si="22"/>
        <v>#N/A</v>
      </c>
      <c r="BA34" s="653"/>
    </row>
    <row r="35" spans="2:53">
      <c r="B35" s="635"/>
      <c r="C35" s="534">
        <v>9</v>
      </c>
      <c r="D35" s="346" t="s">
        <v>776</v>
      </c>
      <c r="E35" s="537">
        <v>18</v>
      </c>
      <c r="F35" s="537">
        <v>1200</v>
      </c>
      <c r="G35" s="537">
        <v>66.666666666666671</v>
      </c>
      <c r="H35" s="672"/>
      <c r="I35" s="531">
        <f t="shared" si="7"/>
        <v>18.25</v>
      </c>
      <c r="J35" s="531">
        <f t="shared" si="7"/>
        <v>1212.7320775535939</v>
      </c>
      <c r="K35" s="363">
        <f t="shared" si="7"/>
        <v>66.492317509568352</v>
      </c>
      <c r="L35" s="615"/>
      <c r="M35" s="537">
        <f>RANK(K35, K$27:$K$41)</f>
        <v>8</v>
      </c>
      <c r="N35" s="624"/>
      <c r="O35" s="624"/>
      <c r="P35" s="529">
        <v>19</v>
      </c>
      <c r="Q35" s="538">
        <v>1206.1475409836064</v>
      </c>
      <c r="R35" s="538">
        <v>63.481449525452966</v>
      </c>
      <c r="S35" s="529">
        <f t="shared" si="8"/>
        <v>8</v>
      </c>
      <c r="T35" s="611"/>
      <c r="U35" s="529">
        <v>18</v>
      </c>
      <c r="V35" s="538">
        <v>1207.7999999999997</v>
      </c>
      <c r="W35" s="538">
        <v>67.09999999999998</v>
      </c>
      <c r="X35" s="529">
        <f t="shared" si="10"/>
        <v>8</v>
      </c>
      <c r="Y35" s="611"/>
      <c r="Z35" s="529">
        <v>18</v>
      </c>
      <c r="AA35" s="538">
        <v>1209.2307692307693</v>
      </c>
      <c r="AB35" s="538">
        <v>67.179487179487182</v>
      </c>
      <c r="AC35" s="529">
        <f t="shared" si="12"/>
        <v>8</v>
      </c>
      <c r="AD35" s="611"/>
      <c r="AE35" s="529">
        <v>18</v>
      </c>
      <c r="AF35" s="538">
        <v>1227.7499999999998</v>
      </c>
      <c r="AG35" s="538">
        <v>68.208333333333314</v>
      </c>
      <c r="AH35" s="529">
        <f t="shared" si="14"/>
        <v>8</v>
      </c>
      <c r="AI35" s="611"/>
      <c r="AJ35" s="529" t="s">
        <v>427</v>
      </c>
      <c r="AK35" s="538" t="s">
        <v>427</v>
      </c>
      <c r="AL35" s="538" t="s">
        <v>427</v>
      </c>
      <c r="AM35" s="529" t="e">
        <f t="shared" si="16"/>
        <v>#VALUE!</v>
      </c>
      <c r="AN35" s="611"/>
      <c r="AO35" s="529" t="s">
        <v>427</v>
      </c>
      <c r="AP35" s="538" t="s">
        <v>427</v>
      </c>
      <c r="AQ35" s="538" t="s">
        <v>427</v>
      </c>
      <c r="AR35" s="529" t="e">
        <f t="shared" si="18"/>
        <v>#VALUE!</v>
      </c>
      <c r="AS35" s="611"/>
      <c r="AT35" s="529" t="s">
        <v>427</v>
      </c>
      <c r="AU35" s="538" t="s">
        <v>427</v>
      </c>
      <c r="AV35" s="538" t="s">
        <v>427</v>
      </c>
      <c r="AW35" s="529" t="e">
        <f t="shared" si="20"/>
        <v>#VALUE!</v>
      </c>
      <c r="AX35" s="611"/>
      <c r="AZ35" s="377" t="e">
        <f t="shared" si="22"/>
        <v>#N/A</v>
      </c>
      <c r="BA35" s="653"/>
    </row>
    <row r="36" spans="2:53">
      <c r="B36" s="635"/>
      <c r="C36" s="534">
        <v>10</v>
      </c>
      <c r="D36" s="346"/>
      <c r="E36" s="537"/>
      <c r="F36" s="537"/>
      <c r="G36" s="537"/>
      <c r="H36" s="672"/>
      <c r="I36" s="531" t="str">
        <f t="shared" si="7"/>
        <v>-</v>
      </c>
      <c r="J36" s="531" t="str">
        <f t="shared" si="7"/>
        <v>-</v>
      </c>
      <c r="K36" s="363" t="str">
        <f t="shared" si="7"/>
        <v>-</v>
      </c>
      <c r="L36" s="615"/>
      <c r="M36" s="537" t="e">
        <f>RANK(K36, K$27:$K$41)</f>
        <v>#VALUE!</v>
      </c>
      <c r="N36" s="624"/>
      <c r="O36" s="624"/>
      <c r="P36" s="529" t="s">
        <v>427</v>
      </c>
      <c r="Q36" s="538" t="s">
        <v>427</v>
      </c>
      <c r="R36" s="538" t="s">
        <v>427</v>
      </c>
      <c r="S36" s="529" t="e">
        <f t="shared" si="8"/>
        <v>#VALUE!</v>
      </c>
      <c r="T36" s="611"/>
      <c r="U36" s="529" t="s">
        <v>427</v>
      </c>
      <c r="V36" s="538" t="s">
        <v>427</v>
      </c>
      <c r="W36" s="538" t="s">
        <v>427</v>
      </c>
      <c r="X36" s="529" t="e">
        <f t="shared" si="10"/>
        <v>#VALUE!</v>
      </c>
      <c r="Y36" s="611"/>
      <c r="Z36" s="529" t="s">
        <v>427</v>
      </c>
      <c r="AA36" s="538" t="s">
        <v>427</v>
      </c>
      <c r="AB36" s="538" t="s">
        <v>427</v>
      </c>
      <c r="AC36" s="529" t="e">
        <f t="shared" si="12"/>
        <v>#VALUE!</v>
      </c>
      <c r="AD36" s="611"/>
      <c r="AE36" s="529" t="s">
        <v>427</v>
      </c>
      <c r="AF36" s="538" t="s">
        <v>427</v>
      </c>
      <c r="AG36" s="538" t="s">
        <v>427</v>
      </c>
      <c r="AH36" s="529" t="e">
        <f t="shared" si="14"/>
        <v>#VALUE!</v>
      </c>
      <c r="AI36" s="611"/>
      <c r="AJ36" s="529" t="s">
        <v>427</v>
      </c>
      <c r="AK36" s="538" t="s">
        <v>427</v>
      </c>
      <c r="AL36" s="538" t="s">
        <v>427</v>
      </c>
      <c r="AM36" s="529" t="e">
        <f t="shared" si="16"/>
        <v>#VALUE!</v>
      </c>
      <c r="AN36" s="611"/>
      <c r="AO36" s="529" t="s">
        <v>427</v>
      </c>
      <c r="AP36" s="538" t="s">
        <v>427</v>
      </c>
      <c r="AQ36" s="538" t="s">
        <v>427</v>
      </c>
      <c r="AR36" s="529" t="e">
        <f t="shared" si="18"/>
        <v>#VALUE!</v>
      </c>
      <c r="AS36" s="611"/>
      <c r="AT36" s="529" t="s">
        <v>427</v>
      </c>
      <c r="AU36" s="538" t="s">
        <v>427</v>
      </c>
      <c r="AV36" s="538" t="s">
        <v>427</v>
      </c>
      <c r="AW36" s="529" t="e">
        <f t="shared" si="20"/>
        <v>#VALUE!</v>
      </c>
      <c r="AX36" s="611"/>
      <c r="AZ36" s="377" t="e">
        <f t="shared" si="22"/>
        <v>#N/A</v>
      </c>
      <c r="BA36" s="653"/>
    </row>
    <row r="37" spans="2:53">
      <c r="B37" s="635"/>
      <c r="C37" s="534">
        <v>11</v>
      </c>
      <c r="D37" s="346"/>
      <c r="E37" s="537"/>
      <c r="F37" s="537"/>
      <c r="G37" s="537"/>
      <c r="H37" s="672"/>
      <c r="I37" s="531" t="str">
        <f t="shared" si="7"/>
        <v>-</v>
      </c>
      <c r="J37" s="531" t="str">
        <f t="shared" si="7"/>
        <v>-</v>
      </c>
      <c r="K37" s="363" t="str">
        <f t="shared" si="7"/>
        <v>-</v>
      </c>
      <c r="L37" s="615"/>
      <c r="M37" s="537" t="e">
        <f>RANK(K37, K$27:$K$41)</f>
        <v>#VALUE!</v>
      </c>
      <c r="N37" s="624"/>
      <c r="O37" s="624"/>
      <c r="P37" s="529" t="s">
        <v>427</v>
      </c>
      <c r="Q37" s="538" t="s">
        <v>427</v>
      </c>
      <c r="R37" s="538" t="s">
        <v>427</v>
      </c>
      <c r="S37" s="529" t="e">
        <f t="shared" si="8"/>
        <v>#VALUE!</v>
      </c>
      <c r="T37" s="611"/>
      <c r="U37" s="529" t="s">
        <v>427</v>
      </c>
      <c r="V37" s="538" t="s">
        <v>427</v>
      </c>
      <c r="W37" s="538" t="s">
        <v>427</v>
      </c>
      <c r="X37" s="529" t="e">
        <f t="shared" si="10"/>
        <v>#VALUE!</v>
      </c>
      <c r="Y37" s="611"/>
      <c r="Z37" s="529" t="s">
        <v>427</v>
      </c>
      <c r="AA37" s="538" t="s">
        <v>427</v>
      </c>
      <c r="AB37" s="538" t="s">
        <v>427</v>
      </c>
      <c r="AC37" s="529" t="e">
        <f t="shared" si="12"/>
        <v>#VALUE!</v>
      </c>
      <c r="AD37" s="611"/>
      <c r="AE37" s="529" t="s">
        <v>427</v>
      </c>
      <c r="AF37" s="538" t="s">
        <v>427</v>
      </c>
      <c r="AG37" s="538" t="s">
        <v>427</v>
      </c>
      <c r="AH37" s="529" t="e">
        <f t="shared" si="14"/>
        <v>#VALUE!</v>
      </c>
      <c r="AI37" s="611"/>
      <c r="AJ37" s="529" t="s">
        <v>427</v>
      </c>
      <c r="AK37" s="538" t="s">
        <v>427</v>
      </c>
      <c r="AL37" s="538" t="s">
        <v>427</v>
      </c>
      <c r="AM37" s="529" t="e">
        <f t="shared" si="16"/>
        <v>#VALUE!</v>
      </c>
      <c r="AN37" s="611"/>
      <c r="AO37" s="529" t="s">
        <v>427</v>
      </c>
      <c r="AP37" s="538" t="s">
        <v>427</v>
      </c>
      <c r="AQ37" s="538" t="s">
        <v>427</v>
      </c>
      <c r="AR37" s="529" t="e">
        <f t="shared" si="18"/>
        <v>#VALUE!</v>
      </c>
      <c r="AS37" s="611"/>
      <c r="AT37" s="529" t="s">
        <v>427</v>
      </c>
      <c r="AU37" s="538" t="s">
        <v>427</v>
      </c>
      <c r="AV37" s="538" t="s">
        <v>427</v>
      </c>
      <c r="AW37" s="529" t="e">
        <f t="shared" si="20"/>
        <v>#VALUE!</v>
      </c>
      <c r="AX37" s="611"/>
      <c r="AZ37" s="377" t="e">
        <f t="shared" si="22"/>
        <v>#N/A</v>
      </c>
      <c r="BA37" s="653"/>
    </row>
    <row r="38" spans="2:53">
      <c r="B38" s="635"/>
      <c r="C38" s="534">
        <v>12</v>
      </c>
      <c r="D38" s="346"/>
      <c r="E38" s="537"/>
      <c r="F38" s="537"/>
      <c r="G38" s="537"/>
      <c r="H38" s="672"/>
      <c r="I38" s="531" t="str">
        <f t="shared" si="7"/>
        <v>-</v>
      </c>
      <c r="J38" s="531" t="str">
        <f t="shared" si="7"/>
        <v>-</v>
      </c>
      <c r="K38" s="363" t="str">
        <f t="shared" si="7"/>
        <v>-</v>
      </c>
      <c r="L38" s="615"/>
      <c r="M38" s="537" t="e">
        <f>RANK(K38, K$27:$K$41)</f>
        <v>#VALUE!</v>
      </c>
      <c r="N38" s="624"/>
      <c r="O38" s="624"/>
      <c r="P38" s="529" t="s">
        <v>427</v>
      </c>
      <c r="Q38" s="538" t="s">
        <v>427</v>
      </c>
      <c r="R38" s="538" t="s">
        <v>427</v>
      </c>
      <c r="S38" s="529" t="e">
        <f t="shared" si="8"/>
        <v>#VALUE!</v>
      </c>
      <c r="T38" s="611"/>
      <c r="U38" s="529" t="s">
        <v>427</v>
      </c>
      <c r="V38" s="538" t="s">
        <v>427</v>
      </c>
      <c r="W38" s="538" t="s">
        <v>427</v>
      </c>
      <c r="X38" s="529" t="e">
        <f t="shared" si="10"/>
        <v>#VALUE!</v>
      </c>
      <c r="Y38" s="611"/>
      <c r="Z38" s="529" t="s">
        <v>427</v>
      </c>
      <c r="AA38" s="538" t="s">
        <v>427</v>
      </c>
      <c r="AB38" s="538" t="s">
        <v>427</v>
      </c>
      <c r="AC38" s="529" t="e">
        <f t="shared" si="12"/>
        <v>#VALUE!</v>
      </c>
      <c r="AD38" s="611"/>
      <c r="AE38" s="529" t="s">
        <v>427</v>
      </c>
      <c r="AF38" s="538" t="s">
        <v>427</v>
      </c>
      <c r="AG38" s="538" t="s">
        <v>427</v>
      </c>
      <c r="AH38" s="529" t="e">
        <f t="shared" si="14"/>
        <v>#VALUE!</v>
      </c>
      <c r="AI38" s="611"/>
      <c r="AJ38" s="529" t="s">
        <v>427</v>
      </c>
      <c r="AK38" s="538" t="s">
        <v>427</v>
      </c>
      <c r="AL38" s="538" t="s">
        <v>427</v>
      </c>
      <c r="AM38" s="529" t="e">
        <f t="shared" si="16"/>
        <v>#VALUE!</v>
      </c>
      <c r="AN38" s="611"/>
      <c r="AO38" s="529" t="s">
        <v>427</v>
      </c>
      <c r="AP38" s="538" t="s">
        <v>427</v>
      </c>
      <c r="AQ38" s="538" t="s">
        <v>427</v>
      </c>
      <c r="AR38" s="529" t="e">
        <f t="shared" si="18"/>
        <v>#VALUE!</v>
      </c>
      <c r="AS38" s="611"/>
      <c r="AT38" s="529" t="s">
        <v>427</v>
      </c>
      <c r="AU38" s="538" t="s">
        <v>427</v>
      </c>
      <c r="AV38" s="538" t="s">
        <v>427</v>
      </c>
      <c r="AW38" s="529" t="e">
        <f t="shared" si="20"/>
        <v>#VALUE!</v>
      </c>
      <c r="AX38" s="611"/>
      <c r="AZ38" s="377" t="e">
        <f t="shared" si="22"/>
        <v>#N/A</v>
      </c>
      <c r="BA38" s="653"/>
    </row>
    <row r="39" spans="2:53">
      <c r="B39" s="635"/>
      <c r="C39" s="534">
        <v>13</v>
      </c>
      <c r="D39" s="346"/>
      <c r="E39" s="537"/>
      <c r="F39" s="537"/>
      <c r="G39" s="537"/>
      <c r="H39" s="672"/>
      <c r="I39" s="531" t="str">
        <f t="shared" si="7"/>
        <v>-</v>
      </c>
      <c r="J39" s="531" t="str">
        <f t="shared" si="7"/>
        <v>-</v>
      </c>
      <c r="K39" s="363" t="str">
        <f t="shared" si="7"/>
        <v>-</v>
      </c>
      <c r="L39" s="615"/>
      <c r="M39" s="537" t="e">
        <f>RANK(K39, K$27:$K$41)</f>
        <v>#VALUE!</v>
      </c>
      <c r="N39" s="624"/>
      <c r="O39" s="624"/>
      <c r="P39" s="529" t="s">
        <v>427</v>
      </c>
      <c r="Q39" s="538" t="s">
        <v>427</v>
      </c>
      <c r="R39" s="538" t="s">
        <v>427</v>
      </c>
      <c r="S39" s="529" t="e">
        <f t="shared" si="8"/>
        <v>#VALUE!</v>
      </c>
      <c r="T39" s="611"/>
      <c r="U39" s="529" t="s">
        <v>427</v>
      </c>
      <c r="V39" s="538" t="s">
        <v>427</v>
      </c>
      <c r="W39" s="538" t="s">
        <v>427</v>
      </c>
      <c r="X39" s="529" t="e">
        <f t="shared" si="10"/>
        <v>#VALUE!</v>
      </c>
      <c r="Y39" s="611"/>
      <c r="Z39" s="529" t="s">
        <v>427</v>
      </c>
      <c r="AA39" s="538" t="s">
        <v>427</v>
      </c>
      <c r="AB39" s="538" t="s">
        <v>427</v>
      </c>
      <c r="AC39" s="529" t="e">
        <f t="shared" si="12"/>
        <v>#VALUE!</v>
      </c>
      <c r="AD39" s="611"/>
      <c r="AE39" s="529" t="s">
        <v>427</v>
      </c>
      <c r="AF39" s="538" t="s">
        <v>427</v>
      </c>
      <c r="AG39" s="538" t="s">
        <v>427</v>
      </c>
      <c r="AH39" s="529" t="e">
        <f t="shared" si="14"/>
        <v>#VALUE!</v>
      </c>
      <c r="AI39" s="611"/>
      <c r="AJ39" s="529" t="s">
        <v>427</v>
      </c>
      <c r="AK39" s="538" t="s">
        <v>427</v>
      </c>
      <c r="AL39" s="538" t="s">
        <v>427</v>
      </c>
      <c r="AM39" s="529" t="e">
        <f t="shared" si="16"/>
        <v>#VALUE!</v>
      </c>
      <c r="AN39" s="611"/>
      <c r="AO39" s="529" t="s">
        <v>427</v>
      </c>
      <c r="AP39" s="538" t="s">
        <v>427</v>
      </c>
      <c r="AQ39" s="538" t="s">
        <v>427</v>
      </c>
      <c r="AR39" s="529" t="e">
        <f t="shared" si="18"/>
        <v>#VALUE!</v>
      </c>
      <c r="AS39" s="611"/>
      <c r="AT39" s="529" t="s">
        <v>427</v>
      </c>
      <c r="AU39" s="538" t="s">
        <v>427</v>
      </c>
      <c r="AV39" s="538" t="s">
        <v>427</v>
      </c>
      <c r="AW39" s="529" t="e">
        <f t="shared" si="20"/>
        <v>#VALUE!</v>
      </c>
      <c r="AX39" s="611"/>
      <c r="AZ39" s="377" t="e">
        <f t="shared" si="22"/>
        <v>#N/A</v>
      </c>
      <c r="BA39" s="653"/>
    </row>
    <row r="40" spans="2:53">
      <c r="B40" s="635"/>
      <c r="C40" s="534">
        <v>14</v>
      </c>
      <c r="D40" s="346"/>
      <c r="E40" s="537"/>
      <c r="F40" s="537"/>
      <c r="G40" s="537"/>
      <c r="H40" s="672"/>
      <c r="I40" s="531" t="str">
        <f t="shared" si="7"/>
        <v>-</v>
      </c>
      <c r="J40" s="531" t="str">
        <f t="shared" si="7"/>
        <v>-</v>
      </c>
      <c r="K40" s="363" t="str">
        <f t="shared" si="7"/>
        <v>-</v>
      </c>
      <c r="L40" s="615"/>
      <c r="M40" s="537" t="e">
        <f>RANK(K40, K$27:$K$41)</f>
        <v>#VALUE!</v>
      </c>
      <c r="N40" s="624"/>
      <c r="O40" s="624"/>
      <c r="P40" s="529" t="s">
        <v>427</v>
      </c>
      <c r="Q40" s="538" t="s">
        <v>427</v>
      </c>
      <c r="R40" s="538" t="s">
        <v>427</v>
      </c>
      <c r="S40" s="529" t="e">
        <f t="shared" si="8"/>
        <v>#VALUE!</v>
      </c>
      <c r="T40" s="611"/>
      <c r="U40" s="529" t="s">
        <v>427</v>
      </c>
      <c r="V40" s="538" t="s">
        <v>427</v>
      </c>
      <c r="W40" s="538" t="s">
        <v>427</v>
      </c>
      <c r="X40" s="529" t="e">
        <f t="shared" si="10"/>
        <v>#VALUE!</v>
      </c>
      <c r="Y40" s="611"/>
      <c r="Z40" s="529" t="s">
        <v>427</v>
      </c>
      <c r="AA40" s="538" t="s">
        <v>427</v>
      </c>
      <c r="AB40" s="538" t="s">
        <v>427</v>
      </c>
      <c r="AC40" s="529" t="e">
        <f t="shared" si="12"/>
        <v>#VALUE!</v>
      </c>
      <c r="AD40" s="611"/>
      <c r="AE40" s="529" t="s">
        <v>427</v>
      </c>
      <c r="AF40" s="538" t="s">
        <v>427</v>
      </c>
      <c r="AG40" s="538" t="s">
        <v>427</v>
      </c>
      <c r="AH40" s="529" t="e">
        <f t="shared" si="14"/>
        <v>#VALUE!</v>
      </c>
      <c r="AI40" s="611"/>
      <c r="AJ40" s="529" t="s">
        <v>427</v>
      </c>
      <c r="AK40" s="538" t="s">
        <v>427</v>
      </c>
      <c r="AL40" s="538" t="s">
        <v>427</v>
      </c>
      <c r="AM40" s="529" t="e">
        <f t="shared" si="16"/>
        <v>#VALUE!</v>
      </c>
      <c r="AN40" s="611"/>
      <c r="AO40" s="529" t="s">
        <v>427</v>
      </c>
      <c r="AP40" s="538" t="s">
        <v>427</v>
      </c>
      <c r="AQ40" s="538" t="s">
        <v>427</v>
      </c>
      <c r="AR40" s="529" t="e">
        <f t="shared" si="18"/>
        <v>#VALUE!</v>
      </c>
      <c r="AS40" s="611"/>
      <c r="AT40" s="529" t="s">
        <v>427</v>
      </c>
      <c r="AU40" s="538" t="s">
        <v>427</v>
      </c>
      <c r="AV40" s="538" t="s">
        <v>427</v>
      </c>
      <c r="AW40" s="529" t="e">
        <f t="shared" si="20"/>
        <v>#VALUE!</v>
      </c>
      <c r="AX40" s="611"/>
      <c r="AZ40" s="377" t="e">
        <f t="shared" si="22"/>
        <v>#N/A</v>
      </c>
      <c r="BA40" s="653"/>
    </row>
    <row r="41" spans="2:53">
      <c r="B41" s="635"/>
      <c r="C41" s="534">
        <v>15</v>
      </c>
      <c r="D41" s="346"/>
      <c r="E41" s="537"/>
      <c r="F41" s="537"/>
      <c r="G41" s="537"/>
      <c r="H41" s="676"/>
      <c r="I41" s="537"/>
      <c r="J41" s="537"/>
      <c r="K41" s="532"/>
      <c r="L41" s="616"/>
      <c r="M41" s="537" t="e">
        <f>RANK(K41, K$27:$K$41)</f>
        <v>#N/A</v>
      </c>
      <c r="N41" s="624"/>
      <c r="O41" s="624"/>
      <c r="P41" s="529" t="s">
        <v>427</v>
      </c>
      <c r="Q41" s="538" t="s">
        <v>427</v>
      </c>
      <c r="R41" s="538" t="s">
        <v>427</v>
      </c>
      <c r="S41" s="529" t="e">
        <f t="shared" si="8"/>
        <v>#VALUE!</v>
      </c>
      <c r="T41" s="612"/>
      <c r="U41" s="529" t="s">
        <v>427</v>
      </c>
      <c r="V41" s="538" t="s">
        <v>427</v>
      </c>
      <c r="W41" s="538" t="s">
        <v>427</v>
      </c>
      <c r="X41" s="529" t="e">
        <f t="shared" si="10"/>
        <v>#VALUE!</v>
      </c>
      <c r="Y41" s="612"/>
      <c r="Z41" s="529" t="s">
        <v>427</v>
      </c>
      <c r="AA41" s="538" t="s">
        <v>427</v>
      </c>
      <c r="AB41" s="538" t="s">
        <v>427</v>
      </c>
      <c r="AC41" s="529" t="e">
        <f t="shared" si="12"/>
        <v>#VALUE!</v>
      </c>
      <c r="AD41" s="612"/>
      <c r="AE41" s="529" t="s">
        <v>427</v>
      </c>
      <c r="AF41" s="538" t="s">
        <v>427</v>
      </c>
      <c r="AG41" s="538" t="s">
        <v>427</v>
      </c>
      <c r="AH41" s="529" t="e">
        <f t="shared" si="14"/>
        <v>#VALUE!</v>
      </c>
      <c r="AI41" s="612"/>
      <c r="AJ41" s="529" t="s">
        <v>427</v>
      </c>
      <c r="AK41" s="538" t="s">
        <v>427</v>
      </c>
      <c r="AL41" s="538" t="s">
        <v>427</v>
      </c>
      <c r="AM41" s="529" t="e">
        <f t="shared" si="16"/>
        <v>#VALUE!</v>
      </c>
      <c r="AN41" s="612"/>
      <c r="AO41" s="529" t="s">
        <v>427</v>
      </c>
      <c r="AP41" s="538" t="s">
        <v>427</v>
      </c>
      <c r="AQ41" s="538" t="s">
        <v>427</v>
      </c>
      <c r="AR41" s="529" t="e">
        <f t="shared" si="18"/>
        <v>#VALUE!</v>
      </c>
      <c r="AS41" s="612"/>
      <c r="AT41" s="529" t="s">
        <v>427</v>
      </c>
      <c r="AU41" s="538" t="s">
        <v>427</v>
      </c>
      <c r="AV41" s="538" t="s">
        <v>427</v>
      </c>
      <c r="AW41" s="529" t="e">
        <f t="shared" si="20"/>
        <v>#VALUE!</v>
      </c>
      <c r="AX41" s="612"/>
      <c r="AZ41" s="377" t="e">
        <f t="shared" si="22"/>
        <v>#N/A</v>
      </c>
      <c r="BA41" s="653"/>
    </row>
    <row r="42" spans="2:53" ht="15.75">
      <c r="B42" s="657" t="s">
        <v>769</v>
      </c>
      <c r="C42" s="658"/>
      <c r="D42" s="658"/>
      <c r="E42" s="658"/>
      <c r="F42" s="658"/>
      <c r="G42" s="658"/>
      <c r="H42" s="658"/>
      <c r="I42" s="205"/>
      <c r="J42" s="200"/>
      <c r="K42" s="205"/>
      <c r="L42" s="205"/>
      <c r="M42" s="201"/>
      <c r="N42" s="639" t="s">
        <v>685</v>
      </c>
      <c r="O42" s="639" t="s">
        <v>686</v>
      </c>
      <c r="P42" s="634">
        <f>P22+7</f>
        <v>46217</v>
      </c>
      <c r="Q42" s="635"/>
      <c r="R42" s="635"/>
      <c r="S42" s="635"/>
      <c r="T42" s="635"/>
      <c r="U42" s="636">
        <f>P42+1</f>
        <v>46218</v>
      </c>
      <c r="V42" s="637"/>
      <c r="W42" s="637"/>
      <c r="X42" s="637"/>
      <c r="Y42" s="638"/>
      <c r="Z42" s="636">
        <f>U42+1</f>
        <v>46219</v>
      </c>
      <c r="AA42" s="637"/>
      <c r="AB42" s="637"/>
      <c r="AC42" s="637"/>
      <c r="AD42" s="638"/>
      <c r="AE42" s="636">
        <f>Z42+1</f>
        <v>46220</v>
      </c>
      <c r="AF42" s="637"/>
      <c r="AG42" s="637"/>
      <c r="AH42" s="637"/>
      <c r="AI42" s="638"/>
      <c r="AJ42" s="636">
        <f>AE42+1</f>
        <v>46221</v>
      </c>
      <c r="AK42" s="637"/>
      <c r="AL42" s="637"/>
      <c r="AM42" s="637"/>
      <c r="AN42" s="638"/>
      <c r="AO42" s="636">
        <f>AJ42+1</f>
        <v>46222</v>
      </c>
      <c r="AP42" s="637"/>
      <c r="AQ42" s="637"/>
      <c r="AR42" s="637"/>
      <c r="AS42" s="638"/>
      <c r="AT42" s="636">
        <f>AO42+1</f>
        <v>46223</v>
      </c>
      <c r="AU42" s="637"/>
      <c r="AV42" s="637"/>
      <c r="AW42" s="637"/>
      <c r="AX42" s="638"/>
    </row>
    <row r="43" spans="2:53" ht="15.75">
      <c r="B43" s="646"/>
      <c r="C43" s="646"/>
      <c r="D43" s="646"/>
      <c r="E43" s="646"/>
      <c r="F43" s="646"/>
      <c r="G43" s="646"/>
      <c r="H43" s="646"/>
      <c r="I43" s="202"/>
      <c r="J43" s="202"/>
      <c r="K43" s="202"/>
      <c r="L43" s="202"/>
      <c r="M43" s="203"/>
      <c r="N43" s="641"/>
      <c r="O43" s="641"/>
      <c r="P43" s="634" t="s">
        <v>677</v>
      </c>
      <c r="Q43" s="635"/>
      <c r="R43" s="635"/>
      <c r="S43" s="635"/>
      <c r="T43" s="635"/>
      <c r="U43" s="634" t="s">
        <v>678</v>
      </c>
      <c r="V43" s="635"/>
      <c r="W43" s="635"/>
      <c r="X43" s="635"/>
      <c r="Y43" s="635"/>
      <c r="Z43" s="634" t="s">
        <v>679</v>
      </c>
      <c r="AA43" s="635"/>
      <c r="AB43" s="635"/>
      <c r="AC43" s="635"/>
      <c r="AD43" s="635"/>
      <c r="AE43" s="634" t="s">
        <v>687</v>
      </c>
      <c r="AF43" s="635"/>
      <c r="AG43" s="635"/>
      <c r="AH43" s="635"/>
      <c r="AI43" s="635"/>
      <c r="AJ43" s="634" t="s">
        <v>688</v>
      </c>
      <c r="AK43" s="635"/>
      <c r="AL43" s="635"/>
      <c r="AM43" s="635"/>
      <c r="AN43" s="635"/>
      <c r="AO43" s="634" t="s">
        <v>689</v>
      </c>
      <c r="AP43" s="635"/>
      <c r="AQ43" s="635"/>
      <c r="AR43" s="635"/>
      <c r="AS43" s="635"/>
      <c r="AT43" s="634" t="s">
        <v>690</v>
      </c>
      <c r="AU43" s="635"/>
      <c r="AV43" s="635"/>
      <c r="AW43" s="635"/>
      <c r="AX43" s="635"/>
    </row>
    <row r="44" spans="2:53">
      <c r="B44" s="624" t="s">
        <v>760</v>
      </c>
      <c r="C44" s="624" t="s">
        <v>827</v>
      </c>
      <c r="D44" s="624"/>
      <c r="E44" s="624" t="s">
        <v>828</v>
      </c>
      <c r="F44" s="624"/>
      <c r="G44" s="624"/>
      <c r="H44" s="647" t="s">
        <v>829</v>
      </c>
      <c r="I44" s="624" t="s">
        <v>830</v>
      </c>
      <c r="J44" s="624"/>
      <c r="K44" s="624"/>
      <c r="L44" s="647" t="s">
        <v>829</v>
      </c>
      <c r="M44" s="639" t="s">
        <v>440</v>
      </c>
      <c r="N44" s="624"/>
      <c r="O44" s="624" t="s">
        <v>831</v>
      </c>
      <c r="P44" s="621" t="s">
        <v>832</v>
      </c>
      <c r="Q44" s="622"/>
      <c r="R44" s="622"/>
      <c r="S44" s="623"/>
      <c r="T44" s="624" t="s">
        <v>829</v>
      </c>
      <c r="U44" s="621" t="s">
        <v>832</v>
      </c>
      <c r="V44" s="622"/>
      <c r="W44" s="622"/>
      <c r="X44" s="623"/>
      <c r="Y44" s="624" t="s">
        <v>829</v>
      </c>
      <c r="Z44" s="621" t="s">
        <v>832</v>
      </c>
      <c r="AA44" s="622"/>
      <c r="AB44" s="622"/>
      <c r="AC44" s="623"/>
      <c r="AD44" s="624" t="s">
        <v>829</v>
      </c>
      <c r="AE44" s="621" t="s">
        <v>832</v>
      </c>
      <c r="AF44" s="622"/>
      <c r="AG44" s="622"/>
      <c r="AH44" s="623"/>
      <c r="AI44" s="624" t="s">
        <v>829</v>
      </c>
      <c r="AJ44" s="621" t="s">
        <v>832</v>
      </c>
      <c r="AK44" s="622"/>
      <c r="AL44" s="622"/>
      <c r="AM44" s="623"/>
      <c r="AN44" s="624" t="s">
        <v>829</v>
      </c>
      <c r="AO44" s="621" t="s">
        <v>832</v>
      </c>
      <c r="AP44" s="622"/>
      <c r="AQ44" s="622"/>
      <c r="AR44" s="623"/>
      <c r="AS44" s="624" t="s">
        <v>829</v>
      </c>
      <c r="AT44" s="621" t="s">
        <v>832</v>
      </c>
      <c r="AU44" s="622"/>
      <c r="AV44" s="622"/>
      <c r="AW44" s="623"/>
      <c r="AX44" s="624" t="s">
        <v>829</v>
      </c>
    </row>
    <row r="45" spans="2:53">
      <c r="B45" s="624"/>
      <c r="C45" s="624"/>
      <c r="D45" s="624"/>
      <c r="E45" s="624" t="s">
        <v>833</v>
      </c>
      <c r="F45" s="624"/>
      <c r="G45" s="624"/>
      <c r="H45" s="648"/>
      <c r="I45" s="624" t="s">
        <v>833</v>
      </c>
      <c r="J45" s="624"/>
      <c r="K45" s="624"/>
      <c r="L45" s="648"/>
      <c r="M45" s="640"/>
      <c r="N45" s="624"/>
      <c r="O45" s="624"/>
      <c r="P45" s="621" t="s">
        <v>834</v>
      </c>
      <c r="Q45" s="622"/>
      <c r="R45" s="622"/>
      <c r="S45" s="623"/>
      <c r="T45" s="624"/>
      <c r="U45" s="621" t="s">
        <v>834</v>
      </c>
      <c r="V45" s="622"/>
      <c r="W45" s="622"/>
      <c r="X45" s="623"/>
      <c r="Y45" s="624"/>
      <c r="Z45" s="621" t="s">
        <v>834</v>
      </c>
      <c r="AA45" s="622"/>
      <c r="AB45" s="622"/>
      <c r="AC45" s="623"/>
      <c r="AD45" s="624"/>
      <c r="AE45" s="621" t="s">
        <v>834</v>
      </c>
      <c r="AF45" s="622"/>
      <c r="AG45" s="622"/>
      <c r="AH45" s="623"/>
      <c r="AI45" s="624"/>
      <c r="AJ45" s="621" t="s">
        <v>834</v>
      </c>
      <c r="AK45" s="622"/>
      <c r="AL45" s="622"/>
      <c r="AM45" s="623"/>
      <c r="AN45" s="624"/>
      <c r="AO45" s="621" t="s">
        <v>834</v>
      </c>
      <c r="AP45" s="622"/>
      <c r="AQ45" s="622"/>
      <c r="AR45" s="623"/>
      <c r="AS45" s="624"/>
      <c r="AT45" s="621" t="s">
        <v>834</v>
      </c>
      <c r="AU45" s="622"/>
      <c r="AV45" s="622"/>
      <c r="AW45" s="623"/>
      <c r="AX45" s="624"/>
    </row>
    <row r="46" spans="2:53">
      <c r="B46" s="624"/>
      <c r="C46" s="624"/>
      <c r="D46" s="624"/>
      <c r="E46" s="533" t="s">
        <v>835</v>
      </c>
      <c r="F46" s="533" t="s">
        <v>836</v>
      </c>
      <c r="G46" s="533" t="s">
        <v>837</v>
      </c>
      <c r="H46" s="649"/>
      <c r="I46" s="533" t="s">
        <v>835</v>
      </c>
      <c r="J46" s="533" t="s">
        <v>836</v>
      </c>
      <c r="K46" s="533" t="s">
        <v>837</v>
      </c>
      <c r="L46" s="649"/>
      <c r="M46" s="641"/>
      <c r="N46" s="624"/>
      <c r="O46" s="624"/>
      <c r="P46" s="533" t="s">
        <v>835</v>
      </c>
      <c r="Q46" s="533" t="s">
        <v>836</v>
      </c>
      <c r="R46" s="533" t="s">
        <v>837</v>
      </c>
      <c r="S46" s="533" t="s">
        <v>440</v>
      </c>
      <c r="T46" s="624"/>
      <c r="U46" s="533" t="s">
        <v>835</v>
      </c>
      <c r="V46" s="533" t="s">
        <v>836</v>
      </c>
      <c r="W46" s="533" t="s">
        <v>837</v>
      </c>
      <c r="X46" s="533" t="s">
        <v>440</v>
      </c>
      <c r="Y46" s="624"/>
      <c r="Z46" s="533" t="s">
        <v>835</v>
      </c>
      <c r="AA46" s="533" t="s">
        <v>836</v>
      </c>
      <c r="AB46" s="533" t="s">
        <v>837</v>
      </c>
      <c r="AC46" s="533" t="s">
        <v>440</v>
      </c>
      <c r="AD46" s="624"/>
      <c r="AE46" s="533" t="s">
        <v>835</v>
      </c>
      <c r="AF46" s="533" t="s">
        <v>836</v>
      </c>
      <c r="AG46" s="533" t="s">
        <v>837</v>
      </c>
      <c r="AH46" s="533" t="s">
        <v>440</v>
      </c>
      <c r="AI46" s="624"/>
      <c r="AJ46" s="533" t="s">
        <v>835</v>
      </c>
      <c r="AK46" s="533" t="s">
        <v>836</v>
      </c>
      <c r="AL46" s="533" t="s">
        <v>837</v>
      </c>
      <c r="AM46" s="533" t="s">
        <v>440</v>
      </c>
      <c r="AN46" s="624"/>
      <c r="AO46" s="533" t="s">
        <v>835</v>
      </c>
      <c r="AP46" s="533" t="s">
        <v>836</v>
      </c>
      <c r="AQ46" s="533" t="s">
        <v>837</v>
      </c>
      <c r="AR46" s="533" t="s">
        <v>440</v>
      </c>
      <c r="AS46" s="624"/>
      <c r="AT46" s="533" t="s">
        <v>835</v>
      </c>
      <c r="AU46" s="533" t="s">
        <v>836</v>
      </c>
      <c r="AV46" s="533" t="s">
        <v>837</v>
      </c>
      <c r="AW46" s="533" t="s">
        <v>440</v>
      </c>
      <c r="AX46" s="624"/>
    </row>
    <row r="47" spans="2:53">
      <c r="B47" s="675" t="s">
        <v>775</v>
      </c>
      <c r="C47" s="534">
        <v>1</v>
      </c>
      <c r="D47" s="346" t="s">
        <v>355</v>
      </c>
      <c r="E47" s="537">
        <v>4</v>
      </c>
      <c r="F47" s="537">
        <v>2000</v>
      </c>
      <c r="G47" s="537">
        <v>500</v>
      </c>
      <c r="H47" s="671">
        <f>AVERAGE(G47:G61)</f>
        <v>265.00582010582008</v>
      </c>
      <c r="I47" s="531">
        <f t="shared" ref="I47:K60" si="23">IFERROR(AVERAGE(P47,U47,Z47,AE47,AJ47,AO47,AT47),"-")</f>
        <v>5</v>
      </c>
      <c r="J47" s="531">
        <f t="shared" si="23"/>
        <v>2118.8475400280872</v>
      </c>
      <c r="K47" s="363">
        <f t="shared" si="23"/>
        <v>423.76950800561747</v>
      </c>
      <c r="L47" s="614">
        <f>IFERROR(AVERAGE(K47:K55),"-")</f>
        <v>238.50197937589826</v>
      </c>
      <c r="M47" s="537">
        <f>RANK(K47, K$47:$K$61)</f>
        <v>1</v>
      </c>
      <c r="N47" s="624"/>
      <c r="O47" s="624"/>
      <c r="P47" s="529">
        <v>5</v>
      </c>
      <c r="Q47" s="538">
        <v>2122.8000000000006</v>
      </c>
      <c r="R47" s="538">
        <v>424.56000000000012</v>
      </c>
      <c r="S47" s="538">
        <v>2</v>
      </c>
      <c r="T47" s="642">
        <v>239.62273300612495</v>
      </c>
      <c r="U47" s="529">
        <v>5</v>
      </c>
      <c r="V47" s="538">
        <v>2146.6666666666665</v>
      </c>
      <c r="W47" s="538">
        <v>429.33333333333331</v>
      </c>
      <c r="X47" s="538">
        <v>1</v>
      </c>
      <c r="Y47" s="642">
        <v>239.84911942663359</v>
      </c>
      <c r="Z47" s="529">
        <v>5</v>
      </c>
      <c r="AA47" s="538">
        <v>2097.4468085106387</v>
      </c>
      <c r="AB47" s="538">
        <v>419.48936170212772</v>
      </c>
      <c r="AC47" s="538">
        <v>1</v>
      </c>
      <c r="AD47" s="642">
        <v>236.44198828181527</v>
      </c>
      <c r="AE47" s="529">
        <v>5</v>
      </c>
      <c r="AF47" s="538">
        <v>2096.8421052631588</v>
      </c>
      <c r="AG47" s="538">
        <v>419.36842105263179</v>
      </c>
      <c r="AH47" s="538">
        <v>2</v>
      </c>
      <c r="AI47" s="642">
        <v>236.97852621536842</v>
      </c>
      <c r="AJ47" s="529">
        <v>5</v>
      </c>
      <c r="AK47" s="538">
        <v>2142.162162162163</v>
      </c>
      <c r="AL47" s="538">
        <v>428.43243243243262</v>
      </c>
      <c r="AM47" s="538">
        <v>1</v>
      </c>
      <c r="AN47" s="642">
        <v>237.73023020927127</v>
      </c>
      <c r="AO47" s="529">
        <v>5</v>
      </c>
      <c r="AP47" s="538">
        <v>2123.1578947368421</v>
      </c>
      <c r="AQ47" s="538">
        <v>424.63157894736844</v>
      </c>
      <c r="AR47" s="538">
        <v>1</v>
      </c>
      <c r="AS47" s="642">
        <v>239.5861265122299</v>
      </c>
      <c r="AT47" s="529">
        <v>5</v>
      </c>
      <c r="AU47" s="538">
        <v>2102.8571428571422</v>
      </c>
      <c r="AV47" s="538">
        <v>420.57142857142844</v>
      </c>
      <c r="AW47" s="538">
        <v>2</v>
      </c>
      <c r="AX47" s="642">
        <v>239.30513197984465</v>
      </c>
      <c r="AZ47" s="377" t="e">
        <f>RANK(AY47, AY$47:AY$61)</f>
        <v>#N/A</v>
      </c>
      <c r="BA47" s="653" t="e">
        <f>AVERAGE(AY47:AY61)</f>
        <v>#DIV/0!</v>
      </c>
    </row>
    <row r="48" spans="2:53">
      <c r="B48" s="635"/>
      <c r="C48" s="534">
        <v>2</v>
      </c>
      <c r="D48" s="346" t="s">
        <v>385</v>
      </c>
      <c r="E48" s="537">
        <v>4</v>
      </c>
      <c r="F48" s="537">
        <v>2000</v>
      </c>
      <c r="G48" s="537">
        <v>500</v>
      </c>
      <c r="H48" s="672"/>
      <c r="I48" s="531">
        <f t="shared" si="23"/>
        <v>5</v>
      </c>
      <c r="J48" s="531">
        <f t="shared" si="23"/>
        <v>2111.0930621298598</v>
      </c>
      <c r="K48" s="363">
        <f t="shared" si="23"/>
        <v>422.21861242597191</v>
      </c>
      <c r="L48" s="615"/>
      <c r="M48" s="537">
        <f>RANK(K48, K$47:$K$61)</f>
        <v>2</v>
      </c>
      <c r="N48" s="624"/>
      <c r="O48" s="624"/>
      <c r="P48" s="529">
        <v>5</v>
      </c>
      <c r="Q48" s="538">
        <v>2134.4680851063831</v>
      </c>
      <c r="R48" s="538">
        <v>426.89361702127661</v>
      </c>
      <c r="S48" s="538">
        <v>1</v>
      </c>
      <c r="T48" s="642"/>
      <c r="U48" s="529">
        <v>5</v>
      </c>
      <c r="V48" s="538">
        <v>2111.1627906976742</v>
      </c>
      <c r="W48" s="538">
        <v>422.23255813953483</v>
      </c>
      <c r="X48" s="538">
        <v>2</v>
      </c>
      <c r="Y48" s="642"/>
      <c r="Z48" s="529">
        <v>5</v>
      </c>
      <c r="AA48" s="538">
        <v>2085.6521739130435</v>
      </c>
      <c r="AB48" s="538">
        <v>417.13043478260869</v>
      </c>
      <c r="AC48" s="538">
        <v>2</v>
      </c>
      <c r="AD48" s="642"/>
      <c r="AE48" s="529">
        <v>5</v>
      </c>
      <c r="AF48" s="538">
        <v>2134.0540540540546</v>
      </c>
      <c r="AG48" s="538">
        <v>426.81081081081095</v>
      </c>
      <c r="AH48" s="538">
        <v>1</v>
      </c>
      <c r="AI48" s="642"/>
      <c r="AJ48" s="529">
        <v>5</v>
      </c>
      <c r="AK48" s="538">
        <v>2075.6756756756768</v>
      </c>
      <c r="AL48" s="538">
        <v>415.13513513513533</v>
      </c>
      <c r="AM48" s="538">
        <v>2</v>
      </c>
      <c r="AN48" s="642"/>
      <c r="AO48" s="529">
        <v>5</v>
      </c>
      <c r="AP48" s="538">
        <v>2102.3529411764698</v>
      </c>
      <c r="AQ48" s="538">
        <v>420.47058823529397</v>
      </c>
      <c r="AR48" s="538">
        <v>2</v>
      </c>
      <c r="AS48" s="642"/>
      <c r="AT48" s="529">
        <v>5</v>
      </c>
      <c r="AU48" s="538">
        <v>2134.2857142857142</v>
      </c>
      <c r="AV48" s="538">
        <v>426.85714285714283</v>
      </c>
      <c r="AW48" s="538">
        <v>1</v>
      </c>
      <c r="AX48" s="642"/>
      <c r="AZ48" s="377" t="e">
        <f t="shared" ref="AZ48:AZ61" si="24">RANK(AY48, AY$47:AY$61)</f>
        <v>#N/A</v>
      </c>
      <c r="BA48" s="653"/>
    </row>
    <row r="49" spans="2:53">
      <c r="B49" s="635"/>
      <c r="C49" s="534">
        <v>3</v>
      </c>
      <c r="D49" s="346" t="s">
        <v>356</v>
      </c>
      <c r="E49" s="537">
        <v>12</v>
      </c>
      <c r="F49" s="537">
        <v>2118</v>
      </c>
      <c r="G49" s="537">
        <v>176.5</v>
      </c>
      <c r="H49" s="672"/>
      <c r="I49" s="531">
        <f t="shared" si="23"/>
        <v>12</v>
      </c>
      <c r="J49" s="531">
        <f t="shared" si="23"/>
        <v>2056.611507708772</v>
      </c>
      <c r="K49" s="363">
        <f t="shared" si="23"/>
        <v>171.38429230906436</v>
      </c>
      <c r="L49" s="615"/>
      <c r="M49" s="537">
        <f>RANK(K49, K$47:$K$61)</f>
        <v>6</v>
      </c>
      <c r="N49" s="624"/>
      <c r="O49" s="624"/>
      <c r="P49" s="529">
        <v>12</v>
      </c>
      <c r="Q49" s="538">
        <v>2059.090909090909</v>
      </c>
      <c r="R49" s="538">
        <v>171.59090909090909</v>
      </c>
      <c r="S49" s="538">
        <v>6</v>
      </c>
      <c r="T49" s="642"/>
      <c r="U49" s="529">
        <v>12</v>
      </c>
      <c r="V49" s="538">
        <v>2075.5555555555552</v>
      </c>
      <c r="W49" s="538">
        <v>172.96296296296293</v>
      </c>
      <c r="X49" s="538">
        <v>6</v>
      </c>
      <c r="Y49" s="642"/>
      <c r="Z49" s="529">
        <v>12</v>
      </c>
      <c r="AA49" s="538">
        <v>2020.7142857142858</v>
      </c>
      <c r="AB49" s="538">
        <v>168.39285714285714</v>
      </c>
      <c r="AC49" s="538">
        <v>6</v>
      </c>
      <c r="AD49" s="642"/>
      <c r="AE49" s="529">
        <v>12</v>
      </c>
      <c r="AF49" s="538">
        <v>2070</v>
      </c>
      <c r="AG49" s="538">
        <v>172.5</v>
      </c>
      <c r="AH49" s="538">
        <v>6</v>
      </c>
      <c r="AI49" s="642"/>
      <c r="AJ49" s="529">
        <v>12</v>
      </c>
      <c r="AK49" s="538">
        <v>2052.7659574468089</v>
      </c>
      <c r="AL49" s="538">
        <v>171.06382978723408</v>
      </c>
      <c r="AM49" s="538">
        <v>6</v>
      </c>
      <c r="AN49" s="642"/>
      <c r="AO49" s="529">
        <v>12</v>
      </c>
      <c r="AP49" s="538">
        <v>2038.1538461538457</v>
      </c>
      <c r="AQ49" s="538">
        <v>169.84615384615381</v>
      </c>
      <c r="AR49" s="538">
        <v>6</v>
      </c>
      <c r="AS49" s="642"/>
      <c r="AT49" s="529">
        <v>12</v>
      </c>
      <c r="AU49" s="538">
        <v>2080.0000000000009</v>
      </c>
      <c r="AV49" s="538">
        <v>173.3333333333334</v>
      </c>
      <c r="AW49" s="538">
        <v>6</v>
      </c>
      <c r="AX49" s="642"/>
      <c r="AZ49" s="377" t="e">
        <f t="shared" si="24"/>
        <v>#N/A</v>
      </c>
      <c r="BA49" s="653"/>
    </row>
    <row r="50" spans="2:53">
      <c r="B50" s="635"/>
      <c r="C50" s="534">
        <v>4</v>
      </c>
      <c r="D50" s="346" t="s">
        <v>357</v>
      </c>
      <c r="E50" s="537">
        <v>13</v>
      </c>
      <c r="F50" s="537">
        <v>2250</v>
      </c>
      <c r="G50" s="537">
        <v>173.1</v>
      </c>
      <c r="H50" s="672"/>
      <c r="I50" s="531">
        <f t="shared" si="23"/>
        <v>13</v>
      </c>
      <c r="J50" s="531">
        <f t="shared" si="23"/>
        <v>2146.3706143111331</v>
      </c>
      <c r="K50" s="363">
        <f t="shared" si="23"/>
        <v>165.10543187008716</v>
      </c>
      <c r="L50" s="615"/>
      <c r="M50" s="537">
        <f>RANK(K50, K$47:$K$61)</f>
        <v>8</v>
      </c>
      <c r="N50" s="624"/>
      <c r="O50" s="624"/>
      <c r="P50" s="529">
        <v>13</v>
      </c>
      <c r="Q50" s="538">
        <v>2189.1147540983598</v>
      </c>
      <c r="R50" s="538">
        <v>168.39344262295074</v>
      </c>
      <c r="S50" s="538">
        <v>7</v>
      </c>
      <c r="T50" s="642"/>
      <c r="U50" s="529">
        <v>13</v>
      </c>
      <c r="V50" s="538">
        <v>2224.5294117647068</v>
      </c>
      <c r="W50" s="538">
        <v>171.11764705882359</v>
      </c>
      <c r="X50" s="538">
        <v>7</v>
      </c>
      <c r="Y50" s="642"/>
      <c r="Z50" s="529">
        <v>13</v>
      </c>
      <c r="AA50" s="538">
        <v>2073.2068965517201</v>
      </c>
      <c r="AB50" s="538">
        <v>159.47745358090154</v>
      </c>
      <c r="AC50" s="538">
        <v>8</v>
      </c>
      <c r="AD50" s="642"/>
      <c r="AE50" s="529">
        <v>13</v>
      </c>
      <c r="AF50" s="538">
        <v>2036.5714285714357</v>
      </c>
      <c r="AG50" s="538">
        <v>156.65934065934121</v>
      </c>
      <c r="AH50" s="538">
        <v>8</v>
      </c>
      <c r="AI50" s="642"/>
      <c r="AJ50" s="529">
        <v>13</v>
      </c>
      <c r="AK50" s="538">
        <v>2175.211267605634</v>
      </c>
      <c r="AL50" s="538">
        <v>167.32394366197184</v>
      </c>
      <c r="AM50" s="538">
        <v>8</v>
      </c>
      <c r="AN50" s="642"/>
      <c r="AO50" s="529">
        <v>13</v>
      </c>
      <c r="AP50" s="538">
        <v>2182.978723404256</v>
      </c>
      <c r="AQ50" s="538">
        <v>167.92144026186585</v>
      </c>
      <c r="AR50" s="538">
        <v>8</v>
      </c>
      <c r="AS50" s="642"/>
      <c r="AT50" s="529">
        <v>13</v>
      </c>
      <c r="AU50" s="538">
        <v>2142.9818181818196</v>
      </c>
      <c r="AV50" s="538">
        <v>164.84475524475536</v>
      </c>
      <c r="AW50" s="538">
        <v>8</v>
      </c>
      <c r="AX50" s="642"/>
      <c r="AZ50" s="377" t="e">
        <f t="shared" si="24"/>
        <v>#N/A</v>
      </c>
      <c r="BA50" s="653"/>
    </row>
    <row r="51" spans="2:53">
      <c r="B51" s="635"/>
      <c r="C51" s="534">
        <v>5</v>
      </c>
      <c r="D51" s="346" t="s">
        <v>358</v>
      </c>
      <c r="E51" s="537">
        <v>13</v>
      </c>
      <c r="F51" s="537">
        <v>2250</v>
      </c>
      <c r="G51" s="537">
        <v>173.1</v>
      </c>
      <c r="H51" s="672"/>
      <c r="I51" s="531">
        <f t="shared" si="23"/>
        <v>13</v>
      </c>
      <c r="J51" s="531">
        <f t="shared" si="23"/>
        <v>2160.7886553224248</v>
      </c>
      <c r="K51" s="363">
        <f t="shared" si="23"/>
        <v>166.21451194787883</v>
      </c>
      <c r="L51" s="615"/>
      <c r="M51" s="537">
        <f>RANK(K51, K$47:$K$61)</f>
        <v>7</v>
      </c>
      <c r="N51" s="624"/>
      <c r="O51" s="624"/>
      <c r="P51" s="529">
        <v>13</v>
      </c>
      <c r="Q51" s="538">
        <v>2127.3281249999995</v>
      </c>
      <c r="R51" s="538">
        <v>163.64062499999997</v>
      </c>
      <c r="S51" s="538">
        <v>8</v>
      </c>
      <c r="T51" s="642"/>
      <c r="U51" s="529">
        <v>13</v>
      </c>
      <c r="V51" s="538">
        <v>2141.454545454545</v>
      </c>
      <c r="W51" s="538">
        <v>164.72727272727269</v>
      </c>
      <c r="X51" s="538">
        <v>8</v>
      </c>
      <c r="Y51" s="642"/>
      <c r="Z51" s="529">
        <v>13</v>
      </c>
      <c r="AA51" s="538">
        <v>2104.0645161290286</v>
      </c>
      <c r="AB51" s="538">
        <v>161.85111662530988</v>
      </c>
      <c r="AC51" s="538">
        <v>7</v>
      </c>
      <c r="AD51" s="642"/>
      <c r="AE51" s="529">
        <v>13</v>
      </c>
      <c r="AF51" s="538">
        <v>2156.0000000000005</v>
      </c>
      <c r="AG51" s="538">
        <v>165.84615384615387</v>
      </c>
      <c r="AH51" s="538">
        <v>7</v>
      </c>
      <c r="AI51" s="642"/>
      <c r="AJ51" s="529">
        <v>13</v>
      </c>
      <c r="AK51" s="538">
        <v>2210.3703703703695</v>
      </c>
      <c r="AL51" s="538">
        <v>170.02849002848995</v>
      </c>
      <c r="AM51" s="538">
        <v>7</v>
      </c>
      <c r="AN51" s="642"/>
      <c r="AO51" s="529">
        <v>13</v>
      </c>
      <c r="AP51" s="538">
        <v>2190.3030303030309</v>
      </c>
      <c r="AQ51" s="538">
        <v>168.48484848484853</v>
      </c>
      <c r="AR51" s="538">
        <v>7</v>
      </c>
      <c r="AS51" s="642"/>
      <c r="AT51" s="529">
        <v>13</v>
      </c>
      <c r="AU51" s="538">
        <v>2196</v>
      </c>
      <c r="AV51" s="538">
        <v>168.92307692307693</v>
      </c>
      <c r="AW51" s="538">
        <v>7</v>
      </c>
      <c r="AX51" s="642"/>
      <c r="AZ51" s="377" t="e">
        <f t="shared" si="24"/>
        <v>#N/A</v>
      </c>
      <c r="BA51" s="653"/>
    </row>
    <row r="52" spans="2:53">
      <c r="B52" s="635"/>
      <c r="C52" s="534">
        <v>6</v>
      </c>
      <c r="D52" s="346" t="s">
        <v>359</v>
      </c>
      <c r="E52" s="537">
        <v>10</v>
      </c>
      <c r="F52" s="537">
        <v>2769</v>
      </c>
      <c r="G52" s="537">
        <v>276.89999999999998</v>
      </c>
      <c r="H52" s="672"/>
      <c r="I52" s="531">
        <f t="shared" si="23"/>
        <v>10</v>
      </c>
      <c r="J52" s="531">
        <f t="shared" si="23"/>
        <v>2379.8914896147094</v>
      </c>
      <c r="K52" s="363">
        <f t="shared" si="23"/>
        <v>237.98914896147085</v>
      </c>
      <c r="L52" s="615"/>
      <c r="M52" s="537">
        <f>RANK(K52, K$47:$K$61)</f>
        <v>4</v>
      </c>
      <c r="N52" s="624"/>
      <c r="O52" s="624"/>
      <c r="P52" s="529">
        <v>10</v>
      </c>
      <c r="Q52" s="538">
        <v>2418</v>
      </c>
      <c r="R52" s="538">
        <v>241.8</v>
      </c>
      <c r="S52" s="538">
        <v>4</v>
      </c>
      <c r="T52" s="642"/>
      <c r="U52" s="529">
        <v>10</v>
      </c>
      <c r="V52" s="538">
        <v>2372.282608695652</v>
      </c>
      <c r="W52" s="538">
        <v>237.22826086956519</v>
      </c>
      <c r="X52" s="538">
        <v>4</v>
      </c>
      <c r="Y52" s="642"/>
      <c r="Z52" s="529">
        <v>10</v>
      </c>
      <c r="AA52" s="538">
        <v>2411.4473684210511</v>
      </c>
      <c r="AB52" s="538">
        <v>241.14473684210512</v>
      </c>
      <c r="AC52" s="538">
        <v>4</v>
      </c>
      <c r="AD52" s="642"/>
      <c r="AE52" s="529">
        <v>10</v>
      </c>
      <c r="AF52" s="538">
        <v>2364.5454545454568</v>
      </c>
      <c r="AG52" s="538">
        <v>236.45454545454567</v>
      </c>
      <c r="AH52" s="538">
        <v>4</v>
      </c>
      <c r="AI52" s="642"/>
      <c r="AJ52" s="529">
        <v>10</v>
      </c>
      <c r="AK52" s="538">
        <v>2340.7499999999991</v>
      </c>
      <c r="AL52" s="538">
        <v>234.0749999999999</v>
      </c>
      <c r="AM52" s="538">
        <v>4</v>
      </c>
      <c r="AN52" s="642"/>
      <c r="AO52" s="529">
        <v>10</v>
      </c>
      <c r="AP52" s="538">
        <v>2383.025806451612</v>
      </c>
      <c r="AQ52" s="538">
        <v>238.30258064516119</v>
      </c>
      <c r="AR52" s="538">
        <v>4</v>
      </c>
      <c r="AS52" s="642"/>
      <c r="AT52" s="529">
        <v>10</v>
      </c>
      <c r="AU52" s="538">
        <v>2369.1891891891901</v>
      </c>
      <c r="AV52" s="538">
        <v>236.91891891891902</v>
      </c>
      <c r="AW52" s="538">
        <v>4</v>
      </c>
      <c r="AX52" s="642"/>
      <c r="AZ52" s="377" t="e">
        <f t="shared" si="24"/>
        <v>#N/A</v>
      </c>
      <c r="BA52" s="653"/>
    </row>
    <row r="53" spans="2:53">
      <c r="B53" s="635"/>
      <c r="C53" s="534">
        <v>7</v>
      </c>
      <c r="D53" s="346" t="s">
        <v>840</v>
      </c>
      <c r="E53" s="537">
        <v>11</v>
      </c>
      <c r="F53" s="537">
        <v>2250</v>
      </c>
      <c r="G53" s="537">
        <v>204.5</v>
      </c>
      <c r="H53" s="672"/>
      <c r="I53" s="531">
        <f t="shared" si="23"/>
        <v>11</v>
      </c>
      <c r="J53" s="531">
        <f t="shared" si="23"/>
        <v>2134.7480283170166</v>
      </c>
      <c r="K53" s="363">
        <f t="shared" si="23"/>
        <v>194.06800257427426</v>
      </c>
      <c r="L53" s="615"/>
      <c r="M53" s="537">
        <f>RANK(K53, K$47:$K$61)</f>
        <v>5</v>
      </c>
      <c r="N53" s="624"/>
      <c r="O53" s="624"/>
      <c r="P53" s="529">
        <v>11</v>
      </c>
      <c r="Q53" s="538">
        <v>2166.8571428571427</v>
      </c>
      <c r="R53" s="538">
        <v>196.98701298701297</v>
      </c>
      <c r="S53" s="538">
        <v>5</v>
      </c>
      <c r="T53" s="642"/>
      <c r="U53" s="529">
        <v>11</v>
      </c>
      <c r="V53" s="538">
        <v>2186.8536585365846</v>
      </c>
      <c r="W53" s="538">
        <v>198.80487804878041</v>
      </c>
      <c r="X53" s="538">
        <v>5</v>
      </c>
      <c r="Y53" s="642"/>
      <c r="Z53" s="529">
        <v>11</v>
      </c>
      <c r="AA53" s="538">
        <v>2110.4999999999995</v>
      </c>
      <c r="AB53" s="538">
        <v>191.86363636363632</v>
      </c>
      <c r="AC53" s="538">
        <v>5</v>
      </c>
      <c r="AD53" s="642"/>
      <c r="AE53" s="529">
        <v>11</v>
      </c>
      <c r="AF53" s="538">
        <v>2082.8571428571381</v>
      </c>
      <c r="AG53" s="538">
        <v>189.35064935064892</v>
      </c>
      <c r="AH53" s="538">
        <v>5</v>
      </c>
      <c r="AI53" s="642"/>
      <c r="AJ53" s="529">
        <v>11</v>
      </c>
      <c r="AK53" s="538">
        <v>2082.3428571428549</v>
      </c>
      <c r="AL53" s="538">
        <v>189.30389610389591</v>
      </c>
      <c r="AM53" s="538">
        <v>5</v>
      </c>
      <c r="AN53" s="642"/>
      <c r="AO53" s="529">
        <v>11</v>
      </c>
      <c r="AP53" s="538">
        <v>2194.7142857142862</v>
      </c>
      <c r="AQ53" s="538">
        <v>199.51948051948057</v>
      </c>
      <c r="AR53" s="538">
        <v>5</v>
      </c>
      <c r="AS53" s="642"/>
      <c r="AT53" s="529">
        <v>11</v>
      </c>
      <c r="AU53" s="538">
        <v>2119.1111111111122</v>
      </c>
      <c r="AV53" s="538">
        <v>192.64646464646475</v>
      </c>
      <c r="AW53" s="538">
        <v>5</v>
      </c>
      <c r="AX53" s="642"/>
      <c r="AZ53" s="377" t="e">
        <f t="shared" si="24"/>
        <v>#N/A</v>
      </c>
      <c r="BA53" s="653"/>
    </row>
    <row r="54" spans="2:53">
      <c r="B54" s="635"/>
      <c r="C54" s="534">
        <v>8</v>
      </c>
      <c r="D54" s="346" t="s">
        <v>354</v>
      </c>
      <c r="E54" s="537">
        <v>18</v>
      </c>
      <c r="F54" s="537">
        <v>1200</v>
      </c>
      <c r="G54" s="537">
        <v>66.666666666666671</v>
      </c>
      <c r="H54" s="672"/>
      <c r="I54" s="531">
        <f t="shared" si="23"/>
        <v>18.714285714285715</v>
      </c>
      <c r="J54" s="531">
        <f t="shared" si="23"/>
        <v>1205.474941360668</v>
      </c>
      <c r="K54" s="363">
        <f t="shared" si="23"/>
        <v>64.434422602636886</v>
      </c>
      <c r="L54" s="615"/>
      <c r="M54" s="537">
        <f>RANK(K54, K$47:$K$61)</f>
        <v>9</v>
      </c>
      <c r="N54" s="624"/>
      <c r="O54" s="624"/>
      <c r="P54" s="529">
        <v>19</v>
      </c>
      <c r="Q54" s="538">
        <v>1206</v>
      </c>
      <c r="R54" s="538">
        <v>63.473684210526315</v>
      </c>
      <c r="S54" s="538">
        <v>9</v>
      </c>
      <c r="T54" s="642"/>
      <c r="U54" s="529">
        <v>19</v>
      </c>
      <c r="V54" s="538">
        <v>1219.5180722891562</v>
      </c>
      <c r="W54" s="538">
        <v>64.185161699429273</v>
      </c>
      <c r="X54" s="538">
        <v>9</v>
      </c>
      <c r="Y54" s="642"/>
      <c r="Z54" s="529">
        <v>19</v>
      </c>
      <c r="AA54" s="538">
        <v>1210.2439024390239</v>
      </c>
      <c r="AB54" s="538">
        <v>63.697047496790731</v>
      </c>
      <c r="AC54" s="538">
        <v>9</v>
      </c>
      <c r="AD54" s="642"/>
      <c r="AE54" s="529">
        <v>19</v>
      </c>
      <c r="AF54" s="538">
        <v>1208.5714285714273</v>
      </c>
      <c r="AG54" s="538">
        <v>63.609022556390912</v>
      </c>
      <c r="AH54" s="538">
        <v>9</v>
      </c>
      <c r="AI54" s="642"/>
      <c r="AJ54" s="529">
        <v>19</v>
      </c>
      <c r="AK54" s="538">
        <v>1227.8260869565204</v>
      </c>
      <c r="AL54" s="538">
        <v>64.622425629290547</v>
      </c>
      <c r="AM54" s="538">
        <v>9</v>
      </c>
      <c r="AN54" s="642"/>
      <c r="AO54" s="529">
        <v>18</v>
      </c>
      <c r="AP54" s="538">
        <v>1170.3030303030307</v>
      </c>
      <c r="AQ54" s="538">
        <v>65.016835016835046</v>
      </c>
      <c r="AR54" s="538">
        <v>9</v>
      </c>
      <c r="AS54" s="642"/>
      <c r="AT54" s="529">
        <v>18</v>
      </c>
      <c r="AU54" s="538">
        <v>1195.862068965517</v>
      </c>
      <c r="AV54" s="538">
        <v>66.436781609195393</v>
      </c>
      <c r="AW54" s="538">
        <v>9</v>
      </c>
      <c r="AX54" s="642"/>
      <c r="AZ54" s="377" t="e">
        <f t="shared" si="24"/>
        <v>#N/A</v>
      </c>
      <c r="BA54" s="653"/>
    </row>
    <row r="55" spans="2:53">
      <c r="B55" s="635"/>
      <c r="C55" s="534">
        <v>9</v>
      </c>
      <c r="D55" s="346" t="s">
        <v>841</v>
      </c>
      <c r="E55" s="537">
        <v>7</v>
      </c>
      <c r="F55" s="537">
        <v>2200</v>
      </c>
      <c r="G55" s="537">
        <v>314.28571428571428</v>
      </c>
      <c r="H55" s="672"/>
      <c r="I55" s="531">
        <f t="shared" si="23"/>
        <v>7</v>
      </c>
      <c r="J55" s="531">
        <f t="shared" si="23"/>
        <v>2109.3371858025794</v>
      </c>
      <c r="K55" s="363">
        <f t="shared" si="23"/>
        <v>301.33388368608269</v>
      </c>
      <c r="L55" s="615"/>
      <c r="M55" s="537">
        <f>RANK(K55, K$47:$K$61)</f>
        <v>3</v>
      </c>
      <c r="N55" s="624"/>
      <c r="O55" s="624"/>
      <c r="P55" s="529">
        <v>7</v>
      </c>
      <c r="Q55" s="538">
        <v>2094.8571428571422</v>
      </c>
      <c r="R55" s="538">
        <v>299.26530612244886</v>
      </c>
      <c r="S55" s="538">
        <v>3</v>
      </c>
      <c r="T55" s="642"/>
      <c r="U55" s="529">
        <v>7</v>
      </c>
      <c r="V55" s="538">
        <v>2086.3500000000004</v>
      </c>
      <c r="W55" s="538">
        <v>298.05000000000007</v>
      </c>
      <c r="X55" s="538">
        <v>3</v>
      </c>
      <c r="Y55" s="642"/>
      <c r="Z55" s="529">
        <v>7</v>
      </c>
      <c r="AA55" s="538">
        <v>2134.5187499999993</v>
      </c>
      <c r="AB55" s="538">
        <v>304.93124999999992</v>
      </c>
      <c r="AC55" s="538">
        <v>3</v>
      </c>
      <c r="AD55" s="642"/>
      <c r="AE55" s="529">
        <v>7</v>
      </c>
      <c r="AF55" s="538">
        <v>2115.4545454545455</v>
      </c>
      <c r="AG55" s="538">
        <v>302.20779220779224</v>
      </c>
      <c r="AH55" s="538">
        <v>3</v>
      </c>
      <c r="AI55" s="642"/>
      <c r="AJ55" s="529">
        <v>7</v>
      </c>
      <c r="AK55" s="538">
        <v>2097.1084337349389</v>
      </c>
      <c r="AL55" s="538">
        <v>299.5869191049913</v>
      </c>
      <c r="AM55" s="538">
        <v>3</v>
      </c>
      <c r="AN55" s="642"/>
      <c r="AO55" s="529">
        <v>7</v>
      </c>
      <c r="AP55" s="538">
        <v>2114.5714285714289</v>
      </c>
      <c r="AQ55" s="538">
        <v>302.08163265306126</v>
      </c>
      <c r="AR55" s="538">
        <v>3</v>
      </c>
      <c r="AS55" s="642"/>
      <c r="AT55" s="529">
        <v>7</v>
      </c>
      <c r="AU55" s="538">
        <v>2122.4999999999995</v>
      </c>
      <c r="AV55" s="538">
        <v>303.21428571428567</v>
      </c>
      <c r="AW55" s="538">
        <v>3</v>
      </c>
      <c r="AX55" s="642"/>
      <c r="AZ55" s="377" t="e">
        <f t="shared" si="24"/>
        <v>#N/A</v>
      </c>
      <c r="BA55" s="653"/>
    </row>
    <row r="56" spans="2:53">
      <c r="B56" s="635"/>
      <c r="C56" s="534">
        <v>10</v>
      </c>
      <c r="D56" s="346"/>
      <c r="E56" s="537"/>
      <c r="F56" s="537"/>
      <c r="G56" s="537"/>
      <c r="H56" s="672"/>
      <c r="I56" s="531" t="str">
        <f t="shared" si="23"/>
        <v>-</v>
      </c>
      <c r="J56" s="531" t="str">
        <f t="shared" si="23"/>
        <v>-</v>
      </c>
      <c r="K56" s="363" t="str">
        <f t="shared" si="23"/>
        <v>-</v>
      </c>
      <c r="L56" s="615"/>
      <c r="M56" s="537" t="e">
        <f>RANK(K56, K$47:$K$61)</f>
        <v>#VALUE!</v>
      </c>
      <c r="N56" s="624"/>
      <c r="O56" s="624"/>
      <c r="P56" s="529" t="s">
        <v>427</v>
      </c>
      <c r="Q56" s="538" t="s">
        <v>427</v>
      </c>
      <c r="R56" s="538" t="s">
        <v>427</v>
      </c>
      <c r="S56" s="538" t="e">
        <v>#VALUE!</v>
      </c>
      <c r="T56" s="642"/>
      <c r="U56" s="529" t="s">
        <v>427</v>
      </c>
      <c r="V56" s="538" t="s">
        <v>427</v>
      </c>
      <c r="W56" s="538" t="s">
        <v>427</v>
      </c>
      <c r="X56" s="538" t="e">
        <v>#VALUE!</v>
      </c>
      <c r="Y56" s="642"/>
      <c r="Z56" s="529" t="s">
        <v>427</v>
      </c>
      <c r="AA56" s="538" t="s">
        <v>427</v>
      </c>
      <c r="AB56" s="538" t="s">
        <v>427</v>
      </c>
      <c r="AC56" s="538" t="e">
        <v>#VALUE!</v>
      </c>
      <c r="AD56" s="642"/>
      <c r="AE56" s="529" t="s">
        <v>427</v>
      </c>
      <c r="AF56" s="538" t="s">
        <v>427</v>
      </c>
      <c r="AG56" s="538" t="s">
        <v>427</v>
      </c>
      <c r="AH56" s="538" t="e">
        <v>#VALUE!</v>
      </c>
      <c r="AI56" s="642"/>
      <c r="AJ56" s="529" t="s">
        <v>427</v>
      </c>
      <c r="AK56" s="538" t="s">
        <v>427</v>
      </c>
      <c r="AL56" s="538" t="s">
        <v>427</v>
      </c>
      <c r="AM56" s="538" t="e">
        <v>#VALUE!</v>
      </c>
      <c r="AN56" s="642"/>
      <c r="AO56" s="529" t="s">
        <v>427</v>
      </c>
      <c r="AP56" s="538" t="s">
        <v>427</v>
      </c>
      <c r="AQ56" s="538" t="s">
        <v>427</v>
      </c>
      <c r="AR56" s="538" t="e">
        <v>#VALUE!</v>
      </c>
      <c r="AS56" s="642"/>
      <c r="AT56" s="529" t="s">
        <v>427</v>
      </c>
      <c r="AU56" s="538" t="s">
        <v>427</v>
      </c>
      <c r="AV56" s="538" t="s">
        <v>427</v>
      </c>
      <c r="AW56" s="538" t="e">
        <v>#VALUE!</v>
      </c>
      <c r="AX56" s="642"/>
      <c r="AZ56" s="377" t="e">
        <f t="shared" si="24"/>
        <v>#N/A</v>
      </c>
      <c r="BA56" s="653"/>
    </row>
    <row r="57" spans="2:53">
      <c r="B57" s="635"/>
      <c r="C57" s="534">
        <v>11</v>
      </c>
      <c r="D57" s="346"/>
      <c r="E57" s="537"/>
      <c r="F57" s="537"/>
      <c r="G57" s="537"/>
      <c r="H57" s="672"/>
      <c r="I57" s="531" t="str">
        <f t="shared" si="23"/>
        <v>-</v>
      </c>
      <c r="J57" s="531" t="str">
        <f t="shared" si="23"/>
        <v>-</v>
      </c>
      <c r="K57" s="363" t="str">
        <f t="shared" si="23"/>
        <v>-</v>
      </c>
      <c r="L57" s="615"/>
      <c r="M57" s="537" t="e">
        <f>RANK(K57, K$47:$K$61)</f>
        <v>#VALUE!</v>
      </c>
      <c r="N57" s="624"/>
      <c r="O57" s="624"/>
      <c r="P57" s="529" t="s">
        <v>427</v>
      </c>
      <c r="Q57" s="538" t="s">
        <v>427</v>
      </c>
      <c r="R57" s="538" t="s">
        <v>427</v>
      </c>
      <c r="S57" s="538" t="e">
        <v>#VALUE!</v>
      </c>
      <c r="T57" s="642"/>
      <c r="U57" s="529" t="s">
        <v>427</v>
      </c>
      <c r="V57" s="538" t="s">
        <v>427</v>
      </c>
      <c r="W57" s="538" t="s">
        <v>427</v>
      </c>
      <c r="X57" s="538" t="e">
        <v>#VALUE!</v>
      </c>
      <c r="Y57" s="642"/>
      <c r="Z57" s="529" t="s">
        <v>427</v>
      </c>
      <c r="AA57" s="538" t="s">
        <v>427</v>
      </c>
      <c r="AB57" s="538" t="s">
        <v>427</v>
      </c>
      <c r="AC57" s="538" t="e">
        <v>#VALUE!</v>
      </c>
      <c r="AD57" s="642"/>
      <c r="AE57" s="529" t="s">
        <v>427</v>
      </c>
      <c r="AF57" s="538" t="s">
        <v>427</v>
      </c>
      <c r="AG57" s="538" t="s">
        <v>427</v>
      </c>
      <c r="AH57" s="538" t="e">
        <v>#VALUE!</v>
      </c>
      <c r="AI57" s="642"/>
      <c r="AJ57" s="529" t="s">
        <v>427</v>
      </c>
      <c r="AK57" s="538" t="s">
        <v>427</v>
      </c>
      <c r="AL57" s="538" t="s">
        <v>427</v>
      </c>
      <c r="AM57" s="538" t="e">
        <v>#VALUE!</v>
      </c>
      <c r="AN57" s="642"/>
      <c r="AO57" s="529" t="s">
        <v>427</v>
      </c>
      <c r="AP57" s="538" t="s">
        <v>427</v>
      </c>
      <c r="AQ57" s="538" t="s">
        <v>427</v>
      </c>
      <c r="AR57" s="538" t="e">
        <v>#VALUE!</v>
      </c>
      <c r="AS57" s="642"/>
      <c r="AT57" s="529" t="s">
        <v>427</v>
      </c>
      <c r="AU57" s="538" t="s">
        <v>427</v>
      </c>
      <c r="AV57" s="538" t="s">
        <v>427</v>
      </c>
      <c r="AW57" s="538" t="e">
        <v>#VALUE!</v>
      </c>
      <c r="AX57" s="642"/>
      <c r="AZ57" s="377" t="e">
        <f t="shared" si="24"/>
        <v>#N/A</v>
      </c>
      <c r="BA57" s="653"/>
    </row>
    <row r="58" spans="2:53">
      <c r="B58" s="635"/>
      <c r="C58" s="534">
        <v>12</v>
      </c>
      <c r="D58" s="346"/>
      <c r="E58" s="537"/>
      <c r="F58" s="537"/>
      <c r="G58" s="537"/>
      <c r="H58" s="672"/>
      <c r="I58" s="531" t="str">
        <f t="shared" si="23"/>
        <v>-</v>
      </c>
      <c r="J58" s="531" t="str">
        <f t="shared" si="23"/>
        <v>-</v>
      </c>
      <c r="K58" s="363" t="str">
        <f t="shared" si="23"/>
        <v>-</v>
      </c>
      <c r="L58" s="615"/>
      <c r="M58" s="537" t="e">
        <f>RANK(K58, K$47:$K$61)</f>
        <v>#VALUE!</v>
      </c>
      <c r="N58" s="624"/>
      <c r="O58" s="624"/>
      <c r="P58" s="529" t="s">
        <v>427</v>
      </c>
      <c r="Q58" s="538" t="s">
        <v>427</v>
      </c>
      <c r="R58" s="538" t="s">
        <v>427</v>
      </c>
      <c r="S58" s="538" t="e">
        <v>#VALUE!</v>
      </c>
      <c r="T58" s="642"/>
      <c r="U58" s="529" t="s">
        <v>427</v>
      </c>
      <c r="V58" s="538" t="s">
        <v>427</v>
      </c>
      <c r="W58" s="538" t="s">
        <v>427</v>
      </c>
      <c r="X58" s="538" t="e">
        <v>#VALUE!</v>
      </c>
      <c r="Y58" s="642"/>
      <c r="Z58" s="529" t="s">
        <v>427</v>
      </c>
      <c r="AA58" s="538" t="s">
        <v>427</v>
      </c>
      <c r="AB58" s="538" t="s">
        <v>427</v>
      </c>
      <c r="AC58" s="538" t="e">
        <v>#VALUE!</v>
      </c>
      <c r="AD58" s="642"/>
      <c r="AE58" s="529" t="s">
        <v>427</v>
      </c>
      <c r="AF58" s="538" t="s">
        <v>427</v>
      </c>
      <c r="AG58" s="538" t="s">
        <v>427</v>
      </c>
      <c r="AH58" s="538" t="e">
        <v>#VALUE!</v>
      </c>
      <c r="AI58" s="642"/>
      <c r="AJ58" s="529" t="s">
        <v>427</v>
      </c>
      <c r="AK58" s="538" t="s">
        <v>427</v>
      </c>
      <c r="AL58" s="538" t="s">
        <v>427</v>
      </c>
      <c r="AM58" s="538" t="e">
        <v>#VALUE!</v>
      </c>
      <c r="AN58" s="642"/>
      <c r="AO58" s="529" t="s">
        <v>427</v>
      </c>
      <c r="AP58" s="538" t="s">
        <v>427</v>
      </c>
      <c r="AQ58" s="538" t="s">
        <v>427</v>
      </c>
      <c r="AR58" s="538" t="e">
        <v>#VALUE!</v>
      </c>
      <c r="AS58" s="642"/>
      <c r="AT58" s="529" t="s">
        <v>427</v>
      </c>
      <c r="AU58" s="538" t="s">
        <v>427</v>
      </c>
      <c r="AV58" s="538" t="s">
        <v>427</v>
      </c>
      <c r="AW58" s="538" t="e">
        <v>#VALUE!</v>
      </c>
      <c r="AX58" s="642"/>
      <c r="AZ58" s="377" t="e">
        <f t="shared" si="24"/>
        <v>#N/A</v>
      </c>
      <c r="BA58" s="653"/>
    </row>
    <row r="59" spans="2:53">
      <c r="B59" s="635"/>
      <c r="C59" s="534">
        <v>13</v>
      </c>
      <c r="D59" s="346"/>
      <c r="E59" s="537"/>
      <c r="F59" s="537"/>
      <c r="G59" s="537"/>
      <c r="H59" s="672"/>
      <c r="I59" s="531" t="str">
        <f t="shared" si="23"/>
        <v>-</v>
      </c>
      <c r="J59" s="531" t="str">
        <f t="shared" si="23"/>
        <v>-</v>
      </c>
      <c r="K59" s="363" t="str">
        <f t="shared" si="23"/>
        <v>-</v>
      </c>
      <c r="L59" s="615"/>
      <c r="M59" s="537" t="e">
        <f>RANK(K59, K$47:$K$61)</f>
        <v>#VALUE!</v>
      </c>
      <c r="N59" s="624"/>
      <c r="O59" s="624"/>
      <c r="P59" s="529" t="s">
        <v>427</v>
      </c>
      <c r="Q59" s="538" t="s">
        <v>427</v>
      </c>
      <c r="R59" s="538" t="s">
        <v>427</v>
      </c>
      <c r="S59" s="538"/>
      <c r="T59" s="642"/>
      <c r="U59" s="529" t="s">
        <v>427</v>
      </c>
      <c r="V59" s="538" t="s">
        <v>427</v>
      </c>
      <c r="W59" s="538" t="s">
        <v>427</v>
      </c>
      <c r="X59" s="529"/>
      <c r="Y59" s="642"/>
      <c r="Z59" s="529" t="s">
        <v>427</v>
      </c>
      <c r="AA59" s="538" t="s">
        <v>427</v>
      </c>
      <c r="AB59" s="538" t="s">
        <v>427</v>
      </c>
      <c r="AC59" s="538"/>
      <c r="AD59" s="642"/>
      <c r="AE59" s="529" t="s">
        <v>427</v>
      </c>
      <c r="AF59" s="538" t="s">
        <v>427</v>
      </c>
      <c r="AG59" s="538" t="s">
        <v>427</v>
      </c>
      <c r="AH59" s="538"/>
      <c r="AI59" s="642"/>
      <c r="AJ59" s="529" t="s">
        <v>427</v>
      </c>
      <c r="AK59" s="538" t="s">
        <v>427</v>
      </c>
      <c r="AL59" s="538" t="s">
        <v>427</v>
      </c>
      <c r="AM59" s="538"/>
      <c r="AN59" s="642"/>
      <c r="AO59" s="529" t="s">
        <v>427</v>
      </c>
      <c r="AP59" s="538" t="s">
        <v>427</v>
      </c>
      <c r="AQ59" s="538" t="s">
        <v>427</v>
      </c>
      <c r="AR59" s="538"/>
      <c r="AS59" s="642"/>
      <c r="AT59" s="529" t="s">
        <v>427</v>
      </c>
      <c r="AU59" s="538" t="s">
        <v>427</v>
      </c>
      <c r="AV59" s="538" t="s">
        <v>427</v>
      </c>
      <c r="AW59" s="538"/>
      <c r="AX59" s="642"/>
      <c r="AZ59" s="377" t="e">
        <f t="shared" si="24"/>
        <v>#N/A</v>
      </c>
      <c r="BA59" s="653"/>
    </row>
    <row r="60" spans="2:53">
      <c r="B60" s="635"/>
      <c r="C60" s="534">
        <v>14</v>
      </c>
      <c r="D60" s="346"/>
      <c r="E60" s="537"/>
      <c r="F60" s="537"/>
      <c r="G60" s="537"/>
      <c r="H60" s="672"/>
      <c r="I60" s="531" t="str">
        <f t="shared" si="23"/>
        <v>-</v>
      </c>
      <c r="J60" s="531" t="str">
        <f t="shared" si="23"/>
        <v>-</v>
      </c>
      <c r="K60" s="363" t="str">
        <f t="shared" si="23"/>
        <v>-</v>
      </c>
      <c r="L60" s="615"/>
      <c r="M60" s="537" t="e">
        <f>RANK(K60, K$47:$K$61)</f>
        <v>#VALUE!</v>
      </c>
      <c r="N60" s="624"/>
      <c r="O60" s="624"/>
      <c r="P60" s="529" t="s">
        <v>427</v>
      </c>
      <c r="Q60" s="538" t="s">
        <v>427</v>
      </c>
      <c r="R60" s="538" t="s">
        <v>427</v>
      </c>
      <c r="S60" s="538"/>
      <c r="T60" s="642"/>
      <c r="U60" s="529" t="s">
        <v>427</v>
      </c>
      <c r="V60" s="538" t="s">
        <v>427</v>
      </c>
      <c r="W60" s="538" t="s">
        <v>427</v>
      </c>
      <c r="X60" s="529"/>
      <c r="Y60" s="642"/>
      <c r="Z60" s="529" t="s">
        <v>427</v>
      </c>
      <c r="AA60" s="538" t="s">
        <v>427</v>
      </c>
      <c r="AB60" s="538" t="s">
        <v>427</v>
      </c>
      <c r="AC60" s="538"/>
      <c r="AD60" s="642"/>
      <c r="AE60" s="529" t="s">
        <v>427</v>
      </c>
      <c r="AF60" s="538" t="s">
        <v>427</v>
      </c>
      <c r="AG60" s="538" t="s">
        <v>427</v>
      </c>
      <c r="AH60" s="538"/>
      <c r="AI60" s="642"/>
      <c r="AJ60" s="529" t="s">
        <v>427</v>
      </c>
      <c r="AK60" s="538" t="s">
        <v>427</v>
      </c>
      <c r="AL60" s="538" t="s">
        <v>427</v>
      </c>
      <c r="AM60" s="538"/>
      <c r="AN60" s="642"/>
      <c r="AO60" s="529" t="s">
        <v>427</v>
      </c>
      <c r="AP60" s="538" t="s">
        <v>427</v>
      </c>
      <c r="AQ60" s="538" t="s">
        <v>427</v>
      </c>
      <c r="AR60" s="538"/>
      <c r="AS60" s="642"/>
      <c r="AT60" s="529" t="s">
        <v>427</v>
      </c>
      <c r="AU60" s="538" t="s">
        <v>427</v>
      </c>
      <c r="AV60" s="538" t="s">
        <v>427</v>
      </c>
      <c r="AW60" s="538"/>
      <c r="AX60" s="642"/>
      <c r="AZ60" s="377" t="e">
        <f t="shared" si="24"/>
        <v>#N/A</v>
      </c>
      <c r="BA60" s="653"/>
    </row>
    <row r="61" spans="2:53">
      <c r="B61" s="635"/>
      <c r="C61" s="534">
        <v>15</v>
      </c>
      <c r="D61" s="346"/>
      <c r="E61" s="537"/>
      <c r="F61" s="537"/>
      <c r="G61" s="537"/>
      <c r="H61" s="676"/>
      <c r="I61" s="537"/>
      <c r="J61" s="537"/>
      <c r="K61" s="532"/>
      <c r="L61" s="616"/>
      <c r="M61" s="537" t="e">
        <f>RANK(K61, K$47:$K$61)</f>
        <v>#N/A</v>
      </c>
      <c r="N61" s="624"/>
      <c r="O61" s="624"/>
      <c r="P61" s="529" t="s">
        <v>427</v>
      </c>
      <c r="Q61" s="538" t="s">
        <v>427</v>
      </c>
      <c r="R61" s="538" t="s">
        <v>427</v>
      </c>
      <c r="S61" s="538"/>
      <c r="T61" s="642"/>
      <c r="U61" s="529" t="s">
        <v>427</v>
      </c>
      <c r="V61" s="538" t="s">
        <v>427</v>
      </c>
      <c r="W61" s="538" t="s">
        <v>427</v>
      </c>
      <c r="X61" s="529"/>
      <c r="Y61" s="642"/>
      <c r="Z61" s="529" t="s">
        <v>427</v>
      </c>
      <c r="AA61" s="538" t="s">
        <v>427</v>
      </c>
      <c r="AB61" s="538" t="s">
        <v>427</v>
      </c>
      <c r="AC61" s="538"/>
      <c r="AD61" s="642"/>
      <c r="AE61" s="529" t="s">
        <v>427</v>
      </c>
      <c r="AF61" s="538" t="s">
        <v>427</v>
      </c>
      <c r="AG61" s="538" t="s">
        <v>427</v>
      </c>
      <c r="AH61" s="538"/>
      <c r="AI61" s="642"/>
      <c r="AJ61" s="529" t="s">
        <v>427</v>
      </c>
      <c r="AK61" s="538" t="s">
        <v>427</v>
      </c>
      <c r="AL61" s="538" t="s">
        <v>427</v>
      </c>
      <c r="AM61" s="538"/>
      <c r="AN61" s="642"/>
      <c r="AO61" s="529" t="s">
        <v>427</v>
      </c>
      <c r="AP61" s="538" t="s">
        <v>427</v>
      </c>
      <c r="AQ61" s="538" t="s">
        <v>427</v>
      </c>
      <c r="AR61" s="538"/>
      <c r="AS61" s="642"/>
      <c r="AT61" s="529" t="s">
        <v>427</v>
      </c>
      <c r="AU61" s="538" t="s">
        <v>427</v>
      </c>
      <c r="AV61" s="538" t="s">
        <v>427</v>
      </c>
      <c r="AW61" s="538"/>
      <c r="AX61" s="642"/>
      <c r="AZ61" s="377" t="e">
        <f t="shared" si="24"/>
        <v>#N/A</v>
      </c>
      <c r="BA61" s="653"/>
    </row>
    <row r="62" spans="2:53" ht="15.75">
      <c r="B62" s="643" t="s">
        <v>769</v>
      </c>
      <c r="C62" s="644"/>
      <c r="D62" s="644"/>
      <c r="E62" s="644"/>
      <c r="F62" s="644"/>
      <c r="G62" s="644"/>
      <c r="H62" s="645"/>
      <c r="I62" s="205"/>
      <c r="J62" s="205"/>
      <c r="K62" s="205"/>
      <c r="L62" s="205"/>
      <c r="M62" s="204"/>
      <c r="N62" s="639" t="s">
        <v>685</v>
      </c>
      <c r="O62" s="639" t="s">
        <v>686</v>
      </c>
      <c r="P62" s="634">
        <f>P42+7</f>
        <v>46224</v>
      </c>
      <c r="Q62" s="635"/>
      <c r="R62" s="635"/>
      <c r="S62" s="635"/>
      <c r="T62" s="635"/>
      <c r="U62" s="636">
        <f>P62+1</f>
        <v>46225</v>
      </c>
      <c r="V62" s="637"/>
      <c r="W62" s="637"/>
      <c r="X62" s="637"/>
      <c r="Y62" s="638"/>
      <c r="Z62" s="636">
        <f>U62+1</f>
        <v>46226</v>
      </c>
      <c r="AA62" s="637"/>
      <c r="AB62" s="637"/>
      <c r="AC62" s="637"/>
      <c r="AD62" s="638"/>
      <c r="AE62" s="636">
        <f>Z62+1</f>
        <v>46227</v>
      </c>
      <c r="AF62" s="637"/>
      <c r="AG62" s="637"/>
      <c r="AH62" s="637"/>
      <c r="AI62" s="638"/>
      <c r="AJ62" s="636">
        <f>AE62+1</f>
        <v>46228</v>
      </c>
      <c r="AK62" s="637"/>
      <c r="AL62" s="637"/>
      <c r="AM62" s="637"/>
      <c r="AN62" s="638"/>
      <c r="AO62" s="636">
        <f>AJ62+1</f>
        <v>46229</v>
      </c>
      <c r="AP62" s="637"/>
      <c r="AQ62" s="637"/>
      <c r="AR62" s="637"/>
      <c r="AS62" s="638"/>
      <c r="AT62" s="636">
        <f>AO62+1</f>
        <v>46230</v>
      </c>
      <c r="AU62" s="637"/>
      <c r="AV62" s="637"/>
      <c r="AW62" s="637"/>
      <c r="AX62" s="638"/>
    </row>
    <row r="63" spans="2:53" ht="15.75">
      <c r="B63" s="646"/>
      <c r="C63" s="646"/>
      <c r="D63" s="646"/>
      <c r="E63" s="646"/>
      <c r="F63" s="646"/>
      <c r="G63" s="646"/>
      <c r="H63" s="646"/>
      <c r="I63" s="202"/>
      <c r="J63" s="202"/>
      <c r="K63" s="202"/>
      <c r="L63" s="202"/>
      <c r="M63" s="203"/>
      <c r="N63" s="641"/>
      <c r="O63" s="641"/>
      <c r="P63" s="634" t="s">
        <v>677</v>
      </c>
      <c r="Q63" s="635"/>
      <c r="R63" s="635"/>
      <c r="S63" s="635"/>
      <c r="T63" s="635"/>
      <c r="U63" s="634" t="s">
        <v>678</v>
      </c>
      <c r="V63" s="635"/>
      <c r="W63" s="635"/>
      <c r="X63" s="635"/>
      <c r="Y63" s="635"/>
      <c r="Z63" s="634" t="s">
        <v>679</v>
      </c>
      <c r="AA63" s="635"/>
      <c r="AB63" s="635"/>
      <c r="AC63" s="635"/>
      <c r="AD63" s="635"/>
      <c r="AE63" s="634" t="s">
        <v>687</v>
      </c>
      <c r="AF63" s="635"/>
      <c r="AG63" s="635"/>
      <c r="AH63" s="635"/>
      <c r="AI63" s="635"/>
      <c r="AJ63" s="634" t="s">
        <v>688</v>
      </c>
      <c r="AK63" s="635"/>
      <c r="AL63" s="635"/>
      <c r="AM63" s="635"/>
      <c r="AN63" s="635"/>
      <c r="AO63" s="634" t="s">
        <v>689</v>
      </c>
      <c r="AP63" s="635"/>
      <c r="AQ63" s="635"/>
      <c r="AR63" s="635"/>
      <c r="AS63" s="635"/>
      <c r="AT63" s="634" t="s">
        <v>690</v>
      </c>
      <c r="AU63" s="635"/>
      <c r="AV63" s="635"/>
      <c r="AW63" s="635"/>
      <c r="AX63" s="635"/>
    </row>
    <row r="64" spans="2:53">
      <c r="B64" s="624" t="s">
        <v>760</v>
      </c>
      <c r="C64" s="624" t="s">
        <v>827</v>
      </c>
      <c r="D64" s="624"/>
      <c r="E64" s="624" t="s">
        <v>828</v>
      </c>
      <c r="F64" s="624"/>
      <c r="G64" s="624"/>
      <c r="H64" s="647" t="s">
        <v>829</v>
      </c>
      <c r="I64" s="624" t="s">
        <v>830</v>
      </c>
      <c r="J64" s="624"/>
      <c r="K64" s="624"/>
      <c r="L64" s="647" t="s">
        <v>829</v>
      </c>
      <c r="M64" s="639" t="s">
        <v>440</v>
      </c>
      <c r="N64" s="624"/>
      <c r="O64" s="624" t="s">
        <v>831</v>
      </c>
      <c r="P64" s="621" t="s">
        <v>832</v>
      </c>
      <c r="Q64" s="622"/>
      <c r="R64" s="622"/>
      <c r="S64" s="623"/>
      <c r="T64" s="624" t="s">
        <v>829</v>
      </c>
      <c r="U64" s="621" t="s">
        <v>832</v>
      </c>
      <c r="V64" s="622"/>
      <c r="W64" s="622"/>
      <c r="X64" s="623"/>
      <c r="Y64" s="624" t="s">
        <v>829</v>
      </c>
      <c r="Z64" s="621" t="s">
        <v>832</v>
      </c>
      <c r="AA64" s="622"/>
      <c r="AB64" s="622"/>
      <c r="AC64" s="623"/>
      <c r="AD64" s="624" t="s">
        <v>829</v>
      </c>
      <c r="AE64" s="621" t="s">
        <v>832</v>
      </c>
      <c r="AF64" s="622"/>
      <c r="AG64" s="622"/>
      <c r="AH64" s="623"/>
      <c r="AI64" s="624" t="s">
        <v>829</v>
      </c>
      <c r="AJ64" s="621" t="s">
        <v>832</v>
      </c>
      <c r="AK64" s="622"/>
      <c r="AL64" s="622"/>
      <c r="AM64" s="623"/>
      <c r="AN64" s="624" t="s">
        <v>829</v>
      </c>
      <c r="AO64" s="621" t="s">
        <v>832</v>
      </c>
      <c r="AP64" s="622"/>
      <c r="AQ64" s="622"/>
      <c r="AR64" s="623"/>
      <c r="AS64" s="624" t="s">
        <v>829</v>
      </c>
      <c r="AT64" s="621" t="s">
        <v>832</v>
      </c>
      <c r="AU64" s="622"/>
      <c r="AV64" s="622"/>
      <c r="AW64" s="623"/>
      <c r="AX64" s="624" t="s">
        <v>829</v>
      </c>
    </row>
    <row r="65" spans="2:53">
      <c r="B65" s="624"/>
      <c r="C65" s="624"/>
      <c r="D65" s="624"/>
      <c r="E65" s="624" t="s">
        <v>833</v>
      </c>
      <c r="F65" s="624"/>
      <c r="G65" s="624"/>
      <c r="H65" s="648"/>
      <c r="I65" s="624" t="s">
        <v>833</v>
      </c>
      <c r="J65" s="624"/>
      <c r="K65" s="624"/>
      <c r="L65" s="648"/>
      <c r="M65" s="640"/>
      <c r="N65" s="624"/>
      <c r="O65" s="624"/>
      <c r="P65" s="621" t="s">
        <v>834</v>
      </c>
      <c r="Q65" s="622"/>
      <c r="R65" s="622"/>
      <c r="S65" s="623"/>
      <c r="T65" s="624"/>
      <c r="U65" s="621" t="s">
        <v>834</v>
      </c>
      <c r="V65" s="622"/>
      <c r="W65" s="622"/>
      <c r="X65" s="623"/>
      <c r="Y65" s="624"/>
      <c r="Z65" s="621" t="s">
        <v>834</v>
      </c>
      <c r="AA65" s="622"/>
      <c r="AB65" s="622"/>
      <c r="AC65" s="623"/>
      <c r="AD65" s="624"/>
      <c r="AE65" s="621" t="s">
        <v>834</v>
      </c>
      <c r="AF65" s="622"/>
      <c r="AG65" s="622"/>
      <c r="AH65" s="623"/>
      <c r="AI65" s="624"/>
      <c r="AJ65" s="621" t="s">
        <v>834</v>
      </c>
      <c r="AK65" s="622"/>
      <c r="AL65" s="622"/>
      <c r="AM65" s="623"/>
      <c r="AN65" s="624"/>
      <c r="AO65" s="621" t="s">
        <v>834</v>
      </c>
      <c r="AP65" s="622"/>
      <c r="AQ65" s="622"/>
      <c r="AR65" s="623"/>
      <c r="AS65" s="624"/>
      <c r="AT65" s="621" t="s">
        <v>834</v>
      </c>
      <c r="AU65" s="622"/>
      <c r="AV65" s="622"/>
      <c r="AW65" s="623"/>
      <c r="AX65" s="624"/>
    </row>
    <row r="66" spans="2:53">
      <c r="B66" s="624"/>
      <c r="C66" s="624"/>
      <c r="D66" s="624"/>
      <c r="E66" s="533" t="s">
        <v>835</v>
      </c>
      <c r="F66" s="533" t="s">
        <v>836</v>
      </c>
      <c r="G66" s="533" t="s">
        <v>837</v>
      </c>
      <c r="H66" s="649"/>
      <c r="I66" s="533" t="s">
        <v>835</v>
      </c>
      <c r="J66" s="533" t="s">
        <v>836</v>
      </c>
      <c r="K66" s="533" t="s">
        <v>837</v>
      </c>
      <c r="L66" s="649"/>
      <c r="M66" s="641"/>
      <c r="N66" s="624"/>
      <c r="O66" s="624"/>
      <c r="P66" s="533" t="s">
        <v>835</v>
      </c>
      <c r="Q66" s="533" t="s">
        <v>836</v>
      </c>
      <c r="R66" s="533" t="s">
        <v>837</v>
      </c>
      <c r="S66" s="533" t="s">
        <v>440</v>
      </c>
      <c r="T66" s="624"/>
      <c r="U66" s="533" t="s">
        <v>835</v>
      </c>
      <c r="V66" s="533" t="s">
        <v>836</v>
      </c>
      <c r="W66" s="533" t="s">
        <v>837</v>
      </c>
      <c r="X66" s="533" t="s">
        <v>440</v>
      </c>
      <c r="Y66" s="624"/>
      <c r="Z66" s="533" t="s">
        <v>835</v>
      </c>
      <c r="AA66" s="533" t="s">
        <v>836</v>
      </c>
      <c r="AB66" s="533" t="s">
        <v>837</v>
      </c>
      <c r="AC66" s="533" t="s">
        <v>440</v>
      </c>
      <c r="AD66" s="624"/>
      <c r="AE66" s="533" t="s">
        <v>835</v>
      </c>
      <c r="AF66" s="533" t="s">
        <v>836</v>
      </c>
      <c r="AG66" s="533" t="s">
        <v>837</v>
      </c>
      <c r="AH66" s="533" t="s">
        <v>440</v>
      </c>
      <c r="AI66" s="624"/>
      <c r="AJ66" s="533" t="s">
        <v>835</v>
      </c>
      <c r="AK66" s="533" t="s">
        <v>836</v>
      </c>
      <c r="AL66" s="533" t="s">
        <v>837</v>
      </c>
      <c r="AM66" s="533" t="s">
        <v>440</v>
      </c>
      <c r="AN66" s="624"/>
      <c r="AO66" s="533" t="s">
        <v>835</v>
      </c>
      <c r="AP66" s="533" t="s">
        <v>836</v>
      </c>
      <c r="AQ66" s="533" t="s">
        <v>837</v>
      </c>
      <c r="AR66" s="533" t="s">
        <v>440</v>
      </c>
      <c r="AS66" s="624"/>
      <c r="AT66" s="533" t="s">
        <v>835</v>
      </c>
      <c r="AU66" s="533" t="s">
        <v>836</v>
      </c>
      <c r="AV66" s="533" t="s">
        <v>837</v>
      </c>
      <c r="AW66" s="533" t="s">
        <v>440</v>
      </c>
      <c r="AX66" s="624"/>
    </row>
    <row r="67" spans="2:53">
      <c r="B67" s="675" t="s">
        <v>775</v>
      </c>
      <c r="C67" s="534">
        <v>1</v>
      </c>
      <c r="D67" s="346" t="s">
        <v>355</v>
      </c>
      <c r="E67" s="537">
        <v>4</v>
      </c>
      <c r="F67" s="537">
        <v>2000</v>
      </c>
      <c r="G67" s="537">
        <v>500</v>
      </c>
      <c r="H67" s="671">
        <f>AVERAGE(G67:G81)</f>
        <v>265.00582010582008</v>
      </c>
      <c r="I67" s="531">
        <f t="shared" ref="I67:K80" si="25">IFERROR(AVERAGE(P67,U67,Z67,AE67,AJ67,AO67,AT67),"-")</f>
        <v>5</v>
      </c>
      <c r="J67" s="531">
        <f t="shared" si="25"/>
        <v>2083.8354034922104</v>
      </c>
      <c r="K67" s="363">
        <f t="shared" si="25"/>
        <v>416.76708069844204</v>
      </c>
      <c r="L67" s="614">
        <f>IFERROR(AVERAGE(K67:K81),"-")</f>
        <v>235.50291909632642</v>
      </c>
      <c r="M67" s="537">
        <f>RANK(K67, K$67:$K$81)</f>
        <v>2</v>
      </c>
      <c r="N67" s="624"/>
      <c r="O67" s="624"/>
      <c r="P67" s="529">
        <v>5</v>
      </c>
      <c r="Q67" s="538">
        <v>2047.9245283018861</v>
      </c>
      <c r="R67" s="538">
        <v>409.58490566037722</v>
      </c>
      <c r="S67" s="529">
        <f t="shared" ref="S67:S81" si="26">RANK(R67, R$67:R$81)</f>
        <v>2</v>
      </c>
      <c r="T67" s="610">
        <f t="shared" ref="T67" si="27">AVERAGE(R67:R81)</f>
        <v>233.74511114317986</v>
      </c>
      <c r="U67" s="529">
        <v>5</v>
      </c>
      <c r="V67" s="538">
        <v>2124</v>
      </c>
      <c r="W67" s="538">
        <v>424.8</v>
      </c>
      <c r="X67" s="529">
        <f t="shared" ref="X67:X81" si="28">RANK(W67, W$67:W$81)</f>
        <v>1</v>
      </c>
      <c r="Y67" s="610">
        <f t="shared" ref="Y67" si="29">AVERAGE(W67:W81)</f>
        <v>237.75860907977827</v>
      </c>
      <c r="Z67" s="529">
        <v>5</v>
      </c>
      <c r="AA67" s="538">
        <v>2058.7500000000005</v>
      </c>
      <c r="AB67" s="538">
        <v>411.75000000000011</v>
      </c>
      <c r="AC67" s="529">
        <f t="shared" ref="AC67:AC81" si="30">RANK(AB67, AB$67:AB$81)</f>
        <v>2</v>
      </c>
      <c r="AD67" s="610">
        <f t="shared" ref="AD67" si="31">AVERAGE(AB67:AB81)</f>
        <v>235.20956721756173</v>
      </c>
      <c r="AE67" s="529">
        <v>5</v>
      </c>
      <c r="AF67" s="538">
        <v>2038.4210526315796</v>
      </c>
      <c r="AG67" s="538">
        <v>407.68421052631595</v>
      </c>
      <c r="AH67" s="529">
        <f t="shared" ref="AH67:AH81" si="32">RANK(AG67, AG$67:AG$81)</f>
        <v>2</v>
      </c>
      <c r="AI67" s="610">
        <f t="shared" ref="AI67" si="33">AVERAGE(AG67:AG81)</f>
        <v>234.84720093178566</v>
      </c>
      <c r="AJ67" s="529">
        <v>5</v>
      </c>
      <c r="AK67" s="538">
        <v>2156.8421052631588</v>
      </c>
      <c r="AL67" s="538">
        <v>431.36842105263179</v>
      </c>
      <c r="AM67" s="529">
        <f t="shared" ref="AM67:AM81" si="34">RANK(AL67, AL$67:AL$81)</f>
        <v>1</v>
      </c>
      <c r="AN67" s="610">
        <f t="shared" ref="AN67" si="35">AVERAGE(AL67:AL81)</f>
        <v>237.46394730185233</v>
      </c>
      <c r="AO67" s="529">
        <v>5</v>
      </c>
      <c r="AP67" s="538">
        <v>2086.0714285714289</v>
      </c>
      <c r="AQ67" s="538">
        <v>417.21428571428578</v>
      </c>
      <c r="AR67" s="529">
        <f t="shared" ref="AR67:AR81" si="36">RANK(AQ67, AQ$67:AQ$81)</f>
        <v>2</v>
      </c>
      <c r="AS67" s="610">
        <f t="shared" ref="AS67" si="37">AVERAGE(AQ67:AQ81)</f>
        <v>234.9418292737985</v>
      </c>
      <c r="AT67" s="529">
        <v>5</v>
      </c>
      <c r="AU67" s="538">
        <v>2074.8387096774186</v>
      </c>
      <c r="AV67" s="538">
        <v>414.96774193548373</v>
      </c>
      <c r="AW67" s="529">
        <f t="shared" ref="AW67:AW81" si="38">RANK(AV67, AV$67:AV$81)</f>
        <v>2</v>
      </c>
      <c r="AX67" s="610">
        <f t="shared" ref="AX67" si="39">AVERAGE(AV67:AV81)</f>
        <v>234.5541687263287</v>
      </c>
      <c r="AZ67" s="377" t="e">
        <f t="shared" ref="AZ67:AZ81" si="40">RANK(AY67, AY$67:AY$81)</f>
        <v>#N/A</v>
      </c>
      <c r="BA67" s="653" t="e">
        <f t="shared" ref="BA67" si="41">AVERAGE(AY67:AY81)</f>
        <v>#DIV/0!</v>
      </c>
    </row>
    <row r="68" spans="2:53">
      <c r="B68" s="635"/>
      <c r="C68" s="534">
        <v>2</v>
      </c>
      <c r="D68" s="346" t="s">
        <v>385</v>
      </c>
      <c r="E68" s="537">
        <v>4</v>
      </c>
      <c r="F68" s="537">
        <v>2000</v>
      </c>
      <c r="G68" s="537">
        <v>500</v>
      </c>
      <c r="H68" s="672"/>
      <c r="I68" s="531">
        <f t="shared" si="25"/>
        <v>5</v>
      </c>
      <c r="J68" s="531">
        <f t="shared" si="25"/>
        <v>2092.2370266838348</v>
      </c>
      <c r="K68" s="363">
        <f t="shared" si="25"/>
        <v>418.44740533676696</v>
      </c>
      <c r="L68" s="615"/>
      <c r="M68" s="537">
        <f>RANK(K68, K$67:$K$81)</f>
        <v>1</v>
      </c>
      <c r="N68" s="624"/>
      <c r="O68" s="624"/>
      <c r="P68" s="529">
        <v>5</v>
      </c>
      <c r="Q68" s="538">
        <v>2097.5000000000005</v>
      </c>
      <c r="R68" s="538">
        <v>419.50000000000011</v>
      </c>
      <c r="S68" s="529">
        <f t="shared" si="26"/>
        <v>1</v>
      </c>
      <c r="T68" s="611"/>
      <c r="U68" s="529">
        <v>5</v>
      </c>
      <c r="V68" s="538">
        <v>2085.333333333333</v>
      </c>
      <c r="W68" s="538">
        <v>417.06666666666661</v>
      </c>
      <c r="X68" s="529">
        <f t="shared" si="28"/>
        <v>2</v>
      </c>
      <c r="Y68" s="611"/>
      <c r="Z68" s="529">
        <v>5</v>
      </c>
      <c r="AA68" s="538">
        <v>2088.260869565217</v>
      </c>
      <c r="AB68" s="538">
        <v>417.65217391304338</v>
      </c>
      <c r="AC68" s="529">
        <f t="shared" si="30"/>
        <v>1</v>
      </c>
      <c r="AD68" s="611"/>
      <c r="AE68" s="529">
        <v>5</v>
      </c>
      <c r="AF68" s="538">
        <v>2098.4210526315796</v>
      </c>
      <c r="AG68" s="538">
        <v>419.68421052631595</v>
      </c>
      <c r="AH68" s="529">
        <f t="shared" si="32"/>
        <v>1</v>
      </c>
      <c r="AI68" s="611"/>
      <c r="AJ68" s="529">
        <v>5</v>
      </c>
      <c r="AK68" s="538">
        <v>2098.4210526315796</v>
      </c>
      <c r="AL68" s="538">
        <v>419.68421052631595</v>
      </c>
      <c r="AM68" s="529">
        <f t="shared" si="34"/>
        <v>2</v>
      </c>
      <c r="AN68" s="611"/>
      <c r="AO68" s="529">
        <v>5</v>
      </c>
      <c r="AP68" s="538">
        <v>2098.7755102040824</v>
      </c>
      <c r="AQ68" s="538">
        <v>419.7551020408165</v>
      </c>
      <c r="AR68" s="529">
        <f t="shared" si="36"/>
        <v>1</v>
      </c>
      <c r="AS68" s="611"/>
      <c r="AT68" s="529">
        <v>5</v>
      </c>
      <c r="AU68" s="538">
        <v>2078.9473684210525</v>
      </c>
      <c r="AV68" s="538">
        <v>415.78947368421052</v>
      </c>
      <c r="AW68" s="529">
        <f t="shared" si="38"/>
        <v>1</v>
      </c>
      <c r="AX68" s="611"/>
      <c r="AZ68" s="377" t="e">
        <f t="shared" si="40"/>
        <v>#N/A</v>
      </c>
      <c r="BA68" s="653"/>
    </row>
    <row r="69" spans="2:53">
      <c r="B69" s="635"/>
      <c r="C69" s="534">
        <v>3</v>
      </c>
      <c r="D69" s="346" t="s">
        <v>356</v>
      </c>
      <c r="E69" s="537">
        <v>12</v>
      </c>
      <c r="F69" s="537">
        <v>2118</v>
      </c>
      <c r="G69" s="537">
        <v>176.5</v>
      </c>
      <c r="H69" s="672"/>
      <c r="I69" s="531">
        <f t="shared" si="25"/>
        <v>12</v>
      </c>
      <c r="J69" s="531">
        <f t="shared" si="25"/>
        <v>2014.2056551759799</v>
      </c>
      <c r="K69" s="363">
        <f t="shared" si="25"/>
        <v>167.85047126466498</v>
      </c>
      <c r="L69" s="615"/>
      <c r="M69" s="537">
        <f>RANK(K69, K$67:$K$81)</f>
        <v>6</v>
      </c>
      <c r="N69" s="624"/>
      <c r="O69" s="624"/>
      <c r="P69" s="529">
        <v>12</v>
      </c>
      <c r="Q69" s="538">
        <v>2021.0526315789473</v>
      </c>
      <c r="R69" s="538">
        <v>168.42105263157893</v>
      </c>
      <c r="S69" s="529">
        <f t="shared" si="26"/>
        <v>6</v>
      </c>
      <c r="T69" s="611"/>
      <c r="U69" s="529">
        <v>12</v>
      </c>
      <c r="V69" s="538">
        <v>2038.8888888888885</v>
      </c>
      <c r="W69" s="538">
        <v>169.90740740740736</v>
      </c>
      <c r="X69" s="529">
        <f t="shared" si="28"/>
        <v>6</v>
      </c>
      <c r="Y69" s="611"/>
      <c r="Z69" s="529">
        <v>12</v>
      </c>
      <c r="AA69" s="538">
        <v>1999.6363636363633</v>
      </c>
      <c r="AB69" s="538">
        <v>166.6363636363636</v>
      </c>
      <c r="AC69" s="529">
        <f t="shared" si="30"/>
        <v>6</v>
      </c>
      <c r="AD69" s="611"/>
      <c r="AE69" s="529">
        <v>12</v>
      </c>
      <c r="AF69" s="538">
        <v>2010.0000000000005</v>
      </c>
      <c r="AG69" s="538">
        <v>167.50000000000003</v>
      </c>
      <c r="AH69" s="529">
        <f t="shared" si="32"/>
        <v>6</v>
      </c>
      <c r="AI69" s="611"/>
      <c r="AJ69" s="529">
        <v>12</v>
      </c>
      <c r="AK69" s="538">
        <v>2009.36170212766</v>
      </c>
      <c r="AL69" s="538">
        <v>167.44680851063833</v>
      </c>
      <c r="AM69" s="529">
        <f t="shared" si="34"/>
        <v>6</v>
      </c>
      <c r="AN69" s="611"/>
      <c r="AO69" s="529">
        <v>12</v>
      </c>
      <c r="AP69" s="538">
        <v>1987.9999999999991</v>
      </c>
      <c r="AQ69" s="538">
        <v>165.6666666666666</v>
      </c>
      <c r="AR69" s="529">
        <f t="shared" si="36"/>
        <v>6</v>
      </c>
      <c r="AS69" s="611"/>
      <c r="AT69" s="529">
        <v>12</v>
      </c>
      <c r="AU69" s="538">
        <v>2032.4999999999995</v>
      </c>
      <c r="AV69" s="538">
        <v>169.37499999999997</v>
      </c>
      <c r="AW69" s="529">
        <f t="shared" si="38"/>
        <v>6</v>
      </c>
      <c r="AX69" s="611"/>
      <c r="AZ69" s="377" t="e">
        <f t="shared" si="40"/>
        <v>#N/A</v>
      </c>
      <c r="BA69" s="653"/>
    </row>
    <row r="70" spans="2:53">
      <c r="B70" s="635"/>
      <c r="C70" s="534">
        <v>4</v>
      </c>
      <c r="D70" s="346" t="s">
        <v>357</v>
      </c>
      <c r="E70" s="537">
        <v>13</v>
      </c>
      <c r="F70" s="537">
        <v>2250</v>
      </c>
      <c r="G70" s="537">
        <v>173.1</v>
      </c>
      <c r="H70" s="672"/>
      <c r="I70" s="531">
        <f t="shared" si="25"/>
        <v>13</v>
      </c>
      <c r="J70" s="531">
        <f t="shared" si="25"/>
        <v>2125.9339172117866</v>
      </c>
      <c r="K70" s="363">
        <f t="shared" si="25"/>
        <v>163.53337824706051</v>
      </c>
      <c r="L70" s="615"/>
      <c r="M70" s="537">
        <f>RANK(K70, K$67:$K$81)</f>
        <v>7</v>
      </c>
      <c r="N70" s="624"/>
      <c r="O70" s="624"/>
      <c r="P70" s="529">
        <v>13</v>
      </c>
      <c r="Q70" s="538">
        <v>2114.117647058823</v>
      </c>
      <c r="R70" s="538">
        <v>162.62443438914022</v>
      </c>
      <c r="S70" s="529">
        <f t="shared" si="26"/>
        <v>7</v>
      </c>
      <c r="T70" s="611"/>
      <c r="U70" s="529">
        <v>13</v>
      </c>
      <c r="V70" s="538">
        <v>2142.439024390243</v>
      </c>
      <c r="W70" s="538">
        <v>164.80300187617254</v>
      </c>
      <c r="X70" s="529">
        <f t="shared" si="28"/>
        <v>8</v>
      </c>
      <c r="Y70" s="611"/>
      <c r="Z70" s="529">
        <v>13</v>
      </c>
      <c r="AA70" s="538">
        <v>2158.5542168674692</v>
      </c>
      <c r="AB70" s="538">
        <v>166.0426320667284</v>
      </c>
      <c r="AC70" s="529">
        <f t="shared" si="30"/>
        <v>7</v>
      </c>
      <c r="AD70" s="611"/>
      <c r="AE70" s="529">
        <v>13</v>
      </c>
      <c r="AF70" s="538">
        <v>2173.5211267605637</v>
      </c>
      <c r="AG70" s="538">
        <v>167.19393282773567</v>
      </c>
      <c r="AH70" s="529">
        <f t="shared" si="32"/>
        <v>7</v>
      </c>
      <c r="AI70" s="611"/>
      <c r="AJ70" s="529">
        <v>13</v>
      </c>
      <c r="AK70" s="538">
        <v>2145.4054054054063</v>
      </c>
      <c r="AL70" s="538">
        <v>165.03118503118509</v>
      </c>
      <c r="AM70" s="529">
        <f t="shared" si="34"/>
        <v>7</v>
      </c>
      <c r="AN70" s="611"/>
      <c r="AO70" s="529">
        <v>13</v>
      </c>
      <c r="AP70" s="538">
        <v>2086.4999999999991</v>
      </c>
      <c r="AQ70" s="538">
        <v>160.49999999999994</v>
      </c>
      <c r="AR70" s="529">
        <f t="shared" si="36"/>
        <v>7</v>
      </c>
      <c r="AS70" s="611"/>
      <c r="AT70" s="529">
        <v>13</v>
      </c>
      <c r="AU70" s="538">
        <v>2061.0000000000009</v>
      </c>
      <c r="AV70" s="538">
        <v>158.5384615384616</v>
      </c>
      <c r="AW70" s="529">
        <f t="shared" si="38"/>
        <v>8</v>
      </c>
      <c r="AX70" s="611"/>
      <c r="AZ70" s="377" t="e">
        <f t="shared" si="40"/>
        <v>#N/A</v>
      </c>
      <c r="BA70" s="653"/>
    </row>
    <row r="71" spans="2:53">
      <c r="B71" s="635"/>
      <c r="C71" s="534">
        <v>5</v>
      </c>
      <c r="D71" s="346" t="s">
        <v>358</v>
      </c>
      <c r="E71" s="537">
        <v>13</v>
      </c>
      <c r="F71" s="537">
        <v>2250</v>
      </c>
      <c r="G71" s="537">
        <v>173.1</v>
      </c>
      <c r="H71" s="672"/>
      <c r="I71" s="531">
        <f t="shared" si="25"/>
        <v>13</v>
      </c>
      <c r="J71" s="531">
        <f t="shared" si="25"/>
        <v>2115.9170773394781</v>
      </c>
      <c r="K71" s="363">
        <f t="shared" si="25"/>
        <v>162.76285210303675</v>
      </c>
      <c r="L71" s="615"/>
      <c r="M71" s="537">
        <f>RANK(K71, K$67:$K$81)</f>
        <v>8</v>
      </c>
      <c r="N71" s="624"/>
      <c r="O71" s="624"/>
      <c r="P71" s="529">
        <v>13</v>
      </c>
      <c r="Q71" s="538">
        <v>2113.4042553191484</v>
      </c>
      <c r="R71" s="538">
        <v>162.56955810147295</v>
      </c>
      <c r="S71" s="529">
        <f t="shared" si="26"/>
        <v>8</v>
      </c>
      <c r="T71" s="611"/>
      <c r="U71" s="529">
        <v>13</v>
      </c>
      <c r="V71" s="538">
        <v>2164.1379310344832</v>
      </c>
      <c r="W71" s="538">
        <v>166.47214854111411</v>
      </c>
      <c r="X71" s="529">
        <f t="shared" si="28"/>
        <v>7</v>
      </c>
      <c r="Y71" s="611"/>
      <c r="Z71" s="529">
        <v>13</v>
      </c>
      <c r="AA71" s="538">
        <v>2106.8965517241386</v>
      </c>
      <c r="AB71" s="538">
        <v>162.06896551724142</v>
      </c>
      <c r="AC71" s="529">
        <f t="shared" si="30"/>
        <v>8</v>
      </c>
      <c r="AD71" s="611"/>
      <c r="AE71" s="529">
        <v>13</v>
      </c>
      <c r="AF71" s="538">
        <v>2146.8493150684935</v>
      </c>
      <c r="AG71" s="538">
        <v>165.14225500526874</v>
      </c>
      <c r="AH71" s="529">
        <f t="shared" si="32"/>
        <v>8</v>
      </c>
      <c r="AI71" s="611"/>
      <c r="AJ71" s="529">
        <v>13</v>
      </c>
      <c r="AK71" s="538">
        <v>2137.6923076923085</v>
      </c>
      <c r="AL71" s="538">
        <v>164.43786982248528</v>
      </c>
      <c r="AM71" s="529">
        <f t="shared" si="34"/>
        <v>8</v>
      </c>
      <c r="AN71" s="611"/>
      <c r="AO71" s="529">
        <v>13</v>
      </c>
      <c r="AP71" s="538">
        <v>2077.6363636363649</v>
      </c>
      <c r="AQ71" s="538">
        <v>159.81818181818193</v>
      </c>
      <c r="AR71" s="529">
        <f t="shared" si="36"/>
        <v>8</v>
      </c>
      <c r="AS71" s="611"/>
      <c r="AT71" s="529">
        <v>13</v>
      </c>
      <c r="AU71" s="538">
        <v>2064.8028169014087</v>
      </c>
      <c r="AV71" s="538">
        <v>158.83098591549299</v>
      </c>
      <c r="AW71" s="529">
        <f t="shared" si="38"/>
        <v>7</v>
      </c>
      <c r="AX71" s="611"/>
      <c r="AZ71" s="377" t="e">
        <f t="shared" si="40"/>
        <v>#N/A</v>
      </c>
      <c r="BA71" s="653"/>
    </row>
    <row r="72" spans="2:53">
      <c r="B72" s="635"/>
      <c r="C72" s="534">
        <v>6</v>
      </c>
      <c r="D72" s="346" t="s">
        <v>359</v>
      </c>
      <c r="E72" s="537">
        <v>10</v>
      </c>
      <c r="F72" s="537">
        <v>2769</v>
      </c>
      <c r="G72" s="537">
        <v>276.89999999999998</v>
      </c>
      <c r="H72" s="672"/>
      <c r="I72" s="531">
        <f t="shared" si="25"/>
        <v>10</v>
      </c>
      <c r="J72" s="531">
        <f t="shared" si="25"/>
        <v>2338.9039680830115</v>
      </c>
      <c r="K72" s="363">
        <f t="shared" si="25"/>
        <v>233.89039680830115</v>
      </c>
      <c r="L72" s="615"/>
      <c r="M72" s="537">
        <f>RANK(K72, K$67:$K$81)</f>
        <v>4</v>
      </c>
      <c r="N72" s="624"/>
      <c r="O72" s="624"/>
      <c r="P72" s="529">
        <v>10</v>
      </c>
      <c r="Q72" s="538">
        <v>2298.3333333333317</v>
      </c>
      <c r="R72" s="538">
        <v>229.83333333333317</v>
      </c>
      <c r="S72" s="529">
        <f t="shared" si="26"/>
        <v>4</v>
      </c>
      <c r="T72" s="611"/>
      <c r="U72" s="529">
        <v>10</v>
      </c>
      <c r="V72" s="538">
        <v>2398.9090909090883</v>
      </c>
      <c r="W72" s="538">
        <v>239.89090909090882</v>
      </c>
      <c r="X72" s="529">
        <f t="shared" si="28"/>
        <v>4</v>
      </c>
      <c r="Y72" s="611"/>
      <c r="Z72" s="529">
        <v>10</v>
      </c>
      <c r="AA72" s="538">
        <v>2346.4615384615327</v>
      </c>
      <c r="AB72" s="538">
        <v>234.64615384615325</v>
      </c>
      <c r="AC72" s="529">
        <f t="shared" si="30"/>
        <v>4</v>
      </c>
      <c r="AD72" s="611"/>
      <c r="AE72" s="529">
        <v>10</v>
      </c>
      <c r="AF72" s="538">
        <v>2307.692307692309</v>
      </c>
      <c r="AG72" s="538">
        <v>230.76923076923089</v>
      </c>
      <c r="AH72" s="529">
        <f t="shared" si="32"/>
        <v>4</v>
      </c>
      <c r="AI72" s="611"/>
      <c r="AJ72" s="529">
        <v>10</v>
      </c>
      <c r="AK72" s="538">
        <v>2345.0322580645184</v>
      </c>
      <c r="AL72" s="538">
        <v>234.50322580645184</v>
      </c>
      <c r="AM72" s="529">
        <f t="shared" si="34"/>
        <v>4</v>
      </c>
      <c r="AN72" s="611"/>
      <c r="AO72" s="529">
        <v>10</v>
      </c>
      <c r="AP72" s="538">
        <v>2336.8421052631561</v>
      </c>
      <c r="AQ72" s="538">
        <v>233.68421052631561</v>
      </c>
      <c r="AR72" s="529">
        <f t="shared" si="36"/>
        <v>4</v>
      </c>
      <c r="AS72" s="611"/>
      <c r="AT72" s="529">
        <v>10</v>
      </c>
      <c r="AU72" s="538">
        <v>2339.0571428571443</v>
      </c>
      <c r="AV72" s="538">
        <v>233.90571428571442</v>
      </c>
      <c r="AW72" s="529">
        <f t="shared" si="38"/>
        <v>4</v>
      </c>
      <c r="AX72" s="611"/>
      <c r="AZ72" s="377" t="e">
        <f t="shared" si="40"/>
        <v>#N/A</v>
      </c>
      <c r="BA72" s="653"/>
    </row>
    <row r="73" spans="2:53">
      <c r="B73" s="635"/>
      <c r="C73" s="534">
        <v>7</v>
      </c>
      <c r="D73" s="346" t="s">
        <v>840</v>
      </c>
      <c r="E73" s="537">
        <v>11</v>
      </c>
      <c r="F73" s="537">
        <v>2250</v>
      </c>
      <c r="G73" s="537">
        <v>204.5</v>
      </c>
      <c r="H73" s="672"/>
      <c r="I73" s="531">
        <f t="shared" si="25"/>
        <v>11</v>
      </c>
      <c r="J73" s="531">
        <f t="shared" si="25"/>
        <v>2116.9217580456593</v>
      </c>
      <c r="K73" s="363">
        <f t="shared" si="25"/>
        <v>192.44743254960537</v>
      </c>
      <c r="L73" s="615"/>
      <c r="M73" s="537">
        <f>RANK(K73, K$67:$K$81)</f>
        <v>5</v>
      </c>
      <c r="N73" s="624"/>
      <c r="O73" s="624"/>
      <c r="P73" s="529">
        <v>11</v>
      </c>
      <c r="Q73" s="538">
        <v>2058.4615384615377</v>
      </c>
      <c r="R73" s="538">
        <v>187.13286713286706</v>
      </c>
      <c r="S73" s="529">
        <f t="shared" si="26"/>
        <v>5</v>
      </c>
      <c r="T73" s="611"/>
      <c r="U73" s="529">
        <v>11</v>
      </c>
      <c r="V73" s="538">
        <v>2152.4999999999982</v>
      </c>
      <c r="W73" s="538">
        <v>195.68181818181802</v>
      </c>
      <c r="X73" s="529">
        <f t="shared" si="28"/>
        <v>5</v>
      </c>
      <c r="Y73" s="611"/>
      <c r="Z73" s="529">
        <v>11</v>
      </c>
      <c r="AA73" s="538">
        <v>2185.199999999998</v>
      </c>
      <c r="AB73" s="538">
        <v>198.65454545454529</v>
      </c>
      <c r="AC73" s="529">
        <f t="shared" si="30"/>
        <v>5</v>
      </c>
      <c r="AD73" s="611"/>
      <c r="AE73" s="529">
        <v>11</v>
      </c>
      <c r="AF73" s="538">
        <v>2127.6164383561645</v>
      </c>
      <c r="AG73" s="538">
        <v>193.41967621419678</v>
      </c>
      <c r="AH73" s="529">
        <f t="shared" si="32"/>
        <v>5</v>
      </c>
      <c r="AI73" s="611"/>
      <c r="AJ73" s="529">
        <v>11</v>
      </c>
      <c r="AK73" s="538">
        <v>1993.9999999999984</v>
      </c>
      <c r="AL73" s="538">
        <v>181.27272727272714</v>
      </c>
      <c r="AM73" s="529">
        <f t="shared" si="34"/>
        <v>5</v>
      </c>
      <c r="AN73" s="611"/>
      <c r="AO73" s="529">
        <v>11</v>
      </c>
      <c r="AP73" s="538">
        <v>2185.7777777777792</v>
      </c>
      <c r="AQ73" s="538">
        <v>198.70707070707084</v>
      </c>
      <c r="AR73" s="529">
        <f t="shared" si="36"/>
        <v>5</v>
      </c>
      <c r="AS73" s="611"/>
      <c r="AT73" s="529">
        <v>11</v>
      </c>
      <c r="AU73" s="538">
        <v>2114.8965517241377</v>
      </c>
      <c r="AV73" s="538">
        <v>192.26332288401252</v>
      </c>
      <c r="AW73" s="529">
        <f t="shared" si="38"/>
        <v>5</v>
      </c>
      <c r="AX73" s="611"/>
      <c r="AZ73" s="377" t="e">
        <f t="shared" si="40"/>
        <v>#N/A</v>
      </c>
      <c r="BA73" s="653"/>
    </row>
    <row r="74" spans="2:53">
      <c r="B74" s="635"/>
      <c r="C74" s="534">
        <v>8</v>
      </c>
      <c r="D74" s="346" t="s">
        <v>354</v>
      </c>
      <c r="E74" s="537">
        <v>18</v>
      </c>
      <c r="F74" s="537">
        <v>1200</v>
      </c>
      <c r="G74" s="537">
        <v>66.666666666666671</v>
      </c>
      <c r="H74" s="672"/>
      <c r="I74" s="531">
        <f t="shared" si="25"/>
        <v>18.142857142857142</v>
      </c>
      <c r="J74" s="531">
        <f t="shared" si="25"/>
        <v>1196.8935863460822</v>
      </c>
      <c r="K74" s="363">
        <f t="shared" si="25"/>
        <v>65.979802416052181</v>
      </c>
      <c r="L74" s="615"/>
      <c r="M74" s="537">
        <f>RANK(K74, K$67:$K$81)</f>
        <v>9</v>
      </c>
      <c r="N74" s="624"/>
      <c r="O74" s="624"/>
      <c r="P74" s="529">
        <v>18</v>
      </c>
      <c r="Q74" s="538">
        <v>1180.76923076923</v>
      </c>
      <c r="R74" s="538">
        <v>65.598290598290561</v>
      </c>
      <c r="S74" s="529">
        <f t="shared" si="26"/>
        <v>9</v>
      </c>
      <c r="T74" s="611"/>
      <c r="U74" s="529">
        <v>19</v>
      </c>
      <c r="V74" s="538">
        <v>1231.1999999999991</v>
      </c>
      <c r="W74" s="538">
        <v>64.799999999999955</v>
      </c>
      <c r="X74" s="529">
        <f t="shared" si="28"/>
        <v>9</v>
      </c>
      <c r="Y74" s="611"/>
      <c r="Z74" s="529">
        <v>18</v>
      </c>
      <c r="AA74" s="538">
        <v>1214.1666666666658</v>
      </c>
      <c r="AB74" s="538">
        <v>67.453703703703653</v>
      </c>
      <c r="AC74" s="529">
        <f t="shared" si="30"/>
        <v>9</v>
      </c>
      <c r="AD74" s="611"/>
      <c r="AE74" s="529">
        <v>18</v>
      </c>
      <c r="AF74" s="538">
        <v>1155.4285714285729</v>
      </c>
      <c r="AG74" s="538">
        <v>64.190476190476275</v>
      </c>
      <c r="AH74" s="529">
        <f t="shared" si="32"/>
        <v>9</v>
      </c>
      <c r="AI74" s="611"/>
      <c r="AJ74" s="529">
        <v>18</v>
      </c>
      <c r="AK74" s="538">
        <v>1183.7142857142871</v>
      </c>
      <c r="AL74" s="538">
        <v>65.761904761904844</v>
      </c>
      <c r="AM74" s="529">
        <f t="shared" si="34"/>
        <v>9</v>
      </c>
      <c r="AN74" s="611"/>
      <c r="AO74" s="529">
        <v>18</v>
      </c>
      <c r="AP74" s="538">
        <v>1198.5185185185182</v>
      </c>
      <c r="AQ74" s="538">
        <v>66.584362139917687</v>
      </c>
      <c r="AR74" s="529">
        <f t="shared" si="36"/>
        <v>9</v>
      </c>
      <c r="AS74" s="611"/>
      <c r="AT74" s="529">
        <v>18</v>
      </c>
      <c r="AU74" s="538">
        <v>1214.4578313253007</v>
      </c>
      <c r="AV74" s="538">
        <v>67.469879518072261</v>
      </c>
      <c r="AW74" s="529">
        <f t="shared" si="38"/>
        <v>9</v>
      </c>
      <c r="AX74" s="611"/>
      <c r="AZ74" s="377" t="e">
        <f t="shared" si="40"/>
        <v>#N/A</v>
      </c>
      <c r="BA74" s="653"/>
    </row>
    <row r="75" spans="2:53">
      <c r="B75" s="635"/>
      <c r="C75" s="534">
        <v>9</v>
      </c>
      <c r="D75" s="346" t="s">
        <v>841</v>
      </c>
      <c r="E75" s="537">
        <v>7</v>
      </c>
      <c r="F75" s="537">
        <v>2200</v>
      </c>
      <c r="G75" s="537">
        <v>314.28571428571428</v>
      </c>
      <c r="H75" s="672"/>
      <c r="I75" s="531">
        <f t="shared" si="25"/>
        <v>7</v>
      </c>
      <c r="J75" s="531">
        <f t="shared" si="25"/>
        <v>2084.9321671010553</v>
      </c>
      <c r="K75" s="363">
        <f t="shared" si="25"/>
        <v>297.84745244300791</v>
      </c>
      <c r="L75" s="615"/>
      <c r="M75" s="537">
        <f>RANK(K75, K$67:$K$81)</f>
        <v>3</v>
      </c>
      <c r="N75" s="624"/>
      <c r="O75" s="624"/>
      <c r="P75" s="529">
        <v>7</v>
      </c>
      <c r="Q75" s="538">
        <v>2089.090909090909</v>
      </c>
      <c r="R75" s="538">
        <v>298.44155844155841</v>
      </c>
      <c r="S75" s="529">
        <f t="shared" si="26"/>
        <v>3</v>
      </c>
      <c r="T75" s="611"/>
      <c r="U75" s="529">
        <v>7</v>
      </c>
      <c r="V75" s="538">
        <v>2074.8387096774186</v>
      </c>
      <c r="W75" s="538">
        <v>296.40552995391693</v>
      </c>
      <c r="X75" s="529">
        <f t="shared" si="28"/>
        <v>3</v>
      </c>
      <c r="Y75" s="611"/>
      <c r="Z75" s="529">
        <v>7</v>
      </c>
      <c r="AA75" s="538">
        <v>2043.8709677419349</v>
      </c>
      <c r="AB75" s="538">
        <v>291.98156682027644</v>
      </c>
      <c r="AC75" s="529">
        <f t="shared" si="30"/>
        <v>3</v>
      </c>
      <c r="AD75" s="611"/>
      <c r="AE75" s="529">
        <v>7</v>
      </c>
      <c r="AF75" s="538">
        <v>2086.2857142857147</v>
      </c>
      <c r="AG75" s="538">
        <v>298.04081632653066</v>
      </c>
      <c r="AH75" s="529">
        <f t="shared" si="32"/>
        <v>3</v>
      </c>
      <c r="AI75" s="611"/>
      <c r="AJ75" s="529">
        <v>7</v>
      </c>
      <c r="AK75" s="538">
        <v>2153.6842105263163</v>
      </c>
      <c r="AL75" s="538">
        <v>307.66917293233092</v>
      </c>
      <c r="AM75" s="529">
        <f t="shared" si="34"/>
        <v>3</v>
      </c>
      <c r="AN75" s="611"/>
      <c r="AO75" s="529">
        <v>7</v>
      </c>
      <c r="AP75" s="538">
        <v>2047.8260869565217</v>
      </c>
      <c r="AQ75" s="538">
        <v>292.54658385093165</v>
      </c>
      <c r="AR75" s="529">
        <f t="shared" si="36"/>
        <v>3</v>
      </c>
      <c r="AS75" s="611"/>
      <c r="AT75" s="529">
        <v>7</v>
      </c>
      <c r="AU75" s="538">
        <v>2098.9285714285711</v>
      </c>
      <c r="AV75" s="538">
        <v>299.84693877551018</v>
      </c>
      <c r="AW75" s="529">
        <f t="shared" si="38"/>
        <v>3</v>
      </c>
      <c r="AX75" s="611"/>
      <c r="AZ75" s="377" t="e">
        <f t="shared" si="40"/>
        <v>#N/A</v>
      </c>
      <c r="BA75" s="653"/>
    </row>
    <row r="76" spans="2:53">
      <c r="B76" s="635"/>
      <c r="C76" s="534">
        <v>10</v>
      </c>
      <c r="D76" s="346"/>
      <c r="E76" s="537"/>
      <c r="F76" s="537"/>
      <c r="G76" s="537"/>
      <c r="H76" s="672"/>
      <c r="I76" s="531" t="str">
        <f t="shared" si="25"/>
        <v>-</v>
      </c>
      <c r="J76" s="531" t="str">
        <f t="shared" si="25"/>
        <v>-</v>
      </c>
      <c r="K76" s="363" t="str">
        <f t="shared" si="25"/>
        <v>-</v>
      </c>
      <c r="L76" s="615"/>
      <c r="M76" s="537" t="e">
        <f>RANK(K76, K$67:$K$81)</f>
        <v>#VALUE!</v>
      </c>
      <c r="N76" s="624"/>
      <c r="O76" s="624"/>
      <c r="P76" s="529" t="s">
        <v>427</v>
      </c>
      <c r="Q76" s="538" t="s">
        <v>427</v>
      </c>
      <c r="R76" s="538" t="s">
        <v>427</v>
      </c>
      <c r="S76" s="529" t="e">
        <f t="shared" si="26"/>
        <v>#VALUE!</v>
      </c>
      <c r="T76" s="611"/>
      <c r="U76" s="529" t="s">
        <v>427</v>
      </c>
      <c r="V76" s="538" t="s">
        <v>427</v>
      </c>
      <c r="W76" s="538" t="s">
        <v>427</v>
      </c>
      <c r="X76" s="529" t="e">
        <f t="shared" si="28"/>
        <v>#VALUE!</v>
      </c>
      <c r="Y76" s="611"/>
      <c r="Z76" s="529" t="s">
        <v>427</v>
      </c>
      <c r="AA76" s="538" t="s">
        <v>427</v>
      </c>
      <c r="AB76" s="538" t="s">
        <v>427</v>
      </c>
      <c r="AC76" s="529" t="e">
        <f t="shared" si="30"/>
        <v>#VALUE!</v>
      </c>
      <c r="AD76" s="611"/>
      <c r="AE76" s="529" t="s">
        <v>427</v>
      </c>
      <c r="AF76" s="538" t="s">
        <v>427</v>
      </c>
      <c r="AG76" s="538" t="s">
        <v>427</v>
      </c>
      <c r="AH76" s="529" t="e">
        <f t="shared" si="32"/>
        <v>#VALUE!</v>
      </c>
      <c r="AI76" s="611"/>
      <c r="AJ76" s="529" t="s">
        <v>427</v>
      </c>
      <c r="AK76" s="538" t="s">
        <v>427</v>
      </c>
      <c r="AL76" s="538" t="s">
        <v>427</v>
      </c>
      <c r="AM76" s="529" t="e">
        <f t="shared" si="34"/>
        <v>#VALUE!</v>
      </c>
      <c r="AN76" s="611"/>
      <c r="AO76" s="529" t="s">
        <v>427</v>
      </c>
      <c r="AP76" s="538" t="s">
        <v>427</v>
      </c>
      <c r="AQ76" s="538" t="s">
        <v>427</v>
      </c>
      <c r="AR76" s="529" t="e">
        <f t="shared" si="36"/>
        <v>#VALUE!</v>
      </c>
      <c r="AS76" s="611"/>
      <c r="AT76" s="529" t="s">
        <v>427</v>
      </c>
      <c r="AU76" s="538" t="s">
        <v>427</v>
      </c>
      <c r="AV76" s="538" t="s">
        <v>427</v>
      </c>
      <c r="AW76" s="529" t="e">
        <f t="shared" si="38"/>
        <v>#VALUE!</v>
      </c>
      <c r="AX76" s="611"/>
      <c r="AZ76" s="377" t="e">
        <f t="shared" si="40"/>
        <v>#N/A</v>
      </c>
      <c r="BA76" s="653"/>
    </row>
    <row r="77" spans="2:53">
      <c r="B77" s="635"/>
      <c r="C77" s="534">
        <v>11</v>
      </c>
      <c r="D77" s="346"/>
      <c r="E77" s="537"/>
      <c r="F77" s="537"/>
      <c r="G77" s="537"/>
      <c r="H77" s="672"/>
      <c r="I77" s="531" t="str">
        <f t="shared" si="25"/>
        <v>-</v>
      </c>
      <c r="J77" s="531" t="str">
        <f t="shared" si="25"/>
        <v>-</v>
      </c>
      <c r="K77" s="363" t="str">
        <f t="shared" si="25"/>
        <v>-</v>
      </c>
      <c r="L77" s="615"/>
      <c r="M77" s="537" t="e">
        <f>RANK(K77, K$67:$K$81)</f>
        <v>#VALUE!</v>
      </c>
      <c r="N77" s="624"/>
      <c r="O77" s="624"/>
      <c r="P77" s="529" t="s">
        <v>427</v>
      </c>
      <c r="Q77" s="538" t="s">
        <v>427</v>
      </c>
      <c r="R77" s="538" t="s">
        <v>427</v>
      </c>
      <c r="S77" s="529" t="e">
        <f t="shared" si="26"/>
        <v>#VALUE!</v>
      </c>
      <c r="T77" s="611"/>
      <c r="U77" s="529" t="s">
        <v>427</v>
      </c>
      <c r="V77" s="538" t="s">
        <v>427</v>
      </c>
      <c r="W77" s="538" t="s">
        <v>427</v>
      </c>
      <c r="X77" s="529" t="e">
        <f t="shared" si="28"/>
        <v>#VALUE!</v>
      </c>
      <c r="Y77" s="611"/>
      <c r="Z77" s="529" t="s">
        <v>427</v>
      </c>
      <c r="AA77" s="538" t="s">
        <v>427</v>
      </c>
      <c r="AB77" s="538" t="s">
        <v>427</v>
      </c>
      <c r="AC77" s="529" t="e">
        <f t="shared" si="30"/>
        <v>#VALUE!</v>
      </c>
      <c r="AD77" s="611"/>
      <c r="AE77" s="529" t="s">
        <v>427</v>
      </c>
      <c r="AF77" s="538" t="s">
        <v>427</v>
      </c>
      <c r="AG77" s="538" t="s">
        <v>427</v>
      </c>
      <c r="AH77" s="529" t="e">
        <f t="shared" si="32"/>
        <v>#VALUE!</v>
      </c>
      <c r="AI77" s="611"/>
      <c r="AJ77" s="529" t="s">
        <v>427</v>
      </c>
      <c r="AK77" s="538" t="s">
        <v>427</v>
      </c>
      <c r="AL77" s="538" t="s">
        <v>427</v>
      </c>
      <c r="AM77" s="529" t="e">
        <f t="shared" si="34"/>
        <v>#VALUE!</v>
      </c>
      <c r="AN77" s="611"/>
      <c r="AO77" s="529" t="s">
        <v>427</v>
      </c>
      <c r="AP77" s="538" t="s">
        <v>427</v>
      </c>
      <c r="AQ77" s="538" t="s">
        <v>427</v>
      </c>
      <c r="AR77" s="529" t="e">
        <f t="shared" si="36"/>
        <v>#VALUE!</v>
      </c>
      <c r="AS77" s="611"/>
      <c r="AT77" s="529" t="s">
        <v>427</v>
      </c>
      <c r="AU77" s="538" t="s">
        <v>427</v>
      </c>
      <c r="AV77" s="538" t="s">
        <v>427</v>
      </c>
      <c r="AW77" s="529" t="e">
        <f t="shared" si="38"/>
        <v>#VALUE!</v>
      </c>
      <c r="AX77" s="611"/>
      <c r="AZ77" s="377" t="e">
        <f t="shared" si="40"/>
        <v>#N/A</v>
      </c>
      <c r="BA77" s="653"/>
    </row>
    <row r="78" spans="2:53">
      <c r="B78" s="635"/>
      <c r="C78" s="534">
        <v>12</v>
      </c>
      <c r="D78" s="346"/>
      <c r="E78" s="537"/>
      <c r="F78" s="537"/>
      <c r="G78" s="537"/>
      <c r="H78" s="672"/>
      <c r="I78" s="531" t="str">
        <f t="shared" si="25"/>
        <v>-</v>
      </c>
      <c r="J78" s="531" t="str">
        <f t="shared" si="25"/>
        <v>-</v>
      </c>
      <c r="K78" s="363" t="str">
        <f t="shared" si="25"/>
        <v>-</v>
      </c>
      <c r="L78" s="615"/>
      <c r="M78" s="537" t="e">
        <f>RANK(K78, K$67:$K$81)</f>
        <v>#VALUE!</v>
      </c>
      <c r="N78" s="624"/>
      <c r="O78" s="624"/>
      <c r="P78" s="529" t="s">
        <v>427</v>
      </c>
      <c r="Q78" s="538" t="s">
        <v>427</v>
      </c>
      <c r="R78" s="538" t="s">
        <v>427</v>
      </c>
      <c r="S78" s="529" t="e">
        <f t="shared" si="26"/>
        <v>#VALUE!</v>
      </c>
      <c r="T78" s="611"/>
      <c r="U78" s="529" t="s">
        <v>427</v>
      </c>
      <c r="V78" s="538" t="s">
        <v>427</v>
      </c>
      <c r="W78" s="538" t="s">
        <v>427</v>
      </c>
      <c r="X78" s="529" t="e">
        <f t="shared" si="28"/>
        <v>#VALUE!</v>
      </c>
      <c r="Y78" s="611"/>
      <c r="Z78" s="529" t="s">
        <v>427</v>
      </c>
      <c r="AA78" s="538" t="s">
        <v>427</v>
      </c>
      <c r="AB78" s="538" t="s">
        <v>427</v>
      </c>
      <c r="AC78" s="529" t="e">
        <f t="shared" si="30"/>
        <v>#VALUE!</v>
      </c>
      <c r="AD78" s="611"/>
      <c r="AE78" s="529" t="s">
        <v>427</v>
      </c>
      <c r="AF78" s="538" t="s">
        <v>427</v>
      </c>
      <c r="AG78" s="538" t="s">
        <v>427</v>
      </c>
      <c r="AH78" s="529" t="e">
        <f t="shared" si="32"/>
        <v>#VALUE!</v>
      </c>
      <c r="AI78" s="611"/>
      <c r="AJ78" s="529" t="s">
        <v>427</v>
      </c>
      <c r="AK78" s="538" t="s">
        <v>427</v>
      </c>
      <c r="AL78" s="538" t="s">
        <v>427</v>
      </c>
      <c r="AM78" s="529" t="e">
        <f t="shared" si="34"/>
        <v>#VALUE!</v>
      </c>
      <c r="AN78" s="611"/>
      <c r="AO78" s="529" t="s">
        <v>427</v>
      </c>
      <c r="AP78" s="538" t="s">
        <v>427</v>
      </c>
      <c r="AQ78" s="538" t="s">
        <v>427</v>
      </c>
      <c r="AR78" s="529" t="e">
        <f t="shared" si="36"/>
        <v>#VALUE!</v>
      </c>
      <c r="AS78" s="611"/>
      <c r="AT78" s="529" t="s">
        <v>427</v>
      </c>
      <c r="AU78" s="538" t="s">
        <v>427</v>
      </c>
      <c r="AV78" s="538" t="s">
        <v>427</v>
      </c>
      <c r="AW78" s="529" t="e">
        <f t="shared" si="38"/>
        <v>#VALUE!</v>
      </c>
      <c r="AX78" s="611"/>
      <c r="AZ78" s="377" t="e">
        <f t="shared" si="40"/>
        <v>#N/A</v>
      </c>
      <c r="BA78" s="653"/>
    </row>
    <row r="79" spans="2:53">
      <c r="B79" s="635"/>
      <c r="C79" s="534">
        <v>13</v>
      </c>
      <c r="D79" s="346"/>
      <c r="E79" s="537"/>
      <c r="F79" s="537"/>
      <c r="G79" s="537"/>
      <c r="H79" s="672"/>
      <c r="I79" s="531" t="str">
        <f t="shared" si="25"/>
        <v>-</v>
      </c>
      <c r="J79" s="531" t="str">
        <f t="shared" si="25"/>
        <v>-</v>
      </c>
      <c r="K79" s="363" t="str">
        <f t="shared" si="25"/>
        <v>-</v>
      </c>
      <c r="L79" s="615"/>
      <c r="M79" s="537" t="e">
        <f>RANK(K79, K$67:$K$81)</f>
        <v>#VALUE!</v>
      </c>
      <c r="N79" s="624"/>
      <c r="O79" s="624"/>
      <c r="P79" s="529" t="s">
        <v>427</v>
      </c>
      <c r="Q79" s="538" t="s">
        <v>427</v>
      </c>
      <c r="R79" s="538" t="s">
        <v>427</v>
      </c>
      <c r="S79" s="529" t="e">
        <f t="shared" si="26"/>
        <v>#VALUE!</v>
      </c>
      <c r="T79" s="611"/>
      <c r="U79" s="529" t="s">
        <v>427</v>
      </c>
      <c r="V79" s="538" t="s">
        <v>427</v>
      </c>
      <c r="W79" s="538" t="s">
        <v>427</v>
      </c>
      <c r="X79" s="529" t="e">
        <f t="shared" si="28"/>
        <v>#VALUE!</v>
      </c>
      <c r="Y79" s="611"/>
      <c r="Z79" s="529" t="s">
        <v>427</v>
      </c>
      <c r="AA79" s="538" t="s">
        <v>427</v>
      </c>
      <c r="AB79" s="538" t="s">
        <v>427</v>
      </c>
      <c r="AC79" s="529" t="e">
        <f t="shared" si="30"/>
        <v>#VALUE!</v>
      </c>
      <c r="AD79" s="611"/>
      <c r="AE79" s="529" t="s">
        <v>427</v>
      </c>
      <c r="AF79" s="538" t="s">
        <v>427</v>
      </c>
      <c r="AG79" s="538" t="s">
        <v>427</v>
      </c>
      <c r="AH79" s="529" t="e">
        <f t="shared" si="32"/>
        <v>#VALUE!</v>
      </c>
      <c r="AI79" s="611"/>
      <c r="AJ79" s="529" t="s">
        <v>427</v>
      </c>
      <c r="AK79" s="538" t="s">
        <v>427</v>
      </c>
      <c r="AL79" s="538" t="s">
        <v>427</v>
      </c>
      <c r="AM79" s="529" t="e">
        <f t="shared" si="34"/>
        <v>#VALUE!</v>
      </c>
      <c r="AN79" s="611"/>
      <c r="AO79" s="529" t="s">
        <v>427</v>
      </c>
      <c r="AP79" s="538" t="s">
        <v>427</v>
      </c>
      <c r="AQ79" s="538" t="s">
        <v>427</v>
      </c>
      <c r="AR79" s="529" t="e">
        <f t="shared" si="36"/>
        <v>#VALUE!</v>
      </c>
      <c r="AS79" s="611"/>
      <c r="AT79" s="529" t="s">
        <v>427</v>
      </c>
      <c r="AU79" s="538" t="s">
        <v>427</v>
      </c>
      <c r="AV79" s="538" t="s">
        <v>427</v>
      </c>
      <c r="AW79" s="529" t="e">
        <f t="shared" si="38"/>
        <v>#VALUE!</v>
      </c>
      <c r="AX79" s="611"/>
      <c r="AZ79" s="377" t="e">
        <f t="shared" si="40"/>
        <v>#N/A</v>
      </c>
      <c r="BA79" s="653"/>
    </row>
    <row r="80" spans="2:53">
      <c r="B80" s="635"/>
      <c r="C80" s="534">
        <v>14</v>
      </c>
      <c r="D80" s="346"/>
      <c r="E80" s="537"/>
      <c r="F80" s="537"/>
      <c r="G80" s="537"/>
      <c r="H80" s="672"/>
      <c r="I80" s="531" t="str">
        <f t="shared" si="25"/>
        <v>-</v>
      </c>
      <c r="J80" s="531" t="str">
        <f t="shared" si="25"/>
        <v>-</v>
      </c>
      <c r="K80" s="363" t="str">
        <f t="shared" si="25"/>
        <v>-</v>
      </c>
      <c r="L80" s="615"/>
      <c r="M80" s="537" t="e">
        <f>RANK(K80, K$67:$K$81)</f>
        <v>#VALUE!</v>
      </c>
      <c r="N80" s="624"/>
      <c r="O80" s="624"/>
      <c r="P80" s="529" t="s">
        <v>427</v>
      </c>
      <c r="Q80" s="538" t="s">
        <v>427</v>
      </c>
      <c r="R80" s="538" t="s">
        <v>427</v>
      </c>
      <c r="S80" s="529" t="e">
        <f t="shared" si="26"/>
        <v>#VALUE!</v>
      </c>
      <c r="T80" s="611"/>
      <c r="U80" s="529" t="s">
        <v>427</v>
      </c>
      <c r="V80" s="538" t="s">
        <v>427</v>
      </c>
      <c r="W80" s="538" t="s">
        <v>427</v>
      </c>
      <c r="X80" s="529" t="e">
        <f t="shared" si="28"/>
        <v>#VALUE!</v>
      </c>
      <c r="Y80" s="611"/>
      <c r="Z80" s="529" t="s">
        <v>427</v>
      </c>
      <c r="AA80" s="538" t="s">
        <v>427</v>
      </c>
      <c r="AB80" s="538" t="s">
        <v>427</v>
      </c>
      <c r="AC80" s="529" t="e">
        <f t="shared" si="30"/>
        <v>#VALUE!</v>
      </c>
      <c r="AD80" s="611"/>
      <c r="AE80" s="529" t="s">
        <v>427</v>
      </c>
      <c r="AF80" s="538" t="s">
        <v>427</v>
      </c>
      <c r="AG80" s="538" t="s">
        <v>427</v>
      </c>
      <c r="AH80" s="529" t="e">
        <f t="shared" si="32"/>
        <v>#VALUE!</v>
      </c>
      <c r="AI80" s="611"/>
      <c r="AJ80" s="529" t="s">
        <v>427</v>
      </c>
      <c r="AK80" s="538" t="s">
        <v>427</v>
      </c>
      <c r="AL80" s="538" t="s">
        <v>427</v>
      </c>
      <c r="AM80" s="529" t="e">
        <f t="shared" si="34"/>
        <v>#VALUE!</v>
      </c>
      <c r="AN80" s="611"/>
      <c r="AO80" s="529" t="s">
        <v>427</v>
      </c>
      <c r="AP80" s="538" t="s">
        <v>427</v>
      </c>
      <c r="AQ80" s="538" t="s">
        <v>427</v>
      </c>
      <c r="AR80" s="529" t="e">
        <f t="shared" si="36"/>
        <v>#VALUE!</v>
      </c>
      <c r="AS80" s="611"/>
      <c r="AT80" s="529" t="s">
        <v>427</v>
      </c>
      <c r="AU80" s="538" t="s">
        <v>427</v>
      </c>
      <c r="AV80" s="538" t="s">
        <v>427</v>
      </c>
      <c r="AW80" s="529" t="e">
        <f t="shared" si="38"/>
        <v>#VALUE!</v>
      </c>
      <c r="AX80" s="611"/>
      <c r="AZ80" s="377" t="e">
        <f t="shared" si="40"/>
        <v>#N/A</v>
      </c>
      <c r="BA80" s="653"/>
    </row>
    <row r="81" spans="2:53">
      <c r="B81" s="635"/>
      <c r="C81" s="534">
        <v>15</v>
      </c>
      <c r="D81" s="346"/>
      <c r="E81" s="537"/>
      <c r="F81" s="537"/>
      <c r="G81" s="537"/>
      <c r="H81" s="676"/>
      <c r="I81" s="537"/>
      <c r="J81" s="537"/>
      <c r="K81" s="532"/>
      <c r="L81" s="616"/>
      <c r="M81" s="537" t="e">
        <f>RANK(K81, K$67:$K$81)</f>
        <v>#N/A</v>
      </c>
      <c r="N81" s="624"/>
      <c r="O81" s="624"/>
      <c r="P81" s="529" t="s">
        <v>427</v>
      </c>
      <c r="Q81" s="538" t="s">
        <v>427</v>
      </c>
      <c r="R81" s="538" t="s">
        <v>427</v>
      </c>
      <c r="S81" s="529" t="e">
        <f t="shared" si="26"/>
        <v>#VALUE!</v>
      </c>
      <c r="T81" s="612"/>
      <c r="U81" s="529" t="s">
        <v>427</v>
      </c>
      <c r="V81" s="538" t="s">
        <v>427</v>
      </c>
      <c r="W81" s="538" t="s">
        <v>427</v>
      </c>
      <c r="X81" s="529" t="e">
        <f t="shared" si="28"/>
        <v>#VALUE!</v>
      </c>
      <c r="Y81" s="612"/>
      <c r="Z81" s="529" t="s">
        <v>427</v>
      </c>
      <c r="AA81" s="538" t="s">
        <v>427</v>
      </c>
      <c r="AB81" s="538" t="s">
        <v>427</v>
      </c>
      <c r="AC81" s="529" t="e">
        <f t="shared" si="30"/>
        <v>#VALUE!</v>
      </c>
      <c r="AD81" s="612"/>
      <c r="AE81" s="529" t="s">
        <v>427</v>
      </c>
      <c r="AF81" s="538" t="s">
        <v>427</v>
      </c>
      <c r="AG81" s="538" t="s">
        <v>427</v>
      </c>
      <c r="AH81" s="529" t="e">
        <f t="shared" si="32"/>
        <v>#VALUE!</v>
      </c>
      <c r="AI81" s="612"/>
      <c r="AJ81" s="529" t="s">
        <v>427</v>
      </c>
      <c r="AK81" s="538" t="s">
        <v>427</v>
      </c>
      <c r="AL81" s="538" t="s">
        <v>427</v>
      </c>
      <c r="AM81" s="529" t="e">
        <f t="shared" si="34"/>
        <v>#VALUE!</v>
      </c>
      <c r="AN81" s="612"/>
      <c r="AO81" s="529" t="s">
        <v>427</v>
      </c>
      <c r="AP81" s="538" t="s">
        <v>427</v>
      </c>
      <c r="AQ81" s="538" t="s">
        <v>427</v>
      </c>
      <c r="AR81" s="529" t="e">
        <f t="shared" si="36"/>
        <v>#VALUE!</v>
      </c>
      <c r="AS81" s="612"/>
      <c r="AT81" s="529" t="s">
        <v>427</v>
      </c>
      <c r="AU81" s="538" t="s">
        <v>427</v>
      </c>
      <c r="AV81" s="538" t="s">
        <v>427</v>
      </c>
      <c r="AW81" s="529" t="e">
        <f t="shared" si="38"/>
        <v>#VALUE!</v>
      </c>
      <c r="AX81" s="612"/>
      <c r="AZ81" s="377" t="e">
        <f t="shared" si="40"/>
        <v>#N/A</v>
      </c>
      <c r="BA81" s="653"/>
    </row>
    <row r="82" spans="2:53" ht="15.75">
      <c r="B82" s="643" t="s">
        <v>769</v>
      </c>
      <c r="C82" s="644"/>
      <c r="D82" s="644"/>
      <c r="E82" s="644"/>
      <c r="F82" s="644"/>
      <c r="G82" s="644"/>
      <c r="H82" s="645"/>
      <c r="I82" s="205"/>
      <c r="J82" s="205"/>
      <c r="K82" s="205"/>
      <c r="L82" s="205"/>
      <c r="M82" s="204"/>
      <c r="N82" s="639" t="s">
        <v>497</v>
      </c>
      <c r="O82" s="639" t="s">
        <v>498</v>
      </c>
      <c r="P82" s="634">
        <f>P62+7</f>
        <v>46231</v>
      </c>
      <c r="Q82" s="635"/>
      <c r="R82" s="635"/>
      <c r="S82" s="635"/>
      <c r="T82" s="635"/>
      <c r="U82" s="636">
        <f>P82+1</f>
        <v>46232</v>
      </c>
      <c r="V82" s="637"/>
      <c r="W82" s="637"/>
      <c r="X82" s="637"/>
      <c r="Y82" s="638"/>
      <c r="Z82" s="636">
        <f>U82+1</f>
        <v>46233</v>
      </c>
      <c r="AA82" s="637"/>
      <c r="AB82" s="637"/>
      <c r="AC82" s="637"/>
      <c r="AD82" s="638"/>
      <c r="AE82" s="636">
        <f>Z82+1</f>
        <v>46234</v>
      </c>
      <c r="AF82" s="637"/>
      <c r="AG82" s="637"/>
      <c r="AH82" s="637"/>
      <c r="AI82" s="638"/>
      <c r="AJ82" s="636"/>
      <c r="AK82" s="637"/>
      <c r="AL82" s="637"/>
      <c r="AM82" s="637"/>
      <c r="AN82" s="638"/>
      <c r="AO82" s="636"/>
      <c r="AP82" s="637"/>
      <c r="AQ82" s="637"/>
      <c r="AR82" s="637"/>
      <c r="AS82" s="638"/>
      <c r="AT82" s="636"/>
      <c r="AU82" s="637"/>
      <c r="AV82" s="637"/>
      <c r="AW82" s="637"/>
      <c r="AX82" s="638"/>
    </row>
    <row r="83" spans="2:53" ht="15.75">
      <c r="B83" s="646"/>
      <c r="C83" s="646"/>
      <c r="D83" s="646"/>
      <c r="E83" s="646"/>
      <c r="F83" s="646"/>
      <c r="G83" s="646"/>
      <c r="H83" s="646"/>
      <c r="I83" s="202"/>
      <c r="J83" s="202"/>
      <c r="K83" s="202"/>
      <c r="L83" s="202"/>
      <c r="M83" s="203"/>
      <c r="N83" s="641"/>
      <c r="O83" s="641"/>
      <c r="P83" s="634" t="s">
        <v>499</v>
      </c>
      <c r="Q83" s="635"/>
      <c r="R83" s="635"/>
      <c r="S83" s="635"/>
      <c r="T83" s="635"/>
      <c r="U83" s="634" t="s">
        <v>500</v>
      </c>
      <c r="V83" s="635"/>
      <c r="W83" s="635"/>
      <c r="X83" s="635"/>
      <c r="Y83" s="635"/>
      <c r="Z83" s="634" t="s">
        <v>501</v>
      </c>
      <c r="AA83" s="635"/>
      <c r="AB83" s="635"/>
      <c r="AC83" s="635"/>
      <c r="AD83" s="635"/>
      <c r="AE83" s="634" t="s">
        <v>502</v>
      </c>
      <c r="AF83" s="635"/>
      <c r="AG83" s="635"/>
      <c r="AH83" s="635"/>
      <c r="AI83" s="635"/>
      <c r="AJ83" s="634" t="s">
        <v>503</v>
      </c>
      <c r="AK83" s="635"/>
      <c r="AL83" s="635"/>
      <c r="AM83" s="635"/>
      <c r="AN83" s="635"/>
      <c r="AO83" s="634" t="s">
        <v>504</v>
      </c>
      <c r="AP83" s="635"/>
      <c r="AQ83" s="635"/>
      <c r="AR83" s="635"/>
      <c r="AS83" s="635"/>
      <c r="AT83" s="634" t="s">
        <v>505</v>
      </c>
      <c r="AU83" s="635"/>
      <c r="AV83" s="635"/>
      <c r="AW83" s="635"/>
      <c r="AX83" s="635"/>
    </row>
    <row r="84" spans="2:53">
      <c r="B84" s="624" t="s">
        <v>760</v>
      </c>
      <c r="C84" s="624" t="s">
        <v>761</v>
      </c>
      <c r="D84" s="624"/>
      <c r="E84" s="624" t="s">
        <v>762</v>
      </c>
      <c r="F84" s="624"/>
      <c r="G84" s="624"/>
      <c r="H84" s="647" t="s">
        <v>763</v>
      </c>
      <c r="I84" s="624" t="s">
        <v>764</v>
      </c>
      <c r="J84" s="624"/>
      <c r="K84" s="624"/>
      <c r="L84" s="647" t="s">
        <v>763</v>
      </c>
      <c r="M84" s="639" t="s">
        <v>773</v>
      </c>
      <c r="N84" s="624"/>
      <c r="O84" s="624" t="s">
        <v>512</v>
      </c>
      <c r="P84" s="621" t="s">
        <v>513</v>
      </c>
      <c r="Q84" s="622"/>
      <c r="R84" s="622"/>
      <c r="S84" s="623"/>
      <c r="T84" s="624" t="s">
        <v>509</v>
      </c>
      <c r="U84" s="621" t="s">
        <v>513</v>
      </c>
      <c r="V84" s="622"/>
      <c r="W84" s="622"/>
      <c r="X84" s="623"/>
      <c r="Y84" s="624" t="s">
        <v>509</v>
      </c>
      <c r="Z84" s="621" t="s">
        <v>513</v>
      </c>
      <c r="AA84" s="622"/>
      <c r="AB84" s="622"/>
      <c r="AC84" s="623"/>
      <c r="AD84" s="624" t="s">
        <v>509</v>
      </c>
      <c r="AE84" s="621" t="s">
        <v>513</v>
      </c>
      <c r="AF84" s="622"/>
      <c r="AG84" s="622"/>
      <c r="AH84" s="623"/>
      <c r="AI84" s="624" t="s">
        <v>509</v>
      </c>
      <c r="AJ84" s="621" t="s">
        <v>513</v>
      </c>
      <c r="AK84" s="622"/>
      <c r="AL84" s="622"/>
      <c r="AM84" s="623"/>
      <c r="AN84" s="624" t="s">
        <v>509</v>
      </c>
      <c r="AO84" s="621" t="s">
        <v>513</v>
      </c>
      <c r="AP84" s="622"/>
      <c r="AQ84" s="622"/>
      <c r="AR84" s="623"/>
      <c r="AS84" s="624" t="s">
        <v>509</v>
      </c>
      <c r="AT84" s="621" t="s">
        <v>513</v>
      </c>
      <c r="AU84" s="622"/>
      <c r="AV84" s="622"/>
      <c r="AW84" s="623"/>
      <c r="AX84" s="624" t="s">
        <v>509</v>
      </c>
    </row>
    <row r="85" spans="2:53">
      <c r="B85" s="624"/>
      <c r="C85" s="624"/>
      <c r="D85" s="624"/>
      <c r="E85" s="624" t="s">
        <v>765</v>
      </c>
      <c r="F85" s="624"/>
      <c r="G85" s="624"/>
      <c r="H85" s="648"/>
      <c r="I85" s="624" t="s">
        <v>765</v>
      </c>
      <c r="J85" s="624"/>
      <c r="K85" s="624"/>
      <c r="L85" s="648"/>
      <c r="M85" s="640"/>
      <c r="N85" s="624"/>
      <c r="O85" s="624"/>
      <c r="P85" s="621" t="s">
        <v>515</v>
      </c>
      <c r="Q85" s="622"/>
      <c r="R85" s="622"/>
      <c r="S85" s="623"/>
      <c r="T85" s="624"/>
      <c r="U85" s="621" t="s">
        <v>515</v>
      </c>
      <c r="V85" s="622"/>
      <c r="W85" s="622"/>
      <c r="X85" s="623"/>
      <c r="Y85" s="624"/>
      <c r="Z85" s="621" t="s">
        <v>515</v>
      </c>
      <c r="AA85" s="622"/>
      <c r="AB85" s="622"/>
      <c r="AC85" s="623"/>
      <c r="AD85" s="624"/>
      <c r="AE85" s="621" t="s">
        <v>515</v>
      </c>
      <c r="AF85" s="622"/>
      <c r="AG85" s="622"/>
      <c r="AH85" s="623"/>
      <c r="AI85" s="624"/>
      <c r="AJ85" s="621" t="s">
        <v>515</v>
      </c>
      <c r="AK85" s="622"/>
      <c r="AL85" s="622"/>
      <c r="AM85" s="623"/>
      <c r="AN85" s="624"/>
      <c r="AO85" s="621" t="s">
        <v>515</v>
      </c>
      <c r="AP85" s="622"/>
      <c r="AQ85" s="622"/>
      <c r="AR85" s="623"/>
      <c r="AS85" s="624"/>
      <c r="AT85" s="621" t="s">
        <v>515</v>
      </c>
      <c r="AU85" s="622"/>
      <c r="AV85" s="622"/>
      <c r="AW85" s="623"/>
      <c r="AX85" s="624"/>
    </row>
    <row r="86" spans="2:53">
      <c r="B86" s="624"/>
      <c r="C86" s="624"/>
      <c r="D86" s="624"/>
      <c r="E86" s="482" t="s">
        <v>766</v>
      </c>
      <c r="F86" s="482" t="s">
        <v>767</v>
      </c>
      <c r="G86" s="482" t="s">
        <v>768</v>
      </c>
      <c r="H86" s="649"/>
      <c r="I86" s="482" t="s">
        <v>766</v>
      </c>
      <c r="J86" s="482" t="s">
        <v>767</v>
      </c>
      <c r="K86" s="482" t="s">
        <v>768</v>
      </c>
      <c r="L86" s="649"/>
      <c r="M86" s="641"/>
      <c r="N86" s="624"/>
      <c r="O86" s="624"/>
      <c r="P86" s="353" t="s">
        <v>516</v>
      </c>
      <c r="Q86" s="353" t="s">
        <v>517</v>
      </c>
      <c r="R86" s="353" t="s">
        <v>518</v>
      </c>
      <c r="S86" s="353" t="s">
        <v>511</v>
      </c>
      <c r="T86" s="624"/>
      <c r="U86" s="353" t="s">
        <v>516</v>
      </c>
      <c r="V86" s="353" t="s">
        <v>517</v>
      </c>
      <c r="W86" s="353" t="s">
        <v>518</v>
      </c>
      <c r="X86" s="353" t="s">
        <v>511</v>
      </c>
      <c r="Y86" s="624"/>
      <c r="Z86" s="353" t="s">
        <v>516</v>
      </c>
      <c r="AA86" s="353" t="s">
        <v>517</v>
      </c>
      <c r="AB86" s="353" t="s">
        <v>518</v>
      </c>
      <c r="AC86" s="353" t="s">
        <v>511</v>
      </c>
      <c r="AD86" s="624"/>
      <c r="AE86" s="353" t="s">
        <v>516</v>
      </c>
      <c r="AF86" s="353" t="s">
        <v>517</v>
      </c>
      <c r="AG86" s="353" t="s">
        <v>518</v>
      </c>
      <c r="AH86" s="353" t="s">
        <v>511</v>
      </c>
      <c r="AI86" s="624"/>
      <c r="AJ86" s="353" t="s">
        <v>516</v>
      </c>
      <c r="AK86" s="353" t="s">
        <v>517</v>
      </c>
      <c r="AL86" s="353" t="s">
        <v>518</v>
      </c>
      <c r="AM86" s="353" t="s">
        <v>511</v>
      </c>
      <c r="AN86" s="624"/>
      <c r="AO86" s="353" t="s">
        <v>516</v>
      </c>
      <c r="AP86" s="353" t="s">
        <v>517</v>
      </c>
      <c r="AQ86" s="353" t="s">
        <v>518</v>
      </c>
      <c r="AR86" s="353" t="s">
        <v>511</v>
      </c>
      <c r="AS86" s="624"/>
      <c r="AT86" s="353" t="s">
        <v>516</v>
      </c>
      <c r="AU86" s="353" t="s">
        <v>517</v>
      </c>
      <c r="AV86" s="353" t="s">
        <v>518</v>
      </c>
      <c r="AW86" s="353" t="s">
        <v>511</v>
      </c>
      <c r="AX86" s="624"/>
    </row>
    <row r="87" spans="2:53">
      <c r="B87" s="675" t="s">
        <v>775</v>
      </c>
      <c r="C87" s="485">
        <v>1</v>
      </c>
      <c r="D87" s="346" t="s">
        <v>355</v>
      </c>
      <c r="E87" s="490">
        <v>4</v>
      </c>
      <c r="F87" s="490">
        <v>2000</v>
      </c>
      <c r="G87" s="490">
        <v>500</v>
      </c>
      <c r="H87" s="671">
        <f>AVERAGE(G87:G101)</f>
        <v>245.17190476190473</v>
      </c>
      <c r="I87" s="487">
        <f t="shared" ref="I87:K100" si="42">IFERROR(AVERAGE(P87,U87,Z87,AE87,AJ87,AO87,AT87),"-")</f>
        <v>5</v>
      </c>
      <c r="J87" s="487">
        <f t="shared" si="42"/>
        <v>2085.4079232534423</v>
      </c>
      <c r="K87" s="363">
        <f t="shared" si="42"/>
        <v>417.08158465068851</v>
      </c>
      <c r="L87" s="614">
        <f>IFERROR(AVERAGE(K87:K101),"-")</f>
        <v>217.42697364458681</v>
      </c>
      <c r="M87" s="490">
        <f>RANK(K87, K$87:$K$101)</f>
        <v>1</v>
      </c>
      <c r="N87" s="624"/>
      <c r="O87" s="624"/>
      <c r="P87" s="540">
        <v>5</v>
      </c>
      <c r="Q87" s="541">
        <v>2063.7735849056598</v>
      </c>
      <c r="R87" s="541">
        <v>412.75471698113199</v>
      </c>
      <c r="S87" s="540">
        <f t="shared" ref="S87:S101" si="43">RANK(R87, R$87:R$101)</f>
        <v>2</v>
      </c>
      <c r="T87" s="653">
        <f t="shared" ref="T87" si="44">AVERAGE(R87:R101)</f>
        <v>216.6063586321774</v>
      </c>
      <c r="U87" s="540">
        <v>5</v>
      </c>
      <c r="V87" s="541">
        <v>2093.7500000000005</v>
      </c>
      <c r="W87" s="541">
        <v>418.75000000000011</v>
      </c>
      <c r="X87" s="540">
        <f t="shared" ref="X87:X101" si="45">RANK(W87, W$87:W$101)</f>
        <v>2</v>
      </c>
      <c r="Y87" s="653">
        <f t="shared" ref="Y87" si="46">AVERAGE(W87:W101)</f>
        <v>216.98429244810987</v>
      </c>
      <c r="Z87" s="540">
        <v>5</v>
      </c>
      <c r="AA87" s="541">
        <v>2076</v>
      </c>
      <c r="AB87" s="541">
        <v>415.2</v>
      </c>
      <c r="AC87" s="540">
        <f t="shared" ref="AC87:AC101" si="47">RANK(AB87, AB$87:AB$101)</f>
        <v>1</v>
      </c>
      <c r="AD87" s="653">
        <f t="shared" ref="AD87" si="48">AVERAGE(AB87:AB101)</f>
        <v>217.05474311323852</v>
      </c>
      <c r="AE87" s="540">
        <v>5</v>
      </c>
      <c r="AF87" s="541">
        <v>2108.1081081081093</v>
      </c>
      <c r="AG87" s="541">
        <v>421.62162162162184</v>
      </c>
      <c r="AH87" s="540">
        <f t="shared" ref="AH87:AH101" si="49">RANK(AG87, AG$87:AG$101)</f>
        <v>1</v>
      </c>
      <c r="AI87" s="653">
        <f t="shared" ref="AI87" si="50">AVERAGE(AG87:AG101)</f>
        <v>219.06250038482167</v>
      </c>
      <c r="AJ87" s="483"/>
      <c r="AK87" s="491"/>
      <c r="AL87" s="491"/>
      <c r="AM87" s="483"/>
      <c r="AN87" s="653"/>
      <c r="AO87" s="483"/>
      <c r="AP87" s="491"/>
      <c r="AQ87" s="491"/>
      <c r="AR87" s="483"/>
      <c r="AS87" s="653"/>
      <c r="AT87" s="483"/>
      <c r="AU87" s="491"/>
      <c r="AV87" s="491"/>
      <c r="AW87" s="483"/>
      <c r="AX87" s="653"/>
      <c r="AZ87" s="377" t="e">
        <f t="shared" ref="AZ87:AZ101" si="51">RANK(AY87, AY$87:AY$101)</f>
        <v>#N/A</v>
      </c>
      <c r="BA87" s="653" t="e">
        <f t="shared" ref="BA87" si="52">AVERAGE(AY87:AY101)</f>
        <v>#DIV/0!</v>
      </c>
    </row>
    <row r="88" spans="2:53">
      <c r="B88" s="635"/>
      <c r="C88" s="485">
        <v>2</v>
      </c>
      <c r="D88" s="346" t="s">
        <v>385</v>
      </c>
      <c r="E88" s="490">
        <v>4</v>
      </c>
      <c r="F88" s="490">
        <v>2000</v>
      </c>
      <c r="G88" s="490">
        <v>500</v>
      </c>
      <c r="H88" s="672"/>
      <c r="I88" s="487">
        <f t="shared" si="42"/>
        <v>5</v>
      </c>
      <c r="J88" s="487">
        <f t="shared" si="42"/>
        <v>2079.2348484848485</v>
      </c>
      <c r="K88" s="363">
        <f t="shared" si="42"/>
        <v>415.84696969696972</v>
      </c>
      <c r="L88" s="615"/>
      <c r="M88" s="490">
        <f>RANK(K88, K$87:$K$101)</f>
        <v>2</v>
      </c>
      <c r="N88" s="624"/>
      <c r="O88" s="624"/>
      <c r="P88" s="540">
        <v>5</v>
      </c>
      <c r="Q88" s="541">
        <v>2082.6666666666665</v>
      </c>
      <c r="R88" s="541">
        <v>416.5333333333333</v>
      </c>
      <c r="S88" s="540">
        <f t="shared" si="43"/>
        <v>1</v>
      </c>
      <c r="T88" s="653"/>
      <c r="U88" s="540">
        <v>5</v>
      </c>
      <c r="V88" s="541">
        <v>2112.272727272727</v>
      </c>
      <c r="W88" s="541">
        <v>422.45454545454538</v>
      </c>
      <c r="X88" s="540">
        <f t="shared" si="45"/>
        <v>1</v>
      </c>
      <c r="Y88" s="653"/>
      <c r="Z88" s="540">
        <v>5</v>
      </c>
      <c r="AA88" s="541">
        <v>2045.3333333333333</v>
      </c>
      <c r="AB88" s="541">
        <v>409.06666666666666</v>
      </c>
      <c r="AC88" s="540">
        <f t="shared" si="47"/>
        <v>2</v>
      </c>
      <c r="AD88" s="653"/>
      <c r="AE88" s="540">
        <v>5</v>
      </c>
      <c r="AF88" s="541">
        <v>2076.6666666666674</v>
      </c>
      <c r="AG88" s="541">
        <v>415.33333333333348</v>
      </c>
      <c r="AH88" s="540">
        <f t="shared" si="49"/>
        <v>2</v>
      </c>
      <c r="AI88" s="653"/>
      <c r="AJ88" s="483"/>
      <c r="AK88" s="491"/>
      <c r="AL88" s="491"/>
      <c r="AM88" s="483"/>
      <c r="AN88" s="653"/>
      <c r="AO88" s="483"/>
      <c r="AP88" s="491"/>
      <c r="AQ88" s="491"/>
      <c r="AR88" s="483"/>
      <c r="AS88" s="653"/>
      <c r="AT88" s="483"/>
      <c r="AU88" s="491"/>
      <c r="AV88" s="491"/>
      <c r="AW88" s="483"/>
      <c r="AX88" s="653"/>
      <c r="AZ88" s="377" t="e">
        <f t="shared" si="51"/>
        <v>#N/A</v>
      </c>
      <c r="BA88" s="653"/>
    </row>
    <row r="89" spans="2:53">
      <c r="B89" s="635"/>
      <c r="C89" s="485">
        <v>3</v>
      </c>
      <c r="D89" s="346" t="s">
        <v>356</v>
      </c>
      <c r="E89" s="490">
        <v>12</v>
      </c>
      <c r="F89" s="490">
        <v>2118</v>
      </c>
      <c r="G89" s="490">
        <v>176.5</v>
      </c>
      <c r="H89" s="672"/>
      <c r="I89" s="487">
        <f t="shared" si="42"/>
        <v>12</v>
      </c>
      <c r="J89" s="487">
        <f t="shared" si="42"/>
        <v>2011.7613291869593</v>
      </c>
      <c r="K89" s="363">
        <f t="shared" si="42"/>
        <v>167.64677743224661</v>
      </c>
      <c r="L89" s="615"/>
      <c r="M89" s="490">
        <f>RANK(K89, K$87:$K$101)</f>
        <v>6</v>
      </c>
      <c r="N89" s="624"/>
      <c r="O89" s="624"/>
      <c r="P89" s="540">
        <v>12</v>
      </c>
      <c r="Q89" s="541">
        <v>2031.5789473684226</v>
      </c>
      <c r="R89" s="541">
        <v>169.29824561403521</v>
      </c>
      <c r="S89" s="540">
        <f t="shared" si="43"/>
        <v>6</v>
      </c>
      <c r="T89" s="653"/>
      <c r="U89" s="540">
        <v>12</v>
      </c>
      <c r="V89" s="541">
        <v>1982.2222222222231</v>
      </c>
      <c r="W89" s="541">
        <v>165.18518518518525</v>
      </c>
      <c r="X89" s="540">
        <f t="shared" si="45"/>
        <v>6</v>
      </c>
      <c r="Y89" s="653"/>
      <c r="Z89" s="540">
        <v>12</v>
      </c>
      <c r="AA89" s="541">
        <v>1998.4615384615397</v>
      </c>
      <c r="AB89" s="541">
        <v>166.53846153846163</v>
      </c>
      <c r="AC89" s="540">
        <f t="shared" si="47"/>
        <v>6</v>
      </c>
      <c r="AD89" s="653"/>
      <c r="AE89" s="540">
        <v>12</v>
      </c>
      <c r="AF89" s="541">
        <v>2034.782608695652</v>
      </c>
      <c r="AG89" s="541">
        <v>169.56521739130434</v>
      </c>
      <c r="AH89" s="540">
        <f t="shared" si="49"/>
        <v>6</v>
      </c>
      <c r="AI89" s="653"/>
      <c r="AJ89" s="483"/>
      <c r="AK89" s="491"/>
      <c r="AL89" s="491"/>
      <c r="AM89" s="483"/>
      <c r="AN89" s="653"/>
      <c r="AO89" s="483"/>
      <c r="AP89" s="491"/>
      <c r="AQ89" s="491"/>
      <c r="AR89" s="483"/>
      <c r="AS89" s="653"/>
      <c r="AT89" s="483"/>
      <c r="AU89" s="491"/>
      <c r="AV89" s="491"/>
      <c r="AW89" s="483"/>
      <c r="AX89" s="653"/>
      <c r="AZ89" s="377" t="e">
        <f t="shared" si="51"/>
        <v>#N/A</v>
      </c>
      <c r="BA89" s="653"/>
    </row>
    <row r="90" spans="2:53">
      <c r="B90" s="635"/>
      <c r="C90" s="485">
        <v>4</v>
      </c>
      <c r="D90" s="346" t="s">
        <v>357</v>
      </c>
      <c r="E90" s="490">
        <v>13</v>
      </c>
      <c r="F90" s="490">
        <v>2250</v>
      </c>
      <c r="G90" s="490">
        <v>173.1</v>
      </c>
      <c r="H90" s="672"/>
      <c r="I90" s="487">
        <f t="shared" si="42"/>
        <v>13</v>
      </c>
      <c r="J90" s="487">
        <f t="shared" si="42"/>
        <v>2081.3303685196979</v>
      </c>
      <c r="K90" s="363">
        <f t="shared" si="42"/>
        <v>160.10233603997676</v>
      </c>
      <c r="L90" s="615"/>
      <c r="M90" s="490">
        <f>RANK(K90, K$87:$K$101)</f>
        <v>8</v>
      </c>
      <c r="N90" s="624"/>
      <c r="O90" s="624"/>
      <c r="P90" s="540">
        <v>13</v>
      </c>
      <c r="Q90" s="541">
        <v>2098.3278688524588</v>
      </c>
      <c r="R90" s="541">
        <v>161.40983606557376</v>
      </c>
      <c r="S90" s="540">
        <f t="shared" si="43"/>
        <v>8</v>
      </c>
      <c r="T90" s="653"/>
      <c r="U90" s="540">
        <v>13</v>
      </c>
      <c r="V90" s="541">
        <v>2074.3965517241368</v>
      </c>
      <c r="W90" s="541">
        <v>159.56896551724128</v>
      </c>
      <c r="X90" s="540">
        <f t="shared" si="45"/>
        <v>8</v>
      </c>
      <c r="Y90" s="653"/>
      <c r="Z90" s="540">
        <v>13</v>
      </c>
      <c r="AA90" s="541">
        <v>2070.6792452830186</v>
      </c>
      <c r="AB90" s="541">
        <v>159.28301886792451</v>
      </c>
      <c r="AC90" s="540">
        <f t="shared" si="47"/>
        <v>8</v>
      </c>
      <c r="AD90" s="653"/>
      <c r="AE90" s="540">
        <v>13</v>
      </c>
      <c r="AF90" s="541">
        <v>2081.9178082191784</v>
      </c>
      <c r="AG90" s="541">
        <v>160.14752370916756</v>
      </c>
      <c r="AH90" s="540">
        <f t="shared" si="49"/>
        <v>7</v>
      </c>
      <c r="AI90" s="653"/>
      <c r="AJ90" s="483"/>
      <c r="AK90" s="491"/>
      <c r="AL90" s="491"/>
      <c r="AM90" s="483"/>
      <c r="AN90" s="653"/>
      <c r="AO90" s="483"/>
      <c r="AP90" s="491"/>
      <c r="AQ90" s="491"/>
      <c r="AR90" s="483"/>
      <c r="AS90" s="653"/>
      <c r="AT90" s="483"/>
      <c r="AU90" s="491"/>
      <c r="AV90" s="491"/>
      <c r="AW90" s="483"/>
      <c r="AX90" s="653"/>
      <c r="AZ90" s="377" t="e">
        <f t="shared" si="51"/>
        <v>#N/A</v>
      </c>
      <c r="BA90" s="653"/>
    </row>
    <row r="91" spans="2:53">
      <c r="B91" s="635"/>
      <c r="C91" s="485">
        <v>5</v>
      </c>
      <c r="D91" s="346" t="s">
        <v>358</v>
      </c>
      <c r="E91" s="490">
        <v>13</v>
      </c>
      <c r="F91" s="490">
        <v>2250</v>
      </c>
      <c r="G91" s="490">
        <v>173.1</v>
      </c>
      <c r="H91" s="672"/>
      <c r="I91" s="487">
        <f t="shared" si="42"/>
        <v>13</v>
      </c>
      <c r="J91" s="487">
        <f t="shared" si="42"/>
        <v>2092.2343317583277</v>
      </c>
      <c r="K91" s="363">
        <f t="shared" si="42"/>
        <v>160.94110244294831</v>
      </c>
      <c r="L91" s="615"/>
      <c r="M91" s="490">
        <f>RANK(K91, K$87:$K$101)</f>
        <v>7</v>
      </c>
      <c r="N91" s="624"/>
      <c r="O91" s="624"/>
      <c r="P91" s="540">
        <v>13</v>
      </c>
      <c r="Q91" s="541">
        <v>2117.1428571428578</v>
      </c>
      <c r="R91" s="541">
        <v>162.85714285714292</v>
      </c>
      <c r="S91" s="540">
        <f t="shared" si="43"/>
        <v>7</v>
      </c>
      <c r="T91" s="653"/>
      <c r="U91" s="540">
        <v>13</v>
      </c>
      <c r="V91" s="541">
        <v>2074.9322033898311</v>
      </c>
      <c r="W91" s="541">
        <v>159.61016949152548</v>
      </c>
      <c r="X91" s="540">
        <f t="shared" si="45"/>
        <v>7</v>
      </c>
      <c r="Y91" s="653"/>
      <c r="Z91" s="540">
        <v>13</v>
      </c>
      <c r="AA91" s="541">
        <v>2103.1636363636362</v>
      </c>
      <c r="AB91" s="541">
        <v>161.78181818181818</v>
      </c>
      <c r="AC91" s="540">
        <f t="shared" si="47"/>
        <v>7</v>
      </c>
      <c r="AD91" s="653"/>
      <c r="AE91" s="540">
        <v>13</v>
      </c>
      <c r="AF91" s="541">
        <v>2073.6986301369857</v>
      </c>
      <c r="AG91" s="541">
        <v>159.51527924130659</v>
      </c>
      <c r="AH91" s="540">
        <f t="shared" si="49"/>
        <v>8</v>
      </c>
      <c r="AI91" s="653"/>
      <c r="AJ91" s="483"/>
      <c r="AK91" s="491"/>
      <c r="AL91" s="491"/>
      <c r="AM91" s="483"/>
      <c r="AN91" s="653"/>
      <c r="AO91" s="483"/>
      <c r="AP91" s="491"/>
      <c r="AQ91" s="491"/>
      <c r="AR91" s="483"/>
      <c r="AS91" s="653"/>
      <c r="AT91" s="483"/>
      <c r="AU91" s="491"/>
      <c r="AV91" s="491"/>
      <c r="AW91" s="483"/>
      <c r="AX91" s="653"/>
      <c r="AZ91" s="377" t="e">
        <f t="shared" si="51"/>
        <v>#N/A</v>
      </c>
      <c r="BA91" s="653"/>
    </row>
    <row r="92" spans="2:53">
      <c r="B92" s="635"/>
      <c r="C92" s="485">
        <v>6</v>
      </c>
      <c r="D92" s="346" t="s">
        <v>359</v>
      </c>
      <c r="E92" s="490">
        <v>10</v>
      </c>
      <c r="F92" s="490">
        <v>2769</v>
      </c>
      <c r="G92" s="490">
        <v>276.89999999999998</v>
      </c>
      <c r="H92" s="672"/>
      <c r="I92" s="487">
        <f t="shared" si="42"/>
        <v>10</v>
      </c>
      <c r="J92" s="487">
        <f t="shared" si="42"/>
        <v>2356.7344485952358</v>
      </c>
      <c r="K92" s="363">
        <f t="shared" si="42"/>
        <v>235.67344485952356</v>
      </c>
      <c r="L92" s="615"/>
      <c r="M92" s="490">
        <f>RANK(K92, K$87:$K$101)</f>
        <v>4</v>
      </c>
      <c r="N92" s="624"/>
      <c r="O92" s="624"/>
      <c r="P92" s="540">
        <v>10</v>
      </c>
      <c r="Q92" s="541">
        <v>2337.5094339622651</v>
      </c>
      <c r="R92" s="541">
        <v>233.75094339622652</v>
      </c>
      <c r="S92" s="540">
        <f t="shared" si="43"/>
        <v>4</v>
      </c>
      <c r="T92" s="653"/>
      <c r="U92" s="540">
        <v>10</v>
      </c>
      <c r="V92" s="541">
        <v>2319.1245283018879</v>
      </c>
      <c r="W92" s="541">
        <v>231.91245283018878</v>
      </c>
      <c r="X92" s="540">
        <f t="shared" si="45"/>
        <v>4</v>
      </c>
      <c r="Y92" s="653"/>
      <c r="Z92" s="540">
        <v>10</v>
      </c>
      <c r="AA92" s="541">
        <v>2378.6250000000009</v>
      </c>
      <c r="AB92" s="541">
        <v>237.8625000000001</v>
      </c>
      <c r="AC92" s="540">
        <f t="shared" si="47"/>
        <v>4</v>
      </c>
      <c r="AD92" s="653"/>
      <c r="AE92" s="540">
        <v>10</v>
      </c>
      <c r="AF92" s="541">
        <v>2391.6788321167883</v>
      </c>
      <c r="AG92" s="541">
        <v>239.16788321167883</v>
      </c>
      <c r="AH92" s="540">
        <f t="shared" si="49"/>
        <v>4</v>
      </c>
      <c r="AI92" s="653"/>
      <c r="AJ92" s="483"/>
      <c r="AK92" s="491"/>
      <c r="AL92" s="491"/>
      <c r="AM92" s="483"/>
      <c r="AN92" s="653"/>
      <c r="AO92" s="483"/>
      <c r="AP92" s="491"/>
      <c r="AQ92" s="491"/>
      <c r="AR92" s="483"/>
      <c r="AS92" s="653"/>
      <c r="AT92" s="483"/>
      <c r="AU92" s="491"/>
      <c r="AV92" s="491"/>
      <c r="AW92" s="483"/>
      <c r="AX92" s="653"/>
      <c r="AZ92" s="377" t="e">
        <f t="shared" si="51"/>
        <v>#N/A</v>
      </c>
      <c r="BA92" s="653"/>
    </row>
    <row r="93" spans="2:53">
      <c r="B93" s="635"/>
      <c r="C93" s="485">
        <v>7</v>
      </c>
      <c r="D93" s="346" t="s">
        <v>840</v>
      </c>
      <c r="E93" s="490">
        <v>11</v>
      </c>
      <c r="F93" s="490">
        <v>2250</v>
      </c>
      <c r="G93" s="490">
        <v>204.5</v>
      </c>
      <c r="H93" s="672"/>
      <c r="I93" s="487">
        <f t="shared" si="42"/>
        <v>11</v>
      </c>
      <c r="J93" s="487">
        <f t="shared" si="42"/>
        <v>2130.5724450782855</v>
      </c>
      <c r="K93" s="363">
        <f t="shared" si="42"/>
        <v>193.68840409802601</v>
      </c>
      <c r="L93" s="615"/>
      <c r="M93" s="490">
        <f>RANK(K93, K$87:$K$101)</f>
        <v>5</v>
      </c>
      <c r="N93" s="624"/>
      <c r="O93" s="624"/>
      <c r="P93" s="540">
        <v>11</v>
      </c>
      <c r="Q93" s="541">
        <v>2108.571428571428</v>
      </c>
      <c r="R93" s="541">
        <v>191.68831168831164</v>
      </c>
      <c r="S93" s="540">
        <f t="shared" si="43"/>
        <v>5</v>
      </c>
      <c r="T93" s="653"/>
      <c r="U93" s="540">
        <v>11</v>
      </c>
      <c r="V93" s="541">
        <v>2144.0454545454545</v>
      </c>
      <c r="W93" s="541">
        <v>194.91322314049586</v>
      </c>
      <c r="X93" s="540">
        <f t="shared" si="45"/>
        <v>5</v>
      </c>
      <c r="Y93" s="653"/>
      <c r="Z93" s="540">
        <v>11</v>
      </c>
      <c r="AA93" s="541">
        <v>2144.9999999999995</v>
      </c>
      <c r="AB93" s="541">
        <v>194.99999999999997</v>
      </c>
      <c r="AC93" s="540">
        <f t="shared" si="47"/>
        <v>5</v>
      </c>
      <c r="AD93" s="653"/>
      <c r="AE93" s="540">
        <v>11</v>
      </c>
      <c r="AF93" s="541">
        <v>2124.6728971962611</v>
      </c>
      <c r="AG93" s="541">
        <v>193.15208156329646</v>
      </c>
      <c r="AH93" s="540">
        <f t="shared" si="49"/>
        <v>5</v>
      </c>
      <c r="AI93" s="653"/>
      <c r="AJ93" s="483"/>
      <c r="AK93" s="491"/>
      <c r="AL93" s="491"/>
      <c r="AM93" s="483"/>
      <c r="AN93" s="653"/>
      <c r="AO93" s="483"/>
      <c r="AP93" s="491"/>
      <c r="AQ93" s="491"/>
      <c r="AR93" s="483"/>
      <c r="AS93" s="653"/>
      <c r="AT93" s="483"/>
      <c r="AU93" s="491"/>
      <c r="AV93" s="491"/>
      <c r="AW93" s="483"/>
      <c r="AX93" s="653"/>
      <c r="AZ93" s="377" t="e">
        <f t="shared" si="51"/>
        <v>#N/A</v>
      </c>
      <c r="BA93" s="653"/>
    </row>
    <row r="94" spans="2:53">
      <c r="B94" s="635"/>
      <c r="C94" s="485">
        <v>8</v>
      </c>
      <c r="D94" s="346" t="s">
        <v>354</v>
      </c>
      <c r="E94" s="490">
        <v>18</v>
      </c>
      <c r="F94" s="490">
        <v>1200</v>
      </c>
      <c r="G94" s="490">
        <v>66.666666666666671</v>
      </c>
      <c r="H94" s="672"/>
      <c r="I94" s="487">
        <f t="shared" si="42"/>
        <v>19</v>
      </c>
      <c r="J94" s="487">
        <f t="shared" si="42"/>
        <v>1224.5031232212928</v>
      </c>
      <c r="K94" s="363">
        <f t="shared" si="42"/>
        <v>64.447532801120673</v>
      </c>
      <c r="L94" s="615"/>
      <c r="M94" s="490">
        <f>RANK(K94, K$87:$K$101)</f>
        <v>10</v>
      </c>
      <c r="N94" s="624"/>
      <c r="O94" s="624"/>
      <c r="P94" s="540">
        <v>19</v>
      </c>
      <c r="Q94" s="541">
        <v>1227.5862068965516</v>
      </c>
      <c r="R94" s="541">
        <v>64.609800362976401</v>
      </c>
      <c r="S94" s="540">
        <f t="shared" si="43"/>
        <v>10</v>
      </c>
      <c r="T94" s="653"/>
      <c r="U94" s="540">
        <v>19</v>
      </c>
      <c r="V94" s="541">
        <v>1217.0370370370365</v>
      </c>
      <c r="W94" s="541">
        <v>64.054580896686133</v>
      </c>
      <c r="X94" s="540">
        <f t="shared" si="45"/>
        <v>9</v>
      </c>
      <c r="Y94" s="653"/>
      <c r="Z94" s="540">
        <v>19</v>
      </c>
      <c r="AA94" s="541">
        <v>1220.9302325581393</v>
      </c>
      <c r="AB94" s="541">
        <v>64.259485924112596</v>
      </c>
      <c r="AC94" s="540">
        <f t="shared" si="47"/>
        <v>10</v>
      </c>
      <c r="AD94" s="653"/>
      <c r="AE94" s="540">
        <v>19</v>
      </c>
      <c r="AF94" s="541">
        <v>1232.4590163934438</v>
      </c>
      <c r="AG94" s="541">
        <v>64.866264020707561</v>
      </c>
      <c r="AH94" s="540">
        <f t="shared" si="49"/>
        <v>10</v>
      </c>
      <c r="AI94" s="653"/>
      <c r="AJ94" s="483"/>
      <c r="AK94" s="491"/>
      <c r="AL94" s="491"/>
      <c r="AM94" s="483"/>
      <c r="AN94" s="653"/>
      <c r="AO94" s="483"/>
      <c r="AP94" s="491"/>
      <c r="AQ94" s="491"/>
      <c r="AR94" s="483"/>
      <c r="AS94" s="653"/>
      <c r="AT94" s="483"/>
      <c r="AU94" s="491"/>
      <c r="AV94" s="491"/>
      <c r="AW94" s="483"/>
      <c r="AX94" s="653"/>
      <c r="AZ94" s="377" t="e">
        <f t="shared" si="51"/>
        <v>#N/A</v>
      </c>
      <c r="BA94" s="653"/>
    </row>
    <row r="95" spans="2:53">
      <c r="B95" s="635"/>
      <c r="C95" s="485">
        <v>9</v>
      </c>
      <c r="D95" s="346" t="s">
        <v>841</v>
      </c>
      <c r="E95" s="490">
        <v>7</v>
      </c>
      <c r="F95" s="490">
        <v>2200</v>
      </c>
      <c r="G95" s="490">
        <v>314.28571428571428</v>
      </c>
      <c r="H95" s="672"/>
      <c r="I95" s="487">
        <f t="shared" si="42"/>
        <v>7</v>
      </c>
      <c r="J95" s="487">
        <f t="shared" si="42"/>
        <v>2056.8239843212036</v>
      </c>
      <c r="K95" s="363">
        <f t="shared" si="42"/>
        <v>293.83199776017199</v>
      </c>
      <c r="L95" s="615"/>
      <c r="M95" s="490">
        <f>RANK(K95, K$87:$K$101)</f>
        <v>3</v>
      </c>
      <c r="N95" s="624"/>
      <c r="O95" s="624"/>
      <c r="P95" s="540">
        <v>7</v>
      </c>
      <c r="Q95" s="541">
        <v>2006.8965517241368</v>
      </c>
      <c r="R95" s="541">
        <v>286.69950738916242</v>
      </c>
      <c r="S95" s="540">
        <f t="shared" si="43"/>
        <v>3</v>
      </c>
      <c r="T95" s="653"/>
      <c r="U95" s="540">
        <v>7</v>
      </c>
      <c r="V95" s="541">
        <v>2048.5714285714303</v>
      </c>
      <c r="W95" s="541">
        <v>292.65306122449005</v>
      </c>
      <c r="X95" s="540">
        <f t="shared" si="45"/>
        <v>3</v>
      </c>
      <c r="Y95" s="653"/>
      <c r="Z95" s="540">
        <v>7</v>
      </c>
      <c r="AA95" s="541">
        <v>2065.16129032258</v>
      </c>
      <c r="AB95" s="541">
        <v>295.02304147465429</v>
      </c>
      <c r="AC95" s="540">
        <f t="shared" si="47"/>
        <v>3</v>
      </c>
      <c r="AD95" s="653"/>
      <c r="AE95" s="540">
        <v>7</v>
      </c>
      <c r="AF95" s="541">
        <v>2106.6666666666679</v>
      </c>
      <c r="AG95" s="541">
        <v>300.95238095238113</v>
      </c>
      <c r="AH95" s="540">
        <f t="shared" si="49"/>
        <v>3</v>
      </c>
      <c r="AI95" s="653"/>
      <c r="AJ95" s="483"/>
      <c r="AK95" s="491"/>
      <c r="AL95" s="491"/>
      <c r="AM95" s="483"/>
      <c r="AN95" s="653"/>
      <c r="AO95" s="483"/>
      <c r="AP95" s="491"/>
      <c r="AQ95" s="491"/>
      <c r="AR95" s="483"/>
      <c r="AS95" s="653"/>
      <c r="AT95" s="483"/>
      <c r="AU95" s="491"/>
      <c r="AV95" s="491"/>
      <c r="AW95" s="483"/>
      <c r="AX95" s="653"/>
      <c r="AZ95" s="377" t="e">
        <f t="shared" si="51"/>
        <v>#N/A</v>
      </c>
      <c r="BA95" s="653"/>
    </row>
    <row r="96" spans="2:53">
      <c r="B96" s="635"/>
      <c r="C96" s="485">
        <v>10</v>
      </c>
      <c r="D96" s="346" t="s">
        <v>776</v>
      </c>
      <c r="E96" s="490">
        <v>18</v>
      </c>
      <c r="F96" s="490">
        <v>1200</v>
      </c>
      <c r="G96" s="490">
        <v>66.666666666666671</v>
      </c>
      <c r="H96" s="672"/>
      <c r="I96" s="487">
        <f t="shared" si="42"/>
        <v>18</v>
      </c>
      <c r="J96" s="487">
        <f t="shared" si="42"/>
        <v>1170.1725599555384</v>
      </c>
      <c r="K96" s="363">
        <f t="shared" si="42"/>
        <v>65.009586664196576</v>
      </c>
      <c r="L96" s="615"/>
      <c r="M96" s="490">
        <f>RANK(K96, K$87:$K$101)</f>
        <v>9</v>
      </c>
      <c r="N96" s="624"/>
      <c r="O96" s="624"/>
      <c r="P96" s="540">
        <v>18</v>
      </c>
      <c r="Q96" s="541">
        <v>1196.3114754098365</v>
      </c>
      <c r="R96" s="541">
        <v>66.461748633879807</v>
      </c>
      <c r="S96" s="540">
        <f t="shared" si="43"/>
        <v>9</v>
      </c>
      <c r="T96" s="653"/>
      <c r="U96" s="540">
        <v>18</v>
      </c>
      <c r="V96" s="541">
        <v>1093.3333333333294</v>
      </c>
      <c r="W96" s="541">
        <v>60.74074074074052</v>
      </c>
      <c r="X96" s="540">
        <f t="shared" si="45"/>
        <v>10</v>
      </c>
      <c r="Y96" s="653"/>
      <c r="Z96" s="540">
        <v>18</v>
      </c>
      <c r="AA96" s="541">
        <v>1197.5838926174497</v>
      </c>
      <c r="AB96" s="541">
        <v>66.53243847874721</v>
      </c>
      <c r="AC96" s="540">
        <f t="shared" si="47"/>
        <v>9</v>
      </c>
      <c r="AD96" s="653"/>
      <c r="AE96" s="540">
        <v>18</v>
      </c>
      <c r="AF96" s="541">
        <v>1193.4615384615383</v>
      </c>
      <c r="AG96" s="541">
        <v>66.303418803418793</v>
      </c>
      <c r="AH96" s="540">
        <f t="shared" si="49"/>
        <v>9</v>
      </c>
      <c r="AI96" s="653"/>
      <c r="AJ96" s="483"/>
      <c r="AK96" s="491"/>
      <c r="AL96" s="491"/>
      <c r="AM96" s="483"/>
      <c r="AN96" s="653"/>
      <c r="AO96" s="483"/>
      <c r="AP96" s="491"/>
      <c r="AQ96" s="491"/>
      <c r="AR96" s="483"/>
      <c r="AS96" s="653"/>
      <c r="AT96" s="483"/>
      <c r="AU96" s="491"/>
      <c r="AV96" s="491"/>
      <c r="AW96" s="483"/>
      <c r="AX96" s="653"/>
      <c r="AZ96" s="377" t="e">
        <f t="shared" si="51"/>
        <v>#N/A</v>
      </c>
      <c r="BA96" s="653"/>
    </row>
    <row r="97" spans="2:53">
      <c r="B97" s="635"/>
      <c r="C97" s="485">
        <v>11</v>
      </c>
      <c r="D97" s="346"/>
      <c r="E97" s="490"/>
      <c r="F97" s="490"/>
      <c r="G97" s="490"/>
      <c r="H97" s="672"/>
      <c r="I97" s="487" t="str">
        <f t="shared" si="42"/>
        <v>-</v>
      </c>
      <c r="J97" s="487" t="str">
        <f t="shared" si="42"/>
        <v>-</v>
      </c>
      <c r="K97" s="363" t="str">
        <f t="shared" si="42"/>
        <v>-</v>
      </c>
      <c r="L97" s="615"/>
      <c r="M97" s="490" t="e">
        <f>RANK(K97, K$87:$K$101)</f>
        <v>#VALUE!</v>
      </c>
      <c r="N97" s="624"/>
      <c r="O97" s="624"/>
      <c r="P97" s="540" t="s">
        <v>427</v>
      </c>
      <c r="Q97" s="541" t="s">
        <v>427</v>
      </c>
      <c r="R97" s="541" t="s">
        <v>427</v>
      </c>
      <c r="S97" s="540" t="e">
        <f t="shared" si="43"/>
        <v>#VALUE!</v>
      </c>
      <c r="T97" s="653"/>
      <c r="U97" s="540" t="s">
        <v>427</v>
      </c>
      <c r="V97" s="541" t="s">
        <v>427</v>
      </c>
      <c r="W97" s="541" t="s">
        <v>427</v>
      </c>
      <c r="X97" s="540" t="e">
        <f t="shared" si="45"/>
        <v>#VALUE!</v>
      </c>
      <c r="Y97" s="653"/>
      <c r="Z97" s="540" t="s">
        <v>427</v>
      </c>
      <c r="AA97" s="541" t="s">
        <v>427</v>
      </c>
      <c r="AB97" s="541" t="s">
        <v>427</v>
      </c>
      <c r="AC97" s="540" t="e">
        <f t="shared" si="47"/>
        <v>#VALUE!</v>
      </c>
      <c r="AD97" s="653"/>
      <c r="AE97" s="540" t="s">
        <v>427</v>
      </c>
      <c r="AF97" s="541" t="s">
        <v>427</v>
      </c>
      <c r="AG97" s="541" t="s">
        <v>427</v>
      </c>
      <c r="AH97" s="540" t="e">
        <f t="shared" si="49"/>
        <v>#VALUE!</v>
      </c>
      <c r="AI97" s="653"/>
      <c r="AJ97" s="483"/>
      <c r="AK97" s="491"/>
      <c r="AL97" s="491"/>
      <c r="AM97" s="483"/>
      <c r="AN97" s="653"/>
      <c r="AO97" s="483"/>
      <c r="AP97" s="491"/>
      <c r="AQ97" s="491"/>
      <c r="AR97" s="483"/>
      <c r="AS97" s="653"/>
      <c r="AT97" s="483"/>
      <c r="AU97" s="491"/>
      <c r="AV97" s="491"/>
      <c r="AW97" s="483"/>
      <c r="AX97" s="653"/>
      <c r="AZ97" s="377" t="e">
        <f t="shared" si="51"/>
        <v>#N/A</v>
      </c>
      <c r="BA97" s="653"/>
    </row>
    <row r="98" spans="2:53">
      <c r="B98" s="635"/>
      <c r="C98" s="485">
        <v>12</v>
      </c>
      <c r="D98" s="346"/>
      <c r="E98" s="490"/>
      <c r="F98" s="490"/>
      <c r="G98" s="490"/>
      <c r="H98" s="672"/>
      <c r="I98" s="487" t="str">
        <f t="shared" si="42"/>
        <v>-</v>
      </c>
      <c r="J98" s="487" t="str">
        <f t="shared" si="42"/>
        <v>-</v>
      </c>
      <c r="K98" s="363" t="str">
        <f t="shared" si="42"/>
        <v>-</v>
      </c>
      <c r="L98" s="615"/>
      <c r="M98" s="490" t="e">
        <f>RANK(K98, K$87:$K$101)</f>
        <v>#VALUE!</v>
      </c>
      <c r="N98" s="624"/>
      <c r="O98" s="624"/>
      <c r="P98" s="540" t="s">
        <v>427</v>
      </c>
      <c r="Q98" s="541" t="s">
        <v>427</v>
      </c>
      <c r="R98" s="541" t="s">
        <v>427</v>
      </c>
      <c r="S98" s="540" t="e">
        <f t="shared" si="43"/>
        <v>#VALUE!</v>
      </c>
      <c r="T98" s="653"/>
      <c r="U98" s="540" t="s">
        <v>427</v>
      </c>
      <c r="V98" s="541" t="s">
        <v>427</v>
      </c>
      <c r="W98" s="541" t="s">
        <v>427</v>
      </c>
      <c r="X98" s="540" t="e">
        <f t="shared" si="45"/>
        <v>#VALUE!</v>
      </c>
      <c r="Y98" s="653"/>
      <c r="Z98" s="540" t="s">
        <v>427</v>
      </c>
      <c r="AA98" s="541" t="s">
        <v>427</v>
      </c>
      <c r="AB98" s="541" t="s">
        <v>427</v>
      </c>
      <c r="AC98" s="540" t="e">
        <f t="shared" si="47"/>
        <v>#VALUE!</v>
      </c>
      <c r="AD98" s="653"/>
      <c r="AE98" s="540" t="s">
        <v>427</v>
      </c>
      <c r="AF98" s="541" t="s">
        <v>427</v>
      </c>
      <c r="AG98" s="541" t="s">
        <v>427</v>
      </c>
      <c r="AH98" s="540" t="e">
        <f t="shared" si="49"/>
        <v>#VALUE!</v>
      </c>
      <c r="AI98" s="653"/>
      <c r="AJ98" s="483"/>
      <c r="AK98" s="491"/>
      <c r="AL98" s="491"/>
      <c r="AM98" s="483"/>
      <c r="AN98" s="653"/>
      <c r="AO98" s="483"/>
      <c r="AP98" s="491"/>
      <c r="AQ98" s="491"/>
      <c r="AR98" s="483"/>
      <c r="AS98" s="653"/>
      <c r="AT98" s="483"/>
      <c r="AU98" s="491"/>
      <c r="AV98" s="491"/>
      <c r="AW98" s="483"/>
      <c r="AX98" s="653"/>
      <c r="AZ98" s="377" t="e">
        <f t="shared" si="51"/>
        <v>#N/A</v>
      </c>
      <c r="BA98" s="653"/>
    </row>
    <row r="99" spans="2:53">
      <c r="B99" s="635"/>
      <c r="C99" s="485">
        <v>13</v>
      </c>
      <c r="D99" s="346"/>
      <c r="E99" s="490"/>
      <c r="F99" s="490"/>
      <c r="G99" s="490"/>
      <c r="H99" s="672"/>
      <c r="I99" s="487" t="str">
        <f t="shared" si="42"/>
        <v>-</v>
      </c>
      <c r="J99" s="487" t="str">
        <f t="shared" si="42"/>
        <v>-</v>
      </c>
      <c r="K99" s="363" t="str">
        <f t="shared" si="42"/>
        <v>-</v>
      </c>
      <c r="L99" s="615"/>
      <c r="M99" s="490" t="e">
        <f>RANK(K99, K$87:$K$101)</f>
        <v>#VALUE!</v>
      </c>
      <c r="N99" s="624"/>
      <c r="O99" s="624"/>
      <c r="P99" s="540" t="s">
        <v>427</v>
      </c>
      <c r="Q99" s="541" t="s">
        <v>427</v>
      </c>
      <c r="R99" s="541" t="s">
        <v>427</v>
      </c>
      <c r="S99" s="540" t="e">
        <f t="shared" si="43"/>
        <v>#VALUE!</v>
      </c>
      <c r="T99" s="653"/>
      <c r="U99" s="540" t="s">
        <v>427</v>
      </c>
      <c r="V99" s="541" t="s">
        <v>427</v>
      </c>
      <c r="W99" s="541" t="s">
        <v>427</v>
      </c>
      <c r="X99" s="540" t="e">
        <f t="shared" si="45"/>
        <v>#VALUE!</v>
      </c>
      <c r="Y99" s="653"/>
      <c r="Z99" s="540" t="s">
        <v>427</v>
      </c>
      <c r="AA99" s="541" t="s">
        <v>427</v>
      </c>
      <c r="AB99" s="541" t="s">
        <v>427</v>
      </c>
      <c r="AC99" s="540" t="e">
        <f t="shared" si="47"/>
        <v>#VALUE!</v>
      </c>
      <c r="AD99" s="653"/>
      <c r="AE99" s="540" t="s">
        <v>427</v>
      </c>
      <c r="AF99" s="541" t="s">
        <v>427</v>
      </c>
      <c r="AG99" s="541" t="s">
        <v>427</v>
      </c>
      <c r="AH99" s="540" t="e">
        <f t="shared" si="49"/>
        <v>#VALUE!</v>
      </c>
      <c r="AI99" s="653"/>
      <c r="AJ99" s="483"/>
      <c r="AK99" s="491"/>
      <c r="AL99" s="491"/>
      <c r="AM99" s="483"/>
      <c r="AN99" s="653"/>
      <c r="AO99" s="483"/>
      <c r="AP99" s="491"/>
      <c r="AQ99" s="491"/>
      <c r="AR99" s="483"/>
      <c r="AS99" s="653"/>
      <c r="AT99" s="483"/>
      <c r="AU99" s="491"/>
      <c r="AV99" s="491"/>
      <c r="AW99" s="483"/>
      <c r="AX99" s="653"/>
      <c r="AZ99" s="377" t="e">
        <f t="shared" si="51"/>
        <v>#N/A</v>
      </c>
      <c r="BA99" s="653"/>
    </row>
    <row r="100" spans="2:53">
      <c r="B100" s="635"/>
      <c r="C100" s="485">
        <v>14</v>
      </c>
      <c r="D100" s="346"/>
      <c r="E100" s="490"/>
      <c r="F100" s="490"/>
      <c r="G100" s="490"/>
      <c r="H100" s="672"/>
      <c r="I100" s="487" t="str">
        <f t="shared" si="42"/>
        <v>-</v>
      </c>
      <c r="J100" s="487" t="str">
        <f t="shared" si="42"/>
        <v>-</v>
      </c>
      <c r="K100" s="363" t="str">
        <f t="shared" si="42"/>
        <v>-</v>
      </c>
      <c r="L100" s="615"/>
      <c r="M100" s="490" t="e">
        <f>RANK(K100, K$87:$K$101)</f>
        <v>#VALUE!</v>
      </c>
      <c r="N100" s="624"/>
      <c r="O100" s="624"/>
      <c r="P100" s="540" t="s">
        <v>427</v>
      </c>
      <c r="Q100" s="541" t="s">
        <v>427</v>
      </c>
      <c r="R100" s="541" t="s">
        <v>427</v>
      </c>
      <c r="S100" s="540" t="e">
        <f t="shared" si="43"/>
        <v>#VALUE!</v>
      </c>
      <c r="T100" s="653"/>
      <c r="U100" s="540" t="s">
        <v>427</v>
      </c>
      <c r="V100" s="541" t="s">
        <v>427</v>
      </c>
      <c r="W100" s="541" t="s">
        <v>427</v>
      </c>
      <c r="X100" s="540" t="e">
        <f t="shared" si="45"/>
        <v>#VALUE!</v>
      </c>
      <c r="Y100" s="653"/>
      <c r="Z100" s="540" t="s">
        <v>427</v>
      </c>
      <c r="AA100" s="541" t="s">
        <v>427</v>
      </c>
      <c r="AB100" s="541" t="s">
        <v>427</v>
      </c>
      <c r="AC100" s="540" t="e">
        <f t="shared" si="47"/>
        <v>#VALUE!</v>
      </c>
      <c r="AD100" s="653"/>
      <c r="AE100" s="540" t="s">
        <v>427</v>
      </c>
      <c r="AF100" s="541" t="s">
        <v>427</v>
      </c>
      <c r="AG100" s="541" t="s">
        <v>427</v>
      </c>
      <c r="AH100" s="540" t="e">
        <f t="shared" si="49"/>
        <v>#VALUE!</v>
      </c>
      <c r="AI100" s="653"/>
      <c r="AJ100" s="483"/>
      <c r="AK100" s="491"/>
      <c r="AL100" s="491"/>
      <c r="AM100" s="483"/>
      <c r="AN100" s="653"/>
      <c r="AO100" s="483"/>
      <c r="AP100" s="491"/>
      <c r="AQ100" s="491"/>
      <c r="AR100" s="483"/>
      <c r="AS100" s="653"/>
      <c r="AT100" s="483"/>
      <c r="AU100" s="491"/>
      <c r="AV100" s="491"/>
      <c r="AW100" s="483"/>
      <c r="AX100" s="653"/>
      <c r="AZ100" s="377" t="e">
        <f t="shared" si="51"/>
        <v>#N/A</v>
      </c>
      <c r="BA100" s="653"/>
    </row>
    <row r="101" spans="2:53">
      <c r="B101" s="635"/>
      <c r="C101" s="485">
        <v>15</v>
      </c>
      <c r="D101" s="346"/>
      <c r="E101" s="490"/>
      <c r="F101" s="490"/>
      <c r="G101" s="490"/>
      <c r="H101" s="676"/>
      <c r="I101" s="490"/>
      <c r="J101" s="490"/>
      <c r="K101" s="488"/>
      <c r="L101" s="616"/>
      <c r="M101" s="490" t="e">
        <f>RANK(K101, K$87:$K$101)</f>
        <v>#N/A</v>
      </c>
      <c r="N101" s="624"/>
      <c r="O101" s="624"/>
      <c r="P101" s="540" t="s">
        <v>427</v>
      </c>
      <c r="Q101" s="541" t="s">
        <v>427</v>
      </c>
      <c r="R101" s="541" t="s">
        <v>427</v>
      </c>
      <c r="S101" s="540" t="e">
        <f t="shared" si="43"/>
        <v>#VALUE!</v>
      </c>
      <c r="T101" s="653"/>
      <c r="U101" s="540" t="s">
        <v>427</v>
      </c>
      <c r="V101" s="541" t="s">
        <v>427</v>
      </c>
      <c r="W101" s="541" t="s">
        <v>427</v>
      </c>
      <c r="X101" s="540" t="e">
        <f t="shared" si="45"/>
        <v>#VALUE!</v>
      </c>
      <c r="Y101" s="653"/>
      <c r="Z101" s="540" t="s">
        <v>427</v>
      </c>
      <c r="AA101" s="541" t="s">
        <v>427</v>
      </c>
      <c r="AB101" s="541" t="s">
        <v>427</v>
      </c>
      <c r="AC101" s="540" t="e">
        <f t="shared" si="47"/>
        <v>#VALUE!</v>
      </c>
      <c r="AD101" s="653"/>
      <c r="AE101" s="540" t="s">
        <v>427</v>
      </c>
      <c r="AF101" s="541" t="s">
        <v>427</v>
      </c>
      <c r="AG101" s="541" t="s">
        <v>427</v>
      </c>
      <c r="AH101" s="540" t="e">
        <f t="shared" si="49"/>
        <v>#VALUE!</v>
      </c>
      <c r="AI101" s="653"/>
      <c r="AJ101" s="483"/>
      <c r="AK101" s="491"/>
      <c r="AL101" s="491"/>
      <c r="AM101" s="483"/>
      <c r="AN101" s="653"/>
      <c r="AO101" s="483"/>
      <c r="AP101" s="491"/>
      <c r="AQ101" s="491"/>
      <c r="AR101" s="483"/>
      <c r="AS101" s="653"/>
      <c r="AT101" s="483"/>
      <c r="AU101" s="491"/>
      <c r="AV101" s="491"/>
      <c r="AW101" s="483"/>
      <c r="AX101" s="653"/>
      <c r="AZ101" s="377" t="e">
        <f t="shared" si="51"/>
        <v>#N/A</v>
      </c>
      <c r="BA101" s="653"/>
    </row>
    <row r="102" spans="2:53" ht="15.75">
      <c r="B102" s="643" t="s">
        <v>496</v>
      </c>
      <c r="C102" s="644"/>
      <c r="D102" s="644"/>
      <c r="E102" s="644"/>
      <c r="F102" s="644"/>
      <c r="G102" s="644"/>
      <c r="H102" s="645"/>
      <c r="I102" s="205"/>
      <c r="J102" s="205"/>
      <c r="K102" s="205"/>
      <c r="L102" s="205"/>
      <c r="M102" s="204"/>
      <c r="N102" s="639" t="s">
        <v>497</v>
      </c>
      <c r="O102" s="639" t="s">
        <v>498</v>
      </c>
      <c r="P102" s="634"/>
      <c r="Q102" s="635"/>
      <c r="R102" s="635"/>
      <c r="S102" s="635"/>
      <c r="T102" s="635"/>
      <c r="U102" s="636"/>
      <c r="V102" s="637"/>
      <c r="W102" s="637"/>
      <c r="X102" s="637"/>
      <c r="Y102" s="638"/>
      <c r="Z102" s="636"/>
      <c r="AA102" s="637"/>
      <c r="AB102" s="637"/>
      <c r="AC102" s="637"/>
      <c r="AD102" s="638"/>
      <c r="AE102" s="636"/>
      <c r="AF102" s="637"/>
      <c r="AG102" s="637"/>
      <c r="AH102" s="637"/>
      <c r="AI102" s="638"/>
      <c r="AJ102" s="636"/>
      <c r="AK102" s="637"/>
      <c r="AL102" s="637"/>
      <c r="AM102" s="637"/>
      <c r="AN102" s="638"/>
      <c r="AO102" s="636"/>
      <c r="AP102" s="637"/>
      <c r="AQ102" s="637"/>
      <c r="AR102" s="637"/>
      <c r="AS102" s="638"/>
      <c r="AT102" s="636"/>
      <c r="AU102" s="637"/>
      <c r="AV102" s="637"/>
      <c r="AW102" s="637"/>
      <c r="AX102" s="638"/>
    </row>
    <row r="103" spans="2:53" ht="15.75">
      <c r="B103" s="646"/>
      <c r="C103" s="646"/>
      <c r="D103" s="646"/>
      <c r="E103" s="646"/>
      <c r="F103" s="646"/>
      <c r="G103" s="646"/>
      <c r="H103" s="646"/>
      <c r="I103" s="202"/>
      <c r="J103" s="202"/>
      <c r="K103" s="202"/>
      <c r="L103" s="202"/>
      <c r="M103" s="203"/>
      <c r="N103" s="641"/>
      <c r="O103" s="641"/>
      <c r="P103" s="634" t="s">
        <v>499</v>
      </c>
      <c r="Q103" s="635"/>
      <c r="R103" s="635"/>
      <c r="S103" s="635"/>
      <c r="T103" s="635"/>
      <c r="U103" s="634" t="s">
        <v>500</v>
      </c>
      <c r="V103" s="635"/>
      <c r="W103" s="635"/>
      <c r="X103" s="635"/>
      <c r="Y103" s="635"/>
      <c r="Z103" s="634" t="s">
        <v>501</v>
      </c>
      <c r="AA103" s="635"/>
      <c r="AB103" s="635"/>
      <c r="AC103" s="635"/>
      <c r="AD103" s="635"/>
      <c r="AE103" s="634" t="s">
        <v>502</v>
      </c>
      <c r="AF103" s="635"/>
      <c r="AG103" s="635"/>
      <c r="AH103" s="635"/>
      <c r="AI103" s="635"/>
      <c r="AJ103" s="634" t="s">
        <v>503</v>
      </c>
      <c r="AK103" s="635"/>
      <c r="AL103" s="635"/>
      <c r="AM103" s="635"/>
      <c r="AN103" s="635"/>
      <c r="AO103" s="634" t="s">
        <v>504</v>
      </c>
      <c r="AP103" s="635"/>
      <c r="AQ103" s="635"/>
      <c r="AR103" s="635"/>
      <c r="AS103" s="635"/>
      <c r="AT103" s="634" t="s">
        <v>505</v>
      </c>
      <c r="AU103" s="635"/>
      <c r="AV103" s="635"/>
      <c r="AW103" s="635"/>
      <c r="AX103" s="635"/>
    </row>
    <row r="104" spans="2:53">
      <c r="B104" s="624" t="s">
        <v>506</v>
      </c>
      <c r="C104" s="624" t="s">
        <v>507</v>
      </c>
      <c r="D104" s="624"/>
      <c r="E104" s="624" t="s">
        <v>508</v>
      </c>
      <c r="F104" s="624"/>
      <c r="G104" s="624"/>
      <c r="H104" s="647" t="s">
        <v>509</v>
      </c>
      <c r="I104" s="624" t="s">
        <v>510</v>
      </c>
      <c r="J104" s="624"/>
      <c r="K104" s="624"/>
      <c r="L104" s="647" t="s">
        <v>509</v>
      </c>
      <c r="M104" s="639" t="s">
        <v>511</v>
      </c>
      <c r="N104" s="624"/>
      <c r="O104" s="624" t="s">
        <v>512</v>
      </c>
      <c r="P104" s="621" t="s">
        <v>513</v>
      </c>
      <c r="Q104" s="622"/>
      <c r="R104" s="622"/>
      <c r="S104" s="623"/>
      <c r="T104" s="624" t="s">
        <v>509</v>
      </c>
      <c r="U104" s="621" t="s">
        <v>513</v>
      </c>
      <c r="V104" s="622"/>
      <c r="W104" s="622"/>
      <c r="X104" s="623"/>
      <c r="Y104" s="624" t="s">
        <v>509</v>
      </c>
      <c r="Z104" s="621" t="s">
        <v>513</v>
      </c>
      <c r="AA104" s="622"/>
      <c r="AB104" s="622"/>
      <c r="AC104" s="623"/>
      <c r="AD104" s="624" t="s">
        <v>509</v>
      </c>
      <c r="AE104" s="621" t="s">
        <v>513</v>
      </c>
      <c r="AF104" s="622"/>
      <c r="AG104" s="622"/>
      <c r="AH104" s="623"/>
      <c r="AI104" s="624" t="s">
        <v>509</v>
      </c>
      <c r="AJ104" s="621" t="s">
        <v>513</v>
      </c>
      <c r="AK104" s="622"/>
      <c r="AL104" s="622"/>
      <c r="AM104" s="623"/>
      <c r="AN104" s="624" t="s">
        <v>509</v>
      </c>
      <c r="AO104" s="621" t="s">
        <v>513</v>
      </c>
      <c r="AP104" s="622"/>
      <c r="AQ104" s="622"/>
      <c r="AR104" s="623"/>
      <c r="AS104" s="624" t="s">
        <v>509</v>
      </c>
      <c r="AT104" s="621" t="s">
        <v>513</v>
      </c>
      <c r="AU104" s="622"/>
      <c r="AV104" s="622"/>
      <c r="AW104" s="623"/>
      <c r="AX104" s="624" t="s">
        <v>509</v>
      </c>
    </row>
    <row r="105" spans="2:53">
      <c r="B105" s="624"/>
      <c r="C105" s="624"/>
      <c r="D105" s="624"/>
      <c r="E105" s="624" t="s">
        <v>514</v>
      </c>
      <c r="F105" s="624"/>
      <c r="G105" s="624"/>
      <c r="H105" s="648"/>
      <c r="I105" s="624" t="s">
        <v>514</v>
      </c>
      <c r="J105" s="624"/>
      <c r="K105" s="624"/>
      <c r="L105" s="648"/>
      <c r="M105" s="640"/>
      <c r="N105" s="624"/>
      <c r="O105" s="624"/>
      <c r="P105" s="621" t="s">
        <v>515</v>
      </c>
      <c r="Q105" s="622"/>
      <c r="R105" s="622"/>
      <c r="S105" s="623"/>
      <c r="T105" s="624"/>
      <c r="U105" s="621" t="s">
        <v>515</v>
      </c>
      <c r="V105" s="622"/>
      <c r="W105" s="622"/>
      <c r="X105" s="623"/>
      <c r="Y105" s="624"/>
      <c r="Z105" s="621" t="s">
        <v>515</v>
      </c>
      <c r="AA105" s="622"/>
      <c r="AB105" s="622"/>
      <c r="AC105" s="623"/>
      <c r="AD105" s="624"/>
      <c r="AE105" s="621" t="s">
        <v>515</v>
      </c>
      <c r="AF105" s="622"/>
      <c r="AG105" s="622"/>
      <c r="AH105" s="623"/>
      <c r="AI105" s="624"/>
      <c r="AJ105" s="621" t="s">
        <v>515</v>
      </c>
      <c r="AK105" s="622"/>
      <c r="AL105" s="622"/>
      <c r="AM105" s="623"/>
      <c r="AN105" s="624"/>
      <c r="AO105" s="621" t="s">
        <v>515</v>
      </c>
      <c r="AP105" s="622"/>
      <c r="AQ105" s="622"/>
      <c r="AR105" s="623"/>
      <c r="AS105" s="624"/>
      <c r="AT105" s="621" t="s">
        <v>515</v>
      </c>
      <c r="AU105" s="622"/>
      <c r="AV105" s="622"/>
      <c r="AW105" s="623"/>
      <c r="AX105" s="624"/>
    </row>
    <row r="106" spans="2:53">
      <c r="B106" s="624"/>
      <c r="C106" s="624"/>
      <c r="D106" s="624"/>
      <c r="E106" s="353" t="s">
        <v>516</v>
      </c>
      <c r="F106" s="353" t="s">
        <v>517</v>
      </c>
      <c r="G106" s="353" t="s">
        <v>518</v>
      </c>
      <c r="H106" s="649"/>
      <c r="I106" s="353" t="s">
        <v>516</v>
      </c>
      <c r="J106" s="353" t="s">
        <v>517</v>
      </c>
      <c r="K106" s="353" t="s">
        <v>518</v>
      </c>
      <c r="L106" s="649"/>
      <c r="M106" s="641"/>
      <c r="N106" s="624"/>
      <c r="O106" s="624"/>
      <c r="P106" s="353" t="s">
        <v>516</v>
      </c>
      <c r="Q106" s="353" t="s">
        <v>517</v>
      </c>
      <c r="R106" s="353" t="s">
        <v>518</v>
      </c>
      <c r="S106" s="353" t="s">
        <v>511</v>
      </c>
      <c r="T106" s="624"/>
      <c r="U106" s="353" t="s">
        <v>516</v>
      </c>
      <c r="V106" s="353" t="s">
        <v>517</v>
      </c>
      <c r="W106" s="353" t="s">
        <v>518</v>
      </c>
      <c r="X106" s="353" t="s">
        <v>511</v>
      </c>
      <c r="Y106" s="624"/>
      <c r="Z106" s="353" t="s">
        <v>516</v>
      </c>
      <c r="AA106" s="353" t="s">
        <v>517</v>
      </c>
      <c r="AB106" s="353" t="s">
        <v>518</v>
      </c>
      <c r="AC106" s="353" t="s">
        <v>511</v>
      </c>
      <c r="AD106" s="624"/>
      <c r="AE106" s="353" t="s">
        <v>516</v>
      </c>
      <c r="AF106" s="353" t="s">
        <v>517</v>
      </c>
      <c r="AG106" s="353" t="s">
        <v>518</v>
      </c>
      <c r="AH106" s="353" t="s">
        <v>511</v>
      </c>
      <c r="AI106" s="624"/>
      <c r="AJ106" s="353" t="s">
        <v>516</v>
      </c>
      <c r="AK106" s="353" t="s">
        <v>517</v>
      </c>
      <c r="AL106" s="353" t="s">
        <v>518</v>
      </c>
      <c r="AM106" s="353" t="s">
        <v>511</v>
      </c>
      <c r="AN106" s="624"/>
      <c r="AO106" s="353" t="s">
        <v>516</v>
      </c>
      <c r="AP106" s="353" t="s">
        <v>517</v>
      </c>
      <c r="AQ106" s="353" t="s">
        <v>518</v>
      </c>
      <c r="AR106" s="353" t="s">
        <v>511</v>
      </c>
      <c r="AS106" s="624"/>
      <c r="AT106" s="353" t="s">
        <v>516</v>
      </c>
      <c r="AU106" s="353" t="s">
        <v>517</v>
      </c>
      <c r="AV106" s="353" t="s">
        <v>518</v>
      </c>
      <c r="AW106" s="353" t="s">
        <v>511</v>
      </c>
      <c r="AX106" s="624"/>
    </row>
    <row r="107" spans="2:53">
      <c r="B107" s="675" t="s">
        <v>524</v>
      </c>
      <c r="C107" s="359">
        <v>1</v>
      </c>
      <c r="D107" s="346"/>
      <c r="E107" s="366"/>
      <c r="F107" s="366"/>
      <c r="G107" s="366"/>
      <c r="H107" s="671" t="e">
        <f>AVERAGE(G107:G121)</f>
        <v>#DIV/0!</v>
      </c>
      <c r="I107" s="379" t="str">
        <f t="shared" ref="I107:K121" si="53">IFERROR(AVERAGE(P107,U107,Z107,AE107,AJ107,AO107,AT107),"-")</f>
        <v>-</v>
      </c>
      <c r="J107" s="379" t="str">
        <f t="shared" si="53"/>
        <v>-</v>
      </c>
      <c r="K107" s="363" t="str">
        <f t="shared" si="53"/>
        <v>-</v>
      </c>
      <c r="L107" s="614" t="str">
        <f>IFERROR(AVERAGE(K107:K121),"-")</f>
        <v>-</v>
      </c>
      <c r="M107" s="366" t="e">
        <f>RANK(K107, K$67:$K$81)</f>
        <v>#VALUE!</v>
      </c>
      <c r="N107" s="624"/>
      <c r="O107" s="624"/>
      <c r="P107" s="497"/>
      <c r="Q107" s="501"/>
      <c r="R107" s="501"/>
      <c r="S107" s="500"/>
      <c r="T107" s="674"/>
      <c r="U107" s="182"/>
      <c r="V107" s="182"/>
      <c r="W107" s="182"/>
      <c r="X107" s="359"/>
      <c r="Y107" s="674"/>
      <c r="Z107" s="182"/>
      <c r="AA107" s="182"/>
      <c r="AB107" s="182"/>
      <c r="AC107" s="359"/>
      <c r="AD107" s="674"/>
      <c r="AE107" s="182"/>
      <c r="AF107" s="182"/>
      <c r="AG107" s="182"/>
      <c r="AH107" s="359"/>
      <c r="AI107" s="674"/>
      <c r="AJ107" s="182"/>
      <c r="AK107" s="182"/>
      <c r="AL107" s="182"/>
      <c r="AM107" s="359"/>
      <c r="AN107" s="674"/>
      <c r="AO107" s="182"/>
      <c r="AP107" s="182"/>
      <c r="AQ107" s="182"/>
      <c r="AR107" s="359"/>
      <c r="AS107" s="674"/>
      <c r="AT107" s="182"/>
      <c r="AU107" s="182"/>
      <c r="AV107" s="182"/>
      <c r="AW107" s="359"/>
      <c r="AX107" s="674"/>
      <c r="AZ107" s="500" t="e">
        <f>RANK(AY107, AY$107:AY$121)</f>
        <v>#N/A</v>
      </c>
      <c r="BA107" s="674" t="e">
        <f t="shared" ref="BA107" si="54">AVERAGE(AY107:AY121)</f>
        <v>#DIV/0!</v>
      </c>
    </row>
    <row r="108" spans="2:53">
      <c r="B108" s="661"/>
      <c r="C108" s="359">
        <v>2</v>
      </c>
      <c r="D108" s="346"/>
      <c r="E108" s="366"/>
      <c r="F108" s="366"/>
      <c r="G108" s="366"/>
      <c r="H108" s="672"/>
      <c r="I108" s="379" t="str">
        <f t="shared" si="53"/>
        <v>-</v>
      </c>
      <c r="J108" s="379" t="str">
        <f t="shared" si="53"/>
        <v>-</v>
      </c>
      <c r="K108" s="363" t="str">
        <f t="shared" si="53"/>
        <v>-</v>
      </c>
      <c r="L108" s="615"/>
      <c r="M108" s="366" t="e">
        <f>RANK(K108, K$67:$K$81)</f>
        <v>#VALUE!</v>
      </c>
      <c r="N108" s="624"/>
      <c r="O108" s="624"/>
      <c r="P108" s="497"/>
      <c r="Q108" s="501"/>
      <c r="R108" s="501"/>
      <c r="S108" s="500"/>
      <c r="T108" s="674"/>
      <c r="U108" s="182"/>
      <c r="V108" s="182"/>
      <c r="W108" s="182"/>
      <c r="X108" s="359"/>
      <c r="Y108" s="674"/>
      <c r="Z108" s="182"/>
      <c r="AA108" s="182"/>
      <c r="AB108" s="182"/>
      <c r="AC108" s="359"/>
      <c r="AD108" s="674"/>
      <c r="AE108" s="182"/>
      <c r="AF108" s="182"/>
      <c r="AG108" s="182"/>
      <c r="AH108" s="359"/>
      <c r="AI108" s="674"/>
      <c r="AJ108" s="182"/>
      <c r="AK108" s="182"/>
      <c r="AL108" s="182"/>
      <c r="AM108" s="359"/>
      <c r="AN108" s="674"/>
      <c r="AO108" s="182"/>
      <c r="AP108" s="182"/>
      <c r="AQ108" s="182"/>
      <c r="AR108" s="359"/>
      <c r="AS108" s="674"/>
      <c r="AT108" s="182"/>
      <c r="AU108" s="182"/>
      <c r="AV108" s="182"/>
      <c r="AW108" s="359"/>
      <c r="AX108" s="674"/>
      <c r="AZ108" s="500" t="e">
        <f t="shared" ref="AZ108:AZ121" si="55">RANK(AY108, AY$107:AY$121)</f>
        <v>#N/A</v>
      </c>
      <c r="BA108" s="674"/>
    </row>
    <row r="109" spans="2:53">
      <c r="B109" s="661"/>
      <c r="C109" s="359">
        <v>3</v>
      </c>
      <c r="D109" s="346"/>
      <c r="E109" s="366"/>
      <c r="F109" s="366"/>
      <c r="G109" s="366"/>
      <c r="H109" s="672"/>
      <c r="I109" s="379" t="str">
        <f t="shared" si="53"/>
        <v>-</v>
      </c>
      <c r="J109" s="379" t="str">
        <f t="shared" si="53"/>
        <v>-</v>
      </c>
      <c r="K109" s="363" t="str">
        <f t="shared" si="53"/>
        <v>-</v>
      </c>
      <c r="L109" s="615"/>
      <c r="M109" s="366" t="e">
        <f>RANK(K109, K$67:$K$81)</f>
        <v>#VALUE!</v>
      </c>
      <c r="N109" s="624"/>
      <c r="O109" s="624"/>
      <c r="P109" s="497"/>
      <c r="Q109" s="501"/>
      <c r="R109" s="501"/>
      <c r="S109" s="500"/>
      <c r="T109" s="674"/>
      <c r="U109" s="182"/>
      <c r="V109" s="182"/>
      <c r="W109" s="182"/>
      <c r="X109" s="359"/>
      <c r="Y109" s="674"/>
      <c r="Z109" s="182"/>
      <c r="AA109" s="182"/>
      <c r="AB109" s="182"/>
      <c r="AC109" s="359"/>
      <c r="AD109" s="674"/>
      <c r="AE109" s="182"/>
      <c r="AF109" s="182"/>
      <c r="AG109" s="182"/>
      <c r="AH109" s="359"/>
      <c r="AI109" s="674"/>
      <c r="AJ109" s="182"/>
      <c r="AK109" s="182"/>
      <c r="AL109" s="182"/>
      <c r="AM109" s="359"/>
      <c r="AN109" s="674"/>
      <c r="AO109" s="182"/>
      <c r="AP109" s="182"/>
      <c r="AQ109" s="182"/>
      <c r="AR109" s="359"/>
      <c r="AS109" s="674"/>
      <c r="AT109" s="182"/>
      <c r="AU109" s="182"/>
      <c r="AV109" s="182"/>
      <c r="AW109" s="359"/>
      <c r="AX109" s="674"/>
      <c r="AZ109" s="500" t="e">
        <f t="shared" si="55"/>
        <v>#N/A</v>
      </c>
      <c r="BA109" s="674"/>
    </row>
    <row r="110" spans="2:53">
      <c r="B110" s="661"/>
      <c r="C110" s="359">
        <v>4</v>
      </c>
      <c r="D110" s="346"/>
      <c r="E110" s="366"/>
      <c r="F110" s="366"/>
      <c r="G110" s="366"/>
      <c r="H110" s="672"/>
      <c r="I110" s="379" t="str">
        <f t="shared" si="53"/>
        <v>-</v>
      </c>
      <c r="J110" s="379" t="str">
        <f t="shared" si="53"/>
        <v>-</v>
      </c>
      <c r="K110" s="363" t="str">
        <f t="shared" si="53"/>
        <v>-</v>
      </c>
      <c r="L110" s="615"/>
      <c r="M110" s="366" t="e">
        <f>RANK(K110, K$67:$K$81)</f>
        <v>#VALUE!</v>
      </c>
      <c r="N110" s="624"/>
      <c r="O110" s="624"/>
      <c r="P110" s="497"/>
      <c r="Q110" s="501"/>
      <c r="R110" s="501"/>
      <c r="S110" s="500"/>
      <c r="T110" s="674"/>
      <c r="U110" s="182"/>
      <c r="V110" s="182"/>
      <c r="W110" s="182"/>
      <c r="X110" s="359"/>
      <c r="Y110" s="674"/>
      <c r="Z110" s="182"/>
      <c r="AA110" s="182"/>
      <c r="AB110" s="182"/>
      <c r="AC110" s="359"/>
      <c r="AD110" s="674"/>
      <c r="AE110" s="182"/>
      <c r="AF110" s="182"/>
      <c r="AG110" s="182"/>
      <c r="AH110" s="359"/>
      <c r="AI110" s="674"/>
      <c r="AJ110" s="182"/>
      <c r="AK110" s="182"/>
      <c r="AL110" s="182"/>
      <c r="AM110" s="359"/>
      <c r="AN110" s="674"/>
      <c r="AO110" s="182"/>
      <c r="AP110" s="182"/>
      <c r="AQ110" s="182"/>
      <c r="AR110" s="359"/>
      <c r="AS110" s="674"/>
      <c r="AT110" s="182"/>
      <c r="AU110" s="182"/>
      <c r="AV110" s="182"/>
      <c r="AW110" s="359"/>
      <c r="AX110" s="674"/>
      <c r="AZ110" s="500" t="e">
        <f t="shared" si="55"/>
        <v>#N/A</v>
      </c>
      <c r="BA110" s="674"/>
    </row>
    <row r="111" spans="2:53">
      <c r="B111" s="661"/>
      <c r="C111" s="359">
        <v>5</v>
      </c>
      <c r="D111" s="346"/>
      <c r="E111" s="366"/>
      <c r="F111" s="366"/>
      <c r="G111" s="366"/>
      <c r="H111" s="672"/>
      <c r="I111" s="379" t="str">
        <f t="shared" si="53"/>
        <v>-</v>
      </c>
      <c r="J111" s="379" t="str">
        <f t="shared" si="53"/>
        <v>-</v>
      </c>
      <c r="K111" s="363" t="str">
        <f t="shared" si="53"/>
        <v>-</v>
      </c>
      <c r="L111" s="615"/>
      <c r="M111" s="366" t="e">
        <f>RANK(K111, K$67:$K$81)</f>
        <v>#VALUE!</v>
      </c>
      <c r="N111" s="624"/>
      <c r="O111" s="624"/>
      <c r="P111" s="497"/>
      <c r="Q111" s="501"/>
      <c r="R111" s="501"/>
      <c r="S111" s="500"/>
      <c r="T111" s="674"/>
      <c r="U111" s="182"/>
      <c r="V111" s="182"/>
      <c r="W111" s="182"/>
      <c r="X111" s="359"/>
      <c r="Y111" s="674"/>
      <c r="Z111" s="182"/>
      <c r="AA111" s="182"/>
      <c r="AB111" s="182"/>
      <c r="AC111" s="359"/>
      <c r="AD111" s="674"/>
      <c r="AE111" s="182"/>
      <c r="AF111" s="182"/>
      <c r="AG111" s="182"/>
      <c r="AH111" s="359"/>
      <c r="AI111" s="674"/>
      <c r="AJ111" s="182"/>
      <c r="AK111" s="182"/>
      <c r="AL111" s="182"/>
      <c r="AM111" s="359"/>
      <c r="AN111" s="674"/>
      <c r="AO111" s="182"/>
      <c r="AP111" s="182"/>
      <c r="AQ111" s="182"/>
      <c r="AR111" s="359"/>
      <c r="AS111" s="674"/>
      <c r="AT111" s="182"/>
      <c r="AU111" s="182"/>
      <c r="AV111" s="182"/>
      <c r="AW111" s="359"/>
      <c r="AX111" s="674"/>
      <c r="AZ111" s="500" t="e">
        <f t="shared" si="55"/>
        <v>#N/A</v>
      </c>
      <c r="BA111" s="674"/>
    </row>
    <row r="112" spans="2:53">
      <c r="B112" s="661"/>
      <c r="C112" s="359">
        <v>6</v>
      </c>
      <c r="D112" s="346"/>
      <c r="E112" s="366"/>
      <c r="F112" s="366"/>
      <c r="G112" s="366"/>
      <c r="H112" s="672"/>
      <c r="I112" s="379" t="str">
        <f t="shared" si="53"/>
        <v>-</v>
      </c>
      <c r="J112" s="379" t="str">
        <f t="shared" si="53"/>
        <v>-</v>
      </c>
      <c r="K112" s="363" t="str">
        <f t="shared" si="53"/>
        <v>-</v>
      </c>
      <c r="L112" s="615"/>
      <c r="M112" s="366" t="e">
        <f>RANK(K112, K$67:$K$81)</f>
        <v>#VALUE!</v>
      </c>
      <c r="N112" s="624"/>
      <c r="O112" s="624"/>
      <c r="P112" s="497"/>
      <c r="Q112" s="501"/>
      <c r="R112" s="501"/>
      <c r="S112" s="500"/>
      <c r="T112" s="674"/>
      <c r="U112" s="182"/>
      <c r="V112" s="182"/>
      <c r="W112" s="182"/>
      <c r="X112" s="359"/>
      <c r="Y112" s="674"/>
      <c r="Z112" s="182"/>
      <c r="AA112" s="182"/>
      <c r="AB112" s="182"/>
      <c r="AC112" s="359"/>
      <c r="AD112" s="674"/>
      <c r="AE112" s="182"/>
      <c r="AF112" s="182"/>
      <c r="AG112" s="182"/>
      <c r="AH112" s="359"/>
      <c r="AI112" s="674"/>
      <c r="AJ112" s="182"/>
      <c r="AK112" s="182"/>
      <c r="AL112" s="182"/>
      <c r="AM112" s="359"/>
      <c r="AN112" s="674"/>
      <c r="AO112" s="182"/>
      <c r="AP112" s="182"/>
      <c r="AQ112" s="182"/>
      <c r="AR112" s="359"/>
      <c r="AS112" s="674"/>
      <c r="AT112" s="182"/>
      <c r="AU112" s="182"/>
      <c r="AV112" s="182"/>
      <c r="AW112" s="359"/>
      <c r="AX112" s="674"/>
      <c r="AZ112" s="500" t="e">
        <f t="shared" si="55"/>
        <v>#N/A</v>
      </c>
      <c r="BA112" s="674"/>
    </row>
    <row r="113" spans="2:53">
      <c r="B113" s="661"/>
      <c r="C113" s="359">
        <v>7</v>
      </c>
      <c r="D113" s="346"/>
      <c r="E113" s="366"/>
      <c r="F113" s="366"/>
      <c r="G113" s="366"/>
      <c r="H113" s="672"/>
      <c r="I113" s="379" t="str">
        <f t="shared" si="53"/>
        <v>-</v>
      </c>
      <c r="J113" s="379" t="str">
        <f t="shared" si="53"/>
        <v>-</v>
      </c>
      <c r="K113" s="363" t="str">
        <f t="shared" si="53"/>
        <v>-</v>
      </c>
      <c r="L113" s="615"/>
      <c r="M113" s="366" t="e">
        <f>RANK(K113, K$67:$K$81)</f>
        <v>#VALUE!</v>
      </c>
      <c r="N113" s="624"/>
      <c r="O113" s="624"/>
      <c r="P113" s="497"/>
      <c r="Q113" s="501"/>
      <c r="R113" s="501"/>
      <c r="S113" s="500"/>
      <c r="T113" s="674"/>
      <c r="U113" s="182"/>
      <c r="V113" s="182"/>
      <c r="W113" s="182"/>
      <c r="X113" s="359"/>
      <c r="Y113" s="674"/>
      <c r="Z113" s="182"/>
      <c r="AA113" s="182"/>
      <c r="AB113" s="182"/>
      <c r="AC113" s="359"/>
      <c r="AD113" s="674"/>
      <c r="AE113" s="182"/>
      <c r="AF113" s="182"/>
      <c r="AG113" s="182"/>
      <c r="AH113" s="359"/>
      <c r="AI113" s="674"/>
      <c r="AJ113" s="182"/>
      <c r="AK113" s="182"/>
      <c r="AL113" s="182"/>
      <c r="AM113" s="359"/>
      <c r="AN113" s="674"/>
      <c r="AO113" s="182"/>
      <c r="AP113" s="182"/>
      <c r="AQ113" s="182"/>
      <c r="AR113" s="359"/>
      <c r="AS113" s="674"/>
      <c r="AT113" s="182"/>
      <c r="AU113" s="182"/>
      <c r="AV113" s="182"/>
      <c r="AW113" s="359"/>
      <c r="AX113" s="674"/>
      <c r="AZ113" s="500" t="e">
        <f t="shared" si="55"/>
        <v>#N/A</v>
      </c>
      <c r="BA113" s="674"/>
    </row>
    <row r="114" spans="2:53">
      <c r="B114" s="661"/>
      <c r="C114" s="359">
        <v>8</v>
      </c>
      <c r="D114" s="346"/>
      <c r="E114" s="366"/>
      <c r="F114" s="366"/>
      <c r="G114" s="366"/>
      <c r="H114" s="672"/>
      <c r="I114" s="379" t="str">
        <f t="shared" si="53"/>
        <v>-</v>
      </c>
      <c r="J114" s="379" t="str">
        <f t="shared" si="53"/>
        <v>-</v>
      </c>
      <c r="K114" s="363" t="str">
        <f t="shared" si="53"/>
        <v>-</v>
      </c>
      <c r="L114" s="615"/>
      <c r="M114" s="366" t="e">
        <f>RANK(K114, K$67:$K$81)</f>
        <v>#VALUE!</v>
      </c>
      <c r="N114" s="624"/>
      <c r="O114" s="624"/>
      <c r="P114" s="182"/>
      <c r="Q114" s="182"/>
      <c r="R114" s="182"/>
      <c r="S114" s="500"/>
      <c r="T114" s="674"/>
      <c r="U114" s="182"/>
      <c r="V114" s="182"/>
      <c r="W114" s="182"/>
      <c r="X114" s="359"/>
      <c r="Y114" s="674"/>
      <c r="Z114" s="182"/>
      <c r="AA114" s="182"/>
      <c r="AB114" s="182"/>
      <c r="AC114" s="359"/>
      <c r="AD114" s="674"/>
      <c r="AE114" s="182"/>
      <c r="AF114" s="182"/>
      <c r="AG114" s="182"/>
      <c r="AH114" s="359"/>
      <c r="AI114" s="674"/>
      <c r="AJ114" s="182"/>
      <c r="AK114" s="182"/>
      <c r="AL114" s="182"/>
      <c r="AM114" s="359"/>
      <c r="AN114" s="674"/>
      <c r="AO114" s="182"/>
      <c r="AP114" s="182"/>
      <c r="AQ114" s="182"/>
      <c r="AR114" s="359"/>
      <c r="AS114" s="674"/>
      <c r="AT114" s="182"/>
      <c r="AU114" s="182"/>
      <c r="AV114" s="182"/>
      <c r="AW114" s="359"/>
      <c r="AX114" s="674"/>
      <c r="AZ114" s="500" t="e">
        <f t="shared" si="55"/>
        <v>#N/A</v>
      </c>
      <c r="BA114" s="674"/>
    </row>
    <row r="115" spans="2:53">
      <c r="B115" s="661"/>
      <c r="C115" s="359">
        <v>9</v>
      </c>
      <c r="D115" s="346"/>
      <c r="E115" s="366"/>
      <c r="F115" s="366"/>
      <c r="G115" s="366"/>
      <c r="H115" s="672"/>
      <c r="I115" s="379" t="str">
        <f t="shared" si="53"/>
        <v>-</v>
      </c>
      <c r="J115" s="379" t="str">
        <f t="shared" si="53"/>
        <v>-</v>
      </c>
      <c r="K115" s="363" t="str">
        <f t="shared" si="53"/>
        <v>-</v>
      </c>
      <c r="L115" s="615"/>
      <c r="M115" s="366" t="e">
        <f>RANK(K115, K$67:$K$81)</f>
        <v>#VALUE!</v>
      </c>
      <c r="N115" s="624"/>
      <c r="O115" s="624"/>
      <c r="P115" s="182"/>
      <c r="Q115" s="182"/>
      <c r="R115" s="182"/>
      <c r="S115" s="500"/>
      <c r="T115" s="674"/>
      <c r="U115" s="182"/>
      <c r="V115" s="182"/>
      <c r="W115" s="182"/>
      <c r="X115" s="359"/>
      <c r="Y115" s="674"/>
      <c r="Z115" s="182"/>
      <c r="AA115" s="182"/>
      <c r="AB115" s="182"/>
      <c r="AC115" s="359"/>
      <c r="AD115" s="674"/>
      <c r="AE115" s="182"/>
      <c r="AF115" s="182"/>
      <c r="AG115" s="182"/>
      <c r="AH115" s="359"/>
      <c r="AI115" s="674"/>
      <c r="AJ115" s="182"/>
      <c r="AK115" s="182"/>
      <c r="AL115" s="182"/>
      <c r="AM115" s="359"/>
      <c r="AN115" s="674"/>
      <c r="AO115" s="182"/>
      <c r="AP115" s="182"/>
      <c r="AQ115" s="182"/>
      <c r="AR115" s="359"/>
      <c r="AS115" s="674"/>
      <c r="AT115" s="182"/>
      <c r="AU115" s="182"/>
      <c r="AV115" s="182"/>
      <c r="AW115" s="359"/>
      <c r="AX115" s="674"/>
      <c r="AZ115" s="500" t="e">
        <f t="shared" si="55"/>
        <v>#N/A</v>
      </c>
      <c r="BA115" s="674"/>
    </row>
    <row r="116" spans="2:53">
      <c r="B116" s="661"/>
      <c r="C116" s="359">
        <v>10</v>
      </c>
      <c r="D116" s="346"/>
      <c r="E116" s="366"/>
      <c r="F116" s="366"/>
      <c r="G116" s="366"/>
      <c r="H116" s="672"/>
      <c r="I116" s="379" t="str">
        <f t="shared" si="53"/>
        <v>-</v>
      </c>
      <c r="J116" s="379" t="str">
        <f t="shared" si="53"/>
        <v>-</v>
      </c>
      <c r="K116" s="363" t="str">
        <f t="shared" si="53"/>
        <v>-</v>
      </c>
      <c r="L116" s="615"/>
      <c r="M116" s="366" t="e">
        <f>RANK(K116, K$67:$K$81)</f>
        <v>#VALUE!</v>
      </c>
      <c r="N116" s="624"/>
      <c r="O116" s="624"/>
      <c r="P116" s="182"/>
      <c r="Q116" s="182"/>
      <c r="R116" s="182"/>
      <c r="S116" s="500"/>
      <c r="T116" s="674"/>
      <c r="U116" s="182"/>
      <c r="V116" s="182"/>
      <c r="W116" s="182"/>
      <c r="X116" s="359"/>
      <c r="Y116" s="674"/>
      <c r="Z116" s="182"/>
      <c r="AA116" s="182"/>
      <c r="AB116" s="182"/>
      <c r="AC116" s="359"/>
      <c r="AD116" s="674"/>
      <c r="AE116" s="182"/>
      <c r="AF116" s="182"/>
      <c r="AG116" s="182"/>
      <c r="AH116" s="359"/>
      <c r="AI116" s="674"/>
      <c r="AJ116" s="182"/>
      <c r="AK116" s="182"/>
      <c r="AL116" s="182"/>
      <c r="AM116" s="359"/>
      <c r="AN116" s="674"/>
      <c r="AO116" s="182"/>
      <c r="AP116" s="182"/>
      <c r="AQ116" s="182"/>
      <c r="AR116" s="359"/>
      <c r="AS116" s="674"/>
      <c r="AT116" s="182"/>
      <c r="AU116" s="182"/>
      <c r="AV116" s="182"/>
      <c r="AW116" s="359"/>
      <c r="AX116" s="674"/>
      <c r="AZ116" s="500" t="e">
        <f t="shared" si="55"/>
        <v>#N/A</v>
      </c>
      <c r="BA116" s="674"/>
    </row>
    <row r="117" spans="2:53">
      <c r="B117" s="661"/>
      <c r="C117" s="359">
        <v>11</v>
      </c>
      <c r="D117" s="346"/>
      <c r="E117" s="366"/>
      <c r="F117" s="366"/>
      <c r="G117" s="366"/>
      <c r="H117" s="672"/>
      <c r="I117" s="379" t="str">
        <f t="shared" si="53"/>
        <v>-</v>
      </c>
      <c r="J117" s="379" t="str">
        <f t="shared" si="53"/>
        <v>-</v>
      </c>
      <c r="K117" s="363" t="str">
        <f t="shared" si="53"/>
        <v>-</v>
      </c>
      <c r="L117" s="615"/>
      <c r="M117" s="366" t="e">
        <f>RANK(K117, K$67:$K$81)</f>
        <v>#VALUE!</v>
      </c>
      <c r="N117" s="624"/>
      <c r="O117" s="624"/>
      <c r="P117" s="182"/>
      <c r="Q117" s="182"/>
      <c r="R117" s="182"/>
      <c r="S117" s="500"/>
      <c r="T117" s="674"/>
      <c r="U117" s="182"/>
      <c r="V117" s="182"/>
      <c r="W117" s="182"/>
      <c r="X117" s="359"/>
      <c r="Y117" s="674"/>
      <c r="Z117" s="182"/>
      <c r="AA117" s="182"/>
      <c r="AB117" s="182"/>
      <c r="AC117" s="359"/>
      <c r="AD117" s="674"/>
      <c r="AE117" s="182"/>
      <c r="AF117" s="182"/>
      <c r="AG117" s="182"/>
      <c r="AH117" s="359"/>
      <c r="AI117" s="674"/>
      <c r="AJ117" s="182"/>
      <c r="AK117" s="182"/>
      <c r="AL117" s="182"/>
      <c r="AM117" s="359"/>
      <c r="AN117" s="674"/>
      <c r="AO117" s="182"/>
      <c r="AP117" s="182"/>
      <c r="AQ117" s="182"/>
      <c r="AR117" s="359"/>
      <c r="AS117" s="674"/>
      <c r="AT117" s="182"/>
      <c r="AU117" s="182"/>
      <c r="AV117" s="182"/>
      <c r="AW117" s="359"/>
      <c r="AX117" s="674"/>
      <c r="AZ117" s="500" t="e">
        <f t="shared" si="55"/>
        <v>#N/A</v>
      </c>
      <c r="BA117" s="674"/>
    </row>
    <row r="118" spans="2:53">
      <c r="B118" s="661"/>
      <c r="C118" s="359">
        <v>12</v>
      </c>
      <c r="D118" s="346"/>
      <c r="E118" s="366"/>
      <c r="F118" s="366"/>
      <c r="G118" s="366"/>
      <c r="H118" s="672"/>
      <c r="I118" s="379" t="str">
        <f t="shared" si="53"/>
        <v>-</v>
      </c>
      <c r="J118" s="379" t="str">
        <f t="shared" si="53"/>
        <v>-</v>
      </c>
      <c r="K118" s="363" t="str">
        <f t="shared" si="53"/>
        <v>-</v>
      </c>
      <c r="L118" s="615"/>
      <c r="M118" s="366" t="e">
        <f>RANK(K118, K$67:$K$81)</f>
        <v>#VALUE!</v>
      </c>
      <c r="N118" s="624"/>
      <c r="O118" s="624"/>
      <c r="P118" s="182"/>
      <c r="Q118" s="182"/>
      <c r="R118" s="182"/>
      <c r="S118" s="500"/>
      <c r="T118" s="674"/>
      <c r="U118" s="182"/>
      <c r="V118" s="182"/>
      <c r="W118" s="182"/>
      <c r="X118" s="359"/>
      <c r="Y118" s="674"/>
      <c r="Z118" s="182"/>
      <c r="AA118" s="182"/>
      <c r="AB118" s="182"/>
      <c r="AC118" s="359"/>
      <c r="AD118" s="674"/>
      <c r="AE118" s="182"/>
      <c r="AF118" s="182"/>
      <c r="AG118" s="182"/>
      <c r="AH118" s="359"/>
      <c r="AI118" s="674"/>
      <c r="AJ118" s="182"/>
      <c r="AK118" s="182"/>
      <c r="AL118" s="182"/>
      <c r="AM118" s="359"/>
      <c r="AN118" s="674"/>
      <c r="AO118" s="182"/>
      <c r="AP118" s="182"/>
      <c r="AQ118" s="182"/>
      <c r="AR118" s="359"/>
      <c r="AS118" s="674"/>
      <c r="AT118" s="182"/>
      <c r="AU118" s="182"/>
      <c r="AV118" s="182"/>
      <c r="AW118" s="359"/>
      <c r="AX118" s="674"/>
      <c r="AZ118" s="500" t="e">
        <f t="shared" si="55"/>
        <v>#N/A</v>
      </c>
      <c r="BA118" s="674"/>
    </row>
    <row r="119" spans="2:53">
      <c r="B119" s="661"/>
      <c r="C119" s="359">
        <v>13</v>
      </c>
      <c r="D119" s="346"/>
      <c r="E119" s="366"/>
      <c r="F119" s="366"/>
      <c r="G119" s="366"/>
      <c r="H119" s="672"/>
      <c r="I119" s="379" t="str">
        <f t="shared" si="53"/>
        <v>-</v>
      </c>
      <c r="J119" s="379" t="str">
        <f t="shared" si="53"/>
        <v>-</v>
      </c>
      <c r="K119" s="363" t="str">
        <f t="shared" si="53"/>
        <v>-</v>
      </c>
      <c r="L119" s="615"/>
      <c r="M119" s="366" t="e">
        <f>RANK(K119, K$67:$K$81)</f>
        <v>#VALUE!</v>
      </c>
      <c r="N119" s="624"/>
      <c r="O119" s="624"/>
      <c r="P119" s="182"/>
      <c r="Q119" s="182"/>
      <c r="R119" s="182"/>
      <c r="S119" s="500"/>
      <c r="T119" s="674"/>
      <c r="U119" s="182"/>
      <c r="V119" s="182"/>
      <c r="W119" s="182"/>
      <c r="X119" s="359"/>
      <c r="Y119" s="674"/>
      <c r="Z119" s="182"/>
      <c r="AA119" s="182"/>
      <c r="AB119" s="182"/>
      <c r="AC119" s="359"/>
      <c r="AD119" s="674"/>
      <c r="AE119" s="182"/>
      <c r="AF119" s="182"/>
      <c r="AG119" s="182"/>
      <c r="AH119" s="359"/>
      <c r="AI119" s="674"/>
      <c r="AJ119" s="182"/>
      <c r="AK119" s="182"/>
      <c r="AL119" s="182"/>
      <c r="AM119" s="359"/>
      <c r="AN119" s="674"/>
      <c r="AO119" s="182"/>
      <c r="AP119" s="182"/>
      <c r="AQ119" s="182"/>
      <c r="AR119" s="359"/>
      <c r="AS119" s="674"/>
      <c r="AT119" s="182"/>
      <c r="AU119" s="182"/>
      <c r="AV119" s="182"/>
      <c r="AW119" s="359"/>
      <c r="AX119" s="674"/>
      <c r="AZ119" s="500" t="e">
        <f t="shared" si="55"/>
        <v>#N/A</v>
      </c>
      <c r="BA119" s="674"/>
    </row>
    <row r="120" spans="2:53">
      <c r="B120" s="661"/>
      <c r="C120" s="359">
        <v>14</v>
      </c>
      <c r="D120" s="346"/>
      <c r="E120" s="366"/>
      <c r="F120" s="366"/>
      <c r="G120" s="366"/>
      <c r="H120" s="672"/>
      <c r="I120" s="379" t="str">
        <f t="shared" si="53"/>
        <v>-</v>
      </c>
      <c r="J120" s="379" t="str">
        <f t="shared" si="53"/>
        <v>-</v>
      </c>
      <c r="K120" s="363" t="str">
        <f t="shared" si="53"/>
        <v>-</v>
      </c>
      <c r="L120" s="615"/>
      <c r="M120" s="366" t="e">
        <f>RANK(K120, K$67:$K$81)</f>
        <v>#VALUE!</v>
      </c>
      <c r="N120" s="624"/>
      <c r="O120" s="624"/>
      <c r="P120" s="182"/>
      <c r="Q120" s="182"/>
      <c r="R120" s="182"/>
      <c r="S120" s="500"/>
      <c r="T120" s="674"/>
      <c r="U120" s="182"/>
      <c r="V120" s="182"/>
      <c r="W120" s="182"/>
      <c r="X120" s="359"/>
      <c r="Y120" s="674"/>
      <c r="Z120" s="182"/>
      <c r="AA120" s="182"/>
      <c r="AB120" s="182"/>
      <c r="AC120" s="359"/>
      <c r="AD120" s="674"/>
      <c r="AE120" s="182"/>
      <c r="AF120" s="182"/>
      <c r="AG120" s="182"/>
      <c r="AH120" s="359"/>
      <c r="AI120" s="674"/>
      <c r="AJ120" s="182"/>
      <c r="AK120" s="182"/>
      <c r="AL120" s="182"/>
      <c r="AM120" s="359"/>
      <c r="AN120" s="674"/>
      <c r="AO120" s="182"/>
      <c r="AP120" s="182"/>
      <c r="AQ120" s="182"/>
      <c r="AR120" s="359"/>
      <c r="AS120" s="674"/>
      <c r="AT120" s="182"/>
      <c r="AU120" s="182"/>
      <c r="AV120" s="182"/>
      <c r="AW120" s="359"/>
      <c r="AX120" s="674"/>
      <c r="AZ120" s="500" t="e">
        <f t="shared" si="55"/>
        <v>#N/A</v>
      </c>
      <c r="BA120" s="674"/>
    </row>
    <row r="121" spans="2:53">
      <c r="B121" s="661"/>
      <c r="C121" s="359">
        <v>15</v>
      </c>
      <c r="D121" s="346"/>
      <c r="E121" s="366"/>
      <c r="F121" s="366"/>
      <c r="G121" s="366"/>
      <c r="H121" s="676"/>
      <c r="I121" s="379" t="str">
        <f t="shared" si="53"/>
        <v>-</v>
      </c>
      <c r="J121" s="379" t="str">
        <f t="shared" si="53"/>
        <v>-</v>
      </c>
      <c r="K121" s="363" t="str">
        <f t="shared" si="53"/>
        <v>-</v>
      </c>
      <c r="L121" s="616"/>
      <c r="M121" s="366" t="e">
        <f>RANK(K121, K$67:$K$81)</f>
        <v>#VALUE!</v>
      </c>
      <c r="N121" s="624"/>
      <c r="O121" s="624"/>
      <c r="P121" s="182"/>
      <c r="Q121" s="182"/>
      <c r="R121" s="182"/>
      <c r="S121" s="500"/>
      <c r="T121" s="674"/>
      <c r="U121" s="182"/>
      <c r="V121" s="182"/>
      <c r="W121" s="182"/>
      <c r="X121" s="359"/>
      <c r="Y121" s="674"/>
      <c r="Z121" s="182"/>
      <c r="AA121" s="182"/>
      <c r="AB121" s="182"/>
      <c r="AC121" s="359"/>
      <c r="AD121" s="674"/>
      <c r="AE121" s="182"/>
      <c r="AF121" s="182"/>
      <c r="AG121" s="182"/>
      <c r="AH121" s="359"/>
      <c r="AI121" s="674"/>
      <c r="AJ121" s="182"/>
      <c r="AK121" s="182"/>
      <c r="AL121" s="182"/>
      <c r="AM121" s="359"/>
      <c r="AN121" s="674"/>
      <c r="AO121" s="182"/>
      <c r="AP121" s="182"/>
      <c r="AQ121" s="182"/>
      <c r="AR121" s="359"/>
      <c r="AS121" s="674"/>
      <c r="AT121" s="182"/>
      <c r="AU121" s="182"/>
      <c r="AV121" s="182"/>
      <c r="AW121" s="359"/>
      <c r="AX121" s="674"/>
      <c r="AZ121" s="500" t="e">
        <f t="shared" si="55"/>
        <v>#N/A</v>
      </c>
      <c r="BA121" s="674"/>
    </row>
    <row r="123" spans="2:53" ht="15.75">
      <c r="B123" s="666" t="s">
        <v>520</v>
      </c>
      <c r="C123" s="667"/>
      <c r="D123" s="667"/>
      <c r="E123" s="667"/>
      <c r="F123" s="667"/>
      <c r="G123" s="667"/>
      <c r="H123" s="668"/>
      <c r="I123" s="286"/>
      <c r="J123" s="286"/>
      <c r="K123" s="286"/>
      <c r="L123" s="286"/>
      <c r="M123" s="287"/>
    </row>
    <row r="124" spans="2:53" ht="15.75">
      <c r="B124" s="669"/>
      <c r="C124" s="669"/>
      <c r="D124" s="669"/>
      <c r="E124" s="669"/>
      <c r="F124" s="669"/>
      <c r="G124" s="669"/>
      <c r="H124" s="669"/>
      <c r="I124" s="360"/>
      <c r="J124" s="360"/>
      <c r="K124" s="360"/>
      <c r="L124" s="360"/>
      <c r="M124" s="289"/>
    </row>
    <row r="125" spans="2:53">
      <c r="B125" s="624" t="s">
        <v>506</v>
      </c>
      <c r="C125" s="624" t="s">
        <v>507</v>
      </c>
      <c r="D125" s="624"/>
      <c r="E125" s="624" t="s">
        <v>508</v>
      </c>
      <c r="F125" s="624"/>
      <c r="G125" s="624"/>
      <c r="H125" s="647" t="s">
        <v>509</v>
      </c>
      <c r="I125" s="670" t="s">
        <v>510</v>
      </c>
      <c r="J125" s="670"/>
      <c r="K125" s="670"/>
      <c r="L125" s="683" t="s">
        <v>509</v>
      </c>
      <c r="M125" s="686" t="s">
        <v>511</v>
      </c>
    </row>
    <row r="126" spans="2:53">
      <c r="B126" s="624"/>
      <c r="C126" s="624"/>
      <c r="D126" s="624"/>
      <c r="E126" s="624" t="s">
        <v>514</v>
      </c>
      <c r="F126" s="624"/>
      <c r="G126" s="624"/>
      <c r="H126" s="648"/>
      <c r="I126" s="670" t="s">
        <v>514</v>
      </c>
      <c r="J126" s="670"/>
      <c r="K126" s="670"/>
      <c r="L126" s="684"/>
      <c r="M126" s="687"/>
    </row>
    <row r="127" spans="2:53">
      <c r="B127" s="624"/>
      <c r="C127" s="624"/>
      <c r="D127" s="624"/>
      <c r="E127" s="353" t="s">
        <v>516</v>
      </c>
      <c r="F127" s="353" t="s">
        <v>517</v>
      </c>
      <c r="G127" s="353" t="s">
        <v>518</v>
      </c>
      <c r="H127" s="649"/>
      <c r="I127" s="361" t="s">
        <v>516</v>
      </c>
      <c r="J127" s="361" t="s">
        <v>517</v>
      </c>
      <c r="K127" s="361" t="s">
        <v>518</v>
      </c>
      <c r="L127" s="685"/>
      <c r="M127" s="688"/>
    </row>
    <row r="128" spans="2:53">
      <c r="B128" s="675" t="s">
        <v>524</v>
      </c>
      <c r="C128" s="354">
        <v>1</v>
      </c>
      <c r="D128" s="223"/>
      <c r="E128" s="182"/>
      <c r="F128" s="354"/>
      <c r="G128" s="362"/>
      <c r="H128" s="677" t="e">
        <f>AVERAGE(G128:G142)</f>
        <v>#DIV/0!</v>
      </c>
      <c r="I128" s="365" t="e">
        <f t="shared" ref="I128:K138" si="56">AVERAGEIF($D$7:$D$121,$D128,I$7:I$121)</f>
        <v>#DIV/0!</v>
      </c>
      <c r="J128" s="365" t="e">
        <f t="shared" si="56"/>
        <v>#DIV/0!</v>
      </c>
      <c r="K128" s="365" t="e">
        <f t="shared" si="56"/>
        <v>#DIV/0!</v>
      </c>
      <c r="L128" s="680" t="e">
        <f>AVERAGE(K128:K142)</f>
        <v>#DIV/0!</v>
      </c>
      <c r="M128" s="365" t="e">
        <f>RANK(K128, K$128:$K$142)</f>
        <v>#DIV/0!</v>
      </c>
    </row>
    <row r="129" spans="2:13" s="108" customFormat="1">
      <c r="B129" s="635"/>
      <c r="C129" s="354">
        <v>2</v>
      </c>
      <c r="D129" s="223"/>
      <c r="E129" s="182"/>
      <c r="F129" s="354"/>
      <c r="G129" s="362"/>
      <c r="H129" s="678"/>
      <c r="I129" s="365" t="e">
        <f t="shared" si="56"/>
        <v>#DIV/0!</v>
      </c>
      <c r="J129" s="365" t="e">
        <f t="shared" si="56"/>
        <v>#DIV/0!</v>
      </c>
      <c r="K129" s="365" t="e">
        <f t="shared" si="56"/>
        <v>#DIV/0!</v>
      </c>
      <c r="L129" s="681"/>
      <c r="M129" s="365" t="e">
        <f>RANK(K129, K$128:$K$142)</f>
        <v>#DIV/0!</v>
      </c>
    </row>
    <row r="130" spans="2:13" s="108" customFormat="1">
      <c r="B130" s="635"/>
      <c r="C130" s="354">
        <v>3</v>
      </c>
      <c r="D130" s="223"/>
      <c r="E130" s="182"/>
      <c r="F130" s="354"/>
      <c r="G130" s="362"/>
      <c r="H130" s="678"/>
      <c r="I130" s="365" t="e">
        <f t="shared" si="56"/>
        <v>#DIV/0!</v>
      </c>
      <c r="J130" s="365" t="e">
        <f t="shared" si="56"/>
        <v>#DIV/0!</v>
      </c>
      <c r="K130" s="365" t="e">
        <f t="shared" si="56"/>
        <v>#DIV/0!</v>
      </c>
      <c r="L130" s="681"/>
      <c r="M130" s="365" t="e">
        <f>RANK(K130, K$128:$K$142)</f>
        <v>#DIV/0!</v>
      </c>
    </row>
    <row r="131" spans="2:13" s="108" customFormat="1">
      <c r="B131" s="635"/>
      <c r="C131" s="354">
        <v>4</v>
      </c>
      <c r="D131" s="223"/>
      <c r="E131" s="182"/>
      <c r="F131" s="354"/>
      <c r="G131" s="362"/>
      <c r="H131" s="678"/>
      <c r="I131" s="365" t="e">
        <f t="shared" si="56"/>
        <v>#DIV/0!</v>
      </c>
      <c r="J131" s="365" t="e">
        <f t="shared" si="56"/>
        <v>#DIV/0!</v>
      </c>
      <c r="K131" s="365" t="e">
        <f t="shared" si="56"/>
        <v>#DIV/0!</v>
      </c>
      <c r="L131" s="681"/>
      <c r="M131" s="365" t="e">
        <f>RANK(K131, K$128:$K$142)</f>
        <v>#DIV/0!</v>
      </c>
    </row>
    <row r="132" spans="2:13" s="108" customFormat="1">
      <c r="B132" s="635"/>
      <c r="C132" s="354">
        <v>5</v>
      </c>
      <c r="D132" s="223"/>
      <c r="E132" s="182"/>
      <c r="F132" s="354"/>
      <c r="G132" s="362"/>
      <c r="H132" s="678"/>
      <c r="I132" s="365" t="e">
        <f t="shared" si="56"/>
        <v>#DIV/0!</v>
      </c>
      <c r="J132" s="365" t="e">
        <f t="shared" si="56"/>
        <v>#DIV/0!</v>
      </c>
      <c r="K132" s="365" t="e">
        <f t="shared" si="56"/>
        <v>#DIV/0!</v>
      </c>
      <c r="L132" s="681"/>
      <c r="M132" s="365" t="e">
        <f>RANK(K132, K$128:$K$142)</f>
        <v>#DIV/0!</v>
      </c>
    </row>
    <row r="133" spans="2:13" s="108" customFormat="1">
      <c r="B133" s="635"/>
      <c r="C133" s="354">
        <v>6</v>
      </c>
      <c r="D133" s="291"/>
      <c r="E133" s="182"/>
      <c r="F133" s="354"/>
      <c r="G133" s="362"/>
      <c r="H133" s="678"/>
      <c r="I133" s="365" t="e">
        <f t="shared" si="56"/>
        <v>#DIV/0!</v>
      </c>
      <c r="J133" s="365" t="e">
        <f t="shared" si="56"/>
        <v>#DIV/0!</v>
      </c>
      <c r="K133" s="365" t="e">
        <f t="shared" si="56"/>
        <v>#DIV/0!</v>
      </c>
      <c r="L133" s="681"/>
      <c r="M133" s="365" t="e">
        <f>RANK(K133, K$128:$K$142)</f>
        <v>#DIV/0!</v>
      </c>
    </row>
    <row r="134" spans="2:13" s="108" customFormat="1">
      <c r="B134" s="635"/>
      <c r="C134" s="354">
        <v>7</v>
      </c>
      <c r="D134" s="223"/>
      <c r="E134" s="182"/>
      <c r="F134" s="354"/>
      <c r="G134" s="362"/>
      <c r="H134" s="678"/>
      <c r="I134" s="365" t="e">
        <f t="shared" si="56"/>
        <v>#DIV/0!</v>
      </c>
      <c r="J134" s="365" t="e">
        <f t="shared" si="56"/>
        <v>#DIV/0!</v>
      </c>
      <c r="K134" s="365" t="e">
        <f t="shared" si="56"/>
        <v>#DIV/0!</v>
      </c>
      <c r="L134" s="681"/>
      <c r="M134" s="365" t="e">
        <f>RANK(K134, K$128:$K$142)</f>
        <v>#DIV/0!</v>
      </c>
    </row>
    <row r="135" spans="2:13" s="108" customFormat="1">
      <c r="B135" s="635"/>
      <c r="C135" s="354">
        <v>8</v>
      </c>
      <c r="D135" s="223"/>
      <c r="E135" s="182"/>
      <c r="F135" s="354"/>
      <c r="G135" s="362"/>
      <c r="H135" s="678"/>
      <c r="I135" s="365" t="e">
        <f t="shared" si="56"/>
        <v>#DIV/0!</v>
      </c>
      <c r="J135" s="365" t="e">
        <f t="shared" si="56"/>
        <v>#DIV/0!</v>
      </c>
      <c r="K135" s="365" t="e">
        <f t="shared" si="56"/>
        <v>#DIV/0!</v>
      </c>
      <c r="L135" s="681"/>
      <c r="M135" s="365" t="e">
        <f>RANK(K135, K$128:$K$142)</f>
        <v>#DIV/0!</v>
      </c>
    </row>
    <row r="136" spans="2:13" s="108" customFormat="1">
      <c r="B136" s="635"/>
      <c r="C136" s="354">
        <v>9</v>
      </c>
      <c r="D136" s="223"/>
      <c r="E136" s="354"/>
      <c r="F136" s="354"/>
      <c r="G136" s="354"/>
      <c r="H136" s="678"/>
      <c r="I136" s="365" t="e">
        <f t="shared" si="56"/>
        <v>#DIV/0!</v>
      </c>
      <c r="J136" s="365" t="e">
        <f t="shared" si="56"/>
        <v>#DIV/0!</v>
      </c>
      <c r="K136" s="365" t="e">
        <f t="shared" si="56"/>
        <v>#DIV/0!</v>
      </c>
      <c r="L136" s="681"/>
      <c r="M136" s="365" t="e">
        <f>RANK(K136, K$128:$K$142)</f>
        <v>#DIV/0!</v>
      </c>
    </row>
    <row r="137" spans="2:13" s="108" customFormat="1">
      <c r="B137" s="635"/>
      <c r="C137" s="354">
        <v>10</v>
      </c>
      <c r="D137" s="223"/>
      <c r="E137" s="354"/>
      <c r="F137" s="354"/>
      <c r="G137" s="354"/>
      <c r="H137" s="678"/>
      <c r="I137" s="365" t="e">
        <f t="shared" si="56"/>
        <v>#DIV/0!</v>
      </c>
      <c r="J137" s="365" t="e">
        <f t="shared" si="56"/>
        <v>#DIV/0!</v>
      </c>
      <c r="K137" s="365" t="e">
        <f t="shared" si="56"/>
        <v>#DIV/0!</v>
      </c>
      <c r="L137" s="681"/>
      <c r="M137" s="365" t="e">
        <f>RANK(K137, K$128:$K$142)</f>
        <v>#DIV/0!</v>
      </c>
    </row>
    <row r="138" spans="2:13" s="108" customFormat="1">
      <c r="B138" s="635"/>
      <c r="C138" s="354">
        <v>11</v>
      </c>
      <c r="D138" s="223"/>
      <c r="E138" s="354"/>
      <c r="F138" s="354"/>
      <c r="G138" s="354"/>
      <c r="H138" s="678"/>
      <c r="I138" s="365" t="e">
        <f t="shared" si="56"/>
        <v>#DIV/0!</v>
      </c>
      <c r="J138" s="365" t="e">
        <f t="shared" si="56"/>
        <v>#DIV/0!</v>
      </c>
      <c r="K138" s="365" t="e">
        <f t="shared" si="56"/>
        <v>#DIV/0!</v>
      </c>
      <c r="L138" s="681"/>
      <c r="M138" s="365" t="e">
        <f>RANK(K138, K$128:$K$142)</f>
        <v>#DIV/0!</v>
      </c>
    </row>
    <row r="139" spans="2:13" s="108" customFormat="1">
      <c r="B139" s="635"/>
      <c r="C139" s="354">
        <v>12</v>
      </c>
      <c r="D139" s="223"/>
      <c r="E139" s="354"/>
      <c r="F139" s="354"/>
      <c r="G139" s="354"/>
      <c r="H139" s="678"/>
      <c r="I139" s="365"/>
      <c r="J139" s="365"/>
      <c r="K139" s="365"/>
      <c r="L139" s="681"/>
      <c r="M139" s="365" t="e">
        <f>RANK(K139, K$128:$K$142)</f>
        <v>#DIV/0!</v>
      </c>
    </row>
    <row r="140" spans="2:13" s="108" customFormat="1">
      <c r="B140" s="635"/>
      <c r="C140" s="354">
        <v>13</v>
      </c>
      <c r="D140" s="223"/>
      <c r="E140" s="354"/>
      <c r="F140" s="354"/>
      <c r="G140" s="354"/>
      <c r="H140" s="678"/>
      <c r="I140" s="365"/>
      <c r="J140" s="365"/>
      <c r="K140" s="365"/>
      <c r="L140" s="681"/>
      <c r="M140" s="365" t="e">
        <f>RANK(K140, K$128:$K$142)</f>
        <v>#DIV/0!</v>
      </c>
    </row>
    <row r="141" spans="2:13" s="108" customFormat="1">
      <c r="B141" s="635"/>
      <c r="C141" s="354">
        <v>14</v>
      </c>
      <c r="D141" s="223"/>
      <c r="E141" s="354"/>
      <c r="F141" s="354"/>
      <c r="G141" s="354"/>
      <c r="H141" s="678"/>
      <c r="I141" s="365"/>
      <c r="J141" s="365"/>
      <c r="K141" s="365"/>
      <c r="L141" s="681"/>
      <c r="M141" s="365" t="e">
        <f>RANK(K141, K$128:$K$142)</f>
        <v>#DIV/0!</v>
      </c>
    </row>
    <row r="142" spans="2:13" s="108" customFormat="1">
      <c r="B142" s="635"/>
      <c r="C142" s="354">
        <v>15</v>
      </c>
      <c r="D142" s="223"/>
      <c r="E142" s="354"/>
      <c r="F142" s="354"/>
      <c r="G142" s="354"/>
      <c r="H142" s="679"/>
      <c r="I142" s="365"/>
      <c r="J142" s="365"/>
      <c r="K142" s="365"/>
      <c r="L142" s="682"/>
      <c r="M142" s="365" t="e">
        <f>RANK(K142, K$128:$K$142)</f>
        <v>#DIV/0!</v>
      </c>
    </row>
  </sheetData>
  <mergeCells count="372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T65:AW65"/>
    <mergeCell ref="AO64:AR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Y64:Y66"/>
    <mergeCell ref="Z64:AC64"/>
    <mergeCell ref="AX64:AX66"/>
    <mergeCell ref="E65:G65"/>
    <mergeCell ref="B84:B86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P84:S84"/>
    <mergeCell ref="T84:T86"/>
    <mergeCell ref="U84:X84"/>
    <mergeCell ref="U64:X64"/>
    <mergeCell ref="I65:K65"/>
    <mergeCell ref="P65:S65"/>
    <mergeCell ref="U65:X65"/>
    <mergeCell ref="Z65:AC65"/>
    <mergeCell ref="Y87:Y101"/>
    <mergeCell ref="AD87:AD101"/>
    <mergeCell ref="AI87:AI101"/>
    <mergeCell ref="AE84:AH84"/>
    <mergeCell ref="AI84:AI86"/>
    <mergeCell ref="Z84:AC84"/>
    <mergeCell ref="AD64:AD66"/>
    <mergeCell ref="AE64:AH64"/>
    <mergeCell ref="AI64:AI66"/>
    <mergeCell ref="C64:D66"/>
    <mergeCell ref="AS67:AS81"/>
    <mergeCell ref="H64:H66"/>
    <mergeCell ref="I64:K64"/>
    <mergeCell ref="L64:L66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E64:G64"/>
    <mergeCell ref="AO65:AR65"/>
    <mergeCell ref="AJ64:AM64"/>
    <mergeCell ref="AE65:AH65"/>
    <mergeCell ref="AJ65:AM65"/>
    <mergeCell ref="M64:M66"/>
    <mergeCell ref="N64:N81"/>
    <mergeCell ref="O64:O81"/>
    <mergeCell ref="P64:S64"/>
    <mergeCell ref="T64:T66"/>
    <mergeCell ref="BA27:BA41"/>
    <mergeCell ref="BA47:BA61"/>
    <mergeCell ref="BA67:BA8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S64:AS66"/>
    <mergeCell ref="AT64:AW64"/>
    <mergeCell ref="B64:B66"/>
    <mergeCell ref="BA87:BA101"/>
    <mergeCell ref="BA107:BA12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5:AH85"/>
    <mergeCell ref="Z85:AC85"/>
    <mergeCell ref="Y84:Y8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CC"/>
  </sheetPr>
  <dimension ref="A1:BB142"/>
  <sheetViews>
    <sheetView topLeftCell="A51" zoomScale="55" zoomScaleNormal="55" workbookViewId="0">
      <pane xSplit="15" topLeftCell="P1" activePane="topRight" state="frozen"/>
      <selection activeCell="P38" sqref="P38:T38"/>
      <selection pane="topRight" activeCell="T87" sqref="S87:T10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18" t="s">
        <v>307</v>
      </c>
      <c r="C1" s="217">
        <f>AVERAGE(L7,L27,L47,L67,L87,L107)</f>
        <v>152.24308823417576</v>
      </c>
    </row>
    <row r="2" spans="1:54" ht="15.75">
      <c r="A2" s="81"/>
      <c r="B2" s="643" t="s">
        <v>496</v>
      </c>
      <c r="C2" s="643"/>
      <c r="D2" s="643"/>
      <c r="E2" s="643"/>
      <c r="F2" s="643"/>
      <c r="G2" s="643"/>
      <c r="H2" s="643"/>
      <c r="I2" s="355"/>
      <c r="J2" s="355"/>
      <c r="K2" s="355"/>
      <c r="L2" s="355"/>
      <c r="M2" s="197"/>
      <c r="N2" s="639" t="s">
        <v>497</v>
      </c>
      <c r="O2" s="639" t="s">
        <v>498</v>
      </c>
      <c r="P2" s="634"/>
      <c r="Q2" s="635"/>
      <c r="R2" s="635"/>
      <c r="S2" s="635"/>
      <c r="T2" s="635"/>
      <c r="U2" s="636">
        <v>46204</v>
      </c>
      <c r="V2" s="637"/>
      <c r="W2" s="637"/>
      <c r="X2" s="637"/>
      <c r="Y2" s="638"/>
      <c r="Z2" s="636">
        <f>U2+1</f>
        <v>46205</v>
      </c>
      <c r="AA2" s="637"/>
      <c r="AB2" s="637"/>
      <c r="AC2" s="637"/>
      <c r="AD2" s="638"/>
      <c r="AE2" s="636">
        <f>Z2+1</f>
        <v>46206</v>
      </c>
      <c r="AF2" s="637"/>
      <c r="AG2" s="637"/>
      <c r="AH2" s="637"/>
      <c r="AI2" s="638"/>
      <c r="AJ2" s="636">
        <f>AE2+1</f>
        <v>46207</v>
      </c>
      <c r="AK2" s="637"/>
      <c r="AL2" s="637"/>
      <c r="AM2" s="637"/>
      <c r="AN2" s="638"/>
      <c r="AO2" s="636">
        <f>AJ2+1</f>
        <v>46208</v>
      </c>
      <c r="AP2" s="637"/>
      <c r="AQ2" s="637"/>
      <c r="AR2" s="637"/>
      <c r="AS2" s="638"/>
      <c r="AT2" s="636">
        <f>AO2+1</f>
        <v>46209</v>
      </c>
      <c r="AU2" s="637"/>
      <c r="AV2" s="637"/>
      <c r="AW2" s="637"/>
      <c r="AX2" s="638"/>
    </row>
    <row r="3" spans="1:54" ht="15.75">
      <c r="A3" s="81"/>
      <c r="B3" s="659"/>
      <c r="C3" s="659"/>
      <c r="D3" s="659"/>
      <c r="E3" s="659"/>
      <c r="F3" s="659"/>
      <c r="G3" s="659"/>
      <c r="H3" s="659"/>
      <c r="I3" s="356"/>
      <c r="J3" s="356"/>
      <c r="K3" s="356"/>
      <c r="L3" s="356"/>
      <c r="M3" s="198"/>
      <c r="N3" s="641"/>
      <c r="O3" s="641"/>
      <c r="P3" s="636" t="s">
        <v>499</v>
      </c>
      <c r="Q3" s="637"/>
      <c r="R3" s="637"/>
      <c r="S3" s="637"/>
      <c r="T3" s="638"/>
      <c r="U3" s="636" t="s">
        <v>500</v>
      </c>
      <c r="V3" s="637"/>
      <c r="W3" s="637"/>
      <c r="X3" s="637"/>
      <c r="Y3" s="638"/>
      <c r="Z3" s="636" t="s">
        <v>501</v>
      </c>
      <c r="AA3" s="637"/>
      <c r="AB3" s="637"/>
      <c r="AC3" s="637"/>
      <c r="AD3" s="638"/>
      <c r="AE3" s="636" t="s">
        <v>502</v>
      </c>
      <c r="AF3" s="637"/>
      <c r="AG3" s="637"/>
      <c r="AH3" s="637"/>
      <c r="AI3" s="638"/>
      <c r="AJ3" s="636" t="s">
        <v>503</v>
      </c>
      <c r="AK3" s="637"/>
      <c r="AL3" s="637"/>
      <c r="AM3" s="637"/>
      <c r="AN3" s="638"/>
      <c r="AO3" s="636" t="s">
        <v>504</v>
      </c>
      <c r="AP3" s="637"/>
      <c r="AQ3" s="637"/>
      <c r="AR3" s="637"/>
      <c r="AS3" s="638"/>
      <c r="AT3" s="636" t="s">
        <v>505</v>
      </c>
      <c r="AU3" s="637"/>
      <c r="AV3" s="637"/>
      <c r="AW3" s="637"/>
      <c r="AX3" s="638"/>
    </row>
    <row r="4" spans="1:54" ht="14.25">
      <c r="A4" s="81"/>
      <c r="B4" s="624" t="s">
        <v>760</v>
      </c>
      <c r="C4" s="624" t="s">
        <v>761</v>
      </c>
      <c r="D4" s="624"/>
      <c r="E4" s="624" t="s">
        <v>762</v>
      </c>
      <c r="F4" s="624"/>
      <c r="G4" s="624"/>
      <c r="H4" s="647" t="s">
        <v>763</v>
      </c>
      <c r="I4" s="617" t="s">
        <v>764</v>
      </c>
      <c r="J4" s="617"/>
      <c r="K4" s="617"/>
      <c r="L4" s="618" t="s">
        <v>763</v>
      </c>
      <c r="M4" s="628" t="s">
        <v>773</v>
      </c>
      <c r="N4" s="624"/>
      <c r="O4" s="624" t="s">
        <v>598</v>
      </c>
      <c r="P4" s="621" t="s">
        <v>599</v>
      </c>
      <c r="Q4" s="622"/>
      <c r="R4" s="622"/>
      <c r="S4" s="623"/>
      <c r="T4" s="624" t="s">
        <v>573</v>
      </c>
      <c r="U4" s="621" t="s">
        <v>599</v>
      </c>
      <c r="V4" s="622"/>
      <c r="W4" s="622"/>
      <c r="X4" s="623"/>
      <c r="Y4" s="624" t="s">
        <v>573</v>
      </c>
      <c r="Z4" s="621" t="s">
        <v>599</v>
      </c>
      <c r="AA4" s="622"/>
      <c r="AB4" s="622"/>
      <c r="AC4" s="623"/>
      <c r="AD4" s="624" t="s">
        <v>573</v>
      </c>
      <c r="AE4" s="621" t="s">
        <v>599</v>
      </c>
      <c r="AF4" s="622"/>
      <c r="AG4" s="622"/>
      <c r="AH4" s="623"/>
      <c r="AI4" s="624" t="s">
        <v>573</v>
      </c>
      <c r="AJ4" s="621" t="s">
        <v>599</v>
      </c>
      <c r="AK4" s="622"/>
      <c r="AL4" s="622"/>
      <c r="AM4" s="623"/>
      <c r="AN4" s="624" t="s">
        <v>573</v>
      </c>
      <c r="AO4" s="621" t="s">
        <v>599</v>
      </c>
      <c r="AP4" s="622"/>
      <c r="AQ4" s="622"/>
      <c r="AR4" s="623"/>
      <c r="AS4" s="624" t="s">
        <v>573</v>
      </c>
      <c r="AT4" s="621" t="s">
        <v>599</v>
      </c>
      <c r="AU4" s="622"/>
      <c r="AV4" s="622"/>
      <c r="AW4" s="623"/>
      <c r="AX4" s="624" t="s">
        <v>573</v>
      </c>
    </row>
    <row r="5" spans="1:54" ht="14.25">
      <c r="A5" s="81"/>
      <c r="B5" s="624"/>
      <c r="C5" s="624"/>
      <c r="D5" s="624"/>
      <c r="E5" s="624" t="s">
        <v>765</v>
      </c>
      <c r="F5" s="624"/>
      <c r="G5" s="624"/>
      <c r="H5" s="648"/>
      <c r="I5" s="617" t="s">
        <v>765</v>
      </c>
      <c r="J5" s="617"/>
      <c r="K5" s="617"/>
      <c r="L5" s="619"/>
      <c r="M5" s="629"/>
      <c r="N5" s="624"/>
      <c r="O5" s="624"/>
      <c r="P5" s="621" t="s">
        <v>582</v>
      </c>
      <c r="Q5" s="622"/>
      <c r="R5" s="622"/>
      <c r="S5" s="623"/>
      <c r="T5" s="624"/>
      <c r="U5" s="621" t="s">
        <v>582</v>
      </c>
      <c r="V5" s="622"/>
      <c r="W5" s="622"/>
      <c r="X5" s="623"/>
      <c r="Y5" s="624"/>
      <c r="Z5" s="621" t="s">
        <v>582</v>
      </c>
      <c r="AA5" s="622"/>
      <c r="AB5" s="622"/>
      <c r="AC5" s="623"/>
      <c r="AD5" s="624"/>
      <c r="AE5" s="621" t="s">
        <v>582</v>
      </c>
      <c r="AF5" s="622"/>
      <c r="AG5" s="622"/>
      <c r="AH5" s="623"/>
      <c r="AI5" s="624"/>
      <c r="AJ5" s="621" t="s">
        <v>582</v>
      </c>
      <c r="AK5" s="622"/>
      <c r="AL5" s="622"/>
      <c r="AM5" s="623"/>
      <c r="AN5" s="624"/>
      <c r="AO5" s="621" t="s">
        <v>582</v>
      </c>
      <c r="AP5" s="622"/>
      <c r="AQ5" s="622"/>
      <c r="AR5" s="623"/>
      <c r="AS5" s="624"/>
      <c r="AT5" s="621" t="s">
        <v>582</v>
      </c>
      <c r="AU5" s="622"/>
      <c r="AV5" s="622"/>
      <c r="AW5" s="623"/>
      <c r="AX5" s="624"/>
    </row>
    <row r="6" spans="1:54" ht="14.25">
      <c r="A6" s="79"/>
      <c r="B6" s="624"/>
      <c r="C6" s="624"/>
      <c r="D6" s="624"/>
      <c r="E6" s="482" t="s">
        <v>766</v>
      </c>
      <c r="F6" s="482" t="s">
        <v>767</v>
      </c>
      <c r="G6" s="482" t="s">
        <v>768</v>
      </c>
      <c r="H6" s="649"/>
      <c r="I6" s="481" t="s">
        <v>766</v>
      </c>
      <c r="J6" s="481" t="s">
        <v>767</v>
      </c>
      <c r="K6" s="481" t="s">
        <v>768</v>
      </c>
      <c r="L6" s="620"/>
      <c r="M6" s="630"/>
      <c r="N6" s="624"/>
      <c r="O6" s="624"/>
      <c r="P6" s="413" t="s">
        <v>585</v>
      </c>
      <c r="Q6" s="413" t="s">
        <v>586</v>
      </c>
      <c r="R6" s="413" t="s">
        <v>587</v>
      </c>
      <c r="S6" s="413" t="s">
        <v>588</v>
      </c>
      <c r="T6" s="624"/>
      <c r="U6" s="413" t="s">
        <v>585</v>
      </c>
      <c r="V6" s="413" t="s">
        <v>586</v>
      </c>
      <c r="W6" s="413" t="s">
        <v>587</v>
      </c>
      <c r="X6" s="413" t="s">
        <v>588</v>
      </c>
      <c r="Y6" s="624"/>
      <c r="Z6" s="413" t="s">
        <v>585</v>
      </c>
      <c r="AA6" s="413" t="s">
        <v>586</v>
      </c>
      <c r="AB6" s="413" t="s">
        <v>587</v>
      </c>
      <c r="AC6" s="413" t="s">
        <v>588</v>
      </c>
      <c r="AD6" s="624"/>
      <c r="AE6" s="413" t="s">
        <v>585</v>
      </c>
      <c r="AF6" s="413" t="s">
        <v>586</v>
      </c>
      <c r="AG6" s="413" t="s">
        <v>587</v>
      </c>
      <c r="AH6" s="413" t="s">
        <v>588</v>
      </c>
      <c r="AI6" s="624"/>
      <c r="AJ6" s="413" t="s">
        <v>585</v>
      </c>
      <c r="AK6" s="413" t="s">
        <v>586</v>
      </c>
      <c r="AL6" s="413" t="s">
        <v>587</v>
      </c>
      <c r="AM6" s="413" t="s">
        <v>588</v>
      </c>
      <c r="AN6" s="624"/>
      <c r="AO6" s="413" t="s">
        <v>585</v>
      </c>
      <c r="AP6" s="413" t="s">
        <v>586</v>
      </c>
      <c r="AQ6" s="413" t="s">
        <v>587</v>
      </c>
      <c r="AR6" s="413" t="s">
        <v>588</v>
      </c>
      <c r="AS6" s="624"/>
      <c r="AT6" s="413" t="s">
        <v>585</v>
      </c>
      <c r="AU6" s="413" t="s">
        <v>586</v>
      </c>
      <c r="AV6" s="413" t="s">
        <v>587</v>
      </c>
      <c r="AW6" s="413" t="s">
        <v>588</v>
      </c>
      <c r="AX6" s="624"/>
    </row>
    <row r="7" spans="1:54" ht="14.25">
      <c r="A7" s="81"/>
      <c r="B7" s="624" t="s">
        <v>780</v>
      </c>
      <c r="C7" s="483">
        <v>1</v>
      </c>
      <c r="D7" s="223" t="s">
        <v>842</v>
      </c>
      <c r="E7" s="538">
        <v>15</v>
      </c>
      <c r="F7" s="529">
        <v>2000</v>
      </c>
      <c r="G7" s="530">
        <v>100</v>
      </c>
      <c r="H7" s="677">
        <f>AVERAGE(G7:G21)</f>
        <v>100</v>
      </c>
      <c r="I7" s="487">
        <f t="shared" ref="I7:K20" si="0">IFERROR(AVERAGE(P7,U7,Z7,AE7,AJ7,AO7,AT7),"-")</f>
        <v>15</v>
      </c>
      <c r="J7" s="487">
        <f t="shared" si="0"/>
        <v>1983.8292644138364</v>
      </c>
      <c r="K7" s="363">
        <f t="shared" si="0"/>
        <v>132.25528429425577</v>
      </c>
      <c r="L7" s="614">
        <f>IFERROR(AVERAGE(K7:K21),"-")</f>
        <v>132.25528429425577</v>
      </c>
      <c r="M7" s="489">
        <f>RANK(K7, K$7:$K$21)</f>
        <v>1</v>
      </c>
      <c r="N7" s="624"/>
      <c r="O7" s="624"/>
      <c r="P7" s="411"/>
      <c r="Q7" s="182"/>
      <c r="R7" s="182"/>
      <c r="S7" s="411"/>
      <c r="T7" s="653"/>
      <c r="U7" s="529">
        <v>15</v>
      </c>
      <c r="V7" s="538">
        <v>1986.4000000000005</v>
      </c>
      <c r="W7" s="538">
        <v>132.4266666666667</v>
      </c>
      <c r="X7" s="529">
        <v>1</v>
      </c>
      <c r="Y7" s="653">
        <v>132.4266666666667</v>
      </c>
      <c r="Z7" s="529">
        <v>15</v>
      </c>
      <c r="AA7" s="538">
        <v>1968.8888888888889</v>
      </c>
      <c r="AB7" s="538">
        <v>131.25925925925927</v>
      </c>
      <c r="AC7" s="529">
        <v>1</v>
      </c>
      <c r="AD7" s="653">
        <v>131.25925925925927</v>
      </c>
      <c r="AE7" s="529">
        <v>15</v>
      </c>
      <c r="AF7" s="538">
        <v>2031.999999999998</v>
      </c>
      <c r="AG7" s="538">
        <v>135.46666666666653</v>
      </c>
      <c r="AH7" s="529">
        <v>1</v>
      </c>
      <c r="AI7" s="653">
        <v>135.46666666666653</v>
      </c>
      <c r="AJ7" s="529">
        <v>15</v>
      </c>
      <c r="AK7" s="538">
        <v>1959.6923076923074</v>
      </c>
      <c r="AL7" s="538">
        <v>130.64615384615382</v>
      </c>
      <c r="AM7" s="529">
        <v>1</v>
      </c>
      <c r="AN7" s="653">
        <v>130.64615384615382</v>
      </c>
      <c r="AO7" s="529">
        <v>15</v>
      </c>
      <c r="AP7" s="538">
        <v>2000.516129032258</v>
      </c>
      <c r="AQ7" s="538">
        <v>133.36774193548388</v>
      </c>
      <c r="AR7" s="529">
        <v>1</v>
      </c>
      <c r="AS7" s="653">
        <v>133.36774193548388</v>
      </c>
      <c r="AT7" s="529">
        <v>15</v>
      </c>
      <c r="AU7" s="538">
        <v>1955.4782608695666</v>
      </c>
      <c r="AV7" s="538">
        <v>130.36521739130444</v>
      </c>
      <c r="AW7" s="529">
        <v>1</v>
      </c>
      <c r="AX7" s="653">
        <v>130.36521739130444</v>
      </c>
      <c r="AZ7" s="364" t="e">
        <f>RANK(AX7, $K$7:AX$21)</f>
        <v>#VALUE!</v>
      </c>
      <c r="BB7" s="354" t="e">
        <f>RANK(BA7, BA$7:BA$21)</f>
        <v>#N/A</v>
      </c>
    </row>
    <row r="8" spans="1:54" ht="15" customHeight="1">
      <c r="A8" s="81"/>
      <c r="B8" s="635"/>
      <c r="C8" s="483">
        <v>2</v>
      </c>
      <c r="D8" s="223"/>
      <c r="E8" s="491"/>
      <c r="F8" s="483"/>
      <c r="G8" s="484"/>
      <c r="H8" s="678"/>
      <c r="I8" s="487" t="str">
        <f t="shared" si="0"/>
        <v>-</v>
      </c>
      <c r="J8" s="487" t="str">
        <f t="shared" si="0"/>
        <v>-</v>
      </c>
      <c r="K8" s="363" t="str">
        <f t="shared" si="0"/>
        <v>-</v>
      </c>
      <c r="L8" s="615"/>
      <c r="M8" s="489" t="e">
        <f>RANK(K8, K$7:$K$21)</f>
        <v>#VALUE!</v>
      </c>
      <c r="N8" s="624"/>
      <c r="O8" s="624"/>
      <c r="P8" s="411"/>
      <c r="Q8" s="182"/>
      <c r="R8" s="182"/>
      <c r="S8" s="411"/>
      <c r="T8" s="653"/>
      <c r="U8" s="529" t="s">
        <v>427</v>
      </c>
      <c r="V8" s="538" t="s">
        <v>427</v>
      </c>
      <c r="W8" s="538" t="s">
        <v>427</v>
      </c>
      <c r="X8" s="529" t="e">
        <v>#VALUE!</v>
      </c>
      <c r="Y8" s="653"/>
      <c r="Z8" s="529" t="s">
        <v>427</v>
      </c>
      <c r="AA8" s="538" t="s">
        <v>427</v>
      </c>
      <c r="AB8" s="538" t="s">
        <v>427</v>
      </c>
      <c r="AC8" s="529" t="e">
        <v>#VALUE!</v>
      </c>
      <c r="AD8" s="653"/>
      <c r="AE8" s="529" t="s">
        <v>427</v>
      </c>
      <c r="AF8" s="538" t="s">
        <v>427</v>
      </c>
      <c r="AG8" s="538" t="s">
        <v>427</v>
      </c>
      <c r="AH8" s="529" t="e">
        <v>#VALUE!</v>
      </c>
      <c r="AI8" s="653"/>
      <c r="AJ8" s="529" t="s">
        <v>427</v>
      </c>
      <c r="AK8" s="538" t="s">
        <v>427</v>
      </c>
      <c r="AL8" s="538" t="s">
        <v>427</v>
      </c>
      <c r="AM8" s="529" t="e">
        <v>#VALUE!</v>
      </c>
      <c r="AN8" s="653"/>
      <c r="AO8" s="529" t="s">
        <v>427</v>
      </c>
      <c r="AP8" s="538" t="s">
        <v>427</v>
      </c>
      <c r="AQ8" s="538" t="s">
        <v>427</v>
      </c>
      <c r="AR8" s="529" t="e">
        <v>#VALUE!</v>
      </c>
      <c r="AS8" s="653"/>
      <c r="AT8" s="529" t="s">
        <v>427</v>
      </c>
      <c r="AU8" s="538" t="s">
        <v>427</v>
      </c>
      <c r="AV8" s="538" t="s">
        <v>427</v>
      </c>
      <c r="AW8" s="529" t="e">
        <v>#VALUE!</v>
      </c>
      <c r="AX8" s="653"/>
      <c r="AZ8" s="364" t="e">
        <f>RANK(AX8, $K$7:AX$21)</f>
        <v>#VALUE!</v>
      </c>
      <c r="BB8" s="354" t="e">
        <f t="shared" ref="BB8:BB21" si="1">RANK(BA8, BA$7:BA$21)</f>
        <v>#N/A</v>
      </c>
    </row>
    <row r="9" spans="1:54" ht="14.25">
      <c r="A9" s="81"/>
      <c r="B9" s="635"/>
      <c r="C9" s="483">
        <v>3</v>
      </c>
      <c r="D9" s="223"/>
      <c r="E9" s="491"/>
      <c r="F9" s="483"/>
      <c r="G9" s="484"/>
      <c r="H9" s="678"/>
      <c r="I9" s="487" t="str">
        <f t="shared" si="0"/>
        <v>-</v>
      </c>
      <c r="J9" s="487" t="str">
        <f t="shared" si="0"/>
        <v>-</v>
      </c>
      <c r="K9" s="363" t="str">
        <f t="shared" si="0"/>
        <v>-</v>
      </c>
      <c r="L9" s="615"/>
      <c r="M9" s="489" t="e">
        <f>RANK(K9, K$7:$K$21)</f>
        <v>#VALUE!</v>
      </c>
      <c r="N9" s="624"/>
      <c r="O9" s="624"/>
      <c r="P9" s="411"/>
      <c r="Q9" s="182"/>
      <c r="R9" s="182"/>
      <c r="S9" s="411"/>
      <c r="T9" s="653"/>
      <c r="U9" s="529" t="s">
        <v>427</v>
      </c>
      <c r="V9" s="538" t="s">
        <v>427</v>
      </c>
      <c r="W9" s="538" t="s">
        <v>427</v>
      </c>
      <c r="X9" s="529" t="e">
        <v>#VALUE!</v>
      </c>
      <c r="Y9" s="653"/>
      <c r="Z9" s="529" t="s">
        <v>427</v>
      </c>
      <c r="AA9" s="538" t="s">
        <v>427</v>
      </c>
      <c r="AB9" s="538" t="s">
        <v>427</v>
      </c>
      <c r="AC9" s="529" t="e">
        <v>#VALUE!</v>
      </c>
      <c r="AD9" s="653"/>
      <c r="AE9" s="529" t="s">
        <v>427</v>
      </c>
      <c r="AF9" s="538" t="s">
        <v>427</v>
      </c>
      <c r="AG9" s="538" t="s">
        <v>427</v>
      </c>
      <c r="AH9" s="529" t="e">
        <v>#VALUE!</v>
      </c>
      <c r="AI9" s="653"/>
      <c r="AJ9" s="529" t="s">
        <v>427</v>
      </c>
      <c r="AK9" s="538" t="s">
        <v>427</v>
      </c>
      <c r="AL9" s="538" t="s">
        <v>427</v>
      </c>
      <c r="AM9" s="529" t="e">
        <v>#VALUE!</v>
      </c>
      <c r="AN9" s="653"/>
      <c r="AO9" s="529" t="s">
        <v>427</v>
      </c>
      <c r="AP9" s="538" t="s">
        <v>427</v>
      </c>
      <c r="AQ9" s="538" t="s">
        <v>427</v>
      </c>
      <c r="AR9" s="529" t="e">
        <v>#VALUE!</v>
      </c>
      <c r="AS9" s="653"/>
      <c r="AT9" s="529" t="s">
        <v>427</v>
      </c>
      <c r="AU9" s="538" t="s">
        <v>427</v>
      </c>
      <c r="AV9" s="538" t="s">
        <v>427</v>
      </c>
      <c r="AW9" s="529" t="e">
        <v>#VALUE!</v>
      </c>
      <c r="AX9" s="653"/>
      <c r="AZ9" s="364" t="e">
        <f>RANK(AX9, $K$7:AX$21)</f>
        <v>#VALUE!</v>
      </c>
      <c r="BB9" s="354" t="e">
        <f t="shared" si="1"/>
        <v>#N/A</v>
      </c>
    </row>
    <row r="10" spans="1:54" ht="14.25">
      <c r="A10" s="81"/>
      <c r="B10" s="635"/>
      <c r="C10" s="483">
        <v>4</v>
      </c>
      <c r="D10" s="223"/>
      <c r="E10" s="491"/>
      <c r="F10" s="483"/>
      <c r="G10" s="484"/>
      <c r="H10" s="678"/>
      <c r="I10" s="487" t="str">
        <f t="shared" si="0"/>
        <v>-</v>
      </c>
      <c r="J10" s="487" t="str">
        <f t="shared" si="0"/>
        <v>-</v>
      </c>
      <c r="K10" s="363" t="str">
        <f t="shared" si="0"/>
        <v>-</v>
      </c>
      <c r="L10" s="615"/>
      <c r="M10" s="489" t="e">
        <f>RANK(K10, K$7:$K$21)</f>
        <v>#VALUE!</v>
      </c>
      <c r="N10" s="624"/>
      <c r="O10" s="624"/>
      <c r="P10" s="411"/>
      <c r="Q10" s="182"/>
      <c r="R10" s="182"/>
      <c r="S10" s="411"/>
      <c r="T10" s="653"/>
      <c r="U10" s="529" t="s">
        <v>427</v>
      </c>
      <c r="V10" s="538" t="s">
        <v>427</v>
      </c>
      <c r="W10" s="538" t="s">
        <v>427</v>
      </c>
      <c r="X10" s="529" t="e">
        <v>#VALUE!</v>
      </c>
      <c r="Y10" s="653"/>
      <c r="Z10" s="529" t="s">
        <v>427</v>
      </c>
      <c r="AA10" s="538" t="s">
        <v>427</v>
      </c>
      <c r="AB10" s="538" t="s">
        <v>427</v>
      </c>
      <c r="AC10" s="529" t="e">
        <v>#VALUE!</v>
      </c>
      <c r="AD10" s="653"/>
      <c r="AE10" s="529" t="s">
        <v>427</v>
      </c>
      <c r="AF10" s="538" t="s">
        <v>427</v>
      </c>
      <c r="AG10" s="538" t="s">
        <v>427</v>
      </c>
      <c r="AH10" s="529" t="e">
        <v>#VALUE!</v>
      </c>
      <c r="AI10" s="653"/>
      <c r="AJ10" s="529" t="s">
        <v>427</v>
      </c>
      <c r="AK10" s="538" t="s">
        <v>427</v>
      </c>
      <c r="AL10" s="538" t="s">
        <v>427</v>
      </c>
      <c r="AM10" s="529" t="e">
        <v>#VALUE!</v>
      </c>
      <c r="AN10" s="653"/>
      <c r="AO10" s="529" t="s">
        <v>427</v>
      </c>
      <c r="AP10" s="538" t="s">
        <v>427</v>
      </c>
      <c r="AQ10" s="538" t="s">
        <v>427</v>
      </c>
      <c r="AR10" s="529" t="e">
        <v>#VALUE!</v>
      </c>
      <c r="AS10" s="653"/>
      <c r="AT10" s="529" t="s">
        <v>427</v>
      </c>
      <c r="AU10" s="538" t="s">
        <v>427</v>
      </c>
      <c r="AV10" s="538" t="s">
        <v>427</v>
      </c>
      <c r="AW10" s="529" t="e">
        <v>#VALUE!</v>
      </c>
      <c r="AX10" s="653"/>
      <c r="AZ10" s="364" t="e">
        <f>RANK(AX10, $K$7:AX$21)</f>
        <v>#VALUE!</v>
      </c>
      <c r="BB10" s="354" t="e">
        <f t="shared" si="1"/>
        <v>#N/A</v>
      </c>
    </row>
    <row r="11" spans="1:54" ht="14.25">
      <c r="A11" s="81"/>
      <c r="B11" s="635"/>
      <c r="C11" s="483">
        <v>5</v>
      </c>
      <c r="D11" s="223"/>
      <c r="E11" s="491"/>
      <c r="F11" s="483"/>
      <c r="G11" s="484"/>
      <c r="H11" s="678"/>
      <c r="I11" s="487" t="str">
        <f t="shared" si="0"/>
        <v>-</v>
      </c>
      <c r="J11" s="487" t="str">
        <f t="shared" si="0"/>
        <v>-</v>
      </c>
      <c r="K11" s="363" t="str">
        <f t="shared" si="0"/>
        <v>-</v>
      </c>
      <c r="L11" s="615"/>
      <c r="M11" s="489" t="e">
        <f>RANK(K11, K$7:$K$21)</f>
        <v>#VALUE!</v>
      </c>
      <c r="N11" s="624"/>
      <c r="O11" s="624"/>
      <c r="P11" s="411"/>
      <c r="Q11" s="182"/>
      <c r="R11" s="182"/>
      <c r="S11" s="411"/>
      <c r="T11" s="653"/>
      <c r="U11" s="529" t="s">
        <v>427</v>
      </c>
      <c r="V11" s="538" t="s">
        <v>427</v>
      </c>
      <c r="W11" s="538" t="s">
        <v>427</v>
      </c>
      <c r="X11" s="529"/>
      <c r="Y11" s="653"/>
      <c r="Z11" s="529" t="s">
        <v>427</v>
      </c>
      <c r="AA11" s="538" t="s">
        <v>427</v>
      </c>
      <c r="AB11" s="538" t="s">
        <v>427</v>
      </c>
      <c r="AC11" s="529"/>
      <c r="AD11" s="653"/>
      <c r="AE11" s="529" t="s">
        <v>427</v>
      </c>
      <c r="AF11" s="538" t="s">
        <v>427</v>
      </c>
      <c r="AG11" s="538" t="s">
        <v>427</v>
      </c>
      <c r="AH11" s="529"/>
      <c r="AI11" s="653"/>
      <c r="AJ11" s="529" t="s">
        <v>427</v>
      </c>
      <c r="AK11" s="538" t="s">
        <v>427</v>
      </c>
      <c r="AL11" s="538" t="s">
        <v>427</v>
      </c>
      <c r="AM11" s="529"/>
      <c r="AN11" s="653"/>
      <c r="AO11" s="529" t="s">
        <v>427</v>
      </c>
      <c r="AP11" s="538" t="s">
        <v>427</v>
      </c>
      <c r="AQ11" s="538" t="s">
        <v>427</v>
      </c>
      <c r="AR11" s="529"/>
      <c r="AS11" s="653"/>
      <c r="AT11" s="529" t="s">
        <v>427</v>
      </c>
      <c r="AU11" s="538" t="s">
        <v>427</v>
      </c>
      <c r="AV11" s="538" t="s">
        <v>427</v>
      </c>
      <c r="AW11" s="529"/>
      <c r="AX11" s="653"/>
      <c r="AZ11" s="364" t="e">
        <f>RANK(AX11, $K$7:AX$21)</f>
        <v>#VALUE!</v>
      </c>
      <c r="BB11" s="354" t="e">
        <f t="shared" si="1"/>
        <v>#N/A</v>
      </c>
    </row>
    <row r="12" spans="1:54" ht="14.25">
      <c r="A12" s="81"/>
      <c r="B12" s="635"/>
      <c r="C12" s="483">
        <v>6</v>
      </c>
      <c r="D12" s="223"/>
      <c r="E12" s="491"/>
      <c r="F12" s="483"/>
      <c r="G12" s="484"/>
      <c r="H12" s="678"/>
      <c r="I12" s="487" t="str">
        <f t="shared" si="0"/>
        <v>-</v>
      </c>
      <c r="J12" s="487" t="str">
        <f t="shared" si="0"/>
        <v>-</v>
      </c>
      <c r="K12" s="363" t="str">
        <f t="shared" si="0"/>
        <v>-</v>
      </c>
      <c r="L12" s="615"/>
      <c r="M12" s="489" t="e">
        <f>RANK(K12, K$7:$K$21)</f>
        <v>#VALUE!</v>
      </c>
      <c r="N12" s="624"/>
      <c r="O12" s="624"/>
      <c r="P12" s="411"/>
      <c r="Q12" s="182"/>
      <c r="R12" s="182"/>
      <c r="S12" s="411"/>
      <c r="T12" s="653"/>
      <c r="U12" s="529" t="s">
        <v>427</v>
      </c>
      <c r="V12" s="538" t="s">
        <v>427</v>
      </c>
      <c r="W12" s="538" t="s">
        <v>427</v>
      </c>
      <c r="X12" s="529"/>
      <c r="Y12" s="653"/>
      <c r="Z12" s="529" t="s">
        <v>427</v>
      </c>
      <c r="AA12" s="538" t="s">
        <v>427</v>
      </c>
      <c r="AB12" s="538" t="s">
        <v>427</v>
      </c>
      <c r="AC12" s="529"/>
      <c r="AD12" s="653"/>
      <c r="AE12" s="529" t="s">
        <v>427</v>
      </c>
      <c r="AF12" s="538" t="s">
        <v>427</v>
      </c>
      <c r="AG12" s="538" t="s">
        <v>427</v>
      </c>
      <c r="AH12" s="529"/>
      <c r="AI12" s="653"/>
      <c r="AJ12" s="529" t="s">
        <v>427</v>
      </c>
      <c r="AK12" s="538" t="s">
        <v>427</v>
      </c>
      <c r="AL12" s="538" t="s">
        <v>427</v>
      </c>
      <c r="AM12" s="529"/>
      <c r="AN12" s="653"/>
      <c r="AO12" s="529" t="s">
        <v>427</v>
      </c>
      <c r="AP12" s="538" t="s">
        <v>427</v>
      </c>
      <c r="AQ12" s="538" t="s">
        <v>427</v>
      </c>
      <c r="AR12" s="529"/>
      <c r="AS12" s="653"/>
      <c r="AT12" s="529" t="s">
        <v>427</v>
      </c>
      <c r="AU12" s="538" t="s">
        <v>427</v>
      </c>
      <c r="AV12" s="538" t="s">
        <v>427</v>
      </c>
      <c r="AW12" s="529"/>
      <c r="AX12" s="653"/>
      <c r="AZ12" s="364" t="e">
        <f>RANK(AX12, $K$7:AX$21)</f>
        <v>#VALUE!</v>
      </c>
      <c r="BB12" s="354" t="e">
        <f t="shared" si="1"/>
        <v>#N/A</v>
      </c>
    </row>
    <row r="13" spans="1:54" ht="14.25">
      <c r="A13" s="81"/>
      <c r="B13" s="635"/>
      <c r="C13" s="483">
        <v>7</v>
      </c>
      <c r="D13" s="223"/>
      <c r="E13" s="491"/>
      <c r="F13" s="483"/>
      <c r="G13" s="484"/>
      <c r="H13" s="678"/>
      <c r="I13" s="487" t="str">
        <f t="shared" si="0"/>
        <v>-</v>
      </c>
      <c r="J13" s="487" t="str">
        <f t="shared" si="0"/>
        <v>-</v>
      </c>
      <c r="K13" s="363" t="str">
        <f t="shared" si="0"/>
        <v>-</v>
      </c>
      <c r="L13" s="615"/>
      <c r="M13" s="489" t="e">
        <f>RANK(K13, K$7:$K$21)</f>
        <v>#VALUE!</v>
      </c>
      <c r="N13" s="624"/>
      <c r="O13" s="624"/>
      <c r="P13" s="411"/>
      <c r="Q13" s="182"/>
      <c r="R13" s="182"/>
      <c r="S13" s="411"/>
      <c r="T13" s="653"/>
      <c r="U13" s="529" t="s">
        <v>427</v>
      </c>
      <c r="V13" s="538" t="s">
        <v>427</v>
      </c>
      <c r="W13" s="538" t="s">
        <v>427</v>
      </c>
      <c r="X13" s="529"/>
      <c r="Y13" s="653"/>
      <c r="Z13" s="529" t="s">
        <v>427</v>
      </c>
      <c r="AA13" s="538" t="s">
        <v>427</v>
      </c>
      <c r="AB13" s="538" t="s">
        <v>427</v>
      </c>
      <c r="AC13" s="529"/>
      <c r="AD13" s="653"/>
      <c r="AE13" s="529" t="s">
        <v>427</v>
      </c>
      <c r="AF13" s="538" t="s">
        <v>427</v>
      </c>
      <c r="AG13" s="538" t="s">
        <v>427</v>
      </c>
      <c r="AH13" s="529"/>
      <c r="AI13" s="653"/>
      <c r="AJ13" s="529" t="s">
        <v>427</v>
      </c>
      <c r="AK13" s="538" t="s">
        <v>427</v>
      </c>
      <c r="AL13" s="538" t="s">
        <v>427</v>
      </c>
      <c r="AM13" s="529"/>
      <c r="AN13" s="653"/>
      <c r="AO13" s="529" t="s">
        <v>427</v>
      </c>
      <c r="AP13" s="538" t="s">
        <v>427</v>
      </c>
      <c r="AQ13" s="538" t="s">
        <v>427</v>
      </c>
      <c r="AR13" s="529"/>
      <c r="AS13" s="653"/>
      <c r="AT13" s="529" t="s">
        <v>427</v>
      </c>
      <c r="AU13" s="538" t="s">
        <v>427</v>
      </c>
      <c r="AV13" s="538" t="s">
        <v>427</v>
      </c>
      <c r="AW13" s="529"/>
      <c r="AX13" s="653"/>
      <c r="AZ13" s="364" t="e">
        <f>RANK(AX13, $K$7:AX$21)</f>
        <v>#VALUE!</v>
      </c>
      <c r="BB13" s="354" t="e">
        <f t="shared" si="1"/>
        <v>#N/A</v>
      </c>
    </row>
    <row r="14" spans="1:54" ht="14.25">
      <c r="A14" s="81"/>
      <c r="B14" s="635"/>
      <c r="C14" s="483">
        <v>8</v>
      </c>
      <c r="D14" s="223"/>
      <c r="E14" s="491"/>
      <c r="F14" s="483"/>
      <c r="G14" s="484"/>
      <c r="H14" s="678"/>
      <c r="I14" s="487" t="str">
        <f t="shared" si="0"/>
        <v>-</v>
      </c>
      <c r="J14" s="487" t="str">
        <f t="shared" si="0"/>
        <v>-</v>
      </c>
      <c r="K14" s="363" t="str">
        <f t="shared" si="0"/>
        <v>-</v>
      </c>
      <c r="L14" s="615"/>
      <c r="M14" s="489" t="e">
        <f>RANK(K14, K$7:$K$21)</f>
        <v>#VALUE!</v>
      </c>
      <c r="N14" s="624"/>
      <c r="O14" s="624"/>
      <c r="P14" s="411"/>
      <c r="Q14" s="182"/>
      <c r="R14" s="182"/>
      <c r="S14" s="411"/>
      <c r="T14" s="653"/>
      <c r="U14" s="529" t="s">
        <v>427</v>
      </c>
      <c r="V14" s="538" t="s">
        <v>427</v>
      </c>
      <c r="W14" s="538" t="s">
        <v>427</v>
      </c>
      <c r="X14" s="529"/>
      <c r="Y14" s="653"/>
      <c r="Z14" s="529" t="s">
        <v>427</v>
      </c>
      <c r="AA14" s="538" t="s">
        <v>427</v>
      </c>
      <c r="AB14" s="538" t="s">
        <v>427</v>
      </c>
      <c r="AC14" s="529"/>
      <c r="AD14" s="653"/>
      <c r="AE14" s="529" t="s">
        <v>427</v>
      </c>
      <c r="AF14" s="538" t="s">
        <v>427</v>
      </c>
      <c r="AG14" s="538" t="s">
        <v>427</v>
      </c>
      <c r="AH14" s="529"/>
      <c r="AI14" s="653"/>
      <c r="AJ14" s="529" t="s">
        <v>427</v>
      </c>
      <c r="AK14" s="538" t="s">
        <v>427</v>
      </c>
      <c r="AL14" s="538" t="s">
        <v>427</v>
      </c>
      <c r="AM14" s="529"/>
      <c r="AN14" s="653"/>
      <c r="AO14" s="529" t="s">
        <v>427</v>
      </c>
      <c r="AP14" s="538" t="s">
        <v>427</v>
      </c>
      <c r="AQ14" s="538" t="s">
        <v>427</v>
      </c>
      <c r="AR14" s="529"/>
      <c r="AS14" s="653"/>
      <c r="AT14" s="529" t="s">
        <v>427</v>
      </c>
      <c r="AU14" s="538" t="s">
        <v>427</v>
      </c>
      <c r="AV14" s="538" t="s">
        <v>427</v>
      </c>
      <c r="AW14" s="529"/>
      <c r="AX14" s="653"/>
      <c r="AZ14" s="364" t="e">
        <f>RANK(AX14, $K$7:AX$21)</f>
        <v>#VALUE!</v>
      </c>
      <c r="BB14" s="354" t="e">
        <f t="shared" si="1"/>
        <v>#N/A</v>
      </c>
    </row>
    <row r="15" spans="1:54" ht="14.25">
      <c r="A15" s="81"/>
      <c r="B15" s="635"/>
      <c r="C15" s="483">
        <v>9</v>
      </c>
      <c r="D15" s="223"/>
      <c r="E15" s="491"/>
      <c r="F15" s="483"/>
      <c r="G15" s="484"/>
      <c r="H15" s="678"/>
      <c r="I15" s="487" t="str">
        <f t="shared" si="0"/>
        <v>-</v>
      </c>
      <c r="J15" s="487" t="str">
        <f t="shared" si="0"/>
        <v>-</v>
      </c>
      <c r="K15" s="363" t="str">
        <f t="shared" si="0"/>
        <v>-</v>
      </c>
      <c r="L15" s="615"/>
      <c r="M15" s="489" t="e">
        <f>RANK(K15, K$7:$K$21)</f>
        <v>#VALUE!</v>
      </c>
      <c r="N15" s="624"/>
      <c r="O15" s="624"/>
      <c r="P15" s="411"/>
      <c r="Q15" s="182"/>
      <c r="R15" s="182"/>
      <c r="S15" s="411"/>
      <c r="T15" s="653"/>
      <c r="U15" s="529" t="s">
        <v>427</v>
      </c>
      <c r="V15" s="538" t="s">
        <v>427</v>
      </c>
      <c r="W15" s="538" t="s">
        <v>427</v>
      </c>
      <c r="X15" s="529"/>
      <c r="Y15" s="653"/>
      <c r="Z15" s="529" t="s">
        <v>427</v>
      </c>
      <c r="AA15" s="538" t="s">
        <v>427</v>
      </c>
      <c r="AB15" s="538" t="s">
        <v>427</v>
      </c>
      <c r="AC15" s="529"/>
      <c r="AD15" s="653"/>
      <c r="AE15" s="529" t="s">
        <v>427</v>
      </c>
      <c r="AF15" s="538" t="s">
        <v>427</v>
      </c>
      <c r="AG15" s="538" t="s">
        <v>427</v>
      </c>
      <c r="AH15" s="529"/>
      <c r="AI15" s="653"/>
      <c r="AJ15" s="529" t="s">
        <v>427</v>
      </c>
      <c r="AK15" s="538" t="s">
        <v>427</v>
      </c>
      <c r="AL15" s="538" t="s">
        <v>427</v>
      </c>
      <c r="AM15" s="529"/>
      <c r="AN15" s="653"/>
      <c r="AO15" s="529" t="s">
        <v>427</v>
      </c>
      <c r="AP15" s="538" t="s">
        <v>427</v>
      </c>
      <c r="AQ15" s="538" t="s">
        <v>427</v>
      </c>
      <c r="AR15" s="529"/>
      <c r="AS15" s="653"/>
      <c r="AT15" s="529" t="s">
        <v>427</v>
      </c>
      <c r="AU15" s="538" t="s">
        <v>427</v>
      </c>
      <c r="AV15" s="538" t="s">
        <v>427</v>
      </c>
      <c r="AW15" s="529"/>
      <c r="AX15" s="653"/>
      <c r="AZ15" s="364" t="e">
        <f>RANK(AX15, $K$7:AX$21)</f>
        <v>#VALUE!</v>
      </c>
      <c r="BB15" s="354" t="e">
        <f t="shared" si="1"/>
        <v>#N/A</v>
      </c>
    </row>
    <row r="16" spans="1:54" ht="14.25">
      <c r="A16" s="81"/>
      <c r="B16" s="635"/>
      <c r="C16" s="483">
        <v>10</v>
      </c>
      <c r="D16" s="223"/>
      <c r="E16" s="491"/>
      <c r="F16" s="483"/>
      <c r="G16" s="484"/>
      <c r="H16" s="678"/>
      <c r="I16" s="487" t="str">
        <f t="shared" si="0"/>
        <v>-</v>
      </c>
      <c r="J16" s="487" t="str">
        <f t="shared" si="0"/>
        <v>-</v>
      </c>
      <c r="K16" s="363" t="str">
        <f t="shared" si="0"/>
        <v>-</v>
      </c>
      <c r="L16" s="615"/>
      <c r="M16" s="489" t="e">
        <f>RANK(K16, K$7:$K$21)</f>
        <v>#VALUE!</v>
      </c>
      <c r="N16" s="624"/>
      <c r="O16" s="624"/>
      <c r="P16" s="411"/>
      <c r="Q16" s="182"/>
      <c r="R16" s="182"/>
      <c r="S16" s="411"/>
      <c r="T16" s="653"/>
      <c r="U16" s="529" t="s">
        <v>427</v>
      </c>
      <c r="V16" s="538" t="s">
        <v>427</v>
      </c>
      <c r="W16" s="538" t="s">
        <v>427</v>
      </c>
      <c r="X16" s="529"/>
      <c r="Y16" s="653"/>
      <c r="Z16" s="529" t="s">
        <v>427</v>
      </c>
      <c r="AA16" s="538" t="s">
        <v>427</v>
      </c>
      <c r="AB16" s="538" t="s">
        <v>427</v>
      </c>
      <c r="AC16" s="529"/>
      <c r="AD16" s="653"/>
      <c r="AE16" s="529" t="s">
        <v>427</v>
      </c>
      <c r="AF16" s="538" t="s">
        <v>427</v>
      </c>
      <c r="AG16" s="538" t="s">
        <v>427</v>
      </c>
      <c r="AH16" s="529"/>
      <c r="AI16" s="653"/>
      <c r="AJ16" s="529" t="s">
        <v>427</v>
      </c>
      <c r="AK16" s="538" t="s">
        <v>427</v>
      </c>
      <c r="AL16" s="538" t="s">
        <v>427</v>
      </c>
      <c r="AM16" s="529"/>
      <c r="AN16" s="653"/>
      <c r="AO16" s="529" t="s">
        <v>427</v>
      </c>
      <c r="AP16" s="538" t="s">
        <v>427</v>
      </c>
      <c r="AQ16" s="538" t="s">
        <v>427</v>
      </c>
      <c r="AR16" s="529"/>
      <c r="AS16" s="653"/>
      <c r="AT16" s="529" t="s">
        <v>427</v>
      </c>
      <c r="AU16" s="538" t="s">
        <v>427</v>
      </c>
      <c r="AV16" s="538" t="s">
        <v>427</v>
      </c>
      <c r="AW16" s="529"/>
      <c r="AX16" s="653"/>
      <c r="AZ16" s="364" t="e">
        <f>RANK(AX16, $K$7:AX$21)</f>
        <v>#VALUE!</v>
      </c>
      <c r="BB16" s="354" t="e">
        <f t="shared" si="1"/>
        <v>#N/A</v>
      </c>
    </row>
    <row r="17" spans="2:54">
      <c r="B17" s="635"/>
      <c r="C17" s="483">
        <v>11</v>
      </c>
      <c r="D17" s="223"/>
      <c r="E17" s="491"/>
      <c r="F17" s="483"/>
      <c r="G17" s="484"/>
      <c r="H17" s="678"/>
      <c r="I17" s="487" t="str">
        <f t="shared" si="0"/>
        <v>-</v>
      </c>
      <c r="J17" s="487" t="str">
        <f t="shared" si="0"/>
        <v>-</v>
      </c>
      <c r="K17" s="363" t="str">
        <f t="shared" si="0"/>
        <v>-</v>
      </c>
      <c r="L17" s="615"/>
      <c r="M17" s="489" t="e">
        <f>RANK(K17, K$7:$K$21)</f>
        <v>#VALUE!</v>
      </c>
      <c r="N17" s="624"/>
      <c r="O17" s="624"/>
      <c r="P17" s="411"/>
      <c r="Q17" s="182"/>
      <c r="R17" s="182"/>
      <c r="S17" s="411"/>
      <c r="T17" s="653"/>
      <c r="U17" s="529" t="s">
        <v>427</v>
      </c>
      <c r="V17" s="538" t="s">
        <v>427</v>
      </c>
      <c r="W17" s="538" t="s">
        <v>427</v>
      </c>
      <c r="X17" s="529"/>
      <c r="Y17" s="653"/>
      <c r="Z17" s="529" t="s">
        <v>427</v>
      </c>
      <c r="AA17" s="538" t="s">
        <v>427</v>
      </c>
      <c r="AB17" s="538" t="s">
        <v>427</v>
      </c>
      <c r="AC17" s="529"/>
      <c r="AD17" s="653"/>
      <c r="AE17" s="529" t="s">
        <v>427</v>
      </c>
      <c r="AF17" s="538" t="s">
        <v>427</v>
      </c>
      <c r="AG17" s="538" t="s">
        <v>427</v>
      </c>
      <c r="AH17" s="529"/>
      <c r="AI17" s="653"/>
      <c r="AJ17" s="529" t="s">
        <v>427</v>
      </c>
      <c r="AK17" s="538" t="s">
        <v>427</v>
      </c>
      <c r="AL17" s="538" t="s">
        <v>427</v>
      </c>
      <c r="AM17" s="529"/>
      <c r="AN17" s="653"/>
      <c r="AO17" s="529" t="s">
        <v>427</v>
      </c>
      <c r="AP17" s="538" t="s">
        <v>427</v>
      </c>
      <c r="AQ17" s="538" t="s">
        <v>427</v>
      </c>
      <c r="AR17" s="529"/>
      <c r="AS17" s="653"/>
      <c r="AT17" s="529" t="s">
        <v>427</v>
      </c>
      <c r="AU17" s="538" t="s">
        <v>427</v>
      </c>
      <c r="AV17" s="538" t="s">
        <v>427</v>
      </c>
      <c r="AW17" s="529"/>
      <c r="AX17" s="653"/>
      <c r="AZ17" s="364" t="e">
        <f>RANK(AX17, $K$7:AX$21)</f>
        <v>#VALUE!</v>
      </c>
      <c r="BB17" s="354" t="e">
        <f t="shared" si="1"/>
        <v>#N/A</v>
      </c>
    </row>
    <row r="18" spans="2:54">
      <c r="B18" s="635"/>
      <c r="C18" s="483">
        <v>12</v>
      </c>
      <c r="D18" s="223"/>
      <c r="E18" s="491"/>
      <c r="F18" s="483"/>
      <c r="G18" s="484"/>
      <c r="H18" s="678"/>
      <c r="I18" s="487" t="str">
        <f t="shared" si="0"/>
        <v>-</v>
      </c>
      <c r="J18" s="487" t="str">
        <f t="shared" si="0"/>
        <v>-</v>
      </c>
      <c r="K18" s="363" t="str">
        <f t="shared" si="0"/>
        <v>-</v>
      </c>
      <c r="L18" s="615"/>
      <c r="M18" s="489" t="e">
        <f>RANK(K18, K$7:$K$21)</f>
        <v>#VALUE!</v>
      </c>
      <c r="N18" s="624"/>
      <c r="O18" s="624"/>
      <c r="P18" s="411"/>
      <c r="Q18" s="182"/>
      <c r="R18" s="182"/>
      <c r="S18" s="411"/>
      <c r="T18" s="653"/>
      <c r="U18" s="529" t="s">
        <v>427</v>
      </c>
      <c r="V18" s="538" t="s">
        <v>427</v>
      </c>
      <c r="W18" s="538" t="s">
        <v>427</v>
      </c>
      <c r="X18" s="529"/>
      <c r="Y18" s="653"/>
      <c r="Z18" s="529" t="s">
        <v>427</v>
      </c>
      <c r="AA18" s="538" t="s">
        <v>427</v>
      </c>
      <c r="AB18" s="538" t="s">
        <v>427</v>
      </c>
      <c r="AC18" s="529"/>
      <c r="AD18" s="653"/>
      <c r="AE18" s="529" t="s">
        <v>427</v>
      </c>
      <c r="AF18" s="538" t="s">
        <v>427</v>
      </c>
      <c r="AG18" s="538" t="s">
        <v>427</v>
      </c>
      <c r="AH18" s="529"/>
      <c r="AI18" s="653"/>
      <c r="AJ18" s="529" t="s">
        <v>427</v>
      </c>
      <c r="AK18" s="538" t="s">
        <v>427</v>
      </c>
      <c r="AL18" s="538" t="s">
        <v>427</v>
      </c>
      <c r="AM18" s="529"/>
      <c r="AN18" s="653"/>
      <c r="AO18" s="529" t="s">
        <v>427</v>
      </c>
      <c r="AP18" s="538" t="s">
        <v>427</v>
      </c>
      <c r="AQ18" s="538" t="s">
        <v>427</v>
      </c>
      <c r="AR18" s="529"/>
      <c r="AS18" s="653"/>
      <c r="AT18" s="529" t="s">
        <v>427</v>
      </c>
      <c r="AU18" s="538" t="s">
        <v>427</v>
      </c>
      <c r="AV18" s="538" t="s">
        <v>427</v>
      </c>
      <c r="AW18" s="529"/>
      <c r="AX18" s="653"/>
      <c r="AZ18" s="364" t="e">
        <f>RANK(AX18, $K$7:AX$21)</f>
        <v>#VALUE!</v>
      </c>
      <c r="BB18" s="354" t="e">
        <f t="shared" si="1"/>
        <v>#N/A</v>
      </c>
    </row>
    <row r="19" spans="2:54">
      <c r="B19" s="635"/>
      <c r="C19" s="483">
        <v>13</v>
      </c>
      <c r="D19" s="223"/>
      <c r="E19" s="491"/>
      <c r="F19" s="483"/>
      <c r="G19" s="484"/>
      <c r="H19" s="678"/>
      <c r="I19" s="487" t="str">
        <f t="shared" si="0"/>
        <v>-</v>
      </c>
      <c r="J19" s="487" t="str">
        <f t="shared" si="0"/>
        <v>-</v>
      </c>
      <c r="K19" s="363" t="str">
        <f t="shared" si="0"/>
        <v>-</v>
      </c>
      <c r="L19" s="615"/>
      <c r="M19" s="489" t="e">
        <f>RANK(K19, K$7:$K$21)</f>
        <v>#VALUE!</v>
      </c>
      <c r="N19" s="624"/>
      <c r="O19" s="624"/>
      <c r="P19" s="411"/>
      <c r="Q19" s="182"/>
      <c r="R19" s="182"/>
      <c r="S19" s="411"/>
      <c r="T19" s="653"/>
      <c r="U19" s="529" t="s">
        <v>427</v>
      </c>
      <c r="V19" s="538" t="s">
        <v>427</v>
      </c>
      <c r="W19" s="538" t="s">
        <v>427</v>
      </c>
      <c r="X19" s="529"/>
      <c r="Y19" s="653"/>
      <c r="Z19" s="529" t="s">
        <v>427</v>
      </c>
      <c r="AA19" s="538" t="s">
        <v>427</v>
      </c>
      <c r="AB19" s="538" t="s">
        <v>427</v>
      </c>
      <c r="AC19" s="529"/>
      <c r="AD19" s="653"/>
      <c r="AE19" s="529" t="s">
        <v>427</v>
      </c>
      <c r="AF19" s="538" t="s">
        <v>427</v>
      </c>
      <c r="AG19" s="538" t="s">
        <v>427</v>
      </c>
      <c r="AH19" s="529"/>
      <c r="AI19" s="653"/>
      <c r="AJ19" s="529" t="s">
        <v>427</v>
      </c>
      <c r="AK19" s="538" t="s">
        <v>427</v>
      </c>
      <c r="AL19" s="538" t="s">
        <v>427</v>
      </c>
      <c r="AM19" s="529"/>
      <c r="AN19" s="653"/>
      <c r="AO19" s="529" t="s">
        <v>427</v>
      </c>
      <c r="AP19" s="538" t="s">
        <v>427</v>
      </c>
      <c r="AQ19" s="538" t="s">
        <v>427</v>
      </c>
      <c r="AR19" s="529"/>
      <c r="AS19" s="653"/>
      <c r="AT19" s="529" t="s">
        <v>427</v>
      </c>
      <c r="AU19" s="538" t="s">
        <v>427</v>
      </c>
      <c r="AV19" s="538" t="s">
        <v>427</v>
      </c>
      <c r="AW19" s="529"/>
      <c r="AX19" s="653"/>
      <c r="AZ19" s="364" t="e">
        <f>RANK(AX19, $K$7:AX$21)</f>
        <v>#VALUE!</v>
      </c>
      <c r="BB19" s="354" t="e">
        <f t="shared" si="1"/>
        <v>#N/A</v>
      </c>
    </row>
    <row r="20" spans="2:54">
      <c r="B20" s="635"/>
      <c r="C20" s="483">
        <v>14</v>
      </c>
      <c r="D20" s="223"/>
      <c r="E20" s="491"/>
      <c r="F20" s="483"/>
      <c r="G20" s="484"/>
      <c r="H20" s="678"/>
      <c r="I20" s="487" t="str">
        <f t="shared" si="0"/>
        <v>-</v>
      </c>
      <c r="J20" s="487" t="str">
        <f t="shared" si="0"/>
        <v>-</v>
      </c>
      <c r="K20" s="363" t="str">
        <f t="shared" si="0"/>
        <v>-</v>
      </c>
      <c r="L20" s="615"/>
      <c r="M20" s="489" t="e">
        <f>RANK(K20, K$7:$K$21)</f>
        <v>#VALUE!</v>
      </c>
      <c r="N20" s="624"/>
      <c r="O20" s="624"/>
      <c r="P20" s="411"/>
      <c r="Q20" s="182"/>
      <c r="R20" s="182"/>
      <c r="S20" s="411"/>
      <c r="T20" s="653"/>
      <c r="U20" s="529" t="s">
        <v>427</v>
      </c>
      <c r="V20" s="538" t="s">
        <v>427</v>
      </c>
      <c r="W20" s="538" t="s">
        <v>427</v>
      </c>
      <c r="X20" s="529"/>
      <c r="Y20" s="653"/>
      <c r="Z20" s="529" t="s">
        <v>427</v>
      </c>
      <c r="AA20" s="538" t="s">
        <v>427</v>
      </c>
      <c r="AB20" s="538" t="s">
        <v>427</v>
      </c>
      <c r="AC20" s="529"/>
      <c r="AD20" s="653"/>
      <c r="AE20" s="529" t="s">
        <v>427</v>
      </c>
      <c r="AF20" s="538" t="s">
        <v>427</v>
      </c>
      <c r="AG20" s="538" t="s">
        <v>427</v>
      </c>
      <c r="AH20" s="529"/>
      <c r="AI20" s="653"/>
      <c r="AJ20" s="529" t="s">
        <v>427</v>
      </c>
      <c r="AK20" s="538" t="s">
        <v>427</v>
      </c>
      <c r="AL20" s="538" t="s">
        <v>427</v>
      </c>
      <c r="AM20" s="529"/>
      <c r="AN20" s="653"/>
      <c r="AO20" s="529" t="s">
        <v>427</v>
      </c>
      <c r="AP20" s="538" t="s">
        <v>427</v>
      </c>
      <c r="AQ20" s="538" t="s">
        <v>427</v>
      </c>
      <c r="AR20" s="529"/>
      <c r="AS20" s="653"/>
      <c r="AT20" s="529" t="s">
        <v>427</v>
      </c>
      <c r="AU20" s="538" t="s">
        <v>427</v>
      </c>
      <c r="AV20" s="538" t="s">
        <v>427</v>
      </c>
      <c r="AW20" s="529"/>
      <c r="AX20" s="653"/>
      <c r="AZ20" s="364" t="e">
        <f>RANK(AX20, $K$7:AX$21)</f>
        <v>#VALUE!</v>
      </c>
      <c r="BB20" s="354" t="e">
        <f t="shared" si="1"/>
        <v>#N/A</v>
      </c>
    </row>
    <row r="21" spans="2:54">
      <c r="B21" s="635"/>
      <c r="C21" s="483">
        <v>15</v>
      </c>
      <c r="D21" s="223"/>
      <c r="E21" s="491"/>
      <c r="F21" s="483"/>
      <c r="G21" s="484"/>
      <c r="H21" s="679"/>
      <c r="I21" s="416"/>
      <c r="J21" s="416"/>
      <c r="K21" s="416"/>
      <c r="L21" s="616"/>
      <c r="M21" s="487" t="e">
        <f>RANK(K21, K$7:$K$21)</f>
        <v>#N/A</v>
      </c>
      <c r="N21" s="624"/>
      <c r="O21" s="624"/>
      <c r="P21" s="411"/>
      <c r="Q21" s="182"/>
      <c r="R21" s="182"/>
      <c r="S21" s="411"/>
      <c r="T21" s="653"/>
      <c r="U21" s="529" t="s">
        <v>427</v>
      </c>
      <c r="V21" s="538" t="s">
        <v>427</v>
      </c>
      <c r="W21" s="538" t="s">
        <v>427</v>
      </c>
      <c r="X21" s="529"/>
      <c r="Y21" s="653"/>
      <c r="Z21" s="529" t="s">
        <v>427</v>
      </c>
      <c r="AA21" s="538" t="s">
        <v>427</v>
      </c>
      <c r="AB21" s="538" t="s">
        <v>427</v>
      </c>
      <c r="AC21" s="529"/>
      <c r="AD21" s="653"/>
      <c r="AE21" s="529" t="s">
        <v>427</v>
      </c>
      <c r="AF21" s="538" t="s">
        <v>427</v>
      </c>
      <c r="AG21" s="538" t="s">
        <v>427</v>
      </c>
      <c r="AH21" s="529"/>
      <c r="AI21" s="653"/>
      <c r="AJ21" s="529" t="s">
        <v>427</v>
      </c>
      <c r="AK21" s="538" t="s">
        <v>427</v>
      </c>
      <c r="AL21" s="538" t="s">
        <v>427</v>
      </c>
      <c r="AM21" s="529"/>
      <c r="AN21" s="653"/>
      <c r="AO21" s="529" t="s">
        <v>427</v>
      </c>
      <c r="AP21" s="538" t="s">
        <v>427</v>
      </c>
      <c r="AQ21" s="538" t="s">
        <v>427</v>
      </c>
      <c r="AR21" s="529"/>
      <c r="AS21" s="653"/>
      <c r="AT21" s="529" t="s">
        <v>427</v>
      </c>
      <c r="AU21" s="538" t="s">
        <v>427</v>
      </c>
      <c r="AV21" s="538" t="s">
        <v>427</v>
      </c>
      <c r="AW21" s="529"/>
      <c r="AX21" s="653"/>
      <c r="AZ21" s="365" t="e">
        <f>RANK(AX21, $K$7:AX$21)</f>
        <v>#VALUE!</v>
      </c>
      <c r="BB21" s="354" t="e">
        <f t="shared" si="1"/>
        <v>#N/A</v>
      </c>
    </row>
    <row r="22" spans="2:54" ht="15.75">
      <c r="B22" s="657" t="s">
        <v>769</v>
      </c>
      <c r="C22" s="658"/>
      <c r="D22" s="658"/>
      <c r="E22" s="658"/>
      <c r="F22" s="658"/>
      <c r="G22" s="658"/>
      <c r="H22" s="658"/>
      <c r="I22" s="200"/>
      <c r="J22" s="200"/>
      <c r="K22" s="200"/>
      <c r="L22" s="200"/>
      <c r="M22" s="201"/>
      <c r="N22" s="639" t="s">
        <v>781</v>
      </c>
      <c r="O22" s="639" t="s">
        <v>590</v>
      </c>
      <c r="P22" s="634">
        <f>AT2+1</f>
        <v>46210</v>
      </c>
      <c r="Q22" s="635"/>
      <c r="R22" s="635"/>
      <c r="S22" s="635"/>
      <c r="T22" s="635"/>
      <c r="U22" s="636">
        <f>P22+1</f>
        <v>46211</v>
      </c>
      <c r="V22" s="637"/>
      <c r="W22" s="637"/>
      <c r="X22" s="637"/>
      <c r="Y22" s="638"/>
      <c r="Z22" s="636">
        <f t="shared" ref="Z22" si="2">U22+1</f>
        <v>46212</v>
      </c>
      <c r="AA22" s="637"/>
      <c r="AB22" s="637"/>
      <c r="AC22" s="637"/>
      <c r="AD22" s="638"/>
      <c r="AE22" s="636">
        <f t="shared" ref="AE22" si="3">Z22+1</f>
        <v>46213</v>
      </c>
      <c r="AF22" s="637"/>
      <c r="AG22" s="637"/>
      <c r="AH22" s="637"/>
      <c r="AI22" s="638"/>
      <c r="AJ22" s="636">
        <f t="shared" ref="AJ22" si="4">AE22+1</f>
        <v>46214</v>
      </c>
      <c r="AK22" s="637"/>
      <c r="AL22" s="637"/>
      <c r="AM22" s="637"/>
      <c r="AN22" s="638"/>
      <c r="AO22" s="636">
        <f t="shared" ref="AO22" si="5">AJ22+1</f>
        <v>46215</v>
      </c>
      <c r="AP22" s="637"/>
      <c r="AQ22" s="637"/>
      <c r="AR22" s="637"/>
      <c r="AS22" s="638"/>
      <c r="AT22" s="636">
        <f t="shared" ref="AT22" si="6">AO22+1</f>
        <v>46216</v>
      </c>
      <c r="AU22" s="637"/>
      <c r="AV22" s="637"/>
      <c r="AW22" s="637"/>
      <c r="AX22" s="638"/>
    </row>
    <row r="23" spans="2:54" ht="15.75">
      <c r="B23" s="646"/>
      <c r="C23" s="646"/>
      <c r="D23" s="646"/>
      <c r="E23" s="646"/>
      <c r="F23" s="646"/>
      <c r="G23" s="646"/>
      <c r="H23" s="646"/>
      <c r="I23" s="202"/>
      <c r="J23" s="202"/>
      <c r="K23" s="202"/>
      <c r="L23" s="202"/>
      <c r="M23" s="203"/>
      <c r="N23" s="641"/>
      <c r="O23" s="641"/>
      <c r="P23" s="634" t="s">
        <v>591</v>
      </c>
      <c r="Q23" s="635"/>
      <c r="R23" s="635"/>
      <c r="S23" s="635"/>
      <c r="T23" s="635"/>
      <c r="U23" s="634" t="s">
        <v>592</v>
      </c>
      <c r="V23" s="635"/>
      <c r="W23" s="635"/>
      <c r="X23" s="635"/>
      <c r="Y23" s="635"/>
      <c r="Z23" s="634" t="s">
        <v>593</v>
      </c>
      <c r="AA23" s="635"/>
      <c r="AB23" s="635"/>
      <c r="AC23" s="635"/>
      <c r="AD23" s="635"/>
      <c r="AE23" s="634" t="s">
        <v>594</v>
      </c>
      <c r="AF23" s="635"/>
      <c r="AG23" s="635"/>
      <c r="AH23" s="635"/>
      <c r="AI23" s="635"/>
      <c r="AJ23" s="634" t="s">
        <v>595</v>
      </c>
      <c r="AK23" s="635"/>
      <c r="AL23" s="635"/>
      <c r="AM23" s="635"/>
      <c r="AN23" s="635"/>
      <c r="AO23" s="634" t="s">
        <v>596</v>
      </c>
      <c r="AP23" s="635"/>
      <c r="AQ23" s="635"/>
      <c r="AR23" s="635"/>
      <c r="AS23" s="635"/>
      <c r="AT23" s="634" t="s">
        <v>597</v>
      </c>
      <c r="AU23" s="635"/>
      <c r="AV23" s="635"/>
      <c r="AW23" s="635"/>
      <c r="AX23" s="635"/>
    </row>
    <row r="24" spans="2:54">
      <c r="B24" s="624" t="s">
        <v>760</v>
      </c>
      <c r="C24" s="624" t="s">
        <v>827</v>
      </c>
      <c r="D24" s="624"/>
      <c r="E24" s="624" t="s">
        <v>828</v>
      </c>
      <c r="F24" s="624"/>
      <c r="G24" s="624"/>
      <c r="H24" s="647" t="s">
        <v>829</v>
      </c>
      <c r="I24" s="617" t="s">
        <v>830</v>
      </c>
      <c r="J24" s="617"/>
      <c r="K24" s="617"/>
      <c r="L24" s="618" t="s">
        <v>829</v>
      </c>
      <c r="M24" s="628" t="s">
        <v>440</v>
      </c>
      <c r="N24" s="624"/>
      <c r="O24" s="624" t="s">
        <v>831</v>
      </c>
      <c r="P24" s="621" t="s">
        <v>832</v>
      </c>
      <c r="Q24" s="622"/>
      <c r="R24" s="622"/>
      <c r="S24" s="623"/>
      <c r="T24" s="624" t="s">
        <v>829</v>
      </c>
      <c r="U24" s="621" t="s">
        <v>832</v>
      </c>
      <c r="V24" s="622"/>
      <c r="W24" s="622"/>
      <c r="X24" s="623"/>
      <c r="Y24" s="624" t="s">
        <v>829</v>
      </c>
      <c r="Z24" s="621" t="s">
        <v>832</v>
      </c>
      <c r="AA24" s="622"/>
      <c r="AB24" s="622"/>
      <c r="AC24" s="623"/>
      <c r="AD24" s="624" t="s">
        <v>829</v>
      </c>
      <c r="AE24" s="621" t="s">
        <v>832</v>
      </c>
      <c r="AF24" s="622"/>
      <c r="AG24" s="622"/>
      <c r="AH24" s="623"/>
      <c r="AI24" s="624" t="s">
        <v>829</v>
      </c>
      <c r="AJ24" s="621" t="s">
        <v>832</v>
      </c>
      <c r="AK24" s="622"/>
      <c r="AL24" s="622"/>
      <c r="AM24" s="623"/>
      <c r="AN24" s="624" t="s">
        <v>829</v>
      </c>
      <c r="AO24" s="621" t="s">
        <v>832</v>
      </c>
      <c r="AP24" s="622"/>
      <c r="AQ24" s="622"/>
      <c r="AR24" s="623"/>
      <c r="AS24" s="624" t="s">
        <v>829</v>
      </c>
      <c r="AT24" s="621" t="s">
        <v>832</v>
      </c>
      <c r="AU24" s="622"/>
      <c r="AV24" s="622"/>
      <c r="AW24" s="623"/>
      <c r="AX24" s="624" t="s">
        <v>829</v>
      </c>
    </row>
    <row r="25" spans="2:54">
      <c r="B25" s="624"/>
      <c r="C25" s="624"/>
      <c r="D25" s="624"/>
      <c r="E25" s="624" t="s">
        <v>833</v>
      </c>
      <c r="F25" s="624"/>
      <c r="G25" s="624"/>
      <c r="H25" s="648"/>
      <c r="I25" s="617" t="s">
        <v>833</v>
      </c>
      <c r="J25" s="617"/>
      <c r="K25" s="617"/>
      <c r="L25" s="619"/>
      <c r="M25" s="629"/>
      <c r="N25" s="624"/>
      <c r="O25" s="624"/>
      <c r="P25" s="621" t="s">
        <v>834</v>
      </c>
      <c r="Q25" s="622"/>
      <c r="R25" s="622"/>
      <c r="S25" s="623"/>
      <c r="T25" s="624"/>
      <c r="U25" s="621" t="s">
        <v>834</v>
      </c>
      <c r="V25" s="622"/>
      <c r="W25" s="622"/>
      <c r="X25" s="623"/>
      <c r="Y25" s="624"/>
      <c r="Z25" s="621" t="s">
        <v>834</v>
      </c>
      <c r="AA25" s="622"/>
      <c r="AB25" s="622"/>
      <c r="AC25" s="623"/>
      <c r="AD25" s="624"/>
      <c r="AE25" s="621" t="s">
        <v>834</v>
      </c>
      <c r="AF25" s="622"/>
      <c r="AG25" s="622"/>
      <c r="AH25" s="623"/>
      <c r="AI25" s="624"/>
      <c r="AJ25" s="621" t="s">
        <v>834</v>
      </c>
      <c r="AK25" s="622"/>
      <c r="AL25" s="622"/>
      <c r="AM25" s="623"/>
      <c r="AN25" s="624"/>
      <c r="AO25" s="621" t="s">
        <v>834</v>
      </c>
      <c r="AP25" s="622"/>
      <c r="AQ25" s="622"/>
      <c r="AR25" s="623"/>
      <c r="AS25" s="624"/>
      <c r="AT25" s="621" t="s">
        <v>834</v>
      </c>
      <c r="AU25" s="622"/>
      <c r="AV25" s="622"/>
      <c r="AW25" s="623"/>
      <c r="AX25" s="624"/>
    </row>
    <row r="26" spans="2:54">
      <c r="B26" s="624"/>
      <c r="C26" s="624"/>
      <c r="D26" s="624"/>
      <c r="E26" s="533" t="s">
        <v>835</v>
      </c>
      <c r="F26" s="533" t="s">
        <v>836</v>
      </c>
      <c r="G26" s="533" t="s">
        <v>837</v>
      </c>
      <c r="H26" s="649"/>
      <c r="I26" s="535" t="s">
        <v>835</v>
      </c>
      <c r="J26" s="535" t="s">
        <v>836</v>
      </c>
      <c r="K26" s="535" t="s">
        <v>837</v>
      </c>
      <c r="L26" s="620"/>
      <c r="M26" s="630"/>
      <c r="N26" s="624"/>
      <c r="O26" s="624"/>
      <c r="P26" s="533" t="s">
        <v>835</v>
      </c>
      <c r="Q26" s="533" t="s">
        <v>836</v>
      </c>
      <c r="R26" s="533" t="s">
        <v>837</v>
      </c>
      <c r="S26" s="533" t="s">
        <v>440</v>
      </c>
      <c r="T26" s="624"/>
      <c r="U26" s="533" t="s">
        <v>835</v>
      </c>
      <c r="V26" s="533" t="s">
        <v>836</v>
      </c>
      <c r="W26" s="533" t="s">
        <v>837</v>
      </c>
      <c r="X26" s="533" t="s">
        <v>440</v>
      </c>
      <c r="Y26" s="624"/>
      <c r="Z26" s="533" t="s">
        <v>835</v>
      </c>
      <c r="AA26" s="533" t="s">
        <v>836</v>
      </c>
      <c r="AB26" s="533" t="s">
        <v>837</v>
      </c>
      <c r="AC26" s="533" t="s">
        <v>440</v>
      </c>
      <c r="AD26" s="624"/>
      <c r="AE26" s="533" t="s">
        <v>835</v>
      </c>
      <c r="AF26" s="533" t="s">
        <v>836</v>
      </c>
      <c r="AG26" s="533" t="s">
        <v>837</v>
      </c>
      <c r="AH26" s="533" t="s">
        <v>440</v>
      </c>
      <c r="AI26" s="624"/>
      <c r="AJ26" s="533" t="s">
        <v>835</v>
      </c>
      <c r="AK26" s="533" t="s">
        <v>836</v>
      </c>
      <c r="AL26" s="533" t="s">
        <v>837</v>
      </c>
      <c r="AM26" s="533" t="s">
        <v>440</v>
      </c>
      <c r="AN26" s="624"/>
      <c r="AO26" s="533" t="s">
        <v>835</v>
      </c>
      <c r="AP26" s="533" t="s">
        <v>836</v>
      </c>
      <c r="AQ26" s="533" t="s">
        <v>837</v>
      </c>
      <c r="AR26" s="533" t="s">
        <v>440</v>
      </c>
      <c r="AS26" s="624"/>
      <c r="AT26" s="533" t="s">
        <v>835</v>
      </c>
      <c r="AU26" s="533" t="s">
        <v>836</v>
      </c>
      <c r="AV26" s="533" t="s">
        <v>837</v>
      </c>
      <c r="AW26" s="533" t="s">
        <v>440</v>
      </c>
      <c r="AX26" s="624"/>
    </row>
    <row r="27" spans="2:54">
      <c r="B27" s="624" t="s">
        <v>780</v>
      </c>
      <c r="C27" s="529">
        <v>1</v>
      </c>
      <c r="D27" s="223" t="s">
        <v>842</v>
      </c>
      <c r="E27" s="538">
        <v>15</v>
      </c>
      <c r="F27" s="529">
        <v>2000</v>
      </c>
      <c r="G27" s="530">
        <v>100</v>
      </c>
      <c r="H27" s="677">
        <f>AVERAGE(G27:G41)</f>
        <v>100</v>
      </c>
      <c r="I27" s="531">
        <f t="shared" ref="I27:K40" si="7">IFERROR(AVERAGE(P27,U27,Z27,AE27,AJ27,AO27,AT27),"-")</f>
        <v>15</v>
      </c>
      <c r="J27" s="531">
        <f t="shared" si="7"/>
        <v>2023.0384753901567</v>
      </c>
      <c r="K27" s="363">
        <f t="shared" si="7"/>
        <v>134.86923169267709</v>
      </c>
      <c r="L27" s="614">
        <f>IFERROR(AVERAGE(K27:K41),"-")</f>
        <v>147.87748186955736</v>
      </c>
      <c r="M27" s="536">
        <f>RANK(K27, K$24:$K$41)</f>
        <v>2</v>
      </c>
      <c r="N27" s="624"/>
      <c r="O27" s="624"/>
      <c r="P27" s="529">
        <v>15</v>
      </c>
      <c r="Q27" s="538">
        <v>1943.1428571428594</v>
      </c>
      <c r="R27" s="538">
        <v>129.54285714285729</v>
      </c>
      <c r="S27" s="529">
        <f t="shared" ref="S27:S41" si="8">RANK(R27, R$27:R$41)</f>
        <v>2</v>
      </c>
      <c r="T27" s="610">
        <f t="shared" ref="T27" si="9">AVERAGE(R27:R41)</f>
        <v>139.91714285714289</v>
      </c>
      <c r="U27" s="529">
        <v>15</v>
      </c>
      <c r="V27" s="538">
        <v>2001.8823529411779</v>
      </c>
      <c r="W27" s="538">
        <v>133.45882352941186</v>
      </c>
      <c r="X27" s="529">
        <f t="shared" ref="X27:X41" si="10">RANK(W27, W$27:W$41)</f>
        <v>2</v>
      </c>
      <c r="Y27" s="610">
        <f t="shared" ref="Y27" si="11">AVERAGE(W27:W41)</f>
        <v>142.32941176470592</v>
      </c>
      <c r="Z27" s="529">
        <v>15</v>
      </c>
      <c r="AA27" s="538">
        <v>2038.8000000000006</v>
      </c>
      <c r="AB27" s="538">
        <v>135.92000000000004</v>
      </c>
      <c r="AC27" s="529">
        <f t="shared" ref="AC27:AC41" si="12">RANK(AB27, AB$27:AB$41)</f>
        <v>1</v>
      </c>
      <c r="AD27" s="610">
        <f t="shared" ref="AD27" si="13">AVERAGE(AB27:AB41)</f>
        <v>126.22573426573427</v>
      </c>
      <c r="AE27" s="529">
        <v>15</v>
      </c>
      <c r="AF27" s="538">
        <v>2048.4000000000005</v>
      </c>
      <c r="AG27" s="538">
        <v>136.56000000000003</v>
      </c>
      <c r="AH27" s="529">
        <f t="shared" ref="AH27:AH41" si="14">RANK(AG27, AG$27:AG$41)</f>
        <v>2</v>
      </c>
      <c r="AI27" s="610">
        <f t="shared" ref="AI27" si="15">AVERAGE(AG27:AG41)</f>
        <v>144.77999999999997</v>
      </c>
      <c r="AJ27" s="529">
        <v>15</v>
      </c>
      <c r="AK27" s="538">
        <v>2033.6470588235293</v>
      </c>
      <c r="AL27" s="538">
        <v>135.57647058823528</v>
      </c>
      <c r="AM27" s="529">
        <f t="shared" ref="AM27:AM41" si="16">RANK(AL27, AL$27:AL$41)</f>
        <v>2</v>
      </c>
      <c r="AN27" s="610">
        <f t="shared" ref="AN27" si="17">AVERAGE(AL27:AL41)</f>
        <v>168.53368983957239</v>
      </c>
      <c r="AO27" s="529">
        <v>15</v>
      </c>
      <c r="AP27" s="538">
        <v>2037.7499999999995</v>
      </c>
      <c r="AQ27" s="538">
        <v>135.84999999999997</v>
      </c>
      <c r="AR27" s="529">
        <f t="shared" ref="AR27:AR41" si="18">RANK(AQ27, AQ$27:AQ$41)</f>
        <v>2</v>
      </c>
      <c r="AS27" s="610">
        <f t="shared" ref="AS27" si="19">AVERAGE(AQ27:AQ41)</f>
        <v>168.99396551724141</v>
      </c>
      <c r="AT27" s="529">
        <v>15</v>
      </c>
      <c r="AU27" s="538">
        <v>2057.6470588235293</v>
      </c>
      <c r="AV27" s="538">
        <v>137.17647058823528</v>
      </c>
      <c r="AW27" s="529">
        <f t="shared" ref="AW27:AW41" si="20">RANK(AV27, AV$27:AV$41)</f>
        <v>2</v>
      </c>
      <c r="AX27" s="610">
        <f t="shared" ref="AX27" si="21">AVERAGE(AV27:AV41)</f>
        <v>144.36242884250476</v>
      </c>
      <c r="AZ27" s="377" t="e">
        <f t="shared" ref="AZ27:AZ41" si="22">RANK(AY27, AY$27:AY$41)</f>
        <v>#N/A</v>
      </c>
      <c r="BA27" s="653" t="e">
        <f t="shared" ref="BA27" si="23">AVERAGE(AY27:AY41)</f>
        <v>#DIV/0!</v>
      </c>
    </row>
    <row r="28" spans="2:54">
      <c r="B28" s="635"/>
      <c r="C28" s="529">
        <v>2</v>
      </c>
      <c r="D28" s="223" t="s">
        <v>843</v>
      </c>
      <c r="E28" s="538">
        <v>13</v>
      </c>
      <c r="F28" s="529">
        <v>2000</v>
      </c>
      <c r="G28" s="530">
        <v>100</v>
      </c>
      <c r="H28" s="678"/>
      <c r="I28" s="531">
        <f t="shared" si="7"/>
        <v>10.428571428571429</v>
      </c>
      <c r="J28" s="531">
        <f t="shared" si="7"/>
        <v>1658.7993784064345</v>
      </c>
      <c r="K28" s="363">
        <f t="shared" si="7"/>
        <v>160.88573204643762</v>
      </c>
      <c r="L28" s="615"/>
      <c r="M28" s="536">
        <f>RANK(K28, K$24:$K$41)</f>
        <v>1</v>
      </c>
      <c r="N28" s="624"/>
      <c r="O28" s="624"/>
      <c r="P28" s="529">
        <v>10</v>
      </c>
      <c r="Q28" s="538">
        <v>1502.9142857142854</v>
      </c>
      <c r="R28" s="538">
        <v>150.29142857142853</v>
      </c>
      <c r="S28" s="529">
        <f t="shared" si="8"/>
        <v>1</v>
      </c>
      <c r="T28" s="611"/>
      <c r="U28" s="529">
        <v>10</v>
      </c>
      <c r="V28" s="538">
        <v>1512.0000000000002</v>
      </c>
      <c r="W28" s="538">
        <v>151.20000000000002</v>
      </c>
      <c r="X28" s="529">
        <f t="shared" si="10"/>
        <v>1</v>
      </c>
      <c r="Y28" s="611"/>
      <c r="Z28" s="529">
        <v>13</v>
      </c>
      <c r="AA28" s="538">
        <v>1514.9090909090903</v>
      </c>
      <c r="AB28" s="538">
        <v>116.53146853146849</v>
      </c>
      <c r="AC28" s="529">
        <f t="shared" si="12"/>
        <v>2</v>
      </c>
      <c r="AD28" s="611"/>
      <c r="AE28" s="529">
        <v>10</v>
      </c>
      <c r="AF28" s="538">
        <v>1529.9999999999993</v>
      </c>
      <c r="AG28" s="538">
        <v>152.99999999999994</v>
      </c>
      <c r="AH28" s="529">
        <f t="shared" si="14"/>
        <v>1</v>
      </c>
      <c r="AI28" s="611"/>
      <c r="AJ28" s="529">
        <v>10</v>
      </c>
      <c r="AK28" s="538">
        <v>2014.9090909090951</v>
      </c>
      <c r="AL28" s="538">
        <v>201.4909090909095</v>
      </c>
      <c r="AM28" s="529">
        <f t="shared" si="16"/>
        <v>1</v>
      </c>
      <c r="AN28" s="611"/>
      <c r="AO28" s="529">
        <v>10</v>
      </c>
      <c r="AP28" s="538">
        <v>2021.3793103448281</v>
      </c>
      <c r="AQ28" s="538">
        <v>202.13793103448282</v>
      </c>
      <c r="AR28" s="529">
        <f t="shared" si="18"/>
        <v>1</v>
      </c>
      <c r="AS28" s="611"/>
      <c r="AT28" s="529">
        <v>10</v>
      </c>
      <c r="AU28" s="538">
        <v>1515.4838709677426</v>
      </c>
      <c r="AV28" s="538">
        <v>151.54838709677426</v>
      </c>
      <c r="AW28" s="529">
        <f t="shared" si="20"/>
        <v>1</v>
      </c>
      <c r="AX28" s="611"/>
      <c r="AZ28" s="377" t="e">
        <f t="shared" si="22"/>
        <v>#N/A</v>
      </c>
      <c r="BA28" s="653"/>
    </row>
    <row r="29" spans="2:54">
      <c r="B29" s="635"/>
      <c r="C29" s="529">
        <v>3</v>
      </c>
      <c r="D29" s="223"/>
      <c r="E29" s="538"/>
      <c r="F29" s="529"/>
      <c r="G29" s="530"/>
      <c r="H29" s="678"/>
      <c r="I29" s="531" t="str">
        <f t="shared" si="7"/>
        <v>-</v>
      </c>
      <c r="J29" s="531" t="str">
        <f t="shared" si="7"/>
        <v>-</v>
      </c>
      <c r="K29" s="363" t="str">
        <f t="shared" si="7"/>
        <v>-</v>
      </c>
      <c r="L29" s="615"/>
      <c r="M29" s="536" t="e">
        <f>RANK(K29, K$24:$K$41)</f>
        <v>#VALUE!</v>
      </c>
      <c r="N29" s="624"/>
      <c r="O29" s="624"/>
      <c r="P29" s="529" t="s">
        <v>427</v>
      </c>
      <c r="Q29" s="538" t="s">
        <v>427</v>
      </c>
      <c r="R29" s="538" t="s">
        <v>427</v>
      </c>
      <c r="S29" s="529" t="e">
        <f t="shared" si="8"/>
        <v>#VALUE!</v>
      </c>
      <c r="T29" s="611"/>
      <c r="U29" s="529" t="s">
        <v>427</v>
      </c>
      <c r="V29" s="538" t="s">
        <v>427</v>
      </c>
      <c r="W29" s="538" t="s">
        <v>427</v>
      </c>
      <c r="X29" s="529" t="e">
        <f t="shared" si="10"/>
        <v>#VALUE!</v>
      </c>
      <c r="Y29" s="611"/>
      <c r="Z29" s="529" t="s">
        <v>427</v>
      </c>
      <c r="AA29" s="538" t="s">
        <v>427</v>
      </c>
      <c r="AB29" s="538" t="s">
        <v>427</v>
      </c>
      <c r="AC29" s="529" t="e">
        <f t="shared" si="12"/>
        <v>#VALUE!</v>
      </c>
      <c r="AD29" s="611"/>
      <c r="AE29" s="529" t="s">
        <v>427</v>
      </c>
      <c r="AF29" s="538" t="s">
        <v>427</v>
      </c>
      <c r="AG29" s="538" t="s">
        <v>427</v>
      </c>
      <c r="AH29" s="529" t="e">
        <f t="shared" si="14"/>
        <v>#VALUE!</v>
      </c>
      <c r="AI29" s="611"/>
      <c r="AJ29" s="529" t="s">
        <v>427</v>
      </c>
      <c r="AK29" s="538" t="s">
        <v>427</v>
      </c>
      <c r="AL29" s="538" t="s">
        <v>427</v>
      </c>
      <c r="AM29" s="529" t="e">
        <f t="shared" si="16"/>
        <v>#VALUE!</v>
      </c>
      <c r="AN29" s="611"/>
      <c r="AO29" s="529" t="s">
        <v>427</v>
      </c>
      <c r="AP29" s="538" t="s">
        <v>427</v>
      </c>
      <c r="AQ29" s="538" t="s">
        <v>427</v>
      </c>
      <c r="AR29" s="529" t="e">
        <f t="shared" si="18"/>
        <v>#VALUE!</v>
      </c>
      <c r="AS29" s="611"/>
      <c r="AT29" s="529" t="s">
        <v>427</v>
      </c>
      <c r="AU29" s="538" t="s">
        <v>427</v>
      </c>
      <c r="AV29" s="538" t="s">
        <v>427</v>
      </c>
      <c r="AW29" s="529" t="e">
        <f t="shared" si="20"/>
        <v>#VALUE!</v>
      </c>
      <c r="AX29" s="611"/>
      <c r="AZ29" s="377" t="e">
        <f t="shared" si="22"/>
        <v>#N/A</v>
      </c>
      <c r="BA29" s="653"/>
    </row>
    <row r="30" spans="2:54">
      <c r="B30" s="635"/>
      <c r="C30" s="529">
        <v>4</v>
      </c>
      <c r="D30" s="223"/>
      <c r="E30" s="538"/>
      <c r="F30" s="529"/>
      <c r="G30" s="530"/>
      <c r="H30" s="678"/>
      <c r="I30" s="531" t="str">
        <f t="shared" si="7"/>
        <v>-</v>
      </c>
      <c r="J30" s="531" t="str">
        <f t="shared" si="7"/>
        <v>-</v>
      </c>
      <c r="K30" s="363" t="str">
        <f t="shared" si="7"/>
        <v>-</v>
      </c>
      <c r="L30" s="615"/>
      <c r="M30" s="536" t="e">
        <f>RANK(K30, K$24:$K$41)</f>
        <v>#VALUE!</v>
      </c>
      <c r="N30" s="624"/>
      <c r="O30" s="624"/>
      <c r="P30" s="529" t="s">
        <v>427</v>
      </c>
      <c r="Q30" s="538" t="s">
        <v>427</v>
      </c>
      <c r="R30" s="538" t="s">
        <v>427</v>
      </c>
      <c r="S30" s="529" t="e">
        <f t="shared" si="8"/>
        <v>#VALUE!</v>
      </c>
      <c r="T30" s="611"/>
      <c r="U30" s="529" t="s">
        <v>427</v>
      </c>
      <c r="V30" s="538" t="s">
        <v>427</v>
      </c>
      <c r="W30" s="538" t="s">
        <v>427</v>
      </c>
      <c r="X30" s="529" t="e">
        <f t="shared" si="10"/>
        <v>#VALUE!</v>
      </c>
      <c r="Y30" s="611"/>
      <c r="Z30" s="529" t="s">
        <v>427</v>
      </c>
      <c r="AA30" s="538" t="s">
        <v>427</v>
      </c>
      <c r="AB30" s="538" t="s">
        <v>427</v>
      </c>
      <c r="AC30" s="529" t="e">
        <f t="shared" si="12"/>
        <v>#VALUE!</v>
      </c>
      <c r="AD30" s="611"/>
      <c r="AE30" s="529" t="s">
        <v>427</v>
      </c>
      <c r="AF30" s="538" t="s">
        <v>427</v>
      </c>
      <c r="AG30" s="538" t="s">
        <v>427</v>
      </c>
      <c r="AH30" s="529" t="e">
        <f t="shared" si="14"/>
        <v>#VALUE!</v>
      </c>
      <c r="AI30" s="611"/>
      <c r="AJ30" s="529" t="s">
        <v>427</v>
      </c>
      <c r="AK30" s="538" t="s">
        <v>427</v>
      </c>
      <c r="AL30" s="538" t="s">
        <v>427</v>
      </c>
      <c r="AM30" s="529" t="e">
        <f t="shared" si="16"/>
        <v>#VALUE!</v>
      </c>
      <c r="AN30" s="611"/>
      <c r="AO30" s="529" t="s">
        <v>427</v>
      </c>
      <c r="AP30" s="538" t="s">
        <v>427</v>
      </c>
      <c r="AQ30" s="538" t="s">
        <v>427</v>
      </c>
      <c r="AR30" s="529" t="e">
        <f t="shared" si="18"/>
        <v>#VALUE!</v>
      </c>
      <c r="AS30" s="611"/>
      <c r="AT30" s="529" t="s">
        <v>427</v>
      </c>
      <c r="AU30" s="538" t="s">
        <v>427</v>
      </c>
      <c r="AV30" s="538" t="s">
        <v>427</v>
      </c>
      <c r="AW30" s="529" t="e">
        <f t="shared" si="20"/>
        <v>#VALUE!</v>
      </c>
      <c r="AX30" s="611"/>
      <c r="AZ30" s="377" t="e">
        <f t="shared" si="22"/>
        <v>#N/A</v>
      </c>
      <c r="BA30" s="653"/>
    </row>
    <row r="31" spans="2:54">
      <c r="B31" s="635"/>
      <c r="C31" s="529">
        <v>5</v>
      </c>
      <c r="D31" s="223"/>
      <c r="E31" s="538"/>
      <c r="F31" s="529"/>
      <c r="G31" s="530"/>
      <c r="H31" s="678"/>
      <c r="I31" s="531" t="str">
        <f t="shared" si="7"/>
        <v>-</v>
      </c>
      <c r="J31" s="531" t="str">
        <f t="shared" si="7"/>
        <v>-</v>
      </c>
      <c r="K31" s="363" t="str">
        <f t="shared" si="7"/>
        <v>-</v>
      </c>
      <c r="L31" s="615"/>
      <c r="M31" s="536" t="e">
        <f>RANK(K31, K$24:$K$41)</f>
        <v>#VALUE!</v>
      </c>
      <c r="N31" s="624"/>
      <c r="O31" s="624"/>
      <c r="P31" s="529" t="s">
        <v>427</v>
      </c>
      <c r="Q31" s="538" t="s">
        <v>427</v>
      </c>
      <c r="R31" s="538" t="s">
        <v>427</v>
      </c>
      <c r="S31" s="529" t="e">
        <f t="shared" si="8"/>
        <v>#VALUE!</v>
      </c>
      <c r="T31" s="611"/>
      <c r="U31" s="529" t="s">
        <v>427</v>
      </c>
      <c r="V31" s="538" t="s">
        <v>427</v>
      </c>
      <c r="W31" s="538" t="s">
        <v>427</v>
      </c>
      <c r="X31" s="529" t="e">
        <f t="shared" si="10"/>
        <v>#VALUE!</v>
      </c>
      <c r="Y31" s="611"/>
      <c r="Z31" s="529" t="s">
        <v>427</v>
      </c>
      <c r="AA31" s="538" t="s">
        <v>427</v>
      </c>
      <c r="AB31" s="538" t="s">
        <v>427</v>
      </c>
      <c r="AC31" s="529" t="e">
        <f t="shared" si="12"/>
        <v>#VALUE!</v>
      </c>
      <c r="AD31" s="611"/>
      <c r="AE31" s="529" t="s">
        <v>427</v>
      </c>
      <c r="AF31" s="538" t="s">
        <v>427</v>
      </c>
      <c r="AG31" s="538" t="s">
        <v>427</v>
      </c>
      <c r="AH31" s="529" t="e">
        <f t="shared" si="14"/>
        <v>#VALUE!</v>
      </c>
      <c r="AI31" s="611"/>
      <c r="AJ31" s="529" t="s">
        <v>427</v>
      </c>
      <c r="AK31" s="538" t="s">
        <v>427</v>
      </c>
      <c r="AL31" s="538" t="s">
        <v>427</v>
      </c>
      <c r="AM31" s="529" t="e">
        <f t="shared" si="16"/>
        <v>#VALUE!</v>
      </c>
      <c r="AN31" s="611"/>
      <c r="AO31" s="529" t="s">
        <v>427</v>
      </c>
      <c r="AP31" s="538" t="s">
        <v>427</v>
      </c>
      <c r="AQ31" s="538" t="s">
        <v>427</v>
      </c>
      <c r="AR31" s="529" t="e">
        <f t="shared" si="18"/>
        <v>#VALUE!</v>
      </c>
      <c r="AS31" s="611"/>
      <c r="AT31" s="529" t="s">
        <v>427</v>
      </c>
      <c r="AU31" s="538" t="s">
        <v>427</v>
      </c>
      <c r="AV31" s="538" t="s">
        <v>427</v>
      </c>
      <c r="AW31" s="529" t="e">
        <f t="shared" si="20"/>
        <v>#VALUE!</v>
      </c>
      <c r="AX31" s="611"/>
      <c r="AZ31" s="377" t="e">
        <f t="shared" si="22"/>
        <v>#N/A</v>
      </c>
      <c r="BA31" s="653"/>
    </row>
    <row r="32" spans="2:54">
      <c r="B32" s="635"/>
      <c r="C32" s="529">
        <v>6</v>
      </c>
      <c r="D32" s="223"/>
      <c r="E32" s="538"/>
      <c r="F32" s="529"/>
      <c r="G32" s="530"/>
      <c r="H32" s="678"/>
      <c r="I32" s="531" t="str">
        <f t="shared" si="7"/>
        <v>-</v>
      </c>
      <c r="J32" s="531" t="str">
        <f t="shared" si="7"/>
        <v>-</v>
      </c>
      <c r="K32" s="363" t="str">
        <f t="shared" si="7"/>
        <v>-</v>
      </c>
      <c r="L32" s="615"/>
      <c r="M32" s="536" t="e">
        <f>RANK(K32, K$24:$K$41)</f>
        <v>#VALUE!</v>
      </c>
      <c r="N32" s="624"/>
      <c r="O32" s="624"/>
      <c r="P32" s="529" t="s">
        <v>427</v>
      </c>
      <c r="Q32" s="538" t="s">
        <v>427</v>
      </c>
      <c r="R32" s="538" t="s">
        <v>427</v>
      </c>
      <c r="S32" s="529" t="e">
        <f t="shared" si="8"/>
        <v>#VALUE!</v>
      </c>
      <c r="T32" s="611"/>
      <c r="U32" s="529" t="s">
        <v>427</v>
      </c>
      <c r="V32" s="538" t="s">
        <v>427</v>
      </c>
      <c r="W32" s="538" t="s">
        <v>427</v>
      </c>
      <c r="X32" s="529" t="e">
        <f t="shared" si="10"/>
        <v>#VALUE!</v>
      </c>
      <c r="Y32" s="611"/>
      <c r="Z32" s="529" t="s">
        <v>427</v>
      </c>
      <c r="AA32" s="538" t="s">
        <v>427</v>
      </c>
      <c r="AB32" s="538" t="s">
        <v>427</v>
      </c>
      <c r="AC32" s="529" t="e">
        <f t="shared" si="12"/>
        <v>#VALUE!</v>
      </c>
      <c r="AD32" s="611"/>
      <c r="AE32" s="529" t="s">
        <v>427</v>
      </c>
      <c r="AF32" s="538" t="s">
        <v>427</v>
      </c>
      <c r="AG32" s="538" t="s">
        <v>427</v>
      </c>
      <c r="AH32" s="529" t="e">
        <f t="shared" si="14"/>
        <v>#VALUE!</v>
      </c>
      <c r="AI32" s="611"/>
      <c r="AJ32" s="529" t="s">
        <v>427</v>
      </c>
      <c r="AK32" s="538" t="s">
        <v>427</v>
      </c>
      <c r="AL32" s="538" t="s">
        <v>427</v>
      </c>
      <c r="AM32" s="529" t="e">
        <f t="shared" si="16"/>
        <v>#VALUE!</v>
      </c>
      <c r="AN32" s="611"/>
      <c r="AO32" s="529" t="s">
        <v>427</v>
      </c>
      <c r="AP32" s="538" t="s">
        <v>427</v>
      </c>
      <c r="AQ32" s="538" t="s">
        <v>427</v>
      </c>
      <c r="AR32" s="529" t="e">
        <f t="shared" si="18"/>
        <v>#VALUE!</v>
      </c>
      <c r="AS32" s="611"/>
      <c r="AT32" s="529" t="s">
        <v>427</v>
      </c>
      <c r="AU32" s="538" t="s">
        <v>427</v>
      </c>
      <c r="AV32" s="538" t="s">
        <v>427</v>
      </c>
      <c r="AW32" s="529" t="e">
        <f t="shared" si="20"/>
        <v>#VALUE!</v>
      </c>
      <c r="AX32" s="611"/>
      <c r="AZ32" s="377" t="e">
        <f t="shared" si="22"/>
        <v>#N/A</v>
      </c>
      <c r="BA32" s="653"/>
    </row>
    <row r="33" spans="2:53">
      <c r="B33" s="635"/>
      <c r="C33" s="529">
        <v>7</v>
      </c>
      <c r="D33" s="223"/>
      <c r="E33" s="538"/>
      <c r="F33" s="529"/>
      <c r="G33" s="530"/>
      <c r="H33" s="678"/>
      <c r="I33" s="531" t="str">
        <f t="shared" si="7"/>
        <v>-</v>
      </c>
      <c r="J33" s="531" t="str">
        <f t="shared" si="7"/>
        <v>-</v>
      </c>
      <c r="K33" s="363" t="str">
        <f t="shared" si="7"/>
        <v>-</v>
      </c>
      <c r="L33" s="615"/>
      <c r="M33" s="536" t="e">
        <f>RANK(K33, K$24:$K$41)</f>
        <v>#VALUE!</v>
      </c>
      <c r="N33" s="624"/>
      <c r="O33" s="624"/>
      <c r="P33" s="529" t="s">
        <v>427</v>
      </c>
      <c r="Q33" s="538" t="s">
        <v>427</v>
      </c>
      <c r="R33" s="538" t="s">
        <v>427</v>
      </c>
      <c r="S33" s="529" t="e">
        <f t="shared" si="8"/>
        <v>#VALUE!</v>
      </c>
      <c r="T33" s="611"/>
      <c r="U33" s="529" t="s">
        <v>427</v>
      </c>
      <c r="V33" s="538" t="s">
        <v>427</v>
      </c>
      <c r="W33" s="538" t="s">
        <v>427</v>
      </c>
      <c r="X33" s="529" t="e">
        <f t="shared" si="10"/>
        <v>#VALUE!</v>
      </c>
      <c r="Y33" s="611"/>
      <c r="Z33" s="529" t="s">
        <v>427</v>
      </c>
      <c r="AA33" s="538" t="s">
        <v>427</v>
      </c>
      <c r="AB33" s="538" t="s">
        <v>427</v>
      </c>
      <c r="AC33" s="529" t="e">
        <f t="shared" si="12"/>
        <v>#VALUE!</v>
      </c>
      <c r="AD33" s="611"/>
      <c r="AE33" s="529" t="s">
        <v>427</v>
      </c>
      <c r="AF33" s="538" t="s">
        <v>427</v>
      </c>
      <c r="AG33" s="538" t="s">
        <v>427</v>
      </c>
      <c r="AH33" s="529" t="e">
        <f t="shared" si="14"/>
        <v>#VALUE!</v>
      </c>
      <c r="AI33" s="611"/>
      <c r="AJ33" s="529" t="s">
        <v>427</v>
      </c>
      <c r="AK33" s="538" t="s">
        <v>427</v>
      </c>
      <c r="AL33" s="538" t="s">
        <v>427</v>
      </c>
      <c r="AM33" s="529" t="e">
        <f t="shared" si="16"/>
        <v>#VALUE!</v>
      </c>
      <c r="AN33" s="611"/>
      <c r="AO33" s="529" t="s">
        <v>427</v>
      </c>
      <c r="AP33" s="538" t="s">
        <v>427</v>
      </c>
      <c r="AQ33" s="538" t="s">
        <v>427</v>
      </c>
      <c r="AR33" s="529" t="e">
        <f t="shared" si="18"/>
        <v>#VALUE!</v>
      </c>
      <c r="AS33" s="611"/>
      <c r="AT33" s="529" t="s">
        <v>427</v>
      </c>
      <c r="AU33" s="538" t="s">
        <v>427</v>
      </c>
      <c r="AV33" s="538" t="s">
        <v>427</v>
      </c>
      <c r="AW33" s="529" t="e">
        <f t="shared" si="20"/>
        <v>#VALUE!</v>
      </c>
      <c r="AX33" s="611"/>
      <c r="AZ33" s="377" t="e">
        <f t="shared" si="22"/>
        <v>#N/A</v>
      </c>
      <c r="BA33" s="653"/>
    </row>
    <row r="34" spans="2:53">
      <c r="B34" s="635"/>
      <c r="C34" s="529">
        <v>8</v>
      </c>
      <c r="D34" s="223"/>
      <c r="E34" s="538"/>
      <c r="F34" s="529"/>
      <c r="G34" s="530"/>
      <c r="H34" s="678"/>
      <c r="I34" s="531" t="str">
        <f t="shared" si="7"/>
        <v>-</v>
      </c>
      <c r="J34" s="531" t="str">
        <f t="shared" si="7"/>
        <v>-</v>
      </c>
      <c r="K34" s="363" t="str">
        <f t="shared" si="7"/>
        <v>-</v>
      </c>
      <c r="L34" s="615"/>
      <c r="M34" s="536" t="e">
        <f>RANK(K34, K$24:$K$41)</f>
        <v>#VALUE!</v>
      </c>
      <c r="N34" s="624"/>
      <c r="O34" s="624"/>
      <c r="P34" s="529" t="s">
        <v>427</v>
      </c>
      <c r="Q34" s="538" t="s">
        <v>427</v>
      </c>
      <c r="R34" s="538" t="s">
        <v>427</v>
      </c>
      <c r="S34" s="529" t="e">
        <f t="shared" si="8"/>
        <v>#VALUE!</v>
      </c>
      <c r="T34" s="611"/>
      <c r="U34" s="529" t="s">
        <v>427</v>
      </c>
      <c r="V34" s="538" t="s">
        <v>427</v>
      </c>
      <c r="W34" s="538" t="s">
        <v>427</v>
      </c>
      <c r="X34" s="529" t="e">
        <f t="shared" si="10"/>
        <v>#VALUE!</v>
      </c>
      <c r="Y34" s="611"/>
      <c r="Z34" s="529" t="s">
        <v>427</v>
      </c>
      <c r="AA34" s="538" t="s">
        <v>427</v>
      </c>
      <c r="AB34" s="538" t="s">
        <v>427</v>
      </c>
      <c r="AC34" s="529" t="e">
        <f t="shared" si="12"/>
        <v>#VALUE!</v>
      </c>
      <c r="AD34" s="611"/>
      <c r="AE34" s="529" t="s">
        <v>427</v>
      </c>
      <c r="AF34" s="538" t="s">
        <v>427</v>
      </c>
      <c r="AG34" s="538" t="s">
        <v>427</v>
      </c>
      <c r="AH34" s="529" t="e">
        <f t="shared" si="14"/>
        <v>#VALUE!</v>
      </c>
      <c r="AI34" s="611"/>
      <c r="AJ34" s="529" t="s">
        <v>427</v>
      </c>
      <c r="AK34" s="538" t="s">
        <v>427</v>
      </c>
      <c r="AL34" s="538" t="s">
        <v>427</v>
      </c>
      <c r="AM34" s="529" t="e">
        <f t="shared" si="16"/>
        <v>#VALUE!</v>
      </c>
      <c r="AN34" s="611"/>
      <c r="AO34" s="529" t="s">
        <v>427</v>
      </c>
      <c r="AP34" s="538" t="s">
        <v>427</v>
      </c>
      <c r="AQ34" s="538" t="s">
        <v>427</v>
      </c>
      <c r="AR34" s="529" t="e">
        <f t="shared" si="18"/>
        <v>#VALUE!</v>
      </c>
      <c r="AS34" s="611"/>
      <c r="AT34" s="529" t="s">
        <v>427</v>
      </c>
      <c r="AU34" s="538" t="s">
        <v>427</v>
      </c>
      <c r="AV34" s="538" t="s">
        <v>427</v>
      </c>
      <c r="AW34" s="529" t="e">
        <f t="shared" si="20"/>
        <v>#VALUE!</v>
      </c>
      <c r="AX34" s="611"/>
      <c r="AZ34" s="377" t="e">
        <f t="shared" si="22"/>
        <v>#N/A</v>
      </c>
      <c r="BA34" s="653"/>
    </row>
    <row r="35" spans="2:53">
      <c r="B35" s="635"/>
      <c r="C35" s="529">
        <v>9</v>
      </c>
      <c r="D35" s="223"/>
      <c r="E35" s="538"/>
      <c r="F35" s="529"/>
      <c r="G35" s="530"/>
      <c r="H35" s="678"/>
      <c r="I35" s="531" t="str">
        <f t="shared" si="7"/>
        <v>-</v>
      </c>
      <c r="J35" s="531" t="str">
        <f t="shared" si="7"/>
        <v>-</v>
      </c>
      <c r="K35" s="363" t="str">
        <f t="shared" si="7"/>
        <v>-</v>
      </c>
      <c r="L35" s="615"/>
      <c r="M35" s="536" t="e">
        <f>RANK(K35, K$24:$K$41)</f>
        <v>#VALUE!</v>
      </c>
      <c r="N35" s="624"/>
      <c r="O35" s="624"/>
      <c r="P35" s="529" t="s">
        <v>427</v>
      </c>
      <c r="Q35" s="538" t="s">
        <v>427</v>
      </c>
      <c r="R35" s="538" t="s">
        <v>427</v>
      </c>
      <c r="S35" s="529" t="e">
        <f t="shared" si="8"/>
        <v>#VALUE!</v>
      </c>
      <c r="T35" s="611"/>
      <c r="U35" s="529" t="s">
        <v>427</v>
      </c>
      <c r="V35" s="538" t="s">
        <v>427</v>
      </c>
      <c r="W35" s="538" t="s">
        <v>427</v>
      </c>
      <c r="X35" s="529" t="e">
        <f t="shared" si="10"/>
        <v>#VALUE!</v>
      </c>
      <c r="Y35" s="611"/>
      <c r="Z35" s="529" t="s">
        <v>427</v>
      </c>
      <c r="AA35" s="538" t="s">
        <v>427</v>
      </c>
      <c r="AB35" s="538" t="s">
        <v>427</v>
      </c>
      <c r="AC35" s="529" t="e">
        <f t="shared" si="12"/>
        <v>#VALUE!</v>
      </c>
      <c r="AD35" s="611"/>
      <c r="AE35" s="529" t="s">
        <v>427</v>
      </c>
      <c r="AF35" s="538" t="s">
        <v>427</v>
      </c>
      <c r="AG35" s="538" t="s">
        <v>427</v>
      </c>
      <c r="AH35" s="529" t="e">
        <f t="shared" si="14"/>
        <v>#VALUE!</v>
      </c>
      <c r="AI35" s="611"/>
      <c r="AJ35" s="529" t="s">
        <v>427</v>
      </c>
      <c r="AK35" s="538" t="s">
        <v>427</v>
      </c>
      <c r="AL35" s="538" t="s">
        <v>427</v>
      </c>
      <c r="AM35" s="529" t="e">
        <f t="shared" si="16"/>
        <v>#VALUE!</v>
      </c>
      <c r="AN35" s="611"/>
      <c r="AO35" s="529" t="s">
        <v>427</v>
      </c>
      <c r="AP35" s="538" t="s">
        <v>427</v>
      </c>
      <c r="AQ35" s="538" t="s">
        <v>427</v>
      </c>
      <c r="AR35" s="529" t="e">
        <f t="shared" si="18"/>
        <v>#VALUE!</v>
      </c>
      <c r="AS35" s="611"/>
      <c r="AT35" s="529" t="s">
        <v>427</v>
      </c>
      <c r="AU35" s="538" t="s">
        <v>427</v>
      </c>
      <c r="AV35" s="538" t="s">
        <v>427</v>
      </c>
      <c r="AW35" s="529" t="e">
        <f t="shared" si="20"/>
        <v>#VALUE!</v>
      </c>
      <c r="AX35" s="611"/>
      <c r="AZ35" s="377" t="e">
        <f t="shared" si="22"/>
        <v>#N/A</v>
      </c>
      <c r="BA35" s="653"/>
    </row>
    <row r="36" spans="2:53">
      <c r="B36" s="635"/>
      <c r="C36" s="529">
        <v>10</v>
      </c>
      <c r="D36" s="223"/>
      <c r="E36" s="538"/>
      <c r="F36" s="529"/>
      <c r="G36" s="530"/>
      <c r="H36" s="678"/>
      <c r="I36" s="531" t="str">
        <f t="shared" si="7"/>
        <v>-</v>
      </c>
      <c r="J36" s="531" t="str">
        <f t="shared" si="7"/>
        <v>-</v>
      </c>
      <c r="K36" s="363" t="str">
        <f t="shared" si="7"/>
        <v>-</v>
      </c>
      <c r="L36" s="615"/>
      <c r="M36" s="536" t="e">
        <f>RANK(K36, K$24:$K$41)</f>
        <v>#VALUE!</v>
      </c>
      <c r="N36" s="624"/>
      <c r="O36" s="624"/>
      <c r="P36" s="529" t="s">
        <v>427</v>
      </c>
      <c r="Q36" s="538" t="s">
        <v>427</v>
      </c>
      <c r="R36" s="538" t="s">
        <v>427</v>
      </c>
      <c r="S36" s="529" t="e">
        <f t="shared" si="8"/>
        <v>#VALUE!</v>
      </c>
      <c r="T36" s="611"/>
      <c r="U36" s="529" t="s">
        <v>427</v>
      </c>
      <c r="V36" s="538" t="s">
        <v>427</v>
      </c>
      <c r="W36" s="538" t="s">
        <v>427</v>
      </c>
      <c r="X36" s="529" t="e">
        <f t="shared" si="10"/>
        <v>#VALUE!</v>
      </c>
      <c r="Y36" s="611"/>
      <c r="Z36" s="529" t="s">
        <v>427</v>
      </c>
      <c r="AA36" s="538" t="s">
        <v>427</v>
      </c>
      <c r="AB36" s="538" t="s">
        <v>427</v>
      </c>
      <c r="AC36" s="529" t="e">
        <f t="shared" si="12"/>
        <v>#VALUE!</v>
      </c>
      <c r="AD36" s="611"/>
      <c r="AE36" s="529" t="s">
        <v>427</v>
      </c>
      <c r="AF36" s="538" t="s">
        <v>427</v>
      </c>
      <c r="AG36" s="538" t="s">
        <v>427</v>
      </c>
      <c r="AH36" s="529" t="e">
        <f t="shared" si="14"/>
        <v>#VALUE!</v>
      </c>
      <c r="AI36" s="611"/>
      <c r="AJ36" s="529" t="s">
        <v>427</v>
      </c>
      <c r="AK36" s="538" t="s">
        <v>427</v>
      </c>
      <c r="AL36" s="538" t="s">
        <v>427</v>
      </c>
      <c r="AM36" s="529" t="e">
        <f t="shared" si="16"/>
        <v>#VALUE!</v>
      </c>
      <c r="AN36" s="611"/>
      <c r="AO36" s="529" t="s">
        <v>427</v>
      </c>
      <c r="AP36" s="538" t="s">
        <v>427</v>
      </c>
      <c r="AQ36" s="538" t="s">
        <v>427</v>
      </c>
      <c r="AR36" s="529" t="e">
        <f t="shared" si="18"/>
        <v>#VALUE!</v>
      </c>
      <c r="AS36" s="611"/>
      <c r="AT36" s="529" t="s">
        <v>427</v>
      </c>
      <c r="AU36" s="538" t="s">
        <v>427</v>
      </c>
      <c r="AV36" s="538" t="s">
        <v>427</v>
      </c>
      <c r="AW36" s="529" t="e">
        <f t="shared" si="20"/>
        <v>#VALUE!</v>
      </c>
      <c r="AX36" s="611"/>
      <c r="AZ36" s="377" t="e">
        <f t="shared" si="22"/>
        <v>#N/A</v>
      </c>
      <c r="BA36" s="653"/>
    </row>
    <row r="37" spans="2:53">
      <c r="B37" s="635"/>
      <c r="C37" s="529">
        <v>11</v>
      </c>
      <c r="D37" s="223"/>
      <c r="E37" s="538"/>
      <c r="F37" s="529"/>
      <c r="G37" s="530"/>
      <c r="H37" s="678"/>
      <c r="I37" s="531" t="str">
        <f t="shared" si="7"/>
        <v>-</v>
      </c>
      <c r="J37" s="531" t="str">
        <f t="shared" si="7"/>
        <v>-</v>
      </c>
      <c r="K37" s="363" t="str">
        <f t="shared" si="7"/>
        <v>-</v>
      </c>
      <c r="L37" s="615"/>
      <c r="M37" s="536" t="e">
        <f>RANK(K37, K$24:$K$41)</f>
        <v>#VALUE!</v>
      </c>
      <c r="N37" s="624"/>
      <c r="O37" s="624"/>
      <c r="P37" s="529" t="s">
        <v>427</v>
      </c>
      <c r="Q37" s="538" t="s">
        <v>427</v>
      </c>
      <c r="R37" s="538" t="s">
        <v>427</v>
      </c>
      <c r="S37" s="529" t="e">
        <f t="shared" si="8"/>
        <v>#VALUE!</v>
      </c>
      <c r="T37" s="611"/>
      <c r="U37" s="529" t="s">
        <v>427</v>
      </c>
      <c r="V37" s="538" t="s">
        <v>427</v>
      </c>
      <c r="W37" s="538" t="s">
        <v>427</v>
      </c>
      <c r="X37" s="529" t="e">
        <f t="shared" si="10"/>
        <v>#VALUE!</v>
      </c>
      <c r="Y37" s="611"/>
      <c r="Z37" s="529" t="s">
        <v>427</v>
      </c>
      <c r="AA37" s="538" t="s">
        <v>427</v>
      </c>
      <c r="AB37" s="538" t="s">
        <v>427</v>
      </c>
      <c r="AC37" s="529" t="e">
        <f t="shared" si="12"/>
        <v>#VALUE!</v>
      </c>
      <c r="AD37" s="611"/>
      <c r="AE37" s="529" t="s">
        <v>427</v>
      </c>
      <c r="AF37" s="538" t="s">
        <v>427</v>
      </c>
      <c r="AG37" s="538" t="s">
        <v>427</v>
      </c>
      <c r="AH37" s="529" t="e">
        <f t="shared" si="14"/>
        <v>#VALUE!</v>
      </c>
      <c r="AI37" s="611"/>
      <c r="AJ37" s="529" t="s">
        <v>427</v>
      </c>
      <c r="AK37" s="538" t="s">
        <v>427</v>
      </c>
      <c r="AL37" s="538" t="s">
        <v>427</v>
      </c>
      <c r="AM37" s="529" t="e">
        <f t="shared" si="16"/>
        <v>#VALUE!</v>
      </c>
      <c r="AN37" s="611"/>
      <c r="AO37" s="529" t="s">
        <v>427</v>
      </c>
      <c r="AP37" s="538" t="s">
        <v>427</v>
      </c>
      <c r="AQ37" s="538" t="s">
        <v>427</v>
      </c>
      <c r="AR37" s="529" t="e">
        <f t="shared" si="18"/>
        <v>#VALUE!</v>
      </c>
      <c r="AS37" s="611"/>
      <c r="AT37" s="529" t="s">
        <v>427</v>
      </c>
      <c r="AU37" s="538" t="s">
        <v>427</v>
      </c>
      <c r="AV37" s="538" t="s">
        <v>427</v>
      </c>
      <c r="AW37" s="529" t="e">
        <f t="shared" si="20"/>
        <v>#VALUE!</v>
      </c>
      <c r="AX37" s="611"/>
      <c r="AZ37" s="377" t="e">
        <f t="shared" si="22"/>
        <v>#N/A</v>
      </c>
      <c r="BA37" s="653"/>
    </row>
    <row r="38" spans="2:53">
      <c r="B38" s="635"/>
      <c r="C38" s="529">
        <v>12</v>
      </c>
      <c r="D38" s="223"/>
      <c r="E38" s="538"/>
      <c r="F38" s="529"/>
      <c r="G38" s="530"/>
      <c r="H38" s="678"/>
      <c r="I38" s="531" t="str">
        <f t="shared" si="7"/>
        <v>-</v>
      </c>
      <c r="J38" s="531" t="str">
        <f t="shared" si="7"/>
        <v>-</v>
      </c>
      <c r="K38" s="363" t="str">
        <f t="shared" si="7"/>
        <v>-</v>
      </c>
      <c r="L38" s="615"/>
      <c r="M38" s="536" t="e">
        <f>RANK(K38, K$24:$K$41)</f>
        <v>#VALUE!</v>
      </c>
      <c r="N38" s="624"/>
      <c r="O38" s="624"/>
      <c r="P38" s="529" t="s">
        <v>427</v>
      </c>
      <c r="Q38" s="538" t="s">
        <v>427</v>
      </c>
      <c r="R38" s="538" t="s">
        <v>427</v>
      </c>
      <c r="S38" s="529" t="e">
        <f t="shared" si="8"/>
        <v>#VALUE!</v>
      </c>
      <c r="T38" s="611"/>
      <c r="U38" s="529" t="s">
        <v>427</v>
      </c>
      <c r="V38" s="538" t="s">
        <v>427</v>
      </c>
      <c r="W38" s="538" t="s">
        <v>427</v>
      </c>
      <c r="X38" s="529" t="e">
        <f t="shared" si="10"/>
        <v>#VALUE!</v>
      </c>
      <c r="Y38" s="611"/>
      <c r="Z38" s="529" t="s">
        <v>427</v>
      </c>
      <c r="AA38" s="538" t="s">
        <v>427</v>
      </c>
      <c r="AB38" s="538" t="s">
        <v>427</v>
      </c>
      <c r="AC38" s="529" t="e">
        <f t="shared" si="12"/>
        <v>#VALUE!</v>
      </c>
      <c r="AD38" s="611"/>
      <c r="AE38" s="529" t="s">
        <v>427</v>
      </c>
      <c r="AF38" s="538" t="s">
        <v>427</v>
      </c>
      <c r="AG38" s="538" t="s">
        <v>427</v>
      </c>
      <c r="AH38" s="529" t="e">
        <f t="shared" si="14"/>
        <v>#VALUE!</v>
      </c>
      <c r="AI38" s="611"/>
      <c r="AJ38" s="529" t="s">
        <v>427</v>
      </c>
      <c r="AK38" s="538" t="s">
        <v>427</v>
      </c>
      <c r="AL38" s="538" t="s">
        <v>427</v>
      </c>
      <c r="AM38" s="529" t="e">
        <f t="shared" si="16"/>
        <v>#VALUE!</v>
      </c>
      <c r="AN38" s="611"/>
      <c r="AO38" s="529" t="s">
        <v>427</v>
      </c>
      <c r="AP38" s="538" t="s">
        <v>427</v>
      </c>
      <c r="AQ38" s="538" t="s">
        <v>427</v>
      </c>
      <c r="AR38" s="529" t="e">
        <f t="shared" si="18"/>
        <v>#VALUE!</v>
      </c>
      <c r="AS38" s="611"/>
      <c r="AT38" s="529" t="s">
        <v>427</v>
      </c>
      <c r="AU38" s="538" t="s">
        <v>427</v>
      </c>
      <c r="AV38" s="538" t="s">
        <v>427</v>
      </c>
      <c r="AW38" s="529" t="e">
        <f t="shared" si="20"/>
        <v>#VALUE!</v>
      </c>
      <c r="AX38" s="611"/>
      <c r="AZ38" s="377" t="e">
        <f t="shared" si="22"/>
        <v>#N/A</v>
      </c>
      <c r="BA38" s="653"/>
    </row>
    <row r="39" spans="2:53">
      <c r="B39" s="635"/>
      <c r="C39" s="529">
        <v>13</v>
      </c>
      <c r="D39" s="223"/>
      <c r="E39" s="538"/>
      <c r="F39" s="529"/>
      <c r="G39" s="530"/>
      <c r="H39" s="678"/>
      <c r="I39" s="531" t="str">
        <f t="shared" si="7"/>
        <v>-</v>
      </c>
      <c r="J39" s="531" t="str">
        <f t="shared" si="7"/>
        <v>-</v>
      </c>
      <c r="K39" s="363" t="str">
        <f t="shared" si="7"/>
        <v>-</v>
      </c>
      <c r="L39" s="615"/>
      <c r="M39" s="536" t="e">
        <f>RANK(K39, K$24:$K$41)</f>
        <v>#VALUE!</v>
      </c>
      <c r="N39" s="624"/>
      <c r="O39" s="624"/>
      <c r="P39" s="529" t="s">
        <v>427</v>
      </c>
      <c r="Q39" s="538" t="s">
        <v>427</v>
      </c>
      <c r="R39" s="538" t="s">
        <v>427</v>
      </c>
      <c r="S39" s="529" t="e">
        <f t="shared" si="8"/>
        <v>#VALUE!</v>
      </c>
      <c r="T39" s="611"/>
      <c r="U39" s="529" t="s">
        <v>427</v>
      </c>
      <c r="V39" s="538" t="s">
        <v>427</v>
      </c>
      <c r="W39" s="538" t="s">
        <v>427</v>
      </c>
      <c r="X39" s="529" t="e">
        <f t="shared" si="10"/>
        <v>#VALUE!</v>
      </c>
      <c r="Y39" s="611"/>
      <c r="Z39" s="529" t="s">
        <v>427</v>
      </c>
      <c r="AA39" s="538" t="s">
        <v>427</v>
      </c>
      <c r="AB39" s="538" t="s">
        <v>427</v>
      </c>
      <c r="AC39" s="529" t="e">
        <f t="shared" si="12"/>
        <v>#VALUE!</v>
      </c>
      <c r="AD39" s="611"/>
      <c r="AE39" s="529" t="s">
        <v>427</v>
      </c>
      <c r="AF39" s="538" t="s">
        <v>427</v>
      </c>
      <c r="AG39" s="538" t="s">
        <v>427</v>
      </c>
      <c r="AH39" s="529" t="e">
        <f t="shared" si="14"/>
        <v>#VALUE!</v>
      </c>
      <c r="AI39" s="611"/>
      <c r="AJ39" s="529" t="s">
        <v>427</v>
      </c>
      <c r="AK39" s="538" t="s">
        <v>427</v>
      </c>
      <c r="AL39" s="538" t="s">
        <v>427</v>
      </c>
      <c r="AM39" s="529" t="e">
        <f t="shared" si="16"/>
        <v>#VALUE!</v>
      </c>
      <c r="AN39" s="611"/>
      <c r="AO39" s="529" t="s">
        <v>427</v>
      </c>
      <c r="AP39" s="538" t="s">
        <v>427</v>
      </c>
      <c r="AQ39" s="538" t="s">
        <v>427</v>
      </c>
      <c r="AR39" s="529" t="e">
        <f t="shared" si="18"/>
        <v>#VALUE!</v>
      </c>
      <c r="AS39" s="611"/>
      <c r="AT39" s="529" t="s">
        <v>427</v>
      </c>
      <c r="AU39" s="538" t="s">
        <v>427</v>
      </c>
      <c r="AV39" s="538" t="s">
        <v>427</v>
      </c>
      <c r="AW39" s="529" t="e">
        <f t="shared" si="20"/>
        <v>#VALUE!</v>
      </c>
      <c r="AX39" s="611"/>
      <c r="AZ39" s="377" t="e">
        <f t="shared" si="22"/>
        <v>#N/A</v>
      </c>
      <c r="BA39" s="653"/>
    </row>
    <row r="40" spans="2:53">
      <c r="B40" s="635"/>
      <c r="C40" s="529">
        <v>14</v>
      </c>
      <c r="D40" s="223"/>
      <c r="E40" s="538"/>
      <c r="F40" s="529"/>
      <c r="G40" s="530"/>
      <c r="H40" s="678"/>
      <c r="I40" s="531" t="str">
        <f t="shared" si="7"/>
        <v>-</v>
      </c>
      <c r="J40" s="531" t="str">
        <f t="shared" si="7"/>
        <v>-</v>
      </c>
      <c r="K40" s="363" t="str">
        <f t="shared" si="7"/>
        <v>-</v>
      </c>
      <c r="L40" s="615"/>
      <c r="M40" s="536" t="e">
        <f>RANK(K40, K$24:$K$41)</f>
        <v>#VALUE!</v>
      </c>
      <c r="N40" s="624"/>
      <c r="O40" s="624"/>
      <c r="P40" s="529" t="s">
        <v>427</v>
      </c>
      <c r="Q40" s="538" t="s">
        <v>427</v>
      </c>
      <c r="R40" s="538" t="s">
        <v>427</v>
      </c>
      <c r="S40" s="529" t="e">
        <f t="shared" si="8"/>
        <v>#VALUE!</v>
      </c>
      <c r="T40" s="611"/>
      <c r="U40" s="529" t="s">
        <v>427</v>
      </c>
      <c r="V40" s="538" t="s">
        <v>427</v>
      </c>
      <c r="W40" s="538" t="s">
        <v>427</v>
      </c>
      <c r="X40" s="529" t="e">
        <f t="shared" si="10"/>
        <v>#VALUE!</v>
      </c>
      <c r="Y40" s="611"/>
      <c r="Z40" s="529" t="s">
        <v>427</v>
      </c>
      <c r="AA40" s="538" t="s">
        <v>427</v>
      </c>
      <c r="AB40" s="538" t="s">
        <v>427</v>
      </c>
      <c r="AC40" s="529" t="e">
        <f t="shared" si="12"/>
        <v>#VALUE!</v>
      </c>
      <c r="AD40" s="611"/>
      <c r="AE40" s="529" t="s">
        <v>427</v>
      </c>
      <c r="AF40" s="538" t="s">
        <v>427</v>
      </c>
      <c r="AG40" s="538" t="s">
        <v>427</v>
      </c>
      <c r="AH40" s="529" t="e">
        <f t="shared" si="14"/>
        <v>#VALUE!</v>
      </c>
      <c r="AI40" s="611"/>
      <c r="AJ40" s="529" t="s">
        <v>427</v>
      </c>
      <c r="AK40" s="538" t="s">
        <v>427</v>
      </c>
      <c r="AL40" s="538" t="s">
        <v>427</v>
      </c>
      <c r="AM40" s="529" t="e">
        <f t="shared" si="16"/>
        <v>#VALUE!</v>
      </c>
      <c r="AN40" s="611"/>
      <c r="AO40" s="529" t="s">
        <v>427</v>
      </c>
      <c r="AP40" s="538" t="s">
        <v>427</v>
      </c>
      <c r="AQ40" s="538" t="s">
        <v>427</v>
      </c>
      <c r="AR40" s="529" t="e">
        <f t="shared" si="18"/>
        <v>#VALUE!</v>
      </c>
      <c r="AS40" s="611"/>
      <c r="AT40" s="529" t="s">
        <v>427</v>
      </c>
      <c r="AU40" s="538" t="s">
        <v>427</v>
      </c>
      <c r="AV40" s="538" t="s">
        <v>427</v>
      </c>
      <c r="AW40" s="529" t="e">
        <f t="shared" si="20"/>
        <v>#VALUE!</v>
      </c>
      <c r="AX40" s="611"/>
      <c r="AZ40" s="377" t="e">
        <f t="shared" si="22"/>
        <v>#N/A</v>
      </c>
      <c r="BA40" s="653"/>
    </row>
    <row r="41" spans="2:53">
      <c r="B41" s="635"/>
      <c r="C41" s="529">
        <v>15</v>
      </c>
      <c r="D41" s="223"/>
      <c r="E41" s="538"/>
      <c r="F41" s="529"/>
      <c r="G41" s="530"/>
      <c r="H41" s="679"/>
      <c r="I41" s="416"/>
      <c r="J41" s="416"/>
      <c r="K41" s="416"/>
      <c r="L41" s="616"/>
      <c r="M41" s="531" t="e">
        <f>RANK(K41, K$24:$K$41)</f>
        <v>#N/A</v>
      </c>
      <c r="N41" s="624"/>
      <c r="O41" s="624"/>
      <c r="P41" s="529" t="s">
        <v>427</v>
      </c>
      <c r="Q41" s="538" t="s">
        <v>427</v>
      </c>
      <c r="R41" s="538" t="s">
        <v>427</v>
      </c>
      <c r="S41" s="529" t="e">
        <f t="shared" si="8"/>
        <v>#VALUE!</v>
      </c>
      <c r="T41" s="612"/>
      <c r="U41" s="529" t="s">
        <v>427</v>
      </c>
      <c r="V41" s="538" t="s">
        <v>427</v>
      </c>
      <c r="W41" s="538" t="s">
        <v>427</v>
      </c>
      <c r="X41" s="529" t="e">
        <f t="shared" si="10"/>
        <v>#VALUE!</v>
      </c>
      <c r="Y41" s="612"/>
      <c r="Z41" s="529" t="s">
        <v>427</v>
      </c>
      <c r="AA41" s="538" t="s">
        <v>427</v>
      </c>
      <c r="AB41" s="538" t="s">
        <v>427</v>
      </c>
      <c r="AC41" s="529" t="e">
        <f t="shared" si="12"/>
        <v>#VALUE!</v>
      </c>
      <c r="AD41" s="612"/>
      <c r="AE41" s="529" t="s">
        <v>427</v>
      </c>
      <c r="AF41" s="538" t="s">
        <v>427</v>
      </c>
      <c r="AG41" s="538" t="s">
        <v>427</v>
      </c>
      <c r="AH41" s="529" t="e">
        <f t="shared" si="14"/>
        <v>#VALUE!</v>
      </c>
      <c r="AI41" s="612"/>
      <c r="AJ41" s="529" t="s">
        <v>427</v>
      </c>
      <c r="AK41" s="538" t="s">
        <v>427</v>
      </c>
      <c r="AL41" s="538" t="s">
        <v>427</v>
      </c>
      <c r="AM41" s="529" t="e">
        <f t="shared" si="16"/>
        <v>#VALUE!</v>
      </c>
      <c r="AN41" s="612"/>
      <c r="AO41" s="529" t="s">
        <v>427</v>
      </c>
      <c r="AP41" s="538" t="s">
        <v>427</v>
      </c>
      <c r="AQ41" s="538" t="s">
        <v>427</v>
      </c>
      <c r="AR41" s="529" t="e">
        <f t="shared" si="18"/>
        <v>#VALUE!</v>
      </c>
      <c r="AS41" s="612"/>
      <c r="AT41" s="529" t="s">
        <v>427</v>
      </c>
      <c r="AU41" s="538" t="s">
        <v>427</v>
      </c>
      <c r="AV41" s="538" t="s">
        <v>427</v>
      </c>
      <c r="AW41" s="529" t="e">
        <f t="shared" si="20"/>
        <v>#VALUE!</v>
      </c>
      <c r="AX41" s="612"/>
      <c r="AZ41" s="377" t="e">
        <f t="shared" si="22"/>
        <v>#N/A</v>
      </c>
      <c r="BA41" s="653"/>
    </row>
    <row r="42" spans="2:53" ht="15.75">
      <c r="B42" s="657" t="s">
        <v>769</v>
      </c>
      <c r="C42" s="658"/>
      <c r="D42" s="658"/>
      <c r="E42" s="658"/>
      <c r="F42" s="658"/>
      <c r="G42" s="658"/>
      <c r="H42" s="658"/>
      <c r="I42" s="205"/>
      <c r="J42" s="200"/>
      <c r="K42" s="205"/>
      <c r="L42" s="205"/>
      <c r="M42" s="201"/>
      <c r="N42" s="639" t="s">
        <v>781</v>
      </c>
      <c r="O42" s="639" t="s">
        <v>686</v>
      </c>
      <c r="P42" s="634">
        <f>AT22+1</f>
        <v>46217</v>
      </c>
      <c r="Q42" s="635"/>
      <c r="R42" s="635"/>
      <c r="S42" s="635"/>
      <c r="T42" s="635"/>
      <c r="U42" s="636">
        <f>P42+1</f>
        <v>46218</v>
      </c>
      <c r="V42" s="637"/>
      <c r="W42" s="637"/>
      <c r="X42" s="637"/>
      <c r="Y42" s="638"/>
      <c r="Z42" s="636">
        <f t="shared" ref="Z42" si="24">U42+1</f>
        <v>46219</v>
      </c>
      <c r="AA42" s="637"/>
      <c r="AB42" s="637"/>
      <c r="AC42" s="637"/>
      <c r="AD42" s="638"/>
      <c r="AE42" s="636">
        <f t="shared" ref="AE42" si="25">Z42+1</f>
        <v>46220</v>
      </c>
      <c r="AF42" s="637"/>
      <c r="AG42" s="637"/>
      <c r="AH42" s="637"/>
      <c r="AI42" s="638"/>
      <c r="AJ42" s="636">
        <f t="shared" ref="AJ42" si="26">AE42+1</f>
        <v>46221</v>
      </c>
      <c r="AK42" s="637"/>
      <c r="AL42" s="637"/>
      <c r="AM42" s="637"/>
      <c r="AN42" s="638"/>
      <c r="AO42" s="636">
        <f t="shared" ref="AO42" si="27">AJ42+1</f>
        <v>46222</v>
      </c>
      <c r="AP42" s="637"/>
      <c r="AQ42" s="637"/>
      <c r="AR42" s="637"/>
      <c r="AS42" s="638"/>
      <c r="AT42" s="636">
        <f t="shared" ref="AT42" si="28">AO42+1</f>
        <v>46223</v>
      </c>
      <c r="AU42" s="637"/>
      <c r="AV42" s="637"/>
      <c r="AW42" s="637"/>
      <c r="AX42" s="638"/>
    </row>
    <row r="43" spans="2:53" ht="15.75">
      <c r="B43" s="646"/>
      <c r="C43" s="646"/>
      <c r="D43" s="646"/>
      <c r="E43" s="646"/>
      <c r="F43" s="646"/>
      <c r="G43" s="646"/>
      <c r="H43" s="646"/>
      <c r="I43" s="202"/>
      <c r="J43" s="202"/>
      <c r="K43" s="202"/>
      <c r="L43" s="202"/>
      <c r="M43" s="203"/>
      <c r="N43" s="641"/>
      <c r="O43" s="641"/>
      <c r="P43" s="634" t="s">
        <v>677</v>
      </c>
      <c r="Q43" s="635"/>
      <c r="R43" s="635"/>
      <c r="S43" s="635"/>
      <c r="T43" s="635"/>
      <c r="U43" s="634" t="s">
        <v>678</v>
      </c>
      <c r="V43" s="635"/>
      <c r="W43" s="635"/>
      <c r="X43" s="635"/>
      <c r="Y43" s="635"/>
      <c r="Z43" s="634" t="s">
        <v>679</v>
      </c>
      <c r="AA43" s="635"/>
      <c r="AB43" s="635"/>
      <c r="AC43" s="635"/>
      <c r="AD43" s="635"/>
      <c r="AE43" s="634" t="s">
        <v>687</v>
      </c>
      <c r="AF43" s="635"/>
      <c r="AG43" s="635"/>
      <c r="AH43" s="635"/>
      <c r="AI43" s="635"/>
      <c r="AJ43" s="634" t="s">
        <v>688</v>
      </c>
      <c r="AK43" s="635"/>
      <c r="AL43" s="635"/>
      <c r="AM43" s="635"/>
      <c r="AN43" s="635"/>
      <c r="AO43" s="634" t="s">
        <v>689</v>
      </c>
      <c r="AP43" s="635"/>
      <c r="AQ43" s="635"/>
      <c r="AR43" s="635"/>
      <c r="AS43" s="635"/>
      <c r="AT43" s="634" t="s">
        <v>690</v>
      </c>
      <c r="AU43" s="635"/>
      <c r="AV43" s="635"/>
      <c r="AW43" s="635"/>
      <c r="AX43" s="635"/>
    </row>
    <row r="44" spans="2:53">
      <c r="B44" s="624" t="s">
        <v>760</v>
      </c>
      <c r="C44" s="624" t="s">
        <v>827</v>
      </c>
      <c r="D44" s="624"/>
      <c r="E44" s="624" t="s">
        <v>828</v>
      </c>
      <c r="F44" s="624"/>
      <c r="G44" s="624"/>
      <c r="H44" s="647" t="s">
        <v>829</v>
      </c>
      <c r="I44" s="617" t="s">
        <v>830</v>
      </c>
      <c r="J44" s="617"/>
      <c r="K44" s="617"/>
      <c r="L44" s="618" t="s">
        <v>829</v>
      </c>
      <c r="M44" s="628" t="s">
        <v>440</v>
      </c>
      <c r="N44" s="624"/>
      <c r="O44" s="624" t="s">
        <v>831</v>
      </c>
      <c r="P44" s="621" t="s">
        <v>832</v>
      </c>
      <c r="Q44" s="622"/>
      <c r="R44" s="622"/>
      <c r="S44" s="623"/>
      <c r="T44" s="624" t="s">
        <v>829</v>
      </c>
      <c r="U44" s="621" t="s">
        <v>832</v>
      </c>
      <c r="V44" s="622"/>
      <c r="W44" s="622"/>
      <c r="X44" s="623"/>
      <c r="Y44" s="624" t="s">
        <v>829</v>
      </c>
      <c r="Z44" s="621" t="s">
        <v>832</v>
      </c>
      <c r="AA44" s="622"/>
      <c r="AB44" s="622"/>
      <c r="AC44" s="623"/>
      <c r="AD44" s="624" t="s">
        <v>829</v>
      </c>
      <c r="AE44" s="621" t="s">
        <v>832</v>
      </c>
      <c r="AF44" s="622"/>
      <c r="AG44" s="622"/>
      <c r="AH44" s="623"/>
      <c r="AI44" s="624" t="s">
        <v>829</v>
      </c>
      <c r="AJ44" s="621" t="s">
        <v>832</v>
      </c>
      <c r="AK44" s="622"/>
      <c r="AL44" s="622"/>
      <c r="AM44" s="623"/>
      <c r="AN44" s="624" t="s">
        <v>829</v>
      </c>
      <c r="AO44" s="621" t="s">
        <v>832</v>
      </c>
      <c r="AP44" s="622"/>
      <c r="AQ44" s="622"/>
      <c r="AR44" s="623"/>
      <c r="AS44" s="624" t="s">
        <v>829</v>
      </c>
      <c r="AT44" s="621" t="s">
        <v>832</v>
      </c>
      <c r="AU44" s="622"/>
      <c r="AV44" s="622"/>
      <c r="AW44" s="623"/>
      <c r="AX44" s="624" t="s">
        <v>829</v>
      </c>
    </row>
    <row r="45" spans="2:53">
      <c r="B45" s="624"/>
      <c r="C45" s="624"/>
      <c r="D45" s="624"/>
      <c r="E45" s="624" t="s">
        <v>833</v>
      </c>
      <c r="F45" s="624"/>
      <c r="G45" s="624"/>
      <c r="H45" s="648"/>
      <c r="I45" s="617" t="s">
        <v>833</v>
      </c>
      <c r="J45" s="617"/>
      <c r="K45" s="617"/>
      <c r="L45" s="619"/>
      <c r="M45" s="629"/>
      <c r="N45" s="624"/>
      <c r="O45" s="624"/>
      <c r="P45" s="621" t="s">
        <v>834</v>
      </c>
      <c r="Q45" s="622"/>
      <c r="R45" s="622"/>
      <c r="S45" s="623"/>
      <c r="T45" s="624"/>
      <c r="U45" s="621" t="s">
        <v>834</v>
      </c>
      <c r="V45" s="622"/>
      <c r="W45" s="622"/>
      <c r="X45" s="623"/>
      <c r="Y45" s="624"/>
      <c r="Z45" s="621" t="s">
        <v>834</v>
      </c>
      <c r="AA45" s="622"/>
      <c r="AB45" s="622"/>
      <c r="AC45" s="623"/>
      <c r="AD45" s="624"/>
      <c r="AE45" s="621" t="s">
        <v>834</v>
      </c>
      <c r="AF45" s="622"/>
      <c r="AG45" s="622"/>
      <c r="AH45" s="623"/>
      <c r="AI45" s="624"/>
      <c r="AJ45" s="621" t="s">
        <v>834</v>
      </c>
      <c r="AK45" s="622"/>
      <c r="AL45" s="622"/>
      <c r="AM45" s="623"/>
      <c r="AN45" s="624"/>
      <c r="AO45" s="621" t="s">
        <v>834</v>
      </c>
      <c r="AP45" s="622"/>
      <c r="AQ45" s="622"/>
      <c r="AR45" s="623"/>
      <c r="AS45" s="624"/>
      <c r="AT45" s="621" t="s">
        <v>834</v>
      </c>
      <c r="AU45" s="622"/>
      <c r="AV45" s="622"/>
      <c r="AW45" s="623"/>
      <c r="AX45" s="624"/>
    </row>
    <row r="46" spans="2:53">
      <c r="B46" s="624"/>
      <c r="C46" s="624"/>
      <c r="D46" s="624"/>
      <c r="E46" s="533" t="s">
        <v>835</v>
      </c>
      <c r="F46" s="533" t="s">
        <v>836</v>
      </c>
      <c r="G46" s="533" t="s">
        <v>837</v>
      </c>
      <c r="H46" s="649"/>
      <c r="I46" s="535" t="s">
        <v>835</v>
      </c>
      <c r="J46" s="535" t="s">
        <v>836</v>
      </c>
      <c r="K46" s="535" t="s">
        <v>837</v>
      </c>
      <c r="L46" s="620"/>
      <c r="M46" s="630"/>
      <c r="N46" s="624"/>
      <c r="O46" s="624"/>
      <c r="P46" s="533" t="s">
        <v>835</v>
      </c>
      <c r="Q46" s="533" t="s">
        <v>836</v>
      </c>
      <c r="R46" s="533" t="s">
        <v>837</v>
      </c>
      <c r="S46" s="533" t="s">
        <v>440</v>
      </c>
      <c r="T46" s="624"/>
      <c r="U46" s="533" t="s">
        <v>835</v>
      </c>
      <c r="V46" s="533" t="s">
        <v>836</v>
      </c>
      <c r="W46" s="533" t="s">
        <v>837</v>
      </c>
      <c r="X46" s="533" t="s">
        <v>440</v>
      </c>
      <c r="Y46" s="624"/>
      <c r="Z46" s="533" t="s">
        <v>835</v>
      </c>
      <c r="AA46" s="533" t="s">
        <v>836</v>
      </c>
      <c r="AB46" s="533" t="s">
        <v>837</v>
      </c>
      <c r="AC46" s="533" t="s">
        <v>440</v>
      </c>
      <c r="AD46" s="624"/>
      <c r="AE46" s="533" t="s">
        <v>835</v>
      </c>
      <c r="AF46" s="533" t="s">
        <v>836</v>
      </c>
      <c r="AG46" s="533" t="s">
        <v>837</v>
      </c>
      <c r="AH46" s="533" t="s">
        <v>440</v>
      </c>
      <c r="AI46" s="624"/>
      <c r="AJ46" s="533" t="s">
        <v>835</v>
      </c>
      <c r="AK46" s="533" t="s">
        <v>836</v>
      </c>
      <c r="AL46" s="533" t="s">
        <v>837</v>
      </c>
      <c r="AM46" s="533" t="s">
        <v>440</v>
      </c>
      <c r="AN46" s="624"/>
      <c r="AO46" s="533" t="s">
        <v>835</v>
      </c>
      <c r="AP46" s="533" t="s">
        <v>836</v>
      </c>
      <c r="AQ46" s="533" t="s">
        <v>837</v>
      </c>
      <c r="AR46" s="533" t="s">
        <v>440</v>
      </c>
      <c r="AS46" s="624"/>
      <c r="AT46" s="533" t="s">
        <v>835</v>
      </c>
      <c r="AU46" s="533" t="s">
        <v>836</v>
      </c>
      <c r="AV46" s="533" t="s">
        <v>837</v>
      </c>
      <c r="AW46" s="533" t="s">
        <v>440</v>
      </c>
      <c r="AX46" s="624"/>
    </row>
    <row r="47" spans="2:53">
      <c r="B47" s="624" t="s">
        <v>780</v>
      </c>
      <c r="C47" s="529">
        <v>1</v>
      </c>
      <c r="D47" s="223" t="s">
        <v>842</v>
      </c>
      <c r="E47" s="538">
        <v>15</v>
      </c>
      <c r="F47" s="529">
        <v>2000</v>
      </c>
      <c r="G47" s="530">
        <v>100</v>
      </c>
      <c r="H47" s="677">
        <f>AVERAGE(G47:G61)</f>
        <v>100</v>
      </c>
      <c r="I47" s="531">
        <f t="shared" ref="I47:K60" si="29">IFERROR(AVERAGE(P47,U47,Z47,AE47,AJ47,AO47,AT47),"-")</f>
        <v>15</v>
      </c>
      <c r="J47" s="531">
        <f t="shared" si="29"/>
        <v>2028.7929499072347</v>
      </c>
      <c r="K47" s="363">
        <f t="shared" si="29"/>
        <v>135.25286332714902</v>
      </c>
      <c r="L47" s="614">
        <f>IFERROR(AVERAGE(K47:K61),"-")</f>
        <v>167.4566121203726</v>
      </c>
      <c r="M47" s="536">
        <f>RANK(K47, K$47:$K$61)</f>
        <v>2</v>
      </c>
      <c r="N47" s="624"/>
      <c r="O47" s="624"/>
      <c r="P47" s="529">
        <v>15</v>
      </c>
      <c r="Q47" s="538">
        <v>2056.2857142857147</v>
      </c>
      <c r="R47" s="538">
        <v>137.08571428571432</v>
      </c>
      <c r="S47" s="529">
        <v>2</v>
      </c>
      <c r="T47" s="653">
        <v>166.00535714285724</v>
      </c>
      <c r="U47" s="529">
        <v>15</v>
      </c>
      <c r="V47" s="538">
        <v>1975.1999999999985</v>
      </c>
      <c r="W47" s="538">
        <v>131.67999999999989</v>
      </c>
      <c r="X47" s="529">
        <v>2</v>
      </c>
      <c r="Y47" s="642">
        <v>165.76307692307674</v>
      </c>
      <c r="Z47" s="529">
        <v>15</v>
      </c>
      <c r="AA47" s="538">
        <v>2054.0000000000018</v>
      </c>
      <c r="AB47" s="538">
        <v>136.93333333333345</v>
      </c>
      <c r="AC47" s="529">
        <v>2</v>
      </c>
      <c r="AD47" s="642">
        <v>171.02666666666664</v>
      </c>
      <c r="AE47" s="529">
        <v>15</v>
      </c>
      <c r="AF47" s="538">
        <v>2080</v>
      </c>
      <c r="AG47" s="538">
        <v>138.66666666666666</v>
      </c>
      <c r="AH47" s="529">
        <v>2</v>
      </c>
      <c r="AI47" s="642">
        <v>170.66666666666657</v>
      </c>
      <c r="AJ47" s="529">
        <v>15</v>
      </c>
      <c r="AK47" s="538">
        <v>2079.4285714285693</v>
      </c>
      <c r="AL47" s="538">
        <v>138.62857142857129</v>
      </c>
      <c r="AM47" s="529">
        <v>2</v>
      </c>
      <c r="AN47" s="642">
        <v>167.8642857142857</v>
      </c>
      <c r="AO47" s="529">
        <v>15</v>
      </c>
      <c r="AP47" s="538">
        <v>1975.6363636363621</v>
      </c>
      <c r="AQ47" s="538">
        <v>131.7090909090908</v>
      </c>
      <c r="AR47" s="529">
        <v>2</v>
      </c>
      <c r="AS47" s="642">
        <v>166.33689839572185</v>
      </c>
      <c r="AT47" s="529">
        <v>15</v>
      </c>
      <c r="AU47" s="538">
        <v>1980.9999999999991</v>
      </c>
      <c r="AV47" s="538">
        <v>132.06666666666661</v>
      </c>
      <c r="AW47" s="529">
        <v>2</v>
      </c>
      <c r="AX47" s="642">
        <v>164.5333333333333</v>
      </c>
      <c r="AZ47" s="377" t="e">
        <f t="shared" ref="AZ47:AZ61" si="30">RANK(AY47, AY$47:AY$61)</f>
        <v>#N/A</v>
      </c>
      <c r="BA47" s="653" t="e">
        <f t="shared" ref="BA47" si="31">AVERAGE(AY47:AY61)</f>
        <v>#DIV/0!</v>
      </c>
    </row>
    <row r="48" spans="2:53">
      <c r="B48" s="635"/>
      <c r="C48" s="529">
        <v>2</v>
      </c>
      <c r="D48" s="223" t="s">
        <v>843</v>
      </c>
      <c r="E48" s="538">
        <v>13</v>
      </c>
      <c r="F48" s="529">
        <v>2000</v>
      </c>
      <c r="G48" s="530">
        <v>100</v>
      </c>
      <c r="H48" s="678"/>
      <c r="I48" s="531">
        <f t="shared" si="29"/>
        <v>10</v>
      </c>
      <c r="J48" s="531">
        <f t="shared" si="29"/>
        <v>1996.6036091359613</v>
      </c>
      <c r="K48" s="363">
        <f t="shared" si="29"/>
        <v>199.66036091359615</v>
      </c>
      <c r="L48" s="615"/>
      <c r="M48" s="536">
        <f>RANK(K48, K$47:$K$61)</f>
        <v>1</v>
      </c>
      <c r="N48" s="624"/>
      <c r="O48" s="624"/>
      <c r="P48" s="529">
        <v>10</v>
      </c>
      <c r="Q48" s="538">
        <v>1949.2500000000011</v>
      </c>
      <c r="R48" s="538">
        <v>194.92500000000013</v>
      </c>
      <c r="S48" s="529">
        <v>1</v>
      </c>
      <c r="T48" s="653"/>
      <c r="U48" s="529">
        <v>10</v>
      </c>
      <c r="V48" s="538">
        <v>1998.4615384615358</v>
      </c>
      <c r="W48" s="538">
        <v>199.84615384615358</v>
      </c>
      <c r="X48" s="529">
        <v>1</v>
      </c>
      <c r="Y48" s="642"/>
      <c r="Z48" s="529">
        <v>10</v>
      </c>
      <c r="AA48" s="538">
        <v>2051.1999999999985</v>
      </c>
      <c r="AB48" s="538">
        <v>205.11999999999983</v>
      </c>
      <c r="AC48" s="529">
        <v>1</v>
      </c>
      <c r="AD48" s="642"/>
      <c r="AE48" s="529">
        <v>10</v>
      </c>
      <c r="AF48" s="538">
        <v>2026.6666666666647</v>
      </c>
      <c r="AG48" s="538">
        <v>202.66666666666646</v>
      </c>
      <c r="AH48" s="529">
        <v>1</v>
      </c>
      <c r="AI48" s="642"/>
      <c r="AJ48" s="529">
        <v>10</v>
      </c>
      <c r="AK48" s="538">
        <v>1971.0000000000009</v>
      </c>
      <c r="AL48" s="538">
        <v>197.10000000000008</v>
      </c>
      <c r="AM48" s="529">
        <v>1</v>
      </c>
      <c r="AN48" s="642"/>
      <c r="AO48" s="529">
        <v>10</v>
      </c>
      <c r="AP48" s="538">
        <v>2009.6470588235288</v>
      </c>
      <c r="AQ48" s="538">
        <v>200.96470588235289</v>
      </c>
      <c r="AR48" s="529">
        <v>1</v>
      </c>
      <c r="AS48" s="642"/>
      <c r="AT48" s="529">
        <v>10</v>
      </c>
      <c r="AU48" s="538">
        <v>1970.0000000000002</v>
      </c>
      <c r="AV48" s="538">
        <v>197.00000000000003</v>
      </c>
      <c r="AW48" s="529">
        <v>1</v>
      </c>
      <c r="AX48" s="642"/>
      <c r="AZ48" s="377" t="e">
        <f t="shared" si="30"/>
        <v>#N/A</v>
      </c>
      <c r="BA48" s="653"/>
    </row>
    <row r="49" spans="2:53">
      <c r="B49" s="635"/>
      <c r="C49" s="529">
        <v>3</v>
      </c>
      <c r="D49" s="223"/>
      <c r="E49" s="538"/>
      <c r="F49" s="529"/>
      <c r="G49" s="530"/>
      <c r="H49" s="678"/>
      <c r="I49" s="531" t="str">
        <f t="shared" si="29"/>
        <v>-</v>
      </c>
      <c r="J49" s="531" t="str">
        <f t="shared" si="29"/>
        <v>-</v>
      </c>
      <c r="K49" s="363" t="str">
        <f t="shared" si="29"/>
        <v>-</v>
      </c>
      <c r="L49" s="615"/>
      <c r="M49" s="536" t="e">
        <f>RANK(K49, K$47:$K$61)</f>
        <v>#VALUE!</v>
      </c>
      <c r="N49" s="624"/>
      <c r="O49" s="624"/>
      <c r="P49" s="529" t="s">
        <v>427</v>
      </c>
      <c r="Q49" s="538" t="s">
        <v>427</v>
      </c>
      <c r="R49" s="538" t="s">
        <v>427</v>
      </c>
      <c r="S49" s="529" t="e">
        <v>#VALUE!</v>
      </c>
      <c r="T49" s="653"/>
      <c r="U49" s="529" t="s">
        <v>427</v>
      </c>
      <c r="V49" s="538" t="s">
        <v>427</v>
      </c>
      <c r="W49" s="538" t="s">
        <v>427</v>
      </c>
      <c r="X49" s="529" t="e">
        <v>#VALUE!</v>
      </c>
      <c r="Y49" s="642"/>
      <c r="Z49" s="529" t="s">
        <v>427</v>
      </c>
      <c r="AA49" s="538" t="s">
        <v>427</v>
      </c>
      <c r="AB49" s="538" t="s">
        <v>427</v>
      </c>
      <c r="AC49" s="529" t="e">
        <v>#VALUE!</v>
      </c>
      <c r="AD49" s="642"/>
      <c r="AE49" s="529" t="s">
        <v>427</v>
      </c>
      <c r="AF49" s="538" t="s">
        <v>427</v>
      </c>
      <c r="AG49" s="538" t="s">
        <v>427</v>
      </c>
      <c r="AH49" s="529" t="e">
        <v>#VALUE!</v>
      </c>
      <c r="AI49" s="642"/>
      <c r="AJ49" s="529" t="s">
        <v>427</v>
      </c>
      <c r="AK49" s="538" t="s">
        <v>427</v>
      </c>
      <c r="AL49" s="538" t="s">
        <v>427</v>
      </c>
      <c r="AM49" s="529" t="e">
        <v>#VALUE!</v>
      </c>
      <c r="AN49" s="642"/>
      <c r="AO49" s="529" t="s">
        <v>427</v>
      </c>
      <c r="AP49" s="538" t="s">
        <v>427</v>
      </c>
      <c r="AQ49" s="538" t="s">
        <v>427</v>
      </c>
      <c r="AR49" s="529" t="e">
        <v>#VALUE!</v>
      </c>
      <c r="AS49" s="642"/>
      <c r="AT49" s="529" t="s">
        <v>427</v>
      </c>
      <c r="AU49" s="538" t="s">
        <v>427</v>
      </c>
      <c r="AV49" s="538" t="s">
        <v>427</v>
      </c>
      <c r="AW49" s="529" t="e">
        <v>#VALUE!</v>
      </c>
      <c r="AX49" s="642"/>
      <c r="AZ49" s="377" t="e">
        <f t="shared" si="30"/>
        <v>#N/A</v>
      </c>
      <c r="BA49" s="653"/>
    </row>
    <row r="50" spans="2:53">
      <c r="B50" s="635"/>
      <c r="C50" s="529">
        <v>4</v>
      </c>
      <c r="D50" s="223"/>
      <c r="E50" s="538"/>
      <c r="F50" s="529"/>
      <c r="G50" s="530"/>
      <c r="H50" s="678"/>
      <c r="I50" s="531" t="str">
        <f t="shared" si="29"/>
        <v>-</v>
      </c>
      <c r="J50" s="531" t="str">
        <f t="shared" si="29"/>
        <v>-</v>
      </c>
      <c r="K50" s="363" t="str">
        <f t="shared" si="29"/>
        <v>-</v>
      </c>
      <c r="L50" s="615"/>
      <c r="M50" s="536" t="e">
        <f>RANK(K50, K$47:$K$61)</f>
        <v>#VALUE!</v>
      </c>
      <c r="N50" s="624"/>
      <c r="O50" s="624"/>
      <c r="P50" s="529" t="s">
        <v>427</v>
      </c>
      <c r="Q50" s="538" t="s">
        <v>427</v>
      </c>
      <c r="R50" s="538" t="s">
        <v>427</v>
      </c>
      <c r="S50" s="529" t="e">
        <v>#VALUE!</v>
      </c>
      <c r="T50" s="653"/>
      <c r="U50" s="529" t="s">
        <v>427</v>
      </c>
      <c r="V50" s="538" t="s">
        <v>427</v>
      </c>
      <c r="W50" s="538" t="s">
        <v>427</v>
      </c>
      <c r="X50" s="529" t="e">
        <v>#VALUE!</v>
      </c>
      <c r="Y50" s="642"/>
      <c r="Z50" s="529" t="s">
        <v>427</v>
      </c>
      <c r="AA50" s="538" t="s">
        <v>427</v>
      </c>
      <c r="AB50" s="538" t="s">
        <v>427</v>
      </c>
      <c r="AC50" s="529" t="e">
        <v>#VALUE!</v>
      </c>
      <c r="AD50" s="642"/>
      <c r="AE50" s="529" t="s">
        <v>427</v>
      </c>
      <c r="AF50" s="538" t="s">
        <v>427</v>
      </c>
      <c r="AG50" s="538" t="s">
        <v>427</v>
      </c>
      <c r="AH50" s="529" t="e">
        <v>#VALUE!</v>
      </c>
      <c r="AI50" s="642"/>
      <c r="AJ50" s="529" t="s">
        <v>427</v>
      </c>
      <c r="AK50" s="538" t="s">
        <v>427</v>
      </c>
      <c r="AL50" s="538" t="s">
        <v>427</v>
      </c>
      <c r="AM50" s="529" t="e">
        <v>#VALUE!</v>
      </c>
      <c r="AN50" s="642"/>
      <c r="AO50" s="529" t="s">
        <v>427</v>
      </c>
      <c r="AP50" s="538" t="s">
        <v>427</v>
      </c>
      <c r="AQ50" s="538" t="s">
        <v>427</v>
      </c>
      <c r="AR50" s="529" t="e">
        <v>#VALUE!</v>
      </c>
      <c r="AS50" s="642"/>
      <c r="AT50" s="529" t="s">
        <v>427</v>
      </c>
      <c r="AU50" s="538" t="s">
        <v>427</v>
      </c>
      <c r="AV50" s="538" t="s">
        <v>427</v>
      </c>
      <c r="AW50" s="529" t="e">
        <v>#VALUE!</v>
      </c>
      <c r="AX50" s="642"/>
      <c r="AZ50" s="377" t="e">
        <f t="shared" si="30"/>
        <v>#N/A</v>
      </c>
      <c r="BA50" s="653"/>
    </row>
    <row r="51" spans="2:53">
      <c r="B51" s="635"/>
      <c r="C51" s="529">
        <v>5</v>
      </c>
      <c r="D51" s="223"/>
      <c r="E51" s="538"/>
      <c r="F51" s="529"/>
      <c r="G51" s="530"/>
      <c r="H51" s="678"/>
      <c r="I51" s="531" t="str">
        <f t="shared" si="29"/>
        <v>-</v>
      </c>
      <c r="J51" s="531" t="str">
        <f t="shared" si="29"/>
        <v>-</v>
      </c>
      <c r="K51" s="363" t="str">
        <f t="shared" si="29"/>
        <v>-</v>
      </c>
      <c r="L51" s="615"/>
      <c r="M51" s="536" t="e">
        <f>RANK(K51, K$47:$K$61)</f>
        <v>#VALUE!</v>
      </c>
      <c r="N51" s="624"/>
      <c r="O51" s="624"/>
      <c r="P51" s="529" t="s">
        <v>427</v>
      </c>
      <c r="Q51" s="538" t="s">
        <v>427</v>
      </c>
      <c r="R51" s="538" t="s">
        <v>427</v>
      </c>
      <c r="S51" s="529" t="e">
        <v>#VALUE!</v>
      </c>
      <c r="T51" s="653"/>
      <c r="U51" s="529" t="s">
        <v>427</v>
      </c>
      <c r="V51" s="538" t="s">
        <v>427</v>
      </c>
      <c r="W51" s="538" t="s">
        <v>427</v>
      </c>
      <c r="X51" s="529" t="e">
        <v>#VALUE!</v>
      </c>
      <c r="Y51" s="642"/>
      <c r="Z51" s="529" t="s">
        <v>427</v>
      </c>
      <c r="AA51" s="538" t="s">
        <v>427</v>
      </c>
      <c r="AB51" s="538" t="s">
        <v>427</v>
      </c>
      <c r="AC51" s="529" t="e">
        <v>#VALUE!</v>
      </c>
      <c r="AD51" s="642"/>
      <c r="AE51" s="529" t="s">
        <v>427</v>
      </c>
      <c r="AF51" s="538" t="s">
        <v>427</v>
      </c>
      <c r="AG51" s="538" t="s">
        <v>427</v>
      </c>
      <c r="AH51" s="529" t="e">
        <v>#VALUE!</v>
      </c>
      <c r="AI51" s="642"/>
      <c r="AJ51" s="529" t="s">
        <v>427</v>
      </c>
      <c r="AK51" s="538" t="s">
        <v>427</v>
      </c>
      <c r="AL51" s="538" t="s">
        <v>427</v>
      </c>
      <c r="AM51" s="529" t="e">
        <v>#VALUE!</v>
      </c>
      <c r="AN51" s="642"/>
      <c r="AO51" s="529" t="s">
        <v>427</v>
      </c>
      <c r="AP51" s="538" t="s">
        <v>427</v>
      </c>
      <c r="AQ51" s="538" t="s">
        <v>427</v>
      </c>
      <c r="AR51" s="529" t="e">
        <v>#VALUE!</v>
      </c>
      <c r="AS51" s="642"/>
      <c r="AT51" s="529" t="s">
        <v>427</v>
      </c>
      <c r="AU51" s="538" t="s">
        <v>427</v>
      </c>
      <c r="AV51" s="538" t="s">
        <v>427</v>
      </c>
      <c r="AW51" s="529" t="e">
        <v>#VALUE!</v>
      </c>
      <c r="AX51" s="642"/>
      <c r="AZ51" s="377" t="e">
        <f t="shared" si="30"/>
        <v>#N/A</v>
      </c>
      <c r="BA51" s="653"/>
    </row>
    <row r="52" spans="2:53">
      <c r="B52" s="635"/>
      <c r="C52" s="529">
        <v>6</v>
      </c>
      <c r="D52" s="223"/>
      <c r="E52" s="538"/>
      <c r="F52" s="529"/>
      <c r="G52" s="530"/>
      <c r="H52" s="678"/>
      <c r="I52" s="531" t="str">
        <f t="shared" si="29"/>
        <v>-</v>
      </c>
      <c r="J52" s="531" t="str">
        <f t="shared" si="29"/>
        <v>-</v>
      </c>
      <c r="K52" s="363" t="str">
        <f t="shared" si="29"/>
        <v>-</v>
      </c>
      <c r="L52" s="615"/>
      <c r="M52" s="536" t="e">
        <f>RANK(K52, K$47:$K$61)</f>
        <v>#VALUE!</v>
      </c>
      <c r="N52" s="624"/>
      <c r="O52" s="624"/>
      <c r="P52" s="529" t="s">
        <v>427</v>
      </c>
      <c r="Q52" s="538" t="s">
        <v>427</v>
      </c>
      <c r="R52" s="538" t="s">
        <v>427</v>
      </c>
      <c r="S52" s="529" t="e">
        <v>#VALUE!</v>
      </c>
      <c r="T52" s="653"/>
      <c r="U52" s="529" t="s">
        <v>427</v>
      </c>
      <c r="V52" s="538" t="s">
        <v>427</v>
      </c>
      <c r="W52" s="538" t="s">
        <v>427</v>
      </c>
      <c r="X52" s="529" t="e">
        <v>#VALUE!</v>
      </c>
      <c r="Y52" s="642"/>
      <c r="Z52" s="529" t="s">
        <v>427</v>
      </c>
      <c r="AA52" s="538" t="s">
        <v>427</v>
      </c>
      <c r="AB52" s="538" t="s">
        <v>427</v>
      </c>
      <c r="AC52" s="529" t="e">
        <v>#VALUE!</v>
      </c>
      <c r="AD52" s="642"/>
      <c r="AE52" s="529" t="s">
        <v>427</v>
      </c>
      <c r="AF52" s="538" t="s">
        <v>427</v>
      </c>
      <c r="AG52" s="538" t="s">
        <v>427</v>
      </c>
      <c r="AH52" s="529" t="e">
        <v>#VALUE!</v>
      </c>
      <c r="AI52" s="642"/>
      <c r="AJ52" s="529" t="s">
        <v>427</v>
      </c>
      <c r="AK52" s="538" t="s">
        <v>427</v>
      </c>
      <c r="AL52" s="538" t="s">
        <v>427</v>
      </c>
      <c r="AM52" s="529" t="e">
        <v>#VALUE!</v>
      </c>
      <c r="AN52" s="642"/>
      <c r="AO52" s="529" t="s">
        <v>427</v>
      </c>
      <c r="AP52" s="538" t="s">
        <v>427</v>
      </c>
      <c r="AQ52" s="538" t="s">
        <v>427</v>
      </c>
      <c r="AR52" s="529" t="e">
        <v>#VALUE!</v>
      </c>
      <c r="AS52" s="642"/>
      <c r="AT52" s="529" t="s">
        <v>427</v>
      </c>
      <c r="AU52" s="538" t="s">
        <v>427</v>
      </c>
      <c r="AV52" s="538" t="s">
        <v>427</v>
      </c>
      <c r="AW52" s="529" t="e">
        <v>#VALUE!</v>
      </c>
      <c r="AX52" s="642"/>
      <c r="AZ52" s="377" t="e">
        <f t="shared" si="30"/>
        <v>#N/A</v>
      </c>
      <c r="BA52" s="653"/>
    </row>
    <row r="53" spans="2:53">
      <c r="B53" s="635"/>
      <c r="C53" s="529">
        <v>7</v>
      </c>
      <c r="D53" s="223"/>
      <c r="E53" s="538"/>
      <c r="F53" s="529"/>
      <c r="G53" s="530"/>
      <c r="H53" s="678"/>
      <c r="I53" s="531" t="str">
        <f t="shared" si="29"/>
        <v>-</v>
      </c>
      <c r="J53" s="531" t="str">
        <f t="shared" si="29"/>
        <v>-</v>
      </c>
      <c r="K53" s="363" t="str">
        <f t="shared" si="29"/>
        <v>-</v>
      </c>
      <c r="L53" s="615"/>
      <c r="M53" s="536" t="e">
        <f>RANK(K53, K$47:$K$61)</f>
        <v>#VALUE!</v>
      </c>
      <c r="N53" s="624"/>
      <c r="O53" s="624"/>
      <c r="P53" s="529" t="s">
        <v>427</v>
      </c>
      <c r="Q53" s="538" t="s">
        <v>427</v>
      </c>
      <c r="R53" s="538" t="s">
        <v>427</v>
      </c>
      <c r="S53" s="529" t="e">
        <v>#VALUE!</v>
      </c>
      <c r="T53" s="653"/>
      <c r="U53" s="529" t="s">
        <v>427</v>
      </c>
      <c r="V53" s="538" t="s">
        <v>427</v>
      </c>
      <c r="W53" s="538" t="s">
        <v>427</v>
      </c>
      <c r="X53" s="529" t="e">
        <v>#VALUE!</v>
      </c>
      <c r="Y53" s="642"/>
      <c r="Z53" s="529" t="s">
        <v>427</v>
      </c>
      <c r="AA53" s="538" t="s">
        <v>427</v>
      </c>
      <c r="AB53" s="538" t="s">
        <v>427</v>
      </c>
      <c r="AC53" s="529" t="e">
        <v>#VALUE!</v>
      </c>
      <c r="AD53" s="642"/>
      <c r="AE53" s="529" t="s">
        <v>427</v>
      </c>
      <c r="AF53" s="538" t="s">
        <v>427</v>
      </c>
      <c r="AG53" s="538" t="s">
        <v>427</v>
      </c>
      <c r="AH53" s="529" t="e">
        <v>#VALUE!</v>
      </c>
      <c r="AI53" s="642"/>
      <c r="AJ53" s="529" t="s">
        <v>427</v>
      </c>
      <c r="AK53" s="538" t="s">
        <v>427</v>
      </c>
      <c r="AL53" s="538" t="s">
        <v>427</v>
      </c>
      <c r="AM53" s="529" t="e">
        <v>#VALUE!</v>
      </c>
      <c r="AN53" s="642"/>
      <c r="AO53" s="529" t="s">
        <v>427</v>
      </c>
      <c r="AP53" s="538" t="s">
        <v>427</v>
      </c>
      <c r="AQ53" s="538" t="s">
        <v>427</v>
      </c>
      <c r="AR53" s="529" t="e">
        <v>#VALUE!</v>
      </c>
      <c r="AS53" s="642"/>
      <c r="AT53" s="529" t="s">
        <v>427</v>
      </c>
      <c r="AU53" s="538" t="s">
        <v>427</v>
      </c>
      <c r="AV53" s="538" t="s">
        <v>427</v>
      </c>
      <c r="AW53" s="529" t="e">
        <v>#VALUE!</v>
      </c>
      <c r="AX53" s="642"/>
      <c r="AZ53" s="377" t="e">
        <f t="shared" si="30"/>
        <v>#N/A</v>
      </c>
      <c r="BA53" s="653"/>
    </row>
    <row r="54" spans="2:53">
      <c r="B54" s="635"/>
      <c r="C54" s="529">
        <v>8</v>
      </c>
      <c r="D54" s="223"/>
      <c r="E54" s="538"/>
      <c r="F54" s="529"/>
      <c r="G54" s="530"/>
      <c r="H54" s="678"/>
      <c r="I54" s="531" t="str">
        <f t="shared" si="29"/>
        <v>-</v>
      </c>
      <c r="J54" s="531" t="str">
        <f t="shared" si="29"/>
        <v>-</v>
      </c>
      <c r="K54" s="363" t="str">
        <f t="shared" si="29"/>
        <v>-</v>
      </c>
      <c r="L54" s="615"/>
      <c r="M54" s="536" t="e">
        <f>RANK(K54, K$47:$K$61)</f>
        <v>#VALUE!</v>
      </c>
      <c r="N54" s="624"/>
      <c r="O54" s="624"/>
      <c r="P54" s="529" t="s">
        <v>427</v>
      </c>
      <c r="Q54" s="538" t="s">
        <v>427</v>
      </c>
      <c r="R54" s="538" t="s">
        <v>427</v>
      </c>
      <c r="S54" s="529"/>
      <c r="T54" s="653"/>
      <c r="U54" s="529" t="s">
        <v>427</v>
      </c>
      <c r="V54" s="538" t="s">
        <v>427</v>
      </c>
      <c r="W54" s="538" t="s">
        <v>427</v>
      </c>
      <c r="X54" s="529"/>
      <c r="Y54" s="642"/>
      <c r="Z54" s="529" t="s">
        <v>427</v>
      </c>
      <c r="AA54" s="538" t="s">
        <v>427</v>
      </c>
      <c r="AB54" s="538" t="s">
        <v>427</v>
      </c>
      <c r="AC54" s="529"/>
      <c r="AD54" s="642"/>
      <c r="AE54" s="529" t="s">
        <v>427</v>
      </c>
      <c r="AF54" s="538" t="s">
        <v>427</v>
      </c>
      <c r="AG54" s="538" t="s">
        <v>427</v>
      </c>
      <c r="AH54" s="529"/>
      <c r="AI54" s="642"/>
      <c r="AJ54" s="529" t="s">
        <v>427</v>
      </c>
      <c r="AK54" s="538" t="s">
        <v>427</v>
      </c>
      <c r="AL54" s="538" t="s">
        <v>427</v>
      </c>
      <c r="AM54" s="529"/>
      <c r="AN54" s="642"/>
      <c r="AO54" s="529" t="s">
        <v>427</v>
      </c>
      <c r="AP54" s="538" t="s">
        <v>427</v>
      </c>
      <c r="AQ54" s="538" t="s">
        <v>427</v>
      </c>
      <c r="AR54" s="529"/>
      <c r="AS54" s="642"/>
      <c r="AT54" s="529" t="s">
        <v>427</v>
      </c>
      <c r="AU54" s="538" t="s">
        <v>427</v>
      </c>
      <c r="AV54" s="538" t="s">
        <v>427</v>
      </c>
      <c r="AW54" s="529"/>
      <c r="AX54" s="642"/>
      <c r="AZ54" s="377" t="e">
        <f t="shared" si="30"/>
        <v>#N/A</v>
      </c>
      <c r="BA54" s="653"/>
    </row>
    <row r="55" spans="2:53">
      <c r="B55" s="635"/>
      <c r="C55" s="529">
        <v>9</v>
      </c>
      <c r="D55" s="223"/>
      <c r="E55" s="538"/>
      <c r="F55" s="529"/>
      <c r="G55" s="530"/>
      <c r="H55" s="678"/>
      <c r="I55" s="531" t="str">
        <f t="shared" si="29"/>
        <v>-</v>
      </c>
      <c r="J55" s="531" t="str">
        <f t="shared" si="29"/>
        <v>-</v>
      </c>
      <c r="K55" s="363" t="str">
        <f t="shared" si="29"/>
        <v>-</v>
      </c>
      <c r="L55" s="615"/>
      <c r="M55" s="536" t="e">
        <f>RANK(K55, K$47:$K$61)</f>
        <v>#VALUE!</v>
      </c>
      <c r="N55" s="624"/>
      <c r="O55" s="624"/>
      <c r="P55" s="529" t="s">
        <v>427</v>
      </c>
      <c r="Q55" s="538" t="s">
        <v>427</v>
      </c>
      <c r="R55" s="538" t="s">
        <v>427</v>
      </c>
      <c r="S55" s="529"/>
      <c r="T55" s="653"/>
      <c r="U55" s="529" t="s">
        <v>427</v>
      </c>
      <c r="V55" s="538" t="s">
        <v>427</v>
      </c>
      <c r="W55" s="538" t="s">
        <v>427</v>
      </c>
      <c r="X55" s="529"/>
      <c r="Y55" s="642"/>
      <c r="Z55" s="529" t="s">
        <v>427</v>
      </c>
      <c r="AA55" s="538" t="s">
        <v>427</v>
      </c>
      <c r="AB55" s="538" t="s">
        <v>427</v>
      </c>
      <c r="AC55" s="529"/>
      <c r="AD55" s="642"/>
      <c r="AE55" s="529" t="s">
        <v>427</v>
      </c>
      <c r="AF55" s="538" t="s">
        <v>427</v>
      </c>
      <c r="AG55" s="538" t="s">
        <v>427</v>
      </c>
      <c r="AH55" s="529"/>
      <c r="AI55" s="642"/>
      <c r="AJ55" s="529" t="s">
        <v>427</v>
      </c>
      <c r="AK55" s="538" t="s">
        <v>427</v>
      </c>
      <c r="AL55" s="538" t="s">
        <v>427</v>
      </c>
      <c r="AM55" s="529"/>
      <c r="AN55" s="642"/>
      <c r="AO55" s="529" t="s">
        <v>427</v>
      </c>
      <c r="AP55" s="538" t="s">
        <v>427</v>
      </c>
      <c r="AQ55" s="538" t="s">
        <v>427</v>
      </c>
      <c r="AR55" s="529"/>
      <c r="AS55" s="642"/>
      <c r="AT55" s="529" t="s">
        <v>427</v>
      </c>
      <c r="AU55" s="538" t="s">
        <v>427</v>
      </c>
      <c r="AV55" s="538" t="s">
        <v>427</v>
      </c>
      <c r="AW55" s="529"/>
      <c r="AX55" s="642"/>
      <c r="AZ55" s="377" t="e">
        <f t="shared" si="30"/>
        <v>#N/A</v>
      </c>
      <c r="BA55" s="653"/>
    </row>
    <row r="56" spans="2:53">
      <c r="B56" s="635"/>
      <c r="C56" s="529">
        <v>10</v>
      </c>
      <c r="D56" s="223"/>
      <c r="E56" s="538"/>
      <c r="F56" s="529"/>
      <c r="G56" s="530"/>
      <c r="H56" s="678"/>
      <c r="I56" s="531" t="str">
        <f t="shared" si="29"/>
        <v>-</v>
      </c>
      <c r="J56" s="531" t="str">
        <f t="shared" si="29"/>
        <v>-</v>
      </c>
      <c r="K56" s="363" t="str">
        <f t="shared" si="29"/>
        <v>-</v>
      </c>
      <c r="L56" s="615"/>
      <c r="M56" s="536" t="e">
        <f>RANK(K56, K$47:$K$61)</f>
        <v>#VALUE!</v>
      </c>
      <c r="N56" s="624"/>
      <c r="O56" s="624"/>
      <c r="P56" s="529" t="s">
        <v>427</v>
      </c>
      <c r="Q56" s="538" t="s">
        <v>427</v>
      </c>
      <c r="R56" s="538" t="s">
        <v>427</v>
      </c>
      <c r="S56" s="529"/>
      <c r="T56" s="653"/>
      <c r="U56" s="529" t="s">
        <v>427</v>
      </c>
      <c r="V56" s="538" t="s">
        <v>427</v>
      </c>
      <c r="W56" s="538" t="s">
        <v>427</v>
      </c>
      <c r="X56" s="529"/>
      <c r="Y56" s="642"/>
      <c r="Z56" s="529" t="s">
        <v>427</v>
      </c>
      <c r="AA56" s="538" t="s">
        <v>427</v>
      </c>
      <c r="AB56" s="538" t="s">
        <v>427</v>
      </c>
      <c r="AC56" s="529"/>
      <c r="AD56" s="642"/>
      <c r="AE56" s="529" t="s">
        <v>427</v>
      </c>
      <c r="AF56" s="538" t="s">
        <v>427</v>
      </c>
      <c r="AG56" s="538" t="s">
        <v>427</v>
      </c>
      <c r="AH56" s="529"/>
      <c r="AI56" s="642"/>
      <c r="AJ56" s="529" t="s">
        <v>427</v>
      </c>
      <c r="AK56" s="538" t="s">
        <v>427</v>
      </c>
      <c r="AL56" s="538" t="s">
        <v>427</v>
      </c>
      <c r="AM56" s="529"/>
      <c r="AN56" s="642"/>
      <c r="AO56" s="529" t="s">
        <v>427</v>
      </c>
      <c r="AP56" s="538" t="s">
        <v>427</v>
      </c>
      <c r="AQ56" s="538" t="s">
        <v>427</v>
      </c>
      <c r="AR56" s="529"/>
      <c r="AS56" s="642"/>
      <c r="AT56" s="529" t="s">
        <v>427</v>
      </c>
      <c r="AU56" s="538" t="s">
        <v>427</v>
      </c>
      <c r="AV56" s="538" t="s">
        <v>427</v>
      </c>
      <c r="AW56" s="529"/>
      <c r="AX56" s="642"/>
      <c r="AZ56" s="377" t="e">
        <f t="shared" si="30"/>
        <v>#N/A</v>
      </c>
      <c r="BA56" s="653"/>
    </row>
    <row r="57" spans="2:53">
      <c r="B57" s="635"/>
      <c r="C57" s="529">
        <v>11</v>
      </c>
      <c r="D57" s="223"/>
      <c r="E57" s="538"/>
      <c r="F57" s="529"/>
      <c r="G57" s="530"/>
      <c r="H57" s="678"/>
      <c r="I57" s="531" t="str">
        <f t="shared" si="29"/>
        <v>-</v>
      </c>
      <c r="J57" s="531" t="str">
        <f t="shared" si="29"/>
        <v>-</v>
      </c>
      <c r="K57" s="363" t="str">
        <f t="shared" si="29"/>
        <v>-</v>
      </c>
      <c r="L57" s="615"/>
      <c r="M57" s="536" t="e">
        <f>RANK(K57, K$47:$K$61)</f>
        <v>#VALUE!</v>
      </c>
      <c r="N57" s="624"/>
      <c r="O57" s="624"/>
      <c r="P57" s="529" t="s">
        <v>427</v>
      </c>
      <c r="Q57" s="538" t="s">
        <v>427</v>
      </c>
      <c r="R57" s="538" t="s">
        <v>427</v>
      </c>
      <c r="S57" s="529"/>
      <c r="T57" s="653"/>
      <c r="U57" s="529" t="s">
        <v>427</v>
      </c>
      <c r="V57" s="538" t="s">
        <v>427</v>
      </c>
      <c r="W57" s="538" t="s">
        <v>427</v>
      </c>
      <c r="X57" s="529"/>
      <c r="Y57" s="642"/>
      <c r="Z57" s="529" t="s">
        <v>427</v>
      </c>
      <c r="AA57" s="538" t="s">
        <v>427</v>
      </c>
      <c r="AB57" s="538" t="s">
        <v>427</v>
      </c>
      <c r="AC57" s="529"/>
      <c r="AD57" s="642"/>
      <c r="AE57" s="529" t="s">
        <v>427</v>
      </c>
      <c r="AF57" s="538" t="s">
        <v>427</v>
      </c>
      <c r="AG57" s="538" t="s">
        <v>427</v>
      </c>
      <c r="AH57" s="529"/>
      <c r="AI57" s="642"/>
      <c r="AJ57" s="529" t="s">
        <v>427</v>
      </c>
      <c r="AK57" s="538" t="s">
        <v>427</v>
      </c>
      <c r="AL57" s="538" t="s">
        <v>427</v>
      </c>
      <c r="AM57" s="529"/>
      <c r="AN57" s="642"/>
      <c r="AO57" s="529" t="s">
        <v>427</v>
      </c>
      <c r="AP57" s="538" t="s">
        <v>427</v>
      </c>
      <c r="AQ57" s="538" t="s">
        <v>427</v>
      </c>
      <c r="AR57" s="529"/>
      <c r="AS57" s="642"/>
      <c r="AT57" s="529" t="s">
        <v>427</v>
      </c>
      <c r="AU57" s="538" t="s">
        <v>427</v>
      </c>
      <c r="AV57" s="538" t="s">
        <v>427</v>
      </c>
      <c r="AW57" s="529"/>
      <c r="AX57" s="642"/>
      <c r="AZ57" s="377" t="e">
        <f t="shared" si="30"/>
        <v>#N/A</v>
      </c>
      <c r="BA57" s="653"/>
    </row>
    <row r="58" spans="2:53">
      <c r="B58" s="635"/>
      <c r="C58" s="529">
        <v>12</v>
      </c>
      <c r="D58" s="223"/>
      <c r="E58" s="538"/>
      <c r="F58" s="529"/>
      <c r="G58" s="530"/>
      <c r="H58" s="678"/>
      <c r="I58" s="531" t="str">
        <f t="shared" si="29"/>
        <v>-</v>
      </c>
      <c r="J58" s="531" t="str">
        <f t="shared" si="29"/>
        <v>-</v>
      </c>
      <c r="K58" s="363" t="str">
        <f t="shared" si="29"/>
        <v>-</v>
      </c>
      <c r="L58" s="615"/>
      <c r="M58" s="536" t="e">
        <f>RANK(K58, K$47:$K$61)</f>
        <v>#VALUE!</v>
      </c>
      <c r="N58" s="624"/>
      <c r="O58" s="624"/>
      <c r="P58" s="529" t="s">
        <v>427</v>
      </c>
      <c r="Q58" s="538" t="s">
        <v>427</v>
      </c>
      <c r="R58" s="538" t="s">
        <v>427</v>
      </c>
      <c r="S58" s="529"/>
      <c r="T58" s="653"/>
      <c r="U58" s="529" t="s">
        <v>427</v>
      </c>
      <c r="V58" s="538" t="s">
        <v>427</v>
      </c>
      <c r="W58" s="538" t="s">
        <v>427</v>
      </c>
      <c r="X58" s="529"/>
      <c r="Y58" s="642"/>
      <c r="Z58" s="529" t="s">
        <v>427</v>
      </c>
      <c r="AA58" s="538" t="s">
        <v>427</v>
      </c>
      <c r="AB58" s="538" t="s">
        <v>427</v>
      </c>
      <c r="AC58" s="529"/>
      <c r="AD58" s="642"/>
      <c r="AE58" s="529" t="s">
        <v>427</v>
      </c>
      <c r="AF58" s="538" t="s">
        <v>427</v>
      </c>
      <c r="AG58" s="538" t="s">
        <v>427</v>
      </c>
      <c r="AH58" s="529"/>
      <c r="AI58" s="642"/>
      <c r="AJ58" s="529" t="s">
        <v>427</v>
      </c>
      <c r="AK58" s="538" t="s">
        <v>427</v>
      </c>
      <c r="AL58" s="538" t="s">
        <v>427</v>
      </c>
      <c r="AM58" s="529"/>
      <c r="AN58" s="642"/>
      <c r="AO58" s="529" t="s">
        <v>427</v>
      </c>
      <c r="AP58" s="538" t="s">
        <v>427</v>
      </c>
      <c r="AQ58" s="538" t="s">
        <v>427</v>
      </c>
      <c r="AR58" s="529"/>
      <c r="AS58" s="642"/>
      <c r="AT58" s="529" t="s">
        <v>427</v>
      </c>
      <c r="AU58" s="538" t="s">
        <v>427</v>
      </c>
      <c r="AV58" s="538" t="s">
        <v>427</v>
      </c>
      <c r="AW58" s="529"/>
      <c r="AX58" s="642"/>
      <c r="AZ58" s="377" t="e">
        <f t="shared" si="30"/>
        <v>#N/A</v>
      </c>
      <c r="BA58" s="653"/>
    </row>
    <row r="59" spans="2:53">
      <c r="B59" s="635"/>
      <c r="C59" s="529">
        <v>13</v>
      </c>
      <c r="D59" s="223"/>
      <c r="E59" s="538"/>
      <c r="F59" s="529"/>
      <c r="G59" s="530"/>
      <c r="H59" s="678"/>
      <c r="I59" s="531" t="str">
        <f t="shared" si="29"/>
        <v>-</v>
      </c>
      <c r="J59" s="531" t="str">
        <f t="shared" si="29"/>
        <v>-</v>
      </c>
      <c r="K59" s="363" t="str">
        <f t="shared" si="29"/>
        <v>-</v>
      </c>
      <c r="L59" s="615"/>
      <c r="M59" s="536" t="e">
        <f>RANK(K59, K$47:$K$61)</f>
        <v>#VALUE!</v>
      </c>
      <c r="N59" s="624"/>
      <c r="O59" s="624"/>
      <c r="P59" s="529" t="s">
        <v>427</v>
      </c>
      <c r="Q59" s="538" t="s">
        <v>427</v>
      </c>
      <c r="R59" s="538" t="s">
        <v>427</v>
      </c>
      <c r="S59" s="529"/>
      <c r="T59" s="653"/>
      <c r="U59" s="529" t="s">
        <v>427</v>
      </c>
      <c r="V59" s="538" t="s">
        <v>427</v>
      </c>
      <c r="W59" s="538" t="s">
        <v>427</v>
      </c>
      <c r="X59" s="538"/>
      <c r="Y59" s="642"/>
      <c r="Z59" s="529" t="s">
        <v>427</v>
      </c>
      <c r="AA59" s="538" t="s">
        <v>427</v>
      </c>
      <c r="AB59" s="538" t="s">
        <v>427</v>
      </c>
      <c r="AC59" s="538"/>
      <c r="AD59" s="642"/>
      <c r="AE59" s="529" t="s">
        <v>427</v>
      </c>
      <c r="AF59" s="538" t="s">
        <v>427</v>
      </c>
      <c r="AG59" s="538" t="s">
        <v>427</v>
      </c>
      <c r="AH59" s="538"/>
      <c r="AI59" s="642"/>
      <c r="AJ59" s="529" t="s">
        <v>427</v>
      </c>
      <c r="AK59" s="538" t="s">
        <v>427</v>
      </c>
      <c r="AL59" s="538" t="s">
        <v>427</v>
      </c>
      <c r="AM59" s="538"/>
      <c r="AN59" s="642"/>
      <c r="AO59" s="529" t="s">
        <v>427</v>
      </c>
      <c r="AP59" s="538" t="s">
        <v>427</v>
      </c>
      <c r="AQ59" s="538" t="s">
        <v>427</v>
      </c>
      <c r="AR59" s="538"/>
      <c r="AS59" s="642"/>
      <c r="AT59" s="529" t="s">
        <v>427</v>
      </c>
      <c r="AU59" s="538" t="s">
        <v>427</v>
      </c>
      <c r="AV59" s="538" t="s">
        <v>427</v>
      </c>
      <c r="AW59" s="538"/>
      <c r="AX59" s="642"/>
      <c r="AZ59" s="377" t="e">
        <f t="shared" si="30"/>
        <v>#N/A</v>
      </c>
      <c r="BA59" s="653"/>
    </row>
    <row r="60" spans="2:53">
      <c r="B60" s="635"/>
      <c r="C60" s="529">
        <v>14</v>
      </c>
      <c r="D60" s="223"/>
      <c r="E60" s="538"/>
      <c r="F60" s="529"/>
      <c r="G60" s="530"/>
      <c r="H60" s="678"/>
      <c r="I60" s="531" t="str">
        <f t="shared" si="29"/>
        <v>-</v>
      </c>
      <c r="J60" s="531" t="str">
        <f t="shared" si="29"/>
        <v>-</v>
      </c>
      <c r="K60" s="363" t="str">
        <f t="shared" si="29"/>
        <v>-</v>
      </c>
      <c r="L60" s="615"/>
      <c r="M60" s="536" t="e">
        <f>RANK(K60, K$47:$K$61)</f>
        <v>#VALUE!</v>
      </c>
      <c r="N60" s="624"/>
      <c r="O60" s="624"/>
      <c r="P60" s="529" t="s">
        <v>427</v>
      </c>
      <c r="Q60" s="538" t="s">
        <v>427</v>
      </c>
      <c r="R60" s="538" t="s">
        <v>427</v>
      </c>
      <c r="S60" s="529"/>
      <c r="T60" s="653"/>
      <c r="U60" s="529" t="s">
        <v>427</v>
      </c>
      <c r="V60" s="538" t="s">
        <v>427</v>
      </c>
      <c r="W60" s="538" t="s">
        <v>427</v>
      </c>
      <c r="X60" s="538"/>
      <c r="Y60" s="642"/>
      <c r="Z60" s="529" t="s">
        <v>427</v>
      </c>
      <c r="AA60" s="538" t="s">
        <v>427</v>
      </c>
      <c r="AB60" s="538" t="s">
        <v>427</v>
      </c>
      <c r="AC60" s="538"/>
      <c r="AD60" s="642"/>
      <c r="AE60" s="529" t="s">
        <v>427</v>
      </c>
      <c r="AF60" s="538" t="s">
        <v>427</v>
      </c>
      <c r="AG60" s="538" t="s">
        <v>427</v>
      </c>
      <c r="AH60" s="538"/>
      <c r="AI60" s="642"/>
      <c r="AJ60" s="529" t="s">
        <v>427</v>
      </c>
      <c r="AK60" s="538" t="s">
        <v>427</v>
      </c>
      <c r="AL60" s="538" t="s">
        <v>427</v>
      </c>
      <c r="AM60" s="538"/>
      <c r="AN60" s="642"/>
      <c r="AO60" s="529" t="s">
        <v>427</v>
      </c>
      <c r="AP60" s="538" t="s">
        <v>427</v>
      </c>
      <c r="AQ60" s="538" t="s">
        <v>427</v>
      </c>
      <c r="AR60" s="538"/>
      <c r="AS60" s="642"/>
      <c r="AT60" s="529" t="s">
        <v>427</v>
      </c>
      <c r="AU60" s="538" t="s">
        <v>427</v>
      </c>
      <c r="AV60" s="538" t="s">
        <v>427</v>
      </c>
      <c r="AW60" s="538"/>
      <c r="AX60" s="642"/>
      <c r="AZ60" s="377" t="e">
        <f t="shared" si="30"/>
        <v>#N/A</v>
      </c>
      <c r="BA60" s="653"/>
    </row>
    <row r="61" spans="2:53">
      <c r="B61" s="635"/>
      <c r="C61" s="529">
        <v>15</v>
      </c>
      <c r="D61" s="223"/>
      <c r="E61" s="538"/>
      <c r="F61" s="529"/>
      <c r="G61" s="530"/>
      <c r="H61" s="679"/>
      <c r="I61" s="416"/>
      <c r="J61" s="416"/>
      <c r="K61" s="416"/>
      <c r="L61" s="616"/>
      <c r="M61" s="536" t="e">
        <f>RANK(K61, K$47:$K$61)</f>
        <v>#N/A</v>
      </c>
      <c r="N61" s="624"/>
      <c r="O61" s="624"/>
      <c r="P61" s="529" t="s">
        <v>427</v>
      </c>
      <c r="Q61" s="538" t="s">
        <v>427</v>
      </c>
      <c r="R61" s="538" t="s">
        <v>427</v>
      </c>
      <c r="S61" s="529"/>
      <c r="T61" s="653"/>
      <c r="U61" s="529" t="s">
        <v>427</v>
      </c>
      <c r="V61" s="538" t="s">
        <v>427</v>
      </c>
      <c r="W61" s="538" t="s">
        <v>427</v>
      </c>
      <c r="X61" s="538"/>
      <c r="Y61" s="642"/>
      <c r="Z61" s="529" t="s">
        <v>427</v>
      </c>
      <c r="AA61" s="538" t="s">
        <v>427</v>
      </c>
      <c r="AB61" s="538" t="s">
        <v>427</v>
      </c>
      <c r="AC61" s="538"/>
      <c r="AD61" s="642"/>
      <c r="AE61" s="529" t="s">
        <v>427</v>
      </c>
      <c r="AF61" s="538" t="s">
        <v>427</v>
      </c>
      <c r="AG61" s="538" t="s">
        <v>427</v>
      </c>
      <c r="AH61" s="538"/>
      <c r="AI61" s="642"/>
      <c r="AJ61" s="529" t="s">
        <v>427</v>
      </c>
      <c r="AK61" s="538" t="s">
        <v>427</v>
      </c>
      <c r="AL61" s="538" t="s">
        <v>427</v>
      </c>
      <c r="AM61" s="538"/>
      <c r="AN61" s="642"/>
      <c r="AO61" s="529" t="s">
        <v>427</v>
      </c>
      <c r="AP61" s="538" t="s">
        <v>427</v>
      </c>
      <c r="AQ61" s="538" t="s">
        <v>427</v>
      </c>
      <c r="AR61" s="538"/>
      <c r="AS61" s="642"/>
      <c r="AT61" s="529" t="s">
        <v>427</v>
      </c>
      <c r="AU61" s="538" t="s">
        <v>427</v>
      </c>
      <c r="AV61" s="538" t="s">
        <v>427</v>
      </c>
      <c r="AW61" s="538"/>
      <c r="AX61" s="642"/>
      <c r="AZ61" s="377" t="e">
        <f t="shared" si="30"/>
        <v>#N/A</v>
      </c>
      <c r="BA61" s="653"/>
    </row>
    <row r="62" spans="2:53" ht="15.75">
      <c r="B62" s="643" t="s">
        <v>769</v>
      </c>
      <c r="C62" s="644"/>
      <c r="D62" s="644"/>
      <c r="E62" s="644"/>
      <c r="F62" s="644"/>
      <c r="G62" s="644"/>
      <c r="H62" s="645"/>
      <c r="I62" s="205"/>
      <c r="J62" s="205"/>
      <c r="K62" s="205"/>
      <c r="L62" s="205"/>
      <c r="M62" s="204"/>
      <c r="N62" s="639" t="s">
        <v>781</v>
      </c>
      <c r="O62" s="639" t="s">
        <v>686</v>
      </c>
      <c r="P62" s="634">
        <f>AT42+1</f>
        <v>46224</v>
      </c>
      <c r="Q62" s="635"/>
      <c r="R62" s="635"/>
      <c r="S62" s="635"/>
      <c r="T62" s="635"/>
      <c r="U62" s="636">
        <f>P62+1</f>
        <v>46225</v>
      </c>
      <c r="V62" s="637"/>
      <c r="W62" s="637"/>
      <c r="X62" s="637"/>
      <c r="Y62" s="638"/>
      <c r="Z62" s="636">
        <f t="shared" ref="Z62" si="32">U62+1</f>
        <v>46226</v>
      </c>
      <c r="AA62" s="637"/>
      <c r="AB62" s="637"/>
      <c r="AC62" s="637"/>
      <c r="AD62" s="638"/>
      <c r="AE62" s="636">
        <f t="shared" ref="AE62" si="33">Z62+1</f>
        <v>46227</v>
      </c>
      <c r="AF62" s="637"/>
      <c r="AG62" s="637"/>
      <c r="AH62" s="637"/>
      <c r="AI62" s="638"/>
      <c r="AJ62" s="636">
        <f t="shared" ref="AJ62" si="34">AE62+1</f>
        <v>46228</v>
      </c>
      <c r="AK62" s="637"/>
      <c r="AL62" s="637"/>
      <c r="AM62" s="637"/>
      <c r="AN62" s="638"/>
      <c r="AO62" s="636">
        <f t="shared" ref="AO62" si="35">AJ62+1</f>
        <v>46229</v>
      </c>
      <c r="AP62" s="637"/>
      <c r="AQ62" s="637"/>
      <c r="AR62" s="637"/>
      <c r="AS62" s="638"/>
      <c r="AT62" s="636">
        <f t="shared" ref="AT62" si="36">AO62+1</f>
        <v>46230</v>
      </c>
      <c r="AU62" s="637"/>
      <c r="AV62" s="637"/>
      <c r="AW62" s="637"/>
      <c r="AX62" s="638"/>
    </row>
    <row r="63" spans="2:53" ht="15.75">
      <c r="B63" s="646"/>
      <c r="C63" s="646"/>
      <c r="D63" s="646"/>
      <c r="E63" s="646"/>
      <c r="F63" s="646"/>
      <c r="G63" s="646"/>
      <c r="H63" s="646"/>
      <c r="I63" s="202"/>
      <c r="J63" s="202"/>
      <c r="K63" s="202"/>
      <c r="L63" s="202"/>
      <c r="M63" s="203"/>
      <c r="N63" s="641"/>
      <c r="O63" s="641"/>
      <c r="P63" s="634" t="s">
        <v>677</v>
      </c>
      <c r="Q63" s="635"/>
      <c r="R63" s="635"/>
      <c r="S63" s="635"/>
      <c r="T63" s="635"/>
      <c r="U63" s="634" t="s">
        <v>678</v>
      </c>
      <c r="V63" s="635"/>
      <c r="W63" s="635"/>
      <c r="X63" s="635"/>
      <c r="Y63" s="635"/>
      <c r="Z63" s="634" t="s">
        <v>679</v>
      </c>
      <c r="AA63" s="635"/>
      <c r="AB63" s="635"/>
      <c r="AC63" s="635"/>
      <c r="AD63" s="635"/>
      <c r="AE63" s="634" t="s">
        <v>687</v>
      </c>
      <c r="AF63" s="635"/>
      <c r="AG63" s="635"/>
      <c r="AH63" s="635"/>
      <c r="AI63" s="635"/>
      <c r="AJ63" s="634" t="s">
        <v>688</v>
      </c>
      <c r="AK63" s="635"/>
      <c r="AL63" s="635"/>
      <c r="AM63" s="635"/>
      <c r="AN63" s="635"/>
      <c r="AO63" s="634" t="s">
        <v>689</v>
      </c>
      <c r="AP63" s="635"/>
      <c r="AQ63" s="635"/>
      <c r="AR63" s="635"/>
      <c r="AS63" s="635"/>
      <c r="AT63" s="634" t="s">
        <v>690</v>
      </c>
      <c r="AU63" s="635"/>
      <c r="AV63" s="635"/>
      <c r="AW63" s="635"/>
      <c r="AX63" s="635"/>
    </row>
    <row r="64" spans="2:53">
      <c r="B64" s="624" t="s">
        <v>760</v>
      </c>
      <c r="C64" s="647" t="s">
        <v>827</v>
      </c>
      <c r="D64" s="650"/>
      <c r="E64" s="621" t="s">
        <v>828</v>
      </c>
      <c r="F64" s="622"/>
      <c r="G64" s="623"/>
      <c r="H64" s="639" t="s">
        <v>829</v>
      </c>
      <c r="I64" s="625" t="s">
        <v>830</v>
      </c>
      <c r="J64" s="626"/>
      <c r="K64" s="627"/>
      <c r="L64" s="628" t="s">
        <v>829</v>
      </c>
      <c r="M64" s="628" t="s">
        <v>440</v>
      </c>
      <c r="N64" s="639"/>
      <c r="O64" s="639" t="s">
        <v>831</v>
      </c>
      <c r="P64" s="621" t="s">
        <v>832</v>
      </c>
      <c r="Q64" s="622"/>
      <c r="R64" s="622"/>
      <c r="S64" s="623"/>
      <c r="T64" s="639" t="s">
        <v>829</v>
      </c>
      <c r="U64" s="621" t="s">
        <v>832</v>
      </c>
      <c r="V64" s="622"/>
      <c r="W64" s="622"/>
      <c r="X64" s="623"/>
      <c r="Y64" s="639" t="s">
        <v>829</v>
      </c>
      <c r="Z64" s="621" t="s">
        <v>832</v>
      </c>
      <c r="AA64" s="622"/>
      <c r="AB64" s="622"/>
      <c r="AC64" s="623"/>
      <c r="AD64" s="639" t="s">
        <v>829</v>
      </c>
      <c r="AE64" s="621" t="s">
        <v>832</v>
      </c>
      <c r="AF64" s="622"/>
      <c r="AG64" s="622"/>
      <c r="AH64" s="623"/>
      <c r="AI64" s="639" t="s">
        <v>829</v>
      </c>
      <c r="AJ64" s="621" t="s">
        <v>832</v>
      </c>
      <c r="AK64" s="622"/>
      <c r="AL64" s="622"/>
      <c r="AM64" s="623"/>
      <c r="AN64" s="639" t="s">
        <v>829</v>
      </c>
      <c r="AO64" s="621" t="s">
        <v>832</v>
      </c>
      <c r="AP64" s="622"/>
      <c r="AQ64" s="622"/>
      <c r="AR64" s="623"/>
      <c r="AS64" s="639" t="s">
        <v>829</v>
      </c>
      <c r="AT64" s="621" t="s">
        <v>832</v>
      </c>
      <c r="AU64" s="622"/>
      <c r="AV64" s="622"/>
      <c r="AW64" s="623"/>
      <c r="AX64" s="639" t="s">
        <v>829</v>
      </c>
    </row>
    <row r="65" spans="2:53">
      <c r="B65" s="624"/>
      <c r="C65" s="648"/>
      <c r="D65" s="651"/>
      <c r="E65" s="621" t="s">
        <v>833</v>
      </c>
      <c r="F65" s="622"/>
      <c r="G65" s="623"/>
      <c r="H65" s="640"/>
      <c r="I65" s="625" t="s">
        <v>833</v>
      </c>
      <c r="J65" s="626"/>
      <c r="K65" s="627"/>
      <c r="L65" s="629"/>
      <c r="M65" s="629"/>
      <c r="N65" s="640"/>
      <c r="O65" s="640"/>
      <c r="P65" s="621" t="s">
        <v>834</v>
      </c>
      <c r="Q65" s="622"/>
      <c r="R65" s="622"/>
      <c r="S65" s="623"/>
      <c r="T65" s="640"/>
      <c r="U65" s="621" t="s">
        <v>834</v>
      </c>
      <c r="V65" s="622"/>
      <c r="W65" s="622"/>
      <c r="X65" s="623"/>
      <c r="Y65" s="640"/>
      <c r="Z65" s="621" t="s">
        <v>834</v>
      </c>
      <c r="AA65" s="622"/>
      <c r="AB65" s="622"/>
      <c r="AC65" s="623"/>
      <c r="AD65" s="640"/>
      <c r="AE65" s="621" t="s">
        <v>834</v>
      </c>
      <c r="AF65" s="622"/>
      <c r="AG65" s="622"/>
      <c r="AH65" s="623"/>
      <c r="AI65" s="640"/>
      <c r="AJ65" s="621" t="s">
        <v>834</v>
      </c>
      <c r="AK65" s="622"/>
      <c r="AL65" s="622"/>
      <c r="AM65" s="623"/>
      <c r="AN65" s="640"/>
      <c r="AO65" s="621" t="s">
        <v>834</v>
      </c>
      <c r="AP65" s="622"/>
      <c r="AQ65" s="622"/>
      <c r="AR65" s="623"/>
      <c r="AS65" s="640"/>
      <c r="AT65" s="621" t="s">
        <v>834</v>
      </c>
      <c r="AU65" s="622"/>
      <c r="AV65" s="622"/>
      <c r="AW65" s="623"/>
      <c r="AX65" s="640"/>
    </row>
    <row r="66" spans="2:53">
      <c r="B66" s="624"/>
      <c r="C66" s="649"/>
      <c r="D66" s="652"/>
      <c r="E66" s="533" t="s">
        <v>835</v>
      </c>
      <c r="F66" s="533" t="s">
        <v>836</v>
      </c>
      <c r="G66" s="533" t="s">
        <v>837</v>
      </c>
      <c r="H66" s="641"/>
      <c r="I66" s="535" t="s">
        <v>835</v>
      </c>
      <c r="J66" s="535" t="s">
        <v>836</v>
      </c>
      <c r="K66" s="535" t="s">
        <v>837</v>
      </c>
      <c r="L66" s="630"/>
      <c r="M66" s="630"/>
      <c r="N66" s="640"/>
      <c r="O66" s="640"/>
      <c r="P66" s="533" t="s">
        <v>835</v>
      </c>
      <c r="Q66" s="533" t="s">
        <v>836</v>
      </c>
      <c r="R66" s="533" t="s">
        <v>837</v>
      </c>
      <c r="S66" s="533" t="s">
        <v>440</v>
      </c>
      <c r="T66" s="641"/>
      <c r="U66" s="533" t="s">
        <v>835</v>
      </c>
      <c r="V66" s="533" t="s">
        <v>836</v>
      </c>
      <c r="W66" s="533" t="s">
        <v>837</v>
      </c>
      <c r="X66" s="533" t="s">
        <v>440</v>
      </c>
      <c r="Y66" s="641"/>
      <c r="Z66" s="533" t="s">
        <v>835</v>
      </c>
      <c r="AA66" s="533" t="s">
        <v>836</v>
      </c>
      <c r="AB66" s="533" t="s">
        <v>837</v>
      </c>
      <c r="AC66" s="533" t="s">
        <v>440</v>
      </c>
      <c r="AD66" s="641"/>
      <c r="AE66" s="533" t="s">
        <v>835</v>
      </c>
      <c r="AF66" s="533" t="s">
        <v>836</v>
      </c>
      <c r="AG66" s="533" t="s">
        <v>837</v>
      </c>
      <c r="AH66" s="533" t="s">
        <v>440</v>
      </c>
      <c r="AI66" s="641"/>
      <c r="AJ66" s="533" t="s">
        <v>835</v>
      </c>
      <c r="AK66" s="533" t="s">
        <v>836</v>
      </c>
      <c r="AL66" s="533" t="s">
        <v>837</v>
      </c>
      <c r="AM66" s="533" t="s">
        <v>440</v>
      </c>
      <c r="AN66" s="641"/>
      <c r="AO66" s="533" t="s">
        <v>835</v>
      </c>
      <c r="AP66" s="533" t="s">
        <v>836</v>
      </c>
      <c r="AQ66" s="533" t="s">
        <v>837</v>
      </c>
      <c r="AR66" s="533" t="s">
        <v>440</v>
      </c>
      <c r="AS66" s="641"/>
      <c r="AT66" s="533" t="s">
        <v>835</v>
      </c>
      <c r="AU66" s="533" t="s">
        <v>836</v>
      </c>
      <c r="AV66" s="533" t="s">
        <v>837</v>
      </c>
      <c r="AW66" s="533" t="s">
        <v>440</v>
      </c>
      <c r="AX66" s="641"/>
    </row>
    <row r="67" spans="2:53">
      <c r="B67" s="624" t="s">
        <v>780</v>
      </c>
      <c r="C67" s="529">
        <v>1</v>
      </c>
      <c r="D67" s="223" t="s">
        <v>842</v>
      </c>
      <c r="E67" s="538">
        <v>15</v>
      </c>
      <c r="F67" s="529">
        <v>2000</v>
      </c>
      <c r="G67" s="530">
        <v>100</v>
      </c>
      <c r="H67" s="610">
        <f>AVERAGE(G67:G81)</f>
        <v>100</v>
      </c>
      <c r="I67" s="531">
        <f t="shared" ref="I67:K81" si="37">IFERROR(AVERAGE(P67,U67,Z67,AE67,AJ67,AO67,AT67),"-")</f>
        <v>15</v>
      </c>
      <c r="J67" s="531">
        <f t="shared" si="37"/>
        <v>1949.8886827458259</v>
      </c>
      <c r="K67" s="363">
        <f t="shared" si="37"/>
        <v>129.99257884972172</v>
      </c>
      <c r="L67" s="631">
        <f>IFERROR(AVERAGE(K67:K81),"-")</f>
        <v>162.91260134823159</v>
      </c>
      <c r="M67" s="536">
        <f>RANK(K67, K$67:$K$81)</f>
        <v>2</v>
      </c>
      <c r="N67" s="640"/>
      <c r="O67" s="640"/>
      <c r="P67" s="529">
        <v>15</v>
      </c>
      <c r="Q67" s="538">
        <v>2070.666666666667</v>
      </c>
      <c r="R67" s="538">
        <v>138.04444444444445</v>
      </c>
      <c r="S67" s="529">
        <f t="shared" ref="S67:S81" si="38">RANK(R67, R$67:R$81)</f>
        <v>2</v>
      </c>
      <c r="T67" s="610">
        <f t="shared" ref="T67" si="39">AVERAGE(R67:R81)</f>
        <v>165.42222222222227</v>
      </c>
      <c r="U67" s="529">
        <v>15</v>
      </c>
      <c r="V67" s="538">
        <v>2080</v>
      </c>
      <c r="W67" s="538">
        <v>138.66666666666666</v>
      </c>
      <c r="X67" s="529">
        <f t="shared" ref="X67:X81" si="40">RANK(W67, W$67:W$81)</f>
        <v>2</v>
      </c>
      <c r="Y67" s="610">
        <f t="shared" ref="Y67" si="41">AVERAGE(W67:W81)</f>
        <v>168.47450980392148</v>
      </c>
      <c r="Z67" s="529">
        <v>15</v>
      </c>
      <c r="AA67" s="538">
        <v>1895.9999999999975</v>
      </c>
      <c r="AB67" s="538">
        <v>126.39999999999984</v>
      </c>
      <c r="AC67" s="529">
        <f t="shared" ref="AC67:AC81" si="42">RANK(AB67, AB$67:AB$81)</f>
        <v>2</v>
      </c>
      <c r="AD67" s="610">
        <f t="shared" ref="AD67" si="43">AVERAGE(AB67:AB81)</f>
        <v>160.23999999999984</v>
      </c>
      <c r="AE67" s="529">
        <v>15</v>
      </c>
      <c r="AF67" s="538">
        <v>1950.8571428571454</v>
      </c>
      <c r="AG67" s="538">
        <v>130.05714285714302</v>
      </c>
      <c r="AH67" s="529">
        <f t="shared" ref="AH67:AH81" si="44">RANK(AG67, AG$67:AG$81)</f>
        <v>2</v>
      </c>
      <c r="AI67" s="610">
        <f t="shared" ref="AI67" si="45">AVERAGE(AG67:AG81)</f>
        <v>165.88311688311703</v>
      </c>
      <c r="AJ67" s="529">
        <v>15</v>
      </c>
      <c r="AK67" s="538">
        <v>1842.0000000000016</v>
      </c>
      <c r="AL67" s="538">
        <v>122.80000000000011</v>
      </c>
      <c r="AM67" s="529">
        <f t="shared" ref="AM67:AM81" si="46">RANK(AL67, AL$67:AL$81)</f>
        <v>2</v>
      </c>
      <c r="AN67" s="610">
        <f t="shared" ref="AN67" si="47">AVERAGE(AL67:AL81)</f>
        <v>160.34000000000009</v>
      </c>
      <c r="AO67" s="529">
        <v>15</v>
      </c>
      <c r="AP67" s="538">
        <v>1849.3333333333335</v>
      </c>
      <c r="AQ67" s="538">
        <v>123.28888888888891</v>
      </c>
      <c r="AR67" s="529">
        <f t="shared" ref="AR67:AR81" si="48">RANK(AQ67, AQ$67:AQ$81)</f>
        <v>2</v>
      </c>
      <c r="AS67" s="610">
        <f t="shared" ref="AS67" si="49">AVERAGE(AQ67:AQ81)</f>
        <v>157.18290598290611</v>
      </c>
      <c r="AT67" s="529">
        <v>15</v>
      </c>
      <c r="AU67" s="538">
        <v>1960.3636363636351</v>
      </c>
      <c r="AV67" s="538">
        <v>130.690909090909</v>
      </c>
      <c r="AW67" s="529">
        <f t="shared" ref="AW67:AW81" si="50">RANK(AV67, AV$67:AV$81)</f>
        <v>2</v>
      </c>
      <c r="AX67" s="610">
        <f t="shared" ref="AX67" si="51">AVERAGE(AV67:AV81)</f>
        <v>162.8454545454544</v>
      </c>
      <c r="AZ67" s="377" t="e">
        <f t="shared" ref="AZ67:AZ81" si="52">RANK(AY67, AY$67:AY$81)</f>
        <v>#N/A</v>
      </c>
      <c r="BA67" s="653" t="e">
        <f t="shared" ref="BA67" si="53">AVERAGE(AY67:AY81)</f>
        <v>#DIV/0!</v>
      </c>
    </row>
    <row r="68" spans="2:53">
      <c r="B68" s="635"/>
      <c r="C68" s="529">
        <v>2</v>
      </c>
      <c r="D68" s="223" t="s">
        <v>843</v>
      </c>
      <c r="E68" s="538">
        <v>13</v>
      </c>
      <c r="F68" s="529">
        <v>2000</v>
      </c>
      <c r="G68" s="530">
        <v>100</v>
      </c>
      <c r="H68" s="611"/>
      <c r="I68" s="531">
        <f t="shared" si="37"/>
        <v>10</v>
      </c>
      <c r="J68" s="531">
        <f t="shared" si="37"/>
        <v>1958.3262384674149</v>
      </c>
      <c r="K68" s="363">
        <f t="shared" si="37"/>
        <v>195.83262384674148</v>
      </c>
      <c r="L68" s="632"/>
      <c r="M68" s="536" t="e">
        <f>RANK(K68, K$87:$K$101)</f>
        <v>#N/A</v>
      </c>
      <c r="N68" s="640"/>
      <c r="O68" s="640"/>
      <c r="P68" s="529">
        <v>10</v>
      </c>
      <c r="Q68" s="538">
        <v>1928.0000000000009</v>
      </c>
      <c r="R68" s="538">
        <v>192.8000000000001</v>
      </c>
      <c r="S68" s="529">
        <f t="shared" si="38"/>
        <v>1</v>
      </c>
      <c r="T68" s="611"/>
      <c r="U68" s="529">
        <v>10</v>
      </c>
      <c r="V68" s="538">
        <v>1982.8235294117626</v>
      </c>
      <c r="W68" s="538">
        <v>198.28235294117627</v>
      </c>
      <c r="X68" s="529">
        <f t="shared" si="40"/>
        <v>1</v>
      </c>
      <c r="Y68" s="611"/>
      <c r="Z68" s="529">
        <v>10</v>
      </c>
      <c r="AA68" s="538">
        <v>1940.7999999999986</v>
      </c>
      <c r="AB68" s="538">
        <v>194.07999999999987</v>
      </c>
      <c r="AC68" s="529">
        <f t="shared" si="42"/>
        <v>1</v>
      </c>
      <c r="AD68" s="611"/>
      <c r="AE68" s="529">
        <v>10</v>
      </c>
      <c r="AF68" s="538">
        <v>2017.0909090909104</v>
      </c>
      <c r="AG68" s="538">
        <v>201.70909090909103</v>
      </c>
      <c r="AH68" s="529">
        <f t="shared" si="44"/>
        <v>1</v>
      </c>
      <c r="AI68" s="611"/>
      <c r="AJ68" s="529">
        <v>10</v>
      </c>
      <c r="AK68" s="538">
        <v>1978.8000000000006</v>
      </c>
      <c r="AL68" s="538">
        <v>197.88000000000005</v>
      </c>
      <c r="AM68" s="529">
        <f t="shared" si="46"/>
        <v>1</v>
      </c>
      <c r="AN68" s="611"/>
      <c r="AO68" s="529">
        <v>10</v>
      </c>
      <c r="AP68" s="538">
        <v>1910.769230769233</v>
      </c>
      <c r="AQ68" s="538">
        <v>191.07692307692329</v>
      </c>
      <c r="AR68" s="529">
        <f t="shared" si="48"/>
        <v>1</v>
      </c>
      <c r="AS68" s="611"/>
      <c r="AT68" s="529">
        <v>10</v>
      </c>
      <c r="AU68" s="538">
        <v>1949.999999999998</v>
      </c>
      <c r="AV68" s="538">
        <v>194.9999999999998</v>
      </c>
      <c r="AW68" s="529">
        <f t="shared" si="50"/>
        <v>1</v>
      </c>
      <c r="AX68" s="611"/>
      <c r="AZ68" s="377" t="e">
        <f t="shared" si="52"/>
        <v>#N/A</v>
      </c>
      <c r="BA68" s="653"/>
    </row>
    <row r="69" spans="2:53">
      <c r="B69" s="635"/>
      <c r="C69" s="529">
        <v>3</v>
      </c>
      <c r="D69" s="223"/>
      <c r="E69" s="538"/>
      <c r="F69" s="529"/>
      <c r="G69" s="530"/>
      <c r="H69" s="611"/>
      <c r="I69" s="531" t="str">
        <f t="shared" si="37"/>
        <v>-</v>
      </c>
      <c r="J69" s="531" t="str">
        <f t="shared" si="37"/>
        <v>-</v>
      </c>
      <c r="K69" s="363" t="str">
        <f t="shared" si="37"/>
        <v>-</v>
      </c>
      <c r="L69" s="632"/>
      <c r="M69" s="536" t="e">
        <f>RANK(K69, K$87:$K$101)</f>
        <v>#VALUE!</v>
      </c>
      <c r="N69" s="640"/>
      <c r="O69" s="640"/>
      <c r="P69" s="529" t="s">
        <v>427</v>
      </c>
      <c r="Q69" s="538" t="s">
        <v>427</v>
      </c>
      <c r="R69" s="538" t="s">
        <v>427</v>
      </c>
      <c r="S69" s="529" t="e">
        <f t="shared" si="38"/>
        <v>#VALUE!</v>
      </c>
      <c r="T69" s="611"/>
      <c r="U69" s="529" t="s">
        <v>427</v>
      </c>
      <c r="V69" s="538" t="s">
        <v>427</v>
      </c>
      <c r="W69" s="538" t="s">
        <v>427</v>
      </c>
      <c r="X69" s="529" t="e">
        <f t="shared" si="40"/>
        <v>#VALUE!</v>
      </c>
      <c r="Y69" s="611"/>
      <c r="Z69" s="529" t="s">
        <v>427</v>
      </c>
      <c r="AA69" s="538" t="s">
        <v>427</v>
      </c>
      <c r="AB69" s="538" t="s">
        <v>427</v>
      </c>
      <c r="AC69" s="529" t="e">
        <f t="shared" si="42"/>
        <v>#VALUE!</v>
      </c>
      <c r="AD69" s="611"/>
      <c r="AE69" s="529" t="s">
        <v>427</v>
      </c>
      <c r="AF69" s="538" t="s">
        <v>427</v>
      </c>
      <c r="AG69" s="538" t="s">
        <v>427</v>
      </c>
      <c r="AH69" s="529" t="e">
        <f t="shared" si="44"/>
        <v>#VALUE!</v>
      </c>
      <c r="AI69" s="611"/>
      <c r="AJ69" s="529" t="s">
        <v>427</v>
      </c>
      <c r="AK69" s="538" t="s">
        <v>427</v>
      </c>
      <c r="AL69" s="538" t="s">
        <v>427</v>
      </c>
      <c r="AM69" s="529" t="e">
        <f t="shared" si="46"/>
        <v>#VALUE!</v>
      </c>
      <c r="AN69" s="611"/>
      <c r="AO69" s="529" t="s">
        <v>427</v>
      </c>
      <c r="AP69" s="538" t="s">
        <v>427</v>
      </c>
      <c r="AQ69" s="538" t="s">
        <v>427</v>
      </c>
      <c r="AR69" s="529" t="e">
        <f t="shared" si="48"/>
        <v>#VALUE!</v>
      </c>
      <c r="AS69" s="611"/>
      <c r="AT69" s="529" t="s">
        <v>427</v>
      </c>
      <c r="AU69" s="538" t="s">
        <v>427</v>
      </c>
      <c r="AV69" s="538" t="s">
        <v>427</v>
      </c>
      <c r="AW69" s="529" t="e">
        <f t="shared" si="50"/>
        <v>#VALUE!</v>
      </c>
      <c r="AX69" s="611"/>
      <c r="AZ69" s="377" t="e">
        <f t="shared" si="52"/>
        <v>#N/A</v>
      </c>
      <c r="BA69" s="653"/>
    </row>
    <row r="70" spans="2:53">
      <c r="B70" s="635"/>
      <c r="C70" s="529">
        <v>4</v>
      </c>
      <c r="D70" s="223"/>
      <c r="E70" s="538"/>
      <c r="F70" s="529"/>
      <c r="G70" s="530"/>
      <c r="H70" s="611"/>
      <c r="I70" s="531" t="str">
        <f t="shared" si="37"/>
        <v>-</v>
      </c>
      <c r="J70" s="531" t="str">
        <f t="shared" si="37"/>
        <v>-</v>
      </c>
      <c r="K70" s="363" t="str">
        <f t="shared" si="37"/>
        <v>-</v>
      </c>
      <c r="L70" s="632"/>
      <c r="M70" s="536" t="e">
        <f>RANK(K70, K$87:$K$101)</f>
        <v>#VALUE!</v>
      </c>
      <c r="N70" s="640"/>
      <c r="O70" s="640"/>
      <c r="P70" s="529" t="s">
        <v>427</v>
      </c>
      <c r="Q70" s="538" t="s">
        <v>427</v>
      </c>
      <c r="R70" s="538" t="s">
        <v>427</v>
      </c>
      <c r="S70" s="529" t="e">
        <f t="shared" si="38"/>
        <v>#VALUE!</v>
      </c>
      <c r="T70" s="611"/>
      <c r="U70" s="529" t="s">
        <v>427</v>
      </c>
      <c r="V70" s="538" t="s">
        <v>427</v>
      </c>
      <c r="W70" s="538" t="s">
        <v>427</v>
      </c>
      <c r="X70" s="529" t="e">
        <f t="shared" si="40"/>
        <v>#VALUE!</v>
      </c>
      <c r="Y70" s="611"/>
      <c r="Z70" s="529" t="s">
        <v>427</v>
      </c>
      <c r="AA70" s="538" t="s">
        <v>427</v>
      </c>
      <c r="AB70" s="538" t="s">
        <v>427</v>
      </c>
      <c r="AC70" s="529" t="e">
        <f t="shared" si="42"/>
        <v>#VALUE!</v>
      </c>
      <c r="AD70" s="611"/>
      <c r="AE70" s="529" t="s">
        <v>427</v>
      </c>
      <c r="AF70" s="538" t="s">
        <v>427</v>
      </c>
      <c r="AG70" s="538" t="s">
        <v>427</v>
      </c>
      <c r="AH70" s="529" t="e">
        <f t="shared" si="44"/>
        <v>#VALUE!</v>
      </c>
      <c r="AI70" s="611"/>
      <c r="AJ70" s="529" t="s">
        <v>427</v>
      </c>
      <c r="AK70" s="538" t="s">
        <v>427</v>
      </c>
      <c r="AL70" s="538" t="s">
        <v>427</v>
      </c>
      <c r="AM70" s="529" t="e">
        <f t="shared" si="46"/>
        <v>#VALUE!</v>
      </c>
      <c r="AN70" s="611"/>
      <c r="AO70" s="529" t="s">
        <v>427</v>
      </c>
      <c r="AP70" s="538" t="s">
        <v>427</v>
      </c>
      <c r="AQ70" s="538" t="s">
        <v>427</v>
      </c>
      <c r="AR70" s="529" t="e">
        <f t="shared" si="48"/>
        <v>#VALUE!</v>
      </c>
      <c r="AS70" s="611"/>
      <c r="AT70" s="529" t="s">
        <v>427</v>
      </c>
      <c r="AU70" s="538" t="s">
        <v>427</v>
      </c>
      <c r="AV70" s="538" t="s">
        <v>427</v>
      </c>
      <c r="AW70" s="529" t="e">
        <f t="shared" si="50"/>
        <v>#VALUE!</v>
      </c>
      <c r="AX70" s="611"/>
      <c r="AZ70" s="377" t="e">
        <f t="shared" si="52"/>
        <v>#N/A</v>
      </c>
      <c r="BA70" s="653"/>
    </row>
    <row r="71" spans="2:53">
      <c r="B71" s="635"/>
      <c r="C71" s="529">
        <v>5</v>
      </c>
      <c r="D71" s="223"/>
      <c r="E71" s="538"/>
      <c r="F71" s="529"/>
      <c r="G71" s="530"/>
      <c r="H71" s="611"/>
      <c r="I71" s="531" t="str">
        <f t="shared" si="37"/>
        <v>-</v>
      </c>
      <c r="J71" s="531" t="str">
        <f t="shared" si="37"/>
        <v>-</v>
      </c>
      <c r="K71" s="363" t="str">
        <f t="shared" si="37"/>
        <v>-</v>
      </c>
      <c r="L71" s="632"/>
      <c r="M71" s="536" t="e">
        <f>RANK(K71, K$87:$K$101)</f>
        <v>#VALUE!</v>
      </c>
      <c r="N71" s="640"/>
      <c r="O71" s="640"/>
      <c r="P71" s="529" t="s">
        <v>427</v>
      </c>
      <c r="Q71" s="538" t="s">
        <v>427</v>
      </c>
      <c r="R71" s="538" t="s">
        <v>427</v>
      </c>
      <c r="S71" s="529" t="e">
        <f t="shared" si="38"/>
        <v>#VALUE!</v>
      </c>
      <c r="T71" s="611"/>
      <c r="U71" s="529" t="s">
        <v>427</v>
      </c>
      <c r="V71" s="538" t="s">
        <v>427</v>
      </c>
      <c r="W71" s="538" t="s">
        <v>427</v>
      </c>
      <c r="X71" s="529" t="e">
        <f t="shared" si="40"/>
        <v>#VALUE!</v>
      </c>
      <c r="Y71" s="611"/>
      <c r="Z71" s="529" t="s">
        <v>427</v>
      </c>
      <c r="AA71" s="538" t="s">
        <v>427</v>
      </c>
      <c r="AB71" s="538" t="s">
        <v>427</v>
      </c>
      <c r="AC71" s="529" t="e">
        <f t="shared" si="42"/>
        <v>#VALUE!</v>
      </c>
      <c r="AD71" s="611"/>
      <c r="AE71" s="529" t="s">
        <v>427</v>
      </c>
      <c r="AF71" s="538" t="s">
        <v>427</v>
      </c>
      <c r="AG71" s="538" t="s">
        <v>427</v>
      </c>
      <c r="AH71" s="529" t="e">
        <f t="shared" si="44"/>
        <v>#VALUE!</v>
      </c>
      <c r="AI71" s="611"/>
      <c r="AJ71" s="529" t="s">
        <v>427</v>
      </c>
      <c r="AK71" s="538" t="s">
        <v>427</v>
      </c>
      <c r="AL71" s="538" t="s">
        <v>427</v>
      </c>
      <c r="AM71" s="529" t="e">
        <f t="shared" si="46"/>
        <v>#VALUE!</v>
      </c>
      <c r="AN71" s="611"/>
      <c r="AO71" s="529" t="s">
        <v>427</v>
      </c>
      <c r="AP71" s="538" t="s">
        <v>427</v>
      </c>
      <c r="AQ71" s="538" t="s">
        <v>427</v>
      </c>
      <c r="AR71" s="529" t="e">
        <f t="shared" si="48"/>
        <v>#VALUE!</v>
      </c>
      <c r="AS71" s="611"/>
      <c r="AT71" s="529" t="s">
        <v>427</v>
      </c>
      <c r="AU71" s="538" t="s">
        <v>427</v>
      </c>
      <c r="AV71" s="538" t="s">
        <v>427</v>
      </c>
      <c r="AW71" s="529" t="e">
        <f t="shared" si="50"/>
        <v>#VALUE!</v>
      </c>
      <c r="AX71" s="611"/>
      <c r="AZ71" s="377" t="e">
        <f t="shared" si="52"/>
        <v>#N/A</v>
      </c>
      <c r="BA71" s="653"/>
    </row>
    <row r="72" spans="2:53">
      <c r="B72" s="635"/>
      <c r="C72" s="529">
        <v>6</v>
      </c>
      <c r="D72" s="223"/>
      <c r="E72" s="538"/>
      <c r="F72" s="529"/>
      <c r="G72" s="530"/>
      <c r="H72" s="611"/>
      <c r="I72" s="531" t="str">
        <f t="shared" si="37"/>
        <v>-</v>
      </c>
      <c r="J72" s="531" t="str">
        <f t="shared" si="37"/>
        <v>-</v>
      </c>
      <c r="K72" s="363" t="str">
        <f t="shared" si="37"/>
        <v>-</v>
      </c>
      <c r="L72" s="632"/>
      <c r="M72" s="536" t="e">
        <f>RANK(K72, K$87:$K$101)</f>
        <v>#VALUE!</v>
      </c>
      <c r="N72" s="640"/>
      <c r="O72" s="640"/>
      <c r="P72" s="529" t="s">
        <v>427</v>
      </c>
      <c r="Q72" s="538" t="s">
        <v>427</v>
      </c>
      <c r="R72" s="538" t="s">
        <v>427</v>
      </c>
      <c r="S72" s="529" t="e">
        <f t="shared" si="38"/>
        <v>#VALUE!</v>
      </c>
      <c r="T72" s="611"/>
      <c r="U72" s="529" t="s">
        <v>427</v>
      </c>
      <c r="V72" s="538" t="s">
        <v>427</v>
      </c>
      <c r="W72" s="538" t="s">
        <v>427</v>
      </c>
      <c r="X72" s="529" t="e">
        <f t="shared" si="40"/>
        <v>#VALUE!</v>
      </c>
      <c r="Y72" s="611"/>
      <c r="Z72" s="529" t="s">
        <v>427</v>
      </c>
      <c r="AA72" s="538" t="s">
        <v>427</v>
      </c>
      <c r="AB72" s="538" t="s">
        <v>427</v>
      </c>
      <c r="AC72" s="529" t="e">
        <f t="shared" si="42"/>
        <v>#VALUE!</v>
      </c>
      <c r="AD72" s="611"/>
      <c r="AE72" s="529" t="s">
        <v>427</v>
      </c>
      <c r="AF72" s="538" t="s">
        <v>427</v>
      </c>
      <c r="AG72" s="538" t="s">
        <v>427</v>
      </c>
      <c r="AH72" s="529" t="e">
        <f t="shared" si="44"/>
        <v>#VALUE!</v>
      </c>
      <c r="AI72" s="611"/>
      <c r="AJ72" s="529" t="s">
        <v>427</v>
      </c>
      <c r="AK72" s="538" t="s">
        <v>427</v>
      </c>
      <c r="AL72" s="538" t="s">
        <v>427</v>
      </c>
      <c r="AM72" s="529" t="e">
        <f t="shared" si="46"/>
        <v>#VALUE!</v>
      </c>
      <c r="AN72" s="611"/>
      <c r="AO72" s="529" t="s">
        <v>427</v>
      </c>
      <c r="AP72" s="538" t="s">
        <v>427</v>
      </c>
      <c r="AQ72" s="538" t="s">
        <v>427</v>
      </c>
      <c r="AR72" s="529" t="e">
        <f t="shared" si="48"/>
        <v>#VALUE!</v>
      </c>
      <c r="AS72" s="611"/>
      <c r="AT72" s="529" t="s">
        <v>427</v>
      </c>
      <c r="AU72" s="538" t="s">
        <v>427</v>
      </c>
      <c r="AV72" s="538" t="s">
        <v>427</v>
      </c>
      <c r="AW72" s="529" t="e">
        <f t="shared" si="50"/>
        <v>#VALUE!</v>
      </c>
      <c r="AX72" s="611"/>
      <c r="AZ72" s="377" t="e">
        <f t="shared" si="52"/>
        <v>#N/A</v>
      </c>
      <c r="BA72" s="653"/>
    </row>
    <row r="73" spans="2:53">
      <c r="B73" s="635"/>
      <c r="C73" s="529">
        <v>7</v>
      </c>
      <c r="D73" s="223"/>
      <c r="E73" s="538"/>
      <c r="F73" s="529"/>
      <c r="G73" s="530"/>
      <c r="H73" s="611"/>
      <c r="I73" s="531" t="str">
        <f t="shared" si="37"/>
        <v>-</v>
      </c>
      <c r="J73" s="531" t="str">
        <f t="shared" si="37"/>
        <v>-</v>
      </c>
      <c r="K73" s="363" t="str">
        <f t="shared" si="37"/>
        <v>-</v>
      </c>
      <c r="L73" s="632"/>
      <c r="M73" s="536" t="e">
        <f>RANK(K73, K$87:$K$101)</f>
        <v>#VALUE!</v>
      </c>
      <c r="N73" s="640"/>
      <c r="O73" s="640"/>
      <c r="P73" s="529" t="s">
        <v>427</v>
      </c>
      <c r="Q73" s="538" t="s">
        <v>427</v>
      </c>
      <c r="R73" s="538" t="s">
        <v>427</v>
      </c>
      <c r="S73" s="529" t="e">
        <f t="shared" si="38"/>
        <v>#VALUE!</v>
      </c>
      <c r="T73" s="611"/>
      <c r="U73" s="529" t="s">
        <v>427</v>
      </c>
      <c r="V73" s="538" t="s">
        <v>427</v>
      </c>
      <c r="W73" s="538" t="s">
        <v>427</v>
      </c>
      <c r="X73" s="529" t="e">
        <f t="shared" si="40"/>
        <v>#VALUE!</v>
      </c>
      <c r="Y73" s="611"/>
      <c r="Z73" s="529" t="s">
        <v>427</v>
      </c>
      <c r="AA73" s="538" t="s">
        <v>427</v>
      </c>
      <c r="AB73" s="538" t="s">
        <v>427</v>
      </c>
      <c r="AC73" s="529" t="e">
        <f t="shared" si="42"/>
        <v>#VALUE!</v>
      </c>
      <c r="AD73" s="611"/>
      <c r="AE73" s="529" t="s">
        <v>427</v>
      </c>
      <c r="AF73" s="538" t="s">
        <v>427</v>
      </c>
      <c r="AG73" s="538" t="s">
        <v>427</v>
      </c>
      <c r="AH73" s="529" t="e">
        <f t="shared" si="44"/>
        <v>#VALUE!</v>
      </c>
      <c r="AI73" s="611"/>
      <c r="AJ73" s="529" t="s">
        <v>427</v>
      </c>
      <c r="AK73" s="538" t="s">
        <v>427</v>
      </c>
      <c r="AL73" s="538" t="s">
        <v>427</v>
      </c>
      <c r="AM73" s="529" t="e">
        <f t="shared" si="46"/>
        <v>#VALUE!</v>
      </c>
      <c r="AN73" s="611"/>
      <c r="AO73" s="529" t="s">
        <v>427</v>
      </c>
      <c r="AP73" s="538" t="s">
        <v>427</v>
      </c>
      <c r="AQ73" s="538" t="s">
        <v>427</v>
      </c>
      <c r="AR73" s="529" t="e">
        <f t="shared" si="48"/>
        <v>#VALUE!</v>
      </c>
      <c r="AS73" s="611"/>
      <c r="AT73" s="529" t="s">
        <v>427</v>
      </c>
      <c r="AU73" s="538" t="s">
        <v>427</v>
      </c>
      <c r="AV73" s="538" t="s">
        <v>427</v>
      </c>
      <c r="AW73" s="529" t="e">
        <f t="shared" si="50"/>
        <v>#VALUE!</v>
      </c>
      <c r="AX73" s="611"/>
      <c r="AZ73" s="377" t="e">
        <f t="shared" si="52"/>
        <v>#N/A</v>
      </c>
      <c r="BA73" s="653"/>
    </row>
    <row r="74" spans="2:53">
      <c r="B74" s="635"/>
      <c r="C74" s="529">
        <v>8</v>
      </c>
      <c r="D74" s="223"/>
      <c r="E74" s="538"/>
      <c r="F74" s="529"/>
      <c r="G74" s="530"/>
      <c r="H74" s="611"/>
      <c r="I74" s="531" t="str">
        <f t="shared" si="37"/>
        <v>-</v>
      </c>
      <c r="J74" s="531" t="str">
        <f t="shared" si="37"/>
        <v>-</v>
      </c>
      <c r="K74" s="363" t="str">
        <f t="shared" si="37"/>
        <v>-</v>
      </c>
      <c r="L74" s="632"/>
      <c r="M74" s="536" t="e">
        <f>RANK(K74, K$87:$K$101)</f>
        <v>#VALUE!</v>
      </c>
      <c r="N74" s="640"/>
      <c r="O74" s="640"/>
      <c r="P74" s="529" t="s">
        <v>427</v>
      </c>
      <c r="Q74" s="538" t="s">
        <v>427</v>
      </c>
      <c r="R74" s="538" t="s">
        <v>427</v>
      </c>
      <c r="S74" s="529" t="e">
        <f t="shared" si="38"/>
        <v>#VALUE!</v>
      </c>
      <c r="T74" s="611"/>
      <c r="U74" s="529" t="s">
        <v>427</v>
      </c>
      <c r="V74" s="538" t="s">
        <v>427</v>
      </c>
      <c r="W74" s="538" t="s">
        <v>427</v>
      </c>
      <c r="X74" s="529" t="e">
        <f t="shared" si="40"/>
        <v>#VALUE!</v>
      </c>
      <c r="Y74" s="611"/>
      <c r="Z74" s="529" t="s">
        <v>427</v>
      </c>
      <c r="AA74" s="538" t="s">
        <v>427</v>
      </c>
      <c r="AB74" s="538" t="s">
        <v>427</v>
      </c>
      <c r="AC74" s="529" t="e">
        <f t="shared" si="42"/>
        <v>#VALUE!</v>
      </c>
      <c r="AD74" s="611"/>
      <c r="AE74" s="529" t="s">
        <v>427</v>
      </c>
      <c r="AF74" s="538" t="s">
        <v>427</v>
      </c>
      <c r="AG74" s="538" t="s">
        <v>427</v>
      </c>
      <c r="AH74" s="529" t="e">
        <f t="shared" si="44"/>
        <v>#VALUE!</v>
      </c>
      <c r="AI74" s="611"/>
      <c r="AJ74" s="529" t="s">
        <v>427</v>
      </c>
      <c r="AK74" s="538" t="s">
        <v>427</v>
      </c>
      <c r="AL74" s="538" t="s">
        <v>427</v>
      </c>
      <c r="AM74" s="529" t="e">
        <f t="shared" si="46"/>
        <v>#VALUE!</v>
      </c>
      <c r="AN74" s="611"/>
      <c r="AO74" s="529" t="s">
        <v>427</v>
      </c>
      <c r="AP74" s="538" t="s">
        <v>427</v>
      </c>
      <c r="AQ74" s="538" t="s">
        <v>427</v>
      </c>
      <c r="AR74" s="529" t="e">
        <f t="shared" si="48"/>
        <v>#VALUE!</v>
      </c>
      <c r="AS74" s="611"/>
      <c r="AT74" s="529" t="s">
        <v>427</v>
      </c>
      <c r="AU74" s="538" t="s">
        <v>427</v>
      </c>
      <c r="AV74" s="538" t="s">
        <v>427</v>
      </c>
      <c r="AW74" s="529" t="e">
        <f t="shared" si="50"/>
        <v>#VALUE!</v>
      </c>
      <c r="AX74" s="611"/>
      <c r="AZ74" s="377" t="e">
        <f t="shared" si="52"/>
        <v>#N/A</v>
      </c>
      <c r="BA74" s="653"/>
    </row>
    <row r="75" spans="2:53">
      <c r="B75" s="635"/>
      <c r="C75" s="529">
        <v>9</v>
      </c>
      <c r="D75" s="223"/>
      <c r="E75" s="538"/>
      <c r="F75" s="529"/>
      <c r="G75" s="530"/>
      <c r="H75" s="611"/>
      <c r="I75" s="531" t="str">
        <f t="shared" si="37"/>
        <v>-</v>
      </c>
      <c r="J75" s="531" t="str">
        <f t="shared" si="37"/>
        <v>-</v>
      </c>
      <c r="K75" s="363" t="str">
        <f t="shared" si="37"/>
        <v>-</v>
      </c>
      <c r="L75" s="632"/>
      <c r="M75" s="536" t="e">
        <f>RANK(K75, K$87:$K$101)</f>
        <v>#VALUE!</v>
      </c>
      <c r="N75" s="640"/>
      <c r="O75" s="640"/>
      <c r="P75" s="529" t="s">
        <v>427</v>
      </c>
      <c r="Q75" s="538" t="s">
        <v>427</v>
      </c>
      <c r="R75" s="538" t="s">
        <v>427</v>
      </c>
      <c r="S75" s="529" t="e">
        <f t="shared" si="38"/>
        <v>#VALUE!</v>
      </c>
      <c r="T75" s="611"/>
      <c r="U75" s="529" t="s">
        <v>427</v>
      </c>
      <c r="V75" s="538" t="s">
        <v>427</v>
      </c>
      <c r="W75" s="538" t="s">
        <v>427</v>
      </c>
      <c r="X75" s="529" t="e">
        <f t="shared" si="40"/>
        <v>#VALUE!</v>
      </c>
      <c r="Y75" s="611"/>
      <c r="Z75" s="529" t="s">
        <v>427</v>
      </c>
      <c r="AA75" s="538" t="s">
        <v>427</v>
      </c>
      <c r="AB75" s="538" t="s">
        <v>427</v>
      </c>
      <c r="AC75" s="529" t="e">
        <f t="shared" si="42"/>
        <v>#VALUE!</v>
      </c>
      <c r="AD75" s="611"/>
      <c r="AE75" s="529" t="s">
        <v>427</v>
      </c>
      <c r="AF75" s="538" t="s">
        <v>427</v>
      </c>
      <c r="AG75" s="538" t="s">
        <v>427</v>
      </c>
      <c r="AH75" s="529" t="e">
        <f t="shared" si="44"/>
        <v>#VALUE!</v>
      </c>
      <c r="AI75" s="611"/>
      <c r="AJ75" s="529" t="s">
        <v>427</v>
      </c>
      <c r="AK75" s="538" t="s">
        <v>427</v>
      </c>
      <c r="AL75" s="538" t="s">
        <v>427</v>
      </c>
      <c r="AM75" s="529" t="e">
        <f t="shared" si="46"/>
        <v>#VALUE!</v>
      </c>
      <c r="AN75" s="611"/>
      <c r="AO75" s="529" t="s">
        <v>427</v>
      </c>
      <c r="AP75" s="538" t="s">
        <v>427</v>
      </c>
      <c r="AQ75" s="538" t="s">
        <v>427</v>
      </c>
      <c r="AR75" s="529" t="e">
        <f t="shared" si="48"/>
        <v>#VALUE!</v>
      </c>
      <c r="AS75" s="611"/>
      <c r="AT75" s="529" t="s">
        <v>427</v>
      </c>
      <c r="AU75" s="538" t="s">
        <v>427</v>
      </c>
      <c r="AV75" s="538" t="s">
        <v>427</v>
      </c>
      <c r="AW75" s="529" t="e">
        <f t="shared" si="50"/>
        <v>#VALUE!</v>
      </c>
      <c r="AX75" s="611"/>
      <c r="AZ75" s="377" t="e">
        <f t="shared" si="52"/>
        <v>#N/A</v>
      </c>
      <c r="BA75" s="653"/>
    </row>
    <row r="76" spans="2:53">
      <c r="B76" s="635"/>
      <c r="C76" s="529">
        <v>10</v>
      </c>
      <c r="D76" s="223"/>
      <c r="E76" s="538"/>
      <c r="F76" s="529"/>
      <c r="G76" s="530"/>
      <c r="H76" s="611"/>
      <c r="I76" s="531" t="str">
        <f t="shared" si="37"/>
        <v>-</v>
      </c>
      <c r="J76" s="531" t="str">
        <f t="shared" si="37"/>
        <v>-</v>
      </c>
      <c r="K76" s="363" t="str">
        <f t="shared" si="37"/>
        <v>-</v>
      </c>
      <c r="L76" s="632"/>
      <c r="M76" s="536" t="e">
        <f>RANK(K76, K$87:$K$101)</f>
        <v>#VALUE!</v>
      </c>
      <c r="N76" s="640"/>
      <c r="O76" s="640"/>
      <c r="P76" s="529" t="s">
        <v>427</v>
      </c>
      <c r="Q76" s="538" t="s">
        <v>427</v>
      </c>
      <c r="R76" s="538" t="s">
        <v>427</v>
      </c>
      <c r="S76" s="529" t="e">
        <f t="shared" si="38"/>
        <v>#VALUE!</v>
      </c>
      <c r="T76" s="611"/>
      <c r="U76" s="529" t="s">
        <v>427</v>
      </c>
      <c r="V76" s="538" t="s">
        <v>427</v>
      </c>
      <c r="W76" s="538" t="s">
        <v>427</v>
      </c>
      <c r="X76" s="529" t="e">
        <f t="shared" si="40"/>
        <v>#VALUE!</v>
      </c>
      <c r="Y76" s="611"/>
      <c r="Z76" s="529" t="s">
        <v>427</v>
      </c>
      <c r="AA76" s="538" t="s">
        <v>427</v>
      </c>
      <c r="AB76" s="538" t="s">
        <v>427</v>
      </c>
      <c r="AC76" s="529" t="e">
        <f t="shared" si="42"/>
        <v>#VALUE!</v>
      </c>
      <c r="AD76" s="611"/>
      <c r="AE76" s="529" t="s">
        <v>427</v>
      </c>
      <c r="AF76" s="538" t="s">
        <v>427</v>
      </c>
      <c r="AG76" s="538" t="s">
        <v>427</v>
      </c>
      <c r="AH76" s="529" t="e">
        <f t="shared" si="44"/>
        <v>#VALUE!</v>
      </c>
      <c r="AI76" s="611"/>
      <c r="AJ76" s="529" t="s">
        <v>427</v>
      </c>
      <c r="AK76" s="538" t="s">
        <v>427</v>
      </c>
      <c r="AL76" s="538" t="s">
        <v>427</v>
      </c>
      <c r="AM76" s="529" t="e">
        <f t="shared" si="46"/>
        <v>#VALUE!</v>
      </c>
      <c r="AN76" s="611"/>
      <c r="AO76" s="529" t="s">
        <v>427</v>
      </c>
      <c r="AP76" s="538" t="s">
        <v>427</v>
      </c>
      <c r="AQ76" s="538" t="s">
        <v>427</v>
      </c>
      <c r="AR76" s="529" t="e">
        <f t="shared" si="48"/>
        <v>#VALUE!</v>
      </c>
      <c r="AS76" s="611"/>
      <c r="AT76" s="529" t="s">
        <v>427</v>
      </c>
      <c r="AU76" s="538" t="s">
        <v>427</v>
      </c>
      <c r="AV76" s="538" t="s">
        <v>427</v>
      </c>
      <c r="AW76" s="529" t="e">
        <f t="shared" si="50"/>
        <v>#VALUE!</v>
      </c>
      <c r="AX76" s="611"/>
      <c r="AZ76" s="377" t="e">
        <f t="shared" si="52"/>
        <v>#N/A</v>
      </c>
      <c r="BA76" s="653"/>
    </row>
    <row r="77" spans="2:53">
      <c r="B77" s="635"/>
      <c r="C77" s="529">
        <v>11</v>
      </c>
      <c r="D77" s="223"/>
      <c r="E77" s="538"/>
      <c r="F77" s="529"/>
      <c r="G77" s="530"/>
      <c r="H77" s="611"/>
      <c r="I77" s="531" t="str">
        <f t="shared" si="37"/>
        <v>-</v>
      </c>
      <c r="J77" s="531" t="str">
        <f t="shared" si="37"/>
        <v>-</v>
      </c>
      <c r="K77" s="363" t="str">
        <f t="shared" si="37"/>
        <v>-</v>
      </c>
      <c r="L77" s="632"/>
      <c r="M77" s="536" t="e">
        <f>RANK(K77, K$87:$K$101)</f>
        <v>#VALUE!</v>
      </c>
      <c r="N77" s="640"/>
      <c r="O77" s="640"/>
      <c r="P77" s="529" t="s">
        <v>427</v>
      </c>
      <c r="Q77" s="538" t="s">
        <v>427</v>
      </c>
      <c r="R77" s="538" t="s">
        <v>427</v>
      </c>
      <c r="S77" s="529" t="e">
        <f t="shared" si="38"/>
        <v>#VALUE!</v>
      </c>
      <c r="T77" s="611"/>
      <c r="U77" s="529" t="s">
        <v>427</v>
      </c>
      <c r="V77" s="538" t="s">
        <v>427</v>
      </c>
      <c r="W77" s="538" t="s">
        <v>427</v>
      </c>
      <c r="X77" s="529" t="e">
        <f t="shared" si="40"/>
        <v>#VALUE!</v>
      </c>
      <c r="Y77" s="611"/>
      <c r="Z77" s="529" t="s">
        <v>427</v>
      </c>
      <c r="AA77" s="538" t="s">
        <v>427</v>
      </c>
      <c r="AB77" s="538" t="s">
        <v>427</v>
      </c>
      <c r="AC77" s="529" t="e">
        <f t="shared" si="42"/>
        <v>#VALUE!</v>
      </c>
      <c r="AD77" s="611"/>
      <c r="AE77" s="529" t="s">
        <v>427</v>
      </c>
      <c r="AF77" s="538" t="s">
        <v>427</v>
      </c>
      <c r="AG77" s="538" t="s">
        <v>427</v>
      </c>
      <c r="AH77" s="529" t="e">
        <f t="shared" si="44"/>
        <v>#VALUE!</v>
      </c>
      <c r="AI77" s="611"/>
      <c r="AJ77" s="529" t="s">
        <v>427</v>
      </c>
      <c r="AK77" s="538" t="s">
        <v>427</v>
      </c>
      <c r="AL77" s="538" t="s">
        <v>427</v>
      </c>
      <c r="AM77" s="529" t="e">
        <f t="shared" si="46"/>
        <v>#VALUE!</v>
      </c>
      <c r="AN77" s="611"/>
      <c r="AO77" s="529" t="s">
        <v>427</v>
      </c>
      <c r="AP77" s="538" t="s">
        <v>427</v>
      </c>
      <c r="AQ77" s="538" t="s">
        <v>427</v>
      </c>
      <c r="AR77" s="529" t="e">
        <f t="shared" si="48"/>
        <v>#VALUE!</v>
      </c>
      <c r="AS77" s="611"/>
      <c r="AT77" s="529" t="s">
        <v>427</v>
      </c>
      <c r="AU77" s="538" t="s">
        <v>427</v>
      </c>
      <c r="AV77" s="538" t="s">
        <v>427</v>
      </c>
      <c r="AW77" s="529" t="e">
        <f t="shared" si="50"/>
        <v>#VALUE!</v>
      </c>
      <c r="AX77" s="611"/>
      <c r="AZ77" s="377" t="e">
        <f t="shared" si="52"/>
        <v>#N/A</v>
      </c>
      <c r="BA77" s="653"/>
    </row>
    <row r="78" spans="2:53">
      <c r="B78" s="635"/>
      <c r="C78" s="529">
        <v>12</v>
      </c>
      <c r="D78" s="223"/>
      <c r="E78" s="538"/>
      <c r="F78" s="529"/>
      <c r="G78" s="530"/>
      <c r="H78" s="611"/>
      <c r="I78" s="531" t="str">
        <f t="shared" si="37"/>
        <v>-</v>
      </c>
      <c r="J78" s="531" t="str">
        <f t="shared" si="37"/>
        <v>-</v>
      </c>
      <c r="K78" s="363" t="str">
        <f t="shared" si="37"/>
        <v>-</v>
      </c>
      <c r="L78" s="632"/>
      <c r="M78" s="536" t="e">
        <f>RANK(K78, K$87:$K$101)</f>
        <v>#VALUE!</v>
      </c>
      <c r="N78" s="640"/>
      <c r="O78" s="640"/>
      <c r="P78" s="529" t="s">
        <v>427</v>
      </c>
      <c r="Q78" s="538" t="s">
        <v>427</v>
      </c>
      <c r="R78" s="538" t="s">
        <v>427</v>
      </c>
      <c r="S78" s="529" t="e">
        <f t="shared" si="38"/>
        <v>#VALUE!</v>
      </c>
      <c r="T78" s="611"/>
      <c r="U78" s="529" t="s">
        <v>427</v>
      </c>
      <c r="V78" s="538" t="s">
        <v>427</v>
      </c>
      <c r="W78" s="538" t="s">
        <v>427</v>
      </c>
      <c r="X78" s="529" t="e">
        <f t="shared" si="40"/>
        <v>#VALUE!</v>
      </c>
      <c r="Y78" s="611"/>
      <c r="Z78" s="529" t="s">
        <v>427</v>
      </c>
      <c r="AA78" s="538" t="s">
        <v>427</v>
      </c>
      <c r="AB78" s="538" t="s">
        <v>427</v>
      </c>
      <c r="AC78" s="529" t="e">
        <f t="shared" si="42"/>
        <v>#VALUE!</v>
      </c>
      <c r="AD78" s="611"/>
      <c r="AE78" s="529" t="s">
        <v>427</v>
      </c>
      <c r="AF78" s="538" t="s">
        <v>427</v>
      </c>
      <c r="AG78" s="538" t="s">
        <v>427</v>
      </c>
      <c r="AH78" s="529" t="e">
        <f t="shared" si="44"/>
        <v>#VALUE!</v>
      </c>
      <c r="AI78" s="611"/>
      <c r="AJ78" s="529" t="s">
        <v>427</v>
      </c>
      <c r="AK78" s="538" t="s">
        <v>427</v>
      </c>
      <c r="AL78" s="538" t="s">
        <v>427</v>
      </c>
      <c r="AM78" s="529" t="e">
        <f t="shared" si="46"/>
        <v>#VALUE!</v>
      </c>
      <c r="AN78" s="611"/>
      <c r="AO78" s="529" t="s">
        <v>427</v>
      </c>
      <c r="AP78" s="538" t="s">
        <v>427</v>
      </c>
      <c r="AQ78" s="538" t="s">
        <v>427</v>
      </c>
      <c r="AR78" s="529" t="e">
        <f t="shared" si="48"/>
        <v>#VALUE!</v>
      </c>
      <c r="AS78" s="611"/>
      <c r="AT78" s="529" t="s">
        <v>427</v>
      </c>
      <c r="AU78" s="538" t="s">
        <v>427</v>
      </c>
      <c r="AV78" s="538" t="s">
        <v>427</v>
      </c>
      <c r="AW78" s="529" t="e">
        <f t="shared" si="50"/>
        <v>#VALUE!</v>
      </c>
      <c r="AX78" s="611"/>
      <c r="AZ78" s="377" t="e">
        <f t="shared" si="52"/>
        <v>#N/A</v>
      </c>
      <c r="BA78" s="653"/>
    </row>
    <row r="79" spans="2:53">
      <c r="B79" s="635"/>
      <c r="C79" s="529">
        <v>13</v>
      </c>
      <c r="D79" s="223"/>
      <c r="E79" s="538"/>
      <c r="F79" s="529"/>
      <c r="G79" s="530"/>
      <c r="H79" s="611"/>
      <c r="I79" s="531" t="str">
        <f t="shared" si="37"/>
        <v>-</v>
      </c>
      <c r="J79" s="531" t="str">
        <f t="shared" si="37"/>
        <v>-</v>
      </c>
      <c r="K79" s="363" t="str">
        <f t="shared" si="37"/>
        <v>-</v>
      </c>
      <c r="L79" s="632"/>
      <c r="M79" s="536" t="e">
        <f>RANK(K79, K$87:$K$101)</f>
        <v>#VALUE!</v>
      </c>
      <c r="N79" s="640"/>
      <c r="O79" s="640"/>
      <c r="P79" s="529" t="s">
        <v>427</v>
      </c>
      <c r="Q79" s="538" t="s">
        <v>427</v>
      </c>
      <c r="R79" s="538" t="s">
        <v>427</v>
      </c>
      <c r="S79" s="529" t="e">
        <f t="shared" si="38"/>
        <v>#VALUE!</v>
      </c>
      <c r="T79" s="611"/>
      <c r="U79" s="529" t="s">
        <v>427</v>
      </c>
      <c r="V79" s="538" t="s">
        <v>427</v>
      </c>
      <c r="W79" s="538" t="s">
        <v>427</v>
      </c>
      <c r="X79" s="529" t="e">
        <f t="shared" si="40"/>
        <v>#VALUE!</v>
      </c>
      <c r="Y79" s="611"/>
      <c r="Z79" s="529" t="s">
        <v>427</v>
      </c>
      <c r="AA79" s="538" t="s">
        <v>427</v>
      </c>
      <c r="AB79" s="538" t="s">
        <v>427</v>
      </c>
      <c r="AC79" s="529" t="e">
        <f t="shared" si="42"/>
        <v>#VALUE!</v>
      </c>
      <c r="AD79" s="611"/>
      <c r="AE79" s="529" t="s">
        <v>427</v>
      </c>
      <c r="AF79" s="538" t="s">
        <v>427</v>
      </c>
      <c r="AG79" s="538" t="s">
        <v>427</v>
      </c>
      <c r="AH79" s="529" t="e">
        <f t="shared" si="44"/>
        <v>#VALUE!</v>
      </c>
      <c r="AI79" s="611"/>
      <c r="AJ79" s="529" t="s">
        <v>427</v>
      </c>
      <c r="AK79" s="538" t="s">
        <v>427</v>
      </c>
      <c r="AL79" s="538" t="s">
        <v>427</v>
      </c>
      <c r="AM79" s="529" t="e">
        <f t="shared" si="46"/>
        <v>#VALUE!</v>
      </c>
      <c r="AN79" s="611"/>
      <c r="AO79" s="529" t="s">
        <v>427</v>
      </c>
      <c r="AP79" s="538" t="s">
        <v>427</v>
      </c>
      <c r="AQ79" s="538" t="s">
        <v>427</v>
      </c>
      <c r="AR79" s="529" t="e">
        <f t="shared" si="48"/>
        <v>#VALUE!</v>
      </c>
      <c r="AS79" s="611"/>
      <c r="AT79" s="529" t="s">
        <v>427</v>
      </c>
      <c r="AU79" s="538" t="s">
        <v>427</v>
      </c>
      <c r="AV79" s="538" t="s">
        <v>427</v>
      </c>
      <c r="AW79" s="529" t="e">
        <f t="shared" si="50"/>
        <v>#VALUE!</v>
      </c>
      <c r="AX79" s="611"/>
      <c r="AZ79" s="377" t="e">
        <f t="shared" si="52"/>
        <v>#N/A</v>
      </c>
      <c r="BA79" s="653"/>
    </row>
    <row r="80" spans="2:53">
      <c r="B80" s="635"/>
      <c r="C80" s="529">
        <v>14</v>
      </c>
      <c r="D80" s="223"/>
      <c r="E80" s="538"/>
      <c r="F80" s="529"/>
      <c r="G80" s="530"/>
      <c r="H80" s="611"/>
      <c r="I80" s="531" t="str">
        <f t="shared" si="37"/>
        <v>-</v>
      </c>
      <c r="J80" s="531" t="str">
        <f t="shared" si="37"/>
        <v>-</v>
      </c>
      <c r="K80" s="363" t="str">
        <f t="shared" si="37"/>
        <v>-</v>
      </c>
      <c r="L80" s="632"/>
      <c r="M80" s="536" t="e">
        <f>RANK(K80, K$87:$K$101)</f>
        <v>#VALUE!</v>
      </c>
      <c r="N80" s="640"/>
      <c r="O80" s="640"/>
      <c r="P80" s="529" t="s">
        <v>427</v>
      </c>
      <c r="Q80" s="538" t="s">
        <v>427</v>
      </c>
      <c r="R80" s="538" t="s">
        <v>427</v>
      </c>
      <c r="S80" s="529" t="e">
        <f t="shared" si="38"/>
        <v>#VALUE!</v>
      </c>
      <c r="T80" s="611"/>
      <c r="U80" s="529" t="s">
        <v>427</v>
      </c>
      <c r="V80" s="538" t="s">
        <v>427</v>
      </c>
      <c r="W80" s="538" t="s">
        <v>427</v>
      </c>
      <c r="X80" s="529" t="e">
        <f t="shared" si="40"/>
        <v>#VALUE!</v>
      </c>
      <c r="Y80" s="611"/>
      <c r="Z80" s="529" t="s">
        <v>427</v>
      </c>
      <c r="AA80" s="538" t="s">
        <v>427</v>
      </c>
      <c r="AB80" s="538" t="s">
        <v>427</v>
      </c>
      <c r="AC80" s="529" t="e">
        <f t="shared" si="42"/>
        <v>#VALUE!</v>
      </c>
      <c r="AD80" s="611"/>
      <c r="AE80" s="529" t="s">
        <v>427</v>
      </c>
      <c r="AF80" s="538" t="s">
        <v>427</v>
      </c>
      <c r="AG80" s="538" t="s">
        <v>427</v>
      </c>
      <c r="AH80" s="529" t="e">
        <f t="shared" si="44"/>
        <v>#VALUE!</v>
      </c>
      <c r="AI80" s="611"/>
      <c r="AJ80" s="529" t="s">
        <v>427</v>
      </c>
      <c r="AK80" s="538" t="s">
        <v>427</v>
      </c>
      <c r="AL80" s="538" t="s">
        <v>427</v>
      </c>
      <c r="AM80" s="529" t="e">
        <f t="shared" si="46"/>
        <v>#VALUE!</v>
      </c>
      <c r="AN80" s="611"/>
      <c r="AO80" s="529" t="s">
        <v>427</v>
      </c>
      <c r="AP80" s="538" t="s">
        <v>427</v>
      </c>
      <c r="AQ80" s="538" t="s">
        <v>427</v>
      </c>
      <c r="AR80" s="529" t="e">
        <f t="shared" si="48"/>
        <v>#VALUE!</v>
      </c>
      <c r="AS80" s="611"/>
      <c r="AT80" s="529" t="s">
        <v>427</v>
      </c>
      <c r="AU80" s="538" t="s">
        <v>427</v>
      </c>
      <c r="AV80" s="538" t="s">
        <v>427</v>
      </c>
      <c r="AW80" s="529" t="e">
        <f t="shared" si="50"/>
        <v>#VALUE!</v>
      </c>
      <c r="AX80" s="611"/>
      <c r="AZ80" s="377" t="e">
        <f t="shared" si="52"/>
        <v>#N/A</v>
      </c>
      <c r="BA80" s="653"/>
    </row>
    <row r="81" spans="2:53">
      <c r="B81" s="635"/>
      <c r="C81" s="529">
        <v>15</v>
      </c>
      <c r="D81" s="223"/>
      <c r="E81" s="538"/>
      <c r="F81" s="529"/>
      <c r="G81" s="530"/>
      <c r="H81" s="612"/>
      <c r="I81" s="531" t="str">
        <f t="shared" si="37"/>
        <v>-</v>
      </c>
      <c r="J81" s="531" t="str">
        <f t="shared" si="37"/>
        <v>-</v>
      </c>
      <c r="K81" s="363" t="str">
        <f t="shared" si="37"/>
        <v>-</v>
      </c>
      <c r="L81" s="633"/>
      <c r="M81" s="531" t="e">
        <f>RANK(K81, K$87:$K$101)</f>
        <v>#VALUE!</v>
      </c>
      <c r="N81" s="641"/>
      <c r="O81" s="641"/>
      <c r="P81" s="529" t="s">
        <v>427</v>
      </c>
      <c r="Q81" s="538" t="s">
        <v>427</v>
      </c>
      <c r="R81" s="538" t="s">
        <v>427</v>
      </c>
      <c r="S81" s="529" t="e">
        <f t="shared" si="38"/>
        <v>#VALUE!</v>
      </c>
      <c r="T81" s="612"/>
      <c r="U81" s="529" t="s">
        <v>427</v>
      </c>
      <c r="V81" s="538" t="s">
        <v>427</v>
      </c>
      <c r="W81" s="538" t="s">
        <v>427</v>
      </c>
      <c r="X81" s="529" t="e">
        <f t="shared" si="40"/>
        <v>#VALUE!</v>
      </c>
      <c r="Y81" s="612"/>
      <c r="Z81" s="529" t="s">
        <v>427</v>
      </c>
      <c r="AA81" s="538" t="s">
        <v>427</v>
      </c>
      <c r="AB81" s="538" t="s">
        <v>427</v>
      </c>
      <c r="AC81" s="529" t="e">
        <f t="shared" si="42"/>
        <v>#VALUE!</v>
      </c>
      <c r="AD81" s="612"/>
      <c r="AE81" s="529" t="s">
        <v>427</v>
      </c>
      <c r="AF81" s="538" t="s">
        <v>427</v>
      </c>
      <c r="AG81" s="538" t="s">
        <v>427</v>
      </c>
      <c r="AH81" s="529" t="e">
        <f t="shared" si="44"/>
        <v>#VALUE!</v>
      </c>
      <c r="AI81" s="612"/>
      <c r="AJ81" s="529" t="s">
        <v>427</v>
      </c>
      <c r="AK81" s="538" t="s">
        <v>427</v>
      </c>
      <c r="AL81" s="538" t="s">
        <v>427</v>
      </c>
      <c r="AM81" s="529" t="e">
        <f t="shared" si="46"/>
        <v>#VALUE!</v>
      </c>
      <c r="AN81" s="612"/>
      <c r="AO81" s="529" t="s">
        <v>427</v>
      </c>
      <c r="AP81" s="538" t="s">
        <v>427</v>
      </c>
      <c r="AQ81" s="538" t="s">
        <v>427</v>
      </c>
      <c r="AR81" s="529" t="e">
        <f t="shared" si="48"/>
        <v>#VALUE!</v>
      </c>
      <c r="AS81" s="612"/>
      <c r="AT81" s="529" t="s">
        <v>427</v>
      </c>
      <c r="AU81" s="538" t="s">
        <v>427</v>
      </c>
      <c r="AV81" s="538" t="s">
        <v>427</v>
      </c>
      <c r="AW81" s="529" t="e">
        <f t="shared" si="50"/>
        <v>#VALUE!</v>
      </c>
      <c r="AX81" s="612"/>
      <c r="AZ81" s="377" t="e">
        <f t="shared" si="52"/>
        <v>#N/A</v>
      </c>
      <c r="BA81" s="653"/>
    </row>
    <row r="82" spans="2:53" ht="15.75">
      <c r="B82" s="643" t="s">
        <v>769</v>
      </c>
      <c r="C82" s="644"/>
      <c r="D82" s="644"/>
      <c r="E82" s="644"/>
      <c r="F82" s="644"/>
      <c r="G82" s="644"/>
      <c r="H82" s="645"/>
      <c r="I82" s="205"/>
      <c r="J82" s="205"/>
      <c r="K82" s="205"/>
      <c r="L82" s="205"/>
      <c r="M82" s="204"/>
      <c r="N82" s="639" t="s">
        <v>781</v>
      </c>
      <c r="O82" s="639" t="s">
        <v>498</v>
      </c>
      <c r="P82" s="634">
        <f>AT62+1</f>
        <v>46231</v>
      </c>
      <c r="Q82" s="635"/>
      <c r="R82" s="635"/>
      <c r="S82" s="635"/>
      <c r="T82" s="635"/>
      <c r="U82" s="636">
        <f>P82+1</f>
        <v>46232</v>
      </c>
      <c r="V82" s="637"/>
      <c r="W82" s="637"/>
      <c r="X82" s="637"/>
      <c r="Y82" s="638"/>
      <c r="Z82" s="636">
        <f t="shared" ref="Z82" si="54">U82+1</f>
        <v>46233</v>
      </c>
      <c r="AA82" s="637"/>
      <c r="AB82" s="637"/>
      <c r="AC82" s="637"/>
      <c r="AD82" s="638"/>
      <c r="AE82" s="636">
        <f t="shared" ref="AE82" si="55">Z82+1</f>
        <v>46234</v>
      </c>
      <c r="AF82" s="637"/>
      <c r="AG82" s="637"/>
      <c r="AH82" s="637"/>
      <c r="AI82" s="638"/>
      <c r="AJ82" s="636"/>
      <c r="AK82" s="637"/>
      <c r="AL82" s="637"/>
      <c r="AM82" s="637"/>
      <c r="AN82" s="638"/>
      <c r="AO82" s="636"/>
      <c r="AP82" s="637"/>
      <c r="AQ82" s="637"/>
      <c r="AR82" s="637"/>
      <c r="AS82" s="638"/>
      <c r="AT82" s="636"/>
      <c r="AU82" s="637"/>
      <c r="AV82" s="637"/>
      <c r="AW82" s="637"/>
      <c r="AX82" s="638"/>
    </row>
    <row r="83" spans="2:53" ht="15.75">
      <c r="B83" s="646"/>
      <c r="C83" s="646"/>
      <c r="D83" s="646"/>
      <c r="E83" s="646"/>
      <c r="F83" s="646"/>
      <c r="G83" s="646"/>
      <c r="H83" s="646"/>
      <c r="I83" s="202"/>
      <c r="J83" s="202"/>
      <c r="K83" s="202"/>
      <c r="L83" s="202"/>
      <c r="M83" s="203"/>
      <c r="N83" s="641"/>
      <c r="O83" s="641"/>
      <c r="P83" s="634" t="s">
        <v>499</v>
      </c>
      <c r="Q83" s="635"/>
      <c r="R83" s="635"/>
      <c r="S83" s="635"/>
      <c r="T83" s="635"/>
      <c r="U83" s="634" t="s">
        <v>500</v>
      </c>
      <c r="V83" s="635"/>
      <c r="W83" s="635"/>
      <c r="X83" s="635"/>
      <c r="Y83" s="635"/>
      <c r="Z83" s="634" t="s">
        <v>501</v>
      </c>
      <c r="AA83" s="635"/>
      <c r="AB83" s="635"/>
      <c r="AC83" s="635"/>
      <c r="AD83" s="635"/>
      <c r="AE83" s="634" t="s">
        <v>502</v>
      </c>
      <c r="AF83" s="635"/>
      <c r="AG83" s="635"/>
      <c r="AH83" s="635"/>
      <c r="AI83" s="635"/>
      <c r="AJ83" s="634" t="s">
        <v>503</v>
      </c>
      <c r="AK83" s="635"/>
      <c r="AL83" s="635"/>
      <c r="AM83" s="635"/>
      <c r="AN83" s="635"/>
      <c r="AO83" s="634" t="s">
        <v>504</v>
      </c>
      <c r="AP83" s="635"/>
      <c r="AQ83" s="635"/>
      <c r="AR83" s="635"/>
      <c r="AS83" s="635"/>
      <c r="AT83" s="634" t="s">
        <v>505</v>
      </c>
      <c r="AU83" s="635"/>
      <c r="AV83" s="635"/>
      <c r="AW83" s="635"/>
      <c r="AX83" s="635"/>
    </row>
    <row r="84" spans="2:53">
      <c r="B84" s="624" t="s">
        <v>760</v>
      </c>
      <c r="C84" s="624" t="s">
        <v>761</v>
      </c>
      <c r="D84" s="624"/>
      <c r="E84" s="624" t="s">
        <v>762</v>
      </c>
      <c r="F84" s="624"/>
      <c r="G84" s="624"/>
      <c r="H84" s="647" t="s">
        <v>763</v>
      </c>
      <c r="I84" s="617" t="s">
        <v>764</v>
      </c>
      <c r="J84" s="617"/>
      <c r="K84" s="617"/>
      <c r="L84" s="618" t="s">
        <v>763</v>
      </c>
      <c r="M84" s="628" t="s">
        <v>773</v>
      </c>
      <c r="N84" s="624"/>
      <c r="O84" s="624" t="s">
        <v>512</v>
      </c>
      <c r="P84" s="621" t="s">
        <v>513</v>
      </c>
      <c r="Q84" s="622"/>
      <c r="R84" s="622"/>
      <c r="S84" s="623"/>
      <c r="T84" s="624" t="s">
        <v>509</v>
      </c>
      <c r="U84" s="621" t="s">
        <v>513</v>
      </c>
      <c r="V84" s="622"/>
      <c r="W84" s="622"/>
      <c r="X84" s="623"/>
      <c r="Y84" s="624" t="s">
        <v>509</v>
      </c>
      <c r="Z84" s="621" t="s">
        <v>513</v>
      </c>
      <c r="AA84" s="622"/>
      <c r="AB84" s="622"/>
      <c r="AC84" s="623"/>
      <c r="AD84" s="624" t="s">
        <v>509</v>
      </c>
      <c r="AE84" s="621" t="s">
        <v>513</v>
      </c>
      <c r="AF84" s="622"/>
      <c r="AG84" s="622"/>
      <c r="AH84" s="623"/>
      <c r="AI84" s="624" t="s">
        <v>509</v>
      </c>
      <c r="AJ84" s="621" t="s">
        <v>513</v>
      </c>
      <c r="AK84" s="622"/>
      <c r="AL84" s="622"/>
      <c r="AM84" s="623"/>
      <c r="AN84" s="624" t="s">
        <v>509</v>
      </c>
      <c r="AO84" s="621" t="s">
        <v>513</v>
      </c>
      <c r="AP84" s="622"/>
      <c r="AQ84" s="622"/>
      <c r="AR84" s="623"/>
      <c r="AS84" s="624" t="s">
        <v>509</v>
      </c>
      <c r="AT84" s="621" t="s">
        <v>513</v>
      </c>
      <c r="AU84" s="622"/>
      <c r="AV84" s="622"/>
      <c r="AW84" s="623"/>
      <c r="AX84" s="624" t="s">
        <v>509</v>
      </c>
    </row>
    <row r="85" spans="2:53">
      <c r="B85" s="624"/>
      <c r="C85" s="624"/>
      <c r="D85" s="624"/>
      <c r="E85" s="624" t="s">
        <v>765</v>
      </c>
      <c r="F85" s="624"/>
      <c r="G85" s="624"/>
      <c r="H85" s="648"/>
      <c r="I85" s="617" t="s">
        <v>765</v>
      </c>
      <c r="J85" s="617"/>
      <c r="K85" s="617"/>
      <c r="L85" s="619"/>
      <c r="M85" s="629"/>
      <c r="N85" s="624"/>
      <c r="O85" s="624"/>
      <c r="P85" s="621" t="s">
        <v>515</v>
      </c>
      <c r="Q85" s="622"/>
      <c r="R85" s="622"/>
      <c r="S85" s="623"/>
      <c r="T85" s="624"/>
      <c r="U85" s="621" t="s">
        <v>515</v>
      </c>
      <c r="V85" s="622"/>
      <c r="W85" s="622"/>
      <c r="X85" s="623"/>
      <c r="Y85" s="624"/>
      <c r="Z85" s="621" t="s">
        <v>515</v>
      </c>
      <c r="AA85" s="622"/>
      <c r="AB85" s="622"/>
      <c r="AC85" s="623"/>
      <c r="AD85" s="624"/>
      <c r="AE85" s="621" t="s">
        <v>515</v>
      </c>
      <c r="AF85" s="622"/>
      <c r="AG85" s="622"/>
      <c r="AH85" s="623"/>
      <c r="AI85" s="624"/>
      <c r="AJ85" s="621" t="s">
        <v>515</v>
      </c>
      <c r="AK85" s="622"/>
      <c r="AL85" s="622"/>
      <c r="AM85" s="623"/>
      <c r="AN85" s="624"/>
      <c r="AO85" s="621" t="s">
        <v>515</v>
      </c>
      <c r="AP85" s="622"/>
      <c r="AQ85" s="622"/>
      <c r="AR85" s="623"/>
      <c r="AS85" s="624"/>
      <c r="AT85" s="621" t="s">
        <v>515</v>
      </c>
      <c r="AU85" s="622"/>
      <c r="AV85" s="622"/>
      <c r="AW85" s="623"/>
      <c r="AX85" s="624"/>
    </row>
    <row r="86" spans="2:53">
      <c r="B86" s="624"/>
      <c r="C86" s="624"/>
      <c r="D86" s="624"/>
      <c r="E86" s="482" t="s">
        <v>766</v>
      </c>
      <c r="F86" s="482" t="s">
        <v>767</v>
      </c>
      <c r="G86" s="482" t="s">
        <v>768</v>
      </c>
      <c r="H86" s="649"/>
      <c r="I86" s="481" t="s">
        <v>766</v>
      </c>
      <c r="J86" s="481" t="s">
        <v>767</v>
      </c>
      <c r="K86" s="481" t="s">
        <v>768</v>
      </c>
      <c r="L86" s="620"/>
      <c r="M86" s="630"/>
      <c r="N86" s="624"/>
      <c r="O86" s="624"/>
      <c r="P86" s="353" t="s">
        <v>516</v>
      </c>
      <c r="Q86" s="353" t="s">
        <v>517</v>
      </c>
      <c r="R86" s="353" t="s">
        <v>518</v>
      </c>
      <c r="S86" s="353" t="s">
        <v>511</v>
      </c>
      <c r="T86" s="624"/>
      <c r="U86" s="353" t="s">
        <v>516</v>
      </c>
      <c r="V86" s="353" t="s">
        <v>517</v>
      </c>
      <c r="W86" s="353" t="s">
        <v>518</v>
      </c>
      <c r="X86" s="353" t="s">
        <v>511</v>
      </c>
      <c r="Y86" s="624"/>
      <c r="Z86" s="353" t="s">
        <v>516</v>
      </c>
      <c r="AA86" s="353" t="s">
        <v>517</v>
      </c>
      <c r="AB86" s="353" t="s">
        <v>518</v>
      </c>
      <c r="AC86" s="353" t="s">
        <v>511</v>
      </c>
      <c r="AD86" s="624"/>
      <c r="AE86" s="353" t="s">
        <v>516</v>
      </c>
      <c r="AF86" s="353" t="s">
        <v>517</v>
      </c>
      <c r="AG86" s="353" t="s">
        <v>518</v>
      </c>
      <c r="AH86" s="353" t="s">
        <v>511</v>
      </c>
      <c r="AI86" s="624"/>
      <c r="AJ86" s="353" t="s">
        <v>516</v>
      </c>
      <c r="AK86" s="353" t="s">
        <v>517</v>
      </c>
      <c r="AL86" s="353" t="s">
        <v>518</v>
      </c>
      <c r="AM86" s="353" t="s">
        <v>511</v>
      </c>
      <c r="AN86" s="624"/>
      <c r="AO86" s="353" t="s">
        <v>516</v>
      </c>
      <c r="AP86" s="353" t="s">
        <v>517</v>
      </c>
      <c r="AQ86" s="353" t="s">
        <v>518</v>
      </c>
      <c r="AR86" s="353" t="s">
        <v>511</v>
      </c>
      <c r="AS86" s="624"/>
      <c r="AT86" s="353" t="s">
        <v>516</v>
      </c>
      <c r="AU86" s="353" t="s">
        <v>517</v>
      </c>
      <c r="AV86" s="353" t="s">
        <v>518</v>
      </c>
      <c r="AW86" s="353" t="s">
        <v>511</v>
      </c>
      <c r="AX86" s="624"/>
    </row>
    <row r="87" spans="2:53">
      <c r="B87" s="624" t="s">
        <v>780</v>
      </c>
      <c r="C87" s="483">
        <v>1</v>
      </c>
      <c r="D87" s="223" t="s">
        <v>842</v>
      </c>
      <c r="E87" s="491">
        <v>15</v>
      </c>
      <c r="F87" s="483">
        <v>2000</v>
      </c>
      <c r="G87" s="484">
        <v>100</v>
      </c>
      <c r="H87" s="677">
        <f>AVERAGE(G87:G101)</f>
        <v>100</v>
      </c>
      <c r="I87" s="487">
        <f t="shared" ref="I87:K100" si="56">IFERROR(AVERAGE(P87,U87,Z87,AE87,AJ87,AO87,AT87),"-")</f>
        <v>13</v>
      </c>
      <c r="J87" s="487">
        <f t="shared" si="56"/>
        <v>1945.7999999999988</v>
      </c>
      <c r="K87" s="363">
        <f t="shared" si="56"/>
        <v>149.67692307692298</v>
      </c>
      <c r="L87" s="614">
        <f>IFERROR(AVERAGE(K87:K101),"-")</f>
        <v>150.7134615384615</v>
      </c>
      <c r="M87" s="489">
        <f>RANK(K87, K$87:$K$101)</f>
        <v>2</v>
      </c>
      <c r="N87" s="624"/>
      <c r="O87" s="624"/>
      <c r="P87" s="540">
        <v>13</v>
      </c>
      <c r="Q87" s="541">
        <v>2003.9999999999977</v>
      </c>
      <c r="R87" s="541">
        <v>154.15384615384599</v>
      </c>
      <c r="S87" s="540">
        <f t="shared" ref="S87:S101" si="57">RANK(R87, R$87:R$101)</f>
        <v>1</v>
      </c>
      <c r="T87" s="653">
        <f t="shared" ref="T87" si="58">AVERAGE(R87:R101)</f>
        <v>151.42307692307691</v>
      </c>
      <c r="U87" s="540">
        <v>13</v>
      </c>
      <c r="V87" s="541">
        <v>1947.4285714285697</v>
      </c>
      <c r="W87" s="541">
        <v>149.80219780219767</v>
      </c>
      <c r="X87" s="540">
        <f t="shared" ref="X87:X101" si="59">RANK(W87, W$87:W$101)</f>
        <v>2</v>
      </c>
      <c r="Y87" s="653">
        <f t="shared" ref="Y87" si="60">AVERAGE(W87:W101)</f>
        <v>154.40109890109892</v>
      </c>
      <c r="Z87" s="540">
        <v>13</v>
      </c>
      <c r="AA87" s="541">
        <v>2048.5714285714266</v>
      </c>
      <c r="AB87" s="541">
        <v>157.58241758241743</v>
      </c>
      <c r="AC87" s="540">
        <f t="shared" ref="AC87:AC101" si="61">RANK(AB87, AB$87:AB$101)</f>
        <v>1</v>
      </c>
      <c r="AD87" s="653">
        <f t="shared" ref="AD87" si="62">AVERAGE(AB87:AB101)</f>
        <v>152.598901098901</v>
      </c>
      <c r="AE87" s="540">
        <v>13</v>
      </c>
      <c r="AF87" s="541">
        <v>1783.2000000000005</v>
      </c>
      <c r="AG87" s="541">
        <v>137.16923076923081</v>
      </c>
      <c r="AH87" s="540">
        <f t="shared" ref="AH87:AH101" si="63">RANK(AG87, AG$87:AG$101)</f>
        <v>2</v>
      </c>
      <c r="AI87" s="653">
        <f t="shared" ref="AI87" si="64">AVERAGE(AG87:AG101)</f>
        <v>144.43076923076924</v>
      </c>
      <c r="AJ87" s="483"/>
      <c r="AK87" s="491"/>
      <c r="AL87" s="491"/>
      <c r="AM87" s="483"/>
      <c r="AN87" s="653"/>
      <c r="AO87" s="483"/>
      <c r="AP87" s="491"/>
      <c r="AQ87" s="491"/>
      <c r="AR87" s="483"/>
      <c r="AS87" s="653"/>
      <c r="AT87" s="483"/>
      <c r="AU87" s="491"/>
      <c r="AV87" s="491"/>
      <c r="AW87" s="483"/>
      <c r="AX87" s="653"/>
      <c r="AZ87" s="377" t="e">
        <f t="shared" ref="AZ87:AZ101" si="65">RANK(AY87, AY$87:AY$101)</f>
        <v>#N/A</v>
      </c>
      <c r="BA87" s="653" t="e">
        <f t="shared" ref="BA87" si="66">AVERAGE(AY87:AY101)</f>
        <v>#DIV/0!</v>
      </c>
    </row>
    <row r="88" spans="2:53">
      <c r="B88" s="635"/>
      <c r="C88" s="483">
        <v>2</v>
      </c>
      <c r="D88" s="223" t="s">
        <v>843</v>
      </c>
      <c r="E88" s="491">
        <v>13</v>
      </c>
      <c r="F88" s="483">
        <v>2000</v>
      </c>
      <c r="G88" s="484">
        <v>100</v>
      </c>
      <c r="H88" s="678"/>
      <c r="I88" s="487">
        <f t="shared" si="56"/>
        <v>13</v>
      </c>
      <c r="J88" s="487">
        <f t="shared" si="56"/>
        <v>1972.7500000000007</v>
      </c>
      <c r="K88" s="363">
        <f t="shared" si="56"/>
        <v>151.75000000000006</v>
      </c>
      <c r="L88" s="615"/>
      <c r="M88" s="489">
        <f>RANK(K88, K$87:$K$101)</f>
        <v>1</v>
      </c>
      <c r="N88" s="624"/>
      <c r="O88" s="624"/>
      <c r="P88" s="540">
        <v>13</v>
      </c>
      <c r="Q88" s="541">
        <v>1933.0000000000018</v>
      </c>
      <c r="R88" s="541">
        <v>148.69230769230782</v>
      </c>
      <c r="S88" s="540">
        <f t="shared" si="57"/>
        <v>2</v>
      </c>
      <c r="T88" s="653"/>
      <c r="U88" s="540">
        <v>13</v>
      </c>
      <c r="V88" s="541">
        <v>2067.0000000000018</v>
      </c>
      <c r="W88" s="541">
        <v>159.00000000000014</v>
      </c>
      <c r="X88" s="540">
        <f t="shared" si="59"/>
        <v>1</v>
      </c>
      <c r="Y88" s="653"/>
      <c r="Z88" s="540">
        <v>13</v>
      </c>
      <c r="AA88" s="541">
        <v>1918.9999999999991</v>
      </c>
      <c r="AB88" s="541">
        <v>147.61538461538456</v>
      </c>
      <c r="AC88" s="540">
        <f t="shared" si="61"/>
        <v>2</v>
      </c>
      <c r="AD88" s="653"/>
      <c r="AE88" s="540">
        <v>13</v>
      </c>
      <c r="AF88" s="541">
        <v>1972</v>
      </c>
      <c r="AG88" s="541">
        <v>151.69230769230768</v>
      </c>
      <c r="AH88" s="540">
        <f t="shared" si="63"/>
        <v>1</v>
      </c>
      <c r="AI88" s="653"/>
      <c r="AJ88" s="483"/>
      <c r="AK88" s="491"/>
      <c r="AL88" s="491"/>
      <c r="AM88" s="483"/>
      <c r="AN88" s="653"/>
      <c r="AO88" s="483"/>
      <c r="AP88" s="491"/>
      <c r="AQ88" s="491"/>
      <c r="AR88" s="483"/>
      <c r="AS88" s="653"/>
      <c r="AT88" s="483"/>
      <c r="AU88" s="491"/>
      <c r="AV88" s="491"/>
      <c r="AW88" s="483"/>
      <c r="AX88" s="653"/>
      <c r="AZ88" s="377" t="e">
        <f t="shared" si="65"/>
        <v>#N/A</v>
      </c>
      <c r="BA88" s="653"/>
    </row>
    <row r="89" spans="2:53">
      <c r="B89" s="635"/>
      <c r="C89" s="483">
        <v>3</v>
      </c>
      <c r="D89" s="223"/>
      <c r="E89" s="491"/>
      <c r="F89" s="483"/>
      <c r="G89" s="484"/>
      <c r="H89" s="678"/>
      <c r="I89" s="487" t="str">
        <f t="shared" si="56"/>
        <v>-</v>
      </c>
      <c r="J89" s="487" t="str">
        <f t="shared" si="56"/>
        <v>-</v>
      </c>
      <c r="K89" s="363" t="str">
        <f t="shared" si="56"/>
        <v>-</v>
      </c>
      <c r="L89" s="615"/>
      <c r="M89" s="489" t="e">
        <f>RANK(K89, K$87:$K$101)</f>
        <v>#VALUE!</v>
      </c>
      <c r="N89" s="624"/>
      <c r="O89" s="624"/>
      <c r="P89" s="540" t="s">
        <v>427</v>
      </c>
      <c r="Q89" s="541" t="s">
        <v>427</v>
      </c>
      <c r="R89" s="541" t="s">
        <v>427</v>
      </c>
      <c r="S89" s="540" t="e">
        <f t="shared" si="57"/>
        <v>#VALUE!</v>
      </c>
      <c r="T89" s="653"/>
      <c r="U89" s="540" t="s">
        <v>427</v>
      </c>
      <c r="V89" s="541" t="s">
        <v>427</v>
      </c>
      <c r="W89" s="541" t="s">
        <v>427</v>
      </c>
      <c r="X89" s="540" t="e">
        <f t="shared" si="59"/>
        <v>#VALUE!</v>
      </c>
      <c r="Y89" s="653"/>
      <c r="Z89" s="540" t="s">
        <v>427</v>
      </c>
      <c r="AA89" s="541" t="s">
        <v>427</v>
      </c>
      <c r="AB89" s="541" t="s">
        <v>427</v>
      </c>
      <c r="AC89" s="540" t="e">
        <f t="shared" si="61"/>
        <v>#VALUE!</v>
      </c>
      <c r="AD89" s="653"/>
      <c r="AE89" s="540" t="s">
        <v>427</v>
      </c>
      <c r="AF89" s="541" t="s">
        <v>427</v>
      </c>
      <c r="AG89" s="541" t="s">
        <v>427</v>
      </c>
      <c r="AH89" s="540" t="e">
        <f t="shared" si="63"/>
        <v>#VALUE!</v>
      </c>
      <c r="AI89" s="653"/>
      <c r="AJ89" s="483"/>
      <c r="AK89" s="491"/>
      <c r="AL89" s="491"/>
      <c r="AM89" s="483"/>
      <c r="AN89" s="653"/>
      <c r="AO89" s="483"/>
      <c r="AP89" s="491"/>
      <c r="AQ89" s="491"/>
      <c r="AR89" s="483"/>
      <c r="AS89" s="653"/>
      <c r="AT89" s="483"/>
      <c r="AU89" s="491"/>
      <c r="AV89" s="491"/>
      <c r="AW89" s="483"/>
      <c r="AX89" s="653"/>
      <c r="AZ89" s="377" t="e">
        <f t="shared" si="65"/>
        <v>#N/A</v>
      </c>
      <c r="BA89" s="653"/>
    </row>
    <row r="90" spans="2:53">
      <c r="B90" s="635"/>
      <c r="C90" s="483">
        <v>4</v>
      </c>
      <c r="D90" s="223"/>
      <c r="E90" s="491"/>
      <c r="F90" s="483"/>
      <c r="G90" s="484"/>
      <c r="H90" s="678"/>
      <c r="I90" s="487" t="str">
        <f t="shared" si="56"/>
        <v>-</v>
      </c>
      <c r="J90" s="487" t="str">
        <f t="shared" si="56"/>
        <v>-</v>
      </c>
      <c r="K90" s="363" t="str">
        <f t="shared" si="56"/>
        <v>-</v>
      </c>
      <c r="L90" s="615"/>
      <c r="M90" s="489" t="e">
        <f>RANK(K90, K$87:$K$101)</f>
        <v>#VALUE!</v>
      </c>
      <c r="N90" s="624"/>
      <c r="O90" s="624"/>
      <c r="P90" s="540" t="s">
        <v>427</v>
      </c>
      <c r="Q90" s="541" t="s">
        <v>427</v>
      </c>
      <c r="R90" s="541" t="s">
        <v>427</v>
      </c>
      <c r="S90" s="540" t="e">
        <f t="shared" si="57"/>
        <v>#VALUE!</v>
      </c>
      <c r="T90" s="653"/>
      <c r="U90" s="540" t="s">
        <v>427</v>
      </c>
      <c r="V90" s="541" t="s">
        <v>427</v>
      </c>
      <c r="W90" s="541" t="s">
        <v>427</v>
      </c>
      <c r="X90" s="540" t="e">
        <f t="shared" si="59"/>
        <v>#VALUE!</v>
      </c>
      <c r="Y90" s="653"/>
      <c r="Z90" s="540" t="s">
        <v>427</v>
      </c>
      <c r="AA90" s="541" t="s">
        <v>427</v>
      </c>
      <c r="AB90" s="541" t="s">
        <v>427</v>
      </c>
      <c r="AC90" s="540" t="e">
        <f t="shared" si="61"/>
        <v>#VALUE!</v>
      </c>
      <c r="AD90" s="653"/>
      <c r="AE90" s="540" t="s">
        <v>427</v>
      </c>
      <c r="AF90" s="541" t="s">
        <v>427</v>
      </c>
      <c r="AG90" s="541" t="s">
        <v>427</v>
      </c>
      <c r="AH90" s="540" t="e">
        <f t="shared" si="63"/>
        <v>#VALUE!</v>
      </c>
      <c r="AI90" s="653"/>
      <c r="AJ90" s="483"/>
      <c r="AK90" s="491"/>
      <c r="AL90" s="491"/>
      <c r="AM90" s="483"/>
      <c r="AN90" s="653"/>
      <c r="AO90" s="483"/>
      <c r="AP90" s="491"/>
      <c r="AQ90" s="491"/>
      <c r="AR90" s="483"/>
      <c r="AS90" s="653"/>
      <c r="AT90" s="483"/>
      <c r="AU90" s="491"/>
      <c r="AV90" s="491"/>
      <c r="AW90" s="483"/>
      <c r="AX90" s="653"/>
      <c r="AZ90" s="377" t="e">
        <f t="shared" si="65"/>
        <v>#N/A</v>
      </c>
      <c r="BA90" s="653"/>
    </row>
    <row r="91" spans="2:53">
      <c r="B91" s="635"/>
      <c r="C91" s="483">
        <v>5</v>
      </c>
      <c r="D91" s="223"/>
      <c r="E91" s="491"/>
      <c r="F91" s="483"/>
      <c r="G91" s="484"/>
      <c r="H91" s="678"/>
      <c r="I91" s="487" t="str">
        <f t="shared" si="56"/>
        <v>-</v>
      </c>
      <c r="J91" s="487" t="str">
        <f t="shared" si="56"/>
        <v>-</v>
      </c>
      <c r="K91" s="363" t="str">
        <f t="shared" si="56"/>
        <v>-</v>
      </c>
      <c r="L91" s="615"/>
      <c r="M91" s="489" t="e">
        <f>RANK(K91, K$87:$K$101)</f>
        <v>#VALUE!</v>
      </c>
      <c r="N91" s="624"/>
      <c r="O91" s="624"/>
      <c r="P91" s="540" t="s">
        <v>427</v>
      </c>
      <c r="Q91" s="541" t="s">
        <v>427</v>
      </c>
      <c r="R91" s="541" t="s">
        <v>427</v>
      </c>
      <c r="S91" s="540" t="e">
        <f t="shared" si="57"/>
        <v>#VALUE!</v>
      </c>
      <c r="T91" s="653"/>
      <c r="U91" s="540" t="s">
        <v>427</v>
      </c>
      <c r="V91" s="541" t="s">
        <v>427</v>
      </c>
      <c r="W91" s="541" t="s">
        <v>427</v>
      </c>
      <c r="X91" s="540" t="e">
        <f t="shared" si="59"/>
        <v>#VALUE!</v>
      </c>
      <c r="Y91" s="653"/>
      <c r="Z91" s="540" t="s">
        <v>427</v>
      </c>
      <c r="AA91" s="541" t="s">
        <v>427</v>
      </c>
      <c r="AB91" s="541" t="s">
        <v>427</v>
      </c>
      <c r="AC91" s="540" t="e">
        <f t="shared" si="61"/>
        <v>#VALUE!</v>
      </c>
      <c r="AD91" s="653"/>
      <c r="AE91" s="540" t="s">
        <v>427</v>
      </c>
      <c r="AF91" s="541" t="s">
        <v>427</v>
      </c>
      <c r="AG91" s="541" t="s">
        <v>427</v>
      </c>
      <c r="AH91" s="540" t="e">
        <f t="shared" si="63"/>
        <v>#VALUE!</v>
      </c>
      <c r="AI91" s="653"/>
      <c r="AJ91" s="483"/>
      <c r="AK91" s="491"/>
      <c r="AL91" s="491"/>
      <c r="AM91" s="483"/>
      <c r="AN91" s="653"/>
      <c r="AO91" s="483"/>
      <c r="AP91" s="491"/>
      <c r="AQ91" s="491"/>
      <c r="AR91" s="483"/>
      <c r="AS91" s="653"/>
      <c r="AT91" s="483"/>
      <c r="AU91" s="491"/>
      <c r="AV91" s="491"/>
      <c r="AW91" s="483"/>
      <c r="AX91" s="653"/>
      <c r="AZ91" s="377" t="e">
        <f t="shared" si="65"/>
        <v>#N/A</v>
      </c>
      <c r="BA91" s="653"/>
    </row>
    <row r="92" spans="2:53">
      <c r="B92" s="635"/>
      <c r="C92" s="483">
        <v>6</v>
      </c>
      <c r="D92" s="223"/>
      <c r="E92" s="491"/>
      <c r="F92" s="483"/>
      <c r="G92" s="484"/>
      <c r="H92" s="678"/>
      <c r="I92" s="487" t="str">
        <f t="shared" si="56"/>
        <v>-</v>
      </c>
      <c r="J92" s="487" t="str">
        <f t="shared" si="56"/>
        <v>-</v>
      </c>
      <c r="K92" s="363" t="str">
        <f t="shared" si="56"/>
        <v>-</v>
      </c>
      <c r="L92" s="615"/>
      <c r="M92" s="489" t="e">
        <f>RANK(K92, K$87:$K$101)</f>
        <v>#VALUE!</v>
      </c>
      <c r="N92" s="624"/>
      <c r="O92" s="624"/>
      <c r="P92" s="540" t="s">
        <v>427</v>
      </c>
      <c r="Q92" s="541" t="s">
        <v>427</v>
      </c>
      <c r="R92" s="541" t="s">
        <v>427</v>
      </c>
      <c r="S92" s="540" t="e">
        <f t="shared" si="57"/>
        <v>#VALUE!</v>
      </c>
      <c r="T92" s="653"/>
      <c r="U92" s="540" t="s">
        <v>427</v>
      </c>
      <c r="V92" s="541" t="s">
        <v>427</v>
      </c>
      <c r="W92" s="541" t="s">
        <v>427</v>
      </c>
      <c r="X92" s="540" t="e">
        <f t="shared" si="59"/>
        <v>#VALUE!</v>
      </c>
      <c r="Y92" s="653"/>
      <c r="Z92" s="540" t="s">
        <v>427</v>
      </c>
      <c r="AA92" s="541" t="s">
        <v>427</v>
      </c>
      <c r="AB92" s="541" t="s">
        <v>427</v>
      </c>
      <c r="AC92" s="540" t="e">
        <f t="shared" si="61"/>
        <v>#VALUE!</v>
      </c>
      <c r="AD92" s="653"/>
      <c r="AE92" s="540" t="s">
        <v>427</v>
      </c>
      <c r="AF92" s="541" t="s">
        <v>427</v>
      </c>
      <c r="AG92" s="541" t="s">
        <v>427</v>
      </c>
      <c r="AH92" s="540" t="e">
        <f t="shared" si="63"/>
        <v>#VALUE!</v>
      </c>
      <c r="AI92" s="653"/>
      <c r="AJ92" s="483"/>
      <c r="AK92" s="491"/>
      <c r="AL92" s="491"/>
      <c r="AM92" s="483"/>
      <c r="AN92" s="653"/>
      <c r="AO92" s="483"/>
      <c r="AP92" s="491"/>
      <c r="AQ92" s="491"/>
      <c r="AR92" s="483"/>
      <c r="AS92" s="653"/>
      <c r="AT92" s="483"/>
      <c r="AU92" s="491"/>
      <c r="AV92" s="491"/>
      <c r="AW92" s="483"/>
      <c r="AX92" s="653"/>
      <c r="AZ92" s="377" t="e">
        <f t="shared" si="65"/>
        <v>#N/A</v>
      </c>
      <c r="BA92" s="653"/>
    </row>
    <row r="93" spans="2:53">
      <c r="B93" s="635"/>
      <c r="C93" s="483">
        <v>7</v>
      </c>
      <c r="D93" s="223"/>
      <c r="E93" s="491"/>
      <c r="F93" s="483"/>
      <c r="G93" s="484"/>
      <c r="H93" s="678"/>
      <c r="I93" s="487" t="str">
        <f t="shared" si="56"/>
        <v>-</v>
      </c>
      <c r="J93" s="487" t="str">
        <f t="shared" si="56"/>
        <v>-</v>
      </c>
      <c r="K93" s="363" t="str">
        <f t="shared" si="56"/>
        <v>-</v>
      </c>
      <c r="L93" s="615"/>
      <c r="M93" s="489" t="e">
        <f>RANK(K93, K$87:$K$101)</f>
        <v>#VALUE!</v>
      </c>
      <c r="N93" s="624"/>
      <c r="O93" s="624"/>
      <c r="P93" s="540" t="s">
        <v>427</v>
      </c>
      <c r="Q93" s="541" t="s">
        <v>427</v>
      </c>
      <c r="R93" s="541" t="s">
        <v>427</v>
      </c>
      <c r="S93" s="540" t="e">
        <f t="shared" si="57"/>
        <v>#VALUE!</v>
      </c>
      <c r="T93" s="653"/>
      <c r="U93" s="540" t="s">
        <v>427</v>
      </c>
      <c r="V93" s="541" t="s">
        <v>427</v>
      </c>
      <c r="W93" s="541" t="s">
        <v>427</v>
      </c>
      <c r="X93" s="540" t="e">
        <f t="shared" si="59"/>
        <v>#VALUE!</v>
      </c>
      <c r="Y93" s="653"/>
      <c r="Z93" s="540" t="s">
        <v>427</v>
      </c>
      <c r="AA93" s="541" t="s">
        <v>427</v>
      </c>
      <c r="AB93" s="541" t="s">
        <v>427</v>
      </c>
      <c r="AC93" s="540" t="e">
        <f t="shared" si="61"/>
        <v>#VALUE!</v>
      </c>
      <c r="AD93" s="653"/>
      <c r="AE93" s="540" t="s">
        <v>427</v>
      </c>
      <c r="AF93" s="541" t="s">
        <v>427</v>
      </c>
      <c r="AG93" s="541" t="s">
        <v>427</v>
      </c>
      <c r="AH93" s="540" t="e">
        <f t="shared" si="63"/>
        <v>#VALUE!</v>
      </c>
      <c r="AI93" s="653"/>
      <c r="AJ93" s="483"/>
      <c r="AK93" s="491"/>
      <c r="AL93" s="491"/>
      <c r="AM93" s="483"/>
      <c r="AN93" s="653"/>
      <c r="AO93" s="483"/>
      <c r="AP93" s="491"/>
      <c r="AQ93" s="491"/>
      <c r="AR93" s="483"/>
      <c r="AS93" s="653"/>
      <c r="AT93" s="483"/>
      <c r="AU93" s="491"/>
      <c r="AV93" s="491"/>
      <c r="AW93" s="483"/>
      <c r="AX93" s="653"/>
      <c r="AZ93" s="377" t="e">
        <f t="shared" si="65"/>
        <v>#N/A</v>
      </c>
      <c r="BA93" s="653"/>
    </row>
    <row r="94" spans="2:53">
      <c r="B94" s="635"/>
      <c r="C94" s="483">
        <v>8</v>
      </c>
      <c r="D94" s="223"/>
      <c r="E94" s="491"/>
      <c r="F94" s="483"/>
      <c r="G94" s="484"/>
      <c r="H94" s="678"/>
      <c r="I94" s="487" t="str">
        <f t="shared" si="56"/>
        <v>-</v>
      </c>
      <c r="J94" s="487" t="str">
        <f t="shared" si="56"/>
        <v>-</v>
      </c>
      <c r="K94" s="363" t="str">
        <f t="shared" si="56"/>
        <v>-</v>
      </c>
      <c r="L94" s="615"/>
      <c r="M94" s="489" t="e">
        <f>RANK(K94, K$87:$K$101)</f>
        <v>#VALUE!</v>
      </c>
      <c r="N94" s="624"/>
      <c r="O94" s="624"/>
      <c r="P94" s="540" t="s">
        <v>427</v>
      </c>
      <c r="Q94" s="541" t="s">
        <v>427</v>
      </c>
      <c r="R94" s="541" t="s">
        <v>427</v>
      </c>
      <c r="S94" s="540" t="e">
        <f t="shared" si="57"/>
        <v>#VALUE!</v>
      </c>
      <c r="T94" s="653"/>
      <c r="U94" s="540" t="s">
        <v>427</v>
      </c>
      <c r="V94" s="541" t="s">
        <v>427</v>
      </c>
      <c r="W94" s="541" t="s">
        <v>427</v>
      </c>
      <c r="X94" s="540" t="e">
        <f t="shared" si="59"/>
        <v>#VALUE!</v>
      </c>
      <c r="Y94" s="653"/>
      <c r="Z94" s="540" t="s">
        <v>427</v>
      </c>
      <c r="AA94" s="541" t="s">
        <v>427</v>
      </c>
      <c r="AB94" s="541" t="s">
        <v>427</v>
      </c>
      <c r="AC94" s="540" t="e">
        <f t="shared" si="61"/>
        <v>#VALUE!</v>
      </c>
      <c r="AD94" s="653"/>
      <c r="AE94" s="540" t="s">
        <v>427</v>
      </c>
      <c r="AF94" s="541" t="s">
        <v>427</v>
      </c>
      <c r="AG94" s="541" t="s">
        <v>427</v>
      </c>
      <c r="AH94" s="540" t="e">
        <f t="shared" si="63"/>
        <v>#VALUE!</v>
      </c>
      <c r="AI94" s="653"/>
      <c r="AJ94" s="483"/>
      <c r="AK94" s="491"/>
      <c r="AL94" s="491"/>
      <c r="AM94" s="483"/>
      <c r="AN94" s="653"/>
      <c r="AO94" s="483"/>
      <c r="AP94" s="491"/>
      <c r="AQ94" s="491"/>
      <c r="AR94" s="483"/>
      <c r="AS94" s="653"/>
      <c r="AT94" s="483"/>
      <c r="AU94" s="491"/>
      <c r="AV94" s="491"/>
      <c r="AW94" s="483"/>
      <c r="AX94" s="653"/>
      <c r="AZ94" s="377" t="e">
        <f t="shared" si="65"/>
        <v>#N/A</v>
      </c>
      <c r="BA94" s="653"/>
    </row>
    <row r="95" spans="2:53">
      <c r="B95" s="635"/>
      <c r="C95" s="483">
        <v>9</v>
      </c>
      <c r="D95" s="223"/>
      <c r="E95" s="491"/>
      <c r="F95" s="483"/>
      <c r="G95" s="484"/>
      <c r="H95" s="678"/>
      <c r="I95" s="487" t="str">
        <f t="shared" si="56"/>
        <v>-</v>
      </c>
      <c r="J95" s="487" t="str">
        <f t="shared" si="56"/>
        <v>-</v>
      </c>
      <c r="K95" s="363" t="str">
        <f t="shared" si="56"/>
        <v>-</v>
      </c>
      <c r="L95" s="615"/>
      <c r="M95" s="489" t="e">
        <f>RANK(K95, K$87:$K$101)</f>
        <v>#VALUE!</v>
      </c>
      <c r="N95" s="624"/>
      <c r="O95" s="624"/>
      <c r="P95" s="540" t="s">
        <v>427</v>
      </c>
      <c r="Q95" s="541" t="s">
        <v>427</v>
      </c>
      <c r="R95" s="541" t="s">
        <v>427</v>
      </c>
      <c r="S95" s="540" t="e">
        <f t="shared" si="57"/>
        <v>#VALUE!</v>
      </c>
      <c r="T95" s="653"/>
      <c r="U95" s="540" t="s">
        <v>427</v>
      </c>
      <c r="V95" s="541" t="s">
        <v>427</v>
      </c>
      <c r="W95" s="541" t="s">
        <v>427</v>
      </c>
      <c r="X95" s="540" t="e">
        <f t="shared" si="59"/>
        <v>#VALUE!</v>
      </c>
      <c r="Y95" s="653"/>
      <c r="Z95" s="540" t="s">
        <v>427</v>
      </c>
      <c r="AA95" s="541" t="s">
        <v>427</v>
      </c>
      <c r="AB95" s="541" t="s">
        <v>427</v>
      </c>
      <c r="AC95" s="540" t="e">
        <f t="shared" si="61"/>
        <v>#VALUE!</v>
      </c>
      <c r="AD95" s="653"/>
      <c r="AE95" s="540" t="s">
        <v>427</v>
      </c>
      <c r="AF95" s="541" t="s">
        <v>427</v>
      </c>
      <c r="AG95" s="541" t="s">
        <v>427</v>
      </c>
      <c r="AH95" s="540" t="e">
        <f t="shared" si="63"/>
        <v>#VALUE!</v>
      </c>
      <c r="AI95" s="653"/>
      <c r="AJ95" s="483"/>
      <c r="AK95" s="491"/>
      <c r="AL95" s="491"/>
      <c r="AM95" s="483"/>
      <c r="AN95" s="653"/>
      <c r="AO95" s="483"/>
      <c r="AP95" s="491"/>
      <c r="AQ95" s="491"/>
      <c r="AR95" s="483"/>
      <c r="AS95" s="653"/>
      <c r="AT95" s="483"/>
      <c r="AU95" s="491"/>
      <c r="AV95" s="491"/>
      <c r="AW95" s="483"/>
      <c r="AX95" s="653"/>
      <c r="AZ95" s="377" t="e">
        <f t="shared" si="65"/>
        <v>#N/A</v>
      </c>
      <c r="BA95" s="653"/>
    </row>
    <row r="96" spans="2:53">
      <c r="B96" s="635"/>
      <c r="C96" s="483">
        <v>10</v>
      </c>
      <c r="D96" s="223"/>
      <c r="E96" s="491"/>
      <c r="F96" s="483"/>
      <c r="G96" s="484"/>
      <c r="H96" s="678"/>
      <c r="I96" s="487" t="str">
        <f t="shared" si="56"/>
        <v>-</v>
      </c>
      <c r="J96" s="487" t="str">
        <f t="shared" si="56"/>
        <v>-</v>
      </c>
      <c r="K96" s="363" t="str">
        <f t="shared" si="56"/>
        <v>-</v>
      </c>
      <c r="L96" s="615"/>
      <c r="M96" s="489" t="e">
        <f>RANK(K96, K$87:$K$101)</f>
        <v>#VALUE!</v>
      </c>
      <c r="N96" s="624"/>
      <c r="O96" s="624"/>
      <c r="P96" s="540" t="s">
        <v>427</v>
      </c>
      <c r="Q96" s="541" t="s">
        <v>427</v>
      </c>
      <c r="R96" s="541" t="s">
        <v>427</v>
      </c>
      <c r="S96" s="540" t="e">
        <f t="shared" si="57"/>
        <v>#VALUE!</v>
      </c>
      <c r="T96" s="653"/>
      <c r="U96" s="540" t="s">
        <v>427</v>
      </c>
      <c r="V96" s="541" t="s">
        <v>427</v>
      </c>
      <c r="W96" s="541" t="s">
        <v>427</v>
      </c>
      <c r="X96" s="540" t="e">
        <f t="shared" si="59"/>
        <v>#VALUE!</v>
      </c>
      <c r="Y96" s="653"/>
      <c r="Z96" s="540" t="s">
        <v>427</v>
      </c>
      <c r="AA96" s="541" t="s">
        <v>427</v>
      </c>
      <c r="AB96" s="541" t="s">
        <v>427</v>
      </c>
      <c r="AC96" s="540" t="e">
        <f t="shared" si="61"/>
        <v>#VALUE!</v>
      </c>
      <c r="AD96" s="653"/>
      <c r="AE96" s="540" t="s">
        <v>427</v>
      </c>
      <c r="AF96" s="541" t="s">
        <v>427</v>
      </c>
      <c r="AG96" s="541" t="s">
        <v>427</v>
      </c>
      <c r="AH96" s="540" t="e">
        <f t="shared" si="63"/>
        <v>#VALUE!</v>
      </c>
      <c r="AI96" s="653"/>
      <c r="AJ96" s="483"/>
      <c r="AK96" s="491"/>
      <c r="AL96" s="491"/>
      <c r="AM96" s="483"/>
      <c r="AN96" s="653"/>
      <c r="AO96" s="483"/>
      <c r="AP96" s="491"/>
      <c r="AQ96" s="491"/>
      <c r="AR96" s="483"/>
      <c r="AS96" s="653"/>
      <c r="AT96" s="483"/>
      <c r="AU96" s="491"/>
      <c r="AV96" s="491"/>
      <c r="AW96" s="483"/>
      <c r="AX96" s="653"/>
      <c r="AZ96" s="377" t="e">
        <f t="shared" si="65"/>
        <v>#N/A</v>
      </c>
      <c r="BA96" s="653"/>
    </row>
    <row r="97" spans="2:53">
      <c r="B97" s="635"/>
      <c r="C97" s="483">
        <v>11</v>
      </c>
      <c r="D97" s="223"/>
      <c r="E97" s="491"/>
      <c r="F97" s="483"/>
      <c r="G97" s="484"/>
      <c r="H97" s="678"/>
      <c r="I97" s="487" t="str">
        <f t="shared" si="56"/>
        <v>-</v>
      </c>
      <c r="J97" s="487" t="str">
        <f t="shared" si="56"/>
        <v>-</v>
      </c>
      <c r="K97" s="363" t="str">
        <f t="shared" si="56"/>
        <v>-</v>
      </c>
      <c r="L97" s="615"/>
      <c r="M97" s="489" t="e">
        <f>RANK(K97, K$87:$K$101)</f>
        <v>#VALUE!</v>
      </c>
      <c r="N97" s="624"/>
      <c r="O97" s="624"/>
      <c r="P97" s="540" t="s">
        <v>427</v>
      </c>
      <c r="Q97" s="541" t="s">
        <v>427</v>
      </c>
      <c r="R97" s="541" t="s">
        <v>427</v>
      </c>
      <c r="S97" s="540" t="e">
        <f t="shared" si="57"/>
        <v>#VALUE!</v>
      </c>
      <c r="T97" s="653"/>
      <c r="U97" s="540" t="s">
        <v>427</v>
      </c>
      <c r="V97" s="541" t="s">
        <v>427</v>
      </c>
      <c r="W97" s="541" t="s">
        <v>427</v>
      </c>
      <c r="X97" s="540" t="e">
        <f t="shared" si="59"/>
        <v>#VALUE!</v>
      </c>
      <c r="Y97" s="653"/>
      <c r="Z97" s="540" t="s">
        <v>427</v>
      </c>
      <c r="AA97" s="541" t="s">
        <v>427</v>
      </c>
      <c r="AB97" s="541" t="s">
        <v>427</v>
      </c>
      <c r="AC97" s="540" t="e">
        <f t="shared" si="61"/>
        <v>#VALUE!</v>
      </c>
      <c r="AD97" s="653"/>
      <c r="AE97" s="540" t="s">
        <v>427</v>
      </c>
      <c r="AF97" s="541" t="s">
        <v>427</v>
      </c>
      <c r="AG97" s="541" t="s">
        <v>427</v>
      </c>
      <c r="AH97" s="540" t="e">
        <f t="shared" si="63"/>
        <v>#VALUE!</v>
      </c>
      <c r="AI97" s="653"/>
      <c r="AJ97" s="483"/>
      <c r="AK97" s="491"/>
      <c r="AL97" s="491"/>
      <c r="AM97" s="483"/>
      <c r="AN97" s="653"/>
      <c r="AO97" s="483"/>
      <c r="AP97" s="491"/>
      <c r="AQ97" s="491"/>
      <c r="AR97" s="483"/>
      <c r="AS97" s="653"/>
      <c r="AT97" s="483"/>
      <c r="AU97" s="491"/>
      <c r="AV97" s="491"/>
      <c r="AW97" s="483"/>
      <c r="AX97" s="653"/>
      <c r="AZ97" s="377" t="e">
        <f t="shared" si="65"/>
        <v>#N/A</v>
      </c>
      <c r="BA97" s="653"/>
    </row>
    <row r="98" spans="2:53">
      <c r="B98" s="635"/>
      <c r="C98" s="483">
        <v>12</v>
      </c>
      <c r="D98" s="223"/>
      <c r="E98" s="491"/>
      <c r="F98" s="483"/>
      <c r="G98" s="484"/>
      <c r="H98" s="678"/>
      <c r="I98" s="487" t="str">
        <f t="shared" si="56"/>
        <v>-</v>
      </c>
      <c r="J98" s="487" t="str">
        <f t="shared" si="56"/>
        <v>-</v>
      </c>
      <c r="K98" s="363" t="str">
        <f t="shared" si="56"/>
        <v>-</v>
      </c>
      <c r="L98" s="615"/>
      <c r="M98" s="489" t="e">
        <f>RANK(K98, K$87:$K$101)</f>
        <v>#VALUE!</v>
      </c>
      <c r="N98" s="624"/>
      <c r="O98" s="624"/>
      <c r="P98" s="540" t="s">
        <v>427</v>
      </c>
      <c r="Q98" s="541" t="s">
        <v>427</v>
      </c>
      <c r="R98" s="541" t="s">
        <v>427</v>
      </c>
      <c r="S98" s="540" t="e">
        <f t="shared" si="57"/>
        <v>#VALUE!</v>
      </c>
      <c r="T98" s="653"/>
      <c r="U98" s="540" t="s">
        <v>427</v>
      </c>
      <c r="V98" s="541" t="s">
        <v>427</v>
      </c>
      <c r="W98" s="541" t="s">
        <v>427</v>
      </c>
      <c r="X98" s="540" t="e">
        <f t="shared" si="59"/>
        <v>#VALUE!</v>
      </c>
      <c r="Y98" s="653"/>
      <c r="Z98" s="540" t="s">
        <v>427</v>
      </c>
      <c r="AA98" s="541" t="s">
        <v>427</v>
      </c>
      <c r="AB98" s="541" t="s">
        <v>427</v>
      </c>
      <c r="AC98" s="540" t="e">
        <f t="shared" si="61"/>
        <v>#VALUE!</v>
      </c>
      <c r="AD98" s="653"/>
      <c r="AE98" s="540" t="s">
        <v>427</v>
      </c>
      <c r="AF98" s="541" t="s">
        <v>427</v>
      </c>
      <c r="AG98" s="541" t="s">
        <v>427</v>
      </c>
      <c r="AH98" s="540" t="e">
        <f t="shared" si="63"/>
        <v>#VALUE!</v>
      </c>
      <c r="AI98" s="653"/>
      <c r="AJ98" s="483"/>
      <c r="AK98" s="491"/>
      <c r="AL98" s="491"/>
      <c r="AM98" s="483"/>
      <c r="AN98" s="653"/>
      <c r="AO98" s="483"/>
      <c r="AP98" s="491"/>
      <c r="AQ98" s="491"/>
      <c r="AR98" s="483"/>
      <c r="AS98" s="653"/>
      <c r="AT98" s="483"/>
      <c r="AU98" s="491"/>
      <c r="AV98" s="491"/>
      <c r="AW98" s="483"/>
      <c r="AX98" s="653"/>
      <c r="AZ98" s="377" t="e">
        <f t="shared" si="65"/>
        <v>#N/A</v>
      </c>
      <c r="BA98" s="653"/>
    </row>
    <row r="99" spans="2:53">
      <c r="B99" s="635"/>
      <c r="C99" s="483">
        <v>13</v>
      </c>
      <c r="D99" s="223"/>
      <c r="E99" s="491"/>
      <c r="F99" s="483"/>
      <c r="G99" s="484"/>
      <c r="H99" s="678"/>
      <c r="I99" s="487" t="str">
        <f t="shared" si="56"/>
        <v>-</v>
      </c>
      <c r="J99" s="487" t="str">
        <f t="shared" si="56"/>
        <v>-</v>
      </c>
      <c r="K99" s="363" t="str">
        <f t="shared" si="56"/>
        <v>-</v>
      </c>
      <c r="L99" s="615"/>
      <c r="M99" s="489" t="e">
        <f>RANK(K99, K$87:$K$101)</f>
        <v>#VALUE!</v>
      </c>
      <c r="N99" s="624"/>
      <c r="O99" s="624"/>
      <c r="P99" s="540" t="s">
        <v>427</v>
      </c>
      <c r="Q99" s="541" t="s">
        <v>427</v>
      </c>
      <c r="R99" s="541" t="s">
        <v>427</v>
      </c>
      <c r="S99" s="540" t="e">
        <f t="shared" si="57"/>
        <v>#VALUE!</v>
      </c>
      <c r="T99" s="653"/>
      <c r="U99" s="540" t="s">
        <v>427</v>
      </c>
      <c r="V99" s="541" t="s">
        <v>427</v>
      </c>
      <c r="W99" s="541" t="s">
        <v>427</v>
      </c>
      <c r="X99" s="540" t="e">
        <f t="shared" si="59"/>
        <v>#VALUE!</v>
      </c>
      <c r="Y99" s="653"/>
      <c r="Z99" s="540" t="s">
        <v>427</v>
      </c>
      <c r="AA99" s="541" t="s">
        <v>427</v>
      </c>
      <c r="AB99" s="541" t="s">
        <v>427</v>
      </c>
      <c r="AC99" s="540" t="e">
        <f t="shared" si="61"/>
        <v>#VALUE!</v>
      </c>
      <c r="AD99" s="653"/>
      <c r="AE99" s="540" t="s">
        <v>427</v>
      </c>
      <c r="AF99" s="541" t="s">
        <v>427</v>
      </c>
      <c r="AG99" s="541" t="s">
        <v>427</v>
      </c>
      <c r="AH99" s="540" t="e">
        <f t="shared" si="63"/>
        <v>#VALUE!</v>
      </c>
      <c r="AI99" s="653"/>
      <c r="AJ99" s="483"/>
      <c r="AK99" s="491"/>
      <c r="AL99" s="491"/>
      <c r="AM99" s="483"/>
      <c r="AN99" s="653"/>
      <c r="AO99" s="483"/>
      <c r="AP99" s="491"/>
      <c r="AQ99" s="491"/>
      <c r="AR99" s="483"/>
      <c r="AS99" s="653"/>
      <c r="AT99" s="483"/>
      <c r="AU99" s="491"/>
      <c r="AV99" s="491"/>
      <c r="AW99" s="483"/>
      <c r="AX99" s="653"/>
      <c r="AZ99" s="377" t="e">
        <f t="shared" si="65"/>
        <v>#N/A</v>
      </c>
      <c r="BA99" s="653"/>
    </row>
    <row r="100" spans="2:53">
      <c r="B100" s="635"/>
      <c r="C100" s="483">
        <v>14</v>
      </c>
      <c r="D100" s="223"/>
      <c r="E100" s="491"/>
      <c r="F100" s="483"/>
      <c r="G100" s="484"/>
      <c r="H100" s="678"/>
      <c r="I100" s="487" t="str">
        <f t="shared" si="56"/>
        <v>-</v>
      </c>
      <c r="J100" s="487" t="str">
        <f t="shared" si="56"/>
        <v>-</v>
      </c>
      <c r="K100" s="363" t="str">
        <f t="shared" si="56"/>
        <v>-</v>
      </c>
      <c r="L100" s="615"/>
      <c r="M100" s="489" t="e">
        <f>RANK(K100, K$87:$K$101)</f>
        <v>#VALUE!</v>
      </c>
      <c r="N100" s="624"/>
      <c r="O100" s="624"/>
      <c r="P100" s="540" t="s">
        <v>427</v>
      </c>
      <c r="Q100" s="541" t="s">
        <v>427</v>
      </c>
      <c r="R100" s="541" t="s">
        <v>427</v>
      </c>
      <c r="S100" s="540" t="e">
        <f t="shared" si="57"/>
        <v>#VALUE!</v>
      </c>
      <c r="T100" s="653"/>
      <c r="U100" s="540" t="s">
        <v>427</v>
      </c>
      <c r="V100" s="541" t="s">
        <v>427</v>
      </c>
      <c r="W100" s="541" t="s">
        <v>427</v>
      </c>
      <c r="X100" s="540" t="e">
        <f t="shared" si="59"/>
        <v>#VALUE!</v>
      </c>
      <c r="Y100" s="653"/>
      <c r="Z100" s="540" t="s">
        <v>427</v>
      </c>
      <c r="AA100" s="541" t="s">
        <v>427</v>
      </c>
      <c r="AB100" s="541" t="s">
        <v>427</v>
      </c>
      <c r="AC100" s="540" t="e">
        <f t="shared" si="61"/>
        <v>#VALUE!</v>
      </c>
      <c r="AD100" s="653"/>
      <c r="AE100" s="540" t="s">
        <v>427</v>
      </c>
      <c r="AF100" s="541" t="s">
        <v>427</v>
      </c>
      <c r="AG100" s="541" t="s">
        <v>427</v>
      </c>
      <c r="AH100" s="540" t="e">
        <f t="shared" si="63"/>
        <v>#VALUE!</v>
      </c>
      <c r="AI100" s="653"/>
      <c r="AJ100" s="483"/>
      <c r="AK100" s="491"/>
      <c r="AL100" s="491"/>
      <c r="AM100" s="483"/>
      <c r="AN100" s="653"/>
      <c r="AO100" s="483"/>
      <c r="AP100" s="491"/>
      <c r="AQ100" s="491"/>
      <c r="AR100" s="483"/>
      <c r="AS100" s="653"/>
      <c r="AT100" s="483"/>
      <c r="AU100" s="491"/>
      <c r="AV100" s="491"/>
      <c r="AW100" s="483"/>
      <c r="AX100" s="653"/>
      <c r="AZ100" s="377" t="e">
        <f t="shared" si="65"/>
        <v>#N/A</v>
      </c>
      <c r="BA100" s="653"/>
    </row>
    <row r="101" spans="2:53">
      <c r="B101" s="635"/>
      <c r="C101" s="483">
        <v>15</v>
      </c>
      <c r="D101" s="223"/>
      <c r="E101" s="491"/>
      <c r="F101" s="483"/>
      <c r="G101" s="484"/>
      <c r="H101" s="679"/>
      <c r="I101" s="416"/>
      <c r="J101" s="416"/>
      <c r="K101" s="416"/>
      <c r="L101" s="616"/>
      <c r="M101" s="487" t="e">
        <f>RANK(K101, K$87:$K$101)</f>
        <v>#N/A</v>
      </c>
      <c r="N101" s="624"/>
      <c r="O101" s="624"/>
      <c r="P101" s="540" t="s">
        <v>427</v>
      </c>
      <c r="Q101" s="541" t="s">
        <v>427</v>
      </c>
      <c r="R101" s="541" t="s">
        <v>427</v>
      </c>
      <c r="S101" s="540" t="e">
        <f t="shared" si="57"/>
        <v>#VALUE!</v>
      </c>
      <c r="T101" s="653"/>
      <c r="U101" s="540" t="s">
        <v>427</v>
      </c>
      <c r="V101" s="541" t="s">
        <v>427</v>
      </c>
      <c r="W101" s="541" t="s">
        <v>427</v>
      </c>
      <c r="X101" s="540" t="e">
        <f t="shared" si="59"/>
        <v>#VALUE!</v>
      </c>
      <c r="Y101" s="653"/>
      <c r="Z101" s="540" t="s">
        <v>427</v>
      </c>
      <c r="AA101" s="541" t="s">
        <v>427</v>
      </c>
      <c r="AB101" s="541" t="s">
        <v>427</v>
      </c>
      <c r="AC101" s="540" t="e">
        <f t="shared" si="61"/>
        <v>#VALUE!</v>
      </c>
      <c r="AD101" s="653"/>
      <c r="AE101" s="540" t="s">
        <v>427</v>
      </c>
      <c r="AF101" s="541" t="s">
        <v>427</v>
      </c>
      <c r="AG101" s="541" t="s">
        <v>427</v>
      </c>
      <c r="AH101" s="540" t="e">
        <f t="shared" si="63"/>
        <v>#VALUE!</v>
      </c>
      <c r="AI101" s="653"/>
      <c r="AJ101" s="483"/>
      <c r="AK101" s="491"/>
      <c r="AL101" s="491"/>
      <c r="AM101" s="483"/>
      <c r="AN101" s="653"/>
      <c r="AO101" s="483"/>
      <c r="AP101" s="491"/>
      <c r="AQ101" s="491"/>
      <c r="AR101" s="483"/>
      <c r="AS101" s="653"/>
      <c r="AT101" s="483"/>
      <c r="AU101" s="491"/>
      <c r="AV101" s="491"/>
      <c r="AW101" s="483"/>
      <c r="AX101" s="653"/>
      <c r="AZ101" s="377" t="e">
        <f t="shared" si="65"/>
        <v>#N/A</v>
      </c>
      <c r="BA101" s="653"/>
    </row>
    <row r="102" spans="2:53" ht="15.75">
      <c r="B102" s="643" t="s">
        <v>496</v>
      </c>
      <c r="C102" s="644"/>
      <c r="D102" s="644"/>
      <c r="E102" s="644"/>
      <c r="F102" s="644"/>
      <c r="G102" s="644"/>
      <c r="H102" s="645"/>
      <c r="I102" s="205"/>
      <c r="J102" s="205"/>
      <c r="K102" s="205"/>
      <c r="L102" s="205"/>
      <c r="M102" s="204"/>
      <c r="N102" s="639" t="s">
        <v>497</v>
      </c>
      <c r="O102" s="639" t="s">
        <v>498</v>
      </c>
      <c r="P102" s="634"/>
      <c r="Q102" s="635"/>
      <c r="R102" s="635"/>
      <c r="S102" s="635"/>
      <c r="T102" s="635"/>
      <c r="U102" s="636"/>
      <c r="V102" s="637"/>
      <c r="W102" s="637"/>
      <c r="X102" s="637"/>
      <c r="Y102" s="638"/>
      <c r="Z102" s="636"/>
      <c r="AA102" s="637"/>
      <c r="AB102" s="637"/>
      <c r="AC102" s="637"/>
      <c r="AD102" s="638"/>
      <c r="AE102" s="636"/>
      <c r="AF102" s="637"/>
      <c r="AG102" s="637"/>
      <c r="AH102" s="637"/>
      <c r="AI102" s="638"/>
      <c r="AJ102" s="636"/>
      <c r="AK102" s="637"/>
      <c r="AL102" s="637"/>
      <c r="AM102" s="637"/>
      <c r="AN102" s="638"/>
      <c r="AO102" s="636"/>
      <c r="AP102" s="637"/>
      <c r="AQ102" s="637"/>
      <c r="AR102" s="637"/>
      <c r="AS102" s="638"/>
      <c r="AT102" s="636"/>
      <c r="AU102" s="637"/>
      <c r="AV102" s="637"/>
      <c r="AW102" s="637"/>
      <c r="AX102" s="638"/>
    </row>
    <row r="103" spans="2:53" ht="15.75">
      <c r="B103" s="646"/>
      <c r="C103" s="646"/>
      <c r="D103" s="646"/>
      <c r="E103" s="646"/>
      <c r="F103" s="646"/>
      <c r="G103" s="646"/>
      <c r="H103" s="646"/>
      <c r="I103" s="202"/>
      <c r="J103" s="202"/>
      <c r="K103" s="202"/>
      <c r="L103" s="202"/>
      <c r="M103" s="203"/>
      <c r="N103" s="641"/>
      <c r="O103" s="641"/>
      <c r="P103" s="634" t="s">
        <v>499</v>
      </c>
      <c r="Q103" s="635"/>
      <c r="R103" s="635"/>
      <c r="S103" s="635"/>
      <c r="T103" s="635"/>
      <c r="U103" s="634" t="s">
        <v>500</v>
      </c>
      <c r="V103" s="635"/>
      <c r="W103" s="635"/>
      <c r="X103" s="635"/>
      <c r="Y103" s="635"/>
      <c r="Z103" s="634" t="s">
        <v>501</v>
      </c>
      <c r="AA103" s="635"/>
      <c r="AB103" s="635"/>
      <c r="AC103" s="635"/>
      <c r="AD103" s="635"/>
      <c r="AE103" s="634" t="s">
        <v>502</v>
      </c>
      <c r="AF103" s="635"/>
      <c r="AG103" s="635"/>
      <c r="AH103" s="635"/>
      <c r="AI103" s="635"/>
      <c r="AJ103" s="634" t="s">
        <v>503</v>
      </c>
      <c r="AK103" s="635"/>
      <c r="AL103" s="635"/>
      <c r="AM103" s="635"/>
      <c r="AN103" s="635"/>
      <c r="AO103" s="634" t="s">
        <v>504</v>
      </c>
      <c r="AP103" s="635"/>
      <c r="AQ103" s="635"/>
      <c r="AR103" s="635"/>
      <c r="AS103" s="635"/>
      <c r="AT103" s="634" t="s">
        <v>505</v>
      </c>
      <c r="AU103" s="635"/>
      <c r="AV103" s="635"/>
      <c r="AW103" s="635"/>
      <c r="AX103" s="635"/>
    </row>
    <row r="104" spans="2:53">
      <c r="B104" s="624" t="s">
        <v>506</v>
      </c>
      <c r="C104" s="624" t="s">
        <v>507</v>
      </c>
      <c r="D104" s="624"/>
      <c r="E104" s="624" t="s">
        <v>508</v>
      </c>
      <c r="F104" s="624"/>
      <c r="G104" s="624"/>
      <c r="H104" s="647" t="s">
        <v>509</v>
      </c>
      <c r="I104" s="617" t="s">
        <v>510</v>
      </c>
      <c r="J104" s="617"/>
      <c r="K104" s="617"/>
      <c r="L104" s="618" t="s">
        <v>509</v>
      </c>
      <c r="M104" s="628" t="s">
        <v>511</v>
      </c>
      <c r="N104" s="624"/>
      <c r="O104" s="624" t="s">
        <v>512</v>
      </c>
      <c r="P104" s="621" t="s">
        <v>513</v>
      </c>
      <c r="Q104" s="622"/>
      <c r="R104" s="622"/>
      <c r="S104" s="623"/>
      <c r="T104" s="624" t="s">
        <v>509</v>
      </c>
      <c r="U104" s="621" t="s">
        <v>513</v>
      </c>
      <c r="V104" s="622"/>
      <c r="W104" s="622"/>
      <c r="X104" s="623"/>
      <c r="Y104" s="624" t="s">
        <v>509</v>
      </c>
      <c r="Z104" s="621" t="s">
        <v>513</v>
      </c>
      <c r="AA104" s="622"/>
      <c r="AB104" s="622"/>
      <c r="AC104" s="623"/>
      <c r="AD104" s="624" t="s">
        <v>509</v>
      </c>
      <c r="AE104" s="621" t="s">
        <v>513</v>
      </c>
      <c r="AF104" s="622"/>
      <c r="AG104" s="622"/>
      <c r="AH104" s="623"/>
      <c r="AI104" s="624" t="s">
        <v>509</v>
      </c>
      <c r="AJ104" s="621" t="s">
        <v>513</v>
      </c>
      <c r="AK104" s="622"/>
      <c r="AL104" s="622"/>
      <c r="AM104" s="623"/>
      <c r="AN104" s="624" t="s">
        <v>509</v>
      </c>
      <c r="AO104" s="621" t="s">
        <v>513</v>
      </c>
      <c r="AP104" s="622"/>
      <c r="AQ104" s="622"/>
      <c r="AR104" s="623"/>
      <c r="AS104" s="624" t="s">
        <v>509</v>
      </c>
      <c r="AT104" s="621" t="s">
        <v>513</v>
      </c>
      <c r="AU104" s="622"/>
      <c r="AV104" s="622"/>
      <c r="AW104" s="623"/>
      <c r="AX104" s="624" t="s">
        <v>509</v>
      </c>
    </row>
    <row r="105" spans="2:53">
      <c r="B105" s="624"/>
      <c r="C105" s="624"/>
      <c r="D105" s="624"/>
      <c r="E105" s="624" t="s">
        <v>514</v>
      </c>
      <c r="F105" s="624"/>
      <c r="G105" s="624"/>
      <c r="H105" s="648"/>
      <c r="I105" s="617" t="s">
        <v>514</v>
      </c>
      <c r="J105" s="617"/>
      <c r="K105" s="617"/>
      <c r="L105" s="619"/>
      <c r="M105" s="629"/>
      <c r="N105" s="624"/>
      <c r="O105" s="624"/>
      <c r="P105" s="621" t="s">
        <v>515</v>
      </c>
      <c r="Q105" s="622"/>
      <c r="R105" s="622"/>
      <c r="S105" s="623"/>
      <c r="T105" s="624"/>
      <c r="U105" s="621" t="s">
        <v>515</v>
      </c>
      <c r="V105" s="622"/>
      <c r="W105" s="622"/>
      <c r="X105" s="623"/>
      <c r="Y105" s="624"/>
      <c r="Z105" s="621" t="s">
        <v>515</v>
      </c>
      <c r="AA105" s="622"/>
      <c r="AB105" s="622"/>
      <c r="AC105" s="623"/>
      <c r="AD105" s="624"/>
      <c r="AE105" s="621" t="s">
        <v>515</v>
      </c>
      <c r="AF105" s="622"/>
      <c r="AG105" s="622"/>
      <c r="AH105" s="623"/>
      <c r="AI105" s="624"/>
      <c r="AJ105" s="621" t="s">
        <v>515</v>
      </c>
      <c r="AK105" s="622"/>
      <c r="AL105" s="622"/>
      <c r="AM105" s="623"/>
      <c r="AN105" s="624"/>
      <c r="AO105" s="621" t="s">
        <v>515</v>
      </c>
      <c r="AP105" s="622"/>
      <c r="AQ105" s="622"/>
      <c r="AR105" s="623"/>
      <c r="AS105" s="624"/>
      <c r="AT105" s="621" t="s">
        <v>515</v>
      </c>
      <c r="AU105" s="622"/>
      <c r="AV105" s="622"/>
      <c r="AW105" s="623"/>
      <c r="AX105" s="624"/>
    </row>
    <row r="106" spans="2:53">
      <c r="B106" s="624"/>
      <c r="C106" s="624"/>
      <c r="D106" s="624"/>
      <c r="E106" s="353" t="s">
        <v>516</v>
      </c>
      <c r="F106" s="353" t="s">
        <v>517</v>
      </c>
      <c r="G106" s="353" t="s">
        <v>518</v>
      </c>
      <c r="H106" s="649"/>
      <c r="I106" s="352" t="s">
        <v>516</v>
      </c>
      <c r="J106" s="352" t="s">
        <v>517</v>
      </c>
      <c r="K106" s="352" t="s">
        <v>518</v>
      </c>
      <c r="L106" s="620"/>
      <c r="M106" s="630"/>
      <c r="N106" s="624"/>
      <c r="O106" s="624"/>
      <c r="P106" s="353" t="s">
        <v>516</v>
      </c>
      <c r="Q106" s="353" t="s">
        <v>517</v>
      </c>
      <c r="R106" s="353" t="s">
        <v>518</v>
      </c>
      <c r="S106" s="353" t="s">
        <v>511</v>
      </c>
      <c r="T106" s="624"/>
      <c r="U106" s="353" t="s">
        <v>516</v>
      </c>
      <c r="V106" s="353" t="s">
        <v>517</v>
      </c>
      <c r="W106" s="353" t="s">
        <v>518</v>
      </c>
      <c r="X106" s="353" t="s">
        <v>511</v>
      </c>
      <c r="Y106" s="624"/>
      <c r="Z106" s="353" t="s">
        <v>516</v>
      </c>
      <c r="AA106" s="353" t="s">
        <v>517</v>
      </c>
      <c r="AB106" s="353" t="s">
        <v>518</v>
      </c>
      <c r="AC106" s="353" t="s">
        <v>511</v>
      </c>
      <c r="AD106" s="624"/>
      <c r="AE106" s="353" t="s">
        <v>516</v>
      </c>
      <c r="AF106" s="353" t="s">
        <v>517</v>
      </c>
      <c r="AG106" s="353" t="s">
        <v>518</v>
      </c>
      <c r="AH106" s="353" t="s">
        <v>511</v>
      </c>
      <c r="AI106" s="624"/>
      <c r="AJ106" s="353" t="s">
        <v>516</v>
      </c>
      <c r="AK106" s="353" t="s">
        <v>517</v>
      </c>
      <c r="AL106" s="353" t="s">
        <v>518</v>
      </c>
      <c r="AM106" s="353" t="s">
        <v>511</v>
      </c>
      <c r="AN106" s="624"/>
      <c r="AO106" s="353" t="s">
        <v>516</v>
      </c>
      <c r="AP106" s="353" t="s">
        <v>517</v>
      </c>
      <c r="AQ106" s="353" t="s">
        <v>518</v>
      </c>
      <c r="AR106" s="353" t="s">
        <v>511</v>
      </c>
      <c r="AS106" s="624"/>
      <c r="AT106" s="353" t="s">
        <v>516</v>
      </c>
      <c r="AU106" s="353" t="s">
        <v>517</v>
      </c>
      <c r="AV106" s="353" t="s">
        <v>518</v>
      </c>
      <c r="AW106" s="353" t="s">
        <v>511</v>
      </c>
      <c r="AX106" s="624"/>
    </row>
    <row r="107" spans="2:53">
      <c r="B107" s="624" t="s">
        <v>525</v>
      </c>
      <c r="C107" s="354">
        <v>1</v>
      </c>
      <c r="D107" s="223"/>
      <c r="E107" s="182"/>
      <c r="F107" s="354"/>
      <c r="G107" s="362"/>
      <c r="H107" s="677" t="e">
        <f>AVERAGE(G107:G121)</f>
        <v>#DIV/0!</v>
      </c>
      <c r="I107" s="379" t="str">
        <f t="shared" ref="I107:K121" si="67">IFERROR(AVERAGE(P107,U107,Z107,AE107,AJ107,AO107,AT107),"-")</f>
        <v>-</v>
      </c>
      <c r="J107" s="379" t="str">
        <f t="shared" si="67"/>
        <v>-</v>
      </c>
      <c r="K107" s="363" t="str">
        <f t="shared" si="67"/>
        <v>-</v>
      </c>
      <c r="L107" s="614" t="str">
        <f>IFERROR(AVERAGE(K107:K121),"-")</f>
        <v>-</v>
      </c>
      <c r="M107" s="364" t="e">
        <f>RANK(K107, K$87:$K$101)</f>
        <v>#VALUE!</v>
      </c>
      <c r="N107" s="624"/>
      <c r="O107" s="624"/>
      <c r="P107" s="182"/>
      <c r="Q107" s="182"/>
      <c r="R107" s="362"/>
      <c r="S107" s="500"/>
      <c r="T107" s="674"/>
      <c r="U107" s="182"/>
      <c r="V107" s="182"/>
      <c r="W107" s="362"/>
      <c r="X107" s="354"/>
      <c r="Y107" s="653"/>
      <c r="Z107" s="182"/>
      <c r="AA107" s="182"/>
      <c r="AB107" s="362"/>
      <c r="AC107" s="354"/>
      <c r="AD107" s="653"/>
      <c r="AE107" s="182"/>
      <c r="AF107" s="182"/>
      <c r="AG107" s="362"/>
      <c r="AH107" s="354"/>
      <c r="AI107" s="653"/>
      <c r="AJ107" s="182"/>
      <c r="AK107" s="182"/>
      <c r="AL107" s="362"/>
      <c r="AM107" s="354"/>
      <c r="AN107" s="653"/>
      <c r="AO107" s="182"/>
      <c r="AP107" s="182"/>
      <c r="AQ107" s="362"/>
      <c r="AR107" s="354"/>
      <c r="AS107" s="653"/>
      <c r="AT107" s="182"/>
      <c r="AU107" s="182"/>
      <c r="AV107" s="362"/>
      <c r="AW107" s="354"/>
      <c r="AX107" s="653"/>
      <c r="AZ107" s="500" t="e">
        <f>RANK(AY107, AY$107:AY$121)</f>
        <v>#N/A</v>
      </c>
      <c r="BA107" s="674" t="e">
        <f t="shared" ref="BA107" si="68">AVERAGE(AY107:AY121)</f>
        <v>#DIV/0!</v>
      </c>
    </row>
    <row r="108" spans="2:53">
      <c r="B108" s="635"/>
      <c r="C108" s="354">
        <v>2</v>
      </c>
      <c r="D108" s="223"/>
      <c r="E108" s="182"/>
      <c r="F108" s="354"/>
      <c r="G108" s="362"/>
      <c r="H108" s="678"/>
      <c r="I108" s="379" t="str">
        <f t="shared" si="67"/>
        <v>-</v>
      </c>
      <c r="J108" s="379" t="str">
        <f t="shared" si="67"/>
        <v>-</v>
      </c>
      <c r="K108" s="363" t="str">
        <f t="shared" si="67"/>
        <v>-</v>
      </c>
      <c r="L108" s="615"/>
      <c r="M108" s="364" t="e">
        <f>RANK(K108, K$87:$K$101)</f>
        <v>#VALUE!</v>
      </c>
      <c r="N108" s="624"/>
      <c r="O108" s="624"/>
      <c r="P108" s="354"/>
      <c r="Q108" s="182"/>
      <c r="R108" s="362"/>
      <c r="S108" s="500"/>
      <c r="T108" s="674"/>
      <c r="U108" s="354"/>
      <c r="V108" s="182"/>
      <c r="W108" s="362"/>
      <c r="X108" s="354"/>
      <c r="Y108" s="653"/>
      <c r="Z108" s="354"/>
      <c r="AA108" s="182"/>
      <c r="AB108" s="362"/>
      <c r="AC108" s="354"/>
      <c r="AD108" s="653"/>
      <c r="AE108" s="354"/>
      <c r="AF108" s="182"/>
      <c r="AG108" s="362"/>
      <c r="AH108" s="354"/>
      <c r="AI108" s="653"/>
      <c r="AJ108" s="354"/>
      <c r="AK108" s="182"/>
      <c r="AL108" s="362"/>
      <c r="AM108" s="354"/>
      <c r="AN108" s="653"/>
      <c r="AO108" s="354"/>
      <c r="AP108" s="182"/>
      <c r="AQ108" s="362"/>
      <c r="AR108" s="354"/>
      <c r="AS108" s="653"/>
      <c r="AT108" s="354"/>
      <c r="AU108" s="182"/>
      <c r="AV108" s="362"/>
      <c r="AW108" s="354"/>
      <c r="AX108" s="653"/>
      <c r="AZ108" s="500" t="e">
        <f t="shared" ref="AZ108:AZ121" si="69">RANK(AY108, AY$107:AY$121)</f>
        <v>#N/A</v>
      </c>
      <c r="BA108" s="674"/>
    </row>
    <row r="109" spans="2:53">
      <c r="B109" s="635"/>
      <c r="C109" s="354">
        <v>3</v>
      </c>
      <c r="D109" s="223"/>
      <c r="E109" s="182"/>
      <c r="F109" s="354"/>
      <c r="G109" s="362"/>
      <c r="H109" s="678"/>
      <c r="I109" s="379" t="str">
        <f t="shared" si="67"/>
        <v>-</v>
      </c>
      <c r="J109" s="379" t="str">
        <f t="shared" si="67"/>
        <v>-</v>
      </c>
      <c r="K109" s="363" t="str">
        <f t="shared" si="67"/>
        <v>-</v>
      </c>
      <c r="L109" s="615"/>
      <c r="M109" s="364" t="e">
        <f>RANK(K109, K$87:$K$101)</f>
        <v>#VALUE!</v>
      </c>
      <c r="N109" s="624"/>
      <c r="O109" s="624"/>
      <c r="P109" s="354"/>
      <c r="Q109" s="354"/>
      <c r="R109" s="354"/>
      <c r="S109" s="500"/>
      <c r="T109" s="674"/>
      <c r="U109" s="354"/>
      <c r="V109" s="354"/>
      <c r="W109" s="354"/>
      <c r="X109" s="354"/>
      <c r="Y109" s="653"/>
      <c r="Z109" s="354"/>
      <c r="AA109" s="354"/>
      <c r="AB109" s="354"/>
      <c r="AC109" s="354"/>
      <c r="AD109" s="653"/>
      <c r="AE109" s="354"/>
      <c r="AF109" s="354"/>
      <c r="AG109" s="354"/>
      <c r="AH109" s="354"/>
      <c r="AI109" s="653"/>
      <c r="AJ109" s="354"/>
      <c r="AK109" s="354"/>
      <c r="AL109" s="354"/>
      <c r="AM109" s="354"/>
      <c r="AN109" s="653"/>
      <c r="AO109" s="354"/>
      <c r="AP109" s="354"/>
      <c r="AQ109" s="354"/>
      <c r="AR109" s="354"/>
      <c r="AS109" s="653"/>
      <c r="AT109" s="354"/>
      <c r="AU109" s="354"/>
      <c r="AV109" s="354"/>
      <c r="AW109" s="354"/>
      <c r="AX109" s="653"/>
      <c r="AZ109" s="500" t="e">
        <f t="shared" si="69"/>
        <v>#N/A</v>
      </c>
      <c r="BA109" s="674"/>
    </row>
    <row r="110" spans="2:53">
      <c r="B110" s="635"/>
      <c r="C110" s="354">
        <v>4</v>
      </c>
      <c r="D110" s="223"/>
      <c r="E110" s="182"/>
      <c r="F110" s="354"/>
      <c r="G110" s="362"/>
      <c r="H110" s="678"/>
      <c r="I110" s="379" t="str">
        <f t="shared" si="67"/>
        <v>-</v>
      </c>
      <c r="J110" s="379" t="str">
        <f t="shared" si="67"/>
        <v>-</v>
      </c>
      <c r="K110" s="363" t="str">
        <f t="shared" si="67"/>
        <v>-</v>
      </c>
      <c r="L110" s="615"/>
      <c r="M110" s="364" t="e">
        <f>RANK(K110, K$87:$K$101)</f>
        <v>#VALUE!</v>
      </c>
      <c r="N110" s="624"/>
      <c r="O110" s="624"/>
      <c r="P110" s="354"/>
      <c r="Q110" s="354"/>
      <c r="R110" s="354"/>
      <c r="S110" s="500"/>
      <c r="T110" s="674"/>
      <c r="U110" s="354"/>
      <c r="V110" s="354"/>
      <c r="W110" s="354"/>
      <c r="X110" s="354"/>
      <c r="Y110" s="653"/>
      <c r="Z110" s="354"/>
      <c r="AA110" s="354"/>
      <c r="AB110" s="354"/>
      <c r="AC110" s="354"/>
      <c r="AD110" s="653"/>
      <c r="AE110" s="354"/>
      <c r="AF110" s="354"/>
      <c r="AG110" s="354"/>
      <c r="AH110" s="354"/>
      <c r="AI110" s="653"/>
      <c r="AJ110" s="354"/>
      <c r="AK110" s="354"/>
      <c r="AL110" s="354"/>
      <c r="AM110" s="354"/>
      <c r="AN110" s="653"/>
      <c r="AO110" s="354"/>
      <c r="AP110" s="354"/>
      <c r="AQ110" s="354"/>
      <c r="AR110" s="354"/>
      <c r="AS110" s="653"/>
      <c r="AT110" s="354"/>
      <c r="AU110" s="354"/>
      <c r="AV110" s="354"/>
      <c r="AW110" s="354"/>
      <c r="AX110" s="653"/>
      <c r="AZ110" s="500" t="e">
        <f t="shared" si="69"/>
        <v>#N/A</v>
      </c>
      <c r="BA110" s="674"/>
    </row>
    <row r="111" spans="2:53">
      <c r="B111" s="635"/>
      <c r="C111" s="354">
        <v>5</v>
      </c>
      <c r="D111" s="223"/>
      <c r="E111" s="182"/>
      <c r="F111" s="354"/>
      <c r="G111" s="362"/>
      <c r="H111" s="678"/>
      <c r="I111" s="379" t="str">
        <f t="shared" si="67"/>
        <v>-</v>
      </c>
      <c r="J111" s="379" t="str">
        <f t="shared" si="67"/>
        <v>-</v>
      </c>
      <c r="K111" s="363" t="str">
        <f t="shared" si="67"/>
        <v>-</v>
      </c>
      <c r="L111" s="615"/>
      <c r="M111" s="364" t="e">
        <f>RANK(K111, K$87:$K$101)</f>
        <v>#VALUE!</v>
      </c>
      <c r="N111" s="624"/>
      <c r="O111" s="624"/>
      <c r="P111" s="354"/>
      <c r="Q111" s="354"/>
      <c r="R111" s="354"/>
      <c r="S111" s="500"/>
      <c r="T111" s="674"/>
      <c r="U111" s="354"/>
      <c r="V111" s="354"/>
      <c r="W111" s="354"/>
      <c r="X111" s="354"/>
      <c r="Y111" s="653"/>
      <c r="Z111" s="354"/>
      <c r="AA111" s="354"/>
      <c r="AB111" s="354"/>
      <c r="AC111" s="354"/>
      <c r="AD111" s="653"/>
      <c r="AE111" s="354"/>
      <c r="AF111" s="354"/>
      <c r="AG111" s="354"/>
      <c r="AH111" s="354"/>
      <c r="AI111" s="653"/>
      <c r="AJ111" s="354"/>
      <c r="AK111" s="354"/>
      <c r="AL111" s="354"/>
      <c r="AM111" s="354"/>
      <c r="AN111" s="653"/>
      <c r="AO111" s="354"/>
      <c r="AP111" s="354"/>
      <c r="AQ111" s="354"/>
      <c r="AR111" s="354"/>
      <c r="AS111" s="653"/>
      <c r="AT111" s="354"/>
      <c r="AU111" s="354"/>
      <c r="AV111" s="354"/>
      <c r="AW111" s="354"/>
      <c r="AX111" s="653"/>
      <c r="AZ111" s="500" t="e">
        <f t="shared" si="69"/>
        <v>#N/A</v>
      </c>
      <c r="BA111" s="674"/>
    </row>
    <row r="112" spans="2:53">
      <c r="B112" s="635"/>
      <c r="C112" s="354">
        <v>6</v>
      </c>
      <c r="D112" s="223"/>
      <c r="E112" s="182"/>
      <c r="F112" s="354"/>
      <c r="G112" s="362"/>
      <c r="H112" s="678"/>
      <c r="I112" s="379" t="str">
        <f t="shared" si="67"/>
        <v>-</v>
      </c>
      <c r="J112" s="379" t="str">
        <f t="shared" si="67"/>
        <v>-</v>
      </c>
      <c r="K112" s="363" t="str">
        <f t="shared" si="67"/>
        <v>-</v>
      </c>
      <c r="L112" s="615"/>
      <c r="M112" s="364" t="e">
        <f>RANK(K112, K$87:$K$101)</f>
        <v>#VALUE!</v>
      </c>
      <c r="N112" s="624"/>
      <c r="O112" s="624"/>
      <c r="P112" s="354"/>
      <c r="Q112" s="354"/>
      <c r="R112" s="354"/>
      <c r="S112" s="500"/>
      <c r="T112" s="674"/>
      <c r="U112" s="354"/>
      <c r="V112" s="354"/>
      <c r="W112" s="354"/>
      <c r="X112" s="354"/>
      <c r="Y112" s="653"/>
      <c r="Z112" s="354"/>
      <c r="AA112" s="354"/>
      <c r="AB112" s="354"/>
      <c r="AC112" s="354"/>
      <c r="AD112" s="653"/>
      <c r="AE112" s="354"/>
      <c r="AF112" s="354"/>
      <c r="AG112" s="354"/>
      <c r="AH112" s="354"/>
      <c r="AI112" s="653"/>
      <c r="AJ112" s="354"/>
      <c r="AK112" s="354"/>
      <c r="AL112" s="354"/>
      <c r="AM112" s="354"/>
      <c r="AN112" s="653"/>
      <c r="AO112" s="354"/>
      <c r="AP112" s="354"/>
      <c r="AQ112" s="354"/>
      <c r="AR112" s="354"/>
      <c r="AS112" s="653"/>
      <c r="AT112" s="354"/>
      <c r="AU112" s="354"/>
      <c r="AV112" s="354"/>
      <c r="AW112" s="354"/>
      <c r="AX112" s="653"/>
      <c r="AZ112" s="500" t="e">
        <f t="shared" si="69"/>
        <v>#N/A</v>
      </c>
      <c r="BA112" s="674"/>
    </row>
    <row r="113" spans="2:53">
      <c r="B113" s="635"/>
      <c r="C113" s="354">
        <v>7</v>
      </c>
      <c r="D113" s="223"/>
      <c r="E113" s="182"/>
      <c r="F113" s="354"/>
      <c r="G113" s="362"/>
      <c r="H113" s="678"/>
      <c r="I113" s="379" t="str">
        <f t="shared" si="67"/>
        <v>-</v>
      </c>
      <c r="J113" s="379" t="str">
        <f t="shared" si="67"/>
        <v>-</v>
      </c>
      <c r="K113" s="363" t="str">
        <f t="shared" si="67"/>
        <v>-</v>
      </c>
      <c r="L113" s="615"/>
      <c r="M113" s="364" t="e">
        <f>RANK(K113, K$87:$K$101)</f>
        <v>#VALUE!</v>
      </c>
      <c r="N113" s="624"/>
      <c r="O113" s="624"/>
      <c r="P113" s="354"/>
      <c r="Q113" s="354"/>
      <c r="R113" s="354"/>
      <c r="S113" s="500"/>
      <c r="T113" s="674"/>
      <c r="U113" s="354"/>
      <c r="V113" s="354"/>
      <c r="W113" s="354"/>
      <c r="X113" s="354"/>
      <c r="Y113" s="653"/>
      <c r="Z113" s="354"/>
      <c r="AA113" s="354"/>
      <c r="AB113" s="354"/>
      <c r="AC113" s="354"/>
      <c r="AD113" s="653"/>
      <c r="AE113" s="354"/>
      <c r="AF113" s="354"/>
      <c r="AG113" s="354"/>
      <c r="AH113" s="354"/>
      <c r="AI113" s="653"/>
      <c r="AJ113" s="354"/>
      <c r="AK113" s="354"/>
      <c r="AL113" s="354"/>
      <c r="AM113" s="354"/>
      <c r="AN113" s="653"/>
      <c r="AO113" s="354"/>
      <c r="AP113" s="354"/>
      <c r="AQ113" s="354"/>
      <c r="AR113" s="354"/>
      <c r="AS113" s="653"/>
      <c r="AT113" s="354"/>
      <c r="AU113" s="354"/>
      <c r="AV113" s="354"/>
      <c r="AW113" s="354"/>
      <c r="AX113" s="653"/>
      <c r="AZ113" s="500" t="e">
        <f t="shared" si="69"/>
        <v>#N/A</v>
      </c>
      <c r="BA113" s="674"/>
    </row>
    <row r="114" spans="2:53">
      <c r="B114" s="635"/>
      <c r="C114" s="354">
        <v>8</v>
      </c>
      <c r="D114" s="223"/>
      <c r="E114" s="182"/>
      <c r="F114" s="354"/>
      <c r="G114" s="362"/>
      <c r="H114" s="678"/>
      <c r="I114" s="379" t="str">
        <f t="shared" si="67"/>
        <v>-</v>
      </c>
      <c r="J114" s="379" t="str">
        <f t="shared" si="67"/>
        <v>-</v>
      </c>
      <c r="K114" s="363" t="str">
        <f t="shared" si="67"/>
        <v>-</v>
      </c>
      <c r="L114" s="615"/>
      <c r="M114" s="364" t="e">
        <f>RANK(K114, K$87:$K$101)</f>
        <v>#VALUE!</v>
      </c>
      <c r="N114" s="624"/>
      <c r="O114" s="624"/>
      <c r="P114" s="354"/>
      <c r="Q114" s="354"/>
      <c r="R114" s="354"/>
      <c r="S114" s="500"/>
      <c r="T114" s="674"/>
      <c r="U114" s="354"/>
      <c r="V114" s="354"/>
      <c r="W114" s="354"/>
      <c r="X114" s="354"/>
      <c r="Y114" s="653"/>
      <c r="Z114" s="354"/>
      <c r="AA114" s="354"/>
      <c r="AB114" s="354"/>
      <c r="AC114" s="354"/>
      <c r="AD114" s="653"/>
      <c r="AE114" s="354"/>
      <c r="AF114" s="354"/>
      <c r="AG114" s="354"/>
      <c r="AH114" s="354"/>
      <c r="AI114" s="653"/>
      <c r="AJ114" s="354"/>
      <c r="AK114" s="354"/>
      <c r="AL114" s="354"/>
      <c r="AM114" s="354"/>
      <c r="AN114" s="653"/>
      <c r="AO114" s="354"/>
      <c r="AP114" s="354"/>
      <c r="AQ114" s="354"/>
      <c r="AR114" s="354"/>
      <c r="AS114" s="653"/>
      <c r="AT114" s="354"/>
      <c r="AU114" s="354"/>
      <c r="AV114" s="354"/>
      <c r="AW114" s="354"/>
      <c r="AX114" s="653"/>
      <c r="AZ114" s="500" t="e">
        <f t="shared" si="69"/>
        <v>#N/A</v>
      </c>
      <c r="BA114" s="674"/>
    </row>
    <row r="115" spans="2:53">
      <c r="B115" s="635"/>
      <c r="C115" s="354">
        <v>9</v>
      </c>
      <c r="D115" s="223"/>
      <c r="E115" s="182"/>
      <c r="F115" s="354"/>
      <c r="G115" s="362"/>
      <c r="H115" s="678"/>
      <c r="I115" s="379" t="str">
        <f t="shared" si="67"/>
        <v>-</v>
      </c>
      <c r="J115" s="379" t="str">
        <f t="shared" si="67"/>
        <v>-</v>
      </c>
      <c r="K115" s="363" t="str">
        <f t="shared" si="67"/>
        <v>-</v>
      </c>
      <c r="L115" s="615"/>
      <c r="M115" s="364" t="e">
        <f>RANK(K115, K$87:$K$101)</f>
        <v>#VALUE!</v>
      </c>
      <c r="N115" s="624"/>
      <c r="O115" s="624"/>
      <c r="P115" s="354"/>
      <c r="Q115" s="354"/>
      <c r="R115" s="354"/>
      <c r="S115" s="500"/>
      <c r="T115" s="674"/>
      <c r="U115" s="354"/>
      <c r="V115" s="354"/>
      <c r="W115" s="354"/>
      <c r="X115" s="354"/>
      <c r="Y115" s="653"/>
      <c r="Z115" s="354"/>
      <c r="AA115" s="354"/>
      <c r="AB115" s="354"/>
      <c r="AC115" s="354"/>
      <c r="AD115" s="653"/>
      <c r="AE115" s="354"/>
      <c r="AF115" s="354"/>
      <c r="AG115" s="354"/>
      <c r="AH115" s="354"/>
      <c r="AI115" s="653"/>
      <c r="AJ115" s="354"/>
      <c r="AK115" s="354"/>
      <c r="AL115" s="354"/>
      <c r="AM115" s="354"/>
      <c r="AN115" s="653"/>
      <c r="AO115" s="354"/>
      <c r="AP115" s="354"/>
      <c r="AQ115" s="354"/>
      <c r="AR115" s="354"/>
      <c r="AS115" s="653"/>
      <c r="AT115" s="354"/>
      <c r="AU115" s="354"/>
      <c r="AV115" s="354"/>
      <c r="AW115" s="354"/>
      <c r="AX115" s="653"/>
      <c r="AZ115" s="500" t="e">
        <f t="shared" si="69"/>
        <v>#N/A</v>
      </c>
      <c r="BA115" s="674"/>
    </row>
    <row r="116" spans="2:53">
      <c r="B116" s="635"/>
      <c r="C116" s="354">
        <v>10</v>
      </c>
      <c r="D116" s="223"/>
      <c r="E116" s="182"/>
      <c r="F116" s="354"/>
      <c r="G116" s="362"/>
      <c r="H116" s="678"/>
      <c r="I116" s="379" t="str">
        <f t="shared" si="67"/>
        <v>-</v>
      </c>
      <c r="J116" s="379" t="str">
        <f t="shared" si="67"/>
        <v>-</v>
      </c>
      <c r="K116" s="363" t="str">
        <f t="shared" si="67"/>
        <v>-</v>
      </c>
      <c r="L116" s="615"/>
      <c r="M116" s="364" t="e">
        <f>RANK(K116, K$87:$K$101)</f>
        <v>#VALUE!</v>
      </c>
      <c r="N116" s="624"/>
      <c r="O116" s="624"/>
      <c r="P116" s="354"/>
      <c r="Q116" s="354"/>
      <c r="R116" s="354"/>
      <c r="S116" s="500"/>
      <c r="T116" s="674"/>
      <c r="U116" s="354"/>
      <c r="V116" s="354"/>
      <c r="W116" s="354"/>
      <c r="X116" s="354"/>
      <c r="Y116" s="653"/>
      <c r="Z116" s="354"/>
      <c r="AA116" s="354"/>
      <c r="AB116" s="354"/>
      <c r="AC116" s="354"/>
      <c r="AD116" s="653"/>
      <c r="AE116" s="354"/>
      <c r="AF116" s="354"/>
      <c r="AG116" s="354"/>
      <c r="AH116" s="354"/>
      <c r="AI116" s="653"/>
      <c r="AJ116" s="354"/>
      <c r="AK116" s="354"/>
      <c r="AL116" s="354"/>
      <c r="AM116" s="354"/>
      <c r="AN116" s="653"/>
      <c r="AO116" s="354"/>
      <c r="AP116" s="354"/>
      <c r="AQ116" s="354"/>
      <c r="AR116" s="354"/>
      <c r="AS116" s="653"/>
      <c r="AT116" s="354"/>
      <c r="AU116" s="354"/>
      <c r="AV116" s="354"/>
      <c r="AW116" s="354"/>
      <c r="AX116" s="653"/>
      <c r="AZ116" s="500" t="e">
        <f t="shared" si="69"/>
        <v>#N/A</v>
      </c>
      <c r="BA116" s="674"/>
    </row>
    <row r="117" spans="2:53">
      <c r="B117" s="635"/>
      <c r="C117" s="354">
        <v>11</v>
      </c>
      <c r="D117" s="223"/>
      <c r="E117" s="182"/>
      <c r="F117" s="354"/>
      <c r="G117" s="362"/>
      <c r="H117" s="678"/>
      <c r="I117" s="379" t="str">
        <f t="shared" si="67"/>
        <v>-</v>
      </c>
      <c r="J117" s="379" t="str">
        <f t="shared" si="67"/>
        <v>-</v>
      </c>
      <c r="K117" s="363" t="str">
        <f t="shared" si="67"/>
        <v>-</v>
      </c>
      <c r="L117" s="615"/>
      <c r="M117" s="364" t="e">
        <f>RANK(K117, K$87:$K$101)</f>
        <v>#VALUE!</v>
      </c>
      <c r="N117" s="624"/>
      <c r="O117" s="624"/>
      <c r="P117" s="354"/>
      <c r="Q117" s="354"/>
      <c r="R117" s="354"/>
      <c r="S117" s="500"/>
      <c r="T117" s="674"/>
      <c r="U117" s="354"/>
      <c r="V117" s="354"/>
      <c r="W117" s="354"/>
      <c r="X117" s="354"/>
      <c r="Y117" s="653"/>
      <c r="Z117" s="354"/>
      <c r="AA117" s="354"/>
      <c r="AB117" s="354"/>
      <c r="AC117" s="354"/>
      <c r="AD117" s="653"/>
      <c r="AE117" s="354"/>
      <c r="AF117" s="354"/>
      <c r="AG117" s="354"/>
      <c r="AH117" s="354"/>
      <c r="AI117" s="653"/>
      <c r="AJ117" s="354"/>
      <c r="AK117" s="354"/>
      <c r="AL117" s="354"/>
      <c r="AM117" s="354"/>
      <c r="AN117" s="653"/>
      <c r="AO117" s="354"/>
      <c r="AP117" s="354"/>
      <c r="AQ117" s="354"/>
      <c r="AR117" s="354"/>
      <c r="AS117" s="653"/>
      <c r="AT117" s="354"/>
      <c r="AU117" s="354"/>
      <c r="AV117" s="354"/>
      <c r="AW117" s="354"/>
      <c r="AX117" s="653"/>
      <c r="AZ117" s="500" t="e">
        <f t="shared" si="69"/>
        <v>#N/A</v>
      </c>
      <c r="BA117" s="674"/>
    </row>
    <row r="118" spans="2:53">
      <c r="B118" s="635"/>
      <c r="C118" s="354">
        <v>12</v>
      </c>
      <c r="D118" s="223"/>
      <c r="E118" s="182"/>
      <c r="F118" s="354"/>
      <c r="G118" s="362"/>
      <c r="H118" s="678"/>
      <c r="I118" s="379" t="str">
        <f t="shared" si="67"/>
        <v>-</v>
      </c>
      <c r="J118" s="379" t="str">
        <f t="shared" si="67"/>
        <v>-</v>
      </c>
      <c r="K118" s="363" t="str">
        <f t="shared" si="67"/>
        <v>-</v>
      </c>
      <c r="L118" s="615"/>
      <c r="M118" s="364" t="e">
        <f>RANK(K118, K$87:$K$101)</f>
        <v>#VALUE!</v>
      </c>
      <c r="N118" s="624"/>
      <c r="O118" s="624"/>
      <c r="P118" s="354"/>
      <c r="Q118" s="354"/>
      <c r="R118" s="354"/>
      <c r="S118" s="500"/>
      <c r="T118" s="674"/>
      <c r="U118" s="354"/>
      <c r="V118" s="354"/>
      <c r="W118" s="354"/>
      <c r="X118" s="354"/>
      <c r="Y118" s="653"/>
      <c r="Z118" s="354"/>
      <c r="AA118" s="354"/>
      <c r="AB118" s="354"/>
      <c r="AC118" s="354"/>
      <c r="AD118" s="653"/>
      <c r="AE118" s="354"/>
      <c r="AF118" s="354"/>
      <c r="AG118" s="354"/>
      <c r="AH118" s="354"/>
      <c r="AI118" s="653"/>
      <c r="AJ118" s="354"/>
      <c r="AK118" s="354"/>
      <c r="AL118" s="354"/>
      <c r="AM118" s="354"/>
      <c r="AN118" s="653"/>
      <c r="AO118" s="354"/>
      <c r="AP118" s="354"/>
      <c r="AQ118" s="354"/>
      <c r="AR118" s="354"/>
      <c r="AS118" s="653"/>
      <c r="AT118" s="354"/>
      <c r="AU118" s="354"/>
      <c r="AV118" s="354"/>
      <c r="AW118" s="354"/>
      <c r="AX118" s="653"/>
      <c r="AZ118" s="500" t="e">
        <f t="shared" si="69"/>
        <v>#N/A</v>
      </c>
      <c r="BA118" s="674"/>
    </row>
    <row r="119" spans="2:53">
      <c r="B119" s="635"/>
      <c r="C119" s="354">
        <v>13</v>
      </c>
      <c r="D119" s="223"/>
      <c r="E119" s="182"/>
      <c r="F119" s="354"/>
      <c r="G119" s="362"/>
      <c r="H119" s="678"/>
      <c r="I119" s="379" t="str">
        <f t="shared" si="67"/>
        <v>-</v>
      </c>
      <c r="J119" s="379" t="str">
        <f t="shared" si="67"/>
        <v>-</v>
      </c>
      <c r="K119" s="363" t="str">
        <f t="shared" si="67"/>
        <v>-</v>
      </c>
      <c r="L119" s="615"/>
      <c r="M119" s="364" t="e">
        <f>RANK(K119, K$87:$K$101)</f>
        <v>#VALUE!</v>
      </c>
      <c r="N119" s="624"/>
      <c r="O119" s="624"/>
      <c r="P119" s="354"/>
      <c r="Q119" s="354"/>
      <c r="R119" s="354"/>
      <c r="S119" s="500"/>
      <c r="T119" s="674"/>
      <c r="U119" s="354"/>
      <c r="V119" s="354"/>
      <c r="W119" s="354"/>
      <c r="X119" s="354"/>
      <c r="Y119" s="653"/>
      <c r="Z119" s="354"/>
      <c r="AA119" s="354"/>
      <c r="AB119" s="354"/>
      <c r="AC119" s="354"/>
      <c r="AD119" s="653"/>
      <c r="AE119" s="354"/>
      <c r="AF119" s="354"/>
      <c r="AG119" s="354"/>
      <c r="AH119" s="354"/>
      <c r="AI119" s="653"/>
      <c r="AJ119" s="354"/>
      <c r="AK119" s="354"/>
      <c r="AL119" s="354"/>
      <c r="AM119" s="354"/>
      <c r="AN119" s="653"/>
      <c r="AO119" s="354"/>
      <c r="AP119" s="354"/>
      <c r="AQ119" s="354"/>
      <c r="AR119" s="354"/>
      <c r="AS119" s="653"/>
      <c r="AT119" s="354"/>
      <c r="AU119" s="354"/>
      <c r="AV119" s="354"/>
      <c r="AW119" s="354"/>
      <c r="AX119" s="653"/>
      <c r="AZ119" s="500" t="e">
        <f t="shared" si="69"/>
        <v>#N/A</v>
      </c>
      <c r="BA119" s="674"/>
    </row>
    <row r="120" spans="2:53">
      <c r="B120" s="635"/>
      <c r="C120" s="354">
        <v>14</v>
      </c>
      <c r="D120" s="223"/>
      <c r="E120" s="182"/>
      <c r="F120" s="354"/>
      <c r="G120" s="362"/>
      <c r="H120" s="678"/>
      <c r="I120" s="379" t="str">
        <f t="shared" si="67"/>
        <v>-</v>
      </c>
      <c r="J120" s="379" t="str">
        <f t="shared" si="67"/>
        <v>-</v>
      </c>
      <c r="K120" s="363" t="str">
        <f t="shared" si="67"/>
        <v>-</v>
      </c>
      <c r="L120" s="615"/>
      <c r="M120" s="364" t="e">
        <f>RANK(K120, K$87:$K$101)</f>
        <v>#VALUE!</v>
      </c>
      <c r="N120" s="624"/>
      <c r="O120" s="624"/>
      <c r="P120" s="354"/>
      <c r="Q120" s="354"/>
      <c r="R120" s="354"/>
      <c r="S120" s="500"/>
      <c r="T120" s="674"/>
      <c r="U120" s="354"/>
      <c r="V120" s="354"/>
      <c r="W120" s="354"/>
      <c r="X120" s="354"/>
      <c r="Y120" s="653"/>
      <c r="Z120" s="354"/>
      <c r="AA120" s="354"/>
      <c r="AB120" s="354"/>
      <c r="AC120" s="354"/>
      <c r="AD120" s="653"/>
      <c r="AE120" s="354"/>
      <c r="AF120" s="354"/>
      <c r="AG120" s="354"/>
      <c r="AH120" s="354"/>
      <c r="AI120" s="653"/>
      <c r="AJ120" s="354"/>
      <c r="AK120" s="354"/>
      <c r="AL120" s="354"/>
      <c r="AM120" s="354"/>
      <c r="AN120" s="653"/>
      <c r="AO120" s="354"/>
      <c r="AP120" s="354"/>
      <c r="AQ120" s="354"/>
      <c r="AR120" s="354"/>
      <c r="AS120" s="653"/>
      <c r="AT120" s="354"/>
      <c r="AU120" s="354"/>
      <c r="AV120" s="354"/>
      <c r="AW120" s="354"/>
      <c r="AX120" s="653"/>
      <c r="AZ120" s="500" t="e">
        <f t="shared" si="69"/>
        <v>#N/A</v>
      </c>
      <c r="BA120" s="674"/>
    </row>
    <row r="121" spans="2:53">
      <c r="B121" s="635"/>
      <c r="C121" s="354">
        <v>15</v>
      </c>
      <c r="D121" s="223"/>
      <c r="E121" s="182"/>
      <c r="F121" s="354"/>
      <c r="G121" s="362"/>
      <c r="H121" s="679"/>
      <c r="I121" s="379" t="str">
        <f t="shared" si="67"/>
        <v>-</v>
      </c>
      <c r="J121" s="379" t="str">
        <f t="shared" si="67"/>
        <v>-</v>
      </c>
      <c r="K121" s="363" t="str">
        <f t="shared" si="67"/>
        <v>-</v>
      </c>
      <c r="L121" s="616"/>
      <c r="M121" s="365" t="e">
        <f>RANK(K121, K$87:$K$101)</f>
        <v>#VALUE!</v>
      </c>
      <c r="N121" s="624"/>
      <c r="O121" s="624"/>
      <c r="P121" s="354"/>
      <c r="Q121" s="354"/>
      <c r="R121" s="354"/>
      <c r="S121" s="500"/>
      <c r="T121" s="674"/>
      <c r="U121" s="354"/>
      <c r="V121" s="354"/>
      <c r="W121" s="354"/>
      <c r="X121" s="354"/>
      <c r="Y121" s="653"/>
      <c r="Z121" s="354"/>
      <c r="AA121" s="354"/>
      <c r="AB121" s="354"/>
      <c r="AC121" s="354"/>
      <c r="AD121" s="653"/>
      <c r="AE121" s="354"/>
      <c r="AF121" s="354"/>
      <c r="AG121" s="354"/>
      <c r="AH121" s="354"/>
      <c r="AI121" s="653"/>
      <c r="AJ121" s="354"/>
      <c r="AK121" s="354"/>
      <c r="AL121" s="354"/>
      <c r="AM121" s="354"/>
      <c r="AN121" s="653"/>
      <c r="AO121" s="354"/>
      <c r="AP121" s="354"/>
      <c r="AQ121" s="354"/>
      <c r="AR121" s="354"/>
      <c r="AS121" s="653"/>
      <c r="AT121" s="354"/>
      <c r="AU121" s="354"/>
      <c r="AV121" s="354"/>
      <c r="AW121" s="354"/>
      <c r="AX121" s="653"/>
      <c r="AZ121" s="500" t="e">
        <f t="shared" si="69"/>
        <v>#N/A</v>
      </c>
      <c r="BA121" s="674"/>
    </row>
    <row r="123" spans="2:53" ht="15.75">
      <c r="B123" s="666" t="s">
        <v>520</v>
      </c>
      <c r="C123" s="667"/>
      <c r="D123" s="667"/>
      <c r="E123" s="667"/>
      <c r="F123" s="667"/>
      <c r="G123" s="667"/>
      <c r="H123" s="668"/>
      <c r="I123" s="286"/>
      <c r="J123" s="286"/>
      <c r="K123" s="286"/>
      <c r="L123" s="286"/>
      <c r="M123" s="287"/>
    </row>
    <row r="124" spans="2:53" ht="15.75">
      <c r="B124" s="669"/>
      <c r="C124" s="669"/>
      <c r="D124" s="669"/>
      <c r="E124" s="669"/>
      <c r="F124" s="669"/>
      <c r="G124" s="669"/>
      <c r="H124" s="669"/>
      <c r="I124" s="360"/>
      <c r="J124" s="360"/>
      <c r="K124" s="360"/>
      <c r="L124" s="360"/>
      <c r="M124" s="289"/>
    </row>
    <row r="125" spans="2:53">
      <c r="B125" s="624" t="s">
        <v>506</v>
      </c>
      <c r="C125" s="624" t="s">
        <v>507</v>
      </c>
      <c r="D125" s="624"/>
      <c r="E125" s="624" t="s">
        <v>508</v>
      </c>
      <c r="F125" s="624"/>
      <c r="G125" s="624"/>
      <c r="H125" s="647" t="s">
        <v>509</v>
      </c>
      <c r="I125" s="670" t="s">
        <v>510</v>
      </c>
      <c r="J125" s="670"/>
      <c r="K125" s="670"/>
      <c r="L125" s="683" t="s">
        <v>509</v>
      </c>
      <c r="M125" s="686" t="s">
        <v>511</v>
      </c>
    </row>
    <row r="126" spans="2:53">
      <c r="B126" s="624"/>
      <c r="C126" s="624"/>
      <c r="D126" s="624"/>
      <c r="E126" s="624" t="s">
        <v>514</v>
      </c>
      <c r="F126" s="624"/>
      <c r="G126" s="624"/>
      <c r="H126" s="648"/>
      <c r="I126" s="670" t="s">
        <v>514</v>
      </c>
      <c r="J126" s="670"/>
      <c r="K126" s="670"/>
      <c r="L126" s="684"/>
      <c r="M126" s="687"/>
    </row>
    <row r="127" spans="2:53">
      <c r="B127" s="624"/>
      <c r="C127" s="624"/>
      <c r="D127" s="624"/>
      <c r="E127" s="353" t="s">
        <v>516</v>
      </c>
      <c r="F127" s="353" t="s">
        <v>517</v>
      </c>
      <c r="G127" s="353" t="s">
        <v>518</v>
      </c>
      <c r="H127" s="649"/>
      <c r="I127" s="361" t="s">
        <v>516</v>
      </c>
      <c r="J127" s="361" t="s">
        <v>517</v>
      </c>
      <c r="K127" s="361" t="s">
        <v>518</v>
      </c>
      <c r="L127" s="685"/>
      <c r="M127" s="688"/>
    </row>
    <row r="128" spans="2:53">
      <c r="B128" s="624" t="s">
        <v>525</v>
      </c>
      <c r="C128" s="354">
        <v>1</v>
      </c>
      <c r="D128" s="223"/>
      <c r="E128" s="182"/>
      <c r="F128" s="354"/>
      <c r="G128" s="362"/>
      <c r="H128" s="677" t="e">
        <f>AVERAGE(G128:G142)</f>
        <v>#DIV/0!</v>
      </c>
      <c r="I128" s="365" t="e">
        <f t="shared" ref="I128:J128" si="70">AVERAGEIF($D$7:$D$121,$D128,I$7:I$121)</f>
        <v>#DIV/0!</v>
      </c>
      <c r="J128" s="365" t="e">
        <f t="shared" si="70"/>
        <v>#DIV/0!</v>
      </c>
      <c r="K128" s="365" t="e">
        <f>AVERAGEIF($D$7:$D$121,$D128,K$7:K$121)</f>
        <v>#DIV/0!</v>
      </c>
      <c r="L128" s="680" t="e">
        <f>AVERAGE(K128:K142)</f>
        <v>#DIV/0!</v>
      </c>
      <c r="M128" s="365" t="e">
        <f>RANK(K128, K$128:$K$142)</f>
        <v>#DIV/0!</v>
      </c>
    </row>
    <row r="129" spans="2:13" s="108" customFormat="1">
      <c r="B129" s="635"/>
      <c r="C129" s="354">
        <v>2</v>
      </c>
      <c r="D129" s="223"/>
      <c r="E129" s="182"/>
      <c r="F129" s="354"/>
      <c r="G129" s="362"/>
      <c r="H129" s="678"/>
      <c r="I129" s="365"/>
      <c r="J129" s="365"/>
      <c r="K129" s="365"/>
      <c r="L129" s="681"/>
      <c r="M129" s="365" t="e">
        <f>RANK(K129, K$128:$K$142)</f>
        <v>#DIV/0!</v>
      </c>
    </row>
    <row r="130" spans="2:13" s="108" customFormat="1">
      <c r="B130" s="635"/>
      <c r="C130" s="354">
        <v>3</v>
      </c>
      <c r="D130" s="223"/>
      <c r="E130" s="182"/>
      <c r="F130" s="354"/>
      <c r="G130" s="362"/>
      <c r="H130" s="678"/>
      <c r="I130" s="365"/>
      <c r="J130" s="365"/>
      <c r="K130" s="365"/>
      <c r="L130" s="681"/>
      <c r="M130" s="365" t="e">
        <f>RANK(K130, K$128:$K$142)</f>
        <v>#DIV/0!</v>
      </c>
    </row>
    <row r="131" spans="2:13" s="108" customFormat="1">
      <c r="B131" s="635"/>
      <c r="C131" s="354">
        <v>4</v>
      </c>
      <c r="D131" s="223"/>
      <c r="E131" s="182"/>
      <c r="F131" s="354"/>
      <c r="G131" s="362"/>
      <c r="H131" s="678"/>
      <c r="I131" s="365"/>
      <c r="J131" s="365"/>
      <c r="K131" s="365"/>
      <c r="L131" s="681"/>
      <c r="M131" s="365" t="e">
        <f>RANK(K131, K$128:$K$142)</f>
        <v>#DIV/0!</v>
      </c>
    </row>
    <row r="132" spans="2:13" s="108" customFormat="1">
      <c r="B132" s="635"/>
      <c r="C132" s="354">
        <v>5</v>
      </c>
      <c r="D132" s="223"/>
      <c r="E132" s="182"/>
      <c r="F132" s="354"/>
      <c r="G132" s="362"/>
      <c r="H132" s="678"/>
      <c r="I132" s="365"/>
      <c r="J132" s="365"/>
      <c r="K132" s="365"/>
      <c r="L132" s="681"/>
      <c r="M132" s="365" t="e">
        <f>RANK(K132, K$128:$K$142)</f>
        <v>#DIV/0!</v>
      </c>
    </row>
    <row r="133" spans="2:13" s="108" customFormat="1">
      <c r="B133" s="635"/>
      <c r="C133" s="354">
        <v>6</v>
      </c>
      <c r="D133" s="291"/>
      <c r="E133" s="182"/>
      <c r="F133" s="354"/>
      <c r="G133" s="362"/>
      <c r="H133" s="678"/>
      <c r="I133" s="365"/>
      <c r="J133" s="365"/>
      <c r="K133" s="365"/>
      <c r="L133" s="681"/>
      <c r="M133" s="365" t="e">
        <f>RANK(K133, K$128:$K$142)</f>
        <v>#DIV/0!</v>
      </c>
    </row>
    <row r="134" spans="2:13" s="108" customFormat="1">
      <c r="B134" s="635"/>
      <c r="C134" s="354">
        <v>7</v>
      </c>
      <c r="D134" s="223"/>
      <c r="E134" s="182"/>
      <c r="F134" s="354"/>
      <c r="G134" s="362"/>
      <c r="H134" s="678"/>
      <c r="I134" s="365"/>
      <c r="J134" s="365"/>
      <c r="K134" s="365"/>
      <c r="L134" s="681"/>
      <c r="M134" s="365" t="e">
        <f>RANK(K134, K$128:$K$142)</f>
        <v>#DIV/0!</v>
      </c>
    </row>
    <row r="135" spans="2:13" s="108" customFormat="1">
      <c r="B135" s="635"/>
      <c r="C135" s="354">
        <v>8</v>
      </c>
      <c r="D135" s="223"/>
      <c r="E135" s="182"/>
      <c r="F135" s="354"/>
      <c r="G135" s="362"/>
      <c r="H135" s="678"/>
      <c r="I135" s="365"/>
      <c r="J135" s="365"/>
      <c r="K135" s="365"/>
      <c r="L135" s="681"/>
      <c r="M135" s="365" t="e">
        <f>RANK(K135, K$128:$K$142)</f>
        <v>#DIV/0!</v>
      </c>
    </row>
    <row r="136" spans="2:13" s="108" customFormat="1">
      <c r="B136" s="635"/>
      <c r="C136" s="354">
        <v>9</v>
      </c>
      <c r="D136" s="223"/>
      <c r="E136" s="354"/>
      <c r="F136" s="354"/>
      <c r="G136" s="354"/>
      <c r="H136" s="678"/>
      <c r="I136" s="365"/>
      <c r="J136" s="365"/>
      <c r="K136" s="365"/>
      <c r="L136" s="681"/>
      <c r="M136" s="365" t="e">
        <f>RANK(K136, K$128:$K$142)</f>
        <v>#DIV/0!</v>
      </c>
    </row>
    <row r="137" spans="2:13" s="108" customFormat="1">
      <c r="B137" s="635"/>
      <c r="C137" s="354">
        <v>10</v>
      </c>
      <c r="D137" s="223"/>
      <c r="E137" s="354"/>
      <c r="F137" s="354"/>
      <c r="G137" s="354"/>
      <c r="H137" s="678"/>
      <c r="I137" s="365"/>
      <c r="J137" s="365"/>
      <c r="K137" s="365"/>
      <c r="L137" s="681"/>
      <c r="M137" s="365" t="e">
        <f>RANK(K137, K$128:$K$142)</f>
        <v>#DIV/0!</v>
      </c>
    </row>
    <row r="138" spans="2:13" s="108" customFormat="1">
      <c r="B138" s="635"/>
      <c r="C138" s="354">
        <v>11</v>
      </c>
      <c r="D138" s="223"/>
      <c r="E138" s="354"/>
      <c r="F138" s="354"/>
      <c r="G138" s="354"/>
      <c r="H138" s="678"/>
      <c r="I138" s="365"/>
      <c r="J138" s="365"/>
      <c r="K138" s="365"/>
      <c r="L138" s="681"/>
      <c r="M138" s="365" t="e">
        <f>RANK(K138, K$128:$K$142)</f>
        <v>#DIV/0!</v>
      </c>
    </row>
    <row r="139" spans="2:13" s="108" customFormat="1">
      <c r="B139" s="635"/>
      <c r="C139" s="354">
        <v>12</v>
      </c>
      <c r="D139" s="223"/>
      <c r="E139" s="354"/>
      <c r="F139" s="354"/>
      <c r="G139" s="354"/>
      <c r="H139" s="678"/>
      <c r="I139" s="365"/>
      <c r="J139" s="365"/>
      <c r="K139" s="365"/>
      <c r="L139" s="681"/>
      <c r="M139" s="365" t="e">
        <f>RANK(K139, K$128:$K$142)</f>
        <v>#DIV/0!</v>
      </c>
    </row>
    <row r="140" spans="2:13" s="108" customFormat="1">
      <c r="B140" s="635"/>
      <c r="C140" s="354">
        <v>13</v>
      </c>
      <c r="D140" s="223"/>
      <c r="E140" s="354"/>
      <c r="F140" s="354"/>
      <c r="G140" s="354"/>
      <c r="H140" s="678"/>
      <c r="I140" s="365"/>
      <c r="J140" s="365"/>
      <c r="K140" s="365"/>
      <c r="L140" s="681"/>
      <c r="M140" s="365" t="e">
        <f>RANK(K140, K$128:$K$142)</f>
        <v>#DIV/0!</v>
      </c>
    </row>
    <row r="141" spans="2:13" s="108" customFormat="1">
      <c r="B141" s="635"/>
      <c r="C141" s="354">
        <v>14</v>
      </c>
      <c r="D141" s="223"/>
      <c r="E141" s="354"/>
      <c r="F141" s="354"/>
      <c r="G141" s="354"/>
      <c r="H141" s="678"/>
      <c r="I141" s="365"/>
      <c r="J141" s="365"/>
      <c r="K141" s="365"/>
      <c r="L141" s="681"/>
      <c r="M141" s="365" t="e">
        <f>RANK(K141, K$128:$K$142)</f>
        <v>#DIV/0!</v>
      </c>
    </row>
    <row r="142" spans="2:13" s="108" customFormat="1">
      <c r="B142" s="635"/>
      <c r="C142" s="354">
        <v>15</v>
      </c>
      <c r="D142" s="223"/>
      <c r="E142" s="354"/>
      <c r="F142" s="354"/>
      <c r="G142" s="354"/>
      <c r="H142" s="679"/>
      <c r="I142" s="365"/>
      <c r="J142" s="365"/>
      <c r="K142" s="365"/>
      <c r="L142" s="682"/>
      <c r="M142" s="365" t="e">
        <f>RANK(K142, K$128:$K$142)</f>
        <v>#DIV/0!</v>
      </c>
    </row>
  </sheetData>
  <mergeCells count="372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T65:AW65"/>
    <mergeCell ref="AO64:AR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Y64:Y66"/>
    <mergeCell ref="Z64:AC64"/>
    <mergeCell ref="AX64:AX66"/>
    <mergeCell ref="E65:G65"/>
    <mergeCell ref="B84:B86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P84:S84"/>
    <mergeCell ref="T84:T86"/>
    <mergeCell ref="U84:X84"/>
    <mergeCell ref="U64:X64"/>
    <mergeCell ref="I65:K65"/>
    <mergeCell ref="P65:S65"/>
    <mergeCell ref="U65:X65"/>
    <mergeCell ref="Z65:AC65"/>
    <mergeCell ref="Y87:Y101"/>
    <mergeCell ref="AD87:AD101"/>
    <mergeCell ref="AI87:AI101"/>
    <mergeCell ref="AE84:AH84"/>
    <mergeCell ref="AI84:AI86"/>
    <mergeCell ref="Z84:AC84"/>
    <mergeCell ref="AD64:AD66"/>
    <mergeCell ref="AE64:AH64"/>
    <mergeCell ref="AI64:AI66"/>
    <mergeCell ref="C64:D66"/>
    <mergeCell ref="AS67:AS81"/>
    <mergeCell ref="H64:H66"/>
    <mergeCell ref="I64:K64"/>
    <mergeCell ref="L64:L66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E64:G64"/>
    <mergeCell ref="AO65:AR65"/>
    <mergeCell ref="AJ64:AM64"/>
    <mergeCell ref="AE65:AH65"/>
    <mergeCell ref="AJ65:AM65"/>
    <mergeCell ref="M64:M66"/>
    <mergeCell ref="N64:N81"/>
    <mergeCell ref="O64:O81"/>
    <mergeCell ref="P64:S64"/>
    <mergeCell ref="T64:T66"/>
    <mergeCell ref="BA27:BA41"/>
    <mergeCell ref="BA47:BA61"/>
    <mergeCell ref="BA67:BA8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S64:AS66"/>
    <mergeCell ref="AT64:AW64"/>
    <mergeCell ref="B64:B66"/>
    <mergeCell ref="BA87:BA101"/>
    <mergeCell ref="BA107:BA12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5:AH85"/>
    <mergeCell ref="Z85:AC85"/>
    <mergeCell ref="Y84:Y8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CC"/>
  </sheetPr>
  <dimension ref="A1:BB247"/>
  <sheetViews>
    <sheetView topLeftCell="A109" zoomScale="40" zoomScaleNormal="40" workbookViewId="0">
      <pane xSplit="15" topLeftCell="P1" activePane="topRight" state="frozen"/>
      <selection activeCell="P7" sqref="P7:T36"/>
      <selection pane="topRight" activeCell="T147" sqref="S147:T176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18" t="s">
        <v>307</v>
      </c>
      <c r="C1" s="217">
        <f>AVERAGE(L7,L42,L77,L112,L147,L182)</f>
        <v>90.172954338690147</v>
      </c>
    </row>
    <row r="2" spans="1:54" ht="15.75">
      <c r="A2" s="81"/>
      <c r="B2" s="643" t="s">
        <v>496</v>
      </c>
      <c r="C2" s="643"/>
      <c r="D2" s="643"/>
      <c r="E2" s="643"/>
      <c r="F2" s="643"/>
      <c r="G2" s="643"/>
      <c r="H2" s="643"/>
      <c r="I2" s="355"/>
      <c r="J2" s="355"/>
      <c r="K2" s="355"/>
      <c r="L2" s="355"/>
      <c r="M2" s="197"/>
      <c r="N2" s="639" t="s">
        <v>497</v>
      </c>
      <c r="O2" s="639" t="s">
        <v>498</v>
      </c>
      <c r="P2" s="634"/>
      <c r="Q2" s="635"/>
      <c r="R2" s="635"/>
      <c r="S2" s="635"/>
      <c r="T2" s="635"/>
      <c r="U2" s="636">
        <v>46204</v>
      </c>
      <c r="V2" s="637"/>
      <c r="W2" s="637"/>
      <c r="X2" s="637"/>
      <c r="Y2" s="638"/>
      <c r="Z2" s="636">
        <f>U2+1</f>
        <v>46205</v>
      </c>
      <c r="AA2" s="637"/>
      <c r="AB2" s="637"/>
      <c r="AC2" s="637"/>
      <c r="AD2" s="638"/>
      <c r="AE2" s="636">
        <f>Z2+1</f>
        <v>46206</v>
      </c>
      <c r="AF2" s="637"/>
      <c r="AG2" s="637"/>
      <c r="AH2" s="637"/>
      <c r="AI2" s="638"/>
      <c r="AJ2" s="636">
        <f>AE2+1</f>
        <v>46207</v>
      </c>
      <c r="AK2" s="637"/>
      <c r="AL2" s="637"/>
      <c r="AM2" s="637"/>
      <c r="AN2" s="638"/>
      <c r="AO2" s="636">
        <f>AJ2+1</f>
        <v>46208</v>
      </c>
      <c r="AP2" s="637"/>
      <c r="AQ2" s="637"/>
      <c r="AR2" s="637"/>
      <c r="AS2" s="638"/>
      <c r="AT2" s="636">
        <f>AO2+1</f>
        <v>46209</v>
      </c>
      <c r="AU2" s="637"/>
      <c r="AV2" s="637"/>
      <c r="AW2" s="637"/>
      <c r="AX2" s="638"/>
    </row>
    <row r="3" spans="1:54" ht="15.75">
      <c r="A3" s="81"/>
      <c r="B3" s="659"/>
      <c r="C3" s="659"/>
      <c r="D3" s="659"/>
      <c r="E3" s="659"/>
      <c r="F3" s="659"/>
      <c r="G3" s="659"/>
      <c r="H3" s="659"/>
      <c r="I3" s="356"/>
      <c r="J3" s="356"/>
      <c r="K3" s="356"/>
      <c r="L3" s="356"/>
      <c r="M3" s="198"/>
      <c r="N3" s="641"/>
      <c r="O3" s="641"/>
      <c r="P3" s="636" t="s">
        <v>499</v>
      </c>
      <c r="Q3" s="637"/>
      <c r="R3" s="637"/>
      <c r="S3" s="637"/>
      <c r="T3" s="638"/>
      <c r="U3" s="636" t="s">
        <v>500</v>
      </c>
      <c r="V3" s="637"/>
      <c r="W3" s="637"/>
      <c r="X3" s="637"/>
      <c r="Y3" s="638"/>
      <c r="Z3" s="636" t="s">
        <v>501</v>
      </c>
      <c r="AA3" s="637"/>
      <c r="AB3" s="637"/>
      <c r="AC3" s="637"/>
      <c r="AD3" s="638"/>
      <c r="AE3" s="636" t="s">
        <v>502</v>
      </c>
      <c r="AF3" s="637"/>
      <c r="AG3" s="637"/>
      <c r="AH3" s="637"/>
      <c r="AI3" s="638"/>
      <c r="AJ3" s="636" t="s">
        <v>503</v>
      </c>
      <c r="AK3" s="637"/>
      <c r="AL3" s="637"/>
      <c r="AM3" s="637"/>
      <c r="AN3" s="638"/>
      <c r="AO3" s="636" t="s">
        <v>504</v>
      </c>
      <c r="AP3" s="637"/>
      <c r="AQ3" s="637"/>
      <c r="AR3" s="637"/>
      <c r="AS3" s="638"/>
      <c r="AT3" s="636" t="s">
        <v>505</v>
      </c>
      <c r="AU3" s="637"/>
      <c r="AV3" s="637"/>
      <c r="AW3" s="637"/>
      <c r="AX3" s="638"/>
    </row>
    <row r="4" spans="1:54" ht="14.25">
      <c r="A4" s="81"/>
      <c r="B4" s="624" t="s">
        <v>760</v>
      </c>
      <c r="C4" s="624" t="s">
        <v>761</v>
      </c>
      <c r="D4" s="624"/>
      <c r="E4" s="624" t="s">
        <v>762</v>
      </c>
      <c r="F4" s="624"/>
      <c r="G4" s="624"/>
      <c r="H4" s="647" t="s">
        <v>763</v>
      </c>
      <c r="I4" s="617" t="s">
        <v>764</v>
      </c>
      <c r="J4" s="617"/>
      <c r="K4" s="617"/>
      <c r="L4" s="618" t="s">
        <v>763</v>
      </c>
      <c r="M4" s="628" t="s">
        <v>773</v>
      </c>
      <c r="N4" s="624"/>
      <c r="O4" s="624" t="s">
        <v>598</v>
      </c>
      <c r="P4" s="621" t="s">
        <v>599</v>
      </c>
      <c r="Q4" s="622"/>
      <c r="R4" s="622"/>
      <c r="S4" s="623"/>
      <c r="T4" s="624" t="s">
        <v>573</v>
      </c>
      <c r="U4" s="621" t="s">
        <v>599</v>
      </c>
      <c r="V4" s="622"/>
      <c r="W4" s="622"/>
      <c r="X4" s="623"/>
      <c r="Y4" s="624" t="s">
        <v>573</v>
      </c>
      <c r="Z4" s="621" t="s">
        <v>599</v>
      </c>
      <c r="AA4" s="622"/>
      <c r="AB4" s="622"/>
      <c r="AC4" s="623"/>
      <c r="AD4" s="624" t="s">
        <v>573</v>
      </c>
      <c r="AE4" s="621" t="s">
        <v>599</v>
      </c>
      <c r="AF4" s="622"/>
      <c r="AG4" s="622"/>
      <c r="AH4" s="623"/>
      <c r="AI4" s="624" t="s">
        <v>573</v>
      </c>
      <c r="AJ4" s="621" t="s">
        <v>599</v>
      </c>
      <c r="AK4" s="622"/>
      <c r="AL4" s="622"/>
      <c r="AM4" s="623"/>
      <c r="AN4" s="624" t="s">
        <v>573</v>
      </c>
      <c r="AO4" s="621" t="s">
        <v>627</v>
      </c>
      <c r="AP4" s="622"/>
      <c r="AQ4" s="622"/>
      <c r="AR4" s="623"/>
      <c r="AS4" s="624" t="s">
        <v>454</v>
      </c>
      <c r="AT4" s="621" t="s">
        <v>576</v>
      </c>
      <c r="AU4" s="622"/>
      <c r="AV4" s="622"/>
      <c r="AW4" s="623"/>
      <c r="AX4" s="624" t="s">
        <v>575</v>
      </c>
    </row>
    <row r="5" spans="1:54" ht="14.25">
      <c r="A5" s="81"/>
      <c r="B5" s="624"/>
      <c r="C5" s="624"/>
      <c r="D5" s="624"/>
      <c r="E5" s="624" t="s">
        <v>765</v>
      </c>
      <c r="F5" s="624"/>
      <c r="G5" s="624"/>
      <c r="H5" s="648"/>
      <c r="I5" s="617" t="s">
        <v>765</v>
      </c>
      <c r="J5" s="617"/>
      <c r="K5" s="617"/>
      <c r="L5" s="619"/>
      <c r="M5" s="629"/>
      <c r="N5" s="624"/>
      <c r="O5" s="624"/>
      <c r="P5" s="621" t="s">
        <v>628</v>
      </c>
      <c r="Q5" s="622"/>
      <c r="R5" s="622"/>
      <c r="S5" s="623"/>
      <c r="T5" s="624"/>
      <c r="U5" s="621" t="s">
        <v>370</v>
      </c>
      <c r="V5" s="622"/>
      <c r="W5" s="622"/>
      <c r="X5" s="623"/>
      <c r="Y5" s="624"/>
      <c r="Z5" s="621" t="s">
        <v>580</v>
      </c>
      <c r="AA5" s="622"/>
      <c r="AB5" s="622"/>
      <c r="AC5" s="623"/>
      <c r="AD5" s="624"/>
      <c r="AE5" s="621" t="s">
        <v>606</v>
      </c>
      <c r="AF5" s="622"/>
      <c r="AG5" s="622"/>
      <c r="AH5" s="623"/>
      <c r="AI5" s="624"/>
      <c r="AJ5" s="621" t="s">
        <v>370</v>
      </c>
      <c r="AK5" s="622"/>
      <c r="AL5" s="622"/>
      <c r="AM5" s="623"/>
      <c r="AN5" s="624"/>
      <c r="AO5" s="621" t="s">
        <v>580</v>
      </c>
      <c r="AP5" s="622"/>
      <c r="AQ5" s="622"/>
      <c r="AR5" s="623"/>
      <c r="AS5" s="624"/>
      <c r="AT5" s="621" t="s">
        <v>581</v>
      </c>
      <c r="AU5" s="622"/>
      <c r="AV5" s="622"/>
      <c r="AW5" s="623"/>
      <c r="AX5" s="624"/>
    </row>
    <row r="6" spans="1:54" ht="14.25">
      <c r="A6" s="79"/>
      <c r="B6" s="624"/>
      <c r="C6" s="624"/>
      <c r="D6" s="624"/>
      <c r="E6" s="482" t="s">
        <v>766</v>
      </c>
      <c r="F6" s="482" t="s">
        <v>767</v>
      </c>
      <c r="G6" s="482" t="s">
        <v>768</v>
      </c>
      <c r="H6" s="649"/>
      <c r="I6" s="481" t="s">
        <v>766</v>
      </c>
      <c r="J6" s="481" t="s">
        <v>767</v>
      </c>
      <c r="K6" s="481" t="s">
        <v>768</v>
      </c>
      <c r="L6" s="620"/>
      <c r="M6" s="630"/>
      <c r="N6" s="624"/>
      <c r="O6" s="624"/>
      <c r="P6" s="413" t="s">
        <v>616</v>
      </c>
      <c r="Q6" s="413" t="s">
        <v>372</v>
      </c>
      <c r="R6" s="413" t="s">
        <v>611</v>
      </c>
      <c r="S6" s="413" t="s">
        <v>629</v>
      </c>
      <c r="T6" s="624"/>
      <c r="U6" s="413" t="s">
        <v>443</v>
      </c>
      <c r="V6" s="413" t="s">
        <v>613</v>
      </c>
      <c r="W6" s="413" t="s">
        <v>584</v>
      </c>
      <c r="X6" s="413" t="s">
        <v>368</v>
      </c>
      <c r="Y6" s="624"/>
      <c r="Z6" s="413" t="s">
        <v>583</v>
      </c>
      <c r="AA6" s="413" t="s">
        <v>630</v>
      </c>
      <c r="AB6" s="413" t="s">
        <v>587</v>
      </c>
      <c r="AC6" s="413" t="s">
        <v>588</v>
      </c>
      <c r="AD6" s="624"/>
      <c r="AE6" s="413" t="s">
        <v>585</v>
      </c>
      <c r="AF6" s="413" t="s">
        <v>631</v>
      </c>
      <c r="AG6" s="413" t="s">
        <v>445</v>
      </c>
      <c r="AH6" s="413" t="s">
        <v>608</v>
      </c>
      <c r="AI6" s="624"/>
      <c r="AJ6" s="413" t="s">
        <v>632</v>
      </c>
      <c r="AK6" s="413" t="s">
        <v>372</v>
      </c>
      <c r="AL6" s="413" t="s">
        <v>611</v>
      </c>
      <c r="AM6" s="413" t="s">
        <v>633</v>
      </c>
      <c r="AN6" s="624"/>
      <c r="AO6" s="413" t="s">
        <v>443</v>
      </c>
      <c r="AP6" s="413" t="s">
        <v>613</v>
      </c>
      <c r="AQ6" s="413" t="s">
        <v>634</v>
      </c>
      <c r="AR6" s="413" t="s">
        <v>368</v>
      </c>
      <c r="AS6" s="624"/>
      <c r="AT6" s="413" t="s">
        <v>583</v>
      </c>
      <c r="AU6" s="413" t="s">
        <v>630</v>
      </c>
      <c r="AV6" s="413" t="s">
        <v>587</v>
      </c>
      <c r="AW6" s="413" t="s">
        <v>588</v>
      </c>
      <c r="AX6" s="624"/>
    </row>
    <row r="7" spans="1:54" ht="14.25">
      <c r="A7" s="81"/>
      <c r="B7" s="624" t="s">
        <v>782</v>
      </c>
      <c r="C7" s="483">
        <v>1</v>
      </c>
      <c r="D7" s="223" t="s">
        <v>335</v>
      </c>
      <c r="E7" s="538">
        <v>6</v>
      </c>
      <c r="F7" s="529">
        <v>1500</v>
      </c>
      <c r="G7" s="530">
        <v>250</v>
      </c>
      <c r="H7" s="677">
        <f>AVERAGE(G7:G36)</f>
        <v>100.48781424148609</v>
      </c>
      <c r="I7" s="487">
        <f>IFERROR(AVERAGE(P7,U7,Z7,AE7,AJ7,AO7,AT7),"-")</f>
        <v>6</v>
      </c>
      <c r="J7" s="487">
        <f>IFERROR(AVERAGE(Q7,V7,AA7,AF7,AK7,AP7,AU7),"-")</f>
        <v>1460.2207152138569</v>
      </c>
      <c r="K7" s="363">
        <f>IFERROR(AVERAGE(R7,W7,AB7,AG7,AL7,AQ7,AV7),"-")</f>
        <v>243.37011920230944</v>
      </c>
      <c r="L7" s="614">
        <f>IFERROR(AVERAGE(K7:K36),"-")</f>
        <v>91.287590562963558</v>
      </c>
      <c r="M7" s="489">
        <f>RANK(K7, K$7:$K$36)</f>
        <v>1</v>
      </c>
      <c r="N7" s="624"/>
      <c r="O7" s="624"/>
      <c r="P7" s="411"/>
      <c r="Q7" s="182"/>
      <c r="R7" s="182"/>
      <c r="S7" s="411"/>
      <c r="T7" s="653"/>
      <c r="U7" s="529">
        <v>6</v>
      </c>
      <c r="V7" s="538">
        <v>1471.1094339622643</v>
      </c>
      <c r="W7" s="538">
        <v>245.18490566037738</v>
      </c>
      <c r="X7" s="529">
        <v>1</v>
      </c>
      <c r="Y7" s="653">
        <v>91.530329012280504</v>
      </c>
      <c r="Z7" s="529">
        <v>6</v>
      </c>
      <c r="AA7" s="538">
        <v>1467.2000000000003</v>
      </c>
      <c r="AB7" s="538">
        <v>244.53333333333339</v>
      </c>
      <c r="AC7" s="529">
        <v>1</v>
      </c>
      <c r="AD7" s="653">
        <v>91.030270182013126</v>
      </c>
      <c r="AE7" s="529">
        <v>6</v>
      </c>
      <c r="AF7" s="538">
        <v>1463.387586206896</v>
      </c>
      <c r="AG7" s="538">
        <v>243.89793103448267</v>
      </c>
      <c r="AH7" s="529">
        <v>2</v>
      </c>
      <c r="AI7" s="653">
        <v>93.401220977632121</v>
      </c>
      <c r="AJ7" s="529">
        <v>6</v>
      </c>
      <c r="AK7" s="538">
        <v>1436.0139130434784</v>
      </c>
      <c r="AL7" s="538">
        <v>239.33565217391308</v>
      </c>
      <c r="AM7" s="529">
        <v>2</v>
      </c>
      <c r="AN7" s="653">
        <v>92.628425859064208</v>
      </c>
      <c r="AO7" s="529">
        <v>6</v>
      </c>
      <c r="AP7" s="538">
        <v>1447.7224489795924</v>
      </c>
      <c r="AQ7" s="538">
        <v>241.28707482993207</v>
      </c>
      <c r="AR7" s="529">
        <v>2</v>
      </c>
      <c r="AS7" s="653">
        <v>92.852075537151109</v>
      </c>
      <c r="AT7" s="529">
        <v>6</v>
      </c>
      <c r="AU7" s="538">
        <v>1475.8909090909092</v>
      </c>
      <c r="AV7" s="538">
        <v>245.9818181818182</v>
      </c>
      <c r="AW7" s="529">
        <v>1</v>
      </c>
      <c r="AX7" s="653">
        <v>92.450576362240398</v>
      </c>
      <c r="AZ7" s="364" t="e">
        <f>RANK(AX7, $K$7:AX$36)</f>
        <v>#VALUE!</v>
      </c>
      <c r="BB7" s="354" t="e">
        <f t="shared" ref="BB7:BB36" si="0">RANK(BA7, BA$7:BA$36)</f>
        <v>#N/A</v>
      </c>
    </row>
    <row r="8" spans="1:54" ht="15" customHeight="1">
      <c r="A8" s="81"/>
      <c r="B8" s="635"/>
      <c r="C8" s="483">
        <v>2</v>
      </c>
      <c r="D8" s="223" t="s">
        <v>635</v>
      </c>
      <c r="E8" s="538">
        <v>6</v>
      </c>
      <c r="F8" s="529">
        <v>1636</v>
      </c>
      <c r="G8" s="530">
        <v>272.7</v>
      </c>
      <c r="H8" s="678"/>
      <c r="I8" s="487">
        <f t="shared" ref="I8:K36" si="1">IFERROR(AVERAGE(P8,U8,Z8,AE8,AJ8,AO8,AT8),"-")</f>
        <v>6</v>
      </c>
      <c r="J8" s="487">
        <f t="shared" si="1"/>
        <v>1454.7231701441262</v>
      </c>
      <c r="K8" s="363">
        <f t="shared" si="1"/>
        <v>242.45386169068766</v>
      </c>
      <c r="L8" s="615"/>
      <c r="M8" s="489">
        <f>RANK(K8, K$7:$K$36)</f>
        <v>2</v>
      </c>
      <c r="N8" s="624"/>
      <c r="O8" s="624"/>
      <c r="P8" s="411"/>
      <c r="Q8" s="182"/>
      <c r="R8" s="182"/>
      <c r="S8" s="411"/>
      <c r="T8" s="653"/>
      <c r="U8" s="529">
        <v>6</v>
      </c>
      <c r="V8" s="538">
        <v>1446.4615384615381</v>
      </c>
      <c r="W8" s="538">
        <v>241.07692307692301</v>
      </c>
      <c r="X8" s="529">
        <v>2</v>
      </c>
      <c r="Y8" s="653"/>
      <c r="Z8" s="529">
        <v>6</v>
      </c>
      <c r="AA8" s="538">
        <v>1454.0624999999995</v>
      </c>
      <c r="AB8" s="538">
        <v>242.34374999999991</v>
      </c>
      <c r="AC8" s="529">
        <v>2</v>
      </c>
      <c r="AD8" s="653"/>
      <c r="AE8" s="529">
        <v>6</v>
      </c>
      <c r="AF8" s="538">
        <v>1465.3846153846162</v>
      </c>
      <c r="AG8" s="538">
        <v>244.23076923076937</v>
      </c>
      <c r="AH8" s="529">
        <v>1</v>
      </c>
      <c r="AI8" s="653"/>
      <c r="AJ8" s="529">
        <v>6</v>
      </c>
      <c r="AK8" s="538">
        <v>1442.2222222222229</v>
      </c>
      <c r="AL8" s="538">
        <v>240.37037037037047</v>
      </c>
      <c r="AM8" s="529">
        <v>1</v>
      </c>
      <c r="AN8" s="653"/>
      <c r="AO8" s="529">
        <v>6</v>
      </c>
      <c r="AP8" s="538">
        <v>1471.384615384615</v>
      </c>
      <c r="AQ8" s="538">
        <v>245.23076923076917</v>
      </c>
      <c r="AR8" s="529">
        <v>1</v>
      </c>
      <c r="AS8" s="653"/>
      <c r="AT8" s="529">
        <v>6</v>
      </c>
      <c r="AU8" s="538">
        <v>1448.8235294117649</v>
      </c>
      <c r="AV8" s="538">
        <v>241.47058823529414</v>
      </c>
      <c r="AW8" s="529">
        <v>2</v>
      </c>
      <c r="AX8" s="653"/>
      <c r="AZ8" s="364" t="e">
        <f>RANK(AX8, $K$7:AX$36)</f>
        <v>#VALUE!</v>
      </c>
      <c r="BB8" s="354" t="e">
        <f t="shared" si="0"/>
        <v>#N/A</v>
      </c>
    </row>
    <row r="9" spans="1:54" ht="14.25">
      <c r="A9" s="81"/>
      <c r="B9" s="635"/>
      <c r="C9" s="483">
        <v>3</v>
      </c>
      <c r="D9" s="223" t="s">
        <v>561</v>
      </c>
      <c r="E9" s="538">
        <v>16</v>
      </c>
      <c r="F9" s="529">
        <v>1500</v>
      </c>
      <c r="G9" s="530">
        <v>93.8</v>
      </c>
      <c r="H9" s="678"/>
      <c r="I9" s="487">
        <f t="shared" si="1"/>
        <v>17</v>
      </c>
      <c r="J9" s="487">
        <f t="shared" si="1"/>
        <v>1391.0522605041658</v>
      </c>
      <c r="K9" s="363">
        <f t="shared" si="1"/>
        <v>81.826603559068587</v>
      </c>
      <c r="L9" s="615"/>
      <c r="M9" s="489">
        <f>RANK(K9, K$7:$K$36)</f>
        <v>11</v>
      </c>
      <c r="N9" s="624"/>
      <c r="O9" s="624"/>
      <c r="P9" s="411"/>
      <c r="Q9" s="182"/>
      <c r="R9" s="182"/>
      <c r="S9" s="411"/>
      <c r="T9" s="653"/>
      <c r="U9" s="529">
        <v>17</v>
      </c>
      <c r="V9" s="538">
        <v>1415.4545454545455</v>
      </c>
      <c r="W9" s="538">
        <v>83.262032085561501</v>
      </c>
      <c r="X9" s="529">
        <v>8</v>
      </c>
      <c r="Y9" s="653"/>
      <c r="Z9" s="529">
        <v>17</v>
      </c>
      <c r="AA9" s="538">
        <v>1388.5714285714282</v>
      </c>
      <c r="AB9" s="538">
        <v>81.680672268907543</v>
      </c>
      <c r="AC9" s="529">
        <v>10</v>
      </c>
      <c r="AD9" s="653"/>
      <c r="AE9" s="529">
        <v>17</v>
      </c>
      <c r="AF9" s="538">
        <v>1412.0689655172425</v>
      </c>
      <c r="AG9" s="538">
        <v>83.062880324543684</v>
      </c>
      <c r="AH9" s="529">
        <v>9</v>
      </c>
      <c r="AI9" s="653"/>
      <c r="AJ9" s="529">
        <v>17</v>
      </c>
      <c r="AK9" s="538">
        <v>1370.5263157894726</v>
      </c>
      <c r="AL9" s="538">
        <v>80.619195046439572</v>
      </c>
      <c r="AM9" s="529">
        <v>12</v>
      </c>
      <c r="AN9" s="653"/>
      <c r="AO9" s="529">
        <v>17</v>
      </c>
      <c r="AP9" s="538">
        <v>1387.9999999999993</v>
      </c>
      <c r="AQ9" s="538">
        <v>81.647058823529377</v>
      </c>
      <c r="AR9" s="529">
        <v>10</v>
      </c>
      <c r="AS9" s="653"/>
      <c r="AT9" s="529">
        <v>17</v>
      </c>
      <c r="AU9" s="538">
        <v>1371.6923076923072</v>
      </c>
      <c r="AV9" s="538">
        <v>80.687782805429833</v>
      </c>
      <c r="AW9" s="529">
        <v>10</v>
      </c>
      <c r="AX9" s="653"/>
      <c r="AZ9" s="364" t="e">
        <f>RANK(AX9, $K$7:AX$36)</f>
        <v>#VALUE!</v>
      </c>
      <c r="BB9" s="354" t="e">
        <f t="shared" si="0"/>
        <v>#N/A</v>
      </c>
    </row>
    <row r="10" spans="1:54" ht="14.25">
      <c r="A10" s="81"/>
      <c r="B10" s="635"/>
      <c r="C10" s="483">
        <v>4</v>
      </c>
      <c r="D10" s="223" t="s">
        <v>365</v>
      </c>
      <c r="E10" s="538">
        <v>18</v>
      </c>
      <c r="F10" s="529">
        <v>1500</v>
      </c>
      <c r="G10" s="530">
        <v>83.3</v>
      </c>
      <c r="H10" s="678"/>
      <c r="I10" s="487">
        <f t="shared" si="1"/>
        <v>18</v>
      </c>
      <c r="J10" s="487">
        <f t="shared" si="1"/>
        <v>1300.6337325948798</v>
      </c>
      <c r="K10" s="363">
        <f t="shared" si="1"/>
        <v>72.257429588604438</v>
      </c>
      <c r="L10" s="615"/>
      <c r="M10" s="489">
        <f>RANK(K10, K$7:$K$36)</f>
        <v>18</v>
      </c>
      <c r="N10" s="624"/>
      <c r="O10" s="624"/>
      <c r="P10" s="411"/>
      <c r="Q10" s="182"/>
      <c r="R10" s="182"/>
      <c r="S10" s="411"/>
      <c r="T10" s="653"/>
      <c r="U10" s="529">
        <v>18</v>
      </c>
      <c r="V10" s="538">
        <v>1302.8571428571424</v>
      </c>
      <c r="W10" s="538">
        <v>72.380952380952351</v>
      </c>
      <c r="X10" s="529">
        <v>19</v>
      </c>
      <c r="Y10" s="653"/>
      <c r="Z10" s="529">
        <v>18</v>
      </c>
      <c r="AA10" s="538">
        <v>1289.9999999999995</v>
      </c>
      <c r="AB10" s="538">
        <v>71.666666666666643</v>
      </c>
      <c r="AC10" s="529">
        <v>18</v>
      </c>
      <c r="AD10" s="653"/>
      <c r="AE10" s="529">
        <v>18</v>
      </c>
      <c r="AF10" s="538">
        <v>1289.9999999999989</v>
      </c>
      <c r="AG10" s="538">
        <v>71.6666666666666</v>
      </c>
      <c r="AH10" s="529">
        <v>18</v>
      </c>
      <c r="AI10" s="653"/>
      <c r="AJ10" s="529">
        <v>18</v>
      </c>
      <c r="AK10" s="538">
        <v>1292.608695652174</v>
      </c>
      <c r="AL10" s="538">
        <v>71.811594202898561</v>
      </c>
      <c r="AM10" s="529">
        <v>18</v>
      </c>
      <c r="AN10" s="653"/>
      <c r="AO10" s="529">
        <v>18</v>
      </c>
      <c r="AP10" s="538">
        <v>1317.2727272727295</v>
      </c>
      <c r="AQ10" s="538">
        <v>73.181818181818301</v>
      </c>
      <c r="AR10" s="529">
        <v>18</v>
      </c>
      <c r="AS10" s="653"/>
      <c r="AT10" s="529">
        <v>18</v>
      </c>
      <c r="AU10" s="538">
        <v>1311.0638297872342</v>
      </c>
      <c r="AV10" s="538">
        <v>72.83687943262413</v>
      </c>
      <c r="AW10" s="529">
        <v>18</v>
      </c>
      <c r="AX10" s="653"/>
      <c r="AZ10" s="364" t="e">
        <f>RANK(AX10, $K$7:AX$36)</f>
        <v>#VALUE!</v>
      </c>
      <c r="BB10" s="354" t="e">
        <f t="shared" si="0"/>
        <v>#N/A</v>
      </c>
    </row>
    <row r="11" spans="1:54" ht="14.25">
      <c r="A11" s="81"/>
      <c r="B11" s="635"/>
      <c r="C11" s="483">
        <v>5</v>
      </c>
      <c r="D11" s="223" t="s">
        <v>340</v>
      </c>
      <c r="E11" s="538">
        <v>16</v>
      </c>
      <c r="F11" s="529">
        <v>1565</v>
      </c>
      <c r="G11" s="530">
        <v>97.8</v>
      </c>
      <c r="H11" s="678"/>
      <c r="I11" s="487">
        <f t="shared" si="1"/>
        <v>16</v>
      </c>
      <c r="J11" s="487">
        <f t="shared" si="1"/>
        <v>1391.4243931261046</v>
      </c>
      <c r="K11" s="363">
        <f t="shared" si="1"/>
        <v>86.96402457038154</v>
      </c>
      <c r="L11" s="615"/>
      <c r="M11" s="489">
        <f>RANK(K11, K$7:$K$36)</f>
        <v>6</v>
      </c>
      <c r="N11" s="624"/>
      <c r="O11" s="624"/>
      <c r="P11" s="411"/>
      <c r="Q11" s="182"/>
      <c r="R11" s="182"/>
      <c r="S11" s="411"/>
      <c r="T11" s="653"/>
      <c r="U11" s="529">
        <v>16</v>
      </c>
      <c r="V11" s="538">
        <v>1393.7777777777785</v>
      </c>
      <c r="W11" s="538">
        <v>87.111111111111157</v>
      </c>
      <c r="X11" s="529">
        <v>7</v>
      </c>
      <c r="Y11" s="653"/>
      <c r="Z11" s="529">
        <v>16</v>
      </c>
      <c r="AA11" s="538">
        <v>1375.3846153846168</v>
      </c>
      <c r="AB11" s="538">
        <v>85.961538461538552</v>
      </c>
      <c r="AC11" s="529">
        <v>6</v>
      </c>
      <c r="AD11" s="653"/>
      <c r="AE11" s="529">
        <v>16</v>
      </c>
      <c r="AF11" s="538">
        <v>1398.3870967741948</v>
      </c>
      <c r="AG11" s="538">
        <v>87.399193548387174</v>
      </c>
      <c r="AH11" s="529">
        <v>6</v>
      </c>
      <c r="AI11" s="653"/>
      <c r="AJ11" s="529">
        <v>16</v>
      </c>
      <c r="AK11" s="538">
        <v>1395.4054054054045</v>
      </c>
      <c r="AL11" s="538">
        <v>87.212837837837782</v>
      </c>
      <c r="AM11" s="529">
        <v>5</v>
      </c>
      <c r="AN11" s="653"/>
      <c r="AO11" s="529">
        <v>16</v>
      </c>
      <c r="AP11" s="538">
        <v>1379.2499999999995</v>
      </c>
      <c r="AQ11" s="538">
        <v>86.203124999999972</v>
      </c>
      <c r="AR11" s="529">
        <v>5</v>
      </c>
      <c r="AS11" s="653"/>
      <c r="AT11" s="529">
        <v>16</v>
      </c>
      <c r="AU11" s="538">
        <v>1406.3414634146336</v>
      </c>
      <c r="AV11" s="538">
        <v>87.896341463414601</v>
      </c>
      <c r="AW11" s="529">
        <v>6</v>
      </c>
      <c r="AX11" s="653"/>
      <c r="AZ11" s="364" t="e">
        <f>RANK(AX11, $K$7:AX$36)</f>
        <v>#VALUE!</v>
      </c>
      <c r="BB11" s="354" t="e">
        <f t="shared" si="0"/>
        <v>#N/A</v>
      </c>
    </row>
    <row r="12" spans="1:54" ht="14.25">
      <c r="A12" s="81"/>
      <c r="B12" s="635"/>
      <c r="C12" s="483">
        <v>6</v>
      </c>
      <c r="D12" s="223" t="s">
        <v>784</v>
      </c>
      <c r="E12" s="538">
        <v>20</v>
      </c>
      <c r="F12" s="529">
        <v>1440</v>
      </c>
      <c r="G12" s="530">
        <v>72</v>
      </c>
      <c r="H12" s="678"/>
      <c r="I12" s="487">
        <f t="shared" si="1"/>
        <v>20.333333333333332</v>
      </c>
      <c r="J12" s="487">
        <f t="shared" si="1"/>
        <v>1265.0294746103564</v>
      </c>
      <c r="K12" s="363">
        <f t="shared" si="1"/>
        <v>62.245311265531818</v>
      </c>
      <c r="L12" s="615"/>
      <c r="M12" s="489">
        <f>RANK(K12, K$7:$K$36)</f>
        <v>23</v>
      </c>
      <c r="N12" s="624"/>
      <c r="O12" s="624"/>
      <c r="P12" s="411"/>
      <c r="Q12" s="182"/>
      <c r="R12" s="182"/>
      <c r="S12" s="411"/>
      <c r="T12" s="653"/>
      <c r="U12" s="529">
        <v>21</v>
      </c>
      <c r="V12" s="538">
        <v>1275.5294117647056</v>
      </c>
      <c r="W12" s="538">
        <v>60.739495798319318</v>
      </c>
      <c r="X12" s="529">
        <v>23</v>
      </c>
      <c r="Y12" s="653"/>
      <c r="Z12" s="529">
        <v>20</v>
      </c>
      <c r="AA12" s="538">
        <v>1271.9999999999991</v>
      </c>
      <c r="AB12" s="538">
        <v>63.599999999999952</v>
      </c>
      <c r="AC12" s="529">
        <v>23</v>
      </c>
      <c r="AD12" s="653"/>
      <c r="AE12" s="529">
        <v>21</v>
      </c>
      <c r="AF12" s="538">
        <v>1259.9999999999989</v>
      </c>
      <c r="AG12" s="538">
        <v>59.999999999999943</v>
      </c>
      <c r="AH12" s="529">
        <v>23</v>
      </c>
      <c r="AI12" s="653"/>
      <c r="AJ12" s="529">
        <v>20</v>
      </c>
      <c r="AK12" s="538">
        <v>1244.1666666666658</v>
      </c>
      <c r="AL12" s="538">
        <v>62.208333333333293</v>
      </c>
      <c r="AM12" s="529">
        <v>23</v>
      </c>
      <c r="AN12" s="653"/>
      <c r="AO12" s="529">
        <v>20</v>
      </c>
      <c r="AP12" s="538">
        <v>1279.2307692307686</v>
      </c>
      <c r="AQ12" s="538">
        <v>63.961538461538431</v>
      </c>
      <c r="AR12" s="529">
        <v>23</v>
      </c>
      <c r="AS12" s="653"/>
      <c r="AT12" s="529">
        <v>20</v>
      </c>
      <c r="AU12" s="538">
        <v>1259.2499999999995</v>
      </c>
      <c r="AV12" s="538">
        <v>62.962499999999977</v>
      </c>
      <c r="AW12" s="529">
        <v>23</v>
      </c>
      <c r="AX12" s="653"/>
      <c r="AZ12" s="364" t="e">
        <f>RANK(AX12, $K$7:AX$36)</f>
        <v>#VALUE!</v>
      </c>
      <c r="BB12" s="354" t="e">
        <f t="shared" si="0"/>
        <v>#N/A</v>
      </c>
    </row>
    <row r="13" spans="1:54" ht="14.25">
      <c r="A13" s="81"/>
      <c r="B13" s="635"/>
      <c r="C13" s="483">
        <v>7</v>
      </c>
      <c r="D13" s="223" t="s">
        <v>696</v>
      </c>
      <c r="E13" s="538">
        <v>16</v>
      </c>
      <c r="F13" s="529">
        <v>1500</v>
      </c>
      <c r="G13" s="530">
        <v>93.8</v>
      </c>
      <c r="H13" s="678"/>
      <c r="I13" s="487">
        <f t="shared" si="1"/>
        <v>16</v>
      </c>
      <c r="J13" s="487">
        <f t="shared" si="1"/>
        <v>1407.8690268806288</v>
      </c>
      <c r="K13" s="363">
        <f t="shared" si="1"/>
        <v>87.991814180039299</v>
      </c>
      <c r="L13" s="615"/>
      <c r="M13" s="489">
        <f>RANK(K13, K$7:$K$36)</f>
        <v>4</v>
      </c>
      <c r="N13" s="624"/>
      <c r="O13" s="624"/>
      <c r="P13" s="411"/>
      <c r="Q13" s="182"/>
      <c r="R13" s="182"/>
      <c r="S13" s="411"/>
      <c r="T13" s="653"/>
      <c r="U13" s="529">
        <v>16</v>
      </c>
      <c r="V13" s="538">
        <v>1395.7894736842115</v>
      </c>
      <c r="W13" s="538">
        <v>87.236842105263221</v>
      </c>
      <c r="X13" s="529">
        <v>6</v>
      </c>
      <c r="Y13" s="653"/>
      <c r="Z13" s="529">
        <v>16</v>
      </c>
      <c r="AA13" s="538">
        <v>1406.0487804878044</v>
      </c>
      <c r="AB13" s="538">
        <v>87.878048780487774</v>
      </c>
      <c r="AC13" s="529">
        <v>4</v>
      </c>
      <c r="AD13" s="653"/>
      <c r="AE13" s="529">
        <v>16</v>
      </c>
      <c r="AF13" s="538">
        <v>1412.9230769230765</v>
      </c>
      <c r="AG13" s="538">
        <v>88.307692307692278</v>
      </c>
      <c r="AH13" s="529">
        <v>5</v>
      </c>
      <c r="AI13" s="653"/>
      <c r="AJ13" s="529">
        <v>16</v>
      </c>
      <c r="AK13" s="538">
        <v>1424.0000000000005</v>
      </c>
      <c r="AL13" s="538">
        <v>89.000000000000028</v>
      </c>
      <c r="AM13" s="529">
        <v>4</v>
      </c>
      <c r="AN13" s="653"/>
      <c r="AO13" s="529">
        <v>16</v>
      </c>
      <c r="AP13" s="538">
        <v>1392.0000000000005</v>
      </c>
      <c r="AQ13" s="538">
        <v>87.000000000000028</v>
      </c>
      <c r="AR13" s="529">
        <v>4</v>
      </c>
      <c r="AS13" s="653"/>
      <c r="AT13" s="529">
        <v>16</v>
      </c>
      <c r="AU13" s="538">
        <v>1416.4528301886801</v>
      </c>
      <c r="AV13" s="538">
        <v>88.528301886792505</v>
      </c>
      <c r="AW13" s="529">
        <v>5</v>
      </c>
      <c r="AX13" s="653"/>
      <c r="AZ13" s="364" t="e">
        <f>RANK(AX13, $K$7:AX$36)</f>
        <v>#VALUE!</v>
      </c>
      <c r="BB13" s="354" t="e">
        <f t="shared" si="0"/>
        <v>#N/A</v>
      </c>
    </row>
    <row r="14" spans="1:54" ht="14.25">
      <c r="A14" s="81"/>
      <c r="B14" s="635"/>
      <c r="C14" s="483">
        <v>8</v>
      </c>
      <c r="D14" s="223" t="s">
        <v>339</v>
      </c>
      <c r="E14" s="538">
        <v>16</v>
      </c>
      <c r="F14" s="529">
        <v>1440</v>
      </c>
      <c r="G14" s="530">
        <v>90</v>
      </c>
      <c r="H14" s="678"/>
      <c r="I14" s="487">
        <f t="shared" si="1"/>
        <v>16</v>
      </c>
      <c r="J14" s="487">
        <f t="shared" si="1"/>
        <v>1321.366014640992</v>
      </c>
      <c r="K14" s="363">
        <f t="shared" si="1"/>
        <v>82.585375915062002</v>
      </c>
      <c r="L14" s="615"/>
      <c r="M14" s="489">
        <f>RANK(K14, K$7:$K$36)</f>
        <v>7</v>
      </c>
      <c r="N14" s="624"/>
      <c r="O14" s="624"/>
      <c r="P14" s="411"/>
      <c r="Q14" s="182"/>
      <c r="R14" s="182"/>
      <c r="S14" s="411"/>
      <c r="T14" s="653"/>
      <c r="U14" s="529">
        <v>16</v>
      </c>
      <c r="V14" s="538">
        <v>1310.4545454545455</v>
      </c>
      <c r="W14" s="538">
        <v>81.903409090909093</v>
      </c>
      <c r="X14" s="529">
        <v>9</v>
      </c>
      <c r="Y14" s="653"/>
      <c r="Z14" s="529">
        <v>16</v>
      </c>
      <c r="AA14" s="538">
        <v>1332.6315789473674</v>
      </c>
      <c r="AB14" s="538">
        <v>83.289473684210463</v>
      </c>
      <c r="AC14" s="529">
        <v>7</v>
      </c>
      <c r="AD14" s="653"/>
      <c r="AE14" s="529">
        <v>16</v>
      </c>
      <c r="AF14" s="538">
        <v>1301.8604651162789</v>
      </c>
      <c r="AG14" s="538">
        <v>81.36627906976743</v>
      </c>
      <c r="AH14" s="529">
        <v>11</v>
      </c>
      <c r="AI14" s="653"/>
      <c r="AJ14" s="529">
        <v>16</v>
      </c>
      <c r="AK14" s="538">
        <v>1318.695652173913</v>
      </c>
      <c r="AL14" s="538">
        <v>82.418478260869563</v>
      </c>
      <c r="AM14" s="529">
        <v>8</v>
      </c>
      <c r="AN14" s="653"/>
      <c r="AO14" s="529">
        <v>16</v>
      </c>
      <c r="AP14" s="538">
        <v>1336.1538461538469</v>
      </c>
      <c r="AQ14" s="538">
        <v>83.509615384615429</v>
      </c>
      <c r="AR14" s="529">
        <v>7</v>
      </c>
      <c r="AS14" s="653"/>
      <c r="AT14" s="529">
        <v>16</v>
      </c>
      <c r="AU14" s="538">
        <v>1328.4000000000005</v>
      </c>
      <c r="AV14" s="538">
        <v>83.025000000000034</v>
      </c>
      <c r="AW14" s="529">
        <v>7</v>
      </c>
      <c r="AX14" s="653"/>
      <c r="AZ14" s="364" t="e">
        <f>RANK(AX14, $K$7:AX$36)</f>
        <v>#VALUE!</v>
      </c>
      <c r="BB14" s="354" t="e">
        <f t="shared" si="0"/>
        <v>#N/A</v>
      </c>
    </row>
    <row r="15" spans="1:54" ht="14.25">
      <c r="A15" s="81"/>
      <c r="B15" s="635"/>
      <c r="C15" s="483">
        <v>9</v>
      </c>
      <c r="D15" s="223" t="s">
        <v>338</v>
      </c>
      <c r="E15" s="538">
        <v>18</v>
      </c>
      <c r="F15" s="529">
        <v>1636</v>
      </c>
      <c r="G15" s="530">
        <v>90.9</v>
      </c>
      <c r="H15" s="678"/>
      <c r="I15" s="487">
        <f t="shared" si="1"/>
        <v>18</v>
      </c>
      <c r="J15" s="487">
        <f t="shared" si="1"/>
        <v>1435.4489058704214</v>
      </c>
      <c r="K15" s="363">
        <f t="shared" si="1"/>
        <v>79.747161437245637</v>
      </c>
      <c r="L15" s="615"/>
      <c r="M15" s="489">
        <f>RANK(K15, K$7:$K$36)</f>
        <v>13</v>
      </c>
      <c r="N15" s="624"/>
      <c r="O15" s="624"/>
      <c r="P15" s="411"/>
      <c r="Q15" s="182"/>
      <c r="R15" s="182"/>
      <c r="S15" s="411"/>
      <c r="T15" s="653"/>
      <c r="U15" s="529">
        <v>18</v>
      </c>
      <c r="V15" s="538">
        <v>1422.8571428571433</v>
      </c>
      <c r="W15" s="538">
        <v>79.047619047619079</v>
      </c>
      <c r="X15" s="529">
        <v>13</v>
      </c>
      <c r="Y15" s="653"/>
      <c r="Z15" s="529">
        <v>18</v>
      </c>
      <c r="AA15" s="538">
        <v>1446.2500000000005</v>
      </c>
      <c r="AB15" s="538">
        <v>80.347222222222243</v>
      </c>
      <c r="AC15" s="529">
        <v>13</v>
      </c>
      <c r="AD15" s="653"/>
      <c r="AE15" s="529">
        <v>18</v>
      </c>
      <c r="AF15" s="538">
        <v>1447.3684210526326</v>
      </c>
      <c r="AG15" s="538">
        <v>80.409356725146253</v>
      </c>
      <c r="AH15" s="529">
        <v>14</v>
      </c>
      <c r="AI15" s="653"/>
      <c r="AJ15" s="529">
        <v>18</v>
      </c>
      <c r="AK15" s="538">
        <v>1447.7419354838723</v>
      </c>
      <c r="AL15" s="538">
        <v>80.430107526881798</v>
      </c>
      <c r="AM15" s="529">
        <v>13</v>
      </c>
      <c r="AN15" s="653"/>
      <c r="AO15" s="529">
        <v>18</v>
      </c>
      <c r="AP15" s="538">
        <v>1418.1818181818196</v>
      </c>
      <c r="AQ15" s="538">
        <v>78.787878787878867</v>
      </c>
      <c r="AR15" s="529">
        <v>16</v>
      </c>
      <c r="AS15" s="653"/>
      <c r="AT15" s="529">
        <v>18</v>
      </c>
      <c r="AU15" s="538">
        <v>1430.2941176470606</v>
      </c>
      <c r="AV15" s="538">
        <v>79.460784313725583</v>
      </c>
      <c r="AW15" s="529">
        <v>11</v>
      </c>
      <c r="AX15" s="653"/>
      <c r="AZ15" s="364" t="e">
        <f>RANK(AX15, $K$7:AX$36)</f>
        <v>#VALUE!</v>
      </c>
      <c r="BB15" s="354" t="e">
        <f t="shared" si="0"/>
        <v>#N/A</v>
      </c>
    </row>
    <row r="16" spans="1:54" ht="14.25">
      <c r="A16" s="81"/>
      <c r="B16" s="635"/>
      <c r="C16" s="483">
        <v>10</v>
      </c>
      <c r="D16" s="223" t="s">
        <v>337</v>
      </c>
      <c r="E16" s="538">
        <v>18</v>
      </c>
      <c r="F16" s="529">
        <v>1636</v>
      </c>
      <c r="G16" s="530">
        <v>90.9</v>
      </c>
      <c r="H16" s="678"/>
      <c r="I16" s="487">
        <f t="shared" si="1"/>
        <v>18</v>
      </c>
      <c r="J16" s="487">
        <f t="shared" si="1"/>
        <v>1420.0649629707223</v>
      </c>
      <c r="K16" s="363">
        <f t="shared" si="1"/>
        <v>78.892497942817911</v>
      </c>
      <c r="L16" s="615"/>
      <c r="M16" s="489">
        <f>RANK(K16, K$7:$K$36)</f>
        <v>14</v>
      </c>
      <c r="N16" s="624"/>
      <c r="O16" s="624"/>
      <c r="P16" s="411"/>
      <c r="Q16" s="182"/>
      <c r="R16" s="182"/>
      <c r="S16" s="411"/>
      <c r="T16" s="653"/>
      <c r="U16" s="529">
        <v>18</v>
      </c>
      <c r="V16" s="538">
        <v>1385.853658536585</v>
      </c>
      <c r="W16" s="538">
        <v>76.991869918699166</v>
      </c>
      <c r="X16" s="529">
        <v>17</v>
      </c>
      <c r="Y16" s="653"/>
      <c r="Z16" s="529">
        <v>18</v>
      </c>
      <c r="AA16" s="538">
        <v>1403.9999999999995</v>
      </c>
      <c r="AB16" s="538">
        <v>77.999999999999972</v>
      </c>
      <c r="AC16" s="529">
        <v>15</v>
      </c>
      <c r="AD16" s="653"/>
      <c r="AE16" s="529">
        <v>18</v>
      </c>
      <c r="AF16" s="538">
        <v>1458.2608695652175</v>
      </c>
      <c r="AG16" s="538">
        <v>81.014492753623188</v>
      </c>
      <c r="AH16" s="529">
        <v>12</v>
      </c>
      <c r="AI16" s="653"/>
      <c r="AJ16" s="529">
        <v>18</v>
      </c>
      <c r="AK16" s="538">
        <v>1435.2941176470595</v>
      </c>
      <c r="AL16" s="538">
        <v>79.738562091503297</v>
      </c>
      <c r="AM16" s="529">
        <v>15</v>
      </c>
      <c r="AN16" s="653"/>
      <c r="AO16" s="529">
        <v>18</v>
      </c>
      <c r="AP16" s="538">
        <v>1413.9622641509441</v>
      </c>
      <c r="AQ16" s="538">
        <v>78.553459119496893</v>
      </c>
      <c r="AR16" s="529">
        <v>17</v>
      </c>
      <c r="AS16" s="653"/>
      <c r="AT16" s="529">
        <v>18</v>
      </c>
      <c r="AU16" s="538">
        <v>1423.0188679245291</v>
      </c>
      <c r="AV16" s="538">
        <v>79.056603773584953</v>
      </c>
      <c r="AW16" s="529">
        <v>13</v>
      </c>
      <c r="AX16" s="653"/>
      <c r="AZ16" s="364" t="e">
        <f>RANK(AX16, $K$7:AX$36)</f>
        <v>#VALUE!</v>
      </c>
      <c r="BB16" s="354" t="e">
        <f t="shared" si="0"/>
        <v>#N/A</v>
      </c>
    </row>
    <row r="17" spans="2:54">
      <c r="B17" s="635"/>
      <c r="C17" s="483">
        <v>11</v>
      </c>
      <c r="D17" s="223" t="s">
        <v>320</v>
      </c>
      <c r="E17" s="538">
        <v>17</v>
      </c>
      <c r="F17" s="529">
        <v>1500</v>
      </c>
      <c r="G17" s="530">
        <v>88.2</v>
      </c>
      <c r="H17" s="678"/>
      <c r="I17" s="487">
        <f t="shared" si="1"/>
        <v>17</v>
      </c>
      <c r="J17" s="487">
        <f t="shared" si="1"/>
        <v>1398.9584433491748</v>
      </c>
      <c r="K17" s="363">
        <f t="shared" si="1"/>
        <v>82.291673138186766</v>
      </c>
      <c r="L17" s="615"/>
      <c r="M17" s="489">
        <f>RANK(K17, K$7:$K$36)</f>
        <v>9</v>
      </c>
      <c r="N17" s="624"/>
      <c r="O17" s="624"/>
      <c r="P17" s="411"/>
      <c r="Q17" s="182"/>
      <c r="R17" s="182"/>
      <c r="S17" s="411"/>
      <c r="T17" s="653"/>
      <c r="U17" s="529">
        <v>17</v>
      </c>
      <c r="V17" s="538">
        <v>1367.6923076923069</v>
      </c>
      <c r="W17" s="538">
        <v>80.452488687782761</v>
      </c>
      <c r="X17" s="529">
        <v>12</v>
      </c>
      <c r="Y17" s="653"/>
      <c r="Z17" s="529">
        <v>17</v>
      </c>
      <c r="AA17" s="538">
        <v>1403.9999999999986</v>
      </c>
      <c r="AB17" s="538">
        <v>82.588235294117567</v>
      </c>
      <c r="AC17" s="529">
        <v>9</v>
      </c>
      <c r="AD17" s="653"/>
      <c r="AE17" s="529">
        <v>17</v>
      </c>
      <c r="AF17" s="538">
        <v>1424.2105263157885</v>
      </c>
      <c r="AG17" s="538">
        <v>83.777089783281667</v>
      </c>
      <c r="AH17" s="529">
        <v>8</v>
      </c>
      <c r="AI17" s="653"/>
      <c r="AJ17" s="529">
        <v>17</v>
      </c>
      <c r="AK17" s="538">
        <v>1393.4999999999995</v>
      </c>
      <c r="AL17" s="538">
        <v>81.970588235294088</v>
      </c>
      <c r="AM17" s="529">
        <v>10</v>
      </c>
      <c r="AN17" s="653"/>
      <c r="AO17" s="529">
        <v>17</v>
      </c>
      <c r="AP17" s="538">
        <v>1410</v>
      </c>
      <c r="AQ17" s="538">
        <v>82.941176470588232</v>
      </c>
      <c r="AR17" s="529">
        <v>8</v>
      </c>
      <c r="AS17" s="653"/>
      <c r="AT17" s="529">
        <v>17</v>
      </c>
      <c r="AU17" s="538">
        <v>1394.3478260869565</v>
      </c>
      <c r="AV17" s="538">
        <v>82.020460358056269</v>
      </c>
      <c r="AW17" s="529">
        <v>8</v>
      </c>
      <c r="AX17" s="653"/>
      <c r="AZ17" s="364" t="e">
        <f>RANK(AX17, $K$7:AX$36)</f>
        <v>#VALUE!</v>
      </c>
      <c r="BB17" s="354" t="e">
        <f t="shared" si="0"/>
        <v>#N/A</v>
      </c>
    </row>
    <row r="18" spans="2:54">
      <c r="B18" s="635"/>
      <c r="C18" s="483">
        <v>12</v>
      </c>
      <c r="D18" s="223" t="s">
        <v>431</v>
      </c>
      <c r="E18" s="538">
        <v>20</v>
      </c>
      <c r="F18" s="529">
        <v>1440</v>
      </c>
      <c r="G18" s="530">
        <v>72</v>
      </c>
      <c r="H18" s="678"/>
      <c r="I18" s="487">
        <f t="shared" si="1"/>
        <v>20</v>
      </c>
      <c r="J18" s="487">
        <f t="shared" si="1"/>
        <v>1339.5629577040038</v>
      </c>
      <c r="K18" s="363">
        <f t="shared" si="1"/>
        <v>66.978147885200187</v>
      </c>
      <c r="L18" s="615"/>
      <c r="M18" s="489">
        <f>RANK(K18, K$7:$K$36)</f>
        <v>22</v>
      </c>
      <c r="N18" s="624"/>
      <c r="O18" s="624"/>
      <c r="P18" s="411"/>
      <c r="Q18" s="182"/>
      <c r="R18" s="182"/>
      <c r="S18" s="411"/>
      <c r="T18" s="653"/>
      <c r="U18" s="529">
        <v>20</v>
      </c>
      <c r="V18" s="538">
        <v>1345.1612903225819</v>
      </c>
      <c r="W18" s="538">
        <v>67.258064516129096</v>
      </c>
      <c r="X18" s="529">
        <v>22</v>
      </c>
      <c r="Y18" s="653"/>
      <c r="Z18" s="529">
        <v>20</v>
      </c>
      <c r="AA18" s="538">
        <v>1336.6666666666674</v>
      </c>
      <c r="AB18" s="538">
        <v>66.833333333333371</v>
      </c>
      <c r="AC18" s="529">
        <v>22</v>
      </c>
      <c r="AD18" s="653"/>
      <c r="AE18" s="529">
        <v>20</v>
      </c>
      <c r="AF18" s="538">
        <v>1365.2459016393457</v>
      </c>
      <c r="AG18" s="538">
        <v>68.262295081967281</v>
      </c>
      <c r="AH18" s="529">
        <v>21</v>
      </c>
      <c r="AI18" s="653"/>
      <c r="AJ18" s="529">
        <v>20</v>
      </c>
      <c r="AK18" s="538">
        <v>1314.2465753424647</v>
      </c>
      <c r="AL18" s="538">
        <v>65.712328767123239</v>
      </c>
      <c r="AM18" s="529">
        <v>22</v>
      </c>
      <c r="AN18" s="653"/>
      <c r="AO18" s="529">
        <v>20</v>
      </c>
      <c r="AP18" s="538">
        <v>1341.7391304347811</v>
      </c>
      <c r="AQ18" s="538">
        <v>67.086956521739054</v>
      </c>
      <c r="AR18" s="529">
        <v>22</v>
      </c>
      <c r="AS18" s="653"/>
      <c r="AT18" s="529">
        <v>20</v>
      </c>
      <c r="AU18" s="538">
        <v>1334.3181818181818</v>
      </c>
      <c r="AV18" s="538">
        <v>66.715909090909093</v>
      </c>
      <c r="AW18" s="529">
        <v>22</v>
      </c>
      <c r="AX18" s="653"/>
      <c r="AZ18" s="364" t="e">
        <f>RANK(AX18, $K$7:AX$36)</f>
        <v>#VALUE!</v>
      </c>
      <c r="BB18" s="354" t="e">
        <f t="shared" si="0"/>
        <v>#N/A</v>
      </c>
    </row>
    <row r="19" spans="2:54">
      <c r="B19" s="635"/>
      <c r="C19" s="483">
        <v>13</v>
      </c>
      <c r="D19" s="223" t="s">
        <v>341</v>
      </c>
      <c r="E19" s="538">
        <v>14</v>
      </c>
      <c r="F19" s="529">
        <v>1440</v>
      </c>
      <c r="G19" s="530">
        <v>102.9</v>
      </c>
      <c r="H19" s="678"/>
      <c r="I19" s="487">
        <f t="shared" si="1"/>
        <v>15</v>
      </c>
      <c r="J19" s="487">
        <f t="shared" si="1"/>
        <v>1348.1417579398969</v>
      </c>
      <c r="K19" s="363">
        <f t="shared" si="1"/>
        <v>89.876117195993118</v>
      </c>
      <c r="L19" s="615"/>
      <c r="M19" s="489">
        <f>RANK(K19, K$7:$K$36)</f>
        <v>3</v>
      </c>
      <c r="N19" s="624"/>
      <c r="O19" s="624"/>
      <c r="P19" s="411"/>
      <c r="Q19" s="182"/>
      <c r="R19" s="182"/>
      <c r="S19" s="411"/>
      <c r="T19" s="653"/>
      <c r="U19" s="529">
        <v>15</v>
      </c>
      <c r="V19" s="538">
        <v>1367.0588235294122</v>
      </c>
      <c r="W19" s="538">
        <v>91.137254901960816</v>
      </c>
      <c r="X19" s="529">
        <v>3</v>
      </c>
      <c r="Y19" s="653"/>
      <c r="Z19" s="529">
        <v>15</v>
      </c>
      <c r="AA19" s="538">
        <v>1340.5263157894728</v>
      </c>
      <c r="AB19" s="538">
        <v>89.368421052631518</v>
      </c>
      <c r="AC19" s="529">
        <v>3</v>
      </c>
      <c r="AD19" s="653"/>
      <c r="AE19" s="529">
        <v>15</v>
      </c>
      <c r="AF19" s="538">
        <v>1356.2500000000005</v>
      </c>
      <c r="AG19" s="538">
        <v>90.4166666666667</v>
      </c>
      <c r="AH19" s="529">
        <v>3</v>
      </c>
      <c r="AI19" s="653"/>
      <c r="AJ19" s="529">
        <v>15</v>
      </c>
      <c r="AK19" s="538">
        <v>1335.0000000000011</v>
      </c>
      <c r="AL19" s="538">
        <v>89.000000000000071</v>
      </c>
      <c r="AM19" s="529">
        <v>3</v>
      </c>
      <c r="AN19" s="653"/>
      <c r="AO19" s="529">
        <v>15</v>
      </c>
      <c r="AP19" s="538">
        <v>1352.7272727272737</v>
      </c>
      <c r="AQ19" s="538">
        <v>90.181818181818244</v>
      </c>
      <c r="AR19" s="529">
        <v>3</v>
      </c>
      <c r="AS19" s="653"/>
      <c r="AT19" s="529">
        <v>15</v>
      </c>
      <c r="AU19" s="538">
        <v>1337.2881355932213</v>
      </c>
      <c r="AV19" s="538">
        <v>89.152542372881427</v>
      </c>
      <c r="AW19" s="529">
        <v>4</v>
      </c>
      <c r="AX19" s="653"/>
      <c r="AZ19" s="364" t="e">
        <f>RANK(AX19, $K$7:AX$36)</f>
        <v>#VALUE!</v>
      </c>
      <c r="BB19" s="354" t="e">
        <f t="shared" si="0"/>
        <v>#N/A</v>
      </c>
    </row>
    <row r="20" spans="2:54">
      <c r="B20" s="635"/>
      <c r="C20" s="483">
        <v>14</v>
      </c>
      <c r="D20" s="223" t="s">
        <v>313</v>
      </c>
      <c r="E20" s="538">
        <v>19</v>
      </c>
      <c r="F20" s="529">
        <v>1440</v>
      </c>
      <c r="G20" s="530">
        <v>75.8</v>
      </c>
      <c r="H20" s="678"/>
      <c r="I20" s="487">
        <f t="shared" si="1"/>
        <v>19</v>
      </c>
      <c r="J20" s="487">
        <f t="shared" si="1"/>
        <v>1346.3255335734591</v>
      </c>
      <c r="K20" s="363">
        <f t="shared" si="1"/>
        <v>70.85923860912942</v>
      </c>
      <c r="L20" s="615"/>
      <c r="M20" s="489">
        <f>RANK(K20, K$7:$K$36)</f>
        <v>19</v>
      </c>
      <c r="N20" s="624"/>
      <c r="O20" s="624"/>
      <c r="P20" s="411"/>
      <c r="Q20" s="182"/>
      <c r="R20" s="182"/>
      <c r="S20" s="411"/>
      <c r="T20" s="653"/>
      <c r="U20" s="529">
        <v>19</v>
      </c>
      <c r="V20" s="538">
        <v>1378.3561643835606</v>
      </c>
      <c r="W20" s="538">
        <v>72.545061283345291</v>
      </c>
      <c r="X20" s="529">
        <v>18</v>
      </c>
      <c r="Y20" s="653"/>
      <c r="Z20" s="529">
        <v>19</v>
      </c>
      <c r="AA20" s="538">
        <v>1323.7500000000016</v>
      </c>
      <c r="AB20" s="538">
        <v>69.67105263157903</v>
      </c>
      <c r="AC20" s="529">
        <v>20</v>
      </c>
      <c r="AD20" s="653"/>
      <c r="AE20" s="529">
        <v>19</v>
      </c>
      <c r="AF20" s="538">
        <v>1361.4705882352957</v>
      </c>
      <c r="AG20" s="538">
        <v>71.656346749226088</v>
      </c>
      <c r="AH20" s="529">
        <v>19</v>
      </c>
      <c r="AI20" s="653"/>
      <c r="AJ20" s="529">
        <v>19</v>
      </c>
      <c r="AK20" s="538">
        <v>1343.2941176470586</v>
      </c>
      <c r="AL20" s="538">
        <v>70.699690402476762</v>
      </c>
      <c r="AM20" s="529">
        <v>19</v>
      </c>
      <c r="AN20" s="653"/>
      <c r="AO20" s="529">
        <v>19</v>
      </c>
      <c r="AP20" s="538">
        <v>1340.8695652173915</v>
      </c>
      <c r="AQ20" s="538">
        <v>70.572082379862707</v>
      </c>
      <c r="AR20" s="529">
        <v>19</v>
      </c>
      <c r="AS20" s="653"/>
      <c r="AT20" s="529">
        <v>19</v>
      </c>
      <c r="AU20" s="538">
        <v>1330.2127659574471</v>
      </c>
      <c r="AV20" s="538">
        <v>70.011198208286686</v>
      </c>
      <c r="AW20" s="529">
        <v>19</v>
      </c>
      <c r="AX20" s="653"/>
      <c r="AZ20" s="364" t="e">
        <f>RANK(AX20, $K$7:AX$36)</f>
        <v>#VALUE!</v>
      </c>
      <c r="BB20" s="354" t="e">
        <f t="shared" si="0"/>
        <v>#N/A</v>
      </c>
    </row>
    <row r="21" spans="2:54">
      <c r="B21" s="635"/>
      <c r="C21" s="483">
        <v>15</v>
      </c>
      <c r="D21" s="223" t="s">
        <v>336</v>
      </c>
      <c r="E21" s="538">
        <v>19</v>
      </c>
      <c r="F21" s="529">
        <v>1440</v>
      </c>
      <c r="G21" s="530">
        <v>75.8</v>
      </c>
      <c r="H21" s="678"/>
      <c r="I21" s="487">
        <f t="shared" si="1"/>
        <v>19</v>
      </c>
      <c r="J21" s="487">
        <f t="shared" si="1"/>
        <v>1328.2492028821769</v>
      </c>
      <c r="K21" s="363">
        <f t="shared" si="1"/>
        <v>69.907852783272475</v>
      </c>
      <c r="L21" s="615"/>
      <c r="M21" s="489">
        <f>RANK(K21, K$7:$K$36)</f>
        <v>20</v>
      </c>
      <c r="N21" s="624"/>
      <c r="O21" s="624"/>
      <c r="P21" s="411"/>
      <c r="Q21" s="182"/>
      <c r="R21" s="182"/>
      <c r="S21" s="411"/>
      <c r="T21" s="653"/>
      <c r="U21" s="529">
        <v>19</v>
      </c>
      <c r="V21" s="538">
        <v>1333.0909090909099</v>
      </c>
      <c r="W21" s="538">
        <v>70.162679425837368</v>
      </c>
      <c r="X21" s="529">
        <v>20</v>
      </c>
      <c r="Y21" s="653"/>
      <c r="Z21" s="529">
        <v>19</v>
      </c>
      <c r="AA21" s="538">
        <v>1348.2352941176475</v>
      </c>
      <c r="AB21" s="538">
        <v>70.959752321981455</v>
      </c>
      <c r="AC21" s="529">
        <v>19</v>
      </c>
      <c r="AD21" s="653"/>
      <c r="AE21" s="529">
        <v>19</v>
      </c>
      <c r="AF21" s="538">
        <v>1340.0000000000011</v>
      </c>
      <c r="AG21" s="538">
        <v>70.526315789473742</v>
      </c>
      <c r="AH21" s="529">
        <v>20</v>
      </c>
      <c r="AI21" s="653"/>
      <c r="AJ21" s="529">
        <v>19</v>
      </c>
      <c r="AK21" s="538">
        <v>1319.1428571428557</v>
      </c>
      <c r="AL21" s="538">
        <v>69.42857142857136</v>
      </c>
      <c r="AM21" s="529">
        <v>21</v>
      </c>
      <c r="AN21" s="653"/>
      <c r="AO21" s="529">
        <v>19</v>
      </c>
      <c r="AP21" s="538">
        <v>1308.1690140845058</v>
      </c>
      <c r="AQ21" s="538">
        <v>68.851000741289781</v>
      </c>
      <c r="AR21" s="529">
        <v>21</v>
      </c>
      <c r="AS21" s="653"/>
      <c r="AT21" s="529">
        <v>19</v>
      </c>
      <c r="AU21" s="538">
        <v>1320.8571428571415</v>
      </c>
      <c r="AV21" s="538">
        <v>69.518796992481128</v>
      </c>
      <c r="AW21" s="529">
        <v>20</v>
      </c>
      <c r="AX21" s="653"/>
      <c r="AZ21" s="365" t="e">
        <f>RANK(AX21, $K$7:AX$36)</f>
        <v>#VALUE!</v>
      </c>
      <c r="BB21" s="354" t="e">
        <f t="shared" si="0"/>
        <v>#N/A</v>
      </c>
    </row>
    <row r="22" spans="2:54">
      <c r="B22" s="635"/>
      <c r="C22" s="483">
        <v>16</v>
      </c>
      <c r="D22" s="223" t="s">
        <v>562</v>
      </c>
      <c r="E22" s="538">
        <v>18</v>
      </c>
      <c r="F22" s="529">
        <v>1500</v>
      </c>
      <c r="G22" s="530">
        <v>83.3</v>
      </c>
      <c r="H22" s="678"/>
      <c r="I22" s="487">
        <f t="shared" si="1"/>
        <v>18</v>
      </c>
      <c r="J22" s="487">
        <f t="shared" si="1"/>
        <v>1409.073451287928</v>
      </c>
      <c r="K22" s="363">
        <f t="shared" si="1"/>
        <v>78.281858404884886</v>
      </c>
      <c r="L22" s="615"/>
      <c r="M22" s="489">
        <f>RANK(K22, K$7:$K$36)</f>
        <v>16</v>
      </c>
      <c r="N22" s="624"/>
      <c r="O22" s="624"/>
      <c r="P22" s="539"/>
      <c r="Q22" s="182"/>
      <c r="R22" s="182"/>
      <c r="S22" s="411"/>
      <c r="T22" s="653"/>
      <c r="U22" s="529">
        <v>18</v>
      </c>
      <c r="V22" s="538">
        <v>1393.220338983052</v>
      </c>
      <c r="W22" s="538">
        <v>77.401129943502895</v>
      </c>
      <c r="X22" s="529">
        <v>15</v>
      </c>
      <c r="Y22" s="653"/>
      <c r="Z22" s="529">
        <v>18</v>
      </c>
      <c r="AA22" s="538">
        <v>1412.9411764705887</v>
      </c>
      <c r="AB22" s="538">
        <v>78.496732026143818</v>
      </c>
      <c r="AC22" s="529">
        <v>14</v>
      </c>
      <c r="AD22" s="653"/>
      <c r="AE22" s="529">
        <v>18</v>
      </c>
      <c r="AF22" s="538">
        <v>1395.2941176470595</v>
      </c>
      <c r="AG22" s="538">
        <v>77.516339869281083</v>
      </c>
      <c r="AH22" s="529">
        <v>17</v>
      </c>
      <c r="AI22" s="653"/>
      <c r="AJ22" s="529">
        <v>18</v>
      </c>
      <c r="AK22" s="538">
        <v>1410.0000000000014</v>
      </c>
      <c r="AL22" s="538">
        <v>78.333333333333414</v>
      </c>
      <c r="AM22" s="529">
        <v>17</v>
      </c>
      <c r="AN22" s="653"/>
      <c r="AO22" s="529">
        <v>18</v>
      </c>
      <c r="AP22" s="538">
        <v>1420.0000000000016</v>
      </c>
      <c r="AQ22" s="538">
        <v>78.888888888888971</v>
      </c>
      <c r="AR22" s="529">
        <v>15</v>
      </c>
      <c r="AS22" s="653"/>
      <c r="AT22" s="529">
        <v>18</v>
      </c>
      <c r="AU22" s="538">
        <v>1422.9850746268639</v>
      </c>
      <c r="AV22" s="538">
        <v>79.054726368159109</v>
      </c>
      <c r="AW22" s="529">
        <v>14</v>
      </c>
      <c r="AX22" s="653"/>
      <c r="AZ22" s="365" t="e">
        <f>RANK(AX22, $K$7:AX$36)</f>
        <v>#VALUE!</v>
      </c>
      <c r="BB22" s="354" t="e">
        <f t="shared" si="0"/>
        <v>#N/A</v>
      </c>
    </row>
    <row r="23" spans="2:54">
      <c r="B23" s="635"/>
      <c r="C23" s="483">
        <v>17</v>
      </c>
      <c r="D23" s="223" t="s">
        <v>428</v>
      </c>
      <c r="E23" s="538">
        <v>17</v>
      </c>
      <c r="F23" s="529">
        <v>1440</v>
      </c>
      <c r="G23" s="530">
        <v>84.7</v>
      </c>
      <c r="H23" s="678"/>
      <c r="I23" s="487">
        <f t="shared" si="1"/>
        <v>17</v>
      </c>
      <c r="J23" s="487">
        <f t="shared" si="1"/>
        <v>1336.4504006364461</v>
      </c>
      <c r="K23" s="363">
        <f t="shared" si="1"/>
        <v>78.614729449202727</v>
      </c>
      <c r="L23" s="615"/>
      <c r="M23" s="489">
        <f>RANK(K23, K$7:$K$36)</f>
        <v>15</v>
      </c>
      <c r="N23" s="624"/>
      <c r="O23" s="624"/>
      <c r="P23" s="411"/>
      <c r="Q23" s="182"/>
      <c r="R23" s="182"/>
      <c r="S23" s="411"/>
      <c r="T23" s="653"/>
      <c r="U23" s="529">
        <v>17</v>
      </c>
      <c r="V23" s="538">
        <v>1313.8461538461531</v>
      </c>
      <c r="W23" s="538">
        <v>77.28506787330312</v>
      </c>
      <c r="X23" s="529">
        <v>16</v>
      </c>
      <c r="Y23" s="653"/>
      <c r="Z23" s="529">
        <v>17</v>
      </c>
      <c r="AA23" s="538">
        <v>1307.2727272727257</v>
      </c>
      <c r="AB23" s="538">
        <v>76.898395721925041</v>
      </c>
      <c r="AC23" s="529">
        <v>16</v>
      </c>
      <c r="AD23" s="653"/>
      <c r="AE23" s="529">
        <v>17</v>
      </c>
      <c r="AF23" s="538">
        <v>1357.2972972972962</v>
      </c>
      <c r="AG23" s="538">
        <v>79.841017488076247</v>
      </c>
      <c r="AH23" s="529">
        <v>15</v>
      </c>
      <c r="AI23" s="653"/>
      <c r="AJ23" s="529">
        <v>17</v>
      </c>
      <c r="AK23" s="538">
        <v>1359.9999999999991</v>
      </c>
      <c r="AL23" s="538">
        <v>79.999999999999943</v>
      </c>
      <c r="AM23" s="529">
        <v>14</v>
      </c>
      <c r="AN23" s="653"/>
      <c r="AO23" s="529">
        <v>17</v>
      </c>
      <c r="AP23" s="538">
        <v>1363.0769230769222</v>
      </c>
      <c r="AQ23" s="538">
        <v>80.180995475113065</v>
      </c>
      <c r="AR23" s="529">
        <v>13</v>
      </c>
      <c r="AS23" s="653"/>
      <c r="AT23" s="529">
        <v>17</v>
      </c>
      <c r="AU23" s="538">
        <v>1317.2093023255811</v>
      </c>
      <c r="AV23" s="538">
        <v>77.482900136798889</v>
      </c>
      <c r="AW23" s="529">
        <v>15</v>
      </c>
      <c r="AX23" s="653"/>
      <c r="AZ23" s="365" t="e">
        <f>RANK(AX23, $K$7:AX$36)</f>
        <v>#VALUE!</v>
      </c>
      <c r="BB23" s="354" t="e">
        <f t="shared" si="0"/>
        <v>#N/A</v>
      </c>
    </row>
    <row r="24" spans="2:54">
      <c r="B24" s="635"/>
      <c r="C24" s="483">
        <v>18</v>
      </c>
      <c r="D24" s="223" t="s">
        <v>434</v>
      </c>
      <c r="E24" s="538">
        <v>20</v>
      </c>
      <c r="F24" s="529">
        <v>1440</v>
      </c>
      <c r="G24" s="530">
        <v>75</v>
      </c>
      <c r="H24" s="678"/>
      <c r="I24" s="487">
        <f t="shared" si="1"/>
        <v>20</v>
      </c>
      <c r="J24" s="487">
        <f t="shared" si="1"/>
        <v>1116.5789473684224</v>
      </c>
      <c r="K24" s="363">
        <f t="shared" si="1"/>
        <v>55.828947368421126</v>
      </c>
      <c r="L24" s="615"/>
      <c r="M24" s="489">
        <f>RANK(K24, K$7:$K$36)</f>
        <v>24</v>
      </c>
      <c r="N24" s="624"/>
      <c r="O24" s="624"/>
      <c r="P24" s="411"/>
      <c r="Q24" s="182"/>
      <c r="R24" s="182"/>
      <c r="S24" s="411"/>
      <c r="T24" s="653"/>
      <c r="U24" s="529">
        <v>20</v>
      </c>
      <c r="V24" s="538">
        <v>1203.1578947368412</v>
      </c>
      <c r="W24" s="538">
        <v>60.15789473684206</v>
      </c>
      <c r="X24" s="529">
        <v>24</v>
      </c>
      <c r="Y24" s="653"/>
      <c r="Z24" s="529">
        <v>20</v>
      </c>
      <c r="AA24" s="538">
        <v>1030.0000000000036</v>
      </c>
      <c r="AB24" s="538">
        <v>51.500000000000185</v>
      </c>
      <c r="AC24" s="529">
        <v>24</v>
      </c>
      <c r="AD24" s="653"/>
      <c r="AE24" s="529" t="s">
        <v>427</v>
      </c>
      <c r="AF24" s="538" t="s">
        <v>427</v>
      </c>
      <c r="AG24" s="538" t="s">
        <v>427</v>
      </c>
      <c r="AH24" s="529" t="e">
        <v>#VALUE!</v>
      </c>
      <c r="AI24" s="653"/>
      <c r="AJ24" s="529" t="s">
        <v>427</v>
      </c>
      <c r="AK24" s="538" t="s">
        <v>427</v>
      </c>
      <c r="AL24" s="538" t="s">
        <v>427</v>
      </c>
      <c r="AM24" s="529" t="e">
        <v>#VALUE!</v>
      </c>
      <c r="AN24" s="653"/>
      <c r="AO24" s="529" t="s">
        <v>427</v>
      </c>
      <c r="AP24" s="538" t="s">
        <v>427</v>
      </c>
      <c r="AQ24" s="538" t="s">
        <v>427</v>
      </c>
      <c r="AR24" s="529" t="e">
        <v>#VALUE!</v>
      </c>
      <c r="AS24" s="653"/>
      <c r="AT24" s="529" t="s">
        <v>427</v>
      </c>
      <c r="AU24" s="538" t="s">
        <v>427</v>
      </c>
      <c r="AV24" s="538" t="s">
        <v>427</v>
      </c>
      <c r="AW24" s="529" t="e">
        <v>#VALUE!</v>
      </c>
      <c r="AX24" s="653"/>
      <c r="AZ24" s="365" t="e">
        <f>RANK(AX24, $K$7:AX$36)</f>
        <v>#VALUE!</v>
      </c>
      <c r="BB24" s="354" t="e">
        <f t="shared" si="0"/>
        <v>#N/A</v>
      </c>
    </row>
    <row r="25" spans="2:54">
      <c r="B25" s="635"/>
      <c r="C25" s="483">
        <v>19</v>
      </c>
      <c r="D25" s="223" t="s">
        <v>560</v>
      </c>
      <c r="E25" s="538">
        <v>19</v>
      </c>
      <c r="F25" s="529">
        <v>1500</v>
      </c>
      <c r="G25" s="530">
        <v>78.900000000000006</v>
      </c>
      <c r="H25" s="678"/>
      <c r="I25" s="487" t="str">
        <f t="shared" si="1"/>
        <v>-</v>
      </c>
      <c r="J25" s="487" t="str">
        <f t="shared" si="1"/>
        <v>-</v>
      </c>
      <c r="K25" s="363" t="str">
        <f t="shared" si="1"/>
        <v>-</v>
      </c>
      <c r="L25" s="615"/>
      <c r="M25" s="489" t="e">
        <f>RANK(K25, K$7:$K$36)</f>
        <v>#VALUE!</v>
      </c>
      <c r="N25" s="624"/>
      <c r="O25" s="624"/>
      <c r="P25" s="411"/>
      <c r="Q25" s="182"/>
      <c r="R25" s="182"/>
      <c r="S25" s="411"/>
      <c r="T25" s="653"/>
      <c r="U25" s="529" t="s">
        <v>427</v>
      </c>
      <c r="V25" s="538" t="s">
        <v>427</v>
      </c>
      <c r="W25" s="538" t="s">
        <v>427</v>
      </c>
      <c r="X25" s="529" t="e">
        <v>#VALUE!</v>
      </c>
      <c r="Y25" s="653"/>
      <c r="Z25" s="529" t="s">
        <v>427</v>
      </c>
      <c r="AA25" s="538" t="s">
        <v>427</v>
      </c>
      <c r="AB25" s="538" t="s">
        <v>427</v>
      </c>
      <c r="AC25" s="529" t="e">
        <v>#VALUE!</v>
      </c>
      <c r="AD25" s="653"/>
      <c r="AE25" s="529" t="s">
        <v>427</v>
      </c>
      <c r="AF25" s="538" t="s">
        <v>427</v>
      </c>
      <c r="AG25" s="538" t="s">
        <v>427</v>
      </c>
      <c r="AH25" s="529" t="e">
        <v>#VALUE!</v>
      </c>
      <c r="AI25" s="653"/>
      <c r="AJ25" s="529" t="s">
        <v>427</v>
      </c>
      <c r="AK25" s="538" t="s">
        <v>427</v>
      </c>
      <c r="AL25" s="538" t="s">
        <v>427</v>
      </c>
      <c r="AM25" s="529" t="e">
        <v>#VALUE!</v>
      </c>
      <c r="AN25" s="653"/>
      <c r="AO25" s="529" t="s">
        <v>427</v>
      </c>
      <c r="AP25" s="538" t="s">
        <v>427</v>
      </c>
      <c r="AQ25" s="538" t="s">
        <v>427</v>
      </c>
      <c r="AR25" s="529" t="e">
        <v>#VALUE!</v>
      </c>
      <c r="AS25" s="653"/>
      <c r="AT25" s="529" t="s">
        <v>427</v>
      </c>
      <c r="AU25" s="538" t="s">
        <v>427</v>
      </c>
      <c r="AV25" s="538" t="s">
        <v>427</v>
      </c>
      <c r="AW25" s="529" t="e">
        <v>#VALUE!</v>
      </c>
      <c r="AX25" s="653"/>
      <c r="AZ25" s="365" t="e">
        <f>RANK(AX25, $K$7:AX$36)</f>
        <v>#VALUE!</v>
      </c>
      <c r="BB25" s="354" t="e">
        <f t="shared" si="0"/>
        <v>#N/A</v>
      </c>
    </row>
    <row r="26" spans="2:54">
      <c r="B26" s="635"/>
      <c r="C26" s="483">
        <v>20</v>
      </c>
      <c r="D26" s="223" t="s">
        <v>697</v>
      </c>
      <c r="E26" s="538">
        <v>16</v>
      </c>
      <c r="F26" s="529">
        <v>1636</v>
      </c>
      <c r="G26" s="530">
        <v>102.3</v>
      </c>
      <c r="H26" s="678"/>
      <c r="I26" s="487">
        <f t="shared" si="1"/>
        <v>16.166666666666668</v>
      </c>
      <c r="J26" s="487">
        <f t="shared" si="1"/>
        <v>1410.4409281041999</v>
      </c>
      <c r="K26" s="363">
        <f t="shared" si="1"/>
        <v>87.275352124159554</v>
      </c>
      <c r="L26" s="615"/>
      <c r="M26" s="489">
        <f>RANK(K26, K$7:$K$36)</f>
        <v>5</v>
      </c>
      <c r="N26" s="624"/>
      <c r="O26" s="624"/>
      <c r="P26" s="411"/>
      <c r="Q26" s="182"/>
      <c r="R26" s="182"/>
      <c r="S26" s="411"/>
      <c r="T26" s="653"/>
      <c r="U26" s="529">
        <v>16</v>
      </c>
      <c r="V26" s="538">
        <v>1418.0769230769238</v>
      </c>
      <c r="W26" s="538">
        <v>88.629807692307736</v>
      </c>
      <c r="X26" s="529">
        <v>4</v>
      </c>
      <c r="Y26" s="653"/>
      <c r="Z26" s="529">
        <v>16</v>
      </c>
      <c r="AA26" s="538">
        <v>1405.1162790697672</v>
      </c>
      <c r="AB26" s="538">
        <v>87.819767441860449</v>
      </c>
      <c r="AC26" s="529">
        <v>5</v>
      </c>
      <c r="AD26" s="653"/>
      <c r="AE26" s="529">
        <v>16</v>
      </c>
      <c r="AF26" s="538">
        <v>1386.3829787234044</v>
      </c>
      <c r="AG26" s="538">
        <v>86.648936170212778</v>
      </c>
      <c r="AH26" s="529">
        <v>7</v>
      </c>
      <c r="AI26" s="653"/>
      <c r="AJ26" s="529">
        <v>16</v>
      </c>
      <c r="AK26" s="538">
        <v>1393.4693877551024</v>
      </c>
      <c r="AL26" s="538">
        <v>87.091836734693899</v>
      </c>
      <c r="AM26" s="529">
        <v>6</v>
      </c>
      <c r="AN26" s="653"/>
      <c r="AO26" s="529">
        <v>17</v>
      </c>
      <c r="AP26" s="538">
        <v>1431.6000000000004</v>
      </c>
      <c r="AQ26" s="538">
        <v>84.211764705882374</v>
      </c>
      <c r="AR26" s="529">
        <v>6</v>
      </c>
      <c r="AS26" s="653"/>
      <c r="AT26" s="529">
        <v>16</v>
      </c>
      <c r="AU26" s="538">
        <v>1428.0000000000005</v>
      </c>
      <c r="AV26" s="538">
        <v>89.250000000000028</v>
      </c>
      <c r="AW26" s="529">
        <v>3</v>
      </c>
      <c r="AX26" s="653"/>
      <c r="AZ26" s="365" t="e">
        <f>RANK(AX26, $K$7:AX$36)</f>
        <v>#VALUE!</v>
      </c>
      <c r="BB26" s="354" t="e">
        <f t="shared" si="0"/>
        <v>#N/A</v>
      </c>
    </row>
    <row r="27" spans="2:54">
      <c r="B27" s="635"/>
      <c r="C27" s="483">
        <v>21</v>
      </c>
      <c r="D27" s="223" t="s">
        <v>726</v>
      </c>
      <c r="E27" s="538">
        <v>16</v>
      </c>
      <c r="F27" s="529">
        <v>1500</v>
      </c>
      <c r="G27" s="530">
        <v>93.8</v>
      </c>
      <c r="H27" s="678"/>
      <c r="I27" s="487">
        <f t="shared" si="1"/>
        <v>17</v>
      </c>
      <c r="J27" s="487">
        <f t="shared" si="1"/>
        <v>1378.3155824671783</v>
      </c>
      <c r="K27" s="363">
        <f t="shared" si="1"/>
        <v>81.077387203951645</v>
      </c>
      <c r="L27" s="615"/>
      <c r="M27" s="489">
        <f>RANK(K27, K$7:$K$36)</f>
        <v>12</v>
      </c>
      <c r="N27" s="624"/>
      <c r="O27" s="624"/>
      <c r="P27" s="411"/>
      <c r="Q27" s="182"/>
      <c r="R27" s="182"/>
      <c r="S27" s="411"/>
      <c r="T27" s="653"/>
      <c r="U27" s="529">
        <v>17</v>
      </c>
      <c r="V27" s="538">
        <v>1373.617021276596</v>
      </c>
      <c r="W27" s="538">
        <v>80.801001251564472</v>
      </c>
      <c r="X27" s="529">
        <v>10</v>
      </c>
      <c r="Y27" s="653"/>
      <c r="Z27" s="529">
        <v>17</v>
      </c>
      <c r="AA27" s="538">
        <v>1378.4615384615377</v>
      </c>
      <c r="AB27" s="538">
        <v>81.085972850678687</v>
      </c>
      <c r="AC27" s="529">
        <v>12</v>
      </c>
      <c r="AD27" s="653"/>
      <c r="AE27" s="529">
        <v>17</v>
      </c>
      <c r="AF27" s="538">
        <v>1371.2500000000005</v>
      </c>
      <c r="AG27" s="538">
        <v>80.661764705882376</v>
      </c>
      <c r="AH27" s="529">
        <v>13</v>
      </c>
      <c r="AI27" s="653"/>
      <c r="AJ27" s="529">
        <v>17</v>
      </c>
      <c r="AK27" s="538">
        <v>1380.0000000000007</v>
      </c>
      <c r="AL27" s="538">
        <v>81.176470588235333</v>
      </c>
      <c r="AM27" s="529">
        <v>11</v>
      </c>
      <c r="AN27" s="653"/>
      <c r="AO27" s="529">
        <v>17</v>
      </c>
      <c r="AP27" s="538">
        <v>1387.6363636363603</v>
      </c>
      <c r="AQ27" s="538">
        <v>81.625668449197661</v>
      </c>
      <c r="AR27" s="529">
        <v>11</v>
      </c>
      <c r="AS27" s="653"/>
      <c r="AT27" s="529">
        <v>17</v>
      </c>
      <c r="AU27" s="538">
        <v>1378.9285714285725</v>
      </c>
      <c r="AV27" s="538">
        <v>81.113445378151326</v>
      </c>
      <c r="AW27" s="529">
        <v>9</v>
      </c>
      <c r="AX27" s="653"/>
      <c r="AZ27" s="365" t="e">
        <f>RANK(AX27, $K$7:AX$36)</f>
        <v>#VALUE!</v>
      </c>
      <c r="BB27" s="354" t="e">
        <f t="shared" si="0"/>
        <v>#N/A</v>
      </c>
    </row>
    <row r="28" spans="2:54">
      <c r="B28" s="635"/>
      <c r="C28" s="483">
        <v>22</v>
      </c>
      <c r="D28" s="223" t="s">
        <v>727</v>
      </c>
      <c r="E28" s="538">
        <v>16</v>
      </c>
      <c r="F28" s="529">
        <v>1500</v>
      </c>
      <c r="G28" s="530">
        <v>93.8</v>
      </c>
      <c r="H28" s="678"/>
      <c r="I28" s="487">
        <f t="shared" si="1"/>
        <v>15.833333333333334</v>
      </c>
      <c r="J28" s="487">
        <f t="shared" si="1"/>
        <v>1299.9629435700901</v>
      </c>
      <c r="K28" s="363">
        <f t="shared" si="1"/>
        <v>82.168401565723229</v>
      </c>
      <c r="L28" s="615"/>
      <c r="M28" s="489">
        <f>RANK(K28, K$7:$K$36)</f>
        <v>10</v>
      </c>
      <c r="N28" s="624"/>
      <c r="O28" s="624"/>
      <c r="P28" s="411"/>
      <c r="Q28" s="182"/>
      <c r="R28" s="182"/>
      <c r="S28" s="411"/>
      <c r="T28" s="653"/>
      <c r="U28" s="529">
        <v>16</v>
      </c>
      <c r="V28" s="538">
        <v>1291.6216216216205</v>
      </c>
      <c r="W28" s="538">
        <v>80.726351351351283</v>
      </c>
      <c r="X28" s="529">
        <v>11</v>
      </c>
      <c r="Y28" s="653"/>
      <c r="Z28" s="529">
        <v>16</v>
      </c>
      <c r="AA28" s="538">
        <v>1326.5625000000016</v>
      </c>
      <c r="AB28" s="538">
        <v>82.910156250000099</v>
      </c>
      <c r="AC28" s="529">
        <v>8</v>
      </c>
      <c r="AD28" s="653"/>
      <c r="AE28" s="529">
        <v>15</v>
      </c>
      <c r="AF28" s="538">
        <v>1325.8333333333321</v>
      </c>
      <c r="AG28" s="538">
        <v>88.388888888888815</v>
      </c>
      <c r="AH28" s="529">
        <v>4</v>
      </c>
      <c r="AI28" s="653"/>
      <c r="AJ28" s="529">
        <v>16</v>
      </c>
      <c r="AK28" s="538">
        <v>1330.1204819277104</v>
      </c>
      <c r="AL28" s="538">
        <v>83.132530120481903</v>
      </c>
      <c r="AM28" s="529">
        <v>7</v>
      </c>
      <c r="AN28" s="653"/>
      <c r="AO28" s="529">
        <v>16</v>
      </c>
      <c r="AP28" s="538">
        <v>1301.1235955056179</v>
      </c>
      <c r="AQ28" s="538">
        <v>81.32022471910112</v>
      </c>
      <c r="AR28" s="529">
        <v>12</v>
      </c>
      <c r="AS28" s="653"/>
      <c r="AT28" s="529">
        <v>16</v>
      </c>
      <c r="AU28" s="538">
        <v>1224.516129032258</v>
      </c>
      <c r="AV28" s="538">
        <v>76.532258064516128</v>
      </c>
      <c r="AW28" s="529">
        <v>17</v>
      </c>
      <c r="AX28" s="653"/>
      <c r="AZ28" s="365" t="e">
        <f>RANK(AX28, $K$7:AX$36)</f>
        <v>#VALUE!</v>
      </c>
      <c r="BB28" s="354" t="e">
        <f t="shared" si="0"/>
        <v>#N/A</v>
      </c>
    </row>
    <row r="29" spans="2:54">
      <c r="B29" s="635"/>
      <c r="C29" s="483">
        <v>23</v>
      </c>
      <c r="D29" s="223" t="s">
        <v>783</v>
      </c>
      <c r="E29" s="538">
        <v>16</v>
      </c>
      <c r="F29" s="529">
        <v>1440</v>
      </c>
      <c r="G29" s="530">
        <v>90</v>
      </c>
      <c r="H29" s="678"/>
      <c r="I29" s="487">
        <f t="shared" si="1"/>
        <v>15.833333333333334</v>
      </c>
      <c r="J29" s="487">
        <f t="shared" si="1"/>
        <v>1305.0259609225332</v>
      </c>
      <c r="K29" s="363">
        <f t="shared" si="1"/>
        <v>82.479842254628025</v>
      </c>
      <c r="L29" s="615"/>
      <c r="M29" s="489">
        <f>RANK(K29, K$7:$K$36)</f>
        <v>8</v>
      </c>
      <c r="N29" s="624"/>
      <c r="O29" s="624"/>
      <c r="P29" s="411"/>
      <c r="Q29" s="182"/>
      <c r="R29" s="182"/>
      <c r="S29" s="411"/>
      <c r="T29" s="653"/>
      <c r="U29" s="529">
        <v>15</v>
      </c>
      <c r="V29" s="538">
        <v>1318.6363636363635</v>
      </c>
      <c r="W29" s="538">
        <v>87.909090909090907</v>
      </c>
      <c r="X29" s="529">
        <v>5</v>
      </c>
      <c r="Y29" s="653"/>
      <c r="Z29" s="529">
        <v>16</v>
      </c>
      <c r="AA29" s="538">
        <v>1303.7837837837828</v>
      </c>
      <c r="AB29" s="538">
        <v>81.486486486486427</v>
      </c>
      <c r="AC29" s="529">
        <v>11</v>
      </c>
      <c r="AD29" s="653"/>
      <c r="AE29" s="529">
        <v>16</v>
      </c>
      <c r="AF29" s="538">
        <v>1312.1052631578937</v>
      </c>
      <c r="AG29" s="538">
        <v>82.006578947368354</v>
      </c>
      <c r="AH29" s="529">
        <v>10</v>
      </c>
      <c r="AI29" s="653"/>
      <c r="AJ29" s="529">
        <v>16</v>
      </c>
      <c r="AK29" s="538">
        <v>1318.421052631578</v>
      </c>
      <c r="AL29" s="538">
        <v>82.401315789473628</v>
      </c>
      <c r="AM29" s="529">
        <v>9</v>
      </c>
      <c r="AN29" s="653"/>
      <c r="AO29" s="529">
        <v>16</v>
      </c>
      <c r="AP29" s="538">
        <v>1308.8372093023254</v>
      </c>
      <c r="AQ29" s="538">
        <v>81.802325581395337</v>
      </c>
      <c r="AR29" s="529">
        <v>9</v>
      </c>
      <c r="AS29" s="653"/>
      <c r="AT29" s="529">
        <v>16</v>
      </c>
      <c r="AU29" s="538">
        <v>1268.3720930232557</v>
      </c>
      <c r="AV29" s="538">
        <v>79.273255813953483</v>
      </c>
      <c r="AW29" s="529">
        <v>12</v>
      </c>
      <c r="AX29" s="653"/>
      <c r="AZ29" s="365" t="e">
        <f>RANK(AX29, $K$7:AX$36)</f>
        <v>#VALUE!</v>
      </c>
      <c r="BB29" s="354" t="e">
        <f t="shared" si="0"/>
        <v>#N/A</v>
      </c>
    </row>
    <row r="30" spans="2:54">
      <c r="B30" s="635"/>
      <c r="C30" s="483">
        <v>24</v>
      </c>
      <c r="D30" s="223" t="s">
        <v>785</v>
      </c>
      <c r="E30" s="538">
        <v>17</v>
      </c>
      <c r="F30" s="529">
        <v>1440</v>
      </c>
      <c r="G30" s="530">
        <v>84.705882352941174</v>
      </c>
      <c r="H30" s="678"/>
      <c r="I30" s="487">
        <f t="shared" si="1"/>
        <v>17</v>
      </c>
      <c r="J30" s="487">
        <f t="shared" si="1"/>
        <v>1327.2367358235954</v>
      </c>
      <c r="K30" s="363">
        <f t="shared" si="1"/>
        <v>78.072749166093857</v>
      </c>
      <c r="L30" s="615"/>
      <c r="M30" s="489">
        <f>RANK(K30, K$7:$K$36)</f>
        <v>17</v>
      </c>
      <c r="N30" s="624"/>
      <c r="O30" s="624"/>
      <c r="P30" s="411"/>
      <c r="Q30" s="182"/>
      <c r="R30" s="182"/>
      <c r="S30" s="411"/>
      <c r="T30" s="653"/>
      <c r="U30" s="529">
        <v>17</v>
      </c>
      <c r="V30" s="538">
        <v>1326.1224489795923</v>
      </c>
      <c r="W30" s="538">
        <v>78.00720288115248</v>
      </c>
      <c r="X30" s="529">
        <v>14</v>
      </c>
      <c r="Y30" s="653"/>
      <c r="Z30" s="529">
        <v>17</v>
      </c>
      <c r="AA30" s="538">
        <v>1297.674418604651</v>
      </c>
      <c r="AB30" s="538">
        <v>76.333789329685359</v>
      </c>
      <c r="AC30" s="529">
        <v>17</v>
      </c>
      <c r="AD30" s="653"/>
      <c r="AE30" s="529">
        <v>17</v>
      </c>
      <c r="AF30" s="538">
        <v>1349.2682926829264</v>
      </c>
      <c r="AG30" s="538">
        <v>79.368723098995673</v>
      </c>
      <c r="AH30" s="529">
        <v>16</v>
      </c>
      <c r="AI30" s="653"/>
      <c r="AJ30" s="529">
        <v>17</v>
      </c>
      <c r="AK30" s="538">
        <v>1340.4545454545455</v>
      </c>
      <c r="AL30" s="538">
        <v>78.850267379679153</v>
      </c>
      <c r="AM30" s="529">
        <v>16</v>
      </c>
      <c r="AN30" s="653"/>
      <c r="AO30" s="529">
        <v>17</v>
      </c>
      <c r="AP30" s="538">
        <v>1342.6666666666665</v>
      </c>
      <c r="AQ30" s="538">
        <v>78.980392156862735</v>
      </c>
      <c r="AR30" s="529">
        <v>14</v>
      </c>
      <c r="AS30" s="653"/>
      <c r="AT30" s="529">
        <v>17</v>
      </c>
      <c r="AU30" s="538">
        <v>1307.2340425531916</v>
      </c>
      <c r="AV30" s="538">
        <v>76.896120150187741</v>
      </c>
      <c r="AW30" s="529">
        <v>16</v>
      </c>
      <c r="AX30" s="653"/>
      <c r="AZ30" s="365" t="e">
        <f>RANK(AX30, $K$7:AX$36)</f>
        <v>#VALUE!</v>
      </c>
      <c r="BB30" s="354" t="e">
        <f t="shared" si="0"/>
        <v>#N/A</v>
      </c>
    </row>
    <row r="31" spans="2:54">
      <c r="B31" s="635"/>
      <c r="C31" s="483">
        <v>25</v>
      </c>
      <c r="D31" s="223" t="s">
        <v>786</v>
      </c>
      <c r="E31" s="538">
        <v>19</v>
      </c>
      <c r="F31" s="529">
        <v>1440</v>
      </c>
      <c r="G31" s="530">
        <v>75.78947368421052</v>
      </c>
      <c r="H31" s="678"/>
      <c r="I31" s="487">
        <f t="shared" si="1"/>
        <v>19</v>
      </c>
      <c r="J31" s="487">
        <f t="shared" si="1"/>
        <v>1308.2578632000714</v>
      </c>
      <c r="K31" s="363">
        <f t="shared" si="1"/>
        <v>68.855677010530059</v>
      </c>
      <c r="L31" s="615"/>
      <c r="M31" s="489">
        <f>RANK(K31, K$7:$K$36)</f>
        <v>21</v>
      </c>
      <c r="N31" s="624"/>
      <c r="O31" s="624"/>
      <c r="P31" s="411"/>
      <c r="Q31" s="182"/>
      <c r="R31" s="182"/>
      <c r="S31" s="411"/>
      <c r="T31" s="653"/>
      <c r="U31" s="529">
        <v>19</v>
      </c>
      <c r="V31" s="538">
        <v>1317.0731707317068</v>
      </c>
      <c r="W31" s="538">
        <v>69.31964056482667</v>
      </c>
      <c r="X31" s="529">
        <v>21</v>
      </c>
      <c r="Y31" s="653"/>
      <c r="Z31" s="529">
        <v>19</v>
      </c>
      <c r="AA31" s="538">
        <v>1320.0000000000011</v>
      </c>
      <c r="AB31" s="538">
        <v>69.473684210526372</v>
      </c>
      <c r="AC31" s="529">
        <v>21</v>
      </c>
      <c r="AD31" s="653"/>
      <c r="AE31" s="529">
        <v>19</v>
      </c>
      <c r="AF31" s="538">
        <v>1288.2352941176455</v>
      </c>
      <c r="AG31" s="538">
        <v>67.801857585139231</v>
      </c>
      <c r="AH31" s="529">
        <v>22</v>
      </c>
      <c r="AI31" s="653"/>
      <c r="AJ31" s="529">
        <v>19</v>
      </c>
      <c r="AK31" s="538">
        <v>1320.7228915662645</v>
      </c>
      <c r="AL31" s="538">
        <v>69.511731135066555</v>
      </c>
      <c r="AM31" s="529">
        <v>20</v>
      </c>
      <c r="AN31" s="653"/>
      <c r="AO31" s="529">
        <v>19</v>
      </c>
      <c r="AP31" s="538">
        <v>1322.2499999999995</v>
      </c>
      <c r="AQ31" s="538">
        <v>69.592105263157876</v>
      </c>
      <c r="AR31" s="529">
        <v>20</v>
      </c>
      <c r="AS31" s="653"/>
      <c r="AT31" s="529">
        <v>19</v>
      </c>
      <c r="AU31" s="538">
        <v>1281.2658227848094</v>
      </c>
      <c r="AV31" s="538">
        <v>67.435043304463647</v>
      </c>
      <c r="AW31" s="529">
        <v>21</v>
      </c>
      <c r="AX31" s="653"/>
      <c r="AZ31" s="365" t="e">
        <f>RANK(AX31, $K$7:AX$36)</f>
        <v>#VALUE!</v>
      </c>
      <c r="BB31" s="354" t="e">
        <f t="shared" si="0"/>
        <v>#N/A</v>
      </c>
    </row>
    <row r="32" spans="2:54">
      <c r="B32" s="635"/>
      <c r="C32" s="483">
        <v>26</v>
      </c>
      <c r="D32" s="223"/>
      <c r="E32" s="538"/>
      <c r="F32" s="529"/>
      <c r="G32" s="530"/>
      <c r="H32" s="678"/>
      <c r="I32" s="487" t="str">
        <f t="shared" si="1"/>
        <v>-</v>
      </c>
      <c r="J32" s="487" t="str">
        <f t="shared" si="1"/>
        <v>-</v>
      </c>
      <c r="K32" s="363" t="str">
        <f t="shared" si="1"/>
        <v>-</v>
      </c>
      <c r="L32" s="615"/>
      <c r="M32" s="489" t="e">
        <f>RANK(K32, K$7:$K$36)</f>
        <v>#VALUE!</v>
      </c>
      <c r="N32" s="624"/>
      <c r="O32" s="624"/>
      <c r="P32" s="411"/>
      <c r="Q32" s="182"/>
      <c r="R32" s="182"/>
      <c r="S32" s="411"/>
      <c r="T32" s="653"/>
      <c r="U32" s="529" t="s">
        <v>427</v>
      </c>
      <c r="V32" s="538" t="s">
        <v>427</v>
      </c>
      <c r="W32" s="538" t="s">
        <v>427</v>
      </c>
      <c r="X32" s="529" t="e">
        <v>#VALUE!</v>
      </c>
      <c r="Y32" s="653"/>
      <c r="Z32" s="529" t="s">
        <v>427</v>
      </c>
      <c r="AA32" s="538" t="s">
        <v>427</v>
      </c>
      <c r="AB32" s="538" t="s">
        <v>427</v>
      </c>
      <c r="AC32" s="529" t="e">
        <v>#VALUE!</v>
      </c>
      <c r="AD32" s="653"/>
      <c r="AE32" s="529" t="s">
        <v>427</v>
      </c>
      <c r="AF32" s="538" t="s">
        <v>427</v>
      </c>
      <c r="AG32" s="538" t="s">
        <v>427</v>
      </c>
      <c r="AH32" s="529" t="e">
        <v>#VALUE!</v>
      </c>
      <c r="AI32" s="653"/>
      <c r="AJ32" s="529" t="s">
        <v>427</v>
      </c>
      <c r="AK32" s="538" t="s">
        <v>427</v>
      </c>
      <c r="AL32" s="538" t="s">
        <v>427</v>
      </c>
      <c r="AM32" s="529" t="e">
        <v>#VALUE!</v>
      </c>
      <c r="AN32" s="653"/>
      <c r="AO32" s="529" t="s">
        <v>427</v>
      </c>
      <c r="AP32" s="538" t="s">
        <v>427</v>
      </c>
      <c r="AQ32" s="538" t="s">
        <v>427</v>
      </c>
      <c r="AR32" s="529" t="e">
        <v>#VALUE!</v>
      </c>
      <c r="AS32" s="653"/>
      <c r="AT32" s="529" t="s">
        <v>427</v>
      </c>
      <c r="AU32" s="538" t="s">
        <v>427</v>
      </c>
      <c r="AV32" s="538" t="s">
        <v>427</v>
      </c>
      <c r="AW32" s="529" t="e">
        <v>#VALUE!</v>
      </c>
      <c r="AX32" s="653"/>
      <c r="AZ32" s="365" t="e">
        <f>RANK(AX32, $K$7:AX$36)</f>
        <v>#VALUE!</v>
      </c>
      <c r="BB32" s="354" t="e">
        <f t="shared" si="0"/>
        <v>#N/A</v>
      </c>
    </row>
    <row r="33" spans="2:54">
      <c r="B33" s="635"/>
      <c r="C33" s="483">
        <v>27</v>
      </c>
      <c r="D33" s="223"/>
      <c r="E33" s="538"/>
      <c r="F33" s="529"/>
      <c r="G33" s="530"/>
      <c r="H33" s="678"/>
      <c r="I33" s="487" t="str">
        <f t="shared" si="1"/>
        <v>-</v>
      </c>
      <c r="J33" s="487" t="str">
        <f t="shared" si="1"/>
        <v>-</v>
      </c>
      <c r="K33" s="363" t="str">
        <f t="shared" si="1"/>
        <v>-</v>
      </c>
      <c r="L33" s="615"/>
      <c r="M33" s="489" t="e">
        <f>RANK(K33, K$7:$K$36)</f>
        <v>#VALUE!</v>
      </c>
      <c r="N33" s="624"/>
      <c r="O33" s="624"/>
      <c r="P33" s="411"/>
      <c r="Q33" s="182"/>
      <c r="R33" s="182"/>
      <c r="S33" s="411"/>
      <c r="T33" s="653"/>
      <c r="U33" s="529" t="s">
        <v>427</v>
      </c>
      <c r="V33" s="538" t="s">
        <v>427</v>
      </c>
      <c r="W33" s="538" t="s">
        <v>427</v>
      </c>
      <c r="X33" s="529" t="e">
        <v>#VALUE!</v>
      </c>
      <c r="Y33" s="653"/>
      <c r="Z33" s="529" t="s">
        <v>427</v>
      </c>
      <c r="AA33" s="538" t="s">
        <v>427</v>
      </c>
      <c r="AB33" s="538" t="s">
        <v>427</v>
      </c>
      <c r="AC33" s="529" t="e">
        <v>#VALUE!</v>
      </c>
      <c r="AD33" s="653"/>
      <c r="AE33" s="529" t="s">
        <v>427</v>
      </c>
      <c r="AF33" s="538" t="s">
        <v>427</v>
      </c>
      <c r="AG33" s="538" t="s">
        <v>427</v>
      </c>
      <c r="AH33" s="529" t="e">
        <v>#VALUE!</v>
      </c>
      <c r="AI33" s="653"/>
      <c r="AJ33" s="529" t="s">
        <v>427</v>
      </c>
      <c r="AK33" s="538" t="s">
        <v>427</v>
      </c>
      <c r="AL33" s="538" t="s">
        <v>427</v>
      </c>
      <c r="AM33" s="529" t="e">
        <v>#VALUE!</v>
      </c>
      <c r="AN33" s="653"/>
      <c r="AO33" s="529" t="s">
        <v>427</v>
      </c>
      <c r="AP33" s="538" t="s">
        <v>427</v>
      </c>
      <c r="AQ33" s="538" t="s">
        <v>427</v>
      </c>
      <c r="AR33" s="529" t="e">
        <v>#VALUE!</v>
      </c>
      <c r="AS33" s="653"/>
      <c r="AT33" s="529" t="s">
        <v>427</v>
      </c>
      <c r="AU33" s="538" t="s">
        <v>427</v>
      </c>
      <c r="AV33" s="538" t="s">
        <v>427</v>
      </c>
      <c r="AW33" s="529" t="e">
        <v>#VALUE!</v>
      </c>
      <c r="AX33" s="653"/>
      <c r="AZ33" s="365" t="e">
        <f>RANK(AX33, $K$7:AX$36)</f>
        <v>#VALUE!</v>
      </c>
      <c r="BB33" s="354" t="e">
        <f t="shared" si="0"/>
        <v>#N/A</v>
      </c>
    </row>
    <row r="34" spans="2:54">
      <c r="B34" s="635"/>
      <c r="C34" s="483">
        <v>28</v>
      </c>
      <c r="D34" s="223"/>
      <c r="E34" s="538"/>
      <c r="F34" s="529"/>
      <c r="G34" s="530"/>
      <c r="H34" s="678"/>
      <c r="I34" s="487" t="str">
        <f t="shared" si="1"/>
        <v>-</v>
      </c>
      <c r="J34" s="487" t="str">
        <f t="shared" si="1"/>
        <v>-</v>
      </c>
      <c r="K34" s="363" t="str">
        <f t="shared" si="1"/>
        <v>-</v>
      </c>
      <c r="L34" s="615"/>
      <c r="M34" s="489" t="e">
        <f>RANK(K34, K$7:$K$36)</f>
        <v>#VALUE!</v>
      </c>
      <c r="N34" s="624"/>
      <c r="O34" s="624"/>
      <c r="P34" s="411"/>
      <c r="Q34" s="182"/>
      <c r="R34" s="182"/>
      <c r="S34" s="411"/>
      <c r="T34" s="653"/>
      <c r="U34" s="529" t="s">
        <v>427</v>
      </c>
      <c r="V34" s="538" t="s">
        <v>427</v>
      </c>
      <c r="W34" s="538" t="s">
        <v>427</v>
      </c>
      <c r="X34" s="529" t="e">
        <v>#VALUE!</v>
      </c>
      <c r="Y34" s="653"/>
      <c r="Z34" s="529" t="s">
        <v>427</v>
      </c>
      <c r="AA34" s="538" t="s">
        <v>427</v>
      </c>
      <c r="AB34" s="538" t="s">
        <v>427</v>
      </c>
      <c r="AC34" s="529" t="e">
        <v>#VALUE!</v>
      </c>
      <c r="AD34" s="653"/>
      <c r="AE34" s="529" t="s">
        <v>427</v>
      </c>
      <c r="AF34" s="538" t="s">
        <v>427</v>
      </c>
      <c r="AG34" s="538" t="s">
        <v>427</v>
      </c>
      <c r="AH34" s="529" t="e">
        <v>#VALUE!</v>
      </c>
      <c r="AI34" s="653"/>
      <c r="AJ34" s="529" t="s">
        <v>427</v>
      </c>
      <c r="AK34" s="538" t="s">
        <v>427</v>
      </c>
      <c r="AL34" s="538" t="s">
        <v>427</v>
      </c>
      <c r="AM34" s="529" t="e">
        <v>#VALUE!</v>
      </c>
      <c r="AN34" s="653"/>
      <c r="AO34" s="529" t="s">
        <v>427</v>
      </c>
      <c r="AP34" s="538" t="s">
        <v>427</v>
      </c>
      <c r="AQ34" s="538" t="s">
        <v>427</v>
      </c>
      <c r="AR34" s="529" t="e">
        <v>#VALUE!</v>
      </c>
      <c r="AS34" s="653"/>
      <c r="AT34" s="529" t="s">
        <v>427</v>
      </c>
      <c r="AU34" s="538" t="s">
        <v>427</v>
      </c>
      <c r="AV34" s="538" t="s">
        <v>427</v>
      </c>
      <c r="AW34" s="529" t="e">
        <v>#VALUE!</v>
      </c>
      <c r="AX34" s="653"/>
      <c r="AZ34" s="365" t="e">
        <f>RANK(AX34, $K$7:AX$36)</f>
        <v>#VALUE!</v>
      </c>
      <c r="BB34" s="354" t="e">
        <f t="shared" si="0"/>
        <v>#N/A</v>
      </c>
    </row>
    <row r="35" spans="2:54">
      <c r="B35" s="635"/>
      <c r="C35" s="483">
        <v>29</v>
      </c>
      <c r="D35" s="223"/>
      <c r="E35" s="538"/>
      <c r="F35" s="529"/>
      <c r="G35" s="530"/>
      <c r="H35" s="678"/>
      <c r="I35" s="487" t="str">
        <f t="shared" si="1"/>
        <v>-</v>
      </c>
      <c r="J35" s="487" t="str">
        <f t="shared" si="1"/>
        <v>-</v>
      </c>
      <c r="K35" s="363" t="str">
        <f t="shared" si="1"/>
        <v>-</v>
      </c>
      <c r="L35" s="615"/>
      <c r="M35" s="489" t="e">
        <f>RANK(K35, K$7:$K$36)</f>
        <v>#VALUE!</v>
      </c>
      <c r="N35" s="624"/>
      <c r="O35" s="624"/>
      <c r="P35" s="411"/>
      <c r="Q35" s="182"/>
      <c r="R35" s="182"/>
      <c r="S35" s="411"/>
      <c r="T35" s="653"/>
      <c r="U35" s="529" t="s">
        <v>427</v>
      </c>
      <c r="V35" s="538" t="s">
        <v>427</v>
      </c>
      <c r="W35" s="538" t="s">
        <v>427</v>
      </c>
      <c r="X35" s="529" t="e">
        <v>#VALUE!</v>
      </c>
      <c r="Y35" s="653"/>
      <c r="Z35" s="529" t="s">
        <v>427</v>
      </c>
      <c r="AA35" s="538" t="s">
        <v>427</v>
      </c>
      <c r="AB35" s="538" t="s">
        <v>427</v>
      </c>
      <c r="AC35" s="529" t="e">
        <v>#VALUE!</v>
      </c>
      <c r="AD35" s="653"/>
      <c r="AE35" s="529" t="s">
        <v>427</v>
      </c>
      <c r="AF35" s="538" t="s">
        <v>427</v>
      </c>
      <c r="AG35" s="538" t="s">
        <v>427</v>
      </c>
      <c r="AH35" s="529" t="e">
        <v>#VALUE!</v>
      </c>
      <c r="AI35" s="653"/>
      <c r="AJ35" s="529" t="s">
        <v>427</v>
      </c>
      <c r="AK35" s="538" t="s">
        <v>427</v>
      </c>
      <c r="AL35" s="538" t="s">
        <v>427</v>
      </c>
      <c r="AM35" s="529" t="e">
        <v>#VALUE!</v>
      </c>
      <c r="AN35" s="653"/>
      <c r="AO35" s="529" t="s">
        <v>427</v>
      </c>
      <c r="AP35" s="538" t="s">
        <v>427</v>
      </c>
      <c r="AQ35" s="538" t="s">
        <v>427</v>
      </c>
      <c r="AR35" s="529" t="e">
        <v>#VALUE!</v>
      </c>
      <c r="AS35" s="653"/>
      <c r="AT35" s="529" t="s">
        <v>427</v>
      </c>
      <c r="AU35" s="538" t="s">
        <v>427</v>
      </c>
      <c r="AV35" s="538" t="s">
        <v>427</v>
      </c>
      <c r="AW35" s="529" t="e">
        <v>#VALUE!</v>
      </c>
      <c r="AX35" s="653"/>
      <c r="AZ35" s="365" t="e">
        <f>RANK(AX35, $K$7:AX$36)</f>
        <v>#VALUE!</v>
      </c>
      <c r="BB35" s="354" t="e">
        <f t="shared" si="0"/>
        <v>#N/A</v>
      </c>
    </row>
    <row r="36" spans="2:54">
      <c r="B36" s="635"/>
      <c r="C36" s="483">
        <v>30</v>
      </c>
      <c r="D36" s="223"/>
      <c r="E36" s="538"/>
      <c r="F36" s="529"/>
      <c r="G36" s="530"/>
      <c r="H36" s="679"/>
      <c r="I36" s="487" t="str">
        <f t="shared" si="1"/>
        <v>-</v>
      </c>
      <c r="J36" s="487" t="str">
        <f t="shared" si="1"/>
        <v>-</v>
      </c>
      <c r="K36" s="363" t="str">
        <f t="shared" si="1"/>
        <v>-</v>
      </c>
      <c r="L36" s="616"/>
      <c r="M36" s="489" t="e">
        <f>RANK(K36, K$7:$K$36)</f>
        <v>#VALUE!</v>
      </c>
      <c r="N36" s="624"/>
      <c r="O36" s="624"/>
      <c r="P36" s="411"/>
      <c r="Q36" s="182"/>
      <c r="R36" s="182"/>
      <c r="S36" s="411"/>
      <c r="T36" s="653"/>
      <c r="U36" s="529" t="s">
        <v>427</v>
      </c>
      <c r="V36" s="538" t="s">
        <v>427</v>
      </c>
      <c r="W36" s="538" t="s">
        <v>427</v>
      </c>
      <c r="X36" s="529" t="e">
        <v>#VALUE!</v>
      </c>
      <c r="Y36" s="653"/>
      <c r="Z36" s="529" t="s">
        <v>427</v>
      </c>
      <c r="AA36" s="538" t="s">
        <v>427</v>
      </c>
      <c r="AB36" s="538" t="s">
        <v>427</v>
      </c>
      <c r="AC36" s="529" t="e">
        <v>#VALUE!</v>
      </c>
      <c r="AD36" s="653"/>
      <c r="AE36" s="529" t="s">
        <v>427</v>
      </c>
      <c r="AF36" s="538" t="s">
        <v>427</v>
      </c>
      <c r="AG36" s="538" t="s">
        <v>427</v>
      </c>
      <c r="AH36" s="529" t="e">
        <v>#VALUE!</v>
      </c>
      <c r="AI36" s="653"/>
      <c r="AJ36" s="529" t="s">
        <v>427</v>
      </c>
      <c r="AK36" s="538" t="s">
        <v>427</v>
      </c>
      <c r="AL36" s="538" t="s">
        <v>427</v>
      </c>
      <c r="AM36" s="529" t="e">
        <v>#VALUE!</v>
      </c>
      <c r="AN36" s="653"/>
      <c r="AO36" s="529" t="s">
        <v>427</v>
      </c>
      <c r="AP36" s="538" t="s">
        <v>427</v>
      </c>
      <c r="AQ36" s="538" t="s">
        <v>427</v>
      </c>
      <c r="AR36" s="529" t="e">
        <v>#VALUE!</v>
      </c>
      <c r="AS36" s="653"/>
      <c r="AT36" s="529" t="s">
        <v>427</v>
      </c>
      <c r="AU36" s="538" t="s">
        <v>427</v>
      </c>
      <c r="AV36" s="538" t="s">
        <v>427</v>
      </c>
      <c r="AW36" s="529" t="e">
        <v>#VALUE!</v>
      </c>
      <c r="AX36" s="653"/>
      <c r="AZ36" s="365" t="e">
        <f>RANK(AX36, $K$7:AX$36)</f>
        <v>#VALUE!</v>
      </c>
      <c r="BB36" s="354" t="e">
        <f t="shared" si="0"/>
        <v>#N/A</v>
      </c>
    </row>
    <row r="37" spans="2:54" ht="15.75">
      <c r="B37" s="657" t="s">
        <v>769</v>
      </c>
      <c r="C37" s="658"/>
      <c r="D37" s="658"/>
      <c r="E37" s="658"/>
      <c r="F37" s="658"/>
      <c r="G37" s="658"/>
      <c r="H37" s="658"/>
      <c r="I37" s="200"/>
      <c r="J37" s="200"/>
      <c r="K37" s="200"/>
      <c r="L37" s="200"/>
      <c r="M37" s="201"/>
      <c r="N37" s="639" t="s">
        <v>781</v>
      </c>
      <c r="O37" s="639" t="s">
        <v>590</v>
      </c>
      <c r="P37" s="634">
        <f>AT2+1</f>
        <v>46210</v>
      </c>
      <c r="Q37" s="635"/>
      <c r="R37" s="635"/>
      <c r="S37" s="635"/>
      <c r="T37" s="635"/>
      <c r="U37" s="634">
        <f>P37+1</f>
        <v>46211</v>
      </c>
      <c r="V37" s="635"/>
      <c r="W37" s="635"/>
      <c r="X37" s="635"/>
      <c r="Y37" s="635"/>
      <c r="Z37" s="634">
        <f t="shared" ref="Z37" si="2">U37+1</f>
        <v>46212</v>
      </c>
      <c r="AA37" s="635"/>
      <c r="AB37" s="635"/>
      <c r="AC37" s="635"/>
      <c r="AD37" s="635"/>
      <c r="AE37" s="634">
        <f t="shared" ref="AE37" si="3">Z37+1</f>
        <v>46213</v>
      </c>
      <c r="AF37" s="635"/>
      <c r="AG37" s="635"/>
      <c r="AH37" s="635"/>
      <c r="AI37" s="635"/>
      <c r="AJ37" s="634">
        <f t="shared" ref="AJ37" si="4">AE37+1</f>
        <v>46214</v>
      </c>
      <c r="AK37" s="635"/>
      <c r="AL37" s="635"/>
      <c r="AM37" s="635"/>
      <c r="AN37" s="635"/>
      <c r="AO37" s="634">
        <f t="shared" ref="AO37" si="5">AJ37+1</f>
        <v>46215</v>
      </c>
      <c r="AP37" s="635"/>
      <c r="AQ37" s="635"/>
      <c r="AR37" s="635"/>
      <c r="AS37" s="635"/>
      <c r="AT37" s="634">
        <f t="shared" ref="AT37" si="6">AO37+1</f>
        <v>46216</v>
      </c>
      <c r="AU37" s="635"/>
      <c r="AV37" s="635"/>
      <c r="AW37" s="635"/>
      <c r="AX37" s="635"/>
    </row>
    <row r="38" spans="2:54" ht="15.75">
      <c r="B38" s="646"/>
      <c r="C38" s="646"/>
      <c r="D38" s="646"/>
      <c r="E38" s="646"/>
      <c r="F38" s="646"/>
      <c r="G38" s="646"/>
      <c r="H38" s="646"/>
      <c r="I38" s="202"/>
      <c r="J38" s="202"/>
      <c r="K38" s="202"/>
      <c r="L38" s="202"/>
      <c r="M38" s="203"/>
      <c r="N38" s="641"/>
      <c r="O38" s="641"/>
      <c r="P38" s="634" t="s">
        <v>591</v>
      </c>
      <c r="Q38" s="635"/>
      <c r="R38" s="635"/>
      <c r="S38" s="635"/>
      <c r="T38" s="635"/>
      <c r="U38" s="634" t="s">
        <v>592</v>
      </c>
      <c r="V38" s="635"/>
      <c r="W38" s="635"/>
      <c r="X38" s="635"/>
      <c r="Y38" s="635"/>
      <c r="Z38" s="634" t="s">
        <v>593</v>
      </c>
      <c r="AA38" s="635"/>
      <c r="AB38" s="635"/>
      <c r="AC38" s="635"/>
      <c r="AD38" s="635"/>
      <c r="AE38" s="634" t="s">
        <v>594</v>
      </c>
      <c r="AF38" s="635"/>
      <c r="AG38" s="635"/>
      <c r="AH38" s="635"/>
      <c r="AI38" s="635"/>
      <c r="AJ38" s="634" t="s">
        <v>595</v>
      </c>
      <c r="AK38" s="635"/>
      <c r="AL38" s="635"/>
      <c r="AM38" s="635"/>
      <c r="AN38" s="635"/>
      <c r="AO38" s="634" t="s">
        <v>596</v>
      </c>
      <c r="AP38" s="635"/>
      <c r="AQ38" s="635"/>
      <c r="AR38" s="635"/>
      <c r="AS38" s="635"/>
      <c r="AT38" s="634" t="s">
        <v>597</v>
      </c>
      <c r="AU38" s="635"/>
      <c r="AV38" s="635"/>
      <c r="AW38" s="635"/>
      <c r="AX38" s="635"/>
    </row>
    <row r="39" spans="2:54">
      <c r="B39" s="624" t="s">
        <v>760</v>
      </c>
      <c r="C39" s="624" t="s">
        <v>827</v>
      </c>
      <c r="D39" s="624"/>
      <c r="E39" s="624" t="s">
        <v>828</v>
      </c>
      <c r="F39" s="624"/>
      <c r="G39" s="624"/>
      <c r="H39" s="647" t="s">
        <v>829</v>
      </c>
      <c r="I39" s="617" t="s">
        <v>830</v>
      </c>
      <c r="J39" s="617"/>
      <c r="K39" s="617"/>
      <c r="L39" s="618" t="s">
        <v>829</v>
      </c>
      <c r="M39" s="628" t="s">
        <v>440</v>
      </c>
      <c r="N39" s="624"/>
      <c r="O39" s="624" t="s">
        <v>831</v>
      </c>
      <c r="P39" s="621" t="s">
        <v>832</v>
      </c>
      <c r="Q39" s="622"/>
      <c r="R39" s="622"/>
      <c r="S39" s="623"/>
      <c r="T39" s="624" t="s">
        <v>829</v>
      </c>
      <c r="U39" s="621" t="s">
        <v>832</v>
      </c>
      <c r="V39" s="622"/>
      <c r="W39" s="622"/>
      <c r="X39" s="623"/>
      <c r="Y39" s="624" t="s">
        <v>829</v>
      </c>
      <c r="Z39" s="621" t="s">
        <v>832</v>
      </c>
      <c r="AA39" s="622"/>
      <c r="AB39" s="622"/>
      <c r="AC39" s="623"/>
      <c r="AD39" s="624" t="s">
        <v>829</v>
      </c>
      <c r="AE39" s="621" t="s">
        <v>832</v>
      </c>
      <c r="AF39" s="622"/>
      <c r="AG39" s="622"/>
      <c r="AH39" s="623"/>
      <c r="AI39" s="624" t="s">
        <v>829</v>
      </c>
      <c r="AJ39" s="621" t="s">
        <v>832</v>
      </c>
      <c r="AK39" s="622"/>
      <c r="AL39" s="622"/>
      <c r="AM39" s="623"/>
      <c r="AN39" s="624" t="s">
        <v>829</v>
      </c>
      <c r="AO39" s="621" t="s">
        <v>832</v>
      </c>
      <c r="AP39" s="622"/>
      <c r="AQ39" s="622"/>
      <c r="AR39" s="623"/>
      <c r="AS39" s="624" t="s">
        <v>829</v>
      </c>
      <c r="AT39" s="621" t="s">
        <v>832</v>
      </c>
      <c r="AU39" s="622"/>
      <c r="AV39" s="622"/>
      <c r="AW39" s="623"/>
      <c r="AX39" s="624" t="s">
        <v>829</v>
      </c>
    </row>
    <row r="40" spans="2:54">
      <c r="B40" s="624"/>
      <c r="C40" s="624"/>
      <c r="D40" s="624"/>
      <c r="E40" s="624" t="s">
        <v>833</v>
      </c>
      <c r="F40" s="624"/>
      <c r="G40" s="624"/>
      <c r="H40" s="648"/>
      <c r="I40" s="617" t="s">
        <v>833</v>
      </c>
      <c r="J40" s="617"/>
      <c r="K40" s="617"/>
      <c r="L40" s="619"/>
      <c r="M40" s="629"/>
      <c r="N40" s="624"/>
      <c r="O40" s="624"/>
      <c r="P40" s="621" t="s">
        <v>834</v>
      </c>
      <c r="Q40" s="622"/>
      <c r="R40" s="622"/>
      <c r="S40" s="623"/>
      <c r="T40" s="624"/>
      <c r="U40" s="621" t="s">
        <v>834</v>
      </c>
      <c r="V40" s="622"/>
      <c r="W40" s="622"/>
      <c r="X40" s="623"/>
      <c r="Y40" s="624"/>
      <c r="Z40" s="621" t="s">
        <v>834</v>
      </c>
      <c r="AA40" s="622"/>
      <c r="AB40" s="622"/>
      <c r="AC40" s="623"/>
      <c r="AD40" s="624"/>
      <c r="AE40" s="621" t="s">
        <v>834</v>
      </c>
      <c r="AF40" s="622"/>
      <c r="AG40" s="622"/>
      <c r="AH40" s="623"/>
      <c r="AI40" s="624"/>
      <c r="AJ40" s="621" t="s">
        <v>834</v>
      </c>
      <c r="AK40" s="622"/>
      <c r="AL40" s="622"/>
      <c r="AM40" s="623"/>
      <c r="AN40" s="624"/>
      <c r="AO40" s="621" t="s">
        <v>834</v>
      </c>
      <c r="AP40" s="622"/>
      <c r="AQ40" s="622"/>
      <c r="AR40" s="623"/>
      <c r="AS40" s="624"/>
      <c r="AT40" s="621" t="s">
        <v>834</v>
      </c>
      <c r="AU40" s="622"/>
      <c r="AV40" s="622"/>
      <c r="AW40" s="623"/>
      <c r="AX40" s="624"/>
    </row>
    <row r="41" spans="2:54">
      <c r="B41" s="624"/>
      <c r="C41" s="624"/>
      <c r="D41" s="624"/>
      <c r="E41" s="533" t="s">
        <v>835</v>
      </c>
      <c r="F41" s="533" t="s">
        <v>836</v>
      </c>
      <c r="G41" s="533" t="s">
        <v>837</v>
      </c>
      <c r="H41" s="649"/>
      <c r="I41" s="535" t="s">
        <v>835</v>
      </c>
      <c r="J41" s="535" t="s">
        <v>836</v>
      </c>
      <c r="K41" s="535" t="s">
        <v>837</v>
      </c>
      <c r="L41" s="620"/>
      <c r="M41" s="630"/>
      <c r="N41" s="624"/>
      <c r="O41" s="624"/>
      <c r="P41" s="533" t="s">
        <v>835</v>
      </c>
      <c r="Q41" s="533" t="s">
        <v>836</v>
      </c>
      <c r="R41" s="533" t="s">
        <v>837</v>
      </c>
      <c r="S41" s="533" t="s">
        <v>440</v>
      </c>
      <c r="T41" s="624"/>
      <c r="U41" s="533" t="s">
        <v>835</v>
      </c>
      <c r="V41" s="533" t="s">
        <v>836</v>
      </c>
      <c r="W41" s="533" t="s">
        <v>837</v>
      </c>
      <c r="X41" s="533" t="s">
        <v>440</v>
      </c>
      <c r="Y41" s="624"/>
      <c r="Z41" s="533" t="s">
        <v>835</v>
      </c>
      <c r="AA41" s="533" t="s">
        <v>836</v>
      </c>
      <c r="AB41" s="533" t="s">
        <v>837</v>
      </c>
      <c r="AC41" s="533" t="s">
        <v>440</v>
      </c>
      <c r="AD41" s="624"/>
      <c r="AE41" s="533" t="s">
        <v>835</v>
      </c>
      <c r="AF41" s="533" t="s">
        <v>836</v>
      </c>
      <c r="AG41" s="533" t="s">
        <v>837</v>
      </c>
      <c r="AH41" s="533" t="s">
        <v>440</v>
      </c>
      <c r="AI41" s="624"/>
      <c r="AJ41" s="533" t="s">
        <v>835</v>
      </c>
      <c r="AK41" s="533" t="s">
        <v>836</v>
      </c>
      <c r="AL41" s="533" t="s">
        <v>837</v>
      </c>
      <c r="AM41" s="533" t="s">
        <v>440</v>
      </c>
      <c r="AN41" s="624"/>
      <c r="AO41" s="533" t="s">
        <v>835</v>
      </c>
      <c r="AP41" s="533" t="s">
        <v>836</v>
      </c>
      <c r="AQ41" s="533" t="s">
        <v>837</v>
      </c>
      <c r="AR41" s="533" t="s">
        <v>440</v>
      </c>
      <c r="AS41" s="624"/>
      <c r="AT41" s="533" t="s">
        <v>835</v>
      </c>
      <c r="AU41" s="533" t="s">
        <v>836</v>
      </c>
      <c r="AV41" s="533" t="s">
        <v>837</v>
      </c>
      <c r="AW41" s="533" t="s">
        <v>440</v>
      </c>
      <c r="AX41" s="624"/>
    </row>
    <row r="42" spans="2:54">
      <c r="B42" s="624" t="s">
        <v>782</v>
      </c>
      <c r="C42" s="529">
        <v>1</v>
      </c>
      <c r="D42" s="416" t="s">
        <v>335</v>
      </c>
      <c r="E42" s="531">
        <v>6</v>
      </c>
      <c r="F42" s="416">
        <v>1500</v>
      </c>
      <c r="G42" s="363">
        <v>250</v>
      </c>
      <c r="H42" s="677">
        <f>AVERAGE(G42:G71)</f>
        <v>101.38730650154798</v>
      </c>
      <c r="I42" s="531">
        <f>IFERROR(AVERAGE(P42,U42,Z42,AE42,AJ42,AO42,AT42),"-")</f>
        <v>6</v>
      </c>
      <c r="J42" s="531">
        <f>IFERROR(AVERAGE(Q42,V42,AA42,AF42,AK42,AP42,AU42),"-")</f>
        <v>1464.7555977975594</v>
      </c>
      <c r="K42" s="363">
        <f>IFERROR(AVERAGE(R42,W42,AB42,AG42,AL42,AQ42,AV42),"-")</f>
        <v>244.12593296625988</v>
      </c>
      <c r="L42" s="614">
        <f>IFERROR(AVERAGE(K42:K71),"-")</f>
        <v>91.221522823979299</v>
      </c>
      <c r="M42" s="536">
        <f>RANK(K42, K$42:$K$71)</f>
        <v>2</v>
      </c>
      <c r="N42" s="624"/>
      <c r="O42" s="624"/>
      <c r="P42" s="529">
        <v>6</v>
      </c>
      <c r="Q42" s="538">
        <v>1450.0303448275856</v>
      </c>
      <c r="R42" s="538">
        <v>241.67172413793094</v>
      </c>
      <c r="S42" s="529">
        <f t="shared" ref="S42:S71" si="7">RANK(R42, R$42:R$71)</f>
        <v>2</v>
      </c>
      <c r="T42" s="653">
        <f>AVERAGE(R42:R71)</f>
        <v>90.849868281684522</v>
      </c>
      <c r="U42" s="529">
        <v>6</v>
      </c>
      <c r="V42" s="538">
        <v>1487.5783783783779</v>
      </c>
      <c r="W42" s="538">
        <v>247.92972972972964</v>
      </c>
      <c r="X42" s="529">
        <f t="shared" ref="X42:X71" si="8">RANK(W42, W$42:W$71)</f>
        <v>1</v>
      </c>
      <c r="Y42" s="653">
        <f>AVERAGE(W42:W71)</f>
        <v>92.070993861497058</v>
      </c>
      <c r="Z42" s="529">
        <v>6</v>
      </c>
      <c r="AA42" s="538">
        <v>1461.4674846625762</v>
      </c>
      <c r="AB42" s="538">
        <v>243.57791411042936</v>
      </c>
      <c r="AC42" s="529">
        <f t="shared" ref="AC42:AC71" si="9">RANK(AB42, AB$42:AB$71)</f>
        <v>2</v>
      </c>
      <c r="AD42" s="653">
        <f>AVERAGE(AB42:AB71)</f>
        <v>90.767437431979758</v>
      </c>
      <c r="AE42" s="529">
        <v>6</v>
      </c>
      <c r="AF42" s="538">
        <v>1487.8728476821188</v>
      </c>
      <c r="AG42" s="538">
        <v>247.97880794701982</v>
      </c>
      <c r="AH42" s="529">
        <f t="shared" ref="AH42:AH71" si="10">RANK(AG42, AG$42:AG$71)</f>
        <v>1</v>
      </c>
      <c r="AI42" s="653">
        <f>AVERAGE(AG42:AG71)</f>
        <v>91.737948134246224</v>
      </c>
      <c r="AJ42" s="529">
        <v>6</v>
      </c>
      <c r="AK42" s="538">
        <v>1448.3519999999994</v>
      </c>
      <c r="AL42" s="538">
        <v>241.39199999999991</v>
      </c>
      <c r="AM42" s="529">
        <f t="shared" ref="AM42:AM71" si="11">RANK(AL42, AL$42:AL$71)</f>
        <v>2</v>
      </c>
      <c r="AN42" s="653">
        <f>AVERAGE(AL42:AL71)</f>
        <v>91.545115407247323</v>
      </c>
      <c r="AO42" s="529">
        <v>6</v>
      </c>
      <c r="AP42" s="538">
        <v>1448.3519999999994</v>
      </c>
      <c r="AQ42" s="538">
        <v>241.39199999999991</v>
      </c>
      <c r="AR42" s="529">
        <f t="shared" ref="AR42:AR71" si="12">RANK(AQ42, AQ$42:AQ$71)</f>
        <v>2</v>
      </c>
      <c r="AS42" s="653">
        <f>AVERAGE(AQ42:AQ71)</f>
        <v>91.323157058690526</v>
      </c>
      <c r="AT42" s="529">
        <v>6</v>
      </c>
      <c r="AU42" s="538">
        <v>1469.6361290322579</v>
      </c>
      <c r="AV42" s="538">
        <v>244.93935483870965</v>
      </c>
      <c r="AW42" s="529">
        <f t="shared" ref="AW42:AW71" si="13">RANK(AV42, AV$42:AV$71)</f>
        <v>1</v>
      </c>
      <c r="AX42" s="653">
        <f>AVERAGE(AV42:AV71)</f>
        <v>91.618631662340405</v>
      </c>
      <c r="AZ42" s="377" t="e">
        <f t="shared" ref="AZ42:AZ71" si="14">RANK(AY42, AY$42:AY$71)</f>
        <v>#N/A</v>
      </c>
      <c r="BA42" s="653" t="e">
        <f>AVERAGE(AY42:AY71)</f>
        <v>#DIV/0!</v>
      </c>
    </row>
    <row r="43" spans="2:54">
      <c r="B43" s="635"/>
      <c r="C43" s="529">
        <v>2</v>
      </c>
      <c r="D43" s="416" t="s">
        <v>635</v>
      </c>
      <c r="E43" s="531">
        <v>6</v>
      </c>
      <c r="F43" s="416">
        <v>1636</v>
      </c>
      <c r="G43" s="363">
        <v>272.7</v>
      </c>
      <c r="H43" s="678"/>
      <c r="I43" s="531">
        <f t="shared" ref="I43:K71" si="15">IFERROR(AVERAGE(P43,U43,Z43,AE43,AJ43,AO43,AT43),"-")</f>
        <v>6</v>
      </c>
      <c r="J43" s="531">
        <f t="shared" si="15"/>
        <v>1470.6727429165192</v>
      </c>
      <c r="K43" s="363">
        <f t="shared" si="15"/>
        <v>245.11212381941982</v>
      </c>
      <c r="L43" s="615"/>
      <c r="M43" s="536">
        <f>RANK(K43, K$42:$K$71)</f>
        <v>1</v>
      </c>
      <c r="N43" s="624"/>
      <c r="O43" s="624"/>
      <c r="P43" s="529">
        <v>6</v>
      </c>
      <c r="Q43" s="538">
        <v>1474.4117647058824</v>
      </c>
      <c r="R43" s="538">
        <v>245.73529411764707</v>
      </c>
      <c r="S43" s="529">
        <f t="shared" si="7"/>
        <v>1</v>
      </c>
      <c r="T43" s="653"/>
      <c r="U43" s="529">
        <v>6</v>
      </c>
      <c r="V43" s="538">
        <v>1466.666666666667</v>
      </c>
      <c r="W43" s="538">
        <v>244.44444444444449</v>
      </c>
      <c r="X43" s="529">
        <f t="shared" si="8"/>
        <v>2</v>
      </c>
      <c r="Y43" s="653"/>
      <c r="Z43" s="529">
        <v>6</v>
      </c>
      <c r="AA43" s="538">
        <v>1471.4634146341459</v>
      </c>
      <c r="AB43" s="538">
        <v>245.24390243902431</v>
      </c>
      <c r="AC43" s="529">
        <f t="shared" si="9"/>
        <v>1</v>
      </c>
      <c r="AD43" s="653"/>
      <c r="AE43" s="529">
        <v>6</v>
      </c>
      <c r="AF43" s="538">
        <v>1453.2203389830511</v>
      </c>
      <c r="AG43" s="538">
        <v>242.20338983050851</v>
      </c>
      <c r="AH43" s="529">
        <f t="shared" si="10"/>
        <v>2</v>
      </c>
      <c r="AI43" s="653"/>
      <c r="AJ43" s="529">
        <v>6</v>
      </c>
      <c r="AK43" s="538">
        <v>1480.9523809523805</v>
      </c>
      <c r="AL43" s="538">
        <v>246.82539682539675</v>
      </c>
      <c r="AM43" s="529">
        <f t="shared" si="11"/>
        <v>1</v>
      </c>
      <c r="AN43" s="653"/>
      <c r="AO43" s="529">
        <v>6</v>
      </c>
      <c r="AP43" s="538">
        <v>1480.9523809523805</v>
      </c>
      <c r="AQ43" s="538">
        <v>246.82539682539675</v>
      </c>
      <c r="AR43" s="529">
        <f t="shared" si="12"/>
        <v>1</v>
      </c>
      <c r="AS43" s="653"/>
      <c r="AT43" s="529">
        <v>6</v>
      </c>
      <c r="AU43" s="538">
        <v>1467.0422535211271</v>
      </c>
      <c r="AV43" s="538">
        <v>244.50704225352118</v>
      </c>
      <c r="AW43" s="529">
        <f t="shared" si="13"/>
        <v>2</v>
      </c>
      <c r="AX43" s="653"/>
      <c r="AZ43" s="377" t="e">
        <f t="shared" si="14"/>
        <v>#N/A</v>
      </c>
      <c r="BA43" s="653"/>
    </row>
    <row r="44" spans="2:54">
      <c r="B44" s="635"/>
      <c r="C44" s="529">
        <v>3</v>
      </c>
      <c r="D44" s="416" t="s">
        <v>561</v>
      </c>
      <c r="E44" s="531">
        <v>16</v>
      </c>
      <c r="F44" s="416">
        <v>1500</v>
      </c>
      <c r="G44" s="363">
        <v>93.8</v>
      </c>
      <c r="H44" s="678"/>
      <c r="I44" s="531">
        <f t="shared" si="15"/>
        <v>16.857142857142858</v>
      </c>
      <c r="J44" s="531">
        <f t="shared" si="15"/>
        <v>1354.6252834700888</v>
      </c>
      <c r="K44" s="363">
        <f t="shared" si="15"/>
        <v>80.400746023054225</v>
      </c>
      <c r="L44" s="615"/>
      <c r="M44" s="536">
        <f>RANK(K44, K$42:$K$71)</f>
        <v>12</v>
      </c>
      <c r="N44" s="624"/>
      <c r="O44" s="624"/>
      <c r="P44" s="529">
        <v>17</v>
      </c>
      <c r="Q44" s="538">
        <v>1344.7043478260871</v>
      </c>
      <c r="R44" s="538">
        <v>79.100255754475711</v>
      </c>
      <c r="S44" s="529">
        <f t="shared" si="7"/>
        <v>13</v>
      </c>
      <c r="T44" s="653"/>
      <c r="U44" s="529">
        <v>17</v>
      </c>
      <c r="V44" s="538">
        <v>1346.2363636363636</v>
      </c>
      <c r="W44" s="538">
        <v>79.1903743315508</v>
      </c>
      <c r="X44" s="529">
        <f t="shared" si="8"/>
        <v>14</v>
      </c>
      <c r="Y44" s="653"/>
      <c r="Z44" s="529">
        <v>17</v>
      </c>
      <c r="AA44" s="538">
        <v>1335.8727272727274</v>
      </c>
      <c r="AB44" s="538">
        <v>78.580748663101616</v>
      </c>
      <c r="AC44" s="529">
        <f t="shared" si="9"/>
        <v>14</v>
      </c>
      <c r="AD44" s="653"/>
      <c r="AE44" s="529">
        <v>17</v>
      </c>
      <c r="AF44" s="538">
        <v>1367.0454545454545</v>
      </c>
      <c r="AG44" s="538">
        <v>80.414438502673789</v>
      </c>
      <c r="AH44" s="529">
        <f t="shared" si="10"/>
        <v>10</v>
      </c>
      <c r="AI44" s="653"/>
      <c r="AJ44" s="529">
        <v>17</v>
      </c>
      <c r="AK44" s="538">
        <v>1361.7647058823536</v>
      </c>
      <c r="AL44" s="538">
        <v>80.103806228373742</v>
      </c>
      <c r="AM44" s="529">
        <f t="shared" si="11"/>
        <v>11</v>
      </c>
      <c r="AN44" s="653"/>
      <c r="AO44" s="529">
        <v>17</v>
      </c>
      <c r="AP44" s="538">
        <v>1361.7647058823536</v>
      </c>
      <c r="AQ44" s="538">
        <v>80.103806228373742</v>
      </c>
      <c r="AR44" s="529">
        <f t="shared" si="12"/>
        <v>11</v>
      </c>
      <c r="AS44" s="653"/>
      <c r="AT44" s="529">
        <v>16</v>
      </c>
      <c r="AU44" s="538">
        <v>1364.9886792452828</v>
      </c>
      <c r="AV44" s="538">
        <v>85.311792452830176</v>
      </c>
      <c r="AW44" s="529">
        <f t="shared" si="13"/>
        <v>8</v>
      </c>
      <c r="AX44" s="653"/>
      <c r="AZ44" s="377" t="e">
        <f t="shared" si="14"/>
        <v>#N/A</v>
      </c>
      <c r="BA44" s="653"/>
    </row>
    <row r="45" spans="2:54">
      <c r="B45" s="635"/>
      <c r="C45" s="529">
        <v>4</v>
      </c>
      <c r="D45" s="416" t="s">
        <v>365</v>
      </c>
      <c r="E45" s="531">
        <v>18</v>
      </c>
      <c r="F45" s="416">
        <v>1500</v>
      </c>
      <c r="G45" s="363">
        <v>83.3</v>
      </c>
      <c r="H45" s="678"/>
      <c r="I45" s="531">
        <f t="shared" si="15"/>
        <v>18.142857142857142</v>
      </c>
      <c r="J45" s="531">
        <f t="shared" si="15"/>
        <v>1312.7900051777599</v>
      </c>
      <c r="K45" s="363">
        <f t="shared" si="15"/>
        <v>72.365805077405497</v>
      </c>
      <c r="L45" s="615"/>
      <c r="M45" s="536">
        <f>RANK(K45, K$42:$K$71)</f>
        <v>18</v>
      </c>
      <c r="N45" s="624"/>
      <c r="O45" s="624"/>
      <c r="P45" s="529">
        <v>19</v>
      </c>
      <c r="Q45" s="538">
        <v>1357.3333333333335</v>
      </c>
      <c r="R45" s="538">
        <v>71.438596491228083</v>
      </c>
      <c r="S45" s="529">
        <f t="shared" si="7"/>
        <v>18</v>
      </c>
      <c r="T45" s="653"/>
      <c r="U45" s="529">
        <v>18</v>
      </c>
      <c r="V45" s="538">
        <v>1333.8461538461531</v>
      </c>
      <c r="W45" s="538">
        <v>74.10256410256406</v>
      </c>
      <c r="X45" s="529">
        <f t="shared" si="8"/>
        <v>17</v>
      </c>
      <c r="Y45" s="653"/>
      <c r="Z45" s="529">
        <v>18</v>
      </c>
      <c r="AA45" s="538">
        <v>1307.7272727272727</v>
      </c>
      <c r="AB45" s="538">
        <v>72.651515151515156</v>
      </c>
      <c r="AC45" s="529">
        <f t="shared" si="9"/>
        <v>17</v>
      </c>
      <c r="AD45" s="653"/>
      <c r="AE45" s="529">
        <v>18</v>
      </c>
      <c r="AF45" s="538">
        <v>1318.3783783783774</v>
      </c>
      <c r="AG45" s="538">
        <v>73.243243243243185</v>
      </c>
      <c r="AH45" s="529">
        <f t="shared" si="10"/>
        <v>17</v>
      </c>
      <c r="AI45" s="653"/>
      <c r="AJ45" s="529">
        <v>18</v>
      </c>
      <c r="AK45" s="538">
        <v>1282.8571428571424</v>
      </c>
      <c r="AL45" s="538">
        <v>71.269841269841251</v>
      </c>
      <c r="AM45" s="529">
        <f t="shared" si="11"/>
        <v>17</v>
      </c>
      <c r="AN45" s="653"/>
      <c r="AO45" s="529">
        <v>18</v>
      </c>
      <c r="AP45" s="538">
        <v>1282.8571428571424</v>
      </c>
      <c r="AQ45" s="538">
        <v>71.269841269841251</v>
      </c>
      <c r="AR45" s="529">
        <f t="shared" si="12"/>
        <v>17</v>
      </c>
      <c r="AS45" s="653"/>
      <c r="AT45" s="529">
        <v>18</v>
      </c>
      <c r="AU45" s="538">
        <v>1306.5306122448983</v>
      </c>
      <c r="AV45" s="538">
        <v>72.585034013605465</v>
      </c>
      <c r="AW45" s="529">
        <f t="shared" si="13"/>
        <v>17</v>
      </c>
      <c r="AX45" s="653"/>
      <c r="AZ45" s="377" t="e">
        <f t="shared" si="14"/>
        <v>#N/A</v>
      </c>
      <c r="BA45" s="653"/>
    </row>
    <row r="46" spans="2:54">
      <c r="B46" s="635"/>
      <c r="C46" s="529">
        <v>5</v>
      </c>
      <c r="D46" s="416" t="s">
        <v>340</v>
      </c>
      <c r="E46" s="531">
        <v>16</v>
      </c>
      <c r="F46" s="416">
        <v>1565</v>
      </c>
      <c r="G46" s="363">
        <v>97.8</v>
      </c>
      <c r="H46" s="678"/>
      <c r="I46" s="531">
        <f t="shared" si="15"/>
        <v>16</v>
      </c>
      <c r="J46" s="531">
        <f t="shared" si="15"/>
        <v>1377.7449553736965</v>
      </c>
      <c r="K46" s="363">
        <f t="shared" si="15"/>
        <v>86.10905971085603</v>
      </c>
      <c r="L46" s="615"/>
      <c r="M46" s="536">
        <f>RANK(K46, K$42:$K$71)</f>
        <v>6</v>
      </c>
      <c r="N46" s="624"/>
      <c r="O46" s="624"/>
      <c r="P46" s="529">
        <v>16</v>
      </c>
      <c r="Q46" s="538">
        <v>1366.451612903227</v>
      </c>
      <c r="R46" s="538">
        <v>85.403225806451687</v>
      </c>
      <c r="S46" s="529">
        <f t="shared" si="7"/>
        <v>6</v>
      </c>
      <c r="T46" s="653"/>
      <c r="U46" s="529">
        <v>16</v>
      </c>
      <c r="V46" s="538">
        <v>1389.5172413793114</v>
      </c>
      <c r="W46" s="538">
        <v>86.844827586206961</v>
      </c>
      <c r="X46" s="529">
        <f t="shared" si="8"/>
        <v>6</v>
      </c>
      <c r="Y46" s="653"/>
      <c r="Z46" s="529">
        <v>16</v>
      </c>
      <c r="AA46" s="538">
        <v>1395.5625000000016</v>
      </c>
      <c r="AB46" s="538">
        <v>87.222656250000099</v>
      </c>
      <c r="AC46" s="529">
        <f t="shared" si="9"/>
        <v>5</v>
      </c>
      <c r="AD46" s="653"/>
      <c r="AE46" s="529">
        <v>16</v>
      </c>
      <c r="AF46" s="538">
        <v>1383.7500000000011</v>
      </c>
      <c r="AG46" s="538">
        <v>86.484375000000071</v>
      </c>
      <c r="AH46" s="529">
        <f t="shared" si="10"/>
        <v>6</v>
      </c>
      <c r="AI46" s="653"/>
      <c r="AJ46" s="529">
        <v>16</v>
      </c>
      <c r="AK46" s="538">
        <v>1360.8000000000015</v>
      </c>
      <c r="AL46" s="538">
        <v>85.050000000000097</v>
      </c>
      <c r="AM46" s="529">
        <f t="shared" si="11"/>
        <v>7</v>
      </c>
      <c r="AN46" s="653"/>
      <c r="AO46" s="529">
        <v>16</v>
      </c>
      <c r="AP46" s="538">
        <v>1360.8000000000015</v>
      </c>
      <c r="AQ46" s="538">
        <v>85.050000000000097</v>
      </c>
      <c r="AR46" s="529">
        <f t="shared" si="12"/>
        <v>6</v>
      </c>
      <c r="AS46" s="653"/>
      <c r="AT46" s="529">
        <v>16</v>
      </c>
      <c r="AU46" s="538">
        <v>1387.3333333333319</v>
      </c>
      <c r="AV46" s="538">
        <v>86.708333333333243</v>
      </c>
      <c r="AW46" s="529">
        <f t="shared" si="13"/>
        <v>6</v>
      </c>
      <c r="AX46" s="653"/>
      <c r="AZ46" s="377" t="e">
        <f t="shared" si="14"/>
        <v>#N/A</v>
      </c>
      <c r="BA46" s="653"/>
    </row>
    <row r="47" spans="2:54">
      <c r="B47" s="635"/>
      <c r="C47" s="529">
        <v>6</v>
      </c>
      <c r="D47" s="416" t="s">
        <v>784</v>
      </c>
      <c r="E47" s="531">
        <v>20</v>
      </c>
      <c r="F47" s="416">
        <v>1440</v>
      </c>
      <c r="G47" s="363">
        <v>72</v>
      </c>
      <c r="H47" s="678"/>
      <c r="I47" s="531">
        <f t="shared" si="15"/>
        <v>20</v>
      </c>
      <c r="J47" s="531">
        <f t="shared" si="15"/>
        <v>1260.0116203724085</v>
      </c>
      <c r="K47" s="363">
        <f t="shared" si="15"/>
        <v>63.000581018620423</v>
      </c>
      <c r="L47" s="615"/>
      <c r="M47" s="536">
        <f>RANK(K47, K$42:$K$71)</f>
        <v>23</v>
      </c>
      <c r="N47" s="624"/>
      <c r="O47" s="624"/>
      <c r="P47" s="529">
        <v>20</v>
      </c>
      <c r="Q47" s="538">
        <v>1239.740259740259</v>
      </c>
      <c r="R47" s="538">
        <v>61.987012987012953</v>
      </c>
      <c r="S47" s="529">
        <f t="shared" si="7"/>
        <v>23</v>
      </c>
      <c r="T47" s="653"/>
      <c r="U47" s="529">
        <v>20</v>
      </c>
      <c r="V47" s="538">
        <v>1262.4999999999991</v>
      </c>
      <c r="W47" s="538">
        <v>63.124999999999957</v>
      </c>
      <c r="X47" s="529">
        <f t="shared" si="8"/>
        <v>23</v>
      </c>
      <c r="Y47" s="653"/>
      <c r="Z47" s="529">
        <v>20</v>
      </c>
      <c r="AA47" s="538">
        <v>1244.799999999999</v>
      </c>
      <c r="AB47" s="538">
        <v>62.239999999999952</v>
      </c>
      <c r="AC47" s="529">
        <f t="shared" si="9"/>
        <v>23</v>
      </c>
      <c r="AD47" s="653"/>
      <c r="AE47" s="529">
        <v>20</v>
      </c>
      <c r="AF47" s="538">
        <v>1254.193548387098</v>
      </c>
      <c r="AG47" s="538">
        <v>62.709677419354897</v>
      </c>
      <c r="AH47" s="529">
        <f t="shared" si="10"/>
        <v>22</v>
      </c>
      <c r="AI47" s="653"/>
      <c r="AJ47" s="529">
        <v>20</v>
      </c>
      <c r="AK47" s="538">
        <v>1265.3731343283598</v>
      </c>
      <c r="AL47" s="538">
        <v>63.268656716417993</v>
      </c>
      <c r="AM47" s="529">
        <f t="shared" si="11"/>
        <v>22</v>
      </c>
      <c r="AN47" s="653"/>
      <c r="AO47" s="529">
        <v>20</v>
      </c>
      <c r="AP47" s="538">
        <v>1265.3731343283598</v>
      </c>
      <c r="AQ47" s="538">
        <v>63.268656716417993</v>
      </c>
      <c r="AR47" s="529">
        <f t="shared" si="12"/>
        <v>22</v>
      </c>
      <c r="AS47" s="653"/>
      <c r="AT47" s="529">
        <v>20</v>
      </c>
      <c r="AU47" s="538">
        <v>1288.1012658227842</v>
      </c>
      <c r="AV47" s="538">
        <v>64.405063291139214</v>
      </c>
      <c r="AW47" s="529">
        <f t="shared" si="13"/>
        <v>22</v>
      </c>
      <c r="AX47" s="653"/>
      <c r="AZ47" s="377" t="e">
        <f t="shared" si="14"/>
        <v>#N/A</v>
      </c>
      <c r="BA47" s="653"/>
    </row>
    <row r="48" spans="2:54">
      <c r="B48" s="635"/>
      <c r="C48" s="529">
        <v>7</v>
      </c>
      <c r="D48" s="416" t="s">
        <v>696</v>
      </c>
      <c r="E48" s="531">
        <v>16</v>
      </c>
      <c r="F48" s="416">
        <v>1500</v>
      </c>
      <c r="G48" s="363">
        <v>93.8</v>
      </c>
      <c r="H48" s="678"/>
      <c r="I48" s="531">
        <f t="shared" si="15"/>
        <v>16</v>
      </c>
      <c r="J48" s="531">
        <f t="shared" si="15"/>
        <v>1388.0845825695501</v>
      </c>
      <c r="K48" s="363">
        <f t="shared" si="15"/>
        <v>86.755286410596881</v>
      </c>
      <c r="L48" s="615"/>
      <c r="M48" s="536">
        <f>RANK(K48, K$42:$K$71)</f>
        <v>5</v>
      </c>
      <c r="N48" s="624"/>
      <c r="O48" s="624"/>
      <c r="P48" s="529">
        <v>16</v>
      </c>
      <c r="Q48" s="538">
        <v>1378.0645161290336</v>
      </c>
      <c r="R48" s="538">
        <v>86.129032258064598</v>
      </c>
      <c r="S48" s="529">
        <f t="shared" si="7"/>
        <v>5</v>
      </c>
      <c r="T48" s="653"/>
      <c r="U48" s="529">
        <v>16</v>
      </c>
      <c r="V48" s="538">
        <v>1388.8524590163947</v>
      </c>
      <c r="W48" s="538">
        <v>86.803278688524671</v>
      </c>
      <c r="X48" s="529">
        <f t="shared" si="8"/>
        <v>7</v>
      </c>
      <c r="Y48" s="653"/>
      <c r="Z48" s="529">
        <v>16</v>
      </c>
      <c r="AA48" s="538">
        <v>1380.0000000000011</v>
      </c>
      <c r="AB48" s="538">
        <v>86.250000000000071</v>
      </c>
      <c r="AC48" s="529">
        <f t="shared" si="9"/>
        <v>7</v>
      </c>
      <c r="AD48" s="653"/>
      <c r="AE48" s="529">
        <v>16</v>
      </c>
      <c r="AF48" s="538">
        <v>1395.3191489361704</v>
      </c>
      <c r="AG48" s="538">
        <v>87.207446808510653</v>
      </c>
      <c r="AH48" s="529">
        <f t="shared" si="10"/>
        <v>5</v>
      </c>
      <c r="AI48" s="653"/>
      <c r="AJ48" s="529">
        <v>16</v>
      </c>
      <c r="AK48" s="538">
        <v>1388.7272727272734</v>
      </c>
      <c r="AL48" s="538">
        <v>86.795454545454589</v>
      </c>
      <c r="AM48" s="529">
        <f t="shared" si="11"/>
        <v>5</v>
      </c>
      <c r="AN48" s="653"/>
      <c r="AO48" s="529">
        <v>16</v>
      </c>
      <c r="AP48" s="538">
        <v>1388.7272727272734</v>
      </c>
      <c r="AQ48" s="538">
        <v>86.795454545454589</v>
      </c>
      <c r="AR48" s="529">
        <f t="shared" si="12"/>
        <v>5</v>
      </c>
      <c r="AS48" s="653"/>
      <c r="AT48" s="529">
        <v>16</v>
      </c>
      <c r="AU48" s="538">
        <v>1396.9014084507028</v>
      </c>
      <c r="AV48" s="538">
        <v>87.306338028168923</v>
      </c>
      <c r="AW48" s="529">
        <f t="shared" si="13"/>
        <v>4</v>
      </c>
      <c r="AX48" s="653"/>
      <c r="AZ48" s="377" t="e">
        <f t="shared" si="14"/>
        <v>#N/A</v>
      </c>
      <c r="BA48" s="653"/>
    </row>
    <row r="49" spans="2:53">
      <c r="B49" s="635"/>
      <c r="C49" s="529">
        <v>8</v>
      </c>
      <c r="D49" s="416" t="s">
        <v>339</v>
      </c>
      <c r="E49" s="531">
        <v>16</v>
      </c>
      <c r="F49" s="416">
        <v>1440</v>
      </c>
      <c r="G49" s="363">
        <v>90</v>
      </c>
      <c r="H49" s="678"/>
      <c r="I49" s="531">
        <f t="shared" si="15"/>
        <v>16</v>
      </c>
      <c r="J49" s="531">
        <f t="shared" si="15"/>
        <v>1334.1001703463714</v>
      </c>
      <c r="K49" s="363">
        <f t="shared" si="15"/>
        <v>83.381260646648215</v>
      </c>
      <c r="L49" s="615"/>
      <c r="M49" s="536">
        <f>RANK(K49, K$42:$K$71)</f>
        <v>7</v>
      </c>
      <c r="N49" s="624"/>
      <c r="O49" s="624"/>
      <c r="P49" s="529">
        <v>16</v>
      </c>
      <c r="Q49" s="538">
        <v>1346.5384615384623</v>
      </c>
      <c r="R49" s="538">
        <v>84.158653846153896</v>
      </c>
      <c r="S49" s="529">
        <f t="shared" si="7"/>
        <v>7</v>
      </c>
      <c r="T49" s="653"/>
      <c r="U49" s="529">
        <v>16</v>
      </c>
      <c r="V49" s="538">
        <v>1339.5918367346944</v>
      </c>
      <c r="W49" s="538">
        <v>83.724489795918402</v>
      </c>
      <c r="X49" s="529">
        <f t="shared" si="8"/>
        <v>9</v>
      </c>
      <c r="Y49" s="653"/>
      <c r="Z49" s="529">
        <v>16</v>
      </c>
      <c r="AA49" s="538">
        <v>1316.1702127659578</v>
      </c>
      <c r="AB49" s="538">
        <v>82.260638297872362</v>
      </c>
      <c r="AC49" s="529">
        <f t="shared" si="9"/>
        <v>9</v>
      </c>
      <c r="AD49" s="653"/>
      <c r="AE49" s="529" t="s">
        <v>427</v>
      </c>
      <c r="AF49" s="538" t="s">
        <v>427</v>
      </c>
      <c r="AG49" s="538" t="s">
        <v>427</v>
      </c>
      <c r="AH49" s="529" t="e">
        <f t="shared" si="10"/>
        <v>#VALUE!</v>
      </c>
      <c r="AI49" s="653"/>
      <c r="AJ49" s="529" t="s">
        <v>427</v>
      </c>
      <c r="AK49" s="538" t="s">
        <v>427</v>
      </c>
      <c r="AL49" s="538" t="s">
        <v>427</v>
      </c>
      <c r="AM49" s="529" t="e">
        <f t="shared" si="11"/>
        <v>#VALUE!</v>
      </c>
      <c r="AN49" s="653"/>
      <c r="AO49" s="529" t="s">
        <v>427</v>
      </c>
      <c r="AP49" s="538" t="s">
        <v>427</v>
      </c>
      <c r="AQ49" s="538" t="s">
        <v>427</v>
      </c>
      <c r="AR49" s="529" t="e">
        <f t="shared" si="12"/>
        <v>#VALUE!</v>
      </c>
      <c r="AS49" s="653"/>
      <c r="AT49" s="529" t="s">
        <v>427</v>
      </c>
      <c r="AU49" s="538" t="s">
        <v>427</v>
      </c>
      <c r="AV49" s="538" t="s">
        <v>427</v>
      </c>
      <c r="AW49" s="529" t="e">
        <f t="shared" si="13"/>
        <v>#VALUE!</v>
      </c>
      <c r="AX49" s="653"/>
      <c r="AZ49" s="377" t="e">
        <f t="shared" si="14"/>
        <v>#N/A</v>
      </c>
      <c r="BA49" s="653"/>
    </row>
    <row r="50" spans="2:53">
      <c r="B50" s="635"/>
      <c r="C50" s="529">
        <v>9</v>
      </c>
      <c r="D50" s="416" t="s">
        <v>338</v>
      </c>
      <c r="E50" s="531">
        <v>18</v>
      </c>
      <c r="F50" s="416">
        <v>1636</v>
      </c>
      <c r="G50" s="363">
        <v>90.9</v>
      </c>
      <c r="H50" s="678"/>
      <c r="I50" s="531">
        <f t="shared" si="15"/>
        <v>18</v>
      </c>
      <c r="J50" s="531">
        <f t="shared" si="15"/>
        <v>1428.6600852130816</v>
      </c>
      <c r="K50" s="363">
        <f t="shared" si="15"/>
        <v>79.370004734060089</v>
      </c>
      <c r="L50" s="615"/>
      <c r="M50" s="536">
        <f>RANK(K50, K$42:$K$71)</f>
        <v>13</v>
      </c>
      <c r="N50" s="624"/>
      <c r="O50" s="624"/>
      <c r="P50" s="529">
        <v>18</v>
      </c>
      <c r="Q50" s="538">
        <v>1441.8461538461554</v>
      </c>
      <c r="R50" s="538">
        <v>80.102564102564187</v>
      </c>
      <c r="S50" s="529">
        <f t="shared" si="7"/>
        <v>12</v>
      </c>
      <c r="T50" s="653"/>
      <c r="U50" s="529">
        <v>18</v>
      </c>
      <c r="V50" s="538">
        <v>1465.0000000000014</v>
      </c>
      <c r="W50" s="538">
        <v>81.388888888888971</v>
      </c>
      <c r="X50" s="529">
        <f t="shared" si="8"/>
        <v>12</v>
      </c>
      <c r="Y50" s="653"/>
      <c r="Z50" s="529">
        <v>18</v>
      </c>
      <c r="AA50" s="538">
        <v>1458.2142857142869</v>
      </c>
      <c r="AB50" s="538">
        <v>81.01190476190483</v>
      </c>
      <c r="AC50" s="529">
        <f t="shared" si="9"/>
        <v>11</v>
      </c>
      <c r="AD50" s="653"/>
      <c r="AE50" s="529">
        <v>18</v>
      </c>
      <c r="AF50" s="538">
        <v>1402.5000000000011</v>
      </c>
      <c r="AG50" s="538">
        <v>77.916666666666728</v>
      </c>
      <c r="AH50" s="529">
        <f t="shared" si="10"/>
        <v>14</v>
      </c>
      <c r="AI50" s="653"/>
      <c r="AJ50" s="529">
        <v>18</v>
      </c>
      <c r="AK50" s="538">
        <v>1411.9354838709689</v>
      </c>
      <c r="AL50" s="538">
        <v>78.440860215053831</v>
      </c>
      <c r="AM50" s="529">
        <f t="shared" si="11"/>
        <v>12</v>
      </c>
      <c r="AN50" s="653"/>
      <c r="AO50" s="529">
        <v>18</v>
      </c>
      <c r="AP50" s="538">
        <v>1411.9354838709689</v>
      </c>
      <c r="AQ50" s="538">
        <v>78.440860215053831</v>
      </c>
      <c r="AR50" s="529">
        <f t="shared" si="12"/>
        <v>12</v>
      </c>
      <c r="AS50" s="653"/>
      <c r="AT50" s="529">
        <v>18</v>
      </c>
      <c r="AU50" s="538">
        <v>1409.1891891891883</v>
      </c>
      <c r="AV50" s="538">
        <v>78.288288288288243</v>
      </c>
      <c r="AW50" s="529">
        <f t="shared" si="13"/>
        <v>13</v>
      </c>
      <c r="AX50" s="653"/>
      <c r="AZ50" s="377" t="e">
        <f t="shared" si="14"/>
        <v>#N/A</v>
      </c>
      <c r="BA50" s="653"/>
    </row>
    <row r="51" spans="2:53">
      <c r="B51" s="635"/>
      <c r="C51" s="529">
        <v>10</v>
      </c>
      <c r="D51" s="416" t="s">
        <v>337</v>
      </c>
      <c r="E51" s="531">
        <v>18</v>
      </c>
      <c r="F51" s="416">
        <v>1636</v>
      </c>
      <c r="G51" s="363">
        <v>90.9</v>
      </c>
      <c r="H51" s="678"/>
      <c r="I51" s="531">
        <f t="shared" si="15"/>
        <v>18</v>
      </c>
      <c r="J51" s="531">
        <f t="shared" si="15"/>
        <v>1421.9485445698999</v>
      </c>
      <c r="K51" s="363">
        <f t="shared" si="15"/>
        <v>78.99714136499442</v>
      </c>
      <c r="L51" s="615"/>
      <c r="M51" s="536">
        <f>RANK(K51, K$42:$K$71)</f>
        <v>14</v>
      </c>
      <c r="N51" s="624"/>
      <c r="O51" s="624"/>
      <c r="P51" s="529">
        <v>18</v>
      </c>
      <c r="Q51" s="538">
        <v>1443.4615384615392</v>
      </c>
      <c r="R51" s="538">
        <v>80.192307692307736</v>
      </c>
      <c r="S51" s="529">
        <f t="shared" si="7"/>
        <v>11</v>
      </c>
      <c r="T51" s="653"/>
      <c r="U51" s="529">
        <v>18</v>
      </c>
      <c r="V51" s="538">
        <v>1456.8000000000004</v>
      </c>
      <c r="W51" s="538">
        <v>80.933333333333351</v>
      </c>
      <c r="X51" s="529">
        <f t="shared" si="8"/>
        <v>13</v>
      </c>
      <c r="Y51" s="653"/>
      <c r="Z51" s="529">
        <v>18</v>
      </c>
      <c r="AA51" s="538">
        <v>1461.7021276595747</v>
      </c>
      <c r="AB51" s="538">
        <v>81.20567375886526</v>
      </c>
      <c r="AC51" s="529">
        <f t="shared" si="9"/>
        <v>10</v>
      </c>
      <c r="AD51" s="653"/>
      <c r="AE51" s="529">
        <v>18</v>
      </c>
      <c r="AF51" s="538">
        <v>1391.0204081632658</v>
      </c>
      <c r="AG51" s="538">
        <v>77.278911564625872</v>
      </c>
      <c r="AH51" s="529">
        <f t="shared" si="10"/>
        <v>16</v>
      </c>
      <c r="AI51" s="653"/>
      <c r="AJ51" s="529">
        <v>18</v>
      </c>
      <c r="AK51" s="538">
        <v>1400</v>
      </c>
      <c r="AL51" s="538">
        <v>77.777777777777771</v>
      </c>
      <c r="AM51" s="529">
        <f t="shared" si="11"/>
        <v>15</v>
      </c>
      <c r="AN51" s="653"/>
      <c r="AO51" s="529">
        <v>18</v>
      </c>
      <c r="AP51" s="538">
        <v>1400</v>
      </c>
      <c r="AQ51" s="538">
        <v>77.777777777777771</v>
      </c>
      <c r="AR51" s="529">
        <f t="shared" si="12"/>
        <v>15</v>
      </c>
      <c r="AS51" s="653"/>
      <c r="AT51" s="529">
        <v>18</v>
      </c>
      <c r="AU51" s="538">
        <v>1400.6557377049194</v>
      </c>
      <c r="AV51" s="538">
        <v>77.814207650273303</v>
      </c>
      <c r="AW51" s="529">
        <f t="shared" si="13"/>
        <v>14</v>
      </c>
      <c r="AX51" s="653"/>
      <c r="AZ51" s="377" t="e">
        <f t="shared" si="14"/>
        <v>#N/A</v>
      </c>
      <c r="BA51" s="653"/>
    </row>
    <row r="52" spans="2:53">
      <c r="B52" s="635"/>
      <c r="C52" s="529">
        <v>11</v>
      </c>
      <c r="D52" s="416" t="s">
        <v>320</v>
      </c>
      <c r="E52" s="531">
        <v>17</v>
      </c>
      <c r="F52" s="416">
        <v>1500</v>
      </c>
      <c r="G52" s="363">
        <v>88.2</v>
      </c>
      <c r="H52" s="678"/>
      <c r="I52" s="531">
        <f t="shared" si="15"/>
        <v>17</v>
      </c>
      <c r="J52" s="531">
        <f t="shared" si="15"/>
        <v>1382.2506660025963</v>
      </c>
      <c r="K52" s="363">
        <f t="shared" si="15"/>
        <v>81.308862706035072</v>
      </c>
      <c r="L52" s="615"/>
      <c r="M52" s="536">
        <f>RANK(K52, K$42:$K$71)</f>
        <v>11</v>
      </c>
      <c r="N52" s="624"/>
      <c r="O52" s="624"/>
      <c r="P52" s="529">
        <v>17</v>
      </c>
      <c r="Q52" s="538">
        <v>1368.2352941176475</v>
      </c>
      <c r="R52" s="538">
        <v>80.484429065743967</v>
      </c>
      <c r="S52" s="529">
        <f t="shared" si="7"/>
        <v>10</v>
      </c>
      <c r="T52" s="653"/>
      <c r="U52" s="529">
        <v>17</v>
      </c>
      <c r="V52" s="538">
        <v>1384</v>
      </c>
      <c r="W52" s="538">
        <v>81.411764705882348</v>
      </c>
      <c r="X52" s="529">
        <f t="shared" si="8"/>
        <v>11</v>
      </c>
      <c r="Y52" s="653"/>
      <c r="Z52" s="529">
        <v>17</v>
      </c>
      <c r="AA52" s="538">
        <v>1354.090909090909</v>
      </c>
      <c r="AB52" s="538">
        <v>79.652406417112289</v>
      </c>
      <c r="AC52" s="529">
        <f t="shared" si="9"/>
        <v>13</v>
      </c>
      <c r="AD52" s="653"/>
      <c r="AE52" s="529">
        <v>17</v>
      </c>
      <c r="AF52" s="538">
        <v>1366.0465116279067</v>
      </c>
      <c r="AG52" s="538">
        <v>80.35567715458275</v>
      </c>
      <c r="AH52" s="529">
        <f t="shared" si="10"/>
        <v>11</v>
      </c>
      <c r="AI52" s="653"/>
      <c r="AJ52" s="529">
        <v>17</v>
      </c>
      <c r="AK52" s="538">
        <v>1421.8604651162789</v>
      </c>
      <c r="AL52" s="538">
        <v>83.638850889192881</v>
      </c>
      <c r="AM52" s="529">
        <f t="shared" si="11"/>
        <v>8</v>
      </c>
      <c r="AN52" s="653"/>
      <c r="AO52" s="529">
        <v>17</v>
      </c>
      <c r="AP52" s="538">
        <v>1421.8604651162789</v>
      </c>
      <c r="AQ52" s="538">
        <v>83.638850889192881</v>
      </c>
      <c r="AR52" s="529">
        <f t="shared" si="12"/>
        <v>7</v>
      </c>
      <c r="AS52" s="653"/>
      <c r="AT52" s="529">
        <v>17</v>
      </c>
      <c r="AU52" s="538">
        <v>1359.6610169491537</v>
      </c>
      <c r="AV52" s="538">
        <v>79.980059820538457</v>
      </c>
      <c r="AW52" s="529">
        <f t="shared" si="13"/>
        <v>10</v>
      </c>
      <c r="AX52" s="653"/>
      <c r="AZ52" s="377" t="e">
        <f t="shared" si="14"/>
        <v>#N/A</v>
      </c>
      <c r="BA52" s="653"/>
    </row>
    <row r="53" spans="2:53">
      <c r="B53" s="635"/>
      <c r="C53" s="529">
        <v>12</v>
      </c>
      <c r="D53" s="416" t="s">
        <v>431</v>
      </c>
      <c r="E53" s="531">
        <v>20</v>
      </c>
      <c r="F53" s="416">
        <v>1440</v>
      </c>
      <c r="G53" s="363">
        <v>72</v>
      </c>
      <c r="H53" s="678"/>
      <c r="I53" s="531">
        <f t="shared" si="15"/>
        <v>20</v>
      </c>
      <c r="J53" s="531">
        <f t="shared" si="15"/>
        <v>1336.4266397351983</v>
      </c>
      <c r="K53" s="363">
        <f t="shared" si="15"/>
        <v>66.821331986759901</v>
      </c>
      <c r="L53" s="615"/>
      <c r="M53" s="536">
        <f>RANK(K53, K$42:$K$71)</f>
        <v>22</v>
      </c>
      <c r="N53" s="624"/>
      <c r="O53" s="624"/>
      <c r="P53" s="529">
        <v>20</v>
      </c>
      <c r="Q53" s="538">
        <v>1369.7368421052622</v>
      </c>
      <c r="R53" s="538">
        <v>68.486842105263108</v>
      </c>
      <c r="S53" s="529">
        <f t="shared" si="7"/>
        <v>22</v>
      </c>
      <c r="T53" s="653"/>
      <c r="U53" s="529">
        <v>20</v>
      </c>
      <c r="V53" s="538">
        <v>1361.917808219177</v>
      </c>
      <c r="W53" s="538">
        <v>68.095890410958845</v>
      </c>
      <c r="X53" s="529">
        <f t="shared" si="8"/>
        <v>22</v>
      </c>
      <c r="Y53" s="653"/>
      <c r="Z53" s="529">
        <v>20</v>
      </c>
      <c r="AA53" s="538">
        <v>1328.3076923076937</v>
      </c>
      <c r="AB53" s="538">
        <v>66.415384615384681</v>
      </c>
      <c r="AC53" s="529">
        <f t="shared" si="9"/>
        <v>22</v>
      </c>
      <c r="AD53" s="653"/>
      <c r="AE53" s="529">
        <v>20</v>
      </c>
      <c r="AF53" s="538">
        <v>1344.4067796610182</v>
      </c>
      <c r="AG53" s="538">
        <v>67.220338983050908</v>
      </c>
      <c r="AH53" s="529">
        <f t="shared" si="10"/>
        <v>21</v>
      </c>
      <c r="AI53" s="653"/>
      <c r="AJ53" s="529">
        <v>20</v>
      </c>
      <c r="AK53" s="538">
        <v>1313.8235294117662</v>
      </c>
      <c r="AL53" s="538">
        <v>65.691176470588317</v>
      </c>
      <c r="AM53" s="529">
        <f t="shared" si="11"/>
        <v>21</v>
      </c>
      <c r="AN53" s="653"/>
      <c r="AO53" s="529">
        <v>20</v>
      </c>
      <c r="AP53" s="538">
        <v>1313.8235294117662</v>
      </c>
      <c r="AQ53" s="538">
        <v>65.691176470588317</v>
      </c>
      <c r="AR53" s="529">
        <f t="shared" si="12"/>
        <v>21</v>
      </c>
      <c r="AS53" s="653"/>
      <c r="AT53" s="529">
        <v>20</v>
      </c>
      <c r="AU53" s="538">
        <v>1322.9702970297035</v>
      </c>
      <c r="AV53" s="538">
        <v>66.148514851485174</v>
      </c>
      <c r="AW53" s="529">
        <f t="shared" si="13"/>
        <v>21</v>
      </c>
      <c r="AX53" s="653"/>
      <c r="AZ53" s="377" t="e">
        <f t="shared" si="14"/>
        <v>#N/A</v>
      </c>
      <c r="BA53" s="653"/>
    </row>
    <row r="54" spans="2:53">
      <c r="B54" s="635"/>
      <c r="C54" s="529">
        <v>13</v>
      </c>
      <c r="D54" s="416" t="s">
        <v>341</v>
      </c>
      <c r="E54" s="531">
        <v>14</v>
      </c>
      <c r="F54" s="416">
        <v>1440</v>
      </c>
      <c r="G54" s="363">
        <v>102.9</v>
      </c>
      <c r="H54" s="678"/>
      <c r="I54" s="531">
        <f t="shared" si="15"/>
        <v>15</v>
      </c>
      <c r="J54" s="531">
        <f t="shared" si="15"/>
        <v>1335.5506455380876</v>
      </c>
      <c r="K54" s="363">
        <f t="shared" si="15"/>
        <v>89.03670970253917</v>
      </c>
      <c r="L54" s="615"/>
      <c r="M54" s="536">
        <f>RANK(K54, K$42:$K$71)</f>
        <v>3</v>
      </c>
      <c r="N54" s="624"/>
      <c r="O54" s="624"/>
      <c r="P54" s="529">
        <v>15</v>
      </c>
      <c r="Q54" s="538">
        <v>1342.758620689656</v>
      </c>
      <c r="R54" s="538">
        <v>89.517241379310406</v>
      </c>
      <c r="S54" s="529">
        <f t="shared" si="7"/>
        <v>4</v>
      </c>
      <c r="T54" s="653"/>
      <c r="U54" s="529">
        <v>15</v>
      </c>
      <c r="V54" s="538">
        <v>1336.271186440679</v>
      </c>
      <c r="W54" s="538">
        <v>89.084745762711933</v>
      </c>
      <c r="X54" s="529">
        <f t="shared" si="8"/>
        <v>4</v>
      </c>
      <c r="Y54" s="653"/>
      <c r="Z54" s="529">
        <v>15</v>
      </c>
      <c r="AA54" s="538">
        <v>1298.4905660377367</v>
      </c>
      <c r="AB54" s="538">
        <v>86.566037735849108</v>
      </c>
      <c r="AC54" s="529">
        <f t="shared" si="9"/>
        <v>6</v>
      </c>
      <c r="AD54" s="653"/>
      <c r="AE54" s="529">
        <v>15</v>
      </c>
      <c r="AF54" s="538">
        <v>1353.0612244897964</v>
      </c>
      <c r="AG54" s="538">
        <v>90.204081632653086</v>
      </c>
      <c r="AH54" s="529">
        <f t="shared" si="10"/>
        <v>3</v>
      </c>
      <c r="AI54" s="653"/>
      <c r="AJ54" s="529">
        <v>15</v>
      </c>
      <c r="AK54" s="538">
        <v>1339.2857142857151</v>
      </c>
      <c r="AL54" s="538">
        <v>89.285714285714349</v>
      </c>
      <c r="AM54" s="529">
        <f t="shared" si="11"/>
        <v>4</v>
      </c>
      <c r="AN54" s="653"/>
      <c r="AO54" s="529">
        <v>15</v>
      </c>
      <c r="AP54" s="538">
        <v>1339.2857142857151</v>
      </c>
      <c r="AQ54" s="538">
        <v>89.285714285714349</v>
      </c>
      <c r="AR54" s="529">
        <f t="shared" si="12"/>
        <v>4</v>
      </c>
      <c r="AS54" s="653"/>
      <c r="AT54" s="529">
        <v>15</v>
      </c>
      <c r="AU54" s="538">
        <v>1339.7014925373151</v>
      </c>
      <c r="AV54" s="538">
        <v>89.313432835821004</v>
      </c>
      <c r="AW54" s="529">
        <f t="shared" si="13"/>
        <v>3</v>
      </c>
      <c r="AX54" s="653"/>
      <c r="AZ54" s="377" t="e">
        <f t="shared" si="14"/>
        <v>#N/A</v>
      </c>
      <c r="BA54" s="653"/>
    </row>
    <row r="55" spans="2:53">
      <c r="B55" s="635"/>
      <c r="C55" s="529">
        <v>14</v>
      </c>
      <c r="D55" s="416" t="s">
        <v>313</v>
      </c>
      <c r="E55" s="531">
        <v>19</v>
      </c>
      <c r="F55" s="416">
        <v>1440</v>
      </c>
      <c r="G55" s="363">
        <v>75.8</v>
      </c>
      <c r="H55" s="678"/>
      <c r="I55" s="531">
        <f t="shared" si="15"/>
        <v>19</v>
      </c>
      <c r="J55" s="531">
        <f t="shared" si="15"/>
        <v>1343.1525179417306</v>
      </c>
      <c r="K55" s="363">
        <f t="shared" si="15"/>
        <v>70.692237786406864</v>
      </c>
      <c r="L55" s="615"/>
      <c r="M55" s="536">
        <f>RANK(K55, K$42:$K$71)</f>
        <v>19</v>
      </c>
      <c r="N55" s="624"/>
      <c r="O55" s="624"/>
      <c r="P55" s="529">
        <v>19</v>
      </c>
      <c r="Q55" s="538">
        <v>1355.7303370786517</v>
      </c>
      <c r="R55" s="538">
        <v>71.354228267297458</v>
      </c>
      <c r="S55" s="529">
        <f t="shared" si="7"/>
        <v>19</v>
      </c>
      <c r="T55" s="653"/>
      <c r="U55" s="529">
        <v>19</v>
      </c>
      <c r="V55" s="538">
        <v>1354.2857142857138</v>
      </c>
      <c r="W55" s="538">
        <v>71.278195488721778</v>
      </c>
      <c r="X55" s="529">
        <f t="shared" si="8"/>
        <v>19</v>
      </c>
      <c r="Y55" s="653"/>
      <c r="Z55" s="529">
        <v>19</v>
      </c>
      <c r="AA55" s="538">
        <v>1352.6582278481005</v>
      </c>
      <c r="AB55" s="538">
        <v>71.192538307794763</v>
      </c>
      <c r="AC55" s="529">
        <f t="shared" si="9"/>
        <v>18</v>
      </c>
      <c r="AD55" s="653"/>
      <c r="AE55" s="529">
        <v>19</v>
      </c>
      <c r="AF55" s="538">
        <v>1320.8219178082181</v>
      </c>
      <c r="AG55" s="538">
        <v>69.51694304253779</v>
      </c>
      <c r="AH55" s="529">
        <f t="shared" si="10"/>
        <v>20</v>
      </c>
      <c r="AI55" s="653"/>
      <c r="AJ55" s="529">
        <v>19</v>
      </c>
      <c r="AK55" s="538">
        <v>1340.9999999999995</v>
      </c>
      <c r="AL55" s="538">
        <v>70.578947368421026</v>
      </c>
      <c r="AM55" s="529">
        <f t="shared" si="11"/>
        <v>18</v>
      </c>
      <c r="AN55" s="653"/>
      <c r="AO55" s="529">
        <v>19</v>
      </c>
      <c r="AP55" s="538">
        <v>1340.9999999999995</v>
      </c>
      <c r="AQ55" s="538">
        <v>70.578947368421026</v>
      </c>
      <c r="AR55" s="529">
        <f t="shared" si="12"/>
        <v>18</v>
      </c>
      <c r="AS55" s="653"/>
      <c r="AT55" s="529">
        <v>19</v>
      </c>
      <c r="AU55" s="538">
        <v>1336.5714285714294</v>
      </c>
      <c r="AV55" s="538">
        <v>70.345864661654176</v>
      </c>
      <c r="AW55" s="529">
        <f t="shared" si="13"/>
        <v>19</v>
      </c>
      <c r="AX55" s="653"/>
      <c r="AZ55" s="377" t="e">
        <f t="shared" si="14"/>
        <v>#N/A</v>
      </c>
      <c r="BA55" s="653"/>
    </row>
    <row r="56" spans="2:53">
      <c r="B56" s="635"/>
      <c r="C56" s="529">
        <v>15</v>
      </c>
      <c r="D56" s="416" t="s">
        <v>336</v>
      </c>
      <c r="E56" s="531">
        <v>19</v>
      </c>
      <c r="F56" s="416">
        <v>1440</v>
      </c>
      <c r="G56" s="363">
        <v>75.8</v>
      </c>
      <c r="H56" s="678"/>
      <c r="I56" s="531">
        <f t="shared" si="15"/>
        <v>19</v>
      </c>
      <c r="J56" s="531">
        <f t="shared" si="15"/>
        <v>1327.881393828126</v>
      </c>
      <c r="K56" s="363">
        <f t="shared" si="15"/>
        <v>69.888494412006636</v>
      </c>
      <c r="L56" s="615"/>
      <c r="M56" s="531">
        <f>RANK(K56, K$42:$K$71)</f>
        <v>20</v>
      </c>
      <c r="N56" s="624"/>
      <c r="O56" s="624"/>
      <c r="P56" s="529">
        <v>19</v>
      </c>
      <c r="Q56" s="538">
        <v>1349.0909090909106</v>
      </c>
      <c r="R56" s="538">
        <v>71.004784688995301</v>
      </c>
      <c r="S56" s="529">
        <f t="shared" si="7"/>
        <v>21</v>
      </c>
      <c r="T56" s="653"/>
      <c r="U56" s="529">
        <v>19</v>
      </c>
      <c r="V56" s="538">
        <v>1353.2307692307706</v>
      </c>
      <c r="W56" s="538">
        <v>71.222672064777399</v>
      </c>
      <c r="X56" s="529">
        <f t="shared" si="8"/>
        <v>20</v>
      </c>
      <c r="Y56" s="653"/>
      <c r="Z56" s="529">
        <v>19</v>
      </c>
      <c r="AA56" s="538">
        <v>1299.692307692309</v>
      </c>
      <c r="AB56" s="538">
        <v>68.404858299595205</v>
      </c>
      <c r="AC56" s="529">
        <f t="shared" si="9"/>
        <v>21</v>
      </c>
      <c r="AD56" s="653"/>
      <c r="AE56" s="529">
        <v>19</v>
      </c>
      <c r="AF56" s="538">
        <v>1332.2033898305094</v>
      </c>
      <c r="AG56" s="538">
        <v>70.115967885816289</v>
      </c>
      <c r="AH56" s="529">
        <f t="shared" si="10"/>
        <v>19</v>
      </c>
      <c r="AI56" s="653"/>
      <c r="AJ56" s="529">
        <v>19</v>
      </c>
      <c r="AK56" s="538">
        <v>1310.4761904761917</v>
      </c>
      <c r="AL56" s="538">
        <v>68.972431077694296</v>
      </c>
      <c r="AM56" s="529">
        <f t="shared" si="11"/>
        <v>20</v>
      </c>
      <c r="AN56" s="653"/>
      <c r="AO56" s="529">
        <v>19</v>
      </c>
      <c r="AP56" s="538">
        <v>1310.4761904761917</v>
      </c>
      <c r="AQ56" s="538">
        <v>68.972431077694296</v>
      </c>
      <c r="AR56" s="529">
        <f t="shared" si="12"/>
        <v>20</v>
      </c>
      <c r="AS56" s="653"/>
      <c r="AT56" s="529">
        <v>19</v>
      </c>
      <c r="AU56" s="538">
        <v>1339.9999999999989</v>
      </c>
      <c r="AV56" s="538">
        <v>70.526315789473628</v>
      </c>
      <c r="AW56" s="529">
        <f t="shared" si="13"/>
        <v>18</v>
      </c>
      <c r="AX56" s="653"/>
      <c r="AZ56" s="377" t="e">
        <f t="shared" si="14"/>
        <v>#N/A</v>
      </c>
      <c r="BA56" s="653"/>
    </row>
    <row r="57" spans="2:53">
      <c r="B57" s="635"/>
      <c r="C57" s="529">
        <v>16</v>
      </c>
      <c r="D57" s="416" t="s">
        <v>562</v>
      </c>
      <c r="E57" s="531">
        <v>18</v>
      </c>
      <c r="F57" s="416">
        <v>1500</v>
      </c>
      <c r="G57" s="363">
        <v>83.3</v>
      </c>
      <c r="H57" s="678"/>
      <c r="I57" s="531">
        <f t="shared" si="15"/>
        <v>18</v>
      </c>
      <c r="J57" s="531">
        <f t="shared" si="15"/>
        <v>1386.3985103132168</v>
      </c>
      <c r="K57" s="363">
        <f t="shared" si="15"/>
        <v>77.022139461845399</v>
      </c>
      <c r="L57" s="615"/>
      <c r="M57" s="531">
        <f>RANK(K57, K$42:$K$71)</f>
        <v>16</v>
      </c>
      <c r="N57" s="624"/>
      <c r="O57" s="624"/>
      <c r="P57" s="529">
        <v>18</v>
      </c>
      <c r="Q57" s="538">
        <v>1404.3750000000016</v>
      </c>
      <c r="R57" s="538">
        <v>78.020833333333428</v>
      </c>
      <c r="S57" s="529">
        <f t="shared" si="7"/>
        <v>14</v>
      </c>
      <c r="T57" s="653"/>
      <c r="U57" s="529">
        <v>18</v>
      </c>
      <c r="V57" s="538">
        <v>1405.0000000000014</v>
      </c>
      <c r="W57" s="538">
        <v>78.055555555555628</v>
      </c>
      <c r="X57" s="529">
        <f t="shared" si="8"/>
        <v>16</v>
      </c>
      <c r="Y57" s="653"/>
      <c r="Z57" s="529">
        <v>18</v>
      </c>
      <c r="AA57" s="538">
        <v>1374.3750000000016</v>
      </c>
      <c r="AB57" s="538">
        <v>76.354166666666757</v>
      </c>
      <c r="AC57" s="529">
        <f t="shared" si="9"/>
        <v>15</v>
      </c>
      <c r="AD57" s="653"/>
      <c r="AE57" s="529">
        <v>18</v>
      </c>
      <c r="AF57" s="538">
        <v>1393.2000000000003</v>
      </c>
      <c r="AG57" s="538">
        <v>77.40000000000002</v>
      </c>
      <c r="AH57" s="529">
        <f t="shared" si="10"/>
        <v>15</v>
      </c>
      <c r="AI57" s="653"/>
      <c r="AJ57" s="529">
        <v>18</v>
      </c>
      <c r="AK57" s="538">
        <v>1371.2727272727282</v>
      </c>
      <c r="AL57" s="538">
        <v>76.18181818181823</v>
      </c>
      <c r="AM57" s="529">
        <f t="shared" si="11"/>
        <v>16</v>
      </c>
      <c r="AN57" s="653"/>
      <c r="AO57" s="529">
        <v>18</v>
      </c>
      <c r="AP57" s="538">
        <v>1371.2727272727282</v>
      </c>
      <c r="AQ57" s="538">
        <v>76.18181818181823</v>
      </c>
      <c r="AR57" s="529">
        <f t="shared" si="12"/>
        <v>16</v>
      </c>
      <c r="AS57" s="653"/>
      <c r="AT57" s="529">
        <v>18</v>
      </c>
      <c r="AU57" s="538">
        <v>1385.294117647057</v>
      </c>
      <c r="AV57" s="538">
        <v>76.960784313725384</v>
      </c>
      <c r="AW57" s="529">
        <f t="shared" si="13"/>
        <v>15</v>
      </c>
      <c r="AX57" s="653"/>
      <c r="AZ57" s="377" t="e">
        <f t="shared" si="14"/>
        <v>#N/A</v>
      </c>
      <c r="BA57" s="653"/>
    </row>
    <row r="58" spans="2:53">
      <c r="B58" s="635"/>
      <c r="C58" s="529">
        <v>17</v>
      </c>
      <c r="D58" s="416" t="s">
        <v>428</v>
      </c>
      <c r="E58" s="531">
        <v>17</v>
      </c>
      <c r="F58" s="416">
        <v>1440</v>
      </c>
      <c r="G58" s="363">
        <v>84.7</v>
      </c>
      <c r="H58" s="678"/>
      <c r="I58" s="531">
        <f t="shared" si="15"/>
        <v>17</v>
      </c>
      <c r="J58" s="531">
        <f t="shared" si="15"/>
        <v>1303.6597851303493</v>
      </c>
      <c r="K58" s="363">
        <f t="shared" si="15"/>
        <v>76.685869713549977</v>
      </c>
      <c r="L58" s="615"/>
      <c r="M58" s="531">
        <f>RANK(K58, K$42:$K$71)</f>
        <v>17</v>
      </c>
      <c r="N58" s="624"/>
      <c r="O58" s="624"/>
      <c r="P58" s="529">
        <v>17</v>
      </c>
      <c r="Q58" s="538">
        <v>1371.4285714285711</v>
      </c>
      <c r="R58" s="538">
        <v>80.672268907563009</v>
      </c>
      <c r="S58" s="529">
        <f t="shared" si="7"/>
        <v>9</v>
      </c>
      <c r="T58" s="653"/>
      <c r="U58" s="529">
        <v>17</v>
      </c>
      <c r="V58" s="538">
        <v>1222.9787234042553</v>
      </c>
      <c r="W58" s="538">
        <v>71.93992490613266</v>
      </c>
      <c r="X58" s="529">
        <f t="shared" si="8"/>
        <v>18</v>
      </c>
      <c r="Y58" s="653"/>
      <c r="Z58" s="529">
        <v>17</v>
      </c>
      <c r="AA58" s="538">
        <v>1195.4999999999995</v>
      </c>
      <c r="AB58" s="538">
        <v>70.323529411764682</v>
      </c>
      <c r="AC58" s="529">
        <f t="shared" si="9"/>
        <v>19</v>
      </c>
      <c r="AD58" s="653"/>
      <c r="AE58" s="529">
        <v>17</v>
      </c>
      <c r="AF58" s="538">
        <v>1324.7368421052622</v>
      </c>
      <c r="AG58" s="538">
        <v>77.925696594427194</v>
      </c>
      <c r="AH58" s="529">
        <f t="shared" si="10"/>
        <v>13</v>
      </c>
      <c r="AI58" s="653"/>
      <c r="AJ58" s="529">
        <v>17</v>
      </c>
      <c r="AK58" s="538">
        <v>1326.1538461538455</v>
      </c>
      <c r="AL58" s="538">
        <v>78.009049773755621</v>
      </c>
      <c r="AM58" s="529">
        <f t="shared" si="11"/>
        <v>14</v>
      </c>
      <c r="AN58" s="653"/>
      <c r="AO58" s="529">
        <v>17</v>
      </c>
      <c r="AP58" s="538">
        <v>1326.1538461538455</v>
      </c>
      <c r="AQ58" s="538">
        <v>78.009049773755621</v>
      </c>
      <c r="AR58" s="529">
        <f t="shared" si="12"/>
        <v>14</v>
      </c>
      <c r="AS58" s="653"/>
      <c r="AT58" s="529">
        <v>17</v>
      </c>
      <c r="AU58" s="538">
        <v>1358.6666666666667</v>
      </c>
      <c r="AV58" s="538">
        <v>79.921568627450981</v>
      </c>
      <c r="AW58" s="529">
        <f t="shared" si="13"/>
        <v>11</v>
      </c>
      <c r="AX58" s="653"/>
      <c r="AZ58" s="377" t="e">
        <f t="shared" si="14"/>
        <v>#N/A</v>
      </c>
      <c r="BA58" s="653"/>
    </row>
    <row r="59" spans="2:53">
      <c r="B59" s="635"/>
      <c r="C59" s="529">
        <v>18</v>
      </c>
      <c r="D59" s="416" t="s">
        <v>697</v>
      </c>
      <c r="E59" s="531">
        <v>16</v>
      </c>
      <c r="F59" s="416">
        <v>1636</v>
      </c>
      <c r="G59" s="363">
        <v>102.3</v>
      </c>
      <c r="H59" s="678"/>
      <c r="I59" s="531">
        <f t="shared" si="15"/>
        <v>16</v>
      </c>
      <c r="J59" s="531">
        <f t="shared" si="15"/>
        <v>1420.8339094399598</v>
      </c>
      <c r="K59" s="363">
        <f t="shared" si="15"/>
        <v>88.802119339997489</v>
      </c>
      <c r="L59" s="615"/>
      <c r="M59" s="531">
        <f>RANK(K59, K$42:$K$71)</f>
        <v>4</v>
      </c>
      <c r="N59" s="624"/>
      <c r="O59" s="624"/>
      <c r="P59" s="529">
        <v>16</v>
      </c>
      <c r="Q59" s="538">
        <v>1446.0000000000005</v>
      </c>
      <c r="R59" s="538">
        <v>90.375000000000028</v>
      </c>
      <c r="S59" s="529">
        <f t="shared" si="7"/>
        <v>3</v>
      </c>
      <c r="T59" s="653"/>
      <c r="U59" s="529">
        <v>16</v>
      </c>
      <c r="V59" s="538">
        <v>1428.0000000000005</v>
      </c>
      <c r="W59" s="538">
        <v>89.250000000000028</v>
      </c>
      <c r="X59" s="529">
        <f t="shared" si="8"/>
        <v>3</v>
      </c>
      <c r="Y59" s="653"/>
      <c r="Z59" s="529">
        <v>16</v>
      </c>
      <c r="AA59" s="538">
        <v>1417.8947368421043</v>
      </c>
      <c r="AB59" s="538">
        <v>88.618421052631518</v>
      </c>
      <c r="AC59" s="529">
        <f t="shared" si="9"/>
        <v>4</v>
      </c>
      <c r="AD59" s="653"/>
      <c r="AE59" s="529">
        <v>16</v>
      </c>
      <c r="AF59" s="538">
        <v>1399.024390243902</v>
      </c>
      <c r="AG59" s="538">
        <v>87.439024390243873</v>
      </c>
      <c r="AH59" s="529">
        <f t="shared" si="10"/>
        <v>4</v>
      </c>
      <c r="AI59" s="653"/>
      <c r="AJ59" s="529">
        <v>16</v>
      </c>
      <c r="AK59" s="538">
        <v>1430.6666666666667</v>
      </c>
      <c r="AL59" s="538">
        <v>89.416666666666671</v>
      </c>
      <c r="AM59" s="529">
        <f t="shared" si="11"/>
        <v>3</v>
      </c>
      <c r="AN59" s="653"/>
      <c r="AO59" s="529">
        <v>16</v>
      </c>
      <c r="AP59" s="538">
        <v>1430.6666666666667</v>
      </c>
      <c r="AQ59" s="538">
        <v>89.416666666666671</v>
      </c>
      <c r="AR59" s="529">
        <f t="shared" si="12"/>
        <v>3</v>
      </c>
      <c r="AS59" s="653"/>
      <c r="AT59" s="529">
        <v>16</v>
      </c>
      <c r="AU59" s="538">
        <v>1393.5849056603781</v>
      </c>
      <c r="AV59" s="538">
        <v>87.099056603773633</v>
      </c>
      <c r="AW59" s="529">
        <f t="shared" si="13"/>
        <v>5</v>
      </c>
      <c r="AX59" s="653"/>
      <c r="AZ59" s="377" t="e">
        <f t="shared" si="14"/>
        <v>#N/A</v>
      </c>
      <c r="BA59" s="653"/>
    </row>
    <row r="60" spans="2:53">
      <c r="B60" s="635"/>
      <c r="C60" s="529">
        <v>19</v>
      </c>
      <c r="D60" s="416" t="s">
        <v>726</v>
      </c>
      <c r="E60" s="531">
        <v>16</v>
      </c>
      <c r="F60" s="416">
        <v>1500</v>
      </c>
      <c r="G60" s="363">
        <v>93.8</v>
      </c>
      <c r="H60" s="678"/>
      <c r="I60" s="531">
        <f t="shared" si="15"/>
        <v>16.571428571428573</v>
      </c>
      <c r="J60" s="531">
        <f t="shared" si="15"/>
        <v>1362.4394568896043</v>
      </c>
      <c r="K60" s="363">
        <f t="shared" si="15"/>
        <v>82.300594868804438</v>
      </c>
      <c r="L60" s="615"/>
      <c r="M60" s="531">
        <f>RANK(K60, K$42:$K$71)</f>
        <v>9</v>
      </c>
      <c r="N60" s="624"/>
      <c r="O60" s="624"/>
      <c r="P60" s="529">
        <v>17</v>
      </c>
      <c r="Q60" s="538">
        <v>1267.8688524590175</v>
      </c>
      <c r="R60" s="538">
        <v>74.580520732883386</v>
      </c>
      <c r="S60" s="529">
        <f t="shared" si="7"/>
        <v>16</v>
      </c>
      <c r="T60" s="653"/>
      <c r="U60" s="529">
        <v>17</v>
      </c>
      <c r="V60" s="538">
        <v>1417.7777777777785</v>
      </c>
      <c r="W60" s="538">
        <v>83.398692810457561</v>
      </c>
      <c r="X60" s="529">
        <f t="shared" si="8"/>
        <v>10</v>
      </c>
      <c r="Y60" s="653"/>
      <c r="Z60" s="529">
        <v>17</v>
      </c>
      <c r="AA60" s="538">
        <v>1355.744680851064</v>
      </c>
      <c r="AB60" s="538">
        <v>79.749687108886121</v>
      </c>
      <c r="AC60" s="529">
        <f t="shared" si="9"/>
        <v>12</v>
      </c>
      <c r="AD60" s="653"/>
      <c r="AE60" s="529">
        <v>16</v>
      </c>
      <c r="AF60" s="538">
        <v>1349.3617021276598</v>
      </c>
      <c r="AG60" s="538">
        <v>84.335106382978736</v>
      </c>
      <c r="AH60" s="529">
        <f t="shared" si="10"/>
        <v>7</v>
      </c>
      <c r="AI60" s="653"/>
      <c r="AJ60" s="529">
        <v>16</v>
      </c>
      <c r="AK60" s="538">
        <v>1388.5714285714289</v>
      </c>
      <c r="AL60" s="538">
        <v>86.785714285714306</v>
      </c>
      <c r="AM60" s="529">
        <f t="shared" si="11"/>
        <v>6</v>
      </c>
      <c r="AN60" s="653"/>
      <c r="AO60" s="529">
        <v>17</v>
      </c>
      <c r="AP60" s="538">
        <v>1388.5714285714289</v>
      </c>
      <c r="AQ60" s="538">
        <v>81.680672268907585</v>
      </c>
      <c r="AR60" s="529">
        <f t="shared" si="12"/>
        <v>9</v>
      </c>
      <c r="AS60" s="653"/>
      <c r="AT60" s="529">
        <v>16</v>
      </c>
      <c r="AU60" s="538">
        <v>1369.1803278688537</v>
      </c>
      <c r="AV60" s="538">
        <v>85.573770491803359</v>
      </c>
      <c r="AW60" s="529">
        <f t="shared" si="13"/>
        <v>7</v>
      </c>
      <c r="AX60" s="653"/>
      <c r="AZ60" s="377" t="e">
        <f t="shared" si="14"/>
        <v>#N/A</v>
      </c>
      <c r="BA60" s="653"/>
    </row>
    <row r="61" spans="2:53">
      <c r="B61" s="635"/>
      <c r="C61" s="529">
        <v>20</v>
      </c>
      <c r="D61" s="416" t="s">
        <v>727</v>
      </c>
      <c r="E61" s="531">
        <v>16</v>
      </c>
      <c r="F61" s="416">
        <v>1500</v>
      </c>
      <c r="G61" s="363">
        <v>93.8</v>
      </c>
      <c r="H61" s="678"/>
      <c r="I61" s="531">
        <f t="shared" si="15"/>
        <v>16.142857142857142</v>
      </c>
      <c r="J61" s="531">
        <f t="shared" si="15"/>
        <v>1320.1365450605554</v>
      </c>
      <c r="K61" s="363">
        <f t="shared" si="15"/>
        <v>81.854013637423506</v>
      </c>
      <c r="L61" s="615"/>
      <c r="M61" s="531">
        <f>RANK(K61, K$42:$K$71)</f>
        <v>10</v>
      </c>
      <c r="N61" s="624"/>
      <c r="O61" s="624"/>
      <c r="P61" s="529">
        <v>17</v>
      </c>
      <c r="Q61" s="538">
        <v>1246.206896551724</v>
      </c>
      <c r="R61" s="538">
        <v>73.306288032454347</v>
      </c>
      <c r="S61" s="529">
        <f t="shared" si="7"/>
        <v>17</v>
      </c>
      <c r="T61" s="653"/>
      <c r="U61" s="529">
        <v>16</v>
      </c>
      <c r="V61" s="538">
        <v>1367.5609756097556</v>
      </c>
      <c r="W61" s="538">
        <v>85.472560975609724</v>
      </c>
      <c r="X61" s="529">
        <f t="shared" si="8"/>
        <v>8</v>
      </c>
      <c r="Y61" s="653"/>
      <c r="Z61" s="529">
        <v>16</v>
      </c>
      <c r="AA61" s="538">
        <v>1319.9999999999989</v>
      </c>
      <c r="AB61" s="538">
        <v>82.499999999999929</v>
      </c>
      <c r="AC61" s="529">
        <f t="shared" si="9"/>
        <v>8</v>
      </c>
      <c r="AD61" s="653"/>
      <c r="AE61" s="529">
        <v>16</v>
      </c>
      <c r="AF61" s="538">
        <v>1326.6666666666656</v>
      </c>
      <c r="AG61" s="538">
        <v>82.9166666666666</v>
      </c>
      <c r="AH61" s="529">
        <f t="shared" si="10"/>
        <v>8</v>
      </c>
      <c r="AI61" s="653"/>
      <c r="AJ61" s="529">
        <v>16</v>
      </c>
      <c r="AK61" s="538">
        <v>1326.7499999999995</v>
      </c>
      <c r="AL61" s="538">
        <v>82.921874999999972</v>
      </c>
      <c r="AM61" s="529">
        <f t="shared" si="11"/>
        <v>9</v>
      </c>
      <c r="AN61" s="653"/>
      <c r="AO61" s="529">
        <v>16</v>
      </c>
      <c r="AP61" s="538">
        <v>1326.7499999999995</v>
      </c>
      <c r="AQ61" s="538">
        <v>82.921874999999972</v>
      </c>
      <c r="AR61" s="529">
        <f t="shared" si="12"/>
        <v>8</v>
      </c>
      <c r="AS61" s="653"/>
      <c r="AT61" s="529">
        <v>16</v>
      </c>
      <c r="AU61" s="538">
        <v>1327.0212765957449</v>
      </c>
      <c r="AV61" s="538">
        <v>82.938829787234056</v>
      </c>
      <c r="AW61" s="529">
        <f t="shared" si="13"/>
        <v>9</v>
      </c>
      <c r="AX61" s="653"/>
      <c r="AZ61" s="377" t="e">
        <f t="shared" si="14"/>
        <v>#N/A</v>
      </c>
      <c r="BA61" s="653"/>
    </row>
    <row r="62" spans="2:53">
      <c r="B62" s="635"/>
      <c r="C62" s="529">
        <v>21</v>
      </c>
      <c r="D62" s="416" t="s">
        <v>783</v>
      </c>
      <c r="E62" s="531">
        <v>16</v>
      </c>
      <c r="F62" s="416">
        <v>1440</v>
      </c>
      <c r="G62" s="363">
        <v>90</v>
      </c>
      <c r="H62" s="678"/>
      <c r="I62" s="531">
        <f t="shared" si="15"/>
        <v>15.714285714285714</v>
      </c>
      <c r="J62" s="531">
        <f t="shared" si="15"/>
        <v>1301.6501580910099</v>
      </c>
      <c r="K62" s="363">
        <f t="shared" si="15"/>
        <v>82.930712253100495</v>
      </c>
      <c r="L62" s="615"/>
      <c r="M62" s="531">
        <f>RANK(K62, K$42:$K$71)</f>
        <v>8</v>
      </c>
      <c r="N62" s="624"/>
      <c r="O62" s="624"/>
      <c r="P62" s="529">
        <v>16</v>
      </c>
      <c r="Q62" s="538">
        <v>1310.5263157894728</v>
      </c>
      <c r="R62" s="538">
        <v>81.907894736842053</v>
      </c>
      <c r="S62" s="529">
        <f t="shared" si="7"/>
        <v>8</v>
      </c>
      <c r="T62" s="653"/>
      <c r="U62" s="529">
        <v>15</v>
      </c>
      <c r="V62" s="538">
        <v>1312.6829268292679</v>
      </c>
      <c r="W62" s="538">
        <v>87.512195121951194</v>
      </c>
      <c r="X62" s="529">
        <f t="shared" si="8"/>
        <v>5</v>
      </c>
      <c r="Y62" s="653"/>
      <c r="Z62" s="529">
        <v>15</v>
      </c>
      <c r="AA62" s="538">
        <v>1337.6470588235277</v>
      </c>
      <c r="AB62" s="538">
        <v>89.176470588235176</v>
      </c>
      <c r="AC62" s="529">
        <f t="shared" si="9"/>
        <v>3</v>
      </c>
      <c r="AD62" s="653"/>
      <c r="AE62" s="529">
        <v>16</v>
      </c>
      <c r="AF62" s="538">
        <v>1318.2857142857131</v>
      </c>
      <c r="AG62" s="538">
        <v>82.392857142857068</v>
      </c>
      <c r="AH62" s="529">
        <f t="shared" si="10"/>
        <v>9</v>
      </c>
      <c r="AI62" s="653"/>
      <c r="AJ62" s="529">
        <v>16</v>
      </c>
      <c r="AK62" s="538">
        <v>1285.4545454545439</v>
      </c>
      <c r="AL62" s="538">
        <v>80.340909090908994</v>
      </c>
      <c r="AM62" s="529">
        <f t="shared" si="11"/>
        <v>10</v>
      </c>
      <c r="AN62" s="653"/>
      <c r="AO62" s="529">
        <v>16</v>
      </c>
      <c r="AP62" s="538">
        <v>1285.4545454545439</v>
      </c>
      <c r="AQ62" s="538">
        <v>80.340909090908994</v>
      </c>
      <c r="AR62" s="529">
        <f t="shared" si="12"/>
        <v>10</v>
      </c>
      <c r="AS62" s="653"/>
      <c r="AT62" s="529">
        <v>16</v>
      </c>
      <c r="AU62" s="538">
        <v>1261.4999999999995</v>
      </c>
      <c r="AV62" s="538">
        <v>78.843749999999972</v>
      </c>
      <c r="AW62" s="529">
        <f t="shared" si="13"/>
        <v>12</v>
      </c>
      <c r="AX62" s="653"/>
      <c r="AZ62" s="377" t="e">
        <f t="shared" si="14"/>
        <v>#N/A</v>
      </c>
      <c r="BA62" s="653"/>
    </row>
    <row r="63" spans="2:53">
      <c r="B63" s="635"/>
      <c r="C63" s="529">
        <v>22</v>
      </c>
      <c r="D63" s="416" t="s">
        <v>785</v>
      </c>
      <c r="E63" s="531">
        <v>17</v>
      </c>
      <c r="F63" s="416">
        <v>1440</v>
      </c>
      <c r="G63" s="363">
        <v>84.705882352941174</v>
      </c>
      <c r="H63" s="678"/>
      <c r="I63" s="531">
        <f t="shared" si="15"/>
        <v>17</v>
      </c>
      <c r="J63" s="531">
        <f t="shared" si="15"/>
        <v>1320.4100473001233</v>
      </c>
      <c r="K63" s="363">
        <f t="shared" si="15"/>
        <v>77.67117925294842</v>
      </c>
      <c r="L63" s="615"/>
      <c r="M63" s="531">
        <f>RANK(K63, K$42:$K$71)</f>
        <v>15</v>
      </c>
      <c r="N63" s="624"/>
      <c r="O63" s="624"/>
      <c r="P63" s="529">
        <v>17</v>
      </c>
      <c r="Q63" s="538">
        <v>1314.7826086956522</v>
      </c>
      <c r="R63" s="538">
        <v>77.340153452685428</v>
      </c>
      <c r="S63" s="529">
        <f t="shared" si="7"/>
        <v>15</v>
      </c>
      <c r="T63" s="653"/>
      <c r="U63" s="529">
        <v>17</v>
      </c>
      <c r="V63" s="538">
        <v>1331.1627906976742</v>
      </c>
      <c r="W63" s="538">
        <v>78.303693570451415</v>
      </c>
      <c r="X63" s="529">
        <f t="shared" si="8"/>
        <v>15</v>
      </c>
      <c r="Y63" s="653"/>
      <c r="Z63" s="529">
        <v>17</v>
      </c>
      <c r="AA63" s="538">
        <v>1289.1891891891883</v>
      </c>
      <c r="AB63" s="538">
        <v>75.834658187599302</v>
      </c>
      <c r="AC63" s="529">
        <f t="shared" si="9"/>
        <v>16</v>
      </c>
      <c r="AD63" s="653"/>
      <c r="AE63" s="529">
        <v>17</v>
      </c>
      <c r="AF63" s="538">
        <v>1343.6363636363619</v>
      </c>
      <c r="AG63" s="538">
        <v>79.037433155080109</v>
      </c>
      <c r="AH63" s="529">
        <f t="shared" si="10"/>
        <v>12</v>
      </c>
      <c r="AI63" s="653"/>
      <c r="AJ63" s="529">
        <v>17</v>
      </c>
      <c r="AK63" s="538">
        <v>1328.5714285714273</v>
      </c>
      <c r="AL63" s="538">
        <v>78.151260504201602</v>
      </c>
      <c r="AM63" s="529">
        <f t="shared" si="11"/>
        <v>13</v>
      </c>
      <c r="AN63" s="653"/>
      <c r="AO63" s="529">
        <v>17</v>
      </c>
      <c r="AP63" s="538">
        <v>1328.5714285714273</v>
      </c>
      <c r="AQ63" s="538">
        <v>78.151260504201602</v>
      </c>
      <c r="AR63" s="529">
        <f t="shared" si="12"/>
        <v>13</v>
      </c>
      <c r="AS63" s="653"/>
      <c r="AT63" s="529">
        <v>17</v>
      </c>
      <c r="AU63" s="538">
        <v>1306.9565217391305</v>
      </c>
      <c r="AV63" s="538">
        <v>76.879795396419439</v>
      </c>
      <c r="AW63" s="529">
        <f t="shared" si="13"/>
        <v>16</v>
      </c>
      <c r="AX63" s="653"/>
      <c r="AZ63" s="377" t="e">
        <f t="shared" si="14"/>
        <v>#N/A</v>
      </c>
      <c r="BA63" s="653"/>
    </row>
    <row r="64" spans="2:53">
      <c r="B64" s="635"/>
      <c r="C64" s="529">
        <v>23</v>
      </c>
      <c r="D64" s="416" t="s">
        <v>786</v>
      </c>
      <c r="E64" s="531">
        <v>19</v>
      </c>
      <c r="F64" s="416">
        <v>1440</v>
      </c>
      <c r="G64" s="363">
        <v>75.78947368421052</v>
      </c>
      <c r="H64" s="678"/>
      <c r="I64" s="531">
        <f t="shared" si="15"/>
        <v>19</v>
      </c>
      <c r="J64" s="531">
        <f t="shared" si="15"/>
        <v>1323.2637811139045</v>
      </c>
      <c r="K64" s="363">
        <f t="shared" si="15"/>
        <v>69.645462163889704</v>
      </c>
      <c r="L64" s="615"/>
      <c r="M64" s="531">
        <f>RANK(K64, K$42:$K$71)</f>
        <v>21</v>
      </c>
      <c r="N64" s="624"/>
      <c r="O64" s="624"/>
      <c r="P64" s="529">
        <v>19</v>
      </c>
      <c r="Q64" s="538">
        <v>1354.4117647058806</v>
      </c>
      <c r="R64" s="538">
        <v>71.284829721362144</v>
      </c>
      <c r="S64" s="529">
        <f t="shared" si="7"/>
        <v>20</v>
      </c>
      <c r="T64" s="653"/>
      <c r="U64" s="529">
        <v>19</v>
      </c>
      <c r="V64" s="538">
        <v>1310.2702702702693</v>
      </c>
      <c r="W64" s="538">
        <v>68.961593172119436</v>
      </c>
      <c r="X64" s="529">
        <f t="shared" si="8"/>
        <v>21</v>
      </c>
      <c r="Y64" s="653"/>
      <c r="Z64" s="529">
        <v>19</v>
      </c>
      <c r="AA64" s="538">
        <v>1314.2857142857156</v>
      </c>
      <c r="AB64" s="538">
        <v>69.172932330827138</v>
      </c>
      <c r="AC64" s="529">
        <f t="shared" si="9"/>
        <v>20</v>
      </c>
      <c r="AD64" s="653"/>
      <c r="AE64" s="529">
        <v>19</v>
      </c>
      <c r="AF64" s="538">
        <v>1341.0526315789484</v>
      </c>
      <c r="AG64" s="538">
        <v>70.581717451523602</v>
      </c>
      <c r="AH64" s="529">
        <f t="shared" si="10"/>
        <v>18</v>
      </c>
      <c r="AI64" s="653"/>
      <c r="AJ64" s="529">
        <v>19</v>
      </c>
      <c r="AK64" s="538">
        <v>1333.9130434782594</v>
      </c>
      <c r="AL64" s="538">
        <v>70.205949656750491</v>
      </c>
      <c r="AM64" s="529">
        <f t="shared" si="11"/>
        <v>19</v>
      </c>
      <c r="AN64" s="653"/>
      <c r="AO64" s="529">
        <v>19</v>
      </c>
      <c r="AP64" s="538">
        <v>1333.9130434782594</v>
      </c>
      <c r="AQ64" s="538">
        <v>70.205949656750491</v>
      </c>
      <c r="AR64" s="529">
        <f t="shared" si="12"/>
        <v>19</v>
      </c>
      <c r="AS64" s="653"/>
      <c r="AT64" s="529">
        <v>19</v>
      </c>
      <c r="AU64" s="538">
        <v>1274.9999999999991</v>
      </c>
      <c r="AV64" s="538">
        <v>67.105263157894683</v>
      </c>
      <c r="AW64" s="529">
        <f t="shared" si="13"/>
        <v>20</v>
      </c>
      <c r="AX64" s="653"/>
      <c r="AZ64" s="377" t="e">
        <f t="shared" si="14"/>
        <v>#N/A</v>
      </c>
      <c r="BA64" s="653"/>
    </row>
    <row r="65" spans="2:53">
      <c r="B65" s="635"/>
      <c r="C65" s="529">
        <v>24</v>
      </c>
      <c r="D65" s="416" t="s">
        <v>844</v>
      </c>
      <c r="E65" s="531">
        <v>21</v>
      </c>
      <c r="F65" s="416">
        <v>1440</v>
      </c>
      <c r="G65" s="363">
        <v>75</v>
      </c>
      <c r="H65" s="678"/>
      <c r="I65" s="531">
        <f t="shared" si="15"/>
        <v>21</v>
      </c>
      <c r="J65" s="531">
        <f t="shared" si="15"/>
        <v>1155.8164530839044</v>
      </c>
      <c r="K65" s="363">
        <f t="shared" si="15"/>
        <v>55.038878718281175</v>
      </c>
      <c r="L65" s="615"/>
      <c r="M65" s="531">
        <f>RANK(K65, K$42:$K$71)</f>
        <v>24</v>
      </c>
      <c r="N65" s="624"/>
      <c r="O65" s="624"/>
      <c r="P65" s="529">
        <v>21</v>
      </c>
      <c r="Q65" s="538">
        <v>1179.0000000000005</v>
      </c>
      <c r="R65" s="538">
        <v>56.142857142857167</v>
      </c>
      <c r="S65" s="529">
        <f t="shared" si="7"/>
        <v>24</v>
      </c>
      <c r="T65" s="653"/>
      <c r="U65" s="529">
        <v>21</v>
      </c>
      <c r="V65" s="538">
        <v>1201.818181818182</v>
      </c>
      <c r="W65" s="538">
        <v>57.229437229437238</v>
      </c>
      <c r="X65" s="529">
        <f t="shared" si="8"/>
        <v>24</v>
      </c>
      <c r="Y65" s="653"/>
      <c r="Z65" s="529">
        <v>21</v>
      </c>
      <c r="AA65" s="538">
        <v>1138.4615384615379</v>
      </c>
      <c r="AB65" s="538">
        <v>54.212454212454183</v>
      </c>
      <c r="AC65" s="529">
        <f t="shared" si="9"/>
        <v>24</v>
      </c>
      <c r="AD65" s="653"/>
      <c r="AE65" s="529">
        <v>21</v>
      </c>
      <c r="AF65" s="538">
        <v>1156.9811320754725</v>
      </c>
      <c r="AG65" s="538">
        <v>55.094339622641549</v>
      </c>
      <c r="AH65" s="529">
        <f t="shared" si="10"/>
        <v>23</v>
      </c>
      <c r="AI65" s="653"/>
      <c r="AJ65" s="529">
        <v>21</v>
      </c>
      <c r="AK65" s="538">
        <v>1143.103448275863</v>
      </c>
      <c r="AL65" s="538">
        <v>54.433497536945858</v>
      </c>
      <c r="AM65" s="529">
        <f t="shared" si="11"/>
        <v>23</v>
      </c>
      <c r="AN65" s="653"/>
      <c r="AO65" s="529">
        <v>21</v>
      </c>
      <c r="AP65" s="538">
        <v>1143.103448275863</v>
      </c>
      <c r="AQ65" s="538">
        <v>54.433497536945858</v>
      </c>
      <c r="AR65" s="529">
        <f t="shared" si="12"/>
        <v>23</v>
      </c>
      <c r="AS65" s="653"/>
      <c r="AT65" s="529">
        <v>21</v>
      </c>
      <c r="AU65" s="538">
        <v>1128.2474226804127</v>
      </c>
      <c r="AV65" s="538">
        <v>53.726067746686319</v>
      </c>
      <c r="AW65" s="529">
        <f t="shared" si="13"/>
        <v>23</v>
      </c>
      <c r="AX65" s="653"/>
      <c r="AZ65" s="377" t="e">
        <f t="shared" si="14"/>
        <v>#N/A</v>
      </c>
      <c r="BA65" s="653"/>
    </row>
    <row r="66" spans="2:53">
      <c r="B66" s="635"/>
      <c r="C66" s="529">
        <v>25</v>
      </c>
      <c r="D66" s="416"/>
      <c r="E66" s="531"/>
      <c r="F66" s="416"/>
      <c r="G66" s="363"/>
      <c r="H66" s="678"/>
      <c r="I66" s="531" t="str">
        <f t="shared" si="15"/>
        <v>-</v>
      </c>
      <c r="J66" s="531" t="str">
        <f t="shared" si="15"/>
        <v>-</v>
      </c>
      <c r="K66" s="363" t="str">
        <f t="shared" si="15"/>
        <v>-</v>
      </c>
      <c r="L66" s="615"/>
      <c r="M66" s="531" t="e">
        <f>RANK(K66, K$42:$K$71)</f>
        <v>#VALUE!</v>
      </c>
      <c r="N66" s="624"/>
      <c r="O66" s="624"/>
      <c r="P66" s="529" t="s">
        <v>427</v>
      </c>
      <c r="Q66" s="538" t="s">
        <v>427</v>
      </c>
      <c r="R66" s="538" t="s">
        <v>427</v>
      </c>
      <c r="S66" s="529" t="e">
        <f t="shared" si="7"/>
        <v>#VALUE!</v>
      </c>
      <c r="T66" s="653"/>
      <c r="U66" s="529" t="s">
        <v>427</v>
      </c>
      <c r="V66" s="538" t="s">
        <v>427</v>
      </c>
      <c r="W66" s="538" t="s">
        <v>427</v>
      </c>
      <c r="X66" s="529" t="e">
        <f t="shared" si="8"/>
        <v>#VALUE!</v>
      </c>
      <c r="Y66" s="653"/>
      <c r="Z66" s="529" t="s">
        <v>427</v>
      </c>
      <c r="AA66" s="538" t="s">
        <v>427</v>
      </c>
      <c r="AB66" s="538" t="s">
        <v>427</v>
      </c>
      <c r="AC66" s="529" t="e">
        <f t="shared" si="9"/>
        <v>#VALUE!</v>
      </c>
      <c r="AD66" s="653"/>
      <c r="AE66" s="529" t="s">
        <v>427</v>
      </c>
      <c r="AF66" s="538" t="s">
        <v>427</v>
      </c>
      <c r="AG66" s="538" t="s">
        <v>427</v>
      </c>
      <c r="AH66" s="529" t="e">
        <f t="shared" si="10"/>
        <v>#VALUE!</v>
      </c>
      <c r="AI66" s="653"/>
      <c r="AJ66" s="529" t="s">
        <v>427</v>
      </c>
      <c r="AK66" s="538" t="s">
        <v>427</v>
      </c>
      <c r="AL66" s="538" t="s">
        <v>427</v>
      </c>
      <c r="AM66" s="529" t="e">
        <f t="shared" si="11"/>
        <v>#VALUE!</v>
      </c>
      <c r="AN66" s="653"/>
      <c r="AO66" s="529" t="s">
        <v>427</v>
      </c>
      <c r="AP66" s="538" t="s">
        <v>427</v>
      </c>
      <c r="AQ66" s="538" t="s">
        <v>427</v>
      </c>
      <c r="AR66" s="529" t="e">
        <f t="shared" si="12"/>
        <v>#VALUE!</v>
      </c>
      <c r="AS66" s="653"/>
      <c r="AT66" s="529" t="s">
        <v>427</v>
      </c>
      <c r="AU66" s="538" t="s">
        <v>427</v>
      </c>
      <c r="AV66" s="538" t="s">
        <v>427</v>
      </c>
      <c r="AW66" s="529" t="e">
        <f t="shared" si="13"/>
        <v>#VALUE!</v>
      </c>
      <c r="AX66" s="653"/>
      <c r="AZ66" s="377" t="e">
        <f t="shared" si="14"/>
        <v>#N/A</v>
      </c>
      <c r="BA66" s="653"/>
    </row>
    <row r="67" spans="2:53">
      <c r="B67" s="635"/>
      <c r="C67" s="529">
        <v>26</v>
      </c>
      <c r="D67" s="416"/>
      <c r="E67" s="531"/>
      <c r="F67" s="416"/>
      <c r="G67" s="363"/>
      <c r="H67" s="678"/>
      <c r="I67" s="531" t="str">
        <f t="shared" si="15"/>
        <v>-</v>
      </c>
      <c r="J67" s="531" t="str">
        <f t="shared" si="15"/>
        <v>-</v>
      </c>
      <c r="K67" s="363" t="str">
        <f t="shared" si="15"/>
        <v>-</v>
      </c>
      <c r="L67" s="615"/>
      <c r="M67" s="531" t="e">
        <f>RANK(K67, K$42:$K$71)</f>
        <v>#VALUE!</v>
      </c>
      <c r="N67" s="624"/>
      <c r="O67" s="624"/>
      <c r="P67" s="529" t="s">
        <v>427</v>
      </c>
      <c r="Q67" s="538" t="s">
        <v>427</v>
      </c>
      <c r="R67" s="538" t="s">
        <v>427</v>
      </c>
      <c r="S67" s="529" t="e">
        <f t="shared" si="7"/>
        <v>#VALUE!</v>
      </c>
      <c r="T67" s="653"/>
      <c r="U67" s="529" t="s">
        <v>427</v>
      </c>
      <c r="V67" s="538" t="s">
        <v>427</v>
      </c>
      <c r="W67" s="538" t="s">
        <v>427</v>
      </c>
      <c r="X67" s="529" t="e">
        <f t="shared" si="8"/>
        <v>#VALUE!</v>
      </c>
      <c r="Y67" s="653"/>
      <c r="Z67" s="529" t="s">
        <v>427</v>
      </c>
      <c r="AA67" s="538" t="s">
        <v>427</v>
      </c>
      <c r="AB67" s="538" t="s">
        <v>427</v>
      </c>
      <c r="AC67" s="529" t="e">
        <f t="shared" si="9"/>
        <v>#VALUE!</v>
      </c>
      <c r="AD67" s="653"/>
      <c r="AE67" s="529" t="s">
        <v>427</v>
      </c>
      <c r="AF67" s="538" t="s">
        <v>427</v>
      </c>
      <c r="AG67" s="538" t="s">
        <v>427</v>
      </c>
      <c r="AH67" s="529" t="e">
        <f t="shared" si="10"/>
        <v>#VALUE!</v>
      </c>
      <c r="AI67" s="653"/>
      <c r="AJ67" s="529" t="s">
        <v>427</v>
      </c>
      <c r="AK67" s="538" t="s">
        <v>427</v>
      </c>
      <c r="AL67" s="538" t="s">
        <v>427</v>
      </c>
      <c r="AM67" s="529" t="e">
        <f t="shared" si="11"/>
        <v>#VALUE!</v>
      </c>
      <c r="AN67" s="653"/>
      <c r="AO67" s="529" t="s">
        <v>427</v>
      </c>
      <c r="AP67" s="538" t="s">
        <v>427</v>
      </c>
      <c r="AQ67" s="538" t="s">
        <v>427</v>
      </c>
      <c r="AR67" s="529" t="e">
        <f t="shared" si="12"/>
        <v>#VALUE!</v>
      </c>
      <c r="AS67" s="653"/>
      <c r="AT67" s="529" t="s">
        <v>427</v>
      </c>
      <c r="AU67" s="538" t="s">
        <v>427</v>
      </c>
      <c r="AV67" s="538" t="s">
        <v>427</v>
      </c>
      <c r="AW67" s="529" t="e">
        <f t="shared" si="13"/>
        <v>#VALUE!</v>
      </c>
      <c r="AX67" s="653"/>
      <c r="AZ67" s="377" t="e">
        <f t="shared" si="14"/>
        <v>#N/A</v>
      </c>
      <c r="BA67" s="653"/>
    </row>
    <row r="68" spans="2:53">
      <c r="B68" s="635"/>
      <c r="C68" s="529">
        <v>27</v>
      </c>
      <c r="D68" s="416"/>
      <c r="E68" s="531"/>
      <c r="F68" s="416"/>
      <c r="G68" s="363"/>
      <c r="H68" s="678"/>
      <c r="I68" s="531" t="str">
        <f t="shared" si="15"/>
        <v>-</v>
      </c>
      <c r="J68" s="531" t="str">
        <f t="shared" si="15"/>
        <v>-</v>
      </c>
      <c r="K68" s="363" t="str">
        <f t="shared" si="15"/>
        <v>-</v>
      </c>
      <c r="L68" s="615"/>
      <c r="M68" s="531" t="e">
        <f>RANK(K68, K$42:$K$71)</f>
        <v>#VALUE!</v>
      </c>
      <c r="N68" s="624"/>
      <c r="O68" s="624"/>
      <c r="P68" s="529" t="s">
        <v>427</v>
      </c>
      <c r="Q68" s="538" t="s">
        <v>427</v>
      </c>
      <c r="R68" s="538" t="s">
        <v>427</v>
      </c>
      <c r="S68" s="529" t="e">
        <f t="shared" si="7"/>
        <v>#VALUE!</v>
      </c>
      <c r="T68" s="653"/>
      <c r="U68" s="529" t="s">
        <v>427</v>
      </c>
      <c r="V68" s="538" t="s">
        <v>427</v>
      </c>
      <c r="W68" s="538" t="s">
        <v>427</v>
      </c>
      <c r="X68" s="529" t="e">
        <f t="shared" si="8"/>
        <v>#VALUE!</v>
      </c>
      <c r="Y68" s="653"/>
      <c r="Z68" s="529" t="s">
        <v>427</v>
      </c>
      <c r="AA68" s="538" t="s">
        <v>427</v>
      </c>
      <c r="AB68" s="538" t="s">
        <v>427</v>
      </c>
      <c r="AC68" s="529" t="e">
        <f t="shared" si="9"/>
        <v>#VALUE!</v>
      </c>
      <c r="AD68" s="653"/>
      <c r="AE68" s="529" t="s">
        <v>427</v>
      </c>
      <c r="AF68" s="538" t="s">
        <v>427</v>
      </c>
      <c r="AG68" s="538" t="s">
        <v>427</v>
      </c>
      <c r="AH68" s="529" t="e">
        <f t="shared" si="10"/>
        <v>#VALUE!</v>
      </c>
      <c r="AI68" s="653"/>
      <c r="AJ68" s="529" t="s">
        <v>427</v>
      </c>
      <c r="AK68" s="538" t="s">
        <v>427</v>
      </c>
      <c r="AL68" s="538" t="s">
        <v>427</v>
      </c>
      <c r="AM68" s="529" t="e">
        <f t="shared" si="11"/>
        <v>#VALUE!</v>
      </c>
      <c r="AN68" s="653"/>
      <c r="AO68" s="529" t="s">
        <v>427</v>
      </c>
      <c r="AP68" s="538" t="s">
        <v>427</v>
      </c>
      <c r="AQ68" s="538" t="s">
        <v>427</v>
      </c>
      <c r="AR68" s="529" t="e">
        <f t="shared" si="12"/>
        <v>#VALUE!</v>
      </c>
      <c r="AS68" s="653"/>
      <c r="AT68" s="529" t="s">
        <v>427</v>
      </c>
      <c r="AU68" s="538" t="s">
        <v>427</v>
      </c>
      <c r="AV68" s="538" t="s">
        <v>427</v>
      </c>
      <c r="AW68" s="529" t="e">
        <f t="shared" si="13"/>
        <v>#VALUE!</v>
      </c>
      <c r="AX68" s="653"/>
      <c r="AZ68" s="377" t="e">
        <f t="shared" si="14"/>
        <v>#N/A</v>
      </c>
      <c r="BA68" s="653"/>
    </row>
    <row r="69" spans="2:53">
      <c r="B69" s="635"/>
      <c r="C69" s="529">
        <v>28</v>
      </c>
      <c r="D69" s="416"/>
      <c r="E69" s="531"/>
      <c r="F69" s="416"/>
      <c r="G69" s="363"/>
      <c r="H69" s="678"/>
      <c r="I69" s="531" t="str">
        <f t="shared" si="15"/>
        <v>-</v>
      </c>
      <c r="J69" s="531" t="str">
        <f t="shared" si="15"/>
        <v>-</v>
      </c>
      <c r="K69" s="363" t="str">
        <f t="shared" si="15"/>
        <v>-</v>
      </c>
      <c r="L69" s="615"/>
      <c r="M69" s="531" t="e">
        <f>RANK(K69, K$42:$K$71)</f>
        <v>#VALUE!</v>
      </c>
      <c r="N69" s="624"/>
      <c r="O69" s="624"/>
      <c r="P69" s="529" t="s">
        <v>427</v>
      </c>
      <c r="Q69" s="538" t="s">
        <v>427</v>
      </c>
      <c r="R69" s="538" t="s">
        <v>427</v>
      </c>
      <c r="S69" s="529" t="e">
        <f t="shared" si="7"/>
        <v>#VALUE!</v>
      </c>
      <c r="T69" s="653"/>
      <c r="U69" s="529" t="s">
        <v>427</v>
      </c>
      <c r="V69" s="538" t="s">
        <v>427</v>
      </c>
      <c r="W69" s="538" t="s">
        <v>427</v>
      </c>
      <c r="X69" s="529" t="e">
        <f t="shared" si="8"/>
        <v>#VALUE!</v>
      </c>
      <c r="Y69" s="653"/>
      <c r="Z69" s="529" t="s">
        <v>427</v>
      </c>
      <c r="AA69" s="538" t="s">
        <v>427</v>
      </c>
      <c r="AB69" s="538" t="s">
        <v>427</v>
      </c>
      <c r="AC69" s="529" t="e">
        <f t="shared" si="9"/>
        <v>#VALUE!</v>
      </c>
      <c r="AD69" s="653"/>
      <c r="AE69" s="529" t="s">
        <v>427</v>
      </c>
      <c r="AF69" s="538" t="s">
        <v>427</v>
      </c>
      <c r="AG69" s="538" t="s">
        <v>427</v>
      </c>
      <c r="AH69" s="529" t="e">
        <f t="shared" si="10"/>
        <v>#VALUE!</v>
      </c>
      <c r="AI69" s="653"/>
      <c r="AJ69" s="529" t="s">
        <v>427</v>
      </c>
      <c r="AK69" s="538" t="s">
        <v>427</v>
      </c>
      <c r="AL69" s="538" t="s">
        <v>427</v>
      </c>
      <c r="AM69" s="529" t="e">
        <f t="shared" si="11"/>
        <v>#VALUE!</v>
      </c>
      <c r="AN69" s="653"/>
      <c r="AO69" s="529" t="s">
        <v>427</v>
      </c>
      <c r="AP69" s="538" t="s">
        <v>427</v>
      </c>
      <c r="AQ69" s="538" t="s">
        <v>427</v>
      </c>
      <c r="AR69" s="529" t="e">
        <f t="shared" si="12"/>
        <v>#VALUE!</v>
      </c>
      <c r="AS69" s="653"/>
      <c r="AT69" s="529" t="s">
        <v>427</v>
      </c>
      <c r="AU69" s="538" t="s">
        <v>427</v>
      </c>
      <c r="AV69" s="538" t="s">
        <v>427</v>
      </c>
      <c r="AW69" s="529" t="e">
        <f t="shared" si="13"/>
        <v>#VALUE!</v>
      </c>
      <c r="AX69" s="653"/>
      <c r="AZ69" s="377" t="e">
        <f t="shared" si="14"/>
        <v>#N/A</v>
      </c>
      <c r="BA69" s="653"/>
    </row>
    <row r="70" spans="2:53">
      <c r="B70" s="635"/>
      <c r="C70" s="529">
        <v>29</v>
      </c>
      <c r="D70" s="416"/>
      <c r="E70" s="531"/>
      <c r="F70" s="416"/>
      <c r="G70" s="363"/>
      <c r="H70" s="678"/>
      <c r="I70" s="531" t="str">
        <f t="shared" si="15"/>
        <v>-</v>
      </c>
      <c r="J70" s="531" t="str">
        <f t="shared" si="15"/>
        <v>-</v>
      </c>
      <c r="K70" s="363" t="str">
        <f t="shared" si="15"/>
        <v>-</v>
      </c>
      <c r="L70" s="615"/>
      <c r="M70" s="531" t="e">
        <f>RANK(K70, K$42:$K$71)</f>
        <v>#VALUE!</v>
      </c>
      <c r="N70" s="624"/>
      <c r="O70" s="624"/>
      <c r="P70" s="529" t="s">
        <v>427</v>
      </c>
      <c r="Q70" s="538" t="s">
        <v>427</v>
      </c>
      <c r="R70" s="538" t="s">
        <v>427</v>
      </c>
      <c r="S70" s="529" t="e">
        <f t="shared" si="7"/>
        <v>#VALUE!</v>
      </c>
      <c r="T70" s="653"/>
      <c r="U70" s="529" t="s">
        <v>427</v>
      </c>
      <c r="V70" s="538" t="s">
        <v>427</v>
      </c>
      <c r="W70" s="538" t="s">
        <v>427</v>
      </c>
      <c r="X70" s="529" t="e">
        <f t="shared" si="8"/>
        <v>#VALUE!</v>
      </c>
      <c r="Y70" s="653"/>
      <c r="Z70" s="529" t="s">
        <v>427</v>
      </c>
      <c r="AA70" s="538" t="s">
        <v>427</v>
      </c>
      <c r="AB70" s="538" t="s">
        <v>427</v>
      </c>
      <c r="AC70" s="529" t="e">
        <f t="shared" si="9"/>
        <v>#VALUE!</v>
      </c>
      <c r="AD70" s="653"/>
      <c r="AE70" s="529" t="s">
        <v>427</v>
      </c>
      <c r="AF70" s="538" t="s">
        <v>427</v>
      </c>
      <c r="AG70" s="538" t="s">
        <v>427</v>
      </c>
      <c r="AH70" s="529" t="e">
        <f t="shared" si="10"/>
        <v>#VALUE!</v>
      </c>
      <c r="AI70" s="653"/>
      <c r="AJ70" s="529" t="s">
        <v>427</v>
      </c>
      <c r="AK70" s="538" t="s">
        <v>427</v>
      </c>
      <c r="AL70" s="538" t="s">
        <v>427</v>
      </c>
      <c r="AM70" s="529" t="e">
        <f t="shared" si="11"/>
        <v>#VALUE!</v>
      </c>
      <c r="AN70" s="653"/>
      <c r="AO70" s="529" t="s">
        <v>427</v>
      </c>
      <c r="AP70" s="538" t="s">
        <v>427</v>
      </c>
      <c r="AQ70" s="538" t="s">
        <v>427</v>
      </c>
      <c r="AR70" s="529" t="e">
        <f t="shared" si="12"/>
        <v>#VALUE!</v>
      </c>
      <c r="AS70" s="653"/>
      <c r="AT70" s="529" t="s">
        <v>427</v>
      </c>
      <c r="AU70" s="538" t="s">
        <v>427</v>
      </c>
      <c r="AV70" s="538" t="s">
        <v>427</v>
      </c>
      <c r="AW70" s="529" t="e">
        <f t="shared" si="13"/>
        <v>#VALUE!</v>
      </c>
      <c r="AX70" s="653"/>
      <c r="AZ70" s="377" t="e">
        <f t="shared" si="14"/>
        <v>#N/A</v>
      </c>
      <c r="BA70" s="653"/>
    </row>
    <row r="71" spans="2:53">
      <c r="B71" s="635"/>
      <c r="C71" s="529">
        <v>30</v>
      </c>
      <c r="D71" s="416"/>
      <c r="E71" s="531"/>
      <c r="F71" s="416"/>
      <c r="G71" s="363"/>
      <c r="H71" s="679"/>
      <c r="I71" s="531" t="str">
        <f t="shared" si="15"/>
        <v>-</v>
      </c>
      <c r="J71" s="531" t="str">
        <f t="shared" si="15"/>
        <v>-</v>
      </c>
      <c r="K71" s="363" t="str">
        <f t="shared" si="15"/>
        <v>-</v>
      </c>
      <c r="L71" s="616"/>
      <c r="M71" s="531" t="e">
        <f>RANK(K71, K$42:$K$71)</f>
        <v>#VALUE!</v>
      </c>
      <c r="N71" s="624"/>
      <c r="O71" s="624"/>
      <c r="P71" s="529" t="s">
        <v>427</v>
      </c>
      <c r="Q71" s="538" t="s">
        <v>427</v>
      </c>
      <c r="R71" s="538" t="s">
        <v>427</v>
      </c>
      <c r="S71" s="529" t="e">
        <f t="shared" si="7"/>
        <v>#VALUE!</v>
      </c>
      <c r="T71" s="653"/>
      <c r="U71" s="529" t="s">
        <v>427</v>
      </c>
      <c r="V71" s="538" t="s">
        <v>427</v>
      </c>
      <c r="W71" s="538" t="s">
        <v>427</v>
      </c>
      <c r="X71" s="529" t="e">
        <f t="shared" si="8"/>
        <v>#VALUE!</v>
      </c>
      <c r="Y71" s="653"/>
      <c r="Z71" s="529" t="s">
        <v>427</v>
      </c>
      <c r="AA71" s="538" t="s">
        <v>427</v>
      </c>
      <c r="AB71" s="538" t="s">
        <v>427</v>
      </c>
      <c r="AC71" s="529" t="e">
        <f t="shared" si="9"/>
        <v>#VALUE!</v>
      </c>
      <c r="AD71" s="653"/>
      <c r="AE71" s="529" t="s">
        <v>427</v>
      </c>
      <c r="AF71" s="538" t="s">
        <v>427</v>
      </c>
      <c r="AG71" s="538" t="s">
        <v>427</v>
      </c>
      <c r="AH71" s="529" t="e">
        <f t="shared" si="10"/>
        <v>#VALUE!</v>
      </c>
      <c r="AI71" s="653"/>
      <c r="AJ71" s="529" t="s">
        <v>427</v>
      </c>
      <c r="AK71" s="538" t="s">
        <v>427</v>
      </c>
      <c r="AL71" s="538" t="s">
        <v>427</v>
      </c>
      <c r="AM71" s="529" t="e">
        <f t="shared" si="11"/>
        <v>#VALUE!</v>
      </c>
      <c r="AN71" s="653"/>
      <c r="AO71" s="529" t="s">
        <v>427</v>
      </c>
      <c r="AP71" s="538" t="s">
        <v>427</v>
      </c>
      <c r="AQ71" s="538" t="s">
        <v>427</v>
      </c>
      <c r="AR71" s="529" t="e">
        <f t="shared" si="12"/>
        <v>#VALUE!</v>
      </c>
      <c r="AS71" s="653"/>
      <c r="AT71" s="529" t="s">
        <v>427</v>
      </c>
      <c r="AU71" s="538" t="s">
        <v>427</v>
      </c>
      <c r="AV71" s="538" t="s">
        <v>427</v>
      </c>
      <c r="AW71" s="529" t="e">
        <f t="shared" si="13"/>
        <v>#VALUE!</v>
      </c>
      <c r="AX71" s="653"/>
      <c r="AZ71" s="377" t="e">
        <f t="shared" si="14"/>
        <v>#N/A</v>
      </c>
      <c r="BA71" s="653"/>
    </row>
    <row r="72" spans="2:53" ht="15.75">
      <c r="B72" s="657" t="s">
        <v>769</v>
      </c>
      <c r="C72" s="658"/>
      <c r="D72" s="658"/>
      <c r="E72" s="658"/>
      <c r="F72" s="658"/>
      <c r="G72" s="658"/>
      <c r="H72" s="658"/>
      <c r="I72" s="205"/>
      <c r="J72" s="200"/>
      <c r="K72" s="205"/>
      <c r="L72" s="205"/>
      <c r="M72" s="201"/>
      <c r="N72" s="639" t="s">
        <v>781</v>
      </c>
      <c r="O72" s="639" t="s">
        <v>686</v>
      </c>
      <c r="P72" s="634">
        <f>AT37+1</f>
        <v>46217</v>
      </c>
      <c r="Q72" s="635"/>
      <c r="R72" s="635"/>
      <c r="S72" s="635"/>
      <c r="T72" s="635"/>
      <c r="U72" s="634">
        <f>P72+1</f>
        <v>46218</v>
      </c>
      <c r="V72" s="635"/>
      <c r="W72" s="635"/>
      <c r="X72" s="635"/>
      <c r="Y72" s="635"/>
      <c r="Z72" s="634">
        <f t="shared" ref="Z72" si="16">U72+1</f>
        <v>46219</v>
      </c>
      <c r="AA72" s="635"/>
      <c r="AB72" s="635"/>
      <c r="AC72" s="635"/>
      <c r="AD72" s="635"/>
      <c r="AE72" s="634">
        <f t="shared" ref="AE72" si="17">Z72+1</f>
        <v>46220</v>
      </c>
      <c r="AF72" s="635"/>
      <c r="AG72" s="635"/>
      <c r="AH72" s="635"/>
      <c r="AI72" s="635"/>
      <c r="AJ72" s="634">
        <f t="shared" ref="AJ72" si="18">AE72+1</f>
        <v>46221</v>
      </c>
      <c r="AK72" s="635"/>
      <c r="AL72" s="635"/>
      <c r="AM72" s="635"/>
      <c r="AN72" s="635"/>
      <c r="AO72" s="634">
        <f t="shared" ref="AO72" si="19">AJ72+1</f>
        <v>46222</v>
      </c>
      <c r="AP72" s="635"/>
      <c r="AQ72" s="635"/>
      <c r="AR72" s="635"/>
      <c r="AS72" s="635"/>
      <c r="AT72" s="634">
        <f t="shared" ref="AT72" si="20">AO72+1</f>
        <v>46223</v>
      </c>
      <c r="AU72" s="635"/>
      <c r="AV72" s="635"/>
      <c r="AW72" s="635"/>
      <c r="AX72" s="635"/>
    </row>
    <row r="73" spans="2:53" ht="15.75">
      <c r="B73" s="646"/>
      <c r="C73" s="646"/>
      <c r="D73" s="646"/>
      <c r="E73" s="646"/>
      <c r="F73" s="646"/>
      <c r="G73" s="646"/>
      <c r="H73" s="646"/>
      <c r="I73" s="202"/>
      <c r="J73" s="202"/>
      <c r="K73" s="202"/>
      <c r="L73" s="202"/>
      <c r="M73" s="203"/>
      <c r="N73" s="641"/>
      <c r="O73" s="641"/>
      <c r="P73" s="636" t="s">
        <v>677</v>
      </c>
      <c r="Q73" s="637"/>
      <c r="R73" s="637"/>
      <c r="S73" s="637"/>
      <c r="T73" s="638"/>
      <c r="U73" s="636" t="s">
        <v>678</v>
      </c>
      <c r="V73" s="637"/>
      <c r="W73" s="637"/>
      <c r="X73" s="637"/>
      <c r="Y73" s="638"/>
      <c r="Z73" s="636" t="s">
        <v>679</v>
      </c>
      <c r="AA73" s="637"/>
      <c r="AB73" s="637"/>
      <c r="AC73" s="637"/>
      <c r="AD73" s="638"/>
      <c r="AE73" s="636" t="s">
        <v>687</v>
      </c>
      <c r="AF73" s="637"/>
      <c r="AG73" s="637"/>
      <c r="AH73" s="637"/>
      <c r="AI73" s="638"/>
      <c r="AJ73" s="636" t="s">
        <v>688</v>
      </c>
      <c r="AK73" s="637"/>
      <c r="AL73" s="637"/>
      <c r="AM73" s="637"/>
      <c r="AN73" s="638"/>
      <c r="AO73" s="636" t="s">
        <v>689</v>
      </c>
      <c r="AP73" s="637"/>
      <c r="AQ73" s="637"/>
      <c r="AR73" s="637"/>
      <c r="AS73" s="638"/>
      <c r="AT73" s="636" t="s">
        <v>690</v>
      </c>
      <c r="AU73" s="637"/>
      <c r="AV73" s="637"/>
      <c r="AW73" s="637"/>
      <c r="AX73" s="638"/>
    </row>
    <row r="74" spans="2:53">
      <c r="B74" s="624" t="s">
        <v>760</v>
      </c>
      <c r="C74" s="624" t="s">
        <v>827</v>
      </c>
      <c r="D74" s="624"/>
      <c r="E74" s="624" t="s">
        <v>828</v>
      </c>
      <c r="F74" s="624"/>
      <c r="G74" s="624"/>
      <c r="H74" s="647" t="s">
        <v>829</v>
      </c>
      <c r="I74" s="617" t="s">
        <v>830</v>
      </c>
      <c r="J74" s="617"/>
      <c r="K74" s="617"/>
      <c r="L74" s="618" t="s">
        <v>829</v>
      </c>
      <c r="M74" s="628" t="s">
        <v>440</v>
      </c>
      <c r="N74" s="624"/>
      <c r="O74" s="624" t="s">
        <v>831</v>
      </c>
      <c r="P74" s="621" t="s">
        <v>832</v>
      </c>
      <c r="Q74" s="622"/>
      <c r="R74" s="622"/>
      <c r="S74" s="623"/>
      <c r="T74" s="624" t="s">
        <v>829</v>
      </c>
      <c r="U74" s="621" t="s">
        <v>832</v>
      </c>
      <c r="V74" s="622"/>
      <c r="W74" s="622"/>
      <c r="X74" s="623"/>
      <c r="Y74" s="624" t="s">
        <v>829</v>
      </c>
      <c r="Z74" s="621" t="s">
        <v>832</v>
      </c>
      <c r="AA74" s="622"/>
      <c r="AB74" s="622"/>
      <c r="AC74" s="623"/>
      <c r="AD74" s="624" t="s">
        <v>829</v>
      </c>
      <c r="AE74" s="621" t="s">
        <v>832</v>
      </c>
      <c r="AF74" s="622"/>
      <c r="AG74" s="622"/>
      <c r="AH74" s="623"/>
      <c r="AI74" s="624" t="s">
        <v>829</v>
      </c>
      <c r="AJ74" s="621" t="s">
        <v>832</v>
      </c>
      <c r="AK74" s="622"/>
      <c r="AL74" s="622"/>
      <c r="AM74" s="623"/>
      <c r="AN74" s="624" t="s">
        <v>829</v>
      </c>
      <c r="AO74" s="621" t="s">
        <v>832</v>
      </c>
      <c r="AP74" s="622"/>
      <c r="AQ74" s="622"/>
      <c r="AR74" s="623"/>
      <c r="AS74" s="624" t="s">
        <v>829</v>
      </c>
      <c r="AT74" s="621" t="s">
        <v>832</v>
      </c>
      <c r="AU74" s="622"/>
      <c r="AV74" s="622"/>
      <c r="AW74" s="623"/>
      <c r="AX74" s="624" t="s">
        <v>829</v>
      </c>
    </row>
    <row r="75" spans="2:53">
      <c r="B75" s="624"/>
      <c r="C75" s="624"/>
      <c r="D75" s="624"/>
      <c r="E75" s="624" t="s">
        <v>833</v>
      </c>
      <c r="F75" s="624"/>
      <c r="G75" s="624"/>
      <c r="H75" s="648"/>
      <c r="I75" s="617" t="s">
        <v>833</v>
      </c>
      <c r="J75" s="617"/>
      <c r="K75" s="617"/>
      <c r="L75" s="619"/>
      <c r="M75" s="629"/>
      <c r="N75" s="624"/>
      <c r="O75" s="624"/>
      <c r="P75" s="621" t="s">
        <v>834</v>
      </c>
      <c r="Q75" s="622"/>
      <c r="R75" s="622"/>
      <c r="S75" s="623"/>
      <c r="T75" s="624"/>
      <c r="U75" s="621" t="s">
        <v>834</v>
      </c>
      <c r="V75" s="622"/>
      <c r="W75" s="622"/>
      <c r="X75" s="623"/>
      <c r="Y75" s="624"/>
      <c r="Z75" s="621" t="s">
        <v>834</v>
      </c>
      <c r="AA75" s="622"/>
      <c r="AB75" s="622"/>
      <c r="AC75" s="623"/>
      <c r="AD75" s="624"/>
      <c r="AE75" s="621" t="s">
        <v>834</v>
      </c>
      <c r="AF75" s="622"/>
      <c r="AG75" s="622"/>
      <c r="AH75" s="623"/>
      <c r="AI75" s="624"/>
      <c r="AJ75" s="621" t="s">
        <v>834</v>
      </c>
      <c r="AK75" s="622"/>
      <c r="AL75" s="622"/>
      <c r="AM75" s="623"/>
      <c r="AN75" s="624"/>
      <c r="AO75" s="621" t="s">
        <v>834</v>
      </c>
      <c r="AP75" s="622"/>
      <c r="AQ75" s="622"/>
      <c r="AR75" s="623"/>
      <c r="AS75" s="624"/>
      <c r="AT75" s="621" t="s">
        <v>834</v>
      </c>
      <c r="AU75" s="622"/>
      <c r="AV75" s="622"/>
      <c r="AW75" s="623"/>
      <c r="AX75" s="624"/>
    </row>
    <row r="76" spans="2:53">
      <c r="B76" s="624"/>
      <c r="C76" s="624"/>
      <c r="D76" s="624"/>
      <c r="E76" s="533" t="s">
        <v>835</v>
      </c>
      <c r="F76" s="533" t="s">
        <v>836</v>
      </c>
      <c r="G76" s="533" t="s">
        <v>837</v>
      </c>
      <c r="H76" s="649"/>
      <c r="I76" s="535" t="s">
        <v>835</v>
      </c>
      <c r="J76" s="535" t="s">
        <v>836</v>
      </c>
      <c r="K76" s="535" t="s">
        <v>837</v>
      </c>
      <c r="L76" s="620"/>
      <c r="M76" s="630"/>
      <c r="N76" s="624"/>
      <c r="O76" s="624"/>
      <c r="P76" s="533" t="s">
        <v>835</v>
      </c>
      <c r="Q76" s="533" t="s">
        <v>836</v>
      </c>
      <c r="R76" s="533" t="s">
        <v>837</v>
      </c>
      <c r="S76" s="533" t="s">
        <v>440</v>
      </c>
      <c r="T76" s="624"/>
      <c r="U76" s="533" t="s">
        <v>835</v>
      </c>
      <c r="V76" s="533" t="s">
        <v>836</v>
      </c>
      <c r="W76" s="533" t="s">
        <v>837</v>
      </c>
      <c r="X76" s="533" t="s">
        <v>440</v>
      </c>
      <c r="Y76" s="624"/>
      <c r="Z76" s="533" t="s">
        <v>835</v>
      </c>
      <c r="AA76" s="533" t="s">
        <v>836</v>
      </c>
      <c r="AB76" s="533" t="s">
        <v>837</v>
      </c>
      <c r="AC76" s="533" t="s">
        <v>440</v>
      </c>
      <c r="AD76" s="624"/>
      <c r="AE76" s="533" t="s">
        <v>835</v>
      </c>
      <c r="AF76" s="533" t="s">
        <v>836</v>
      </c>
      <c r="AG76" s="533" t="s">
        <v>837</v>
      </c>
      <c r="AH76" s="533" t="s">
        <v>440</v>
      </c>
      <c r="AI76" s="624"/>
      <c r="AJ76" s="533" t="s">
        <v>835</v>
      </c>
      <c r="AK76" s="533" t="s">
        <v>836</v>
      </c>
      <c r="AL76" s="533" t="s">
        <v>837</v>
      </c>
      <c r="AM76" s="533" t="s">
        <v>440</v>
      </c>
      <c r="AN76" s="624"/>
      <c r="AO76" s="533" t="s">
        <v>835</v>
      </c>
      <c r="AP76" s="533" t="s">
        <v>836</v>
      </c>
      <c r="AQ76" s="533" t="s">
        <v>837</v>
      </c>
      <c r="AR76" s="533" t="s">
        <v>440</v>
      </c>
      <c r="AS76" s="624"/>
      <c r="AT76" s="533" t="s">
        <v>835</v>
      </c>
      <c r="AU76" s="533" t="s">
        <v>836</v>
      </c>
      <c r="AV76" s="533" t="s">
        <v>837</v>
      </c>
      <c r="AW76" s="533" t="s">
        <v>440</v>
      </c>
      <c r="AX76" s="624"/>
    </row>
    <row r="77" spans="2:53">
      <c r="B77" s="624" t="s">
        <v>782</v>
      </c>
      <c r="C77" s="529">
        <v>1</v>
      </c>
      <c r="D77" s="416" t="s">
        <v>335</v>
      </c>
      <c r="E77" s="531">
        <v>6</v>
      </c>
      <c r="F77" s="416">
        <v>1500</v>
      </c>
      <c r="G77" s="363">
        <v>250</v>
      </c>
      <c r="H77" s="677">
        <f>AVERAGE(G77:G106)</f>
        <v>100.51696400416888</v>
      </c>
      <c r="I77" s="531">
        <f>IFERROR(AVERAGE(P77,U77,Z77,AE77,AJ77,AO77,AT77),"-")</f>
        <v>6</v>
      </c>
      <c r="J77" s="531">
        <f>IFERROR(AVERAGE(Q77,V77,AA77,AF77,AK77,AP77,AU77),"-")</f>
        <v>1459.5941806727874</v>
      </c>
      <c r="K77" s="363">
        <f>IFERROR(AVERAGE(R77,W77,AB77,AG77,AL77,AQ77,AV77),"-")</f>
        <v>243.26569677879792</v>
      </c>
      <c r="L77" s="614">
        <f>IFERROR(AVERAGE(K77:K106),"-")</f>
        <v>90.130488875607</v>
      </c>
      <c r="M77" s="536">
        <f>RANK(K77, K$77:$K$106)</f>
        <v>1</v>
      </c>
      <c r="N77" s="624"/>
      <c r="O77" s="624"/>
      <c r="P77" s="529">
        <v>6</v>
      </c>
      <c r="Q77" s="538">
        <v>1462.8510638297876</v>
      </c>
      <c r="R77" s="538">
        <v>243.80851063829792</v>
      </c>
      <c r="S77" s="529">
        <v>1</v>
      </c>
      <c r="T77" s="642">
        <v>90.838637896825588</v>
      </c>
      <c r="U77" s="529">
        <v>6</v>
      </c>
      <c r="V77" s="538">
        <v>1451.055319148936</v>
      </c>
      <c r="W77" s="538">
        <v>241.84255319148932</v>
      </c>
      <c r="X77" s="538">
        <v>1</v>
      </c>
      <c r="Y77" s="642">
        <v>91.152915831226295</v>
      </c>
      <c r="Z77" s="529">
        <v>6</v>
      </c>
      <c r="AA77" s="538">
        <v>1473.6662983425408</v>
      </c>
      <c r="AB77" s="538">
        <v>245.61104972375679</v>
      </c>
      <c r="AC77" s="538">
        <v>1</v>
      </c>
      <c r="AD77" s="642">
        <v>90.290581080910812</v>
      </c>
      <c r="AE77" s="529">
        <v>6</v>
      </c>
      <c r="AF77" s="538">
        <v>1449.3818181818185</v>
      </c>
      <c r="AG77" s="538">
        <v>241.56363636363642</v>
      </c>
      <c r="AH77" s="538">
        <v>2</v>
      </c>
      <c r="AI77" s="642">
        <v>90.495191415083141</v>
      </c>
      <c r="AJ77" s="529">
        <v>6</v>
      </c>
      <c r="AK77" s="538">
        <v>1448.6000000000004</v>
      </c>
      <c r="AL77" s="538">
        <v>241.43333333333339</v>
      </c>
      <c r="AM77" s="538">
        <v>1</v>
      </c>
      <c r="AN77" s="642">
        <v>89.948066460834369</v>
      </c>
      <c r="AO77" s="529">
        <v>6</v>
      </c>
      <c r="AP77" s="538">
        <v>1462.6610526315787</v>
      </c>
      <c r="AQ77" s="538">
        <v>243.77684210526311</v>
      </c>
      <c r="AR77" s="538">
        <v>1</v>
      </c>
      <c r="AS77" s="642">
        <v>90.840849385088646</v>
      </c>
      <c r="AT77" s="529">
        <v>6</v>
      </c>
      <c r="AU77" s="538">
        <v>1468.9437125748507</v>
      </c>
      <c r="AV77" s="538">
        <v>244.82395209580844</v>
      </c>
      <c r="AW77" s="538">
        <v>1</v>
      </c>
      <c r="AX77" s="642">
        <v>90.291601112241153</v>
      </c>
      <c r="AZ77" s="377" t="e">
        <f>RANK(AY77, AY$77:AY$106)</f>
        <v>#N/A</v>
      </c>
      <c r="BA77" s="653" t="e">
        <f>AVERAGE(AY77:AY106)</f>
        <v>#DIV/0!</v>
      </c>
    </row>
    <row r="78" spans="2:53">
      <c r="B78" s="635"/>
      <c r="C78" s="529">
        <v>2</v>
      </c>
      <c r="D78" s="416" t="s">
        <v>635</v>
      </c>
      <c r="E78" s="531">
        <v>6</v>
      </c>
      <c r="F78" s="416">
        <v>1636</v>
      </c>
      <c r="G78" s="363">
        <v>272.66666666666669</v>
      </c>
      <c r="H78" s="678"/>
      <c r="I78" s="531">
        <f t="shared" ref="I78:K106" si="21">IFERROR(AVERAGE(P78,U78,Z78,AE78,AJ78,AO78,AT78),"-")</f>
        <v>6</v>
      </c>
      <c r="J78" s="531">
        <f t="shared" si="21"/>
        <v>1446.3977429955407</v>
      </c>
      <c r="K78" s="363">
        <f t="shared" si="21"/>
        <v>241.06629049925681</v>
      </c>
      <c r="L78" s="615"/>
      <c r="M78" s="536">
        <f>RANK(K78, K$77:$K$106)</f>
        <v>2</v>
      </c>
      <c r="N78" s="624"/>
      <c r="O78" s="624"/>
      <c r="P78" s="529">
        <v>6</v>
      </c>
      <c r="Q78" s="538">
        <v>1451.4705882352941</v>
      </c>
      <c r="R78" s="538">
        <v>241.91176470588235</v>
      </c>
      <c r="S78" s="529">
        <v>2</v>
      </c>
      <c r="T78" s="642"/>
      <c r="U78" s="529">
        <v>6</v>
      </c>
      <c r="V78" s="538">
        <v>1437.3134328358208</v>
      </c>
      <c r="W78" s="538">
        <v>239.55223880597012</v>
      </c>
      <c r="X78" s="538">
        <v>2</v>
      </c>
      <c r="Y78" s="642"/>
      <c r="Z78" s="529">
        <v>6</v>
      </c>
      <c r="AA78" s="538">
        <v>1435.6521739130435</v>
      </c>
      <c r="AB78" s="538">
        <v>239.27536231884059</v>
      </c>
      <c r="AC78" s="538">
        <v>2</v>
      </c>
      <c r="AD78" s="642"/>
      <c r="AE78" s="529">
        <v>6</v>
      </c>
      <c r="AF78" s="538">
        <v>1464.23076923077</v>
      </c>
      <c r="AG78" s="538">
        <v>244.03846153846166</v>
      </c>
      <c r="AH78" s="538">
        <v>1</v>
      </c>
      <c r="AI78" s="642"/>
      <c r="AJ78" s="529">
        <v>6</v>
      </c>
      <c r="AK78" s="538">
        <v>1438.8000000000004</v>
      </c>
      <c r="AL78" s="538">
        <v>239.80000000000007</v>
      </c>
      <c r="AM78" s="538">
        <v>2</v>
      </c>
      <c r="AN78" s="642"/>
      <c r="AO78" s="529">
        <v>6</v>
      </c>
      <c r="AP78" s="538">
        <v>1436.1904761904757</v>
      </c>
      <c r="AQ78" s="538">
        <v>239.36507936507928</v>
      </c>
      <c r="AR78" s="538">
        <v>2</v>
      </c>
      <c r="AS78" s="642"/>
      <c r="AT78" s="529">
        <v>6</v>
      </c>
      <c r="AU78" s="538">
        <v>1461.1267605633807</v>
      </c>
      <c r="AV78" s="538">
        <v>243.52112676056345</v>
      </c>
      <c r="AW78" s="538">
        <v>2</v>
      </c>
      <c r="AX78" s="642"/>
      <c r="AZ78" s="377" t="e">
        <f t="shared" ref="AZ78:AZ106" si="22">RANK(AY78, AY$77:AY$106)</f>
        <v>#N/A</v>
      </c>
      <c r="BA78" s="653"/>
    </row>
    <row r="79" spans="2:53">
      <c r="B79" s="635"/>
      <c r="C79" s="529">
        <v>3</v>
      </c>
      <c r="D79" s="416" t="s">
        <v>561</v>
      </c>
      <c r="E79" s="531">
        <v>16</v>
      </c>
      <c r="F79" s="416">
        <v>1500</v>
      </c>
      <c r="G79" s="363">
        <v>93.75</v>
      </c>
      <c r="H79" s="678"/>
      <c r="I79" s="531">
        <f t="shared" si="21"/>
        <v>16.714285714285715</v>
      </c>
      <c r="J79" s="531">
        <f t="shared" si="21"/>
        <v>1364.4753872125859</v>
      </c>
      <c r="K79" s="363">
        <f t="shared" si="21"/>
        <v>81.685773788141631</v>
      </c>
      <c r="L79" s="615"/>
      <c r="M79" s="536">
        <f>RANK(K79, K$77:$K$106)</f>
        <v>9</v>
      </c>
      <c r="N79" s="624"/>
      <c r="O79" s="624"/>
      <c r="P79" s="529">
        <v>16</v>
      </c>
      <c r="Q79" s="538">
        <v>1354.2857142857147</v>
      </c>
      <c r="R79" s="538">
        <v>84.642857142857167</v>
      </c>
      <c r="S79" s="529">
        <v>8</v>
      </c>
      <c r="T79" s="642"/>
      <c r="U79" s="529">
        <v>17</v>
      </c>
      <c r="V79" s="538">
        <v>1370.2222222222231</v>
      </c>
      <c r="W79" s="538">
        <v>80.601307189542538</v>
      </c>
      <c r="X79" s="538">
        <v>10</v>
      </c>
      <c r="Y79" s="642"/>
      <c r="Z79" s="529">
        <v>17</v>
      </c>
      <c r="AA79" s="538">
        <v>1354.6153846153854</v>
      </c>
      <c r="AB79" s="538">
        <v>79.683257918552087</v>
      </c>
      <c r="AC79" s="538">
        <v>11</v>
      </c>
      <c r="AD79" s="642"/>
      <c r="AE79" s="529">
        <v>17</v>
      </c>
      <c r="AF79" s="538">
        <v>1350.1714285714272</v>
      </c>
      <c r="AG79" s="538">
        <v>79.421848739495715</v>
      </c>
      <c r="AH79" s="538">
        <v>11</v>
      </c>
      <c r="AI79" s="642"/>
      <c r="AJ79" s="529">
        <v>17</v>
      </c>
      <c r="AK79" s="538">
        <v>1378.7096774193549</v>
      </c>
      <c r="AL79" s="538">
        <v>81.100569259962057</v>
      </c>
      <c r="AM79" s="538">
        <v>8</v>
      </c>
      <c r="AN79" s="642"/>
      <c r="AO79" s="529">
        <v>17</v>
      </c>
      <c r="AP79" s="538">
        <v>1389.1390728476817</v>
      </c>
      <c r="AQ79" s="538">
        <v>81.714063108687157</v>
      </c>
      <c r="AR79" s="538">
        <v>8</v>
      </c>
      <c r="AS79" s="642"/>
      <c r="AT79" s="529">
        <v>16</v>
      </c>
      <c r="AU79" s="538">
        <v>1354.1842105263156</v>
      </c>
      <c r="AV79" s="538">
        <v>84.636513157894726</v>
      </c>
      <c r="AW79" s="538">
        <v>6</v>
      </c>
      <c r="AX79" s="642"/>
      <c r="AZ79" s="377" t="e">
        <f t="shared" si="22"/>
        <v>#N/A</v>
      </c>
      <c r="BA79" s="653"/>
    </row>
    <row r="80" spans="2:53">
      <c r="B80" s="635"/>
      <c r="C80" s="529">
        <v>4</v>
      </c>
      <c r="D80" s="416" t="s">
        <v>365</v>
      </c>
      <c r="E80" s="531">
        <v>18</v>
      </c>
      <c r="F80" s="416">
        <v>1500</v>
      </c>
      <c r="G80" s="363">
        <v>83.333333333333329</v>
      </c>
      <c r="H80" s="678"/>
      <c r="I80" s="531">
        <f t="shared" si="21"/>
        <v>18</v>
      </c>
      <c r="J80" s="531">
        <f t="shared" si="21"/>
        <v>1305.9438974612544</v>
      </c>
      <c r="K80" s="363">
        <f t="shared" si="21"/>
        <v>72.552438747847461</v>
      </c>
      <c r="L80" s="615"/>
      <c r="M80" s="536">
        <f>RANK(K80, K$77:$K$106)</f>
        <v>17</v>
      </c>
      <c r="N80" s="624"/>
      <c r="O80" s="624"/>
      <c r="P80" s="529">
        <v>18</v>
      </c>
      <c r="Q80" s="538">
        <v>1293.1914893617022</v>
      </c>
      <c r="R80" s="538">
        <v>71.843971631205676</v>
      </c>
      <c r="S80" s="529">
        <v>16</v>
      </c>
      <c r="T80" s="642"/>
      <c r="U80" s="529">
        <v>18</v>
      </c>
      <c r="V80" s="538">
        <v>1294.090909090909</v>
      </c>
      <c r="W80" s="538">
        <v>71.893939393939391</v>
      </c>
      <c r="X80" s="538">
        <v>16</v>
      </c>
      <c r="Y80" s="642"/>
      <c r="Z80" s="529">
        <v>18</v>
      </c>
      <c r="AA80" s="538">
        <v>1323.1578947368412</v>
      </c>
      <c r="AB80" s="538">
        <v>73.508771929824505</v>
      </c>
      <c r="AC80" s="538">
        <v>15</v>
      </c>
      <c r="AD80" s="642"/>
      <c r="AE80" s="529">
        <v>18</v>
      </c>
      <c r="AF80" s="538">
        <v>1303.3333333333321</v>
      </c>
      <c r="AG80" s="538">
        <v>72.407407407407334</v>
      </c>
      <c r="AH80" s="538">
        <v>16</v>
      </c>
      <c r="AI80" s="642"/>
      <c r="AJ80" s="529">
        <v>18</v>
      </c>
      <c r="AK80" s="538">
        <v>1294.9999999999991</v>
      </c>
      <c r="AL80" s="538">
        <v>71.9444444444444</v>
      </c>
      <c r="AM80" s="538">
        <v>16</v>
      </c>
      <c r="AN80" s="642"/>
      <c r="AO80" s="529">
        <v>18</v>
      </c>
      <c r="AP80" s="538">
        <v>1307.7272727272727</v>
      </c>
      <c r="AQ80" s="538">
        <v>72.651515151515156</v>
      </c>
      <c r="AR80" s="538">
        <v>16</v>
      </c>
      <c r="AS80" s="642"/>
      <c r="AT80" s="529">
        <v>18</v>
      </c>
      <c r="AU80" s="538">
        <v>1325.1063829787236</v>
      </c>
      <c r="AV80" s="538">
        <v>73.61702127659575</v>
      </c>
      <c r="AW80" s="538">
        <v>17</v>
      </c>
      <c r="AX80" s="642"/>
      <c r="AZ80" s="377" t="e">
        <f t="shared" si="22"/>
        <v>#N/A</v>
      </c>
      <c r="BA80" s="653"/>
    </row>
    <row r="81" spans="2:53">
      <c r="B81" s="635"/>
      <c r="C81" s="529">
        <v>5</v>
      </c>
      <c r="D81" s="416" t="s">
        <v>340</v>
      </c>
      <c r="E81" s="531">
        <v>16</v>
      </c>
      <c r="F81" s="416">
        <v>1565</v>
      </c>
      <c r="G81" s="363">
        <v>97.8125</v>
      </c>
      <c r="H81" s="678"/>
      <c r="I81" s="531">
        <f t="shared" si="21"/>
        <v>16</v>
      </c>
      <c r="J81" s="531">
        <f t="shared" si="21"/>
        <v>1363.9012487512496</v>
      </c>
      <c r="K81" s="363">
        <f t="shared" si="21"/>
        <v>85.243828046953098</v>
      </c>
      <c r="L81" s="615"/>
      <c r="M81" s="536">
        <f>RANK(K81, K$77:$K$106)</f>
        <v>6</v>
      </c>
      <c r="N81" s="624"/>
      <c r="O81" s="624"/>
      <c r="P81" s="529">
        <v>16</v>
      </c>
      <c r="Q81" s="538">
        <v>1358.2500000000016</v>
      </c>
      <c r="R81" s="538">
        <v>84.890625000000099</v>
      </c>
      <c r="S81" s="529">
        <v>7</v>
      </c>
      <c r="T81" s="642"/>
      <c r="U81" s="529">
        <v>16</v>
      </c>
      <c r="V81" s="538">
        <v>1388.3636363636379</v>
      </c>
      <c r="W81" s="538">
        <v>86.772727272727366</v>
      </c>
      <c r="X81" s="538">
        <v>7</v>
      </c>
      <c r="Y81" s="642"/>
      <c r="Z81" s="529">
        <v>16</v>
      </c>
      <c r="AA81" s="538">
        <v>1355.2000000000012</v>
      </c>
      <c r="AB81" s="538">
        <v>84.700000000000074</v>
      </c>
      <c r="AC81" s="538">
        <v>7</v>
      </c>
      <c r="AD81" s="642"/>
      <c r="AE81" s="529">
        <v>16</v>
      </c>
      <c r="AF81" s="538">
        <v>1353.5999999999995</v>
      </c>
      <c r="AG81" s="538">
        <v>84.599999999999966</v>
      </c>
      <c r="AH81" s="538">
        <v>8</v>
      </c>
      <c r="AI81" s="642"/>
      <c r="AJ81" s="529">
        <v>16</v>
      </c>
      <c r="AK81" s="538">
        <v>1377.818181818182</v>
      </c>
      <c r="AL81" s="538">
        <v>86.113636363636374</v>
      </c>
      <c r="AM81" s="538">
        <v>4</v>
      </c>
      <c r="AN81" s="642"/>
      <c r="AO81" s="529">
        <v>16</v>
      </c>
      <c r="AP81" s="538">
        <v>1362.0000000000007</v>
      </c>
      <c r="AQ81" s="538">
        <v>85.125000000000043</v>
      </c>
      <c r="AR81" s="538">
        <v>7</v>
      </c>
      <c r="AS81" s="642"/>
      <c r="AT81" s="529">
        <v>16</v>
      </c>
      <c r="AU81" s="538">
        <v>1352.0769230769238</v>
      </c>
      <c r="AV81" s="538">
        <v>84.504807692307736</v>
      </c>
      <c r="AW81" s="538">
        <v>7</v>
      </c>
      <c r="AX81" s="642"/>
      <c r="AZ81" s="377" t="e">
        <f t="shared" si="22"/>
        <v>#N/A</v>
      </c>
      <c r="BA81" s="653"/>
    </row>
    <row r="82" spans="2:53">
      <c r="B82" s="635"/>
      <c r="C82" s="529">
        <v>6</v>
      </c>
      <c r="D82" s="416" t="s">
        <v>784</v>
      </c>
      <c r="E82" s="531">
        <v>20</v>
      </c>
      <c r="F82" s="416">
        <v>1440</v>
      </c>
      <c r="G82" s="363">
        <v>72</v>
      </c>
      <c r="H82" s="678"/>
      <c r="I82" s="531">
        <f t="shared" si="21"/>
        <v>20.571428571428573</v>
      </c>
      <c r="J82" s="531">
        <f t="shared" si="21"/>
        <v>1274.3878744116694</v>
      </c>
      <c r="K82" s="363">
        <f t="shared" si="21"/>
        <v>61.99475838541629</v>
      </c>
      <c r="L82" s="615"/>
      <c r="M82" s="536">
        <f>RANK(K82, K$77:$K$106)</f>
        <v>23</v>
      </c>
      <c r="N82" s="624"/>
      <c r="O82" s="624"/>
      <c r="P82" s="529">
        <v>21</v>
      </c>
      <c r="Q82" s="538">
        <v>1264.4761904761917</v>
      </c>
      <c r="R82" s="538">
        <v>60.2131519274377</v>
      </c>
      <c r="S82" s="529">
        <v>22</v>
      </c>
      <c r="T82" s="642"/>
      <c r="U82" s="529">
        <v>21</v>
      </c>
      <c r="V82" s="538">
        <v>1275.850000000001</v>
      </c>
      <c r="W82" s="538">
        <v>60.754761904761956</v>
      </c>
      <c r="X82" s="538">
        <v>22</v>
      </c>
      <c r="Y82" s="642"/>
      <c r="Z82" s="529">
        <v>20</v>
      </c>
      <c r="AA82" s="538">
        <v>1268.3888888888896</v>
      </c>
      <c r="AB82" s="538">
        <v>63.41944444444448</v>
      </c>
      <c r="AC82" s="538">
        <v>22</v>
      </c>
      <c r="AD82" s="642"/>
      <c r="AE82" s="529">
        <v>21</v>
      </c>
      <c r="AF82" s="538">
        <v>1266.1016949152554</v>
      </c>
      <c r="AG82" s="538">
        <v>60.29055690072645</v>
      </c>
      <c r="AH82" s="538">
        <v>22</v>
      </c>
      <c r="AI82" s="642"/>
      <c r="AJ82" s="529">
        <v>21</v>
      </c>
      <c r="AK82" s="538">
        <v>1264.0000000000014</v>
      </c>
      <c r="AL82" s="538">
        <v>60.190476190476254</v>
      </c>
      <c r="AM82" s="538">
        <v>22</v>
      </c>
      <c r="AN82" s="642"/>
      <c r="AO82" s="529">
        <v>20</v>
      </c>
      <c r="AP82" s="538">
        <v>1297.3913043478249</v>
      </c>
      <c r="AQ82" s="538">
        <v>64.869565217391241</v>
      </c>
      <c r="AR82" s="538">
        <v>22</v>
      </c>
      <c r="AS82" s="642"/>
      <c r="AT82" s="529">
        <v>20</v>
      </c>
      <c r="AU82" s="538">
        <v>1284.5070422535198</v>
      </c>
      <c r="AV82" s="538">
        <v>64.225352112675992</v>
      </c>
      <c r="AW82" s="538">
        <v>23</v>
      </c>
      <c r="AX82" s="642"/>
      <c r="AZ82" s="377" t="e">
        <f t="shared" si="22"/>
        <v>#N/A</v>
      </c>
      <c r="BA82" s="653"/>
    </row>
    <row r="83" spans="2:53">
      <c r="B83" s="635"/>
      <c r="C83" s="529">
        <v>7</v>
      </c>
      <c r="D83" s="416" t="s">
        <v>696</v>
      </c>
      <c r="E83" s="531">
        <v>16</v>
      </c>
      <c r="F83" s="416">
        <v>1500</v>
      </c>
      <c r="G83" s="363">
        <v>93.75</v>
      </c>
      <c r="H83" s="678"/>
      <c r="I83" s="531">
        <f t="shared" si="21"/>
        <v>16</v>
      </c>
      <c r="J83" s="531">
        <f t="shared" si="21"/>
        <v>1374.9629082368633</v>
      </c>
      <c r="K83" s="363">
        <f t="shared" si="21"/>
        <v>85.935181764803957</v>
      </c>
      <c r="L83" s="615"/>
      <c r="M83" s="536">
        <f>RANK(K83, K$77:$K$106)</f>
        <v>5</v>
      </c>
      <c r="N83" s="624"/>
      <c r="O83" s="624"/>
      <c r="P83" s="529">
        <v>16</v>
      </c>
      <c r="Q83" s="538">
        <v>1358.7692307692323</v>
      </c>
      <c r="R83" s="538">
        <v>84.923076923077019</v>
      </c>
      <c r="S83" s="529">
        <v>6</v>
      </c>
      <c r="T83" s="642"/>
      <c r="U83" s="529">
        <v>16</v>
      </c>
      <c r="V83" s="538">
        <v>1372.6153846153861</v>
      </c>
      <c r="W83" s="538">
        <v>85.788461538461632</v>
      </c>
      <c r="X83" s="538">
        <v>8</v>
      </c>
      <c r="Y83" s="642"/>
      <c r="Z83" s="529">
        <v>16</v>
      </c>
      <c r="AA83" s="538">
        <v>1400.6557377049194</v>
      </c>
      <c r="AB83" s="538">
        <v>87.540983606557461</v>
      </c>
      <c r="AC83" s="538">
        <v>4</v>
      </c>
      <c r="AD83" s="642"/>
      <c r="AE83" s="529">
        <v>16</v>
      </c>
      <c r="AF83" s="538">
        <v>1353.5999999999997</v>
      </c>
      <c r="AG83" s="538">
        <v>84.59999999999998</v>
      </c>
      <c r="AH83" s="538">
        <v>7</v>
      </c>
      <c r="AI83" s="642"/>
      <c r="AJ83" s="529">
        <v>16</v>
      </c>
      <c r="AK83" s="538">
        <v>1377.1428571428567</v>
      </c>
      <c r="AL83" s="538">
        <v>86.071428571428541</v>
      </c>
      <c r="AM83" s="538">
        <v>5</v>
      </c>
      <c r="AN83" s="642"/>
      <c r="AO83" s="529">
        <v>16</v>
      </c>
      <c r="AP83" s="538">
        <v>1362.7118644067807</v>
      </c>
      <c r="AQ83" s="538">
        <v>85.169491525423794</v>
      </c>
      <c r="AR83" s="538">
        <v>6</v>
      </c>
      <c r="AS83" s="642"/>
      <c r="AT83" s="529">
        <v>16</v>
      </c>
      <c r="AU83" s="538">
        <v>1399.2452830188688</v>
      </c>
      <c r="AV83" s="538">
        <v>87.4528301886793</v>
      </c>
      <c r="AW83" s="538">
        <v>4</v>
      </c>
      <c r="AX83" s="642"/>
      <c r="AZ83" s="377" t="e">
        <f t="shared" si="22"/>
        <v>#N/A</v>
      </c>
      <c r="BA83" s="653"/>
    </row>
    <row r="84" spans="2:53">
      <c r="B84" s="635"/>
      <c r="C84" s="529">
        <v>8</v>
      </c>
      <c r="D84" s="416" t="s">
        <v>338</v>
      </c>
      <c r="E84" s="531">
        <v>18</v>
      </c>
      <c r="F84" s="416">
        <v>1636</v>
      </c>
      <c r="G84" s="363">
        <v>90.888888888888886</v>
      </c>
      <c r="H84" s="678"/>
      <c r="I84" s="531">
        <f t="shared" si="21"/>
        <v>18</v>
      </c>
      <c r="J84" s="531">
        <f t="shared" si="21"/>
        <v>1418.9465155484988</v>
      </c>
      <c r="K84" s="363">
        <f t="shared" si="21"/>
        <v>78.830361974916599</v>
      </c>
      <c r="L84" s="615"/>
      <c r="M84" s="536">
        <f>RANK(K84, K$77:$K$106)</f>
        <v>13</v>
      </c>
      <c r="N84" s="624"/>
      <c r="O84" s="624"/>
      <c r="P84" s="529">
        <v>18</v>
      </c>
      <c r="Q84" s="538">
        <v>1419.6923076923092</v>
      </c>
      <c r="R84" s="538">
        <v>78.871794871794961</v>
      </c>
      <c r="S84" s="529">
        <v>13</v>
      </c>
      <c r="T84" s="642"/>
      <c r="U84" s="529">
        <v>18</v>
      </c>
      <c r="V84" s="538">
        <v>1404.4067796610182</v>
      </c>
      <c r="W84" s="538">
        <v>78.022598870056569</v>
      </c>
      <c r="X84" s="538">
        <v>13</v>
      </c>
      <c r="Y84" s="642"/>
      <c r="Z84" s="529">
        <v>18</v>
      </c>
      <c r="AA84" s="538">
        <v>1420.8000000000004</v>
      </c>
      <c r="AB84" s="538">
        <v>78.933333333333351</v>
      </c>
      <c r="AC84" s="538">
        <v>12</v>
      </c>
      <c r="AD84" s="642"/>
      <c r="AE84" s="529">
        <v>18</v>
      </c>
      <c r="AF84" s="538">
        <v>1377.8947368421063</v>
      </c>
      <c r="AG84" s="538">
        <v>76.54970760233924</v>
      </c>
      <c r="AH84" s="538">
        <v>14</v>
      </c>
      <c r="AI84" s="642"/>
      <c r="AJ84" s="529">
        <v>18</v>
      </c>
      <c r="AK84" s="538">
        <v>1411.4754098360668</v>
      </c>
      <c r="AL84" s="538">
        <v>78.415300546448151</v>
      </c>
      <c r="AM84" s="538">
        <v>11</v>
      </c>
      <c r="AN84" s="642"/>
      <c r="AO84" s="529">
        <v>18</v>
      </c>
      <c r="AP84" s="538">
        <v>1456.451612903227</v>
      </c>
      <c r="AQ84" s="538">
        <v>80.91397849462372</v>
      </c>
      <c r="AR84" s="538">
        <v>10</v>
      </c>
      <c r="AS84" s="642"/>
      <c r="AT84" s="529">
        <v>18</v>
      </c>
      <c r="AU84" s="538">
        <v>1441.9047619047633</v>
      </c>
      <c r="AV84" s="538">
        <v>80.105820105820186</v>
      </c>
      <c r="AW84" s="538">
        <v>11</v>
      </c>
      <c r="AX84" s="642"/>
      <c r="AZ84" s="377" t="e">
        <f t="shared" si="22"/>
        <v>#N/A</v>
      </c>
      <c r="BA84" s="653"/>
    </row>
    <row r="85" spans="2:53">
      <c r="B85" s="635"/>
      <c r="C85" s="529">
        <v>9</v>
      </c>
      <c r="D85" s="416" t="s">
        <v>337</v>
      </c>
      <c r="E85" s="531">
        <v>18</v>
      </c>
      <c r="F85" s="416">
        <v>1636</v>
      </c>
      <c r="G85" s="363">
        <v>90.888888888888886</v>
      </c>
      <c r="H85" s="678"/>
      <c r="I85" s="531">
        <f t="shared" si="21"/>
        <v>18</v>
      </c>
      <c r="J85" s="531">
        <f t="shared" si="21"/>
        <v>1429.5809685391002</v>
      </c>
      <c r="K85" s="363">
        <f t="shared" si="21"/>
        <v>79.421164918838912</v>
      </c>
      <c r="L85" s="615"/>
      <c r="M85" s="536">
        <f>RANK(K85, K$77:$K$106)</f>
        <v>11</v>
      </c>
      <c r="N85" s="624"/>
      <c r="O85" s="624"/>
      <c r="P85" s="529">
        <v>18</v>
      </c>
      <c r="Q85" s="538">
        <v>1448.2352941176478</v>
      </c>
      <c r="R85" s="538">
        <v>80.457516339869315</v>
      </c>
      <c r="S85" s="529">
        <v>10</v>
      </c>
      <c r="T85" s="642"/>
      <c r="U85" s="529">
        <v>18</v>
      </c>
      <c r="V85" s="538">
        <v>1440</v>
      </c>
      <c r="W85" s="538">
        <v>80</v>
      </c>
      <c r="X85" s="538">
        <v>12</v>
      </c>
      <c r="Y85" s="642"/>
      <c r="Z85" s="529">
        <v>18</v>
      </c>
      <c r="AA85" s="538">
        <v>1443.0769230769222</v>
      </c>
      <c r="AB85" s="538">
        <v>80.170940170940128</v>
      </c>
      <c r="AC85" s="538">
        <v>9</v>
      </c>
      <c r="AD85" s="642"/>
      <c r="AE85" s="529">
        <v>18</v>
      </c>
      <c r="AF85" s="538">
        <v>1429.9999999999995</v>
      </c>
      <c r="AG85" s="538">
        <v>79.444444444444414</v>
      </c>
      <c r="AH85" s="538">
        <v>10</v>
      </c>
      <c r="AI85" s="642"/>
      <c r="AJ85" s="529">
        <v>18</v>
      </c>
      <c r="AK85" s="538">
        <v>1395.3191489361704</v>
      </c>
      <c r="AL85" s="538">
        <v>77.517730496453908</v>
      </c>
      <c r="AM85" s="538">
        <v>12</v>
      </c>
      <c r="AN85" s="642"/>
      <c r="AO85" s="529">
        <v>18</v>
      </c>
      <c r="AP85" s="538">
        <v>1417.3584905660387</v>
      </c>
      <c r="AQ85" s="538">
        <v>78.742138364779919</v>
      </c>
      <c r="AR85" s="538">
        <v>13</v>
      </c>
      <c r="AS85" s="642"/>
      <c r="AT85" s="529">
        <v>18</v>
      </c>
      <c r="AU85" s="538">
        <v>1433.0769230769238</v>
      </c>
      <c r="AV85" s="538">
        <v>79.615384615384656</v>
      </c>
      <c r="AW85" s="538">
        <v>12</v>
      </c>
      <c r="AX85" s="642"/>
      <c r="AZ85" s="377" t="e">
        <f t="shared" si="22"/>
        <v>#N/A</v>
      </c>
      <c r="BA85" s="653"/>
    </row>
    <row r="86" spans="2:53">
      <c r="B86" s="635"/>
      <c r="C86" s="529">
        <v>10</v>
      </c>
      <c r="D86" s="416" t="s">
        <v>320</v>
      </c>
      <c r="E86" s="531">
        <v>17</v>
      </c>
      <c r="F86" s="416">
        <v>1500</v>
      </c>
      <c r="G86" s="363">
        <v>88.235294117647058</v>
      </c>
      <c r="H86" s="678"/>
      <c r="I86" s="531">
        <f t="shared" si="21"/>
        <v>17</v>
      </c>
      <c r="J86" s="531">
        <f t="shared" si="21"/>
        <v>1369.9733650659584</v>
      </c>
      <c r="K86" s="363">
        <f t="shared" si="21"/>
        <v>80.586668533291686</v>
      </c>
      <c r="L86" s="615"/>
      <c r="M86" s="536">
        <f>RANK(K86, K$77:$K$106)</f>
        <v>10</v>
      </c>
      <c r="N86" s="624"/>
      <c r="O86" s="624"/>
      <c r="P86" s="529">
        <v>17</v>
      </c>
      <c r="Q86" s="538">
        <v>1349.4117647058829</v>
      </c>
      <c r="R86" s="538">
        <v>79.377162629757819</v>
      </c>
      <c r="S86" s="529">
        <v>12</v>
      </c>
      <c r="T86" s="642"/>
      <c r="U86" s="529">
        <v>17</v>
      </c>
      <c r="V86" s="538">
        <v>1392.8571428571424</v>
      </c>
      <c r="W86" s="538">
        <v>81.932773109243669</v>
      </c>
      <c r="X86" s="538">
        <v>9</v>
      </c>
      <c r="Y86" s="642"/>
      <c r="Z86" s="529">
        <v>17</v>
      </c>
      <c r="AA86" s="538">
        <v>1358.9999999999995</v>
      </c>
      <c r="AB86" s="538">
        <v>79.941176470588204</v>
      </c>
      <c r="AC86" s="538">
        <v>10</v>
      </c>
      <c r="AD86" s="642"/>
      <c r="AE86" s="529">
        <v>17</v>
      </c>
      <c r="AF86" s="538">
        <v>1344</v>
      </c>
      <c r="AG86" s="538">
        <v>79.058823529411768</v>
      </c>
      <c r="AH86" s="538">
        <v>12</v>
      </c>
      <c r="AI86" s="642"/>
      <c r="AJ86" s="529">
        <v>17</v>
      </c>
      <c r="AK86" s="538">
        <v>1366.3636363636365</v>
      </c>
      <c r="AL86" s="538">
        <v>80.37433155080214</v>
      </c>
      <c r="AM86" s="538">
        <v>9</v>
      </c>
      <c r="AN86" s="642"/>
      <c r="AO86" s="529">
        <v>17</v>
      </c>
      <c r="AP86" s="538">
        <v>1381.2244897959188</v>
      </c>
      <c r="AQ86" s="538">
        <v>81.248499399759922</v>
      </c>
      <c r="AR86" s="538">
        <v>9</v>
      </c>
      <c r="AS86" s="642"/>
      <c r="AT86" s="529">
        <v>17</v>
      </c>
      <c r="AU86" s="538">
        <v>1396.9565217391305</v>
      </c>
      <c r="AV86" s="538">
        <v>82.173913043478265</v>
      </c>
      <c r="AW86" s="538">
        <v>8</v>
      </c>
      <c r="AX86" s="642"/>
      <c r="AZ86" s="377" t="e">
        <f t="shared" si="22"/>
        <v>#N/A</v>
      </c>
      <c r="BA86" s="653"/>
    </row>
    <row r="87" spans="2:53">
      <c r="B87" s="635"/>
      <c r="C87" s="529">
        <v>11</v>
      </c>
      <c r="D87" s="416" t="s">
        <v>431</v>
      </c>
      <c r="E87" s="531">
        <v>20</v>
      </c>
      <c r="F87" s="416">
        <v>1440</v>
      </c>
      <c r="G87" s="363">
        <v>72</v>
      </c>
      <c r="H87" s="678"/>
      <c r="I87" s="531">
        <f t="shared" si="21"/>
        <v>20</v>
      </c>
      <c r="J87" s="531">
        <f t="shared" si="21"/>
        <v>1312.9981374462943</v>
      </c>
      <c r="K87" s="363">
        <f t="shared" si="21"/>
        <v>65.649906872314702</v>
      </c>
      <c r="L87" s="615"/>
      <c r="M87" s="536">
        <f>RANK(K87, K$77:$K$106)</f>
        <v>22</v>
      </c>
      <c r="N87" s="624"/>
      <c r="O87" s="624"/>
      <c r="P87" s="529">
        <v>20</v>
      </c>
      <c r="Q87" s="538">
        <v>1333.6708860759486</v>
      </c>
      <c r="R87" s="538">
        <v>66.683544303797433</v>
      </c>
      <c r="S87" s="529">
        <v>21</v>
      </c>
      <c r="T87" s="642"/>
      <c r="U87" s="529">
        <v>20</v>
      </c>
      <c r="V87" s="538">
        <v>1303.0985915492945</v>
      </c>
      <c r="W87" s="538">
        <v>65.154929577464728</v>
      </c>
      <c r="X87" s="538">
        <v>21</v>
      </c>
      <c r="Y87" s="642"/>
      <c r="Z87" s="529">
        <v>20</v>
      </c>
      <c r="AA87" s="538">
        <v>1316.1290322580658</v>
      </c>
      <c r="AB87" s="538">
        <v>65.806451612903288</v>
      </c>
      <c r="AC87" s="538">
        <v>21</v>
      </c>
      <c r="AD87" s="642"/>
      <c r="AE87" s="529">
        <v>20</v>
      </c>
      <c r="AF87" s="538">
        <v>1309.0000000000014</v>
      </c>
      <c r="AG87" s="538">
        <v>65.450000000000074</v>
      </c>
      <c r="AH87" s="538">
        <v>21</v>
      </c>
      <c r="AI87" s="642"/>
      <c r="AJ87" s="529">
        <v>20</v>
      </c>
      <c r="AK87" s="538">
        <v>1314.4615384615399</v>
      </c>
      <c r="AL87" s="538">
        <v>65.723076923077002</v>
      </c>
      <c r="AM87" s="538">
        <v>21</v>
      </c>
      <c r="AN87" s="642"/>
      <c r="AO87" s="529">
        <v>20</v>
      </c>
      <c r="AP87" s="538">
        <v>1300.2739726027387</v>
      </c>
      <c r="AQ87" s="538">
        <v>65.013698630136929</v>
      </c>
      <c r="AR87" s="538">
        <v>21</v>
      </c>
      <c r="AS87" s="642"/>
      <c r="AT87" s="529">
        <v>20</v>
      </c>
      <c r="AU87" s="538">
        <v>1314.3529411764705</v>
      </c>
      <c r="AV87" s="538">
        <v>65.71764705882353</v>
      </c>
      <c r="AW87" s="538">
        <v>22</v>
      </c>
      <c r="AX87" s="642"/>
      <c r="AZ87" s="377" t="e">
        <f t="shared" si="22"/>
        <v>#N/A</v>
      </c>
      <c r="BA87" s="653"/>
    </row>
    <row r="88" spans="2:53">
      <c r="B88" s="635"/>
      <c r="C88" s="529">
        <v>12</v>
      </c>
      <c r="D88" s="416" t="s">
        <v>341</v>
      </c>
      <c r="E88" s="531">
        <v>14</v>
      </c>
      <c r="F88" s="416">
        <v>1440</v>
      </c>
      <c r="G88" s="363">
        <v>102.85714285714286</v>
      </c>
      <c r="H88" s="678"/>
      <c r="I88" s="531">
        <f t="shared" si="21"/>
        <v>15</v>
      </c>
      <c r="J88" s="531">
        <f t="shared" si="21"/>
        <v>1313.3787437273827</v>
      </c>
      <c r="K88" s="363">
        <f t="shared" si="21"/>
        <v>87.558582915158837</v>
      </c>
      <c r="L88" s="615"/>
      <c r="M88" s="536">
        <f>RANK(K88, K$77:$K$106)</f>
        <v>4</v>
      </c>
      <c r="N88" s="624"/>
      <c r="O88" s="624"/>
      <c r="P88" s="529">
        <v>15</v>
      </c>
      <c r="Q88" s="538">
        <v>1342.758620689656</v>
      </c>
      <c r="R88" s="538">
        <v>89.517241379310406</v>
      </c>
      <c r="S88" s="529">
        <v>3</v>
      </c>
      <c r="T88" s="642"/>
      <c r="U88" s="529">
        <v>15</v>
      </c>
      <c r="V88" s="538">
        <v>1318.9285714285725</v>
      </c>
      <c r="W88" s="538">
        <v>87.928571428571502</v>
      </c>
      <c r="X88" s="538">
        <v>6</v>
      </c>
      <c r="Y88" s="642"/>
      <c r="Z88" s="529">
        <v>15</v>
      </c>
      <c r="AA88" s="538">
        <v>1310.4545454545455</v>
      </c>
      <c r="AB88" s="538">
        <v>87.36363636363636</v>
      </c>
      <c r="AC88" s="538">
        <v>5</v>
      </c>
      <c r="AD88" s="642"/>
      <c r="AE88" s="529">
        <v>15</v>
      </c>
      <c r="AF88" s="538">
        <v>1325.3333333333333</v>
      </c>
      <c r="AG88" s="538">
        <v>88.355555555555554</v>
      </c>
      <c r="AH88" s="538">
        <v>4</v>
      </c>
      <c r="AI88" s="642"/>
      <c r="AJ88" s="529">
        <v>15</v>
      </c>
      <c r="AK88" s="538">
        <v>1287.6923076923085</v>
      </c>
      <c r="AL88" s="538">
        <v>85.846153846153896</v>
      </c>
      <c r="AM88" s="538">
        <v>6</v>
      </c>
      <c r="AN88" s="642"/>
      <c r="AO88" s="529">
        <v>15</v>
      </c>
      <c r="AP88" s="538">
        <v>1316.7857142857151</v>
      </c>
      <c r="AQ88" s="538">
        <v>87.785714285714349</v>
      </c>
      <c r="AR88" s="538">
        <v>4</v>
      </c>
      <c r="AS88" s="642"/>
      <c r="AT88" s="529">
        <v>15</v>
      </c>
      <c r="AU88" s="538">
        <v>1291.698113207548</v>
      </c>
      <c r="AV88" s="538">
        <v>86.113207547169864</v>
      </c>
      <c r="AW88" s="538">
        <v>5</v>
      </c>
      <c r="AX88" s="642"/>
      <c r="AZ88" s="377" t="e">
        <f t="shared" si="22"/>
        <v>#N/A</v>
      </c>
      <c r="BA88" s="653"/>
    </row>
    <row r="89" spans="2:53">
      <c r="B89" s="635"/>
      <c r="C89" s="529">
        <v>13</v>
      </c>
      <c r="D89" s="416" t="s">
        <v>313</v>
      </c>
      <c r="E89" s="531">
        <v>19</v>
      </c>
      <c r="F89" s="416">
        <v>1440</v>
      </c>
      <c r="G89" s="363">
        <v>75.78947368421052</v>
      </c>
      <c r="H89" s="678"/>
      <c r="I89" s="531">
        <f t="shared" si="21"/>
        <v>19</v>
      </c>
      <c r="J89" s="531">
        <f t="shared" si="21"/>
        <v>1318.656005733294</v>
      </c>
      <c r="K89" s="363">
        <f t="shared" si="21"/>
        <v>69.402947670173361</v>
      </c>
      <c r="L89" s="615"/>
      <c r="M89" s="536">
        <f>RANK(K89, K$77:$K$106)</f>
        <v>18</v>
      </c>
      <c r="N89" s="624"/>
      <c r="O89" s="624"/>
      <c r="P89" s="529">
        <v>19</v>
      </c>
      <c r="Q89" s="538">
        <v>1333.695652173913</v>
      </c>
      <c r="R89" s="538">
        <v>70.19450800915331</v>
      </c>
      <c r="S89" s="529">
        <v>17</v>
      </c>
      <c r="T89" s="642"/>
      <c r="U89" s="529">
        <v>19</v>
      </c>
      <c r="V89" s="538">
        <v>1301.4814814814811</v>
      </c>
      <c r="W89" s="538">
        <v>68.499025341130576</v>
      </c>
      <c r="X89" s="538">
        <v>20</v>
      </c>
      <c r="Y89" s="642"/>
      <c r="Z89" s="529">
        <v>19</v>
      </c>
      <c r="AA89" s="538">
        <v>1296.3380281690127</v>
      </c>
      <c r="AB89" s="538">
        <v>68.228317272053303</v>
      </c>
      <c r="AC89" s="538">
        <v>20</v>
      </c>
      <c r="AD89" s="642"/>
      <c r="AE89" s="529">
        <v>19</v>
      </c>
      <c r="AF89" s="538">
        <v>1323.3333333333323</v>
      </c>
      <c r="AG89" s="538">
        <v>69.649122807017491</v>
      </c>
      <c r="AH89" s="538">
        <v>17</v>
      </c>
      <c r="AI89" s="642"/>
      <c r="AJ89" s="529">
        <v>19</v>
      </c>
      <c r="AK89" s="538">
        <v>1336.1538461538453</v>
      </c>
      <c r="AL89" s="538">
        <v>70.323886639676061</v>
      </c>
      <c r="AM89" s="538">
        <v>18</v>
      </c>
      <c r="AN89" s="642"/>
      <c r="AO89" s="529">
        <v>19</v>
      </c>
      <c r="AP89" s="538">
        <v>1323.0379746835438</v>
      </c>
      <c r="AQ89" s="538">
        <v>69.633577614923354</v>
      </c>
      <c r="AR89" s="538">
        <v>18</v>
      </c>
      <c r="AS89" s="642"/>
      <c r="AT89" s="529">
        <v>19</v>
      </c>
      <c r="AU89" s="538">
        <v>1316.5517241379307</v>
      </c>
      <c r="AV89" s="538">
        <v>69.292196007259506</v>
      </c>
      <c r="AW89" s="538">
        <v>20</v>
      </c>
      <c r="AX89" s="642"/>
      <c r="AZ89" s="377" t="e">
        <f t="shared" si="22"/>
        <v>#N/A</v>
      </c>
      <c r="BA89" s="653"/>
    </row>
    <row r="90" spans="2:53">
      <c r="B90" s="635"/>
      <c r="C90" s="529">
        <v>14</v>
      </c>
      <c r="D90" s="416" t="s">
        <v>336</v>
      </c>
      <c r="E90" s="531">
        <v>19</v>
      </c>
      <c r="F90" s="416">
        <v>1440</v>
      </c>
      <c r="G90" s="363">
        <v>75.78947368421052</v>
      </c>
      <c r="H90" s="678"/>
      <c r="I90" s="531">
        <f t="shared" si="21"/>
        <v>19</v>
      </c>
      <c r="J90" s="531">
        <f t="shared" si="21"/>
        <v>1311.1889747084472</v>
      </c>
      <c r="K90" s="363">
        <f t="shared" si="21"/>
        <v>69.009946037286696</v>
      </c>
      <c r="L90" s="615"/>
      <c r="M90" s="536">
        <f>RANK(K90, K$77:$K$106)</f>
        <v>21</v>
      </c>
      <c r="N90" s="624"/>
      <c r="O90" s="624"/>
      <c r="P90" s="529">
        <v>19</v>
      </c>
      <c r="Q90" s="538">
        <v>1312.0588235294135</v>
      </c>
      <c r="R90" s="538">
        <v>69.055727554179654</v>
      </c>
      <c r="S90" s="529">
        <v>19</v>
      </c>
      <c r="T90" s="642"/>
      <c r="U90" s="529">
        <v>19</v>
      </c>
      <c r="V90" s="538">
        <v>1305.0000000000016</v>
      </c>
      <c r="W90" s="538">
        <v>68.68421052631588</v>
      </c>
      <c r="X90" s="538">
        <v>19</v>
      </c>
      <c r="Y90" s="642"/>
      <c r="Z90" s="529">
        <v>19</v>
      </c>
      <c r="AA90" s="538">
        <v>1296.8421052631588</v>
      </c>
      <c r="AB90" s="538">
        <v>68.254847645429408</v>
      </c>
      <c r="AC90" s="538">
        <v>19</v>
      </c>
      <c r="AD90" s="642"/>
      <c r="AE90" s="529">
        <v>19</v>
      </c>
      <c r="AF90" s="538">
        <v>1287.9310344827597</v>
      </c>
      <c r="AG90" s="538">
        <v>67.785843920145254</v>
      </c>
      <c r="AH90" s="538">
        <v>20</v>
      </c>
      <c r="AI90" s="642"/>
      <c r="AJ90" s="529">
        <v>19</v>
      </c>
      <c r="AK90" s="538">
        <v>1305.9375000000016</v>
      </c>
      <c r="AL90" s="538">
        <v>68.73355263157903</v>
      </c>
      <c r="AM90" s="538">
        <v>20</v>
      </c>
      <c r="AN90" s="642"/>
      <c r="AO90" s="529">
        <v>19</v>
      </c>
      <c r="AP90" s="538">
        <v>1327.8260869565204</v>
      </c>
      <c r="AQ90" s="538">
        <v>69.885583524027382</v>
      </c>
      <c r="AR90" s="538">
        <v>17</v>
      </c>
      <c r="AS90" s="642"/>
      <c r="AT90" s="529">
        <v>19</v>
      </c>
      <c r="AU90" s="538">
        <v>1342.7272727272743</v>
      </c>
      <c r="AV90" s="538">
        <v>70.669856459330234</v>
      </c>
      <c r="AW90" s="538">
        <v>18</v>
      </c>
      <c r="AX90" s="642"/>
      <c r="AZ90" s="377" t="e">
        <f t="shared" si="22"/>
        <v>#N/A</v>
      </c>
      <c r="BA90" s="653"/>
    </row>
    <row r="91" spans="2:53">
      <c r="B91" s="635"/>
      <c r="C91" s="529">
        <v>15</v>
      </c>
      <c r="D91" s="416" t="s">
        <v>562</v>
      </c>
      <c r="E91" s="531">
        <v>18</v>
      </c>
      <c r="F91" s="416">
        <v>1500</v>
      </c>
      <c r="G91" s="363">
        <v>83.333333333333329</v>
      </c>
      <c r="H91" s="678"/>
      <c r="I91" s="531">
        <f t="shared" si="21"/>
        <v>18</v>
      </c>
      <c r="J91" s="531">
        <f t="shared" si="21"/>
        <v>1385.1724175444681</v>
      </c>
      <c r="K91" s="363">
        <f t="shared" si="21"/>
        <v>76.954023196914889</v>
      </c>
      <c r="L91" s="615"/>
      <c r="M91" s="536">
        <f>RANK(K91, K$77:$K$106)</f>
        <v>16</v>
      </c>
      <c r="N91" s="624"/>
      <c r="O91" s="624"/>
      <c r="P91" s="529">
        <v>18</v>
      </c>
      <c r="Q91" s="538">
        <v>1392.9230769230783</v>
      </c>
      <c r="R91" s="538">
        <v>77.384615384615458</v>
      </c>
      <c r="S91" s="529">
        <v>15</v>
      </c>
      <c r="T91" s="642"/>
      <c r="U91" s="529">
        <v>18</v>
      </c>
      <c r="V91" s="538">
        <v>1393.1506849315058</v>
      </c>
      <c r="W91" s="538">
        <v>77.397260273972549</v>
      </c>
      <c r="X91" s="538">
        <v>14</v>
      </c>
      <c r="Y91" s="642"/>
      <c r="Z91" s="529">
        <v>18</v>
      </c>
      <c r="AA91" s="538">
        <v>1369.8461538461554</v>
      </c>
      <c r="AB91" s="538">
        <v>76.102564102564187</v>
      </c>
      <c r="AC91" s="538">
        <v>14</v>
      </c>
      <c r="AD91" s="642"/>
      <c r="AE91" s="529">
        <v>18</v>
      </c>
      <c r="AF91" s="538">
        <v>1382.3529411764712</v>
      </c>
      <c r="AG91" s="538">
        <v>76.797385620915065</v>
      </c>
      <c r="AH91" s="538">
        <v>13</v>
      </c>
      <c r="AI91" s="642"/>
      <c r="AJ91" s="529">
        <v>18</v>
      </c>
      <c r="AK91" s="538">
        <v>1390.0000000000007</v>
      </c>
      <c r="AL91" s="538">
        <v>77.222222222222257</v>
      </c>
      <c r="AM91" s="538">
        <v>14</v>
      </c>
      <c r="AN91" s="642"/>
      <c r="AO91" s="529">
        <v>18</v>
      </c>
      <c r="AP91" s="538">
        <v>1393.0769230769222</v>
      </c>
      <c r="AQ91" s="538">
        <v>77.393162393162342</v>
      </c>
      <c r="AR91" s="538">
        <v>15</v>
      </c>
      <c r="AS91" s="642"/>
      <c r="AT91" s="529">
        <v>18</v>
      </c>
      <c r="AU91" s="538">
        <v>1374.8571428571413</v>
      </c>
      <c r="AV91" s="538">
        <v>76.380952380952294</v>
      </c>
      <c r="AW91" s="538">
        <v>15</v>
      </c>
      <c r="AX91" s="642"/>
      <c r="AZ91" s="377" t="e">
        <f t="shared" si="22"/>
        <v>#N/A</v>
      </c>
      <c r="BA91" s="653"/>
    </row>
    <row r="92" spans="2:53">
      <c r="B92" s="635"/>
      <c r="C92" s="529">
        <v>16</v>
      </c>
      <c r="D92" s="416" t="s">
        <v>428</v>
      </c>
      <c r="E92" s="531">
        <v>17</v>
      </c>
      <c r="F92" s="416">
        <v>1440</v>
      </c>
      <c r="G92" s="363">
        <v>84.705882352941174</v>
      </c>
      <c r="H92" s="678"/>
      <c r="I92" s="531">
        <f t="shared" si="21"/>
        <v>17</v>
      </c>
      <c r="J92" s="531">
        <f t="shared" si="21"/>
        <v>1317.1564278315143</v>
      </c>
      <c r="K92" s="363">
        <f t="shared" si="21"/>
        <v>77.479789872441998</v>
      </c>
      <c r="L92" s="615"/>
      <c r="M92" s="536">
        <f>RANK(K92, K$77:$K$106)</f>
        <v>15</v>
      </c>
      <c r="N92" s="624"/>
      <c r="O92" s="624"/>
      <c r="P92" s="529">
        <v>17</v>
      </c>
      <c r="Q92" s="538">
        <v>1327.1428571428569</v>
      </c>
      <c r="R92" s="538">
        <v>78.067226890756288</v>
      </c>
      <c r="S92" s="529">
        <v>14</v>
      </c>
      <c r="T92" s="642"/>
      <c r="U92" s="529">
        <v>17</v>
      </c>
      <c r="V92" s="538">
        <v>1306.8292682926826</v>
      </c>
      <c r="W92" s="538">
        <v>76.872309899569572</v>
      </c>
      <c r="X92" s="538">
        <v>15</v>
      </c>
      <c r="Y92" s="642"/>
      <c r="Z92" s="529">
        <v>17</v>
      </c>
      <c r="AA92" s="538">
        <v>1326.4285714285684</v>
      </c>
      <c r="AB92" s="538">
        <v>78.025210084033432</v>
      </c>
      <c r="AC92" s="538">
        <v>13</v>
      </c>
      <c r="AD92" s="642"/>
      <c r="AE92" s="529">
        <v>17</v>
      </c>
      <c r="AF92" s="538">
        <v>1297.2972972972962</v>
      </c>
      <c r="AG92" s="538">
        <v>76.311605723370363</v>
      </c>
      <c r="AH92" s="538">
        <v>15</v>
      </c>
      <c r="AI92" s="642"/>
      <c r="AJ92" s="529">
        <v>17</v>
      </c>
      <c r="AK92" s="538">
        <v>1316.7567567567557</v>
      </c>
      <c r="AL92" s="538">
        <v>77.456279809220931</v>
      </c>
      <c r="AM92" s="538">
        <v>13</v>
      </c>
      <c r="AN92" s="642"/>
      <c r="AO92" s="529">
        <v>17</v>
      </c>
      <c r="AP92" s="538">
        <v>1321.2500000000005</v>
      </c>
      <c r="AQ92" s="538">
        <v>77.720588235294144</v>
      </c>
      <c r="AR92" s="538">
        <v>14</v>
      </c>
      <c r="AS92" s="642"/>
      <c r="AT92" s="529">
        <v>17</v>
      </c>
      <c r="AU92" s="538">
        <v>1324.3902439024387</v>
      </c>
      <c r="AV92" s="538">
        <v>77.905308464849327</v>
      </c>
      <c r="AW92" s="538">
        <v>14</v>
      </c>
      <c r="AX92" s="642"/>
      <c r="AZ92" s="377" t="e">
        <f t="shared" si="22"/>
        <v>#N/A</v>
      </c>
      <c r="BA92" s="653"/>
    </row>
    <row r="93" spans="2:53">
      <c r="B93" s="635"/>
      <c r="C93" s="529">
        <v>17</v>
      </c>
      <c r="D93" s="416" t="s">
        <v>697</v>
      </c>
      <c r="E93" s="531">
        <v>16</v>
      </c>
      <c r="F93" s="416">
        <v>1636</v>
      </c>
      <c r="G93" s="363">
        <v>102.25</v>
      </c>
      <c r="H93" s="678"/>
      <c r="I93" s="531">
        <f t="shared" si="21"/>
        <v>16</v>
      </c>
      <c r="J93" s="531">
        <f t="shared" si="21"/>
        <v>1414.8237132432193</v>
      </c>
      <c r="K93" s="363">
        <f t="shared" si="21"/>
        <v>88.426482077701209</v>
      </c>
      <c r="L93" s="615"/>
      <c r="M93" s="536">
        <f>RANK(K93, K$77:$K$106)</f>
        <v>3</v>
      </c>
      <c r="N93" s="624"/>
      <c r="O93" s="624"/>
      <c r="P93" s="529">
        <v>16</v>
      </c>
      <c r="Q93" s="538">
        <v>1430.8695652173915</v>
      </c>
      <c r="R93" s="538">
        <v>89.429347826086968</v>
      </c>
      <c r="S93" s="529">
        <v>4</v>
      </c>
      <c r="T93" s="642"/>
      <c r="U93" s="529">
        <v>16</v>
      </c>
      <c r="V93" s="538">
        <v>1425.6521739130435</v>
      </c>
      <c r="W93" s="538">
        <v>89.103260869565219</v>
      </c>
      <c r="X93" s="538">
        <v>4</v>
      </c>
      <c r="Y93" s="642"/>
      <c r="Z93" s="529">
        <v>16</v>
      </c>
      <c r="AA93" s="538">
        <v>1441.7142857142842</v>
      </c>
      <c r="AB93" s="538">
        <v>90.107142857142762</v>
      </c>
      <c r="AC93" s="538">
        <v>3</v>
      </c>
      <c r="AD93" s="642"/>
      <c r="AE93" s="529">
        <v>16</v>
      </c>
      <c r="AF93" s="538">
        <v>1362.4390243902435</v>
      </c>
      <c r="AG93" s="538">
        <v>85.152439024390219</v>
      </c>
      <c r="AH93" s="538">
        <v>6</v>
      </c>
      <c r="AI93" s="642"/>
      <c r="AJ93" s="529">
        <v>16</v>
      </c>
      <c r="AK93" s="538">
        <v>1415.1219512195119</v>
      </c>
      <c r="AL93" s="538">
        <v>88.445121951219491</v>
      </c>
      <c r="AM93" s="538">
        <v>3</v>
      </c>
      <c r="AN93" s="642"/>
      <c r="AO93" s="529">
        <v>16</v>
      </c>
      <c r="AP93" s="538">
        <v>1418.6666666666667</v>
      </c>
      <c r="AQ93" s="538">
        <v>88.666666666666671</v>
      </c>
      <c r="AR93" s="538">
        <v>3</v>
      </c>
      <c r="AS93" s="642"/>
      <c r="AT93" s="529">
        <v>16</v>
      </c>
      <c r="AU93" s="538">
        <v>1409.3023255813951</v>
      </c>
      <c r="AV93" s="538">
        <v>88.081395348837191</v>
      </c>
      <c r="AW93" s="538">
        <v>3</v>
      </c>
      <c r="AX93" s="642"/>
      <c r="AZ93" s="377" t="e">
        <f t="shared" si="22"/>
        <v>#N/A</v>
      </c>
      <c r="BA93" s="653"/>
    </row>
    <row r="94" spans="2:53">
      <c r="B94" s="635"/>
      <c r="C94" s="529">
        <v>18</v>
      </c>
      <c r="D94" s="416" t="s">
        <v>726</v>
      </c>
      <c r="E94" s="531">
        <v>16</v>
      </c>
      <c r="F94" s="416">
        <v>1500</v>
      </c>
      <c r="G94" s="363">
        <v>93.75</v>
      </c>
      <c r="H94" s="678"/>
      <c r="I94" s="531">
        <f t="shared" si="21"/>
        <v>16.571428571428573</v>
      </c>
      <c r="J94" s="531">
        <f t="shared" si="21"/>
        <v>1370.2697270076785</v>
      </c>
      <c r="K94" s="363">
        <f t="shared" si="21"/>
        <v>82.774781682586877</v>
      </c>
      <c r="L94" s="615"/>
      <c r="M94" s="536">
        <f>RANK(K94, K$77:$K$106)</f>
        <v>8</v>
      </c>
      <c r="N94" s="624"/>
      <c r="O94" s="624"/>
      <c r="P94" s="529">
        <v>16</v>
      </c>
      <c r="Q94" s="538">
        <v>1366.1538461538469</v>
      </c>
      <c r="R94" s="538">
        <v>85.384615384615429</v>
      </c>
      <c r="S94" s="529">
        <v>5</v>
      </c>
      <c r="T94" s="642"/>
      <c r="U94" s="529">
        <v>17</v>
      </c>
      <c r="V94" s="538">
        <v>1362.3529411764712</v>
      </c>
      <c r="W94" s="538">
        <v>80.138408304498299</v>
      </c>
      <c r="X94" s="538">
        <v>11</v>
      </c>
      <c r="Y94" s="642"/>
      <c r="Z94" s="529">
        <v>16</v>
      </c>
      <c r="AA94" s="538">
        <v>1378.4210526315778</v>
      </c>
      <c r="AB94" s="538">
        <v>86.151315789473614</v>
      </c>
      <c r="AC94" s="538">
        <v>6</v>
      </c>
      <c r="AD94" s="642"/>
      <c r="AE94" s="529">
        <v>17</v>
      </c>
      <c r="AF94" s="538">
        <v>1355.1219512195119</v>
      </c>
      <c r="AG94" s="538">
        <v>79.713055954088929</v>
      </c>
      <c r="AH94" s="538">
        <v>9</v>
      </c>
      <c r="AI94" s="642"/>
      <c r="AJ94" s="529">
        <v>17</v>
      </c>
      <c r="AK94" s="538">
        <v>1350.6382978723407</v>
      </c>
      <c r="AL94" s="538">
        <v>79.44931163954945</v>
      </c>
      <c r="AM94" s="538">
        <v>10</v>
      </c>
      <c r="AN94" s="642"/>
      <c r="AO94" s="529">
        <v>16</v>
      </c>
      <c r="AP94" s="538">
        <v>1388.4000000000005</v>
      </c>
      <c r="AQ94" s="538">
        <v>86.775000000000034</v>
      </c>
      <c r="AR94" s="538">
        <v>5</v>
      </c>
      <c r="AS94" s="642"/>
      <c r="AT94" s="529">
        <v>17</v>
      </c>
      <c r="AU94" s="538">
        <v>1390.8000000000004</v>
      </c>
      <c r="AV94" s="538">
        <v>81.811764705882382</v>
      </c>
      <c r="AW94" s="538">
        <v>9</v>
      </c>
      <c r="AX94" s="642"/>
      <c r="AZ94" s="377" t="e">
        <f t="shared" si="22"/>
        <v>#N/A</v>
      </c>
      <c r="BA94" s="653"/>
    </row>
    <row r="95" spans="2:53">
      <c r="B95" s="635"/>
      <c r="C95" s="529">
        <v>19</v>
      </c>
      <c r="D95" s="416" t="s">
        <v>727</v>
      </c>
      <c r="E95" s="531">
        <v>16</v>
      </c>
      <c r="F95" s="416">
        <v>1500</v>
      </c>
      <c r="G95" s="363">
        <v>93.75</v>
      </c>
      <c r="H95" s="678"/>
      <c r="I95" s="531">
        <f t="shared" si="21"/>
        <v>15.428571428571429</v>
      </c>
      <c r="J95" s="531">
        <f t="shared" si="21"/>
        <v>1300.4781458293166</v>
      </c>
      <c r="K95" s="363">
        <f t="shared" si="21"/>
        <v>84.582813296568574</v>
      </c>
      <c r="L95" s="615"/>
      <c r="M95" s="536">
        <f>RANK(K95, K$77:$K$106)</f>
        <v>7</v>
      </c>
      <c r="N95" s="624"/>
      <c r="O95" s="624"/>
      <c r="P95" s="529">
        <v>16</v>
      </c>
      <c r="Q95" s="538">
        <v>1299.7674418604647</v>
      </c>
      <c r="R95" s="538">
        <v>81.235465116279045</v>
      </c>
      <c r="S95" s="529">
        <v>9</v>
      </c>
      <c r="T95" s="642"/>
      <c r="U95" s="529">
        <v>14</v>
      </c>
      <c r="V95" s="538">
        <v>1311.7499999999995</v>
      </c>
      <c r="W95" s="538">
        <v>93.696428571428541</v>
      </c>
      <c r="X95" s="538">
        <v>3</v>
      </c>
      <c r="Y95" s="642"/>
      <c r="Z95" s="529">
        <v>16</v>
      </c>
      <c r="AA95" s="538">
        <v>1301.1940298507448</v>
      </c>
      <c r="AB95" s="538">
        <v>81.324626865671547</v>
      </c>
      <c r="AC95" s="538">
        <v>8</v>
      </c>
      <c r="AD95" s="642"/>
      <c r="AE95" s="529">
        <v>14</v>
      </c>
      <c r="AF95" s="538">
        <v>1277.7464788732382</v>
      </c>
      <c r="AG95" s="538">
        <v>91.267605633802731</v>
      </c>
      <c r="AH95" s="538">
        <v>3</v>
      </c>
      <c r="AI95" s="642"/>
      <c r="AJ95" s="529">
        <v>16</v>
      </c>
      <c r="AK95" s="538">
        <v>1342.1052631578937</v>
      </c>
      <c r="AL95" s="538">
        <v>83.881578947368354</v>
      </c>
      <c r="AM95" s="538">
        <v>7</v>
      </c>
      <c r="AN95" s="642"/>
      <c r="AO95" s="529">
        <v>16</v>
      </c>
      <c r="AP95" s="538">
        <v>1281.4814814814811</v>
      </c>
      <c r="AQ95" s="538">
        <v>80.092592592592567</v>
      </c>
      <c r="AR95" s="538">
        <v>11</v>
      </c>
      <c r="AS95" s="642"/>
      <c r="AT95" s="529">
        <v>16</v>
      </c>
      <c r="AU95" s="538">
        <v>1289.3023255813951</v>
      </c>
      <c r="AV95" s="538">
        <v>80.581395348837191</v>
      </c>
      <c r="AW95" s="538">
        <v>10</v>
      </c>
      <c r="AX95" s="642"/>
      <c r="AZ95" s="377" t="e">
        <f t="shared" si="22"/>
        <v>#N/A</v>
      </c>
      <c r="BA95" s="653"/>
    </row>
    <row r="96" spans="2:53">
      <c r="B96" s="635"/>
      <c r="C96" s="529">
        <v>20</v>
      </c>
      <c r="D96" s="416" t="s">
        <v>783</v>
      </c>
      <c r="E96" s="531">
        <v>16</v>
      </c>
      <c r="F96" s="416">
        <v>1440</v>
      </c>
      <c r="G96" s="363">
        <v>90</v>
      </c>
      <c r="H96" s="678"/>
      <c r="I96" s="531">
        <f t="shared" si="21"/>
        <v>15.571428571428571</v>
      </c>
      <c r="J96" s="531">
        <f t="shared" si="21"/>
        <v>1234.606207637318</v>
      </c>
      <c r="K96" s="363">
        <f t="shared" si="21"/>
        <v>79.395285936516046</v>
      </c>
      <c r="L96" s="615"/>
      <c r="M96" s="536">
        <f>RANK(K96, K$77:$K$106)</f>
        <v>12</v>
      </c>
      <c r="N96" s="624"/>
      <c r="O96" s="624"/>
      <c r="P96" s="529">
        <v>16</v>
      </c>
      <c r="Q96" s="538">
        <v>1285.2631578947357</v>
      </c>
      <c r="R96" s="538">
        <v>80.328947368420984</v>
      </c>
      <c r="S96" s="529">
        <v>11</v>
      </c>
      <c r="T96" s="642"/>
      <c r="U96" s="529">
        <v>15</v>
      </c>
      <c r="V96" s="538">
        <v>1335.4285714285702</v>
      </c>
      <c r="W96" s="538">
        <v>89.02857142857134</v>
      </c>
      <c r="X96" s="538">
        <v>5</v>
      </c>
      <c r="Y96" s="642"/>
      <c r="Z96" s="529">
        <v>16</v>
      </c>
      <c r="AA96" s="538">
        <v>1109.9999999999984</v>
      </c>
      <c r="AB96" s="538">
        <v>69.374999999999901</v>
      </c>
      <c r="AC96" s="538">
        <v>16</v>
      </c>
      <c r="AD96" s="642"/>
      <c r="AE96" s="529">
        <v>15</v>
      </c>
      <c r="AF96" s="538">
        <v>1313.5714285714257</v>
      </c>
      <c r="AG96" s="538">
        <v>87.571428571428385</v>
      </c>
      <c r="AH96" s="538">
        <v>5</v>
      </c>
      <c r="AI96" s="642"/>
      <c r="AJ96" s="529">
        <v>15</v>
      </c>
      <c r="AK96" s="538">
        <v>1101.4285714285691</v>
      </c>
      <c r="AL96" s="538">
        <v>73.428571428571274</v>
      </c>
      <c r="AM96" s="538">
        <v>15</v>
      </c>
      <c r="AN96" s="642"/>
      <c r="AO96" s="529">
        <v>16</v>
      </c>
      <c r="AP96" s="538">
        <v>1279.9999999999984</v>
      </c>
      <c r="AQ96" s="538">
        <v>79.999999999999901</v>
      </c>
      <c r="AR96" s="538">
        <v>12</v>
      </c>
      <c r="AS96" s="642"/>
      <c r="AT96" s="529">
        <v>16</v>
      </c>
      <c r="AU96" s="538">
        <v>1216.5517241379287</v>
      </c>
      <c r="AV96" s="538">
        <v>76.034482758620541</v>
      </c>
      <c r="AW96" s="538">
        <v>16</v>
      </c>
      <c r="AX96" s="642"/>
      <c r="AZ96" s="377" t="e">
        <f t="shared" si="22"/>
        <v>#N/A</v>
      </c>
      <c r="BA96" s="653"/>
    </row>
    <row r="97" spans="2:53">
      <c r="B97" s="635"/>
      <c r="C97" s="529">
        <v>21</v>
      </c>
      <c r="D97" s="416" t="s">
        <v>786</v>
      </c>
      <c r="E97" s="531">
        <v>19</v>
      </c>
      <c r="F97" s="416">
        <v>1440</v>
      </c>
      <c r="G97" s="363">
        <v>75.78947368421052</v>
      </c>
      <c r="H97" s="678"/>
      <c r="I97" s="531">
        <f t="shared" si="21"/>
        <v>19</v>
      </c>
      <c r="J97" s="531">
        <f t="shared" si="21"/>
        <v>1312.2300887522692</v>
      </c>
      <c r="K97" s="363">
        <f t="shared" si="21"/>
        <v>69.064741513277326</v>
      </c>
      <c r="L97" s="615"/>
      <c r="M97" s="536">
        <f>RANK(K97, K$77:$K$106)</f>
        <v>20</v>
      </c>
      <c r="N97" s="624"/>
      <c r="O97" s="624"/>
      <c r="P97" s="529">
        <v>19</v>
      </c>
      <c r="Q97" s="538">
        <v>1300.285714285716</v>
      </c>
      <c r="R97" s="538">
        <v>68.436090225564001</v>
      </c>
      <c r="S97" s="529">
        <v>20</v>
      </c>
      <c r="T97" s="642"/>
      <c r="U97" s="529">
        <v>19</v>
      </c>
      <c r="V97" s="538">
        <v>1323.4285714285702</v>
      </c>
      <c r="W97" s="538">
        <v>69.654135338345796</v>
      </c>
      <c r="X97" s="538">
        <v>17</v>
      </c>
      <c r="Y97" s="642"/>
      <c r="Z97" s="529">
        <v>19</v>
      </c>
      <c r="AA97" s="538">
        <v>1308.8888888888896</v>
      </c>
      <c r="AB97" s="538">
        <v>68.888888888888928</v>
      </c>
      <c r="AC97" s="538">
        <v>18</v>
      </c>
      <c r="AD97" s="642"/>
      <c r="AE97" s="529">
        <v>19</v>
      </c>
      <c r="AF97" s="538">
        <v>1309.8113207547178</v>
      </c>
      <c r="AG97" s="538">
        <v>68.937437934458828</v>
      </c>
      <c r="AH97" s="538">
        <v>18</v>
      </c>
      <c r="AI97" s="642"/>
      <c r="AJ97" s="529">
        <v>19</v>
      </c>
      <c r="AK97" s="538">
        <v>1340.3389830508486</v>
      </c>
      <c r="AL97" s="538">
        <v>70.544157002676243</v>
      </c>
      <c r="AM97" s="538">
        <v>17</v>
      </c>
      <c r="AN97" s="642"/>
      <c r="AO97" s="529">
        <v>19</v>
      </c>
      <c r="AP97" s="538">
        <v>1312.3809523809502</v>
      </c>
      <c r="AQ97" s="538">
        <v>69.072681704260546</v>
      </c>
      <c r="AR97" s="538">
        <v>19</v>
      </c>
      <c r="AS97" s="642"/>
      <c r="AT97" s="529">
        <v>19</v>
      </c>
      <c r="AU97" s="538">
        <v>1290.476190476192</v>
      </c>
      <c r="AV97" s="538">
        <v>67.91979949874694</v>
      </c>
      <c r="AW97" s="538">
        <v>21</v>
      </c>
      <c r="AX97" s="642"/>
      <c r="AZ97" s="377" t="e">
        <f t="shared" si="22"/>
        <v>#N/A</v>
      </c>
      <c r="BA97" s="653"/>
    </row>
    <row r="98" spans="2:53">
      <c r="B98" s="635"/>
      <c r="C98" s="529">
        <v>22</v>
      </c>
      <c r="D98" s="416" t="s">
        <v>844</v>
      </c>
      <c r="E98" s="531">
        <v>21</v>
      </c>
      <c r="F98" s="416">
        <v>1440</v>
      </c>
      <c r="G98" s="363">
        <v>68.571428571428569</v>
      </c>
      <c r="H98" s="678"/>
      <c r="I98" s="531">
        <f t="shared" si="21"/>
        <v>21</v>
      </c>
      <c r="J98" s="531">
        <f t="shared" si="21"/>
        <v>1135.3123121164665</v>
      </c>
      <c r="K98" s="363">
        <f t="shared" si="21"/>
        <v>54.062491053165061</v>
      </c>
      <c r="L98" s="615"/>
      <c r="M98" s="536">
        <f>RANK(K98, K$77:$K$106)</f>
        <v>24</v>
      </c>
      <c r="N98" s="624"/>
      <c r="O98" s="624"/>
      <c r="P98" s="529">
        <v>21</v>
      </c>
      <c r="Q98" s="538">
        <v>1102.0183486238539</v>
      </c>
      <c r="R98" s="538">
        <v>52.477064220183514</v>
      </c>
      <c r="S98" s="529">
        <v>23</v>
      </c>
      <c r="T98" s="642"/>
      <c r="U98" s="529">
        <v>21</v>
      </c>
      <c r="V98" s="538">
        <v>1128.7850467289725</v>
      </c>
      <c r="W98" s="538">
        <v>53.751668891855829</v>
      </c>
      <c r="X98" s="538">
        <v>23</v>
      </c>
      <c r="Y98" s="642"/>
      <c r="Z98" s="529">
        <v>21</v>
      </c>
      <c r="AA98" s="538">
        <v>1153.9024390243897</v>
      </c>
      <c r="AB98" s="538">
        <v>54.947735191637605</v>
      </c>
      <c r="AC98" s="538">
        <v>23</v>
      </c>
      <c r="AD98" s="642"/>
      <c r="AE98" s="529">
        <v>21</v>
      </c>
      <c r="AF98" s="538">
        <v>1128.705882352941</v>
      </c>
      <c r="AG98" s="538">
        <v>53.747899159663859</v>
      </c>
      <c r="AH98" s="538">
        <v>23</v>
      </c>
      <c r="AI98" s="642"/>
      <c r="AJ98" s="529">
        <v>21</v>
      </c>
      <c r="AK98" s="538">
        <v>1168.2000000000003</v>
      </c>
      <c r="AL98" s="538">
        <v>55.628571428571441</v>
      </c>
      <c r="AM98" s="538">
        <v>23</v>
      </c>
      <c r="AN98" s="642"/>
      <c r="AO98" s="529">
        <v>21</v>
      </c>
      <c r="AP98" s="538">
        <v>1149.5744680851064</v>
      </c>
      <c r="AQ98" s="538">
        <v>54.741641337386021</v>
      </c>
      <c r="AR98" s="538">
        <v>23</v>
      </c>
      <c r="AS98" s="642"/>
      <c r="AT98" s="529">
        <v>21</v>
      </c>
      <c r="AU98" s="538">
        <v>1116</v>
      </c>
      <c r="AV98" s="538">
        <v>53.142857142857146</v>
      </c>
      <c r="AW98" s="538">
        <v>24</v>
      </c>
      <c r="AX98" s="642"/>
      <c r="AZ98" s="377" t="e">
        <f t="shared" si="22"/>
        <v>#N/A</v>
      </c>
      <c r="BA98" s="653"/>
    </row>
    <row r="99" spans="2:53">
      <c r="B99" s="635"/>
      <c r="C99" s="529">
        <v>23</v>
      </c>
      <c r="D99" s="416" t="s">
        <v>845</v>
      </c>
      <c r="E99" s="531">
        <v>19</v>
      </c>
      <c r="F99" s="416">
        <v>1440</v>
      </c>
      <c r="G99" s="363">
        <v>75.78947368421052</v>
      </c>
      <c r="H99" s="678"/>
      <c r="I99" s="531">
        <f t="shared" si="21"/>
        <v>19</v>
      </c>
      <c r="J99" s="531">
        <f t="shared" si="21"/>
        <v>1318.0506717285641</v>
      </c>
      <c r="K99" s="363">
        <f t="shared" si="21"/>
        <v>69.371087985713899</v>
      </c>
      <c r="L99" s="615"/>
      <c r="M99" s="536">
        <f>RANK(K99, K$77:$K$106)</f>
        <v>19</v>
      </c>
      <c r="N99" s="624"/>
      <c r="O99" s="624"/>
      <c r="P99" s="529">
        <v>19</v>
      </c>
      <c r="Q99" s="538">
        <v>1332.9230769230767</v>
      </c>
      <c r="R99" s="538">
        <v>70.153846153846146</v>
      </c>
      <c r="S99" s="529">
        <v>18</v>
      </c>
      <c r="T99" s="642"/>
      <c r="U99" s="529">
        <v>19</v>
      </c>
      <c r="V99" s="538">
        <v>1319.491525423728</v>
      </c>
      <c r="W99" s="538">
        <v>69.446922390722534</v>
      </c>
      <c r="X99" s="538">
        <v>18</v>
      </c>
      <c r="Y99" s="642"/>
      <c r="Z99" s="529">
        <v>19</v>
      </c>
      <c r="AA99" s="538">
        <v>1317.1428571428567</v>
      </c>
      <c r="AB99" s="538">
        <v>69.323308270676662</v>
      </c>
      <c r="AC99" s="538">
        <v>17</v>
      </c>
      <c r="AD99" s="642"/>
      <c r="AE99" s="529">
        <v>19</v>
      </c>
      <c r="AF99" s="538">
        <v>1304.8275862068963</v>
      </c>
      <c r="AG99" s="538">
        <v>68.67513611615243</v>
      </c>
      <c r="AH99" s="538">
        <v>19</v>
      </c>
      <c r="AI99" s="642"/>
      <c r="AJ99" s="529">
        <v>19</v>
      </c>
      <c r="AK99" s="538">
        <v>1314.0740740740737</v>
      </c>
      <c r="AL99" s="538">
        <v>69.161793372319664</v>
      </c>
      <c r="AM99" s="538">
        <v>19</v>
      </c>
      <c r="AN99" s="642"/>
      <c r="AO99" s="529">
        <v>19</v>
      </c>
      <c r="AP99" s="538">
        <v>1310.6666666666667</v>
      </c>
      <c r="AQ99" s="538">
        <v>68.982456140350877</v>
      </c>
      <c r="AR99" s="538">
        <v>20</v>
      </c>
      <c r="AS99" s="642"/>
      <c r="AT99" s="529">
        <v>19</v>
      </c>
      <c r="AU99" s="538">
        <v>1327.22891566265</v>
      </c>
      <c r="AV99" s="538">
        <v>69.854153455928952</v>
      </c>
      <c r="AW99" s="538">
        <v>19</v>
      </c>
      <c r="AX99" s="642"/>
      <c r="AZ99" s="377" t="e">
        <f t="shared" si="22"/>
        <v>#N/A</v>
      </c>
      <c r="BA99" s="653"/>
    </row>
    <row r="100" spans="2:53">
      <c r="B100" s="635"/>
      <c r="C100" s="529">
        <v>24</v>
      </c>
      <c r="D100" s="416" t="s">
        <v>846</v>
      </c>
      <c r="E100" s="531">
        <v>17</v>
      </c>
      <c r="F100" s="416">
        <v>1440</v>
      </c>
      <c r="G100" s="363">
        <v>84.705882352941174</v>
      </c>
      <c r="H100" s="678"/>
      <c r="I100" s="531">
        <f t="shared" si="21"/>
        <v>17</v>
      </c>
      <c r="J100" s="531">
        <f t="shared" si="21"/>
        <v>1339.8837209302324</v>
      </c>
      <c r="K100" s="363">
        <f t="shared" si="21"/>
        <v>78.816689466484263</v>
      </c>
      <c r="L100" s="615"/>
      <c r="M100" s="536">
        <f>RANK(K100, K$77:$K$106)</f>
        <v>14</v>
      </c>
      <c r="N100" s="624"/>
      <c r="O100" s="624"/>
      <c r="P100" s="529" t="s">
        <v>427</v>
      </c>
      <c r="Q100" s="538" t="s">
        <v>427</v>
      </c>
      <c r="R100" s="538" t="s">
        <v>427</v>
      </c>
      <c r="S100" s="529" t="e">
        <v>#VALUE!</v>
      </c>
      <c r="T100" s="642"/>
      <c r="U100" s="529" t="s">
        <v>427</v>
      </c>
      <c r="V100" s="538" t="s">
        <v>427</v>
      </c>
      <c r="W100" s="538" t="s">
        <v>427</v>
      </c>
      <c r="X100" s="538" t="e">
        <v>#VALUE!</v>
      </c>
      <c r="Y100" s="642"/>
      <c r="Z100" s="529" t="s">
        <v>427</v>
      </c>
      <c r="AA100" s="538" t="s">
        <v>427</v>
      </c>
      <c r="AB100" s="538" t="s">
        <v>427</v>
      </c>
      <c r="AC100" s="538" t="e">
        <v>#VALUE!</v>
      </c>
      <c r="AD100" s="642"/>
      <c r="AE100" s="529" t="s">
        <v>427</v>
      </c>
      <c r="AF100" s="538" t="s">
        <v>427</v>
      </c>
      <c r="AG100" s="538" t="s">
        <v>427</v>
      </c>
      <c r="AH100" s="538" t="e">
        <v>#VALUE!</v>
      </c>
      <c r="AI100" s="642"/>
      <c r="AJ100" s="529" t="s">
        <v>427</v>
      </c>
      <c r="AK100" s="538" t="s">
        <v>427</v>
      </c>
      <c r="AL100" s="538" t="s">
        <v>427</v>
      </c>
      <c r="AM100" s="538" t="e">
        <v>#VALUE!</v>
      </c>
      <c r="AN100" s="642"/>
      <c r="AO100" s="529" t="s">
        <v>427</v>
      </c>
      <c r="AP100" s="538" t="s">
        <v>427</v>
      </c>
      <c r="AQ100" s="538" t="s">
        <v>427</v>
      </c>
      <c r="AR100" s="538" t="e">
        <v>#VALUE!</v>
      </c>
      <c r="AS100" s="642"/>
      <c r="AT100" s="529">
        <v>17</v>
      </c>
      <c r="AU100" s="538">
        <v>1339.8837209302324</v>
      </c>
      <c r="AV100" s="538">
        <v>78.816689466484263</v>
      </c>
      <c r="AW100" s="538">
        <v>13</v>
      </c>
      <c r="AX100" s="642"/>
      <c r="AZ100" s="377" t="e">
        <f t="shared" si="22"/>
        <v>#N/A</v>
      </c>
      <c r="BA100" s="653"/>
    </row>
    <row r="101" spans="2:53">
      <c r="B101" s="635"/>
      <c r="C101" s="529">
        <v>25</v>
      </c>
      <c r="D101" s="416"/>
      <c r="E101" s="531"/>
      <c r="F101" s="416"/>
      <c r="G101" s="363"/>
      <c r="H101" s="678"/>
      <c r="I101" s="531" t="str">
        <f t="shared" si="21"/>
        <v>-</v>
      </c>
      <c r="J101" s="531" t="str">
        <f t="shared" si="21"/>
        <v>-</v>
      </c>
      <c r="K101" s="363" t="str">
        <f t="shared" si="21"/>
        <v>-</v>
      </c>
      <c r="L101" s="615"/>
      <c r="M101" s="536" t="e">
        <f>RANK(K101, K$77:$K$106)</f>
        <v>#VALUE!</v>
      </c>
      <c r="N101" s="624"/>
      <c r="O101" s="624"/>
      <c r="P101" s="529" t="s">
        <v>427</v>
      </c>
      <c r="Q101" s="538" t="s">
        <v>427</v>
      </c>
      <c r="R101" s="538" t="s">
        <v>427</v>
      </c>
      <c r="S101" s="529" t="e">
        <v>#VALUE!</v>
      </c>
      <c r="T101" s="642"/>
      <c r="U101" s="529" t="s">
        <v>427</v>
      </c>
      <c r="V101" s="538" t="s">
        <v>427</v>
      </c>
      <c r="W101" s="538" t="s">
        <v>427</v>
      </c>
      <c r="X101" s="538" t="e">
        <v>#VALUE!</v>
      </c>
      <c r="Y101" s="642"/>
      <c r="Z101" s="529" t="s">
        <v>427</v>
      </c>
      <c r="AA101" s="538" t="s">
        <v>427</v>
      </c>
      <c r="AB101" s="538" t="s">
        <v>427</v>
      </c>
      <c r="AC101" s="538" t="e">
        <v>#VALUE!</v>
      </c>
      <c r="AD101" s="642"/>
      <c r="AE101" s="529" t="s">
        <v>427</v>
      </c>
      <c r="AF101" s="538" t="s">
        <v>427</v>
      </c>
      <c r="AG101" s="538" t="s">
        <v>427</v>
      </c>
      <c r="AH101" s="538" t="e">
        <v>#VALUE!</v>
      </c>
      <c r="AI101" s="642"/>
      <c r="AJ101" s="529" t="s">
        <v>427</v>
      </c>
      <c r="AK101" s="538" t="s">
        <v>427</v>
      </c>
      <c r="AL101" s="538" t="s">
        <v>427</v>
      </c>
      <c r="AM101" s="538" t="e">
        <v>#VALUE!</v>
      </c>
      <c r="AN101" s="642"/>
      <c r="AO101" s="529" t="s">
        <v>427</v>
      </c>
      <c r="AP101" s="538" t="s">
        <v>427</v>
      </c>
      <c r="AQ101" s="538" t="s">
        <v>427</v>
      </c>
      <c r="AR101" s="538" t="e">
        <v>#VALUE!</v>
      </c>
      <c r="AS101" s="642"/>
      <c r="AT101" s="529" t="s">
        <v>427</v>
      </c>
      <c r="AU101" s="538" t="s">
        <v>427</v>
      </c>
      <c r="AV101" s="538" t="s">
        <v>427</v>
      </c>
      <c r="AW101" s="538" t="e">
        <v>#VALUE!</v>
      </c>
      <c r="AX101" s="642"/>
      <c r="AZ101" s="377" t="e">
        <f t="shared" si="22"/>
        <v>#N/A</v>
      </c>
      <c r="BA101" s="653"/>
    </row>
    <row r="102" spans="2:53">
      <c r="B102" s="635"/>
      <c r="C102" s="529">
        <v>26</v>
      </c>
      <c r="D102" s="416"/>
      <c r="E102" s="531"/>
      <c r="F102" s="416"/>
      <c r="G102" s="363"/>
      <c r="H102" s="678"/>
      <c r="I102" s="531" t="str">
        <f t="shared" si="21"/>
        <v>-</v>
      </c>
      <c r="J102" s="531" t="str">
        <f t="shared" si="21"/>
        <v>-</v>
      </c>
      <c r="K102" s="363" t="str">
        <f t="shared" si="21"/>
        <v>-</v>
      </c>
      <c r="L102" s="615"/>
      <c r="M102" s="536" t="e">
        <f>RANK(K102, K$77:$K$106)</f>
        <v>#VALUE!</v>
      </c>
      <c r="N102" s="624"/>
      <c r="O102" s="624"/>
      <c r="P102" s="529" t="s">
        <v>427</v>
      </c>
      <c r="Q102" s="538" t="s">
        <v>427</v>
      </c>
      <c r="R102" s="538" t="s">
        <v>427</v>
      </c>
      <c r="S102" s="529" t="e">
        <v>#VALUE!</v>
      </c>
      <c r="T102" s="642"/>
      <c r="U102" s="529" t="s">
        <v>427</v>
      </c>
      <c r="V102" s="538" t="s">
        <v>427</v>
      </c>
      <c r="W102" s="538" t="s">
        <v>427</v>
      </c>
      <c r="X102" s="538" t="e">
        <v>#VALUE!</v>
      </c>
      <c r="Y102" s="642"/>
      <c r="Z102" s="529" t="s">
        <v>427</v>
      </c>
      <c r="AA102" s="538" t="s">
        <v>427</v>
      </c>
      <c r="AB102" s="538" t="s">
        <v>427</v>
      </c>
      <c r="AC102" s="538" t="e">
        <v>#VALUE!</v>
      </c>
      <c r="AD102" s="642"/>
      <c r="AE102" s="529" t="s">
        <v>427</v>
      </c>
      <c r="AF102" s="538" t="s">
        <v>427</v>
      </c>
      <c r="AG102" s="538" t="s">
        <v>427</v>
      </c>
      <c r="AH102" s="538" t="e">
        <v>#VALUE!</v>
      </c>
      <c r="AI102" s="642"/>
      <c r="AJ102" s="529" t="s">
        <v>427</v>
      </c>
      <c r="AK102" s="538" t="s">
        <v>427</v>
      </c>
      <c r="AL102" s="538" t="s">
        <v>427</v>
      </c>
      <c r="AM102" s="538" t="e">
        <v>#VALUE!</v>
      </c>
      <c r="AN102" s="642"/>
      <c r="AO102" s="529" t="s">
        <v>427</v>
      </c>
      <c r="AP102" s="538" t="s">
        <v>427</v>
      </c>
      <c r="AQ102" s="538" t="s">
        <v>427</v>
      </c>
      <c r="AR102" s="538" t="e">
        <v>#VALUE!</v>
      </c>
      <c r="AS102" s="642"/>
      <c r="AT102" s="529" t="s">
        <v>427</v>
      </c>
      <c r="AU102" s="538" t="s">
        <v>427</v>
      </c>
      <c r="AV102" s="538" t="s">
        <v>427</v>
      </c>
      <c r="AW102" s="538" t="e">
        <v>#VALUE!</v>
      </c>
      <c r="AX102" s="642"/>
      <c r="AZ102" s="377" t="e">
        <f t="shared" si="22"/>
        <v>#N/A</v>
      </c>
      <c r="BA102" s="653"/>
    </row>
    <row r="103" spans="2:53">
      <c r="B103" s="635"/>
      <c r="C103" s="529">
        <v>27</v>
      </c>
      <c r="D103" s="416"/>
      <c r="E103" s="531"/>
      <c r="F103" s="416"/>
      <c r="G103" s="363"/>
      <c r="H103" s="678"/>
      <c r="I103" s="531" t="str">
        <f t="shared" si="21"/>
        <v>-</v>
      </c>
      <c r="J103" s="531" t="str">
        <f t="shared" si="21"/>
        <v>-</v>
      </c>
      <c r="K103" s="363" t="str">
        <f t="shared" si="21"/>
        <v>-</v>
      </c>
      <c r="L103" s="615"/>
      <c r="M103" s="536" t="e">
        <f>RANK(K103, K$77:$K$106)</f>
        <v>#VALUE!</v>
      </c>
      <c r="N103" s="624"/>
      <c r="O103" s="624"/>
      <c r="P103" s="529" t="s">
        <v>427</v>
      </c>
      <c r="Q103" s="538" t="s">
        <v>427</v>
      </c>
      <c r="R103" s="538" t="s">
        <v>427</v>
      </c>
      <c r="S103" s="529" t="e">
        <v>#VALUE!</v>
      </c>
      <c r="T103" s="642"/>
      <c r="U103" s="529" t="s">
        <v>427</v>
      </c>
      <c r="V103" s="538" t="s">
        <v>427</v>
      </c>
      <c r="W103" s="538" t="s">
        <v>427</v>
      </c>
      <c r="X103" s="538" t="e">
        <v>#VALUE!</v>
      </c>
      <c r="Y103" s="642"/>
      <c r="Z103" s="529" t="s">
        <v>427</v>
      </c>
      <c r="AA103" s="538" t="s">
        <v>427</v>
      </c>
      <c r="AB103" s="538" t="s">
        <v>427</v>
      </c>
      <c r="AC103" s="538" t="e">
        <v>#VALUE!</v>
      </c>
      <c r="AD103" s="642"/>
      <c r="AE103" s="529" t="s">
        <v>427</v>
      </c>
      <c r="AF103" s="538" t="s">
        <v>427</v>
      </c>
      <c r="AG103" s="538" t="s">
        <v>427</v>
      </c>
      <c r="AH103" s="538" t="e">
        <v>#VALUE!</v>
      </c>
      <c r="AI103" s="642"/>
      <c r="AJ103" s="529" t="s">
        <v>427</v>
      </c>
      <c r="AK103" s="538" t="s">
        <v>427</v>
      </c>
      <c r="AL103" s="538" t="s">
        <v>427</v>
      </c>
      <c r="AM103" s="538" t="e">
        <v>#VALUE!</v>
      </c>
      <c r="AN103" s="642"/>
      <c r="AO103" s="529" t="s">
        <v>427</v>
      </c>
      <c r="AP103" s="538" t="s">
        <v>427</v>
      </c>
      <c r="AQ103" s="538" t="s">
        <v>427</v>
      </c>
      <c r="AR103" s="538" t="e">
        <v>#VALUE!</v>
      </c>
      <c r="AS103" s="642"/>
      <c r="AT103" s="529" t="s">
        <v>427</v>
      </c>
      <c r="AU103" s="538" t="s">
        <v>427</v>
      </c>
      <c r="AV103" s="538" t="s">
        <v>427</v>
      </c>
      <c r="AW103" s="538" t="e">
        <v>#VALUE!</v>
      </c>
      <c r="AX103" s="642"/>
      <c r="AZ103" s="377" t="e">
        <f t="shared" si="22"/>
        <v>#N/A</v>
      </c>
      <c r="BA103" s="653"/>
    </row>
    <row r="104" spans="2:53">
      <c r="B104" s="635"/>
      <c r="C104" s="529">
        <v>28</v>
      </c>
      <c r="D104" s="416"/>
      <c r="E104" s="531"/>
      <c r="F104" s="416"/>
      <c r="G104" s="363"/>
      <c r="H104" s="678"/>
      <c r="I104" s="531" t="str">
        <f t="shared" si="21"/>
        <v>-</v>
      </c>
      <c r="J104" s="531" t="str">
        <f t="shared" si="21"/>
        <v>-</v>
      </c>
      <c r="K104" s="363" t="str">
        <f t="shared" si="21"/>
        <v>-</v>
      </c>
      <c r="L104" s="615"/>
      <c r="M104" s="536" t="e">
        <f>RANK(K104, K$77:$K$106)</f>
        <v>#VALUE!</v>
      </c>
      <c r="N104" s="624"/>
      <c r="O104" s="624"/>
      <c r="P104" s="529" t="s">
        <v>427</v>
      </c>
      <c r="Q104" s="538" t="s">
        <v>427</v>
      </c>
      <c r="R104" s="538" t="s">
        <v>427</v>
      </c>
      <c r="S104" s="529" t="e">
        <v>#VALUE!</v>
      </c>
      <c r="T104" s="642"/>
      <c r="U104" s="529" t="s">
        <v>427</v>
      </c>
      <c r="V104" s="538" t="s">
        <v>427</v>
      </c>
      <c r="W104" s="538" t="s">
        <v>427</v>
      </c>
      <c r="X104" s="538" t="e">
        <v>#VALUE!</v>
      </c>
      <c r="Y104" s="642"/>
      <c r="Z104" s="529" t="s">
        <v>427</v>
      </c>
      <c r="AA104" s="538" t="s">
        <v>427</v>
      </c>
      <c r="AB104" s="538" t="s">
        <v>427</v>
      </c>
      <c r="AC104" s="538" t="e">
        <v>#VALUE!</v>
      </c>
      <c r="AD104" s="642"/>
      <c r="AE104" s="529" t="s">
        <v>427</v>
      </c>
      <c r="AF104" s="538" t="s">
        <v>427</v>
      </c>
      <c r="AG104" s="538" t="s">
        <v>427</v>
      </c>
      <c r="AH104" s="538" t="e">
        <v>#VALUE!</v>
      </c>
      <c r="AI104" s="642"/>
      <c r="AJ104" s="529" t="s">
        <v>427</v>
      </c>
      <c r="AK104" s="538" t="s">
        <v>427</v>
      </c>
      <c r="AL104" s="538" t="s">
        <v>427</v>
      </c>
      <c r="AM104" s="538" t="e">
        <v>#VALUE!</v>
      </c>
      <c r="AN104" s="642"/>
      <c r="AO104" s="529" t="s">
        <v>427</v>
      </c>
      <c r="AP104" s="538" t="s">
        <v>427</v>
      </c>
      <c r="AQ104" s="538" t="s">
        <v>427</v>
      </c>
      <c r="AR104" s="538" t="e">
        <v>#VALUE!</v>
      </c>
      <c r="AS104" s="642"/>
      <c r="AT104" s="529" t="s">
        <v>427</v>
      </c>
      <c r="AU104" s="538" t="s">
        <v>427</v>
      </c>
      <c r="AV104" s="538" t="s">
        <v>427</v>
      </c>
      <c r="AW104" s="538" t="e">
        <v>#VALUE!</v>
      </c>
      <c r="AX104" s="642"/>
      <c r="AZ104" s="377" t="e">
        <f t="shared" si="22"/>
        <v>#N/A</v>
      </c>
      <c r="BA104" s="653"/>
    </row>
    <row r="105" spans="2:53">
      <c r="B105" s="635"/>
      <c r="C105" s="529">
        <v>29</v>
      </c>
      <c r="D105" s="416"/>
      <c r="E105" s="531"/>
      <c r="F105" s="416"/>
      <c r="G105" s="363"/>
      <c r="H105" s="678"/>
      <c r="I105" s="531" t="str">
        <f t="shared" si="21"/>
        <v>-</v>
      </c>
      <c r="J105" s="531" t="str">
        <f t="shared" si="21"/>
        <v>-</v>
      </c>
      <c r="K105" s="363" t="str">
        <f t="shared" si="21"/>
        <v>-</v>
      </c>
      <c r="L105" s="615"/>
      <c r="M105" s="536" t="e">
        <f>RANK(K105, K$77:$K$106)</f>
        <v>#VALUE!</v>
      </c>
      <c r="N105" s="624"/>
      <c r="O105" s="624"/>
      <c r="P105" s="529" t="s">
        <v>427</v>
      </c>
      <c r="Q105" s="538" t="s">
        <v>427</v>
      </c>
      <c r="R105" s="538" t="s">
        <v>427</v>
      </c>
      <c r="S105" s="529" t="e">
        <v>#VALUE!</v>
      </c>
      <c r="T105" s="642"/>
      <c r="U105" s="529" t="s">
        <v>427</v>
      </c>
      <c r="V105" s="538" t="s">
        <v>427</v>
      </c>
      <c r="W105" s="538" t="s">
        <v>427</v>
      </c>
      <c r="X105" s="538" t="e">
        <v>#VALUE!</v>
      </c>
      <c r="Y105" s="642"/>
      <c r="Z105" s="529" t="s">
        <v>427</v>
      </c>
      <c r="AA105" s="538" t="s">
        <v>427</v>
      </c>
      <c r="AB105" s="538" t="s">
        <v>427</v>
      </c>
      <c r="AC105" s="538" t="e">
        <v>#VALUE!</v>
      </c>
      <c r="AD105" s="642"/>
      <c r="AE105" s="529" t="s">
        <v>427</v>
      </c>
      <c r="AF105" s="538" t="s">
        <v>427</v>
      </c>
      <c r="AG105" s="538" t="s">
        <v>427</v>
      </c>
      <c r="AH105" s="538" t="e">
        <v>#VALUE!</v>
      </c>
      <c r="AI105" s="642"/>
      <c r="AJ105" s="529" t="s">
        <v>427</v>
      </c>
      <c r="AK105" s="538" t="s">
        <v>427</v>
      </c>
      <c r="AL105" s="538" t="s">
        <v>427</v>
      </c>
      <c r="AM105" s="538" t="e">
        <v>#VALUE!</v>
      </c>
      <c r="AN105" s="642"/>
      <c r="AO105" s="529" t="s">
        <v>427</v>
      </c>
      <c r="AP105" s="538" t="s">
        <v>427</v>
      </c>
      <c r="AQ105" s="538" t="s">
        <v>427</v>
      </c>
      <c r="AR105" s="538" t="e">
        <v>#VALUE!</v>
      </c>
      <c r="AS105" s="642"/>
      <c r="AT105" s="529" t="s">
        <v>427</v>
      </c>
      <c r="AU105" s="538" t="s">
        <v>427</v>
      </c>
      <c r="AV105" s="538" t="s">
        <v>427</v>
      </c>
      <c r="AW105" s="538" t="e">
        <v>#VALUE!</v>
      </c>
      <c r="AX105" s="642"/>
      <c r="AZ105" s="377" t="e">
        <f t="shared" si="22"/>
        <v>#N/A</v>
      </c>
      <c r="BA105" s="653"/>
    </row>
    <row r="106" spans="2:53">
      <c r="B106" s="635"/>
      <c r="C106" s="529">
        <v>30</v>
      </c>
      <c r="D106" s="416"/>
      <c r="E106" s="531"/>
      <c r="F106" s="416"/>
      <c r="G106" s="363"/>
      <c r="H106" s="679"/>
      <c r="I106" s="531" t="str">
        <f t="shared" si="21"/>
        <v>-</v>
      </c>
      <c r="J106" s="531" t="str">
        <f t="shared" si="21"/>
        <v>-</v>
      </c>
      <c r="K106" s="363" t="str">
        <f t="shared" si="21"/>
        <v>-</v>
      </c>
      <c r="L106" s="616"/>
      <c r="M106" s="536" t="e">
        <f>RANK(K106, K$77:$K$106)</f>
        <v>#VALUE!</v>
      </c>
      <c r="N106" s="624"/>
      <c r="O106" s="624"/>
      <c r="P106" s="529" t="s">
        <v>427</v>
      </c>
      <c r="Q106" s="538" t="s">
        <v>427</v>
      </c>
      <c r="R106" s="538" t="s">
        <v>427</v>
      </c>
      <c r="S106" s="529" t="e">
        <v>#VALUE!</v>
      </c>
      <c r="T106" s="642"/>
      <c r="U106" s="529" t="s">
        <v>427</v>
      </c>
      <c r="V106" s="538" t="s">
        <v>427</v>
      </c>
      <c r="W106" s="538" t="s">
        <v>427</v>
      </c>
      <c r="X106" s="538" t="e">
        <v>#VALUE!</v>
      </c>
      <c r="Y106" s="642"/>
      <c r="Z106" s="529" t="s">
        <v>427</v>
      </c>
      <c r="AA106" s="538" t="s">
        <v>427</v>
      </c>
      <c r="AB106" s="538" t="s">
        <v>427</v>
      </c>
      <c r="AC106" s="538" t="e">
        <v>#VALUE!</v>
      </c>
      <c r="AD106" s="642"/>
      <c r="AE106" s="529" t="s">
        <v>427</v>
      </c>
      <c r="AF106" s="538" t="s">
        <v>427</v>
      </c>
      <c r="AG106" s="538" t="s">
        <v>427</v>
      </c>
      <c r="AH106" s="538" t="e">
        <v>#VALUE!</v>
      </c>
      <c r="AI106" s="642"/>
      <c r="AJ106" s="529" t="s">
        <v>427</v>
      </c>
      <c r="AK106" s="538" t="s">
        <v>427</v>
      </c>
      <c r="AL106" s="538" t="s">
        <v>427</v>
      </c>
      <c r="AM106" s="538" t="e">
        <v>#VALUE!</v>
      </c>
      <c r="AN106" s="642"/>
      <c r="AO106" s="529" t="s">
        <v>427</v>
      </c>
      <c r="AP106" s="538" t="s">
        <v>427</v>
      </c>
      <c r="AQ106" s="538" t="s">
        <v>427</v>
      </c>
      <c r="AR106" s="538" t="e">
        <v>#VALUE!</v>
      </c>
      <c r="AS106" s="642"/>
      <c r="AT106" s="529" t="s">
        <v>427</v>
      </c>
      <c r="AU106" s="538" t="s">
        <v>427</v>
      </c>
      <c r="AV106" s="538" t="s">
        <v>427</v>
      </c>
      <c r="AW106" s="538" t="e">
        <v>#VALUE!</v>
      </c>
      <c r="AX106" s="642"/>
      <c r="AZ106" s="377" t="e">
        <f t="shared" si="22"/>
        <v>#N/A</v>
      </c>
      <c r="BA106" s="653"/>
    </row>
    <row r="107" spans="2:53" ht="15.75">
      <c r="B107" s="643" t="s">
        <v>769</v>
      </c>
      <c r="C107" s="644"/>
      <c r="D107" s="644"/>
      <c r="E107" s="644"/>
      <c r="F107" s="644"/>
      <c r="G107" s="644"/>
      <c r="H107" s="645"/>
      <c r="I107" s="205"/>
      <c r="J107" s="205"/>
      <c r="K107" s="205"/>
      <c r="L107" s="205"/>
      <c r="M107" s="204"/>
      <c r="N107" s="639" t="s">
        <v>781</v>
      </c>
      <c r="O107" s="639" t="s">
        <v>698</v>
      </c>
      <c r="P107" s="634">
        <f>AT72+1</f>
        <v>46224</v>
      </c>
      <c r="Q107" s="635"/>
      <c r="R107" s="635"/>
      <c r="S107" s="635"/>
      <c r="T107" s="635"/>
      <c r="U107" s="634">
        <f>P107+1</f>
        <v>46225</v>
      </c>
      <c r="V107" s="635"/>
      <c r="W107" s="635"/>
      <c r="X107" s="635"/>
      <c r="Y107" s="635"/>
      <c r="Z107" s="634">
        <f t="shared" ref="Z107" si="23">U107+1</f>
        <v>46226</v>
      </c>
      <c r="AA107" s="635"/>
      <c r="AB107" s="635"/>
      <c r="AC107" s="635"/>
      <c r="AD107" s="635"/>
      <c r="AE107" s="634">
        <f t="shared" ref="AE107" si="24">Z107+1</f>
        <v>46227</v>
      </c>
      <c r="AF107" s="635"/>
      <c r="AG107" s="635"/>
      <c r="AH107" s="635"/>
      <c r="AI107" s="635"/>
      <c r="AJ107" s="634">
        <f t="shared" ref="AJ107" si="25">AE107+1</f>
        <v>46228</v>
      </c>
      <c r="AK107" s="635"/>
      <c r="AL107" s="635"/>
      <c r="AM107" s="635"/>
      <c r="AN107" s="635"/>
      <c r="AO107" s="634">
        <f t="shared" ref="AO107" si="26">AJ107+1</f>
        <v>46229</v>
      </c>
      <c r="AP107" s="635"/>
      <c r="AQ107" s="635"/>
      <c r="AR107" s="635"/>
      <c r="AS107" s="635"/>
      <c r="AT107" s="634">
        <f t="shared" ref="AT107" si="27">AO107+1</f>
        <v>46230</v>
      </c>
      <c r="AU107" s="635"/>
      <c r="AV107" s="635"/>
      <c r="AW107" s="635"/>
      <c r="AX107" s="635"/>
    </row>
    <row r="108" spans="2:53" ht="15.75">
      <c r="B108" s="646"/>
      <c r="C108" s="646"/>
      <c r="D108" s="646"/>
      <c r="E108" s="646"/>
      <c r="F108" s="646"/>
      <c r="G108" s="646"/>
      <c r="H108" s="646"/>
      <c r="I108" s="202"/>
      <c r="J108" s="202"/>
      <c r="K108" s="202"/>
      <c r="L108" s="202"/>
      <c r="M108" s="203"/>
      <c r="N108" s="641"/>
      <c r="O108" s="641"/>
      <c r="P108" s="636" t="s">
        <v>699</v>
      </c>
      <c r="Q108" s="637"/>
      <c r="R108" s="637"/>
      <c r="S108" s="637"/>
      <c r="T108" s="638"/>
      <c r="U108" s="636" t="s">
        <v>700</v>
      </c>
      <c r="V108" s="637"/>
      <c r="W108" s="637"/>
      <c r="X108" s="637"/>
      <c r="Y108" s="638"/>
      <c r="Z108" s="636" t="s">
        <v>701</v>
      </c>
      <c r="AA108" s="637"/>
      <c r="AB108" s="637"/>
      <c r="AC108" s="637"/>
      <c r="AD108" s="638"/>
      <c r="AE108" s="636" t="s">
        <v>702</v>
      </c>
      <c r="AF108" s="637"/>
      <c r="AG108" s="637"/>
      <c r="AH108" s="637"/>
      <c r="AI108" s="638"/>
      <c r="AJ108" s="636" t="s">
        <v>703</v>
      </c>
      <c r="AK108" s="637"/>
      <c r="AL108" s="637"/>
      <c r="AM108" s="637"/>
      <c r="AN108" s="638"/>
      <c r="AO108" s="636" t="s">
        <v>704</v>
      </c>
      <c r="AP108" s="637"/>
      <c r="AQ108" s="637"/>
      <c r="AR108" s="637"/>
      <c r="AS108" s="638"/>
      <c r="AT108" s="636" t="s">
        <v>705</v>
      </c>
      <c r="AU108" s="637"/>
      <c r="AV108" s="637"/>
      <c r="AW108" s="637"/>
      <c r="AX108" s="638"/>
    </row>
    <row r="109" spans="2:53">
      <c r="B109" s="624" t="s">
        <v>760</v>
      </c>
      <c r="C109" s="624" t="s">
        <v>827</v>
      </c>
      <c r="D109" s="624"/>
      <c r="E109" s="624" t="s">
        <v>828</v>
      </c>
      <c r="F109" s="624"/>
      <c r="G109" s="624"/>
      <c r="H109" s="647" t="s">
        <v>829</v>
      </c>
      <c r="I109" s="617" t="s">
        <v>830</v>
      </c>
      <c r="J109" s="617"/>
      <c r="K109" s="617"/>
      <c r="L109" s="618" t="s">
        <v>829</v>
      </c>
      <c r="M109" s="628" t="s">
        <v>440</v>
      </c>
      <c r="N109" s="624"/>
      <c r="O109" s="624" t="s">
        <v>831</v>
      </c>
      <c r="P109" s="621" t="s">
        <v>832</v>
      </c>
      <c r="Q109" s="622"/>
      <c r="R109" s="622"/>
      <c r="S109" s="623"/>
      <c r="T109" s="639" t="s">
        <v>829</v>
      </c>
      <c r="U109" s="621" t="s">
        <v>832</v>
      </c>
      <c r="V109" s="622"/>
      <c r="W109" s="622"/>
      <c r="X109" s="623"/>
      <c r="Y109" s="639" t="s">
        <v>829</v>
      </c>
      <c r="Z109" s="621" t="s">
        <v>832</v>
      </c>
      <c r="AA109" s="622"/>
      <c r="AB109" s="622"/>
      <c r="AC109" s="623"/>
      <c r="AD109" s="639" t="s">
        <v>829</v>
      </c>
      <c r="AE109" s="621" t="s">
        <v>832</v>
      </c>
      <c r="AF109" s="622"/>
      <c r="AG109" s="622"/>
      <c r="AH109" s="623"/>
      <c r="AI109" s="639" t="s">
        <v>829</v>
      </c>
      <c r="AJ109" s="621" t="s">
        <v>832</v>
      </c>
      <c r="AK109" s="622"/>
      <c r="AL109" s="622"/>
      <c r="AM109" s="623"/>
      <c r="AN109" s="639" t="s">
        <v>829</v>
      </c>
      <c r="AO109" s="621" t="s">
        <v>832</v>
      </c>
      <c r="AP109" s="622"/>
      <c r="AQ109" s="622"/>
      <c r="AR109" s="623"/>
      <c r="AS109" s="639" t="s">
        <v>829</v>
      </c>
      <c r="AT109" s="621" t="s">
        <v>832</v>
      </c>
      <c r="AU109" s="622"/>
      <c r="AV109" s="622"/>
      <c r="AW109" s="623"/>
      <c r="AX109" s="624" t="s">
        <v>829</v>
      </c>
    </row>
    <row r="110" spans="2:53">
      <c r="B110" s="624"/>
      <c r="C110" s="624"/>
      <c r="D110" s="624"/>
      <c r="E110" s="624" t="s">
        <v>833</v>
      </c>
      <c r="F110" s="624"/>
      <c r="G110" s="624"/>
      <c r="H110" s="648"/>
      <c r="I110" s="617" t="s">
        <v>833</v>
      </c>
      <c r="J110" s="617"/>
      <c r="K110" s="617"/>
      <c r="L110" s="619"/>
      <c r="M110" s="629"/>
      <c r="N110" s="624"/>
      <c r="O110" s="624"/>
      <c r="P110" s="621" t="s">
        <v>834</v>
      </c>
      <c r="Q110" s="622"/>
      <c r="R110" s="622"/>
      <c r="S110" s="623"/>
      <c r="T110" s="640"/>
      <c r="U110" s="621" t="s">
        <v>834</v>
      </c>
      <c r="V110" s="622"/>
      <c r="W110" s="622"/>
      <c r="X110" s="623"/>
      <c r="Y110" s="640"/>
      <c r="Z110" s="621" t="s">
        <v>834</v>
      </c>
      <c r="AA110" s="622"/>
      <c r="AB110" s="622"/>
      <c r="AC110" s="623"/>
      <c r="AD110" s="640"/>
      <c r="AE110" s="621" t="s">
        <v>834</v>
      </c>
      <c r="AF110" s="622"/>
      <c r="AG110" s="622"/>
      <c r="AH110" s="623"/>
      <c r="AI110" s="640"/>
      <c r="AJ110" s="621" t="s">
        <v>834</v>
      </c>
      <c r="AK110" s="622"/>
      <c r="AL110" s="622"/>
      <c r="AM110" s="623"/>
      <c r="AN110" s="640"/>
      <c r="AO110" s="621" t="s">
        <v>834</v>
      </c>
      <c r="AP110" s="622"/>
      <c r="AQ110" s="622"/>
      <c r="AR110" s="623"/>
      <c r="AS110" s="640"/>
      <c r="AT110" s="621" t="s">
        <v>834</v>
      </c>
      <c r="AU110" s="622"/>
      <c r="AV110" s="622"/>
      <c r="AW110" s="623"/>
      <c r="AX110" s="624"/>
    </row>
    <row r="111" spans="2:53">
      <c r="B111" s="624"/>
      <c r="C111" s="624"/>
      <c r="D111" s="624"/>
      <c r="E111" s="533" t="s">
        <v>835</v>
      </c>
      <c r="F111" s="533" t="s">
        <v>836</v>
      </c>
      <c r="G111" s="533" t="s">
        <v>837</v>
      </c>
      <c r="H111" s="649"/>
      <c r="I111" s="535" t="s">
        <v>835</v>
      </c>
      <c r="J111" s="535" t="s">
        <v>836</v>
      </c>
      <c r="K111" s="535" t="s">
        <v>837</v>
      </c>
      <c r="L111" s="620"/>
      <c r="M111" s="630"/>
      <c r="N111" s="624"/>
      <c r="O111" s="624"/>
      <c r="P111" s="533" t="s">
        <v>835</v>
      </c>
      <c r="Q111" s="533" t="s">
        <v>836</v>
      </c>
      <c r="R111" s="533" t="s">
        <v>837</v>
      </c>
      <c r="S111" s="533" t="s">
        <v>440</v>
      </c>
      <c r="T111" s="641"/>
      <c r="U111" s="533" t="s">
        <v>835</v>
      </c>
      <c r="V111" s="533" t="s">
        <v>836</v>
      </c>
      <c r="W111" s="533" t="s">
        <v>837</v>
      </c>
      <c r="X111" s="533" t="s">
        <v>440</v>
      </c>
      <c r="Y111" s="641"/>
      <c r="Z111" s="533" t="s">
        <v>835</v>
      </c>
      <c r="AA111" s="533" t="s">
        <v>836</v>
      </c>
      <c r="AB111" s="533" t="s">
        <v>837</v>
      </c>
      <c r="AC111" s="533" t="s">
        <v>440</v>
      </c>
      <c r="AD111" s="641"/>
      <c r="AE111" s="533" t="s">
        <v>835</v>
      </c>
      <c r="AF111" s="533" t="s">
        <v>836</v>
      </c>
      <c r="AG111" s="533" t="s">
        <v>837</v>
      </c>
      <c r="AH111" s="533" t="s">
        <v>440</v>
      </c>
      <c r="AI111" s="641"/>
      <c r="AJ111" s="533" t="s">
        <v>835</v>
      </c>
      <c r="AK111" s="533" t="s">
        <v>836</v>
      </c>
      <c r="AL111" s="533" t="s">
        <v>837</v>
      </c>
      <c r="AM111" s="533" t="s">
        <v>440</v>
      </c>
      <c r="AN111" s="641"/>
      <c r="AO111" s="533" t="s">
        <v>835</v>
      </c>
      <c r="AP111" s="533" t="s">
        <v>836</v>
      </c>
      <c r="AQ111" s="533" t="s">
        <v>837</v>
      </c>
      <c r="AR111" s="533" t="s">
        <v>440</v>
      </c>
      <c r="AS111" s="641"/>
      <c r="AT111" s="533" t="s">
        <v>835</v>
      </c>
      <c r="AU111" s="533" t="s">
        <v>836</v>
      </c>
      <c r="AV111" s="533" t="s">
        <v>837</v>
      </c>
      <c r="AW111" s="533" t="s">
        <v>440</v>
      </c>
      <c r="AX111" s="624"/>
    </row>
    <row r="112" spans="2:53">
      <c r="B112" s="624" t="s">
        <v>782</v>
      </c>
      <c r="C112" s="529">
        <v>1</v>
      </c>
      <c r="D112" s="416" t="s">
        <v>335</v>
      </c>
      <c r="E112" s="531">
        <v>6</v>
      </c>
      <c r="F112" s="416">
        <v>1500</v>
      </c>
      <c r="G112" s="363">
        <v>250</v>
      </c>
      <c r="H112" s="677">
        <f>AVERAGE(G112:G141)</f>
        <v>100.51696400416888</v>
      </c>
      <c r="I112" s="531">
        <f>IFERROR(AVERAGE(P112,U112,Z112,AE112,AJ112,AO112,AT112),"-")</f>
        <v>6</v>
      </c>
      <c r="J112" s="531">
        <f>IFERROR(AVERAGE(Q112,V112,AA112,AF112,AK112,AP112,AU112),"-")</f>
        <v>1422.121488535488</v>
      </c>
      <c r="K112" s="363">
        <f>IFERROR(AVERAGE(R112,W112,AB112,AG112,AL112,AQ112,AV112),"-")</f>
        <v>237.02024808924804</v>
      </c>
      <c r="L112" s="614">
        <f>IFERROR(AVERAGE(K112:K141),"-")</f>
        <v>89.660550318931215</v>
      </c>
      <c r="M112" s="536">
        <f>RANK(K112, K$112:$K$141)</f>
        <v>2</v>
      </c>
      <c r="N112" s="624"/>
      <c r="O112" s="624"/>
      <c r="P112" s="529">
        <v>6</v>
      </c>
      <c r="Q112" s="538">
        <v>1417.716666666666</v>
      </c>
      <c r="R112" s="538">
        <v>236.28611111111101</v>
      </c>
      <c r="S112" s="529">
        <f>RANK(R112, R$112:R$141)</f>
        <v>2</v>
      </c>
      <c r="T112" s="653">
        <f>AVERAGE(R112:R141)</f>
        <v>89.504941431011176</v>
      </c>
      <c r="U112" s="529">
        <v>6</v>
      </c>
      <c r="V112" s="538">
        <v>1425.9567567567565</v>
      </c>
      <c r="W112" s="538">
        <v>237.65945945945941</v>
      </c>
      <c r="X112" s="529">
        <f>RANK(W112, W$112:W$141)</f>
        <v>1</v>
      </c>
      <c r="Y112" s="653">
        <f>AVERAGE(W112:W141)</f>
        <v>89.724521287685164</v>
      </c>
      <c r="Z112" s="529">
        <v>6</v>
      </c>
      <c r="AA112" s="538">
        <v>1418.5322834645676</v>
      </c>
      <c r="AB112" s="538">
        <v>236.42204724409461</v>
      </c>
      <c r="AC112" s="529">
        <f>RANK(AB112, AB$112:AB$141)</f>
        <v>2</v>
      </c>
      <c r="AD112" s="653">
        <f>AVERAGE(AB112:AB141)</f>
        <v>89.118826197050851</v>
      </c>
      <c r="AE112" s="529">
        <v>6</v>
      </c>
      <c r="AF112" s="538">
        <v>1429.6780487804874</v>
      </c>
      <c r="AG112" s="538">
        <v>238.27967479674791</v>
      </c>
      <c r="AH112" s="529">
        <f>RANK(AG112, AG$112:AG$141)</f>
        <v>2</v>
      </c>
      <c r="AI112" s="653">
        <f>AVERAGE(AG112:AG141)</f>
        <v>90.075654089503246</v>
      </c>
      <c r="AJ112" s="529">
        <v>6</v>
      </c>
      <c r="AK112" s="538">
        <v>1435.4440677966102</v>
      </c>
      <c r="AL112" s="538">
        <v>239.24067796610169</v>
      </c>
      <c r="AM112" s="529">
        <f>RANK(AL112, AL$112:AL$141)</f>
        <v>2</v>
      </c>
      <c r="AN112" s="653">
        <f>AVERAGE(AL112:AL141)</f>
        <v>89.863370842628896</v>
      </c>
      <c r="AO112" s="529">
        <v>6</v>
      </c>
      <c r="AP112" s="538">
        <v>1403.7949367088609</v>
      </c>
      <c r="AQ112" s="538">
        <v>233.96582278481014</v>
      </c>
      <c r="AR112" s="529">
        <f>RANK(AQ112, AQ$112:AQ$141)</f>
        <v>2</v>
      </c>
      <c r="AS112" s="653">
        <f>AVERAGE(AQ112:AQ141)</f>
        <v>90.322378480716338</v>
      </c>
      <c r="AT112" s="529">
        <v>6</v>
      </c>
      <c r="AU112" s="538">
        <v>1423.7276595744684</v>
      </c>
      <c r="AV112" s="538">
        <v>237.2879432624114</v>
      </c>
      <c r="AW112" s="529">
        <f>RANK(AV112, AV$112:AV$141)</f>
        <v>1</v>
      </c>
      <c r="AX112" s="653">
        <f>AVERAGE(AV112:AV141)</f>
        <v>89.014159903922803</v>
      </c>
      <c r="AZ112" s="377" t="e">
        <f>RANK(AY112, AY$112:AY$141)</f>
        <v>#N/A</v>
      </c>
      <c r="BA112" s="653" t="e">
        <f>AVERAGE(AY112:AY141)</f>
        <v>#DIV/0!</v>
      </c>
    </row>
    <row r="113" spans="2:53">
      <c r="B113" s="635"/>
      <c r="C113" s="529">
        <v>2</v>
      </c>
      <c r="D113" s="416" t="s">
        <v>635</v>
      </c>
      <c r="E113" s="531">
        <v>6</v>
      </c>
      <c r="F113" s="416">
        <v>1636</v>
      </c>
      <c r="G113" s="363">
        <v>272.66666666666669</v>
      </c>
      <c r="H113" s="678"/>
      <c r="I113" s="531">
        <f t="shared" ref="I113:K141" si="28">IFERROR(AVERAGE(P113,U113,Z113,AE113,AJ113,AO113,AT113),"-")</f>
        <v>6</v>
      </c>
      <c r="J113" s="531">
        <f t="shared" si="28"/>
        <v>1427.4451843284571</v>
      </c>
      <c r="K113" s="363">
        <f t="shared" si="28"/>
        <v>237.90753072140953</v>
      </c>
      <c r="L113" s="615"/>
      <c r="M113" s="536">
        <f>RANK(K113, K$112:$K$141)</f>
        <v>1</v>
      </c>
      <c r="N113" s="624"/>
      <c r="O113" s="624"/>
      <c r="P113" s="529">
        <v>6</v>
      </c>
      <c r="Q113" s="538">
        <v>1428.1690140845074</v>
      </c>
      <c r="R113" s="538">
        <v>238.02816901408457</v>
      </c>
      <c r="S113" s="529">
        <f t="shared" ref="S113:S141" si="29">RANK(R113, R$112:R$141)</f>
        <v>1</v>
      </c>
      <c r="T113" s="653"/>
      <c r="U113" s="529">
        <v>6</v>
      </c>
      <c r="V113" s="538">
        <v>1416.8571428571431</v>
      </c>
      <c r="W113" s="538">
        <v>236.1428571428572</v>
      </c>
      <c r="X113" s="529">
        <f t="shared" ref="X113:X141" si="30">RANK(W113, W$112:W$141)</f>
        <v>2</v>
      </c>
      <c r="Y113" s="653"/>
      <c r="Z113" s="529">
        <v>6</v>
      </c>
      <c r="AA113" s="538">
        <v>1442.4657534246578</v>
      </c>
      <c r="AB113" s="538">
        <v>240.41095890410963</v>
      </c>
      <c r="AC113" s="529">
        <f t="shared" ref="AC113:AC141" si="31">RANK(AB113, AB$112:AB$141)</f>
        <v>1</v>
      </c>
      <c r="AD113" s="653"/>
      <c r="AE113" s="529">
        <v>6</v>
      </c>
      <c r="AF113" s="538">
        <v>1443.2142857142869</v>
      </c>
      <c r="AG113" s="538">
        <v>240.53571428571448</v>
      </c>
      <c r="AH113" s="529">
        <f t="shared" ref="AH113:AH141" si="32">RANK(AG113, AG$112:AG$141)</f>
        <v>1</v>
      </c>
      <c r="AI113" s="653"/>
      <c r="AJ113" s="529">
        <v>6</v>
      </c>
      <c r="AK113" s="538">
        <v>1447.6595744680853</v>
      </c>
      <c r="AL113" s="538">
        <v>241.27659574468089</v>
      </c>
      <c r="AM113" s="529">
        <f t="shared" ref="AM113:AM141" si="33">RANK(AL113, AL$112:AL$141)</f>
        <v>1</v>
      </c>
      <c r="AN113" s="653"/>
      <c r="AO113" s="529">
        <v>6</v>
      </c>
      <c r="AP113" s="538">
        <v>1408.6153846153843</v>
      </c>
      <c r="AQ113" s="538">
        <v>234.76923076923072</v>
      </c>
      <c r="AR113" s="529">
        <f t="shared" ref="AR113:AR141" si="34">RANK(AQ113, AQ$112:AQ$141)</f>
        <v>1</v>
      </c>
      <c r="AS113" s="653"/>
      <c r="AT113" s="529">
        <v>6</v>
      </c>
      <c r="AU113" s="538">
        <v>1405.1351351351357</v>
      </c>
      <c r="AV113" s="538">
        <v>234.18918918918928</v>
      </c>
      <c r="AW113" s="529">
        <f t="shared" ref="AW113:AW141" si="35">RANK(AV113, AV$112:AV$141)</f>
        <v>2</v>
      </c>
      <c r="AX113" s="653"/>
      <c r="AZ113" s="377" t="e">
        <f t="shared" ref="AZ113:AZ141" si="36">RANK(AY113, AY$112:AY$141)</f>
        <v>#N/A</v>
      </c>
      <c r="BA113" s="653"/>
    </row>
    <row r="114" spans="2:53">
      <c r="B114" s="635"/>
      <c r="C114" s="529">
        <v>3</v>
      </c>
      <c r="D114" s="416" t="s">
        <v>561</v>
      </c>
      <c r="E114" s="531">
        <v>16</v>
      </c>
      <c r="F114" s="416">
        <v>1500</v>
      </c>
      <c r="G114" s="363">
        <v>93.75</v>
      </c>
      <c r="H114" s="678"/>
      <c r="I114" s="531">
        <f t="shared" si="28"/>
        <v>16.571428571428573</v>
      </c>
      <c r="J114" s="531">
        <f t="shared" si="28"/>
        <v>1394.0545437584894</v>
      </c>
      <c r="K114" s="363">
        <f t="shared" si="28"/>
        <v>84.209421055057561</v>
      </c>
      <c r="L114" s="615"/>
      <c r="M114" s="536">
        <f>RANK(K114, K$112:$K$141)</f>
        <v>8</v>
      </c>
      <c r="N114" s="624"/>
      <c r="O114" s="624"/>
      <c r="P114" s="529">
        <v>16</v>
      </c>
      <c r="Q114" s="538">
        <v>1405.7954545454545</v>
      </c>
      <c r="R114" s="538">
        <v>87.862215909090907</v>
      </c>
      <c r="S114" s="529">
        <f t="shared" si="29"/>
        <v>3</v>
      </c>
      <c r="T114" s="653"/>
      <c r="U114" s="529">
        <v>17</v>
      </c>
      <c r="V114" s="538">
        <v>1377.3073170731702</v>
      </c>
      <c r="W114" s="538">
        <v>81.018077474892365</v>
      </c>
      <c r="X114" s="529">
        <f t="shared" si="30"/>
        <v>9</v>
      </c>
      <c r="Y114" s="653"/>
      <c r="Z114" s="529">
        <v>17</v>
      </c>
      <c r="AA114" s="538">
        <v>1372.5000000000009</v>
      </c>
      <c r="AB114" s="538">
        <v>80.735294117647115</v>
      </c>
      <c r="AC114" s="529">
        <f t="shared" si="31"/>
        <v>9</v>
      </c>
      <c r="AD114" s="653"/>
      <c r="AE114" s="529">
        <v>16</v>
      </c>
      <c r="AF114" s="538">
        <v>1409.3333333333333</v>
      </c>
      <c r="AG114" s="538">
        <v>88.083333333333329</v>
      </c>
      <c r="AH114" s="529">
        <f t="shared" si="32"/>
        <v>4</v>
      </c>
      <c r="AI114" s="653"/>
      <c r="AJ114" s="529">
        <v>17</v>
      </c>
      <c r="AK114" s="538">
        <v>1413.1764705882349</v>
      </c>
      <c r="AL114" s="538">
        <v>83.128027681660882</v>
      </c>
      <c r="AM114" s="529">
        <f t="shared" si="33"/>
        <v>8</v>
      </c>
      <c r="AN114" s="653"/>
      <c r="AO114" s="529">
        <v>16</v>
      </c>
      <c r="AP114" s="538">
        <v>1385.5000000000005</v>
      </c>
      <c r="AQ114" s="538">
        <v>86.593750000000028</v>
      </c>
      <c r="AR114" s="529">
        <f t="shared" si="34"/>
        <v>5</v>
      </c>
      <c r="AS114" s="653"/>
      <c r="AT114" s="529">
        <v>17</v>
      </c>
      <c r="AU114" s="538">
        <v>1394.7692307692316</v>
      </c>
      <c r="AV114" s="538">
        <v>82.04524886877833</v>
      </c>
      <c r="AW114" s="529">
        <f t="shared" si="35"/>
        <v>9</v>
      </c>
      <c r="AX114" s="653"/>
      <c r="AZ114" s="377" t="e">
        <f t="shared" si="36"/>
        <v>#N/A</v>
      </c>
      <c r="BA114" s="653"/>
    </row>
    <row r="115" spans="2:53">
      <c r="B115" s="635"/>
      <c r="C115" s="529">
        <v>4</v>
      </c>
      <c r="D115" s="416" t="s">
        <v>365</v>
      </c>
      <c r="E115" s="531">
        <v>18</v>
      </c>
      <c r="F115" s="416">
        <v>1500</v>
      </c>
      <c r="G115" s="363">
        <v>83.333333333333329</v>
      </c>
      <c r="H115" s="678"/>
      <c r="I115" s="531">
        <f t="shared" si="28"/>
        <v>18</v>
      </c>
      <c r="J115" s="531">
        <f t="shared" si="28"/>
        <v>1317.6248436656886</v>
      </c>
      <c r="K115" s="363">
        <f t="shared" si="28"/>
        <v>73.201380203649379</v>
      </c>
      <c r="L115" s="615"/>
      <c r="M115" s="536">
        <f>RANK(K115, K$112:$K$141)</f>
        <v>17</v>
      </c>
      <c r="N115" s="624"/>
      <c r="O115" s="624"/>
      <c r="P115" s="529">
        <v>18</v>
      </c>
      <c r="Q115" s="538">
        <v>1290</v>
      </c>
      <c r="R115" s="538">
        <v>71.666666666666671</v>
      </c>
      <c r="S115" s="529">
        <f t="shared" si="29"/>
        <v>17</v>
      </c>
      <c r="T115" s="653"/>
      <c r="U115" s="529">
        <v>18</v>
      </c>
      <c r="V115" s="538">
        <v>1334.6341463414628</v>
      </c>
      <c r="W115" s="538">
        <v>74.146341463414601</v>
      </c>
      <c r="X115" s="529">
        <f t="shared" si="30"/>
        <v>17</v>
      </c>
      <c r="Y115" s="653"/>
      <c r="Z115" s="529">
        <v>18</v>
      </c>
      <c r="AA115" s="538">
        <v>1310.9999999999995</v>
      </c>
      <c r="AB115" s="538">
        <v>72.833333333333314</v>
      </c>
      <c r="AC115" s="529">
        <f t="shared" si="31"/>
        <v>16</v>
      </c>
      <c r="AD115" s="653"/>
      <c r="AE115" s="529">
        <v>18</v>
      </c>
      <c r="AF115" s="538">
        <v>1331.9999999999986</v>
      </c>
      <c r="AG115" s="538">
        <v>73.999999999999929</v>
      </c>
      <c r="AH115" s="529">
        <f t="shared" si="32"/>
        <v>16</v>
      </c>
      <c r="AI115" s="653"/>
      <c r="AJ115" s="529">
        <v>18</v>
      </c>
      <c r="AK115" s="538">
        <v>1327.0588235294101</v>
      </c>
      <c r="AL115" s="538">
        <v>73.72549019607834</v>
      </c>
      <c r="AM115" s="529">
        <f t="shared" si="33"/>
        <v>16</v>
      </c>
      <c r="AN115" s="653"/>
      <c r="AO115" s="529">
        <v>18</v>
      </c>
      <c r="AP115" s="538">
        <v>1333.1707317073167</v>
      </c>
      <c r="AQ115" s="538">
        <v>74.065040650406488</v>
      </c>
      <c r="AR115" s="529">
        <f t="shared" si="34"/>
        <v>17</v>
      </c>
      <c r="AS115" s="653"/>
      <c r="AT115" s="529">
        <v>18</v>
      </c>
      <c r="AU115" s="538">
        <v>1295.5102040816332</v>
      </c>
      <c r="AV115" s="538">
        <v>71.972789115646293</v>
      </c>
      <c r="AW115" s="529">
        <f t="shared" si="35"/>
        <v>16</v>
      </c>
      <c r="AX115" s="653"/>
      <c r="AZ115" s="377" t="e">
        <f t="shared" si="36"/>
        <v>#N/A</v>
      </c>
      <c r="BA115" s="653"/>
    </row>
    <row r="116" spans="2:53">
      <c r="B116" s="635"/>
      <c r="C116" s="529">
        <v>5</v>
      </c>
      <c r="D116" s="416" t="s">
        <v>340</v>
      </c>
      <c r="E116" s="531">
        <v>16</v>
      </c>
      <c r="F116" s="416">
        <v>1565</v>
      </c>
      <c r="G116" s="363">
        <v>97.8125</v>
      </c>
      <c r="H116" s="678"/>
      <c r="I116" s="531">
        <f t="shared" si="28"/>
        <v>16</v>
      </c>
      <c r="J116" s="531">
        <f t="shared" si="28"/>
        <v>1370.6423927641797</v>
      </c>
      <c r="K116" s="363">
        <f t="shared" si="28"/>
        <v>85.665149547761231</v>
      </c>
      <c r="L116" s="615"/>
      <c r="M116" s="536">
        <f>RANK(K116, K$112:$K$141)</f>
        <v>5</v>
      </c>
      <c r="N116" s="624"/>
      <c r="O116" s="624"/>
      <c r="P116" s="529">
        <v>16</v>
      </c>
      <c r="Q116" s="538">
        <v>1356.5517241379321</v>
      </c>
      <c r="R116" s="538">
        <v>84.784482758620754</v>
      </c>
      <c r="S116" s="529">
        <f t="shared" si="29"/>
        <v>7</v>
      </c>
      <c r="T116" s="653"/>
      <c r="U116" s="529">
        <v>16</v>
      </c>
      <c r="V116" s="538">
        <v>1383.0000000000007</v>
      </c>
      <c r="W116" s="538">
        <v>86.437500000000043</v>
      </c>
      <c r="X116" s="529">
        <f t="shared" si="30"/>
        <v>5</v>
      </c>
      <c r="Y116" s="653"/>
      <c r="Z116" s="529">
        <v>16</v>
      </c>
      <c r="AA116" s="538">
        <v>1367.3684210526308</v>
      </c>
      <c r="AB116" s="538">
        <v>85.460526315789423</v>
      </c>
      <c r="AC116" s="529">
        <f t="shared" si="31"/>
        <v>6</v>
      </c>
      <c r="AD116" s="653"/>
      <c r="AE116" s="529">
        <v>16</v>
      </c>
      <c r="AF116" s="538">
        <v>1357.0000000000014</v>
      </c>
      <c r="AG116" s="538">
        <v>84.812500000000085</v>
      </c>
      <c r="AH116" s="529">
        <f t="shared" si="32"/>
        <v>7</v>
      </c>
      <c r="AI116" s="653"/>
      <c r="AJ116" s="529">
        <v>16</v>
      </c>
      <c r="AK116" s="538">
        <v>1370.149253731345</v>
      </c>
      <c r="AL116" s="538">
        <v>85.634328358209061</v>
      </c>
      <c r="AM116" s="529">
        <f t="shared" si="33"/>
        <v>5</v>
      </c>
      <c r="AN116" s="653"/>
      <c r="AO116" s="529">
        <v>16</v>
      </c>
      <c r="AP116" s="538">
        <v>1371.5384615384608</v>
      </c>
      <c r="AQ116" s="538">
        <v>85.721153846153797</v>
      </c>
      <c r="AR116" s="529">
        <f t="shared" si="34"/>
        <v>6</v>
      </c>
      <c r="AS116" s="653"/>
      <c r="AT116" s="529">
        <v>16</v>
      </c>
      <c r="AU116" s="538">
        <v>1388.8888888888885</v>
      </c>
      <c r="AV116" s="538">
        <v>86.805555555555529</v>
      </c>
      <c r="AW116" s="529">
        <f t="shared" si="35"/>
        <v>4</v>
      </c>
      <c r="AX116" s="653"/>
      <c r="AZ116" s="377" t="e">
        <f t="shared" si="36"/>
        <v>#N/A</v>
      </c>
      <c r="BA116" s="653"/>
    </row>
    <row r="117" spans="2:53">
      <c r="B117" s="635"/>
      <c r="C117" s="529">
        <v>6</v>
      </c>
      <c r="D117" s="416" t="s">
        <v>784</v>
      </c>
      <c r="E117" s="531">
        <v>20</v>
      </c>
      <c r="F117" s="416">
        <v>1440</v>
      </c>
      <c r="G117" s="363">
        <v>72</v>
      </c>
      <c r="H117" s="678"/>
      <c r="I117" s="531">
        <f t="shared" si="28"/>
        <v>20.142857142857142</v>
      </c>
      <c r="J117" s="531">
        <f t="shared" si="28"/>
        <v>1247.8136375269205</v>
      </c>
      <c r="K117" s="363">
        <f t="shared" si="28"/>
        <v>61.962110447774592</v>
      </c>
      <c r="L117" s="615"/>
      <c r="M117" s="536">
        <f>RANK(K117, K$112:$K$141)</f>
        <v>23</v>
      </c>
      <c r="N117" s="624"/>
      <c r="O117" s="624"/>
      <c r="P117" s="529">
        <v>20</v>
      </c>
      <c r="Q117" s="538">
        <v>1261.7391304347811</v>
      </c>
      <c r="R117" s="538">
        <v>63.086956521739054</v>
      </c>
      <c r="S117" s="529">
        <f t="shared" si="29"/>
        <v>23</v>
      </c>
      <c r="T117" s="653"/>
      <c r="U117" s="529">
        <v>20</v>
      </c>
      <c r="V117" s="538">
        <v>1253.7313432835838</v>
      </c>
      <c r="W117" s="538">
        <v>62.686567164179188</v>
      </c>
      <c r="X117" s="529">
        <f t="shared" si="30"/>
        <v>23</v>
      </c>
      <c r="Y117" s="653"/>
      <c r="Z117" s="529">
        <v>21</v>
      </c>
      <c r="AA117" s="538">
        <v>1260.0000000000016</v>
      </c>
      <c r="AB117" s="538">
        <v>60.000000000000078</v>
      </c>
      <c r="AC117" s="529">
        <f t="shared" si="31"/>
        <v>23</v>
      </c>
      <c r="AD117" s="653"/>
      <c r="AE117" s="529">
        <v>20</v>
      </c>
      <c r="AF117" s="538">
        <v>1261.0526315789482</v>
      </c>
      <c r="AG117" s="538">
        <v>63.052631578947413</v>
      </c>
      <c r="AH117" s="529">
        <f t="shared" si="32"/>
        <v>23</v>
      </c>
      <c r="AI117" s="653"/>
      <c r="AJ117" s="529">
        <v>20</v>
      </c>
      <c r="AK117" s="538">
        <v>1151.0000000000043</v>
      </c>
      <c r="AL117" s="538">
        <v>57.550000000000217</v>
      </c>
      <c r="AM117" s="529">
        <f t="shared" si="33"/>
        <v>24</v>
      </c>
      <c r="AN117" s="653"/>
      <c r="AO117" s="529">
        <v>20</v>
      </c>
      <c r="AP117" s="538">
        <v>1280.5970149253717</v>
      </c>
      <c r="AQ117" s="538">
        <v>64.029850746268579</v>
      </c>
      <c r="AR117" s="529">
        <f t="shared" si="34"/>
        <v>23</v>
      </c>
      <c r="AS117" s="653"/>
      <c r="AT117" s="529">
        <v>20</v>
      </c>
      <c r="AU117" s="538">
        <v>1266.5753424657523</v>
      </c>
      <c r="AV117" s="538">
        <v>63.328767123287619</v>
      </c>
      <c r="AW117" s="529">
        <f t="shared" si="35"/>
        <v>23</v>
      </c>
      <c r="AX117" s="653"/>
      <c r="AZ117" s="377" t="e">
        <f t="shared" si="36"/>
        <v>#N/A</v>
      </c>
      <c r="BA117" s="653"/>
    </row>
    <row r="118" spans="2:53">
      <c r="B118" s="635"/>
      <c r="C118" s="529">
        <v>7</v>
      </c>
      <c r="D118" s="416" t="s">
        <v>696</v>
      </c>
      <c r="E118" s="531">
        <v>16</v>
      </c>
      <c r="F118" s="416">
        <v>1500</v>
      </c>
      <c r="G118" s="363">
        <v>93.75</v>
      </c>
      <c r="H118" s="678"/>
      <c r="I118" s="531">
        <f t="shared" si="28"/>
        <v>16</v>
      </c>
      <c r="J118" s="531">
        <f t="shared" si="28"/>
        <v>1370.1407626881451</v>
      </c>
      <c r="K118" s="363">
        <f t="shared" si="28"/>
        <v>85.633797668009066</v>
      </c>
      <c r="L118" s="615"/>
      <c r="M118" s="536">
        <f>RANK(K118, K$112:$K$141)</f>
        <v>6</v>
      </c>
      <c r="N118" s="624"/>
      <c r="O118" s="624"/>
      <c r="P118" s="529">
        <v>16</v>
      </c>
      <c r="Q118" s="538">
        <v>1368.4931506849302</v>
      </c>
      <c r="R118" s="538">
        <v>85.53082191780814</v>
      </c>
      <c r="S118" s="529">
        <f t="shared" si="29"/>
        <v>6</v>
      </c>
      <c r="T118" s="653"/>
      <c r="U118" s="529">
        <v>16</v>
      </c>
      <c r="V118" s="538">
        <v>1359.3442622950831</v>
      </c>
      <c r="W118" s="538">
        <v>84.959016393442695</v>
      </c>
      <c r="X118" s="529">
        <f t="shared" si="30"/>
        <v>7</v>
      </c>
      <c r="Y118" s="653"/>
      <c r="Z118" s="529">
        <v>16</v>
      </c>
      <c r="AA118" s="538">
        <v>1364.444444444445</v>
      </c>
      <c r="AB118" s="538">
        <v>85.277777777777814</v>
      </c>
      <c r="AC118" s="529">
        <f t="shared" si="31"/>
        <v>7</v>
      </c>
      <c r="AD118" s="653"/>
      <c r="AE118" s="529">
        <v>16</v>
      </c>
      <c r="AF118" s="538">
        <v>1381.2244897959188</v>
      </c>
      <c r="AG118" s="538">
        <v>86.326530612244923</v>
      </c>
      <c r="AH118" s="529">
        <f t="shared" si="32"/>
        <v>6</v>
      </c>
      <c r="AI118" s="653"/>
      <c r="AJ118" s="529">
        <v>16</v>
      </c>
      <c r="AK118" s="538">
        <v>1375.2941176470595</v>
      </c>
      <c r="AL118" s="538">
        <v>85.955882352941217</v>
      </c>
      <c r="AM118" s="529">
        <f t="shared" si="33"/>
        <v>4</v>
      </c>
      <c r="AN118" s="653"/>
      <c r="AO118" s="529">
        <v>16</v>
      </c>
      <c r="AP118" s="538">
        <v>1365.7142857142871</v>
      </c>
      <c r="AQ118" s="538">
        <v>85.357142857142946</v>
      </c>
      <c r="AR118" s="529">
        <f t="shared" si="34"/>
        <v>7</v>
      </c>
      <c r="AS118" s="653"/>
      <c r="AT118" s="529">
        <v>16</v>
      </c>
      <c r="AU118" s="538">
        <v>1376.4705882352923</v>
      </c>
      <c r="AV118" s="538">
        <v>86.02941176470577</v>
      </c>
      <c r="AW118" s="529">
        <f t="shared" si="35"/>
        <v>7</v>
      </c>
      <c r="AX118" s="653"/>
      <c r="AZ118" s="377" t="e">
        <f t="shared" si="36"/>
        <v>#N/A</v>
      </c>
      <c r="BA118" s="653"/>
    </row>
    <row r="119" spans="2:53">
      <c r="B119" s="635"/>
      <c r="C119" s="529">
        <v>8</v>
      </c>
      <c r="D119" s="416" t="s">
        <v>338</v>
      </c>
      <c r="E119" s="531">
        <v>18</v>
      </c>
      <c r="F119" s="416">
        <v>1636</v>
      </c>
      <c r="G119" s="363">
        <v>90.888888888888886</v>
      </c>
      <c r="H119" s="678"/>
      <c r="I119" s="531">
        <f t="shared" si="28"/>
        <v>18</v>
      </c>
      <c r="J119" s="531">
        <f t="shared" si="28"/>
        <v>1422.7627465050912</v>
      </c>
      <c r="K119" s="363">
        <f t="shared" si="28"/>
        <v>79.042374805838406</v>
      </c>
      <c r="L119" s="615"/>
      <c r="M119" s="536">
        <f>RANK(K119, K$112:$K$141)</f>
        <v>11</v>
      </c>
      <c r="N119" s="624"/>
      <c r="O119" s="624"/>
      <c r="P119" s="529">
        <v>18</v>
      </c>
      <c r="Q119" s="538">
        <v>1435.3846153846168</v>
      </c>
      <c r="R119" s="538">
        <v>79.743589743589823</v>
      </c>
      <c r="S119" s="529">
        <f t="shared" si="29"/>
        <v>11</v>
      </c>
      <c r="T119" s="653"/>
      <c r="U119" s="529">
        <v>18</v>
      </c>
      <c r="V119" s="538">
        <v>1437.9310344827597</v>
      </c>
      <c r="W119" s="538">
        <v>79.885057471264432</v>
      </c>
      <c r="X119" s="529">
        <f t="shared" si="30"/>
        <v>11</v>
      </c>
      <c r="Y119" s="653"/>
      <c r="Z119" s="529">
        <v>18</v>
      </c>
      <c r="AA119" s="538">
        <v>1434.8275862068974</v>
      </c>
      <c r="AB119" s="538">
        <v>79.712643678160973</v>
      </c>
      <c r="AC119" s="529">
        <f t="shared" si="31"/>
        <v>11</v>
      </c>
      <c r="AD119" s="653"/>
      <c r="AE119" s="529">
        <v>18</v>
      </c>
      <c r="AF119" s="538">
        <v>1386.4285714285725</v>
      </c>
      <c r="AG119" s="538">
        <v>77.023809523809575</v>
      </c>
      <c r="AH119" s="529">
        <f t="shared" si="32"/>
        <v>15</v>
      </c>
      <c r="AI119" s="653"/>
      <c r="AJ119" s="529">
        <v>18</v>
      </c>
      <c r="AK119" s="538">
        <v>1413.0000000000014</v>
      </c>
      <c r="AL119" s="538">
        <v>78.500000000000071</v>
      </c>
      <c r="AM119" s="529">
        <f t="shared" si="33"/>
        <v>13</v>
      </c>
      <c r="AN119" s="653"/>
      <c r="AO119" s="529">
        <v>18</v>
      </c>
      <c r="AP119" s="538">
        <v>1454.0625000000018</v>
      </c>
      <c r="AQ119" s="538">
        <v>80.781250000000099</v>
      </c>
      <c r="AR119" s="529">
        <f t="shared" si="34"/>
        <v>11</v>
      </c>
      <c r="AS119" s="653"/>
      <c r="AT119" s="529">
        <v>18</v>
      </c>
      <c r="AU119" s="538">
        <v>1397.7049180327881</v>
      </c>
      <c r="AV119" s="538">
        <v>77.650273224043787</v>
      </c>
      <c r="AW119" s="529">
        <f t="shared" si="35"/>
        <v>12</v>
      </c>
      <c r="AX119" s="653"/>
      <c r="AZ119" s="377" t="e">
        <f t="shared" si="36"/>
        <v>#N/A</v>
      </c>
      <c r="BA119" s="653"/>
    </row>
    <row r="120" spans="2:53">
      <c r="B120" s="635"/>
      <c r="C120" s="529">
        <v>9</v>
      </c>
      <c r="D120" s="416" t="s">
        <v>337</v>
      </c>
      <c r="E120" s="531">
        <v>18</v>
      </c>
      <c r="F120" s="416">
        <v>1636</v>
      </c>
      <c r="G120" s="363">
        <v>90.888888888888886</v>
      </c>
      <c r="H120" s="678"/>
      <c r="I120" s="531">
        <f t="shared" si="28"/>
        <v>18</v>
      </c>
      <c r="J120" s="531">
        <f t="shared" si="28"/>
        <v>1416.5903487601897</v>
      </c>
      <c r="K120" s="363">
        <f t="shared" si="28"/>
        <v>78.69946382001055</v>
      </c>
      <c r="L120" s="615"/>
      <c r="M120" s="536">
        <f>RANK(K120, K$112:$K$141)</f>
        <v>12</v>
      </c>
      <c r="N120" s="624"/>
      <c r="O120" s="624"/>
      <c r="P120" s="529">
        <v>18</v>
      </c>
      <c r="Q120" s="538">
        <v>1409.4339622641517</v>
      </c>
      <c r="R120" s="538">
        <v>78.301886792452876</v>
      </c>
      <c r="S120" s="529">
        <f t="shared" si="29"/>
        <v>13</v>
      </c>
      <c r="T120" s="653"/>
      <c r="U120" s="529">
        <v>18</v>
      </c>
      <c r="V120" s="538">
        <v>1416.5217391304348</v>
      </c>
      <c r="W120" s="538">
        <v>78.695652173913047</v>
      </c>
      <c r="X120" s="529">
        <f t="shared" si="30"/>
        <v>13</v>
      </c>
      <c r="Y120" s="653"/>
      <c r="Z120" s="529">
        <v>18</v>
      </c>
      <c r="AA120" s="538">
        <v>1435.0000000000005</v>
      </c>
      <c r="AB120" s="538">
        <v>79.722222222222243</v>
      </c>
      <c r="AC120" s="529">
        <f t="shared" si="31"/>
        <v>10</v>
      </c>
      <c r="AD120" s="653"/>
      <c r="AE120" s="529">
        <v>18</v>
      </c>
      <c r="AF120" s="538">
        <v>1424.2857142857138</v>
      </c>
      <c r="AG120" s="538">
        <v>79.126984126984098</v>
      </c>
      <c r="AH120" s="529">
        <f t="shared" si="32"/>
        <v>10</v>
      </c>
      <c r="AI120" s="653"/>
      <c r="AJ120" s="529">
        <v>18</v>
      </c>
      <c r="AK120" s="538">
        <v>1417.3333333333335</v>
      </c>
      <c r="AL120" s="538">
        <v>78.740740740740748</v>
      </c>
      <c r="AM120" s="529">
        <f t="shared" si="33"/>
        <v>12</v>
      </c>
      <c r="AN120" s="653"/>
      <c r="AO120" s="529">
        <v>18</v>
      </c>
      <c r="AP120" s="538">
        <v>1412.3076923076931</v>
      </c>
      <c r="AQ120" s="538">
        <v>78.46153846153851</v>
      </c>
      <c r="AR120" s="529">
        <f t="shared" si="34"/>
        <v>13</v>
      </c>
      <c r="AS120" s="653"/>
      <c r="AT120" s="529">
        <v>18</v>
      </c>
      <c r="AU120" s="538">
        <v>1401.2500000000005</v>
      </c>
      <c r="AV120" s="538">
        <v>77.847222222222243</v>
      </c>
      <c r="AW120" s="529">
        <f t="shared" si="35"/>
        <v>11</v>
      </c>
      <c r="AX120" s="653"/>
      <c r="AZ120" s="377" t="e">
        <f t="shared" si="36"/>
        <v>#N/A</v>
      </c>
      <c r="BA120" s="653"/>
    </row>
    <row r="121" spans="2:53">
      <c r="B121" s="635"/>
      <c r="C121" s="529">
        <v>10</v>
      </c>
      <c r="D121" s="416" t="s">
        <v>320</v>
      </c>
      <c r="E121" s="531">
        <v>17</v>
      </c>
      <c r="F121" s="416">
        <v>1500</v>
      </c>
      <c r="G121" s="363">
        <v>88.235294117647058</v>
      </c>
      <c r="H121" s="678"/>
      <c r="I121" s="531">
        <f t="shared" si="28"/>
        <v>17</v>
      </c>
      <c r="J121" s="531">
        <f t="shared" si="28"/>
        <v>1360.500461120922</v>
      </c>
      <c r="K121" s="363">
        <f t="shared" si="28"/>
        <v>80.029438889465993</v>
      </c>
      <c r="L121" s="615"/>
      <c r="M121" s="536">
        <f>RANK(K121, K$112:$K$141)</f>
        <v>10</v>
      </c>
      <c r="N121" s="624"/>
      <c r="O121" s="624"/>
      <c r="P121" s="529">
        <v>17</v>
      </c>
      <c r="Q121" s="538">
        <v>1368.5106382978724</v>
      </c>
      <c r="R121" s="538">
        <v>80.500625782227786</v>
      </c>
      <c r="S121" s="529">
        <f t="shared" si="29"/>
        <v>10</v>
      </c>
      <c r="T121" s="653"/>
      <c r="U121" s="529">
        <v>17</v>
      </c>
      <c r="V121" s="538">
        <v>1375.7142857142851</v>
      </c>
      <c r="W121" s="538">
        <v>80.924369747899121</v>
      </c>
      <c r="X121" s="529">
        <f t="shared" si="30"/>
        <v>10</v>
      </c>
      <c r="Y121" s="653"/>
      <c r="Z121" s="529">
        <v>17</v>
      </c>
      <c r="AA121" s="538">
        <v>1352.5000000000005</v>
      </c>
      <c r="AB121" s="538">
        <v>79.558823529411796</v>
      </c>
      <c r="AC121" s="529">
        <f t="shared" si="31"/>
        <v>12</v>
      </c>
      <c r="AD121" s="653"/>
      <c r="AE121" s="529">
        <v>17</v>
      </c>
      <c r="AF121" s="538">
        <v>1341.9512195121945</v>
      </c>
      <c r="AG121" s="538">
        <v>78.938307030129081</v>
      </c>
      <c r="AH121" s="529">
        <f t="shared" si="32"/>
        <v>11</v>
      </c>
      <c r="AI121" s="653"/>
      <c r="AJ121" s="529">
        <v>17</v>
      </c>
      <c r="AK121" s="538">
        <v>1386.9767441860463</v>
      </c>
      <c r="AL121" s="538">
        <v>81.586867305061546</v>
      </c>
      <c r="AM121" s="529">
        <f t="shared" si="33"/>
        <v>9</v>
      </c>
      <c r="AN121" s="653"/>
      <c r="AO121" s="529">
        <v>17</v>
      </c>
      <c r="AP121" s="538">
        <v>1359.1836734693882</v>
      </c>
      <c r="AQ121" s="538">
        <v>79.951980792316945</v>
      </c>
      <c r="AR121" s="529">
        <f t="shared" si="34"/>
        <v>12</v>
      </c>
      <c r="AS121" s="653"/>
      <c r="AT121" s="529">
        <v>17</v>
      </c>
      <c r="AU121" s="538">
        <v>1338.6666666666665</v>
      </c>
      <c r="AV121" s="538">
        <v>78.745098039215677</v>
      </c>
      <c r="AW121" s="529">
        <f t="shared" si="35"/>
        <v>10</v>
      </c>
      <c r="AX121" s="653"/>
      <c r="AZ121" s="377" t="e">
        <f t="shared" si="36"/>
        <v>#N/A</v>
      </c>
      <c r="BA121" s="653"/>
    </row>
    <row r="122" spans="2:53">
      <c r="B122" s="635"/>
      <c r="C122" s="529">
        <v>11</v>
      </c>
      <c r="D122" s="416" t="s">
        <v>431</v>
      </c>
      <c r="E122" s="531">
        <v>20</v>
      </c>
      <c r="F122" s="416">
        <v>1440</v>
      </c>
      <c r="G122" s="363">
        <v>72</v>
      </c>
      <c r="H122" s="678"/>
      <c r="I122" s="531">
        <f t="shared" si="28"/>
        <v>20</v>
      </c>
      <c r="J122" s="531">
        <f t="shared" si="28"/>
        <v>1325.202356439373</v>
      </c>
      <c r="K122" s="363">
        <f t="shared" si="28"/>
        <v>66.260117821968649</v>
      </c>
      <c r="L122" s="615"/>
      <c r="M122" s="536">
        <f>RANK(K122, K$112:$K$141)</f>
        <v>22</v>
      </c>
      <c r="N122" s="624"/>
      <c r="O122" s="624"/>
      <c r="P122" s="529">
        <v>20</v>
      </c>
      <c r="Q122" s="538">
        <v>1307.6923076923069</v>
      </c>
      <c r="R122" s="538">
        <v>65.384615384615344</v>
      </c>
      <c r="S122" s="529">
        <f t="shared" si="29"/>
        <v>22</v>
      </c>
      <c r="T122" s="653"/>
      <c r="U122" s="529">
        <v>20</v>
      </c>
      <c r="V122" s="538">
        <v>1328.4507042253508</v>
      </c>
      <c r="W122" s="538">
        <v>66.422535211267544</v>
      </c>
      <c r="X122" s="529">
        <f t="shared" si="30"/>
        <v>22</v>
      </c>
      <c r="Y122" s="653"/>
      <c r="Z122" s="529">
        <v>20</v>
      </c>
      <c r="AA122" s="538">
        <v>1325.9154929577451</v>
      </c>
      <c r="AB122" s="538">
        <v>66.295774647887256</v>
      </c>
      <c r="AC122" s="529">
        <f t="shared" si="31"/>
        <v>22</v>
      </c>
      <c r="AD122" s="653"/>
      <c r="AE122" s="529">
        <v>20</v>
      </c>
      <c r="AF122" s="538">
        <v>1330.7142857142867</v>
      </c>
      <c r="AG122" s="538">
        <v>66.535714285714334</v>
      </c>
      <c r="AH122" s="529">
        <f t="shared" si="32"/>
        <v>22</v>
      </c>
      <c r="AI122" s="653"/>
      <c r="AJ122" s="529">
        <v>20</v>
      </c>
      <c r="AK122" s="538">
        <v>1320.9230769230785</v>
      </c>
      <c r="AL122" s="538">
        <v>66.046153846153928</v>
      </c>
      <c r="AM122" s="529">
        <f t="shared" si="33"/>
        <v>22</v>
      </c>
      <c r="AN122" s="653"/>
      <c r="AO122" s="529">
        <v>20</v>
      </c>
      <c r="AP122" s="538">
        <v>1334.3661971830973</v>
      </c>
      <c r="AQ122" s="538">
        <v>66.718309859154857</v>
      </c>
      <c r="AR122" s="529">
        <f t="shared" si="34"/>
        <v>22</v>
      </c>
      <c r="AS122" s="653"/>
      <c r="AT122" s="529">
        <v>20</v>
      </c>
      <c r="AU122" s="538">
        <v>1328.3544303797462</v>
      </c>
      <c r="AV122" s="538">
        <v>66.417721518987307</v>
      </c>
      <c r="AW122" s="529">
        <f t="shared" si="35"/>
        <v>22</v>
      </c>
      <c r="AX122" s="653"/>
      <c r="AZ122" s="377" t="e">
        <f t="shared" si="36"/>
        <v>#N/A</v>
      </c>
      <c r="BA122" s="653"/>
    </row>
    <row r="123" spans="2:53">
      <c r="B123" s="635"/>
      <c r="C123" s="529">
        <v>12</v>
      </c>
      <c r="D123" s="416" t="s">
        <v>341</v>
      </c>
      <c r="E123" s="531">
        <v>14</v>
      </c>
      <c r="F123" s="416">
        <v>1440</v>
      </c>
      <c r="G123" s="363">
        <v>102.85714285714286</v>
      </c>
      <c r="H123" s="678"/>
      <c r="I123" s="531">
        <f t="shared" si="28"/>
        <v>15</v>
      </c>
      <c r="J123" s="531">
        <f t="shared" si="28"/>
        <v>1306.0273588739176</v>
      </c>
      <c r="K123" s="363">
        <f t="shared" si="28"/>
        <v>87.068490591594511</v>
      </c>
      <c r="L123" s="615"/>
      <c r="M123" s="536">
        <f>RANK(K123, K$112:$K$141)</f>
        <v>4</v>
      </c>
      <c r="N123" s="624"/>
      <c r="O123" s="624"/>
      <c r="P123" s="529">
        <v>15</v>
      </c>
      <c r="Q123" s="538">
        <v>1289.4545454545464</v>
      </c>
      <c r="R123" s="538">
        <v>85.963636363636425</v>
      </c>
      <c r="S123" s="529">
        <f t="shared" si="29"/>
        <v>5</v>
      </c>
      <c r="T123" s="653"/>
      <c r="U123" s="529">
        <v>15</v>
      </c>
      <c r="V123" s="538">
        <v>1325.882352941177</v>
      </c>
      <c r="W123" s="538">
        <v>88.392156862745139</v>
      </c>
      <c r="X123" s="529">
        <f t="shared" si="30"/>
        <v>3</v>
      </c>
      <c r="Y123" s="653"/>
      <c r="Z123" s="529">
        <v>15</v>
      </c>
      <c r="AA123" s="538">
        <v>1308.2352941176475</v>
      </c>
      <c r="AB123" s="538">
        <v>87.215686274509835</v>
      </c>
      <c r="AC123" s="529">
        <f t="shared" si="31"/>
        <v>4</v>
      </c>
      <c r="AD123" s="653"/>
      <c r="AE123" s="529">
        <v>15</v>
      </c>
      <c r="AF123" s="538">
        <v>1309.7872340425533</v>
      </c>
      <c r="AG123" s="538">
        <v>87.319148936170222</v>
      </c>
      <c r="AH123" s="529">
        <f t="shared" si="32"/>
        <v>5</v>
      </c>
      <c r="AI123" s="653"/>
      <c r="AJ123" s="529">
        <v>15</v>
      </c>
      <c r="AK123" s="538">
        <v>1282.8000000000004</v>
      </c>
      <c r="AL123" s="538">
        <v>85.520000000000024</v>
      </c>
      <c r="AM123" s="529">
        <f t="shared" si="33"/>
        <v>6</v>
      </c>
      <c r="AN123" s="653"/>
      <c r="AO123" s="529">
        <v>15</v>
      </c>
      <c r="AP123" s="538">
        <v>1333.0909090909099</v>
      </c>
      <c r="AQ123" s="538">
        <v>88.872727272727332</v>
      </c>
      <c r="AR123" s="529">
        <f t="shared" si="34"/>
        <v>4</v>
      </c>
      <c r="AS123" s="653"/>
      <c r="AT123" s="529">
        <v>15</v>
      </c>
      <c r="AU123" s="538">
        <v>1292.9411764705887</v>
      </c>
      <c r="AV123" s="538">
        <v>86.196078431372584</v>
      </c>
      <c r="AW123" s="529">
        <f t="shared" si="35"/>
        <v>5</v>
      </c>
      <c r="AX123" s="653"/>
      <c r="AZ123" s="377" t="e">
        <f t="shared" si="36"/>
        <v>#N/A</v>
      </c>
      <c r="BA123" s="653"/>
    </row>
    <row r="124" spans="2:53">
      <c r="B124" s="635"/>
      <c r="C124" s="529">
        <v>13</v>
      </c>
      <c r="D124" s="416" t="s">
        <v>313</v>
      </c>
      <c r="E124" s="531">
        <v>19</v>
      </c>
      <c r="F124" s="416">
        <v>1440</v>
      </c>
      <c r="G124" s="363">
        <v>75.78947368421052</v>
      </c>
      <c r="H124" s="678"/>
      <c r="I124" s="531">
        <f t="shared" si="28"/>
        <v>19</v>
      </c>
      <c r="J124" s="531">
        <f t="shared" si="28"/>
        <v>1321.7402781410844</v>
      </c>
      <c r="K124" s="363">
        <f t="shared" si="28"/>
        <v>69.565277796899181</v>
      </c>
      <c r="L124" s="615"/>
      <c r="M124" s="536">
        <f>RANK(K124, K$112:$K$141)</f>
        <v>18</v>
      </c>
      <c r="N124" s="624"/>
      <c r="O124" s="624"/>
      <c r="P124" s="529">
        <v>19</v>
      </c>
      <c r="Q124" s="538">
        <v>1309.5348837209301</v>
      </c>
      <c r="R124" s="538">
        <v>68.922888616891058</v>
      </c>
      <c r="S124" s="529">
        <f t="shared" si="29"/>
        <v>20</v>
      </c>
      <c r="T124" s="653"/>
      <c r="U124" s="529">
        <v>19</v>
      </c>
      <c r="V124" s="538">
        <v>1317.7777777777774</v>
      </c>
      <c r="W124" s="538">
        <v>69.356725146198812</v>
      </c>
      <c r="X124" s="529">
        <f t="shared" si="30"/>
        <v>20</v>
      </c>
      <c r="Y124" s="653"/>
      <c r="Z124" s="529">
        <v>19</v>
      </c>
      <c r="AA124" s="538">
        <v>1301.2499999999995</v>
      </c>
      <c r="AB124" s="538">
        <v>68.486842105263136</v>
      </c>
      <c r="AC124" s="529">
        <f t="shared" si="31"/>
        <v>19</v>
      </c>
      <c r="AD124" s="653"/>
      <c r="AE124" s="529">
        <v>19</v>
      </c>
      <c r="AF124" s="538">
        <v>1338.8059701492552</v>
      </c>
      <c r="AG124" s="538">
        <v>70.463472113118698</v>
      </c>
      <c r="AH124" s="529">
        <f t="shared" si="32"/>
        <v>18</v>
      </c>
      <c r="AI124" s="653"/>
      <c r="AJ124" s="529">
        <v>19</v>
      </c>
      <c r="AK124" s="538">
        <v>1331.0526315789464</v>
      </c>
      <c r="AL124" s="538">
        <v>70.055401662049803</v>
      </c>
      <c r="AM124" s="529">
        <f t="shared" si="33"/>
        <v>19</v>
      </c>
      <c r="AN124" s="653"/>
      <c r="AO124" s="529">
        <v>19</v>
      </c>
      <c r="AP124" s="538">
        <v>1331.5384615384608</v>
      </c>
      <c r="AQ124" s="538">
        <v>70.080971659918987</v>
      </c>
      <c r="AR124" s="529">
        <f t="shared" si="34"/>
        <v>18</v>
      </c>
      <c r="AS124" s="653"/>
      <c r="AT124" s="529">
        <v>19</v>
      </c>
      <c r="AU124" s="538">
        <v>1322.2222222222219</v>
      </c>
      <c r="AV124" s="538">
        <v>69.59064327485379</v>
      </c>
      <c r="AW124" s="529">
        <f t="shared" si="35"/>
        <v>18</v>
      </c>
      <c r="AX124" s="653"/>
      <c r="AZ124" s="377" t="e">
        <f t="shared" si="36"/>
        <v>#N/A</v>
      </c>
      <c r="BA124" s="653"/>
    </row>
    <row r="125" spans="2:53">
      <c r="B125" s="635"/>
      <c r="C125" s="529">
        <v>14</v>
      </c>
      <c r="D125" s="416" t="s">
        <v>336</v>
      </c>
      <c r="E125" s="531">
        <v>19</v>
      </c>
      <c r="F125" s="416">
        <v>1440</v>
      </c>
      <c r="G125" s="363">
        <v>75.78947368421052</v>
      </c>
      <c r="H125" s="678"/>
      <c r="I125" s="531">
        <f t="shared" si="28"/>
        <v>19</v>
      </c>
      <c r="J125" s="531">
        <f t="shared" si="28"/>
        <v>1318.2271210064132</v>
      </c>
      <c r="K125" s="363">
        <f t="shared" si="28"/>
        <v>69.380374789811214</v>
      </c>
      <c r="L125" s="615"/>
      <c r="M125" s="536">
        <f>RANK(K125, K$112:$K$141)</f>
        <v>19</v>
      </c>
      <c r="N125" s="624"/>
      <c r="O125" s="624"/>
      <c r="P125" s="529">
        <v>19</v>
      </c>
      <c r="Q125" s="538">
        <v>1304.5454545454561</v>
      </c>
      <c r="R125" s="538">
        <v>68.660287081339789</v>
      </c>
      <c r="S125" s="529">
        <f t="shared" si="29"/>
        <v>21</v>
      </c>
      <c r="T125" s="653"/>
      <c r="U125" s="529">
        <v>19</v>
      </c>
      <c r="V125" s="538">
        <v>1299.692307692309</v>
      </c>
      <c r="W125" s="538">
        <v>68.404858299595205</v>
      </c>
      <c r="X125" s="529">
        <f t="shared" si="30"/>
        <v>21</v>
      </c>
      <c r="Y125" s="653"/>
      <c r="Z125" s="529">
        <v>19</v>
      </c>
      <c r="AA125" s="538">
        <v>1294.1538461538476</v>
      </c>
      <c r="AB125" s="538">
        <v>68.11336032388671</v>
      </c>
      <c r="AC125" s="529">
        <f t="shared" si="31"/>
        <v>21</v>
      </c>
      <c r="AD125" s="653"/>
      <c r="AE125" s="529">
        <v>19</v>
      </c>
      <c r="AF125" s="538">
        <v>1335.5172413793114</v>
      </c>
      <c r="AG125" s="538">
        <v>70.290381125226915</v>
      </c>
      <c r="AH125" s="529">
        <f t="shared" si="32"/>
        <v>19</v>
      </c>
      <c r="AI125" s="653"/>
      <c r="AJ125" s="529">
        <v>19</v>
      </c>
      <c r="AK125" s="538">
        <v>1336.8750000000016</v>
      </c>
      <c r="AL125" s="538">
        <v>70.361842105263236</v>
      </c>
      <c r="AM125" s="529">
        <f t="shared" si="33"/>
        <v>18</v>
      </c>
      <c r="AN125" s="653"/>
      <c r="AO125" s="529">
        <v>19</v>
      </c>
      <c r="AP125" s="538">
        <v>1324.2253521126747</v>
      </c>
      <c r="AQ125" s="538">
        <v>69.696071163824982</v>
      </c>
      <c r="AR125" s="529">
        <f t="shared" si="34"/>
        <v>19</v>
      </c>
      <c r="AS125" s="653"/>
      <c r="AT125" s="529">
        <v>19</v>
      </c>
      <c r="AU125" s="538">
        <v>1332.5806451612914</v>
      </c>
      <c r="AV125" s="538">
        <v>70.135823429541645</v>
      </c>
      <c r="AW125" s="529">
        <f t="shared" si="35"/>
        <v>17</v>
      </c>
      <c r="AX125" s="653"/>
      <c r="AZ125" s="377" t="e">
        <f t="shared" si="36"/>
        <v>#N/A</v>
      </c>
      <c r="BA125" s="653"/>
    </row>
    <row r="126" spans="2:53">
      <c r="B126" s="635"/>
      <c r="C126" s="529">
        <v>15</v>
      </c>
      <c r="D126" s="416" t="s">
        <v>562</v>
      </c>
      <c r="E126" s="531">
        <v>18</v>
      </c>
      <c r="F126" s="416">
        <v>1500</v>
      </c>
      <c r="G126" s="363">
        <v>83.333333333333329</v>
      </c>
      <c r="H126" s="678"/>
      <c r="I126" s="531">
        <f t="shared" si="28"/>
        <v>18</v>
      </c>
      <c r="J126" s="531">
        <f t="shared" si="28"/>
        <v>1382.1357552720351</v>
      </c>
      <c r="K126" s="363">
        <f t="shared" si="28"/>
        <v>76.785319737335286</v>
      </c>
      <c r="L126" s="615"/>
      <c r="M126" s="536">
        <f>RANK(K126, K$112:$K$141)</f>
        <v>15</v>
      </c>
      <c r="N126" s="624"/>
      <c r="O126" s="624"/>
      <c r="P126" s="529">
        <v>18</v>
      </c>
      <c r="Q126" s="538">
        <v>1377.662337662337</v>
      </c>
      <c r="R126" s="538">
        <v>76.536796536796501</v>
      </c>
      <c r="S126" s="529">
        <f t="shared" si="29"/>
        <v>14</v>
      </c>
      <c r="T126" s="653"/>
      <c r="U126" s="529">
        <v>18</v>
      </c>
      <c r="V126" s="538">
        <v>1399.6875000000016</v>
      </c>
      <c r="W126" s="538">
        <v>77.760416666666757</v>
      </c>
      <c r="X126" s="529">
        <f t="shared" si="30"/>
        <v>14</v>
      </c>
      <c r="Y126" s="653"/>
      <c r="Z126" s="529">
        <v>18</v>
      </c>
      <c r="AA126" s="538">
        <v>1378.7234042553193</v>
      </c>
      <c r="AB126" s="538">
        <v>76.59574468085107</v>
      </c>
      <c r="AC126" s="529">
        <f t="shared" si="31"/>
        <v>14</v>
      </c>
      <c r="AD126" s="653"/>
      <c r="AE126" s="529">
        <v>18</v>
      </c>
      <c r="AF126" s="538">
        <v>1391.489361702128</v>
      </c>
      <c r="AG126" s="538">
        <v>77.304964539007116</v>
      </c>
      <c r="AH126" s="529">
        <f t="shared" si="32"/>
        <v>14</v>
      </c>
      <c r="AI126" s="653"/>
      <c r="AJ126" s="529">
        <v>18</v>
      </c>
      <c r="AK126" s="538">
        <v>1381.2000000000005</v>
      </c>
      <c r="AL126" s="538">
        <v>76.733333333333363</v>
      </c>
      <c r="AM126" s="529">
        <f t="shared" si="33"/>
        <v>15</v>
      </c>
      <c r="AN126" s="653"/>
      <c r="AO126" s="529">
        <v>18</v>
      </c>
      <c r="AP126" s="538">
        <v>1377.0967741935497</v>
      </c>
      <c r="AQ126" s="538">
        <v>76.505376344086088</v>
      </c>
      <c r="AR126" s="529">
        <f t="shared" si="34"/>
        <v>16</v>
      </c>
      <c r="AS126" s="653"/>
      <c r="AT126" s="529">
        <v>18</v>
      </c>
      <c r="AU126" s="538">
        <v>1369.0909090909104</v>
      </c>
      <c r="AV126" s="538">
        <v>76.060606060606133</v>
      </c>
      <c r="AW126" s="529">
        <f t="shared" si="35"/>
        <v>14</v>
      </c>
      <c r="AX126" s="653"/>
      <c r="AZ126" s="377" t="e">
        <f t="shared" si="36"/>
        <v>#N/A</v>
      </c>
      <c r="BA126" s="653"/>
    </row>
    <row r="127" spans="2:53">
      <c r="B127" s="635"/>
      <c r="C127" s="529">
        <v>16</v>
      </c>
      <c r="D127" s="416" t="s">
        <v>428</v>
      </c>
      <c r="E127" s="531">
        <v>17</v>
      </c>
      <c r="F127" s="416">
        <v>1440</v>
      </c>
      <c r="G127" s="363">
        <v>84.705882352941174</v>
      </c>
      <c r="H127" s="678"/>
      <c r="I127" s="531">
        <f t="shared" si="28"/>
        <v>17</v>
      </c>
      <c r="J127" s="531">
        <f t="shared" si="28"/>
        <v>1313.22575311022</v>
      </c>
      <c r="K127" s="363">
        <f t="shared" si="28"/>
        <v>77.248573712365882</v>
      </c>
      <c r="L127" s="615"/>
      <c r="M127" s="536">
        <f>RANK(K127, K$112:$K$141)</f>
        <v>13</v>
      </c>
      <c r="N127" s="624"/>
      <c r="O127" s="624"/>
      <c r="P127" s="529">
        <v>17</v>
      </c>
      <c r="Q127" s="538">
        <v>1295.4545454545455</v>
      </c>
      <c r="R127" s="538">
        <v>76.203208556149733</v>
      </c>
      <c r="S127" s="529">
        <f t="shared" si="29"/>
        <v>15</v>
      </c>
      <c r="T127" s="653"/>
      <c r="U127" s="529">
        <v>17</v>
      </c>
      <c r="V127" s="538">
        <v>1287.8048780487802</v>
      </c>
      <c r="W127" s="538">
        <v>75.753228120516482</v>
      </c>
      <c r="X127" s="529">
        <f t="shared" si="30"/>
        <v>16</v>
      </c>
      <c r="Y127" s="653"/>
      <c r="Z127" s="529">
        <v>17</v>
      </c>
      <c r="AA127" s="538">
        <v>1297.8947368421043</v>
      </c>
      <c r="AB127" s="538">
        <v>76.346749226006139</v>
      </c>
      <c r="AC127" s="529">
        <f t="shared" si="31"/>
        <v>15</v>
      </c>
      <c r="AD127" s="653"/>
      <c r="AE127" s="529">
        <v>17</v>
      </c>
      <c r="AF127" s="538">
        <v>1327.2727272727257</v>
      </c>
      <c r="AG127" s="538">
        <v>78.074866310160331</v>
      </c>
      <c r="AH127" s="529">
        <f t="shared" si="32"/>
        <v>13</v>
      </c>
      <c r="AI127" s="653"/>
      <c r="AJ127" s="529">
        <v>17</v>
      </c>
      <c r="AK127" s="538">
        <v>1344.3243243243232</v>
      </c>
      <c r="AL127" s="538">
        <v>79.077901430842545</v>
      </c>
      <c r="AM127" s="529">
        <f t="shared" si="33"/>
        <v>11</v>
      </c>
      <c r="AN127" s="653"/>
      <c r="AO127" s="529">
        <v>17</v>
      </c>
      <c r="AP127" s="538">
        <v>1324.4444444444453</v>
      </c>
      <c r="AQ127" s="538">
        <v>77.908496732026194</v>
      </c>
      <c r="AR127" s="529">
        <f t="shared" si="34"/>
        <v>15</v>
      </c>
      <c r="AS127" s="653"/>
      <c r="AT127" s="529">
        <v>17</v>
      </c>
      <c r="AU127" s="538">
        <v>1315.3846153846148</v>
      </c>
      <c r="AV127" s="538">
        <v>77.375565610859695</v>
      </c>
      <c r="AW127" s="529">
        <f t="shared" si="35"/>
        <v>13</v>
      </c>
      <c r="AX127" s="653"/>
      <c r="AZ127" s="377" t="e">
        <f t="shared" si="36"/>
        <v>#N/A</v>
      </c>
      <c r="BA127" s="653"/>
    </row>
    <row r="128" spans="2:53">
      <c r="B128" s="635"/>
      <c r="C128" s="529">
        <v>17</v>
      </c>
      <c r="D128" s="416" t="s">
        <v>697</v>
      </c>
      <c r="E128" s="531">
        <v>16</v>
      </c>
      <c r="F128" s="416">
        <v>1636</v>
      </c>
      <c r="G128" s="363">
        <v>102.25</v>
      </c>
      <c r="H128" s="678"/>
      <c r="I128" s="531">
        <f t="shared" si="28"/>
        <v>16</v>
      </c>
      <c r="J128" s="531">
        <f t="shared" si="28"/>
        <v>1408.3405094167015</v>
      </c>
      <c r="K128" s="363">
        <f t="shared" si="28"/>
        <v>88.021281838543842</v>
      </c>
      <c r="L128" s="615"/>
      <c r="M128" s="536">
        <f>RANK(K128, K$112:$K$141)</f>
        <v>3</v>
      </c>
      <c r="N128" s="624"/>
      <c r="O128" s="624"/>
      <c r="P128" s="529">
        <v>16</v>
      </c>
      <c r="Q128" s="538">
        <v>1395</v>
      </c>
      <c r="R128" s="538">
        <v>87.1875</v>
      </c>
      <c r="S128" s="529">
        <f t="shared" si="29"/>
        <v>4</v>
      </c>
      <c r="T128" s="653"/>
      <c r="U128" s="529">
        <v>16</v>
      </c>
      <c r="V128" s="538">
        <v>1407.2727272727273</v>
      </c>
      <c r="W128" s="538">
        <v>87.954545454545453</v>
      </c>
      <c r="X128" s="529">
        <f t="shared" si="30"/>
        <v>4</v>
      </c>
      <c r="Y128" s="653"/>
      <c r="Z128" s="529">
        <v>16</v>
      </c>
      <c r="AA128" s="538">
        <v>1399.4117647058806</v>
      </c>
      <c r="AB128" s="538">
        <v>87.463235294117538</v>
      </c>
      <c r="AC128" s="529">
        <f t="shared" si="31"/>
        <v>3</v>
      </c>
      <c r="AD128" s="653"/>
      <c r="AE128" s="529">
        <v>16</v>
      </c>
      <c r="AF128" s="538">
        <v>1410.9090909090889</v>
      </c>
      <c r="AG128" s="538">
        <v>88.181818181818059</v>
      </c>
      <c r="AH128" s="529">
        <f t="shared" si="32"/>
        <v>3</v>
      </c>
      <c r="AI128" s="653"/>
      <c r="AJ128" s="529">
        <v>16</v>
      </c>
      <c r="AK128" s="538">
        <v>1412.4324324324314</v>
      </c>
      <c r="AL128" s="538">
        <v>88.277027027026961</v>
      </c>
      <c r="AM128" s="529">
        <f t="shared" si="33"/>
        <v>3</v>
      </c>
      <c r="AN128" s="653"/>
      <c r="AO128" s="529">
        <v>16</v>
      </c>
      <c r="AP128" s="538">
        <v>1438.7234042553193</v>
      </c>
      <c r="AQ128" s="538">
        <v>89.920212765957459</v>
      </c>
      <c r="AR128" s="529">
        <f t="shared" si="34"/>
        <v>3</v>
      </c>
      <c r="AS128" s="653"/>
      <c r="AT128" s="529">
        <v>16</v>
      </c>
      <c r="AU128" s="538">
        <v>1394.6341463414628</v>
      </c>
      <c r="AV128" s="538">
        <v>87.164634146341427</v>
      </c>
      <c r="AW128" s="529">
        <f t="shared" si="35"/>
        <v>3</v>
      </c>
      <c r="AX128" s="653"/>
      <c r="AZ128" s="377" t="e">
        <f t="shared" si="36"/>
        <v>#N/A</v>
      </c>
      <c r="BA128" s="653"/>
    </row>
    <row r="129" spans="2:53">
      <c r="B129" s="635"/>
      <c r="C129" s="529">
        <v>18</v>
      </c>
      <c r="D129" s="416" t="s">
        <v>726</v>
      </c>
      <c r="E129" s="531">
        <v>16</v>
      </c>
      <c r="F129" s="416">
        <v>1500</v>
      </c>
      <c r="G129" s="363">
        <v>93.75</v>
      </c>
      <c r="H129" s="678"/>
      <c r="I129" s="531">
        <f t="shared" si="28"/>
        <v>16</v>
      </c>
      <c r="J129" s="531">
        <f t="shared" si="28"/>
        <v>1361.6754079786281</v>
      </c>
      <c r="K129" s="363">
        <f t="shared" si="28"/>
        <v>85.104712998664255</v>
      </c>
      <c r="L129" s="615"/>
      <c r="M129" s="536">
        <f>RANK(K129, K$112:$K$141)</f>
        <v>7</v>
      </c>
      <c r="N129" s="624"/>
      <c r="O129" s="624"/>
      <c r="P129" s="529">
        <v>16</v>
      </c>
      <c r="Q129" s="538">
        <v>1339.6153846153854</v>
      </c>
      <c r="R129" s="538">
        <v>83.72596153846159</v>
      </c>
      <c r="S129" s="529">
        <f t="shared" si="29"/>
        <v>8</v>
      </c>
      <c r="T129" s="653"/>
      <c r="U129" s="529">
        <v>16</v>
      </c>
      <c r="V129" s="538">
        <v>1366.1538461538469</v>
      </c>
      <c r="W129" s="538">
        <v>85.384615384615429</v>
      </c>
      <c r="X129" s="529">
        <f t="shared" si="30"/>
        <v>6</v>
      </c>
      <c r="Y129" s="653"/>
      <c r="Z129" s="529">
        <v>16</v>
      </c>
      <c r="AA129" s="538">
        <v>1368.5106382978724</v>
      </c>
      <c r="AB129" s="538">
        <v>85.531914893617028</v>
      </c>
      <c r="AC129" s="529">
        <f t="shared" si="31"/>
        <v>5</v>
      </c>
      <c r="AD129" s="653"/>
      <c r="AE129" s="529">
        <v>16</v>
      </c>
      <c r="AF129" s="538">
        <v>1355.1219512195119</v>
      </c>
      <c r="AG129" s="538">
        <v>84.695121951219491</v>
      </c>
      <c r="AH129" s="529">
        <f t="shared" si="32"/>
        <v>8</v>
      </c>
      <c r="AI129" s="653"/>
      <c r="AJ129" s="529">
        <v>16</v>
      </c>
      <c r="AK129" s="538">
        <v>1360.4347826086957</v>
      </c>
      <c r="AL129" s="538">
        <v>85.027173913043484</v>
      </c>
      <c r="AM129" s="529">
        <f t="shared" si="33"/>
        <v>7</v>
      </c>
      <c r="AN129" s="653"/>
      <c r="AO129" s="529">
        <v>16</v>
      </c>
      <c r="AP129" s="538">
        <v>1364.444444444445</v>
      </c>
      <c r="AQ129" s="538">
        <v>85.277777777777814</v>
      </c>
      <c r="AR129" s="529">
        <f t="shared" si="34"/>
        <v>8</v>
      </c>
      <c r="AS129" s="653"/>
      <c r="AT129" s="529">
        <v>16</v>
      </c>
      <c r="AU129" s="538">
        <v>1377.4468085106384</v>
      </c>
      <c r="AV129" s="538">
        <v>86.090425531914903</v>
      </c>
      <c r="AW129" s="529">
        <f t="shared" si="35"/>
        <v>6</v>
      </c>
      <c r="AX129" s="653"/>
      <c r="AZ129" s="377" t="e">
        <f t="shared" si="36"/>
        <v>#N/A</v>
      </c>
      <c r="BA129" s="653"/>
    </row>
    <row r="130" spans="2:53">
      <c r="B130" s="635"/>
      <c r="C130" s="529">
        <v>19</v>
      </c>
      <c r="D130" s="416" t="s">
        <v>727</v>
      </c>
      <c r="E130" s="531">
        <v>16</v>
      </c>
      <c r="F130" s="416">
        <v>1500</v>
      </c>
      <c r="G130" s="363">
        <v>93.75</v>
      </c>
      <c r="H130" s="678"/>
      <c r="I130" s="531">
        <f t="shared" si="28"/>
        <v>16</v>
      </c>
      <c r="J130" s="531">
        <f t="shared" si="28"/>
        <v>1314.310565233654</v>
      </c>
      <c r="K130" s="363">
        <f t="shared" si="28"/>
        <v>82.144410327103373</v>
      </c>
      <c r="L130" s="615"/>
      <c r="M130" s="536">
        <f>RANK(K130, K$112:$K$141)</f>
        <v>9</v>
      </c>
      <c r="N130" s="624"/>
      <c r="O130" s="624"/>
      <c r="P130" s="529">
        <v>16</v>
      </c>
      <c r="Q130" s="538">
        <v>1300.7142857142851</v>
      </c>
      <c r="R130" s="538">
        <v>81.294642857142819</v>
      </c>
      <c r="S130" s="529">
        <f t="shared" si="29"/>
        <v>9</v>
      </c>
      <c r="T130" s="653"/>
      <c r="U130" s="529">
        <v>16</v>
      </c>
      <c r="V130" s="538">
        <v>1304.8101265822777</v>
      </c>
      <c r="W130" s="538">
        <v>81.550632911392356</v>
      </c>
      <c r="X130" s="529">
        <f t="shared" si="30"/>
        <v>8</v>
      </c>
      <c r="Y130" s="653"/>
      <c r="Z130" s="529">
        <v>16</v>
      </c>
      <c r="AA130" s="538">
        <v>1301.599999999999</v>
      </c>
      <c r="AB130" s="538">
        <v>81.349999999999937</v>
      </c>
      <c r="AC130" s="529">
        <f t="shared" si="31"/>
        <v>8</v>
      </c>
      <c r="AD130" s="653"/>
      <c r="AE130" s="529">
        <v>16</v>
      </c>
      <c r="AF130" s="538">
        <v>1328.5714285714298</v>
      </c>
      <c r="AG130" s="538">
        <v>83.035714285714363</v>
      </c>
      <c r="AH130" s="529">
        <f t="shared" si="32"/>
        <v>9</v>
      </c>
      <c r="AI130" s="653"/>
      <c r="AJ130" s="529">
        <v>16</v>
      </c>
      <c r="AK130" s="538">
        <v>1293.2837837837826</v>
      </c>
      <c r="AL130" s="538">
        <v>80.830236486486413</v>
      </c>
      <c r="AM130" s="529">
        <f t="shared" si="33"/>
        <v>10</v>
      </c>
      <c r="AN130" s="653"/>
      <c r="AO130" s="529">
        <v>16</v>
      </c>
      <c r="AP130" s="538">
        <v>1334.6153846153838</v>
      </c>
      <c r="AQ130" s="538">
        <v>83.41346153846149</v>
      </c>
      <c r="AR130" s="529">
        <f t="shared" si="34"/>
        <v>10</v>
      </c>
      <c r="AS130" s="653"/>
      <c r="AT130" s="529">
        <v>16</v>
      </c>
      <c r="AU130" s="538">
        <v>1336.5789473684201</v>
      </c>
      <c r="AV130" s="538">
        <v>83.536184210526258</v>
      </c>
      <c r="AW130" s="529">
        <f t="shared" si="35"/>
        <v>8</v>
      </c>
      <c r="AX130" s="653"/>
      <c r="AZ130" s="377" t="e">
        <f t="shared" si="36"/>
        <v>#N/A</v>
      </c>
      <c r="BA130" s="653"/>
    </row>
    <row r="131" spans="2:53">
      <c r="B131" s="635"/>
      <c r="C131" s="529">
        <v>20</v>
      </c>
      <c r="D131" s="416" t="s">
        <v>783</v>
      </c>
      <c r="E131" s="531">
        <v>16</v>
      </c>
      <c r="F131" s="416">
        <v>1440</v>
      </c>
      <c r="G131" s="363">
        <v>90</v>
      </c>
      <c r="H131" s="678"/>
      <c r="I131" s="531">
        <f t="shared" si="28"/>
        <v>16</v>
      </c>
      <c r="J131" s="531">
        <f t="shared" si="28"/>
        <v>1201.5397849462338</v>
      </c>
      <c r="K131" s="363">
        <f t="shared" si="28"/>
        <v>75.096236559139612</v>
      </c>
      <c r="L131" s="615"/>
      <c r="M131" s="536">
        <f>RANK(K131, K$112:$K$141)</f>
        <v>16</v>
      </c>
      <c r="N131" s="624"/>
      <c r="O131" s="624"/>
      <c r="P131" s="529">
        <v>16</v>
      </c>
      <c r="Q131" s="538">
        <v>1271.9999999999977</v>
      </c>
      <c r="R131" s="538">
        <v>79.499999999999858</v>
      </c>
      <c r="S131" s="529">
        <f t="shared" si="29"/>
        <v>12</v>
      </c>
      <c r="T131" s="653"/>
      <c r="U131" s="529">
        <v>16</v>
      </c>
      <c r="V131" s="538">
        <v>1273.5483870967721</v>
      </c>
      <c r="W131" s="538">
        <v>79.596774193548256</v>
      </c>
      <c r="X131" s="529">
        <f t="shared" si="30"/>
        <v>12</v>
      </c>
      <c r="Y131" s="653"/>
      <c r="Z131" s="529">
        <v>16</v>
      </c>
      <c r="AA131" s="538">
        <v>1144.7999999999968</v>
      </c>
      <c r="AB131" s="538">
        <v>71.549999999999798</v>
      </c>
      <c r="AC131" s="529">
        <f t="shared" si="31"/>
        <v>17</v>
      </c>
      <c r="AD131" s="653"/>
      <c r="AE131" s="529">
        <v>16</v>
      </c>
      <c r="AF131" s="538">
        <v>1139.9999999999968</v>
      </c>
      <c r="AG131" s="538">
        <v>71.249999999999801</v>
      </c>
      <c r="AH131" s="529">
        <f t="shared" si="32"/>
        <v>17</v>
      </c>
      <c r="AI131" s="653"/>
      <c r="AJ131" s="529">
        <v>16</v>
      </c>
      <c r="AK131" s="538">
        <v>1137.7777777777751</v>
      </c>
      <c r="AL131" s="538">
        <v>71.111111111110944</v>
      </c>
      <c r="AM131" s="529">
        <f t="shared" si="33"/>
        <v>17</v>
      </c>
      <c r="AN131" s="653"/>
      <c r="AO131" s="529">
        <v>16</v>
      </c>
      <c r="AP131" s="538">
        <v>1347.096774193546</v>
      </c>
      <c r="AQ131" s="538">
        <v>84.193548387096627</v>
      </c>
      <c r="AR131" s="529">
        <f t="shared" si="34"/>
        <v>9</v>
      </c>
      <c r="AS131" s="653"/>
      <c r="AT131" s="529">
        <v>16</v>
      </c>
      <c r="AU131" s="538">
        <v>1095.5555555555529</v>
      </c>
      <c r="AV131" s="538">
        <v>68.472222222222058</v>
      </c>
      <c r="AW131" s="529">
        <f t="shared" si="35"/>
        <v>19</v>
      </c>
      <c r="AX131" s="653"/>
      <c r="AZ131" s="377" t="e">
        <f t="shared" si="36"/>
        <v>#N/A</v>
      </c>
      <c r="BA131" s="653"/>
    </row>
    <row r="132" spans="2:53">
      <c r="B132" s="635"/>
      <c r="C132" s="529">
        <v>21</v>
      </c>
      <c r="D132" s="416" t="s">
        <v>786</v>
      </c>
      <c r="E132" s="531">
        <v>19</v>
      </c>
      <c r="F132" s="416">
        <v>1440</v>
      </c>
      <c r="G132" s="363">
        <v>75.78947368421052</v>
      </c>
      <c r="H132" s="678"/>
      <c r="I132" s="531">
        <f t="shared" si="28"/>
        <v>19</v>
      </c>
      <c r="J132" s="531">
        <f t="shared" si="28"/>
        <v>1296.1653051032704</v>
      </c>
      <c r="K132" s="363">
        <f t="shared" si="28"/>
        <v>68.219226584382653</v>
      </c>
      <c r="L132" s="615"/>
      <c r="M132" s="536">
        <f>RANK(K132, K$112:$K$141)</f>
        <v>21</v>
      </c>
      <c r="N132" s="624"/>
      <c r="O132" s="624"/>
      <c r="P132" s="529">
        <v>19</v>
      </c>
      <c r="Q132" s="538">
        <v>1319.0625000000016</v>
      </c>
      <c r="R132" s="538">
        <v>69.424342105263236</v>
      </c>
      <c r="S132" s="529">
        <f t="shared" si="29"/>
        <v>19</v>
      </c>
      <c r="T132" s="653"/>
      <c r="U132" s="529">
        <v>19</v>
      </c>
      <c r="V132" s="538">
        <v>1332.7868852459028</v>
      </c>
      <c r="W132" s="538">
        <v>70.146678170836992</v>
      </c>
      <c r="X132" s="529">
        <f t="shared" si="30"/>
        <v>18</v>
      </c>
      <c r="Y132" s="653"/>
      <c r="Z132" s="529">
        <v>19</v>
      </c>
      <c r="AA132" s="538">
        <v>1296.2500000000002</v>
      </c>
      <c r="AB132" s="538">
        <v>68.223684210526329</v>
      </c>
      <c r="AC132" s="529">
        <f t="shared" si="31"/>
        <v>20</v>
      </c>
      <c r="AD132" s="653"/>
      <c r="AE132" s="529">
        <v>19</v>
      </c>
      <c r="AF132" s="538">
        <v>1297.3333333333335</v>
      </c>
      <c r="AG132" s="538">
        <v>68.280701754385973</v>
      </c>
      <c r="AH132" s="529">
        <f t="shared" si="32"/>
        <v>20</v>
      </c>
      <c r="AI132" s="653"/>
      <c r="AJ132" s="529">
        <v>19</v>
      </c>
      <c r="AK132" s="538">
        <v>1272.6315789473695</v>
      </c>
      <c r="AL132" s="538">
        <v>66.980609418282597</v>
      </c>
      <c r="AM132" s="529">
        <f t="shared" si="33"/>
        <v>21</v>
      </c>
      <c r="AN132" s="653"/>
      <c r="AO132" s="529">
        <v>19</v>
      </c>
      <c r="AP132" s="538">
        <v>1269.2307692307675</v>
      </c>
      <c r="AQ132" s="538">
        <v>66.801619433198283</v>
      </c>
      <c r="AR132" s="529">
        <f t="shared" si="34"/>
        <v>21</v>
      </c>
      <c r="AS132" s="653"/>
      <c r="AT132" s="529">
        <v>19</v>
      </c>
      <c r="AU132" s="538">
        <v>1285.8620689655181</v>
      </c>
      <c r="AV132" s="538">
        <v>67.676950998185163</v>
      </c>
      <c r="AW132" s="529">
        <f t="shared" si="35"/>
        <v>21</v>
      </c>
      <c r="AX132" s="653"/>
      <c r="AZ132" s="377" t="e">
        <f t="shared" si="36"/>
        <v>#N/A</v>
      </c>
      <c r="BA132" s="653"/>
    </row>
    <row r="133" spans="2:53">
      <c r="B133" s="635"/>
      <c r="C133" s="529">
        <v>22</v>
      </c>
      <c r="D133" s="416" t="s">
        <v>844</v>
      </c>
      <c r="E133" s="531">
        <v>21</v>
      </c>
      <c r="F133" s="416">
        <v>1440</v>
      </c>
      <c r="G133" s="363">
        <v>68.571428571428569</v>
      </c>
      <c r="H133" s="678"/>
      <c r="I133" s="531">
        <f t="shared" si="28"/>
        <v>20.571428571428573</v>
      </c>
      <c r="J133" s="531">
        <f t="shared" si="28"/>
        <v>1190.7799890196134</v>
      </c>
      <c r="K133" s="363">
        <f t="shared" si="28"/>
        <v>57.949087669815128</v>
      </c>
      <c r="L133" s="615"/>
      <c r="M133" s="536">
        <f>RANK(K133, K$112:$K$141)</f>
        <v>24</v>
      </c>
      <c r="N133" s="624"/>
      <c r="O133" s="624"/>
      <c r="P133" s="529">
        <v>21</v>
      </c>
      <c r="Q133" s="538">
        <v>1134.8780487804875</v>
      </c>
      <c r="R133" s="538">
        <v>54.041811846689882</v>
      </c>
      <c r="S133" s="529">
        <f t="shared" si="29"/>
        <v>24</v>
      </c>
      <c r="T133" s="653"/>
      <c r="U133" s="529">
        <v>21</v>
      </c>
      <c r="V133" s="538">
        <v>1132.6829268292679</v>
      </c>
      <c r="W133" s="538">
        <v>53.937282229965135</v>
      </c>
      <c r="X133" s="529">
        <f t="shared" si="30"/>
        <v>24</v>
      </c>
      <c r="Y133" s="653"/>
      <c r="Z133" s="529">
        <v>21</v>
      </c>
      <c r="AA133" s="538">
        <v>1159.9999999999989</v>
      </c>
      <c r="AB133" s="538">
        <v>55.238095238095184</v>
      </c>
      <c r="AC133" s="529">
        <f t="shared" si="31"/>
        <v>24</v>
      </c>
      <c r="AD133" s="653"/>
      <c r="AE133" s="529">
        <v>21</v>
      </c>
      <c r="AF133" s="538">
        <v>1246.7796610169503</v>
      </c>
      <c r="AG133" s="538">
        <v>59.370460048426203</v>
      </c>
      <c r="AH133" s="529">
        <f t="shared" si="32"/>
        <v>24</v>
      </c>
      <c r="AI133" s="653"/>
      <c r="AJ133" s="529">
        <v>20</v>
      </c>
      <c r="AK133" s="538">
        <v>1304.3076923076906</v>
      </c>
      <c r="AL133" s="538">
        <v>65.215384615384522</v>
      </c>
      <c r="AM133" s="529">
        <f t="shared" si="33"/>
        <v>23</v>
      </c>
      <c r="AN133" s="653"/>
      <c r="AO133" s="529">
        <v>20</v>
      </c>
      <c r="AP133" s="538">
        <v>1193.3333333333351</v>
      </c>
      <c r="AQ133" s="538">
        <v>59.666666666666757</v>
      </c>
      <c r="AR133" s="529">
        <f t="shared" si="34"/>
        <v>24</v>
      </c>
      <c r="AS133" s="653"/>
      <c r="AT133" s="529">
        <v>20</v>
      </c>
      <c r="AU133" s="538">
        <v>1163.4782608695641</v>
      </c>
      <c r="AV133" s="538">
        <v>58.173913043478208</v>
      </c>
      <c r="AW133" s="529">
        <f t="shared" si="35"/>
        <v>24</v>
      </c>
      <c r="AX133" s="653"/>
      <c r="AZ133" s="377" t="e">
        <f t="shared" si="36"/>
        <v>#N/A</v>
      </c>
      <c r="BA133" s="653"/>
    </row>
    <row r="134" spans="2:53">
      <c r="B134" s="635"/>
      <c r="C134" s="529">
        <v>23</v>
      </c>
      <c r="D134" s="416" t="s">
        <v>845</v>
      </c>
      <c r="E134" s="531">
        <v>19</v>
      </c>
      <c r="F134" s="416">
        <v>1440</v>
      </c>
      <c r="G134" s="363">
        <v>75.78947368421052</v>
      </c>
      <c r="H134" s="678"/>
      <c r="I134" s="531">
        <f t="shared" si="28"/>
        <v>19</v>
      </c>
      <c r="J134" s="531">
        <f t="shared" si="28"/>
        <v>1300.9385053356145</v>
      </c>
      <c r="K134" s="363">
        <f t="shared" si="28"/>
        <v>68.470447649242857</v>
      </c>
      <c r="L134" s="615"/>
      <c r="M134" s="536">
        <f>RANK(K134, K$112:$K$141)</f>
        <v>20</v>
      </c>
      <c r="N134" s="624"/>
      <c r="O134" s="624"/>
      <c r="P134" s="529">
        <v>19</v>
      </c>
      <c r="Q134" s="538">
        <v>1319.3333333333312</v>
      </c>
      <c r="R134" s="538">
        <v>69.438596491227955</v>
      </c>
      <c r="S134" s="529">
        <f t="shared" si="29"/>
        <v>18</v>
      </c>
      <c r="T134" s="653"/>
      <c r="U134" s="529">
        <v>19</v>
      </c>
      <c r="V134" s="538">
        <v>1323.1168831168823</v>
      </c>
      <c r="W134" s="538">
        <v>69.637730690362218</v>
      </c>
      <c r="X134" s="529">
        <f t="shared" si="30"/>
        <v>19</v>
      </c>
      <c r="Y134" s="653"/>
      <c r="Z134" s="529">
        <v>19</v>
      </c>
      <c r="AA134" s="538">
        <v>1313.2499999999995</v>
      </c>
      <c r="AB134" s="538">
        <v>69.118421052631561</v>
      </c>
      <c r="AC134" s="529">
        <f t="shared" si="31"/>
        <v>18</v>
      </c>
      <c r="AD134" s="653"/>
      <c r="AE134" s="529">
        <v>19</v>
      </c>
      <c r="AF134" s="538">
        <v>1296.6666666666656</v>
      </c>
      <c r="AG134" s="538">
        <v>68.245614035087669</v>
      </c>
      <c r="AH134" s="529">
        <f t="shared" si="32"/>
        <v>21</v>
      </c>
      <c r="AI134" s="653"/>
      <c r="AJ134" s="529">
        <v>19</v>
      </c>
      <c r="AK134" s="538">
        <v>1293.6585365853655</v>
      </c>
      <c r="AL134" s="538">
        <v>68.087291399229755</v>
      </c>
      <c r="AM134" s="529">
        <f t="shared" si="33"/>
        <v>20</v>
      </c>
      <c r="AN134" s="653"/>
      <c r="AO134" s="529">
        <v>19</v>
      </c>
      <c r="AP134" s="538">
        <v>1271.2941176470586</v>
      </c>
      <c r="AQ134" s="538">
        <v>66.910216718266241</v>
      </c>
      <c r="AR134" s="529">
        <f t="shared" si="34"/>
        <v>20</v>
      </c>
      <c r="AS134" s="653"/>
      <c r="AT134" s="529">
        <v>19</v>
      </c>
      <c r="AU134" s="538">
        <v>1289.2499999999995</v>
      </c>
      <c r="AV134" s="538">
        <v>67.855263157894711</v>
      </c>
      <c r="AW134" s="529">
        <f t="shared" si="35"/>
        <v>20</v>
      </c>
      <c r="AX134" s="653"/>
      <c r="AZ134" s="377" t="e">
        <f t="shared" si="36"/>
        <v>#N/A</v>
      </c>
      <c r="BA134" s="653"/>
    </row>
    <row r="135" spans="2:53">
      <c r="B135" s="635"/>
      <c r="C135" s="529">
        <v>24</v>
      </c>
      <c r="D135" s="416" t="s">
        <v>846</v>
      </c>
      <c r="E135" s="531">
        <v>17</v>
      </c>
      <c r="F135" s="416">
        <v>1440</v>
      </c>
      <c r="G135" s="363">
        <v>84.705882352941174</v>
      </c>
      <c r="H135" s="678"/>
      <c r="I135" s="531">
        <f t="shared" si="28"/>
        <v>17</v>
      </c>
      <c r="J135" s="531">
        <f t="shared" si="28"/>
        <v>1311.8684835973929</v>
      </c>
      <c r="K135" s="363">
        <f t="shared" si="28"/>
        <v>77.168734329258427</v>
      </c>
      <c r="L135" s="615"/>
      <c r="M135" s="536">
        <f>RANK(K135, K$112:$K$141)</f>
        <v>14</v>
      </c>
      <c r="N135" s="624"/>
      <c r="O135" s="624"/>
      <c r="P135" s="529">
        <v>17</v>
      </c>
      <c r="Q135" s="538">
        <v>1292.727272727273</v>
      </c>
      <c r="R135" s="538">
        <v>76.04278074866312</v>
      </c>
      <c r="S135" s="529">
        <f t="shared" si="29"/>
        <v>16</v>
      </c>
      <c r="T135" s="653"/>
      <c r="U135" s="529">
        <v>17</v>
      </c>
      <c r="V135" s="538">
        <v>1301.1023622047239</v>
      </c>
      <c r="W135" s="538">
        <v>76.535433070866119</v>
      </c>
      <c r="X135" s="529">
        <f t="shared" si="30"/>
        <v>15</v>
      </c>
      <c r="Y135" s="653"/>
      <c r="Z135" s="529">
        <v>17</v>
      </c>
      <c r="AA135" s="538">
        <v>1312.2077922077915</v>
      </c>
      <c r="AB135" s="538">
        <v>77.188693659281853</v>
      </c>
      <c r="AC135" s="529">
        <f t="shared" si="31"/>
        <v>13</v>
      </c>
      <c r="AD135" s="653"/>
      <c r="AE135" s="529">
        <v>17</v>
      </c>
      <c r="AF135" s="538">
        <v>1336.0000000000011</v>
      </c>
      <c r="AG135" s="538">
        <v>78.588235294117709</v>
      </c>
      <c r="AH135" s="529">
        <f t="shared" si="32"/>
        <v>12</v>
      </c>
      <c r="AI135" s="653"/>
      <c r="AJ135" s="529">
        <v>17</v>
      </c>
      <c r="AK135" s="538">
        <v>1327.0000000000014</v>
      </c>
      <c r="AL135" s="538">
        <v>78.058823529411839</v>
      </c>
      <c r="AM135" s="529">
        <f t="shared" si="33"/>
        <v>14</v>
      </c>
      <c r="AN135" s="653"/>
      <c r="AO135" s="529">
        <v>17</v>
      </c>
      <c r="AP135" s="538">
        <v>1327.2727272727288</v>
      </c>
      <c r="AQ135" s="538">
        <v>78.074866310160516</v>
      </c>
      <c r="AR135" s="529">
        <f t="shared" si="34"/>
        <v>14</v>
      </c>
      <c r="AS135" s="653"/>
      <c r="AT135" s="529">
        <v>17</v>
      </c>
      <c r="AU135" s="538">
        <v>1286.7692307692321</v>
      </c>
      <c r="AV135" s="538">
        <v>75.692307692307764</v>
      </c>
      <c r="AW135" s="529">
        <f t="shared" si="35"/>
        <v>15</v>
      </c>
      <c r="AX135" s="653"/>
      <c r="AZ135" s="377" t="e">
        <f t="shared" si="36"/>
        <v>#N/A</v>
      </c>
      <c r="BA135" s="653"/>
    </row>
    <row r="136" spans="2:53">
      <c r="B136" s="635"/>
      <c r="C136" s="529">
        <v>25</v>
      </c>
      <c r="D136" s="416"/>
      <c r="E136" s="531"/>
      <c r="F136" s="416"/>
      <c r="G136" s="363"/>
      <c r="H136" s="678"/>
      <c r="I136" s="531" t="str">
        <f t="shared" si="28"/>
        <v>-</v>
      </c>
      <c r="J136" s="531" t="str">
        <f t="shared" si="28"/>
        <v>-</v>
      </c>
      <c r="K136" s="363" t="str">
        <f t="shared" si="28"/>
        <v>-</v>
      </c>
      <c r="L136" s="615"/>
      <c r="M136" s="536" t="e">
        <f>RANK(K136, K$112:$K$141)</f>
        <v>#VALUE!</v>
      </c>
      <c r="N136" s="624"/>
      <c r="O136" s="624"/>
      <c r="P136" s="529" t="s">
        <v>427</v>
      </c>
      <c r="Q136" s="538" t="s">
        <v>427</v>
      </c>
      <c r="R136" s="538" t="s">
        <v>427</v>
      </c>
      <c r="S136" s="529" t="e">
        <f t="shared" si="29"/>
        <v>#VALUE!</v>
      </c>
      <c r="T136" s="653"/>
      <c r="U136" s="529" t="s">
        <v>427</v>
      </c>
      <c r="V136" s="538" t="s">
        <v>427</v>
      </c>
      <c r="W136" s="538" t="s">
        <v>427</v>
      </c>
      <c r="X136" s="529" t="e">
        <f t="shared" si="30"/>
        <v>#VALUE!</v>
      </c>
      <c r="Y136" s="653"/>
      <c r="Z136" s="529" t="s">
        <v>427</v>
      </c>
      <c r="AA136" s="538" t="s">
        <v>427</v>
      </c>
      <c r="AB136" s="538" t="s">
        <v>427</v>
      </c>
      <c r="AC136" s="529" t="e">
        <f t="shared" si="31"/>
        <v>#VALUE!</v>
      </c>
      <c r="AD136" s="653"/>
      <c r="AE136" s="529" t="s">
        <v>427</v>
      </c>
      <c r="AF136" s="538" t="s">
        <v>427</v>
      </c>
      <c r="AG136" s="538" t="s">
        <v>427</v>
      </c>
      <c r="AH136" s="529" t="e">
        <f t="shared" si="32"/>
        <v>#VALUE!</v>
      </c>
      <c r="AI136" s="653"/>
      <c r="AJ136" s="529" t="s">
        <v>427</v>
      </c>
      <c r="AK136" s="538" t="s">
        <v>427</v>
      </c>
      <c r="AL136" s="538" t="s">
        <v>427</v>
      </c>
      <c r="AM136" s="529" t="e">
        <f t="shared" si="33"/>
        <v>#VALUE!</v>
      </c>
      <c r="AN136" s="653"/>
      <c r="AO136" s="529" t="s">
        <v>427</v>
      </c>
      <c r="AP136" s="538" t="s">
        <v>427</v>
      </c>
      <c r="AQ136" s="538" t="s">
        <v>427</v>
      </c>
      <c r="AR136" s="529" t="e">
        <f t="shared" si="34"/>
        <v>#VALUE!</v>
      </c>
      <c r="AS136" s="653"/>
      <c r="AT136" s="529" t="s">
        <v>427</v>
      </c>
      <c r="AU136" s="538" t="s">
        <v>427</v>
      </c>
      <c r="AV136" s="538" t="s">
        <v>427</v>
      </c>
      <c r="AW136" s="529" t="e">
        <f t="shared" si="35"/>
        <v>#VALUE!</v>
      </c>
      <c r="AX136" s="653"/>
      <c r="AZ136" s="377" t="e">
        <f t="shared" si="36"/>
        <v>#N/A</v>
      </c>
      <c r="BA136" s="653"/>
    </row>
    <row r="137" spans="2:53">
      <c r="B137" s="635"/>
      <c r="C137" s="529">
        <v>26</v>
      </c>
      <c r="D137" s="416"/>
      <c r="E137" s="531"/>
      <c r="F137" s="416"/>
      <c r="G137" s="363"/>
      <c r="H137" s="678"/>
      <c r="I137" s="531" t="str">
        <f t="shared" si="28"/>
        <v>-</v>
      </c>
      <c r="J137" s="531" t="str">
        <f t="shared" si="28"/>
        <v>-</v>
      </c>
      <c r="K137" s="363" t="str">
        <f t="shared" si="28"/>
        <v>-</v>
      </c>
      <c r="L137" s="615"/>
      <c r="M137" s="536" t="e">
        <f>RANK(K137, K$112:$K$141)</f>
        <v>#VALUE!</v>
      </c>
      <c r="N137" s="624"/>
      <c r="O137" s="624"/>
      <c r="P137" s="529" t="s">
        <v>427</v>
      </c>
      <c r="Q137" s="538" t="s">
        <v>427</v>
      </c>
      <c r="R137" s="538" t="s">
        <v>427</v>
      </c>
      <c r="S137" s="529" t="e">
        <f t="shared" si="29"/>
        <v>#VALUE!</v>
      </c>
      <c r="T137" s="653"/>
      <c r="U137" s="529" t="s">
        <v>427</v>
      </c>
      <c r="V137" s="538" t="s">
        <v>427</v>
      </c>
      <c r="W137" s="538" t="s">
        <v>427</v>
      </c>
      <c r="X137" s="529" t="e">
        <f t="shared" si="30"/>
        <v>#VALUE!</v>
      </c>
      <c r="Y137" s="653"/>
      <c r="Z137" s="529" t="s">
        <v>427</v>
      </c>
      <c r="AA137" s="538" t="s">
        <v>427</v>
      </c>
      <c r="AB137" s="538" t="s">
        <v>427</v>
      </c>
      <c r="AC137" s="529" t="e">
        <f t="shared" si="31"/>
        <v>#VALUE!</v>
      </c>
      <c r="AD137" s="653"/>
      <c r="AE137" s="529" t="s">
        <v>427</v>
      </c>
      <c r="AF137" s="538" t="s">
        <v>427</v>
      </c>
      <c r="AG137" s="538" t="s">
        <v>427</v>
      </c>
      <c r="AH137" s="529" t="e">
        <f t="shared" si="32"/>
        <v>#VALUE!</v>
      </c>
      <c r="AI137" s="653"/>
      <c r="AJ137" s="529" t="s">
        <v>427</v>
      </c>
      <c r="AK137" s="538" t="s">
        <v>427</v>
      </c>
      <c r="AL137" s="538" t="s">
        <v>427</v>
      </c>
      <c r="AM137" s="529" t="e">
        <f t="shared" si="33"/>
        <v>#VALUE!</v>
      </c>
      <c r="AN137" s="653"/>
      <c r="AO137" s="529" t="s">
        <v>427</v>
      </c>
      <c r="AP137" s="538" t="s">
        <v>427</v>
      </c>
      <c r="AQ137" s="538" t="s">
        <v>427</v>
      </c>
      <c r="AR137" s="529" t="e">
        <f t="shared" si="34"/>
        <v>#VALUE!</v>
      </c>
      <c r="AS137" s="653"/>
      <c r="AT137" s="529" t="s">
        <v>427</v>
      </c>
      <c r="AU137" s="538" t="s">
        <v>427</v>
      </c>
      <c r="AV137" s="538" t="s">
        <v>427</v>
      </c>
      <c r="AW137" s="529" t="e">
        <f t="shared" si="35"/>
        <v>#VALUE!</v>
      </c>
      <c r="AX137" s="653"/>
      <c r="AZ137" s="377" t="e">
        <f t="shared" si="36"/>
        <v>#N/A</v>
      </c>
      <c r="BA137" s="653"/>
    </row>
    <row r="138" spans="2:53">
      <c r="B138" s="635"/>
      <c r="C138" s="529">
        <v>27</v>
      </c>
      <c r="D138" s="416"/>
      <c r="E138" s="531"/>
      <c r="F138" s="416"/>
      <c r="G138" s="363"/>
      <c r="H138" s="678"/>
      <c r="I138" s="531" t="str">
        <f t="shared" si="28"/>
        <v>-</v>
      </c>
      <c r="J138" s="531" t="str">
        <f t="shared" si="28"/>
        <v>-</v>
      </c>
      <c r="K138" s="363" t="str">
        <f t="shared" si="28"/>
        <v>-</v>
      </c>
      <c r="L138" s="615"/>
      <c r="M138" s="536" t="e">
        <f>RANK(K138, K$112:$K$141)</f>
        <v>#VALUE!</v>
      </c>
      <c r="N138" s="624"/>
      <c r="O138" s="624"/>
      <c r="P138" s="529" t="s">
        <v>427</v>
      </c>
      <c r="Q138" s="538" t="s">
        <v>427</v>
      </c>
      <c r="R138" s="538" t="s">
        <v>427</v>
      </c>
      <c r="S138" s="529" t="e">
        <f t="shared" si="29"/>
        <v>#VALUE!</v>
      </c>
      <c r="T138" s="653"/>
      <c r="U138" s="529" t="s">
        <v>427</v>
      </c>
      <c r="V138" s="538" t="s">
        <v>427</v>
      </c>
      <c r="W138" s="538" t="s">
        <v>427</v>
      </c>
      <c r="X138" s="529" t="e">
        <f t="shared" si="30"/>
        <v>#VALUE!</v>
      </c>
      <c r="Y138" s="653"/>
      <c r="Z138" s="529" t="s">
        <v>427</v>
      </c>
      <c r="AA138" s="538" t="s">
        <v>427</v>
      </c>
      <c r="AB138" s="538" t="s">
        <v>427</v>
      </c>
      <c r="AC138" s="529" t="e">
        <f t="shared" si="31"/>
        <v>#VALUE!</v>
      </c>
      <c r="AD138" s="653"/>
      <c r="AE138" s="529" t="s">
        <v>427</v>
      </c>
      <c r="AF138" s="538" t="s">
        <v>427</v>
      </c>
      <c r="AG138" s="538" t="s">
        <v>427</v>
      </c>
      <c r="AH138" s="529" t="e">
        <f t="shared" si="32"/>
        <v>#VALUE!</v>
      </c>
      <c r="AI138" s="653"/>
      <c r="AJ138" s="529" t="s">
        <v>427</v>
      </c>
      <c r="AK138" s="538" t="s">
        <v>427</v>
      </c>
      <c r="AL138" s="538" t="s">
        <v>427</v>
      </c>
      <c r="AM138" s="529" t="e">
        <f t="shared" si="33"/>
        <v>#VALUE!</v>
      </c>
      <c r="AN138" s="653"/>
      <c r="AO138" s="529" t="s">
        <v>427</v>
      </c>
      <c r="AP138" s="538" t="s">
        <v>427</v>
      </c>
      <c r="AQ138" s="538" t="s">
        <v>427</v>
      </c>
      <c r="AR138" s="529" t="e">
        <f t="shared" si="34"/>
        <v>#VALUE!</v>
      </c>
      <c r="AS138" s="653"/>
      <c r="AT138" s="529" t="s">
        <v>427</v>
      </c>
      <c r="AU138" s="538" t="s">
        <v>427</v>
      </c>
      <c r="AV138" s="538" t="s">
        <v>427</v>
      </c>
      <c r="AW138" s="529" t="e">
        <f t="shared" si="35"/>
        <v>#VALUE!</v>
      </c>
      <c r="AX138" s="653"/>
      <c r="AZ138" s="377" t="e">
        <f t="shared" si="36"/>
        <v>#N/A</v>
      </c>
      <c r="BA138" s="653"/>
    </row>
    <row r="139" spans="2:53">
      <c r="B139" s="635"/>
      <c r="C139" s="529">
        <v>28</v>
      </c>
      <c r="D139" s="416"/>
      <c r="E139" s="531"/>
      <c r="F139" s="416"/>
      <c r="G139" s="363"/>
      <c r="H139" s="678"/>
      <c r="I139" s="531" t="str">
        <f t="shared" si="28"/>
        <v>-</v>
      </c>
      <c r="J139" s="531" t="str">
        <f t="shared" si="28"/>
        <v>-</v>
      </c>
      <c r="K139" s="363" t="str">
        <f t="shared" si="28"/>
        <v>-</v>
      </c>
      <c r="L139" s="615"/>
      <c r="M139" s="536" t="e">
        <f>RANK(K139, K$112:$K$141)</f>
        <v>#VALUE!</v>
      </c>
      <c r="N139" s="624"/>
      <c r="O139" s="624"/>
      <c r="P139" s="529" t="s">
        <v>427</v>
      </c>
      <c r="Q139" s="538" t="s">
        <v>427</v>
      </c>
      <c r="R139" s="538" t="s">
        <v>427</v>
      </c>
      <c r="S139" s="529" t="e">
        <f t="shared" si="29"/>
        <v>#VALUE!</v>
      </c>
      <c r="T139" s="653"/>
      <c r="U139" s="529" t="s">
        <v>427</v>
      </c>
      <c r="V139" s="538" t="s">
        <v>427</v>
      </c>
      <c r="W139" s="538" t="s">
        <v>427</v>
      </c>
      <c r="X139" s="529" t="e">
        <f t="shared" si="30"/>
        <v>#VALUE!</v>
      </c>
      <c r="Y139" s="653"/>
      <c r="Z139" s="529" t="s">
        <v>427</v>
      </c>
      <c r="AA139" s="538" t="s">
        <v>427</v>
      </c>
      <c r="AB139" s="538" t="s">
        <v>427</v>
      </c>
      <c r="AC139" s="529" t="e">
        <f t="shared" si="31"/>
        <v>#VALUE!</v>
      </c>
      <c r="AD139" s="653"/>
      <c r="AE139" s="529" t="s">
        <v>427</v>
      </c>
      <c r="AF139" s="538" t="s">
        <v>427</v>
      </c>
      <c r="AG139" s="538" t="s">
        <v>427</v>
      </c>
      <c r="AH139" s="529" t="e">
        <f t="shared" si="32"/>
        <v>#VALUE!</v>
      </c>
      <c r="AI139" s="653"/>
      <c r="AJ139" s="529" t="s">
        <v>427</v>
      </c>
      <c r="AK139" s="538" t="s">
        <v>427</v>
      </c>
      <c r="AL139" s="538" t="s">
        <v>427</v>
      </c>
      <c r="AM139" s="529" t="e">
        <f t="shared" si="33"/>
        <v>#VALUE!</v>
      </c>
      <c r="AN139" s="653"/>
      <c r="AO139" s="529" t="s">
        <v>427</v>
      </c>
      <c r="AP139" s="538" t="s">
        <v>427</v>
      </c>
      <c r="AQ139" s="538" t="s">
        <v>427</v>
      </c>
      <c r="AR139" s="529" t="e">
        <f t="shared" si="34"/>
        <v>#VALUE!</v>
      </c>
      <c r="AS139" s="653"/>
      <c r="AT139" s="529" t="s">
        <v>427</v>
      </c>
      <c r="AU139" s="538" t="s">
        <v>427</v>
      </c>
      <c r="AV139" s="538" t="s">
        <v>427</v>
      </c>
      <c r="AW139" s="529" t="e">
        <f t="shared" si="35"/>
        <v>#VALUE!</v>
      </c>
      <c r="AX139" s="653"/>
      <c r="AZ139" s="377" t="e">
        <f t="shared" si="36"/>
        <v>#N/A</v>
      </c>
      <c r="BA139" s="653"/>
    </row>
    <row r="140" spans="2:53">
      <c r="B140" s="635"/>
      <c r="C140" s="529">
        <v>29</v>
      </c>
      <c r="D140" s="416"/>
      <c r="E140" s="531"/>
      <c r="F140" s="416"/>
      <c r="G140" s="363"/>
      <c r="H140" s="678"/>
      <c r="I140" s="531" t="str">
        <f t="shared" si="28"/>
        <v>-</v>
      </c>
      <c r="J140" s="531" t="str">
        <f t="shared" si="28"/>
        <v>-</v>
      </c>
      <c r="K140" s="363" t="str">
        <f t="shared" si="28"/>
        <v>-</v>
      </c>
      <c r="L140" s="615"/>
      <c r="M140" s="536" t="e">
        <f>RANK(K140, K$112:$K$141)</f>
        <v>#VALUE!</v>
      </c>
      <c r="N140" s="624"/>
      <c r="O140" s="624"/>
      <c r="P140" s="529" t="s">
        <v>427</v>
      </c>
      <c r="Q140" s="538" t="s">
        <v>427</v>
      </c>
      <c r="R140" s="538" t="s">
        <v>427</v>
      </c>
      <c r="S140" s="529" t="e">
        <f t="shared" si="29"/>
        <v>#VALUE!</v>
      </c>
      <c r="T140" s="653"/>
      <c r="U140" s="529" t="s">
        <v>427</v>
      </c>
      <c r="V140" s="538" t="s">
        <v>427</v>
      </c>
      <c r="W140" s="538" t="s">
        <v>427</v>
      </c>
      <c r="X140" s="529" t="e">
        <f t="shared" si="30"/>
        <v>#VALUE!</v>
      </c>
      <c r="Y140" s="653"/>
      <c r="Z140" s="529" t="s">
        <v>427</v>
      </c>
      <c r="AA140" s="538" t="s">
        <v>427</v>
      </c>
      <c r="AB140" s="538" t="s">
        <v>427</v>
      </c>
      <c r="AC140" s="529" t="e">
        <f t="shared" si="31"/>
        <v>#VALUE!</v>
      </c>
      <c r="AD140" s="653"/>
      <c r="AE140" s="529" t="s">
        <v>427</v>
      </c>
      <c r="AF140" s="538" t="s">
        <v>427</v>
      </c>
      <c r="AG140" s="538" t="s">
        <v>427</v>
      </c>
      <c r="AH140" s="529" t="e">
        <f t="shared" si="32"/>
        <v>#VALUE!</v>
      </c>
      <c r="AI140" s="653"/>
      <c r="AJ140" s="529" t="s">
        <v>427</v>
      </c>
      <c r="AK140" s="538" t="s">
        <v>427</v>
      </c>
      <c r="AL140" s="538" t="s">
        <v>427</v>
      </c>
      <c r="AM140" s="529" t="e">
        <f t="shared" si="33"/>
        <v>#VALUE!</v>
      </c>
      <c r="AN140" s="653"/>
      <c r="AO140" s="529" t="s">
        <v>427</v>
      </c>
      <c r="AP140" s="538" t="s">
        <v>427</v>
      </c>
      <c r="AQ140" s="538" t="s">
        <v>427</v>
      </c>
      <c r="AR140" s="529" t="e">
        <f t="shared" si="34"/>
        <v>#VALUE!</v>
      </c>
      <c r="AS140" s="653"/>
      <c r="AT140" s="529" t="s">
        <v>427</v>
      </c>
      <c r="AU140" s="538" t="s">
        <v>427</v>
      </c>
      <c r="AV140" s="538" t="s">
        <v>427</v>
      </c>
      <c r="AW140" s="529" t="e">
        <f t="shared" si="35"/>
        <v>#VALUE!</v>
      </c>
      <c r="AX140" s="653"/>
      <c r="AZ140" s="377" t="e">
        <f t="shared" si="36"/>
        <v>#N/A</v>
      </c>
      <c r="BA140" s="653"/>
    </row>
    <row r="141" spans="2:53">
      <c r="B141" s="635"/>
      <c r="C141" s="529">
        <v>30</v>
      </c>
      <c r="D141" s="416"/>
      <c r="E141" s="531"/>
      <c r="F141" s="416"/>
      <c r="G141" s="363"/>
      <c r="H141" s="679"/>
      <c r="I141" s="531" t="str">
        <f t="shared" si="28"/>
        <v>-</v>
      </c>
      <c r="J141" s="531" t="str">
        <f t="shared" si="28"/>
        <v>-</v>
      </c>
      <c r="K141" s="363" t="str">
        <f t="shared" si="28"/>
        <v>-</v>
      </c>
      <c r="L141" s="616"/>
      <c r="M141" s="536" t="e">
        <f>RANK(K141, K$112:$K$141)</f>
        <v>#VALUE!</v>
      </c>
      <c r="N141" s="624"/>
      <c r="O141" s="624"/>
      <c r="P141" s="529" t="s">
        <v>427</v>
      </c>
      <c r="Q141" s="538" t="s">
        <v>427</v>
      </c>
      <c r="R141" s="538" t="s">
        <v>427</v>
      </c>
      <c r="S141" s="529" t="e">
        <f t="shared" si="29"/>
        <v>#VALUE!</v>
      </c>
      <c r="T141" s="653"/>
      <c r="U141" s="529" t="s">
        <v>427</v>
      </c>
      <c r="V141" s="538" t="s">
        <v>427</v>
      </c>
      <c r="W141" s="538" t="s">
        <v>427</v>
      </c>
      <c r="X141" s="529" t="e">
        <f t="shared" si="30"/>
        <v>#VALUE!</v>
      </c>
      <c r="Y141" s="653"/>
      <c r="Z141" s="529" t="s">
        <v>427</v>
      </c>
      <c r="AA141" s="538" t="s">
        <v>427</v>
      </c>
      <c r="AB141" s="538" t="s">
        <v>427</v>
      </c>
      <c r="AC141" s="529" t="e">
        <f t="shared" si="31"/>
        <v>#VALUE!</v>
      </c>
      <c r="AD141" s="653"/>
      <c r="AE141" s="529" t="s">
        <v>427</v>
      </c>
      <c r="AF141" s="538" t="s">
        <v>427</v>
      </c>
      <c r="AG141" s="538" t="s">
        <v>427</v>
      </c>
      <c r="AH141" s="529" t="e">
        <f t="shared" si="32"/>
        <v>#VALUE!</v>
      </c>
      <c r="AI141" s="653"/>
      <c r="AJ141" s="529" t="s">
        <v>427</v>
      </c>
      <c r="AK141" s="538" t="s">
        <v>427</v>
      </c>
      <c r="AL141" s="538" t="s">
        <v>427</v>
      </c>
      <c r="AM141" s="529" t="e">
        <f t="shared" si="33"/>
        <v>#VALUE!</v>
      </c>
      <c r="AN141" s="653"/>
      <c r="AO141" s="529" t="s">
        <v>427</v>
      </c>
      <c r="AP141" s="538" t="s">
        <v>427</v>
      </c>
      <c r="AQ141" s="538" t="s">
        <v>427</v>
      </c>
      <c r="AR141" s="529" t="e">
        <f t="shared" si="34"/>
        <v>#VALUE!</v>
      </c>
      <c r="AS141" s="653"/>
      <c r="AT141" s="529" t="s">
        <v>427</v>
      </c>
      <c r="AU141" s="538" t="s">
        <v>427</v>
      </c>
      <c r="AV141" s="538" t="s">
        <v>427</v>
      </c>
      <c r="AW141" s="529" t="e">
        <f t="shared" si="35"/>
        <v>#VALUE!</v>
      </c>
      <c r="AX141" s="653"/>
      <c r="AZ141" s="377" t="e">
        <f t="shared" si="36"/>
        <v>#N/A</v>
      </c>
      <c r="BA141" s="653"/>
    </row>
    <row r="142" spans="2:53" ht="15.75">
      <c r="B142" s="643" t="s">
        <v>769</v>
      </c>
      <c r="C142" s="644"/>
      <c r="D142" s="644"/>
      <c r="E142" s="644"/>
      <c r="F142" s="644"/>
      <c r="G142" s="644"/>
      <c r="H142" s="645"/>
      <c r="I142" s="205"/>
      <c r="J142" s="205"/>
      <c r="K142" s="205"/>
      <c r="L142" s="205"/>
      <c r="M142" s="204"/>
      <c r="N142" s="639" t="s">
        <v>781</v>
      </c>
      <c r="O142" s="639" t="s">
        <v>498</v>
      </c>
      <c r="P142" s="634">
        <f>AT107+1</f>
        <v>46231</v>
      </c>
      <c r="Q142" s="635"/>
      <c r="R142" s="635"/>
      <c r="S142" s="635"/>
      <c r="T142" s="635"/>
      <c r="U142" s="634">
        <f>P142+1</f>
        <v>46232</v>
      </c>
      <c r="V142" s="635"/>
      <c r="W142" s="635"/>
      <c r="X142" s="635"/>
      <c r="Y142" s="635"/>
      <c r="Z142" s="634">
        <f t="shared" ref="Z142" si="37">U142+1</f>
        <v>46233</v>
      </c>
      <c r="AA142" s="635"/>
      <c r="AB142" s="635"/>
      <c r="AC142" s="635"/>
      <c r="AD142" s="635"/>
      <c r="AE142" s="634">
        <f t="shared" ref="AE142" si="38">Z142+1</f>
        <v>46234</v>
      </c>
      <c r="AF142" s="635"/>
      <c r="AG142" s="635"/>
      <c r="AH142" s="635"/>
      <c r="AI142" s="635"/>
      <c r="AJ142" s="634"/>
      <c r="AK142" s="635"/>
      <c r="AL142" s="635"/>
      <c r="AM142" s="635"/>
      <c r="AN142" s="635"/>
      <c r="AO142" s="634"/>
      <c r="AP142" s="635"/>
      <c r="AQ142" s="635"/>
      <c r="AR142" s="635"/>
      <c r="AS142" s="635"/>
      <c r="AT142" s="634"/>
      <c r="AU142" s="635"/>
      <c r="AV142" s="635"/>
      <c r="AW142" s="635"/>
      <c r="AX142" s="635"/>
    </row>
    <row r="143" spans="2:53" ht="15.75">
      <c r="B143" s="646"/>
      <c r="C143" s="646"/>
      <c r="D143" s="646"/>
      <c r="E143" s="646"/>
      <c r="F143" s="646"/>
      <c r="G143" s="646"/>
      <c r="H143" s="646"/>
      <c r="I143" s="202"/>
      <c r="J143" s="202"/>
      <c r="K143" s="202"/>
      <c r="L143" s="202"/>
      <c r="M143" s="203"/>
      <c r="N143" s="641"/>
      <c r="O143" s="641"/>
      <c r="P143" s="634" t="s">
        <v>499</v>
      </c>
      <c r="Q143" s="635"/>
      <c r="R143" s="635"/>
      <c r="S143" s="635"/>
      <c r="T143" s="635"/>
      <c r="U143" s="634" t="s">
        <v>500</v>
      </c>
      <c r="V143" s="635"/>
      <c r="W143" s="635"/>
      <c r="X143" s="635"/>
      <c r="Y143" s="635"/>
      <c r="Z143" s="634" t="s">
        <v>501</v>
      </c>
      <c r="AA143" s="635"/>
      <c r="AB143" s="635"/>
      <c r="AC143" s="635"/>
      <c r="AD143" s="635"/>
      <c r="AE143" s="634" t="s">
        <v>502</v>
      </c>
      <c r="AF143" s="635"/>
      <c r="AG143" s="635"/>
      <c r="AH143" s="635"/>
      <c r="AI143" s="635"/>
      <c r="AJ143" s="634" t="s">
        <v>503</v>
      </c>
      <c r="AK143" s="635"/>
      <c r="AL143" s="635"/>
      <c r="AM143" s="635"/>
      <c r="AN143" s="635"/>
      <c r="AO143" s="634" t="s">
        <v>504</v>
      </c>
      <c r="AP143" s="635"/>
      <c r="AQ143" s="635"/>
      <c r="AR143" s="635"/>
      <c r="AS143" s="635"/>
      <c r="AT143" s="634" t="s">
        <v>505</v>
      </c>
      <c r="AU143" s="635"/>
      <c r="AV143" s="635"/>
      <c r="AW143" s="635"/>
      <c r="AX143" s="635"/>
    </row>
    <row r="144" spans="2:53">
      <c r="B144" s="624" t="s">
        <v>760</v>
      </c>
      <c r="C144" s="624" t="s">
        <v>761</v>
      </c>
      <c r="D144" s="624"/>
      <c r="E144" s="624" t="s">
        <v>762</v>
      </c>
      <c r="F144" s="624"/>
      <c r="G144" s="624"/>
      <c r="H144" s="647" t="s">
        <v>763</v>
      </c>
      <c r="I144" s="617" t="s">
        <v>764</v>
      </c>
      <c r="J144" s="617"/>
      <c r="K144" s="617"/>
      <c r="L144" s="618" t="s">
        <v>763</v>
      </c>
      <c r="M144" s="628" t="s">
        <v>773</v>
      </c>
      <c r="N144" s="624"/>
      <c r="O144" s="624" t="s">
        <v>512</v>
      </c>
      <c r="P144" s="621" t="s">
        <v>513</v>
      </c>
      <c r="Q144" s="622"/>
      <c r="R144" s="622"/>
      <c r="S144" s="623"/>
      <c r="T144" s="624" t="s">
        <v>509</v>
      </c>
      <c r="U144" s="621" t="s">
        <v>513</v>
      </c>
      <c r="V144" s="622"/>
      <c r="W144" s="622"/>
      <c r="X144" s="623"/>
      <c r="Y144" s="624" t="s">
        <v>509</v>
      </c>
      <c r="Z144" s="621" t="s">
        <v>513</v>
      </c>
      <c r="AA144" s="622"/>
      <c r="AB144" s="622"/>
      <c r="AC144" s="623"/>
      <c r="AD144" s="624" t="s">
        <v>509</v>
      </c>
      <c r="AE144" s="621" t="s">
        <v>513</v>
      </c>
      <c r="AF144" s="622"/>
      <c r="AG144" s="622"/>
      <c r="AH144" s="623"/>
      <c r="AI144" s="624" t="s">
        <v>509</v>
      </c>
      <c r="AJ144" s="621" t="s">
        <v>513</v>
      </c>
      <c r="AK144" s="622"/>
      <c r="AL144" s="622"/>
      <c r="AM144" s="623"/>
      <c r="AN144" s="624" t="s">
        <v>509</v>
      </c>
      <c r="AO144" s="621" t="s">
        <v>513</v>
      </c>
      <c r="AP144" s="622"/>
      <c r="AQ144" s="622"/>
      <c r="AR144" s="623"/>
      <c r="AS144" s="624" t="s">
        <v>509</v>
      </c>
      <c r="AT144" s="621" t="s">
        <v>513</v>
      </c>
      <c r="AU144" s="622"/>
      <c r="AV144" s="622"/>
      <c r="AW144" s="623"/>
      <c r="AX144" s="624" t="s">
        <v>509</v>
      </c>
    </row>
    <row r="145" spans="2:53">
      <c r="B145" s="624"/>
      <c r="C145" s="624"/>
      <c r="D145" s="624"/>
      <c r="E145" s="624" t="s">
        <v>765</v>
      </c>
      <c r="F145" s="624"/>
      <c r="G145" s="624"/>
      <c r="H145" s="648"/>
      <c r="I145" s="617" t="s">
        <v>765</v>
      </c>
      <c r="J145" s="617"/>
      <c r="K145" s="617"/>
      <c r="L145" s="619"/>
      <c r="M145" s="629"/>
      <c r="N145" s="624"/>
      <c r="O145" s="624"/>
      <c r="P145" s="621" t="s">
        <v>515</v>
      </c>
      <c r="Q145" s="622"/>
      <c r="R145" s="622"/>
      <c r="S145" s="623"/>
      <c r="T145" s="624"/>
      <c r="U145" s="621" t="s">
        <v>515</v>
      </c>
      <c r="V145" s="622"/>
      <c r="W145" s="622"/>
      <c r="X145" s="623"/>
      <c r="Y145" s="624"/>
      <c r="Z145" s="621" t="s">
        <v>515</v>
      </c>
      <c r="AA145" s="622"/>
      <c r="AB145" s="622"/>
      <c r="AC145" s="623"/>
      <c r="AD145" s="624"/>
      <c r="AE145" s="621" t="s">
        <v>515</v>
      </c>
      <c r="AF145" s="622"/>
      <c r="AG145" s="622"/>
      <c r="AH145" s="623"/>
      <c r="AI145" s="624"/>
      <c r="AJ145" s="621" t="s">
        <v>515</v>
      </c>
      <c r="AK145" s="622"/>
      <c r="AL145" s="622"/>
      <c r="AM145" s="623"/>
      <c r="AN145" s="624"/>
      <c r="AO145" s="621" t="s">
        <v>515</v>
      </c>
      <c r="AP145" s="622"/>
      <c r="AQ145" s="622"/>
      <c r="AR145" s="623"/>
      <c r="AS145" s="624"/>
      <c r="AT145" s="621" t="s">
        <v>515</v>
      </c>
      <c r="AU145" s="622"/>
      <c r="AV145" s="622"/>
      <c r="AW145" s="623"/>
      <c r="AX145" s="624"/>
    </row>
    <row r="146" spans="2:53">
      <c r="B146" s="624"/>
      <c r="C146" s="624"/>
      <c r="D146" s="624"/>
      <c r="E146" s="482" t="s">
        <v>766</v>
      </c>
      <c r="F146" s="482" t="s">
        <v>767</v>
      </c>
      <c r="G146" s="482" t="s">
        <v>768</v>
      </c>
      <c r="H146" s="649"/>
      <c r="I146" s="481" t="s">
        <v>766</v>
      </c>
      <c r="J146" s="481" t="s">
        <v>767</v>
      </c>
      <c r="K146" s="481" t="s">
        <v>768</v>
      </c>
      <c r="L146" s="620"/>
      <c r="M146" s="630"/>
      <c r="N146" s="624"/>
      <c r="O146" s="624"/>
      <c r="P146" s="353" t="s">
        <v>516</v>
      </c>
      <c r="Q146" s="353" t="s">
        <v>517</v>
      </c>
      <c r="R146" s="353" t="s">
        <v>518</v>
      </c>
      <c r="S146" s="353" t="s">
        <v>511</v>
      </c>
      <c r="T146" s="624"/>
      <c r="U146" s="353" t="s">
        <v>516</v>
      </c>
      <c r="V146" s="353" t="s">
        <v>517</v>
      </c>
      <c r="W146" s="353" t="s">
        <v>518</v>
      </c>
      <c r="X146" s="353" t="s">
        <v>511</v>
      </c>
      <c r="Y146" s="624"/>
      <c r="Z146" s="353" t="s">
        <v>516</v>
      </c>
      <c r="AA146" s="353" t="s">
        <v>517</v>
      </c>
      <c r="AB146" s="353" t="s">
        <v>518</v>
      </c>
      <c r="AC146" s="353" t="s">
        <v>511</v>
      </c>
      <c r="AD146" s="624"/>
      <c r="AE146" s="353" t="s">
        <v>516</v>
      </c>
      <c r="AF146" s="353" t="s">
        <v>517</v>
      </c>
      <c r="AG146" s="353" t="s">
        <v>518</v>
      </c>
      <c r="AH146" s="353" t="s">
        <v>511</v>
      </c>
      <c r="AI146" s="624"/>
      <c r="AJ146" s="353" t="s">
        <v>516</v>
      </c>
      <c r="AK146" s="353" t="s">
        <v>517</v>
      </c>
      <c r="AL146" s="353" t="s">
        <v>518</v>
      </c>
      <c r="AM146" s="353" t="s">
        <v>511</v>
      </c>
      <c r="AN146" s="624"/>
      <c r="AO146" s="353" t="s">
        <v>516</v>
      </c>
      <c r="AP146" s="353" t="s">
        <v>517</v>
      </c>
      <c r="AQ146" s="353" t="s">
        <v>518</v>
      </c>
      <c r="AR146" s="353" t="s">
        <v>511</v>
      </c>
      <c r="AS146" s="624"/>
      <c r="AT146" s="353" t="s">
        <v>516</v>
      </c>
      <c r="AU146" s="353" t="s">
        <v>517</v>
      </c>
      <c r="AV146" s="353" t="s">
        <v>518</v>
      </c>
      <c r="AW146" s="353" t="s">
        <v>511</v>
      </c>
      <c r="AX146" s="624"/>
    </row>
    <row r="147" spans="2:53">
      <c r="B147" s="624" t="s">
        <v>782</v>
      </c>
      <c r="C147" s="483">
        <v>1</v>
      </c>
      <c r="D147" s="223" t="s">
        <v>335</v>
      </c>
      <c r="E147" s="491">
        <v>6</v>
      </c>
      <c r="F147" s="483">
        <v>1500</v>
      </c>
      <c r="G147" s="484">
        <v>250</v>
      </c>
      <c r="H147" s="677">
        <f>AVERAGE(G147:G176)</f>
        <v>100.51696400416888</v>
      </c>
      <c r="I147" s="487">
        <f>IFERROR(AVERAGE(P147,U147,Z147,AE147,AJ147,AO147,AT147),"-")</f>
        <v>6</v>
      </c>
      <c r="J147" s="487">
        <f>IFERROR(AVERAGE(Q147,V147,AA147,AF147,AK147,AP147,AU147),"-")</f>
        <v>1434.0120889951825</v>
      </c>
      <c r="K147" s="363">
        <f>IFERROR(AVERAGE(R147,W147,AB147,AG147,AL147,AQ147,AV147),"-")</f>
        <v>239.00201483253042</v>
      </c>
      <c r="L147" s="614">
        <f>IFERROR(AVERAGE(K147:K176),"-")</f>
        <v>88.564619111969719</v>
      </c>
      <c r="M147" s="489">
        <f>RANK(K147, K$147:$K$176)</f>
        <v>1</v>
      </c>
      <c r="N147" s="624"/>
      <c r="O147" s="624"/>
      <c r="P147" s="540">
        <v>6</v>
      </c>
      <c r="Q147" s="541">
        <v>1445.1287671232878</v>
      </c>
      <c r="R147" s="541">
        <v>240.85479452054798</v>
      </c>
      <c r="S147" s="540">
        <f>RANK(R147, R$147:R$176)</f>
        <v>1</v>
      </c>
      <c r="T147" s="653">
        <f>AVERAGE(R147:R176)</f>
        <v>89.744042352395354</v>
      </c>
      <c r="U147" s="540">
        <v>6</v>
      </c>
      <c r="V147" s="541">
        <v>1438.889795918368</v>
      </c>
      <c r="W147" s="541">
        <v>239.81496598639467</v>
      </c>
      <c r="X147" s="540">
        <f>RANK(W147, W$147:W$176)</f>
        <v>1</v>
      </c>
      <c r="Y147" s="653">
        <f>AVERAGE(W147:W176)</f>
        <v>89.108685595437166</v>
      </c>
      <c r="Z147" s="540">
        <v>6</v>
      </c>
      <c r="AA147" s="541">
        <v>1424.7918367346945</v>
      </c>
      <c r="AB147" s="541">
        <v>237.46530612244908</v>
      </c>
      <c r="AC147" s="540">
        <f>RANK(AB147, AB$147:AB$176)</f>
        <v>1</v>
      </c>
      <c r="AD147" s="653">
        <f>AVERAGE(AB147:AB176)</f>
        <v>89.331193551161093</v>
      </c>
      <c r="AE147" s="540">
        <v>6</v>
      </c>
      <c r="AF147" s="541">
        <v>1427.2379562043795</v>
      </c>
      <c r="AG147" s="541">
        <v>237.87299270072992</v>
      </c>
      <c r="AH147" s="540">
        <f>RANK(AG147, AG$147:AG$176)</f>
        <v>1</v>
      </c>
      <c r="AI147" s="653">
        <f>AVERAGE(AG147:AG176)</f>
        <v>86.074554948885307</v>
      </c>
      <c r="AJ147" s="483"/>
      <c r="AK147" s="491"/>
      <c r="AL147" s="491"/>
      <c r="AM147" s="483"/>
      <c r="AN147" s="653"/>
      <c r="AO147" s="483"/>
      <c r="AP147" s="491"/>
      <c r="AQ147" s="491"/>
      <c r="AR147" s="483"/>
      <c r="AS147" s="653"/>
      <c r="AT147" s="483"/>
      <c r="AU147" s="491"/>
      <c r="AV147" s="491"/>
      <c r="AW147" s="483"/>
      <c r="AX147" s="653"/>
      <c r="AZ147" s="377" t="e">
        <f>RANK(AY147, AY$147:AY$176)</f>
        <v>#N/A</v>
      </c>
      <c r="BA147" s="653" t="e">
        <f>AVERAGE(AY147:AY176)</f>
        <v>#DIV/0!</v>
      </c>
    </row>
    <row r="148" spans="2:53">
      <c r="B148" s="635"/>
      <c r="C148" s="483">
        <v>2</v>
      </c>
      <c r="D148" s="223" t="s">
        <v>635</v>
      </c>
      <c r="E148" s="491">
        <v>6</v>
      </c>
      <c r="F148" s="483">
        <v>1636</v>
      </c>
      <c r="G148" s="484">
        <v>272.66666666666669</v>
      </c>
      <c r="H148" s="678"/>
      <c r="I148" s="487">
        <f t="shared" ref="I148:K176" si="39">IFERROR(AVERAGE(P148,U148,Z148,AE148,AJ148,AO148,AT148),"-")</f>
        <v>6</v>
      </c>
      <c r="J148" s="487">
        <f t="shared" si="39"/>
        <v>1411.5949418753178</v>
      </c>
      <c r="K148" s="363">
        <f t="shared" si="39"/>
        <v>235.26582364588629</v>
      </c>
      <c r="L148" s="615"/>
      <c r="M148" s="489">
        <f>RANK(K148, K$147:$K$176)</f>
        <v>2</v>
      </c>
      <c r="N148" s="624"/>
      <c r="O148" s="624"/>
      <c r="P148" s="540">
        <v>6</v>
      </c>
      <c r="Q148" s="541">
        <v>1434.6268656716418</v>
      </c>
      <c r="R148" s="541">
        <v>239.1044776119403</v>
      </c>
      <c r="S148" s="540">
        <f t="shared" ref="S148:S176" si="40">RANK(R148, R$147:R$176)</f>
        <v>2</v>
      </c>
      <c r="T148" s="653"/>
      <c r="U148" s="540">
        <v>6</v>
      </c>
      <c r="V148" s="541">
        <v>1414.4117647058824</v>
      </c>
      <c r="W148" s="541">
        <v>235.73529411764707</v>
      </c>
      <c r="X148" s="540">
        <f t="shared" ref="X148:X176" si="41">RANK(W148, W$147:W$176)</f>
        <v>2</v>
      </c>
      <c r="Y148" s="653"/>
      <c r="Z148" s="540">
        <v>6</v>
      </c>
      <c r="AA148" s="541">
        <v>1406.9565217391305</v>
      </c>
      <c r="AB148" s="541">
        <v>234.49275362318841</v>
      </c>
      <c r="AC148" s="540">
        <f t="shared" ref="AC148:AC176" si="42">RANK(AB148, AB$147:AB$176)</f>
        <v>2</v>
      </c>
      <c r="AD148" s="653"/>
      <c r="AE148" s="540">
        <v>6</v>
      </c>
      <c r="AF148" s="541">
        <v>1390.3846153846162</v>
      </c>
      <c r="AG148" s="541">
        <v>231.73076923076937</v>
      </c>
      <c r="AH148" s="540">
        <f t="shared" ref="AH148:AH176" si="43">RANK(AG148, AG$147:AG$176)</f>
        <v>2</v>
      </c>
      <c r="AI148" s="653"/>
      <c r="AJ148" s="483"/>
      <c r="AK148" s="491"/>
      <c r="AL148" s="491"/>
      <c r="AM148" s="483"/>
      <c r="AN148" s="653"/>
      <c r="AO148" s="483"/>
      <c r="AP148" s="491"/>
      <c r="AQ148" s="491"/>
      <c r="AR148" s="483"/>
      <c r="AS148" s="653"/>
      <c r="AT148" s="483"/>
      <c r="AU148" s="491"/>
      <c r="AV148" s="491"/>
      <c r="AW148" s="483"/>
      <c r="AX148" s="653"/>
      <c r="AZ148" s="377" t="e">
        <f t="shared" ref="AZ148:AZ176" si="44">RANK(AY148, AY$147:AY$176)</f>
        <v>#N/A</v>
      </c>
      <c r="BA148" s="653"/>
    </row>
    <row r="149" spans="2:53">
      <c r="B149" s="635"/>
      <c r="C149" s="483">
        <v>3</v>
      </c>
      <c r="D149" s="223" t="s">
        <v>561</v>
      </c>
      <c r="E149" s="491">
        <v>16</v>
      </c>
      <c r="F149" s="483">
        <v>1500</v>
      </c>
      <c r="G149" s="484">
        <v>93.75</v>
      </c>
      <c r="H149" s="678"/>
      <c r="I149" s="487">
        <f t="shared" si="39"/>
        <v>16.75</v>
      </c>
      <c r="J149" s="487">
        <f t="shared" si="39"/>
        <v>1388.61560809457</v>
      </c>
      <c r="K149" s="363">
        <f t="shared" si="39"/>
        <v>82.942225049206201</v>
      </c>
      <c r="L149" s="615"/>
      <c r="M149" s="489">
        <f>RANK(K149, K$147:$K$176)</f>
        <v>8</v>
      </c>
      <c r="N149" s="624"/>
      <c r="O149" s="624"/>
      <c r="P149" s="540">
        <v>17</v>
      </c>
      <c r="Q149" s="541">
        <v>1397.217391304348</v>
      </c>
      <c r="R149" s="541">
        <v>82.18925831202047</v>
      </c>
      <c r="S149" s="540">
        <f t="shared" si="40"/>
        <v>9</v>
      </c>
      <c r="T149" s="653"/>
      <c r="U149" s="540">
        <v>17</v>
      </c>
      <c r="V149" s="541">
        <v>1385.2173913043478</v>
      </c>
      <c r="W149" s="541">
        <v>81.483375959079282</v>
      </c>
      <c r="X149" s="540">
        <f t="shared" si="41"/>
        <v>8</v>
      </c>
      <c r="Y149" s="653"/>
      <c r="Z149" s="540">
        <v>17</v>
      </c>
      <c r="AA149" s="541">
        <v>1402.2857142857138</v>
      </c>
      <c r="AB149" s="541">
        <v>82.487394957983156</v>
      </c>
      <c r="AC149" s="540">
        <f t="shared" si="42"/>
        <v>8</v>
      </c>
      <c r="AD149" s="653"/>
      <c r="AE149" s="540">
        <v>16</v>
      </c>
      <c r="AF149" s="541">
        <v>1369.7419354838703</v>
      </c>
      <c r="AG149" s="541">
        <v>85.608870967741893</v>
      </c>
      <c r="AH149" s="540">
        <f t="shared" si="43"/>
        <v>7</v>
      </c>
      <c r="AI149" s="653"/>
      <c r="AJ149" s="483"/>
      <c r="AK149" s="491"/>
      <c r="AL149" s="491"/>
      <c r="AM149" s="483"/>
      <c r="AN149" s="653"/>
      <c r="AO149" s="483"/>
      <c r="AP149" s="491"/>
      <c r="AQ149" s="491"/>
      <c r="AR149" s="483"/>
      <c r="AS149" s="653"/>
      <c r="AT149" s="483"/>
      <c r="AU149" s="491"/>
      <c r="AV149" s="491"/>
      <c r="AW149" s="483"/>
      <c r="AX149" s="653"/>
      <c r="AZ149" s="377" t="e">
        <f t="shared" si="44"/>
        <v>#N/A</v>
      </c>
      <c r="BA149" s="653"/>
    </row>
    <row r="150" spans="2:53">
      <c r="B150" s="635"/>
      <c r="C150" s="483">
        <v>4</v>
      </c>
      <c r="D150" s="223" t="s">
        <v>365</v>
      </c>
      <c r="E150" s="491">
        <v>18</v>
      </c>
      <c r="F150" s="483">
        <v>1500</v>
      </c>
      <c r="G150" s="484">
        <v>83.333333333333329</v>
      </c>
      <c r="H150" s="678"/>
      <c r="I150" s="487">
        <f t="shared" si="39"/>
        <v>18</v>
      </c>
      <c r="J150" s="487">
        <f t="shared" si="39"/>
        <v>1314.7573934799543</v>
      </c>
      <c r="K150" s="363">
        <f t="shared" si="39"/>
        <v>73.042077415553024</v>
      </c>
      <c r="L150" s="615"/>
      <c r="M150" s="489">
        <f>RANK(K150, K$147:$K$176)</f>
        <v>15</v>
      </c>
      <c r="N150" s="624"/>
      <c r="O150" s="624"/>
      <c r="P150" s="540">
        <v>18</v>
      </c>
      <c r="Q150" s="541">
        <v>1340.4878048780483</v>
      </c>
      <c r="R150" s="541">
        <v>74.471544715447124</v>
      </c>
      <c r="S150" s="540">
        <f t="shared" si="40"/>
        <v>16</v>
      </c>
      <c r="T150" s="653"/>
      <c r="U150" s="540">
        <v>18</v>
      </c>
      <c r="V150" s="541">
        <v>1309.4999999999995</v>
      </c>
      <c r="W150" s="541">
        <v>72.749999999999972</v>
      </c>
      <c r="X150" s="540">
        <f t="shared" si="41"/>
        <v>16</v>
      </c>
      <c r="Y150" s="653"/>
      <c r="Z150" s="540">
        <v>18</v>
      </c>
      <c r="AA150" s="541">
        <v>1305.4054054054045</v>
      </c>
      <c r="AB150" s="541">
        <v>72.522522522522479</v>
      </c>
      <c r="AC150" s="540">
        <f t="shared" si="42"/>
        <v>17</v>
      </c>
      <c r="AD150" s="653"/>
      <c r="AE150" s="540">
        <v>18</v>
      </c>
      <c r="AF150" s="541">
        <v>1303.6363636363651</v>
      </c>
      <c r="AG150" s="541">
        <v>72.424242424242507</v>
      </c>
      <c r="AH150" s="540">
        <f t="shared" si="43"/>
        <v>16</v>
      </c>
      <c r="AI150" s="653"/>
      <c r="AJ150" s="483"/>
      <c r="AK150" s="491"/>
      <c r="AL150" s="491"/>
      <c r="AM150" s="483"/>
      <c r="AN150" s="653"/>
      <c r="AO150" s="483"/>
      <c r="AP150" s="491"/>
      <c r="AQ150" s="491"/>
      <c r="AR150" s="483"/>
      <c r="AS150" s="653"/>
      <c r="AT150" s="483"/>
      <c r="AU150" s="491"/>
      <c r="AV150" s="491"/>
      <c r="AW150" s="483"/>
      <c r="AX150" s="653"/>
      <c r="AZ150" s="377" t="e">
        <f t="shared" si="44"/>
        <v>#N/A</v>
      </c>
      <c r="BA150" s="653"/>
    </row>
    <row r="151" spans="2:53">
      <c r="B151" s="635"/>
      <c r="C151" s="483">
        <v>5</v>
      </c>
      <c r="D151" s="223" t="s">
        <v>340</v>
      </c>
      <c r="E151" s="491">
        <v>16</v>
      </c>
      <c r="F151" s="483">
        <v>1565</v>
      </c>
      <c r="G151" s="484">
        <v>97.8125</v>
      </c>
      <c r="H151" s="678"/>
      <c r="I151" s="487">
        <f t="shared" si="39"/>
        <v>16</v>
      </c>
      <c r="J151" s="487">
        <f t="shared" si="39"/>
        <v>1362.4015159641904</v>
      </c>
      <c r="K151" s="363">
        <f t="shared" si="39"/>
        <v>85.150094747761898</v>
      </c>
      <c r="L151" s="615"/>
      <c r="M151" s="489">
        <f>RANK(K151, K$147:$K$176)</f>
        <v>6</v>
      </c>
      <c r="N151" s="624"/>
      <c r="O151" s="624"/>
      <c r="P151" s="540">
        <v>16</v>
      </c>
      <c r="Q151" s="541">
        <v>1355.6962025316448</v>
      </c>
      <c r="R151" s="541">
        <v>84.731012658227797</v>
      </c>
      <c r="S151" s="540">
        <f t="shared" si="40"/>
        <v>7</v>
      </c>
      <c r="T151" s="653"/>
      <c r="U151" s="540">
        <v>16</v>
      </c>
      <c r="V151" s="541">
        <v>1347.4999999999989</v>
      </c>
      <c r="W151" s="541">
        <v>84.218749999999929</v>
      </c>
      <c r="X151" s="540">
        <f t="shared" si="41"/>
        <v>7</v>
      </c>
      <c r="Y151" s="653"/>
      <c r="Z151" s="540">
        <v>16</v>
      </c>
      <c r="AA151" s="541">
        <v>1374.5454545454561</v>
      </c>
      <c r="AB151" s="541">
        <v>85.909090909091006</v>
      </c>
      <c r="AC151" s="540">
        <f t="shared" si="42"/>
        <v>6</v>
      </c>
      <c r="AD151" s="653"/>
      <c r="AE151" s="540">
        <v>16</v>
      </c>
      <c r="AF151" s="541">
        <v>1371.8644067796622</v>
      </c>
      <c r="AG151" s="541">
        <v>85.741525423728888</v>
      </c>
      <c r="AH151" s="540">
        <f t="shared" si="43"/>
        <v>6</v>
      </c>
      <c r="AI151" s="653"/>
      <c r="AJ151" s="483"/>
      <c r="AK151" s="491"/>
      <c r="AL151" s="491"/>
      <c r="AM151" s="483"/>
      <c r="AN151" s="653"/>
      <c r="AO151" s="483"/>
      <c r="AP151" s="491"/>
      <c r="AQ151" s="491"/>
      <c r="AR151" s="483"/>
      <c r="AS151" s="653"/>
      <c r="AT151" s="483"/>
      <c r="AU151" s="491"/>
      <c r="AV151" s="491"/>
      <c r="AW151" s="483"/>
      <c r="AX151" s="653"/>
      <c r="AZ151" s="377" t="e">
        <f t="shared" si="44"/>
        <v>#N/A</v>
      </c>
      <c r="BA151" s="653"/>
    </row>
    <row r="152" spans="2:53">
      <c r="B152" s="635"/>
      <c r="C152" s="483">
        <v>6</v>
      </c>
      <c r="D152" s="223" t="s">
        <v>784</v>
      </c>
      <c r="E152" s="491">
        <v>20</v>
      </c>
      <c r="F152" s="483">
        <v>1440</v>
      </c>
      <c r="G152" s="484">
        <v>72</v>
      </c>
      <c r="H152" s="678"/>
      <c r="I152" s="487">
        <f t="shared" si="39"/>
        <v>20</v>
      </c>
      <c r="J152" s="487">
        <f t="shared" si="39"/>
        <v>1276.4685421375307</v>
      </c>
      <c r="K152" s="363">
        <f t="shared" si="39"/>
        <v>63.823427106876522</v>
      </c>
      <c r="L152" s="615"/>
      <c r="M152" s="489">
        <f>RANK(K152, K$147:$K$176)</f>
        <v>23</v>
      </c>
      <c r="N152" s="624"/>
      <c r="O152" s="624"/>
      <c r="P152" s="540">
        <v>20</v>
      </c>
      <c r="Q152" s="541">
        <v>1275.2238805970164</v>
      </c>
      <c r="R152" s="541">
        <v>63.76119402985082</v>
      </c>
      <c r="S152" s="540">
        <f t="shared" si="40"/>
        <v>23</v>
      </c>
      <c r="T152" s="653"/>
      <c r="U152" s="540">
        <v>20</v>
      </c>
      <c r="V152" s="541">
        <v>1287.6190476190491</v>
      </c>
      <c r="W152" s="541">
        <v>64.380952380952451</v>
      </c>
      <c r="X152" s="540">
        <f t="shared" si="41"/>
        <v>23</v>
      </c>
      <c r="Y152" s="653"/>
      <c r="Z152" s="540">
        <v>20</v>
      </c>
      <c r="AA152" s="541">
        <v>1264.9180327868864</v>
      </c>
      <c r="AB152" s="541">
        <v>63.245901639344325</v>
      </c>
      <c r="AC152" s="540">
        <f t="shared" si="42"/>
        <v>23</v>
      </c>
      <c r="AD152" s="653"/>
      <c r="AE152" s="540">
        <v>20</v>
      </c>
      <c r="AF152" s="541">
        <v>1278.1132075471705</v>
      </c>
      <c r="AG152" s="541">
        <v>63.905660377358529</v>
      </c>
      <c r="AH152" s="540">
        <f t="shared" si="43"/>
        <v>22</v>
      </c>
      <c r="AI152" s="653"/>
      <c r="AJ152" s="483"/>
      <c r="AK152" s="491"/>
      <c r="AL152" s="491"/>
      <c r="AM152" s="483"/>
      <c r="AN152" s="653"/>
      <c r="AO152" s="483"/>
      <c r="AP152" s="491"/>
      <c r="AQ152" s="491"/>
      <c r="AR152" s="483"/>
      <c r="AS152" s="653"/>
      <c r="AT152" s="483"/>
      <c r="AU152" s="491"/>
      <c r="AV152" s="491"/>
      <c r="AW152" s="483"/>
      <c r="AX152" s="653"/>
      <c r="AZ152" s="377" t="e">
        <f t="shared" si="44"/>
        <v>#N/A</v>
      </c>
      <c r="BA152" s="653"/>
    </row>
    <row r="153" spans="2:53">
      <c r="B153" s="635"/>
      <c r="C153" s="483">
        <v>7</v>
      </c>
      <c r="D153" s="223" t="s">
        <v>696</v>
      </c>
      <c r="E153" s="491">
        <v>16</v>
      </c>
      <c r="F153" s="483">
        <v>1500</v>
      </c>
      <c r="G153" s="484">
        <v>93.75</v>
      </c>
      <c r="H153" s="678"/>
      <c r="I153" s="487">
        <f t="shared" si="39"/>
        <v>16</v>
      </c>
      <c r="J153" s="487">
        <f t="shared" si="39"/>
        <v>1384.7236842105272</v>
      </c>
      <c r="K153" s="363">
        <f t="shared" si="39"/>
        <v>86.545230263157947</v>
      </c>
      <c r="L153" s="615"/>
      <c r="M153" s="489">
        <f>RANK(K153, K$147:$K$176)</f>
        <v>5</v>
      </c>
      <c r="N153" s="624"/>
      <c r="O153" s="624"/>
      <c r="P153" s="540">
        <v>16</v>
      </c>
      <c r="Q153" s="541">
        <v>1381.0000000000011</v>
      </c>
      <c r="R153" s="541">
        <v>86.312500000000071</v>
      </c>
      <c r="S153" s="540">
        <f t="shared" si="40"/>
        <v>5</v>
      </c>
      <c r="T153" s="653"/>
      <c r="U153" s="540">
        <v>16</v>
      </c>
      <c r="V153" s="541">
        <v>1377.8947368421063</v>
      </c>
      <c r="W153" s="541">
        <v>86.118421052631646</v>
      </c>
      <c r="X153" s="540">
        <f t="shared" si="41"/>
        <v>5</v>
      </c>
      <c r="Y153" s="653"/>
      <c r="Z153" s="540">
        <v>16</v>
      </c>
      <c r="AA153" s="541">
        <v>1400.0000000000007</v>
      </c>
      <c r="AB153" s="541">
        <v>87.500000000000043</v>
      </c>
      <c r="AC153" s="540">
        <f t="shared" si="42"/>
        <v>4</v>
      </c>
      <c r="AD153" s="653"/>
      <c r="AE153" s="540">
        <v>16</v>
      </c>
      <c r="AF153" s="541">
        <v>1380.0000000000005</v>
      </c>
      <c r="AG153" s="541">
        <v>86.250000000000028</v>
      </c>
      <c r="AH153" s="540">
        <f t="shared" si="43"/>
        <v>5</v>
      </c>
      <c r="AI153" s="653"/>
      <c r="AJ153" s="483"/>
      <c r="AK153" s="491"/>
      <c r="AL153" s="491"/>
      <c r="AM153" s="483"/>
      <c r="AN153" s="653"/>
      <c r="AO153" s="483"/>
      <c r="AP153" s="491"/>
      <c r="AQ153" s="491"/>
      <c r="AR153" s="483"/>
      <c r="AS153" s="653"/>
      <c r="AT153" s="483"/>
      <c r="AU153" s="491"/>
      <c r="AV153" s="491"/>
      <c r="AW153" s="483"/>
      <c r="AX153" s="653"/>
      <c r="AZ153" s="377" t="e">
        <f t="shared" si="44"/>
        <v>#N/A</v>
      </c>
      <c r="BA153" s="653"/>
    </row>
    <row r="154" spans="2:53">
      <c r="B154" s="635"/>
      <c r="C154" s="483">
        <v>8</v>
      </c>
      <c r="D154" s="223" t="s">
        <v>338</v>
      </c>
      <c r="E154" s="491">
        <v>18</v>
      </c>
      <c r="F154" s="483">
        <v>1636</v>
      </c>
      <c r="G154" s="484">
        <v>90.888888888888886</v>
      </c>
      <c r="H154" s="678"/>
      <c r="I154" s="487">
        <f t="shared" si="39"/>
        <v>18</v>
      </c>
      <c r="J154" s="487">
        <f t="shared" si="39"/>
        <v>1408.4089666484426</v>
      </c>
      <c r="K154" s="363">
        <f t="shared" si="39"/>
        <v>78.244942591580141</v>
      </c>
      <c r="L154" s="615"/>
      <c r="M154" s="489">
        <f>RANK(K154, K$147:$K$176)</f>
        <v>11</v>
      </c>
      <c r="N154" s="624"/>
      <c r="O154" s="624"/>
      <c r="P154" s="540">
        <v>18</v>
      </c>
      <c r="Q154" s="541">
        <v>1405.1612903225819</v>
      </c>
      <c r="R154" s="541">
        <v>78.064516129032327</v>
      </c>
      <c r="S154" s="540">
        <f t="shared" si="40"/>
        <v>12</v>
      </c>
      <c r="T154" s="653"/>
      <c r="U154" s="540">
        <v>18</v>
      </c>
      <c r="V154" s="541">
        <v>1408.4745762711877</v>
      </c>
      <c r="W154" s="541">
        <v>78.248587570621538</v>
      </c>
      <c r="X154" s="540">
        <f t="shared" si="41"/>
        <v>11</v>
      </c>
      <c r="Y154" s="653"/>
      <c r="Z154" s="540">
        <v>18</v>
      </c>
      <c r="AA154" s="541">
        <v>1402.0408163265308</v>
      </c>
      <c r="AB154" s="541">
        <v>77.891156462585045</v>
      </c>
      <c r="AC154" s="540">
        <f t="shared" si="42"/>
        <v>12</v>
      </c>
      <c r="AD154" s="653"/>
      <c r="AE154" s="540">
        <v>18</v>
      </c>
      <c r="AF154" s="541">
        <v>1417.9591836734696</v>
      </c>
      <c r="AG154" s="541">
        <v>78.775510204081641</v>
      </c>
      <c r="AH154" s="540">
        <f t="shared" si="43"/>
        <v>11</v>
      </c>
      <c r="AI154" s="653"/>
      <c r="AJ154" s="483"/>
      <c r="AK154" s="491"/>
      <c r="AL154" s="491"/>
      <c r="AM154" s="483"/>
      <c r="AN154" s="653"/>
      <c r="AO154" s="483"/>
      <c r="AP154" s="491"/>
      <c r="AQ154" s="491"/>
      <c r="AR154" s="483"/>
      <c r="AS154" s="653"/>
      <c r="AT154" s="483"/>
      <c r="AU154" s="491"/>
      <c r="AV154" s="491"/>
      <c r="AW154" s="483"/>
      <c r="AX154" s="653"/>
      <c r="AZ154" s="377" t="e">
        <f t="shared" si="44"/>
        <v>#N/A</v>
      </c>
      <c r="BA154" s="653"/>
    </row>
    <row r="155" spans="2:53">
      <c r="B155" s="635"/>
      <c r="C155" s="483">
        <v>9</v>
      </c>
      <c r="D155" s="223" t="s">
        <v>337</v>
      </c>
      <c r="E155" s="491">
        <v>18</v>
      </c>
      <c r="F155" s="483">
        <v>1636</v>
      </c>
      <c r="G155" s="484">
        <v>90.888888888888886</v>
      </c>
      <c r="H155" s="678"/>
      <c r="I155" s="487">
        <f t="shared" si="39"/>
        <v>18</v>
      </c>
      <c r="J155" s="487">
        <f t="shared" si="39"/>
        <v>1420.2683823529412</v>
      </c>
      <c r="K155" s="363">
        <f t="shared" si="39"/>
        <v>78.903799019607845</v>
      </c>
      <c r="L155" s="615"/>
      <c r="M155" s="489">
        <f>RANK(K155, K$147:$K$176)</f>
        <v>10</v>
      </c>
      <c r="N155" s="624"/>
      <c r="O155" s="624"/>
      <c r="P155" s="540">
        <v>18</v>
      </c>
      <c r="Q155" s="541">
        <v>1438.8235294117653</v>
      </c>
      <c r="R155" s="541">
        <v>79.934640522875853</v>
      </c>
      <c r="S155" s="540">
        <f t="shared" si="40"/>
        <v>11</v>
      </c>
      <c r="T155" s="653"/>
      <c r="U155" s="540">
        <v>18</v>
      </c>
      <c r="V155" s="541">
        <v>1406.2500000000005</v>
      </c>
      <c r="W155" s="541">
        <v>78.125000000000028</v>
      </c>
      <c r="X155" s="540">
        <f t="shared" si="41"/>
        <v>12</v>
      </c>
      <c r="Y155" s="653"/>
      <c r="Z155" s="540">
        <v>18</v>
      </c>
      <c r="AA155" s="541">
        <v>1415.9999999999995</v>
      </c>
      <c r="AB155" s="541">
        <v>78.666666666666643</v>
      </c>
      <c r="AC155" s="540">
        <f t="shared" si="42"/>
        <v>11</v>
      </c>
      <c r="AD155" s="653"/>
      <c r="AE155" s="540">
        <v>18</v>
      </c>
      <c r="AF155" s="541">
        <v>1419.9999999999993</v>
      </c>
      <c r="AG155" s="541">
        <v>78.888888888888857</v>
      </c>
      <c r="AH155" s="540">
        <f t="shared" si="43"/>
        <v>10</v>
      </c>
      <c r="AI155" s="653"/>
      <c r="AJ155" s="483"/>
      <c r="AK155" s="491"/>
      <c r="AL155" s="491"/>
      <c r="AM155" s="483"/>
      <c r="AN155" s="653"/>
      <c r="AO155" s="483"/>
      <c r="AP155" s="491"/>
      <c r="AQ155" s="491"/>
      <c r="AR155" s="483"/>
      <c r="AS155" s="653"/>
      <c r="AT155" s="483"/>
      <c r="AU155" s="491"/>
      <c r="AV155" s="491"/>
      <c r="AW155" s="483"/>
      <c r="AX155" s="653"/>
      <c r="AZ155" s="377" t="e">
        <f t="shared" si="44"/>
        <v>#N/A</v>
      </c>
      <c r="BA155" s="653"/>
    </row>
    <row r="156" spans="2:53">
      <c r="B156" s="635"/>
      <c r="C156" s="483">
        <v>10</v>
      </c>
      <c r="D156" s="223" t="s">
        <v>320</v>
      </c>
      <c r="E156" s="491">
        <v>17</v>
      </c>
      <c r="F156" s="483">
        <v>1500</v>
      </c>
      <c r="G156" s="484">
        <v>88.235294117647058</v>
      </c>
      <c r="H156" s="678"/>
      <c r="I156" s="487">
        <f t="shared" si="39"/>
        <v>17</v>
      </c>
      <c r="J156" s="487">
        <f t="shared" si="39"/>
        <v>1361.9532085561491</v>
      </c>
      <c r="K156" s="363">
        <f t="shared" si="39"/>
        <v>80.11489462094994</v>
      </c>
      <c r="L156" s="615"/>
      <c r="M156" s="489">
        <f>RANK(K156, K$147:$K$176)</f>
        <v>9</v>
      </c>
      <c r="N156" s="624"/>
      <c r="O156" s="624"/>
      <c r="P156" s="540">
        <v>17</v>
      </c>
      <c r="Q156" s="541">
        <v>1378.6363636363635</v>
      </c>
      <c r="R156" s="541">
        <v>81.096256684491976</v>
      </c>
      <c r="S156" s="540">
        <f t="shared" si="40"/>
        <v>10</v>
      </c>
      <c r="T156" s="653"/>
      <c r="U156" s="540">
        <v>17</v>
      </c>
      <c r="V156" s="541">
        <v>1348</v>
      </c>
      <c r="W156" s="541">
        <v>79.294117647058826</v>
      </c>
      <c r="X156" s="540">
        <f t="shared" si="41"/>
        <v>10</v>
      </c>
      <c r="Y156" s="653"/>
      <c r="Z156" s="540">
        <v>17</v>
      </c>
      <c r="AA156" s="541">
        <v>1371.1764705882335</v>
      </c>
      <c r="AB156" s="541">
        <v>80.657439446366681</v>
      </c>
      <c r="AC156" s="540">
        <f t="shared" si="42"/>
        <v>10</v>
      </c>
      <c r="AD156" s="653"/>
      <c r="AE156" s="540">
        <v>17</v>
      </c>
      <c r="AF156" s="541">
        <v>1349.9999999999989</v>
      </c>
      <c r="AG156" s="541">
        <v>79.411764705882291</v>
      </c>
      <c r="AH156" s="540">
        <f t="shared" si="43"/>
        <v>9</v>
      </c>
      <c r="AI156" s="653"/>
      <c r="AJ156" s="483"/>
      <c r="AK156" s="491"/>
      <c r="AL156" s="491"/>
      <c r="AM156" s="483"/>
      <c r="AN156" s="653"/>
      <c r="AO156" s="483"/>
      <c r="AP156" s="491"/>
      <c r="AQ156" s="491"/>
      <c r="AR156" s="483"/>
      <c r="AS156" s="653"/>
      <c r="AT156" s="483"/>
      <c r="AU156" s="491"/>
      <c r="AV156" s="491"/>
      <c r="AW156" s="483"/>
      <c r="AX156" s="653"/>
      <c r="AZ156" s="377" t="e">
        <f t="shared" si="44"/>
        <v>#N/A</v>
      </c>
      <c r="BA156" s="653"/>
    </row>
    <row r="157" spans="2:53">
      <c r="B157" s="635"/>
      <c r="C157" s="483">
        <v>11</v>
      </c>
      <c r="D157" s="223" t="s">
        <v>431</v>
      </c>
      <c r="E157" s="491">
        <v>20</v>
      </c>
      <c r="F157" s="483">
        <v>1440</v>
      </c>
      <c r="G157" s="484">
        <v>72</v>
      </c>
      <c r="H157" s="678"/>
      <c r="I157" s="487">
        <f t="shared" si="39"/>
        <v>20</v>
      </c>
      <c r="J157" s="487">
        <f t="shared" si="39"/>
        <v>1299.0664367436821</v>
      </c>
      <c r="K157" s="363">
        <f t="shared" si="39"/>
        <v>64.953321837184092</v>
      </c>
      <c r="L157" s="615"/>
      <c r="M157" s="489">
        <f>RANK(K157, K$147:$K$176)</f>
        <v>21</v>
      </c>
      <c r="N157" s="624"/>
      <c r="O157" s="624"/>
      <c r="P157" s="540">
        <v>20</v>
      </c>
      <c r="Q157" s="541">
        <v>1293.2432432432422</v>
      </c>
      <c r="R157" s="541">
        <v>64.662162162162105</v>
      </c>
      <c r="S157" s="540">
        <f t="shared" si="40"/>
        <v>22</v>
      </c>
      <c r="T157" s="653"/>
      <c r="U157" s="540">
        <v>20</v>
      </c>
      <c r="V157" s="541">
        <v>1297.9411764705865</v>
      </c>
      <c r="W157" s="541">
        <v>64.897058823529321</v>
      </c>
      <c r="X157" s="540">
        <f t="shared" si="41"/>
        <v>22</v>
      </c>
      <c r="Y157" s="653"/>
      <c r="Z157" s="540">
        <v>20</v>
      </c>
      <c r="AA157" s="541">
        <v>1294.1379310344837</v>
      </c>
      <c r="AB157" s="541">
        <v>64.706896551724185</v>
      </c>
      <c r="AC157" s="540">
        <f t="shared" si="42"/>
        <v>22</v>
      </c>
      <c r="AD157" s="653"/>
      <c r="AE157" s="540">
        <v>20</v>
      </c>
      <c r="AF157" s="541">
        <v>1310.9433962264159</v>
      </c>
      <c r="AG157" s="541">
        <v>65.547169811320799</v>
      </c>
      <c r="AH157" s="540">
        <f t="shared" si="43"/>
        <v>21</v>
      </c>
      <c r="AI157" s="653"/>
      <c r="AJ157" s="483"/>
      <c r="AK157" s="491"/>
      <c r="AL157" s="491"/>
      <c r="AM157" s="483"/>
      <c r="AN157" s="653"/>
      <c r="AO157" s="483"/>
      <c r="AP157" s="491"/>
      <c r="AQ157" s="491"/>
      <c r="AR157" s="483"/>
      <c r="AS157" s="653"/>
      <c r="AT157" s="483"/>
      <c r="AU157" s="491"/>
      <c r="AV157" s="491"/>
      <c r="AW157" s="483"/>
      <c r="AX157" s="653"/>
      <c r="AZ157" s="377" t="e">
        <f t="shared" si="44"/>
        <v>#N/A</v>
      </c>
      <c r="BA157" s="653"/>
    </row>
    <row r="158" spans="2:53">
      <c r="B158" s="635"/>
      <c r="C158" s="483">
        <v>12</v>
      </c>
      <c r="D158" s="223" t="s">
        <v>341</v>
      </c>
      <c r="E158" s="491">
        <v>14</v>
      </c>
      <c r="F158" s="483">
        <v>1440</v>
      </c>
      <c r="G158" s="484">
        <v>102.85714285714286</v>
      </c>
      <c r="H158" s="678"/>
      <c r="I158" s="487">
        <f t="shared" si="39"/>
        <v>15</v>
      </c>
      <c r="J158" s="487">
        <f t="shared" si="39"/>
        <v>973.31240188383049</v>
      </c>
      <c r="K158" s="363">
        <f t="shared" si="39"/>
        <v>64.887493458922052</v>
      </c>
      <c r="L158" s="615"/>
      <c r="M158" s="489">
        <f>RANK(K158, K$147:$K$176)</f>
        <v>22</v>
      </c>
      <c r="N158" s="624"/>
      <c r="O158" s="624"/>
      <c r="P158" s="540">
        <v>15</v>
      </c>
      <c r="Q158" s="541">
        <v>1324.8979591836739</v>
      </c>
      <c r="R158" s="541">
        <v>88.326530612244923</v>
      </c>
      <c r="S158" s="540">
        <f t="shared" si="40"/>
        <v>4</v>
      </c>
      <c r="T158" s="653"/>
      <c r="U158" s="540">
        <v>15</v>
      </c>
      <c r="V158" s="541">
        <v>1296.9230769230776</v>
      </c>
      <c r="W158" s="541">
        <v>86.46153846153851</v>
      </c>
      <c r="X158" s="540">
        <f t="shared" si="41"/>
        <v>4</v>
      </c>
      <c r="Y158" s="653"/>
      <c r="Z158" s="540">
        <v>15</v>
      </c>
      <c r="AA158" s="541">
        <v>1271.4285714285709</v>
      </c>
      <c r="AB158" s="541">
        <v>84.761904761904731</v>
      </c>
      <c r="AC158" s="540">
        <f t="shared" si="42"/>
        <v>7</v>
      </c>
      <c r="AD158" s="653"/>
      <c r="AE158" s="540">
        <v>15</v>
      </c>
      <c r="AF158" s="541">
        <v>0</v>
      </c>
      <c r="AG158" s="541">
        <v>0</v>
      </c>
      <c r="AH158" s="540">
        <f t="shared" si="43"/>
        <v>24</v>
      </c>
      <c r="AI158" s="653"/>
      <c r="AJ158" s="483"/>
      <c r="AK158" s="491"/>
      <c r="AL158" s="491"/>
      <c r="AM158" s="483"/>
      <c r="AN158" s="653"/>
      <c r="AO158" s="483"/>
      <c r="AP158" s="491"/>
      <c r="AQ158" s="491"/>
      <c r="AR158" s="483"/>
      <c r="AS158" s="653"/>
      <c r="AT158" s="483"/>
      <c r="AU158" s="491"/>
      <c r="AV158" s="491"/>
      <c r="AW158" s="483"/>
      <c r="AX158" s="653"/>
      <c r="AZ158" s="377" t="e">
        <f t="shared" si="44"/>
        <v>#N/A</v>
      </c>
      <c r="BA158" s="653"/>
    </row>
    <row r="159" spans="2:53">
      <c r="B159" s="635"/>
      <c r="C159" s="483">
        <v>13</v>
      </c>
      <c r="D159" s="223" t="s">
        <v>313</v>
      </c>
      <c r="E159" s="491">
        <v>19</v>
      </c>
      <c r="F159" s="483">
        <v>1440</v>
      </c>
      <c r="G159" s="484">
        <v>75.78947368421052</v>
      </c>
      <c r="H159" s="678"/>
      <c r="I159" s="487">
        <f t="shared" si="39"/>
        <v>19</v>
      </c>
      <c r="J159" s="487">
        <f t="shared" si="39"/>
        <v>1311.0234564632151</v>
      </c>
      <c r="K159" s="363">
        <f t="shared" si="39"/>
        <v>69.001234550695543</v>
      </c>
      <c r="L159" s="615"/>
      <c r="M159" s="489">
        <f>RANK(K159, K$147:$K$176)</f>
        <v>19</v>
      </c>
      <c r="N159" s="624"/>
      <c r="O159" s="624"/>
      <c r="P159" s="540">
        <v>19</v>
      </c>
      <c r="Q159" s="541">
        <v>1302.6506024096382</v>
      </c>
      <c r="R159" s="541">
        <v>68.560558021559899</v>
      </c>
      <c r="S159" s="540">
        <f t="shared" si="40"/>
        <v>21</v>
      </c>
      <c r="T159" s="653"/>
      <c r="U159" s="540">
        <v>19</v>
      </c>
      <c r="V159" s="541">
        <v>1331.5384615384608</v>
      </c>
      <c r="W159" s="541">
        <v>70.080971659918987</v>
      </c>
      <c r="X159" s="540">
        <f t="shared" si="41"/>
        <v>19</v>
      </c>
      <c r="Y159" s="653"/>
      <c r="Z159" s="540">
        <v>19</v>
      </c>
      <c r="AA159" s="541">
        <v>1290.8571428571415</v>
      </c>
      <c r="AB159" s="541">
        <v>67.939849624060074</v>
      </c>
      <c r="AC159" s="540">
        <f t="shared" si="42"/>
        <v>20</v>
      </c>
      <c r="AD159" s="653"/>
      <c r="AE159" s="540">
        <v>19</v>
      </c>
      <c r="AF159" s="541">
        <v>1319.0476190476204</v>
      </c>
      <c r="AG159" s="541">
        <v>69.423558897243183</v>
      </c>
      <c r="AH159" s="540">
        <f t="shared" si="43"/>
        <v>18</v>
      </c>
      <c r="AI159" s="653"/>
      <c r="AJ159" s="483"/>
      <c r="AK159" s="491"/>
      <c r="AL159" s="491"/>
      <c r="AM159" s="483"/>
      <c r="AN159" s="653"/>
      <c r="AO159" s="483"/>
      <c r="AP159" s="491"/>
      <c r="AQ159" s="491"/>
      <c r="AR159" s="483"/>
      <c r="AS159" s="653"/>
      <c r="AT159" s="483"/>
      <c r="AU159" s="491"/>
      <c r="AV159" s="491"/>
      <c r="AW159" s="483"/>
      <c r="AX159" s="653"/>
      <c r="AZ159" s="377" t="e">
        <f t="shared" si="44"/>
        <v>#N/A</v>
      </c>
      <c r="BA159" s="653"/>
    </row>
    <row r="160" spans="2:53">
      <c r="B160" s="635"/>
      <c r="C160" s="483">
        <v>14</v>
      </c>
      <c r="D160" s="223" t="s">
        <v>336</v>
      </c>
      <c r="E160" s="491">
        <v>19</v>
      </c>
      <c r="F160" s="483">
        <v>1440</v>
      </c>
      <c r="G160" s="484">
        <v>75.78947368421052</v>
      </c>
      <c r="H160" s="678"/>
      <c r="I160" s="487">
        <f t="shared" si="39"/>
        <v>19</v>
      </c>
      <c r="J160" s="487">
        <f t="shared" si="39"/>
        <v>1317.9547722413017</v>
      </c>
      <c r="K160" s="363">
        <f t="shared" si="39"/>
        <v>69.366040644279039</v>
      </c>
      <c r="L160" s="615"/>
      <c r="M160" s="489">
        <f>RANK(K160, K$147:$K$176)</f>
        <v>18</v>
      </c>
      <c r="N160" s="624"/>
      <c r="O160" s="624"/>
      <c r="P160" s="540">
        <v>19</v>
      </c>
      <c r="Q160" s="541">
        <v>1315.6521739130421</v>
      </c>
      <c r="R160" s="541">
        <v>69.244851258581164</v>
      </c>
      <c r="S160" s="540">
        <f t="shared" si="40"/>
        <v>19</v>
      </c>
      <c r="T160" s="653"/>
      <c r="U160" s="540">
        <v>19</v>
      </c>
      <c r="V160" s="541">
        <v>1331.803278688526</v>
      </c>
      <c r="W160" s="541">
        <v>70.094909404659262</v>
      </c>
      <c r="X160" s="540">
        <f t="shared" si="41"/>
        <v>18</v>
      </c>
      <c r="Y160" s="653"/>
      <c r="Z160" s="540">
        <v>19</v>
      </c>
      <c r="AA160" s="541">
        <v>1324.3636363636374</v>
      </c>
      <c r="AB160" s="541">
        <v>69.703349282296699</v>
      </c>
      <c r="AC160" s="540">
        <f t="shared" si="42"/>
        <v>19</v>
      </c>
      <c r="AD160" s="653"/>
      <c r="AE160" s="540">
        <v>19</v>
      </c>
      <c r="AF160" s="541">
        <v>1300.0000000000009</v>
      </c>
      <c r="AG160" s="541">
        <v>68.421052631579002</v>
      </c>
      <c r="AH160" s="540">
        <f t="shared" si="43"/>
        <v>20</v>
      </c>
      <c r="AI160" s="653"/>
      <c r="AJ160" s="483"/>
      <c r="AK160" s="491"/>
      <c r="AL160" s="491"/>
      <c r="AM160" s="483"/>
      <c r="AN160" s="653"/>
      <c r="AO160" s="483"/>
      <c r="AP160" s="491"/>
      <c r="AQ160" s="491"/>
      <c r="AR160" s="483"/>
      <c r="AS160" s="653"/>
      <c r="AT160" s="483"/>
      <c r="AU160" s="491"/>
      <c r="AV160" s="491"/>
      <c r="AW160" s="483"/>
      <c r="AX160" s="653"/>
      <c r="AZ160" s="377" t="e">
        <f t="shared" si="44"/>
        <v>#N/A</v>
      </c>
      <c r="BA160" s="653"/>
    </row>
    <row r="161" spans="2:53">
      <c r="B161" s="635"/>
      <c r="C161" s="483">
        <v>15</v>
      </c>
      <c r="D161" s="223" t="s">
        <v>562</v>
      </c>
      <c r="E161" s="491">
        <v>18</v>
      </c>
      <c r="F161" s="483">
        <v>1500</v>
      </c>
      <c r="G161" s="484">
        <v>83.333333333333329</v>
      </c>
      <c r="H161" s="678"/>
      <c r="I161" s="487">
        <f t="shared" si="39"/>
        <v>18</v>
      </c>
      <c r="J161" s="487">
        <f t="shared" si="39"/>
        <v>1372.6727053140105</v>
      </c>
      <c r="K161" s="363">
        <f t="shared" si="39"/>
        <v>76.25959473966725</v>
      </c>
      <c r="L161" s="615"/>
      <c r="M161" s="487">
        <f>RANK(K161, K$147:$K$176)</f>
        <v>14</v>
      </c>
      <c r="N161" s="624"/>
      <c r="O161" s="624"/>
      <c r="P161" s="540">
        <v>18</v>
      </c>
      <c r="Q161" s="541">
        <v>1369.0000000000014</v>
      </c>
      <c r="R161" s="541">
        <v>76.055555555555628</v>
      </c>
      <c r="S161" s="540">
        <f t="shared" si="40"/>
        <v>15</v>
      </c>
      <c r="T161" s="653"/>
      <c r="U161" s="540">
        <v>18</v>
      </c>
      <c r="V161" s="541">
        <v>1380.0000000000011</v>
      </c>
      <c r="W161" s="541">
        <v>76.666666666666728</v>
      </c>
      <c r="X161" s="540">
        <f t="shared" si="41"/>
        <v>13</v>
      </c>
      <c r="Y161" s="653"/>
      <c r="Z161" s="540">
        <v>18</v>
      </c>
      <c r="AA161" s="541">
        <v>1357.7777777777785</v>
      </c>
      <c r="AB161" s="541">
        <v>75.432098765432144</v>
      </c>
      <c r="AC161" s="540">
        <f t="shared" si="42"/>
        <v>15</v>
      </c>
      <c r="AD161" s="653"/>
      <c r="AE161" s="540">
        <v>18</v>
      </c>
      <c r="AF161" s="541">
        <v>1383.9130434782608</v>
      </c>
      <c r="AG161" s="541">
        <v>76.884057971014485</v>
      </c>
      <c r="AH161" s="540">
        <f t="shared" si="43"/>
        <v>14</v>
      </c>
      <c r="AI161" s="653"/>
      <c r="AJ161" s="483"/>
      <c r="AK161" s="491"/>
      <c r="AL161" s="491"/>
      <c r="AM161" s="483"/>
      <c r="AN161" s="653"/>
      <c r="AO161" s="483"/>
      <c r="AP161" s="491"/>
      <c r="AQ161" s="491"/>
      <c r="AR161" s="483"/>
      <c r="AS161" s="653"/>
      <c r="AT161" s="483"/>
      <c r="AU161" s="491"/>
      <c r="AV161" s="491"/>
      <c r="AW161" s="483"/>
      <c r="AX161" s="653"/>
      <c r="AZ161" s="377" t="e">
        <f t="shared" si="44"/>
        <v>#N/A</v>
      </c>
      <c r="BA161" s="653"/>
    </row>
    <row r="162" spans="2:53">
      <c r="B162" s="635"/>
      <c r="C162" s="483">
        <v>16</v>
      </c>
      <c r="D162" s="223" t="s">
        <v>428</v>
      </c>
      <c r="E162" s="491">
        <v>17</v>
      </c>
      <c r="F162" s="483">
        <v>1440</v>
      </c>
      <c r="G162" s="484">
        <v>84.705882352941174</v>
      </c>
      <c r="H162" s="678"/>
      <c r="I162" s="487">
        <f t="shared" si="39"/>
        <v>17</v>
      </c>
      <c r="J162" s="487">
        <f t="shared" si="39"/>
        <v>1302.0538277511951</v>
      </c>
      <c r="K162" s="363">
        <f t="shared" si="39"/>
        <v>76.591401632423214</v>
      </c>
      <c r="L162" s="615"/>
      <c r="M162" s="487">
        <f>RANK(K162, K$147:$K$176)</f>
        <v>13</v>
      </c>
      <c r="N162" s="624"/>
      <c r="O162" s="624"/>
      <c r="P162" s="540">
        <v>17</v>
      </c>
      <c r="Q162" s="541">
        <v>1321.5789473684201</v>
      </c>
      <c r="R162" s="541">
        <v>77.739938080495307</v>
      </c>
      <c r="S162" s="540">
        <f t="shared" si="40"/>
        <v>13</v>
      </c>
      <c r="T162" s="653"/>
      <c r="U162" s="540">
        <v>17</v>
      </c>
      <c r="V162" s="541">
        <v>1274.9999999999995</v>
      </c>
      <c r="W162" s="541">
        <v>74.999999999999972</v>
      </c>
      <c r="X162" s="540">
        <f t="shared" si="41"/>
        <v>15</v>
      </c>
      <c r="Y162" s="653"/>
      <c r="Z162" s="540">
        <v>17</v>
      </c>
      <c r="AA162" s="541">
        <v>1283.6363636363619</v>
      </c>
      <c r="AB162" s="541">
        <v>75.508021390374225</v>
      </c>
      <c r="AC162" s="540">
        <f t="shared" si="42"/>
        <v>14</v>
      </c>
      <c r="AD162" s="653"/>
      <c r="AE162" s="540">
        <v>17</v>
      </c>
      <c r="AF162" s="541">
        <v>1327.9999999999977</v>
      </c>
      <c r="AG162" s="541">
        <v>78.117647058823394</v>
      </c>
      <c r="AH162" s="540">
        <f t="shared" si="43"/>
        <v>12</v>
      </c>
      <c r="AI162" s="653"/>
      <c r="AJ162" s="483"/>
      <c r="AK162" s="491"/>
      <c r="AL162" s="491"/>
      <c r="AM162" s="483"/>
      <c r="AN162" s="653"/>
      <c r="AO162" s="483"/>
      <c r="AP162" s="491"/>
      <c r="AQ162" s="491"/>
      <c r="AR162" s="483"/>
      <c r="AS162" s="653"/>
      <c r="AT162" s="483"/>
      <c r="AU162" s="491"/>
      <c r="AV162" s="491"/>
      <c r="AW162" s="483"/>
      <c r="AX162" s="653"/>
      <c r="AZ162" s="377" t="e">
        <f t="shared" si="44"/>
        <v>#N/A</v>
      </c>
      <c r="BA162" s="653"/>
    </row>
    <row r="163" spans="2:53">
      <c r="B163" s="635"/>
      <c r="C163" s="483">
        <v>17</v>
      </c>
      <c r="D163" s="223" t="s">
        <v>697</v>
      </c>
      <c r="E163" s="491">
        <v>16</v>
      </c>
      <c r="F163" s="483">
        <v>1636</v>
      </c>
      <c r="G163" s="484">
        <v>102.25</v>
      </c>
      <c r="H163" s="678"/>
      <c r="I163" s="487">
        <f t="shared" si="39"/>
        <v>16</v>
      </c>
      <c r="J163" s="487">
        <f t="shared" si="39"/>
        <v>1403.2410615299325</v>
      </c>
      <c r="K163" s="363">
        <f t="shared" si="39"/>
        <v>87.702566345620781</v>
      </c>
      <c r="L163" s="615"/>
      <c r="M163" s="487">
        <f>RANK(K163, K$147:$K$176)</f>
        <v>3</v>
      </c>
      <c r="N163" s="624"/>
      <c r="O163" s="624"/>
      <c r="P163" s="540">
        <v>16</v>
      </c>
      <c r="Q163" s="541">
        <v>1420.9756097560971</v>
      </c>
      <c r="R163" s="541">
        <v>88.810975609756071</v>
      </c>
      <c r="S163" s="540">
        <f t="shared" si="40"/>
        <v>3</v>
      </c>
      <c r="T163" s="653"/>
      <c r="U163" s="540">
        <v>16</v>
      </c>
      <c r="V163" s="541">
        <v>1411.3636363636365</v>
      </c>
      <c r="W163" s="541">
        <v>88.21022727272728</v>
      </c>
      <c r="X163" s="540">
        <f t="shared" si="41"/>
        <v>3</v>
      </c>
      <c r="Y163" s="653"/>
      <c r="Z163" s="540">
        <v>16</v>
      </c>
      <c r="AA163" s="541">
        <v>1391.2499999999982</v>
      </c>
      <c r="AB163" s="541">
        <v>86.953124999999886</v>
      </c>
      <c r="AC163" s="540">
        <f t="shared" si="42"/>
        <v>5</v>
      </c>
      <c r="AD163" s="653"/>
      <c r="AE163" s="540">
        <v>16</v>
      </c>
      <c r="AF163" s="541">
        <v>1389.3749999999982</v>
      </c>
      <c r="AG163" s="541">
        <v>86.835937499999886</v>
      </c>
      <c r="AH163" s="540">
        <f t="shared" si="43"/>
        <v>4</v>
      </c>
      <c r="AI163" s="653"/>
      <c r="AJ163" s="483"/>
      <c r="AK163" s="491"/>
      <c r="AL163" s="491"/>
      <c r="AM163" s="483"/>
      <c r="AN163" s="653"/>
      <c r="AO163" s="483"/>
      <c r="AP163" s="491"/>
      <c r="AQ163" s="491"/>
      <c r="AR163" s="483"/>
      <c r="AS163" s="653"/>
      <c r="AT163" s="483"/>
      <c r="AU163" s="491"/>
      <c r="AV163" s="491"/>
      <c r="AW163" s="483"/>
      <c r="AX163" s="653"/>
      <c r="AZ163" s="377" t="e">
        <f t="shared" si="44"/>
        <v>#N/A</v>
      </c>
      <c r="BA163" s="653"/>
    </row>
    <row r="164" spans="2:53">
      <c r="B164" s="635"/>
      <c r="C164" s="483">
        <v>18</v>
      </c>
      <c r="D164" s="223" t="s">
        <v>726</v>
      </c>
      <c r="E164" s="491">
        <v>16</v>
      </c>
      <c r="F164" s="483">
        <v>1500</v>
      </c>
      <c r="G164" s="484">
        <v>93.75</v>
      </c>
      <c r="H164" s="678"/>
      <c r="I164" s="487">
        <f t="shared" si="39"/>
        <v>16.5</v>
      </c>
      <c r="J164" s="487">
        <f t="shared" si="39"/>
        <v>1369.8738474344746</v>
      </c>
      <c r="K164" s="363">
        <f t="shared" si="39"/>
        <v>83.098768462392229</v>
      </c>
      <c r="L164" s="615"/>
      <c r="M164" s="487">
        <f>RANK(K164, K$147:$K$176)</f>
        <v>7</v>
      </c>
      <c r="N164" s="624"/>
      <c r="O164" s="624"/>
      <c r="P164" s="540">
        <v>16</v>
      </c>
      <c r="Q164" s="541">
        <v>1377.64705882353</v>
      </c>
      <c r="R164" s="541">
        <v>86.102941176470623</v>
      </c>
      <c r="S164" s="540">
        <f t="shared" si="40"/>
        <v>6</v>
      </c>
      <c r="T164" s="653"/>
      <c r="U164" s="540">
        <v>16</v>
      </c>
      <c r="V164" s="541">
        <v>1361.8867924528308</v>
      </c>
      <c r="W164" s="541">
        <v>85.117924528301927</v>
      </c>
      <c r="X164" s="540">
        <f t="shared" si="41"/>
        <v>6</v>
      </c>
      <c r="Y164" s="653"/>
      <c r="Z164" s="540">
        <v>17</v>
      </c>
      <c r="AA164" s="541">
        <v>1381.4999999999995</v>
      </c>
      <c r="AB164" s="541">
        <v>81.264705882352914</v>
      </c>
      <c r="AC164" s="540">
        <f t="shared" si="42"/>
        <v>9</v>
      </c>
      <c r="AD164" s="653"/>
      <c r="AE164" s="540">
        <v>17</v>
      </c>
      <c r="AF164" s="541">
        <v>1358.4615384615377</v>
      </c>
      <c r="AG164" s="541">
        <v>79.909502262443397</v>
      </c>
      <c r="AH164" s="540">
        <f t="shared" si="43"/>
        <v>8</v>
      </c>
      <c r="AI164" s="653"/>
      <c r="AJ164" s="483"/>
      <c r="AK164" s="491"/>
      <c r="AL164" s="491"/>
      <c r="AM164" s="483"/>
      <c r="AN164" s="653"/>
      <c r="AO164" s="483"/>
      <c r="AP164" s="491"/>
      <c r="AQ164" s="491"/>
      <c r="AR164" s="483"/>
      <c r="AS164" s="653"/>
      <c r="AT164" s="483"/>
      <c r="AU164" s="491"/>
      <c r="AV164" s="491"/>
      <c r="AW164" s="483"/>
      <c r="AX164" s="653"/>
      <c r="AZ164" s="377" t="e">
        <f t="shared" si="44"/>
        <v>#N/A</v>
      </c>
      <c r="BA164" s="653"/>
    </row>
    <row r="165" spans="2:53">
      <c r="B165" s="635"/>
      <c r="C165" s="483">
        <v>19</v>
      </c>
      <c r="D165" s="223" t="s">
        <v>727</v>
      </c>
      <c r="E165" s="491">
        <v>16</v>
      </c>
      <c r="F165" s="483">
        <v>1500</v>
      </c>
      <c r="G165" s="484">
        <v>93.75</v>
      </c>
      <c r="H165" s="678"/>
      <c r="I165" s="487">
        <f t="shared" si="39"/>
        <v>15</v>
      </c>
      <c r="J165" s="487">
        <f t="shared" si="39"/>
        <v>1307.6289771037766</v>
      </c>
      <c r="K165" s="363">
        <f t="shared" si="39"/>
        <v>87.556289046617778</v>
      </c>
      <c r="L165" s="615"/>
      <c r="M165" s="487">
        <f>RANK(K165, K$147:$K$176)</f>
        <v>4</v>
      </c>
      <c r="N165" s="624"/>
      <c r="O165" s="624"/>
      <c r="P165" s="540">
        <v>16</v>
      </c>
      <c r="Q165" s="541">
        <v>1316.0526315789464</v>
      </c>
      <c r="R165" s="541">
        <v>82.253289473684148</v>
      </c>
      <c r="S165" s="540">
        <f t="shared" si="40"/>
        <v>8</v>
      </c>
      <c r="T165" s="653"/>
      <c r="U165" s="540">
        <v>16</v>
      </c>
      <c r="V165" s="541">
        <v>1302.857142857142</v>
      </c>
      <c r="W165" s="541">
        <v>81.428571428571374</v>
      </c>
      <c r="X165" s="540">
        <f t="shared" si="41"/>
        <v>9</v>
      </c>
      <c r="Y165" s="653"/>
      <c r="Z165" s="540">
        <v>14</v>
      </c>
      <c r="AA165" s="541">
        <v>1303.8095238095252</v>
      </c>
      <c r="AB165" s="541">
        <v>93.129251700680371</v>
      </c>
      <c r="AC165" s="540">
        <f t="shared" si="42"/>
        <v>3</v>
      </c>
      <c r="AD165" s="653"/>
      <c r="AE165" s="540">
        <v>14</v>
      </c>
      <c r="AF165" s="541">
        <v>1307.7966101694926</v>
      </c>
      <c r="AG165" s="541">
        <v>93.414043583535189</v>
      </c>
      <c r="AH165" s="540">
        <f t="shared" si="43"/>
        <v>3</v>
      </c>
      <c r="AI165" s="653"/>
      <c r="AJ165" s="483"/>
      <c r="AK165" s="491"/>
      <c r="AL165" s="491"/>
      <c r="AM165" s="483"/>
      <c r="AN165" s="653"/>
      <c r="AO165" s="483"/>
      <c r="AP165" s="491"/>
      <c r="AQ165" s="491"/>
      <c r="AR165" s="483"/>
      <c r="AS165" s="653"/>
      <c r="AT165" s="483"/>
      <c r="AU165" s="491"/>
      <c r="AV165" s="491"/>
      <c r="AW165" s="483"/>
      <c r="AX165" s="653"/>
      <c r="AZ165" s="377" t="e">
        <f t="shared" si="44"/>
        <v>#N/A</v>
      </c>
      <c r="BA165" s="653"/>
    </row>
    <row r="166" spans="2:53">
      <c r="B166" s="635"/>
      <c r="C166" s="483">
        <v>20</v>
      </c>
      <c r="D166" s="223" t="s">
        <v>783</v>
      </c>
      <c r="E166" s="491">
        <v>16</v>
      </c>
      <c r="F166" s="483">
        <v>1440</v>
      </c>
      <c r="G166" s="484">
        <v>90</v>
      </c>
      <c r="H166" s="678"/>
      <c r="I166" s="487">
        <f t="shared" si="39"/>
        <v>15.5</v>
      </c>
      <c r="J166" s="487">
        <f t="shared" si="39"/>
        <v>1127.1785714285725</v>
      </c>
      <c r="K166" s="363">
        <f t="shared" si="39"/>
        <v>72.79017857142864</v>
      </c>
      <c r="L166" s="615"/>
      <c r="M166" s="487">
        <f>RANK(K166, K$147:$K$176)</f>
        <v>16</v>
      </c>
      <c r="N166" s="624"/>
      <c r="O166" s="624"/>
      <c r="P166" s="540">
        <v>16</v>
      </c>
      <c r="Q166" s="541">
        <v>1122.8571428571404</v>
      </c>
      <c r="R166" s="541">
        <v>70.178571428571274</v>
      </c>
      <c r="S166" s="540">
        <f t="shared" si="40"/>
        <v>18</v>
      </c>
      <c r="T166" s="653"/>
      <c r="U166" s="540">
        <v>16</v>
      </c>
      <c r="V166" s="541">
        <v>1137.999999999998</v>
      </c>
      <c r="W166" s="541">
        <v>71.124999999999872</v>
      </c>
      <c r="X166" s="540">
        <f t="shared" si="41"/>
        <v>17</v>
      </c>
      <c r="Y166" s="653"/>
      <c r="Z166" s="540">
        <v>15</v>
      </c>
      <c r="AA166" s="541">
        <v>1122.8571428571468</v>
      </c>
      <c r="AB166" s="541">
        <v>74.857142857143117</v>
      </c>
      <c r="AC166" s="540">
        <f t="shared" si="42"/>
        <v>16</v>
      </c>
      <c r="AD166" s="653"/>
      <c r="AE166" s="540">
        <v>15</v>
      </c>
      <c r="AF166" s="541">
        <v>1125.0000000000041</v>
      </c>
      <c r="AG166" s="541">
        <v>75.00000000000027</v>
      </c>
      <c r="AH166" s="540">
        <f t="shared" si="43"/>
        <v>15</v>
      </c>
      <c r="AI166" s="653"/>
      <c r="AJ166" s="483"/>
      <c r="AK166" s="491"/>
      <c r="AL166" s="491"/>
      <c r="AM166" s="483"/>
      <c r="AN166" s="653"/>
      <c r="AO166" s="483"/>
      <c r="AP166" s="491"/>
      <c r="AQ166" s="491"/>
      <c r="AR166" s="483"/>
      <c r="AS166" s="653"/>
      <c r="AT166" s="483"/>
      <c r="AU166" s="491"/>
      <c r="AV166" s="491"/>
      <c r="AW166" s="483"/>
      <c r="AX166" s="653"/>
      <c r="AZ166" s="377" t="e">
        <f t="shared" si="44"/>
        <v>#N/A</v>
      </c>
      <c r="BA166" s="653"/>
    </row>
    <row r="167" spans="2:53">
      <c r="B167" s="635"/>
      <c r="C167" s="483">
        <v>21</v>
      </c>
      <c r="D167" s="223" t="s">
        <v>786</v>
      </c>
      <c r="E167" s="491">
        <v>19</v>
      </c>
      <c r="F167" s="483">
        <v>1440</v>
      </c>
      <c r="G167" s="484">
        <v>75.78947368421052</v>
      </c>
      <c r="H167" s="678"/>
      <c r="I167" s="487">
        <f t="shared" si="39"/>
        <v>19</v>
      </c>
      <c r="J167" s="487">
        <f t="shared" si="39"/>
        <v>1303.3008995910427</v>
      </c>
      <c r="K167" s="363">
        <f t="shared" si="39"/>
        <v>68.594784189002254</v>
      </c>
      <c r="L167" s="615"/>
      <c r="M167" s="487">
        <f>RANK(K167, K$147:$K$176)</f>
        <v>20</v>
      </c>
      <c r="N167" s="624"/>
      <c r="O167" s="624"/>
      <c r="P167" s="540">
        <v>19</v>
      </c>
      <c r="Q167" s="541">
        <v>1309.4736842105274</v>
      </c>
      <c r="R167" s="541">
        <v>68.919667590027757</v>
      </c>
      <c r="S167" s="540">
        <f t="shared" si="40"/>
        <v>20</v>
      </c>
      <c r="T167" s="653"/>
      <c r="U167" s="540">
        <v>19</v>
      </c>
      <c r="V167" s="541">
        <v>1300.677966101696</v>
      </c>
      <c r="W167" s="541">
        <v>68.456735057984005</v>
      </c>
      <c r="X167" s="540">
        <f t="shared" si="41"/>
        <v>21</v>
      </c>
      <c r="Y167" s="653"/>
      <c r="Z167" s="540">
        <v>19</v>
      </c>
      <c r="AA167" s="541">
        <v>1285.909090909091</v>
      </c>
      <c r="AB167" s="541">
        <v>67.679425837320579</v>
      </c>
      <c r="AC167" s="540">
        <f t="shared" si="42"/>
        <v>21</v>
      </c>
      <c r="AD167" s="653"/>
      <c r="AE167" s="540">
        <v>19</v>
      </c>
      <c r="AF167" s="541">
        <v>1317.1428571428567</v>
      </c>
      <c r="AG167" s="541">
        <v>69.323308270676662</v>
      </c>
      <c r="AH167" s="540">
        <f t="shared" si="43"/>
        <v>19</v>
      </c>
      <c r="AI167" s="653"/>
      <c r="AJ167" s="483"/>
      <c r="AK167" s="491"/>
      <c r="AL167" s="491"/>
      <c r="AM167" s="483"/>
      <c r="AN167" s="653"/>
      <c r="AO167" s="483"/>
      <c r="AP167" s="491"/>
      <c r="AQ167" s="491"/>
      <c r="AR167" s="483"/>
      <c r="AS167" s="653"/>
      <c r="AT167" s="483"/>
      <c r="AU167" s="491"/>
      <c r="AV167" s="491"/>
      <c r="AW167" s="483"/>
      <c r="AX167" s="653"/>
      <c r="AZ167" s="377" t="e">
        <f t="shared" si="44"/>
        <v>#N/A</v>
      </c>
      <c r="BA167" s="653"/>
    </row>
    <row r="168" spans="2:53">
      <c r="B168" s="635"/>
      <c r="C168" s="483">
        <v>22</v>
      </c>
      <c r="D168" s="223" t="s">
        <v>844</v>
      </c>
      <c r="E168" s="491">
        <v>21</v>
      </c>
      <c r="F168" s="483">
        <v>1440</v>
      </c>
      <c r="G168" s="484">
        <v>68.571428571428569</v>
      </c>
      <c r="H168" s="678"/>
      <c r="I168" s="487">
        <f t="shared" si="39"/>
        <v>21</v>
      </c>
      <c r="J168" s="487">
        <f t="shared" si="39"/>
        <v>1151.1294275588607</v>
      </c>
      <c r="K168" s="363">
        <f t="shared" si="39"/>
        <v>54.815687026612409</v>
      </c>
      <c r="L168" s="615"/>
      <c r="M168" s="487">
        <f>RANK(K168, K$147:$K$176)</f>
        <v>24</v>
      </c>
      <c r="N168" s="624"/>
      <c r="O168" s="624"/>
      <c r="P168" s="540">
        <v>21</v>
      </c>
      <c r="Q168" s="541">
        <v>1137.4647887323933</v>
      </c>
      <c r="R168" s="541">
        <v>54.164989939637778</v>
      </c>
      <c r="S168" s="540">
        <f t="shared" si="40"/>
        <v>24</v>
      </c>
      <c r="T168" s="653"/>
      <c r="U168" s="540">
        <v>21</v>
      </c>
      <c r="V168" s="541">
        <v>1163.4782608695641</v>
      </c>
      <c r="W168" s="541">
        <v>55.40372670807448</v>
      </c>
      <c r="X168" s="540">
        <f t="shared" si="41"/>
        <v>24</v>
      </c>
      <c r="Y168" s="653"/>
      <c r="Z168" s="540">
        <v>21</v>
      </c>
      <c r="AA168" s="541">
        <v>1137.6923076923083</v>
      </c>
      <c r="AB168" s="541">
        <v>54.175824175824204</v>
      </c>
      <c r="AC168" s="540">
        <f t="shared" si="42"/>
        <v>24</v>
      </c>
      <c r="AD168" s="653"/>
      <c r="AE168" s="540">
        <v>21</v>
      </c>
      <c r="AF168" s="541">
        <v>1165.882352941177</v>
      </c>
      <c r="AG168" s="541">
        <v>55.518207282913195</v>
      </c>
      <c r="AH168" s="540">
        <f t="shared" si="43"/>
        <v>23</v>
      </c>
      <c r="AI168" s="653"/>
      <c r="AJ168" s="483"/>
      <c r="AK168" s="491"/>
      <c r="AL168" s="491"/>
      <c r="AM168" s="483"/>
      <c r="AN168" s="653"/>
      <c r="AO168" s="483"/>
      <c r="AP168" s="491"/>
      <c r="AQ168" s="491"/>
      <c r="AR168" s="483"/>
      <c r="AS168" s="653"/>
      <c r="AT168" s="483"/>
      <c r="AU168" s="491"/>
      <c r="AV168" s="491"/>
      <c r="AW168" s="483"/>
      <c r="AX168" s="653"/>
      <c r="AZ168" s="377" t="e">
        <f t="shared" si="44"/>
        <v>#N/A</v>
      </c>
      <c r="BA168" s="653"/>
    </row>
    <row r="169" spans="2:53">
      <c r="B169" s="635"/>
      <c r="C169" s="483">
        <v>23</v>
      </c>
      <c r="D169" s="223" t="s">
        <v>845</v>
      </c>
      <c r="E169" s="491">
        <v>19</v>
      </c>
      <c r="F169" s="483">
        <v>1440</v>
      </c>
      <c r="G169" s="484">
        <v>75.78947368421052</v>
      </c>
      <c r="H169" s="678"/>
      <c r="I169" s="487">
        <f t="shared" si="39"/>
        <v>19</v>
      </c>
      <c r="J169" s="487">
        <f t="shared" si="39"/>
        <v>1330.9264353619283</v>
      </c>
      <c r="K169" s="363">
        <f t="shared" si="39"/>
        <v>70.04875975589097</v>
      </c>
      <c r="L169" s="615"/>
      <c r="M169" s="487">
        <f>RANK(K169, K$147:$K$176)</f>
        <v>17</v>
      </c>
      <c r="N169" s="624"/>
      <c r="O169" s="624"/>
      <c r="P169" s="540">
        <v>19</v>
      </c>
      <c r="Q169" s="541">
        <v>1346.3013698630127</v>
      </c>
      <c r="R169" s="541">
        <v>70.857966834895407</v>
      </c>
      <c r="S169" s="540">
        <f t="shared" si="40"/>
        <v>17</v>
      </c>
      <c r="T169" s="653"/>
      <c r="U169" s="540">
        <v>19</v>
      </c>
      <c r="V169" s="541">
        <v>1321.6666666666656</v>
      </c>
      <c r="W169" s="541">
        <v>69.561403508771875</v>
      </c>
      <c r="X169" s="540">
        <f t="shared" si="41"/>
        <v>20</v>
      </c>
      <c r="Y169" s="653"/>
      <c r="Z169" s="540">
        <v>19</v>
      </c>
      <c r="AA169" s="541">
        <v>1335.7377049180341</v>
      </c>
      <c r="AB169" s="541">
        <v>70.301984469370211</v>
      </c>
      <c r="AC169" s="540">
        <f t="shared" si="42"/>
        <v>18</v>
      </c>
      <c r="AD169" s="653"/>
      <c r="AE169" s="540">
        <v>19</v>
      </c>
      <c r="AF169" s="541">
        <v>1320.0000000000014</v>
      </c>
      <c r="AG169" s="541">
        <v>69.473684210526386</v>
      </c>
      <c r="AH169" s="540">
        <f t="shared" si="43"/>
        <v>17</v>
      </c>
      <c r="AI169" s="653"/>
      <c r="AJ169" s="483"/>
      <c r="AK169" s="491"/>
      <c r="AL169" s="491"/>
      <c r="AM169" s="483"/>
      <c r="AN169" s="653"/>
      <c r="AO169" s="483"/>
      <c r="AP169" s="491"/>
      <c r="AQ169" s="491"/>
      <c r="AR169" s="483"/>
      <c r="AS169" s="653"/>
      <c r="AT169" s="483"/>
      <c r="AU169" s="491"/>
      <c r="AV169" s="491"/>
      <c r="AW169" s="483"/>
      <c r="AX169" s="653"/>
      <c r="AZ169" s="377" t="e">
        <f t="shared" si="44"/>
        <v>#N/A</v>
      </c>
      <c r="BA169" s="653"/>
    </row>
    <row r="170" spans="2:53">
      <c r="B170" s="635"/>
      <c r="C170" s="483">
        <v>24</v>
      </c>
      <c r="D170" s="223" t="s">
        <v>846</v>
      </c>
      <c r="E170" s="491">
        <v>17</v>
      </c>
      <c r="F170" s="483">
        <v>1440</v>
      </c>
      <c r="G170" s="484">
        <v>84.705882352941174</v>
      </c>
      <c r="H170" s="678"/>
      <c r="I170" s="487">
        <f t="shared" si="39"/>
        <v>17</v>
      </c>
      <c r="J170" s="487">
        <f t="shared" si="39"/>
        <v>1306.4535552682605</v>
      </c>
      <c r="K170" s="363">
        <f t="shared" si="39"/>
        <v>76.850209133427086</v>
      </c>
      <c r="L170" s="615"/>
      <c r="M170" s="487">
        <f>RANK(K170, K$147:$K$176)</f>
        <v>12</v>
      </c>
      <c r="N170" s="624"/>
      <c r="O170" s="624"/>
      <c r="P170" s="540">
        <v>17</v>
      </c>
      <c r="Q170" s="541">
        <v>1316.799999999999</v>
      </c>
      <c r="R170" s="541">
        <v>77.458823529411703</v>
      </c>
      <c r="S170" s="540">
        <f t="shared" si="40"/>
        <v>14</v>
      </c>
      <c r="T170" s="653"/>
      <c r="U170" s="540">
        <v>17</v>
      </c>
      <c r="V170" s="541">
        <v>1290.8823529411748</v>
      </c>
      <c r="W170" s="541">
        <v>75.934256055363221</v>
      </c>
      <c r="X170" s="540">
        <f t="shared" si="41"/>
        <v>14</v>
      </c>
      <c r="Y170" s="653"/>
      <c r="Z170" s="540">
        <v>17</v>
      </c>
      <c r="AA170" s="541">
        <v>1303.8461538461547</v>
      </c>
      <c r="AB170" s="541">
        <v>76.696832579185568</v>
      </c>
      <c r="AC170" s="540">
        <f t="shared" si="42"/>
        <v>13</v>
      </c>
      <c r="AD170" s="653"/>
      <c r="AE170" s="540">
        <v>17</v>
      </c>
      <c r="AF170" s="541">
        <v>1314.2857142857138</v>
      </c>
      <c r="AG170" s="541">
        <v>77.310924369747866</v>
      </c>
      <c r="AH170" s="540">
        <f t="shared" si="43"/>
        <v>13</v>
      </c>
      <c r="AI170" s="653"/>
      <c r="AJ170" s="483"/>
      <c r="AK170" s="491"/>
      <c r="AL170" s="491"/>
      <c r="AM170" s="483"/>
      <c r="AN170" s="653"/>
      <c r="AO170" s="483"/>
      <c r="AP170" s="491"/>
      <c r="AQ170" s="491"/>
      <c r="AR170" s="483"/>
      <c r="AS170" s="653"/>
      <c r="AT170" s="483"/>
      <c r="AU170" s="491"/>
      <c r="AV170" s="491"/>
      <c r="AW170" s="483"/>
      <c r="AX170" s="653"/>
      <c r="AZ170" s="377" t="e">
        <f t="shared" si="44"/>
        <v>#N/A</v>
      </c>
      <c r="BA170" s="653"/>
    </row>
    <row r="171" spans="2:53">
      <c r="B171" s="635"/>
      <c r="C171" s="483">
        <v>25</v>
      </c>
      <c r="D171" s="223"/>
      <c r="E171" s="491"/>
      <c r="F171" s="483"/>
      <c r="G171" s="484"/>
      <c r="H171" s="678"/>
      <c r="I171" s="487" t="str">
        <f t="shared" si="39"/>
        <v>-</v>
      </c>
      <c r="J171" s="487" t="str">
        <f t="shared" si="39"/>
        <v>-</v>
      </c>
      <c r="K171" s="363" t="str">
        <f t="shared" si="39"/>
        <v>-</v>
      </c>
      <c r="L171" s="615"/>
      <c r="M171" s="487" t="e">
        <f>RANK(K171, K$147:$K$176)</f>
        <v>#VALUE!</v>
      </c>
      <c r="N171" s="624"/>
      <c r="O171" s="624"/>
      <c r="P171" s="540" t="s">
        <v>427</v>
      </c>
      <c r="Q171" s="541" t="s">
        <v>427</v>
      </c>
      <c r="R171" s="541" t="s">
        <v>427</v>
      </c>
      <c r="S171" s="540" t="e">
        <f t="shared" si="40"/>
        <v>#VALUE!</v>
      </c>
      <c r="T171" s="653"/>
      <c r="U171" s="540" t="s">
        <v>427</v>
      </c>
      <c r="V171" s="541" t="s">
        <v>427</v>
      </c>
      <c r="W171" s="541" t="s">
        <v>427</v>
      </c>
      <c r="X171" s="540" t="e">
        <f t="shared" si="41"/>
        <v>#VALUE!</v>
      </c>
      <c r="Y171" s="653"/>
      <c r="Z171" s="540" t="s">
        <v>427</v>
      </c>
      <c r="AA171" s="541" t="s">
        <v>427</v>
      </c>
      <c r="AB171" s="541" t="s">
        <v>427</v>
      </c>
      <c r="AC171" s="540" t="e">
        <f t="shared" si="42"/>
        <v>#VALUE!</v>
      </c>
      <c r="AD171" s="653"/>
      <c r="AE171" s="540" t="s">
        <v>427</v>
      </c>
      <c r="AF171" s="541" t="s">
        <v>427</v>
      </c>
      <c r="AG171" s="541" t="s">
        <v>427</v>
      </c>
      <c r="AH171" s="540" t="e">
        <f t="shared" si="43"/>
        <v>#VALUE!</v>
      </c>
      <c r="AI171" s="653"/>
      <c r="AJ171" s="483"/>
      <c r="AK171" s="491"/>
      <c r="AL171" s="491"/>
      <c r="AM171" s="483"/>
      <c r="AN171" s="653"/>
      <c r="AO171" s="483"/>
      <c r="AP171" s="491"/>
      <c r="AQ171" s="491"/>
      <c r="AR171" s="483"/>
      <c r="AS171" s="653"/>
      <c r="AT171" s="483"/>
      <c r="AU171" s="491"/>
      <c r="AV171" s="491"/>
      <c r="AW171" s="483"/>
      <c r="AX171" s="653"/>
      <c r="AZ171" s="377" t="e">
        <f t="shared" si="44"/>
        <v>#N/A</v>
      </c>
      <c r="BA171" s="653"/>
    </row>
    <row r="172" spans="2:53">
      <c r="B172" s="635"/>
      <c r="C172" s="483">
        <v>26</v>
      </c>
      <c r="D172" s="223"/>
      <c r="E172" s="491"/>
      <c r="F172" s="483"/>
      <c r="G172" s="484"/>
      <c r="H172" s="678"/>
      <c r="I172" s="487" t="str">
        <f t="shared" si="39"/>
        <v>-</v>
      </c>
      <c r="J172" s="487" t="str">
        <f t="shared" si="39"/>
        <v>-</v>
      </c>
      <c r="K172" s="363" t="str">
        <f t="shared" si="39"/>
        <v>-</v>
      </c>
      <c r="L172" s="615"/>
      <c r="M172" s="487" t="e">
        <f>RANK(K172, K$147:$K$176)</f>
        <v>#VALUE!</v>
      </c>
      <c r="N172" s="624"/>
      <c r="O172" s="624"/>
      <c r="P172" s="540" t="s">
        <v>427</v>
      </c>
      <c r="Q172" s="541" t="s">
        <v>427</v>
      </c>
      <c r="R172" s="541" t="s">
        <v>427</v>
      </c>
      <c r="S172" s="540" t="e">
        <f t="shared" si="40"/>
        <v>#VALUE!</v>
      </c>
      <c r="T172" s="653"/>
      <c r="U172" s="540" t="s">
        <v>427</v>
      </c>
      <c r="V172" s="541" t="s">
        <v>427</v>
      </c>
      <c r="W172" s="541" t="s">
        <v>427</v>
      </c>
      <c r="X172" s="540" t="e">
        <f t="shared" si="41"/>
        <v>#VALUE!</v>
      </c>
      <c r="Y172" s="653"/>
      <c r="Z172" s="540" t="s">
        <v>427</v>
      </c>
      <c r="AA172" s="541" t="s">
        <v>427</v>
      </c>
      <c r="AB172" s="541" t="s">
        <v>427</v>
      </c>
      <c r="AC172" s="540" t="e">
        <f t="shared" si="42"/>
        <v>#VALUE!</v>
      </c>
      <c r="AD172" s="653"/>
      <c r="AE172" s="540" t="s">
        <v>427</v>
      </c>
      <c r="AF172" s="541" t="s">
        <v>427</v>
      </c>
      <c r="AG172" s="541" t="s">
        <v>427</v>
      </c>
      <c r="AH172" s="540" t="e">
        <f t="shared" si="43"/>
        <v>#VALUE!</v>
      </c>
      <c r="AI172" s="653"/>
      <c r="AJ172" s="483"/>
      <c r="AK172" s="491"/>
      <c r="AL172" s="491"/>
      <c r="AM172" s="483"/>
      <c r="AN172" s="653"/>
      <c r="AO172" s="483"/>
      <c r="AP172" s="491"/>
      <c r="AQ172" s="491"/>
      <c r="AR172" s="483"/>
      <c r="AS172" s="653"/>
      <c r="AT172" s="483"/>
      <c r="AU172" s="491"/>
      <c r="AV172" s="491"/>
      <c r="AW172" s="483"/>
      <c r="AX172" s="653"/>
      <c r="AZ172" s="377" t="e">
        <f t="shared" si="44"/>
        <v>#N/A</v>
      </c>
      <c r="BA172" s="653"/>
    </row>
    <row r="173" spans="2:53">
      <c r="B173" s="635"/>
      <c r="C173" s="483">
        <v>27</v>
      </c>
      <c r="D173" s="223"/>
      <c r="E173" s="491"/>
      <c r="F173" s="483"/>
      <c r="G173" s="484"/>
      <c r="H173" s="678"/>
      <c r="I173" s="487" t="str">
        <f t="shared" si="39"/>
        <v>-</v>
      </c>
      <c r="J173" s="487" t="str">
        <f t="shared" si="39"/>
        <v>-</v>
      </c>
      <c r="K173" s="363" t="str">
        <f t="shared" si="39"/>
        <v>-</v>
      </c>
      <c r="L173" s="615"/>
      <c r="M173" s="487" t="e">
        <f>RANK(K173, K$147:$K$176)</f>
        <v>#VALUE!</v>
      </c>
      <c r="N173" s="624"/>
      <c r="O173" s="624"/>
      <c r="P173" s="540" t="s">
        <v>427</v>
      </c>
      <c r="Q173" s="541" t="s">
        <v>427</v>
      </c>
      <c r="R173" s="541" t="s">
        <v>427</v>
      </c>
      <c r="S173" s="540" t="e">
        <f t="shared" si="40"/>
        <v>#VALUE!</v>
      </c>
      <c r="T173" s="653"/>
      <c r="U173" s="540" t="s">
        <v>427</v>
      </c>
      <c r="V173" s="541" t="s">
        <v>427</v>
      </c>
      <c r="W173" s="541" t="s">
        <v>427</v>
      </c>
      <c r="X173" s="540" t="e">
        <f t="shared" si="41"/>
        <v>#VALUE!</v>
      </c>
      <c r="Y173" s="653"/>
      <c r="Z173" s="540" t="s">
        <v>427</v>
      </c>
      <c r="AA173" s="541" t="s">
        <v>427</v>
      </c>
      <c r="AB173" s="541" t="s">
        <v>427</v>
      </c>
      <c r="AC173" s="540" t="e">
        <f t="shared" si="42"/>
        <v>#VALUE!</v>
      </c>
      <c r="AD173" s="653"/>
      <c r="AE173" s="540" t="s">
        <v>427</v>
      </c>
      <c r="AF173" s="541" t="s">
        <v>427</v>
      </c>
      <c r="AG173" s="541" t="s">
        <v>427</v>
      </c>
      <c r="AH173" s="540" t="e">
        <f t="shared" si="43"/>
        <v>#VALUE!</v>
      </c>
      <c r="AI173" s="653"/>
      <c r="AJ173" s="483"/>
      <c r="AK173" s="491"/>
      <c r="AL173" s="491"/>
      <c r="AM173" s="483"/>
      <c r="AN173" s="653"/>
      <c r="AO173" s="483"/>
      <c r="AP173" s="491"/>
      <c r="AQ173" s="491"/>
      <c r="AR173" s="483"/>
      <c r="AS173" s="653"/>
      <c r="AT173" s="483"/>
      <c r="AU173" s="491"/>
      <c r="AV173" s="491"/>
      <c r="AW173" s="483"/>
      <c r="AX173" s="653"/>
      <c r="AZ173" s="377" t="e">
        <f t="shared" si="44"/>
        <v>#N/A</v>
      </c>
      <c r="BA173" s="653"/>
    </row>
    <row r="174" spans="2:53">
      <c r="B174" s="635"/>
      <c r="C174" s="483">
        <v>28</v>
      </c>
      <c r="D174" s="223"/>
      <c r="E174" s="491"/>
      <c r="F174" s="483"/>
      <c r="G174" s="484"/>
      <c r="H174" s="678"/>
      <c r="I174" s="487" t="str">
        <f t="shared" si="39"/>
        <v>-</v>
      </c>
      <c r="J174" s="487" t="str">
        <f t="shared" si="39"/>
        <v>-</v>
      </c>
      <c r="K174" s="363" t="str">
        <f t="shared" si="39"/>
        <v>-</v>
      </c>
      <c r="L174" s="615"/>
      <c r="M174" s="487" t="e">
        <f>RANK(K174, K$147:$K$176)</f>
        <v>#VALUE!</v>
      </c>
      <c r="N174" s="624"/>
      <c r="O174" s="624"/>
      <c r="P174" s="540" t="s">
        <v>427</v>
      </c>
      <c r="Q174" s="541" t="s">
        <v>427</v>
      </c>
      <c r="R174" s="541" t="s">
        <v>427</v>
      </c>
      <c r="S174" s="540" t="e">
        <f t="shared" si="40"/>
        <v>#VALUE!</v>
      </c>
      <c r="T174" s="653"/>
      <c r="U174" s="540" t="s">
        <v>427</v>
      </c>
      <c r="V174" s="541" t="s">
        <v>427</v>
      </c>
      <c r="W174" s="541" t="s">
        <v>427</v>
      </c>
      <c r="X174" s="540" t="e">
        <f t="shared" si="41"/>
        <v>#VALUE!</v>
      </c>
      <c r="Y174" s="653"/>
      <c r="Z174" s="540" t="s">
        <v>427</v>
      </c>
      <c r="AA174" s="541" t="s">
        <v>427</v>
      </c>
      <c r="AB174" s="541" t="s">
        <v>427</v>
      </c>
      <c r="AC174" s="540" t="e">
        <f t="shared" si="42"/>
        <v>#VALUE!</v>
      </c>
      <c r="AD174" s="653"/>
      <c r="AE174" s="540" t="s">
        <v>427</v>
      </c>
      <c r="AF174" s="541" t="s">
        <v>427</v>
      </c>
      <c r="AG174" s="541" t="s">
        <v>427</v>
      </c>
      <c r="AH174" s="540" t="e">
        <f t="shared" si="43"/>
        <v>#VALUE!</v>
      </c>
      <c r="AI174" s="653"/>
      <c r="AJ174" s="483"/>
      <c r="AK174" s="491"/>
      <c r="AL174" s="491"/>
      <c r="AM174" s="483"/>
      <c r="AN174" s="653"/>
      <c r="AO174" s="483"/>
      <c r="AP174" s="491"/>
      <c r="AQ174" s="491"/>
      <c r="AR174" s="483"/>
      <c r="AS174" s="653"/>
      <c r="AT174" s="483"/>
      <c r="AU174" s="491"/>
      <c r="AV174" s="491"/>
      <c r="AW174" s="483"/>
      <c r="AX174" s="653"/>
      <c r="AZ174" s="377" t="e">
        <f t="shared" si="44"/>
        <v>#N/A</v>
      </c>
      <c r="BA174" s="653"/>
    </row>
    <row r="175" spans="2:53">
      <c r="B175" s="635"/>
      <c r="C175" s="483">
        <v>29</v>
      </c>
      <c r="D175" s="223"/>
      <c r="E175" s="491"/>
      <c r="F175" s="483"/>
      <c r="G175" s="484"/>
      <c r="H175" s="678"/>
      <c r="I175" s="487" t="str">
        <f t="shared" si="39"/>
        <v>-</v>
      </c>
      <c r="J175" s="487" t="str">
        <f t="shared" si="39"/>
        <v>-</v>
      </c>
      <c r="K175" s="363" t="str">
        <f t="shared" si="39"/>
        <v>-</v>
      </c>
      <c r="L175" s="615"/>
      <c r="M175" s="487" t="e">
        <f>RANK(K175, K$147:$K$176)</f>
        <v>#VALUE!</v>
      </c>
      <c r="N175" s="624"/>
      <c r="O175" s="624"/>
      <c r="P175" s="540" t="s">
        <v>427</v>
      </c>
      <c r="Q175" s="541" t="s">
        <v>427</v>
      </c>
      <c r="R175" s="541" t="s">
        <v>427</v>
      </c>
      <c r="S175" s="540" t="e">
        <f t="shared" si="40"/>
        <v>#VALUE!</v>
      </c>
      <c r="T175" s="653"/>
      <c r="U175" s="540" t="s">
        <v>427</v>
      </c>
      <c r="V175" s="541" t="s">
        <v>427</v>
      </c>
      <c r="W175" s="541" t="s">
        <v>427</v>
      </c>
      <c r="X175" s="540" t="e">
        <f t="shared" si="41"/>
        <v>#VALUE!</v>
      </c>
      <c r="Y175" s="653"/>
      <c r="Z175" s="540" t="s">
        <v>427</v>
      </c>
      <c r="AA175" s="541" t="s">
        <v>427</v>
      </c>
      <c r="AB175" s="541" t="s">
        <v>427</v>
      </c>
      <c r="AC175" s="540" t="e">
        <f t="shared" si="42"/>
        <v>#VALUE!</v>
      </c>
      <c r="AD175" s="653"/>
      <c r="AE175" s="540" t="s">
        <v>427</v>
      </c>
      <c r="AF175" s="541" t="s">
        <v>427</v>
      </c>
      <c r="AG175" s="541" t="s">
        <v>427</v>
      </c>
      <c r="AH175" s="540" t="e">
        <f t="shared" si="43"/>
        <v>#VALUE!</v>
      </c>
      <c r="AI175" s="653"/>
      <c r="AJ175" s="483"/>
      <c r="AK175" s="491"/>
      <c r="AL175" s="491"/>
      <c r="AM175" s="483"/>
      <c r="AN175" s="653"/>
      <c r="AO175" s="483"/>
      <c r="AP175" s="491"/>
      <c r="AQ175" s="491"/>
      <c r="AR175" s="483"/>
      <c r="AS175" s="653"/>
      <c r="AT175" s="483"/>
      <c r="AU175" s="491"/>
      <c r="AV175" s="491"/>
      <c r="AW175" s="483"/>
      <c r="AX175" s="653"/>
      <c r="AZ175" s="377" t="e">
        <f t="shared" si="44"/>
        <v>#N/A</v>
      </c>
      <c r="BA175" s="653"/>
    </row>
    <row r="176" spans="2:53">
      <c r="B176" s="635"/>
      <c r="C176" s="483">
        <v>30</v>
      </c>
      <c r="D176" s="223"/>
      <c r="E176" s="491"/>
      <c r="F176" s="483"/>
      <c r="G176" s="484"/>
      <c r="H176" s="679"/>
      <c r="I176" s="487" t="str">
        <f t="shared" si="39"/>
        <v>-</v>
      </c>
      <c r="J176" s="487" t="str">
        <f t="shared" si="39"/>
        <v>-</v>
      </c>
      <c r="K176" s="363" t="str">
        <f t="shared" si="39"/>
        <v>-</v>
      </c>
      <c r="L176" s="616"/>
      <c r="M176" s="487" t="e">
        <f>RANK(K176, K$147:$K$176)</f>
        <v>#VALUE!</v>
      </c>
      <c r="N176" s="624"/>
      <c r="O176" s="624"/>
      <c r="P176" s="540" t="s">
        <v>427</v>
      </c>
      <c r="Q176" s="541" t="s">
        <v>427</v>
      </c>
      <c r="R176" s="541" t="s">
        <v>427</v>
      </c>
      <c r="S176" s="540" t="e">
        <f t="shared" si="40"/>
        <v>#VALUE!</v>
      </c>
      <c r="T176" s="653"/>
      <c r="U176" s="540" t="s">
        <v>427</v>
      </c>
      <c r="V176" s="541" t="s">
        <v>427</v>
      </c>
      <c r="W176" s="541" t="s">
        <v>427</v>
      </c>
      <c r="X176" s="540" t="e">
        <f t="shared" si="41"/>
        <v>#VALUE!</v>
      </c>
      <c r="Y176" s="653"/>
      <c r="Z176" s="540" t="s">
        <v>427</v>
      </c>
      <c r="AA176" s="541" t="s">
        <v>427</v>
      </c>
      <c r="AB176" s="541" t="s">
        <v>427</v>
      </c>
      <c r="AC176" s="540" t="e">
        <f t="shared" si="42"/>
        <v>#VALUE!</v>
      </c>
      <c r="AD176" s="653"/>
      <c r="AE176" s="540" t="s">
        <v>427</v>
      </c>
      <c r="AF176" s="541" t="s">
        <v>427</v>
      </c>
      <c r="AG176" s="541" t="s">
        <v>427</v>
      </c>
      <c r="AH176" s="540" t="e">
        <f t="shared" si="43"/>
        <v>#VALUE!</v>
      </c>
      <c r="AI176" s="653"/>
      <c r="AJ176" s="483"/>
      <c r="AK176" s="491"/>
      <c r="AL176" s="491"/>
      <c r="AM176" s="483"/>
      <c r="AN176" s="653"/>
      <c r="AO176" s="483"/>
      <c r="AP176" s="491"/>
      <c r="AQ176" s="491"/>
      <c r="AR176" s="483"/>
      <c r="AS176" s="653"/>
      <c r="AT176" s="483"/>
      <c r="AU176" s="491"/>
      <c r="AV176" s="491"/>
      <c r="AW176" s="483"/>
      <c r="AX176" s="653"/>
      <c r="AZ176" s="377" t="e">
        <f t="shared" si="44"/>
        <v>#N/A</v>
      </c>
      <c r="BA176" s="653"/>
    </row>
    <row r="177" spans="2:53" ht="15.75">
      <c r="B177" s="643" t="s">
        <v>496</v>
      </c>
      <c r="C177" s="644"/>
      <c r="D177" s="644"/>
      <c r="E177" s="644"/>
      <c r="F177" s="644"/>
      <c r="G177" s="644"/>
      <c r="H177" s="645"/>
      <c r="I177" s="205"/>
      <c r="J177" s="205"/>
      <c r="K177" s="205"/>
      <c r="L177" s="205"/>
      <c r="M177" s="204"/>
      <c r="N177" s="639" t="s">
        <v>497</v>
      </c>
      <c r="O177" s="639" t="s">
        <v>498</v>
      </c>
      <c r="P177" s="624" t="s">
        <v>427</v>
      </c>
      <c r="Q177" s="642" t="s">
        <v>427</v>
      </c>
      <c r="R177" s="642" t="s">
        <v>427</v>
      </c>
      <c r="S177" s="635"/>
      <c r="T177" s="653"/>
      <c r="U177" s="624" t="s">
        <v>427</v>
      </c>
      <c r="V177" s="642" t="s">
        <v>427</v>
      </c>
      <c r="W177" s="642" t="s">
        <v>427</v>
      </c>
      <c r="X177" s="635"/>
      <c r="Y177" s="653"/>
      <c r="Z177" s="624" t="s">
        <v>427</v>
      </c>
      <c r="AA177" s="642" t="s">
        <v>427</v>
      </c>
      <c r="AB177" s="642" t="s">
        <v>427</v>
      </c>
      <c r="AC177" s="635"/>
      <c r="AD177" s="653"/>
      <c r="AE177" s="624" t="s">
        <v>427</v>
      </c>
      <c r="AF177" s="642" t="s">
        <v>427</v>
      </c>
      <c r="AG177" s="642" t="s">
        <v>427</v>
      </c>
      <c r="AH177" s="635"/>
      <c r="AI177" s="653"/>
      <c r="AJ177" s="634"/>
      <c r="AK177" s="635"/>
      <c r="AL177" s="635"/>
      <c r="AM177" s="635"/>
      <c r="AN177" s="635"/>
      <c r="AO177" s="634"/>
      <c r="AP177" s="635"/>
      <c r="AQ177" s="635"/>
      <c r="AR177" s="635"/>
      <c r="AS177" s="635"/>
      <c r="AT177" s="634"/>
      <c r="AU177" s="635"/>
      <c r="AV177" s="635"/>
      <c r="AW177" s="635"/>
      <c r="AX177" s="635"/>
    </row>
    <row r="178" spans="2:53" ht="15.75">
      <c r="B178" s="646"/>
      <c r="C178" s="646"/>
      <c r="D178" s="646"/>
      <c r="E178" s="646"/>
      <c r="F178" s="646"/>
      <c r="G178" s="646"/>
      <c r="H178" s="646"/>
      <c r="I178" s="202"/>
      <c r="J178" s="202"/>
      <c r="K178" s="202"/>
      <c r="L178" s="202"/>
      <c r="M178" s="203"/>
      <c r="N178" s="641"/>
      <c r="O178" s="641"/>
      <c r="P178" s="624" t="s">
        <v>427</v>
      </c>
      <c r="Q178" s="642" t="s">
        <v>427</v>
      </c>
      <c r="R178" s="642" t="s">
        <v>427</v>
      </c>
      <c r="S178" s="635"/>
      <c r="T178" s="653"/>
      <c r="U178" s="624" t="s">
        <v>427</v>
      </c>
      <c r="V178" s="642" t="s">
        <v>427</v>
      </c>
      <c r="W178" s="642" t="s">
        <v>427</v>
      </c>
      <c r="X178" s="635"/>
      <c r="Y178" s="653"/>
      <c r="Z178" s="624" t="s">
        <v>427</v>
      </c>
      <c r="AA178" s="642" t="s">
        <v>427</v>
      </c>
      <c r="AB178" s="642" t="s">
        <v>427</v>
      </c>
      <c r="AC178" s="635"/>
      <c r="AD178" s="653"/>
      <c r="AE178" s="624" t="s">
        <v>427</v>
      </c>
      <c r="AF178" s="642" t="s">
        <v>427</v>
      </c>
      <c r="AG178" s="642" t="s">
        <v>427</v>
      </c>
      <c r="AH178" s="635"/>
      <c r="AI178" s="653"/>
      <c r="AJ178" s="634" t="s">
        <v>503</v>
      </c>
      <c r="AK178" s="635"/>
      <c r="AL178" s="635"/>
      <c r="AM178" s="635"/>
      <c r="AN178" s="635"/>
      <c r="AO178" s="634" t="s">
        <v>504</v>
      </c>
      <c r="AP178" s="635"/>
      <c r="AQ178" s="635"/>
      <c r="AR178" s="635"/>
      <c r="AS178" s="635"/>
      <c r="AT178" s="634" t="s">
        <v>505</v>
      </c>
      <c r="AU178" s="635"/>
      <c r="AV178" s="635"/>
      <c r="AW178" s="635"/>
      <c r="AX178" s="635"/>
    </row>
    <row r="179" spans="2:53">
      <c r="B179" s="624" t="s">
        <v>506</v>
      </c>
      <c r="C179" s="624" t="s">
        <v>507</v>
      </c>
      <c r="D179" s="624"/>
      <c r="E179" s="624" t="s">
        <v>508</v>
      </c>
      <c r="F179" s="624"/>
      <c r="G179" s="624"/>
      <c r="H179" s="647" t="s">
        <v>509</v>
      </c>
      <c r="I179" s="617" t="s">
        <v>510</v>
      </c>
      <c r="J179" s="617"/>
      <c r="K179" s="617"/>
      <c r="L179" s="618" t="s">
        <v>509</v>
      </c>
      <c r="M179" s="628" t="s">
        <v>511</v>
      </c>
      <c r="N179" s="624"/>
      <c r="O179" s="624" t="s">
        <v>512</v>
      </c>
      <c r="P179" s="621" t="s">
        <v>513</v>
      </c>
      <c r="Q179" s="622"/>
      <c r="R179" s="622"/>
      <c r="S179" s="623"/>
      <c r="T179" s="624" t="s">
        <v>509</v>
      </c>
      <c r="U179" s="621" t="s">
        <v>513</v>
      </c>
      <c r="V179" s="622"/>
      <c r="W179" s="622"/>
      <c r="X179" s="623"/>
      <c r="Y179" s="624" t="s">
        <v>509</v>
      </c>
      <c r="Z179" s="621" t="s">
        <v>513</v>
      </c>
      <c r="AA179" s="622"/>
      <c r="AB179" s="622"/>
      <c r="AC179" s="623"/>
      <c r="AD179" s="624" t="s">
        <v>509</v>
      </c>
      <c r="AE179" s="621" t="s">
        <v>513</v>
      </c>
      <c r="AF179" s="622"/>
      <c r="AG179" s="622"/>
      <c r="AH179" s="623"/>
      <c r="AI179" s="624" t="s">
        <v>509</v>
      </c>
      <c r="AJ179" s="621" t="s">
        <v>513</v>
      </c>
      <c r="AK179" s="622"/>
      <c r="AL179" s="622"/>
      <c r="AM179" s="623"/>
      <c r="AN179" s="624" t="s">
        <v>509</v>
      </c>
      <c r="AO179" s="621" t="s">
        <v>513</v>
      </c>
      <c r="AP179" s="622"/>
      <c r="AQ179" s="622"/>
      <c r="AR179" s="623"/>
      <c r="AS179" s="624" t="s">
        <v>509</v>
      </c>
      <c r="AT179" s="621" t="s">
        <v>513</v>
      </c>
      <c r="AU179" s="622"/>
      <c r="AV179" s="622"/>
      <c r="AW179" s="623"/>
      <c r="AX179" s="624" t="s">
        <v>509</v>
      </c>
    </row>
    <row r="180" spans="2:53">
      <c r="B180" s="624"/>
      <c r="C180" s="624"/>
      <c r="D180" s="624"/>
      <c r="E180" s="624" t="s">
        <v>514</v>
      </c>
      <c r="F180" s="624"/>
      <c r="G180" s="624"/>
      <c r="H180" s="648"/>
      <c r="I180" s="617" t="s">
        <v>514</v>
      </c>
      <c r="J180" s="617"/>
      <c r="K180" s="617"/>
      <c r="L180" s="619"/>
      <c r="M180" s="629"/>
      <c r="N180" s="624"/>
      <c r="O180" s="624"/>
      <c r="P180" s="621" t="s">
        <v>515</v>
      </c>
      <c r="Q180" s="622"/>
      <c r="R180" s="622"/>
      <c r="S180" s="623"/>
      <c r="T180" s="624"/>
      <c r="U180" s="621" t="s">
        <v>515</v>
      </c>
      <c r="V180" s="622"/>
      <c r="W180" s="622"/>
      <c r="X180" s="623"/>
      <c r="Y180" s="624"/>
      <c r="Z180" s="621" t="s">
        <v>515</v>
      </c>
      <c r="AA180" s="622"/>
      <c r="AB180" s="622"/>
      <c r="AC180" s="623"/>
      <c r="AD180" s="624"/>
      <c r="AE180" s="621" t="s">
        <v>515</v>
      </c>
      <c r="AF180" s="622"/>
      <c r="AG180" s="622"/>
      <c r="AH180" s="623"/>
      <c r="AI180" s="624"/>
      <c r="AJ180" s="621" t="s">
        <v>515</v>
      </c>
      <c r="AK180" s="622"/>
      <c r="AL180" s="622"/>
      <c r="AM180" s="623"/>
      <c r="AN180" s="624"/>
      <c r="AO180" s="621" t="s">
        <v>515</v>
      </c>
      <c r="AP180" s="622"/>
      <c r="AQ180" s="622"/>
      <c r="AR180" s="623"/>
      <c r="AS180" s="624"/>
      <c r="AT180" s="621" t="s">
        <v>515</v>
      </c>
      <c r="AU180" s="622"/>
      <c r="AV180" s="622"/>
      <c r="AW180" s="623"/>
      <c r="AX180" s="624"/>
    </row>
    <row r="181" spans="2:53">
      <c r="B181" s="624"/>
      <c r="C181" s="624"/>
      <c r="D181" s="624"/>
      <c r="E181" s="353" t="s">
        <v>516</v>
      </c>
      <c r="F181" s="353" t="s">
        <v>517</v>
      </c>
      <c r="G181" s="353" t="s">
        <v>518</v>
      </c>
      <c r="H181" s="649"/>
      <c r="I181" s="352" t="s">
        <v>516</v>
      </c>
      <c r="J181" s="352" t="s">
        <v>517</v>
      </c>
      <c r="K181" s="352" t="s">
        <v>518</v>
      </c>
      <c r="L181" s="620"/>
      <c r="M181" s="630"/>
      <c r="N181" s="624"/>
      <c r="O181" s="624"/>
      <c r="P181" s="353" t="s">
        <v>516</v>
      </c>
      <c r="Q181" s="353" t="s">
        <v>517</v>
      </c>
      <c r="R181" s="353" t="s">
        <v>518</v>
      </c>
      <c r="S181" s="353" t="s">
        <v>511</v>
      </c>
      <c r="T181" s="624"/>
      <c r="U181" s="353" t="s">
        <v>516</v>
      </c>
      <c r="V181" s="353" t="s">
        <v>517</v>
      </c>
      <c r="W181" s="353" t="s">
        <v>518</v>
      </c>
      <c r="X181" s="353" t="s">
        <v>511</v>
      </c>
      <c r="Y181" s="624"/>
      <c r="Z181" s="353" t="s">
        <v>516</v>
      </c>
      <c r="AA181" s="353" t="s">
        <v>517</v>
      </c>
      <c r="AB181" s="353" t="s">
        <v>518</v>
      </c>
      <c r="AC181" s="353" t="s">
        <v>511</v>
      </c>
      <c r="AD181" s="624"/>
      <c r="AE181" s="353" t="s">
        <v>516</v>
      </c>
      <c r="AF181" s="353" t="s">
        <v>517</v>
      </c>
      <c r="AG181" s="353" t="s">
        <v>518</v>
      </c>
      <c r="AH181" s="353" t="s">
        <v>511</v>
      </c>
      <c r="AI181" s="624"/>
      <c r="AJ181" s="353" t="s">
        <v>516</v>
      </c>
      <c r="AK181" s="353" t="s">
        <v>517</v>
      </c>
      <c r="AL181" s="353" t="s">
        <v>518</v>
      </c>
      <c r="AM181" s="353" t="s">
        <v>511</v>
      </c>
      <c r="AN181" s="624"/>
      <c r="AO181" s="353" t="s">
        <v>516</v>
      </c>
      <c r="AP181" s="353" t="s">
        <v>517</v>
      </c>
      <c r="AQ181" s="353" t="s">
        <v>518</v>
      </c>
      <c r="AR181" s="353" t="s">
        <v>511</v>
      </c>
      <c r="AS181" s="624"/>
      <c r="AT181" s="353" t="s">
        <v>516</v>
      </c>
      <c r="AU181" s="353" t="s">
        <v>517</v>
      </c>
      <c r="AV181" s="353" t="s">
        <v>518</v>
      </c>
      <c r="AW181" s="353" t="s">
        <v>511</v>
      </c>
      <c r="AX181" s="624"/>
    </row>
    <row r="182" spans="2:53">
      <c r="B182" s="624" t="s">
        <v>526</v>
      </c>
      <c r="C182" s="354">
        <v>1</v>
      </c>
      <c r="D182" s="223"/>
      <c r="E182" s="182"/>
      <c r="F182" s="354"/>
      <c r="G182" s="362"/>
      <c r="H182" s="677" t="e">
        <f>AVERAGE(G182:G211)</f>
        <v>#DIV/0!</v>
      </c>
      <c r="I182" s="379" t="str">
        <f>IFERROR(AVERAGE(P182,U182,Z182,AE182,AJ182,AO182,AT182),"-")</f>
        <v>-</v>
      </c>
      <c r="J182" s="379" t="str">
        <f>IFERROR(AVERAGE(Q182,V182,AA182,AF182,AK182,AP182,AU182),"-")</f>
        <v>-</v>
      </c>
      <c r="K182" s="363" t="str">
        <f>IFERROR(AVERAGE(R182,W182,AB182,AG182,AL182,AQ182,AV182),"-")</f>
        <v>-</v>
      </c>
      <c r="L182" s="614" t="str">
        <f>IFERROR(AVERAGE(K182:K211),"-")</f>
        <v>-</v>
      </c>
      <c r="M182" s="364" t="e">
        <f>RANK(K182, K$147:$K$176)</f>
        <v>#VALUE!</v>
      </c>
      <c r="N182" s="624"/>
      <c r="O182" s="624"/>
      <c r="P182" s="182"/>
      <c r="Q182" s="182"/>
      <c r="R182" s="182"/>
      <c r="S182" s="354" t="e">
        <f>RANK(R182, R$182:R$211)</f>
        <v>#N/A</v>
      </c>
      <c r="T182" s="653" t="e">
        <f>AVERAGE(R182:R211)</f>
        <v>#DIV/0!</v>
      </c>
      <c r="U182" s="182"/>
      <c r="V182" s="182"/>
      <c r="W182" s="182"/>
      <c r="X182" s="354" t="e">
        <f>RANK(W182, W$182:W$211)</f>
        <v>#N/A</v>
      </c>
      <c r="Y182" s="653" t="e">
        <f>AVERAGE(W182:W211)</f>
        <v>#DIV/0!</v>
      </c>
      <c r="Z182" s="182"/>
      <c r="AA182" s="182"/>
      <c r="AB182" s="182"/>
      <c r="AC182" s="354" t="e">
        <f>RANK(AB182, AB$182:AB$211)</f>
        <v>#N/A</v>
      </c>
      <c r="AD182" s="653" t="e">
        <f>AVERAGE(AB182:AB211)</f>
        <v>#DIV/0!</v>
      </c>
      <c r="AE182" s="182"/>
      <c r="AF182" s="182"/>
      <c r="AG182" s="182"/>
      <c r="AH182" s="354" t="e">
        <f>RANK(AG182, AG$182:AG$211)</f>
        <v>#N/A</v>
      </c>
      <c r="AI182" s="653" t="e">
        <f>AVERAGE(AG182:AG211)</f>
        <v>#DIV/0!</v>
      </c>
      <c r="AJ182" s="182"/>
      <c r="AK182" s="182"/>
      <c r="AL182" s="182"/>
      <c r="AM182" s="354" t="e">
        <f>RANK(AL182, AL$182:AL$211)</f>
        <v>#N/A</v>
      </c>
      <c r="AN182" s="653" t="e">
        <f>AVERAGE(AL182:AL211)</f>
        <v>#DIV/0!</v>
      </c>
      <c r="AO182" s="182"/>
      <c r="AP182" s="182"/>
      <c r="AQ182" s="182"/>
      <c r="AR182" s="354" t="e">
        <f>RANK(AQ182, AQ$182:AQ$211)</f>
        <v>#N/A</v>
      </c>
      <c r="AS182" s="653" t="e">
        <f>AVERAGE(AQ182:AQ211)</f>
        <v>#DIV/0!</v>
      </c>
      <c r="AT182" s="182"/>
      <c r="AU182" s="182"/>
      <c r="AV182" s="182"/>
      <c r="AW182" s="354" t="e">
        <f>RANK(AV182, AV$182:AV$211)</f>
        <v>#N/A</v>
      </c>
      <c r="AX182" s="653" t="e">
        <f>AVERAGE(AV182:AV211)</f>
        <v>#DIV/0!</v>
      </c>
      <c r="AZ182" s="377" t="e">
        <f>RANK(AY182, AY$182:AY$211)</f>
        <v>#N/A</v>
      </c>
      <c r="BA182" s="653" t="e">
        <f>AVERAGE(AY182:AY211)</f>
        <v>#DIV/0!</v>
      </c>
    </row>
    <row r="183" spans="2:53">
      <c r="B183" s="635"/>
      <c r="C183" s="354">
        <v>2</v>
      </c>
      <c r="D183" s="223"/>
      <c r="E183" s="182"/>
      <c r="F183" s="354"/>
      <c r="G183" s="362"/>
      <c r="H183" s="678"/>
      <c r="I183" s="379" t="str">
        <f t="shared" ref="I183:K211" si="45">IFERROR(AVERAGE(P183,U183,Z183,AE183,AJ183,AO183,AT183),"-")</f>
        <v>-</v>
      </c>
      <c r="J183" s="379" t="str">
        <f t="shared" si="45"/>
        <v>-</v>
      </c>
      <c r="K183" s="363" t="str">
        <f t="shared" si="45"/>
        <v>-</v>
      </c>
      <c r="L183" s="615"/>
      <c r="M183" s="364" t="e">
        <f>RANK(K183, K$147:$K$176)</f>
        <v>#VALUE!</v>
      </c>
      <c r="N183" s="624"/>
      <c r="O183" s="624"/>
      <c r="P183" s="182"/>
      <c r="Q183" s="182"/>
      <c r="R183" s="182"/>
      <c r="S183" s="354" t="e">
        <f t="shared" ref="S183:S211" si="46">RANK(R183, R$182:R$211)</f>
        <v>#N/A</v>
      </c>
      <c r="T183" s="653"/>
      <c r="U183" s="182"/>
      <c r="V183" s="182"/>
      <c r="W183" s="182"/>
      <c r="X183" s="354" t="e">
        <f t="shared" ref="X183:X211" si="47">RANK(W183, W$182:W$211)</f>
        <v>#N/A</v>
      </c>
      <c r="Y183" s="653"/>
      <c r="Z183" s="182"/>
      <c r="AA183" s="182"/>
      <c r="AB183" s="182"/>
      <c r="AC183" s="354" t="e">
        <f t="shared" ref="AC183:AC211" si="48">RANK(AB183, AB$182:AB$211)</f>
        <v>#N/A</v>
      </c>
      <c r="AD183" s="653"/>
      <c r="AE183" s="182"/>
      <c r="AF183" s="182"/>
      <c r="AG183" s="182"/>
      <c r="AH183" s="354" t="e">
        <f t="shared" ref="AH183:AH211" si="49">RANK(AG183, AG$182:AG$211)</f>
        <v>#N/A</v>
      </c>
      <c r="AI183" s="653"/>
      <c r="AJ183" s="182"/>
      <c r="AK183" s="182"/>
      <c r="AL183" s="182"/>
      <c r="AM183" s="354" t="e">
        <f t="shared" ref="AM183:AM211" si="50">RANK(AL183, AL$182:AL$211)</f>
        <v>#N/A</v>
      </c>
      <c r="AN183" s="653"/>
      <c r="AO183" s="182"/>
      <c r="AP183" s="182"/>
      <c r="AQ183" s="182"/>
      <c r="AR183" s="354" t="e">
        <f t="shared" ref="AR183:AR211" si="51">RANK(AQ183, AQ$182:AQ$211)</f>
        <v>#N/A</v>
      </c>
      <c r="AS183" s="653"/>
      <c r="AT183" s="182"/>
      <c r="AU183" s="182"/>
      <c r="AV183" s="182"/>
      <c r="AW183" s="354" t="e">
        <f t="shared" ref="AW183:AW211" si="52">RANK(AV183, AV$182:AV$211)</f>
        <v>#N/A</v>
      </c>
      <c r="AX183" s="653"/>
      <c r="AZ183" s="377" t="e">
        <f t="shared" ref="AZ183:AZ211" si="53">RANK(AY183, AY$182:AY$211)</f>
        <v>#N/A</v>
      </c>
      <c r="BA183" s="653"/>
    </row>
    <row r="184" spans="2:53">
      <c r="B184" s="635"/>
      <c r="C184" s="354">
        <v>3</v>
      </c>
      <c r="D184" s="223"/>
      <c r="E184" s="182"/>
      <c r="F184" s="354"/>
      <c r="G184" s="362"/>
      <c r="H184" s="678"/>
      <c r="I184" s="379" t="str">
        <f t="shared" si="45"/>
        <v>-</v>
      </c>
      <c r="J184" s="379" t="str">
        <f t="shared" si="45"/>
        <v>-</v>
      </c>
      <c r="K184" s="363" t="str">
        <f t="shared" si="45"/>
        <v>-</v>
      </c>
      <c r="L184" s="615"/>
      <c r="M184" s="364" t="e">
        <f>RANK(K184, K$147:$K$176)</f>
        <v>#VALUE!</v>
      </c>
      <c r="N184" s="624"/>
      <c r="O184" s="624"/>
      <c r="P184" s="182"/>
      <c r="Q184" s="182"/>
      <c r="R184" s="182"/>
      <c r="S184" s="354" t="e">
        <f t="shared" si="46"/>
        <v>#N/A</v>
      </c>
      <c r="T184" s="653"/>
      <c r="U184" s="182"/>
      <c r="V184" s="182"/>
      <c r="W184" s="182"/>
      <c r="X184" s="354" t="e">
        <f t="shared" si="47"/>
        <v>#N/A</v>
      </c>
      <c r="Y184" s="653"/>
      <c r="Z184" s="182"/>
      <c r="AA184" s="182"/>
      <c r="AB184" s="182"/>
      <c r="AC184" s="354" t="e">
        <f t="shared" si="48"/>
        <v>#N/A</v>
      </c>
      <c r="AD184" s="653"/>
      <c r="AE184" s="182"/>
      <c r="AF184" s="182"/>
      <c r="AG184" s="182"/>
      <c r="AH184" s="354" t="e">
        <f t="shared" si="49"/>
        <v>#N/A</v>
      </c>
      <c r="AI184" s="653"/>
      <c r="AJ184" s="182"/>
      <c r="AK184" s="182"/>
      <c r="AL184" s="182"/>
      <c r="AM184" s="354" t="e">
        <f t="shared" si="50"/>
        <v>#N/A</v>
      </c>
      <c r="AN184" s="653"/>
      <c r="AO184" s="182"/>
      <c r="AP184" s="182"/>
      <c r="AQ184" s="182"/>
      <c r="AR184" s="354" t="e">
        <f t="shared" si="51"/>
        <v>#N/A</v>
      </c>
      <c r="AS184" s="653"/>
      <c r="AT184" s="182"/>
      <c r="AU184" s="182"/>
      <c r="AV184" s="182"/>
      <c r="AW184" s="354" t="e">
        <f t="shared" si="52"/>
        <v>#N/A</v>
      </c>
      <c r="AX184" s="653"/>
      <c r="AZ184" s="377" t="e">
        <f t="shared" si="53"/>
        <v>#N/A</v>
      </c>
      <c r="BA184" s="653"/>
    </row>
    <row r="185" spans="2:53">
      <c r="B185" s="635"/>
      <c r="C185" s="354">
        <v>4</v>
      </c>
      <c r="D185" s="223"/>
      <c r="E185" s="182"/>
      <c r="F185" s="354"/>
      <c r="G185" s="362"/>
      <c r="H185" s="678"/>
      <c r="I185" s="379" t="str">
        <f t="shared" si="45"/>
        <v>-</v>
      </c>
      <c r="J185" s="379" t="str">
        <f t="shared" si="45"/>
        <v>-</v>
      </c>
      <c r="K185" s="363" t="str">
        <f t="shared" si="45"/>
        <v>-</v>
      </c>
      <c r="L185" s="615"/>
      <c r="M185" s="364" t="e">
        <f>RANK(K185, K$147:$K$176)</f>
        <v>#VALUE!</v>
      </c>
      <c r="N185" s="624"/>
      <c r="O185" s="624"/>
      <c r="P185" s="182"/>
      <c r="Q185" s="182"/>
      <c r="R185" s="182"/>
      <c r="S185" s="354" t="e">
        <f t="shared" si="46"/>
        <v>#N/A</v>
      </c>
      <c r="T185" s="653"/>
      <c r="U185" s="182"/>
      <c r="V185" s="182"/>
      <c r="W185" s="182"/>
      <c r="X185" s="354" t="e">
        <f t="shared" si="47"/>
        <v>#N/A</v>
      </c>
      <c r="Y185" s="653"/>
      <c r="Z185" s="182"/>
      <c r="AA185" s="182"/>
      <c r="AB185" s="182"/>
      <c r="AC185" s="354" t="e">
        <f t="shared" si="48"/>
        <v>#N/A</v>
      </c>
      <c r="AD185" s="653"/>
      <c r="AE185" s="182"/>
      <c r="AF185" s="182"/>
      <c r="AG185" s="182"/>
      <c r="AH185" s="354" t="e">
        <f t="shared" si="49"/>
        <v>#N/A</v>
      </c>
      <c r="AI185" s="653"/>
      <c r="AJ185" s="182"/>
      <c r="AK185" s="182"/>
      <c r="AL185" s="182"/>
      <c r="AM185" s="354" t="e">
        <f t="shared" si="50"/>
        <v>#N/A</v>
      </c>
      <c r="AN185" s="653"/>
      <c r="AO185" s="182"/>
      <c r="AP185" s="182"/>
      <c r="AQ185" s="182"/>
      <c r="AR185" s="354" t="e">
        <f t="shared" si="51"/>
        <v>#N/A</v>
      </c>
      <c r="AS185" s="653"/>
      <c r="AT185" s="182"/>
      <c r="AU185" s="182"/>
      <c r="AV185" s="182"/>
      <c r="AW185" s="354" t="e">
        <f t="shared" si="52"/>
        <v>#N/A</v>
      </c>
      <c r="AX185" s="653"/>
      <c r="AZ185" s="377" t="e">
        <f t="shared" si="53"/>
        <v>#N/A</v>
      </c>
      <c r="BA185" s="653"/>
    </row>
    <row r="186" spans="2:53">
      <c r="B186" s="635"/>
      <c r="C186" s="354">
        <v>5</v>
      </c>
      <c r="D186" s="223"/>
      <c r="E186" s="182"/>
      <c r="F186" s="354"/>
      <c r="G186" s="362"/>
      <c r="H186" s="678"/>
      <c r="I186" s="379" t="str">
        <f t="shared" si="45"/>
        <v>-</v>
      </c>
      <c r="J186" s="379" t="str">
        <f t="shared" si="45"/>
        <v>-</v>
      </c>
      <c r="K186" s="363" t="str">
        <f t="shared" si="45"/>
        <v>-</v>
      </c>
      <c r="L186" s="615"/>
      <c r="M186" s="364" t="e">
        <f>RANK(K186, K$147:$K$176)</f>
        <v>#VALUE!</v>
      </c>
      <c r="N186" s="624"/>
      <c r="O186" s="624"/>
      <c r="P186" s="182"/>
      <c r="Q186" s="182"/>
      <c r="R186" s="182"/>
      <c r="S186" s="354" t="e">
        <f t="shared" si="46"/>
        <v>#N/A</v>
      </c>
      <c r="T186" s="653"/>
      <c r="U186" s="182"/>
      <c r="V186" s="182"/>
      <c r="W186" s="182"/>
      <c r="X186" s="354" t="e">
        <f t="shared" si="47"/>
        <v>#N/A</v>
      </c>
      <c r="Y186" s="653"/>
      <c r="Z186" s="182"/>
      <c r="AA186" s="182"/>
      <c r="AB186" s="182"/>
      <c r="AC186" s="354" t="e">
        <f t="shared" si="48"/>
        <v>#N/A</v>
      </c>
      <c r="AD186" s="653"/>
      <c r="AE186" s="182"/>
      <c r="AF186" s="182"/>
      <c r="AG186" s="182"/>
      <c r="AH186" s="354" t="e">
        <f t="shared" si="49"/>
        <v>#N/A</v>
      </c>
      <c r="AI186" s="653"/>
      <c r="AJ186" s="182"/>
      <c r="AK186" s="182"/>
      <c r="AL186" s="182"/>
      <c r="AM186" s="354" t="e">
        <f t="shared" si="50"/>
        <v>#N/A</v>
      </c>
      <c r="AN186" s="653"/>
      <c r="AO186" s="182"/>
      <c r="AP186" s="182"/>
      <c r="AQ186" s="182"/>
      <c r="AR186" s="354" t="e">
        <f t="shared" si="51"/>
        <v>#N/A</v>
      </c>
      <c r="AS186" s="653"/>
      <c r="AT186" s="182"/>
      <c r="AU186" s="182"/>
      <c r="AV186" s="182"/>
      <c r="AW186" s="354" t="e">
        <f t="shared" si="52"/>
        <v>#N/A</v>
      </c>
      <c r="AX186" s="653"/>
      <c r="AZ186" s="377" t="e">
        <f t="shared" si="53"/>
        <v>#N/A</v>
      </c>
      <c r="BA186" s="653"/>
    </row>
    <row r="187" spans="2:53">
      <c r="B187" s="635"/>
      <c r="C187" s="354">
        <v>6</v>
      </c>
      <c r="D187" s="223"/>
      <c r="E187" s="182"/>
      <c r="F187" s="354"/>
      <c r="G187" s="362"/>
      <c r="H187" s="678"/>
      <c r="I187" s="379" t="str">
        <f t="shared" si="45"/>
        <v>-</v>
      </c>
      <c r="J187" s="379" t="str">
        <f t="shared" si="45"/>
        <v>-</v>
      </c>
      <c r="K187" s="363" t="str">
        <f t="shared" si="45"/>
        <v>-</v>
      </c>
      <c r="L187" s="615"/>
      <c r="M187" s="364" t="e">
        <f>RANK(K187, K$147:$K$176)</f>
        <v>#VALUE!</v>
      </c>
      <c r="N187" s="624"/>
      <c r="O187" s="624"/>
      <c r="P187" s="182"/>
      <c r="Q187" s="182"/>
      <c r="R187" s="182"/>
      <c r="S187" s="354" t="e">
        <f t="shared" si="46"/>
        <v>#N/A</v>
      </c>
      <c r="T187" s="653"/>
      <c r="U187" s="182"/>
      <c r="V187" s="182"/>
      <c r="W187" s="182"/>
      <c r="X187" s="354" t="e">
        <f t="shared" si="47"/>
        <v>#N/A</v>
      </c>
      <c r="Y187" s="653"/>
      <c r="Z187" s="182"/>
      <c r="AA187" s="182"/>
      <c r="AB187" s="182"/>
      <c r="AC187" s="354" t="e">
        <f t="shared" si="48"/>
        <v>#N/A</v>
      </c>
      <c r="AD187" s="653"/>
      <c r="AE187" s="182"/>
      <c r="AF187" s="182"/>
      <c r="AG187" s="182"/>
      <c r="AH187" s="354" t="e">
        <f t="shared" si="49"/>
        <v>#N/A</v>
      </c>
      <c r="AI187" s="653"/>
      <c r="AJ187" s="182"/>
      <c r="AK187" s="182"/>
      <c r="AL187" s="182"/>
      <c r="AM187" s="354" t="e">
        <f t="shared" si="50"/>
        <v>#N/A</v>
      </c>
      <c r="AN187" s="653"/>
      <c r="AO187" s="182"/>
      <c r="AP187" s="182"/>
      <c r="AQ187" s="182"/>
      <c r="AR187" s="354" t="e">
        <f t="shared" si="51"/>
        <v>#N/A</v>
      </c>
      <c r="AS187" s="653"/>
      <c r="AT187" s="182"/>
      <c r="AU187" s="182"/>
      <c r="AV187" s="182"/>
      <c r="AW187" s="354" t="e">
        <f t="shared" si="52"/>
        <v>#N/A</v>
      </c>
      <c r="AX187" s="653"/>
      <c r="AZ187" s="377" t="e">
        <f t="shared" si="53"/>
        <v>#N/A</v>
      </c>
      <c r="BA187" s="653"/>
    </row>
    <row r="188" spans="2:53">
      <c r="B188" s="635"/>
      <c r="C188" s="354">
        <v>7</v>
      </c>
      <c r="D188" s="223"/>
      <c r="E188" s="182"/>
      <c r="F188" s="354"/>
      <c r="G188" s="362"/>
      <c r="H188" s="678"/>
      <c r="I188" s="379" t="str">
        <f t="shared" si="45"/>
        <v>-</v>
      </c>
      <c r="J188" s="379" t="str">
        <f t="shared" si="45"/>
        <v>-</v>
      </c>
      <c r="K188" s="363" t="str">
        <f t="shared" si="45"/>
        <v>-</v>
      </c>
      <c r="L188" s="615"/>
      <c r="M188" s="364" t="e">
        <f>RANK(K188, K$147:$K$176)</f>
        <v>#VALUE!</v>
      </c>
      <c r="N188" s="624"/>
      <c r="O188" s="624"/>
      <c r="P188" s="182"/>
      <c r="Q188" s="182"/>
      <c r="R188" s="182"/>
      <c r="S188" s="354" t="e">
        <f t="shared" si="46"/>
        <v>#N/A</v>
      </c>
      <c r="T188" s="653"/>
      <c r="U188" s="182"/>
      <c r="V188" s="182"/>
      <c r="W188" s="182"/>
      <c r="X188" s="354" t="e">
        <f t="shared" si="47"/>
        <v>#N/A</v>
      </c>
      <c r="Y188" s="653"/>
      <c r="Z188" s="182"/>
      <c r="AA188" s="182"/>
      <c r="AB188" s="182"/>
      <c r="AC188" s="354" t="e">
        <f t="shared" si="48"/>
        <v>#N/A</v>
      </c>
      <c r="AD188" s="653"/>
      <c r="AE188" s="182"/>
      <c r="AF188" s="182"/>
      <c r="AG188" s="182"/>
      <c r="AH188" s="354" t="e">
        <f t="shared" si="49"/>
        <v>#N/A</v>
      </c>
      <c r="AI188" s="653"/>
      <c r="AJ188" s="182"/>
      <c r="AK188" s="182"/>
      <c r="AL188" s="182"/>
      <c r="AM188" s="354" t="e">
        <f t="shared" si="50"/>
        <v>#N/A</v>
      </c>
      <c r="AN188" s="653"/>
      <c r="AO188" s="182"/>
      <c r="AP188" s="182"/>
      <c r="AQ188" s="182"/>
      <c r="AR188" s="354" t="e">
        <f t="shared" si="51"/>
        <v>#N/A</v>
      </c>
      <c r="AS188" s="653"/>
      <c r="AT188" s="182"/>
      <c r="AU188" s="182"/>
      <c r="AV188" s="182"/>
      <c r="AW188" s="354" t="e">
        <f t="shared" si="52"/>
        <v>#N/A</v>
      </c>
      <c r="AX188" s="653"/>
      <c r="AZ188" s="377" t="e">
        <f t="shared" si="53"/>
        <v>#N/A</v>
      </c>
      <c r="BA188" s="653"/>
    </row>
    <row r="189" spans="2:53">
      <c r="B189" s="635"/>
      <c r="C189" s="354">
        <v>8</v>
      </c>
      <c r="D189" s="223"/>
      <c r="E189" s="182"/>
      <c r="F189" s="354"/>
      <c r="G189" s="362"/>
      <c r="H189" s="678"/>
      <c r="I189" s="379" t="str">
        <f t="shared" si="45"/>
        <v>-</v>
      </c>
      <c r="J189" s="379" t="str">
        <f t="shared" si="45"/>
        <v>-</v>
      </c>
      <c r="K189" s="363" t="str">
        <f t="shared" si="45"/>
        <v>-</v>
      </c>
      <c r="L189" s="615"/>
      <c r="M189" s="364" t="e">
        <f>RANK(K189, K$147:$K$176)</f>
        <v>#VALUE!</v>
      </c>
      <c r="N189" s="624"/>
      <c r="O189" s="624"/>
      <c r="P189" s="182"/>
      <c r="Q189" s="182"/>
      <c r="R189" s="182"/>
      <c r="S189" s="354" t="e">
        <f t="shared" si="46"/>
        <v>#N/A</v>
      </c>
      <c r="T189" s="653"/>
      <c r="U189" s="182"/>
      <c r="V189" s="182"/>
      <c r="W189" s="182"/>
      <c r="X189" s="354" t="e">
        <f t="shared" si="47"/>
        <v>#N/A</v>
      </c>
      <c r="Y189" s="653"/>
      <c r="Z189" s="182"/>
      <c r="AA189" s="182"/>
      <c r="AB189" s="182"/>
      <c r="AC189" s="354" t="e">
        <f t="shared" si="48"/>
        <v>#N/A</v>
      </c>
      <c r="AD189" s="653"/>
      <c r="AE189" s="182"/>
      <c r="AF189" s="182"/>
      <c r="AG189" s="182"/>
      <c r="AH189" s="354" t="e">
        <f t="shared" si="49"/>
        <v>#N/A</v>
      </c>
      <c r="AI189" s="653"/>
      <c r="AJ189" s="182"/>
      <c r="AK189" s="182"/>
      <c r="AL189" s="182"/>
      <c r="AM189" s="354" t="e">
        <f t="shared" si="50"/>
        <v>#N/A</v>
      </c>
      <c r="AN189" s="653"/>
      <c r="AO189" s="182"/>
      <c r="AP189" s="182"/>
      <c r="AQ189" s="182"/>
      <c r="AR189" s="354" t="e">
        <f t="shared" si="51"/>
        <v>#N/A</v>
      </c>
      <c r="AS189" s="653"/>
      <c r="AT189" s="182"/>
      <c r="AU189" s="182"/>
      <c r="AV189" s="182"/>
      <c r="AW189" s="354" t="e">
        <f t="shared" si="52"/>
        <v>#N/A</v>
      </c>
      <c r="AX189" s="653"/>
      <c r="AZ189" s="377" t="e">
        <f t="shared" si="53"/>
        <v>#N/A</v>
      </c>
      <c r="BA189" s="653"/>
    </row>
    <row r="190" spans="2:53">
      <c r="B190" s="635"/>
      <c r="C190" s="354">
        <v>9</v>
      </c>
      <c r="D190" s="223"/>
      <c r="E190" s="182"/>
      <c r="F190" s="354"/>
      <c r="G190" s="362"/>
      <c r="H190" s="678"/>
      <c r="I190" s="379" t="str">
        <f t="shared" si="45"/>
        <v>-</v>
      </c>
      <c r="J190" s="379" t="str">
        <f t="shared" si="45"/>
        <v>-</v>
      </c>
      <c r="K190" s="363" t="str">
        <f t="shared" si="45"/>
        <v>-</v>
      </c>
      <c r="L190" s="615"/>
      <c r="M190" s="364" t="e">
        <f>RANK(K190, K$147:$K$176)</f>
        <v>#VALUE!</v>
      </c>
      <c r="N190" s="624"/>
      <c r="O190" s="624"/>
      <c r="P190" s="182"/>
      <c r="Q190" s="182"/>
      <c r="R190" s="182"/>
      <c r="S190" s="354" t="e">
        <f t="shared" si="46"/>
        <v>#N/A</v>
      </c>
      <c r="T190" s="653"/>
      <c r="U190" s="182"/>
      <c r="V190" s="182"/>
      <c r="W190" s="182"/>
      <c r="X190" s="354" t="e">
        <f t="shared" si="47"/>
        <v>#N/A</v>
      </c>
      <c r="Y190" s="653"/>
      <c r="Z190" s="182"/>
      <c r="AA190" s="182"/>
      <c r="AB190" s="182"/>
      <c r="AC190" s="354" t="e">
        <f t="shared" si="48"/>
        <v>#N/A</v>
      </c>
      <c r="AD190" s="653"/>
      <c r="AE190" s="182"/>
      <c r="AF190" s="182"/>
      <c r="AG190" s="182"/>
      <c r="AH190" s="354" t="e">
        <f t="shared" si="49"/>
        <v>#N/A</v>
      </c>
      <c r="AI190" s="653"/>
      <c r="AJ190" s="182"/>
      <c r="AK190" s="182"/>
      <c r="AL190" s="182"/>
      <c r="AM190" s="354" t="e">
        <f t="shared" si="50"/>
        <v>#N/A</v>
      </c>
      <c r="AN190" s="653"/>
      <c r="AO190" s="182"/>
      <c r="AP190" s="182"/>
      <c r="AQ190" s="182"/>
      <c r="AR190" s="354" t="e">
        <f t="shared" si="51"/>
        <v>#N/A</v>
      </c>
      <c r="AS190" s="653"/>
      <c r="AT190" s="182"/>
      <c r="AU190" s="182"/>
      <c r="AV190" s="182"/>
      <c r="AW190" s="354" t="e">
        <f t="shared" si="52"/>
        <v>#N/A</v>
      </c>
      <c r="AX190" s="653"/>
      <c r="AZ190" s="377" t="e">
        <f t="shared" si="53"/>
        <v>#N/A</v>
      </c>
      <c r="BA190" s="653"/>
    </row>
    <row r="191" spans="2:53">
      <c r="B191" s="635"/>
      <c r="C191" s="354">
        <v>10</v>
      </c>
      <c r="D191" s="223"/>
      <c r="E191" s="182"/>
      <c r="F191" s="354"/>
      <c r="G191" s="362"/>
      <c r="H191" s="678"/>
      <c r="I191" s="379" t="str">
        <f t="shared" si="45"/>
        <v>-</v>
      </c>
      <c r="J191" s="379" t="str">
        <f t="shared" si="45"/>
        <v>-</v>
      </c>
      <c r="K191" s="363" t="str">
        <f t="shared" si="45"/>
        <v>-</v>
      </c>
      <c r="L191" s="615"/>
      <c r="M191" s="364" t="e">
        <f>RANK(K191, K$147:$K$176)</f>
        <v>#VALUE!</v>
      </c>
      <c r="N191" s="624"/>
      <c r="O191" s="624"/>
      <c r="P191" s="182"/>
      <c r="Q191" s="182"/>
      <c r="R191" s="182"/>
      <c r="S191" s="354" t="e">
        <f t="shared" si="46"/>
        <v>#N/A</v>
      </c>
      <c r="T191" s="653"/>
      <c r="U191" s="182"/>
      <c r="V191" s="182"/>
      <c r="W191" s="182"/>
      <c r="X191" s="354" t="e">
        <f t="shared" si="47"/>
        <v>#N/A</v>
      </c>
      <c r="Y191" s="653"/>
      <c r="Z191" s="182"/>
      <c r="AA191" s="182"/>
      <c r="AB191" s="182"/>
      <c r="AC191" s="354" t="e">
        <f t="shared" si="48"/>
        <v>#N/A</v>
      </c>
      <c r="AD191" s="653"/>
      <c r="AE191" s="182"/>
      <c r="AF191" s="182"/>
      <c r="AG191" s="182"/>
      <c r="AH191" s="354" t="e">
        <f t="shared" si="49"/>
        <v>#N/A</v>
      </c>
      <c r="AI191" s="653"/>
      <c r="AJ191" s="182"/>
      <c r="AK191" s="182"/>
      <c r="AL191" s="182"/>
      <c r="AM191" s="354" t="e">
        <f t="shared" si="50"/>
        <v>#N/A</v>
      </c>
      <c r="AN191" s="653"/>
      <c r="AO191" s="182"/>
      <c r="AP191" s="182"/>
      <c r="AQ191" s="182"/>
      <c r="AR191" s="354" t="e">
        <f t="shared" si="51"/>
        <v>#N/A</v>
      </c>
      <c r="AS191" s="653"/>
      <c r="AT191" s="182"/>
      <c r="AU191" s="182"/>
      <c r="AV191" s="182"/>
      <c r="AW191" s="354" t="e">
        <f t="shared" si="52"/>
        <v>#N/A</v>
      </c>
      <c r="AX191" s="653"/>
      <c r="AZ191" s="377" t="e">
        <f t="shared" si="53"/>
        <v>#N/A</v>
      </c>
      <c r="BA191" s="653"/>
    </row>
    <row r="192" spans="2:53">
      <c r="B192" s="635"/>
      <c r="C192" s="354">
        <v>11</v>
      </c>
      <c r="D192" s="223"/>
      <c r="E192" s="182"/>
      <c r="F192" s="354"/>
      <c r="G192" s="362"/>
      <c r="H192" s="678"/>
      <c r="I192" s="379" t="str">
        <f t="shared" si="45"/>
        <v>-</v>
      </c>
      <c r="J192" s="379" t="str">
        <f t="shared" si="45"/>
        <v>-</v>
      </c>
      <c r="K192" s="363" t="str">
        <f t="shared" si="45"/>
        <v>-</v>
      </c>
      <c r="L192" s="615"/>
      <c r="M192" s="364" t="e">
        <f>RANK(K192, K$147:$K$176)</f>
        <v>#VALUE!</v>
      </c>
      <c r="N192" s="624"/>
      <c r="O192" s="624"/>
      <c r="P192" s="182"/>
      <c r="Q192" s="182"/>
      <c r="R192" s="182"/>
      <c r="S192" s="354" t="e">
        <f t="shared" si="46"/>
        <v>#N/A</v>
      </c>
      <c r="T192" s="653"/>
      <c r="U192" s="182"/>
      <c r="V192" s="182"/>
      <c r="W192" s="182"/>
      <c r="X192" s="354" t="e">
        <f t="shared" si="47"/>
        <v>#N/A</v>
      </c>
      <c r="Y192" s="653"/>
      <c r="Z192" s="182"/>
      <c r="AA192" s="182"/>
      <c r="AB192" s="182"/>
      <c r="AC192" s="354" t="e">
        <f t="shared" si="48"/>
        <v>#N/A</v>
      </c>
      <c r="AD192" s="653"/>
      <c r="AE192" s="182"/>
      <c r="AF192" s="182"/>
      <c r="AG192" s="182"/>
      <c r="AH192" s="354" t="e">
        <f t="shared" si="49"/>
        <v>#N/A</v>
      </c>
      <c r="AI192" s="653"/>
      <c r="AJ192" s="182"/>
      <c r="AK192" s="182"/>
      <c r="AL192" s="182"/>
      <c r="AM192" s="354" t="e">
        <f t="shared" si="50"/>
        <v>#N/A</v>
      </c>
      <c r="AN192" s="653"/>
      <c r="AO192" s="182"/>
      <c r="AP192" s="182"/>
      <c r="AQ192" s="182"/>
      <c r="AR192" s="354" t="e">
        <f t="shared" si="51"/>
        <v>#N/A</v>
      </c>
      <c r="AS192" s="653"/>
      <c r="AT192" s="182"/>
      <c r="AU192" s="182"/>
      <c r="AV192" s="182"/>
      <c r="AW192" s="354" t="e">
        <f t="shared" si="52"/>
        <v>#N/A</v>
      </c>
      <c r="AX192" s="653"/>
      <c r="AZ192" s="377" t="e">
        <f t="shared" si="53"/>
        <v>#N/A</v>
      </c>
      <c r="BA192" s="653"/>
    </row>
    <row r="193" spans="2:53">
      <c r="B193" s="635"/>
      <c r="C193" s="354">
        <v>12</v>
      </c>
      <c r="D193" s="223"/>
      <c r="E193" s="182"/>
      <c r="F193" s="354"/>
      <c r="G193" s="362"/>
      <c r="H193" s="678"/>
      <c r="I193" s="379" t="str">
        <f t="shared" si="45"/>
        <v>-</v>
      </c>
      <c r="J193" s="379" t="str">
        <f t="shared" si="45"/>
        <v>-</v>
      </c>
      <c r="K193" s="363" t="str">
        <f t="shared" si="45"/>
        <v>-</v>
      </c>
      <c r="L193" s="615"/>
      <c r="M193" s="364" t="e">
        <f>RANK(K193, K$147:$K$176)</f>
        <v>#VALUE!</v>
      </c>
      <c r="N193" s="624"/>
      <c r="O193" s="624"/>
      <c r="P193" s="182"/>
      <c r="Q193" s="182"/>
      <c r="R193" s="182"/>
      <c r="S193" s="354" t="e">
        <f t="shared" si="46"/>
        <v>#N/A</v>
      </c>
      <c r="T193" s="653"/>
      <c r="U193" s="182"/>
      <c r="V193" s="182"/>
      <c r="W193" s="182"/>
      <c r="X193" s="354" t="e">
        <f t="shared" si="47"/>
        <v>#N/A</v>
      </c>
      <c r="Y193" s="653"/>
      <c r="Z193" s="182"/>
      <c r="AA193" s="182"/>
      <c r="AB193" s="182"/>
      <c r="AC193" s="354" t="e">
        <f t="shared" si="48"/>
        <v>#N/A</v>
      </c>
      <c r="AD193" s="653"/>
      <c r="AE193" s="182"/>
      <c r="AF193" s="182"/>
      <c r="AG193" s="182"/>
      <c r="AH193" s="354" t="e">
        <f t="shared" si="49"/>
        <v>#N/A</v>
      </c>
      <c r="AI193" s="653"/>
      <c r="AJ193" s="182"/>
      <c r="AK193" s="182"/>
      <c r="AL193" s="182"/>
      <c r="AM193" s="354" t="e">
        <f t="shared" si="50"/>
        <v>#N/A</v>
      </c>
      <c r="AN193" s="653"/>
      <c r="AO193" s="182"/>
      <c r="AP193" s="182"/>
      <c r="AQ193" s="182"/>
      <c r="AR193" s="354" t="e">
        <f t="shared" si="51"/>
        <v>#N/A</v>
      </c>
      <c r="AS193" s="653"/>
      <c r="AT193" s="182"/>
      <c r="AU193" s="182"/>
      <c r="AV193" s="182"/>
      <c r="AW193" s="354" t="e">
        <f t="shared" si="52"/>
        <v>#N/A</v>
      </c>
      <c r="AX193" s="653"/>
      <c r="AZ193" s="377" t="e">
        <f t="shared" si="53"/>
        <v>#N/A</v>
      </c>
      <c r="BA193" s="653"/>
    </row>
    <row r="194" spans="2:53">
      <c r="B194" s="635"/>
      <c r="C194" s="354">
        <v>13</v>
      </c>
      <c r="D194" s="223"/>
      <c r="E194" s="182"/>
      <c r="F194" s="354"/>
      <c r="G194" s="362"/>
      <c r="H194" s="678"/>
      <c r="I194" s="379" t="str">
        <f t="shared" si="45"/>
        <v>-</v>
      </c>
      <c r="J194" s="379" t="str">
        <f t="shared" si="45"/>
        <v>-</v>
      </c>
      <c r="K194" s="363" t="str">
        <f t="shared" si="45"/>
        <v>-</v>
      </c>
      <c r="L194" s="615"/>
      <c r="M194" s="364" t="e">
        <f>RANK(K194, K$147:$K$176)</f>
        <v>#VALUE!</v>
      </c>
      <c r="N194" s="624"/>
      <c r="O194" s="624"/>
      <c r="P194" s="182"/>
      <c r="Q194" s="182"/>
      <c r="R194" s="182"/>
      <c r="S194" s="354" t="e">
        <f t="shared" si="46"/>
        <v>#N/A</v>
      </c>
      <c r="T194" s="653"/>
      <c r="U194" s="182"/>
      <c r="V194" s="182"/>
      <c r="W194" s="182"/>
      <c r="X194" s="354" t="e">
        <f t="shared" si="47"/>
        <v>#N/A</v>
      </c>
      <c r="Y194" s="653"/>
      <c r="Z194" s="182"/>
      <c r="AA194" s="182"/>
      <c r="AB194" s="182"/>
      <c r="AC194" s="354" t="e">
        <f t="shared" si="48"/>
        <v>#N/A</v>
      </c>
      <c r="AD194" s="653"/>
      <c r="AE194" s="182"/>
      <c r="AF194" s="182"/>
      <c r="AG194" s="182"/>
      <c r="AH194" s="354" t="e">
        <f t="shared" si="49"/>
        <v>#N/A</v>
      </c>
      <c r="AI194" s="653"/>
      <c r="AJ194" s="182"/>
      <c r="AK194" s="182"/>
      <c r="AL194" s="182"/>
      <c r="AM194" s="354" t="e">
        <f t="shared" si="50"/>
        <v>#N/A</v>
      </c>
      <c r="AN194" s="653"/>
      <c r="AO194" s="182"/>
      <c r="AP194" s="182"/>
      <c r="AQ194" s="182"/>
      <c r="AR194" s="354" t="e">
        <f t="shared" si="51"/>
        <v>#N/A</v>
      </c>
      <c r="AS194" s="653"/>
      <c r="AT194" s="182"/>
      <c r="AU194" s="182"/>
      <c r="AV194" s="182"/>
      <c r="AW194" s="354" t="e">
        <f t="shared" si="52"/>
        <v>#N/A</v>
      </c>
      <c r="AX194" s="653"/>
      <c r="AZ194" s="377" t="e">
        <f t="shared" si="53"/>
        <v>#N/A</v>
      </c>
      <c r="BA194" s="653"/>
    </row>
    <row r="195" spans="2:53">
      <c r="B195" s="635"/>
      <c r="C195" s="354">
        <v>14</v>
      </c>
      <c r="D195" s="223"/>
      <c r="E195" s="182"/>
      <c r="F195" s="354"/>
      <c r="G195" s="362"/>
      <c r="H195" s="678"/>
      <c r="I195" s="379" t="str">
        <f t="shared" si="45"/>
        <v>-</v>
      </c>
      <c r="J195" s="379" t="str">
        <f t="shared" si="45"/>
        <v>-</v>
      </c>
      <c r="K195" s="363" t="str">
        <f t="shared" si="45"/>
        <v>-</v>
      </c>
      <c r="L195" s="615"/>
      <c r="M195" s="364" t="e">
        <f>RANK(K195, K$147:$K$176)</f>
        <v>#VALUE!</v>
      </c>
      <c r="N195" s="624"/>
      <c r="O195" s="624"/>
      <c r="P195" s="182"/>
      <c r="Q195" s="182"/>
      <c r="R195" s="182"/>
      <c r="S195" s="354" t="e">
        <f t="shared" si="46"/>
        <v>#N/A</v>
      </c>
      <c r="T195" s="653"/>
      <c r="U195" s="182"/>
      <c r="V195" s="182"/>
      <c r="W195" s="182"/>
      <c r="X195" s="354" t="e">
        <f t="shared" si="47"/>
        <v>#N/A</v>
      </c>
      <c r="Y195" s="653"/>
      <c r="Z195" s="182"/>
      <c r="AA195" s="182"/>
      <c r="AB195" s="182"/>
      <c r="AC195" s="354" t="e">
        <f t="shared" si="48"/>
        <v>#N/A</v>
      </c>
      <c r="AD195" s="653"/>
      <c r="AE195" s="182"/>
      <c r="AF195" s="182"/>
      <c r="AG195" s="182"/>
      <c r="AH195" s="354" t="e">
        <f t="shared" si="49"/>
        <v>#N/A</v>
      </c>
      <c r="AI195" s="653"/>
      <c r="AJ195" s="182"/>
      <c r="AK195" s="182"/>
      <c r="AL195" s="182"/>
      <c r="AM195" s="354" t="e">
        <f t="shared" si="50"/>
        <v>#N/A</v>
      </c>
      <c r="AN195" s="653"/>
      <c r="AO195" s="182"/>
      <c r="AP195" s="182"/>
      <c r="AQ195" s="182"/>
      <c r="AR195" s="354" t="e">
        <f t="shared" si="51"/>
        <v>#N/A</v>
      </c>
      <c r="AS195" s="653"/>
      <c r="AT195" s="182"/>
      <c r="AU195" s="182"/>
      <c r="AV195" s="182"/>
      <c r="AW195" s="354" t="e">
        <f t="shared" si="52"/>
        <v>#N/A</v>
      </c>
      <c r="AX195" s="653"/>
      <c r="AZ195" s="377" t="e">
        <f t="shared" si="53"/>
        <v>#N/A</v>
      </c>
      <c r="BA195" s="653"/>
    </row>
    <row r="196" spans="2:53">
      <c r="B196" s="635"/>
      <c r="C196" s="354">
        <v>15</v>
      </c>
      <c r="D196" s="223"/>
      <c r="E196" s="182"/>
      <c r="F196" s="354"/>
      <c r="G196" s="362"/>
      <c r="H196" s="678"/>
      <c r="I196" s="379" t="str">
        <f t="shared" si="45"/>
        <v>-</v>
      </c>
      <c r="J196" s="379" t="str">
        <f t="shared" si="45"/>
        <v>-</v>
      </c>
      <c r="K196" s="363" t="str">
        <f t="shared" si="45"/>
        <v>-</v>
      </c>
      <c r="L196" s="615"/>
      <c r="M196" s="365" t="e">
        <f>RANK(K196, K$147:$K$176)</f>
        <v>#VALUE!</v>
      </c>
      <c r="N196" s="624"/>
      <c r="O196" s="624"/>
      <c r="P196" s="182"/>
      <c r="Q196" s="182"/>
      <c r="R196" s="182"/>
      <c r="S196" s="354" t="e">
        <f t="shared" si="46"/>
        <v>#N/A</v>
      </c>
      <c r="T196" s="653"/>
      <c r="U196" s="182"/>
      <c r="V196" s="182"/>
      <c r="W196" s="182"/>
      <c r="X196" s="354" t="e">
        <f t="shared" si="47"/>
        <v>#N/A</v>
      </c>
      <c r="Y196" s="653"/>
      <c r="Z196" s="182"/>
      <c r="AA196" s="182"/>
      <c r="AB196" s="182"/>
      <c r="AC196" s="354" t="e">
        <f t="shared" si="48"/>
        <v>#N/A</v>
      </c>
      <c r="AD196" s="653"/>
      <c r="AE196" s="182"/>
      <c r="AF196" s="182"/>
      <c r="AG196" s="182"/>
      <c r="AH196" s="354" t="e">
        <f t="shared" si="49"/>
        <v>#N/A</v>
      </c>
      <c r="AI196" s="653"/>
      <c r="AJ196" s="182"/>
      <c r="AK196" s="182"/>
      <c r="AL196" s="182"/>
      <c r="AM196" s="354" t="e">
        <f t="shared" si="50"/>
        <v>#N/A</v>
      </c>
      <c r="AN196" s="653"/>
      <c r="AO196" s="182"/>
      <c r="AP196" s="182"/>
      <c r="AQ196" s="182"/>
      <c r="AR196" s="354" t="e">
        <f t="shared" si="51"/>
        <v>#N/A</v>
      </c>
      <c r="AS196" s="653"/>
      <c r="AT196" s="182"/>
      <c r="AU196" s="182"/>
      <c r="AV196" s="182"/>
      <c r="AW196" s="354" t="e">
        <f t="shared" si="52"/>
        <v>#N/A</v>
      </c>
      <c r="AX196" s="653"/>
      <c r="AZ196" s="377" t="e">
        <f t="shared" si="53"/>
        <v>#N/A</v>
      </c>
      <c r="BA196" s="653"/>
    </row>
    <row r="197" spans="2:53">
      <c r="B197" s="635"/>
      <c r="C197" s="354">
        <v>16</v>
      </c>
      <c r="D197" s="223"/>
      <c r="E197" s="182"/>
      <c r="F197" s="354"/>
      <c r="G197" s="362"/>
      <c r="H197" s="678"/>
      <c r="I197" s="379" t="str">
        <f t="shared" si="45"/>
        <v>-</v>
      </c>
      <c r="J197" s="379" t="str">
        <f t="shared" si="45"/>
        <v>-</v>
      </c>
      <c r="K197" s="363" t="str">
        <f t="shared" si="45"/>
        <v>-</v>
      </c>
      <c r="L197" s="615"/>
      <c r="M197" s="365" t="e">
        <f>RANK(K197, K$147:$K$176)</f>
        <v>#VALUE!</v>
      </c>
      <c r="N197" s="624"/>
      <c r="O197" s="624"/>
      <c r="P197" s="182"/>
      <c r="Q197" s="182"/>
      <c r="R197" s="182"/>
      <c r="S197" s="354" t="e">
        <f t="shared" si="46"/>
        <v>#N/A</v>
      </c>
      <c r="T197" s="653"/>
      <c r="U197" s="182"/>
      <c r="V197" s="182"/>
      <c r="W197" s="182"/>
      <c r="X197" s="354" t="e">
        <f t="shared" si="47"/>
        <v>#N/A</v>
      </c>
      <c r="Y197" s="653"/>
      <c r="Z197" s="182"/>
      <c r="AA197" s="182"/>
      <c r="AB197" s="182"/>
      <c r="AC197" s="354" t="e">
        <f t="shared" si="48"/>
        <v>#N/A</v>
      </c>
      <c r="AD197" s="653"/>
      <c r="AE197" s="182"/>
      <c r="AF197" s="182"/>
      <c r="AG197" s="182"/>
      <c r="AH197" s="354" t="e">
        <f t="shared" si="49"/>
        <v>#N/A</v>
      </c>
      <c r="AI197" s="653"/>
      <c r="AJ197" s="182"/>
      <c r="AK197" s="182"/>
      <c r="AL197" s="182"/>
      <c r="AM197" s="354" t="e">
        <f t="shared" si="50"/>
        <v>#N/A</v>
      </c>
      <c r="AN197" s="653"/>
      <c r="AO197" s="182"/>
      <c r="AP197" s="182"/>
      <c r="AQ197" s="182"/>
      <c r="AR197" s="354" t="e">
        <f t="shared" si="51"/>
        <v>#N/A</v>
      </c>
      <c r="AS197" s="653"/>
      <c r="AT197" s="182"/>
      <c r="AU197" s="182"/>
      <c r="AV197" s="182"/>
      <c r="AW197" s="354" t="e">
        <f t="shared" si="52"/>
        <v>#N/A</v>
      </c>
      <c r="AX197" s="653"/>
      <c r="AZ197" s="377" t="e">
        <f t="shared" si="53"/>
        <v>#N/A</v>
      </c>
      <c r="BA197" s="653"/>
    </row>
    <row r="198" spans="2:53">
      <c r="B198" s="635"/>
      <c r="C198" s="354">
        <v>17</v>
      </c>
      <c r="D198" s="223"/>
      <c r="E198" s="182"/>
      <c r="F198" s="354"/>
      <c r="G198" s="362"/>
      <c r="H198" s="678"/>
      <c r="I198" s="379" t="str">
        <f t="shared" si="45"/>
        <v>-</v>
      </c>
      <c r="J198" s="379" t="str">
        <f t="shared" si="45"/>
        <v>-</v>
      </c>
      <c r="K198" s="363" t="str">
        <f t="shared" si="45"/>
        <v>-</v>
      </c>
      <c r="L198" s="615"/>
      <c r="M198" s="365" t="e">
        <f>RANK(K198, K$147:$K$176)</f>
        <v>#VALUE!</v>
      </c>
      <c r="N198" s="624"/>
      <c r="O198" s="624"/>
      <c r="P198" s="182"/>
      <c r="Q198" s="182"/>
      <c r="R198" s="182"/>
      <c r="S198" s="354" t="e">
        <f t="shared" si="46"/>
        <v>#N/A</v>
      </c>
      <c r="T198" s="653"/>
      <c r="U198" s="182"/>
      <c r="V198" s="182"/>
      <c r="W198" s="182"/>
      <c r="X198" s="354" t="e">
        <f t="shared" si="47"/>
        <v>#N/A</v>
      </c>
      <c r="Y198" s="653"/>
      <c r="Z198" s="182"/>
      <c r="AA198" s="182"/>
      <c r="AB198" s="182"/>
      <c r="AC198" s="354" t="e">
        <f t="shared" si="48"/>
        <v>#N/A</v>
      </c>
      <c r="AD198" s="653"/>
      <c r="AE198" s="182"/>
      <c r="AF198" s="182"/>
      <c r="AG198" s="182"/>
      <c r="AH198" s="354" t="e">
        <f t="shared" si="49"/>
        <v>#N/A</v>
      </c>
      <c r="AI198" s="653"/>
      <c r="AJ198" s="182"/>
      <c r="AK198" s="182"/>
      <c r="AL198" s="182"/>
      <c r="AM198" s="354" t="e">
        <f t="shared" si="50"/>
        <v>#N/A</v>
      </c>
      <c r="AN198" s="653"/>
      <c r="AO198" s="182"/>
      <c r="AP198" s="182"/>
      <c r="AQ198" s="182"/>
      <c r="AR198" s="354" t="e">
        <f t="shared" si="51"/>
        <v>#N/A</v>
      </c>
      <c r="AS198" s="653"/>
      <c r="AT198" s="182"/>
      <c r="AU198" s="182"/>
      <c r="AV198" s="182"/>
      <c r="AW198" s="354" t="e">
        <f t="shared" si="52"/>
        <v>#N/A</v>
      </c>
      <c r="AX198" s="653"/>
      <c r="AZ198" s="377" t="e">
        <f t="shared" si="53"/>
        <v>#N/A</v>
      </c>
      <c r="BA198" s="653"/>
    </row>
    <row r="199" spans="2:53">
      <c r="B199" s="635"/>
      <c r="C199" s="354">
        <v>18</v>
      </c>
      <c r="D199" s="223"/>
      <c r="E199" s="182"/>
      <c r="F199" s="354"/>
      <c r="G199" s="362"/>
      <c r="H199" s="678"/>
      <c r="I199" s="379" t="str">
        <f t="shared" si="45"/>
        <v>-</v>
      </c>
      <c r="J199" s="379" t="str">
        <f t="shared" si="45"/>
        <v>-</v>
      </c>
      <c r="K199" s="363" t="str">
        <f t="shared" si="45"/>
        <v>-</v>
      </c>
      <c r="L199" s="615"/>
      <c r="M199" s="365" t="e">
        <f>RANK(K199, K$147:$K$176)</f>
        <v>#VALUE!</v>
      </c>
      <c r="N199" s="624"/>
      <c r="O199" s="624"/>
      <c r="P199" s="182"/>
      <c r="Q199" s="182"/>
      <c r="R199" s="182"/>
      <c r="S199" s="354" t="e">
        <f t="shared" si="46"/>
        <v>#N/A</v>
      </c>
      <c r="T199" s="653"/>
      <c r="U199" s="182"/>
      <c r="V199" s="182"/>
      <c r="W199" s="182"/>
      <c r="X199" s="354" t="e">
        <f t="shared" si="47"/>
        <v>#N/A</v>
      </c>
      <c r="Y199" s="653"/>
      <c r="Z199" s="182"/>
      <c r="AA199" s="182"/>
      <c r="AB199" s="182"/>
      <c r="AC199" s="354" t="e">
        <f t="shared" si="48"/>
        <v>#N/A</v>
      </c>
      <c r="AD199" s="653"/>
      <c r="AE199" s="182"/>
      <c r="AF199" s="182"/>
      <c r="AG199" s="182"/>
      <c r="AH199" s="354" t="e">
        <f t="shared" si="49"/>
        <v>#N/A</v>
      </c>
      <c r="AI199" s="653"/>
      <c r="AJ199" s="182"/>
      <c r="AK199" s="182"/>
      <c r="AL199" s="182"/>
      <c r="AM199" s="354" t="e">
        <f t="shared" si="50"/>
        <v>#N/A</v>
      </c>
      <c r="AN199" s="653"/>
      <c r="AO199" s="182"/>
      <c r="AP199" s="182"/>
      <c r="AQ199" s="182"/>
      <c r="AR199" s="354" t="e">
        <f t="shared" si="51"/>
        <v>#N/A</v>
      </c>
      <c r="AS199" s="653"/>
      <c r="AT199" s="182"/>
      <c r="AU199" s="182"/>
      <c r="AV199" s="182"/>
      <c r="AW199" s="354" t="e">
        <f t="shared" si="52"/>
        <v>#N/A</v>
      </c>
      <c r="AX199" s="653"/>
      <c r="AZ199" s="377" t="e">
        <f t="shared" si="53"/>
        <v>#N/A</v>
      </c>
      <c r="BA199" s="653"/>
    </row>
    <row r="200" spans="2:53">
      <c r="B200" s="635"/>
      <c r="C200" s="354">
        <v>19</v>
      </c>
      <c r="D200" s="223"/>
      <c r="E200" s="182"/>
      <c r="F200" s="354"/>
      <c r="G200" s="362"/>
      <c r="H200" s="678"/>
      <c r="I200" s="379" t="str">
        <f t="shared" si="45"/>
        <v>-</v>
      </c>
      <c r="J200" s="379" t="str">
        <f t="shared" si="45"/>
        <v>-</v>
      </c>
      <c r="K200" s="363" t="str">
        <f t="shared" si="45"/>
        <v>-</v>
      </c>
      <c r="L200" s="615"/>
      <c r="M200" s="365" t="e">
        <f>RANK(K200, K$147:$K$176)</f>
        <v>#VALUE!</v>
      </c>
      <c r="N200" s="624"/>
      <c r="O200" s="624"/>
      <c r="P200" s="182"/>
      <c r="Q200" s="182"/>
      <c r="R200" s="182"/>
      <c r="S200" s="354" t="e">
        <f t="shared" si="46"/>
        <v>#N/A</v>
      </c>
      <c r="T200" s="653"/>
      <c r="U200" s="182"/>
      <c r="V200" s="182"/>
      <c r="W200" s="182"/>
      <c r="X200" s="354" t="e">
        <f t="shared" si="47"/>
        <v>#N/A</v>
      </c>
      <c r="Y200" s="653"/>
      <c r="Z200" s="182"/>
      <c r="AA200" s="182"/>
      <c r="AB200" s="182"/>
      <c r="AC200" s="354" t="e">
        <f t="shared" si="48"/>
        <v>#N/A</v>
      </c>
      <c r="AD200" s="653"/>
      <c r="AE200" s="182"/>
      <c r="AF200" s="182"/>
      <c r="AG200" s="182"/>
      <c r="AH200" s="354" t="e">
        <f t="shared" si="49"/>
        <v>#N/A</v>
      </c>
      <c r="AI200" s="653"/>
      <c r="AJ200" s="182"/>
      <c r="AK200" s="182"/>
      <c r="AL200" s="182"/>
      <c r="AM200" s="354" t="e">
        <f t="shared" si="50"/>
        <v>#N/A</v>
      </c>
      <c r="AN200" s="653"/>
      <c r="AO200" s="182"/>
      <c r="AP200" s="182"/>
      <c r="AQ200" s="182"/>
      <c r="AR200" s="354" t="e">
        <f t="shared" si="51"/>
        <v>#N/A</v>
      </c>
      <c r="AS200" s="653"/>
      <c r="AT200" s="182"/>
      <c r="AU200" s="182"/>
      <c r="AV200" s="182"/>
      <c r="AW200" s="354" t="e">
        <f t="shared" si="52"/>
        <v>#N/A</v>
      </c>
      <c r="AX200" s="653"/>
      <c r="AZ200" s="377" t="e">
        <f t="shared" si="53"/>
        <v>#N/A</v>
      </c>
      <c r="BA200" s="653"/>
    </row>
    <row r="201" spans="2:53">
      <c r="B201" s="635"/>
      <c r="C201" s="354">
        <v>20</v>
      </c>
      <c r="D201" s="223"/>
      <c r="E201" s="182"/>
      <c r="F201" s="354"/>
      <c r="G201" s="362"/>
      <c r="H201" s="678"/>
      <c r="I201" s="379" t="str">
        <f t="shared" si="45"/>
        <v>-</v>
      </c>
      <c r="J201" s="379" t="str">
        <f t="shared" si="45"/>
        <v>-</v>
      </c>
      <c r="K201" s="363" t="str">
        <f t="shared" si="45"/>
        <v>-</v>
      </c>
      <c r="L201" s="615"/>
      <c r="M201" s="365" t="e">
        <f>RANK(K201, K$147:$K$176)</f>
        <v>#VALUE!</v>
      </c>
      <c r="N201" s="624"/>
      <c r="O201" s="624"/>
      <c r="P201" s="182"/>
      <c r="Q201" s="182"/>
      <c r="R201" s="182"/>
      <c r="S201" s="354" t="e">
        <f t="shared" si="46"/>
        <v>#N/A</v>
      </c>
      <c r="T201" s="653"/>
      <c r="U201" s="182"/>
      <c r="V201" s="182"/>
      <c r="W201" s="182"/>
      <c r="X201" s="354" t="e">
        <f t="shared" si="47"/>
        <v>#N/A</v>
      </c>
      <c r="Y201" s="653"/>
      <c r="Z201" s="182"/>
      <c r="AA201" s="182"/>
      <c r="AB201" s="182"/>
      <c r="AC201" s="354" t="e">
        <f t="shared" si="48"/>
        <v>#N/A</v>
      </c>
      <c r="AD201" s="653"/>
      <c r="AE201" s="182"/>
      <c r="AF201" s="182"/>
      <c r="AG201" s="182"/>
      <c r="AH201" s="354" t="e">
        <f t="shared" si="49"/>
        <v>#N/A</v>
      </c>
      <c r="AI201" s="653"/>
      <c r="AJ201" s="182"/>
      <c r="AK201" s="182"/>
      <c r="AL201" s="182"/>
      <c r="AM201" s="354" t="e">
        <f t="shared" si="50"/>
        <v>#N/A</v>
      </c>
      <c r="AN201" s="653"/>
      <c r="AO201" s="182"/>
      <c r="AP201" s="182"/>
      <c r="AQ201" s="182"/>
      <c r="AR201" s="354" t="e">
        <f t="shared" si="51"/>
        <v>#N/A</v>
      </c>
      <c r="AS201" s="653"/>
      <c r="AT201" s="182"/>
      <c r="AU201" s="182"/>
      <c r="AV201" s="182"/>
      <c r="AW201" s="354" t="e">
        <f t="shared" si="52"/>
        <v>#N/A</v>
      </c>
      <c r="AX201" s="653"/>
      <c r="AZ201" s="377" t="e">
        <f t="shared" si="53"/>
        <v>#N/A</v>
      </c>
      <c r="BA201" s="653"/>
    </row>
    <row r="202" spans="2:53">
      <c r="B202" s="635"/>
      <c r="C202" s="354">
        <v>21</v>
      </c>
      <c r="D202" s="223"/>
      <c r="E202" s="182"/>
      <c r="F202" s="354"/>
      <c r="G202" s="362"/>
      <c r="H202" s="678"/>
      <c r="I202" s="379" t="str">
        <f t="shared" si="45"/>
        <v>-</v>
      </c>
      <c r="J202" s="379" t="str">
        <f t="shared" si="45"/>
        <v>-</v>
      </c>
      <c r="K202" s="363" t="str">
        <f t="shared" si="45"/>
        <v>-</v>
      </c>
      <c r="L202" s="615"/>
      <c r="M202" s="365" t="e">
        <f>RANK(K202, K$147:$K$176)</f>
        <v>#VALUE!</v>
      </c>
      <c r="N202" s="624"/>
      <c r="O202" s="624"/>
      <c r="P202" s="182"/>
      <c r="Q202" s="182"/>
      <c r="R202" s="182"/>
      <c r="S202" s="354" t="e">
        <f t="shared" si="46"/>
        <v>#N/A</v>
      </c>
      <c r="T202" s="653"/>
      <c r="U202" s="182"/>
      <c r="V202" s="182"/>
      <c r="W202" s="182"/>
      <c r="X202" s="354" t="e">
        <f t="shared" si="47"/>
        <v>#N/A</v>
      </c>
      <c r="Y202" s="653"/>
      <c r="Z202" s="182"/>
      <c r="AA202" s="182"/>
      <c r="AB202" s="182"/>
      <c r="AC202" s="354" t="e">
        <f t="shared" si="48"/>
        <v>#N/A</v>
      </c>
      <c r="AD202" s="653"/>
      <c r="AE202" s="182"/>
      <c r="AF202" s="182"/>
      <c r="AG202" s="182"/>
      <c r="AH202" s="354" t="e">
        <f t="shared" si="49"/>
        <v>#N/A</v>
      </c>
      <c r="AI202" s="653"/>
      <c r="AJ202" s="182"/>
      <c r="AK202" s="182"/>
      <c r="AL202" s="182"/>
      <c r="AM202" s="354" t="e">
        <f t="shared" si="50"/>
        <v>#N/A</v>
      </c>
      <c r="AN202" s="653"/>
      <c r="AO202" s="182"/>
      <c r="AP202" s="182"/>
      <c r="AQ202" s="182"/>
      <c r="AR202" s="354" t="e">
        <f t="shared" si="51"/>
        <v>#N/A</v>
      </c>
      <c r="AS202" s="653"/>
      <c r="AT202" s="182"/>
      <c r="AU202" s="182"/>
      <c r="AV202" s="182"/>
      <c r="AW202" s="354" t="e">
        <f t="shared" si="52"/>
        <v>#N/A</v>
      </c>
      <c r="AX202" s="653"/>
      <c r="AZ202" s="377" t="e">
        <f t="shared" si="53"/>
        <v>#N/A</v>
      </c>
      <c r="BA202" s="653"/>
    </row>
    <row r="203" spans="2:53">
      <c r="B203" s="635"/>
      <c r="C203" s="354">
        <v>22</v>
      </c>
      <c r="D203" s="223"/>
      <c r="E203" s="182"/>
      <c r="F203" s="354"/>
      <c r="G203" s="362"/>
      <c r="H203" s="678"/>
      <c r="I203" s="379" t="str">
        <f t="shared" si="45"/>
        <v>-</v>
      </c>
      <c r="J203" s="379" t="str">
        <f t="shared" si="45"/>
        <v>-</v>
      </c>
      <c r="K203" s="363" t="str">
        <f t="shared" si="45"/>
        <v>-</v>
      </c>
      <c r="L203" s="615"/>
      <c r="M203" s="365" t="e">
        <f>RANK(K203, K$147:$K$176)</f>
        <v>#VALUE!</v>
      </c>
      <c r="N203" s="624"/>
      <c r="O203" s="624"/>
      <c r="P203" s="182"/>
      <c r="Q203" s="182"/>
      <c r="R203" s="182"/>
      <c r="S203" s="354" t="e">
        <f t="shared" si="46"/>
        <v>#N/A</v>
      </c>
      <c r="T203" s="653"/>
      <c r="U203" s="182"/>
      <c r="V203" s="182"/>
      <c r="W203" s="182"/>
      <c r="X203" s="354" t="e">
        <f t="shared" si="47"/>
        <v>#N/A</v>
      </c>
      <c r="Y203" s="653"/>
      <c r="Z203" s="182"/>
      <c r="AA203" s="182"/>
      <c r="AB203" s="182"/>
      <c r="AC203" s="354" t="e">
        <f t="shared" si="48"/>
        <v>#N/A</v>
      </c>
      <c r="AD203" s="653"/>
      <c r="AE203" s="182"/>
      <c r="AF203" s="182"/>
      <c r="AG203" s="182"/>
      <c r="AH203" s="354" t="e">
        <f t="shared" si="49"/>
        <v>#N/A</v>
      </c>
      <c r="AI203" s="653"/>
      <c r="AJ203" s="182"/>
      <c r="AK203" s="182"/>
      <c r="AL203" s="182"/>
      <c r="AM203" s="354" t="e">
        <f t="shared" si="50"/>
        <v>#N/A</v>
      </c>
      <c r="AN203" s="653"/>
      <c r="AO203" s="182"/>
      <c r="AP203" s="182"/>
      <c r="AQ203" s="182"/>
      <c r="AR203" s="354" t="e">
        <f t="shared" si="51"/>
        <v>#N/A</v>
      </c>
      <c r="AS203" s="653"/>
      <c r="AT203" s="182"/>
      <c r="AU203" s="182"/>
      <c r="AV203" s="182"/>
      <c r="AW203" s="354" t="e">
        <f t="shared" si="52"/>
        <v>#N/A</v>
      </c>
      <c r="AX203" s="653"/>
      <c r="AZ203" s="377" t="e">
        <f t="shared" si="53"/>
        <v>#N/A</v>
      </c>
      <c r="BA203" s="653"/>
    </row>
    <row r="204" spans="2:53">
      <c r="B204" s="635"/>
      <c r="C204" s="354">
        <v>23</v>
      </c>
      <c r="D204" s="223"/>
      <c r="E204" s="182"/>
      <c r="F204" s="354"/>
      <c r="G204" s="362"/>
      <c r="H204" s="678"/>
      <c r="I204" s="379" t="str">
        <f t="shared" si="45"/>
        <v>-</v>
      </c>
      <c r="J204" s="379" t="str">
        <f t="shared" si="45"/>
        <v>-</v>
      </c>
      <c r="K204" s="363" t="str">
        <f t="shared" si="45"/>
        <v>-</v>
      </c>
      <c r="L204" s="615"/>
      <c r="M204" s="365" t="e">
        <f>RANK(K204, K$147:$K$176)</f>
        <v>#VALUE!</v>
      </c>
      <c r="N204" s="624"/>
      <c r="O204" s="624"/>
      <c r="P204" s="182"/>
      <c r="Q204" s="182"/>
      <c r="R204" s="182"/>
      <c r="S204" s="354" t="e">
        <f t="shared" si="46"/>
        <v>#N/A</v>
      </c>
      <c r="T204" s="653"/>
      <c r="U204" s="182"/>
      <c r="V204" s="182"/>
      <c r="W204" s="182"/>
      <c r="X204" s="354" t="e">
        <f t="shared" si="47"/>
        <v>#N/A</v>
      </c>
      <c r="Y204" s="653"/>
      <c r="Z204" s="182"/>
      <c r="AA204" s="182"/>
      <c r="AB204" s="182"/>
      <c r="AC204" s="354" t="e">
        <f t="shared" si="48"/>
        <v>#N/A</v>
      </c>
      <c r="AD204" s="653"/>
      <c r="AE204" s="182"/>
      <c r="AF204" s="182"/>
      <c r="AG204" s="182"/>
      <c r="AH204" s="354" t="e">
        <f t="shared" si="49"/>
        <v>#N/A</v>
      </c>
      <c r="AI204" s="653"/>
      <c r="AJ204" s="182"/>
      <c r="AK204" s="182"/>
      <c r="AL204" s="182"/>
      <c r="AM204" s="354" t="e">
        <f t="shared" si="50"/>
        <v>#N/A</v>
      </c>
      <c r="AN204" s="653"/>
      <c r="AO204" s="182"/>
      <c r="AP204" s="182"/>
      <c r="AQ204" s="182"/>
      <c r="AR204" s="354" t="e">
        <f t="shared" si="51"/>
        <v>#N/A</v>
      </c>
      <c r="AS204" s="653"/>
      <c r="AT204" s="182"/>
      <c r="AU204" s="182"/>
      <c r="AV204" s="182"/>
      <c r="AW204" s="354" t="e">
        <f t="shared" si="52"/>
        <v>#N/A</v>
      </c>
      <c r="AX204" s="653"/>
      <c r="AZ204" s="377" t="e">
        <f t="shared" si="53"/>
        <v>#N/A</v>
      </c>
      <c r="BA204" s="653"/>
    </row>
    <row r="205" spans="2:53">
      <c r="B205" s="635"/>
      <c r="C205" s="354">
        <v>24</v>
      </c>
      <c r="D205" s="223"/>
      <c r="E205" s="182"/>
      <c r="F205" s="354"/>
      <c r="G205" s="362"/>
      <c r="H205" s="678"/>
      <c r="I205" s="379" t="str">
        <f t="shared" si="45"/>
        <v>-</v>
      </c>
      <c r="J205" s="379" t="str">
        <f t="shared" si="45"/>
        <v>-</v>
      </c>
      <c r="K205" s="363" t="str">
        <f t="shared" si="45"/>
        <v>-</v>
      </c>
      <c r="L205" s="615"/>
      <c r="M205" s="365" t="e">
        <f>RANK(K205, K$147:$K$176)</f>
        <v>#VALUE!</v>
      </c>
      <c r="N205" s="624"/>
      <c r="O205" s="624"/>
      <c r="P205" s="354"/>
      <c r="Q205" s="362"/>
      <c r="R205" s="362"/>
      <c r="S205" s="354" t="e">
        <f t="shared" si="46"/>
        <v>#N/A</v>
      </c>
      <c r="T205" s="653"/>
      <c r="U205" s="354"/>
      <c r="V205" s="362"/>
      <c r="W205" s="362"/>
      <c r="X205" s="354" t="e">
        <f t="shared" si="47"/>
        <v>#N/A</v>
      </c>
      <c r="Y205" s="653"/>
      <c r="Z205" s="354"/>
      <c r="AA205" s="362"/>
      <c r="AB205" s="362"/>
      <c r="AC205" s="354" t="e">
        <f t="shared" si="48"/>
        <v>#N/A</v>
      </c>
      <c r="AD205" s="653"/>
      <c r="AE205" s="354"/>
      <c r="AF205" s="362"/>
      <c r="AG205" s="362"/>
      <c r="AH205" s="354" t="e">
        <f t="shared" si="49"/>
        <v>#N/A</v>
      </c>
      <c r="AI205" s="653"/>
      <c r="AJ205" s="354"/>
      <c r="AK205" s="362"/>
      <c r="AL205" s="362"/>
      <c r="AM205" s="354" t="e">
        <f t="shared" si="50"/>
        <v>#N/A</v>
      </c>
      <c r="AN205" s="653"/>
      <c r="AO205" s="354"/>
      <c r="AP205" s="362"/>
      <c r="AQ205" s="362"/>
      <c r="AR205" s="354" t="e">
        <f t="shared" si="51"/>
        <v>#N/A</v>
      </c>
      <c r="AS205" s="653"/>
      <c r="AT205" s="354"/>
      <c r="AU205" s="362"/>
      <c r="AV205" s="362"/>
      <c r="AW205" s="354" t="e">
        <f t="shared" si="52"/>
        <v>#N/A</v>
      </c>
      <c r="AX205" s="653"/>
      <c r="AZ205" s="377" t="e">
        <f t="shared" si="53"/>
        <v>#N/A</v>
      </c>
      <c r="BA205" s="653"/>
    </row>
    <row r="206" spans="2:53">
      <c r="B206" s="635"/>
      <c r="C206" s="354">
        <v>25</v>
      </c>
      <c r="D206" s="223"/>
      <c r="E206" s="182"/>
      <c r="F206" s="354"/>
      <c r="G206" s="362"/>
      <c r="H206" s="678"/>
      <c r="I206" s="379" t="str">
        <f t="shared" si="45"/>
        <v>-</v>
      </c>
      <c r="J206" s="379" t="str">
        <f t="shared" si="45"/>
        <v>-</v>
      </c>
      <c r="K206" s="363" t="str">
        <f t="shared" si="45"/>
        <v>-</v>
      </c>
      <c r="L206" s="615"/>
      <c r="M206" s="365" t="e">
        <f>RANK(K206, K$147:$K$176)</f>
        <v>#VALUE!</v>
      </c>
      <c r="N206" s="624"/>
      <c r="O206" s="624"/>
      <c r="P206" s="354"/>
      <c r="Q206" s="362"/>
      <c r="R206" s="362"/>
      <c r="S206" s="354" t="e">
        <f t="shared" si="46"/>
        <v>#N/A</v>
      </c>
      <c r="T206" s="653"/>
      <c r="U206" s="354"/>
      <c r="V206" s="362"/>
      <c r="W206" s="362"/>
      <c r="X206" s="354" t="e">
        <f t="shared" si="47"/>
        <v>#N/A</v>
      </c>
      <c r="Y206" s="653"/>
      <c r="Z206" s="354"/>
      <c r="AA206" s="362"/>
      <c r="AB206" s="362"/>
      <c r="AC206" s="354" t="e">
        <f t="shared" si="48"/>
        <v>#N/A</v>
      </c>
      <c r="AD206" s="653"/>
      <c r="AE206" s="354"/>
      <c r="AF206" s="362"/>
      <c r="AG206" s="362"/>
      <c r="AH206" s="354" t="e">
        <f t="shared" si="49"/>
        <v>#N/A</v>
      </c>
      <c r="AI206" s="653"/>
      <c r="AJ206" s="354"/>
      <c r="AK206" s="362"/>
      <c r="AL206" s="362"/>
      <c r="AM206" s="354" t="e">
        <f t="shared" si="50"/>
        <v>#N/A</v>
      </c>
      <c r="AN206" s="653"/>
      <c r="AO206" s="354"/>
      <c r="AP206" s="362"/>
      <c r="AQ206" s="362"/>
      <c r="AR206" s="354" t="e">
        <f t="shared" si="51"/>
        <v>#N/A</v>
      </c>
      <c r="AS206" s="653"/>
      <c r="AT206" s="354"/>
      <c r="AU206" s="362"/>
      <c r="AV206" s="362"/>
      <c r="AW206" s="354" t="e">
        <f t="shared" si="52"/>
        <v>#N/A</v>
      </c>
      <c r="AX206" s="653"/>
      <c r="AZ206" s="377" t="e">
        <f t="shared" si="53"/>
        <v>#N/A</v>
      </c>
      <c r="BA206" s="653"/>
    </row>
    <row r="207" spans="2:53">
      <c r="B207" s="635"/>
      <c r="C207" s="354">
        <v>26</v>
      </c>
      <c r="D207" s="223"/>
      <c r="E207" s="182"/>
      <c r="F207" s="354"/>
      <c r="G207" s="362"/>
      <c r="H207" s="678"/>
      <c r="I207" s="379" t="str">
        <f t="shared" si="45"/>
        <v>-</v>
      </c>
      <c r="J207" s="379" t="str">
        <f t="shared" si="45"/>
        <v>-</v>
      </c>
      <c r="K207" s="363" t="str">
        <f t="shared" si="45"/>
        <v>-</v>
      </c>
      <c r="L207" s="615"/>
      <c r="M207" s="365" t="e">
        <f>RANK(K207, K$147:$K$176)</f>
        <v>#VALUE!</v>
      </c>
      <c r="N207" s="624"/>
      <c r="O207" s="624"/>
      <c r="P207" s="354"/>
      <c r="Q207" s="362"/>
      <c r="R207" s="362"/>
      <c r="S207" s="354" t="e">
        <f t="shared" si="46"/>
        <v>#N/A</v>
      </c>
      <c r="T207" s="653"/>
      <c r="U207" s="354"/>
      <c r="V207" s="362"/>
      <c r="W207" s="362"/>
      <c r="X207" s="354" t="e">
        <f t="shared" si="47"/>
        <v>#N/A</v>
      </c>
      <c r="Y207" s="653"/>
      <c r="Z207" s="354"/>
      <c r="AA207" s="362"/>
      <c r="AB207" s="362"/>
      <c r="AC207" s="354" t="e">
        <f t="shared" si="48"/>
        <v>#N/A</v>
      </c>
      <c r="AD207" s="653"/>
      <c r="AE207" s="354"/>
      <c r="AF207" s="362"/>
      <c r="AG207" s="362"/>
      <c r="AH207" s="354" t="e">
        <f t="shared" si="49"/>
        <v>#N/A</v>
      </c>
      <c r="AI207" s="653"/>
      <c r="AJ207" s="354"/>
      <c r="AK207" s="362"/>
      <c r="AL207" s="362"/>
      <c r="AM207" s="354" t="e">
        <f t="shared" si="50"/>
        <v>#N/A</v>
      </c>
      <c r="AN207" s="653"/>
      <c r="AO207" s="354"/>
      <c r="AP207" s="362"/>
      <c r="AQ207" s="362"/>
      <c r="AR207" s="354" t="e">
        <f t="shared" si="51"/>
        <v>#N/A</v>
      </c>
      <c r="AS207" s="653"/>
      <c r="AT207" s="354"/>
      <c r="AU207" s="362"/>
      <c r="AV207" s="362"/>
      <c r="AW207" s="354" t="e">
        <f t="shared" si="52"/>
        <v>#N/A</v>
      </c>
      <c r="AX207" s="653"/>
      <c r="AZ207" s="377" t="e">
        <f t="shared" si="53"/>
        <v>#N/A</v>
      </c>
      <c r="BA207" s="653"/>
    </row>
    <row r="208" spans="2:53">
      <c r="B208" s="635"/>
      <c r="C208" s="354">
        <v>27</v>
      </c>
      <c r="D208" s="223"/>
      <c r="E208" s="182"/>
      <c r="F208" s="354"/>
      <c r="G208" s="362"/>
      <c r="H208" s="678"/>
      <c r="I208" s="379" t="str">
        <f t="shared" si="45"/>
        <v>-</v>
      </c>
      <c r="J208" s="379" t="str">
        <f t="shared" si="45"/>
        <v>-</v>
      </c>
      <c r="K208" s="363" t="str">
        <f t="shared" si="45"/>
        <v>-</v>
      </c>
      <c r="L208" s="615"/>
      <c r="M208" s="365" t="e">
        <f>RANK(K208, K$147:$K$176)</f>
        <v>#VALUE!</v>
      </c>
      <c r="N208" s="624"/>
      <c r="O208" s="624"/>
      <c r="P208" s="354"/>
      <c r="Q208" s="362"/>
      <c r="R208" s="362"/>
      <c r="S208" s="354" t="e">
        <f t="shared" si="46"/>
        <v>#N/A</v>
      </c>
      <c r="T208" s="653"/>
      <c r="U208" s="354"/>
      <c r="V208" s="362"/>
      <c r="W208" s="362"/>
      <c r="X208" s="354" t="e">
        <f t="shared" si="47"/>
        <v>#N/A</v>
      </c>
      <c r="Y208" s="653"/>
      <c r="Z208" s="354"/>
      <c r="AA208" s="362"/>
      <c r="AB208" s="362"/>
      <c r="AC208" s="354" t="e">
        <f t="shared" si="48"/>
        <v>#N/A</v>
      </c>
      <c r="AD208" s="653"/>
      <c r="AE208" s="354"/>
      <c r="AF208" s="362"/>
      <c r="AG208" s="362"/>
      <c r="AH208" s="354" t="e">
        <f t="shared" si="49"/>
        <v>#N/A</v>
      </c>
      <c r="AI208" s="653"/>
      <c r="AJ208" s="354"/>
      <c r="AK208" s="362"/>
      <c r="AL208" s="362"/>
      <c r="AM208" s="354" t="e">
        <f t="shared" si="50"/>
        <v>#N/A</v>
      </c>
      <c r="AN208" s="653"/>
      <c r="AO208" s="354"/>
      <c r="AP208" s="362"/>
      <c r="AQ208" s="362"/>
      <c r="AR208" s="354" t="e">
        <f t="shared" si="51"/>
        <v>#N/A</v>
      </c>
      <c r="AS208" s="653"/>
      <c r="AT208" s="354"/>
      <c r="AU208" s="362"/>
      <c r="AV208" s="362"/>
      <c r="AW208" s="354" t="e">
        <f t="shared" si="52"/>
        <v>#N/A</v>
      </c>
      <c r="AX208" s="653"/>
      <c r="AZ208" s="377" t="e">
        <f t="shared" si="53"/>
        <v>#N/A</v>
      </c>
      <c r="BA208" s="653"/>
    </row>
    <row r="209" spans="2:53">
      <c r="B209" s="635"/>
      <c r="C209" s="354">
        <v>28</v>
      </c>
      <c r="D209" s="223"/>
      <c r="E209" s="182"/>
      <c r="F209" s="354"/>
      <c r="G209" s="362"/>
      <c r="H209" s="678"/>
      <c r="I209" s="379" t="str">
        <f t="shared" si="45"/>
        <v>-</v>
      </c>
      <c r="J209" s="379" t="str">
        <f t="shared" si="45"/>
        <v>-</v>
      </c>
      <c r="K209" s="363" t="str">
        <f t="shared" si="45"/>
        <v>-</v>
      </c>
      <c r="L209" s="615"/>
      <c r="M209" s="365" t="e">
        <f>RANK(K209, K$147:$K$176)</f>
        <v>#VALUE!</v>
      </c>
      <c r="N209" s="624"/>
      <c r="O209" s="624"/>
      <c r="P209" s="354"/>
      <c r="Q209" s="362"/>
      <c r="R209" s="362"/>
      <c r="S209" s="354" t="e">
        <f t="shared" si="46"/>
        <v>#N/A</v>
      </c>
      <c r="T209" s="653"/>
      <c r="U209" s="354"/>
      <c r="V209" s="362"/>
      <c r="W209" s="362"/>
      <c r="X209" s="354" t="e">
        <f t="shared" si="47"/>
        <v>#N/A</v>
      </c>
      <c r="Y209" s="653"/>
      <c r="Z209" s="354"/>
      <c r="AA209" s="362"/>
      <c r="AB209" s="362"/>
      <c r="AC209" s="354" t="e">
        <f t="shared" si="48"/>
        <v>#N/A</v>
      </c>
      <c r="AD209" s="653"/>
      <c r="AE209" s="354"/>
      <c r="AF209" s="362"/>
      <c r="AG209" s="362"/>
      <c r="AH209" s="354" t="e">
        <f t="shared" si="49"/>
        <v>#N/A</v>
      </c>
      <c r="AI209" s="653"/>
      <c r="AJ209" s="354"/>
      <c r="AK209" s="362"/>
      <c r="AL209" s="362"/>
      <c r="AM209" s="354" t="e">
        <f t="shared" si="50"/>
        <v>#N/A</v>
      </c>
      <c r="AN209" s="653"/>
      <c r="AO209" s="354"/>
      <c r="AP209" s="362"/>
      <c r="AQ209" s="362"/>
      <c r="AR209" s="354" t="e">
        <f t="shared" si="51"/>
        <v>#N/A</v>
      </c>
      <c r="AS209" s="653"/>
      <c r="AT209" s="354"/>
      <c r="AU209" s="362"/>
      <c r="AV209" s="362"/>
      <c r="AW209" s="354" t="e">
        <f t="shared" si="52"/>
        <v>#N/A</v>
      </c>
      <c r="AX209" s="653"/>
      <c r="AZ209" s="377" t="e">
        <f t="shared" si="53"/>
        <v>#N/A</v>
      </c>
      <c r="BA209" s="653"/>
    </row>
    <row r="210" spans="2:53">
      <c r="B210" s="635"/>
      <c r="C210" s="354">
        <v>29</v>
      </c>
      <c r="D210" s="223"/>
      <c r="E210" s="182"/>
      <c r="F210" s="354"/>
      <c r="G210" s="362"/>
      <c r="H210" s="678"/>
      <c r="I210" s="379" t="str">
        <f t="shared" si="45"/>
        <v>-</v>
      </c>
      <c r="J210" s="379" t="str">
        <f t="shared" si="45"/>
        <v>-</v>
      </c>
      <c r="K210" s="363" t="str">
        <f t="shared" si="45"/>
        <v>-</v>
      </c>
      <c r="L210" s="615"/>
      <c r="M210" s="365" t="e">
        <f>RANK(K210, K$147:$K$176)</f>
        <v>#VALUE!</v>
      </c>
      <c r="N210" s="624"/>
      <c r="O210" s="624"/>
      <c r="P210" s="354"/>
      <c r="Q210" s="354"/>
      <c r="R210" s="354"/>
      <c r="S210" s="354" t="e">
        <f t="shared" si="46"/>
        <v>#N/A</v>
      </c>
      <c r="T210" s="653"/>
      <c r="U210" s="354"/>
      <c r="V210" s="354"/>
      <c r="W210" s="354"/>
      <c r="X210" s="354" t="e">
        <f t="shared" si="47"/>
        <v>#N/A</v>
      </c>
      <c r="Y210" s="653"/>
      <c r="Z210" s="354"/>
      <c r="AA210" s="354"/>
      <c r="AB210" s="354"/>
      <c r="AC210" s="354" t="e">
        <f t="shared" si="48"/>
        <v>#N/A</v>
      </c>
      <c r="AD210" s="653"/>
      <c r="AE210" s="354"/>
      <c r="AF210" s="354"/>
      <c r="AG210" s="354"/>
      <c r="AH210" s="354" t="e">
        <f t="shared" si="49"/>
        <v>#N/A</v>
      </c>
      <c r="AI210" s="653"/>
      <c r="AJ210" s="354"/>
      <c r="AK210" s="354"/>
      <c r="AL210" s="354"/>
      <c r="AM210" s="354" t="e">
        <f t="shared" si="50"/>
        <v>#N/A</v>
      </c>
      <c r="AN210" s="653"/>
      <c r="AO210" s="354"/>
      <c r="AP210" s="354"/>
      <c r="AQ210" s="354"/>
      <c r="AR210" s="354" t="e">
        <f t="shared" si="51"/>
        <v>#N/A</v>
      </c>
      <c r="AS210" s="653"/>
      <c r="AT210" s="354"/>
      <c r="AU210" s="354"/>
      <c r="AV210" s="354"/>
      <c r="AW210" s="354" t="e">
        <f t="shared" si="52"/>
        <v>#N/A</v>
      </c>
      <c r="AX210" s="653"/>
      <c r="AZ210" s="377" t="e">
        <f t="shared" si="53"/>
        <v>#N/A</v>
      </c>
      <c r="BA210" s="653"/>
    </row>
    <row r="211" spans="2:53">
      <c r="B211" s="635"/>
      <c r="C211" s="354">
        <v>30</v>
      </c>
      <c r="D211" s="223"/>
      <c r="E211" s="182"/>
      <c r="F211" s="354"/>
      <c r="G211" s="362"/>
      <c r="H211" s="679"/>
      <c r="I211" s="379" t="str">
        <f t="shared" si="45"/>
        <v>-</v>
      </c>
      <c r="J211" s="379" t="str">
        <f t="shared" si="45"/>
        <v>-</v>
      </c>
      <c r="K211" s="363" t="str">
        <f t="shared" si="45"/>
        <v>-</v>
      </c>
      <c r="L211" s="616"/>
      <c r="M211" s="365" t="e">
        <f>RANK(K211, K$147:$K$176)</f>
        <v>#VALUE!</v>
      </c>
      <c r="N211" s="624"/>
      <c r="O211" s="624"/>
      <c r="P211" s="354"/>
      <c r="Q211" s="354"/>
      <c r="R211" s="354"/>
      <c r="S211" s="354" t="e">
        <f t="shared" si="46"/>
        <v>#N/A</v>
      </c>
      <c r="T211" s="653"/>
      <c r="U211" s="354"/>
      <c r="V211" s="354"/>
      <c r="W211" s="354"/>
      <c r="X211" s="354" t="e">
        <f t="shared" si="47"/>
        <v>#N/A</v>
      </c>
      <c r="Y211" s="653"/>
      <c r="Z211" s="354"/>
      <c r="AA211" s="354"/>
      <c r="AB211" s="354"/>
      <c r="AC211" s="354" t="e">
        <f t="shared" si="48"/>
        <v>#N/A</v>
      </c>
      <c r="AD211" s="653"/>
      <c r="AE211" s="354"/>
      <c r="AF211" s="354"/>
      <c r="AG211" s="354"/>
      <c r="AH211" s="354" t="e">
        <f t="shared" si="49"/>
        <v>#N/A</v>
      </c>
      <c r="AI211" s="653"/>
      <c r="AJ211" s="354"/>
      <c r="AK211" s="354"/>
      <c r="AL211" s="354"/>
      <c r="AM211" s="354" t="e">
        <f t="shared" si="50"/>
        <v>#N/A</v>
      </c>
      <c r="AN211" s="653"/>
      <c r="AO211" s="354"/>
      <c r="AP211" s="354"/>
      <c r="AQ211" s="354"/>
      <c r="AR211" s="354" t="e">
        <f t="shared" si="51"/>
        <v>#N/A</v>
      </c>
      <c r="AS211" s="653"/>
      <c r="AT211" s="354"/>
      <c r="AU211" s="354"/>
      <c r="AV211" s="354"/>
      <c r="AW211" s="354" t="e">
        <f t="shared" si="52"/>
        <v>#N/A</v>
      </c>
      <c r="AX211" s="653"/>
      <c r="AZ211" s="377" t="e">
        <f t="shared" si="53"/>
        <v>#N/A</v>
      </c>
      <c r="BA211" s="653"/>
    </row>
    <row r="213" spans="2:53" ht="15.75">
      <c r="B213" s="666" t="s">
        <v>520</v>
      </c>
      <c r="C213" s="667"/>
      <c r="D213" s="667"/>
      <c r="E213" s="667"/>
      <c r="F213" s="667"/>
      <c r="G213" s="667"/>
      <c r="H213" s="668"/>
      <c r="I213" s="286"/>
      <c r="J213" s="286"/>
      <c r="K213" s="286"/>
      <c r="L213" s="286"/>
      <c r="M213" s="287"/>
    </row>
    <row r="214" spans="2:53" ht="15.75">
      <c r="B214" s="669"/>
      <c r="C214" s="669"/>
      <c r="D214" s="669"/>
      <c r="E214" s="669"/>
      <c r="F214" s="669"/>
      <c r="G214" s="669"/>
      <c r="H214" s="669"/>
      <c r="I214" s="360"/>
      <c r="J214" s="360"/>
      <c r="K214" s="360"/>
      <c r="L214" s="360"/>
      <c r="M214" s="289"/>
    </row>
    <row r="215" spans="2:53">
      <c r="B215" s="624" t="s">
        <v>506</v>
      </c>
      <c r="C215" s="624" t="s">
        <v>507</v>
      </c>
      <c r="D215" s="624"/>
      <c r="E215" s="624" t="s">
        <v>508</v>
      </c>
      <c r="F215" s="624"/>
      <c r="G215" s="624"/>
      <c r="H215" s="624" t="s">
        <v>509</v>
      </c>
      <c r="I215" s="670" t="s">
        <v>510</v>
      </c>
      <c r="J215" s="670"/>
      <c r="K215" s="670"/>
      <c r="L215" s="670" t="s">
        <v>509</v>
      </c>
      <c r="M215" s="670" t="s">
        <v>511</v>
      </c>
    </row>
    <row r="216" spans="2:53">
      <c r="B216" s="624"/>
      <c r="C216" s="624"/>
      <c r="D216" s="624"/>
      <c r="E216" s="624" t="s">
        <v>514</v>
      </c>
      <c r="F216" s="624"/>
      <c r="G216" s="624"/>
      <c r="H216" s="624"/>
      <c r="I216" s="670" t="s">
        <v>514</v>
      </c>
      <c r="J216" s="670"/>
      <c r="K216" s="670"/>
      <c r="L216" s="670"/>
      <c r="M216" s="670"/>
    </row>
    <row r="217" spans="2:53">
      <c r="B217" s="624"/>
      <c r="C217" s="624"/>
      <c r="D217" s="624"/>
      <c r="E217" s="353" t="s">
        <v>516</v>
      </c>
      <c r="F217" s="353" t="s">
        <v>517</v>
      </c>
      <c r="G217" s="353" t="s">
        <v>518</v>
      </c>
      <c r="H217" s="624"/>
      <c r="I217" s="361" t="s">
        <v>516</v>
      </c>
      <c r="J217" s="361" t="s">
        <v>517</v>
      </c>
      <c r="K217" s="361" t="s">
        <v>518</v>
      </c>
      <c r="L217" s="670"/>
      <c r="M217" s="670"/>
    </row>
    <row r="218" spans="2:53">
      <c r="B218" s="624" t="s">
        <v>526</v>
      </c>
      <c r="C218" s="354">
        <v>1</v>
      </c>
      <c r="D218" s="354"/>
      <c r="E218" s="182"/>
      <c r="F218" s="354"/>
      <c r="G218" s="362"/>
      <c r="H218" s="653" t="e">
        <f>AVERAGE(G218:G247)</f>
        <v>#DIV/0!</v>
      </c>
      <c r="I218" s="365" t="e">
        <f t="shared" ref="I218:K241" si="54">AVERAGEIF($D$7:$D$211,$D218,I$7:I$211)</f>
        <v>#DIV/0!</v>
      </c>
      <c r="J218" s="365" t="e">
        <f t="shared" si="54"/>
        <v>#DIV/0!</v>
      </c>
      <c r="K218" s="365" t="e">
        <f t="shared" si="54"/>
        <v>#DIV/0!</v>
      </c>
      <c r="L218" s="673" t="e">
        <f>AVERAGE(K218:K247)</f>
        <v>#DIV/0!</v>
      </c>
      <c r="M218" s="365" t="e">
        <f>RANK(K218, K$218:$K$247)</f>
        <v>#DIV/0!</v>
      </c>
    </row>
    <row r="219" spans="2:53">
      <c r="B219" s="635"/>
      <c r="C219" s="354">
        <v>2</v>
      </c>
      <c r="D219" s="354"/>
      <c r="E219" s="182"/>
      <c r="F219" s="354"/>
      <c r="G219" s="362"/>
      <c r="H219" s="653"/>
      <c r="I219" s="365" t="e">
        <f t="shared" si="54"/>
        <v>#DIV/0!</v>
      </c>
      <c r="J219" s="365" t="e">
        <f t="shared" si="54"/>
        <v>#DIV/0!</v>
      </c>
      <c r="K219" s="365" t="e">
        <f t="shared" si="54"/>
        <v>#DIV/0!</v>
      </c>
      <c r="L219" s="673"/>
      <c r="M219" s="365" t="e">
        <f>RANK(K219, K$218:$K$247)</f>
        <v>#DIV/0!</v>
      </c>
    </row>
    <row r="220" spans="2:53">
      <c r="B220" s="635"/>
      <c r="C220" s="354">
        <v>3</v>
      </c>
      <c r="D220" s="354"/>
      <c r="E220" s="182"/>
      <c r="F220" s="354"/>
      <c r="G220" s="362"/>
      <c r="H220" s="653"/>
      <c r="I220" s="365" t="e">
        <f t="shared" si="54"/>
        <v>#DIV/0!</v>
      </c>
      <c r="J220" s="365" t="e">
        <f t="shared" si="54"/>
        <v>#DIV/0!</v>
      </c>
      <c r="K220" s="365" t="e">
        <f t="shared" si="54"/>
        <v>#DIV/0!</v>
      </c>
      <c r="L220" s="673"/>
      <c r="M220" s="365" t="e">
        <f>RANK(K220, K$218:$K$247)</f>
        <v>#DIV/0!</v>
      </c>
    </row>
    <row r="221" spans="2:53">
      <c r="B221" s="635"/>
      <c r="C221" s="354">
        <v>4</v>
      </c>
      <c r="D221" s="354"/>
      <c r="E221" s="182"/>
      <c r="F221" s="354"/>
      <c r="G221" s="362"/>
      <c r="H221" s="653"/>
      <c r="I221" s="365" t="e">
        <f t="shared" si="54"/>
        <v>#DIV/0!</v>
      </c>
      <c r="J221" s="365" t="e">
        <f t="shared" si="54"/>
        <v>#DIV/0!</v>
      </c>
      <c r="K221" s="365" t="e">
        <f t="shared" si="54"/>
        <v>#DIV/0!</v>
      </c>
      <c r="L221" s="673"/>
      <c r="M221" s="365" t="e">
        <f>RANK(K221, K$218:$K$247)</f>
        <v>#DIV/0!</v>
      </c>
    </row>
    <row r="222" spans="2:53">
      <c r="B222" s="635"/>
      <c r="C222" s="354">
        <v>5</v>
      </c>
      <c r="D222" s="354"/>
      <c r="E222" s="182"/>
      <c r="F222" s="354"/>
      <c r="G222" s="362"/>
      <c r="H222" s="653"/>
      <c r="I222" s="365" t="e">
        <f t="shared" si="54"/>
        <v>#DIV/0!</v>
      </c>
      <c r="J222" s="365" t="e">
        <f t="shared" si="54"/>
        <v>#DIV/0!</v>
      </c>
      <c r="K222" s="365" t="e">
        <f t="shared" si="54"/>
        <v>#DIV/0!</v>
      </c>
      <c r="L222" s="673"/>
      <c r="M222" s="365" t="e">
        <f>RANK(K222, K$218:$K$247)</f>
        <v>#DIV/0!</v>
      </c>
    </row>
    <row r="223" spans="2:53">
      <c r="B223" s="635"/>
      <c r="C223" s="354">
        <v>6</v>
      </c>
      <c r="D223" s="354"/>
      <c r="E223" s="182"/>
      <c r="F223" s="354"/>
      <c r="G223" s="362"/>
      <c r="H223" s="653"/>
      <c r="I223" s="365" t="e">
        <f t="shared" si="54"/>
        <v>#DIV/0!</v>
      </c>
      <c r="J223" s="365" t="e">
        <f t="shared" si="54"/>
        <v>#DIV/0!</v>
      </c>
      <c r="K223" s="365" t="e">
        <f t="shared" si="54"/>
        <v>#DIV/0!</v>
      </c>
      <c r="L223" s="673"/>
      <c r="M223" s="365" t="e">
        <f>RANK(K223, K$218:$K$247)</f>
        <v>#DIV/0!</v>
      </c>
    </row>
    <row r="224" spans="2:53">
      <c r="B224" s="635"/>
      <c r="C224" s="354">
        <v>7</v>
      </c>
      <c r="D224" s="354"/>
      <c r="E224" s="182"/>
      <c r="F224" s="354"/>
      <c r="G224" s="362"/>
      <c r="H224" s="653"/>
      <c r="I224" s="365" t="e">
        <f t="shared" si="54"/>
        <v>#DIV/0!</v>
      </c>
      <c r="J224" s="365" t="e">
        <f t="shared" si="54"/>
        <v>#DIV/0!</v>
      </c>
      <c r="K224" s="365" t="e">
        <f t="shared" si="54"/>
        <v>#DIV/0!</v>
      </c>
      <c r="L224" s="673"/>
      <c r="M224" s="365" t="e">
        <f>RANK(K224, K$218:$K$247)</f>
        <v>#DIV/0!</v>
      </c>
    </row>
    <row r="225" spans="2:13" s="108" customFormat="1">
      <c r="B225" s="635"/>
      <c r="C225" s="354">
        <v>8</v>
      </c>
      <c r="D225" s="354"/>
      <c r="E225" s="182"/>
      <c r="F225" s="354"/>
      <c r="G225" s="362"/>
      <c r="H225" s="653"/>
      <c r="I225" s="365" t="e">
        <f t="shared" si="54"/>
        <v>#DIV/0!</v>
      </c>
      <c r="J225" s="365" t="e">
        <f t="shared" si="54"/>
        <v>#DIV/0!</v>
      </c>
      <c r="K225" s="365" t="e">
        <f t="shared" si="54"/>
        <v>#DIV/0!</v>
      </c>
      <c r="L225" s="673"/>
      <c r="M225" s="365" t="e">
        <f>RANK(K225, K$218:$K$247)</f>
        <v>#DIV/0!</v>
      </c>
    </row>
    <row r="226" spans="2:13" s="108" customFormat="1">
      <c r="B226" s="635"/>
      <c r="C226" s="354">
        <v>9</v>
      </c>
      <c r="D226" s="354"/>
      <c r="E226" s="182"/>
      <c r="F226" s="354"/>
      <c r="G226" s="362"/>
      <c r="H226" s="653"/>
      <c r="I226" s="365" t="e">
        <f t="shared" si="54"/>
        <v>#DIV/0!</v>
      </c>
      <c r="J226" s="365" t="e">
        <f t="shared" si="54"/>
        <v>#DIV/0!</v>
      </c>
      <c r="K226" s="365" t="e">
        <f t="shared" si="54"/>
        <v>#DIV/0!</v>
      </c>
      <c r="L226" s="673"/>
      <c r="M226" s="365" t="e">
        <f>RANK(K226, K$218:$K$247)</f>
        <v>#DIV/0!</v>
      </c>
    </row>
    <row r="227" spans="2:13" s="108" customFormat="1">
      <c r="B227" s="635"/>
      <c r="C227" s="354">
        <v>10</v>
      </c>
      <c r="D227" s="354"/>
      <c r="E227" s="182"/>
      <c r="F227" s="354"/>
      <c r="G227" s="362"/>
      <c r="H227" s="653"/>
      <c r="I227" s="365" t="e">
        <f t="shared" si="54"/>
        <v>#DIV/0!</v>
      </c>
      <c r="J227" s="365" t="e">
        <f t="shared" si="54"/>
        <v>#DIV/0!</v>
      </c>
      <c r="K227" s="365" t="e">
        <f t="shared" si="54"/>
        <v>#DIV/0!</v>
      </c>
      <c r="L227" s="673"/>
      <c r="M227" s="365" t="e">
        <f>RANK(K227, K$218:$K$247)</f>
        <v>#DIV/0!</v>
      </c>
    </row>
    <row r="228" spans="2:13" s="108" customFormat="1">
      <c r="B228" s="635"/>
      <c r="C228" s="354">
        <v>11</v>
      </c>
      <c r="D228" s="354"/>
      <c r="E228" s="182"/>
      <c r="F228" s="354"/>
      <c r="G228" s="362"/>
      <c r="H228" s="653"/>
      <c r="I228" s="365" t="e">
        <f t="shared" si="54"/>
        <v>#DIV/0!</v>
      </c>
      <c r="J228" s="365" t="e">
        <f t="shared" si="54"/>
        <v>#DIV/0!</v>
      </c>
      <c r="K228" s="365" t="e">
        <f t="shared" si="54"/>
        <v>#DIV/0!</v>
      </c>
      <c r="L228" s="673"/>
      <c r="M228" s="365" t="e">
        <f>RANK(K228, K$218:$K$247)</f>
        <v>#DIV/0!</v>
      </c>
    </row>
    <row r="229" spans="2:13" s="108" customFormat="1">
      <c r="B229" s="635"/>
      <c r="C229" s="354">
        <v>12</v>
      </c>
      <c r="D229" s="354"/>
      <c r="E229" s="182"/>
      <c r="F229" s="354"/>
      <c r="G229" s="362"/>
      <c r="H229" s="653"/>
      <c r="I229" s="365" t="e">
        <f t="shared" si="54"/>
        <v>#DIV/0!</v>
      </c>
      <c r="J229" s="365" t="e">
        <f t="shared" si="54"/>
        <v>#DIV/0!</v>
      </c>
      <c r="K229" s="365" t="e">
        <f t="shared" si="54"/>
        <v>#DIV/0!</v>
      </c>
      <c r="L229" s="673"/>
      <c r="M229" s="365" t="e">
        <f>RANK(K229, K$218:$K$247)</f>
        <v>#DIV/0!</v>
      </c>
    </row>
    <row r="230" spans="2:13" s="108" customFormat="1">
      <c r="B230" s="635"/>
      <c r="C230" s="354">
        <v>13</v>
      </c>
      <c r="D230" s="354"/>
      <c r="E230" s="182"/>
      <c r="F230" s="354"/>
      <c r="G230" s="362"/>
      <c r="H230" s="653"/>
      <c r="I230" s="365" t="e">
        <f t="shared" si="54"/>
        <v>#DIV/0!</v>
      </c>
      <c r="J230" s="365" t="e">
        <f t="shared" si="54"/>
        <v>#DIV/0!</v>
      </c>
      <c r="K230" s="365" t="e">
        <f t="shared" si="54"/>
        <v>#DIV/0!</v>
      </c>
      <c r="L230" s="673"/>
      <c r="M230" s="365" t="e">
        <f>RANK(K230, K$218:$K$247)</f>
        <v>#DIV/0!</v>
      </c>
    </row>
    <row r="231" spans="2:13" s="108" customFormat="1">
      <c r="B231" s="635"/>
      <c r="C231" s="354">
        <v>14</v>
      </c>
      <c r="D231" s="354"/>
      <c r="E231" s="182"/>
      <c r="F231" s="354"/>
      <c r="G231" s="362"/>
      <c r="H231" s="653"/>
      <c r="I231" s="365" t="e">
        <f t="shared" si="54"/>
        <v>#DIV/0!</v>
      </c>
      <c r="J231" s="365" t="e">
        <f t="shared" si="54"/>
        <v>#DIV/0!</v>
      </c>
      <c r="K231" s="365" t="e">
        <f t="shared" si="54"/>
        <v>#DIV/0!</v>
      </c>
      <c r="L231" s="673"/>
      <c r="M231" s="365" t="e">
        <f>RANK(K231, K$218:$K$247)</f>
        <v>#DIV/0!</v>
      </c>
    </row>
    <row r="232" spans="2:13" s="108" customFormat="1">
      <c r="B232" s="635"/>
      <c r="C232" s="354">
        <v>15</v>
      </c>
      <c r="D232" s="354"/>
      <c r="E232" s="182"/>
      <c r="F232" s="354"/>
      <c r="G232" s="362"/>
      <c r="H232" s="653"/>
      <c r="I232" s="365" t="e">
        <f t="shared" si="54"/>
        <v>#DIV/0!</v>
      </c>
      <c r="J232" s="365" t="e">
        <f t="shared" si="54"/>
        <v>#DIV/0!</v>
      </c>
      <c r="K232" s="365" t="e">
        <f t="shared" si="54"/>
        <v>#DIV/0!</v>
      </c>
      <c r="L232" s="673"/>
      <c r="M232" s="365" t="e">
        <f>RANK(K232, K$218:$K$247)</f>
        <v>#DIV/0!</v>
      </c>
    </row>
    <row r="233" spans="2:13" s="108" customFormat="1">
      <c r="B233" s="635"/>
      <c r="C233" s="354">
        <v>16</v>
      </c>
      <c r="D233" s="354"/>
      <c r="E233" s="182"/>
      <c r="F233" s="354"/>
      <c r="G233" s="362"/>
      <c r="H233" s="653"/>
      <c r="I233" s="365" t="e">
        <f t="shared" si="54"/>
        <v>#DIV/0!</v>
      </c>
      <c r="J233" s="365" t="e">
        <f t="shared" si="54"/>
        <v>#DIV/0!</v>
      </c>
      <c r="K233" s="365" t="e">
        <f t="shared" si="54"/>
        <v>#DIV/0!</v>
      </c>
      <c r="L233" s="673"/>
      <c r="M233" s="365" t="e">
        <f>RANK(K233, K$218:$K$247)</f>
        <v>#DIV/0!</v>
      </c>
    </row>
    <row r="234" spans="2:13" s="108" customFormat="1">
      <c r="B234" s="635"/>
      <c r="C234" s="354">
        <v>17</v>
      </c>
      <c r="D234" s="354"/>
      <c r="E234" s="182"/>
      <c r="F234" s="354"/>
      <c r="G234" s="362"/>
      <c r="H234" s="653"/>
      <c r="I234" s="365" t="e">
        <f t="shared" si="54"/>
        <v>#DIV/0!</v>
      </c>
      <c r="J234" s="365" t="e">
        <f t="shared" si="54"/>
        <v>#DIV/0!</v>
      </c>
      <c r="K234" s="365" t="e">
        <f t="shared" si="54"/>
        <v>#DIV/0!</v>
      </c>
      <c r="L234" s="673"/>
      <c r="M234" s="365" t="e">
        <f>RANK(K234, K$218:$K$247)</f>
        <v>#DIV/0!</v>
      </c>
    </row>
    <row r="235" spans="2:13" s="108" customFormat="1">
      <c r="B235" s="635"/>
      <c r="C235" s="354">
        <v>18</v>
      </c>
      <c r="D235" s="354"/>
      <c r="E235" s="182"/>
      <c r="F235" s="354"/>
      <c r="G235" s="362"/>
      <c r="H235" s="653"/>
      <c r="I235" s="365" t="e">
        <f t="shared" si="54"/>
        <v>#DIV/0!</v>
      </c>
      <c r="J235" s="365" t="e">
        <f t="shared" si="54"/>
        <v>#DIV/0!</v>
      </c>
      <c r="K235" s="365" t="e">
        <f t="shared" si="54"/>
        <v>#DIV/0!</v>
      </c>
      <c r="L235" s="673"/>
      <c r="M235" s="365" t="e">
        <f>RANK(K235, K$218:$K$247)</f>
        <v>#DIV/0!</v>
      </c>
    </row>
    <row r="236" spans="2:13" s="108" customFormat="1">
      <c r="B236" s="635"/>
      <c r="C236" s="354">
        <v>19</v>
      </c>
      <c r="D236" s="354"/>
      <c r="E236" s="182"/>
      <c r="F236" s="354"/>
      <c r="G236" s="362"/>
      <c r="H236" s="653"/>
      <c r="I236" s="365" t="e">
        <f t="shared" si="54"/>
        <v>#DIV/0!</v>
      </c>
      <c r="J236" s="365" t="e">
        <f t="shared" si="54"/>
        <v>#DIV/0!</v>
      </c>
      <c r="K236" s="365" t="e">
        <f t="shared" si="54"/>
        <v>#DIV/0!</v>
      </c>
      <c r="L236" s="673"/>
      <c r="M236" s="365" t="e">
        <f>RANK(K236, K$218:$K$247)</f>
        <v>#DIV/0!</v>
      </c>
    </row>
    <row r="237" spans="2:13" s="108" customFormat="1">
      <c r="B237" s="635"/>
      <c r="C237" s="354">
        <v>20</v>
      </c>
      <c r="D237" s="354"/>
      <c r="E237" s="182"/>
      <c r="F237" s="354"/>
      <c r="G237" s="362"/>
      <c r="H237" s="653"/>
      <c r="I237" s="365" t="e">
        <f t="shared" si="54"/>
        <v>#DIV/0!</v>
      </c>
      <c r="J237" s="365" t="e">
        <f t="shared" si="54"/>
        <v>#DIV/0!</v>
      </c>
      <c r="K237" s="365" t="e">
        <f t="shared" si="54"/>
        <v>#DIV/0!</v>
      </c>
      <c r="L237" s="673"/>
      <c r="M237" s="365" t="e">
        <f>RANK(K237, K$218:$K$247)</f>
        <v>#DIV/0!</v>
      </c>
    </row>
    <row r="238" spans="2:13" s="108" customFormat="1">
      <c r="B238" s="635"/>
      <c r="C238" s="354">
        <v>21</v>
      </c>
      <c r="D238" s="354"/>
      <c r="E238" s="182"/>
      <c r="F238" s="354"/>
      <c r="G238" s="362"/>
      <c r="H238" s="653"/>
      <c r="I238" s="365" t="e">
        <f t="shared" si="54"/>
        <v>#DIV/0!</v>
      </c>
      <c r="J238" s="365" t="e">
        <f t="shared" si="54"/>
        <v>#DIV/0!</v>
      </c>
      <c r="K238" s="365" t="e">
        <f t="shared" si="54"/>
        <v>#DIV/0!</v>
      </c>
      <c r="L238" s="673"/>
      <c r="M238" s="365" t="e">
        <f>RANK(K238, K$218:$K$247)</f>
        <v>#DIV/0!</v>
      </c>
    </row>
    <row r="239" spans="2:13" s="108" customFormat="1">
      <c r="B239" s="635"/>
      <c r="C239" s="354">
        <v>22</v>
      </c>
      <c r="D239" s="354"/>
      <c r="E239" s="182"/>
      <c r="F239" s="354"/>
      <c r="G239" s="362"/>
      <c r="H239" s="653"/>
      <c r="I239" s="365" t="e">
        <f t="shared" si="54"/>
        <v>#DIV/0!</v>
      </c>
      <c r="J239" s="365" t="e">
        <f t="shared" si="54"/>
        <v>#DIV/0!</v>
      </c>
      <c r="K239" s="365" t="e">
        <f t="shared" si="54"/>
        <v>#DIV/0!</v>
      </c>
      <c r="L239" s="673"/>
      <c r="M239" s="365" t="e">
        <f>RANK(K239, K$218:$K$247)</f>
        <v>#DIV/0!</v>
      </c>
    </row>
    <row r="240" spans="2:13" s="108" customFormat="1">
      <c r="B240" s="635"/>
      <c r="C240" s="354">
        <v>23</v>
      </c>
      <c r="D240" s="354"/>
      <c r="E240" s="182"/>
      <c r="F240" s="354"/>
      <c r="G240" s="362"/>
      <c r="H240" s="653"/>
      <c r="I240" s="365" t="e">
        <f t="shared" si="54"/>
        <v>#DIV/0!</v>
      </c>
      <c r="J240" s="365" t="e">
        <f t="shared" si="54"/>
        <v>#DIV/0!</v>
      </c>
      <c r="K240" s="365" t="e">
        <f t="shared" si="54"/>
        <v>#DIV/0!</v>
      </c>
      <c r="L240" s="673"/>
      <c r="M240" s="365" t="e">
        <f>RANK(K240, K$218:$K$247)</f>
        <v>#DIV/0!</v>
      </c>
    </row>
    <row r="241" spans="2:13" s="108" customFormat="1">
      <c r="B241" s="635"/>
      <c r="C241" s="354">
        <v>24</v>
      </c>
      <c r="D241" s="354"/>
      <c r="E241" s="182"/>
      <c r="F241" s="354"/>
      <c r="G241" s="362"/>
      <c r="H241" s="653"/>
      <c r="I241" s="365" t="e">
        <f t="shared" si="54"/>
        <v>#DIV/0!</v>
      </c>
      <c r="J241" s="365" t="e">
        <f t="shared" si="54"/>
        <v>#DIV/0!</v>
      </c>
      <c r="K241" s="365" t="e">
        <f t="shared" si="54"/>
        <v>#DIV/0!</v>
      </c>
      <c r="L241" s="673"/>
      <c r="M241" s="365" t="e">
        <f>RANK(K241, K$218:$K$247)</f>
        <v>#DIV/0!</v>
      </c>
    </row>
    <row r="242" spans="2:13" s="108" customFormat="1">
      <c r="B242" s="635"/>
      <c r="C242" s="354">
        <v>25</v>
      </c>
      <c r="D242" s="354"/>
      <c r="E242" s="182"/>
      <c r="F242" s="354"/>
      <c r="G242" s="362"/>
      <c r="H242" s="653"/>
      <c r="I242" s="365"/>
      <c r="J242" s="365"/>
      <c r="K242" s="365"/>
      <c r="L242" s="673"/>
      <c r="M242" s="365" t="e">
        <f>RANK(K242, K$218:$K$247)</f>
        <v>#DIV/0!</v>
      </c>
    </row>
    <row r="243" spans="2:13" s="108" customFormat="1">
      <c r="B243" s="635"/>
      <c r="C243" s="354">
        <v>26</v>
      </c>
      <c r="D243" s="354"/>
      <c r="E243" s="182"/>
      <c r="F243" s="354"/>
      <c r="G243" s="362"/>
      <c r="H243" s="653"/>
      <c r="I243" s="365"/>
      <c r="J243" s="365"/>
      <c r="K243" s="365"/>
      <c r="L243" s="673"/>
      <c r="M243" s="365" t="e">
        <f>RANK(K243, K$218:$K$247)</f>
        <v>#DIV/0!</v>
      </c>
    </row>
    <row r="244" spans="2:13" s="108" customFormat="1">
      <c r="B244" s="635"/>
      <c r="C244" s="354">
        <v>27</v>
      </c>
      <c r="D244" s="354"/>
      <c r="E244" s="182"/>
      <c r="F244" s="354"/>
      <c r="G244" s="362"/>
      <c r="H244" s="653"/>
      <c r="I244" s="365"/>
      <c r="J244" s="365"/>
      <c r="K244" s="365"/>
      <c r="L244" s="673"/>
      <c r="M244" s="365" t="e">
        <f>RANK(K244, K$218:$K$247)</f>
        <v>#DIV/0!</v>
      </c>
    </row>
    <row r="245" spans="2:13" s="108" customFormat="1">
      <c r="B245" s="635"/>
      <c r="C245" s="354">
        <v>28</v>
      </c>
      <c r="D245" s="354"/>
      <c r="E245" s="182"/>
      <c r="F245" s="354"/>
      <c r="G245" s="362"/>
      <c r="H245" s="653"/>
      <c r="I245" s="365"/>
      <c r="J245" s="365"/>
      <c r="K245" s="365"/>
      <c r="L245" s="673"/>
      <c r="M245" s="365" t="e">
        <f>RANK(K245, K$218:$K$247)</f>
        <v>#DIV/0!</v>
      </c>
    </row>
    <row r="246" spans="2:13" s="108" customFormat="1">
      <c r="B246" s="635"/>
      <c r="C246" s="354">
        <v>29</v>
      </c>
      <c r="D246" s="354"/>
      <c r="E246" s="182"/>
      <c r="F246" s="354"/>
      <c r="G246" s="362"/>
      <c r="H246" s="653"/>
      <c r="I246" s="365"/>
      <c r="J246" s="365"/>
      <c r="K246" s="365"/>
      <c r="L246" s="673"/>
      <c r="M246" s="365" t="e">
        <f>RANK(K246, K$218:$K$247)</f>
        <v>#DIV/0!</v>
      </c>
    </row>
    <row r="247" spans="2:13" s="108" customFormat="1">
      <c r="B247" s="635"/>
      <c r="C247" s="354">
        <v>30</v>
      </c>
      <c r="D247" s="354"/>
      <c r="E247" s="182"/>
      <c r="F247" s="354"/>
      <c r="G247" s="362"/>
      <c r="H247" s="653"/>
      <c r="I247" s="365"/>
      <c r="J247" s="365"/>
      <c r="K247" s="365"/>
      <c r="L247" s="673"/>
      <c r="M247" s="365" t="e">
        <f>RANK(K247, K$218:$K$247)</f>
        <v>#DIV/0!</v>
      </c>
    </row>
  </sheetData>
  <mergeCells count="372">
    <mergeCell ref="B218:B247"/>
    <mergeCell ref="H218:H247"/>
    <mergeCell ref="L218:L247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AX179:AX181"/>
    <mergeCell ref="B182:B211"/>
    <mergeCell ref="H182:H211"/>
    <mergeCell ref="L182:L211"/>
    <mergeCell ref="T182:T211"/>
    <mergeCell ref="Y182:Y211"/>
    <mergeCell ref="AD182:AD211"/>
    <mergeCell ref="AI182:AI211"/>
    <mergeCell ref="AN182:AN211"/>
    <mergeCell ref="AS182:AS211"/>
    <mergeCell ref="AX182:AX211"/>
    <mergeCell ref="AT179:AW179"/>
    <mergeCell ref="P179:S179"/>
    <mergeCell ref="T179:T181"/>
    <mergeCell ref="U179:X179"/>
    <mergeCell ref="Y179:Y181"/>
    <mergeCell ref="AJ180:AM180"/>
    <mergeCell ref="AO180:AR180"/>
    <mergeCell ref="AT180:AW180"/>
    <mergeCell ref="AD179:AD181"/>
    <mergeCell ref="AE179:AH179"/>
    <mergeCell ref="AI179:AI181"/>
    <mergeCell ref="AJ179:AM179"/>
    <mergeCell ref="AN179:AN181"/>
    <mergeCell ref="AO179:AR179"/>
    <mergeCell ref="AS179:AS181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AT178:AX178"/>
    <mergeCell ref="E180:G180"/>
    <mergeCell ref="I180:K180"/>
    <mergeCell ref="P180:S180"/>
    <mergeCell ref="U180:X180"/>
    <mergeCell ref="Z180:AC180"/>
    <mergeCell ref="AE180:AH180"/>
    <mergeCell ref="P178:T178"/>
    <mergeCell ref="U178:Y178"/>
    <mergeCell ref="Z178:AD178"/>
    <mergeCell ref="AE178:AI178"/>
    <mergeCell ref="AJ178:AN178"/>
    <mergeCell ref="AO178:AS178"/>
    <mergeCell ref="Z179:AC179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AX42:AX71"/>
    <mergeCell ref="B72:H73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AX74:AX76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AO75:AR75"/>
    <mergeCell ref="AT75:AW75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T110:AW110"/>
    <mergeCell ref="AO109:AR109"/>
    <mergeCell ref="AX77:AX106"/>
    <mergeCell ref="B107:H108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Y109:Y111"/>
    <mergeCell ref="Z109:AC109"/>
    <mergeCell ref="AX109:AX111"/>
    <mergeCell ref="E110:G110"/>
    <mergeCell ref="B144:B146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P144:S144"/>
    <mergeCell ref="T144:T146"/>
    <mergeCell ref="U144:X144"/>
    <mergeCell ref="U109:X109"/>
    <mergeCell ref="I110:K110"/>
    <mergeCell ref="P110:S110"/>
    <mergeCell ref="U110:X110"/>
    <mergeCell ref="Z110:AC110"/>
    <mergeCell ref="Y147:Y176"/>
    <mergeCell ref="AD147:AD176"/>
    <mergeCell ref="AI147:AI176"/>
    <mergeCell ref="AE144:AH144"/>
    <mergeCell ref="AI144:AI146"/>
    <mergeCell ref="Z144:AC144"/>
    <mergeCell ref="AD109:AD111"/>
    <mergeCell ref="AE109:AH109"/>
    <mergeCell ref="AI109:AI111"/>
    <mergeCell ref="C109:D111"/>
    <mergeCell ref="AS112:AS141"/>
    <mergeCell ref="H109:H111"/>
    <mergeCell ref="I109:K109"/>
    <mergeCell ref="L109:L111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E109:G109"/>
    <mergeCell ref="AO110:AR110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BA42:BA71"/>
    <mergeCell ref="BA77:BA106"/>
    <mergeCell ref="BA112:BA141"/>
    <mergeCell ref="AX112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S109:AS111"/>
    <mergeCell ref="AT109:AW109"/>
    <mergeCell ref="B109:B111"/>
    <mergeCell ref="BA147:BA176"/>
    <mergeCell ref="BA182:BA211"/>
    <mergeCell ref="B147:B17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C144:D146"/>
    <mergeCell ref="E144:G144"/>
    <mergeCell ref="H144:H146"/>
    <mergeCell ref="I144:K144"/>
    <mergeCell ref="L144:L146"/>
    <mergeCell ref="AD144:AD146"/>
    <mergeCell ref="AE145:AH145"/>
    <mergeCell ref="Z145:AC145"/>
    <mergeCell ref="Y144:Y14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CC"/>
  </sheetPr>
  <dimension ref="A1:BB142"/>
  <sheetViews>
    <sheetView topLeftCell="A43" zoomScale="40" zoomScaleNormal="40" workbookViewId="0">
      <pane xSplit="15" topLeftCell="P1" activePane="topRight" state="frozen"/>
      <selection activeCell="AX87" sqref="P87:AX101"/>
      <selection pane="topRight" activeCell="AI87" sqref="AI87:AI10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18" t="s">
        <v>307</v>
      </c>
      <c r="C1" s="217">
        <f>AVERAGE(L7,L27,L47,L67,L87,L107)</f>
        <v>71.358623225565808</v>
      </c>
    </row>
    <row r="2" spans="1:54" ht="15.75">
      <c r="A2" s="81"/>
      <c r="B2" s="643" t="s">
        <v>496</v>
      </c>
      <c r="C2" s="643"/>
      <c r="D2" s="643"/>
      <c r="E2" s="643"/>
      <c r="F2" s="643"/>
      <c r="G2" s="643"/>
      <c r="H2" s="643"/>
      <c r="I2" s="355"/>
      <c r="J2" s="355"/>
      <c r="K2" s="355"/>
      <c r="L2" s="355"/>
      <c r="M2" s="197"/>
      <c r="N2" s="639" t="s">
        <v>497</v>
      </c>
      <c r="O2" s="639" t="s">
        <v>498</v>
      </c>
      <c r="P2" s="634"/>
      <c r="Q2" s="635"/>
      <c r="R2" s="635"/>
      <c r="S2" s="635"/>
      <c r="T2" s="635"/>
      <c r="U2" s="636">
        <v>46204</v>
      </c>
      <c r="V2" s="637"/>
      <c r="W2" s="637"/>
      <c r="X2" s="637"/>
      <c r="Y2" s="638"/>
      <c r="Z2" s="636">
        <f>U2+1</f>
        <v>46205</v>
      </c>
      <c r="AA2" s="637"/>
      <c r="AB2" s="637"/>
      <c r="AC2" s="637"/>
      <c r="AD2" s="638"/>
      <c r="AE2" s="636">
        <f>Z2+1</f>
        <v>46206</v>
      </c>
      <c r="AF2" s="637"/>
      <c r="AG2" s="637"/>
      <c r="AH2" s="637"/>
      <c r="AI2" s="638"/>
      <c r="AJ2" s="636">
        <f>AE2+1</f>
        <v>46207</v>
      </c>
      <c r="AK2" s="637"/>
      <c r="AL2" s="637"/>
      <c r="AM2" s="637"/>
      <c r="AN2" s="638"/>
      <c r="AO2" s="636">
        <f>AJ2+1</f>
        <v>46208</v>
      </c>
      <c r="AP2" s="637"/>
      <c r="AQ2" s="637"/>
      <c r="AR2" s="637"/>
      <c r="AS2" s="638"/>
      <c r="AT2" s="636">
        <f>AO2+1</f>
        <v>46209</v>
      </c>
      <c r="AU2" s="637"/>
      <c r="AV2" s="637"/>
      <c r="AW2" s="637"/>
      <c r="AX2" s="638"/>
    </row>
    <row r="3" spans="1:54" ht="15.75">
      <c r="A3" s="81"/>
      <c r="B3" s="659"/>
      <c r="C3" s="659"/>
      <c r="D3" s="659"/>
      <c r="E3" s="659"/>
      <c r="F3" s="659"/>
      <c r="G3" s="659"/>
      <c r="H3" s="659"/>
      <c r="I3" s="356"/>
      <c r="J3" s="356"/>
      <c r="K3" s="356"/>
      <c r="L3" s="356"/>
      <c r="M3" s="198"/>
      <c r="N3" s="641"/>
      <c r="O3" s="641"/>
      <c r="P3" s="636" t="s">
        <v>499</v>
      </c>
      <c r="Q3" s="637"/>
      <c r="R3" s="637"/>
      <c r="S3" s="637"/>
      <c r="T3" s="638"/>
      <c r="U3" s="636" t="s">
        <v>500</v>
      </c>
      <c r="V3" s="637"/>
      <c r="W3" s="637"/>
      <c r="X3" s="637"/>
      <c r="Y3" s="638"/>
      <c r="Z3" s="636" t="s">
        <v>501</v>
      </c>
      <c r="AA3" s="637"/>
      <c r="AB3" s="637"/>
      <c r="AC3" s="637"/>
      <c r="AD3" s="638"/>
      <c r="AE3" s="636" t="s">
        <v>502</v>
      </c>
      <c r="AF3" s="637"/>
      <c r="AG3" s="637"/>
      <c r="AH3" s="637"/>
      <c r="AI3" s="638"/>
      <c r="AJ3" s="636" t="s">
        <v>503</v>
      </c>
      <c r="AK3" s="637"/>
      <c r="AL3" s="637"/>
      <c r="AM3" s="637"/>
      <c r="AN3" s="638"/>
      <c r="AO3" s="636" t="s">
        <v>504</v>
      </c>
      <c r="AP3" s="637"/>
      <c r="AQ3" s="637"/>
      <c r="AR3" s="637"/>
      <c r="AS3" s="638"/>
      <c r="AT3" s="636" t="s">
        <v>505</v>
      </c>
      <c r="AU3" s="637"/>
      <c r="AV3" s="637"/>
      <c r="AW3" s="637"/>
      <c r="AX3" s="638"/>
    </row>
    <row r="4" spans="1:54" ht="14.25">
      <c r="A4" s="81"/>
      <c r="B4" s="624" t="s">
        <v>760</v>
      </c>
      <c r="C4" s="624" t="s">
        <v>761</v>
      </c>
      <c r="D4" s="624"/>
      <c r="E4" s="624" t="s">
        <v>762</v>
      </c>
      <c r="F4" s="624"/>
      <c r="G4" s="624"/>
      <c r="H4" s="647" t="s">
        <v>763</v>
      </c>
      <c r="I4" s="617" t="s">
        <v>764</v>
      </c>
      <c r="J4" s="617"/>
      <c r="K4" s="617"/>
      <c r="L4" s="618" t="s">
        <v>763</v>
      </c>
      <c r="M4" s="628" t="s">
        <v>773</v>
      </c>
      <c r="N4" s="624"/>
      <c r="O4" s="624" t="s">
        <v>598</v>
      </c>
      <c r="P4" s="621" t="s">
        <v>599</v>
      </c>
      <c r="Q4" s="622"/>
      <c r="R4" s="622"/>
      <c r="S4" s="623"/>
      <c r="T4" s="624" t="s">
        <v>573</v>
      </c>
      <c r="U4" s="621" t="s">
        <v>599</v>
      </c>
      <c r="V4" s="622"/>
      <c r="W4" s="622"/>
      <c r="X4" s="623"/>
      <c r="Y4" s="624" t="s">
        <v>573</v>
      </c>
      <c r="Z4" s="621" t="s">
        <v>599</v>
      </c>
      <c r="AA4" s="622"/>
      <c r="AB4" s="622"/>
      <c r="AC4" s="623"/>
      <c r="AD4" s="624" t="s">
        <v>573</v>
      </c>
      <c r="AE4" s="621" t="s">
        <v>599</v>
      </c>
      <c r="AF4" s="622"/>
      <c r="AG4" s="622"/>
      <c r="AH4" s="623"/>
      <c r="AI4" s="624" t="s">
        <v>573</v>
      </c>
      <c r="AJ4" s="621" t="s">
        <v>599</v>
      </c>
      <c r="AK4" s="622"/>
      <c r="AL4" s="622"/>
      <c r="AM4" s="623"/>
      <c r="AN4" s="624" t="s">
        <v>573</v>
      </c>
      <c r="AO4" s="621" t="s">
        <v>599</v>
      </c>
      <c r="AP4" s="622"/>
      <c r="AQ4" s="622"/>
      <c r="AR4" s="623"/>
      <c r="AS4" s="624" t="s">
        <v>573</v>
      </c>
      <c r="AT4" s="621" t="s">
        <v>599</v>
      </c>
      <c r="AU4" s="622"/>
      <c r="AV4" s="622"/>
      <c r="AW4" s="623"/>
      <c r="AX4" s="624" t="s">
        <v>573</v>
      </c>
    </row>
    <row r="5" spans="1:54" ht="14.25">
      <c r="A5" s="81"/>
      <c r="B5" s="624"/>
      <c r="C5" s="624"/>
      <c r="D5" s="624"/>
      <c r="E5" s="624" t="s">
        <v>765</v>
      </c>
      <c r="F5" s="624"/>
      <c r="G5" s="624"/>
      <c r="H5" s="648"/>
      <c r="I5" s="617" t="s">
        <v>765</v>
      </c>
      <c r="J5" s="617"/>
      <c r="K5" s="617"/>
      <c r="L5" s="619"/>
      <c r="M5" s="629"/>
      <c r="N5" s="624"/>
      <c r="O5" s="624"/>
      <c r="P5" s="621" t="s">
        <v>582</v>
      </c>
      <c r="Q5" s="622"/>
      <c r="R5" s="622"/>
      <c r="S5" s="623"/>
      <c r="T5" s="624"/>
      <c r="U5" s="621" t="s">
        <v>582</v>
      </c>
      <c r="V5" s="622"/>
      <c r="W5" s="622"/>
      <c r="X5" s="623"/>
      <c r="Y5" s="624"/>
      <c r="Z5" s="621" t="s">
        <v>582</v>
      </c>
      <c r="AA5" s="622"/>
      <c r="AB5" s="622"/>
      <c r="AC5" s="623"/>
      <c r="AD5" s="624"/>
      <c r="AE5" s="621" t="s">
        <v>582</v>
      </c>
      <c r="AF5" s="622"/>
      <c r="AG5" s="622"/>
      <c r="AH5" s="623"/>
      <c r="AI5" s="624"/>
      <c r="AJ5" s="621" t="s">
        <v>582</v>
      </c>
      <c r="AK5" s="622"/>
      <c r="AL5" s="622"/>
      <c r="AM5" s="623"/>
      <c r="AN5" s="624"/>
      <c r="AO5" s="621" t="s">
        <v>582</v>
      </c>
      <c r="AP5" s="622"/>
      <c r="AQ5" s="622"/>
      <c r="AR5" s="623"/>
      <c r="AS5" s="624"/>
      <c r="AT5" s="621" t="s">
        <v>582</v>
      </c>
      <c r="AU5" s="622"/>
      <c r="AV5" s="622"/>
      <c r="AW5" s="623"/>
      <c r="AX5" s="624"/>
    </row>
    <row r="6" spans="1:54" ht="14.25">
      <c r="A6" s="79"/>
      <c r="B6" s="624"/>
      <c r="C6" s="624"/>
      <c r="D6" s="624"/>
      <c r="E6" s="482" t="s">
        <v>766</v>
      </c>
      <c r="F6" s="482" t="s">
        <v>767</v>
      </c>
      <c r="G6" s="482" t="s">
        <v>768</v>
      </c>
      <c r="H6" s="649"/>
      <c r="I6" s="481" t="s">
        <v>766</v>
      </c>
      <c r="J6" s="481" t="s">
        <v>767</v>
      </c>
      <c r="K6" s="481" t="s">
        <v>768</v>
      </c>
      <c r="L6" s="620"/>
      <c r="M6" s="630"/>
      <c r="N6" s="624"/>
      <c r="O6" s="624"/>
      <c r="P6" s="413" t="s">
        <v>585</v>
      </c>
      <c r="Q6" s="413" t="s">
        <v>586</v>
      </c>
      <c r="R6" s="413" t="s">
        <v>587</v>
      </c>
      <c r="S6" s="413" t="s">
        <v>588</v>
      </c>
      <c r="T6" s="624"/>
      <c r="U6" s="413" t="s">
        <v>585</v>
      </c>
      <c r="V6" s="413" t="s">
        <v>586</v>
      </c>
      <c r="W6" s="413" t="s">
        <v>587</v>
      </c>
      <c r="X6" s="413" t="s">
        <v>588</v>
      </c>
      <c r="Y6" s="624"/>
      <c r="Z6" s="413" t="s">
        <v>585</v>
      </c>
      <c r="AA6" s="413" t="s">
        <v>586</v>
      </c>
      <c r="AB6" s="413" t="s">
        <v>587</v>
      </c>
      <c r="AC6" s="413" t="s">
        <v>588</v>
      </c>
      <c r="AD6" s="624"/>
      <c r="AE6" s="413" t="s">
        <v>585</v>
      </c>
      <c r="AF6" s="413" t="s">
        <v>586</v>
      </c>
      <c r="AG6" s="413" t="s">
        <v>587</v>
      </c>
      <c r="AH6" s="413" t="s">
        <v>588</v>
      </c>
      <c r="AI6" s="624"/>
      <c r="AJ6" s="413" t="s">
        <v>585</v>
      </c>
      <c r="AK6" s="413" t="s">
        <v>586</v>
      </c>
      <c r="AL6" s="413" t="s">
        <v>587</v>
      </c>
      <c r="AM6" s="413" t="s">
        <v>588</v>
      </c>
      <c r="AN6" s="624"/>
      <c r="AO6" s="413" t="s">
        <v>585</v>
      </c>
      <c r="AP6" s="413" t="s">
        <v>586</v>
      </c>
      <c r="AQ6" s="413" t="s">
        <v>587</v>
      </c>
      <c r="AR6" s="413" t="s">
        <v>588</v>
      </c>
      <c r="AS6" s="624"/>
      <c r="AT6" s="413" t="s">
        <v>585</v>
      </c>
      <c r="AU6" s="413" t="s">
        <v>586</v>
      </c>
      <c r="AV6" s="413" t="s">
        <v>587</v>
      </c>
      <c r="AW6" s="413" t="s">
        <v>588</v>
      </c>
      <c r="AX6" s="624"/>
    </row>
    <row r="7" spans="1:54" ht="14.25">
      <c r="A7" s="81"/>
      <c r="B7" s="624" t="s">
        <v>787</v>
      </c>
      <c r="C7" s="483">
        <v>1</v>
      </c>
      <c r="D7" s="223" t="s">
        <v>722</v>
      </c>
      <c r="E7" s="538">
        <v>17</v>
      </c>
      <c r="F7" s="529">
        <v>1440</v>
      </c>
      <c r="G7" s="530">
        <v>84.7</v>
      </c>
      <c r="H7" s="677">
        <f>AVERAGE(G7:G21)</f>
        <v>80.15384615384616</v>
      </c>
      <c r="I7" s="487">
        <f t="shared" ref="I7:K20" si="0">IFERROR(AVERAGE(P7,U7,Z7,AE7,AJ7,AO7,AT7),"-")</f>
        <v>17</v>
      </c>
      <c r="J7" s="487">
        <f t="shared" si="0"/>
        <v>1275.1474572575853</v>
      </c>
      <c r="K7" s="363">
        <f t="shared" si="0"/>
        <v>75.008673956328536</v>
      </c>
      <c r="L7" s="614">
        <f>IFERROR(AVERAGE(K7:K21),"-")</f>
        <v>71.860029058504225</v>
      </c>
      <c r="M7" s="489">
        <f>RANK(K7, K$7:$K$21)</f>
        <v>5</v>
      </c>
      <c r="N7" s="624"/>
      <c r="O7" s="624"/>
      <c r="P7" s="411"/>
      <c r="Q7" s="182"/>
      <c r="R7" s="182"/>
      <c r="S7" s="411"/>
      <c r="T7" s="653"/>
      <c r="U7" s="529">
        <v>17</v>
      </c>
      <c r="V7" s="538">
        <v>1270.6250000000005</v>
      </c>
      <c r="W7" s="538">
        <v>74.74264705882355</v>
      </c>
      <c r="X7" s="529">
        <v>5</v>
      </c>
      <c r="Y7" s="653">
        <v>72.303897793137708</v>
      </c>
      <c r="Z7" s="529">
        <v>17</v>
      </c>
      <c r="AA7" s="538">
        <v>1259.9999999999989</v>
      </c>
      <c r="AB7" s="538">
        <v>74.117647058823465</v>
      </c>
      <c r="AC7" s="529">
        <v>5</v>
      </c>
      <c r="AD7" s="653">
        <v>71.809182697489575</v>
      </c>
      <c r="AE7" s="529">
        <v>17</v>
      </c>
      <c r="AF7" s="538">
        <v>1279.1999999999989</v>
      </c>
      <c r="AG7" s="538">
        <v>75.247058823529343</v>
      </c>
      <c r="AH7" s="529">
        <v>5</v>
      </c>
      <c r="AI7" s="653">
        <v>72.28586712161831</v>
      </c>
      <c r="AJ7" s="529">
        <v>17</v>
      </c>
      <c r="AK7" s="538">
        <v>1274.8387096774195</v>
      </c>
      <c r="AL7" s="538">
        <v>74.990512333965853</v>
      </c>
      <c r="AM7" s="529">
        <v>4</v>
      </c>
      <c r="AN7" s="653">
        <v>71.667256465038733</v>
      </c>
      <c r="AO7" s="529">
        <v>17</v>
      </c>
      <c r="AP7" s="538">
        <v>1271.515151515152</v>
      </c>
      <c r="AQ7" s="538">
        <v>74.795008912656002</v>
      </c>
      <c r="AR7" s="529">
        <v>5</v>
      </c>
      <c r="AS7" s="653">
        <v>71.763464348509856</v>
      </c>
      <c r="AT7" s="529">
        <v>17</v>
      </c>
      <c r="AU7" s="538">
        <v>1294.7058823529419</v>
      </c>
      <c r="AV7" s="538">
        <v>76.159169550173047</v>
      </c>
      <c r="AW7" s="529">
        <v>4</v>
      </c>
      <c r="AX7" s="653">
        <v>71.330505925231208</v>
      </c>
      <c r="AZ7" s="364" t="e">
        <f>RANK(AX7, $K$7:AX$21)</f>
        <v>#VALUE!</v>
      </c>
      <c r="BB7" s="354" t="e">
        <f>RANK(BA7, BA$7:BA$21)</f>
        <v>#N/A</v>
      </c>
    </row>
    <row r="8" spans="1:54" ht="15" customHeight="1">
      <c r="A8" s="81"/>
      <c r="B8" s="635"/>
      <c r="C8" s="483">
        <v>2</v>
      </c>
      <c r="D8" s="223" t="s">
        <v>342</v>
      </c>
      <c r="E8" s="538">
        <v>18</v>
      </c>
      <c r="F8" s="529">
        <v>1440</v>
      </c>
      <c r="G8" s="530">
        <v>80</v>
      </c>
      <c r="H8" s="678"/>
      <c r="I8" s="487">
        <f t="shared" si="0"/>
        <v>18</v>
      </c>
      <c r="J8" s="487">
        <f t="shared" si="0"/>
        <v>1281.2894919210696</v>
      </c>
      <c r="K8" s="363">
        <f t="shared" si="0"/>
        <v>71.182749551170545</v>
      </c>
      <c r="L8" s="615"/>
      <c r="M8" s="489">
        <f>RANK(K8, K$7:$K$21)</f>
        <v>6</v>
      </c>
      <c r="N8" s="624"/>
      <c r="O8" s="624"/>
      <c r="P8" s="411"/>
      <c r="Q8" s="182"/>
      <c r="R8" s="182"/>
      <c r="S8" s="411"/>
      <c r="T8" s="653"/>
      <c r="U8" s="529">
        <v>18</v>
      </c>
      <c r="V8" s="538">
        <v>1279.4594594594585</v>
      </c>
      <c r="W8" s="538">
        <v>71.081081081081024</v>
      </c>
      <c r="X8" s="529">
        <v>7</v>
      </c>
      <c r="Y8" s="653"/>
      <c r="Z8" s="529">
        <v>18</v>
      </c>
      <c r="AA8" s="538">
        <v>1263.0769230769224</v>
      </c>
      <c r="AB8" s="538">
        <v>70.170940170940128</v>
      </c>
      <c r="AC8" s="529">
        <v>9</v>
      </c>
      <c r="AD8" s="653"/>
      <c r="AE8" s="529">
        <v>18</v>
      </c>
      <c r="AF8" s="538">
        <v>1301.9999999999977</v>
      </c>
      <c r="AG8" s="538">
        <v>72.333333333333201</v>
      </c>
      <c r="AH8" s="529">
        <v>6</v>
      </c>
      <c r="AI8" s="653"/>
      <c r="AJ8" s="529">
        <v>18</v>
      </c>
      <c r="AK8" s="538">
        <v>1300.5405405405395</v>
      </c>
      <c r="AL8" s="538">
        <v>72.252252252252191</v>
      </c>
      <c r="AM8" s="529">
        <v>6</v>
      </c>
      <c r="AN8" s="653"/>
      <c r="AO8" s="529">
        <v>18</v>
      </c>
      <c r="AP8" s="538">
        <v>1261.5789473684201</v>
      </c>
      <c r="AQ8" s="538">
        <v>70.08771929824556</v>
      </c>
      <c r="AR8" s="529">
        <v>8</v>
      </c>
      <c r="AS8" s="653"/>
      <c r="AT8" s="529">
        <v>18</v>
      </c>
      <c r="AU8" s="538">
        <v>1281.0810810810801</v>
      </c>
      <c r="AV8" s="538">
        <v>71.171171171171125</v>
      </c>
      <c r="AW8" s="529">
        <v>6</v>
      </c>
      <c r="AX8" s="653"/>
      <c r="AZ8" s="364" t="e">
        <f>RANK(AX8, $K$7:AX$21)</f>
        <v>#VALUE!</v>
      </c>
      <c r="BB8" s="354" t="e">
        <f t="shared" ref="BB8:BB21" si="1">RANK(BA8, BA$7:BA$21)</f>
        <v>#N/A</v>
      </c>
    </row>
    <row r="9" spans="1:54" ht="14.25">
      <c r="A9" s="81"/>
      <c r="B9" s="635"/>
      <c r="C9" s="483">
        <v>3</v>
      </c>
      <c r="D9" s="223" t="s">
        <v>343</v>
      </c>
      <c r="E9" s="538">
        <v>17</v>
      </c>
      <c r="F9" s="529">
        <v>1440</v>
      </c>
      <c r="G9" s="530">
        <v>84.7</v>
      </c>
      <c r="H9" s="678"/>
      <c r="I9" s="487">
        <f t="shared" si="0"/>
        <v>17</v>
      </c>
      <c r="J9" s="487">
        <f t="shared" si="0"/>
        <v>1324.667937237484</v>
      </c>
      <c r="K9" s="363">
        <f t="shared" si="0"/>
        <v>77.921643366910814</v>
      </c>
      <c r="L9" s="615"/>
      <c r="M9" s="489">
        <f>RANK(K9, K$7:$K$21)</f>
        <v>3</v>
      </c>
      <c r="N9" s="624"/>
      <c r="O9" s="624"/>
      <c r="P9" s="411"/>
      <c r="Q9" s="182"/>
      <c r="R9" s="182"/>
      <c r="S9" s="411"/>
      <c r="T9" s="653"/>
      <c r="U9" s="529">
        <v>17</v>
      </c>
      <c r="V9" s="538">
        <v>1339.0588235294115</v>
      </c>
      <c r="W9" s="538">
        <v>78.768166089965376</v>
      </c>
      <c r="X9" s="529">
        <v>3</v>
      </c>
      <c r="Y9" s="653"/>
      <c r="Z9" s="529">
        <v>17</v>
      </c>
      <c r="AA9" s="538">
        <v>1337.0370370370365</v>
      </c>
      <c r="AB9" s="538">
        <v>78.649237472766856</v>
      </c>
      <c r="AC9" s="529">
        <v>3</v>
      </c>
      <c r="AD9" s="653"/>
      <c r="AE9" s="529">
        <v>17</v>
      </c>
      <c r="AF9" s="538">
        <v>1346.1971830985917</v>
      </c>
      <c r="AG9" s="538">
        <v>79.188069594034801</v>
      </c>
      <c r="AH9" s="529">
        <v>2</v>
      </c>
      <c r="AI9" s="653"/>
      <c r="AJ9" s="529">
        <v>17</v>
      </c>
      <c r="AK9" s="538">
        <v>1306.3636363636365</v>
      </c>
      <c r="AL9" s="538">
        <v>76.84491978609627</v>
      </c>
      <c r="AM9" s="529">
        <v>3</v>
      </c>
      <c r="AN9" s="653"/>
      <c r="AO9" s="529">
        <v>17</v>
      </c>
      <c r="AP9" s="538">
        <v>1315.2000000000003</v>
      </c>
      <c r="AQ9" s="538">
        <v>77.364705882352951</v>
      </c>
      <c r="AR9" s="529">
        <v>3</v>
      </c>
      <c r="AS9" s="653"/>
      <c r="AT9" s="529">
        <v>17</v>
      </c>
      <c r="AU9" s="538">
        <v>1304.1509433962271</v>
      </c>
      <c r="AV9" s="538">
        <v>76.71476137624866</v>
      </c>
      <c r="AW9" s="529">
        <v>3</v>
      </c>
      <c r="AX9" s="653"/>
      <c r="AZ9" s="364" t="e">
        <f>RANK(AX9, $K$7:AX$21)</f>
        <v>#VALUE!</v>
      </c>
      <c r="BB9" s="354" t="e">
        <f t="shared" si="1"/>
        <v>#N/A</v>
      </c>
    </row>
    <row r="10" spans="1:54" ht="14.25">
      <c r="A10" s="81"/>
      <c r="B10" s="635"/>
      <c r="C10" s="483">
        <v>4</v>
      </c>
      <c r="D10" s="223" t="s">
        <v>344</v>
      </c>
      <c r="E10" s="538">
        <v>17</v>
      </c>
      <c r="F10" s="529">
        <v>1440</v>
      </c>
      <c r="G10" s="530">
        <v>84.7</v>
      </c>
      <c r="H10" s="678"/>
      <c r="I10" s="487" t="str">
        <f t="shared" si="0"/>
        <v>-</v>
      </c>
      <c r="J10" s="487" t="str">
        <f t="shared" si="0"/>
        <v>-</v>
      </c>
      <c r="K10" s="363" t="str">
        <f t="shared" si="0"/>
        <v>-</v>
      </c>
      <c r="L10" s="615"/>
      <c r="M10" s="489" t="e">
        <f>RANK(K10, K$7:$K$21)</f>
        <v>#VALUE!</v>
      </c>
      <c r="N10" s="624"/>
      <c r="O10" s="624"/>
      <c r="P10" s="411"/>
      <c r="Q10" s="182"/>
      <c r="R10" s="182"/>
      <c r="S10" s="411"/>
      <c r="T10" s="653"/>
      <c r="U10" s="529" t="s">
        <v>427</v>
      </c>
      <c r="V10" s="538" t="s">
        <v>427</v>
      </c>
      <c r="W10" s="538" t="s">
        <v>427</v>
      </c>
      <c r="X10" s="529" t="e">
        <v>#VALUE!</v>
      </c>
      <c r="Y10" s="653"/>
      <c r="Z10" s="529" t="s">
        <v>427</v>
      </c>
      <c r="AA10" s="538" t="s">
        <v>427</v>
      </c>
      <c r="AB10" s="538" t="s">
        <v>427</v>
      </c>
      <c r="AC10" s="529" t="e">
        <v>#VALUE!</v>
      </c>
      <c r="AD10" s="653"/>
      <c r="AE10" s="529" t="s">
        <v>427</v>
      </c>
      <c r="AF10" s="538" t="s">
        <v>427</v>
      </c>
      <c r="AG10" s="538" t="s">
        <v>427</v>
      </c>
      <c r="AH10" s="529" t="e">
        <v>#VALUE!</v>
      </c>
      <c r="AI10" s="653"/>
      <c r="AJ10" s="529" t="s">
        <v>427</v>
      </c>
      <c r="AK10" s="538" t="s">
        <v>427</v>
      </c>
      <c r="AL10" s="538" t="s">
        <v>427</v>
      </c>
      <c r="AM10" s="529" t="e">
        <v>#VALUE!</v>
      </c>
      <c r="AN10" s="653"/>
      <c r="AO10" s="529" t="s">
        <v>427</v>
      </c>
      <c r="AP10" s="538" t="s">
        <v>427</v>
      </c>
      <c r="AQ10" s="538" t="s">
        <v>427</v>
      </c>
      <c r="AR10" s="529" t="e">
        <v>#VALUE!</v>
      </c>
      <c r="AS10" s="653"/>
      <c r="AT10" s="529" t="s">
        <v>427</v>
      </c>
      <c r="AU10" s="538" t="s">
        <v>427</v>
      </c>
      <c r="AV10" s="538" t="s">
        <v>427</v>
      </c>
      <c r="AW10" s="529" t="e">
        <v>#VALUE!</v>
      </c>
      <c r="AX10" s="653"/>
      <c r="AZ10" s="364" t="e">
        <f>RANK(AX10, $K$7:AX$21)</f>
        <v>#VALUE!</v>
      </c>
      <c r="BB10" s="354" t="e">
        <f t="shared" si="1"/>
        <v>#N/A</v>
      </c>
    </row>
    <row r="11" spans="1:54" ht="14.25">
      <c r="A11" s="81"/>
      <c r="B11" s="635"/>
      <c r="C11" s="483">
        <v>5</v>
      </c>
      <c r="D11" s="223" t="s">
        <v>345</v>
      </c>
      <c r="E11" s="538">
        <v>21</v>
      </c>
      <c r="F11" s="529">
        <v>1385</v>
      </c>
      <c r="G11" s="530">
        <v>65.900000000000006</v>
      </c>
      <c r="H11" s="678"/>
      <c r="I11" s="487">
        <f t="shared" si="0"/>
        <v>21</v>
      </c>
      <c r="J11" s="487">
        <f t="shared" si="0"/>
        <v>1285.0331565552769</v>
      </c>
      <c r="K11" s="363">
        <f t="shared" si="0"/>
        <v>61.192055074060796</v>
      </c>
      <c r="L11" s="615"/>
      <c r="M11" s="489">
        <f>RANK(K11, K$7:$K$21)</f>
        <v>11</v>
      </c>
      <c r="N11" s="624"/>
      <c r="O11" s="624"/>
      <c r="P11" s="411"/>
      <c r="Q11" s="182"/>
      <c r="R11" s="182"/>
      <c r="S11" s="411"/>
      <c r="T11" s="653"/>
      <c r="U11" s="529">
        <v>21</v>
      </c>
      <c r="V11" s="538">
        <v>1285.102040816327</v>
      </c>
      <c r="W11" s="538">
        <v>61.195335276967953</v>
      </c>
      <c r="X11" s="529">
        <v>11</v>
      </c>
      <c r="Y11" s="653"/>
      <c r="Z11" s="529">
        <v>21</v>
      </c>
      <c r="AA11" s="538">
        <v>1269.8823529411761</v>
      </c>
      <c r="AB11" s="538">
        <v>60.470588235294102</v>
      </c>
      <c r="AC11" s="529">
        <v>11</v>
      </c>
      <c r="AD11" s="653"/>
      <c r="AE11" s="529">
        <v>21</v>
      </c>
      <c r="AF11" s="538">
        <v>1302.8571428571418</v>
      </c>
      <c r="AG11" s="538">
        <v>62.04081632653056</v>
      </c>
      <c r="AH11" s="529">
        <v>11</v>
      </c>
      <c r="AI11" s="653"/>
      <c r="AJ11" s="529">
        <v>21</v>
      </c>
      <c r="AK11" s="538">
        <v>1276.0465116279067</v>
      </c>
      <c r="AL11" s="538">
        <v>60.764119601328893</v>
      </c>
      <c r="AM11" s="529">
        <v>11</v>
      </c>
      <c r="AN11" s="653"/>
      <c r="AO11" s="529">
        <v>21</v>
      </c>
      <c r="AP11" s="538">
        <v>1268.9108910891093</v>
      </c>
      <c r="AQ11" s="538">
        <v>60.424328147100447</v>
      </c>
      <c r="AR11" s="529">
        <v>11</v>
      </c>
      <c r="AS11" s="653"/>
      <c r="AT11" s="529">
        <v>21</v>
      </c>
      <c r="AU11" s="538">
        <v>1307.4000000000003</v>
      </c>
      <c r="AV11" s="538">
        <v>62.257142857142874</v>
      </c>
      <c r="AW11" s="529">
        <v>11</v>
      </c>
      <c r="AX11" s="653"/>
      <c r="AZ11" s="364" t="e">
        <f>RANK(AX11, $K$7:AX$21)</f>
        <v>#VALUE!</v>
      </c>
      <c r="BB11" s="354" t="e">
        <f t="shared" si="1"/>
        <v>#N/A</v>
      </c>
    </row>
    <row r="12" spans="1:54" ht="14.25">
      <c r="A12" s="81"/>
      <c r="B12" s="635"/>
      <c r="C12" s="483">
        <v>6</v>
      </c>
      <c r="D12" s="223" t="s">
        <v>346</v>
      </c>
      <c r="E12" s="538">
        <v>19</v>
      </c>
      <c r="F12" s="529">
        <v>1440</v>
      </c>
      <c r="G12" s="530">
        <v>75.8</v>
      </c>
      <c r="H12" s="678"/>
      <c r="I12" s="487">
        <f t="shared" si="0"/>
        <v>19</v>
      </c>
      <c r="J12" s="487">
        <f t="shared" si="0"/>
        <v>1340.7149784310789</v>
      </c>
      <c r="K12" s="363">
        <f t="shared" si="0"/>
        <v>70.563946233214679</v>
      </c>
      <c r="L12" s="615"/>
      <c r="M12" s="489">
        <f>RANK(K12, K$7:$K$21)</f>
        <v>8</v>
      </c>
      <c r="N12" s="624"/>
      <c r="O12" s="624"/>
      <c r="P12" s="411"/>
      <c r="Q12" s="182"/>
      <c r="R12" s="182"/>
      <c r="S12" s="411"/>
      <c r="T12" s="653"/>
      <c r="U12" s="529">
        <v>19</v>
      </c>
      <c r="V12" s="538">
        <v>1356.9863013698618</v>
      </c>
      <c r="W12" s="538">
        <v>71.420331651045359</v>
      </c>
      <c r="X12" s="529">
        <v>6</v>
      </c>
      <c r="Y12" s="653"/>
      <c r="Z12" s="529">
        <v>19</v>
      </c>
      <c r="AA12" s="538">
        <v>1334.0740740740735</v>
      </c>
      <c r="AB12" s="538">
        <v>70.21442495126702</v>
      </c>
      <c r="AC12" s="529">
        <v>8</v>
      </c>
      <c r="AD12" s="653"/>
      <c r="AE12" s="529">
        <v>19</v>
      </c>
      <c r="AF12" s="538">
        <v>1344.7826086956522</v>
      </c>
      <c r="AG12" s="538">
        <v>70.778032036613283</v>
      </c>
      <c r="AH12" s="529">
        <v>8</v>
      </c>
      <c r="AI12" s="653"/>
      <c r="AJ12" s="529">
        <v>19</v>
      </c>
      <c r="AK12" s="538">
        <v>1329.5238095238108</v>
      </c>
      <c r="AL12" s="538">
        <v>69.974937343358462</v>
      </c>
      <c r="AM12" s="529">
        <v>9</v>
      </c>
      <c r="AN12" s="653"/>
      <c r="AO12" s="529">
        <v>19</v>
      </c>
      <c r="AP12" s="538">
        <v>1346.923076923076</v>
      </c>
      <c r="AQ12" s="538">
        <v>70.890688259109268</v>
      </c>
      <c r="AR12" s="529">
        <v>7</v>
      </c>
      <c r="AS12" s="653"/>
      <c r="AT12" s="529">
        <v>19</v>
      </c>
      <c r="AU12" s="538">
        <v>1331.9999999999989</v>
      </c>
      <c r="AV12" s="538">
        <v>70.105263157894683</v>
      </c>
      <c r="AW12" s="529">
        <v>9</v>
      </c>
      <c r="AX12" s="653"/>
      <c r="AZ12" s="364" t="e">
        <f>RANK(AX12, $K$7:AX$21)</f>
        <v>#VALUE!</v>
      </c>
      <c r="BB12" s="354" t="e">
        <f t="shared" si="1"/>
        <v>#N/A</v>
      </c>
    </row>
    <row r="13" spans="1:54" ht="14.25">
      <c r="A13" s="81"/>
      <c r="B13" s="635"/>
      <c r="C13" s="483">
        <v>7</v>
      </c>
      <c r="D13" s="223" t="s">
        <v>408</v>
      </c>
      <c r="E13" s="538">
        <v>18</v>
      </c>
      <c r="F13" s="529">
        <v>1385</v>
      </c>
      <c r="G13" s="530">
        <v>76.900000000000006</v>
      </c>
      <c r="H13" s="678"/>
      <c r="I13" s="487">
        <f t="shared" si="0"/>
        <v>18</v>
      </c>
      <c r="J13" s="487">
        <f t="shared" si="0"/>
        <v>1270.7931930703626</v>
      </c>
      <c r="K13" s="363">
        <f t="shared" si="0"/>
        <v>70.599621837242367</v>
      </c>
      <c r="L13" s="615"/>
      <c r="M13" s="489">
        <f>RANK(K13, K$7:$K$21)</f>
        <v>7</v>
      </c>
      <c r="N13" s="624"/>
      <c r="O13" s="624"/>
      <c r="P13" s="411"/>
      <c r="Q13" s="182"/>
      <c r="R13" s="182"/>
      <c r="S13" s="411"/>
      <c r="T13" s="653"/>
      <c r="U13" s="529">
        <v>18</v>
      </c>
      <c r="V13" s="538">
        <v>1266.6666666666679</v>
      </c>
      <c r="W13" s="538">
        <v>70.370370370370438</v>
      </c>
      <c r="X13" s="529">
        <v>8</v>
      </c>
      <c r="Y13" s="653"/>
      <c r="Z13" s="529">
        <v>18</v>
      </c>
      <c r="AA13" s="538">
        <v>1267.1186440677975</v>
      </c>
      <c r="AB13" s="538">
        <v>70.395480225988749</v>
      </c>
      <c r="AC13" s="529">
        <v>6</v>
      </c>
      <c r="AD13" s="653"/>
      <c r="AE13" s="529">
        <v>18</v>
      </c>
      <c r="AF13" s="538">
        <v>1276.4705882352946</v>
      </c>
      <c r="AG13" s="538">
        <v>70.915032679738587</v>
      </c>
      <c r="AH13" s="529">
        <v>7</v>
      </c>
      <c r="AI13" s="653"/>
      <c r="AJ13" s="529">
        <v>18</v>
      </c>
      <c r="AK13" s="538">
        <v>1267.1186440677975</v>
      </c>
      <c r="AL13" s="538">
        <v>70.395480225988749</v>
      </c>
      <c r="AM13" s="529">
        <v>7</v>
      </c>
      <c r="AN13" s="653"/>
      <c r="AO13" s="529">
        <v>18</v>
      </c>
      <c r="AP13" s="538">
        <v>1280.0000000000014</v>
      </c>
      <c r="AQ13" s="538">
        <v>71.111111111111185</v>
      </c>
      <c r="AR13" s="529">
        <v>6</v>
      </c>
      <c r="AS13" s="653"/>
      <c r="AT13" s="529">
        <v>18</v>
      </c>
      <c r="AU13" s="538">
        <v>1267.3846153846168</v>
      </c>
      <c r="AV13" s="538">
        <v>70.410256410256494</v>
      </c>
      <c r="AW13" s="529">
        <v>8</v>
      </c>
      <c r="AX13" s="653"/>
      <c r="AZ13" s="364" t="e">
        <f>RANK(AX13, $K$7:AX$21)</f>
        <v>#VALUE!</v>
      </c>
      <c r="BB13" s="354" t="e">
        <f t="shared" si="1"/>
        <v>#N/A</v>
      </c>
    </row>
    <row r="14" spans="1:54" ht="14.25">
      <c r="A14" s="81"/>
      <c r="B14" s="635"/>
      <c r="C14" s="483">
        <v>8</v>
      </c>
      <c r="D14" s="223" t="s">
        <v>410</v>
      </c>
      <c r="E14" s="538">
        <v>18</v>
      </c>
      <c r="F14" s="529">
        <v>1385</v>
      </c>
      <c r="G14" s="530">
        <v>76.900000000000006</v>
      </c>
      <c r="H14" s="678"/>
      <c r="I14" s="487">
        <f t="shared" si="0"/>
        <v>18.166666666666668</v>
      </c>
      <c r="J14" s="487">
        <f t="shared" si="0"/>
        <v>1260.3209583209582</v>
      </c>
      <c r="K14" s="363">
        <f t="shared" si="0"/>
        <v>69.387990651148542</v>
      </c>
      <c r="L14" s="615"/>
      <c r="M14" s="489">
        <f>RANK(K14, K$7:$K$21)</f>
        <v>10</v>
      </c>
      <c r="N14" s="624"/>
      <c r="O14" s="624"/>
      <c r="P14" s="411"/>
      <c r="Q14" s="182"/>
      <c r="R14" s="182"/>
      <c r="S14" s="411"/>
      <c r="T14" s="653"/>
      <c r="U14" s="529">
        <v>18</v>
      </c>
      <c r="V14" s="538">
        <v>1254.8571428571415</v>
      </c>
      <c r="W14" s="538">
        <v>69.714285714285637</v>
      </c>
      <c r="X14" s="529">
        <v>9</v>
      </c>
      <c r="Y14" s="653"/>
      <c r="Z14" s="529">
        <v>18</v>
      </c>
      <c r="AA14" s="538">
        <v>1245.4054054054045</v>
      </c>
      <c r="AB14" s="538">
        <v>69.189189189189136</v>
      </c>
      <c r="AC14" s="529">
        <v>10</v>
      </c>
      <c r="AD14" s="653"/>
      <c r="AE14" s="529">
        <v>18</v>
      </c>
      <c r="AF14" s="538">
        <v>1260.0000000000043</v>
      </c>
      <c r="AG14" s="538">
        <v>70.000000000000242</v>
      </c>
      <c r="AH14" s="529">
        <v>9</v>
      </c>
      <c r="AI14" s="653"/>
      <c r="AJ14" s="529">
        <v>18</v>
      </c>
      <c r="AK14" s="538">
        <v>1230.76923076923</v>
      </c>
      <c r="AL14" s="538">
        <v>68.376068376068332</v>
      </c>
      <c r="AM14" s="529">
        <v>10</v>
      </c>
      <c r="AN14" s="653"/>
      <c r="AO14" s="529">
        <v>19</v>
      </c>
      <c r="AP14" s="538">
        <v>1292.4324324324314</v>
      </c>
      <c r="AQ14" s="538">
        <v>68.022759601706909</v>
      </c>
      <c r="AR14" s="529">
        <v>10</v>
      </c>
      <c r="AS14" s="653"/>
      <c r="AT14" s="529">
        <v>18</v>
      </c>
      <c r="AU14" s="538">
        <v>1278.4615384615377</v>
      </c>
      <c r="AV14" s="538">
        <v>71.025641025640979</v>
      </c>
      <c r="AW14" s="529">
        <v>7</v>
      </c>
      <c r="AX14" s="653"/>
      <c r="AZ14" s="364" t="e">
        <f>RANK(AX14, $K$7:AX$21)</f>
        <v>#VALUE!</v>
      </c>
      <c r="BB14" s="354" t="e">
        <f t="shared" si="1"/>
        <v>#N/A</v>
      </c>
    </row>
    <row r="15" spans="1:54" ht="14.25">
      <c r="A15" s="81"/>
      <c r="B15" s="635"/>
      <c r="C15" s="483">
        <v>9</v>
      </c>
      <c r="D15" s="223" t="s">
        <v>429</v>
      </c>
      <c r="E15" s="538">
        <v>16</v>
      </c>
      <c r="F15" s="529">
        <v>1440</v>
      </c>
      <c r="G15" s="530">
        <v>90</v>
      </c>
      <c r="H15" s="678"/>
      <c r="I15" s="487">
        <f t="shared" si="0"/>
        <v>16</v>
      </c>
      <c r="J15" s="487">
        <f t="shared" si="0"/>
        <v>1332.4504690549118</v>
      </c>
      <c r="K15" s="363">
        <f t="shared" si="0"/>
        <v>83.278154315931985</v>
      </c>
      <c r="L15" s="615"/>
      <c r="M15" s="489">
        <f>RANK(K15, K$7:$K$21)</f>
        <v>1</v>
      </c>
      <c r="N15" s="624"/>
      <c r="O15" s="624"/>
      <c r="P15" s="411"/>
      <c r="Q15" s="182"/>
      <c r="R15" s="182"/>
      <c r="S15" s="411"/>
      <c r="T15" s="653"/>
      <c r="U15" s="529">
        <v>16</v>
      </c>
      <c r="V15" s="538">
        <v>1349.932584269663</v>
      </c>
      <c r="W15" s="538">
        <v>84.37078651685394</v>
      </c>
      <c r="X15" s="529">
        <v>1</v>
      </c>
      <c r="Y15" s="653"/>
      <c r="Z15" s="529">
        <v>16</v>
      </c>
      <c r="AA15" s="538">
        <v>1329.7142857142865</v>
      </c>
      <c r="AB15" s="538">
        <v>83.107142857142904</v>
      </c>
      <c r="AC15" s="529">
        <v>1</v>
      </c>
      <c r="AD15" s="653"/>
      <c r="AE15" s="529">
        <v>16</v>
      </c>
      <c r="AF15" s="538">
        <v>1347.1578947368423</v>
      </c>
      <c r="AG15" s="538">
        <v>84.197368421052644</v>
      </c>
      <c r="AH15" s="529">
        <v>1</v>
      </c>
      <c r="AI15" s="653"/>
      <c r="AJ15" s="529">
        <v>16</v>
      </c>
      <c r="AK15" s="538">
        <v>1325.7894736842097</v>
      </c>
      <c r="AL15" s="538">
        <v>82.861842105263108</v>
      </c>
      <c r="AM15" s="529">
        <v>1</v>
      </c>
      <c r="AN15" s="653"/>
      <c r="AO15" s="529">
        <v>16</v>
      </c>
      <c r="AP15" s="538">
        <v>1341.4634146341457</v>
      </c>
      <c r="AQ15" s="538">
        <v>83.841463414634106</v>
      </c>
      <c r="AR15" s="529">
        <v>1</v>
      </c>
      <c r="AS15" s="653"/>
      <c r="AT15" s="529">
        <v>16</v>
      </c>
      <c r="AU15" s="538">
        <v>1300.645161290322</v>
      </c>
      <c r="AV15" s="538">
        <v>81.290322580645125</v>
      </c>
      <c r="AW15" s="529">
        <v>1</v>
      </c>
      <c r="AX15" s="653"/>
      <c r="AZ15" s="364" t="e">
        <f>RANK(AX15, $K$7:AX$21)</f>
        <v>#VALUE!</v>
      </c>
      <c r="BB15" s="354" t="e">
        <f t="shared" si="1"/>
        <v>#N/A</v>
      </c>
    </row>
    <row r="16" spans="1:54" ht="14.25">
      <c r="A16" s="81"/>
      <c r="B16" s="635"/>
      <c r="C16" s="483">
        <v>10</v>
      </c>
      <c r="D16" s="223" t="s">
        <v>528</v>
      </c>
      <c r="E16" s="538">
        <v>19</v>
      </c>
      <c r="F16" s="529">
        <v>1636</v>
      </c>
      <c r="G16" s="530">
        <v>86.1</v>
      </c>
      <c r="H16" s="678"/>
      <c r="I16" s="487">
        <f t="shared" si="0"/>
        <v>19</v>
      </c>
      <c r="J16" s="487">
        <f t="shared" si="0"/>
        <v>1430.6078858352175</v>
      </c>
      <c r="K16" s="363">
        <f t="shared" si="0"/>
        <v>75.295151886064076</v>
      </c>
      <c r="L16" s="615"/>
      <c r="M16" s="489">
        <f>RANK(K16, K$7:$K$21)</f>
        <v>4</v>
      </c>
      <c r="N16" s="624"/>
      <c r="O16" s="624"/>
      <c r="P16" s="411"/>
      <c r="Q16" s="182"/>
      <c r="R16" s="182"/>
      <c r="S16" s="411"/>
      <c r="T16" s="653"/>
      <c r="U16" s="529">
        <v>19</v>
      </c>
      <c r="V16" s="538">
        <v>1445.594594594595</v>
      </c>
      <c r="W16" s="538">
        <v>76.083926031294482</v>
      </c>
      <c r="X16" s="529">
        <v>4</v>
      </c>
      <c r="Y16" s="653"/>
      <c r="Z16" s="529">
        <v>19</v>
      </c>
      <c r="AA16" s="538">
        <v>1453.9104000000002</v>
      </c>
      <c r="AB16" s="538">
        <v>76.521600000000007</v>
      </c>
      <c r="AC16" s="529">
        <v>4</v>
      </c>
      <c r="AD16" s="653"/>
      <c r="AE16" s="529">
        <v>19</v>
      </c>
      <c r="AF16" s="538">
        <v>1459.1999999999994</v>
      </c>
      <c r="AG16" s="538">
        <v>76.799999999999969</v>
      </c>
      <c r="AH16" s="529">
        <v>4</v>
      </c>
      <c r="AI16" s="653"/>
      <c r="AJ16" s="529">
        <v>19</v>
      </c>
      <c r="AK16" s="538">
        <v>1416.3804878048775</v>
      </c>
      <c r="AL16" s="538">
        <v>74.546341463414606</v>
      </c>
      <c r="AM16" s="529">
        <v>5</v>
      </c>
      <c r="AN16" s="653"/>
      <c r="AO16" s="529">
        <v>19</v>
      </c>
      <c r="AP16" s="538">
        <v>1435.2896103896103</v>
      </c>
      <c r="AQ16" s="538">
        <v>75.541558441558436</v>
      </c>
      <c r="AR16" s="529">
        <v>4</v>
      </c>
      <c r="AS16" s="653"/>
      <c r="AT16" s="529">
        <v>19</v>
      </c>
      <c r="AU16" s="538">
        <v>1373.2722222222219</v>
      </c>
      <c r="AV16" s="538">
        <v>72.277485380116943</v>
      </c>
      <c r="AW16" s="529">
        <v>5</v>
      </c>
      <c r="AX16" s="653"/>
      <c r="AZ16" s="364" t="e">
        <f>RANK(AX16, $K$7:AX$21)</f>
        <v>#VALUE!</v>
      </c>
      <c r="BB16" s="354" t="e">
        <f t="shared" si="1"/>
        <v>#N/A</v>
      </c>
    </row>
    <row r="17" spans="2:54">
      <c r="B17" s="635"/>
      <c r="C17" s="483">
        <v>11</v>
      </c>
      <c r="D17" s="223" t="s">
        <v>564</v>
      </c>
      <c r="E17" s="538">
        <v>19</v>
      </c>
      <c r="F17" s="529">
        <v>1440</v>
      </c>
      <c r="G17" s="530">
        <v>75.8</v>
      </c>
      <c r="H17" s="678"/>
      <c r="I17" s="487">
        <f t="shared" si="0"/>
        <v>18.166666666666668</v>
      </c>
      <c r="J17" s="487">
        <f t="shared" si="0"/>
        <v>1069.174019607847</v>
      </c>
      <c r="K17" s="363">
        <f t="shared" si="0"/>
        <v>58.877723311547051</v>
      </c>
      <c r="L17" s="615"/>
      <c r="M17" s="489">
        <f>RANK(K17, K$7:$K$21)</f>
        <v>12</v>
      </c>
      <c r="N17" s="624"/>
      <c r="O17" s="624"/>
      <c r="P17" s="411"/>
      <c r="Q17" s="182"/>
      <c r="R17" s="182"/>
      <c r="S17" s="411"/>
      <c r="T17" s="653"/>
      <c r="U17" s="529">
        <v>18</v>
      </c>
      <c r="V17" s="538">
        <v>1094.1176470588273</v>
      </c>
      <c r="W17" s="538">
        <v>60.784313725490406</v>
      </c>
      <c r="X17" s="529">
        <v>12</v>
      </c>
      <c r="Y17" s="653"/>
      <c r="Z17" s="529">
        <v>18</v>
      </c>
      <c r="AA17" s="538">
        <v>1051.7647058823566</v>
      </c>
      <c r="AB17" s="538">
        <v>58.431372549019812</v>
      </c>
      <c r="AC17" s="529">
        <v>12</v>
      </c>
      <c r="AD17" s="653"/>
      <c r="AE17" s="529">
        <v>18</v>
      </c>
      <c r="AF17" s="538">
        <v>1055.0000000000039</v>
      </c>
      <c r="AG17" s="538">
        <v>58.611111111111327</v>
      </c>
      <c r="AH17" s="529">
        <v>12</v>
      </c>
      <c r="AI17" s="653"/>
      <c r="AJ17" s="529">
        <v>18</v>
      </c>
      <c r="AK17" s="538">
        <v>1069.4117647058863</v>
      </c>
      <c r="AL17" s="538">
        <v>59.411764705882575</v>
      </c>
      <c r="AM17" s="529">
        <v>12</v>
      </c>
      <c r="AN17" s="653"/>
      <c r="AO17" s="529">
        <v>18</v>
      </c>
      <c r="AP17" s="538">
        <v>1076.0000000000039</v>
      </c>
      <c r="AQ17" s="538">
        <v>59.777777777777992</v>
      </c>
      <c r="AR17" s="529">
        <v>12</v>
      </c>
      <c r="AS17" s="653"/>
      <c r="AT17" s="529">
        <v>19</v>
      </c>
      <c r="AU17" s="538">
        <v>1068.7500000000039</v>
      </c>
      <c r="AV17" s="538">
        <v>56.250000000000206</v>
      </c>
      <c r="AW17" s="529">
        <v>12</v>
      </c>
      <c r="AX17" s="653"/>
      <c r="AZ17" s="364" t="e">
        <f>RANK(AX17, $K$7:AX$21)</f>
        <v>#VALUE!</v>
      </c>
      <c r="BB17" s="354" t="e">
        <f t="shared" si="1"/>
        <v>#N/A</v>
      </c>
    </row>
    <row r="18" spans="2:54">
      <c r="B18" s="635"/>
      <c r="C18" s="483">
        <v>12</v>
      </c>
      <c r="D18" s="223" t="s">
        <v>636</v>
      </c>
      <c r="E18" s="538">
        <v>17</v>
      </c>
      <c r="F18" s="529">
        <v>1440</v>
      </c>
      <c r="G18" s="530">
        <v>84.7</v>
      </c>
      <c r="H18" s="678"/>
      <c r="I18" s="487">
        <f t="shared" si="0"/>
        <v>17</v>
      </c>
      <c r="J18" s="487">
        <f t="shared" si="0"/>
        <v>1345.6907260389137</v>
      </c>
      <c r="K18" s="363">
        <f t="shared" si="0"/>
        <v>79.158278002289038</v>
      </c>
      <c r="L18" s="615"/>
      <c r="M18" s="489">
        <f>RANK(K18, K$7:$K$21)</f>
        <v>2</v>
      </c>
      <c r="N18" s="624"/>
      <c r="O18" s="624"/>
      <c r="P18" s="411"/>
      <c r="Q18" s="182"/>
      <c r="R18" s="182"/>
      <c r="S18" s="411"/>
      <c r="T18" s="653"/>
      <c r="U18" s="529">
        <v>17</v>
      </c>
      <c r="V18" s="538">
        <v>1350.7619047619044</v>
      </c>
      <c r="W18" s="538">
        <v>79.456582633053202</v>
      </c>
      <c r="X18" s="529">
        <v>2</v>
      </c>
      <c r="Y18" s="653"/>
      <c r="Z18" s="529">
        <v>17</v>
      </c>
      <c r="AA18" s="538">
        <v>1363.0499999999993</v>
      </c>
      <c r="AB18" s="538">
        <v>80.179411764705833</v>
      </c>
      <c r="AC18" s="529">
        <v>2</v>
      </c>
      <c r="AD18" s="653"/>
      <c r="AE18" s="529">
        <v>17</v>
      </c>
      <c r="AF18" s="538">
        <v>1323.3802816901411</v>
      </c>
      <c r="AG18" s="538">
        <v>77.845898922949473</v>
      </c>
      <c r="AH18" s="529">
        <v>3</v>
      </c>
      <c r="AI18" s="653"/>
      <c r="AJ18" s="529">
        <v>17</v>
      </c>
      <c r="AK18" s="538">
        <v>1348.5365853658532</v>
      </c>
      <c r="AL18" s="538">
        <v>79.325681492109013</v>
      </c>
      <c r="AM18" s="529">
        <v>2</v>
      </c>
      <c r="AN18" s="653"/>
      <c r="AO18" s="529">
        <v>17</v>
      </c>
      <c r="AP18" s="538">
        <v>1347.2727272727268</v>
      </c>
      <c r="AQ18" s="538">
        <v>79.251336898395692</v>
      </c>
      <c r="AR18" s="529">
        <v>2</v>
      </c>
      <c r="AS18" s="653"/>
      <c r="AT18" s="529">
        <v>17</v>
      </c>
      <c r="AU18" s="538">
        <v>1341.1428571428569</v>
      </c>
      <c r="AV18" s="538">
        <v>78.890756302520998</v>
      </c>
      <c r="AW18" s="529">
        <v>2</v>
      </c>
      <c r="AX18" s="653"/>
      <c r="AZ18" s="364" t="e">
        <f>RANK(AX18, $K$7:AX$21)</f>
        <v>#VALUE!</v>
      </c>
      <c r="BB18" s="354" t="e">
        <f t="shared" si="1"/>
        <v>#N/A</v>
      </c>
    </row>
    <row r="19" spans="2:54">
      <c r="B19" s="635"/>
      <c r="C19" s="483">
        <v>13</v>
      </c>
      <c r="D19" s="223" t="s">
        <v>847</v>
      </c>
      <c r="E19" s="538">
        <v>19</v>
      </c>
      <c r="F19" s="529">
        <v>1440</v>
      </c>
      <c r="G19" s="530">
        <v>75.8</v>
      </c>
      <c r="H19" s="678"/>
      <c r="I19" s="487">
        <f t="shared" si="0"/>
        <v>19</v>
      </c>
      <c r="J19" s="487">
        <f t="shared" si="0"/>
        <v>1327.232849806705</v>
      </c>
      <c r="K19" s="363">
        <f t="shared" si="0"/>
        <v>69.854360516142364</v>
      </c>
      <c r="L19" s="615"/>
      <c r="M19" s="489">
        <f>RANK(K19, K$7:$K$21)</f>
        <v>9</v>
      </c>
      <c r="N19" s="624"/>
      <c r="O19" s="624"/>
      <c r="P19" s="411"/>
      <c r="Q19" s="182"/>
      <c r="R19" s="182"/>
      <c r="S19" s="411"/>
      <c r="T19" s="653"/>
      <c r="U19" s="529">
        <v>19</v>
      </c>
      <c r="V19" s="538">
        <v>1323.52</v>
      </c>
      <c r="W19" s="538">
        <v>69.658947368421053</v>
      </c>
      <c r="X19" s="529">
        <v>10</v>
      </c>
      <c r="Y19" s="653"/>
      <c r="Z19" s="529">
        <v>19</v>
      </c>
      <c r="AA19" s="538">
        <v>1334.9999999999995</v>
      </c>
      <c r="AB19" s="538">
        <v>70.263157894736821</v>
      </c>
      <c r="AC19" s="529">
        <v>7</v>
      </c>
      <c r="AD19" s="653"/>
      <c r="AE19" s="529">
        <v>19</v>
      </c>
      <c r="AF19" s="538">
        <v>1320.0000000000011</v>
      </c>
      <c r="AG19" s="538">
        <v>69.473684210526372</v>
      </c>
      <c r="AH19" s="529">
        <v>10</v>
      </c>
      <c r="AI19" s="653"/>
      <c r="AJ19" s="529">
        <v>19</v>
      </c>
      <c r="AK19" s="538">
        <v>1334.9999999999989</v>
      </c>
      <c r="AL19" s="538">
        <v>70.263157894736779</v>
      </c>
      <c r="AM19" s="529">
        <v>8</v>
      </c>
      <c r="AN19" s="653"/>
      <c r="AO19" s="529">
        <v>19</v>
      </c>
      <c r="AP19" s="538">
        <v>1331.0091743119276</v>
      </c>
      <c r="AQ19" s="538">
        <v>70.053114437469873</v>
      </c>
      <c r="AR19" s="529">
        <v>9</v>
      </c>
      <c r="AS19" s="653"/>
      <c r="AT19" s="529">
        <v>19</v>
      </c>
      <c r="AU19" s="538">
        <v>1318.8679245283026</v>
      </c>
      <c r="AV19" s="538">
        <v>69.414101290963302</v>
      </c>
      <c r="AW19" s="529">
        <v>10</v>
      </c>
      <c r="AX19" s="653"/>
      <c r="AZ19" s="364" t="e">
        <f>RANK(AX19, $K$7:AX$21)</f>
        <v>#VALUE!</v>
      </c>
      <c r="BB19" s="354" t="e">
        <f t="shared" si="1"/>
        <v>#N/A</v>
      </c>
    </row>
    <row r="20" spans="2:54">
      <c r="B20" s="635"/>
      <c r="C20" s="483">
        <v>14</v>
      </c>
      <c r="D20" s="223"/>
      <c r="E20" s="538"/>
      <c r="F20" s="529"/>
      <c r="G20" s="530"/>
      <c r="H20" s="678"/>
      <c r="I20" s="487" t="str">
        <f t="shared" si="0"/>
        <v>-</v>
      </c>
      <c r="J20" s="487" t="str">
        <f t="shared" si="0"/>
        <v>-</v>
      </c>
      <c r="K20" s="363" t="str">
        <f t="shared" si="0"/>
        <v>-</v>
      </c>
      <c r="L20" s="615"/>
      <c r="M20" s="489" t="e">
        <f>RANK(K20, K$7:$K$21)</f>
        <v>#VALUE!</v>
      </c>
      <c r="N20" s="624"/>
      <c r="O20" s="624"/>
      <c r="P20" s="411"/>
      <c r="Q20" s="182"/>
      <c r="R20" s="182"/>
      <c r="S20" s="411"/>
      <c r="T20" s="653"/>
      <c r="U20" s="529" t="s">
        <v>427</v>
      </c>
      <c r="V20" s="538" t="s">
        <v>427</v>
      </c>
      <c r="W20" s="538" t="s">
        <v>427</v>
      </c>
      <c r="X20" s="529" t="e">
        <v>#VALUE!</v>
      </c>
      <c r="Y20" s="653"/>
      <c r="Z20" s="529" t="s">
        <v>427</v>
      </c>
      <c r="AA20" s="538" t="s">
        <v>427</v>
      </c>
      <c r="AB20" s="538" t="s">
        <v>427</v>
      </c>
      <c r="AC20" s="529" t="e">
        <v>#VALUE!</v>
      </c>
      <c r="AD20" s="653"/>
      <c r="AE20" s="529" t="s">
        <v>427</v>
      </c>
      <c r="AF20" s="538" t="s">
        <v>427</v>
      </c>
      <c r="AG20" s="538" t="s">
        <v>427</v>
      </c>
      <c r="AH20" s="529" t="e">
        <v>#VALUE!</v>
      </c>
      <c r="AI20" s="653"/>
      <c r="AJ20" s="529" t="s">
        <v>427</v>
      </c>
      <c r="AK20" s="538" t="s">
        <v>427</v>
      </c>
      <c r="AL20" s="538" t="s">
        <v>427</v>
      </c>
      <c r="AM20" s="529" t="e">
        <v>#VALUE!</v>
      </c>
      <c r="AN20" s="653"/>
      <c r="AO20" s="529" t="s">
        <v>427</v>
      </c>
      <c r="AP20" s="538" t="s">
        <v>427</v>
      </c>
      <c r="AQ20" s="538" t="s">
        <v>427</v>
      </c>
      <c r="AR20" s="529" t="e">
        <v>#VALUE!</v>
      </c>
      <c r="AS20" s="653"/>
      <c r="AT20" s="529" t="s">
        <v>427</v>
      </c>
      <c r="AU20" s="538" t="s">
        <v>427</v>
      </c>
      <c r="AV20" s="538" t="s">
        <v>427</v>
      </c>
      <c r="AW20" s="529" t="e">
        <v>#VALUE!</v>
      </c>
      <c r="AX20" s="653"/>
      <c r="AZ20" s="364" t="e">
        <f>RANK(AX20, $K$7:AX$21)</f>
        <v>#VALUE!</v>
      </c>
      <c r="BB20" s="354" t="e">
        <f t="shared" si="1"/>
        <v>#N/A</v>
      </c>
    </row>
    <row r="21" spans="2:54">
      <c r="B21" s="635"/>
      <c r="C21" s="483">
        <v>15</v>
      </c>
      <c r="D21" s="223"/>
      <c r="E21" s="538"/>
      <c r="F21" s="529"/>
      <c r="G21" s="530"/>
      <c r="H21" s="679"/>
      <c r="I21" s="416"/>
      <c r="J21" s="416"/>
      <c r="K21" s="416"/>
      <c r="L21" s="616"/>
      <c r="M21" s="487" t="e">
        <f>RANK(K21, K$7:$K$21)</f>
        <v>#N/A</v>
      </c>
      <c r="N21" s="624"/>
      <c r="O21" s="624"/>
      <c r="P21" s="411"/>
      <c r="Q21" s="182"/>
      <c r="R21" s="182"/>
      <c r="S21" s="411"/>
      <c r="T21" s="653"/>
      <c r="U21" s="529" t="s">
        <v>427</v>
      </c>
      <c r="V21" s="538" t="s">
        <v>427</v>
      </c>
      <c r="W21" s="538" t="s">
        <v>427</v>
      </c>
      <c r="X21" s="529" t="e">
        <v>#VALUE!</v>
      </c>
      <c r="Y21" s="653"/>
      <c r="Z21" s="529" t="s">
        <v>427</v>
      </c>
      <c r="AA21" s="538" t="s">
        <v>427</v>
      </c>
      <c r="AB21" s="538" t="s">
        <v>427</v>
      </c>
      <c r="AC21" s="529" t="e">
        <v>#VALUE!</v>
      </c>
      <c r="AD21" s="653"/>
      <c r="AE21" s="529" t="s">
        <v>427</v>
      </c>
      <c r="AF21" s="538" t="s">
        <v>427</v>
      </c>
      <c r="AG21" s="538" t="s">
        <v>427</v>
      </c>
      <c r="AH21" s="529" t="e">
        <v>#VALUE!</v>
      </c>
      <c r="AI21" s="653"/>
      <c r="AJ21" s="529" t="s">
        <v>427</v>
      </c>
      <c r="AK21" s="538" t="s">
        <v>427</v>
      </c>
      <c r="AL21" s="538" t="s">
        <v>427</v>
      </c>
      <c r="AM21" s="529" t="e">
        <v>#VALUE!</v>
      </c>
      <c r="AN21" s="653"/>
      <c r="AO21" s="529" t="s">
        <v>427</v>
      </c>
      <c r="AP21" s="538" t="s">
        <v>427</v>
      </c>
      <c r="AQ21" s="538" t="s">
        <v>427</v>
      </c>
      <c r="AR21" s="529" t="e">
        <v>#VALUE!</v>
      </c>
      <c r="AS21" s="653"/>
      <c r="AT21" s="529" t="s">
        <v>427</v>
      </c>
      <c r="AU21" s="538" t="s">
        <v>427</v>
      </c>
      <c r="AV21" s="538" t="s">
        <v>427</v>
      </c>
      <c r="AW21" s="529" t="e">
        <v>#VALUE!</v>
      </c>
      <c r="AX21" s="653"/>
      <c r="AZ21" s="365" t="e">
        <f>RANK(AX21, $K$7:AX$21)</f>
        <v>#VALUE!</v>
      </c>
      <c r="BB21" s="354" t="e">
        <f t="shared" si="1"/>
        <v>#N/A</v>
      </c>
    </row>
    <row r="22" spans="2:54" ht="15.75">
      <c r="B22" s="657" t="s">
        <v>769</v>
      </c>
      <c r="C22" s="658"/>
      <c r="D22" s="658"/>
      <c r="E22" s="658"/>
      <c r="F22" s="658"/>
      <c r="G22" s="658"/>
      <c r="H22" s="658"/>
      <c r="I22" s="200"/>
      <c r="J22" s="200"/>
      <c r="K22" s="200"/>
      <c r="L22" s="200"/>
      <c r="M22" s="201"/>
      <c r="N22" s="639" t="s">
        <v>781</v>
      </c>
      <c r="O22" s="639" t="s">
        <v>590</v>
      </c>
      <c r="P22" s="634">
        <f>AT2+1</f>
        <v>46210</v>
      </c>
      <c r="Q22" s="635"/>
      <c r="R22" s="635"/>
      <c r="S22" s="635"/>
      <c r="T22" s="635"/>
      <c r="U22" s="636">
        <f>P22+1</f>
        <v>46211</v>
      </c>
      <c r="V22" s="637"/>
      <c r="W22" s="637"/>
      <c r="X22" s="637"/>
      <c r="Y22" s="638"/>
      <c r="Z22" s="636">
        <f t="shared" ref="Z22" si="2">U22+1</f>
        <v>46212</v>
      </c>
      <c r="AA22" s="637"/>
      <c r="AB22" s="637"/>
      <c r="AC22" s="637"/>
      <c r="AD22" s="638"/>
      <c r="AE22" s="636">
        <f t="shared" ref="AE22" si="3">Z22+1</f>
        <v>46213</v>
      </c>
      <c r="AF22" s="637"/>
      <c r="AG22" s="637"/>
      <c r="AH22" s="637"/>
      <c r="AI22" s="638"/>
      <c r="AJ22" s="636">
        <f t="shared" ref="AJ22" si="4">AE22+1</f>
        <v>46214</v>
      </c>
      <c r="AK22" s="637"/>
      <c r="AL22" s="637"/>
      <c r="AM22" s="637"/>
      <c r="AN22" s="638"/>
      <c r="AO22" s="636">
        <f t="shared" ref="AO22" si="5">AJ22+1</f>
        <v>46215</v>
      </c>
      <c r="AP22" s="637"/>
      <c r="AQ22" s="637"/>
      <c r="AR22" s="637"/>
      <c r="AS22" s="638"/>
      <c r="AT22" s="636">
        <f t="shared" ref="AT22" si="6">AO22+1</f>
        <v>46216</v>
      </c>
      <c r="AU22" s="637"/>
      <c r="AV22" s="637"/>
      <c r="AW22" s="637"/>
      <c r="AX22" s="638"/>
    </row>
    <row r="23" spans="2:54" ht="15.75">
      <c r="B23" s="646"/>
      <c r="C23" s="646"/>
      <c r="D23" s="646"/>
      <c r="E23" s="646"/>
      <c r="F23" s="646"/>
      <c r="G23" s="646"/>
      <c r="H23" s="646"/>
      <c r="I23" s="202"/>
      <c r="J23" s="202"/>
      <c r="K23" s="202"/>
      <c r="L23" s="202"/>
      <c r="M23" s="203"/>
      <c r="N23" s="641"/>
      <c r="O23" s="641"/>
      <c r="P23" s="634" t="s">
        <v>591</v>
      </c>
      <c r="Q23" s="635"/>
      <c r="R23" s="635"/>
      <c r="S23" s="635"/>
      <c r="T23" s="635"/>
      <c r="U23" s="634" t="s">
        <v>592</v>
      </c>
      <c r="V23" s="635"/>
      <c r="W23" s="635"/>
      <c r="X23" s="635"/>
      <c r="Y23" s="635"/>
      <c r="Z23" s="634" t="s">
        <v>593</v>
      </c>
      <c r="AA23" s="635"/>
      <c r="AB23" s="635"/>
      <c r="AC23" s="635"/>
      <c r="AD23" s="635"/>
      <c r="AE23" s="634" t="s">
        <v>594</v>
      </c>
      <c r="AF23" s="635"/>
      <c r="AG23" s="635"/>
      <c r="AH23" s="635"/>
      <c r="AI23" s="635"/>
      <c r="AJ23" s="634" t="s">
        <v>595</v>
      </c>
      <c r="AK23" s="635"/>
      <c r="AL23" s="635"/>
      <c r="AM23" s="635"/>
      <c r="AN23" s="635"/>
      <c r="AO23" s="634" t="s">
        <v>596</v>
      </c>
      <c r="AP23" s="635"/>
      <c r="AQ23" s="635"/>
      <c r="AR23" s="635"/>
      <c r="AS23" s="635"/>
      <c r="AT23" s="634" t="s">
        <v>597</v>
      </c>
      <c r="AU23" s="635"/>
      <c r="AV23" s="635"/>
      <c r="AW23" s="635"/>
      <c r="AX23" s="635"/>
    </row>
    <row r="24" spans="2:54">
      <c r="B24" s="624" t="s">
        <v>760</v>
      </c>
      <c r="C24" s="624" t="s">
        <v>827</v>
      </c>
      <c r="D24" s="624"/>
      <c r="E24" s="624" t="s">
        <v>828</v>
      </c>
      <c r="F24" s="624"/>
      <c r="G24" s="624"/>
      <c r="H24" s="647" t="s">
        <v>829</v>
      </c>
      <c r="I24" s="617" t="s">
        <v>830</v>
      </c>
      <c r="J24" s="617"/>
      <c r="K24" s="617"/>
      <c r="L24" s="618" t="s">
        <v>829</v>
      </c>
      <c r="M24" s="628" t="s">
        <v>440</v>
      </c>
      <c r="N24" s="624"/>
      <c r="O24" s="624" t="s">
        <v>831</v>
      </c>
      <c r="P24" s="621" t="s">
        <v>832</v>
      </c>
      <c r="Q24" s="622"/>
      <c r="R24" s="622"/>
      <c r="S24" s="623"/>
      <c r="T24" s="624" t="s">
        <v>829</v>
      </c>
      <c r="U24" s="621" t="s">
        <v>832</v>
      </c>
      <c r="V24" s="622"/>
      <c r="W24" s="622"/>
      <c r="X24" s="623"/>
      <c r="Y24" s="624" t="s">
        <v>829</v>
      </c>
      <c r="Z24" s="621" t="s">
        <v>832</v>
      </c>
      <c r="AA24" s="622"/>
      <c r="AB24" s="622"/>
      <c r="AC24" s="623"/>
      <c r="AD24" s="624" t="s">
        <v>829</v>
      </c>
      <c r="AE24" s="621" t="s">
        <v>832</v>
      </c>
      <c r="AF24" s="622"/>
      <c r="AG24" s="622"/>
      <c r="AH24" s="623"/>
      <c r="AI24" s="624" t="s">
        <v>829</v>
      </c>
      <c r="AJ24" s="621" t="s">
        <v>832</v>
      </c>
      <c r="AK24" s="622"/>
      <c r="AL24" s="622"/>
      <c r="AM24" s="623"/>
      <c r="AN24" s="624" t="s">
        <v>829</v>
      </c>
      <c r="AO24" s="621" t="s">
        <v>832</v>
      </c>
      <c r="AP24" s="622"/>
      <c r="AQ24" s="622"/>
      <c r="AR24" s="623"/>
      <c r="AS24" s="624" t="s">
        <v>829</v>
      </c>
      <c r="AT24" s="621" t="s">
        <v>832</v>
      </c>
      <c r="AU24" s="622"/>
      <c r="AV24" s="622"/>
      <c r="AW24" s="623"/>
      <c r="AX24" s="624" t="s">
        <v>829</v>
      </c>
    </row>
    <row r="25" spans="2:54">
      <c r="B25" s="624"/>
      <c r="C25" s="624"/>
      <c r="D25" s="624"/>
      <c r="E25" s="624" t="s">
        <v>833</v>
      </c>
      <c r="F25" s="624"/>
      <c r="G25" s="624"/>
      <c r="H25" s="648"/>
      <c r="I25" s="617" t="s">
        <v>833</v>
      </c>
      <c r="J25" s="617"/>
      <c r="K25" s="617"/>
      <c r="L25" s="619"/>
      <c r="M25" s="629"/>
      <c r="N25" s="624"/>
      <c r="O25" s="624"/>
      <c r="P25" s="621" t="s">
        <v>834</v>
      </c>
      <c r="Q25" s="622"/>
      <c r="R25" s="622"/>
      <c r="S25" s="623"/>
      <c r="T25" s="624"/>
      <c r="U25" s="621" t="s">
        <v>834</v>
      </c>
      <c r="V25" s="622"/>
      <c r="W25" s="622"/>
      <c r="X25" s="623"/>
      <c r="Y25" s="624"/>
      <c r="Z25" s="621" t="s">
        <v>834</v>
      </c>
      <c r="AA25" s="622"/>
      <c r="AB25" s="622"/>
      <c r="AC25" s="623"/>
      <c r="AD25" s="624"/>
      <c r="AE25" s="621" t="s">
        <v>834</v>
      </c>
      <c r="AF25" s="622"/>
      <c r="AG25" s="622"/>
      <c r="AH25" s="623"/>
      <c r="AI25" s="624"/>
      <c r="AJ25" s="621" t="s">
        <v>834</v>
      </c>
      <c r="AK25" s="622"/>
      <c r="AL25" s="622"/>
      <c r="AM25" s="623"/>
      <c r="AN25" s="624"/>
      <c r="AO25" s="621" t="s">
        <v>834</v>
      </c>
      <c r="AP25" s="622"/>
      <c r="AQ25" s="622"/>
      <c r="AR25" s="623"/>
      <c r="AS25" s="624"/>
      <c r="AT25" s="621" t="s">
        <v>834</v>
      </c>
      <c r="AU25" s="622"/>
      <c r="AV25" s="622"/>
      <c r="AW25" s="623"/>
      <c r="AX25" s="624"/>
    </row>
    <row r="26" spans="2:54">
      <c r="B26" s="624"/>
      <c r="C26" s="624"/>
      <c r="D26" s="624"/>
      <c r="E26" s="533" t="s">
        <v>835</v>
      </c>
      <c r="F26" s="533" t="s">
        <v>836</v>
      </c>
      <c r="G26" s="533" t="s">
        <v>837</v>
      </c>
      <c r="H26" s="649"/>
      <c r="I26" s="535" t="s">
        <v>835</v>
      </c>
      <c r="J26" s="535" t="s">
        <v>836</v>
      </c>
      <c r="K26" s="535" t="s">
        <v>837</v>
      </c>
      <c r="L26" s="620"/>
      <c r="M26" s="630"/>
      <c r="N26" s="624"/>
      <c r="O26" s="624"/>
      <c r="P26" s="533" t="s">
        <v>835</v>
      </c>
      <c r="Q26" s="533" t="s">
        <v>836</v>
      </c>
      <c r="R26" s="533" t="s">
        <v>837</v>
      </c>
      <c r="S26" s="533" t="s">
        <v>440</v>
      </c>
      <c r="T26" s="624"/>
      <c r="U26" s="533" t="s">
        <v>835</v>
      </c>
      <c r="V26" s="533" t="s">
        <v>836</v>
      </c>
      <c r="W26" s="533" t="s">
        <v>837</v>
      </c>
      <c r="X26" s="533" t="s">
        <v>440</v>
      </c>
      <c r="Y26" s="624"/>
      <c r="Z26" s="533" t="s">
        <v>835</v>
      </c>
      <c r="AA26" s="533" t="s">
        <v>836</v>
      </c>
      <c r="AB26" s="533" t="s">
        <v>837</v>
      </c>
      <c r="AC26" s="533" t="s">
        <v>440</v>
      </c>
      <c r="AD26" s="624"/>
      <c r="AE26" s="533" t="s">
        <v>835</v>
      </c>
      <c r="AF26" s="533" t="s">
        <v>836</v>
      </c>
      <c r="AG26" s="533" t="s">
        <v>837</v>
      </c>
      <c r="AH26" s="533" t="s">
        <v>440</v>
      </c>
      <c r="AI26" s="624"/>
      <c r="AJ26" s="533" t="s">
        <v>835</v>
      </c>
      <c r="AK26" s="533" t="s">
        <v>836</v>
      </c>
      <c r="AL26" s="533" t="s">
        <v>837</v>
      </c>
      <c r="AM26" s="533" t="s">
        <v>440</v>
      </c>
      <c r="AN26" s="624"/>
      <c r="AO26" s="533" t="s">
        <v>835</v>
      </c>
      <c r="AP26" s="533" t="s">
        <v>836</v>
      </c>
      <c r="AQ26" s="533" t="s">
        <v>837</v>
      </c>
      <c r="AR26" s="533" t="s">
        <v>440</v>
      </c>
      <c r="AS26" s="624"/>
      <c r="AT26" s="533" t="s">
        <v>835</v>
      </c>
      <c r="AU26" s="533" t="s">
        <v>836</v>
      </c>
      <c r="AV26" s="533" t="s">
        <v>837</v>
      </c>
      <c r="AW26" s="533" t="s">
        <v>440</v>
      </c>
      <c r="AX26" s="624"/>
    </row>
    <row r="27" spans="2:54">
      <c r="B27" s="624" t="s">
        <v>787</v>
      </c>
      <c r="C27" s="529">
        <v>1</v>
      </c>
      <c r="D27" s="223" t="s">
        <v>722</v>
      </c>
      <c r="E27" s="538">
        <v>17</v>
      </c>
      <c r="F27" s="529">
        <v>1440</v>
      </c>
      <c r="G27" s="530">
        <v>84.7</v>
      </c>
      <c r="H27" s="677">
        <f>AVERAGE(G27:G41)</f>
        <v>79.792307692307688</v>
      </c>
      <c r="I27" s="531">
        <f t="shared" ref="I27:K40" si="7">IFERROR(AVERAGE(P27,U27,Z27,AE27,AJ27,AO27,AT27),"-")</f>
        <v>17</v>
      </c>
      <c r="J27" s="531">
        <f t="shared" si="7"/>
        <v>1278.5345025055626</v>
      </c>
      <c r="K27" s="363">
        <f t="shared" si="7"/>
        <v>75.207911912091916</v>
      </c>
      <c r="L27" s="614">
        <f>IFERROR(AVERAGE(K27:K41),"-")</f>
        <v>71.354005780177403</v>
      </c>
      <c r="M27" s="536">
        <f>RANK(K27, K$24:$K$41)</f>
        <v>4</v>
      </c>
      <c r="N27" s="624"/>
      <c r="O27" s="624"/>
      <c r="P27" s="529">
        <v>17</v>
      </c>
      <c r="Q27" s="538">
        <v>1293.0337078651685</v>
      </c>
      <c r="R27" s="538">
        <v>76.060806345009908</v>
      </c>
      <c r="S27" s="529">
        <f t="shared" ref="S27:S41" si="8">RANK(R27, R$27:R$41)</f>
        <v>4</v>
      </c>
      <c r="T27" s="610">
        <f t="shared" ref="T27" si="9">AVERAGE(R27:R41)</f>
        <v>71.982158285246726</v>
      </c>
      <c r="U27" s="529">
        <v>17</v>
      </c>
      <c r="V27" s="538">
        <v>1277.0637362637362</v>
      </c>
      <c r="W27" s="538">
        <v>75.121396250808019</v>
      </c>
      <c r="X27" s="529">
        <f t="shared" ref="X27:X41" si="10">RANK(W27, W$27:W$41)</f>
        <v>4</v>
      </c>
      <c r="Y27" s="610">
        <f t="shared" ref="Y27" si="11">AVERAGE(W27:W41)</f>
        <v>71.076674296388262</v>
      </c>
      <c r="Z27" s="529">
        <v>17</v>
      </c>
      <c r="AA27" s="538">
        <v>1283.7500000000005</v>
      </c>
      <c r="AB27" s="538">
        <v>75.51470588235297</v>
      </c>
      <c r="AC27" s="529">
        <f t="shared" ref="AC27:AC41" si="12">RANK(AB27, AB$27:AB$41)</f>
        <v>4</v>
      </c>
      <c r="AD27" s="610">
        <f t="shared" ref="AD27" si="13">AVERAGE(AB27:AB41)</f>
        <v>71.493221208601796</v>
      </c>
      <c r="AE27" s="529">
        <v>17</v>
      </c>
      <c r="AF27" s="538">
        <v>1272.8571428571424</v>
      </c>
      <c r="AG27" s="538">
        <v>74.873949579831901</v>
      </c>
      <c r="AH27" s="529">
        <f t="shared" ref="AH27:AH41" si="14">RANK(AG27, AG$27:AG$41)</f>
        <v>4</v>
      </c>
      <c r="AI27" s="610">
        <f t="shared" ref="AI27" si="15">AVERAGE(AG27:AG41)</f>
        <v>70.739085784090079</v>
      </c>
      <c r="AJ27" s="529">
        <v>17</v>
      </c>
      <c r="AK27" s="538">
        <v>1265.5172413793114</v>
      </c>
      <c r="AL27" s="538">
        <v>74.442190669371257</v>
      </c>
      <c r="AM27" s="529">
        <f t="shared" ref="AM27:AM41" si="16">RANK(AL27, AL$27:AL$41)</f>
        <v>5</v>
      </c>
      <c r="AN27" s="610">
        <f t="shared" ref="AN27" si="17">AVERAGE(AL27:AL41)</f>
        <v>70.924599229046748</v>
      </c>
      <c r="AO27" s="529">
        <v>17</v>
      </c>
      <c r="AP27" s="538">
        <v>1293.0337078651685</v>
      </c>
      <c r="AQ27" s="538">
        <v>76.060806345009908</v>
      </c>
      <c r="AR27" s="529">
        <f t="shared" ref="AR27:AR41" si="18">RANK(AQ27, AQ$27:AQ$41)</f>
        <v>4</v>
      </c>
      <c r="AS27" s="610">
        <f t="shared" ref="AS27" si="19">AVERAGE(AQ27:AQ41)</f>
        <v>71.982158285246726</v>
      </c>
      <c r="AT27" s="529">
        <v>17</v>
      </c>
      <c r="AU27" s="538">
        <v>1264.4859813084111</v>
      </c>
      <c r="AV27" s="538">
        <v>74.381528312259476</v>
      </c>
      <c r="AW27" s="529">
        <f t="shared" ref="AW27:AW41" si="20">RANK(AV27, AV$27:AV$41)</f>
        <v>4</v>
      </c>
      <c r="AX27" s="610">
        <f t="shared" ref="AX27" si="21">AVERAGE(AV27:AV41)</f>
        <v>71.280143372621509</v>
      </c>
      <c r="AZ27" s="377" t="e">
        <f t="shared" ref="AZ27:AZ41" si="22">RANK(AY27, AY$27:AY$41)</f>
        <v>#N/A</v>
      </c>
      <c r="BA27" s="653" t="e">
        <f t="shared" ref="BA27" si="23">AVERAGE(AY27:AY41)</f>
        <v>#DIV/0!</v>
      </c>
    </row>
    <row r="28" spans="2:54">
      <c r="B28" s="635"/>
      <c r="C28" s="529">
        <v>2</v>
      </c>
      <c r="D28" s="223" t="s">
        <v>342</v>
      </c>
      <c r="E28" s="538">
        <v>18</v>
      </c>
      <c r="F28" s="529">
        <v>1440</v>
      </c>
      <c r="G28" s="530">
        <v>80</v>
      </c>
      <c r="H28" s="678"/>
      <c r="I28" s="531">
        <f t="shared" si="7"/>
        <v>18</v>
      </c>
      <c r="J28" s="531">
        <f t="shared" si="7"/>
        <v>1261.5854706747552</v>
      </c>
      <c r="K28" s="363">
        <f t="shared" si="7"/>
        <v>70.088081704153069</v>
      </c>
      <c r="L28" s="615"/>
      <c r="M28" s="536">
        <f>RANK(K28, K$24:$K$41)</f>
        <v>9</v>
      </c>
      <c r="N28" s="624"/>
      <c r="O28" s="624"/>
      <c r="P28" s="529">
        <v>18</v>
      </c>
      <c r="Q28" s="538">
        <v>1277.8378378378368</v>
      </c>
      <c r="R28" s="538">
        <v>70.990990990990937</v>
      </c>
      <c r="S28" s="529">
        <f t="shared" si="8"/>
        <v>9</v>
      </c>
      <c r="T28" s="611"/>
      <c r="U28" s="529">
        <v>18</v>
      </c>
      <c r="V28" s="538">
        <v>1229.9999999999984</v>
      </c>
      <c r="W28" s="538">
        <v>68.333333333333243</v>
      </c>
      <c r="X28" s="529">
        <f t="shared" si="10"/>
        <v>10</v>
      </c>
      <c r="Y28" s="611"/>
      <c r="Z28" s="529">
        <v>18</v>
      </c>
      <c r="AA28" s="538">
        <v>1254.9999999999991</v>
      </c>
      <c r="AB28" s="538">
        <v>69.722222222222172</v>
      </c>
      <c r="AC28" s="529">
        <f t="shared" si="12"/>
        <v>8</v>
      </c>
      <c r="AD28" s="611"/>
      <c r="AE28" s="529">
        <v>18</v>
      </c>
      <c r="AF28" s="538">
        <v>1254.3749999999982</v>
      </c>
      <c r="AG28" s="538">
        <v>69.687499999999901</v>
      </c>
      <c r="AH28" s="529">
        <f t="shared" si="14"/>
        <v>10</v>
      </c>
      <c r="AI28" s="611"/>
      <c r="AJ28" s="529">
        <v>18</v>
      </c>
      <c r="AK28" s="538">
        <v>1237.7142857142844</v>
      </c>
      <c r="AL28" s="538">
        <v>68.761904761904688</v>
      </c>
      <c r="AM28" s="529">
        <f t="shared" si="16"/>
        <v>10</v>
      </c>
      <c r="AN28" s="611"/>
      <c r="AO28" s="529">
        <v>18</v>
      </c>
      <c r="AP28" s="538">
        <v>1277.8378378378368</v>
      </c>
      <c r="AQ28" s="538">
        <v>70.990990990990937</v>
      </c>
      <c r="AR28" s="529">
        <f t="shared" si="18"/>
        <v>9</v>
      </c>
      <c r="AS28" s="611"/>
      <c r="AT28" s="529">
        <v>18</v>
      </c>
      <c r="AU28" s="538">
        <v>1298.3333333333323</v>
      </c>
      <c r="AV28" s="538">
        <v>72.129629629629576</v>
      </c>
      <c r="AW28" s="529">
        <f t="shared" si="20"/>
        <v>5</v>
      </c>
      <c r="AX28" s="611"/>
      <c r="AZ28" s="377" t="e">
        <f t="shared" si="22"/>
        <v>#N/A</v>
      </c>
      <c r="BA28" s="653"/>
    </row>
    <row r="29" spans="2:54">
      <c r="B29" s="635"/>
      <c r="C29" s="529">
        <v>3</v>
      </c>
      <c r="D29" s="223" t="s">
        <v>343</v>
      </c>
      <c r="E29" s="538">
        <v>17</v>
      </c>
      <c r="F29" s="529">
        <v>1440</v>
      </c>
      <c r="G29" s="530">
        <v>84.7</v>
      </c>
      <c r="H29" s="678"/>
      <c r="I29" s="531">
        <f t="shared" si="7"/>
        <v>17</v>
      </c>
      <c r="J29" s="531">
        <f t="shared" si="7"/>
        <v>1320.4356896396844</v>
      </c>
      <c r="K29" s="363">
        <f t="shared" si="7"/>
        <v>77.672687625863787</v>
      </c>
      <c r="L29" s="615"/>
      <c r="M29" s="536">
        <f>RANK(K29, K$24:$K$41)</f>
        <v>3</v>
      </c>
      <c r="N29" s="624"/>
      <c r="O29" s="624"/>
      <c r="P29" s="529">
        <v>17</v>
      </c>
      <c r="Q29" s="538">
        <v>1331.8681318681317</v>
      </c>
      <c r="R29" s="538">
        <v>78.34518422753716</v>
      </c>
      <c r="S29" s="529">
        <f t="shared" si="8"/>
        <v>3</v>
      </c>
      <c r="T29" s="611"/>
      <c r="U29" s="529">
        <v>17</v>
      </c>
      <c r="V29" s="538">
        <v>1295.0561797752807</v>
      </c>
      <c r="W29" s="538">
        <v>76.179775280898866</v>
      </c>
      <c r="X29" s="529">
        <f t="shared" si="10"/>
        <v>3</v>
      </c>
      <c r="Y29" s="611"/>
      <c r="Z29" s="529">
        <v>17</v>
      </c>
      <c r="AA29" s="538">
        <v>1324.6666666666667</v>
      </c>
      <c r="AB29" s="538">
        <v>77.921568627450981</v>
      </c>
      <c r="AC29" s="529">
        <f t="shared" si="12"/>
        <v>3</v>
      </c>
      <c r="AD29" s="611"/>
      <c r="AE29" s="529">
        <v>17</v>
      </c>
      <c r="AF29" s="538">
        <v>1323.2666666666669</v>
      </c>
      <c r="AG29" s="538">
        <v>77.839215686274528</v>
      </c>
      <c r="AH29" s="529">
        <f t="shared" si="14"/>
        <v>3</v>
      </c>
      <c r="AI29" s="611"/>
      <c r="AJ29" s="529">
        <v>17</v>
      </c>
      <c r="AK29" s="538">
        <v>1311.5240506329123</v>
      </c>
      <c r="AL29" s="538">
        <v>77.148473566641897</v>
      </c>
      <c r="AM29" s="529">
        <f t="shared" si="16"/>
        <v>3</v>
      </c>
      <c r="AN29" s="611"/>
      <c r="AO29" s="529">
        <v>17</v>
      </c>
      <c r="AP29" s="538">
        <v>1331.8681318681317</v>
      </c>
      <c r="AQ29" s="538">
        <v>78.34518422753716</v>
      </c>
      <c r="AR29" s="529">
        <f t="shared" si="18"/>
        <v>3</v>
      </c>
      <c r="AS29" s="611"/>
      <c r="AT29" s="529">
        <v>17</v>
      </c>
      <c r="AU29" s="538">
        <v>1324.8000000000004</v>
      </c>
      <c r="AV29" s="538">
        <v>77.929411764705904</v>
      </c>
      <c r="AW29" s="529">
        <f t="shared" si="20"/>
        <v>3</v>
      </c>
      <c r="AX29" s="611"/>
      <c r="AZ29" s="377" t="e">
        <f t="shared" si="22"/>
        <v>#N/A</v>
      </c>
      <c r="BA29" s="653"/>
    </row>
    <row r="30" spans="2:54">
      <c r="B30" s="635"/>
      <c r="C30" s="529">
        <v>4</v>
      </c>
      <c r="D30" s="223" t="s">
        <v>345</v>
      </c>
      <c r="E30" s="538">
        <v>21</v>
      </c>
      <c r="F30" s="529">
        <v>1385</v>
      </c>
      <c r="G30" s="530">
        <v>65.900000000000006</v>
      </c>
      <c r="H30" s="678"/>
      <c r="I30" s="531">
        <f t="shared" si="7"/>
        <v>21</v>
      </c>
      <c r="J30" s="531">
        <f t="shared" si="7"/>
        <v>1299.0319102929684</v>
      </c>
      <c r="K30" s="363">
        <f t="shared" si="7"/>
        <v>61.858662394903263</v>
      </c>
      <c r="L30" s="615"/>
      <c r="M30" s="536">
        <f>RANK(K30, K$24:$K$41)</f>
        <v>12</v>
      </c>
      <c r="N30" s="624"/>
      <c r="O30" s="624"/>
      <c r="P30" s="529">
        <v>21</v>
      </c>
      <c r="Q30" s="538">
        <v>1298.901098901099</v>
      </c>
      <c r="R30" s="538">
        <v>61.852433281004714</v>
      </c>
      <c r="S30" s="529">
        <f t="shared" si="8"/>
        <v>12</v>
      </c>
      <c r="T30" s="611"/>
      <c r="U30" s="529">
        <v>21</v>
      </c>
      <c r="V30" s="538">
        <v>1319.2941176470586</v>
      </c>
      <c r="W30" s="538">
        <v>62.823529411764696</v>
      </c>
      <c r="X30" s="529">
        <f t="shared" si="10"/>
        <v>12</v>
      </c>
      <c r="Y30" s="611"/>
      <c r="Z30" s="529">
        <v>21</v>
      </c>
      <c r="AA30" s="538">
        <v>1296.4044943820224</v>
      </c>
      <c r="AB30" s="538">
        <v>61.733547351524876</v>
      </c>
      <c r="AC30" s="529">
        <f t="shared" si="12"/>
        <v>12</v>
      </c>
      <c r="AD30" s="611"/>
      <c r="AE30" s="529">
        <v>21</v>
      </c>
      <c r="AF30" s="538">
        <v>1307.4418604651162</v>
      </c>
      <c r="AG30" s="538">
        <v>62.259136212624583</v>
      </c>
      <c r="AH30" s="529">
        <f t="shared" si="14"/>
        <v>12</v>
      </c>
      <c r="AI30" s="611"/>
      <c r="AJ30" s="529">
        <v>21</v>
      </c>
      <c r="AK30" s="538">
        <v>1281.3333333333333</v>
      </c>
      <c r="AL30" s="538">
        <v>61.015873015873012</v>
      </c>
      <c r="AM30" s="529">
        <f t="shared" si="16"/>
        <v>12</v>
      </c>
      <c r="AN30" s="611"/>
      <c r="AO30" s="529">
        <v>21</v>
      </c>
      <c r="AP30" s="538">
        <v>1298.901098901099</v>
      </c>
      <c r="AQ30" s="538">
        <v>61.852433281004714</v>
      </c>
      <c r="AR30" s="529">
        <f t="shared" si="18"/>
        <v>12</v>
      </c>
      <c r="AS30" s="611"/>
      <c r="AT30" s="529">
        <v>21</v>
      </c>
      <c r="AU30" s="538">
        <v>1290.9473684210516</v>
      </c>
      <c r="AV30" s="538">
        <v>61.473684210526265</v>
      </c>
      <c r="AW30" s="529">
        <f t="shared" si="20"/>
        <v>12</v>
      </c>
      <c r="AX30" s="611"/>
      <c r="AZ30" s="377" t="e">
        <f t="shared" si="22"/>
        <v>#N/A</v>
      </c>
      <c r="BA30" s="653"/>
    </row>
    <row r="31" spans="2:54">
      <c r="B31" s="635"/>
      <c r="C31" s="529">
        <v>5</v>
      </c>
      <c r="D31" s="223" t="s">
        <v>346</v>
      </c>
      <c r="E31" s="538">
        <v>19</v>
      </c>
      <c r="F31" s="529">
        <v>1440</v>
      </c>
      <c r="G31" s="530">
        <v>75.8</v>
      </c>
      <c r="H31" s="678"/>
      <c r="I31" s="531">
        <f t="shared" si="7"/>
        <v>19</v>
      </c>
      <c r="J31" s="531">
        <f t="shared" si="7"/>
        <v>1341.315056333716</v>
      </c>
      <c r="K31" s="363">
        <f t="shared" si="7"/>
        <v>70.595529280721877</v>
      </c>
      <c r="L31" s="615"/>
      <c r="M31" s="536">
        <f>RANK(K31, K$24:$K$41)</f>
        <v>8</v>
      </c>
      <c r="N31" s="624"/>
      <c r="O31" s="624"/>
      <c r="P31" s="529">
        <v>19</v>
      </c>
      <c r="Q31" s="538">
        <v>1361.095890410958</v>
      </c>
      <c r="R31" s="538">
        <v>71.636625811103045</v>
      </c>
      <c r="S31" s="529">
        <f t="shared" si="8"/>
        <v>8</v>
      </c>
      <c r="T31" s="611"/>
      <c r="U31" s="529">
        <v>19</v>
      </c>
      <c r="V31" s="538">
        <v>1330.4347826086941</v>
      </c>
      <c r="W31" s="538">
        <v>70.022883295194433</v>
      </c>
      <c r="X31" s="529">
        <f t="shared" si="10"/>
        <v>9</v>
      </c>
      <c r="Y31" s="611"/>
      <c r="Z31" s="529">
        <v>19</v>
      </c>
      <c r="AA31" s="538">
        <v>1315.1724137931033</v>
      </c>
      <c r="AB31" s="538">
        <v>69.219600725952802</v>
      </c>
      <c r="AC31" s="529">
        <f t="shared" si="12"/>
        <v>9</v>
      </c>
      <c r="AD31" s="611"/>
      <c r="AE31" s="529">
        <v>19</v>
      </c>
      <c r="AF31" s="538">
        <v>1348.2352941176455</v>
      </c>
      <c r="AG31" s="538">
        <v>70.959752321981341</v>
      </c>
      <c r="AH31" s="529">
        <f t="shared" si="14"/>
        <v>6</v>
      </c>
      <c r="AI31" s="611"/>
      <c r="AJ31" s="529">
        <v>19</v>
      </c>
      <c r="AK31" s="538">
        <v>1347.3529411764689</v>
      </c>
      <c r="AL31" s="538">
        <v>70.913312693498369</v>
      </c>
      <c r="AM31" s="529">
        <f t="shared" si="16"/>
        <v>6</v>
      </c>
      <c r="AN31" s="611"/>
      <c r="AO31" s="529">
        <v>19</v>
      </c>
      <c r="AP31" s="538">
        <v>1361.095890410958</v>
      </c>
      <c r="AQ31" s="538">
        <v>71.636625811103045</v>
      </c>
      <c r="AR31" s="529">
        <f t="shared" si="18"/>
        <v>8</v>
      </c>
      <c r="AS31" s="611"/>
      <c r="AT31" s="529">
        <v>19</v>
      </c>
      <c r="AU31" s="538">
        <v>1325.8181818181833</v>
      </c>
      <c r="AV31" s="538">
        <v>69.779904306220175</v>
      </c>
      <c r="AW31" s="529">
        <f t="shared" si="20"/>
        <v>9</v>
      </c>
      <c r="AX31" s="611"/>
      <c r="AZ31" s="377" t="e">
        <f t="shared" si="22"/>
        <v>#N/A</v>
      </c>
      <c r="BA31" s="653"/>
    </row>
    <row r="32" spans="2:54">
      <c r="B32" s="635"/>
      <c r="C32" s="529">
        <v>6</v>
      </c>
      <c r="D32" s="223" t="s">
        <v>408</v>
      </c>
      <c r="E32" s="538">
        <v>18</v>
      </c>
      <c r="F32" s="529">
        <v>1385</v>
      </c>
      <c r="G32" s="530">
        <v>76.900000000000006</v>
      </c>
      <c r="H32" s="678"/>
      <c r="I32" s="531">
        <f t="shared" si="7"/>
        <v>18</v>
      </c>
      <c r="J32" s="531">
        <f t="shared" si="7"/>
        <v>1276.467836898099</v>
      </c>
      <c r="K32" s="363">
        <f t="shared" si="7"/>
        <v>70.914879827672166</v>
      </c>
      <c r="L32" s="615"/>
      <c r="M32" s="536">
        <f>RANK(K32, K$24:$K$41)</f>
        <v>7</v>
      </c>
      <c r="N32" s="624"/>
      <c r="O32" s="624"/>
      <c r="P32" s="529">
        <v>18</v>
      </c>
      <c r="Q32" s="538">
        <v>1300.6451612903238</v>
      </c>
      <c r="R32" s="538">
        <v>72.258064516129096</v>
      </c>
      <c r="S32" s="529">
        <f t="shared" si="8"/>
        <v>7</v>
      </c>
      <c r="T32" s="611"/>
      <c r="U32" s="529">
        <v>18</v>
      </c>
      <c r="V32" s="538">
        <v>1278.6206896551735</v>
      </c>
      <c r="W32" s="538">
        <v>71.034482758620754</v>
      </c>
      <c r="X32" s="529">
        <f t="shared" si="10"/>
        <v>8</v>
      </c>
      <c r="Y32" s="611"/>
      <c r="Z32" s="529">
        <v>18</v>
      </c>
      <c r="AA32" s="538">
        <v>1269.6750000000015</v>
      </c>
      <c r="AB32" s="538">
        <v>70.53750000000008</v>
      </c>
      <c r="AC32" s="529">
        <f t="shared" si="12"/>
        <v>7</v>
      </c>
      <c r="AD32" s="611"/>
      <c r="AE32" s="529">
        <v>18</v>
      </c>
      <c r="AF32" s="538">
        <v>1266.1440000000007</v>
      </c>
      <c r="AG32" s="538">
        <v>70.341333333333367</v>
      </c>
      <c r="AH32" s="529">
        <f t="shared" si="14"/>
        <v>8</v>
      </c>
      <c r="AI32" s="611"/>
      <c r="AJ32" s="529">
        <v>18</v>
      </c>
      <c r="AK32" s="538">
        <v>1271.1111111111118</v>
      </c>
      <c r="AL32" s="538">
        <v>70.61728395061732</v>
      </c>
      <c r="AM32" s="529">
        <f t="shared" si="16"/>
        <v>7</v>
      </c>
      <c r="AN32" s="611"/>
      <c r="AO32" s="529">
        <v>18</v>
      </c>
      <c r="AP32" s="538">
        <v>1300.6451612903238</v>
      </c>
      <c r="AQ32" s="538">
        <v>72.258064516129096</v>
      </c>
      <c r="AR32" s="529">
        <f t="shared" si="18"/>
        <v>7</v>
      </c>
      <c r="AS32" s="611"/>
      <c r="AT32" s="529">
        <v>18</v>
      </c>
      <c r="AU32" s="538">
        <v>1248.4337349397588</v>
      </c>
      <c r="AV32" s="538">
        <v>69.357429718875494</v>
      </c>
      <c r="AW32" s="529">
        <f t="shared" si="20"/>
        <v>10</v>
      </c>
      <c r="AX32" s="611"/>
      <c r="AZ32" s="377" t="e">
        <f t="shared" si="22"/>
        <v>#N/A</v>
      </c>
      <c r="BA32" s="653"/>
    </row>
    <row r="33" spans="2:53">
      <c r="B33" s="635"/>
      <c r="C33" s="529">
        <v>7</v>
      </c>
      <c r="D33" s="223" t="s">
        <v>410</v>
      </c>
      <c r="E33" s="538">
        <v>18</v>
      </c>
      <c r="F33" s="529">
        <v>1385</v>
      </c>
      <c r="G33" s="530">
        <v>76.900000000000006</v>
      </c>
      <c r="H33" s="678"/>
      <c r="I33" s="531">
        <f t="shared" si="7"/>
        <v>18</v>
      </c>
      <c r="J33" s="531">
        <f t="shared" si="7"/>
        <v>1285.5515715088745</v>
      </c>
      <c r="K33" s="363">
        <f t="shared" si="7"/>
        <v>71.419531750493022</v>
      </c>
      <c r="L33" s="615"/>
      <c r="M33" s="536">
        <f>RANK(K33, K$24:$K$41)</f>
        <v>6</v>
      </c>
      <c r="N33" s="624"/>
      <c r="O33" s="624"/>
      <c r="P33" s="529">
        <v>18</v>
      </c>
      <c r="Q33" s="538">
        <v>1318.3783783783774</v>
      </c>
      <c r="R33" s="538">
        <v>73.243243243243185</v>
      </c>
      <c r="S33" s="529">
        <f t="shared" si="8"/>
        <v>6</v>
      </c>
      <c r="T33" s="611"/>
      <c r="U33" s="529">
        <v>18</v>
      </c>
      <c r="V33" s="538">
        <v>1308.7499999999982</v>
      </c>
      <c r="W33" s="538">
        <v>72.708333333333229</v>
      </c>
      <c r="X33" s="529">
        <f t="shared" si="10"/>
        <v>6</v>
      </c>
      <c r="Y33" s="611"/>
      <c r="Z33" s="529">
        <v>18</v>
      </c>
      <c r="AA33" s="538">
        <v>1239.4736842105253</v>
      </c>
      <c r="AB33" s="538">
        <v>68.859649122806957</v>
      </c>
      <c r="AC33" s="529">
        <f t="shared" si="12"/>
        <v>10</v>
      </c>
      <c r="AD33" s="611"/>
      <c r="AE33" s="529">
        <v>18</v>
      </c>
      <c r="AF33" s="538">
        <v>1267.2727272727257</v>
      </c>
      <c r="AG33" s="538">
        <v>70.404040404040316</v>
      </c>
      <c r="AH33" s="529">
        <f t="shared" si="14"/>
        <v>7</v>
      </c>
      <c r="AI33" s="611"/>
      <c r="AJ33" s="529">
        <v>18</v>
      </c>
      <c r="AK33" s="538">
        <v>1248.6486486486478</v>
      </c>
      <c r="AL33" s="538">
        <v>69.369369369369323</v>
      </c>
      <c r="AM33" s="529">
        <f t="shared" si="16"/>
        <v>9</v>
      </c>
      <c r="AN33" s="611"/>
      <c r="AO33" s="529">
        <v>18</v>
      </c>
      <c r="AP33" s="538">
        <v>1318.3783783783774</v>
      </c>
      <c r="AQ33" s="538">
        <v>73.243243243243185</v>
      </c>
      <c r="AR33" s="529">
        <f t="shared" si="18"/>
        <v>6</v>
      </c>
      <c r="AS33" s="611"/>
      <c r="AT33" s="529">
        <v>18</v>
      </c>
      <c r="AU33" s="538">
        <v>1297.9591836734696</v>
      </c>
      <c r="AV33" s="538">
        <v>72.108843537414984</v>
      </c>
      <c r="AW33" s="529">
        <f t="shared" si="20"/>
        <v>6</v>
      </c>
      <c r="AX33" s="611"/>
      <c r="AZ33" s="377" t="e">
        <f t="shared" si="22"/>
        <v>#N/A</v>
      </c>
      <c r="BA33" s="653"/>
    </row>
    <row r="34" spans="2:53">
      <c r="B34" s="635"/>
      <c r="C34" s="529">
        <v>8</v>
      </c>
      <c r="D34" s="223" t="s">
        <v>429</v>
      </c>
      <c r="E34" s="538">
        <v>16</v>
      </c>
      <c r="F34" s="529">
        <v>1440</v>
      </c>
      <c r="G34" s="530">
        <v>90</v>
      </c>
      <c r="H34" s="678"/>
      <c r="I34" s="531">
        <f t="shared" si="7"/>
        <v>16.142857142857142</v>
      </c>
      <c r="J34" s="531">
        <f t="shared" si="7"/>
        <v>1318.7725376003284</v>
      </c>
      <c r="K34" s="363">
        <f t="shared" si="7"/>
        <v>81.725856539308595</v>
      </c>
      <c r="L34" s="615"/>
      <c r="M34" s="536">
        <f>RANK(K34, K$24:$K$41)</f>
        <v>1</v>
      </c>
      <c r="N34" s="624"/>
      <c r="O34" s="624"/>
      <c r="P34" s="529">
        <v>16</v>
      </c>
      <c r="Q34" s="538">
        <v>1312.6956521739121</v>
      </c>
      <c r="R34" s="538">
        <v>82.043478260869506</v>
      </c>
      <c r="S34" s="529">
        <f t="shared" si="8"/>
        <v>1</v>
      </c>
      <c r="T34" s="611"/>
      <c r="U34" s="529">
        <v>16</v>
      </c>
      <c r="V34" s="538">
        <v>1316.8421052631572</v>
      </c>
      <c r="W34" s="538">
        <v>82.302631578947327</v>
      </c>
      <c r="X34" s="529">
        <f t="shared" si="10"/>
        <v>1</v>
      </c>
      <c r="Y34" s="611"/>
      <c r="Z34" s="529">
        <v>16</v>
      </c>
      <c r="AA34" s="538">
        <v>1303.636363636364</v>
      </c>
      <c r="AB34" s="538">
        <v>81.477272727272748</v>
      </c>
      <c r="AC34" s="529">
        <f t="shared" si="12"/>
        <v>1</v>
      </c>
      <c r="AD34" s="611"/>
      <c r="AE34" s="529">
        <v>17</v>
      </c>
      <c r="AF34" s="538">
        <v>1327.9011235955056</v>
      </c>
      <c r="AG34" s="538">
        <v>78.111830799735628</v>
      </c>
      <c r="AH34" s="529">
        <f t="shared" si="14"/>
        <v>2</v>
      </c>
      <c r="AI34" s="611"/>
      <c r="AJ34" s="529">
        <v>16</v>
      </c>
      <c r="AK34" s="538">
        <v>1331.9225806451616</v>
      </c>
      <c r="AL34" s="538">
        <v>83.245161290322599</v>
      </c>
      <c r="AM34" s="529">
        <f t="shared" si="16"/>
        <v>1</v>
      </c>
      <c r="AN34" s="611"/>
      <c r="AO34" s="529">
        <v>16</v>
      </c>
      <c r="AP34" s="538">
        <v>1312.6956521739121</v>
      </c>
      <c r="AQ34" s="538">
        <v>82.043478260869506</v>
      </c>
      <c r="AR34" s="529">
        <f t="shared" si="18"/>
        <v>1</v>
      </c>
      <c r="AS34" s="611"/>
      <c r="AT34" s="529">
        <v>16</v>
      </c>
      <c r="AU34" s="538">
        <v>1325.7142857142856</v>
      </c>
      <c r="AV34" s="538">
        <v>82.857142857142847</v>
      </c>
      <c r="AW34" s="529">
        <f t="shared" si="20"/>
        <v>1</v>
      </c>
      <c r="AX34" s="611"/>
      <c r="AZ34" s="377" t="e">
        <f t="shared" si="22"/>
        <v>#N/A</v>
      </c>
      <c r="BA34" s="653"/>
    </row>
    <row r="35" spans="2:53">
      <c r="B35" s="635"/>
      <c r="C35" s="529">
        <v>9</v>
      </c>
      <c r="D35" s="223" t="s">
        <v>528</v>
      </c>
      <c r="E35" s="538">
        <v>19</v>
      </c>
      <c r="F35" s="529">
        <v>1636</v>
      </c>
      <c r="G35" s="530">
        <v>86.1</v>
      </c>
      <c r="H35" s="678"/>
      <c r="I35" s="531">
        <f t="shared" si="7"/>
        <v>19</v>
      </c>
      <c r="J35" s="531">
        <f t="shared" si="7"/>
        <v>1418.1188794567063</v>
      </c>
      <c r="K35" s="363">
        <f t="shared" si="7"/>
        <v>74.637835760879284</v>
      </c>
      <c r="L35" s="615"/>
      <c r="M35" s="536">
        <f>RANK(K35, K$24:$K$41)</f>
        <v>5</v>
      </c>
      <c r="N35" s="624"/>
      <c r="O35" s="624"/>
      <c r="P35" s="529">
        <v>19</v>
      </c>
      <c r="Q35" s="538">
        <v>1439.2258064516129</v>
      </c>
      <c r="R35" s="538">
        <v>75.748726655348051</v>
      </c>
      <c r="S35" s="529">
        <f t="shared" si="8"/>
        <v>5</v>
      </c>
      <c r="T35" s="611"/>
      <c r="U35" s="529">
        <v>19</v>
      </c>
      <c r="V35" s="538">
        <v>1411.953947368421</v>
      </c>
      <c r="W35" s="538">
        <v>74.31336565096953</v>
      </c>
      <c r="X35" s="529">
        <f t="shared" si="10"/>
        <v>5</v>
      </c>
      <c r="Y35" s="611"/>
      <c r="Z35" s="529">
        <v>19</v>
      </c>
      <c r="AA35" s="538">
        <v>1429.4758064516134</v>
      </c>
      <c r="AB35" s="538">
        <v>75.23556876061123</v>
      </c>
      <c r="AC35" s="529">
        <f t="shared" si="12"/>
        <v>5</v>
      </c>
      <c r="AD35" s="611"/>
      <c r="AE35" s="529">
        <v>19</v>
      </c>
      <c r="AF35" s="538">
        <v>1421.0549999999998</v>
      </c>
      <c r="AG35" s="538">
        <v>74.792368421052629</v>
      </c>
      <c r="AH35" s="529">
        <f t="shared" si="14"/>
        <v>5</v>
      </c>
      <c r="AI35" s="611"/>
      <c r="AJ35" s="529">
        <v>19</v>
      </c>
      <c r="AK35" s="538">
        <v>1416.8000000000004</v>
      </c>
      <c r="AL35" s="538">
        <v>74.568421052631606</v>
      </c>
      <c r="AM35" s="529">
        <f t="shared" si="16"/>
        <v>4</v>
      </c>
      <c r="AN35" s="611"/>
      <c r="AO35" s="529">
        <v>19</v>
      </c>
      <c r="AP35" s="538">
        <v>1439.2258064516129</v>
      </c>
      <c r="AQ35" s="538">
        <v>75.748726655348051</v>
      </c>
      <c r="AR35" s="529">
        <f t="shared" si="18"/>
        <v>5</v>
      </c>
      <c r="AS35" s="611"/>
      <c r="AT35" s="529">
        <v>19</v>
      </c>
      <c r="AU35" s="538">
        <v>1369.0957894736844</v>
      </c>
      <c r="AV35" s="538">
        <v>72.057673130193919</v>
      </c>
      <c r="AW35" s="529">
        <f t="shared" si="20"/>
        <v>7</v>
      </c>
      <c r="AX35" s="611"/>
      <c r="AZ35" s="377" t="e">
        <f t="shared" si="22"/>
        <v>#N/A</v>
      </c>
      <c r="BA35" s="653"/>
    </row>
    <row r="36" spans="2:53">
      <c r="B36" s="635"/>
      <c r="C36" s="529">
        <v>10</v>
      </c>
      <c r="D36" s="223" t="s">
        <v>564</v>
      </c>
      <c r="E36" s="538">
        <v>19</v>
      </c>
      <c r="F36" s="529">
        <v>1440</v>
      </c>
      <c r="G36" s="530">
        <v>75.8</v>
      </c>
      <c r="H36" s="678"/>
      <c r="I36" s="531">
        <f t="shared" si="7"/>
        <v>18.714285714285715</v>
      </c>
      <c r="J36" s="531">
        <f t="shared" si="7"/>
        <v>1056.8265306122487</v>
      </c>
      <c r="K36" s="363">
        <f t="shared" si="7"/>
        <v>56.504654493376499</v>
      </c>
      <c r="L36" s="615"/>
      <c r="M36" s="536">
        <f>RANK(K36, K$24:$K$41)</f>
        <v>13</v>
      </c>
      <c r="N36" s="624"/>
      <c r="O36" s="624"/>
      <c r="P36" s="529">
        <v>19</v>
      </c>
      <c r="Q36" s="538">
        <v>1076.2500000000039</v>
      </c>
      <c r="R36" s="538">
        <v>56.644736842105466</v>
      </c>
      <c r="S36" s="529">
        <f t="shared" si="8"/>
        <v>13</v>
      </c>
      <c r="T36" s="611"/>
      <c r="U36" s="529">
        <v>19</v>
      </c>
      <c r="V36" s="538">
        <v>1044.0000000000036</v>
      </c>
      <c r="W36" s="538">
        <v>54.947368421052822</v>
      </c>
      <c r="X36" s="529">
        <f t="shared" si="10"/>
        <v>13</v>
      </c>
      <c r="Y36" s="611"/>
      <c r="Z36" s="529">
        <v>18</v>
      </c>
      <c r="AA36" s="538">
        <v>1080.0000000000039</v>
      </c>
      <c r="AB36" s="538">
        <v>60.000000000000213</v>
      </c>
      <c r="AC36" s="529">
        <f t="shared" si="12"/>
        <v>13</v>
      </c>
      <c r="AD36" s="611"/>
      <c r="AE36" s="529">
        <v>19</v>
      </c>
      <c r="AF36" s="538">
        <v>1005.0000000000036</v>
      </c>
      <c r="AG36" s="538">
        <v>52.894736842105452</v>
      </c>
      <c r="AH36" s="529">
        <f t="shared" si="14"/>
        <v>13</v>
      </c>
      <c r="AI36" s="611"/>
      <c r="AJ36" s="529">
        <v>18</v>
      </c>
      <c r="AK36" s="538">
        <v>1032.0000000000036</v>
      </c>
      <c r="AL36" s="538">
        <v>57.333333333333535</v>
      </c>
      <c r="AM36" s="529">
        <f t="shared" si="16"/>
        <v>13</v>
      </c>
      <c r="AN36" s="611"/>
      <c r="AO36" s="529">
        <v>19</v>
      </c>
      <c r="AP36" s="538">
        <v>1076.2500000000039</v>
      </c>
      <c r="AQ36" s="538">
        <v>56.644736842105466</v>
      </c>
      <c r="AR36" s="529">
        <f t="shared" si="18"/>
        <v>13</v>
      </c>
      <c r="AS36" s="611"/>
      <c r="AT36" s="529">
        <v>19</v>
      </c>
      <c r="AU36" s="538">
        <v>1084.2857142857183</v>
      </c>
      <c r="AV36" s="538">
        <v>57.06766917293254</v>
      </c>
      <c r="AW36" s="529">
        <f t="shared" si="20"/>
        <v>13</v>
      </c>
      <c r="AX36" s="611"/>
      <c r="AZ36" s="377" t="e">
        <f t="shared" si="22"/>
        <v>#N/A</v>
      </c>
      <c r="BA36" s="653"/>
    </row>
    <row r="37" spans="2:53">
      <c r="B37" s="635"/>
      <c r="C37" s="529">
        <v>11</v>
      </c>
      <c r="D37" s="223" t="s">
        <v>636</v>
      </c>
      <c r="E37" s="538">
        <v>17</v>
      </c>
      <c r="F37" s="529">
        <v>1440</v>
      </c>
      <c r="G37" s="530">
        <v>84.7</v>
      </c>
      <c r="H37" s="678"/>
      <c r="I37" s="531">
        <f t="shared" si="7"/>
        <v>17</v>
      </c>
      <c r="J37" s="531">
        <f t="shared" si="7"/>
        <v>1342.5471643899266</v>
      </c>
      <c r="K37" s="363">
        <f t="shared" si="7"/>
        <v>78.973362611172135</v>
      </c>
      <c r="L37" s="615"/>
      <c r="M37" s="536">
        <f>RANK(K37, K$24:$K$41)</f>
        <v>2</v>
      </c>
      <c r="N37" s="624"/>
      <c r="O37" s="624"/>
      <c r="P37" s="529">
        <v>17</v>
      </c>
      <c r="Q37" s="538">
        <v>1351.7903225806449</v>
      </c>
      <c r="R37" s="538">
        <v>79.517077798861465</v>
      </c>
      <c r="S37" s="529">
        <f t="shared" si="8"/>
        <v>2</v>
      </c>
      <c r="T37" s="611"/>
      <c r="U37" s="529">
        <v>17</v>
      </c>
      <c r="V37" s="538">
        <v>1326.6393442622946</v>
      </c>
      <c r="W37" s="538">
        <v>78.037608486017334</v>
      </c>
      <c r="X37" s="529">
        <f t="shared" si="10"/>
        <v>2</v>
      </c>
      <c r="Y37" s="611"/>
      <c r="Z37" s="529">
        <v>17</v>
      </c>
      <c r="AA37" s="538">
        <v>1347.6666666666663</v>
      </c>
      <c r="AB37" s="538">
        <v>79.274509803921546</v>
      </c>
      <c r="AC37" s="529">
        <f t="shared" si="12"/>
        <v>2</v>
      </c>
      <c r="AD37" s="611"/>
      <c r="AE37" s="529">
        <v>17</v>
      </c>
      <c r="AF37" s="538">
        <v>1347.6705882352946</v>
      </c>
      <c r="AG37" s="538">
        <v>79.274740484429103</v>
      </c>
      <c r="AH37" s="529">
        <f t="shared" si="14"/>
        <v>1</v>
      </c>
      <c r="AI37" s="611"/>
      <c r="AJ37" s="529">
        <v>17</v>
      </c>
      <c r="AK37" s="538">
        <v>1341.5142857142846</v>
      </c>
      <c r="AL37" s="538">
        <v>78.912605042016736</v>
      </c>
      <c r="AM37" s="529">
        <f t="shared" si="16"/>
        <v>2</v>
      </c>
      <c r="AN37" s="611"/>
      <c r="AO37" s="529">
        <v>17</v>
      </c>
      <c r="AP37" s="538">
        <v>1351.7903225806449</v>
      </c>
      <c r="AQ37" s="538">
        <v>79.517077798861465</v>
      </c>
      <c r="AR37" s="529">
        <f t="shared" si="18"/>
        <v>2</v>
      </c>
      <c r="AS37" s="611"/>
      <c r="AT37" s="529">
        <v>17</v>
      </c>
      <c r="AU37" s="538">
        <v>1330.7586206896551</v>
      </c>
      <c r="AV37" s="538">
        <v>78.279918864097354</v>
      </c>
      <c r="AW37" s="529">
        <f t="shared" si="20"/>
        <v>2</v>
      </c>
      <c r="AX37" s="611"/>
      <c r="AZ37" s="377" t="e">
        <f t="shared" si="22"/>
        <v>#N/A</v>
      </c>
      <c r="BA37" s="653"/>
    </row>
    <row r="38" spans="2:53">
      <c r="B38" s="635"/>
      <c r="C38" s="529">
        <v>12</v>
      </c>
      <c r="D38" s="223" t="s">
        <v>847</v>
      </c>
      <c r="E38" s="538">
        <v>19</v>
      </c>
      <c r="F38" s="529">
        <v>1440</v>
      </c>
      <c r="G38" s="530">
        <v>75.8</v>
      </c>
      <c r="H38" s="678"/>
      <c r="I38" s="531">
        <f t="shared" si="7"/>
        <v>19</v>
      </c>
      <c r="J38" s="531">
        <f t="shared" si="7"/>
        <v>1317.605902739949</v>
      </c>
      <c r="K38" s="363">
        <f t="shared" si="7"/>
        <v>69.347679091576239</v>
      </c>
      <c r="L38" s="615"/>
      <c r="M38" s="536">
        <f>RANK(K38, K$24:$K$41)</f>
        <v>10</v>
      </c>
      <c r="N38" s="624"/>
      <c r="O38" s="624"/>
      <c r="P38" s="529">
        <v>19</v>
      </c>
      <c r="Q38" s="538">
        <v>1326.5217391304348</v>
      </c>
      <c r="R38" s="538">
        <v>69.816933638443928</v>
      </c>
      <c r="S38" s="529">
        <f t="shared" si="8"/>
        <v>10</v>
      </c>
      <c r="T38" s="611"/>
      <c r="U38" s="529">
        <v>19</v>
      </c>
      <c r="V38" s="538">
        <v>1350.6976744186045</v>
      </c>
      <c r="W38" s="538">
        <v>71.089351285189707</v>
      </c>
      <c r="X38" s="529">
        <f t="shared" si="10"/>
        <v>7</v>
      </c>
      <c r="Y38" s="611"/>
      <c r="Z38" s="529">
        <v>19</v>
      </c>
      <c r="AA38" s="538">
        <v>1291.1538461538469</v>
      </c>
      <c r="AB38" s="538">
        <v>67.955465587044571</v>
      </c>
      <c r="AC38" s="529">
        <f t="shared" si="12"/>
        <v>11</v>
      </c>
      <c r="AD38" s="611"/>
      <c r="AE38" s="529">
        <v>19</v>
      </c>
      <c r="AF38" s="538">
        <v>1292.7272727272727</v>
      </c>
      <c r="AG38" s="538">
        <v>68.038277511961724</v>
      </c>
      <c r="AH38" s="529">
        <f t="shared" si="14"/>
        <v>11</v>
      </c>
      <c r="AI38" s="611"/>
      <c r="AJ38" s="529">
        <v>19</v>
      </c>
      <c r="AK38" s="538">
        <v>1327.6190476190488</v>
      </c>
      <c r="AL38" s="538">
        <v>69.874686716792041</v>
      </c>
      <c r="AM38" s="529">
        <f t="shared" si="16"/>
        <v>8</v>
      </c>
      <c r="AN38" s="611"/>
      <c r="AO38" s="529">
        <v>19</v>
      </c>
      <c r="AP38" s="538">
        <v>1326.5217391304348</v>
      </c>
      <c r="AQ38" s="538">
        <v>69.816933638443928</v>
      </c>
      <c r="AR38" s="529">
        <f t="shared" si="18"/>
        <v>10</v>
      </c>
      <c r="AS38" s="611"/>
      <c r="AT38" s="529">
        <v>19</v>
      </c>
      <c r="AU38" s="538">
        <v>1307.9999999999995</v>
      </c>
      <c r="AV38" s="538">
        <v>68.842105263157876</v>
      </c>
      <c r="AW38" s="529">
        <f t="shared" si="20"/>
        <v>11</v>
      </c>
      <c r="AX38" s="611"/>
      <c r="AZ38" s="377" t="e">
        <f t="shared" si="22"/>
        <v>#N/A</v>
      </c>
      <c r="BA38" s="653"/>
    </row>
    <row r="39" spans="2:53">
      <c r="B39" s="635"/>
      <c r="C39" s="529">
        <v>13</v>
      </c>
      <c r="D39" s="223" t="s">
        <v>848</v>
      </c>
      <c r="E39" s="538">
        <v>18</v>
      </c>
      <c r="F39" s="529">
        <v>1440</v>
      </c>
      <c r="G39" s="530">
        <v>80</v>
      </c>
      <c r="H39" s="678"/>
      <c r="I39" s="531">
        <f t="shared" si="7"/>
        <v>18.571428571428573</v>
      </c>
      <c r="J39" s="531">
        <f t="shared" si="7"/>
        <v>1274.100009198452</v>
      </c>
      <c r="K39" s="363">
        <f t="shared" si="7"/>
        <v>68.655402150094361</v>
      </c>
      <c r="L39" s="615"/>
      <c r="M39" s="536">
        <f>RANK(K39, K$24:$K$41)</f>
        <v>11</v>
      </c>
      <c r="N39" s="624"/>
      <c r="O39" s="624"/>
      <c r="P39" s="529">
        <v>19</v>
      </c>
      <c r="Q39" s="538">
        <v>1284.5853658536589</v>
      </c>
      <c r="R39" s="538">
        <v>67.609756097560989</v>
      </c>
      <c r="S39" s="529">
        <f t="shared" si="8"/>
        <v>11</v>
      </c>
      <c r="T39" s="611"/>
      <c r="U39" s="529">
        <v>19</v>
      </c>
      <c r="V39" s="538">
        <v>1274.5714285714287</v>
      </c>
      <c r="W39" s="538">
        <v>67.082706766917298</v>
      </c>
      <c r="X39" s="529">
        <f t="shared" si="10"/>
        <v>11</v>
      </c>
      <c r="Y39" s="611"/>
      <c r="Z39" s="529">
        <v>18</v>
      </c>
      <c r="AA39" s="538">
        <v>1295.28476821192</v>
      </c>
      <c r="AB39" s="538">
        <v>71.960264900662224</v>
      </c>
      <c r="AC39" s="529">
        <f t="shared" si="12"/>
        <v>6</v>
      </c>
      <c r="AD39" s="611"/>
      <c r="AE39" s="529">
        <v>18</v>
      </c>
      <c r="AF39" s="538">
        <v>1262.3622047244091</v>
      </c>
      <c r="AG39" s="538">
        <v>70.131233595800509</v>
      </c>
      <c r="AH39" s="529">
        <f t="shared" si="14"/>
        <v>9</v>
      </c>
      <c r="AI39" s="611"/>
      <c r="AJ39" s="529">
        <v>19</v>
      </c>
      <c r="AK39" s="538">
        <v>1250.5263157894733</v>
      </c>
      <c r="AL39" s="538">
        <v>65.817174515235436</v>
      </c>
      <c r="AM39" s="529">
        <f t="shared" si="16"/>
        <v>11</v>
      </c>
      <c r="AN39" s="611"/>
      <c r="AO39" s="529">
        <v>19</v>
      </c>
      <c r="AP39" s="538">
        <v>1284.5853658536589</v>
      </c>
      <c r="AQ39" s="538">
        <v>67.609756097560989</v>
      </c>
      <c r="AR39" s="529">
        <f t="shared" si="18"/>
        <v>11</v>
      </c>
      <c r="AS39" s="611"/>
      <c r="AT39" s="529">
        <v>18</v>
      </c>
      <c r="AU39" s="538">
        <v>1266.7846153846158</v>
      </c>
      <c r="AV39" s="538">
        <v>70.376923076923106</v>
      </c>
      <c r="AW39" s="529">
        <f t="shared" si="20"/>
        <v>8</v>
      </c>
      <c r="AX39" s="611"/>
      <c r="AZ39" s="377" t="e">
        <f t="shared" si="22"/>
        <v>#N/A</v>
      </c>
      <c r="BA39" s="653"/>
    </row>
    <row r="40" spans="2:53">
      <c r="B40" s="635"/>
      <c r="C40" s="529">
        <v>14</v>
      </c>
      <c r="D40" s="223"/>
      <c r="E40" s="538"/>
      <c r="F40" s="529"/>
      <c r="G40" s="530"/>
      <c r="H40" s="678"/>
      <c r="I40" s="531" t="str">
        <f t="shared" si="7"/>
        <v>-</v>
      </c>
      <c r="J40" s="531" t="str">
        <f t="shared" si="7"/>
        <v>-</v>
      </c>
      <c r="K40" s="363" t="str">
        <f t="shared" si="7"/>
        <v>-</v>
      </c>
      <c r="L40" s="615"/>
      <c r="M40" s="536" t="e">
        <f>RANK(K40, K$24:$K$41)</f>
        <v>#VALUE!</v>
      </c>
      <c r="N40" s="624"/>
      <c r="O40" s="624"/>
      <c r="P40" s="529" t="s">
        <v>427</v>
      </c>
      <c r="Q40" s="538" t="s">
        <v>427</v>
      </c>
      <c r="R40" s="538" t="s">
        <v>427</v>
      </c>
      <c r="S40" s="529" t="e">
        <f t="shared" si="8"/>
        <v>#VALUE!</v>
      </c>
      <c r="T40" s="611"/>
      <c r="U40" s="529" t="s">
        <v>427</v>
      </c>
      <c r="V40" s="538" t="s">
        <v>427</v>
      </c>
      <c r="W40" s="538" t="s">
        <v>427</v>
      </c>
      <c r="X40" s="529" t="e">
        <f t="shared" si="10"/>
        <v>#VALUE!</v>
      </c>
      <c r="Y40" s="611"/>
      <c r="Z40" s="529" t="s">
        <v>427</v>
      </c>
      <c r="AA40" s="538" t="s">
        <v>427</v>
      </c>
      <c r="AB40" s="538" t="s">
        <v>427</v>
      </c>
      <c r="AC40" s="529" t="e">
        <f t="shared" si="12"/>
        <v>#VALUE!</v>
      </c>
      <c r="AD40" s="611"/>
      <c r="AE40" s="529" t="s">
        <v>427</v>
      </c>
      <c r="AF40" s="538" t="s">
        <v>427</v>
      </c>
      <c r="AG40" s="538" t="s">
        <v>427</v>
      </c>
      <c r="AH40" s="529" t="e">
        <f t="shared" si="14"/>
        <v>#VALUE!</v>
      </c>
      <c r="AI40" s="611"/>
      <c r="AJ40" s="529" t="s">
        <v>427</v>
      </c>
      <c r="AK40" s="538" t="s">
        <v>427</v>
      </c>
      <c r="AL40" s="538" t="s">
        <v>427</v>
      </c>
      <c r="AM40" s="529" t="e">
        <f t="shared" si="16"/>
        <v>#VALUE!</v>
      </c>
      <c r="AN40" s="611"/>
      <c r="AO40" s="529" t="s">
        <v>427</v>
      </c>
      <c r="AP40" s="538" t="s">
        <v>427</v>
      </c>
      <c r="AQ40" s="538" t="s">
        <v>427</v>
      </c>
      <c r="AR40" s="529" t="e">
        <f t="shared" si="18"/>
        <v>#VALUE!</v>
      </c>
      <c r="AS40" s="611"/>
      <c r="AT40" s="529" t="s">
        <v>427</v>
      </c>
      <c r="AU40" s="538" t="s">
        <v>427</v>
      </c>
      <c r="AV40" s="538" t="s">
        <v>427</v>
      </c>
      <c r="AW40" s="529" t="e">
        <f t="shared" si="20"/>
        <v>#VALUE!</v>
      </c>
      <c r="AX40" s="611"/>
      <c r="AZ40" s="377" t="e">
        <f t="shared" si="22"/>
        <v>#N/A</v>
      </c>
      <c r="BA40" s="653"/>
    </row>
    <row r="41" spans="2:53">
      <c r="B41" s="635"/>
      <c r="C41" s="529">
        <v>15</v>
      </c>
      <c r="D41" s="223"/>
      <c r="E41" s="538"/>
      <c r="F41" s="529"/>
      <c r="G41" s="530"/>
      <c r="H41" s="679"/>
      <c r="I41" s="416"/>
      <c r="J41" s="416"/>
      <c r="K41" s="416"/>
      <c r="L41" s="616"/>
      <c r="M41" s="531" t="e">
        <f>RANK(K41, K$24:$K$41)</f>
        <v>#N/A</v>
      </c>
      <c r="N41" s="624"/>
      <c r="O41" s="624"/>
      <c r="P41" s="529" t="s">
        <v>427</v>
      </c>
      <c r="Q41" s="538" t="s">
        <v>427</v>
      </c>
      <c r="R41" s="538" t="s">
        <v>427</v>
      </c>
      <c r="S41" s="529" t="e">
        <f t="shared" si="8"/>
        <v>#VALUE!</v>
      </c>
      <c r="T41" s="612"/>
      <c r="U41" s="529" t="s">
        <v>427</v>
      </c>
      <c r="V41" s="538" t="s">
        <v>427</v>
      </c>
      <c r="W41" s="538" t="s">
        <v>427</v>
      </c>
      <c r="X41" s="529" t="e">
        <f t="shared" si="10"/>
        <v>#VALUE!</v>
      </c>
      <c r="Y41" s="612"/>
      <c r="Z41" s="529" t="s">
        <v>427</v>
      </c>
      <c r="AA41" s="538" t="s">
        <v>427</v>
      </c>
      <c r="AB41" s="538" t="s">
        <v>427</v>
      </c>
      <c r="AC41" s="529" t="e">
        <f t="shared" si="12"/>
        <v>#VALUE!</v>
      </c>
      <c r="AD41" s="612"/>
      <c r="AE41" s="529" t="s">
        <v>427</v>
      </c>
      <c r="AF41" s="538" t="s">
        <v>427</v>
      </c>
      <c r="AG41" s="538" t="s">
        <v>427</v>
      </c>
      <c r="AH41" s="529" t="e">
        <f t="shared" si="14"/>
        <v>#VALUE!</v>
      </c>
      <c r="AI41" s="612"/>
      <c r="AJ41" s="529" t="s">
        <v>427</v>
      </c>
      <c r="AK41" s="538" t="s">
        <v>427</v>
      </c>
      <c r="AL41" s="538" t="s">
        <v>427</v>
      </c>
      <c r="AM41" s="529" t="e">
        <f t="shared" si="16"/>
        <v>#VALUE!</v>
      </c>
      <c r="AN41" s="612"/>
      <c r="AO41" s="529" t="s">
        <v>427</v>
      </c>
      <c r="AP41" s="538" t="s">
        <v>427</v>
      </c>
      <c r="AQ41" s="538" t="s">
        <v>427</v>
      </c>
      <c r="AR41" s="529" t="e">
        <f t="shared" si="18"/>
        <v>#VALUE!</v>
      </c>
      <c r="AS41" s="612"/>
      <c r="AT41" s="529" t="s">
        <v>427</v>
      </c>
      <c r="AU41" s="538" t="s">
        <v>427</v>
      </c>
      <c r="AV41" s="538" t="s">
        <v>427</v>
      </c>
      <c r="AW41" s="529" t="e">
        <f t="shared" si="20"/>
        <v>#VALUE!</v>
      </c>
      <c r="AX41" s="612"/>
      <c r="AZ41" s="377" t="e">
        <f t="shared" si="22"/>
        <v>#N/A</v>
      </c>
      <c r="BA41" s="653"/>
    </row>
    <row r="42" spans="2:53" ht="15.75">
      <c r="B42" s="657" t="s">
        <v>769</v>
      </c>
      <c r="C42" s="658"/>
      <c r="D42" s="658"/>
      <c r="E42" s="658"/>
      <c r="F42" s="658"/>
      <c r="G42" s="658"/>
      <c r="H42" s="658"/>
      <c r="I42" s="205"/>
      <c r="J42" s="200"/>
      <c r="K42" s="205"/>
      <c r="L42" s="205"/>
      <c r="M42" s="201"/>
      <c r="N42" s="639" t="s">
        <v>781</v>
      </c>
      <c r="O42" s="639" t="s">
        <v>714</v>
      </c>
      <c r="P42" s="634">
        <f>AT22+1</f>
        <v>46217</v>
      </c>
      <c r="Q42" s="635"/>
      <c r="R42" s="635"/>
      <c r="S42" s="635"/>
      <c r="T42" s="635"/>
      <c r="U42" s="636">
        <f>P42+1</f>
        <v>46218</v>
      </c>
      <c r="V42" s="637"/>
      <c r="W42" s="637"/>
      <c r="X42" s="637"/>
      <c r="Y42" s="638"/>
      <c r="Z42" s="636">
        <f t="shared" ref="Z42" si="24">U42+1</f>
        <v>46219</v>
      </c>
      <c r="AA42" s="637"/>
      <c r="AB42" s="637"/>
      <c r="AC42" s="637"/>
      <c r="AD42" s="638"/>
      <c r="AE42" s="636">
        <f t="shared" ref="AE42" si="25">Z42+1</f>
        <v>46220</v>
      </c>
      <c r="AF42" s="637"/>
      <c r="AG42" s="637"/>
      <c r="AH42" s="637"/>
      <c r="AI42" s="638"/>
      <c r="AJ42" s="636">
        <f t="shared" ref="AJ42" si="26">AE42+1</f>
        <v>46221</v>
      </c>
      <c r="AK42" s="637"/>
      <c r="AL42" s="637"/>
      <c r="AM42" s="637"/>
      <c r="AN42" s="638"/>
      <c r="AO42" s="636">
        <f t="shared" ref="AO42" si="27">AJ42+1</f>
        <v>46222</v>
      </c>
      <c r="AP42" s="637"/>
      <c r="AQ42" s="637"/>
      <c r="AR42" s="637"/>
      <c r="AS42" s="638"/>
      <c r="AT42" s="636">
        <f t="shared" ref="AT42" si="28">AO42+1</f>
        <v>46223</v>
      </c>
      <c r="AU42" s="637"/>
      <c r="AV42" s="637"/>
      <c r="AW42" s="637"/>
      <c r="AX42" s="638"/>
    </row>
    <row r="43" spans="2:53" ht="15.75">
      <c r="B43" s="646"/>
      <c r="C43" s="646"/>
      <c r="D43" s="646"/>
      <c r="E43" s="646"/>
      <c r="F43" s="646"/>
      <c r="G43" s="646"/>
      <c r="H43" s="646"/>
      <c r="I43" s="202"/>
      <c r="J43" s="202"/>
      <c r="K43" s="202"/>
      <c r="L43" s="202"/>
      <c r="M43" s="203"/>
      <c r="N43" s="641"/>
      <c r="O43" s="641"/>
      <c r="P43" s="634" t="s">
        <v>715</v>
      </c>
      <c r="Q43" s="635"/>
      <c r="R43" s="635"/>
      <c r="S43" s="635"/>
      <c r="T43" s="635"/>
      <c r="U43" s="634" t="s">
        <v>716</v>
      </c>
      <c r="V43" s="635"/>
      <c r="W43" s="635"/>
      <c r="X43" s="635"/>
      <c r="Y43" s="635"/>
      <c r="Z43" s="634" t="s">
        <v>717</v>
      </c>
      <c r="AA43" s="635"/>
      <c r="AB43" s="635"/>
      <c r="AC43" s="635"/>
      <c r="AD43" s="635"/>
      <c r="AE43" s="634" t="s">
        <v>718</v>
      </c>
      <c r="AF43" s="635"/>
      <c r="AG43" s="635"/>
      <c r="AH43" s="635"/>
      <c r="AI43" s="635"/>
      <c r="AJ43" s="634" t="s">
        <v>719</v>
      </c>
      <c r="AK43" s="635"/>
      <c r="AL43" s="635"/>
      <c r="AM43" s="635"/>
      <c r="AN43" s="635"/>
      <c r="AO43" s="634" t="s">
        <v>720</v>
      </c>
      <c r="AP43" s="635"/>
      <c r="AQ43" s="635"/>
      <c r="AR43" s="635"/>
      <c r="AS43" s="635"/>
      <c r="AT43" s="634" t="s">
        <v>721</v>
      </c>
      <c r="AU43" s="635"/>
      <c r="AV43" s="635"/>
      <c r="AW43" s="635"/>
      <c r="AX43" s="635"/>
    </row>
    <row r="44" spans="2:53">
      <c r="B44" s="624" t="s">
        <v>760</v>
      </c>
      <c r="C44" s="624" t="s">
        <v>827</v>
      </c>
      <c r="D44" s="624"/>
      <c r="E44" s="624" t="s">
        <v>828</v>
      </c>
      <c r="F44" s="624"/>
      <c r="G44" s="624"/>
      <c r="H44" s="647" t="s">
        <v>829</v>
      </c>
      <c r="I44" s="617" t="s">
        <v>830</v>
      </c>
      <c r="J44" s="617"/>
      <c r="K44" s="617"/>
      <c r="L44" s="618" t="s">
        <v>829</v>
      </c>
      <c r="M44" s="628" t="s">
        <v>440</v>
      </c>
      <c r="N44" s="624"/>
      <c r="O44" s="624" t="s">
        <v>831</v>
      </c>
      <c r="P44" s="621" t="s">
        <v>832</v>
      </c>
      <c r="Q44" s="622"/>
      <c r="R44" s="622"/>
      <c r="S44" s="623"/>
      <c r="T44" s="624" t="s">
        <v>829</v>
      </c>
      <c r="U44" s="621" t="s">
        <v>832</v>
      </c>
      <c r="V44" s="622"/>
      <c r="W44" s="622"/>
      <c r="X44" s="623"/>
      <c r="Y44" s="624" t="s">
        <v>829</v>
      </c>
      <c r="Z44" s="621" t="s">
        <v>832</v>
      </c>
      <c r="AA44" s="622"/>
      <c r="AB44" s="622"/>
      <c r="AC44" s="623"/>
      <c r="AD44" s="624" t="s">
        <v>829</v>
      </c>
      <c r="AE44" s="621" t="s">
        <v>832</v>
      </c>
      <c r="AF44" s="622"/>
      <c r="AG44" s="622"/>
      <c r="AH44" s="623"/>
      <c r="AI44" s="624" t="s">
        <v>829</v>
      </c>
      <c r="AJ44" s="621" t="s">
        <v>832</v>
      </c>
      <c r="AK44" s="622"/>
      <c r="AL44" s="622"/>
      <c r="AM44" s="623"/>
      <c r="AN44" s="624" t="s">
        <v>829</v>
      </c>
      <c r="AO44" s="621" t="s">
        <v>832</v>
      </c>
      <c r="AP44" s="622"/>
      <c r="AQ44" s="622"/>
      <c r="AR44" s="623"/>
      <c r="AS44" s="624" t="s">
        <v>829</v>
      </c>
      <c r="AT44" s="621" t="s">
        <v>832</v>
      </c>
      <c r="AU44" s="622"/>
      <c r="AV44" s="622"/>
      <c r="AW44" s="623"/>
      <c r="AX44" s="624" t="s">
        <v>829</v>
      </c>
    </row>
    <row r="45" spans="2:53">
      <c r="B45" s="624"/>
      <c r="C45" s="624"/>
      <c r="D45" s="624"/>
      <c r="E45" s="624" t="s">
        <v>833</v>
      </c>
      <c r="F45" s="624"/>
      <c r="G45" s="624"/>
      <c r="H45" s="648"/>
      <c r="I45" s="617" t="s">
        <v>833</v>
      </c>
      <c r="J45" s="617"/>
      <c r="K45" s="617"/>
      <c r="L45" s="619"/>
      <c r="M45" s="629"/>
      <c r="N45" s="624"/>
      <c r="O45" s="624"/>
      <c r="P45" s="621" t="s">
        <v>834</v>
      </c>
      <c r="Q45" s="622"/>
      <c r="R45" s="622"/>
      <c r="S45" s="623"/>
      <c r="T45" s="624"/>
      <c r="U45" s="621" t="s">
        <v>834</v>
      </c>
      <c r="V45" s="622"/>
      <c r="W45" s="622"/>
      <c r="X45" s="623"/>
      <c r="Y45" s="624"/>
      <c r="Z45" s="621" t="s">
        <v>834</v>
      </c>
      <c r="AA45" s="622"/>
      <c r="AB45" s="622"/>
      <c r="AC45" s="623"/>
      <c r="AD45" s="624"/>
      <c r="AE45" s="621" t="s">
        <v>834</v>
      </c>
      <c r="AF45" s="622"/>
      <c r="AG45" s="622"/>
      <c r="AH45" s="623"/>
      <c r="AI45" s="624"/>
      <c r="AJ45" s="621" t="s">
        <v>834</v>
      </c>
      <c r="AK45" s="622"/>
      <c r="AL45" s="622"/>
      <c r="AM45" s="623"/>
      <c r="AN45" s="624"/>
      <c r="AO45" s="621" t="s">
        <v>834</v>
      </c>
      <c r="AP45" s="622"/>
      <c r="AQ45" s="622"/>
      <c r="AR45" s="623"/>
      <c r="AS45" s="624"/>
      <c r="AT45" s="621" t="s">
        <v>834</v>
      </c>
      <c r="AU45" s="622"/>
      <c r="AV45" s="622"/>
      <c r="AW45" s="623"/>
      <c r="AX45" s="624"/>
    </row>
    <row r="46" spans="2:53">
      <c r="B46" s="624"/>
      <c r="C46" s="624"/>
      <c r="D46" s="624"/>
      <c r="E46" s="533" t="s">
        <v>835</v>
      </c>
      <c r="F46" s="533" t="s">
        <v>836</v>
      </c>
      <c r="G46" s="533" t="s">
        <v>837</v>
      </c>
      <c r="H46" s="649"/>
      <c r="I46" s="535" t="s">
        <v>835</v>
      </c>
      <c r="J46" s="535" t="s">
        <v>836</v>
      </c>
      <c r="K46" s="535" t="s">
        <v>837</v>
      </c>
      <c r="L46" s="620"/>
      <c r="M46" s="630"/>
      <c r="N46" s="624"/>
      <c r="O46" s="624"/>
      <c r="P46" s="533" t="s">
        <v>835</v>
      </c>
      <c r="Q46" s="533" t="s">
        <v>836</v>
      </c>
      <c r="R46" s="533" t="s">
        <v>837</v>
      </c>
      <c r="S46" s="533" t="s">
        <v>440</v>
      </c>
      <c r="T46" s="624"/>
      <c r="U46" s="533" t="s">
        <v>835</v>
      </c>
      <c r="V46" s="533" t="s">
        <v>836</v>
      </c>
      <c r="W46" s="533" t="s">
        <v>837</v>
      </c>
      <c r="X46" s="533" t="s">
        <v>440</v>
      </c>
      <c r="Y46" s="624"/>
      <c r="Z46" s="533" t="s">
        <v>835</v>
      </c>
      <c r="AA46" s="533" t="s">
        <v>836</v>
      </c>
      <c r="AB46" s="533" t="s">
        <v>837</v>
      </c>
      <c r="AC46" s="533" t="s">
        <v>440</v>
      </c>
      <c r="AD46" s="624"/>
      <c r="AE46" s="533" t="s">
        <v>835</v>
      </c>
      <c r="AF46" s="533" t="s">
        <v>836</v>
      </c>
      <c r="AG46" s="533" t="s">
        <v>837</v>
      </c>
      <c r="AH46" s="533" t="s">
        <v>440</v>
      </c>
      <c r="AI46" s="624"/>
      <c r="AJ46" s="533" t="s">
        <v>835</v>
      </c>
      <c r="AK46" s="533" t="s">
        <v>836</v>
      </c>
      <c r="AL46" s="533" t="s">
        <v>837</v>
      </c>
      <c r="AM46" s="533" t="s">
        <v>440</v>
      </c>
      <c r="AN46" s="624"/>
      <c r="AO46" s="533" t="s">
        <v>835</v>
      </c>
      <c r="AP46" s="533" t="s">
        <v>836</v>
      </c>
      <c r="AQ46" s="533" t="s">
        <v>837</v>
      </c>
      <c r="AR46" s="533" t="s">
        <v>440</v>
      </c>
      <c r="AS46" s="624"/>
      <c r="AT46" s="533" t="s">
        <v>835</v>
      </c>
      <c r="AU46" s="533" t="s">
        <v>836</v>
      </c>
      <c r="AV46" s="533" t="s">
        <v>837</v>
      </c>
      <c r="AW46" s="533" t="s">
        <v>440</v>
      </c>
      <c r="AX46" s="624"/>
    </row>
    <row r="47" spans="2:53">
      <c r="B47" s="624" t="s">
        <v>787</v>
      </c>
      <c r="C47" s="529">
        <v>1</v>
      </c>
      <c r="D47" s="223" t="s">
        <v>722</v>
      </c>
      <c r="E47" s="538">
        <v>17</v>
      </c>
      <c r="F47" s="529">
        <v>1440</v>
      </c>
      <c r="G47" s="530">
        <v>84.7</v>
      </c>
      <c r="H47" s="677">
        <f>AVERAGE(G47:G61)</f>
        <v>79.792307692307688</v>
      </c>
      <c r="I47" s="531">
        <f t="shared" ref="I47:K61" si="29">IFERROR(AVERAGE(P47,U47,Z47,AE47,AJ47,AO47,AT47),"-")</f>
        <v>17</v>
      </c>
      <c r="J47" s="531">
        <f t="shared" si="29"/>
        <v>1287.0689893051317</v>
      </c>
      <c r="K47" s="363">
        <f t="shared" si="29"/>
        <v>75.709940547360702</v>
      </c>
      <c r="L47" s="614">
        <f>IFERROR(AVERAGE(K47:K61),"-")</f>
        <v>71.112092657491672</v>
      </c>
      <c r="M47" s="536">
        <f>RANK(K47, K$47:$K$61)</f>
        <v>4</v>
      </c>
      <c r="N47" s="624"/>
      <c r="O47" s="624"/>
      <c r="P47" s="529">
        <v>17</v>
      </c>
      <c r="Q47" s="538">
        <v>1301.5384615384623</v>
      </c>
      <c r="R47" s="538">
        <v>76.561085972850719</v>
      </c>
      <c r="S47" s="529">
        <v>4</v>
      </c>
      <c r="T47" s="653">
        <v>71.015749035820335</v>
      </c>
      <c r="U47" s="529">
        <v>17</v>
      </c>
      <c r="V47" s="538">
        <v>1297.731958762887</v>
      </c>
      <c r="W47" s="538">
        <v>76.337174044875709</v>
      </c>
      <c r="X47" s="529">
        <v>4</v>
      </c>
      <c r="Y47" s="653">
        <v>71.535600039609633</v>
      </c>
      <c r="Z47" s="529">
        <v>17</v>
      </c>
      <c r="AA47" s="538">
        <v>1288.3870967741937</v>
      </c>
      <c r="AB47" s="538">
        <v>75.787476280834923</v>
      </c>
      <c r="AC47" s="538">
        <v>4</v>
      </c>
      <c r="AD47" s="642">
        <v>71.666107850761264</v>
      </c>
      <c r="AE47" s="529">
        <v>17</v>
      </c>
      <c r="AF47" s="538">
        <v>1283.8235294117649</v>
      </c>
      <c r="AG47" s="538">
        <v>75.519031141868524</v>
      </c>
      <c r="AH47" s="538">
        <v>4</v>
      </c>
      <c r="AI47" s="642">
        <v>70.526800599503403</v>
      </c>
      <c r="AJ47" s="529">
        <v>17</v>
      </c>
      <c r="AK47" s="538">
        <v>1270.8433734939756</v>
      </c>
      <c r="AL47" s="538">
        <v>74.755492558469157</v>
      </c>
      <c r="AM47" s="538">
        <v>4</v>
      </c>
      <c r="AN47" s="642">
        <v>70.268719973575543</v>
      </c>
      <c r="AO47" s="529">
        <v>17</v>
      </c>
      <c r="AP47" s="538">
        <v>1292.7835051546385</v>
      </c>
      <c r="AQ47" s="538">
        <v>76.046088538508144</v>
      </c>
      <c r="AR47" s="538">
        <v>4</v>
      </c>
      <c r="AS47" s="642">
        <v>71.369612920786224</v>
      </c>
      <c r="AT47" s="529">
        <v>17</v>
      </c>
      <c r="AU47" s="538">
        <v>1274.3750000000005</v>
      </c>
      <c r="AV47" s="538">
        <v>74.96323529411768</v>
      </c>
      <c r="AW47" s="538">
        <v>4</v>
      </c>
      <c r="AX47" s="642">
        <v>71.402058182385403</v>
      </c>
      <c r="AZ47" s="377" t="e">
        <f>RANK(AY47, AY$47:AY$61)</f>
        <v>#N/A</v>
      </c>
      <c r="BA47" s="653" t="e">
        <f>AVERAGE(AY47:AY61)</f>
        <v>#DIV/0!</v>
      </c>
    </row>
    <row r="48" spans="2:53">
      <c r="B48" s="635"/>
      <c r="C48" s="529">
        <v>2</v>
      </c>
      <c r="D48" s="223" t="s">
        <v>342</v>
      </c>
      <c r="E48" s="538">
        <v>18</v>
      </c>
      <c r="F48" s="529">
        <v>1440</v>
      </c>
      <c r="G48" s="530">
        <v>80</v>
      </c>
      <c r="H48" s="678"/>
      <c r="I48" s="531">
        <f t="shared" si="29"/>
        <v>18</v>
      </c>
      <c r="J48" s="531">
        <f t="shared" si="29"/>
        <v>1267.2240386143312</v>
      </c>
      <c r="K48" s="363">
        <f t="shared" si="29"/>
        <v>70.401335478573969</v>
      </c>
      <c r="L48" s="615"/>
      <c r="M48" s="536">
        <f>RANK(K48, K$47:$K$61)</f>
        <v>6</v>
      </c>
      <c r="N48" s="624"/>
      <c r="O48" s="624"/>
      <c r="P48" s="529">
        <v>18</v>
      </c>
      <c r="Q48" s="538">
        <v>1314.3749999999982</v>
      </c>
      <c r="R48" s="538">
        <v>73.020833333333229</v>
      </c>
      <c r="S48" s="529">
        <v>5</v>
      </c>
      <c r="T48" s="653"/>
      <c r="U48" s="529">
        <v>18</v>
      </c>
      <c r="V48" s="538">
        <v>1313.9999999999975</v>
      </c>
      <c r="W48" s="538">
        <v>72.999999999999858</v>
      </c>
      <c r="X48" s="529">
        <v>5</v>
      </c>
      <c r="Y48" s="653"/>
      <c r="Z48" s="529">
        <v>18</v>
      </c>
      <c r="AA48" s="538">
        <v>1338.6206896551698</v>
      </c>
      <c r="AB48" s="538">
        <v>74.367816091953884</v>
      </c>
      <c r="AC48" s="538">
        <v>5</v>
      </c>
      <c r="AD48" s="642"/>
      <c r="AE48" s="529">
        <v>18</v>
      </c>
      <c r="AF48" s="538">
        <v>1121.2499999999984</v>
      </c>
      <c r="AG48" s="538">
        <v>62.291666666666579</v>
      </c>
      <c r="AH48" s="538">
        <v>11</v>
      </c>
      <c r="AI48" s="642"/>
      <c r="AJ48" s="529">
        <v>18</v>
      </c>
      <c r="AK48" s="538">
        <v>1151.999999999998</v>
      </c>
      <c r="AL48" s="538">
        <v>63.999999999999886</v>
      </c>
      <c r="AM48" s="538">
        <v>11</v>
      </c>
      <c r="AN48" s="642"/>
      <c r="AO48" s="529">
        <v>18</v>
      </c>
      <c r="AP48" s="538">
        <v>1310.3225806451592</v>
      </c>
      <c r="AQ48" s="538">
        <v>72.79569892473107</v>
      </c>
      <c r="AR48" s="538">
        <v>5</v>
      </c>
      <c r="AS48" s="642"/>
      <c r="AT48" s="529">
        <v>18</v>
      </c>
      <c r="AU48" s="538">
        <v>1319.9999999999982</v>
      </c>
      <c r="AV48" s="538">
        <v>73.333333333333229</v>
      </c>
      <c r="AW48" s="538">
        <v>6</v>
      </c>
      <c r="AX48" s="642"/>
      <c r="AZ48" s="377" t="e">
        <f t="shared" ref="AZ48:AZ61" si="30">RANK(AY48, AY$47:AY$61)</f>
        <v>#N/A</v>
      </c>
      <c r="BA48" s="653"/>
    </row>
    <row r="49" spans="2:53">
      <c r="B49" s="635"/>
      <c r="C49" s="529">
        <v>3</v>
      </c>
      <c r="D49" s="223" t="s">
        <v>343</v>
      </c>
      <c r="E49" s="538">
        <v>17</v>
      </c>
      <c r="F49" s="529">
        <v>1440</v>
      </c>
      <c r="G49" s="530">
        <v>84.7</v>
      </c>
      <c r="H49" s="678"/>
      <c r="I49" s="531">
        <f t="shared" si="29"/>
        <v>17</v>
      </c>
      <c r="J49" s="531">
        <f t="shared" si="29"/>
        <v>1329.926609480777</v>
      </c>
      <c r="K49" s="363">
        <f t="shared" si="29"/>
        <v>78.230977028281004</v>
      </c>
      <c r="L49" s="615"/>
      <c r="M49" s="536">
        <f>RANK(K49, K$47:$K$61)</f>
        <v>3</v>
      </c>
      <c r="N49" s="624"/>
      <c r="O49" s="624"/>
      <c r="P49" s="529">
        <v>17</v>
      </c>
      <c r="Q49" s="538">
        <v>1332.5274725274726</v>
      </c>
      <c r="R49" s="538">
        <v>78.383968972204272</v>
      </c>
      <c r="S49" s="529">
        <v>3</v>
      </c>
      <c r="T49" s="653"/>
      <c r="U49" s="529">
        <v>17</v>
      </c>
      <c r="V49" s="538">
        <v>1322.7586206896549</v>
      </c>
      <c r="W49" s="538">
        <v>77.809330628803224</v>
      </c>
      <c r="X49" s="529">
        <v>3</v>
      </c>
      <c r="Y49" s="653"/>
      <c r="Z49" s="529">
        <v>17</v>
      </c>
      <c r="AA49" s="538">
        <v>1319.2500000000007</v>
      </c>
      <c r="AB49" s="538">
        <v>77.602941176470623</v>
      </c>
      <c r="AC49" s="538">
        <v>3</v>
      </c>
      <c r="AD49" s="642"/>
      <c r="AE49" s="529">
        <v>17</v>
      </c>
      <c r="AF49" s="538">
        <v>1347.2727272727279</v>
      </c>
      <c r="AG49" s="538">
        <v>79.251336898395763</v>
      </c>
      <c r="AH49" s="538">
        <v>3</v>
      </c>
      <c r="AI49" s="642"/>
      <c r="AJ49" s="529">
        <v>17</v>
      </c>
      <c r="AK49" s="538">
        <v>1309.7560975609765</v>
      </c>
      <c r="AL49" s="538">
        <v>77.044476327116271</v>
      </c>
      <c r="AM49" s="538">
        <v>3</v>
      </c>
      <c r="AN49" s="642"/>
      <c r="AO49" s="529">
        <v>17</v>
      </c>
      <c r="AP49" s="538">
        <v>1335</v>
      </c>
      <c r="AQ49" s="538">
        <v>78.529411764705884</v>
      </c>
      <c r="AR49" s="538">
        <v>3</v>
      </c>
      <c r="AS49" s="642"/>
      <c r="AT49" s="529">
        <v>17</v>
      </c>
      <c r="AU49" s="538">
        <v>1342.9213483146068</v>
      </c>
      <c r="AV49" s="538">
        <v>78.995373430270988</v>
      </c>
      <c r="AW49" s="538">
        <v>2</v>
      </c>
      <c r="AX49" s="642"/>
      <c r="AZ49" s="377" t="e">
        <f t="shared" si="30"/>
        <v>#N/A</v>
      </c>
      <c r="BA49" s="653"/>
    </row>
    <row r="50" spans="2:53">
      <c r="B50" s="635"/>
      <c r="C50" s="529">
        <v>4</v>
      </c>
      <c r="D50" s="223" t="s">
        <v>345</v>
      </c>
      <c r="E50" s="538">
        <v>21</v>
      </c>
      <c r="F50" s="529">
        <v>1385</v>
      </c>
      <c r="G50" s="530">
        <v>65.900000000000006</v>
      </c>
      <c r="H50" s="678"/>
      <c r="I50" s="531">
        <f t="shared" si="29"/>
        <v>21</v>
      </c>
      <c r="J50" s="531">
        <f t="shared" si="29"/>
        <v>1284.4075478769573</v>
      </c>
      <c r="K50" s="363">
        <f t="shared" si="29"/>
        <v>61.162264184617015</v>
      </c>
      <c r="L50" s="615"/>
      <c r="M50" s="536">
        <f>RANK(K50, K$47:$K$61)</f>
        <v>12</v>
      </c>
      <c r="N50" s="624"/>
      <c r="O50" s="624"/>
      <c r="P50" s="529">
        <v>21</v>
      </c>
      <c r="Q50" s="538">
        <v>1273.8461538461545</v>
      </c>
      <c r="R50" s="538">
        <v>60.659340659340693</v>
      </c>
      <c r="S50" s="529">
        <v>12</v>
      </c>
      <c r="T50" s="653"/>
      <c r="U50" s="529">
        <v>21</v>
      </c>
      <c r="V50" s="538">
        <v>1296.9230769230769</v>
      </c>
      <c r="W50" s="538">
        <v>61.758241758241759</v>
      </c>
      <c r="X50" s="529">
        <v>12</v>
      </c>
      <c r="Y50" s="653"/>
      <c r="Z50" s="529">
        <v>21</v>
      </c>
      <c r="AA50" s="538">
        <v>1300.7407407407404</v>
      </c>
      <c r="AB50" s="538">
        <v>61.940035273368593</v>
      </c>
      <c r="AC50" s="538">
        <v>12</v>
      </c>
      <c r="AD50" s="642"/>
      <c r="AE50" s="529">
        <v>21</v>
      </c>
      <c r="AF50" s="538">
        <v>1278.9873417721512</v>
      </c>
      <c r="AG50" s="538">
        <v>60.904159132007202</v>
      </c>
      <c r="AH50" s="538">
        <v>12</v>
      </c>
      <c r="AI50" s="642"/>
      <c r="AJ50" s="529">
        <v>21</v>
      </c>
      <c r="AK50" s="538">
        <v>1264.8837209302324</v>
      </c>
      <c r="AL50" s="538">
        <v>60.232558139534873</v>
      </c>
      <c r="AM50" s="538">
        <v>12</v>
      </c>
      <c r="AN50" s="642"/>
      <c r="AO50" s="529">
        <v>21</v>
      </c>
      <c r="AP50" s="538">
        <v>1291.7355371900821</v>
      </c>
      <c r="AQ50" s="538">
        <v>61.511216056670577</v>
      </c>
      <c r="AR50" s="538">
        <v>12</v>
      </c>
      <c r="AS50" s="642"/>
      <c r="AT50" s="529">
        <v>21</v>
      </c>
      <c r="AU50" s="538">
        <v>1283.7362637362637</v>
      </c>
      <c r="AV50" s="538">
        <v>61.130298273155418</v>
      </c>
      <c r="AW50" s="538">
        <v>13</v>
      </c>
      <c r="AX50" s="642"/>
      <c r="AZ50" s="377" t="e">
        <f t="shared" si="30"/>
        <v>#N/A</v>
      </c>
      <c r="BA50" s="653"/>
    </row>
    <row r="51" spans="2:53">
      <c r="B51" s="635"/>
      <c r="C51" s="529">
        <v>5</v>
      </c>
      <c r="D51" s="223" t="s">
        <v>346</v>
      </c>
      <c r="E51" s="538">
        <v>19</v>
      </c>
      <c r="F51" s="529">
        <v>1440</v>
      </c>
      <c r="G51" s="530">
        <v>75.8</v>
      </c>
      <c r="H51" s="678"/>
      <c r="I51" s="531">
        <f t="shared" si="29"/>
        <v>19</v>
      </c>
      <c r="J51" s="531">
        <f t="shared" si="29"/>
        <v>1306.0120042891758</v>
      </c>
      <c r="K51" s="363">
        <f t="shared" si="29"/>
        <v>68.737473909956634</v>
      </c>
      <c r="L51" s="615"/>
      <c r="M51" s="536">
        <f>RANK(K51, K$47:$K$61)</f>
        <v>8</v>
      </c>
      <c r="N51" s="624"/>
      <c r="O51" s="624"/>
      <c r="P51" s="529">
        <v>19</v>
      </c>
      <c r="Q51" s="538">
        <v>1167.1000000000042</v>
      </c>
      <c r="R51" s="538">
        <v>61.426315789473904</v>
      </c>
      <c r="S51" s="529">
        <v>11</v>
      </c>
      <c r="T51" s="653"/>
      <c r="U51" s="529">
        <v>19</v>
      </c>
      <c r="V51" s="538">
        <v>1324.6388059701476</v>
      </c>
      <c r="W51" s="538">
        <v>69.717831893165666</v>
      </c>
      <c r="X51" s="529">
        <v>9</v>
      </c>
      <c r="Y51" s="653"/>
      <c r="Z51" s="529">
        <v>19</v>
      </c>
      <c r="AA51" s="538">
        <v>1342.0253164556955</v>
      </c>
      <c r="AB51" s="538">
        <v>70.63291139240502</v>
      </c>
      <c r="AC51" s="538">
        <v>7</v>
      </c>
      <c r="AD51" s="642"/>
      <c r="AE51" s="529">
        <v>19</v>
      </c>
      <c r="AF51" s="538">
        <v>1324.7058823529419</v>
      </c>
      <c r="AG51" s="538">
        <v>69.721362229102212</v>
      </c>
      <c r="AH51" s="538">
        <v>7</v>
      </c>
      <c r="AI51" s="642"/>
      <c r="AJ51" s="529">
        <v>19</v>
      </c>
      <c r="AK51" s="538">
        <v>1328.709677419356</v>
      </c>
      <c r="AL51" s="538">
        <v>69.93208828522927</v>
      </c>
      <c r="AM51" s="538">
        <v>7</v>
      </c>
      <c r="AN51" s="642"/>
      <c r="AO51" s="529">
        <v>19</v>
      </c>
      <c r="AP51" s="538">
        <v>1321.304347826087</v>
      </c>
      <c r="AQ51" s="538">
        <v>69.54233409610984</v>
      </c>
      <c r="AR51" s="538">
        <v>9</v>
      </c>
      <c r="AS51" s="642"/>
      <c r="AT51" s="529">
        <v>19</v>
      </c>
      <c r="AU51" s="538">
        <v>1333.599999999999</v>
      </c>
      <c r="AV51" s="538">
        <v>70.189473684210469</v>
      </c>
      <c r="AW51" s="538">
        <v>7</v>
      </c>
      <c r="AX51" s="642"/>
      <c r="AZ51" s="377" t="e">
        <f t="shared" si="30"/>
        <v>#N/A</v>
      </c>
      <c r="BA51" s="653"/>
    </row>
    <row r="52" spans="2:53">
      <c r="B52" s="635"/>
      <c r="C52" s="529">
        <v>6</v>
      </c>
      <c r="D52" s="223" t="s">
        <v>408</v>
      </c>
      <c r="E52" s="538">
        <v>18</v>
      </c>
      <c r="F52" s="529">
        <v>1385</v>
      </c>
      <c r="G52" s="530">
        <v>76.900000000000006</v>
      </c>
      <c r="H52" s="678"/>
      <c r="I52" s="531">
        <f t="shared" si="29"/>
        <v>18</v>
      </c>
      <c r="J52" s="531">
        <f t="shared" si="29"/>
        <v>1230.3203474239101</v>
      </c>
      <c r="K52" s="363">
        <f t="shared" si="29"/>
        <v>68.35113041243946</v>
      </c>
      <c r="L52" s="615"/>
      <c r="M52" s="536">
        <f>RANK(K52, K$47:$K$61)</f>
        <v>10</v>
      </c>
      <c r="N52" s="624"/>
      <c r="O52" s="624"/>
      <c r="P52" s="529">
        <v>18</v>
      </c>
      <c r="Q52" s="538">
        <v>1230.3529411764705</v>
      </c>
      <c r="R52" s="538">
        <v>68.35294117647058</v>
      </c>
      <c r="S52" s="529">
        <v>8</v>
      </c>
      <c r="T52" s="653"/>
      <c r="U52" s="529">
        <v>18</v>
      </c>
      <c r="V52" s="538">
        <v>1246.1538461538476</v>
      </c>
      <c r="W52" s="538">
        <v>69.230769230769312</v>
      </c>
      <c r="X52" s="529">
        <v>10</v>
      </c>
      <c r="Y52" s="653"/>
      <c r="Z52" s="529">
        <v>18</v>
      </c>
      <c r="AA52" s="538">
        <v>1227.9999999999991</v>
      </c>
      <c r="AB52" s="538">
        <v>68.222222222222172</v>
      </c>
      <c r="AC52" s="538">
        <v>9</v>
      </c>
      <c r="AD52" s="642"/>
      <c r="AE52" s="529">
        <v>18</v>
      </c>
      <c r="AF52" s="538">
        <v>1215</v>
      </c>
      <c r="AG52" s="538">
        <v>67.5</v>
      </c>
      <c r="AH52" s="538">
        <v>9</v>
      </c>
      <c r="AI52" s="642"/>
      <c r="AJ52" s="529">
        <v>18</v>
      </c>
      <c r="AK52" s="538">
        <v>1245.0000000000009</v>
      </c>
      <c r="AL52" s="538">
        <v>69.166666666666714</v>
      </c>
      <c r="AM52" s="538">
        <v>9</v>
      </c>
      <c r="AN52" s="642"/>
      <c r="AO52" s="529">
        <v>18</v>
      </c>
      <c r="AP52" s="538">
        <v>1226.1971830985904</v>
      </c>
      <c r="AQ52" s="538">
        <v>68.122065727699464</v>
      </c>
      <c r="AR52" s="538">
        <v>11</v>
      </c>
      <c r="AS52" s="642"/>
      <c r="AT52" s="529">
        <v>18</v>
      </c>
      <c r="AU52" s="538">
        <v>1221.5384615384621</v>
      </c>
      <c r="AV52" s="538">
        <v>67.863247863247892</v>
      </c>
      <c r="AW52" s="538">
        <v>11</v>
      </c>
      <c r="AX52" s="642"/>
      <c r="AZ52" s="377" t="e">
        <f t="shared" si="30"/>
        <v>#N/A</v>
      </c>
      <c r="BA52" s="653"/>
    </row>
    <row r="53" spans="2:53">
      <c r="B53" s="635"/>
      <c r="C53" s="529">
        <v>7</v>
      </c>
      <c r="D53" s="223" t="s">
        <v>410</v>
      </c>
      <c r="E53" s="538">
        <v>18</v>
      </c>
      <c r="F53" s="529">
        <v>1385</v>
      </c>
      <c r="G53" s="530">
        <v>76.900000000000006</v>
      </c>
      <c r="H53" s="678"/>
      <c r="I53" s="531">
        <f t="shared" si="29"/>
        <v>18</v>
      </c>
      <c r="J53" s="531">
        <f t="shared" si="29"/>
        <v>1224.7517597096689</v>
      </c>
      <c r="K53" s="363">
        <f t="shared" si="29"/>
        <v>68.041764428314949</v>
      </c>
      <c r="L53" s="615"/>
      <c r="M53" s="536">
        <f>RANK(K53, K$47:$K$61)</f>
        <v>11</v>
      </c>
      <c r="N53" s="624"/>
      <c r="O53" s="624"/>
      <c r="P53" s="529">
        <v>18</v>
      </c>
      <c r="Q53" s="538">
        <v>1229.3877551020412</v>
      </c>
      <c r="R53" s="538">
        <v>68.299319727891174</v>
      </c>
      <c r="S53" s="529">
        <v>9</v>
      </c>
      <c r="T53" s="653"/>
      <c r="U53" s="529">
        <v>18</v>
      </c>
      <c r="V53" s="538">
        <v>1213.3333333333333</v>
      </c>
      <c r="W53" s="538">
        <v>67.407407407407405</v>
      </c>
      <c r="X53" s="529">
        <v>11</v>
      </c>
      <c r="Y53" s="653"/>
      <c r="Z53" s="529">
        <v>18</v>
      </c>
      <c r="AA53" s="538">
        <v>1214.9999999999995</v>
      </c>
      <c r="AB53" s="538">
        <v>67.499999999999972</v>
      </c>
      <c r="AC53" s="538">
        <v>11</v>
      </c>
      <c r="AD53" s="642"/>
      <c r="AE53" s="529">
        <v>18</v>
      </c>
      <c r="AF53" s="538">
        <v>1225.1612903225819</v>
      </c>
      <c r="AG53" s="538">
        <v>68.064516129032327</v>
      </c>
      <c r="AH53" s="538">
        <v>8</v>
      </c>
      <c r="AI53" s="642"/>
      <c r="AJ53" s="529">
        <v>18</v>
      </c>
      <c r="AK53" s="538">
        <v>1210.0000000000011</v>
      </c>
      <c r="AL53" s="538">
        <v>67.222222222222285</v>
      </c>
      <c r="AM53" s="538">
        <v>10</v>
      </c>
      <c r="AN53" s="642"/>
      <c r="AO53" s="529">
        <v>18</v>
      </c>
      <c r="AP53" s="538">
        <v>1253.5714285714278</v>
      </c>
      <c r="AQ53" s="538">
        <v>69.642857142857096</v>
      </c>
      <c r="AR53" s="538">
        <v>8</v>
      </c>
      <c r="AS53" s="642"/>
      <c r="AT53" s="529">
        <v>18</v>
      </c>
      <c r="AU53" s="538">
        <v>1226.8085106382982</v>
      </c>
      <c r="AV53" s="538">
        <v>68.156028368794352</v>
      </c>
      <c r="AW53" s="538">
        <v>10</v>
      </c>
      <c r="AX53" s="642"/>
      <c r="AZ53" s="377" t="e">
        <f t="shared" si="30"/>
        <v>#N/A</v>
      </c>
      <c r="BA53" s="653"/>
    </row>
    <row r="54" spans="2:53">
      <c r="B54" s="635"/>
      <c r="C54" s="529">
        <v>8</v>
      </c>
      <c r="D54" s="223" t="s">
        <v>429</v>
      </c>
      <c r="E54" s="538">
        <v>16</v>
      </c>
      <c r="F54" s="529">
        <v>1440</v>
      </c>
      <c r="G54" s="530">
        <v>90</v>
      </c>
      <c r="H54" s="678"/>
      <c r="I54" s="531">
        <f t="shared" si="29"/>
        <v>16</v>
      </c>
      <c r="J54" s="531">
        <f t="shared" si="29"/>
        <v>1320.8064014815259</v>
      </c>
      <c r="K54" s="363">
        <f t="shared" si="29"/>
        <v>82.550400092595368</v>
      </c>
      <c r="L54" s="615"/>
      <c r="M54" s="536">
        <f>RANK(K54, K$47:$K$61)</f>
        <v>1</v>
      </c>
      <c r="N54" s="624"/>
      <c r="O54" s="624"/>
      <c r="P54" s="529">
        <v>16</v>
      </c>
      <c r="Q54" s="538">
        <v>1350.4999999999993</v>
      </c>
      <c r="R54" s="538">
        <v>84.406249999999957</v>
      </c>
      <c r="S54" s="529">
        <v>1</v>
      </c>
      <c r="T54" s="653"/>
      <c r="U54" s="529">
        <v>16</v>
      </c>
      <c r="V54" s="538">
        <v>1333.3980000000004</v>
      </c>
      <c r="W54" s="538">
        <v>83.337375000000023</v>
      </c>
      <c r="X54" s="529">
        <v>1</v>
      </c>
      <c r="Y54" s="653"/>
      <c r="Z54" s="529">
        <v>16</v>
      </c>
      <c r="AA54" s="538">
        <v>1348.5148514851492</v>
      </c>
      <c r="AB54" s="538">
        <v>84.282178217821823</v>
      </c>
      <c r="AC54" s="538">
        <v>1</v>
      </c>
      <c r="AD54" s="642"/>
      <c r="AE54" s="529">
        <v>16</v>
      </c>
      <c r="AF54" s="538">
        <v>1340.7692307692314</v>
      </c>
      <c r="AG54" s="538">
        <v>83.798076923076962</v>
      </c>
      <c r="AH54" s="538">
        <v>1</v>
      </c>
      <c r="AI54" s="642"/>
      <c r="AJ54" s="529">
        <v>16</v>
      </c>
      <c r="AK54" s="538">
        <v>1294.5283018867931</v>
      </c>
      <c r="AL54" s="538">
        <v>80.908018867924568</v>
      </c>
      <c r="AM54" s="538">
        <v>1</v>
      </c>
      <c r="AN54" s="642"/>
      <c r="AO54" s="529">
        <v>16</v>
      </c>
      <c r="AP54" s="538">
        <v>1293.9344262295076</v>
      </c>
      <c r="AQ54" s="538">
        <v>80.870901639344225</v>
      </c>
      <c r="AR54" s="538">
        <v>1</v>
      </c>
      <c r="AS54" s="642"/>
      <c r="AT54" s="529">
        <v>16</v>
      </c>
      <c r="AU54" s="538">
        <v>1283.9999999999995</v>
      </c>
      <c r="AV54" s="538">
        <v>80.249999999999972</v>
      </c>
      <c r="AW54" s="538">
        <v>1</v>
      </c>
      <c r="AX54" s="642"/>
      <c r="AZ54" s="377" t="e">
        <f t="shared" si="30"/>
        <v>#N/A</v>
      </c>
      <c r="BA54" s="653"/>
    </row>
    <row r="55" spans="2:53">
      <c r="B55" s="635"/>
      <c r="C55" s="529">
        <v>9</v>
      </c>
      <c r="D55" s="223" t="s">
        <v>528</v>
      </c>
      <c r="E55" s="538">
        <v>19</v>
      </c>
      <c r="F55" s="529">
        <v>1636</v>
      </c>
      <c r="G55" s="530">
        <v>86.1</v>
      </c>
      <c r="H55" s="678"/>
      <c r="I55" s="531">
        <f t="shared" si="29"/>
        <v>19</v>
      </c>
      <c r="J55" s="531">
        <f t="shared" si="29"/>
        <v>1385.613133981419</v>
      </c>
      <c r="K55" s="363">
        <f t="shared" si="29"/>
        <v>72.927007051653618</v>
      </c>
      <c r="L55" s="615"/>
      <c r="M55" s="536">
        <f>RANK(K55, K$47:$K$61)</f>
        <v>5</v>
      </c>
      <c r="N55" s="624"/>
      <c r="O55" s="624"/>
      <c r="P55" s="529">
        <v>19</v>
      </c>
      <c r="Q55" s="538">
        <v>1377.0566037735846</v>
      </c>
      <c r="R55" s="538">
        <v>72.476663356504446</v>
      </c>
      <c r="S55" s="529">
        <v>6</v>
      </c>
      <c r="T55" s="653"/>
      <c r="U55" s="529">
        <v>19</v>
      </c>
      <c r="V55" s="538">
        <v>1379.7500000000005</v>
      </c>
      <c r="W55" s="538">
        <v>72.618421052631604</v>
      </c>
      <c r="X55" s="529">
        <v>6</v>
      </c>
      <c r="Y55" s="653"/>
      <c r="Z55" s="529">
        <v>19</v>
      </c>
      <c r="AA55" s="538">
        <v>1380.7248322147657</v>
      </c>
      <c r="AB55" s="538">
        <v>72.669728011303462</v>
      </c>
      <c r="AC55" s="538">
        <v>6</v>
      </c>
      <c r="AD55" s="642"/>
      <c r="AE55" s="529">
        <v>19</v>
      </c>
      <c r="AF55" s="538">
        <v>1373.8378378378384</v>
      </c>
      <c r="AG55" s="538">
        <v>72.30725462304413</v>
      </c>
      <c r="AH55" s="538">
        <v>5</v>
      </c>
      <c r="AI55" s="642"/>
      <c r="AJ55" s="529">
        <v>19</v>
      </c>
      <c r="AK55" s="538">
        <v>1404.6986301369861</v>
      </c>
      <c r="AL55" s="538">
        <v>73.931506849315056</v>
      </c>
      <c r="AM55" s="538">
        <v>5</v>
      </c>
      <c r="AN55" s="642"/>
      <c r="AO55" s="529">
        <v>19</v>
      </c>
      <c r="AP55" s="538">
        <v>1373.5287958115186</v>
      </c>
      <c r="AQ55" s="538">
        <v>72.290989253237825</v>
      </c>
      <c r="AR55" s="538">
        <v>6</v>
      </c>
      <c r="AS55" s="642"/>
      <c r="AT55" s="529">
        <v>19</v>
      </c>
      <c r="AU55" s="538">
        <v>1409.6952380952384</v>
      </c>
      <c r="AV55" s="538">
        <v>74.194486215538859</v>
      </c>
      <c r="AW55" s="538">
        <v>5</v>
      </c>
      <c r="AX55" s="642"/>
      <c r="AZ55" s="377" t="e">
        <f t="shared" si="30"/>
        <v>#N/A</v>
      </c>
      <c r="BA55" s="653"/>
    </row>
    <row r="56" spans="2:53">
      <c r="B56" s="635"/>
      <c r="C56" s="529">
        <v>10</v>
      </c>
      <c r="D56" s="223" t="s">
        <v>564</v>
      </c>
      <c r="E56" s="538">
        <v>19</v>
      </c>
      <c r="F56" s="529">
        <v>1440</v>
      </c>
      <c r="G56" s="530">
        <v>75.8</v>
      </c>
      <c r="H56" s="678"/>
      <c r="I56" s="531">
        <f t="shared" si="29"/>
        <v>18</v>
      </c>
      <c r="J56" s="531">
        <f t="shared" si="29"/>
        <v>1086.0556110556151</v>
      </c>
      <c r="K56" s="363">
        <f t="shared" si="29"/>
        <v>60.336422836423047</v>
      </c>
      <c r="L56" s="615"/>
      <c r="M56" s="536">
        <f>RANK(K56, K$47:$K$61)</f>
        <v>13</v>
      </c>
      <c r="N56" s="624"/>
      <c r="O56" s="624"/>
      <c r="P56" s="529">
        <v>18</v>
      </c>
      <c r="Q56" s="538">
        <v>1085.0000000000039</v>
      </c>
      <c r="R56" s="538">
        <v>60.277777777777992</v>
      </c>
      <c r="S56" s="529">
        <v>13</v>
      </c>
      <c r="T56" s="653"/>
      <c r="U56" s="529">
        <v>18</v>
      </c>
      <c r="V56" s="538">
        <v>1075.0000000000039</v>
      </c>
      <c r="W56" s="538">
        <v>59.722222222222435</v>
      </c>
      <c r="X56" s="529">
        <v>13</v>
      </c>
      <c r="Y56" s="653"/>
      <c r="Z56" s="529">
        <v>18</v>
      </c>
      <c r="AA56" s="538">
        <v>1105.0000000000039</v>
      </c>
      <c r="AB56" s="538">
        <v>61.388888888889106</v>
      </c>
      <c r="AC56" s="538">
        <v>13</v>
      </c>
      <c r="AD56" s="642"/>
      <c r="AE56" s="529">
        <v>18</v>
      </c>
      <c r="AF56" s="538">
        <v>1086.6666666666704</v>
      </c>
      <c r="AG56" s="538">
        <v>60.37037037037058</v>
      </c>
      <c r="AH56" s="538">
        <v>13</v>
      </c>
      <c r="AI56" s="642"/>
      <c r="AJ56" s="529">
        <v>18</v>
      </c>
      <c r="AK56" s="538">
        <v>1046.6666666666704</v>
      </c>
      <c r="AL56" s="538">
        <v>58.148148148148351</v>
      </c>
      <c r="AM56" s="538">
        <v>13</v>
      </c>
      <c r="AN56" s="642"/>
      <c r="AO56" s="529">
        <v>18</v>
      </c>
      <c r="AP56" s="538">
        <v>1096.3636363636401</v>
      </c>
      <c r="AQ56" s="538">
        <v>60.90909090909112</v>
      </c>
      <c r="AR56" s="538">
        <v>13</v>
      </c>
      <c r="AS56" s="642"/>
      <c r="AT56" s="529">
        <v>18</v>
      </c>
      <c r="AU56" s="538">
        <v>1107.6923076923117</v>
      </c>
      <c r="AV56" s="538">
        <v>61.53846153846176</v>
      </c>
      <c r="AW56" s="538">
        <v>12</v>
      </c>
      <c r="AX56" s="642"/>
      <c r="AZ56" s="377" t="e">
        <f t="shared" si="30"/>
        <v>#N/A</v>
      </c>
      <c r="BA56" s="653"/>
    </row>
    <row r="57" spans="2:53">
      <c r="B57" s="635"/>
      <c r="C57" s="529">
        <v>11</v>
      </c>
      <c r="D57" s="223" t="s">
        <v>636</v>
      </c>
      <c r="E57" s="538">
        <v>17</v>
      </c>
      <c r="F57" s="529">
        <v>1440</v>
      </c>
      <c r="G57" s="530">
        <v>84.7</v>
      </c>
      <c r="H57" s="678"/>
      <c r="I57" s="531">
        <f t="shared" si="29"/>
        <v>17</v>
      </c>
      <c r="J57" s="531">
        <f t="shared" si="29"/>
        <v>1344.1262490101815</v>
      </c>
      <c r="K57" s="363">
        <f t="shared" si="29"/>
        <v>79.066249941775368</v>
      </c>
      <c r="L57" s="615"/>
      <c r="M57" s="536">
        <f>RANK(K57, K$47:$K$61)</f>
        <v>2</v>
      </c>
      <c r="N57" s="624"/>
      <c r="O57" s="624"/>
      <c r="P57" s="529">
        <v>17</v>
      </c>
      <c r="Q57" s="538">
        <v>1363.4042553191491</v>
      </c>
      <c r="R57" s="538">
        <v>80.200250312891129</v>
      </c>
      <c r="S57" s="529">
        <v>2</v>
      </c>
      <c r="T57" s="653"/>
      <c r="U57" s="529">
        <v>17</v>
      </c>
      <c r="V57" s="538">
        <v>1335.929203539823</v>
      </c>
      <c r="W57" s="538">
        <v>78.584070796460182</v>
      </c>
      <c r="X57" s="529">
        <v>2</v>
      </c>
      <c r="Y57" s="653"/>
      <c r="Z57" s="529">
        <v>17</v>
      </c>
      <c r="AA57" s="538">
        <v>1343.4545454545453</v>
      </c>
      <c r="AB57" s="538">
        <v>79.026737967914428</v>
      </c>
      <c r="AC57" s="538">
        <v>2</v>
      </c>
      <c r="AD57" s="642"/>
      <c r="AE57" s="529">
        <v>17</v>
      </c>
      <c r="AF57" s="538">
        <v>1352.7272727272727</v>
      </c>
      <c r="AG57" s="538">
        <v>79.572192513368989</v>
      </c>
      <c r="AH57" s="538">
        <v>2</v>
      </c>
      <c r="AI57" s="642"/>
      <c r="AJ57" s="529">
        <v>17</v>
      </c>
      <c r="AK57" s="538">
        <v>1333.2352941176468</v>
      </c>
      <c r="AL57" s="538">
        <v>78.425605536332171</v>
      </c>
      <c r="AM57" s="538">
        <v>2</v>
      </c>
      <c r="AN57" s="642"/>
      <c r="AO57" s="529">
        <v>17</v>
      </c>
      <c r="AP57" s="538">
        <v>1339.285714285714</v>
      </c>
      <c r="AQ57" s="538">
        <v>78.781512605041996</v>
      </c>
      <c r="AR57" s="538">
        <v>2</v>
      </c>
      <c r="AS57" s="642"/>
      <c r="AT57" s="529">
        <v>17</v>
      </c>
      <c r="AU57" s="538">
        <v>1340.8474576271187</v>
      </c>
      <c r="AV57" s="538">
        <v>78.873379860418751</v>
      </c>
      <c r="AW57" s="538">
        <v>3</v>
      </c>
      <c r="AX57" s="642"/>
      <c r="AZ57" s="377" t="e">
        <f t="shared" si="30"/>
        <v>#N/A</v>
      </c>
      <c r="BA57" s="653"/>
    </row>
    <row r="58" spans="2:53">
      <c r="B58" s="635"/>
      <c r="C58" s="529">
        <v>12</v>
      </c>
      <c r="D58" s="223" t="s">
        <v>847</v>
      </c>
      <c r="E58" s="538">
        <v>19</v>
      </c>
      <c r="F58" s="529">
        <v>1440</v>
      </c>
      <c r="G58" s="530">
        <v>75.8</v>
      </c>
      <c r="H58" s="678"/>
      <c r="I58" s="531">
        <f t="shared" si="29"/>
        <v>19</v>
      </c>
      <c r="J58" s="531">
        <f t="shared" si="29"/>
        <v>1302.5692851162016</v>
      </c>
      <c r="K58" s="363">
        <f t="shared" si="29"/>
        <v>68.556278164010607</v>
      </c>
      <c r="L58" s="615"/>
      <c r="M58" s="536">
        <f>RANK(K58, K$47:$K$61)</f>
        <v>9</v>
      </c>
      <c r="N58" s="624"/>
      <c r="O58" s="624"/>
      <c r="P58" s="529">
        <v>19</v>
      </c>
      <c r="Q58" s="538">
        <v>1288.4999999999995</v>
      </c>
      <c r="R58" s="538">
        <v>67.815789473684191</v>
      </c>
      <c r="S58" s="529">
        <v>10</v>
      </c>
      <c r="T58" s="653"/>
      <c r="U58" s="529">
        <v>19</v>
      </c>
      <c r="V58" s="538">
        <v>1325.5813953488371</v>
      </c>
      <c r="W58" s="538">
        <v>69.767441860465112</v>
      </c>
      <c r="X58" s="529">
        <v>8</v>
      </c>
      <c r="Y58" s="653"/>
      <c r="Z58" s="529">
        <v>19</v>
      </c>
      <c r="AA58" s="538">
        <v>1290.6666666666667</v>
      </c>
      <c r="AB58" s="538">
        <v>67.929824561403507</v>
      </c>
      <c r="AC58" s="538">
        <v>10</v>
      </c>
      <c r="AD58" s="642"/>
      <c r="AE58" s="529">
        <v>19</v>
      </c>
      <c r="AF58" s="538">
        <v>1280.9999999999995</v>
      </c>
      <c r="AG58" s="538">
        <v>67.421052631578917</v>
      </c>
      <c r="AH58" s="538">
        <v>10</v>
      </c>
      <c r="AI58" s="642"/>
      <c r="AJ58" s="529">
        <v>19</v>
      </c>
      <c r="AK58" s="538">
        <v>1330.2857142857129</v>
      </c>
      <c r="AL58" s="538">
        <v>70.015037593984886</v>
      </c>
      <c r="AM58" s="538">
        <v>6</v>
      </c>
      <c r="AN58" s="642"/>
      <c r="AO58" s="529">
        <v>19</v>
      </c>
      <c r="AP58" s="538">
        <v>1298.0487804878044</v>
      </c>
      <c r="AQ58" s="538">
        <v>68.318356867779173</v>
      </c>
      <c r="AR58" s="538">
        <v>10</v>
      </c>
      <c r="AS58" s="642"/>
      <c r="AT58" s="529">
        <v>19</v>
      </c>
      <c r="AU58" s="538">
        <v>1303.9024390243897</v>
      </c>
      <c r="AV58" s="538">
        <v>68.626444159178405</v>
      </c>
      <c r="AW58" s="538">
        <v>9</v>
      </c>
      <c r="AX58" s="642"/>
      <c r="AZ58" s="377" t="e">
        <f t="shared" si="30"/>
        <v>#N/A</v>
      </c>
      <c r="BA58" s="653"/>
    </row>
    <row r="59" spans="2:53">
      <c r="B59" s="635"/>
      <c r="C59" s="529">
        <v>13</v>
      </c>
      <c r="D59" s="223" t="s">
        <v>848</v>
      </c>
      <c r="E59" s="538">
        <v>18</v>
      </c>
      <c r="F59" s="529">
        <v>1440</v>
      </c>
      <c r="G59" s="530">
        <v>80</v>
      </c>
      <c r="H59" s="678"/>
      <c r="I59" s="531">
        <f t="shared" si="29"/>
        <v>18</v>
      </c>
      <c r="J59" s="531">
        <f t="shared" si="29"/>
        <v>1266.9472884850222</v>
      </c>
      <c r="K59" s="363">
        <f t="shared" si="29"/>
        <v>70.385960471390135</v>
      </c>
      <c r="L59" s="615"/>
      <c r="M59" s="536">
        <f>RANK(K59, K$47:$K$61)</f>
        <v>7</v>
      </c>
      <c r="N59" s="624"/>
      <c r="O59" s="624"/>
      <c r="P59" s="529">
        <v>18</v>
      </c>
      <c r="Q59" s="538">
        <v>1283.8356164383563</v>
      </c>
      <c r="R59" s="538">
        <v>71.324200913242009</v>
      </c>
      <c r="S59" s="529">
        <v>7</v>
      </c>
      <c r="T59" s="653"/>
      <c r="U59" s="529">
        <v>18</v>
      </c>
      <c r="V59" s="538">
        <v>1272.1052631578946</v>
      </c>
      <c r="W59" s="538">
        <v>70.672514619883032</v>
      </c>
      <c r="X59" s="529">
        <v>7</v>
      </c>
      <c r="Y59" s="653"/>
      <c r="Z59" s="529">
        <v>18</v>
      </c>
      <c r="AA59" s="538">
        <v>1265.5555555555552</v>
      </c>
      <c r="AB59" s="538">
        <v>70.308641975308618</v>
      </c>
      <c r="AC59" s="538">
        <v>8</v>
      </c>
      <c r="AD59" s="642"/>
      <c r="AE59" s="529">
        <v>18</v>
      </c>
      <c r="AF59" s="538">
        <v>1262.2929936305732</v>
      </c>
      <c r="AG59" s="538">
        <v>70.127388535031841</v>
      </c>
      <c r="AH59" s="538">
        <v>6</v>
      </c>
      <c r="AI59" s="642"/>
      <c r="AJ59" s="529">
        <v>18</v>
      </c>
      <c r="AK59" s="538">
        <v>1254.8076923076919</v>
      </c>
      <c r="AL59" s="538">
        <v>69.711538461538439</v>
      </c>
      <c r="AM59" s="538">
        <v>8</v>
      </c>
      <c r="AN59" s="642"/>
      <c r="AO59" s="529">
        <v>18</v>
      </c>
      <c r="AP59" s="538">
        <v>1268</v>
      </c>
      <c r="AQ59" s="538">
        <v>70.444444444444443</v>
      </c>
      <c r="AR59" s="538">
        <v>7</v>
      </c>
      <c r="AS59" s="642"/>
      <c r="AT59" s="529">
        <v>18</v>
      </c>
      <c r="AU59" s="538">
        <v>1262.0338983050849</v>
      </c>
      <c r="AV59" s="538">
        <v>70.112994350282491</v>
      </c>
      <c r="AW59" s="538">
        <v>8</v>
      </c>
      <c r="AX59" s="642"/>
      <c r="AZ59" s="377" t="e">
        <f t="shared" si="30"/>
        <v>#N/A</v>
      </c>
      <c r="BA59" s="653"/>
    </row>
    <row r="60" spans="2:53">
      <c r="B60" s="635"/>
      <c r="C60" s="529">
        <v>14</v>
      </c>
      <c r="D60" s="223"/>
      <c r="E60" s="538"/>
      <c r="F60" s="529"/>
      <c r="G60" s="530"/>
      <c r="H60" s="678"/>
      <c r="I60" s="531" t="str">
        <f t="shared" si="29"/>
        <v>-</v>
      </c>
      <c r="J60" s="531" t="str">
        <f t="shared" si="29"/>
        <v>-</v>
      </c>
      <c r="K60" s="363" t="str">
        <f t="shared" si="29"/>
        <v>-</v>
      </c>
      <c r="L60" s="615"/>
      <c r="M60" s="536" t="e">
        <f>RANK(K60, K$47:$K$61)</f>
        <v>#VALUE!</v>
      </c>
      <c r="N60" s="624"/>
      <c r="O60" s="624"/>
      <c r="P60" s="529" t="s">
        <v>427</v>
      </c>
      <c r="Q60" s="538" t="s">
        <v>427</v>
      </c>
      <c r="R60" s="538" t="s">
        <v>427</v>
      </c>
      <c r="S60" s="529" t="e">
        <v>#VALUE!</v>
      </c>
      <c r="T60" s="653"/>
      <c r="U60" s="529" t="s">
        <v>427</v>
      </c>
      <c r="V60" s="538" t="s">
        <v>427</v>
      </c>
      <c r="W60" s="538" t="s">
        <v>427</v>
      </c>
      <c r="X60" s="529" t="e">
        <v>#VALUE!</v>
      </c>
      <c r="Y60" s="653"/>
      <c r="Z60" s="529" t="s">
        <v>427</v>
      </c>
      <c r="AA60" s="538" t="s">
        <v>427</v>
      </c>
      <c r="AB60" s="538" t="s">
        <v>427</v>
      </c>
      <c r="AC60" s="538" t="e">
        <v>#VALUE!</v>
      </c>
      <c r="AD60" s="642"/>
      <c r="AE60" s="529" t="s">
        <v>427</v>
      </c>
      <c r="AF60" s="538" t="s">
        <v>427</v>
      </c>
      <c r="AG60" s="538" t="s">
        <v>427</v>
      </c>
      <c r="AH60" s="538" t="e">
        <v>#VALUE!</v>
      </c>
      <c r="AI60" s="642"/>
      <c r="AJ60" s="529" t="s">
        <v>427</v>
      </c>
      <c r="AK60" s="538" t="s">
        <v>427</v>
      </c>
      <c r="AL60" s="538" t="s">
        <v>427</v>
      </c>
      <c r="AM60" s="538" t="e">
        <v>#VALUE!</v>
      </c>
      <c r="AN60" s="642"/>
      <c r="AO60" s="529" t="s">
        <v>427</v>
      </c>
      <c r="AP60" s="538" t="s">
        <v>427</v>
      </c>
      <c r="AQ60" s="538" t="s">
        <v>427</v>
      </c>
      <c r="AR60" s="538" t="e">
        <v>#VALUE!</v>
      </c>
      <c r="AS60" s="642"/>
      <c r="AT60" s="529" t="s">
        <v>427</v>
      </c>
      <c r="AU60" s="538" t="s">
        <v>427</v>
      </c>
      <c r="AV60" s="538" t="s">
        <v>427</v>
      </c>
      <c r="AW60" s="538" t="e">
        <v>#VALUE!</v>
      </c>
      <c r="AX60" s="642"/>
      <c r="AZ60" s="377" t="e">
        <f t="shared" si="30"/>
        <v>#N/A</v>
      </c>
      <c r="BA60" s="653"/>
    </row>
    <row r="61" spans="2:53">
      <c r="B61" s="635"/>
      <c r="C61" s="529">
        <v>15</v>
      </c>
      <c r="D61" s="223"/>
      <c r="E61" s="538"/>
      <c r="F61" s="529"/>
      <c r="G61" s="530"/>
      <c r="H61" s="679"/>
      <c r="I61" s="531" t="str">
        <f t="shared" si="29"/>
        <v>-</v>
      </c>
      <c r="J61" s="531" t="str">
        <f t="shared" si="29"/>
        <v>-</v>
      </c>
      <c r="K61" s="363" t="str">
        <f t="shared" si="29"/>
        <v>-</v>
      </c>
      <c r="L61" s="616"/>
      <c r="M61" s="536" t="e">
        <f>RANK(K61, K$47:$K$61)</f>
        <v>#VALUE!</v>
      </c>
      <c r="N61" s="624"/>
      <c r="O61" s="624"/>
      <c r="P61" s="529" t="s">
        <v>427</v>
      </c>
      <c r="Q61" s="538" t="s">
        <v>427</v>
      </c>
      <c r="R61" s="538" t="s">
        <v>427</v>
      </c>
      <c r="S61" s="529" t="e">
        <v>#VALUE!</v>
      </c>
      <c r="T61" s="653"/>
      <c r="U61" s="529" t="s">
        <v>427</v>
      </c>
      <c r="V61" s="538" t="s">
        <v>427</v>
      </c>
      <c r="W61" s="538" t="s">
        <v>427</v>
      </c>
      <c r="X61" s="529" t="e">
        <v>#VALUE!</v>
      </c>
      <c r="Y61" s="653"/>
      <c r="Z61" s="529" t="s">
        <v>427</v>
      </c>
      <c r="AA61" s="538" t="s">
        <v>427</v>
      </c>
      <c r="AB61" s="538" t="s">
        <v>427</v>
      </c>
      <c r="AC61" s="538" t="e">
        <v>#VALUE!</v>
      </c>
      <c r="AD61" s="642"/>
      <c r="AE61" s="529" t="s">
        <v>427</v>
      </c>
      <c r="AF61" s="538" t="s">
        <v>427</v>
      </c>
      <c r="AG61" s="538" t="s">
        <v>427</v>
      </c>
      <c r="AH61" s="538" t="e">
        <v>#VALUE!</v>
      </c>
      <c r="AI61" s="642"/>
      <c r="AJ61" s="529" t="s">
        <v>427</v>
      </c>
      <c r="AK61" s="538" t="s">
        <v>427</v>
      </c>
      <c r="AL61" s="538" t="s">
        <v>427</v>
      </c>
      <c r="AM61" s="538" t="e">
        <v>#VALUE!</v>
      </c>
      <c r="AN61" s="642"/>
      <c r="AO61" s="529" t="s">
        <v>427</v>
      </c>
      <c r="AP61" s="538" t="s">
        <v>427</v>
      </c>
      <c r="AQ61" s="538" t="s">
        <v>427</v>
      </c>
      <c r="AR61" s="538" t="e">
        <v>#VALUE!</v>
      </c>
      <c r="AS61" s="642"/>
      <c r="AT61" s="529" t="s">
        <v>427</v>
      </c>
      <c r="AU61" s="538" t="s">
        <v>427</v>
      </c>
      <c r="AV61" s="538" t="s">
        <v>427</v>
      </c>
      <c r="AW61" s="538" t="e">
        <v>#VALUE!</v>
      </c>
      <c r="AX61" s="642"/>
      <c r="AZ61" s="377" t="e">
        <f t="shared" si="30"/>
        <v>#N/A</v>
      </c>
      <c r="BA61" s="653"/>
    </row>
    <row r="62" spans="2:53" ht="15.75">
      <c r="B62" s="643" t="s">
        <v>769</v>
      </c>
      <c r="C62" s="644"/>
      <c r="D62" s="644"/>
      <c r="E62" s="644"/>
      <c r="F62" s="644"/>
      <c r="G62" s="644"/>
      <c r="H62" s="645"/>
      <c r="I62" s="205"/>
      <c r="J62" s="205"/>
      <c r="K62" s="205"/>
      <c r="L62" s="205"/>
      <c r="M62" s="204"/>
      <c r="N62" s="639" t="s">
        <v>781</v>
      </c>
      <c r="O62" s="639" t="s">
        <v>714</v>
      </c>
      <c r="P62" s="634">
        <f>AT42+1</f>
        <v>46224</v>
      </c>
      <c r="Q62" s="635"/>
      <c r="R62" s="635"/>
      <c r="S62" s="635"/>
      <c r="T62" s="635"/>
      <c r="U62" s="636">
        <f>P62+1</f>
        <v>46225</v>
      </c>
      <c r="V62" s="637"/>
      <c r="W62" s="637"/>
      <c r="X62" s="637"/>
      <c r="Y62" s="638"/>
      <c r="Z62" s="636">
        <f t="shared" ref="Z62" si="31">U62+1</f>
        <v>46226</v>
      </c>
      <c r="AA62" s="637"/>
      <c r="AB62" s="637"/>
      <c r="AC62" s="637"/>
      <c r="AD62" s="638"/>
      <c r="AE62" s="636">
        <f t="shared" ref="AE62" si="32">Z62+1</f>
        <v>46227</v>
      </c>
      <c r="AF62" s="637"/>
      <c r="AG62" s="637"/>
      <c r="AH62" s="637"/>
      <c r="AI62" s="638"/>
      <c r="AJ62" s="636">
        <f t="shared" ref="AJ62" si="33">AE62+1</f>
        <v>46228</v>
      </c>
      <c r="AK62" s="637"/>
      <c r="AL62" s="637"/>
      <c r="AM62" s="637"/>
      <c r="AN62" s="638"/>
      <c r="AO62" s="636">
        <f t="shared" ref="AO62" si="34">AJ62+1</f>
        <v>46229</v>
      </c>
      <c r="AP62" s="637"/>
      <c r="AQ62" s="637"/>
      <c r="AR62" s="637"/>
      <c r="AS62" s="638"/>
      <c r="AT62" s="636">
        <f t="shared" ref="AT62" si="35">AO62+1</f>
        <v>46230</v>
      </c>
      <c r="AU62" s="637"/>
      <c r="AV62" s="637"/>
      <c r="AW62" s="637"/>
      <c r="AX62" s="638"/>
    </row>
    <row r="63" spans="2:53" ht="15.75">
      <c r="B63" s="646"/>
      <c r="C63" s="646"/>
      <c r="D63" s="646"/>
      <c r="E63" s="646"/>
      <c r="F63" s="646"/>
      <c r="G63" s="646"/>
      <c r="H63" s="646"/>
      <c r="I63" s="202"/>
      <c r="J63" s="202"/>
      <c r="K63" s="202"/>
      <c r="L63" s="202"/>
      <c r="M63" s="203"/>
      <c r="N63" s="641"/>
      <c r="O63" s="641"/>
      <c r="P63" s="634" t="s">
        <v>715</v>
      </c>
      <c r="Q63" s="635"/>
      <c r="R63" s="635"/>
      <c r="S63" s="635"/>
      <c r="T63" s="635"/>
      <c r="U63" s="634" t="s">
        <v>716</v>
      </c>
      <c r="V63" s="635"/>
      <c r="W63" s="635"/>
      <c r="X63" s="635"/>
      <c r="Y63" s="635"/>
      <c r="Z63" s="634" t="s">
        <v>717</v>
      </c>
      <c r="AA63" s="635"/>
      <c r="AB63" s="635"/>
      <c r="AC63" s="635"/>
      <c r="AD63" s="635"/>
      <c r="AE63" s="634" t="s">
        <v>718</v>
      </c>
      <c r="AF63" s="635"/>
      <c r="AG63" s="635"/>
      <c r="AH63" s="635"/>
      <c r="AI63" s="635"/>
      <c r="AJ63" s="634" t="s">
        <v>719</v>
      </c>
      <c r="AK63" s="635"/>
      <c r="AL63" s="635"/>
      <c r="AM63" s="635"/>
      <c r="AN63" s="635"/>
      <c r="AO63" s="634" t="s">
        <v>720</v>
      </c>
      <c r="AP63" s="635"/>
      <c r="AQ63" s="635"/>
      <c r="AR63" s="635"/>
      <c r="AS63" s="635"/>
      <c r="AT63" s="634" t="s">
        <v>721</v>
      </c>
      <c r="AU63" s="635"/>
      <c r="AV63" s="635"/>
      <c r="AW63" s="635"/>
      <c r="AX63" s="635"/>
    </row>
    <row r="64" spans="2:53">
      <c r="B64" s="624" t="s">
        <v>760</v>
      </c>
      <c r="C64" s="624" t="s">
        <v>827</v>
      </c>
      <c r="D64" s="624"/>
      <c r="E64" s="624" t="s">
        <v>828</v>
      </c>
      <c r="F64" s="624"/>
      <c r="G64" s="624"/>
      <c r="H64" s="647" t="s">
        <v>829</v>
      </c>
      <c r="I64" s="617" t="s">
        <v>830</v>
      </c>
      <c r="J64" s="617"/>
      <c r="K64" s="617"/>
      <c r="L64" s="618" t="s">
        <v>829</v>
      </c>
      <c r="M64" s="628" t="s">
        <v>440</v>
      </c>
      <c r="N64" s="624"/>
      <c r="O64" s="624" t="s">
        <v>831</v>
      </c>
      <c r="P64" s="621" t="s">
        <v>832</v>
      </c>
      <c r="Q64" s="622"/>
      <c r="R64" s="622"/>
      <c r="S64" s="623"/>
      <c r="T64" s="624" t="s">
        <v>829</v>
      </c>
      <c r="U64" s="621" t="s">
        <v>832</v>
      </c>
      <c r="V64" s="622"/>
      <c r="W64" s="622"/>
      <c r="X64" s="623"/>
      <c r="Y64" s="624" t="s">
        <v>829</v>
      </c>
      <c r="Z64" s="621" t="s">
        <v>832</v>
      </c>
      <c r="AA64" s="622"/>
      <c r="AB64" s="622"/>
      <c r="AC64" s="623"/>
      <c r="AD64" s="624" t="s">
        <v>829</v>
      </c>
      <c r="AE64" s="621" t="s">
        <v>832</v>
      </c>
      <c r="AF64" s="622"/>
      <c r="AG64" s="622"/>
      <c r="AH64" s="623"/>
      <c r="AI64" s="624" t="s">
        <v>829</v>
      </c>
      <c r="AJ64" s="621" t="s">
        <v>832</v>
      </c>
      <c r="AK64" s="622"/>
      <c r="AL64" s="622"/>
      <c r="AM64" s="623"/>
      <c r="AN64" s="624" t="s">
        <v>829</v>
      </c>
      <c r="AO64" s="621" t="s">
        <v>832</v>
      </c>
      <c r="AP64" s="622"/>
      <c r="AQ64" s="622"/>
      <c r="AR64" s="623"/>
      <c r="AS64" s="624" t="s">
        <v>829</v>
      </c>
      <c r="AT64" s="621" t="s">
        <v>832</v>
      </c>
      <c r="AU64" s="622"/>
      <c r="AV64" s="622"/>
      <c r="AW64" s="623"/>
      <c r="AX64" s="624" t="s">
        <v>829</v>
      </c>
    </row>
    <row r="65" spans="2:53">
      <c r="B65" s="624"/>
      <c r="C65" s="624"/>
      <c r="D65" s="624"/>
      <c r="E65" s="624" t="s">
        <v>833</v>
      </c>
      <c r="F65" s="624"/>
      <c r="G65" s="624"/>
      <c r="H65" s="648"/>
      <c r="I65" s="617" t="s">
        <v>833</v>
      </c>
      <c r="J65" s="617"/>
      <c r="K65" s="617"/>
      <c r="L65" s="619"/>
      <c r="M65" s="629"/>
      <c r="N65" s="624"/>
      <c r="O65" s="624"/>
      <c r="P65" s="621" t="s">
        <v>834</v>
      </c>
      <c r="Q65" s="622"/>
      <c r="R65" s="622"/>
      <c r="S65" s="623"/>
      <c r="T65" s="624"/>
      <c r="U65" s="621" t="s">
        <v>834</v>
      </c>
      <c r="V65" s="622"/>
      <c r="W65" s="622"/>
      <c r="X65" s="623"/>
      <c r="Y65" s="624"/>
      <c r="Z65" s="621" t="s">
        <v>834</v>
      </c>
      <c r="AA65" s="622"/>
      <c r="AB65" s="622"/>
      <c r="AC65" s="623"/>
      <c r="AD65" s="624"/>
      <c r="AE65" s="621" t="s">
        <v>834</v>
      </c>
      <c r="AF65" s="622"/>
      <c r="AG65" s="622"/>
      <c r="AH65" s="623"/>
      <c r="AI65" s="624"/>
      <c r="AJ65" s="621" t="s">
        <v>834</v>
      </c>
      <c r="AK65" s="622"/>
      <c r="AL65" s="622"/>
      <c r="AM65" s="623"/>
      <c r="AN65" s="624"/>
      <c r="AO65" s="621" t="s">
        <v>834</v>
      </c>
      <c r="AP65" s="622"/>
      <c r="AQ65" s="622"/>
      <c r="AR65" s="623"/>
      <c r="AS65" s="624"/>
      <c r="AT65" s="621" t="s">
        <v>834</v>
      </c>
      <c r="AU65" s="622"/>
      <c r="AV65" s="622"/>
      <c r="AW65" s="623"/>
      <c r="AX65" s="624"/>
    </row>
    <row r="66" spans="2:53">
      <c r="B66" s="624"/>
      <c r="C66" s="624"/>
      <c r="D66" s="624"/>
      <c r="E66" s="533" t="s">
        <v>835</v>
      </c>
      <c r="F66" s="533" t="s">
        <v>836</v>
      </c>
      <c r="G66" s="533" t="s">
        <v>837</v>
      </c>
      <c r="H66" s="649"/>
      <c r="I66" s="535" t="s">
        <v>835</v>
      </c>
      <c r="J66" s="535" t="s">
        <v>836</v>
      </c>
      <c r="K66" s="535" t="s">
        <v>837</v>
      </c>
      <c r="L66" s="620"/>
      <c r="M66" s="630"/>
      <c r="N66" s="624"/>
      <c r="O66" s="624"/>
      <c r="P66" s="533" t="s">
        <v>835</v>
      </c>
      <c r="Q66" s="533" t="s">
        <v>836</v>
      </c>
      <c r="R66" s="533" t="s">
        <v>837</v>
      </c>
      <c r="S66" s="533" t="s">
        <v>440</v>
      </c>
      <c r="T66" s="624"/>
      <c r="U66" s="533" t="s">
        <v>835</v>
      </c>
      <c r="V66" s="533" t="s">
        <v>836</v>
      </c>
      <c r="W66" s="533" t="s">
        <v>837</v>
      </c>
      <c r="X66" s="533" t="s">
        <v>440</v>
      </c>
      <c r="Y66" s="624"/>
      <c r="Z66" s="533" t="s">
        <v>835</v>
      </c>
      <c r="AA66" s="533" t="s">
        <v>836</v>
      </c>
      <c r="AB66" s="533" t="s">
        <v>837</v>
      </c>
      <c r="AC66" s="533" t="s">
        <v>440</v>
      </c>
      <c r="AD66" s="624"/>
      <c r="AE66" s="533" t="s">
        <v>835</v>
      </c>
      <c r="AF66" s="533" t="s">
        <v>836</v>
      </c>
      <c r="AG66" s="533" t="s">
        <v>837</v>
      </c>
      <c r="AH66" s="533" t="s">
        <v>440</v>
      </c>
      <c r="AI66" s="624"/>
      <c r="AJ66" s="533" t="s">
        <v>835</v>
      </c>
      <c r="AK66" s="533" t="s">
        <v>836</v>
      </c>
      <c r="AL66" s="533" t="s">
        <v>837</v>
      </c>
      <c r="AM66" s="533" t="s">
        <v>440</v>
      </c>
      <c r="AN66" s="624"/>
      <c r="AO66" s="533" t="s">
        <v>835</v>
      </c>
      <c r="AP66" s="533" t="s">
        <v>836</v>
      </c>
      <c r="AQ66" s="533" t="s">
        <v>837</v>
      </c>
      <c r="AR66" s="533" t="s">
        <v>440</v>
      </c>
      <c r="AS66" s="624"/>
      <c r="AT66" s="533" t="s">
        <v>835</v>
      </c>
      <c r="AU66" s="533" t="s">
        <v>836</v>
      </c>
      <c r="AV66" s="533" t="s">
        <v>837</v>
      </c>
      <c r="AW66" s="533" t="s">
        <v>440</v>
      </c>
      <c r="AX66" s="624"/>
    </row>
    <row r="67" spans="2:53">
      <c r="B67" s="624" t="s">
        <v>787</v>
      </c>
      <c r="C67" s="529">
        <v>1</v>
      </c>
      <c r="D67" s="223" t="s">
        <v>722</v>
      </c>
      <c r="E67" s="538">
        <v>17</v>
      </c>
      <c r="F67" s="529">
        <v>1440</v>
      </c>
      <c r="G67" s="530">
        <v>84.7</v>
      </c>
      <c r="H67" s="677">
        <f>AVERAGE(G67:G81)</f>
        <v>79.792307692307688</v>
      </c>
      <c r="I67" s="531">
        <f t="shared" ref="I67:K81" si="36">IFERROR(AVERAGE(P67,U67,Z67,AE67,AJ67,AO67,AT67),"-")</f>
        <v>17</v>
      </c>
      <c r="J67" s="531">
        <f t="shared" si="36"/>
        <v>1292.0043689157992</v>
      </c>
      <c r="K67" s="363">
        <f t="shared" si="36"/>
        <v>76.00025699504701</v>
      </c>
      <c r="L67" s="614">
        <f>IFERROR(AVERAGE(K67:K81),"-")</f>
        <v>71.59935383635441</v>
      </c>
      <c r="M67" s="536">
        <f>RANK(K67, K$67:$K$81)</f>
        <v>5</v>
      </c>
      <c r="N67" s="624"/>
      <c r="O67" s="624"/>
      <c r="P67" s="529">
        <v>17</v>
      </c>
      <c r="Q67" s="538">
        <v>1298.2978723404256</v>
      </c>
      <c r="R67" s="538">
        <v>76.370463078848559</v>
      </c>
      <c r="S67" s="529">
        <f t="shared" ref="S67:S81" si="37">RANK(R67, R$67:R$81)</f>
        <v>4</v>
      </c>
      <c r="T67" s="610">
        <f t="shared" ref="T67" si="38">AVERAGE(R67:R81)</f>
        <v>71.832421544217354</v>
      </c>
      <c r="U67" s="529">
        <v>17</v>
      </c>
      <c r="V67" s="538">
        <v>1278.4615384615383</v>
      </c>
      <c r="W67" s="538">
        <v>75.203619909502251</v>
      </c>
      <c r="X67" s="529">
        <f t="shared" ref="X67:X81" si="39">RANK(W67, W$67:W$81)</f>
        <v>5</v>
      </c>
      <c r="Y67" s="610">
        <f t="shared" ref="Y67" si="40">AVERAGE(W67:W81)</f>
        <v>71.535568688115148</v>
      </c>
      <c r="Z67" s="529">
        <v>17</v>
      </c>
      <c r="AA67" s="538">
        <v>1295.4216867469875</v>
      </c>
      <c r="AB67" s="538">
        <v>76.201275690999267</v>
      </c>
      <c r="AC67" s="529">
        <f t="shared" ref="AC67:AC81" si="41">RANK(AB67, AB$67:AB$81)</f>
        <v>4</v>
      </c>
      <c r="AD67" s="610">
        <f t="shared" ref="AD67" si="42">AVERAGE(AB67:AB81)</f>
        <v>71.759656537423893</v>
      </c>
      <c r="AE67" s="529">
        <v>17</v>
      </c>
      <c r="AF67" s="538">
        <v>1317.662337662337</v>
      </c>
      <c r="AG67" s="538">
        <v>77.509549274255122</v>
      </c>
      <c r="AH67" s="529">
        <f t="shared" ref="AH67:AH81" si="43">RANK(AG67, AG$67:AG$81)</f>
        <v>4</v>
      </c>
      <c r="AI67" s="610">
        <f t="shared" ref="AI67" si="44">AVERAGE(AG67:AG81)</f>
        <v>71.033065141154353</v>
      </c>
      <c r="AJ67" s="529">
        <v>17</v>
      </c>
      <c r="AK67" s="538">
        <v>1280.9999999999995</v>
      </c>
      <c r="AL67" s="538">
        <v>75.352941176470566</v>
      </c>
      <c r="AM67" s="529">
        <f t="shared" ref="AM67:AM81" si="45">RANK(AL67, AL$67:AL$81)</f>
        <v>5</v>
      </c>
      <c r="AN67" s="610">
        <f t="shared" ref="AN67" si="46">AVERAGE(AL67:AL81)</f>
        <v>71.125076201641775</v>
      </c>
      <c r="AO67" s="529">
        <v>17</v>
      </c>
      <c r="AP67" s="538">
        <v>1288.0851063829789</v>
      </c>
      <c r="AQ67" s="538">
        <v>75.76971214017523</v>
      </c>
      <c r="AR67" s="529">
        <f t="shared" ref="AR67:AR81" si="47">RANK(AQ67, AQ$67:AQ$81)</f>
        <v>5</v>
      </c>
      <c r="AS67" s="610">
        <f t="shared" ref="AS67" si="48">AVERAGE(AQ67:AQ81)</f>
        <v>72.253997754912547</v>
      </c>
      <c r="AT67" s="529">
        <v>17</v>
      </c>
      <c r="AU67" s="538">
        <v>1285.102040816327</v>
      </c>
      <c r="AV67" s="538">
        <v>75.59423769507805</v>
      </c>
      <c r="AW67" s="529">
        <f t="shared" ref="AW67:AW81" si="49">RANK(AV67, AV$67:AV$81)</f>
        <v>5</v>
      </c>
      <c r="AX67" s="610">
        <f t="shared" ref="AX67" si="50">AVERAGE(AV67:AV81)</f>
        <v>71.655690987015745</v>
      </c>
      <c r="AZ67" s="377" t="e">
        <f t="shared" ref="AZ67:AZ81" si="51">RANK(AY67, AY$67:AY$81)</f>
        <v>#N/A</v>
      </c>
      <c r="BA67" s="653" t="e">
        <f t="shared" ref="BA67" si="52">AVERAGE(AY67:AY81)</f>
        <v>#DIV/0!</v>
      </c>
    </row>
    <row r="68" spans="2:53">
      <c r="B68" s="635"/>
      <c r="C68" s="529">
        <v>2</v>
      </c>
      <c r="D68" s="223" t="s">
        <v>342</v>
      </c>
      <c r="E68" s="538">
        <v>18</v>
      </c>
      <c r="F68" s="529">
        <v>1440</v>
      </c>
      <c r="G68" s="530">
        <v>80</v>
      </c>
      <c r="H68" s="678"/>
      <c r="I68" s="531">
        <f t="shared" si="36"/>
        <v>18</v>
      </c>
      <c r="J68" s="531">
        <f t="shared" si="36"/>
        <v>1237.645490454245</v>
      </c>
      <c r="K68" s="363">
        <f t="shared" si="36"/>
        <v>68.758082803013622</v>
      </c>
      <c r="L68" s="615"/>
      <c r="M68" s="536">
        <f>RANK(K68, K$67:$K$81)</f>
        <v>9</v>
      </c>
      <c r="N68" s="624"/>
      <c r="O68" s="624"/>
      <c r="P68" s="529">
        <v>18</v>
      </c>
      <c r="Q68" s="538">
        <v>1263.999999999998</v>
      </c>
      <c r="R68" s="538">
        <v>70.222222222222115</v>
      </c>
      <c r="S68" s="529">
        <f t="shared" si="37"/>
        <v>7</v>
      </c>
      <c r="T68" s="611"/>
      <c r="U68" s="529">
        <v>18</v>
      </c>
      <c r="V68" s="538">
        <v>1293.9999999999977</v>
      </c>
      <c r="W68" s="538">
        <v>71.888888888888758</v>
      </c>
      <c r="X68" s="529">
        <f t="shared" si="39"/>
        <v>6</v>
      </c>
      <c r="Y68" s="611"/>
      <c r="Z68" s="529">
        <v>18</v>
      </c>
      <c r="AA68" s="538">
        <v>1294.8387096774172</v>
      </c>
      <c r="AB68" s="538">
        <v>71.93548387096763</v>
      </c>
      <c r="AC68" s="529">
        <f t="shared" si="41"/>
        <v>6</v>
      </c>
      <c r="AD68" s="611"/>
      <c r="AE68" s="529">
        <v>18</v>
      </c>
      <c r="AF68" s="538">
        <v>1102.5000000000014</v>
      </c>
      <c r="AG68" s="538">
        <v>61.250000000000078</v>
      </c>
      <c r="AH68" s="529">
        <f t="shared" si="43"/>
        <v>11</v>
      </c>
      <c r="AI68" s="611"/>
      <c r="AJ68" s="529">
        <v>18</v>
      </c>
      <c r="AK68" s="538">
        <v>1095.0000000000009</v>
      </c>
      <c r="AL68" s="538">
        <v>60.833333333333385</v>
      </c>
      <c r="AM68" s="529">
        <f t="shared" si="45"/>
        <v>13</v>
      </c>
      <c r="AN68" s="611"/>
      <c r="AO68" s="529">
        <v>18</v>
      </c>
      <c r="AP68" s="538">
        <v>1310.3225806451592</v>
      </c>
      <c r="AQ68" s="538">
        <v>72.79569892473107</v>
      </c>
      <c r="AR68" s="529">
        <f t="shared" si="47"/>
        <v>7</v>
      </c>
      <c r="AS68" s="611"/>
      <c r="AT68" s="529">
        <v>18</v>
      </c>
      <c r="AU68" s="538">
        <v>1302.8571428571418</v>
      </c>
      <c r="AV68" s="538">
        <v>72.380952380952323</v>
      </c>
      <c r="AW68" s="529">
        <f t="shared" si="49"/>
        <v>7</v>
      </c>
      <c r="AX68" s="611"/>
      <c r="AZ68" s="377" t="e">
        <f t="shared" si="51"/>
        <v>#N/A</v>
      </c>
      <c r="BA68" s="653"/>
    </row>
    <row r="69" spans="2:53">
      <c r="B69" s="635"/>
      <c r="C69" s="529">
        <v>3</v>
      </c>
      <c r="D69" s="223" t="s">
        <v>343</v>
      </c>
      <c r="E69" s="538">
        <v>17</v>
      </c>
      <c r="F69" s="529">
        <v>1440</v>
      </c>
      <c r="G69" s="530">
        <v>84.7</v>
      </c>
      <c r="H69" s="678"/>
      <c r="I69" s="531">
        <f t="shared" si="36"/>
        <v>17</v>
      </c>
      <c r="J69" s="531">
        <f t="shared" si="36"/>
        <v>1338.0259887225748</v>
      </c>
      <c r="K69" s="363">
        <f t="shared" si="36"/>
        <v>78.707411101327935</v>
      </c>
      <c r="L69" s="615"/>
      <c r="M69" s="536">
        <f>RANK(K69, K$67:$K$81)</f>
        <v>3</v>
      </c>
      <c r="N69" s="624"/>
      <c r="O69" s="624"/>
      <c r="P69" s="529">
        <v>17</v>
      </c>
      <c r="Q69" s="538">
        <v>1343.5714285714282</v>
      </c>
      <c r="R69" s="538">
        <v>79.033613445378137</v>
      </c>
      <c r="S69" s="529">
        <f t="shared" si="37"/>
        <v>3</v>
      </c>
      <c r="T69" s="611"/>
      <c r="U69" s="529">
        <v>17</v>
      </c>
      <c r="V69" s="538">
        <v>1338.4615384615377</v>
      </c>
      <c r="W69" s="538">
        <v>78.733031674208092</v>
      </c>
      <c r="X69" s="529">
        <f t="shared" si="39"/>
        <v>3</v>
      </c>
      <c r="Y69" s="611"/>
      <c r="Z69" s="529">
        <v>17</v>
      </c>
      <c r="AA69" s="538">
        <v>1317.7611940298525</v>
      </c>
      <c r="AB69" s="538">
        <v>77.515364354697212</v>
      </c>
      <c r="AC69" s="529">
        <f t="shared" si="41"/>
        <v>3</v>
      </c>
      <c r="AD69" s="611"/>
      <c r="AE69" s="529">
        <v>17</v>
      </c>
      <c r="AF69" s="538">
        <v>1346.8656716417927</v>
      </c>
      <c r="AG69" s="538">
        <v>79.227392449517211</v>
      </c>
      <c r="AH69" s="529">
        <f t="shared" si="43"/>
        <v>3</v>
      </c>
      <c r="AI69" s="611"/>
      <c r="AJ69" s="529">
        <v>17</v>
      </c>
      <c r="AK69" s="538">
        <v>1331.666666666667</v>
      </c>
      <c r="AL69" s="538">
        <v>78.333333333333357</v>
      </c>
      <c r="AM69" s="529">
        <f t="shared" si="45"/>
        <v>3</v>
      </c>
      <c r="AN69" s="611"/>
      <c r="AO69" s="529">
        <v>17</v>
      </c>
      <c r="AP69" s="538">
        <v>1343.9999999999995</v>
      </c>
      <c r="AQ69" s="538">
        <v>79.05882352941174</v>
      </c>
      <c r="AR69" s="529">
        <f t="shared" si="47"/>
        <v>3</v>
      </c>
      <c r="AS69" s="611"/>
      <c r="AT69" s="529">
        <v>17</v>
      </c>
      <c r="AU69" s="538">
        <v>1343.8554216867465</v>
      </c>
      <c r="AV69" s="538">
        <v>79.050318922749796</v>
      </c>
      <c r="AW69" s="529">
        <f t="shared" si="49"/>
        <v>3</v>
      </c>
      <c r="AX69" s="611"/>
      <c r="AZ69" s="377" t="e">
        <f t="shared" si="51"/>
        <v>#N/A</v>
      </c>
      <c r="BA69" s="653"/>
    </row>
    <row r="70" spans="2:53">
      <c r="B70" s="635"/>
      <c r="C70" s="529">
        <v>4</v>
      </c>
      <c r="D70" s="223" t="s">
        <v>345</v>
      </c>
      <c r="E70" s="538">
        <v>21</v>
      </c>
      <c r="F70" s="529">
        <v>1385</v>
      </c>
      <c r="G70" s="530">
        <v>65.900000000000006</v>
      </c>
      <c r="H70" s="678"/>
      <c r="I70" s="531">
        <f t="shared" si="36"/>
        <v>21</v>
      </c>
      <c r="J70" s="531">
        <f t="shared" si="36"/>
        <v>1275.334204801406</v>
      </c>
      <c r="K70" s="363">
        <f t="shared" si="36"/>
        <v>60.730200228638388</v>
      </c>
      <c r="L70" s="615"/>
      <c r="M70" s="536">
        <f>RANK(K70, K$67:$K$81)</f>
        <v>12</v>
      </c>
      <c r="N70" s="624"/>
      <c r="O70" s="624"/>
      <c r="P70" s="529">
        <v>21</v>
      </c>
      <c r="Q70" s="538">
        <v>1266.5934065934066</v>
      </c>
      <c r="R70" s="538">
        <v>60.313971742543174</v>
      </c>
      <c r="S70" s="529">
        <f t="shared" si="37"/>
        <v>12</v>
      </c>
      <c r="T70" s="611"/>
      <c r="U70" s="529">
        <v>21</v>
      </c>
      <c r="V70" s="538">
        <v>1288.8888888888885</v>
      </c>
      <c r="W70" s="538">
        <v>61.375661375661352</v>
      </c>
      <c r="X70" s="529">
        <f t="shared" si="39"/>
        <v>12</v>
      </c>
      <c r="Y70" s="611"/>
      <c r="Z70" s="529">
        <v>21</v>
      </c>
      <c r="AA70" s="538">
        <v>1263.6585365853655</v>
      </c>
      <c r="AB70" s="538">
        <v>60.17421602787455</v>
      </c>
      <c r="AC70" s="529">
        <f t="shared" si="41"/>
        <v>12</v>
      </c>
      <c r="AD70" s="611"/>
      <c r="AE70" s="529">
        <v>21</v>
      </c>
      <c r="AF70" s="538">
        <v>1263.7499999999995</v>
      </c>
      <c r="AG70" s="538">
        <v>60.178571428571409</v>
      </c>
      <c r="AH70" s="529">
        <f t="shared" si="43"/>
        <v>12</v>
      </c>
      <c r="AI70" s="611"/>
      <c r="AJ70" s="529">
        <v>21</v>
      </c>
      <c r="AK70" s="538">
        <v>1279.285714285714</v>
      </c>
      <c r="AL70" s="538">
        <v>60.918367346938759</v>
      </c>
      <c r="AM70" s="529">
        <f t="shared" si="45"/>
        <v>11</v>
      </c>
      <c r="AN70" s="611"/>
      <c r="AO70" s="529">
        <v>21</v>
      </c>
      <c r="AP70" s="538">
        <v>1280.8064516129029</v>
      </c>
      <c r="AQ70" s="538">
        <v>60.990783410138235</v>
      </c>
      <c r="AR70" s="529">
        <f t="shared" si="47"/>
        <v>13</v>
      </c>
      <c r="AS70" s="611"/>
      <c r="AT70" s="529">
        <v>21</v>
      </c>
      <c r="AU70" s="538">
        <v>1284.356435643565</v>
      </c>
      <c r="AV70" s="538">
        <v>61.159830268741189</v>
      </c>
      <c r="AW70" s="529">
        <f t="shared" si="49"/>
        <v>12</v>
      </c>
      <c r="AX70" s="611"/>
      <c r="AZ70" s="377" t="e">
        <f t="shared" si="51"/>
        <v>#N/A</v>
      </c>
      <c r="BA70" s="653"/>
    </row>
    <row r="71" spans="2:53">
      <c r="B71" s="635"/>
      <c r="C71" s="529">
        <v>5</v>
      </c>
      <c r="D71" s="223" t="s">
        <v>346</v>
      </c>
      <c r="E71" s="538">
        <v>19</v>
      </c>
      <c r="F71" s="529">
        <v>1440</v>
      </c>
      <c r="G71" s="530">
        <v>75.8</v>
      </c>
      <c r="H71" s="678"/>
      <c r="I71" s="531">
        <f t="shared" si="36"/>
        <v>19</v>
      </c>
      <c r="J71" s="531">
        <f t="shared" si="36"/>
        <v>1322.893417378463</v>
      </c>
      <c r="K71" s="363">
        <f t="shared" si="36"/>
        <v>69.625969335708561</v>
      </c>
      <c r="L71" s="615"/>
      <c r="M71" s="536">
        <f>RANK(K71, K$67:$K$81)</f>
        <v>7</v>
      </c>
      <c r="N71" s="624"/>
      <c r="O71" s="624"/>
      <c r="P71" s="529">
        <v>19</v>
      </c>
      <c r="Q71" s="538">
        <v>1331.2941176470586</v>
      </c>
      <c r="R71" s="538">
        <v>70.068111455108351</v>
      </c>
      <c r="S71" s="529">
        <f t="shared" si="37"/>
        <v>8</v>
      </c>
      <c r="T71" s="611"/>
      <c r="U71" s="529">
        <v>19</v>
      </c>
      <c r="V71" s="538">
        <v>1311.6923076923092</v>
      </c>
      <c r="W71" s="538">
        <v>69.036437246963644</v>
      </c>
      <c r="X71" s="529">
        <f t="shared" si="39"/>
        <v>9</v>
      </c>
      <c r="Y71" s="611"/>
      <c r="Z71" s="529">
        <v>19</v>
      </c>
      <c r="AA71" s="538">
        <v>1297.5000000000016</v>
      </c>
      <c r="AB71" s="538">
        <v>68.289473684210606</v>
      </c>
      <c r="AC71" s="529">
        <f t="shared" si="41"/>
        <v>10</v>
      </c>
      <c r="AD71" s="611"/>
      <c r="AE71" s="529">
        <v>19</v>
      </c>
      <c r="AF71" s="538">
        <v>1338.8888888888896</v>
      </c>
      <c r="AG71" s="538">
        <v>70.467836257309983</v>
      </c>
      <c r="AH71" s="529">
        <f t="shared" si="43"/>
        <v>7</v>
      </c>
      <c r="AI71" s="611"/>
      <c r="AJ71" s="529">
        <v>19</v>
      </c>
      <c r="AK71" s="538">
        <v>1324.0677966101705</v>
      </c>
      <c r="AL71" s="538">
        <v>69.687778768956335</v>
      </c>
      <c r="AM71" s="529">
        <f t="shared" si="45"/>
        <v>7</v>
      </c>
      <c r="AN71" s="611"/>
      <c r="AO71" s="529">
        <v>19</v>
      </c>
      <c r="AP71" s="538">
        <v>1336</v>
      </c>
      <c r="AQ71" s="538">
        <v>70.315789473684205</v>
      </c>
      <c r="AR71" s="529">
        <f t="shared" si="47"/>
        <v>8</v>
      </c>
      <c r="AS71" s="611"/>
      <c r="AT71" s="529">
        <v>19</v>
      </c>
      <c r="AU71" s="538">
        <v>1320.8108108108099</v>
      </c>
      <c r="AV71" s="538">
        <v>69.516358463726831</v>
      </c>
      <c r="AW71" s="529">
        <f t="shared" si="49"/>
        <v>8</v>
      </c>
      <c r="AX71" s="611"/>
      <c r="AZ71" s="377" t="e">
        <f t="shared" si="51"/>
        <v>#N/A</v>
      </c>
      <c r="BA71" s="653"/>
    </row>
    <row r="72" spans="2:53">
      <c r="B72" s="635"/>
      <c r="C72" s="529">
        <v>6</v>
      </c>
      <c r="D72" s="223" t="s">
        <v>408</v>
      </c>
      <c r="E72" s="538">
        <v>18</v>
      </c>
      <c r="F72" s="529">
        <v>1385</v>
      </c>
      <c r="G72" s="530">
        <v>76.900000000000006</v>
      </c>
      <c r="H72" s="678"/>
      <c r="I72" s="531">
        <f t="shared" si="36"/>
        <v>18</v>
      </c>
      <c r="J72" s="531">
        <f t="shared" si="36"/>
        <v>1238.4033993397009</v>
      </c>
      <c r="K72" s="363">
        <f t="shared" si="36"/>
        <v>68.800188852205608</v>
      </c>
      <c r="L72" s="615"/>
      <c r="M72" s="536">
        <f>RANK(K72, K$67:$K$81)</f>
        <v>8</v>
      </c>
      <c r="N72" s="624"/>
      <c r="O72" s="624"/>
      <c r="P72" s="529">
        <v>18</v>
      </c>
      <c r="Q72" s="538">
        <v>1242.4999999999991</v>
      </c>
      <c r="R72" s="538">
        <v>69.027777777777729</v>
      </c>
      <c r="S72" s="529">
        <f t="shared" si="37"/>
        <v>10</v>
      </c>
      <c r="T72" s="611"/>
      <c r="U72" s="529">
        <v>18</v>
      </c>
      <c r="V72" s="538">
        <v>1235.6250000000014</v>
      </c>
      <c r="W72" s="538">
        <v>68.645833333333414</v>
      </c>
      <c r="X72" s="529">
        <f t="shared" si="39"/>
        <v>10</v>
      </c>
      <c r="Y72" s="611"/>
      <c r="Z72" s="529">
        <v>18</v>
      </c>
      <c r="AA72" s="538">
        <v>1225.5737704918045</v>
      </c>
      <c r="AB72" s="538">
        <v>68.087431693989132</v>
      </c>
      <c r="AC72" s="529">
        <f t="shared" si="41"/>
        <v>11</v>
      </c>
      <c r="AD72" s="611"/>
      <c r="AE72" s="529">
        <v>18</v>
      </c>
      <c r="AF72" s="538">
        <v>1251.5789473684222</v>
      </c>
      <c r="AG72" s="538">
        <v>69.532163742690116</v>
      </c>
      <c r="AH72" s="529">
        <f t="shared" si="43"/>
        <v>9</v>
      </c>
      <c r="AI72" s="611"/>
      <c r="AJ72" s="529">
        <v>18</v>
      </c>
      <c r="AK72" s="538">
        <v>1251.7241379310353</v>
      </c>
      <c r="AL72" s="538">
        <v>69.540229885057514</v>
      </c>
      <c r="AM72" s="529">
        <f t="shared" si="45"/>
        <v>8</v>
      </c>
      <c r="AN72" s="611"/>
      <c r="AO72" s="529">
        <v>18</v>
      </c>
      <c r="AP72" s="538">
        <v>1241.3513513513503</v>
      </c>
      <c r="AQ72" s="538">
        <v>68.963963963963906</v>
      </c>
      <c r="AR72" s="529">
        <f t="shared" si="47"/>
        <v>9</v>
      </c>
      <c r="AS72" s="611"/>
      <c r="AT72" s="529">
        <v>18</v>
      </c>
      <c r="AU72" s="538">
        <v>1220.4705882352939</v>
      </c>
      <c r="AV72" s="538">
        <v>67.803921568627445</v>
      </c>
      <c r="AW72" s="529">
        <f t="shared" si="49"/>
        <v>9</v>
      </c>
      <c r="AX72" s="611"/>
      <c r="AZ72" s="377" t="e">
        <f t="shared" si="51"/>
        <v>#N/A</v>
      </c>
      <c r="BA72" s="653"/>
    </row>
    <row r="73" spans="2:53">
      <c r="B73" s="635"/>
      <c r="C73" s="529">
        <v>7</v>
      </c>
      <c r="D73" s="223" t="s">
        <v>410</v>
      </c>
      <c r="E73" s="538">
        <v>18</v>
      </c>
      <c r="F73" s="529">
        <v>1385</v>
      </c>
      <c r="G73" s="530">
        <v>76.900000000000006</v>
      </c>
      <c r="H73" s="678"/>
      <c r="I73" s="531">
        <f t="shared" si="36"/>
        <v>18</v>
      </c>
      <c r="J73" s="531">
        <f t="shared" si="36"/>
        <v>1236.0982501486694</v>
      </c>
      <c r="K73" s="363">
        <f t="shared" si="36"/>
        <v>68.672125008259414</v>
      </c>
      <c r="L73" s="615"/>
      <c r="M73" s="536">
        <f>RANK(K73, K$67:$K$81)</f>
        <v>11</v>
      </c>
      <c r="N73" s="624"/>
      <c r="O73" s="624"/>
      <c r="P73" s="529">
        <v>18</v>
      </c>
      <c r="Q73" s="538">
        <v>1241.142857142856</v>
      </c>
      <c r="R73" s="538">
        <v>68.952380952380892</v>
      </c>
      <c r="S73" s="529">
        <f t="shared" si="37"/>
        <v>11</v>
      </c>
      <c r="T73" s="611"/>
      <c r="U73" s="529">
        <v>18</v>
      </c>
      <c r="V73" s="538">
        <v>1209.2307692307686</v>
      </c>
      <c r="W73" s="538">
        <v>67.17948717948714</v>
      </c>
      <c r="X73" s="529">
        <f t="shared" si="39"/>
        <v>11</v>
      </c>
      <c r="Y73" s="611"/>
      <c r="Z73" s="529">
        <v>18</v>
      </c>
      <c r="AA73" s="538">
        <v>1253.5135135135126</v>
      </c>
      <c r="AB73" s="538">
        <v>69.639639639639597</v>
      </c>
      <c r="AC73" s="529">
        <f t="shared" si="41"/>
        <v>8</v>
      </c>
      <c r="AD73" s="611"/>
      <c r="AE73" s="529">
        <v>18</v>
      </c>
      <c r="AF73" s="538">
        <v>1268.5714285714273</v>
      </c>
      <c r="AG73" s="538">
        <v>70.476190476190411</v>
      </c>
      <c r="AH73" s="529">
        <f t="shared" si="43"/>
        <v>6</v>
      </c>
      <c r="AI73" s="611"/>
      <c r="AJ73" s="529">
        <v>18</v>
      </c>
      <c r="AK73" s="538">
        <v>1235.2941176470572</v>
      </c>
      <c r="AL73" s="538">
        <v>68.627450980392069</v>
      </c>
      <c r="AM73" s="529">
        <f t="shared" si="45"/>
        <v>10</v>
      </c>
      <c r="AN73" s="611"/>
      <c r="AO73" s="529">
        <v>18</v>
      </c>
      <c r="AP73" s="538">
        <v>1228.5714285714282</v>
      </c>
      <c r="AQ73" s="538">
        <v>68.253968253968239</v>
      </c>
      <c r="AR73" s="529">
        <f t="shared" si="47"/>
        <v>10</v>
      </c>
      <c r="AS73" s="611"/>
      <c r="AT73" s="529">
        <v>18</v>
      </c>
      <c r="AU73" s="538">
        <v>1216.3636363636365</v>
      </c>
      <c r="AV73" s="538">
        <v>67.575757575757578</v>
      </c>
      <c r="AW73" s="529">
        <f t="shared" si="49"/>
        <v>10</v>
      </c>
      <c r="AX73" s="611"/>
      <c r="AZ73" s="377" t="e">
        <f t="shared" si="51"/>
        <v>#N/A</v>
      </c>
      <c r="BA73" s="653"/>
    </row>
    <row r="74" spans="2:53">
      <c r="B74" s="635"/>
      <c r="C74" s="529">
        <v>8</v>
      </c>
      <c r="D74" s="223" t="s">
        <v>429</v>
      </c>
      <c r="E74" s="538">
        <v>16</v>
      </c>
      <c r="F74" s="529">
        <v>1440</v>
      </c>
      <c r="G74" s="530">
        <v>90</v>
      </c>
      <c r="H74" s="678"/>
      <c r="I74" s="531">
        <f t="shared" si="36"/>
        <v>16</v>
      </c>
      <c r="J74" s="531">
        <f t="shared" si="36"/>
        <v>1334.3779866884956</v>
      </c>
      <c r="K74" s="363">
        <f t="shared" si="36"/>
        <v>83.398624168030977</v>
      </c>
      <c r="L74" s="615"/>
      <c r="M74" s="536">
        <f>RANK(K74, K$67:$K$81)</f>
        <v>1</v>
      </c>
      <c r="N74" s="624"/>
      <c r="O74" s="624"/>
      <c r="P74" s="529">
        <v>16</v>
      </c>
      <c r="Q74" s="538">
        <v>1336.842105263157</v>
      </c>
      <c r="R74" s="538">
        <v>83.552631578947313</v>
      </c>
      <c r="S74" s="529">
        <f t="shared" si="37"/>
        <v>1</v>
      </c>
      <c r="T74" s="611"/>
      <c r="U74" s="529">
        <v>16</v>
      </c>
      <c r="V74" s="538">
        <v>1331.891891891891</v>
      </c>
      <c r="W74" s="538">
        <v>83.243243243243185</v>
      </c>
      <c r="X74" s="529">
        <f t="shared" si="39"/>
        <v>1</v>
      </c>
      <c r="Y74" s="611"/>
      <c r="Z74" s="529">
        <v>16</v>
      </c>
      <c r="AA74" s="538">
        <v>1353.0000000000005</v>
      </c>
      <c r="AB74" s="538">
        <v>84.562500000000028</v>
      </c>
      <c r="AC74" s="529">
        <f t="shared" si="41"/>
        <v>1</v>
      </c>
      <c r="AD74" s="611"/>
      <c r="AE74" s="529">
        <v>16</v>
      </c>
      <c r="AF74" s="538">
        <v>1321.7821782178223</v>
      </c>
      <c r="AG74" s="538">
        <v>82.611386138613895</v>
      </c>
      <c r="AH74" s="529">
        <f t="shared" si="43"/>
        <v>1</v>
      </c>
      <c r="AI74" s="611"/>
      <c r="AJ74" s="529">
        <v>16</v>
      </c>
      <c r="AK74" s="538">
        <v>1333.1250000000005</v>
      </c>
      <c r="AL74" s="538">
        <v>83.320312500000028</v>
      </c>
      <c r="AM74" s="529">
        <f t="shared" si="45"/>
        <v>1</v>
      </c>
      <c r="AN74" s="611"/>
      <c r="AO74" s="529">
        <v>16</v>
      </c>
      <c r="AP74" s="538">
        <v>1327.5445544554461</v>
      </c>
      <c r="AQ74" s="538">
        <v>82.971534653465383</v>
      </c>
      <c r="AR74" s="529">
        <f t="shared" si="47"/>
        <v>1</v>
      </c>
      <c r="AS74" s="611"/>
      <c r="AT74" s="529">
        <v>16</v>
      </c>
      <c r="AU74" s="538">
        <v>1336.4601769911515</v>
      </c>
      <c r="AV74" s="538">
        <v>83.528761061946966</v>
      </c>
      <c r="AW74" s="529">
        <f t="shared" si="49"/>
        <v>1</v>
      </c>
      <c r="AX74" s="611"/>
      <c r="AZ74" s="377" t="e">
        <f t="shared" si="51"/>
        <v>#N/A</v>
      </c>
      <c r="BA74" s="653"/>
    </row>
    <row r="75" spans="2:53">
      <c r="B75" s="635"/>
      <c r="C75" s="529">
        <v>9</v>
      </c>
      <c r="D75" s="223" t="s">
        <v>528</v>
      </c>
      <c r="E75" s="538">
        <v>19</v>
      </c>
      <c r="F75" s="529">
        <v>1636</v>
      </c>
      <c r="G75" s="530">
        <v>86.1</v>
      </c>
      <c r="H75" s="678"/>
      <c r="I75" s="531">
        <f t="shared" si="36"/>
        <v>19</v>
      </c>
      <c r="J75" s="531">
        <f t="shared" si="36"/>
        <v>1445.3310146265678</v>
      </c>
      <c r="K75" s="363">
        <f t="shared" si="36"/>
        <v>76.070053401398312</v>
      </c>
      <c r="L75" s="615"/>
      <c r="M75" s="536">
        <f>RANK(K75, K$67:$K$81)</f>
        <v>4</v>
      </c>
      <c r="N75" s="624"/>
      <c r="O75" s="624"/>
      <c r="P75" s="529">
        <v>19</v>
      </c>
      <c r="Q75" s="538">
        <v>1438.5517241379309</v>
      </c>
      <c r="R75" s="538">
        <v>75.713248638838465</v>
      </c>
      <c r="S75" s="529">
        <f t="shared" si="37"/>
        <v>5</v>
      </c>
      <c r="T75" s="611"/>
      <c r="U75" s="529">
        <v>19</v>
      </c>
      <c r="V75" s="538">
        <v>1441.840909090909</v>
      </c>
      <c r="W75" s="538">
        <v>75.886363636363626</v>
      </c>
      <c r="X75" s="529">
        <f t="shared" si="39"/>
        <v>4</v>
      </c>
      <c r="Y75" s="611"/>
      <c r="Z75" s="529">
        <v>19</v>
      </c>
      <c r="AA75" s="538">
        <v>1444.2162162162165</v>
      </c>
      <c r="AB75" s="538">
        <v>76.011379800853504</v>
      </c>
      <c r="AC75" s="529">
        <f t="shared" si="41"/>
        <v>5</v>
      </c>
      <c r="AD75" s="611"/>
      <c r="AE75" s="529">
        <v>19</v>
      </c>
      <c r="AF75" s="538">
        <v>1429.7041420118346</v>
      </c>
      <c r="AG75" s="538">
        <v>75.247586421675507</v>
      </c>
      <c r="AH75" s="529">
        <f t="shared" si="43"/>
        <v>5</v>
      </c>
      <c r="AI75" s="611"/>
      <c r="AJ75" s="529">
        <v>19</v>
      </c>
      <c r="AK75" s="538">
        <v>1445.0310559006211</v>
      </c>
      <c r="AL75" s="538">
        <v>76.054266100032692</v>
      </c>
      <c r="AM75" s="529">
        <f t="shared" si="45"/>
        <v>4</v>
      </c>
      <c r="AN75" s="611"/>
      <c r="AO75" s="529">
        <v>19</v>
      </c>
      <c r="AP75" s="538">
        <v>1461.8117647058821</v>
      </c>
      <c r="AQ75" s="538">
        <v>76.937461300309579</v>
      </c>
      <c r="AR75" s="529">
        <f t="shared" si="47"/>
        <v>4</v>
      </c>
      <c r="AS75" s="611"/>
      <c r="AT75" s="529">
        <v>19</v>
      </c>
      <c r="AU75" s="538">
        <v>1456.16129032258</v>
      </c>
      <c r="AV75" s="538">
        <v>76.640067911714738</v>
      </c>
      <c r="AW75" s="529">
        <f t="shared" si="49"/>
        <v>4</v>
      </c>
      <c r="AX75" s="611"/>
      <c r="AZ75" s="377" t="e">
        <f t="shared" si="51"/>
        <v>#N/A</v>
      </c>
      <c r="BA75" s="653"/>
    </row>
    <row r="76" spans="2:53">
      <c r="B76" s="635"/>
      <c r="C76" s="529">
        <v>10</v>
      </c>
      <c r="D76" s="223" t="s">
        <v>564</v>
      </c>
      <c r="E76" s="538">
        <v>19</v>
      </c>
      <c r="F76" s="529">
        <v>1440</v>
      </c>
      <c r="G76" s="530">
        <v>75.8</v>
      </c>
      <c r="H76" s="678"/>
      <c r="I76" s="531">
        <f t="shared" si="36"/>
        <v>18.142857142857142</v>
      </c>
      <c r="J76" s="531">
        <f t="shared" si="36"/>
        <v>1071.3586889301214</v>
      </c>
      <c r="K76" s="363">
        <f t="shared" si="36"/>
        <v>59.075960102276099</v>
      </c>
      <c r="L76" s="615"/>
      <c r="M76" s="536">
        <f>RANK(K76, K$67:$K$81)</f>
        <v>13</v>
      </c>
      <c r="N76" s="624"/>
      <c r="O76" s="624"/>
      <c r="P76" s="529">
        <v>18</v>
      </c>
      <c r="Q76" s="538">
        <v>1080.0000000000039</v>
      </c>
      <c r="R76" s="538">
        <v>60.000000000000213</v>
      </c>
      <c r="S76" s="529">
        <f t="shared" si="37"/>
        <v>13</v>
      </c>
      <c r="T76" s="611"/>
      <c r="U76" s="529">
        <v>18</v>
      </c>
      <c r="V76" s="538">
        <v>1075.7142857142894</v>
      </c>
      <c r="W76" s="538">
        <v>59.761904761904965</v>
      </c>
      <c r="X76" s="529">
        <f t="shared" si="39"/>
        <v>13</v>
      </c>
      <c r="Y76" s="611"/>
      <c r="Z76" s="529">
        <v>18</v>
      </c>
      <c r="AA76" s="538">
        <v>1072.0000000000039</v>
      </c>
      <c r="AB76" s="538">
        <v>59.55555555555577</v>
      </c>
      <c r="AC76" s="529">
        <f t="shared" si="41"/>
        <v>13</v>
      </c>
      <c r="AD76" s="611"/>
      <c r="AE76" s="529">
        <v>18</v>
      </c>
      <c r="AF76" s="538">
        <v>1006.6666666666704</v>
      </c>
      <c r="AG76" s="538">
        <v>55.92592592592613</v>
      </c>
      <c r="AH76" s="529">
        <f t="shared" si="43"/>
        <v>13</v>
      </c>
      <c r="AI76" s="611"/>
      <c r="AJ76" s="529">
        <v>18</v>
      </c>
      <c r="AK76" s="538">
        <v>1095.0000000000039</v>
      </c>
      <c r="AL76" s="538">
        <v>60.833333333333549</v>
      </c>
      <c r="AM76" s="529">
        <f t="shared" si="45"/>
        <v>12</v>
      </c>
      <c r="AN76" s="611"/>
      <c r="AO76" s="529">
        <v>18</v>
      </c>
      <c r="AP76" s="538">
        <v>1107.2727272727313</v>
      </c>
      <c r="AQ76" s="538">
        <v>61.515151515151743</v>
      </c>
      <c r="AR76" s="529">
        <f t="shared" si="47"/>
        <v>12</v>
      </c>
      <c r="AS76" s="611"/>
      <c r="AT76" s="529">
        <v>19</v>
      </c>
      <c r="AU76" s="538">
        <v>1062.8571428571465</v>
      </c>
      <c r="AV76" s="538">
        <v>55.939849624060344</v>
      </c>
      <c r="AW76" s="529">
        <f t="shared" si="49"/>
        <v>13</v>
      </c>
      <c r="AX76" s="611"/>
      <c r="AZ76" s="377" t="e">
        <f t="shared" si="51"/>
        <v>#N/A</v>
      </c>
      <c r="BA76" s="653"/>
    </row>
    <row r="77" spans="2:53">
      <c r="B77" s="635"/>
      <c r="C77" s="529">
        <v>11</v>
      </c>
      <c r="D77" s="223" t="s">
        <v>636</v>
      </c>
      <c r="E77" s="538">
        <v>17</v>
      </c>
      <c r="F77" s="529">
        <v>1440</v>
      </c>
      <c r="G77" s="530">
        <v>84.7</v>
      </c>
      <c r="H77" s="678"/>
      <c r="I77" s="531">
        <f t="shared" si="36"/>
        <v>17</v>
      </c>
      <c r="J77" s="531">
        <f t="shared" si="36"/>
        <v>1365.7544478003297</v>
      </c>
      <c r="K77" s="363">
        <f t="shared" si="36"/>
        <v>80.338496929431145</v>
      </c>
      <c r="L77" s="615"/>
      <c r="M77" s="536">
        <f>RANK(K77, K$67:$K$81)</f>
        <v>2</v>
      </c>
      <c r="N77" s="624"/>
      <c r="O77" s="624"/>
      <c r="P77" s="529">
        <v>17</v>
      </c>
      <c r="Q77" s="538">
        <v>1364.8818897637791</v>
      </c>
      <c r="R77" s="538">
        <v>80.287169986104658</v>
      </c>
      <c r="S77" s="529">
        <f t="shared" si="37"/>
        <v>2</v>
      </c>
      <c r="T77" s="611"/>
      <c r="U77" s="529">
        <v>17</v>
      </c>
      <c r="V77" s="538">
        <v>1350.7964601769911</v>
      </c>
      <c r="W77" s="538">
        <v>79.458615304528891</v>
      </c>
      <c r="X77" s="529">
        <f t="shared" si="39"/>
        <v>2</v>
      </c>
      <c r="Y77" s="611"/>
      <c r="Z77" s="529">
        <v>17</v>
      </c>
      <c r="AA77" s="538">
        <v>1349.2682926829264</v>
      </c>
      <c r="AB77" s="538">
        <v>79.368723098995673</v>
      </c>
      <c r="AC77" s="529">
        <f t="shared" si="41"/>
        <v>2</v>
      </c>
      <c r="AD77" s="611"/>
      <c r="AE77" s="529">
        <v>17</v>
      </c>
      <c r="AF77" s="538">
        <v>1389.2727272727275</v>
      </c>
      <c r="AG77" s="538">
        <v>81.721925133689851</v>
      </c>
      <c r="AH77" s="529">
        <f t="shared" si="43"/>
        <v>2</v>
      </c>
      <c r="AI77" s="611"/>
      <c r="AJ77" s="529">
        <v>17</v>
      </c>
      <c r="AK77" s="538">
        <v>1369.4117647058824</v>
      </c>
      <c r="AL77" s="538">
        <v>80.553633217993081</v>
      </c>
      <c r="AM77" s="529">
        <f t="shared" si="45"/>
        <v>2</v>
      </c>
      <c r="AN77" s="611"/>
      <c r="AO77" s="529">
        <v>17</v>
      </c>
      <c r="AP77" s="538">
        <v>1355.8500000000001</v>
      </c>
      <c r="AQ77" s="538">
        <v>79.755882352941185</v>
      </c>
      <c r="AR77" s="529">
        <f t="shared" si="47"/>
        <v>2</v>
      </c>
      <c r="AS77" s="611"/>
      <c r="AT77" s="529">
        <v>17</v>
      </c>
      <c r="AU77" s="538">
        <v>1380.8000000000004</v>
      </c>
      <c r="AV77" s="538">
        <v>81.22352941176473</v>
      </c>
      <c r="AW77" s="529">
        <f t="shared" si="49"/>
        <v>2</v>
      </c>
      <c r="AX77" s="611"/>
      <c r="AZ77" s="377" t="e">
        <f t="shared" si="51"/>
        <v>#N/A</v>
      </c>
      <c r="BA77" s="653"/>
    </row>
    <row r="78" spans="2:53">
      <c r="B78" s="635"/>
      <c r="C78" s="529">
        <v>12</v>
      </c>
      <c r="D78" s="223" t="s">
        <v>847</v>
      </c>
      <c r="E78" s="538">
        <v>19</v>
      </c>
      <c r="F78" s="529">
        <v>1440</v>
      </c>
      <c r="G78" s="530">
        <v>75.8</v>
      </c>
      <c r="H78" s="678"/>
      <c r="I78" s="531">
        <f t="shared" si="36"/>
        <v>19</v>
      </c>
      <c r="J78" s="531">
        <f t="shared" si="36"/>
        <v>1305.6405671198845</v>
      </c>
      <c r="K78" s="363">
        <f t="shared" si="36"/>
        <v>68.71792458525708</v>
      </c>
      <c r="L78" s="615"/>
      <c r="M78" s="536">
        <f>RANK(K78, K$67:$K$81)</f>
        <v>10</v>
      </c>
      <c r="N78" s="624"/>
      <c r="O78" s="624"/>
      <c r="P78" s="529">
        <v>19</v>
      </c>
      <c r="Q78" s="538">
        <v>1323.1578947368412</v>
      </c>
      <c r="R78" s="538">
        <v>69.639889196675853</v>
      </c>
      <c r="S78" s="529">
        <f t="shared" si="37"/>
        <v>9</v>
      </c>
      <c r="T78" s="611"/>
      <c r="U78" s="529">
        <v>19</v>
      </c>
      <c r="V78" s="538">
        <v>1312.3076923076917</v>
      </c>
      <c r="W78" s="538">
        <v>69.068825910931139</v>
      </c>
      <c r="X78" s="529">
        <f t="shared" si="39"/>
        <v>8</v>
      </c>
      <c r="Y78" s="611"/>
      <c r="Z78" s="529">
        <v>19</v>
      </c>
      <c r="AA78" s="538">
        <v>1322.9999999999995</v>
      </c>
      <c r="AB78" s="538">
        <v>69.631578947368396</v>
      </c>
      <c r="AC78" s="529">
        <f t="shared" si="41"/>
        <v>9</v>
      </c>
      <c r="AD78" s="611"/>
      <c r="AE78" s="529">
        <v>19</v>
      </c>
      <c r="AF78" s="538">
        <v>1307.5862068965491</v>
      </c>
      <c r="AG78" s="538">
        <v>68.820326678765738</v>
      </c>
      <c r="AH78" s="529">
        <f t="shared" si="43"/>
        <v>10</v>
      </c>
      <c r="AI78" s="611"/>
      <c r="AJ78" s="529">
        <v>19</v>
      </c>
      <c r="AK78" s="538">
        <v>1309.6551724137905</v>
      </c>
      <c r="AL78" s="538">
        <v>68.929219600725816</v>
      </c>
      <c r="AM78" s="529">
        <f t="shared" si="45"/>
        <v>9</v>
      </c>
      <c r="AN78" s="611"/>
      <c r="AO78" s="529">
        <v>19</v>
      </c>
      <c r="AP78" s="538">
        <v>1289.1428571428557</v>
      </c>
      <c r="AQ78" s="538">
        <v>67.849624060150305</v>
      </c>
      <c r="AR78" s="529">
        <f t="shared" si="47"/>
        <v>11</v>
      </c>
      <c r="AS78" s="611"/>
      <c r="AT78" s="529">
        <v>19</v>
      </c>
      <c r="AU78" s="538">
        <v>1274.6341463414628</v>
      </c>
      <c r="AV78" s="538">
        <v>67.086007702182258</v>
      </c>
      <c r="AW78" s="529">
        <f t="shared" si="49"/>
        <v>11</v>
      </c>
      <c r="AX78" s="611"/>
      <c r="AZ78" s="377" t="e">
        <f t="shared" si="51"/>
        <v>#N/A</v>
      </c>
      <c r="BA78" s="653"/>
    </row>
    <row r="79" spans="2:53">
      <c r="B79" s="635"/>
      <c r="C79" s="529">
        <v>13</v>
      </c>
      <c r="D79" s="223" t="s">
        <v>848</v>
      </c>
      <c r="E79" s="538">
        <v>18</v>
      </c>
      <c r="F79" s="529">
        <v>1440</v>
      </c>
      <c r="G79" s="530">
        <v>80</v>
      </c>
      <c r="H79" s="678"/>
      <c r="I79" s="531">
        <f t="shared" si="36"/>
        <v>18</v>
      </c>
      <c r="J79" s="531">
        <f t="shared" si="36"/>
        <v>1294.1335145162368</v>
      </c>
      <c r="K79" s="363">
        <f t="shared" si="36"/>
        <v>71.896306362013163</v>
      </c>
      <c r="L79" s="615"/>
      <c r="M79" s="536">
        <f>RANK(K79, K$67:$K$81)</f>
        <v>6</v>
      </c>
      <c r="N79" s="624"/>
      <c r="O79" s="624"/>
      <c r="P79" s="529">
        <v>18</v>
      </c>
      <c r="Q79" s="538">
        <v>1271.5200000000007</v>
      </c>
      <c r="R79" s="538">
        <v>70.640000000000043</v>
      </c>
      <c r="S79" s="529">
        <f t="shared" si="37"/>
        <v>6</v>
      </c>
      <c r="T79" s="611"/>
      <c r="U79" s="529">
        <v>18</v>
      </c>
      <c r="V79" s="538">
        <v>1268.6486486486485</v>
      </c>
      <c r="W79" s="538">
        <v>70.48048048048048</v>
      </c>
      <c r="X79" s="529">
        <f t="shared" si="39"/>
        <v>7</v>
      </c>
      <c r="Y79" s="611"/>
      <c r="Z79" s="529">
        <v>18</v>
      </c>
      <c r="AA79" s="538">
        <v>1294.2524271844657</v>
      </c>
      <c r="AB79" s="538">
        <v>71.902912621359206</v>
      </c>
      <c r="AC79" s="529">
        <f t="shared" si="41"/>
        <v>7</v>
      </c>
      <c r="AD79" s="611"/>
      <c r="AE79" s="529">
        <v>18</v>
      </c>
      <c r="AF79" s="538">
        <v>1268.2978723404256</v>
      </c>
      <c r="AG79" s="538">
        <v>70.460992907801426</v>
      </c>
      <c r="AH79" s="529">
        <f t="shared" si="43"/>
        <v>8</v>
      </c>
      <c r="AI79" s="611"/>
      <c r="AJ79" s="529">
        <v>18</v>
      </c>
      <c r="AK79" s="538">
        <v>1289.5522388059703</v>
      </c>
      <c r="AL79" s="538">
        <v>71.641791044776127</v>
      </c>
      <c r="AM79" s="529">
        <f t="shared" si="45"/>
        <v>6</v>
      </c>
      <c r="AN79" s="611"/>
      <c r="AO79" s="529">
        <v>18</v>
      </c>
      <c r="AP79" s="538">
        <v>1334.224390243902</v>
      </c>
      <c r="AQ79" s="538">
        <v>74.123577235772331</v>
      </c>
      <c r="AR79" s="529">
        <f t="shared" si="47"/>
        <v>6</v>
      </c>
      <c r="AS79" s="611"/>
      <c r="AT79" s="529">
        <v>18</v>
      </c>
      <c r="AU79" s="538">
        <v>1332.4390243902435</v>
      </c>
      <c r="AV79" s="538">
        <v>74.024390243902417</v>
      </c>
      <c r="AW79" s="529">
        <f t="shared" si="49"/>
        <v>6</v>
      </c>
      <c r="AX79" s="611"/>
      <c r="AZ79" s="377" t="e">
        <f t="shared" si="51"/>
        <v>#N/A</v>
      </c>
      <c r="BA79" s="653"/>
    </row>
    <row r="80" spans="2:53">
      <c r="B80" s="635"/>
      <c r="C80" s="529">
        <v>14</v>
      </c>
      <c r="D80" s="223"/>
      <c r="E80" s="538"/>
      <c r="F80" s="529"/>
      <c r="G80" s="530"/>
      <c r="H80" s="678"/>
      <c r="I80" s="531" t="str">
        <f t="shared" si="36"/>
        <v>-</v>
      </c>
      <c r="J80" s="531" t="str">
        <f t="shared" si="36"/>
        <v>-</v>
      </c>
      <c r="K80" s="363" t="str">
        <f t="shared" si="36"/>
        <v>-</v>
      </c>
      <c r="L80" s="615"/>
      <c r="M80" s="536" t="e">
        <f>RANK(K80, K$67:$K$81)</f>
        <v>#VALUE!</v>
      </c>
      <c r="N80" s="624"/>
      <c r="O80" s="624"/>
      <c r="P80" s="529" t="s">
        <v>427</v>
      </c>
      <c r="Q80" s="538" t="s">
        <v>427</v>
      </c>
      <c r="R80" s="538" t="s">
        <v>427</v>
      </c>
      <c r="S80" s="529" t="e">
        <f t="shared" si="37"/>
        <v>#VALUE!</v>
      </c>
      <c r="T80" s="611"/>
      <c r="U80" s="529" t="s">
        <v>427</v>
      </c>
      <c r="V80" s="538" t="s">
        <v>427</v>
      </c>
      <c r="W80" s="538" t="s">
        <v>427</v>
      </c>
      <c r="X80" s="529" t="e">
        <f t="shared" si="39"/>
        <v>#VALUE!</v>
      </c>
      <c r="Y80" s="611"/>
      <c r="Z80" s="529" t="s">
        <v>427</v>
      </c>
      <c r="AA80" s="538" t="s">
        <v>427</v>
      </c>
      <c r="AB80" s="538" t="s">
        <v>427</v>
      </c>
      <c r="AC80" s="529" t="e">
        <f t="shared" si="41"/>
        <v>#VALUE!</v>
      </c>
      <c r="AD80" s="611"/>
      <c r="AE80" s="529" t="s">
        <v>427</v>
      </c>
      <c r="AF80" s="538" t="s">
        <v>427</v>
      </c>
      <c r="AG80" s="538" t="s">
        <v>427</v>
      </c>
      <c r="AH80" s="529" t="e">
        <f t="shared" si="43"/>
        <v>#VALUE!</v>
      </c>
      <c r="AI80" s="611"/>
      <c r="AJ80" s="529" t="s">
        <v>427</v>
      </c>
      <c r="AK80" s="538" t="s">
        <v>427</v>
      </c>
      <c r="AL80" s="538" t="s">
        <v>427</v>
      </c>
      <c r="AM80" s="529" t="e">
        <f t="shared" si="45"/>
        <v>#VALUE!</v>
      </c>
      <c r="AN80" s="611"/>
      <c r="AO80" s="529" t="s">
        <v>427</v>
      </c>
      <c r="AP80" s="538" t="s">
        <v>427</v>
      </c>
      <c r="AQ80" s="538" t="s">
        <v>427</v>
      </c>
      <c r="AR80" s="529" t="e">
        <f t="shared" si="47"/>
        <v>#VALUE!</v>
      </c>
      <c r="AS80" s="611"/>
      <c r="AT80" s="529" t="s">
        <v>427</v>
      </c>
      <c r="AU80" s="538" t="s">
        <v>427</v>
      </c>
      <c r="AV80" s="538" t="s">
        <v>427</v>
      </c>
      <c r="AW80" s="529" t="e">
        <f t="shared" si="49"/>
        <v>#VALUE!</v>
      </c>
      <c r="AX80" s="611"/>
      <c r="AZ80" s="377" t="e">
        <f t="shared" si="51"/>
        <v>#N/A</v>
      </c>
      <c r="BA80" s="653"/>
    </row>
    <row r="81" spans="2:53">
      <c r="B81" s="635"/>
      <c r="C81" s="529">
        <v>15</v>
      </c>
      <c r="D81" s="223"/>
      <c r="E81" s="538"/>
      <c r="F81" s="529"/>
      <c r="G81" s="530"/>
      <c r="H81" s="679"/>
      <c r="I81" s="531" t="str">
        <f t="shared" si="36"/>
        <v>-</v>
      </c>
      <c r="J81" s="531" t="str">
        <f t="shared" si="36"/>
        <v>-</v>
      </c>
      <c r="K81" s="363" t="str">
        <f t="shared" si="36"/>
        <v>-</v>
      </c>
      <c r="L81" s="616"/>
      <c r="M81" s="536" t="e">
        <f>RANK(K81, K$67:$K$81)</f>
        <v>#VALUE!</v>
      </c>
      <c r="N81" s="624"/>
      <c r="O81" s="624"/>
      <c r="P81" s="529" t="s">
        <v>427</v>
      </c>
      <c r="Q81" s="538" t="s">
        <v>427</v>
      </c>
      <c r="R81" s="538" t="s">
        <v>427</v>
      </c>
      <c r="S81" s="529" t="e">
        <f t="shared" si="37"/>
        <v>#VALUE!</v>
      </c>
      <c r="T81" s="612"/>
      <c r="U81" s="529" t="s">
        <v>427</v>
      </c>
      <c r="V81" s="538" t="s">
        <v>427</v>
      </c>
      <c r="W81" s="538" t="s">
        <v>427</v>
      </c>
      <c r="X81" s="529" t="e">
        <f t="shared" si="39"/>
        <v>#VALUE!</v>
      </c>
      <c r="Y81" s="612"/>
      <c r="Z81" s="529" t="s">
        <v>427</v>
      </c>
      <c r="AA81" s="538" t="s">
        <v>427</v>
      </c>
      <c r="AB81" s="538" t="s">
        <v>427</v>
      </c>
      <c r="AC81" s="529" t="e">
        <f t="shared" si="41"/>
        <v>#VALUE!</v>
      </c>
      <c r="AD81" s="612"/>
      <c r="AE81" s="529" t="s">
        <v>427</v>
      </c>
      <c r="AF81" s="538" t="s">
        <v>427</v>
      </c>
      <c r="AG81" s="538" t="s">
        <v>427</v>
      </c>
      <c r="AH81" s="529" t="e">
        <f t="shared" si="43"/>
        <v>#VALUE!</v>
      </c>
      <c r="AI81" s="612"/>
      <c r="AJ81" s="529" t="s">
        <v>427</v>
      </c>
      <c r="AK81" s="538" t="s">
        <v>427</v>
      </c>
      <c r="AL81" s="538" t="s">
        <v>427</v>
      </c>
      <c r="AM81" s="529" t="e">
        <f t="shared" si="45"/>
        <v>#VALUE!</v>
      </c>
      <c r="AN81" s="612"/>
      <c r="AO81" s="529" t="s">
        <v>427</v>
      </c>
      <c r="AP81" s="538" t="s">
        <v>427</v>
      </c>
      <c r="AQ81" s="538" t="s">
        <v>427</v>
      </c>
      <c r="AR81" s="529" t="e">
        <f t="shared" si="47"/>
        <v>#VALUE!</v>
      </c>
      <c r="AS81" s="612"/>
      <c r="AT81" s="529" t="s">
        <v>427</v>
      </c>
      <c r="AU81" s="538" t="s">
        <v>427</v>
      </c>
      <c r="AV81" s="538" t="s">
        <v>427</v>
      </c>
      <c r="AW81" s="529" t="e">
        <f t="shared" si="49"/>
        <v>#VALUE!</v>
      </c>
      <c r="AX81" s="612"/>
      <c r="AZ81" s="377" t="e">
        <f t="shared" si="51"/>
        <v>#N/A</v>
      </c>
      <c r="BA81" s="653"/>
    </row>
    <row r="82" spans="2:53" ht="15.75">
      <c r="B82" s="643" t="s">
        <v>769</v>
      </c>
      <c r="C82" s="644"/>
      <c r="D82" s="644"/>
      <c r="E82" s="644"/>
      <c r="F82" s="644"/>
      <c r="G82" s="644"/>
      <c r="H82" s="645"/>
      <c r="I82" s="205"/>
      <c r="J82" s="205"/>
      <c r="K82" s="205"/>
      <c r="L82" s="205"/>
      <c r="M82" s="204"/>
      <c r="N82" s="639" t="s">
        <v>781</v>
      </c>
      <c r="O82" s="639" t="s">
        <v>498</v>
      </c>
      <c r="P82" s="634">
        <f>AT62+1</f>
        <v>46231</v>
      </c>
      <c r="Q82" s="635"/>
      <c r="R82" s="635"/>
      <c r="S82" s="635"/>
      <c r="T82" s="635"/>
      <c r="U82" s="636">
        <f>P82+1</f>
        <v>46232</v>
      </c>
      <c r="V82" s="637"/>
      <c r="W82" s="637"/>
      <c r="X82" s="637"/>
      <c r="Y82" s="638"/>
      <c r="Z82" s="636">
        <f t="shared" ref="Z82" si="53">U82+1</f>
        <v>46233</v>
      </c>
      <c r="AA82" s="637"/>
      <c r="AB82" s="637"/>
      <c r="AC82" s="637"/>
      <c r="AD82" s="638"/>
      <c r="AE82" s="636">
        <f t="shared" ref="AE82" si="54">Z82+1</f>
        <v>46234</v>
      </c>
      <c r="AF82" s="637"/>
      <c r="AG82" s="637"/>
      <c r="AH82" s="637"/>
      <c r="AI82" s="638"/>
      <c r="AJ82" s="636"/>
      <c r="AK82" s="637"/>
      <c r="AL82" s="637"/>
      <c r="AM82" s="637"/>
      <c r="AN82" s="638"/>
      <c r="AO82" s="636"/>
      <c r="AP82" s="637"/>
      <c r="AQ82" s="637"/>
      <c r="AR82" s="637"/>
      <c r="AS82" s="638"/>
      <c r="AT82" s="636"/>
      <c r="AU82" s="637"/>
      <c r="AV82" s="637"/>
      <c r="AW82" s="637"/>
      <c r="AX82" s="638"/>
    </row>
    <row r="83" spans="2:53" ht="15.75">
      <c r="B83" s="646"/>
      <c r="C83" s="646"/>
      <c r="D83" s="646"/>
      <c r="E83" s="646"/>
      <c r="F83" s="646"/>
      <c r="G83" s="646"/>
      <c r="H83" s="646"/>
      <c r="I83" s="202"/>
      <c r="J83" s="202"/>
      <c r="K83" s="202"/>
      <c r="L83" s="202"/>
      <c r="M83" s="203"/>
      <c r="N83" s="641"/>
      <c r="O83" s="641"/>
      <c r="P83" s="634" t="s">
        <v>499</v>
      </c>
      <c r="Q83" s="635"/>
      <c r="R83" s="635"/>
      <c r="S83" s="635"/>
      <c r="T83" s="635"/>
      <c r="U83" s="634" t="s">
        <v>500</v>
      </c>
      <c r="V83" s="635"/>
      <c r="W83" s="635"/>
      <c r="X83" s="635"/>
      <c r="Y83" s="635"/>
      <c r="Z83" s="634" t="s">
        <v>501</v>
      </c>
      <c r="AA83" s="635"/>
      <c r="AB83" s="635"/>
      <c r="AC83" s="635"/>
      <c r="AD83" s="635"/>
      <c r="AE83" s="634" t="s">
        <v>502</v>
      </c>
      <c r="AF83" s="635"/>
      <c r="AG83" s="635"/>
      <c r="AH83" s="635"/>
      <c r="AI83" s="635"/>
      <c r="AJ83" s="634" t="s">
        <v>503</v>
      </c>
      <c r="AK83" s="635"/>
      <c r="AL83" s="635"/>
      <c r="AM83" s="635"/>
      <c r="AN83" s="635"/>
      <c r="AO83" s="634" t="s">
        <v>504</v>
      </c>
      <c r="AP83" s="635"/>
      <c r="AQ83" s="635"/>
      <c r="AR83" s="635"/>
      <c r="AS83" s="635"/>
      <c r="AT83" s="634" t="s">
        <v>505</v>
      </c>
      <c r="AU83" s="635"/>
      <c r="AV83" s="635"/>
      <c r="AW83" s="635"/>
      <c r="AX83" s="635"/>
    </row>
    <row r="84" spans="2:53">
      <c r="B84" s="624" t="s">
        <v>760</v>
      </c>
      <c r="C84" s="624" t="s">
        <v>761</v>
      </c>
      <c r="D84" s="624"/>
      <c r="E84" s="624" t="s">
        <v>762</v>
      </c>
      <c r="F84" s="624"/>
      <c r="G84" s="624"/>
      <c r="H84" s="647" t="s">
        <v>763</v>
      </c>
      <c r="I84" s="617" t="s">
        <v>764</v>
      </c>
      <c r="J84" s="617"/>
      <c r="K84" s="617"/>
      <c r="L84" s="618" t="s">
        <v>763</v>
      </c>
      <c r="M84" s="628" t="s">
        <v>773</v>
      </c>
      <c r="N84" s="624"/>
      <c r="O84" s="624" t="s">
        <v>512</v>
      </c>
      <c r="P84" s="621" t="s">
        <v>513</v>
      </c>
      <c r="Q84" s="622"/>
      <c r="R84" s="622"/>
      <c r="S84" s="623"/>
      <c r="T84" s="624" t="s">
        <v>509</v>
      </c>
      <c r="U84" s="621" t="s">
        <v>513</v>
      </c>
      <c r="V84" s="622"/>
      <c r="W84" s="622"/>
      <c r="X84" s="623"/>
      <c r="Y84" s="624" t="s">
        <v>509</v>
      </c>
      <c r="Z84" s="621" t="s">
        <v>513</v>
      </c>
      <c r="AA84" s="622"/>
      <c r="AB84" s="622"/>
      <c r="AC84" s="623"/>
      <c r="AD84" s="624" t="s">
        <v>509</v>
      </c>
      <c r="AE84" s="621" t="s">
        <v>513</v>
      </c>
      <c r="AF84" s="622"/>
      <c r="AG84" s="622"/>
      <c r="AH84" s="623"/>
      <c r="AI84" s="624" t="s">
        <v>509</v>
      </c>
      <c r="AJ84" s="621" t="s">
        <v>513</v>
      </c>
      <c r="AK84" s="622"/>
      <c r="AL84" s="622"/>
      <c r="AM84" s="623"/>
      <c r="AN84" s="624" t="s">
        <v>509</v>
      </c>
      <c r="AO84" s="621" t="s">
        <v>513</v>
      </c>
      <c r="AP84" s="622"/>
      <c r="AQ84" s="622"/>
      <c r="AR84" s="623"/>
      <c r="AS84" s="624" t="s">
        <v>509</v>
      </c>
      <c r="AT84" s="621" t="s">
        <v>513</v>
      </c>
      <c r="AU84" s="622"/>
      <c r="AV84" s="622"/>
      <c r="AW84" s="623"/>
      <c r="AX84" s="624" t="s">
        <v>509</v>
      </c>
    </row>
    <row r="85" spans="2:53">
      <c r="B85" s="624"/>
      <c r="C85" s="624"/>
      <c r="D85" s="624"/>
      <c r="E85" s="624" t="s">
        <v>765</v>
      </c>
      <c r="F85" s="624"/>
      <c r="G85" s="624"/>
      <c r="H85" s="648"/>
      <c r="I85" s="617" t="s">
        <v>765</v>
      </c>
      <c r="J85" s="617"/>
      <c r="K85" s="617"/>
      <c r="L85" s="619"/>
      <c r="M85" s="629"/>
      <c r="N85" s="624"/>
      <c r="O85" s="624"/>
      <c r="P85" s="621" t="s">
        <v>515</v>
      </c>
      <c r="Q85" s="622"/>
      <c r="R85" s="622"/>
      <c r="S85" s="623"/>
      <c r="T85" s="624"/>
      <c r="U85" s="621" t="s">
        <v>515</v>
      </c>
      <c r="V85" s="622"/>
      <c r="W85" s="622"/>
      <c r="X85" s="623"/>
      <c r="Y85" s="624"/>
      <c r="Z85" s="621" t="s">
        <v>515</v>
      </c>
      <c r="AA85" s="622"/>
      <c r="AB85" s="622"/>
      <c r="AC85" s="623"/>
      <c r="AD85" s="624"/>
      <c r="AE85" s="621" t="s">
        <v>515</v>
      </c>
      <c r="AF85" s="622"/>
      <c r="AG85" s="622"/>
      <c r="AH85" s="623"/>
      <c r="AI85" s="624"/>
      <c r="AJ85" s="621" t="s">
        <v>515</v>
      </c>
      <c r="AK85" s="622"/>
      <c r="AL85" s="622"/>
      <c r="AM85" s="623"/>
      <c r="AN85" s="624"/>
      <c r="AO85" s="621" t="s">
        <v>515</v>
      </c>
      <c r="AP85" s="622"/>
      <c r="AQ85" s="622"/>
      <c r="AR85" s="623"/>
      <c r="AS85" s="624"/>
      <c r="AT85" s="621" t="s">
        <v>515</v>
      </c>
      <c r="AU85" s="622"/>
      <c r="AV85" s="622"/>
      <c r="AW85" s="623"/>
      <c r="AX85" s="624"/>
    </row>
    <row r="86" spans="2:53">
      <c r="B86" s="624"/>
      <c r="C86" s="624"/>
      <c r="D86" s="624"/>
      <c r="E86" s="482" t="s">
        <v>766</v>
      </c>
      <c r="F86" s="482" t="s">
        <v>767</v>
      </c>
      <c r="G86" s="482" t="s">
        <v>768</v>
      </c>
      <c r="H86" s="649"/>
      <c r="I86" s="481" t="s">
        <v>766</v>
      </c>
      <c r="J86" s="481" t="s">
        <v>767</v>
      </c>
      <c r="K86" s="481" t="s">
        <v>768</v>
      </c>
      <c r="L86" s="620"/>
      <c r="M86" s="630"/>
      <c r="N86" s="624"/>
      <c r="O86" s="624"/>
      <c r="P86" s="353" t="s">
        <v>516</v>
      </c>
      <c r="Q86" s="353" t="s">
        <v>517</v>
      </c>
      <c r="R86" s="353" t="s">
        <v>518</v>
      </c>
      <c r="S86" s="353" t="s">
        <v>511</v>
      </c>
      <c r="T86" s="624"/>
      <c r="U86" s="353" t="s">
        <v>516</v>
      </c>
      <c r="V86" s="353" t="s">
        <v>517</v>
      </c>
      <c r="W86" s="353" t="s">
        <v>518</v>
      </c>
      <c r="X86" s="353" t="s">
        <v>511</v>
      </c>
      <c r="Y86" s="624"/>
      <c r="Z86" s="353" t="s">
        <v>516</v>
      </c>
      <c r="AA86" s="353" t="s">
        <v>517</v>
      </c>
      <c r="AB86" s="353" t="s">
        <v>518</v>
      </c>
      <c r="AC86" s="353" t="s">
        <v>511</v>
      </c>
      <c r="AD86" s="624"/>
      <c r="AE86" s="353" t="s">
        <v>516</v>
      </c>
      <c r="AF86" s="353" t="s">
        <v>517</v>
      </c>
      <c r="AG86" s="353" t="s">
        <v>518</v>
      </c>
      <c r="AH86" s="353" t="s">
        <v>511</v>
      </c>
      <c r="AI86" s="624"/>
      <c r="AJ86" s="353" t="s">
        <v>516</v>
      </c>
      <c r="AK86" s="353" t="s">
        <v>517</v>
      </c>
      <c r="AL86" s="353" t="s">
        <v>518</v>
      </c>
      <c r="AM86" s="353" t="s">
        <v>511</v>
      </c>
      <c r="AN86" s="624"/>
      <c r="AO86" s="353" t="s">
        <v>516</v>
      </c>
      <c r="AP86" s="353" t="s">
        <v>517</v>
      </c>
      <c r="AQ86" s="353" t="s">
        <v>518</v>
      </c>
      <c r="AR86" s="353" t="s">
        <v>511</v>
      </c>
      <c r="AS86" s="624"/>
      <c r="AT86" s="353" t="s">
        <v>516</v>
      </c>
      <c r="AU86" s="353" t="s">
        <v>517</v>
      </c>
      <c r="AV86" s="353" t="s">
        <v>518</v>
      </c>
      <c r="AW86" s="353" t="s">
        <v>511</v>
      </c>
      <c r="AX86" s="624"/>
    </row>
    <row r="87" spans="2:53">
      <c r="B87" s="624" t="s">
        <v>787</v>
      </c>
      <c r="C87" s="483">
        <v>1</v>
      </c>
      <c r="D87" s="223" t="s">
        <v>722</v>
      </c>
      <c r="E87" s="491">
        <v>17</v>
      </c>
      <c r="F87" s="483">
        <v>1440</v>
      </c>
      <c r="G87" s="484">
        <v>84.7</v>
      </c>
      <c r="H87" s="677">
        <f>AVERAGE(G87:G101)</f>
        <v>79.792307692307688</v>
      </c>
      <c r="I87" s="487">
        <f t="shared" ref="I87:K101" si="55">IFERROR(AVERAGE(P87,U87,Z87,AE87,AJ87,AO87,AT87),"-")</f>
        <v>17</v>
      </c>
      <c r="J87" s="487">
        <f t="shared" si="55"/>
        <v>1288.4109151217447</v>
      </c>
      <c r="K87" s="363">
        <f t="shared" si="55"/>
        <v>75.788877360102617</v>
      </c>
      <c r="L87" s="614">
        <f>IFERROR(AVERAGE(K87:K101),"-")</f>
        <v>70.867634795301285</v>
      </c>
      <c r="M87" s="489">
        <f>RANK(K87, K$87:$K$101)</f>
        <v>5</v>
      </c>
      <c r="N87" s="624"/>
      <c r="O87" s="624"/>
      <c r="P87" s="540">
        <v>17</v>
      </c>
      <c r="Q87" s="541">
        <v>1276.1290322580649</v>
      </c>
      <c r="R87" s="541">
        <v>75.066413662239114</v>
      </c>
      <c r="S87" s="540">
        <f t="shared" ref="S87:S101" si="56">RANK(R87, R$87:R$101)</f>
        <v>5</v>
      </c>
      <c r="T87" s="653">
        <f t="shared" ref="T87" si="57">AVERAGE(R87:R101)</f>
        <v>71.190663352096038</v>
      </c>
      <c r="U87" s="540">
        <v>17</v>
      </c>
      <c r="V87" s="541">
        <v>1283.1818181818182</v>
      </c>
      <c r="W87" s="541">
        <v>75.481283422459896</v>
      </c>
      <c r="X87" s="540">
        <f t="shared" ref="X87:X101" si="58">RANK(W87, W$87:W$101)</f>
        <v>5</v>
      </c>
      <c r="Y87" s="653">
        <f t="shared" ref="Y87" si="59">AVERAGE(W87:W101)</f>
        <v>70.96365256859329</v>
      </c>
      <c r="Z87" s="540">
        <v>17</v>
      </c>
      <c r="AA87" s="541">
        <v>1285.102040816327</v>
      </c>
      <c r="AB87" s="541">
        <v>75.59423769507805</v>
      </c>
      <c r="AC87" s="540">
        <f t="shared" ref="AC87:AC101" si="60">RANK(AB87, AB$87:AB$101)</f>
        <v>4</v>
      </c>
      <c r="AD87" s="653">
        <f t="shared" ref="AD87" si="61">AVERAGE(AB87:AB101)</f>
        <v>70.984158843431842</v>
      </c>
      <c r="AE87" s="540">
        <v>17</v>
      </c>
      <c r="AF87" s="541">
        <v>1309.2307692307684</v>
      </c>
      <c r="AG87" s="541">
        <v>77.013574660633438</v>
      </c>
      <c r="AH87" s="540">
        <f t="shared" ref="AH87:AH101" si="62">RANK(AG87, AG$87:AG$101)</f>
        <v>4</v>
      </c>
      <c r="AI87" s="653">
        <f t="shared" ref="AI87" si="63">AVERAGE(AG87:AG101)</f>
        <v>70.332064417083956</v>
      </c>
      <c r="AJ87" s="483"/>
      <c r="AK87" s="491"/>
      <c r="AL87" s="491"/>
      <c r="AM87" s="483"/>
      <c r="AN87" s="653"/>
      <c r="AO87" s="483"/>
      <c r="AP87" s="491"/>
      <c r="AQ87" s="491"/>
      <c r="AR87" s="483"/>
      <c r="AS87" s="653"/>
      <c r="AT87" s="483"/>
      <c r="AU87" s="491"/>
      <c r="AV87" s="491"/>
      <c r="AW87" s="483"/>
      <c r="AX87" s="653"/>
      <c r="AZ87" s="377" t="e">
        <f t="shared" ref="AZ87:AZ101" si="64">RANK(AY87, AY$87:AY$101)</f>
        <v>#N/A</v>
      </c>
      <c r="BA87" s="653" t="e">
        <f t="shared" ref="BA87" si="65">AVERAGE(AY87:AY101)</f>
        <v>#DIV/0!</v>
      </c>
    </row>
    <row r="88" spans="2:53">
      <c r="B88" s="635"/>
      <c r="C88" s="483">
        <v>2</v>
      </c>
      <c r="D88" s="223" t="s">
        <v>342</v>
      </c>
      <c r="E88" s="491">
        <v>18</v>
      </c>
      <c r="F88" s="483">
        <v>1440</v>
      </c>
      <c r="G88" s="484">
        <v>80</v>
      </c>
      <c r="H88" s="678"/>
      <c r="I88" s="487">
        <f t="shared" si="55"/>
        <v>18</v>
      </c>
      <c r="J88" s="487">
        <f t="shared" si="55"/>
        <v>1152.220430107523</v>
      </c>
      <c r="K88" s="363">
        <f t="shared" si="55"/>
        <v>64.012246117084629</v>
      </c>
      <c r="L88" s="615"/>
      <c r="M88" s="489">
        <f>RANK(K88, K$87:$K$101)</f>
        <v>11</v>
      </c>
      <c r="N88" s="624"/>
      <c r="O88" s="624"/>
      <c r="P88" s="540">
        <v>18</v>
      </c>
      <c r="Q88" s="541">
        <v>1197.9999999999916</v>
      </c>
      <c r="R88" s="541">
        <v>66.555555555555088</v>
      </c>
      <c r="S88" s="540">
        <f t="shared" si="56"/>
        <v>10</v>
      </c>
      <c r="T88" s="653"/>
      <c r="U88" s="540">
        <v>18</v>
      </c>
      <c r="V88" s="541">
        <v>1153.5483870967723</v>
      </c>
      <c r="W88" s="541">
        <v>64.086021505376237</v>
      </c>
      <c r="X88" s="540">
        <f t="shared" si="58"/>
        <v>11</v>
      </c>
      <c r="Y88" s="653"/>
      <c r="Z88" s="540">
        <v>18</v>
      </c>
      <c r="AA88" s="541">
        <v>1143.9999999999982</v>
      </c>
      <c r="AB88" s="541">
        <v>63.555555555555458</v>
      </c>
      <c r="AC88" s="540">
        <f t="shared" si="60"/>
        <v>11</v>
      </c>
      <c r="AD88" s="653"/>
      <c r="AE88" s="540">
        <v>18</v>
      </c>
      <c r="AF88" s="541">
        <v>1113.3333333333308</v>
      </c>
      <c r="AG88" s="541">
        <v>61.851851851851706</v>
      </c>
      <c r="AH88" s="540">
        <f t="shared" si="62"/>
        <v>10</v>
      </c>
      <c r="AI88" s="653"/>
      <c r="AJ88" s="483"/>
      <c r="AK88" s="491"/>
      <c r="AL88" s="491"/>
      <c r="AM88" s="483"/>
      <c r="AN88" s="653"/>
      <c r="AO88" s="483"/>
      <c r="AP88" s="491"/>
      <c r="AQ88" s="491"/>
      <c r="AR88" s="483"/>
      <c r="AS88" s="653"/>
      <c r="AT88" s="483"/>
      <c r="AU88" s="491"/>
      <c r="AV88" s="491"/>
      <c r="AW88" s="483"/>
      <c r="AX88" s="653"/>
      <c r="AZ88" s="377" t="e">
        <f t="shared" si="64"/>
        <v>#N/A</v>
      </c>
      <c r="BA88" s="653"/>
    </row>
    <row r="89" spans="2:53">
      <c r="B89" s="635"/>
      <c r="C89" s="483">
        <v>3</v>
      </c>
      <c r="D89" s="223" t="s">
        <v>343</v>
      </c>
      <c r="E89" s="491">
        <v>17</v>
      </c>
      <c r="F89" s="483">
        <v>1440</v>
      </c>
      <c r="G89" s="484">
        <v>84.7</v>
      </c>
      <c r="H89" s="678"/>
      <c r="I89" s="487">
        <f t="shared" si="55"/>
        <v>17</v>
      </c>
      <c r="J89" s="487">
        <f t="shared" si="55"/>
        <v>1336.6276223986215</v>
      </c>
      <c r="K89" s="363">
        <f t="shared" si="55"/>
        <v>78.625154258742441</v>
      </c>
      <c r="L89" s="615"/>
      <c r="M89" s="489">
        <f>RANK(K89, K$87:$K$101)</f>
        <v>3</v>
      </c>
      <c r="N89" s="624"/>
      <c r="O89" s="624"/>
      <c r="P89" s="540">
        <v>17</v>
      </c>
      <c r="Q89" s="541">
        <v>1337.0370370370365</v>
      </c>
      <c r="R89" s="541">
        <v>78.649237472766856</v>
      </c>
      <c r="S89" s="540">
        <f t="shared" si="56"/>
        <v>3</v>
      </c>
      <c r="T89" s="653"/>
      <c r="U89" s="540">
        <v>17</v>
      </c>
      <c r="V89" s="541">
        <v>1350.7894736842095</v>
      </c>
      <c r="W89" s="541">
        <v>79.458204334365263</v>
      </c>
      <c r="X89" s="540">
        <f t="shared" si="58"/>
        <v>3</v>
      </c>
      <c r="Y89" s="653"/>
      <c r="Z89" s="540">
        <v>17</v>
      </c>
      <c r="AA89" s="541">
        <v>1337.7464788732382</v>
      </c>
      <c r="AB89" s="541">
        <v>78.690969345484604</v>
      </c>
      <c r="AC89" s="540">
        <f t="shared" si="60"/>
        <v>3</v>
      </c>
      <c r="AD89" s="653"/>
      <c r="AE89" s="540">
        <v>17</v>
      </c>
      <c r="AF89" s="541">
        <v>1320.9375000000016</v>
      </c>
      <c r="AG89" s="541">
        <v>77.702205882353041</v>
      </c>
      <c r="AH89" s="540">
        <f t="shared" si="62"/>
        <v>3</v>
      </c>
      <c r="AI89" s="653"/>
      <c r="AJ89" s="483"/>
      <c r="AK89" s="491"/>
      <c r="AL89" s="491"/>
      <c r="AM89" s="483"/>
      <c r="AN89" s="653"/>
      <c r="AO89" s="483"/>
      <c r="AP89" s="491"/>
      <c r="AQ89" s="491"/>
      <c r="AR89" s="483"/>
      <c r="AS89" s="653"/>
      <c r="AT89" s="483"/>
      <c r="AU89" s="491"/>
      <c r="AV89" s="491"/>
      <c r="AW89" s="483"/>
      <c r="AX89" s="653"/>
      <c r="AZ89" s="377" t="e">
        <f t="shared" si="64"/>
        <v>#N/A</v>
      </c>
      <c r="BA89" s="653"/>
    </row>
    <row r="90" spans="2:53">
      <c r="B90" s="635"/>
      <c r="C90" s="483">
        <v>4</v>
      </c>
      <c r="D90" s="223" t="s">
        <v>345</v>
      </c>
      <c r="E90" s="491">
        <v>21</v>
      </c>
      <c r="F90" s="483">
        <v>1385</v>
      </c>
      <c r="G90" s="484">
        <v>65.900000000000006</v>
      </c>
      <c r="H90" s="678"/>
      <c r="I90" s="487">
        <f t="shared" si="55"/>
        <v>21</v>
      </c>
      <c r="J90" s="487">
        <f t="shared" si="55"/>
        <v>1283.8618887060125</v>
      </c>
      <c r="K90" s="363">
        <f t="shared" si="55"/>
        <v>61.136280414572028</v>
      </c>
      <c r="L90" s="615"/>
      <c r="M90" s="489">
        <f>RANK(K90, K$87:$K$101)</f>
        <v>12</v>
      </c>
      <c r="N90" s="624"/>
      <c r="O90" s="624"/>
      <c r="P90" s="540">
        <v>21</v>
      </c>
      <c r="Q90" s="541">
        <v>1279.805825242719</v>
      </c>
      <c r="R90" s="541">
        <v>60.943134535367577</v>
      </c>
      <c r="S90" s="540">
        <f t="shared" si="56"/>
        <v>12</v>
      </c>
      <c r="T90" s="653"/>
      <c r="U90" s="540">
        <v>21</v>
      </c>
      <c r="V90" s="541">
        <v>1290.3225806451615</v>
      </c>
      <c r="W90" s="541">
        <v>61.443932411674353</v>
      </c>
      <c r="X90" s="540">
        <f t="shared" si="58"/>
        <v>12</v>
      </c>
      <c r="Y90" s="653"/>
      <c r="Z90" s="540">
        <v>21</v>
      </c>
      <c r="AA90" s="541">
        <v>1275.3191489361704</v>
      </c>
      <c r="AB90" s="541">
        <v>60.729483282674785</v>
      </c>
      <c r="AC90" s="540">
        <f t="shared" si="60"/>
        <v>12</v>
      </c>
      <c r="AD90" s="653"/>
      <c r="AE90" s="540">
        <v>21</v>
      </c>
      <c r="AF90" s="541">
        <v>1289.9999999999989</v>
      </c>
      <c r="AG90" s="541">
        <v>61.428571428571374</v>
      </c>
      <c r="AH90" s="540">
        <f t="shared" si="62"/>
        <v>11</v>
      </c>
      <c r="AI90" s="653"/>
      <c r="AJ90" s="483"/>
      <c r="AK90" s="491"/>
      <c r="AL90" s="491"/>
      <c r="AM90" s="483"/>
      <c r="AN90" s="653"/>
      <c r="AO90" s="483"/>
      <c r="AP90" s="491"/>
      <c r="AQ90" s="491"/>
      <c r="AR90" s="483"/>
      <c r="AS90" s="653"/>
      <c r="AT90" s="483"/>
      <c r="AU90" s="491"/>
      <c r="AV90" s="491"/>
      <c r="AW90" s="483"/>
      <c r="AX90" s="653"/>
      <c r="AZ90" s="377" t="e">
        <f t="shared" si="64"/>
        <v>#N/A</v>
      </c>
      <c r="BA90" s="653"/>
    </row>
    <row r="91" spans="2:53">
      <c r="B91" s="635"/>
      <c r="C91" s="483">
        <v>5</v>
      </c>
      <c r="D91" s="223" t="s">
        <v>346</v>
      </c>
      <c r="E91" s="491">
        <v>19</v>
      </c>
      <c r="F91" s="483">
        <v>1440</v>
      </c>
      <c r="G91" s="484">
        <v>75.8</v>
      </c>
      <c r="H91" s="678"/>
      <c r="I91" s="487">
        <f t="shared" si="55"/>
        <v>19</v>
      </c>
      <c r="J91" s="487">
        <f t="shared" si="55"/>
        <v>1317.3750181920911</v>
      </c>
      <c r="K91" s="363">
        <f t="shared" si="55"/>
        <v>69.335527273267942</v>
      </c>
      <c r="L91" s="615"/>
      <c r="M91" s="489">
        <f>RANK(K91, K$87:$K$101)</f>
        <v>7</v>
      </c>
      <c r="N91" s="624"/>
      <c r="O91" s="624"/>
      <c r="P91" s="540">
        <v>19</v>
      </c>
      <c r="Q91" s="541">
        <v>1326.585365853658</v>
      </c>
      <c r="R91" s="541">
        <v>69.820282413350427</v>
      </c>
      <c r="S91" s="540">
        <f t="shared" si="56"/>
        <v>7</v>
      </c>
      <c r="T91" s="653"/>
      <c r="U91" s="540">
        <v>19</v>
      </c>
      <c r="V91" s="541">
        <v>1304.2857142857138</v>
      </c>
      <c r="W91" s="541">
        <v>68.646616541353353</v>
      </c>
      <c r="X91" s="540">
        <f t="shared" si="58"/>
        <v>7</v>
      </c>
      <c r="Y91" s="653"/>
      <c r="Z91" s="540">
        <v>19</v>
      </c>
      <c r="AA91" s="541">
        <v>1320.8108108108099</v>
      </c>
      <c r="AB91" s="541">
        <v>69.516358463726831</v>
      </c>
      <c r="AC91" s="540">
        <f t="shared" si="60"/>
        <v>7</v>
      </c>
      <c r="AD91" s="653"/>
      <c r="AE91" s="540">
        <v>19</v>
      </c>
      <c r="AF91" s="541">
        <v>1317.8181818181827</v>
      </c>
      <c r="AG91" s="541">
        <v>69.358851674641187</v>
      </c>
      <c r="AH91" s="540">
        <f t="shared" si="62"/>
        <v>7</v>
      </c>
      <c r="AI91" s="653"/>
      <c r="AJ91" s="483"/>
      <c r="AK91" s="491"/>
      <c r="AL91" s="491"/>
      <c r="AM91" s="483"/>
      <c r="AN91" s="653"/>
      <c r="AO91" s="483"/>
      <c r="AP91" s="491"/>
      <c r="AQ91" s="491"/>
      <c r="AR91" s="483"/>
      <c r="AS91" s="653"/>
      <c r="AT91" s="483"/>
      <c r="AU91" s="491"/>
      <c r="AV91" s="491"/>
      <c r="AW91" s="483"/>
      <c r="AX91" s="653"/>
      <c r="AZ91" s="377" t="e">
        <f t="shared" si="64"/>
        <v>#N/A</v>
      </c>
      <c r="BA91" s="653"/>
    </row>
    <row r="92" spans="2:53">
      <c r="B92" s="635"/>
      <c r="C92" s="483">
        <v>6</v>
      </c>
      <c r="D92" s="223" t="s">
        <v>408</v>
      </c>
      <c r="E92" s="491">
        <v>18</v>
      </c>
      <c r="F92" s="483">
        <v>1385</v>
      </c>
      <c r="G92" s="484">
        <v>76.900000000000006</v>
      </c>
      <c r="H92" s="678"/>
      <c r="I92" s="487">
        <f t="shared" si="55"/>
        <v>18</v>
      </c>
      <c r="J92" s="487">
        <f t="shared" si="55"/>
        <v>1216.4140720390726</v>
      </c>
      <c r="K92" s="363">
        <f t="shared" si="55"/>
        <v>67.578559557726251</v>
      </c>
      <c r="L92" s="615"/>
      <c r="M92" s="489">
        <f>RANK(K92, K$87:$K$101)</f>
        <v>8</v>
      </c>
      <c r="N92" s="624"/>
      <c r="O92" s="624"/>
      <c r="P92" s="540">
        <v>18</v>
      </c>
      <c r="Q92" s="541">
        <v>1225.7142857142846</v>
      </c>
      <c r="R92" s="541">
        <v>68.095238095238031</v>
      </c>
      <c r="S92" s="540">
        <f t="shared" si="56"/>
        <v>9</v>
      </c>
      <c r="T92" s="653"/>
      <c r="U92" s="540">
        <v>18</v>
      </c>
      <c r="V92" s="541">
        <v>1223.0769230769245</v>
      </c>
      <c r="W92" s="541">
        <v>67.948717948718027</v>
      </c>
      <c r="X92" s="540">
        <f t="shared" si="58"/>
        <v>8</v>
      </c>
      <c r="Y92" s="653"/>
      <c r="Z92" s="540">
        <v>18</v>
      </c>
      <c r="AA92" s="541">
        <v>1224.6428571428582</v>
      </c>
      <c r="AB92" s="541">
        <v>68.035714285714349</v>
      </c>
      <c r="AC92" s="540">
        <f t="shared" si="60"/>
        <v>8</v>
      </c>
      <c r="AD92" s="653"/>
      <c r="AE92" s="540">
        <v>18</v>
      </c>
      <c r="AF92" s="541">
        <v>1192.2222222222229</v>
      </c>
      <c r="AG92" s="541">
        <v>66.234567901234598</v>
      </c>
      <c r="AH92" s="540">
        <f t="shared" si="62"/>
        <v>9</v>
      </c>
      <c r="AI92" s="653"/>
      <c r="AJ92" s="483"/>
      <c r="AK92" s="491"/>
      <c r="AL92" s="491"/>
      <c r="AM92" s="483"/>
      <c r="AN92" s="653"/>
      <c r="AO92" s="483"/>
      <c r="AP92" s="491"/>
      <c r="AQ92" s="491"/>
      <c r="AR92" s="483"/>
      <c r="AS92" s="653"/>
      <c r="AT92" s="483"/>
      <c r="AU92" s="491"/>
      <c r="AV92" s="491"/>
      <c r="AW92" s="483"/>
      <c r="AX92" s="653"/>
      <c r="AZ92" s="377" t="e">
        <f t="shared" si="64"/>
        <v>#N/A</v>
      </c>
      <c r="BA92" s="653"/>
    </row>
    <row r="93" spans="2:53">
      <c r="B93" s="635"/>
      <c r="C93" s="483">
        <v>7</v>
      </c>
      <c r="D93" s="223" t="s">
        <v>410</v>
      </c>
      <c r="E93" s="491">
        <v>18</v>
      </c>
      <c r="F93" s="483">
        <v>1385</v>
      </c>
      <c r="G93" s="484">
        <v>76.900000000000006</v>
      </c>
      <c r="H93" s="678"/>
      <c r="I93" s="487">
        <f t="shared" si="55"/>
        <v>18</v>
      </c>
      <c r="J93" s="487">
        <f t="shared" si="55"/>
        <v>1211.2130756867589</v>
      </c>
      <c r="K93" s="363">
        <f t="shared" si="55"/>
        <v>67.289615315931044</v>
      </c>
      <c r="L93" s="615"/>
      <c r="M93" s="489">
        <f>RANK(K93, K$87:$K$101)</f>
        <v>9</v>
      </c>
      <c r="N93" s="624"/>
      <c r="O93" s="624"/>
      <c r="P93" s="540">
        <v>18</v>
      </c>
      <c r="Q93" s="541">
        <v>1225.9459459459451</v>
      </c>
      <c r="R93" s="541">
        <v>68.10810810810807</v>
      </c>
      <c r="S93" s="540">
        <f t="shared" si="56"/>
        <v>8</v>
      </c>
      <c r="T93" s="653"/>
      <c r="U93" s="540">
        <v>18</v>
      </c>
      <c r="V93" s="541">
        <v>1215.7894736842097</v>
      </c>
      <c r="W93" s="541">
        <v>67.543859649122766</v>
      </c>
      <c r="X93" s="540">
        <f t="shared" si="58"/>
        <v>9</v>
      </c>
      <c r="Y93" s="653"/>
      <c r="Z93" s="540">
        <v>18</v>
      </c>
      <c r="AA93" s="541">
        <v>1208.5714285714273</v>
      </c>
      <c r="AB93" s="541">
        <v>67.142857142857068</v>
      </c>
      <c r="AC93" s="540">
        <f t="shared" si="60"/>
        <v>10</v>
      </c>
      <c r="AD93" s="653"/>
      <c r="AE93" s="540">
        <v>18</v>
      </c>
      <c r="AF93" s="541">
        <v>1194.5454545454529</v>
      </c>
      <c r="AG93" s="541">
        <v>66.363636363636274</v>
      </c>
      <c r="AH93" s="540">
        <f t="shared" si="62"/>
        <v>8</v>
      </c>
      <c r="AI93" s="653"/>
      <c r="AJ93" s="483"/>
      <c r="AK93" s="491"/>
      <c r="AL93" s="491"/>
      <c r="AM93" s="483"/>
      <c r="AN93" s="653"/>
      <c r="AO93" s="483"/>
      <c r="AP93" s="491"/>
      <c r="AQ93" s="491"/>
      <c r="AR93" s="483"/>
      <c r="AS93" s="653"/>
      <c r="AT93" s="483"/>
      <c r="AU93" s="491"/>
      <c r="AV93" s="491"/>
      <c r="AW93" s="483"/>
      <c r="AX93" s="653"/>
      <c r="AZ93" s="377" t="e">
        <f t="shared" si="64"/>
        <v>#N/A</v>
      </c>
      <c r="BA93" s="653"/>
    </row>
    <row r="94" spans="2:53">
      <c r="B94" s="635"/>
      <c r="C94" s="483">
        <v>8</v>
      </c>
      <c r="D94" s="223" t="s">
        <v>429</v>
      </c>
      <c r="E94" s="491">
        <v>16</v>
      </c>
      <c r="F94" s="483">
        <v>1440</v>
      </c>
      <c r="G94" s="484">
        <v>90</v>
      </c>
      <c r="H94" s="678"/>
      <c r="I94" s="487">
        <f t="shared" si="55"/>
        <v>16</v>
      </c>
      <c r="J94" s="487">
        <f t="shared" si="55"/>
        <v>1335.0151490586309</v>
      </c>
      <c r="K94" s="363">
        <f t="shared" si="55"/>
        <v>83.438446816164429</v>
      </c>
      <c r="L94" s="615"/>
      <c r="M94" s="489">
        <f>RANK(K94, K$87:$K$101)</f>
        <v>1</v>
      </c>
      <c r="N94" s="624"/>
      <c r="O94" s="624"/>
      <c r="P94" s="540">
        <v>16</v>
      </c>
      <c r="Q94" s="541">
        <v>1324.2105263157887</v>
      </c>
      <c r="R94" s="541">
        <v>82.763157894736793</v>
      </c>
      <c r="S94" s="540">
        <f t="shared" si="56"/>
        <v>1</v>
      </c>
      <c r="T94" s="653"/>
      <c r="U94" s="540">
        <v>16</v>
      </c>
      <c r="V94" s="541">
        <v>1337.5471698113215</v>
      </c>
      <c r="W94" s="541">
        <v>83.596698113207594</v>
      </c>
      <c r="X94" s="540">
        <f t="shared" si="58"/>
        <v>1</v>
      </c>
      <c r="Y94" s="653"/>
      <c r="Z94" s="540">
        <v>16</v>
      </c>
      <c r="AA94" s="541">
        <v>1317.8947368421063</v>
      </c>
      <c r="AB94" s="541">
        <v>82.368421052631646</v>
      </c>
      <c r="AC94" s="540">
        <f t="shared" si="60"/>
        <v>1</v>
      </c>
      <c r="AD94" s="653"/>
      <c r="AE94" s="540">
        <v>16</v>
      </c>
      <c r="AF94" s="541">
        <v>1360.4081632653065</v>
      </c>
      <c r="AG94" s="541">
        <v>85.025510204081655</v>
      </c>
      <c r="AH94" s="540">
        <f t="shared" si="62"/>
        <v>1</v>
      </c>
      <c r="AI94" s="653"/>
      <c r="AJ94" s="483"/>
      <c r="AK94" s="491"/>
      <c r="AL94" s="491"/>
      <c r="AM94" s="483"/>
      <c r="AN94" s="653"/>
      <c r="AO94" s="483"/>
      <c r="AP94" s="491"/>
      <c r="AQ94" s="491"/>
      <c r="AR94" s="483"/>
      <c r="AS94" s="653"/>
      <c r="AT94" s="483"/>
      <c r="AU94" s="491"/>
      <c r="AV94" s="491"/>
      <c r="AW94" s="483"/>
      <c r="AX94" s="653"/>
      <c r="AZ94" s="377" t="e">
        <f t="shared" si="64"/>
        <v>#N/A</v>
      </c>
      <c r="BA94" s="653"/>
    </row>
    <row r="95" spans="2:53">
      <c r="B95" s="635"/>
      <c r="C95" s="483">
        <v>9</v>
      </c>
      <c r="D95" s="223" t="s">
        <v>528</v>
      </c>
      <c r="E95" s="491">
        <v>19</v>
      </c>
      <c r="F95" s="483">
        <v>1636</v>
      </c>
      <c r="G95" s="484">
        <v>86.1</v>
      </c>
      <c r="H95" s="678"/>
      <c r="I95" s="487">
        <f t="shared" si="55"/>
        <v>19</v>
      </c>
      <c r="J95" s="487">
        <f t="shared" si="55"/>
        <v>1445.5597549799231</v>
      </c>
      <c r="K95" s="363">
        <f t="shared" si="55"/>
        <v>76.082092367364368</v>
      </c>
      <c r="L95" s="615"/>
      <c r="M95" s="489">
        <f>RANK(K95, K$87:$K$101)</f>
        <v>4</v>
      </c>
      <c r="N95" s="624"/>
      <c r="O95" s="624"/>
      <c r="P95" s="540">
        <v>19</v>
      </c>
      <c r="Q95" s="541">
        <v>1455.6782608695653</v>
      </c>
      <c r="R95" s="541">
        <v>76.614645308924494</v>
      </c>
      <c r="S95" s="540">
        <f t="shared" si="56"/>
        <v>4</v>
      </c>
      <c r="T95" s="653"/>
      <c r="U95" s="540">
        <v>19</v>
      </c>
      <c r="V95" s="541">
        <v>1449.6635294117646</v>
      </c>
      <c r="W95" s="541">
        <v>76.298080495356032</v>
      </c>
      <c r="X95" s="540">
        <f t="shared" si="58"/>
        <v>4</v>
      </c>
      <c r="Y95" s="653"/>
      <c r="Z95" s="540">
        <v>19</v>
      </c>
      <c r="AA95" s="541">
        <v>1435.2879581151833</v>
      </c>
      <c r="AB95" s="541">
        <v>75.541471479746491</v>
      </c>
      <c r="AC95" s="540">
        <f t="shared" si="60"/>
        <v>5</v>
      </c>
      <c r="AD95" s="653"/>
      <c r="AE95" s="540">
        <v>19</v>
      </c>
      <c r="AF95" s="541">
        <v>1441.6092715231784</v>
      </c>
      <c r="AG95" s="541">
        <v>75.874172185430439</v>
      </c>
      <c r="AH95" s="540">
        <f t="shared" si="62"/>
        <v>5</v>
      </c>
      <c r="AI95" s="653"/>
      <c r="AJ95" s="483"/>
      <c r="AK95" s="491"/>
      <c r="AL95" s="491"/>
      <c r="AM95" s="483"/>
      <c r="AN95" s="653"/>
      <c r="AO95" s="483"/>
      <c r="AP95" s="491"/>
      <c r="AQ95" s="491"/>
      <c r="AR95" s="483"/>
      <c r="AS95" s="653"/>
      <c r="AT95" s="483"/>
      <c r="AU95" s="491"/>
      <c r="AV95" s="491"/>
      <c r="AW95" s="483"/>
      <c r="AX95" s="653"/>
      <c r="AZ95" s="377" t="e">
        <f t="shared" si="64"/>
        <v>#N/A</v>
      </c>
      <c r="BA95" s="653"/>
    </row>
    <row r="96" spans="2:53">
      <c r="B96" s="635"/>
      <c r="C96" s="483">
        <v>10</v>
      </c>
      <c r="D96" s="223" t="s">
        <v>564</v>
      </c>
      <c r="E96" s="491">
        <v>19</v>
      </c>
      <c r="F96" s="483">
        <v>1440</v>
      </c>
      <c r="G96" s="484">
        <v>75.8</v>
      </c>
      <c r="H96" s="678"/>
      <c r="I96" s="487">
        <f t="shared" si="55"/>
        <v>18.5</v>
      </c>
      <c r="J96" s="487">
        <f t="shared" si="55"/>
        <v>1098.0584415584456</v>
      </c>
      <c r="K96" s="363">
        <f t="shared" si="55"/>
        <v>59.388414217361799</v>
      </c>
      <c r="L96" s="615"/>
      <c r="M96" s="489">
        <f>RANK(K96, K$87:$K$101)</f>
        <v>13</v>
      </c>
      <c r="N96" s="624"/>
      <c r="O96" s="624"/>
      <c r="P96" s="540">
        <v>19</v>
      </c>
      <c r="Q96" s="541">
        <v>1123.6363636363676</v>
      </c>
      <c r="R96" s="541">
        <v>59.138755980861454</v>
      </c>
      <c r="S96" s="540">
        <f t="shared" si="56"/>
        <v>13</v>
      </c>
      <c r="T96" s="653"/>
      <c r="U96" s="540">
        <v>19</v>
      </c>
      <c r="V96" s="541">
        <v>1085.4545454545491</v>
      </c>
      <c r="W96" s="541">
        <v>57.129186602871009</v>
      </c>
      <c r="X96" s="540">
        <f t="shared" si="58"/>
        <v>13</v>
      </c>
      <c r="Y96" s="653"/>
      <c r="Z96" s="540">
        <v>18</v>
      </c>
      <c r="AA96" s="541">
        <v>1086.0000000000039</v>
      </c>
      <c r="AB96" s="541">
        <v>60.333333333333549</v>
      </c>
      <c r="AC96" s="540">
        <f t="shared" si="60"/>
        <v>13</v>
      </c>
      <c r="AD96" s="653"/>
      <c r="AE96" s="540">
        <v>18</v>
      </c>
      <c r="AF96" s="541">
        <v>1097.1428571428612</v>
      </c>
      <c r="AG96" s="541">
        <v>60.952380952381176</v>
      </c>
      <c r="AH96" s="540">
        <f t="shared" si="62"/>
        <v>12</v>
      </c>
      <c r="AI96" s="653"/>
      <c r="AJ96" s="483"/>
      <c r="AK96" s="491"/>
      <c r="AL96" s="491"/>
      <c r="AM96" s="483"/>
      <c r="AN96" s="653"/>
      <c r="AO96" s="483"/>
      <c r="AP96" s="491"/>
      <c r="AQ96" s="491"/>
      <c r="AR96" s="483"/>
      <c r="AS96" s="653"/>
      <c r="AT96" s="483"/>
      <c r="AU96" s="491"/>
      <c r="AV96" s="491"/>
      <c r="AW96" s="483"/>
      <c r="AX96" s="653"/>
      <c r="AZ96" s="377" t="e">
        <f t="shared" si="64"/>
        <v>#N/A</v>
      </c>
      <c r="BA96" s="653"/>
    </row>
    <row r="97" spans="2:53">
      <c r="B97" s="635"/>
      <c r="C97" s="483">
        <v>11</v>
      </c>
      <c r="D97" s="223" t="s">
        <v>636</v>
      </c>
      <c r="E97" s="491">
        <v>17</v>
      </c>
      <c r="F97" s="483">
        <v>1440</v>
      </c>
      <c r="G97" s="484">
        <v>84.7</v>
      </c>
      <c r="H97" s="678"/>
      <c r="I97" s="487">
        <f t="shared" si="55"/>
        <v>17</v>
      </c>
      <c r="J97" s="487">
        <f t="shared" si="55"/>
        <v>1366.7409780011762</v>
      </c>
      <c r="K97" s="363">
        <f t="shared" si="55"/>
        <v>80.39652811771623</v>
      </c>
      <c r="L97" s="615"/>
      <c r="M97" s="489">
        <f>RANK(K97, K$87:$K$101)</f>
        <v>2</v>
      </c>
      <c r="N97" s="624"/>
      <c r="O97" s="624"/>
      <c r="P97" s="540">
        <v>17</v>
      </c>
      <c r="Q97" s="541">
        <v>1372.6476190476187</v>
      </c>
      <c r="R97" s="541">
        <v>80.743977591036398</v>
      </c>
      <c r="S97" s="540">
        <f t="shared" si="56"/>
        <v>2</v>
      </c>
      <c r="T97" s="653"/>
      <c r="U97" s="540">
        <v>17</v>
      </c>
      <c r="V97" s="541">
        <v>1379.3032258064511</v>
      </c>
      <c r="W97" s="541">
        <v>81.135483870967718</v>
      </c>
      <c r="X97" s="540">
        <f t="shared" si="58"/>
        <v>2</v>
      </c>
      <c r="Y97" s="653"/>
      <c r="Z97" s="540">
        <v>17</v>
      </c>
      <c r="AA97" s="541">
        <v>1346.8551724137928</v>
      </c>
      <c r="AB97" s="541">
        <v>79.226774847870161</v>
      </c>
      <c r="AC97" s="540">
        <f t="shared" si="60"/>
        <v>2</v>
      </c>
      <c r="AD97" s="653"/>
      <c r="AE97" s="540">
        <v>17</v>
      </c>
      <c r="AF97" s="541">
        <v>1368.1578947368414</v>
      </c>
      <c r="AG97" s="541">
        <v>80.479876160990671</v>
      </c>
      <c r="AH97" s="540">
        <f t="shared" si="62"/>
        <v>2</v>
      </c>
      <c r="AI97" s="653"/>
      <c r="AJ97" s="483"/>
      <c r="AK97" s="491"/>
      <c r="AL97" s="491"/>
      <c r="AM97" s="483"/>
      <c r="AN97" s="653"/>
      <c r="AO97" s="483"/>
      <c r="AP97" s="491"/>
      <c r="AQ97" s="491"/>
      <c r="AR97" s="483"/>
      <c r="AS97" s="653"/>
      <c r="AT97" s="483"/>
      <c r="AU97" s="491"/>
      <c r="AV97" s="491"/>
      <c r="AW97" s="483"/>
      <c r="AX97" s="653"/>
      <c r="AZ97" s="377" t="e">
        <f t="shared" si="64"/>
        <v>#N/A</v>
      </c>
      <c r="BA97" s="653"/>
    </row>
    <row r="98" spans="2:53">
      <c r="B98" s="635"/>
      <c r="C98" s="483">
        <v>12</v>
      </c>
      <c r="D98" s="223" t="s">
        <v>847</v>
      </c>
      <c r="E98" s="491">
        <v>19</v>
      </c>
      <c r="F98" s="483">
        <v>1440</v>
      </c>
      <c r="G98" s="484">
        <v>75.8</v>
      </c>
      <c r="H98" s="678"/>
      <c r="I98" s="487">
        <f t="shared" si="55"/>
        <v>19</v>
      </c>
      <c r="J98" s="487">
        <f t="shared" si="55"/>
        <v>1236.3362442155531</v>
      </c>
      <c r="K98" s="363">
        <f t="shared" si="55"/>
        <v>65.07032864292384</v>
      </c>
      <c r="L98" s="615"/>
      <c r="M98" s="489">
        <f>RANK(K98, K$87:$K$101)</f>
        <v>10</v>
      </c>
      <c r="N98" s="624"/>
      <c r="O98" s="624"/>
      <c r="P98" s="540">
        <v>19</v>
      </c>
      <c r="Q98" s="541">
        <v>1263.3333333333323</v>
      </c>
      <c r="R98" s="541">
        <v>66.491228070175382</v>
      </c>
      <c r="S98" s="540">
        <f t="shared" si="56"/>
        <v>11</v>
      </c>
      <c r="T98" s="653"/>
      <c r="U98" s="540">
        <v>19</v>
      </c>
      <c r="V98" s="541">
        <v>1275.4285714285702</v>
      </c>
      <c r="W98" s="541">
        <v>67.127819548872111</v>
      </c>
      <c r="X98" s="540">
        <f t="shared" si="58"/>
        <v>10</v>
      </c>
      <c r="Y98" s="653"/>
      <c r="Z98" s="540">
        <v>19</v>
      </c>
      <c r="AA98" s="541">
        <v>1287.2727272727257</v>
      </c>
      <c r="AB98" s="541">
        <v>67.751196172248726</v>
      </c>
      <c r="AC98" s="540">
        <f t="shared" si="60"/>
        <v>9</v>
      </c>
      <c r="AD98" s="653"/>
      <c r="AE98" s="540">
        <v>19</v>
      </c>
      <c r="AF98" s="541">
        <v>1119.310344827584</v>
      </c>
      <c r="AG98" s="541">
        <v>58.911070780399157</v>
      </c>
      <c r="AH98" s="540">
        <f t="shared" si="62"/>
        <v>13</v>
      </c>
      <c r="AI98" s="653"/>
      <c r="AJ98" s="483"/>
      <c r="AK98" s="491"/>
      <c r="AL98" s="491"/>
      <c r="AM98" s="483"/>
      <c r="AN98" s="653"/>
      <c r="AO98" s="483"/>
      <c r="AP98" s="491"/>
      <c r="AQ98" s="491"/>
      <c r="AR98" s="483"/>
      <c r="AS98" s="653"/>
      <c r="AT98" s="483"/>
      <c r="AU98" s="491"/>
      <c r="AV98" s="491"/>
      <c r="AW98" s="483"/>
      <c r="AX98" s="653"/>
      <c r="AZ98" s="377" t="e">
        <f t="shared" si="64"/>
        <v>#N/A</v>
      </c>
      <c r="BA98" s="653"/>
    </row>
    <row r="99" spans="2:53">
      <c r="B99" s="635"/>
      <c r="C99" s="483">
        <v>13</v>
      </c>
      <c r="D99" s="223" t="s">
        <v>848</v>
      </c>
      <c r="E99" s="491">
        <v>18</v>
      </c>
      <c r="F99" s="483">
        <v>1440</v>
      </c>
      <c r="G99" s="484">
        <v>80</v>
      </c>
      <c r="H99" s="678"/>
      <c r="I99" s="487">
        <f t="shared" si="55"/>
        <v>18</v>
      </c>
      <c r="J99" s="487">
        <f t="shared" si="55"/>
        <v>1316.4692738392628</v>
      </c>
      <c r="K99" s="363">
        <f t="shared" si="55"/>
        <v>73.137181879959059</v>
      </c>
      <c r="L99" s="615"/>
      <c r="M99" s="489">
        <f>RANK(K99, K$87:$K$101)</f>
        <v>6</v>
      </c>
      <c r="N99" s="624"/>
      <c r="O99" s="624"/>
      <c r="P99" s="540">
        <v>18</v>
      </c>
      <c r="Q99" s="541">
        <v>1304.8000000000004</v>
      </c>
      <c r="R99" s="541">
        <v>72.488888888888908</v>
      </c>
      <c r="S99" s="540">
        <f t="shared" si="56"/>
        <v>6</v>
      </c>
      <c r="T99" s="653"/>
      <c r="U99" s="540">
        <v>18</v>
      </c>
      <c r="V99" s="541">
        <v>1307.3684210526321</v>
      </c>
      <c r="W99" s="541">
        <v>72.631578947368453</v>
      </c>
      <c r="X99" s="540">
        <f t="shared" si="58"/>
        <v>6</v>
      </c>
      <c r="Y99" s="653"/>
      <c r="Z99" s="540">
        <v>18</v>
      </c>
      <c r="AA99" s="541">
        <v>1337.5384615384612</v>
      </c>
      <c r="AB99" s="541">
        <v>74.307692307692292</v>
      </c>
      <c r="AC99" s="540">
        <f t="shared" si="60"/>
        <v>6</v>
      </c>
      <c r="AD99" s="653"/>
      <c r="AE99" s="540">
        <v>18</v>
      </c>
      <c r="AF99" s="541">
        <v>1316.1702127659578</v>
      </c>
      <c r="AG99" s="541">
        <v>73.120567375886537</v>
      </c>
      <c r="AH99" s="540">
        <f t="shared" si="62"/>
        <v>6</v>
      </c>
      <c r="AI99" s="653"/>
      <c r="AJ99" s="483"/>
      <c r="AK99" s="491"/>
      <c r="AL99" s="491"/>
      <c r="AM99" s="483"/>
      <c r="AN99" s="653"/>
      <c r="AO99" s="483"/>
      <c r="AP99" s="491"/>
      <c r="AQ99" s="491"/>
      <c r="AR99" s="483"/>
      <c r="AS99" s="653"/>
      <c r="AT99" s="483"/>
      <c r="AU99" s="491"/>
      <c r="AV99" s="491"/>
      <c r="AW99" s="483"/>
      <c r="AX99" s="653"/>
      <c r="AZ99" s="377" t="e">
        <f t="shared" si="64"/>
        <v>#N/A</v>
      </c>
      <c r="BA99" s="653"/>
    </row>
    <row r="100" spans="2:53">
      <c r="B100" s="635"/>
      <c r="C100" s="483">
        <v>14</v>
      </c>
      <c r="D100" s="223"/>
      <c r="E100" s="491"/>
      <c r="F100" s="483"/>
      <c r="G100" s="484"/>
      <c r="H100" s="678"/>
      <c r="I100" s="487" t="str">
        <f t="shared" si="55"/>
        <v>-</v>
      </c>
      <c r="J100" s="487" t="str">
        <f t="shared" si="55"/>
        <v>-</v>
      </c>
      <c r="K100" s="363" t="str">
        <f t="shared" si="55"/>
        <v>-</v>
      </c>
      <c r="L100" s="615"/>
      <c r="M100" s="489" t="e">
        <f>RANK(K100, K$87:$K$101)</f>
        <v>#VALUE!</v>
      </c>
      <c r="N100" s="624"/>
      <c r="O100" s="624"/>
      <c r="P100" s="540" t="s">
        <v>427</v>
      </c>
      <c r="Q100" s="541" t="s">
        <v>427</v>
      </c>
      <c r="R100" s="541" t="s">
        <v>427</v>
      </c>
      <c r="S100" s="540" t="e">
        <f t="shared" si="56"/>
        <v>#VALUE!</v>
      </c>
      <c r="T100" s="653"/>
      <c r="U100" s="540" t="s">
        <v>427</v>
      </c>
      <c r="V100" s="541" t="s">
        <v>427</v>
      </c>
      <c r="W100" s="541" t="s">
        <v>427</v>
      </c>
      <c r="X100" s="540" t="e">
        <f t="shared" si="58"/>
        <v>#VALUE!</v>
      </c>
      <c r="Y100" s="653"/>
      <c r="Z100" s="540" t="s">
        <v>427</v>
      </c>
      <c r="AA100" s="541" t="s">
        <v>427</v>
      </c>
      <c r="AB100" s="541" t="s">
        <v>427</v>
      </c>
      <c r="AC100" s="540" t="e">
        <f t="shared" si="60"/>
        <v>#VALUE!</v>
      </c>
      <c r="AD100" s="653"/>
      <c r="AE100" s="540" t="s">
        <v>427</v>
      </c>
      <c r="AF100" s="541" t="s">
        <v>427</v>
      </c>
      <c r="AG100" s="541" t="s">
        <v>427</v>
      </c>
      <c r="AH100" s="540" t="e">
        <f t="shared" si="62"/>
        <v>#VALUE!</v>
      </c>
      <c r="AI100" s="653"/>
      <c r="AJ100" s="483"/>
      <c r="AK100" s="491"/>
      <c r="AL100" s="491"/>
      <c r="AM100" s="483"/>
      <c r="AN100" s="653"/>
      <c r="AO100" s="483"/>
      <c r="AP100" s="491"/>
      <c r="AQ100" s="491"/>
      <c r="AR100" s="483"/>
      <c r="AS100" s="653"/>
      <c r="AT100" s="483"/>
      <c r="AU100" s="491"/>
      <c r="AV100" s="491"/>
      <c r="AW100" s="483"/>
      <c r="AX100" s="653"/>
      <c r="AZ100" s="377" t="e">
        <f t="shared" si="64"/>
        <v>#N/A</v>
      </c>
      <c r="BA100" s="653"/>
    </row>
    <row r="101" spans="2:53">
      <c r="B101" s="635"/>
      <c r="C101" s="483">
        <v>15</v>
      </c>
      <c r="D101" s="223"/>
      <c r="E101" s="491"/>
      <c r="F101" s="483"/>
      <c r="G101" s="484"/>
      <c r="H101" s="679"/>
      <c r="I101" s="487" t="str">
        <f t="shared" si="55"/>
        <v>-</v>
      </c>
      <c r="J101" s="487" t="str">
        <f t="shared" si="55"/>
        <v>-</v>
      </c>
      <c r="K101" s="363" t="str">
        <f t="shared" si="55"/>
        <v>-</v>
      </c>
      <c r="L101" s="616"/>
      <c r="M101" s="489" t="e">
        <f>RANK(K101, K$87:$K$101)</f>
        <v>#VALUE!</v>
      </c>
      <c r="N101" s="624"/>
      <c r="O101" s="624"/>
      <c r="P101" s="540" t="s">
        <v>427</v>
      </c>
      <c r="Q101" s="541" t="s">
        <v>427</v>
      </c>
      <c r="R101" s="541" t="s">
        <v>427</v>
      </c>
      <c r="S101" s="540" t="e">
        <f t="shared" si="56"/>
        <v>#VALUE!</v>
      </c>
      <c r="T101" s="653"/>
      <c r="U101" s="540" t="s">
        <v>427</v>
      </c>
      <c r="V101" s="541" t="s">
        <v>427</v>
      </c>
      <c r="W101" s="541" t="s">
        <v>427</v>
      </c>
      <c r="X101" s="540" t="e">
        <f t="shared" si="58"/>
        <v>#VALUE!</v>
      </c>
      <c r="Y101" s="653"/>
      <c r="Z101" s="540" t="s">
        <v>427</v>
      </c>
      <c r="AA101" s="541" t="s">
        <v>427</v>
      </c>
      <c r="AB101" s="541" t="s">
        <v>427</v>
      </c>
      <c r="AC101" s="540" t="e">
        <f t="shared" si="60"/>
        <v>#VALUE!</v>
      </c>
      <c r="AD101" s="653"/>
      <c r="AE101" s="540" t="s">
        <v>427</v>
      </c>
      <c r="AF101" s="541" t="s">
        <v>427</v>
      </c>
      <c r="AG101" s="541" t="s">
        <v>427</v>
      </c>
      <c r="AH101" s="540" t="e">
        <f t="shared" si="62"/>
        <v>#VALUE!</v>
      </c>
      <c r="AI101" s="653"/>
      <c r="AJ101" s="483"/>
      <c r="AK101" s="491"/>
      <c r="AL101" s="491"/>
      <c r="AM101" s="483"/>
      <c r="AN101" s="653"/>
      <c r="AO101" s="483"/>
      <c r="AP101" s="491"/>
      <c r="AQ101" s="491"/>
      <c r="AR101" s="483"/>
      <c r="AS101" s="653"/>
      <c r="AT101" s="483"/>
      <c r="AU101" s="491"/>
      <c r="AV101" s="491"/>
      <c r="AW101" s="483"/>
      <c r="AX101" s="653"/>
      <c r="AZ101" s="377" t="e">
        <f t="shared" si="64"/>
        <v>#N/A</v>
      </c>
      <c r="BA101" s="653"/>
    </row>
    <row r="102" spans="2:53" ht="15.75">
      <c r="B102" s="643" t="s">
        <v>496</v>
      </c>
      <c r="C102" s="644"/>
      <c r="D102" s="644"/>
      <c r="E102" s="644"/>
      <c r="F102" s="644"/>
      <c r="G102" s="644"/>
      <c r="H102" s="645"/>
      <c r="I102" s="205"/>
      <c r="J102" s="205"/>
      <c r="K102" s="205"/>
      <c r="L102" s="205"/>
      <c r="M102" s="204"/>
      <c r="N102" s="639" t="s">
        <v>497</v>
      </c>
      <c r="O102" s="639" t="s">
        <v>498</v>
      </c>
      <c r="P102" s="634"/>
      <c r="Q102" s="635"/>
      <c r="R102" s="635"/>
      <c r="S102" s="635"/>
      <c r="T102" s="635"/>
      <c r="U102" s="636"/>
      <c r="V102" s="637"/>
      <c r="W102" s="637"/>
      <c r="X102" s="637"/>
      <c r="Y102" s="638"/>
      <c r="Z102" s="636"/>
      <c r="AA102" s="637"/>
      <c r="AB102" s="637"/>
      <c r="AC102" s="637"/>
      <c r="AD102" s="638"/>
      <c r="AE102" s="636"/>
      <c r="AF102" s="637"/>
      <c r="AG102" s="637"/>
      <c r="AH102" s="637"/>
      <c r="AI102" s="638"/>
      <c r="AJ102" s="636"/>
      <c r="AK102" s="637"/>
      <c r="AL102" s="637"/>
      <c r="AM102" s="637"/>
      <c r="AN102" s="638"/>
      <c r="AO102" s="636"/>
      <c r="AP102" s="637"/>
      <c r="AQ102" s="637"/>
      <c r="AR102" s="637"/>
      <c r="AS102" s="638"/>
      <c r="AT102" s="636"/>
      <c r="AU102" s="637"/>
      <c r="AV102" s="637"/>
      <c r="AW102" s="637"/>
      <c r="AX102" s="638"/>
    </row>
    <row r="103" spans="2:53" ht="15.75">
      <c r="B103" s="646"/>
      <c r="C103" s="646"/>
      <c r="D103" s="646"/>
      <c r="E103" s="646"/>
      <c r="F103" s="646"/>
      <c r="G103" s="646"/>
      <c r="H103" s="646"/>
      <c r="I103" s="202"/>
      <c r="J103" s="202"/>
      <c r="K103" s="202"/>
      <c r="L103" s="202"/>
      <c r="M103" s="203"/>
      <c r="N103" s="641"/>
      <c r="O103" s="641"/>
      <c r="P103" s="634" t="s">
        <v>499</v>
      </c>
      <c r="Q103" s="635"/>
      <c r="R103" s="635"/>
      <c r="S103" s="635"/>
      <c r="T103" s="635"/>
      <c r="U103" s="634" t="s">
        <v>500</v>
      </c>
      <c r="V103" s="635"/>
      <c r="W103" s="635"/>
      <c r="X103" s="635"/>
      <c r="Y103" s="635"/>
      <c r="Z103" s="634" t="s">
        <v>501</v>
      </c>
      <c r="AA103" s="635"/>
      <c r="AB103" s="635"/>
      <c r="AC103" s="635"/>
      <c r="AD103" s="635"/>
      <c r="AE103" s="634" t="s">
        <v>502</v>
      </c>
      <c r="AF103" s="635"/>
      <c r="AG103" s="635"/>
      <c r="AH103" s="635"/>
      <c r="AI103" s="635"/>
      <c r="AJ103" s="634" t="s">
        <v>503</v>
      </c>
      <c r="AK103" s="635"/>
      <c r="AL103" s="635"/>
      <c r="AM103" s="635"/>
      <c r="AN103" s="635"/>
      <c r="AO103" s="634" t="s">
        <v>504</v>
      </c>
      <c r="AP103" s="635"/>
      <c r="AQ103" s="635"/>
      <c r="AR103" s="635"/>
      <c r="AS103" s="635"/>
      <c r="AT103" s="634" t="s">
        <v>505</v>
      </c>
      <c r="AU103" s="635"/>
      <c r="AV103" s="635"/>
      <c r="AW103" s="635"/>
      <c r="AX103" s="635"/>
    </row>
    <row r="104" spans="2:53">
      <c r="B104" s="624" t="s">
        <v>506</v>
      </c>
      <c r="C104" s="624" t="s">
        <v>507</v>
      </c>
      <c r="D104" s="624"/>
      <c r="E104" s="624" t="s">
        <v>508</v>
      </c>
      <c r="F104" s="624"/>
      <c r="G104" s="624"/>
      <c r="H104" s="647" t="s">
        <v>509</v>
      </c>
      <c r="I104" s="617" t="s">
        <v>510</v>
      </c>
      <c r="J104" s="617"/>
      <c r="K104" s="617"/>
      <c r="L104" s="618" t="s">
        <v>509</v>
      </c>
      <c r="M104" s="628" t="s">
        <v>511</v>
      </c>
      <c r="N104" s="624"/>
      <c r="O104" s="624" t="s">
        <v>512</v>
      </c>
      <c r="P104" s="621" t="s">
        <v>513</v>
      </c>
      <c r="Q104" s="622"/>
      <c r="R104" s="622"/>
      <c r="S104" s="623"/>
      <c r="T104" s="624" t="s">
        <v>509</v>
      </c>
      <c r="U104" s="621" t="s">
        <v>513</v>
      </c>
      <c r="V104" s="622"/>
      <c r="W104" s="622"/>
      <c r="X104" s="623"/>
      <c r="Y104" s="624" t="s">
        <v>509</v>
      </c>
      <c r="Z104" s="621" t="s">
        <v>513</v>
      </c>
      <c r="AA104" s="622"/>
      <c r="AB104" s="622"/>
      <c r="AC104" s="623"/>
      <c r="AD104" s="624" t="s">
        <v>509</v>
      </c>
      <c r="AE104" s="621" t="s">
        <v>513</v>
      </c>
      <c r="AF104" s="622"/>
      <c r="AG104" s="622"/>
      <c r="AH104" s="623"/>
      <c r="AI104" s="624" t="s">
        <v>509</v>
      </c>
      <c r="AJ104" s="621" t="s">
        <v>513</v>
      </c>
      <c r="AK104" s="622"/>
      <c r="AL104" s="622"/>
      <c r="AM104" s="623"/>
      <c r="AN104" s="624" t="s">
        <v>509</v>
      </c>
      <c r="AO104" s="621" t="s">
        <v>513</v>
      </c>
      <c r="AP104" s="622"/>
      <c r="AQ104" s="622"/>
      <c r="AR104" s="623"/>
      <c r="AS104" s="624" t="s">
        <v>509</v>
      </c>
      <c r="AT104" s="621" t="s">
        <v>513</v>
      </c>
      <c r="AU104" s="622"/>
      <c r="AV104" s="622"/>
      <c r="AW104" s="623"/>
      <c r="AX104" s="624" t="s">
        <v>509</v>
      </c>
    </row>
    <row r="105" spans="2:53">
      <c r="B105" s="624"/>
      <c r="C105" s="624"/>
      <c r="D105" s="624"/>
      <c r="E105" s="624" t="s">
        <v>514</v>
      </c>
      <c r="F105" s="624"/>
      <c r="G105" s="624"/>
      <c r="H105" s="648"/>
      <c r="I105" s="617" t="s">
        <v>514</v>
      </c>
      <c r="J105" s="617"/>
      <c r="K105" s="617"/>
      <c r="L105" s="619"/>
      <c r="M105" s="629"/>
      <c r="N105" s="624"/>
      <c r="O105" s="624"/>
      <c r="P105" s="621" t="s">
        <v>515</v>
      </c>
      <c r="Q105" s="622"/>
      <c r="R105" s="622"/>
      <c r="S105" s="623"/>
      <c r="T105" s="624"/>
      <c r="U105" s="621" t="s">
        <v>515</v>
      </c>
      <c r="V105" s="622"/>
      <c r="W105" s="622"/>
      <c r="X105" s="623"/>
      <c r="Y105" s="624"/>
      <c r="Z105" s="621" t="s">
        <v>515</v>
      </c>
      <c r="AA105" s="622"/>
      <c r="AB105" s="622"/>
      <c r="AC105" s="623"/>
      <c r="AD105" s="624"/>
      <c r="AE105" s="621" t="s">
        <v>515</v>
      </c>
      <c r="AF105" s="622"/>
      <c r="AG105" s="622"/>
      <c r="AH105" s="623"/>
      <c r="AI105" s="624"/>
      <c r="AJ105" s="621" t="s">
        <v>515</v>
      </c>
      <c r="AK105" s="622"/>
      <c r="AL105" s="622"/>
      <c r="AM105" s="623"/>
      <c r="AN105" s="624"/>
      <c r="AO105" s="621" t="s">
        <v>515</v>
      </c>
      <c r="AP105" s="622"/>
      <c r="AQ105" s="622"/>
      <c r="AR105" s="623"/>
      <c r="AS105" s="624"/>
      <c r="AT105" s="621" t="s">
        <v>515</v>
      </c>
      <c r="AU105" s="622"/>
      <c r="AV105" s="622"/>
      <c r="AW105" s="623"/>
      <c r="AX105" s="624"/>
    </row>
    <row r="106" spans="2:53">
      <c r="B106" s="624"/>
      <c r="C106" s="624"/>
      <c r="D106" s="624"/>
      <c r="E106" s="353" t="s">
        <v>516</v>
      </c>
      <c r="F106" s="353" t="s">
        <v>517</v>
      </c>
      <c r="G106" s="353" t="s">
        <v>518</v>
      </c>
      <c r="H106" s="649"/>
      <c r="I106" s="352" t="s">
        <v>516</v>
      </c>
      <c r="J106" s="352" t="s">
        <v>517</v>
      </c>
      <c r="K106" s="352" t="s">
        <v>518</v>
      </c>
      <c r="L106" s="620"/>
      <c r="M106" s="630"/>
      <c r="N106" s="624"/>
      <c r="O106" s="624"/>
      <c r="P106" s="353" t="s">
        <v>516</v>
      </c>
      <c r="Q106" s="353" t="s">
        <v>517</v>
      </c>
      <c r="R106" s="353" t="s">
        <v>518</v>
      </c>
      <c r="S106" s="353" t="s">
        <v>511</v>
      </c>
      <c r="T106" s="624"/>
      <c r="U106" s="353" t="s">
        <v>516</v>
      </c>
      <c r="V106" s="353" t="s">
        <v>517</v>
      </c>
      <c r="W106" s="353" t="s">
        <v>518</v>
      </c>
      <c r="X106" s="353" t="s">
        <v>511</v>
      </c>
      <c r="Y106" s="624"/>
      <c r="Z106" s="353" t="s">
        <v>516</v>
      </c>
      <c r="AA106" s="353" t="s">
        <v>517</v>
      </c>
      <c r="AB106" s="353" t="s">
        <v>518</v>
      </c>
      <c r="AC106" s="353" t="s">
        <v>511</v>
      </c>
      <c r="AD106" s="624"/>
      <c r="AE106" s="353" t="s">
        <v>516</v>
      </c>
      <c r="AF106" s="353" t="s">
        <v>517</v>
      </c>
      <c r="AG106" s="353" t="s">
        <v>518</v>
      </c>
      <c r="AH106" s="353" t="s">
        <v>511</v>
      </c>
      <c r="AI106" s="624"/>
      <c r="AJ106" s="353" t="s">
        <v>516</v>
      </c>
      <c r="AK106" s="353" t="s">
        <v>517</v>
      </c>
      <c r="AL106" s="353" t="s">
        <v>518</v>
      </c>
      <c r="AM106" s="353" t="s">
        <v>511</v>
      </c>
      <c r="AN106" s="624"/>
      <c r="AO106" s="353" t="s">
        <v>516</v>
      </c>
      <c r="AP106" s="353" t="s">
        <v>517</v>
      </c>
      <c r="AQ106" s="353" t="s">
        <v>518</v>
      </c>
      <c r="AR106" s="353" t="s">
        <v>511</v>
      </c>
      <c r="AS106" s="624"/>
      <c r="AT106" s="353" t="s">
        <v>516</v>
      </c>
      <c r="AU106" s="353" t="s">
        <v>517</v>
      </c>
      <c r="AV106" s="353" t="s">
        <v>518</v>
      </c>
      <c r="AW106" s="353" t="s">
        <v>511</v>
      </c>
      <c r="AX106" s="624"/>
    </row>
    <row r="107" spans="2:53">
      <c r="B107" s="624" t="s">
        <v>527</v>
      </c>
      <c r="C107" s="354">
        <v>1</v>
      </c>
      <c r="D107" s="223"/>
      <c r="E107" s="182"/>
      <c r="F107" s="354"/>
      <c r="G107" s="362"/>
      <c r="H107" s="677" t="e">
        <f>AVERAGE(G107:G121)</f>
        <v>#DIV/0!</v>
      </c>
      <c r="I107" s="379" t="str">
        <f t="shared" ref="I107:K121" si="66">IFERROR(AVERAGE(P107,U107,Z107,AE107,AJ107,AO107,AT107),"-")</f>
        <v>-</v>
      </c>
      <c r="J107" s="379" t="str">
        <f t="shared" si="66"/>
        <v>-</v>
      </c>
      <c r="K107" s="363" t="str">
        <f t="shared" si="66"/>
        <v>-</v>
      </c>
      <c r="L107" s="614" t="str">
        <f>IFERROR(AVERAGE(K107:K121),"-")</f>
        <v>-</v>
      </c>
      <c r="M107" s="364" t="e">
        <f>RANK(K107, K$107:$K$121)</f>
        <v>#VALUE!</v>
      </c>
      <c r="N107" s="624"/>
      <c r="O107" s="624"/>
      <c r="P107" s="182"/>
      <c r="Q107" s="412"/>
      <c r="R107" s="412"/>
      <c r="S107" s="354"/>
      <c r="T107" s="677"/>
      <c r="U107" s="182"/>
      <c r="V107" s="362"/>
      <c r="W107" s="362"/>
      <c r="X107" s="354"/>
      <c r="Y107" s="677"/>
      <c r="Z107" s="182"/>
      <c r="AA107" s="362"/>
      <c r="AB107" s="362"/>
      <c r="AC107" s="354"/>
      <c r="AD107" s="677"/>
      <c r="AE107" s="182"/>
      <c r="AF107" s="362"/>
      <c r="AG107" s="362"/>
      <c r="AH107" s="354"/>
      <c r="AI107" s="677"/>
      <c r="AJ107" s="182"/>
      <c r="AK107" s="362"/>
      <c r="AL107" s="362"/>
      <c r="AM107" s="354"/>
      <c r="AN107" s="677"/>
      <c r="AO107" s="182"/>
      <c r="AP107" s="362"/>
      <c r="AQ107" s="362"/>
      <c r="AR107" s="354"/>
      <c r="AS107" s="677"/>
      <c r="AT107" s="182"/>
      <c r="AU107" s="362"/>
      <c r="AV107" s="362"/>
      <c r="AW107" s="354"/>
      <c r="AX107" s="653"/>
      <c r="AZ107" s="497" t="e">
        <f>RANK(AY107, AY$107:AY$121)</f>
        <v>#N/A</v>
      </c>
      <c r="BA107" s="677" t="e">
        <f>AVERAGE(AY107:AY121)</f>
        <v>#DIV/0!</v>
      </c>
    </row>
    <row r="108" spans="2:53">
      <c r="B108" s="635"/>
      <c r="C108" s="354">
        <v>2</v>
      </c>
      <c r="D108" s="223"/>
      <c r="E108" s="182"/>
      <c r="F108" s="354"/>
      <c r="G108" s="362"/>
      <c r="H108" s="678"/>
      <c r="I108" s="379" t="str">
        <f t="shared" si="66"/>
        <v>-</v>
      </c>
      <c r="J108" s="379" t="str">
        <f t="shared" si="66"/>
        <v>-</v>
      </c>
      <c r="K108" s="363" t="str">
        <f t="shared" si="66"/>
        <v>-</v>
      </c>
      <c r="L108" s="615"/>
      <c r="M108" s="364" t="e">
        <f>RANK(K108, K$107:$K$121)</f>
        <v>#VALUE!</v>
      </c>
      <c r="N108" s="624"/>
      <c r="O108" s="624"/>
      <c r="P108" s="411"/>
      <c r="Q108" s="412"/>
      <c r="R108" s="412"/>
      <c r="S108" s="354"/>
      <c r="T108" s="678"/>
      <c r="U108" s="354"/>
      <c r="V108" s="362"/>
      <c r="W108" s="362"/>
      <c r="X108" s="354"/>
      <c r="Y108" s="678"/>
      <c r="Z108" s="354"/>
      <c r="AA108" s="362"/>
      <c r="AB108" s="362"/>
      <c r="AC108" s="354"/>
      <c r="AD108" s="678"/>
      <c r="AE108" s="354"/>
      <c r="AF108" s="362"/>
      <c r="AG108" s="362"/>
      <c r="AH108" s="354"/>
      <c r="AI108" s="678"/>
      <c r="AJ108" s="354"/>
      <c r="AK108" s="362"/>
      <c r="AL108" s="362"/>
      <c r="AM108" s="354"/>
      <c r="AN108" s="678"/>
      <c r="AO108" s="354"/>
      <c r="AP108" s="362"/>
      <c r="AQ108" s="362"/>
      <c r="AR108" s="354"/>
      <c r="AS108" s="678"/>
      <c r="AT108" s="354"/>
      <c r="AU108" s="362"/>
      <c r="AV108" s="362"/>
      <c r="AW108" s="354"/>
      <c r="AX108" s="653"/>
      <c r="AZ108" s="497" t="e">
        <f t="shared" ref="AZ108:AZ121" si="67">RANK(AY108, AY$107:AY$121)</f>
        <v>#N/A</v>
      </c>
      <c r="BA108" s="678"/>
    </row>
    <row r="109" spans="2:53">
      <c r="B109" s="635"/>
      <c r="C109" s="354">
        <v>3</v>
      </c>
      <c r="D109" s="223"/>
      <c r="E109" s="182"/>
      <c r="F109" s="354"/>
      <c r="G109" s="362"/>
      <c r="H109" s="678"/>
      <c r="I109" s="379" t="str">
        <f t="shared" si="66"/>
        <v>-</v>
      </c>
      <c r="J109" s="379" t="str">
        <f t="shared" si="66"/>
        <v>-</v>
      </c>
      <c r="K109" s="363" t="str">
        <f t="shared" si="66"/>
        <v>-</v>
      </c>
      <c r="L109" s="615"/>
      <c r="M109" s="364" t="e">
        <f>RANK(K109, K$107:$K$121)</f>
        <v>#VALUE!</v>
      </c>
      <c r="N109" s="624"/>
      <c r="O109" s="624"/>
      <c r="P109" s="411"/>
      <c r="Q109" s="412"/>
      <c r="R109" s="412"/>
      <c r="S109" s="354"/>
      <c r="T109" s="678"/>
      <c r="U109" s="354"/>
      <c r="V109" s="362"/>
      <c r="W109" s="362"/>
      <c r="X109" s="354"/>
      <c r="Y109" s="678"/>
      <c r="Z109" s="354"/>
      <c r="AA109" s="362"/>
      <c r="AB109" s="362"/>
      <c r="AC109" s="354"/>
      <c r="AD109" s="678"/>
      <c r="AE109" s="354"/>
      <c r="AF109" s="362"/>
      <c r="AG109" s="362"/>
      <c r="AH109" s="354"/>
      <c r="AI109" s="678"/>
      <c r="AJ109" s="354"/>
      <c r="AK109" s="362"/>
      <c r="AL109" s="362"/>
      <c r="AM109" s="354"/>
      <c r="AN109" s="678"/>
      <c r="AO109" s="354"/>
      <c r="AP109" s="362"/>
      <c r="AQ109" s="362"/>
      <c r="AR109" s="354"/>
      <c r="AS109" s="678"/>
      <c r="AT109" s="354"/>
      <c r="AU109" s="362"/>
      <c r="AV109" s="362"/>
      <c r="AW109" s="354"/>
      <c r="AX109" s="653"/>
      <c r="AZ109" s="497" t="e">
        <f t="shared" si="67"/>
        <v>#N/A</v>
      </c>
      <c r="BA109" s="678"/>
    </row>
    <row r="110" spans="2:53">
      <c r="B110" s="635"/>
      <c r="C110" s="354">
        <v>4</v>
      </c>
      <c r="D110" s="223"/>
      <c r="E110" s="182"/>
      <c r="F110" s="354"/>
      <c r="G110" s="362"/>
      <c r="H110" s="678"/>
      <c r="I110" s="379" t="str">
        <f t="shared" si="66"/>
        <v>-</v>
      </c>
      <c r="J110" s="379" t="str">
        <f t="shared" si="66"/>
        <v>-</v>
      </c>
      <c r="K110" s="363" t="str">
        <f t="shared" si="66"/>
        <v>-</v>
      </c>
      <c r="L110" s="615"/>
      <c r="M110" s="364" t="e">
        <f>RANK(K110, K$107:$K$121)</f>
        <v>#VALUE!</v>
      </c>
      <c r="N110" s="624"/>
      <c r="O110" s="624"/>
      <c r="P110" s="411"/>
      <c r="Q110" s="412"/>
      <c r="R110" s="412"/>
      <c r="S110" s="354"/>
      <c r="T110" s="678"/>
      <c r="U110" s="354"/>
      <c r="V110" s="362"/>
      <c r="W110" s="362"/>
      <c r="X110" s="354"/>
      <c r="Y110" s="678"/>
      <c r="Z110" s="354"/>
      <c r="AA110" s="362"/>
      <c r="AB110" s="362"/>
      <c r="AC110" s="354"/>
      <c r="AD110" s="678"/>
      <c r="AE110" s="354"/>
      <c r="AF110" s="362"/>
      <c r="AG110" s="362"/>
      <c r="AH110" s="354"/>
      <c r="AI110" s="678"/>
      <c r="AJ110" s="354"/>
      <c r="AK110" s="362"/>
      <c r="AL110" s="362"/>
      <c r="AM110" s="354"/>
      <c r="AN110" s="678"/>
      <c r="AO110" s="354"/>
      <c r="AP110" s="362"/>
      <c r="AQ110" s="362"/>
      <c r="AR110" s="354"/>
      <c r="AS110" s="678"/>
      <c r="AT110" s="354"/>
      <c r="AU110" s="362"/>
      <c r="AV110" s="362"/>
      <c r="AW110" s="354"/>
      <c r="AX110" s="653"/>
      <c r="AZ110" s="497" t="e">
        <f t="shared" si="67"/>
        <v>#N/A</v>
      </c>
      <c r="BA110" s="678"/>
    </row>
    <row r="111" spans="2:53">
      <c r="B111" s="635"/>
      <c r="C111" s="354">
        <v>5</v>
      </c>
      <c r="D111" s="223"/>
      <c r="E111" s="182"/>
      <c r="F111" s="354"/>
      <c r="G111" s="362"/>
      <c r="H111" s="678"/>
      <c r="I111" s="379" t="str">
        <f t="shared" si="66"/>
        <v>-</v>
      </c>
      <c r="J111" s="379" t="str">
        <f t="shared" si="66"/>
        <v>-</v>
      </c>
      <c r="K111" s="363" t="str">
        <f t="shared" si="66"/>
        <v>-</v>
      </c>
      <c r="L111" s="615"/>
      <c r="M111" s="364" t="e">
        <f>RANK(K111, K$107:$K$121)</f>
        <v>#VALUE!</v>
      </c>
      <c r="N111" s="624"/>
      <c r="O111" s="624"/>
      <c r="P111" s="411"/>
      <c r="Q111" s="412"/>
      <c r="R111" s="412"/>
      <c r="S111" s="354"/>
      <c r="T111" s="678"/>
      <c r="U111" s="354"/>
      <c r="V111" s="362"/>
      <c r="W111" s="362"/>
      <c r="X111" s="354"/>
      <c r="Y111" s="678"/>
      <c r="Z111" s="354"/>
      <c r="AA111" s="362"/>
      <c r="AB111" s="362"/>
      <c r="AC111" s="354"/>
      <c r="AD111" s="678"/>
      <c r="AE111" s="354"/>
      <c r="AF111" s="362"/>
      <c r="AG111" s="362"/>
      <c r="AH111" s="354"/>
      <c r="AI111" s="678"/>
      <c r="AJ111" s="354"/>
      <c r="AK111" s="362"/>
      <c r="AL111" s="362"/>
      <c r="AM111" s="354"/>
      <c r="AN111" s="678"/>
      <c r="AO111" s="354"/>
      <c r="AP111" s="362"/>
      <c r="AQ111" s="362"/>
      <c r="AR111" s="354"/>
      <c r="AS111" s="678"/>
      <c r="AT111" s="354"/>
      <c r="AU111" s="362"/>
      <c r="AV111" s="362"/>
      <c r="AW111" s="354"/>
      <c r="AX111" s="653"/>
      <c r="AZ111" s="497" t="e">
        <f t="shared" si="67"/>
        <v>#N/A</v>
      </c>
      <c r="BA111" s="678"/>
    </row>
    <row r="112" spans="2:53">
      <c r="B112" s="635"/>
      <c r="C112" s="354">
        <v>6</v>
      </c>
      <c r="D112" s="223"/>
      <c r="E112" s="182"/>
      <c r="F112" s="354"/>
      <c r="G112" s="362"/>
      <c r="H112" s="678"/>
      <c r="I112" s="379" t="str">
        <f t="shared" si="66"/>
        <v>-</v>
      </c>
      <c r="J112" s="379" t="str">
        <f t="shared" si="66"/>
        <v>-</v>
      </c>
      <c r="K112" s="363" t="str">
        <f t="shared" si="66"/>
        <v>-</v>
      </c>
      <c r="L112" s="615"/>
      <c r="M112" s="364" t="e">
        <f>RANK(K112, K$107:$K$121)</f>
        <v>#VALUE!</v>
      </c>
      <c r="N112" s="624"/>
      <c r="O112" s="624"/>
      <c r="P112" s="411"/>
      <c r="Q112" s="412"/>
      <c r="R112" s="412"/>
      <c r="S112" s="354"/>
      <c r="T112" s="678"/>
      <c r="U112" s="354"/>
      <c r="V112" s="362"/>
      <c r="W112" s="362"/>
      <c r="X112" s="354"/>
      <c r="Y112" s="678"/>
      <c r="Z112" s="354"/>
      <c r="AA112" s="362"/>
      <c r="AB112" s="362"/>
      <c r="AC112" s="354"/>
      <c r="AD112" s="678"/>
      <c r="AE112" s="354"/>
      <c r="AF112" s="362"/>
      <c r="AG112" s="362"/>
      <c r="AH112" s="354"/>
      <c r="AI112" s="678"/>
      <c r="AJ112" s="354"/>
      <c r="AK112" s="362"/>
      <c r="AL112" s="362"/>
      <c r="AM112" s="354"/>
      <c r="AN112" s="678"/>
      <c r="AO112" s="354"/>
      <c r="AP112" s="362"/>
      <c r="AQ112" s="362"/>
      <c r="AR112" s="354"/>
      <c r="AS112" s="678"/>
      <c r="AT112" s="354"/>
      <c r="AU112" s="362"/>
      <c r="AV112" s="362"/>
      <c r="AW112" s="354"/>
      <c r="AX112" s="653"/>
      <c r="AZ112" s="497" t="e">
        <f t="shared" si="67"/>
        <v>#N/A</v>
      </c>
      <c r="BA112" s="678"/>
    </row>
    <row r="113" spans="2:53">
      <c r="B113" s="635"/>
      <c r="C113" s="354">
        <v>7</v>
      </c>
      <c r="D113" s="223"/>
      <c r="E113" s="182"/>
      <c r="F113" s="354"/>
      <c r="G113" s="362"/>
      <c r="H113" s="678"/>
      <c r="I113" s="379" t="str">
        <f t="shared" si="66"/>
        <v>-</v>
      </c>
      <c r="J113" s="379" t="str">
        <f t="shared" si="66"/>
        <v>-</v>
      </c>
      <c r="K113" s="363" t="str">
        <f t="shared" si="66"/>
        <v>-</v>
      </c>
      <c r="L113" s="615"/>
      <c r="M113" s="364" t="e">
        <f>RANK(K113, K$107:$K$121)</f>
        <v>#VALUE!</v>
      </c>
      <c r="N113" s="624"/>
      <c r="O113" s="624"/>
      <c r="P113" s="411"/>
      <c r="Q113" s="412"/>
      <c r="R113" s="412"/>
      <c r="S113" s="354"/>
      <c r="T113" s="678"/>
      <c r="U113" s="354"/>
      <c r="V113" s="362"/>
      <c r="W113" s="362"/>
      <c r="X113" s="354"/>
      <c r="Y113" s="678"/>
      <c r="Z113" s="354"/>
      <c r="AA113" s="362"/>
      <c r="AB113" s="362"/>
      <c r="AC113" s="354"/>
      <c r="AD113" s="678"/>
      <c r="AE113" s="354"/>
      <c r="AF113" s="362"/>
      <c r="AG113" s="362"/>
      <c r="AH113" s="354"/>
      <c r="AI113" s="678"/>
      <c r="AJ113" s="354"/>
      <c r="AK113" s="362"/>
      <c r="AL113" s="362"/>
      <c r="AM113" s="354"/>
      <c r="AN113" s="678"/>
      <c r="AO113" s="354"/>
      <c r="AP113" s="362"/>
      <c r="AQ113" s="362"/>
      <c r="AR113" s="354"/>
      <c r="AS113" s="678"/>
      <c r="AT113" s="354"/>
      <c r="AU113" s="362"/>
      <c r="AV113" s="362"/>
      <c r="AW113" s="354"/>
      <c r="AX113" s="653"/>
      <c r="AZ113" s="497" t="e">
        <f t="shared" si="67"/>
        <v>#N/A</v>
      </c>
      <c r="BA113" s="678"/>
    </row>
    <row r="114" spans="2:53">
      <c r="B114" s="635"/>
      <c r="C114" s="354">
        <v>8</v>
      </c>
      <c r="D114" s="223"/>
      <c r="E114" s="182"/>
      <c r="F114" s="354"/>
      <c r="G114" s="362"/>
      <c r="H114" s="678"/>
      <c r="I114" s="379" t="str">
        <f t="shared" si="66"/>
        <v>-</v>
      </c>
      <c r="J114" s="379" t="str">
        <f t="shared" si="66"/>
        <v>-</v>
      </c>
      <c r="K114" s="363" t="str">
        <f t="shared" si="66"/>
        <v>-</v>
      </c>
      <c r="L114" s="615"/>
      <c r="M114" s="364" t="e">
        <f>RANK(K114, K$107:$K$121)</f>
        <v>#VALUE!</v>
      </c>
      <c r="N114" s="624"/>
      <c r="O114" s="624"/>
      <c r="P114" s="411"/>
      <c r="Q114" s="412"/>
      <c r="R114" s="412"/>
      <c r="S114" s="354"/>
      <c r="T114" s="678"/>
      <c r="U114" s="354"/>
      <c r="V114" s="362"/>
      <c r="W114" s="362"/>
      <c r="X114" s="354"/>
      <c r="Y114" s="678"/>
      <c r="Z114" s="354"/>
      <c r="AA114" s="362"/>
      <c r="AB114" s="362"/>
      <c r="AC114" s="354"/>
      <c r="AD114" s="678"/>
      <c r="AE114" s="354"/>
      <c r="AF114" s="362"/>
      <c r="AG114" s="362"/>
      <c r="AH114" s="354"/>
      <c r="AI114" s="678"/>
      <c r="AJ114" s="354"/>
      <c r="AK114" s="362"/>
      <c r="AL114" s="362"/>
      <c r="AM114" s="354"/>
      <c r="AN114" s="678"/>
      <c r="AO114" s="354"/>
      <c r="AP114" s="362"/>
      <c r="AQ114" s="362"/>
      <c r="AR114" s="354"/>
      <c r="AS114" s="678"/>
      <c r="AT114" s="354"/>
      <c r="AU114" s="362"/>
      <c r="AV114" s="362"/>
      <c r="AW114" s="354"/>
      <c r="AX114" s="653"/>
      <c r="AZ114" s="497" t="e">
        <f t="shared" si="67"/>
        <v>#N/A</v>
      </c>
      <c r="BA114" s="678"/>
    </row>
    <row r="115" spans="2:53">
      <c r="B115" s="635"/>
      <c r="C115" s="354">
        <v>9</v>
      </c>
      <c r="D115" s="223"/>
      <c r="E115" s="182"/>
      <c r="F115" s="354"/>
      <c r="G115" s="362"/>
      <c r="H115" s="678"/>
      <c r="I115" s="379" t="str">
        <f t="shared" si="66"/>
        <v>-</v>
      </c>
      <c r="J115" s="379" t="str">
        <f t="shared" si="66"/>
        <v>-</v>
      </c>
      <c r="K115" s="363" t="str">
        <f t="shared" si="66"/>
        <v>-</v>
      </c>
      <c r="L115" s="615"/>
      <c r="M115" s="364" t="e">
        <f>RANK(K115, K$107:$K$121)</f>
        <v>#VALUE!</v>
      </c>
      <c r="N115" s="624"/>
      <c r="O115" s="624"/>
      <c r="P115" s="411"/>
      <c r="Q115" s="412"/>
      <c r="R115" s="412"/>
      <c r="S115" s="354"/>
      <c r="T115" s="678"/>
      <c r="U115" s="354"/>
      <c r="V115" s="362"/>
      <c r="W115" s="362"/>
      <c r="X115" s="354"/>
      <c r="Y115" s="678"/>
      <c r="Z115" s="354"/>
      <c r="AA115" s="362"/>
      <c r="AB115" s="362"/>
      <c r="AC115" s="354"/>
      <c r="AD115" s="678"/>
      <c r="AE115" s="354"/>
      <c r="AF115" s="362"/>
      <c r="AG115" s="362"/>
      <c r="AH115" s="354"/>
      <c r="AI115" s="678"/>
      <c r="AJ115" s="354"/>
      <c r="AK115" s="362"/>
      <c r="AL115" s="362"/>
      <c r="AM115" s="354"/>
      <c r="AN115" s="678"/>
      <c r="AO115" s="354"/>
      <c r="AP115" s="362"/>
      <c r="AQ115" s="362"/>
      <c r="AR115" s="354"/>
      <c r="AS115" s="678"/>
      <c r="AT115" s="354"/>
      <c r="AU115" s="362"/>
      <c r="AV115" s="362"/>
      <c r="AW115" s="354"/>
      <c r="AX115" s="653"/>
      <c r="AZ115" s="497" t="e">
        <f t="shared" si="67"/>
        <v>#N/A</v>
      </c>
      <c r="BA115" s="678"/>
    </row>
    <row r="116" spans="2:53">
      <c r="B116" s="635"/>
      <c r="C116" s="354">
        <v>10</v>
      </c>
      <c r="D116" s="223"/>
      <c r="E116" s="182"/>
      <c r="F116" s="354"/>
      <c r="G116" s="362"/>
      <c r="H116" s="678"/>
      <c r="I116" s="379" t="str">
        <f t="shared" si="66"/>
        <v>-</v>
      </c>
      <c r="J116" s="379" t="str">
        <f t="shared" si="66"/>
        <v>-</v>
      </c>
      <c r="K116" s="363" t="str">
        <f t="shared" si="66"/>
        <v>-</v>
      </c>
      <c r="L116" s="615"/>
      <c r="M116" s="364" t="e">
        <f>RANK(K116, K$107:$K$121)</f>
        <v>#VALUE!</v>
      </c>
      <c r="N116" s="624"/>
      <c r="O116" s="624"/>
      <c r="P116" s="411"/>
      <c r="Q116" s="412"/>
      <c r="R116" s="412"/>
      <c r="S116" s="354"/>
      <c r="T116" s="678"/>
      <c r="U116" s="354"/>
      <c r="V116" s="362"/>
      <c r="W116" s="362"/>
      <c r="X116" s="354"/>
      <c r="Y116" s="678"/>
      <c r="Z116" s="354"/>
      <c r="AA116" s="362"/>
      <c r="AB116" s="362"/>
      <c r="AC116" s="354"/>
      <c r="AD116" s="678"/>
      <c r="AE116" s="354"/>
      <c r="AF116" s="362"/>
      <c r="AG116" s="362"/>
      <c r="AH116" s="354"/>
      <c r="AI116" s="678"/>
      <c r="AJ116" s="354"/>
      <c r="AK116" s="362"/>
      <c r="AL116" s="362"/>
      <c r="AM116" s="354"/>
      <c r="AN116" s="678"/>
      <c r="AO116" s="354"/>
      <c r="AP116" s="362"/>
      <c r="AQ116" s="362"/>
      <c r="AR116" s="354"/>
      <c r="AS116" s="678"/>
      <c r="AT116" s="354"/>
      <c r="AU116" s="362"/>
      <c r="AV116" s="362"/>
      <c r="AW116" s="354"/>
      <c r="AX116" s="653"/>
      <c r="AZ116" s="497" t="e">
        <f t="shared" si="67"/>
        <v>#N/A</v>
      </c>
      <c r="BA116" s="678"/>
    </row>
    <row r="117" spans="2:53">
      <c r="B117" s="635"/>
      <c r="C117" s="354">
        <v>11</v>
      </c>
      <c r="D117" s="223"/>
      <c r="E117" s="182"/>
      <c r="F117" s="354"/>
      <c r="G117" s="362"/>
      <c r="H117" s="678"/>
      <c r="I117" s="379" t="str">
        <f t="shared" si="66"/>
        <v>-</v>
      </c>
      <c r="J117" s="379" t="str">
        <f t="shared" si="66"/>
        <v>-</v>
      </c>
      <c r="K117" s="363" t="str">
        <f t="shared" si="66"/>
        <v>-</v>
      </c>
      <c r="L117" s="615"/>
      <c r="M117" s="364" t="e">
        <f>RANK(K117, K$107:$K$121)</f>
        <v>#VALUE!</v>
      </c>
      <c r="N117" s="624"/>
      <c r="O117" s="624"/>
      <c r="P117" s="411"/>
      <c r="Q117" s="412"/>
      <c r="R117" s="412"/>
      <c r="S117" s="354"/>
      <c r="T117" s="678"/>
      <c r="U117" s="354"/>
      <c r="V117" s="362"/>
      <c r="W117" s="362"/>
      <c r="X117" s="354"/>
      <c r="Y117" s="678"/>
      <c r="Z117" s="354"/>
      <c r="AA117" s="362"/>
      <c r="AB117" s="362"/>
      <c r="AC117" s="354"/>
      <c r="AD117" s="678"/>
      <c r="AE117" s="354"/>
      <c r="AF117" s="362"/>
      <c r="AG117" s="362"/>
      <c r="AH117" s="354"/>
      <c r="AI117" s="678"/>
      <c r="AJ117" s="354"/>
      <c r="AK117" s="362"/>
      <c r="AL117" s="362"/>
      <c r="AM117" s="354"/>
      <c r="AN117" s="678"/>
      <c r="AO117" s="354"/>
      <c r="AP117" s="362"/>
      <c r="AQ117" s="362"/>
      <c r="AR117" s="354"/>
      <c r="AS117" s="678"/>
      <c r="AT117" s="354"/>
      <c r="AU117" s="362"/>
      <c r="AV117" s="362"/>
      <c r="AW117" s="354"/>
      <c r="AX117" s="653"/>
      <c r="AZ117" s="497" t="e">
        <f t="shared" si="67"/>
        <v>#N/A</v>
      </c>
      <c r="BA117" s="678"/>
    </row>
    <row r="118" spans="2:53">
      <c r="B118" s="635"/>
      <c r="C118" s="354">
        <v>12</v>
      </c>
      <c r="D118" s="223"/>
      <c r="E118" s="182"/>
      <c r="F118" s="354"/>
      <c r="G118" s="362"/>
      <c r="H118" s="678"/>
      <c r="I118" s="379" t="str">
        <f t="shared" si="66"/>
        <v>-</v>
      </c>
      <c r="J118" s="379" t="str">
        <f t="shared" si="66"/>
        <v>-</v>
      </c>
      <c r="K118" s="363" t="str">
        <f t="shared" si="66"/>
        <v>-</v>
      </c>
      <c r="L118" s="615"/>
      <c r="M118" s="364" t="e">
        <f>RANK(K118, K$107:$K$121)</f>
        <v>#VALUE!</v>
      </c>
      <c r="N118" s="624"/>
      <c r="O118" s="624"/>
      <c r="P118" s="411"/>
      <c r="Q118" s="412"/>
      <c r="R118" s="412"/>
      <c r="S118" s="354"/>
      <c r="T118" s="678"/>
      <c r="U118" s="354"/>
      <c r="V118" s="362"/>
      <c r="W118" s="362"/>
      <c r="X118" s="354"/>
      <c r="Y118" s="678"/>
      <c r="Z118" s="354"/>
      <c r="AA118" s="362"/>
      <c r="AB118" s="362"/>
      <c r="AC118" s="354"/>
      <c r="AD118" s="678"/>
      <c r="AE118" s="354"/>
      <c r="AF118" s="362"/>
      <c r="AG118" s="362"/>
      <c r="AH118" s="354"/>
      <c r="AI118" s="678"/>
      <c r="AJ118" s="354"/>
      <c r="AK118" s="362"/>
      <c r="AL118" s="362"/>
      <c r="AM118" s="354"/>
      <c r="AN118" s="678"/>
      <c r="AO118" s="354"/>
      <c r="AP118" s="362"/>
      <c r="AQ118" s="362"/>
      <c r="AR118" s="354"/>
      <c r="AS118" s="678"/>
      <c r="AT118" s="354"/>
      <c r="AU118" s="362"/>
      <c r="AV118" s="362"/>
      <c r="AW118" s="354"/>
      <c r="AX118" s="653"/>
      <c r="AZ118" s="497" t="e">
        <f t="shared" si="67"/>
        <v>#N/A</v>
      </c>
      <c r="BA118" s="678"/>
    </row>
    <row r="119" spans="2:53">
      <c r="B119" s="635"/>
      <c r="C119" s="354">
        <v>13</v>
      </c>
      <c r="D119" s="223"/>
      <c r="E119" s="182"/>
      <c r="F119" s="354"/>
      <c r="G119" s="362"/>
      <c r="H119" s="678"/>
      <c r="I119" s="379" t="str">
        <f t="shared" si="66"/>
        <v>-</v>
      </c>
      <c r="J119" s="379" t="str">
        <f t="shared" si="66"/>
        <v>-</v>
      </c>
      <c r="K119" s="363" t="str">
        <f t="shared" si="66"/>
        <v>-</v>
      </c>
      <c r="L119" s="615"/>
      <c r="M119" s="364" t="e">
        <f>RANK(K119, K$107:$K$121)</f>
        <v>#VALUE!</v>
      </c>
      <c r="N119" s="624"/>
      <c r="O119" s="624"/>
      <c r="P119" s="411"/>
      <c r="Q119" s="412"/>
      <c r="R119" s="412"/>
      <c r="S119" s="354"/>
      <c r="T119" s="678"/>
      <c r="U119" s="354"/>
      <c r="V119" s="362"/>
      <c r="W119" s="362"/>
      <c r="X119" s="354"/>
      <c r="Y119" s="678"/>
      <c r="Z119" s="354"/>
      <c r="AA119" s="362"/>
      <c r="AB119" s="362"/>
      <c r="AC119" s="354"/>
      <c r="AD119" s="678"/>
      <c r="AE119" s="354"/>
      <c r="AF119" s="362"/>
      <c r="AG119" s="362"/>
      <c r="AH119" s="354"/>
      <c r="AI119" s="678"/>
      <c r="AJ119" s="354"/>
      <c r="AK119" s="362"/>
      <c r="AL119" s="362"/>
      <c r="AM119" s="354"/>
      <c r="AN119" s="678"/>
      <c r="AO119" s="354"/>
      <c r="AP119" s="362"/>
      <c r="AQ119" s="362"/>
      <c r="AR119" s="354"/>
      <c r="AS119" s="678"/>
      <c r="AT119" s="354"/>
      <c r="AU119" s="362"/>
      <c r="AV119" s="362"/>
      <c r="AW119" s="354"/>
      <c r="AX119" s="653"/>
      <c r="AZ119" s="497" t="e">
        <f t="shared" si="67"/>
        <v>#N/A</v>
      </c>
      <c r="BA119" s="678"/>
    </row>
    <row r="120" spans="2:53">
      <c r="B120" s="635"/>
      <c r="C120" s="354">
        <v>14</v>
      </c>
      <c r="D120" s="223"/>
      <c r="E120" s="182"/>
      <c r="F120" s="354"/>
      <c r="G120" s="362"/>
      <c r="H120" s="678"/>
      <c r="I120" s="379" t="str">
        <f t="shared" si="66"/>
        <v>-</v>
      </c>
      <c r="J120" s="379" t="str">
        <f t="shared" si="66"/>
        <v>-</v>
      </c>
      <c r="K120" s="363" t="str">
        <f t="shared" si="66"/>
        <v>-</v>
      </c>
      <c r="L120" s="615"/>
      <c r="M120" s="364" t="e">
        <f>RANK(K120, K$107:$K$121)</f>
        <v>#VALUE!</v>
      </c>
      <c r="N120" s="624"/>
      <c r="O120" s="624"/>
      <c r="P120" s="411"/>
      <c r="Q120" s="412"/>
      <c r="R120" s="412"/>
      <c r="S120" s="354"/>
      <c r="T120" s="678"/>
      <c r="U120" s="354"/>
      <c r="V120" s="362"/>
      <c r="W120" s="362"/>
      <c r="X120" s="354"/>
      <c r="Y120" s="678"/>
      <c r="Z120" s="354"/>
      <c r="AA120" s="362"/>
      <c r="AB120" s="362"/>
      <c r="AC120" s="354"/>
      <c r="AD120" s="678"/>
      <c r="AE120" s="354"/>
      <c r="AF120" s="362"/>
      <c r="AG120" s="362"/>
      <c r="AH120" s="354"/>
      <c r="AI120" s="678"/>
      <c r="AJ120" s="354"/>
      <c r="AK120" s="362"/>
      <c r="AL120" s="362"/>
      <c r="AM120" s="354"/>
      <c r="AN120" s="678"/>
      <c r="AO120" s="354"/>
      <c r="AP120" s="362"/>
      <c r="AQ120" s="362"/>
      <c r="AR120" s="354"/>
      <c r="AS120" s="678"/>
      <c r="AT120" s="354"/>
      <c r="AU120" s="362"/>
      <c r="AV120" s="362"/>
      <c r="AW120" s="354"/>
      <c r="AX120" s="653"/>
      <c r="AZ120" s="497" t="e">
        <f t="shared" si="67"/>
        <v>#N/A</v>
      </c>
      <c r="BA120" s="678"/>
    </row>
    <row r="121" spans="2:53">
      <c r="B121" s="635"/>
      <c r="C121" s="354">
        <v>15</v>
      </c>
      <c r="D121" s="223"/>
      <c r="E121" s="182"/>
      <c r="F121" s="354"/>
      <c r="G121" s="362"/>
      <c r="H121" s="679"/>
      <c r="I121" s="379" t="str">
        <f t="shared" si="66"/>
        <v>-</v>
      </c>
      <c r="J121" s="379" t="str">
        <f t="shared" si="66"/>
        <v>-</v>
      </c>
      <c r="K121" s="363" t="str">
        <f t="shared" si="66"/>
        <v>-</v>
      </c>
      <c r="L121" s="616"/>
      <c r="M121" s="364" t="e">
        <f>RANK(K121, K$107:$K$121)</f>
        <v>#VALUE!</v>
      </c>
      <c r="N121" s="624"/>
      <c r="O121" s="624"/>
      <c r="P121" s="411"/>
      <c r="Q121" s="412"/>
      <c r="R121" s="412"/>
      <c r="S121" s="354"/>
      <c r="T121" s="679"/>
      <c r="U121" s="354"/>
      <c r="V121" s="362"/>
      <c r="W121" s="362"/>
      <c r="X121" s="354"/>
      <c r="Y121" s="679"/>
      <c r="Z121" s="354"/>
      <c r="AA121" s="362"/>
      <c r="AB121" s="362"/>
      <c r="AC121" s="354"/>
      <c r="AD121" s="679"/>
      <c r="AE121" s="354"/>
      <c r="AF121" s="362"/>
      <c r="AG121" s="362"/>
      <c r="AH121" s="354"/>
      <c r="AI121" s="679"/>
      <c r="AJ121" s="354"/>
      <c r="AK121" s="362"/>
      <c r="AL121" s="362"/>
      <c r="AM121" s="354"/>
      <c r="AN121" s="679"/>
      <c r="AO121" s="354"/>
      <c r="AP121" s="362"/>
      <c r="AQ121" s="362"/>
      <c r="AR121" s="354"/>
      <c r="AS121" s="679"/>
      <c r="AT121" s="354"/>
      <c r="AU121" s="362"/>
      <c r="AV121" s="362"/>
      <c r="AW121" s="354"/>
      <c r="AX121" s="653"/>
      <c r="AZ121" s="497" t="e">
        <f t="shared" si="67"/>
        <v>#N/A</v>
      </c>
      <c r="BA121" s="679"/>
    </row>
    <row r="123" spans="2:53" ht="15.75">
      <c r="B123" s="666" t="s">
        <v>520</v>
      </c>
      <c r="C123" s="667"/>
      <c r="D123" s="667"/>
      <c r="E123" s="667"/>
      <c r="F123" s="667"/>
      <c r="G123" s="667"/>
      <c r="H123" s="668"/>
      <c r="I123" s="286"/>
      <c r="J123" s="286"/>
      <c r="K123" s="286"/>
      <c r="L123" s="286"/>
      <c r="M123" s="287"/>
    </row>
    <row r="124" spans="2:53" ht="15.75">
      <c r="B124" s="669"/>
      <c r="C124" s="669"/>
      <c r="D124" s="669"/>
      <c r="E124" s="669"/>
      <c r="F124" s="669"/>
      <c r="G124" s="669"/>
      <c r="H124" s="669"/>
      <c r="I124" s="360"/>
      <c r="J124" s="360"/>
      <c r="K124" s="360"/>
      <c r="L124" s="360"/>
      <c r="M124" s="289"/>
    </row>
    <row r="125" spans="2:53">
      <c r="B125" s="624" t="s">
        <v>506</v>
      </c>
      <c r="C125" s="624" t="s">
        <v>507</v>
      </c>
      <c r="D125" s="624"/>
      <c r="E125" s="624" t="s">
        <v>508</v>
      </c>
      <c r="F125" s="624"/>
      <c r="G125" s="624"/>
      <c r="H125" s="647" t="s">
        <v>509</v>
      </c>
      <c r="I125" s="670" t="s">
        <v>510</v>
      </c>
      <c r="J125" s="670"/>
      <c r="K125" s="670"/>
      <c r="L125" s="683" t="s">
        <v>509</v>
      </c>
      <c r="M125" s="686" t="s">
        <v>511</v>
      </c>
    </row>
    <row r="126" spans="2:53">
      <c r="B126" s="624"/>
      <c r="C126" s="624"/>
      <c r="D126" s="624"/>
      <c r="E126" s="624" t="s">
        <v>514</v>
      </c>
      <c r="F126" s="624"/>
      <c r="G126" s="624"/>
      <c r="H126" s="648"/>
      <c r="I126" s="670" t="s">
        <v>514</v>
      </c>
      <c r="J126" s="670"/>
      <c r="K126" s="670"/>
      <c r="L126" s="684"/>
      <c r="M126" s="687"/>
    </row>
    <row r="127" spans="2:53">
      <c r="B127" s="624"/>
      <c r="C127" s="624"/>
      <c r="D127" s="624"/>
      <c r="E127" s="353" t="s">
        <v>516</v>
      </c>
      <c r="F127" s="353" t="s">
        <v>517</v>
      </c>
      <c r="G127" s="353" t="s">
        <v>518</v>
      </c>
      <c r="H127" s="649"/>
      <c r="I127" s="361" t="s">
        <v>516</v>
      </c>
      <c r="J127" s="361" t="s">
        <v>517</v>
      </c>
      <c r="K127" s="361" t="s">
        <v>518</v>
      </c>
      <c r="L127" s="685"/>
      <c r="M127" s="688"/>
    </row>
    <row r="128" spans="2:53">
      <c r="B128" s="624" t="s">
        <v>527</v>
      </c>
      <c r="C128" s="354">
        <v>1</v>
      </c>
      <c r="D128" s="223"/>
      <c r="E128" s="182"/>
      <c r="F128" s="354"/>
      <c r="G128" s="362"/>
      <c r="H128" s="677" t="e">
        <f>AVERAGE(G128:G142)</f>
        <v>#DIV/0!</v>
      </c>
      <c r="I128" s="365" t="e">
        <f t="shared" ref="I128:K135" si="68">AVERAGEIF($D$7:$D$121,$D128,I$7:I$121)</f>
        <v>#DIV/0!</v>
      </c>
      <c r="J128" s="365" t="e">
        <f t="shared" si="68"/>
        <v>#DIV/0!</v>
      </c>
      <c r="K128" s="365" t="e">
        <f t="shared" si="68"/>
        <v>#DIV/0!</v>
      </c>
      <c r="L128" s="680" t="e">
        <f>AVERAGE(K128:K142)</f>
        <v>#DIV/0!</v>
      </c>
      <c r="M128" s="365" t="e">
        <f>RANK(K128, K$128:$K$142)</f>
        <v>#DIV/0!</v>
      </c>
    </row>
    <row r="129" spans="2:13" s="108" customFormat="1">
      <c r="B129" s="635"/>
      <c r="C129" s="354">
        <v>2</v>
      </c>
      <c r="D129" s="223"/>
      <c r="E129" s="182"/>
      <c r="F129" s="354"/>
      <c r="G129" s="362"/>
      <c r="H129" s="678"/>
      <c r="I129" s="365" t="e">
        <f t="shared" si="68"/>
        <v>#DIV/0!</v>
      </c>
      <c r="J129" s="365" t="e">
        <f t="shared" si="68"/>
        <v>#DIV/0!</v>
      </c>
      <c r="K129" s="365" t="e">
        <f t="shared" si="68"/>
        <v>#DIV/0!</v>
      </c>
      <c r="L129" s="681"/>
      <c r="M129" s="365" t="e">
        <f>RANK(K129, K$128:$K$142)</f>
        <v>#DIV/0!</v>
      </c>
    </row>
    <row r="130" spans="2:13" s="108" customFormat="1">
      <c r="B130" s="635"/>
      <c r="C130" s="354">
        <v>3</v>
      </c>
      <c r="D130" s="223"/>
      <c r="E130" s="182"/>
      <c r="F130" s="354"/>
      <c r="G130" s="362"/>
      <c r="H130" s="678"/>
      <c r="I130" s="365" t="e">
        <f t="shared" si="68"/>
        <v>#DIV/0!</v>
      </c>
      <c r="J130" s="365" t="e">
        <f t="shared" si="68"/>
        <v>#DIV/0!</v>
      </c>
      <c r="K130" s="365" t="e">
        <f t="shared" si="68"/>
        <v>#DIV/0!</v>
      </c>
      <c r="L130" s="681"/>
      <c r="M130" s="365" t="e">
        <f>RANK(K130, K$128:$K$142)</f>
        <v>#DIV/0!</v>
      </c>
    </row>
    <row r="131" spans="2:13" s="108" customFormat="1">
      <c r="B131" s="635"/>
      <c r="C131" s="354">
        <v>4</v>
      </c>
      <c r="D131" s="223"/>
      <c r="E131" s="182"/>
      <c r="F131" s="354"/>
      <c r="G131" s="362"/>
      <c r="H131" s="678"/>
      <c r="I131" s="365" t="e">
        <f t="shared" si="68"/>
        <v>#DIV/0!</v>
      </c>
      <c r="J131" s="365" t="e">
        <f t="shared" si="68"/>
        <v>#DIV/0!</v>
      </c>
      <c r="K131" s="365" t="e">
        <f t="shared" si="68"/>
        <v>#DIV/0!</v>
      </c>
      <c r="L131" s="681"/>
      <c r="M131" s="365" t="e">
        <f>RANK(K131, K$128:$K$142)</f>
        <v>#DIV/0!</v>
      </c>
    </row>
    <row r="132" spans="2:13" s="108" customFormat="1">
      <c r="B132" s="635"/>
      <c r="C132" s="354">
        <v>5</v>
      </c>
      <c r="D132" s="223"/>
      <c r="E132" s="182"/>
      <c r="F132" s="354"/>
      <c r="G132" s="362"/>
      <c r="H132" s="678"/>
      <c r="I132" s="365" t="e">
        <f t="shared" si="68"/>
        <v>#DIV/0!</v>
      </c>
      <c r="J132" s="365" t="e">
        <f t="shared" si="68"/>
        <v>#DIV/0!</v>
      </c>
      <c r="K132" s="365" t="e">
        <f t="shared" si="68"/>
        <v>#DIV/0!</v>
      </c>
      <c r="L132" s="681"/>
      <c r="M132" s="365" t="e">
        <f>RANK(K132, K$128:$K$142)</f>
        <v>#DIV/0!</v>
      </c>
    </row>
    <row r="133" spans="2:13" s="108" customFormat="1">
      <c r="B133" s="635"/>
      <c r="C133" s="354">
        <v>6</v>
      </c>
      <c r="D133" s="291"/>
      <c r="E133" s="182"/>
      <c r="F133" s="354"/>
      <c r="G133" s="362"/>
      <c r="H133" s="678"/>
      <c r="I133" s="365" t="e">
        <f t="shared" si="68"/>
        <v>#DIV/0!</v>
      </c>
      <c r="J133" s="365" t="e">
        <f t="shared" si="68"/>
        <v>#DIV/0!</v>
      </c>
      <c r="K133" s="365" t="e">
        <f t="shared" si="68"/>
        <v>#DIV/0!</v>
      </c>
      <c r="L133" s="681"/>
      <c r="M133" s="365" t="e">
        <f>RANK(K133, K$128:$K$142)</f>
        <v>#DIV/0!</v>
      </c>
    </row>
    <row r="134" spans="2:13" s="108" customFormat="1">
      <c r="B134" s="635"/>
      <c r="C134" s="354">
        <v>7</v>
      </c>
      <c r="D134" s="223"/>
      <c r="E134" s="182"/>
      <c r="F134" s="354"/>
      <c r="G134" s="362"/>
      <c r="H134" s="678"/>
      <c r="I134" s="365" t="e">
        <f t="shared" si="68"/>
        <v>#DIV/0!</v>
      </c>
      <c r="J134" s="365" t="e">
        <f t="shared" si="68"/>
        <v>#DIV/0!</v>
      </c>
      <c r="K134" s="365" t="e">
        <f t="shared" si="68"/>
        <v>#DIV/0!</v>
      </c>
      <c r="L134" s="681"/>
      <c r="M134" s="365" t="e">
        <f>RANK(K134, K$128:$K$142)</f>
        <v>#DIV/0!</v>
      </c>
    </row>
    <row r="135" spans="2:13" s="108" customFormat="1">
      <c r="B135" s="635"/>
      <c r="C135" s="354">
        <v>8</v>
      </c>
      <c r="D135" s="223"/>
      <c r="E135" s="182"/>
      <c r="F135" s="354"/>
      <c r="G135" s="362"/>
      <c r="H135" s="678"/>
      <c r="I135" s="365" t="e">
        <f t="shared" si="68"/>
        <v>#DIV/0!</v>
      </c>
      <c r="J135" s="365" t="e">
        <f t="shared" si="68"/>
        <v>#DIV/0!</v>
      </c>
      <c r="K135" s="365" t="e">
        <f t="shared" si="68"/>
        <v>#DIV/0!</v>
      </c>
      <c r="L135" s="681"/>
      <c r="M135" s="365" t="e">
        <f>RANK(K135, K$128:$K$142)</f>
        <v>#DIV/0!</v>
      </c>
    </row>
    <row r="136" spans="2:13" s="108" customFormat="1">
      <c r="B136" s="635"/>
      <c r="C136" s="354">
        <v>9</v>
      </c>
      <c r="D136" s="223"/>
      <c r="E136" s="354"/>
      <c r="F136" s="354"/>
      <c r="G136" s="354"/>
      <c r="H136" s="678"/>
      <c r="I136" s="365"/>
      <c r="J136" s="365"/>
      <c r="K136" s="365"/>
      <c r="L136" s="681"/>
      <c r="M136" s="365" t="e">
        <f>RANK(K136, K$128:$K$142)</f>
        <v>#DIV/0!</v>
      </c>
    </row>
    <row r="137" spans="2:13" s="108" customFormat="1">
      <c r="B137" s="635"/>
      <c r="C137" s="354">
        <v>10</v>
      </c>
      <c r="D137" s="223"/>
      <c r="E137" s="354"/>
      <c r="F137" s="354"/>
      <c r="G137" s="354"/>
      <c r="H137" s="678"/>
      <c r="I137" s="365"/>
      <c r="J137" s="365"/>
      <c r="K137" s="365"/>
      <c r="L137" s="681"/>
      <c r="M137" s="365" t="e">
        <f>RANK(K137, K$128:$K$142)</f>
        <v>#DIV/0!</v>
      </c>
    </row>
    <row r="138" spans="2:13" s="108" customFormat="1">
      <c r="B138" s="635"/>
      <c r="C138" s="354">
        <v>11</v>
      </c>
      <c r="D138" s="223"/>
      <c r="E138" s="354"/>
      <c r="F138" s="354"/>
      <c r="G138" s="354"/>
      <c r="H138" s="678"/>
      <c r="I138" s="365"/>
      <c r="J138" s="365"/>
      <c r="K138" s="365"/>
      <c r="L138" s="681"/>
      <c r="M138" s="365" t="e">
        <f>RANK(K138, K$128:$K$142)</f>
        <v>#DIV/0!</v>
      </c>
    </row>
    <row r="139" spans="2:13" s="108" customFormat="1">
      <c r="B139" s="635"/>
      <c r="C139" s="354">
        <v>12</v>
      </c>
      <c r="D139" s="223"/>
      <c r="E139" s="354"/>
      <c r="F139" s="354"/>
      <c r="G139" s="354"/>
      <c r="H139" s="678"/>
      <c r="I139" s="365"/>
      <c r="J139" s="365"/>
      <c r="K139" s="365"/>
      <c r="L139" s="681"/>
      <c r="M139" s="365" t="e">
        <f>RANK(K139, K$128:$K$142)</f>
        <v>#DIV/0!</v>
      </c>
    </row>
    <row r="140" spans="2:13" s="108" customFormat="1">
      <c r="B140" s="635"/>
      <c r="C140" s="354">
        <v>13</v>
      </c>
      <c r="D140" s="223"/>
      <c r="E140" s="354"/>
      <c r="F140" s="354"/>
      <c r="G140" s="354"/>
      <c r="H140" s="678"/>
      <c r="I140" s="365"/>
      <c r="J140" s="365"/>
      <c r="K140" s="365"/>
      <c r="L140" s="681"/>
      <c r="M140" s="365" t="e">
        <f>RANK(K140, K$128:$K$142)</f>
        <v>#DIV/0!</v>
      </c>
    </row>
    <row r="141" spans="2:13" s="108" customFormat="1">
      <c r="B141" s="635"/>
      <c r="C141" s="354">
        <v>14</v>
      </c>
      <c r="D141" s="223"/>
      <c r="E141" s="354"/>
      <c r="F141" s="354"/>
      <c r="G141" s="354"/>
      <c r="H141" s="678"/>
      <c r="I141" s="365"/>
      <c r="J141" s="365"/>
      <c r="K141" s="365"/>
      <c r="L141" s="681"/>
      <c r="M141" s="365" t="e">
        <f>RANK(K141, K$128:$K$142)</f>
        <v>#DIV/0!</v>
      </c>
    </row>
    <row r="142" spans="2:13" s="108" customFormat="1">
      <c r="B142" s="635"/>
      <c r="C142" s="354">
        <v>15</v>
      </c>
      <c r="D142" s="223"/>
      <c r="E142" s="354"/>
      <c r="F142" s="354"/>
      <c r="G142" s="354"/>
      <c r="H142" s="679"/>
      <c r="I142" s="365"/>
      <c r="J142" s="365"/>
      <c r="K142" s="365"/>
      <c r="L142" s="682"/>
      <c r="M142" s="365" t="e">
        <f>RANK(K142, K$128:$K$142)</f>
        <v>#DIV/0!</v>
      </c>
    </row>
  </sheetData>
  <mergeCells count="372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T65:AW65"/>
    <mergeCell ref="AO64:AR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Y64:Y66"/>
    <mergeCell ref="Z64:AC64"/>
    <mergeCell ref="AX64:AX66"/>
    <mergeCell ref="E65:G65"/>
    <mergeCell ref="B84:B86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P84:S84"/>
    <mergeCell ref="T84:T86"/>
    <mergeCell ref="U84:X84"/>
    <mergeCell ref="U64:X64"/>
    <mergeCell ref="I65:K65"/>
    <mergeCell ref="P65:S65"/>
    <mergeCell ref="U65:X65"/>
    <mergeCell ref="Z65:AC65"/>
    <mergeCell ref="Y87:Y101"/>
    <mergeCell ref="AD87:AD101"/>
    <mergeCell ref="AI87:AI101"/>
    <mergeCell ref="AE84:AH84"/>
    <mergeCell ref="AI84:AI86"/>
    <mergeCell ref="Z84:AC84"/>
    <mergeCell ref="AD64:AD66"/>
    <mergeCell ref="AE64:AH64"/>
    <mergeCell ref="AI64:AI66"/>
    <mergeCell ref="C64:D66"/>
    <mergeCell ref="AS67:AS81"/>
    <mergeCell ref="H64:H66"/>
    <mergeCell ref="I64:K64"/>
    <mergeCell ref="L64:L66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E64:G64"/>
    <mergeCell ref="AO65:AR65"/>
    <mergeCell ref="AJ64:AM64"/>
    <mergeCell ref="AE65:AH65"/>
    <mergeCell ref="AJ65:AM65"/>
    <mergeCell ref="M64:M66"/>
    <mergeCell ref="N64:N81"/>
    <mergeCell ref="O64:O81"/>
    <mergeCell ref="P64:S64"/>
    <mergeCell ref="T64:T66"/>
    <mergeCell ref="BA27:BA41"/>
    <mergeCell ref="BA47:BA61"/>
    <mergeCell ref="BA67:BA8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S64:AS66"/>
    <mergeCell ref="AT64:AW64"/>
    <mergeCell ref="B64:B66"/>
    <mergeCell ref="BA87:BA101"/>
    <mergeCell ref="BA107:BA12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5:AH85"/>
    <mergeCell ref="Z85:AC85"/>
    <mergeCell ref="Y84:Y8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CC"/>
  </sheetPr>
  <dimension ref="A1:BB142"/>
  <sheetViews>
    <sheetView topLeftCell="A34" zoomScale="40" zoomScaleNormal="40" workbookViewId="0">
      <pane xSplit="15" topLeftCell="P1" activePane="topRight" state="frozen"/>
      <selection activeCell="AX87" sqref="P87:AX101"/>
      <selection pane="topRight" activeCell="T87" activeCellId="3" sqref="AH87:AI101 AC87:AD101 X87:Y101 S87:T10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18" t="s">
        <v>307</v>
      </c>
      <c r="C1" s="217">
        <f>AVERAGE(L7,L27,L47,L67,L87,L107)</f>
        <v>78.155523716202509</v>
      </c>
    </row>
    <row r="2" spans="1:54" ht="15.75">
      <c r="A2" s="81"/>
      <c r="B2" s="643" t="s">
        <v>496</v>
      </c>
      <c r="C2" s="643"/>
      <c r="D2" s="643"/>
      <c r="E2" s="643"/>
      <c r="F2" s="643"/>
      <c r="G2" s="643"/>
      <c r="H2" s="643"/>
      <c r="I2" s="355"/>
      <c r="J2" s="355"/>
      <c r="K2" s="355"/>
      <c r="L2" s="355"/>
      <c r="M2" s="197"/>
      <c r="N2" s="639" t="s">
        <v>497</v>
      </c>
      <c r="O2" s="639" t="s">
        <v>498</v>
      </c>
      <c r="P2" s="634"/>
      <c r="Q2" s="635"/>
      <c r="R2" s="635"/>
      <c r="S2" s="635"/>
      <c r="T2" s="635"/>
      <c r="U2" s="636">
        <v>46204</v>
      </c>
      <c r="V2" s="637"/>
      <c r="W2" s="637"/>
      <c r="X2" s="637"/>
      <c r="Y2" s="638"/>
      <c r="Z2" s="636">
        <f>U2+1</f>
        <v>46205</v>
      </c>
      <c r="AA2" s="637"/>
      <c r="AB2" s="637"/>
      <c r="AC2" s="637"/>
      <c r="AD2" s="638"/>
      <c r="AE2" s="636">
        <f>Z2+1</f>
        <v>46206</v>
      </c>
      <c r="AF2" s="637"/>
      <c r="AG2" s="637"/>
      <c r="AH2" s="637"/>
      <c r="AI2" s="638"/>
      <c r="AJ2" s="636">
        <f>AE2+1</f>
        <v>46207</v>
      </c>
      <c r="AK2" s="637"/>
      <c r="AL2" s="637"/>
      <c r="AM2" s="637"/>
      <c r="AN2" s="638"/>
      <c r="AO2" s="636">
        <f>AJ2+1</f>
        <v>46208</v>
      </c>
      <c r="AP2" s="637"/>
      <c r="AQ2" s="637"/>
      <c r="AR2" s="637"/>
      <c r="AS2" s="638"/>
      <c r="AT2" s="636">
        <f>AO2+1</f>
        <v>46209</v>
      </c>
      <c r="AU2" s="637"/>
      <c r="AV2" s="637"/>
      <c r="AW2" s="637"/>
      <c r="AX2" s="638"/>
    </row>
    <row r="3" spans="1:54" ht="15.75">
      <c r="A3" s="81"/>
      <c r="B3" s="659"/>
      <c r="C3" s="659"/>
      <c r="D3" s="659"/>
      <c r="E3" s="659"/>
      <c r="F3" s="659"/>
      <c r="G3" s="659"/>
      <c r="H3" s="659"/>
      <c r="I3" s="356"/>
      <c r="J3" s="356"/>
      <c r="K3" s="356"/>
      <c r="L3" s="356"/>
      <c r="M3" s="198"/>
      <c r="N3" s="641"/>
      <c r="O3" s="641"/>
      <c r="P3" s="636" t="s">
        <v>499</v>
      </c>
      <c r="Q3" s="637"/>
      <c r="R3" s="637"/>
      <c r="S3" s="637"/>
      <c r="T3" s="638"/>
      <c r="U3" s="636" t="s">
        <v>500</v>
      </c>
      <c r="V3" s="637"/>
      <c r="W3" s="637"/>
      <c r="X3" s="637"/>
      <c r="Y3" s="638"/>
      <c r="Z3" s="636" t="s">
        <v>501</v>
      </c>
      <c r="AA3" s="637"/>
      <c r="AB3" s="637"/>
      <c r="AC3" s="637"/>
      <c r="AD3" s="638"/>
      <c r="AE3" s="636" t="s">
        <v>502</v>
      </c>
      <c r="AF3" s="637"/>
      <c r="AG3" s="637"/>
      <c r="AH3" s="637"/>
      <c r="AI3" s="638"/>
      <c r="AJ3" s="636" t="s">
        <v>503</v>
      </c>
      <c r="AK3" s="637"/>
      <c r="AL3" s="637"/>
      <c r="AM3" s="637"/>
      <c r="AN3" s="638"/>
      <c r="AO3" s="636" t="s">
        <v>504</v>
      </c>
      <c r="AP3" s="637"/>
      <c r="AQ3" s="637"/>
      <c r="AR3" s="637"/>
      <c r="AS3" s="638"/>
      <c r="AT3" s="636" t="s">
        <v>505</v>
      </c>
      <c r="AU3" s="637"/>
      <c r="AV3" s="637"/>
      <c r="AW3" s="637"/>
      <c r="AX3" s="638"/>
    </row>
    <row r="4" spans="1:54" ht="14.25">
      <c r="A4" s="81"/>
      <c r="B4" s="624" t="s">
        <v>463</v>
      </c>
      <c r="C4" s="624" t="s">
        <v>761</v>
      </c>
      <c r="D4" s="624"/>
      <c r="E4" s="624" t="s">
        <v>762</v>
      </c>
      <c r="F4" s="624"/>
      <c r="G4" s="624"/>
      <c r="H4" s="647" t="s">
        <v>763</v>
      </c>
      <c r="I4" s="617" t="s">
        <v>764</v>
      </c>
      <c r="J4" s="617"/>
      <c r="K4" s="617"/>
      <c r="L4" s="618" t="s">
        <v>763</v>
      </c>
      <c r="M4" s="628" t="s">
        <v>773</v>
      </c>
      <c r="N4" s="624"/>
      <c r="O4" s="624" t="s">
        <v>469</v>
      </c>
      <c r="P4" s="621" t="s">
        <v>457</v>
      </c>
      <c r="Q4" s="622"/>
      <c r="R4" s="622"/>
      <c r="S4" s="623"/>
      <c r="T4" s="624" t="s">
        <v>579</v>
      </c>
      <c r="U4" s="621" t="s">
        <v>578</v>
      </c>
      <c r="V4" s="622"/>
      <c r="W4" s="622"/>
      <c r="X4" s="623"/>
      <c r="Y4" s="624" t="s">
        <v>454</v>
      </c>
      <c r="Z4" s="621" t="s">
        <v>576</v>
      </c>
      <c r="AA4" s="622"/>
      <c r="AB4" s="622"/>
      <c r="AC4" s="623"/>
      <c r="AD4" s="624" t="s">
        <v>637</v>
      </c>
      <c r="AE4" s="621" t="s">
        <v>457</v>
      </c>
      <c r="AF4" s="622"/>
      <c r="AG4" s="622"/>
      <c r="AH4" s="623"/>
      <c r="AI4" s="624" t="s">
        <v>579</v>
      </c>
      <c r="AJ4" s="621" t="s">
        <v>577</v>
      </c>
      <c r="AK4" s="622"/>
      <c r="AL4" s="622"/>
      <c r="AM4" s="623"/>
      <c r="AN4" s="624" t="s">
        <v>573</v>
      </c>
      <c r="AO4" s="621" t="s">
        <v>599</v>
      </c>
      <c r="AP4" s="622"/>
      <c r="AQ4" s="622"/>
      <c r="AR4" s="623"/>
      <c r="AS4" s="624" t="s">
        <v>573</v>
      </c>
      <c r="AT4" s="621" t="s">
        <v>638</v>
      </c>
      <c r="AU4" s="622"/>
      <c r="AV4" s="622"/>
      <c r="AW4" s="623"/>
      <c r="AX4" s="624" t="s">
        <v>454</v>
      </c>
    </row>
    <row r="5" spans="1:54" ht="14.25">
      <c r="A5" s="81"/>
      <c r="B5" s="624"/>
      <c r="C5" s="624"/>
      <c r="D5" s="624"/>
      <c r="E5" s="624" t="s">
        <v>765</v>
      </c>
      <c r="F5" s="624"/>
      <c r="G5" s="624"/>
      <c r="H5" s="648"/>
      <c r="I5" s="617" t="s">
        <v>765</v>
      </c>
      <c r="J5" s="617"/>
      <c r="K5" s="617"/>
      <c r="L5" s="619"/>
      <c r="M5" s="629"/>
      <c r="N5" s="624"/>
      <c r="O5" s="624"/>
      <c r="P5" s="621" t="s">
        <v>580</v>
      </c>
      <c r="Q5" s="622"/>
      <c r="R5" s="622"/>
      <c r="S5" s="623"/>
      <c r="T5" s="624"/>
      <c r="U5" s="621" t="s">
        <v>606</v>
      </c>
      <c r="V5" s="622"/>
      <c r="W5" s="622"/>
      <c r="X5" s="623"/>
      <c r="Y5" s="624"/>
      <c r="Z5" s="621" t="s">
        <v>370</v>
      </c>
      <c r="AA5" s="622"/>
      <c r="AB5" s="622"/>
      <c r="AC5" s="623"/>
      <c r="AD5" s="624"/>
      <c r="AE5" s="621" t="s">
        <v>580</v>
      </c>
      <c r="AF5" s="622"/>
      <c r="AG5" s="622"/>
      <c r="AH5" s="623"/>
      <c r="AI5" s="624"/>
      <c r="AJ5" s="621" t="s">
        <v>606</v>
      </c>
      <c r="AK5" s="622"/>
      <c r="AL5" s="622"/>
      <c r="AM5" s="623"/>
      <c r="AN5" s="624"/>
      <c r="AO5" s="621" t="s">
        <v>370</v>
      </c>
      <c r="AP5" s="622"/>
      <c r="AQ5" s="622"/>
      <c r="AR5" s="623"/>
      <c r="AS5" s="624"/>
      <c r="AT5" s="621" t="s">
        <v>580</v>
      </c>
      <c r="AU5" s="622"/>
      <c r="AV5" s="622"/>
      <c r="AW5" s="623"/>
      <c r="AX5" s="624"/>
    </row>
    <row r="6" spans="1:54" ht="14.25">
      <c r="A6" s="79"/>
      <c r="B6" s="624"/>
      <c r="C6" s="624"/>
      <c r="D6" s="624"/>
      <c r="E6" s="482" t="s">
        <v>766</v>
      </c>
      <c r="F6" s="482" t="s">
        <v>767</v>
      </c>
      <c r="G6" s="482" t="s">
        <v>768</v>
      </c>
      <c r="H6" s="649"/>
      <c r="I6" s="481" t="s">
        <v>766</v>
      </c>
      <c r="J6" s="481" t="s">
        <v>767</v>
      </c>
      <c r="K6" s="481" t="s">
        <v>768</v>
      </c>
      <c r="L6" s="620"/>
      <c r="M6" s="630"/>
      <c r="N6" s="624"/>
      <c r="O6" s="624"/>
      <c r="P6" s="413" t="s">
        <v>610</v>
      </c>
      <c r="Q6" s="413" t="s">
        <v>372</v>
      </c>
      <c r="R6" s="413" t="s">
        <v>611</v>
      </c>
      <c r="S6" s="413" t="s">
        <v>639</v>
      </c>
      <c r="T6" s="624"/>
      <c r="U6" s="413" t="s">
        <v>585</v>
      </c>
      <c r="V6" s="413" t="s">
        <v>586</v>
      </c>
      <c r="W6" s="413" t="s">
        <v>587</v>
      </c>
      <c r="X6" s="413" t="s">
        <v>640</v>
      </c>
      <c r="Y6" s="624"/>
      <c r="Z6" s="413" t="s">
        <v>443</v>
      </c>
      <c r="AA6" s="413" t="s">
        <v>613</v>
      </c>
      <c r="AB6" s="413" t="s">
        <v>641</v>
      </c>
      <c r="AC6" s="413" t="s">
        <v>368</v>
      </c>
      <c r="AD6" s="624"/>
      <c r="AE6" s="413" t="s">
        <v>583</v>
      </c>
      <c r="AF6" s="413" t="s">
        <v>607</v>
      </c>
      <c r="AG6" s="413" t="s">
        <v>445</v>
      </c>
      <c r="AH6" s="413" t="s">
        <v>608</v>
      </c>
      <c r="AI6" s="624"/>
      <c r="AJ6" s="413" t="s">
        <v>642</v>
      </c>
      <c r="AK6" s="413" t="s">
        <v>372</v>
      </c>
      <c r="AL6" s="413" t="s">
        <v>611</v>
      </c>
      <c r="AM6" s="413" t="s">
        <v>639</v>
      </c>
      <c r="AN6" s="624"/>
      <c r="AO6" s="413" t="s">
        <v>585</v>
      </c>
      <c r="AP6" s="413" t="s">
        <v>586</v>
      </c>
      <c r="AQ6" s="413" t="s">
        <v>587</v>
      </c>
      <c r="AR6" s="413" t="s">
        <v>643</v>
      </c>
      <c r="AS6" s="624"/>
      <c r="AT6" s="413" t="s">
        <v>443</v>
      </c>
      <c r="AU6" s="413" t="s">
        <v>613</v>
      </c>
      <c r="AV6" s="413" t="s">
        <v>584</v>
      </c>
      <c r="AW6" s="413" t="s">
        <v>368</v>
      </c>
      <c r="AX6" s="624"/>
    </row>
    <row r="7" spans="1:54" ht="14.25">
      <c r="A7" s="81"/>
      <c r="B7" s="624" t="s">
        <v>135</v>
      </c>
      <c r="C7" s="483">
        <v>1</v>
      </c>
      <c r="D7" s="223" t="s">
        <v>649</v>
      </c>
      <c r="E7" s="538">
        <v>17</v>
      </c>
      <c r="F7" s="529">
        <v>1565</v>
      </c>
      <c r="G7" s="530">
        <v>92.058823529411768</v>
      </c>
      <c r="H7" s="677">
        <f>AVERAGE(G7:G21)</f>
        <v>87.390780873753016</v>
      </c>
      <c r="I7" s="487">
        <f t="shared" ref="I7:K20" si="0">IFERROR(AVERAGE(P7,U7,Z7,AE7,AJ7,AO7,AT7),"-")</f>
        <v>17</v>
      </c>
      <c r="J7" s="487">
        <f t="shared" si="0"/>
        <v>1340.8393785683365</v>
      </c>
      <c r="K7" s="363">
        <f t="shared" si="0"/>
        <v>78.872904621666848</v>
      </c>
      <c r="L7" s="614">
        <f>IFERROR(AVERAGE(K7:K21),"-")</f>
        <v>78.126710583707023</v>
      </c>
      <c r="M7" s="489">
        <f>RANK(K7, K$7:$K$21)</f>
        <v>3</v>
      </c>
      <c r="N7" s="624"/>
      <c r="O7" s="624"/>
      <c r="P7" s="411"/>
      <c r="Q7" s="182"/>
      <c r="R7" s="182"/>
      <c r="S7" s="182"/>
      <c r="T7" s="642"/>
      <c r="U7" s="529">
        <v>17</v>
      </c>
      <c r="V7" s="538">
        <v>1343.8618705035972</v>
      </c>
      <c r="W7" s="538">
        <v>79.050698264917486</v>
      </c>
      <c r="X7" s="529">
        <v>4</v>
      </c>
      <c r="Y7" s="653">
        <v>78.169998225944596</v>
      </c>
      <c r="Z7" s="529">
        <v>17</v>
      </c>
      <c r="AA7" s="538">
        <v>1334.1724137931028</v>
      </c>
      <c r="AB7" s="538">
        <v>78.4807302231237</v>
      </c>
      <c r="AC7" s="529">
        <v>2</v>
      </c>
      <c r="AD7" s="653">
        <v>77.820030172112951</v>
      </c>
      <c r="AE7" s="529">
        <v>17</v>
      </c>
      <c r="AF7" s="538">
        <v>1342.9565217391307</v>
      </c>
      <c r="AG7" s="538">
        <v>78.997442455242989</v>
      </c>
      <c r="AH7" s="529">
        <v>3</v>
      </c>
      <c r="AI7" s="653">
        <v>77.856541025556652</v>
      </c>
      <c r="AJ7" s="529">
        <v>17</v>
      </c>
      <c r="AK7" s="538">
        <v>1328.4729729729727</v>
      </c>
      <c r="AL7" s="538">
        <v>78.145468998410152</v>
      </c>
      <c r="AM7" s="529">
        <v>2</v>
      </c>
      <c r="AN7" s="653">
        <v>77.648528122033568</v>
      </c>
      <c r="AO7" s="529">
        <v>17</v>
      </c>
      <c r="AP7" s="538">
        <v>1335.3510638297871</v>
      </c>
      <c r="AQ7" s="538">
        <v>78.550062578222764</v>
      </c>
      <c r="AR7" s="529">
        <v>3</v>
      </c>
      <c r="AS7" s="653">
        <v>78.119246268400317</v>
      </c>
      <c r="AT7" s="529">
        <v>17</v>
      </c>
      <c r="AU7" s="538">
        <v>1360.221428571429</v>
      </c>
      <c r="AV7" s="538">
        <v>80.013025210084052</v>
      </c>
      <c r="AW7" s="529">
        <v>2</v>
      </c>
      <c r="AX7" s="653">
        <v>77.719411933194351</v>
      </c>
      <c r="AZ7" s="432" t="e">
        <f>RANK(AY7, AY$7:AY$21)</f>
        <v>#N/A</v>
      </c>
      <c r="BA7" s="653" t="e">
        <f t="shared" ref="BA7" si="1">AVERAGE(AY7:AY21)</f>
        <v>#DIV/0!</v>
      </c>
      <c r="BB7" s="433" t="e">
        <f>RANK(AZ7, $K$7:AZ$21)</f>
        <v>#N/A</v>
      </c>
    </row>
    <row r="8" spans="1:54" ht="15" customHeight="1">
      <c r="A8" s="81"/>
      <c r="B8" s="661"/>
      <c r="C8" s="483">
        <v>2</v>
      </c>
      <c r="D8" s="223" t="s">
        <v>663</v>
      </c>
      <c r="E8" s="538">
        <v>18</v>
      </c>
      <c r="F8" s="529">
        <v>1565</v>
      </c>
      <c r="G8" s="530">
        <v>86.944444444444443</v>
      </c>
      <c r="H8" s="678"/>
      <c r="I8" s="487">
        <f t="shared" si="0"/>
        <v>18</v>
      </c>
      <c r="J8" s="487">
        <f t="shared" si="0"/>
        <v>1426.6666666666667</v>
      </c>
      <c r="K8" s="363">
        <f t="shared" si="0"/>
        <v>79.259259259259267</v>
      </c>
      <c r="L8" s="615"/>
      <c r="M8" s="489">
        <f>RANK(K8, K$7:$K$21)</f>
        <v>2</v>
      </c>
      <c r="N8" s="624"/>
      <c r="O8" s="624"/>
      <c r="P8" s="411"/>
      <c r="Q8" s="182"/>
      <c r="R8" s="182"/>
      <c r="S8" s="182"/>
      <c r="T8" s="642"/>
      <c r="U8" s="529">
        <v>18</v>
      </c>
      <c r="V8" s="538">
        <v>1426.6666666666667</v>
      </c>
      <c r="W8" s="538">
        <v>79.259259259259267</v>
      </c>
      <c r="X8" s="529">
        <v>2</v>
      </c>
      <c r="Y8" s="653"/>
      <c r="Z8" s="529" t="s">
        <v>427</v>
      </c>
      <c r="AA8" s="538" t="s">
        <v>427</v>
      </c>
      <c r="AB8" s="538" t="s">
        <v>427</v>
      </c>
      <c r="AC8" s="529" t="e">
        <v>#VALUE!</v>
      </c>
      <c r="AD8" s="653"/>
      <c r="AE8" s="529" t="s">
        <v>427</v>
      </c>
      <c r="AF8" s="538" t="s">
        <v>427</v>
      </c>
      <c r="AG8" s="538" t="s">
        <v>427</v>
      </c>
      <c r="AH8" s="529" t="e">
        <v>#VALUE!</v>
      </c>
      <c r="AI8" s="653"/>
      <c r="AJ8" s="529" t="s">
        <v>427</v>
      </c>
      <c r="AK8" s="538" t="s">
        <v>427</v>
      </c>
      <c r="AL8" s="538" t="s">
        <v>427</v>
      </c>
      <c r="AM8" s="529" t="e">
        <v>#VALUE!</v>
      </c>
      <c r="AN8" s="653"/>
      <c r="AO8" s="529" t="s">
        <v>427</v>
      </c>
      <c r="AP8" s="538" t="s">
        <v>427</v>
      </c>
      <c r="AQ8" s="538" t="s">
        <v>427</v>
      </c>
      <c r="AR8" s="529" t="e">
        <v>#VALUE!</v>
      </c>
      <c r="AS8" s="653"/>
      <c r="AT8" s="529" t="s">
        <v>427</v>
      </c>
      <c r="AU8" s="538" t="s">
        <v>427</v>
      </c>
      <c r="AV8" s="538" t="s">
        <v>427</v>
      </c>
      <c r="AW8" s="529" t="e">
        <v>#VALUE!</v>
      </c>
      <c r="AX8" s="653"/>
      <c r="AZ8" s="432" t="e">
        <f t="shared" ref="AZ8:AZ21" si="2">RANK(AY8, AY$7:AY$21)</f>
        <v>#N/A</v>
      </c>
      <c r="BA8" s="653"/>
      <c r="BB8" s="433" t="e">
        <f>RANK(AZ8, $K$7:AZ$21)</f>
        <v>#N/A</v>
      </c>
    </row>
    <row r="9" spans="1:54" ht="14.25">
      <c r="A9" s="81"/>
      <c r="B9" s="661"/>
      <c r="C9" s="483">
        <v>3</v>
      </c>
      <c r="D9" s="223" t="s">
        <v>728</v>
      </c>
      <c r="E9" s="538">
        <v>19</v>
      </c>
      <c r="F9" s="529">
        <v>1500</v>
      </c>
      <c r="G9" s="530">
        <v>78.94736842105263</v>
      </c>
      <c r="H9" s="678"/>
      <c r="I9" s="487">
        <f t="shared" si="0"/>
        <v>19</v>
      </c>
      <c r="J9" s="487">
        <f t="shared" si="0"/>
        <v>1335.9637045698983</v>
      </c>
      <c r="K9" s="363">
        <f t="shared" si="0"/>
        <v>70.313879187889384</v>
      </c>
      <c r="L9" s="615"/>
      <c r="M9" s="489">
        <f>RANK(K9, K$7:$K$21)</f>
        <v>5</v>
      </c>
      <c r="N9" s="624"/>
      <c r="O9" s="624"/>
      <c r="P9" s="411"/>
      <c r="Q9" s="182"/>
      <c r="R9" s="182"/>
      <c r="S9" s="182"/>
      <c r="T9" s="642"/>
      <c r="U9" s="529">
        <v>19</v>
      </c>
      <c r="V9" s="538">
        <v>1328.7440559440561</v>
      </c>
      <c r="W9" s="538">
        <v>69.933897681266103</v>
      </c>
      <c r="X9" s="529">
        <v>5</v>
      </c>
      <c r="Y9" s="653"/>
      <c r="Z9" s="529">
        <v>19</v>
      </c>
      <c r="AA9" s="538">
        <v>1349.3874125874129</v>
      </c>
      <c r="AB9" s="538">
        <v>71.020390136179628</v>
      </c>
      <c r="AC9" s="529">
        <v>4</v>
      </c>
      <c r="AD9" s="653"/>
      <c r="AE9" s="529">
        <v>19</v>
      </c>
      <c r="AF9" s="538">
        <v>1326.4864864864865</v>
      </c>
      <c r="AG9" s="538">
        <v>69.815078236130873</v>
      </c>
      <c r="AH9" s="529">
        <v>4</v>
      </c>
      <c r="AI9" s="653"/>
      <c r="AJ9" s="529">
        <v>19</v>
      </c>
      <c r="AK9" s="538">
        <v>1343.8451612903223</v>
      </c>
      <c r="AL9" s="538">
        <v>70.728692699490651</v>
      </c>
      <c r="AM9" s="529">
        <v>4</v>
      </c>
      <c r="AN9" s="653"/>
      <c r="AO9" s="529">
        <v>19</v>
      </c>
      <c r="AP9" s="538">
        <v>1341.5111111111114</v>
      </c>
      <c r="AQ9" s="538">
        <v>70.605847953216383</v>
      </c>
      <c r="AR9" s="529">
        <v>4</v>
      </c>
      <c r="AS9" s="653"/>
      <c r="AT9" s="529">
        <v>19</v>
      </c>
      <c r="AU9" s="538">
        <v>1325.8080000000007</v>
      </c>
      <c r="AV9" s="538">
        <v>69.779368421052666</v>
      </c>
      <c r="AW9" s="529">
        <v>4</v>
      </c>
      <c r="AX9" s="653"/>
      <c r="AZ9" s="432" t="e">
        <f t="shared" si="2"/>
        <v>#N/A</v>
      </c>
      <c r="BA9" s="653"/>
      <c r="BB9" s="433" t="e">
        <f>RANK(AZ9, $K$7:AZ$21)</f>
        <v>#N/A</v>
      </c>
    </row>
    <row r="10" spans="1:54" ht="14.25">
      <c r="A10" s="81"/>
      <c r="B10" s="661"/>
      <c r="C10" s="483">
        <v>4</v>
      </c>
      <c r="D10" s="223" t="s">
        <v>729</v>
      </c>
      <c r="E10" s="538">
        <v>18</v>
      </c>
      <c r="F10" s="529">
        <v>1565</v>
      </c>
      <c r="G10" s="530">
        <v>86.944444444444443</v>
      </c>
      <c r="H10" s="678"/>
      <c r="I10" s="487">
        <f t="shared" si="0"/>
        <v>18</v>
      </c>
      <c r="J10" s="487">
        <f t="shared" si="0"/>
        <v>1418.0867862192217</v>
      </c>
      <c r="K10" s="363">
        <f t="shared" si="0"/>
        <v>78.782599234401204</v>
      </c>
      <c r="L10" s="615"/>
      <c r="M10" s="489">
        <f>RANK(K10, K$7:$K$21)</f>
        <v>4</v>
      </c>
      <c r="N10" s="624"/>
      <c r="O10" s="624"/>
      <c r="P10" s="411"/>
      <c r="Q10" s="182"/>
      <c r="R10" s="182"/>
      <c r="S10" s="182"/>
      <c r="T10" s="642"/>
      <c r="U10" s="529">
        <v>18</v>
      </c>
      <c r="V10" s="538">
        <v>1426.3636363636363</v>
      </c>
      <c r="W10" s="538">
        <v>79.242424242424235</v>
      </c>
      <c r="X10" s="529">
        <v>3</v>
      </c>
      <c r="Y10" s="653"/>
      <c r="Z10" s="529">
        <v>18</v>
      </c>
      <c r="AA10" s="538">
        <v>1395.9999999999995</v>
      </c>
      <c r="AB10" s="538">
        <v>77.555555555555529</v>
      </c>
      <c r="AC10" s="529">
        <v>3</v>
      </c>
      <c r="AD10" s="653"/>
      <c r="AE10" s="529">
        <v>18</v>
      </c>
      <c r="AF10" s="538">
        <v>1432.3255813953488</v>
      </c>
      <c r="AG10" s="538">
        <v>79.573643410852711</v>
      </c>
      <c r="AH10" s="529">
        <v>2</v>
      </c>
      <c r="AI10" s="653"/>
      <c r="AJ10" s="529">
        <v>18</v>
      </c>
      <c r="AK10" s="538">
        <v>1405.102040816327</v>
      </c>
      <c r="AL10" s="538">
        <v>78.061224489795947</v>
      </c>
      <c r="AM10" s="529">
        <v>3</v>
      </c>
      <c r="AN10" s="653"/>
      <c r="AO10" s="529">
        <v>18</v>
      </c>
      <c r="AP10" s="538">
        <v>1424.3478260869567</v>
      </c>
      <c r="AQ10" s="538">
        <v>79.130434782608702</v>
      </c>
      <c r="AR10" s="529">
        <v>2</v>
      </c>
      <c r="AS10" s="653"/>
      <c r="AT10" s="529">
        <v>18</v>
      </c>
      <c r="AU10" s="538">
        <v>1424.3816326530616</v>
      </c>
      <c r="AV10" s="538">
        <v>79.132312925170083</v>
      </c>
      <c r="AW10" s="529">
        <v>3</v>
      </c>
      <c r="AX10" s="653"/>
      <c r="AZ10" s="432" t="e">
        <f t="shared" si="2"/>
        <v>#N/A</v>
      </c>
      <c r="BA10" s="653"/>
      <c r="BB10" s="433" t="e">
        <f>RANK(AZ10, $K$7:AZ$21)</f>
        <v>#N/A</v>
      </c>
    </row>
    <row r="11" spans="1:54" ht="14.25">
      <c r="A11" s="81"/>
      <c r="B11" s="661"/>
      <c r="C11" s="483">
        <v>5</v>
      </c>
      <c r="D11" s="223" t="s">
        <v>648</v>
      </c>
      <c r="E11" s="538">
        <v>17</v>
      </c>
      <c r="F11" s="529">
        <v>1565</v>
      </c>
      <c r="G11" s="530">
        <v>92.058823529411768</v>
      </c>
      <c r="H11" s="678"/>
      <c r="I11" s="487">
        <f t="shared" si="0"/>
        <v>17</v>
      </c>
      <c r="J11" s="487">
        <f t="shared" si="0"/>
        <v>1417.8834804604128</v>
      </c>
      <c r="K11" s="363">
        <f t="shared" si="0"/>
        <v>83.404910615318386</v>
      </c>
      <c r="L11" s="615"/>
      <c r="M11" s="489">
        <f>RANK(K11, K$7:$K$21)</f>
        <v>1</v>
      </c>
      <c r="N11" s="624"/>
      <c r="O11" s="624"/>
      <c r="P11" s="411"/>
      <c r="Q11" s="182"/>
      <c r="R11" s="182"/>
      <c r="S11" s="182"/>
      <c r="T11" s="642"/>
      <c r="U11" s="529">
        <v>17</v>
      </c>
      <c r="V11" s="538">
        <v>1417.1830985915497</v>
      </c>
      <c r="W11" s="538">
        <v>83.363711681855861</v>
      </c>
      <c r="X11" s="529">
        <v>1</v>
      </c>
      <c r="Y11" s="653"/>
      <c r="Z11" s="529">
        <v>17</v>
      </c>
      <c r="AA11" s="538">
        <v>1431.7985611510792</v>
      </c>
      <c r="AB11" s="538">
        <v>84.223444773592888</v>
      </c>
      <c r="AC11" s="529">
        <v>1</v>
      </c>
      <c r="AD11" s="653"/>
      <c r="AE11" s="529">
        <v>17</v>
      </c>
      <c r="AF11" s="538">
        <v>1411.6800000000005</v>
      </c>
      <c r="AG11" s="538">
        <v>83.040000000000035</v>
      </c>
      <c r="AH11" s="529">
        <v>1</v>
      </c>
      <c r="AI11" s="653"/>
      <c r="AJ11" s="529">
        <v>17</v>
      </c>
      <c r="AK11" s="538">
        <v>1422.1983471074384</v>
      </c>
      <c r="AL11" s="538">
        <v>83.65872630043755</v>
      </c>
      <c r="AM11" s="529">
        <v>1</v>
      </c>
      <c r="AN11" s="653"/>
      <c r="AO11" s="529">
        <v>17</v>
      </c>
      <c r="AP11" s="538">
        <v>1431.2408759124087</v>
      </c>
      <c r="AQ11" s="538">
        <v>84.190639759553449</v>
      </c>
      <c r="AR11" s="529">
        <v>1</v>
      </c>
      <c r="AS11" s="653"/>
      <c r="AT11" s="529">
        <v>17</v>
      </c>
      <c r="AU11" s="538">
        <v>1393.2</v>
      </c>
      <c r="AV11" s="538">
        <v>81.952941176470588</v>
      </c>
      <c r="AW11" s="529">
        <v>1</v>
      </c>
      <c r="AX11" s="653"/>
      <c r="AZ11" s="432" t="e">
        <f t="shared" si="2"/>
        <v>#N/A</v>
      </c>
      <c r="BA11" s="653"/>
      <c r="BB11" s="433" t="e">
        <f>RANK(AZ11, $K$7:AZ$21)</f>
        <v>#N/A</v>
      </c>
    </row>
    <row r="12" spans="1:54" ht="14.25">
      <c r="A12" s="81"/>
      <c r="B12" s="661"/>
      <c r="C12" s="483">
        <v>6</v>
      </c>
      <c r="D12" s="223"/>
      <c r="E12" s="491"/>
      <c r="F12" s="483"/>
      <c r="G12" s="484"/>
      <c r="H12" s="678"/>
      <c r="I12" s="487" t="str">
        <f t="shared" si="0"/>
        <v>-</v>
      </c>
      <c r="J12" s="487" t="str">
        <f t="shared" si="0"/>
        <v>-</v>
      </c>
      <c r="K12" s="363" t="str">
        <f t="shared" si="0"/>
        <v>-</v>
      </c>
      <c r="L12" s="615"/>
      <c r="M12" s="489" t="e">
        <f>RANK(K12, K$7:$K$21)</f>
        <v>#VALUE!</v>
      </c>
      <c r="N12" s="624"/>
      <c r="O12" s="624"/>
      <c r="P12" s="411"/>
      <c r="Q12" s="182"/>
      <c r="R12" s="182"/>
      <c r="S12" s="182"/>
      <c r="T12" s="642"/>
      <c r="U12" s="529" t="s">
        <v>427</v>
      </c>
      <c r="V12" s="538" t="s">
        <v>427</v>
      </c>
      <c r="W12" s="538" t="s">
        <v>427</v>
      </c>
      <c r="X12" s="529" t="e">
        <v>#VALUE!</v>
      </c>
      <c r="Y12" s="653"/>
      <c r="Z12" s="529" t="s">
        <v>427</v>
      </c>
      <c r="AA12" s="538" t="s">
        <v>427</v>
      </c>
      <c r="AB12" s="538" t="s">
        <v>427</v>
      </c>
      <c r="AC12" s="529" t="e">
        <v>#VALUE!</v>
      </c>
      <c r="AD12" s="653"/>
      <c r="AE12" s="529" t="s">
        <v>427</v>
      </c>
      <c r="AF12" s="538" t="s">
        <v>427</v>
      </c>
      <c r="AG12" s="538" t="s">
        <v>427</v>
      </c>
      <c r="AH12" s="529" t="e">
        <v>#VALUE!</v>
      </c>
      <c r="AI12" s="653"/>
      <c r="AJ12" s="529" t="s">
        <v>427</v>
      </c>
      <c r="AK12" s="538" t="s">
        <v>427</v>
      </c>
      <c r="AL12" s="538" t="s">
        <v>427</v>
      </c>
      <c r="AM12" s="529" t="e">
        <v>#VALUE!</v>
      </c>
      <c r="AN12" s="653"/>
      <c r="AO12" s="529" t="s">
        <v>427</v>
      </c>
      <c r="AP12" s="538" t="s">
        <v>427</v>
      </c>
      <c r="AQ12" s="538" t="s">
        <v>427</v>
      </c>
      <c r="AR12" s="529" t="e">
        <v>#VALUE!</v>
      </c>
      <c r="AS12" s="653"/>
      <c r="AT12" s="529" t="s">
        <v>427</v>
      </c>
      <c r="AU12" s="538" t="s">
        <v>427</v>
      </c>
      <c r="AV12" s="538" t="s">
        <v>427</v>
      </c>
      <c r="AW12" s="529" t="e">
        <v>#VALUE!</v>
      </c>
      <c r="AX12" s="653"/>
      <c r="AZ12" s="432" t="e">
        <f t="shared" si="2"/>
        <v>#N/A</v>
      </c>
      <c r="BA12" s="653"/>
      <c r="BB12" s="433" t="e">
        <f>RANK(AZ12, $K$7:AZ$21)</f>
        <v>#N/A</v>
      </c>
    </row>
    <row r="13" spans="1:54" ht="14.25">
      <c r="A13" s="81"/>
      <c r="B13" s="661"/>
      <c r="C13" s="483">
        <v>7</v>
      </c>
      <c r="D13" s="223"/>
      <c r="E13" s="491"/>
      <c r="F13" s="483"/>
      <c r="G13" s="484"/>
      <c r="H13" s="678"/>
      <c r="I13" s="487" t="str">
        <f t="shared" si="0"/>
        <v>-</v>
      </c>
      <c r="J13" s="487" t="str">
        <f t="shared" si="0"/>
        <v>-</v>
      </c>
      <c r="K13" s="363" t="str">
        <f t="shared" si="0"/>
        <v>-</v>
      </c>
      <c r="L13" s="615"/>
      <c r="M13" s="489" t="e">
        <f>RANK(K13, K$7:$K$21)</f>
        <v>#VALUE!</v>
      </c>
      <c r="N13" s="624"/>
      <c r="O13" s="624"/>
      <c r="P13" s="411"/>
      <c r="Q13" s="182"/>
      <c r="R13" s="182"/>
      <c r="S13" s="182"/>
      <c r="T13" s="642"/>
      <c r="U13" s="529" t="s">
        <v>427</v>
      </c>
      <c r="V13" s="538" t="s">
        <v>427</v>
      </c>
      <c r="W13" s="538" t="s">
        <v>427</v>
      </c>
      <c r="X13" s="529" t="e">
        <v>#VALUE!</v>
      </c>
      <c r="Y13" s="653"/>
      <c r="Z13" s="529" t="s">
        <v>427</v>
      </c>
      <c r="AA13" s="538" t="s">
        <v>427</v>
      </c>
      <c r="AB13" s="538" t="s">
        <v>427</v>
      </c>
      <c r="AC13" s="529" t="e">
        <v>#VALUE!</v>
      </c>
      <c r="AD13" s="653"/>
      <c r="AE13" s="529" t="s">
        <v>427</v>
      </c>
      <c r="AF13" s="538" t="s">
        <v>427</v>
      </c>
      <c r="AG13" s="538" t="s">
        <v>427</v>
      </c>
      <c r="AH13" s="529" t="e">
        <v>#VALUE!</v>
      </c>
      <c r="AI13" s="653"/>
      <c r="AJ13" s="529" t="s">
        <v>427</v>
      </c>
      <c r="AK13" s="538" t="s">
        <v>427</v>
      </c>
      <c r="AL13" s="538" t="s">
        <v>427</v>
      </c>
      <c r="AM13" s="529" t="e">
        <v>#VALUE!</v>
      </c>
      <c r="AN13" s="653"/>
      <c r="AO13" s="529" t="s">
        <v>427</v>
      </c>
      <c r="AP13" s="538" t="s">
        <v>427</v>
      </c>
      <c r="AQ13" s="538" t="s">
        <v>427</v>
      </c>
      <c r="AR13" s="529" t="e">
        <v>#VALUE!</v>
      </c>
      <c r="AS13" s="653"/>
      <c r="AT13" s="529" t="s">
        <v>427</v>
      </c>
      <c r="AU13" s="538" t="s">
        <v>427</v>
      </c>
      <c r="AV13" s="538" t="s">
        <v>427</v>
      </c>
      <c r="AW13" s="529" t="e">
        <v>#VALUE!</v>
      </c>
      <c r="AX13" s="653"/>
      <c r="AZ13" s="432" t="e">
        <f t="shared" si="2"/>
        <v>#N/A</v>
      </c>
      <c r="BA13" s="653"/>
      <c r="BB13" s="433" t="e">
        <f>RANK(AZ13, $K$7:AZ$21)</f>
        <v>#N/A</v>
      </c>
    </row>
    <row r="14" spans="1:54" ht="14.25">
      <c r="A14" s="81"/>
      <c r="B14" s="661"/>
      <c r="C14" s="483">
        <v>8</v>
      </c>
      <c r="D14" s="223"/>
      <c r="E14" s="491"/>
      <c r="F14" s="483"/>
      <c r="G14" s="484"/>
      <c r="H14" s="678"/>
      <c r="I14" s="487" t="str">
        <f t="shared" si="0"/>
        <v>-</v>
      </c>
      <c r="J14" s="487" t="str">
        <f t="shared" si="0"/>
        <v>-</v>
      </c>
      <c r="K14" s="363" t="str">
        <f t="shared" si="0"/>
        <v>-</v>
      </c>
      <c r="L14" s="615"/>
      <c r="M14" s="489" t="e">
        <f>RANK(K14, K$7:$K$21)</f>
        <v>#VALUE!</v>
      </c>
      <c r="N14" s="624"/>
      <c r="O14" s="624"/>
      <c r="P14" s="411"/>
      <c r="Q14" s="182"/>
      <c r="R14" s="182"/>
      <c r="S14" s="182"/>
      <c r="T14" s="642"/>
      <c r="U14" s="529" t="s">
        <v>427</v>
      </c>
      <c r="V14" s="538" t="s">
        <v>427</v>
      </c>
      <c r="W14" s="538" t="s">
        <v>427</v>
      </c>
      <c r="X14" s="529" t="e">
        <v>#VALUE!</v>
      </c>
      <c r="Y14" s="653"/>
      <c r="Z14" s="529" t="s">
        <v>427</v>
      </c>
      <c r="AA14" s="538" t="s">
        <v>427</v>
      </c>
      <c r="AB14" s="538" t="s">
        <v>427</v>
      </c>
      <c r="AC14" s="529" t="e">
        <v>#VALUE!</v>
      </c>
      <c r="AD14" s="653"/>
      <c r="AE14" s="529" t="s">
        <v>427</v>
      </c>
      <c r="AF14" s="538" t="s">
        <v>427</v>
      </c>
      <c r="AG14" s="538" t="s">
        <v>427</v>
      </c>
      <c r="AH14" s="529" t="e">
        <v>#VALUE!</v>
      </c>
      <c r="AI14" s="653"/>
      <c r="AJ14" s="529" t="s">
        <v>427</v>
      </c>
      <c r="AK14" s="538" t="s">
        <v>427</v>
      </c>
      <c r="AL14" s="538" t="s">
        <v>427</v>
      </c>
      <c r="AM14" s="529" t="e">
        <v>#VALUE!</v>
      </c>
      <c r="AN14" s="653"/>
      <c r="AO14" s="529" t="s">
        <v>427</v>
      </c>
      <c r="AP14" s="538" t="s">
        <v>427</v>
      </c>
      <c r="AQ14" s="538" t="s">
        <v>427</v>
      </c>
      <c r="AR14" s="529" t="e">
        <v>#VALUE!</v>
      </c>
      <c r="AS14" s="653"/>
      <c r="AT14" s="529" t="s">
        <v>427</v>
      </c>
      <c r="AU14" s="538" t="s">
        <v>427</v>
      </c>
      <c r="AV14" s="538" t="s">
        <v>427</v>
      </c>
      <c r="AW14" s="529" t="e">
        <v>#VALUE!</v>
      </c>
      <c r="AX14" s="653"/>
      <c r="AZ14" s="432" t="e">
        <f t="shared" si="2"/>
        <v>#N/A</v>
      </c>
      <c r="BA14" s="653"/>
      <c r="BB14" s="433" t="e">
        <f>RANK(AZ14, $K$7:AZ$21)</f>
        <v>#N/A</v>
      </c>
    </row>
    <row r="15" spans="1:54" ht="14.25">
      <c r="A15" s="81"/>
      <c r="B15" s="661"/>
      <c r="C15" s="483">
        <v>9</v>
      </c>
      <c r="D15" s="223"/>
      <c r="E15" s="491"/>
      <c r="F15" s="483"/>
      <c r="G15" s="484"/>
      <c r="H15" s="678"/>
      <c r="I15" s="487" t="str">
        <f t="shared" si="0"/>
        <v>-</v>
      </c>
      <c r="J15" s="487" t="str">
        <f t="shared" si="0"/>
        <v>-</v>
      </c>
      <c r="K15" s="363" t="str">
        <f t="shared" si="0"/>
        <v>-</v>
      </c>
      <c r="L15" s="615"/>
      <c r="M15" s="489" t="e">
        <f>RANK(K15, K$7:$K$21)</f>
        <v>#VALUE!</v>
      </c>
      <c r="N15" s="624"/>
      <c r="O15" s="624"/>
      <c r="P15" s="411"/>
      <c r="Q15" s="182"/>
      <c r="R15" s="182"/>
      <c r="S15" s="182"/>
      <c r="T15" s="642"/>
      <c r="U15" s="529" t="s">
        <v>427</v>
      </c>
      <c r="V15" s="538" t="s">
        <v>427</v>
      </c>
      <c r="W15" s="538" t="s">
        <v>427</v>
      </c>
      <c r="X15" s="529" t="e">
        <v>#VALUE!</v>
      </c>
      <c r="Y15" s="653"/>
      <c r="Z15" s="529" t="s">
        <v>427</v>
      </c>
      <c r="AA15" s="538" t="s">
        <v>427</v>
      </c>
      <c r="AB15" s="538" t="s">
        <v>427</v>
      </c>
      <c r="AC15" s="529" t="e">
        <v>#VALUE!</v>
      </c>
      <c r="AD15" s="653"/>
      <c r="AE15" s="529" t="s">
        <v>427</v>
      </c>
      <c r="AF15" s="538" t="s">
        <v>427</v>
      </c>
      <c r="AG15" s="538" t="s">
        <v>427</v>
      </c>
      <c r="AH15" s="529" t="e">
        <v>#VALUE!</v>
      </c>
      <c r="AI15" s="653"/>
      <c r="AJ15" s="529" t="s">
        <v>427</v>
      </c>
      <c r="AK15" s="538" t="s">
        <v>427</v>
      </c>
      <c r="AL15" s="538" t="s">
        <v>427</v>
      </c>
      <c r="AM15" s="529" t="e">
        <v>#VALUE!</v>
      </c>
      <c r="AN15" s="653"/>
      <c r="AO15" s="529" t="s">
        <v>427</v>
      </c>
      <c r="AP15" s="538" t="s">
        <v>427</v>
      </c>
      <c r="AQ15" s="538" t="s">
        <v>427</v>
      </c>
      <c r="AR15" s="529" t="e">
        <v>#VALUE!</v>
      </c>
      <c r="AS15" s="653"/>
      <c r="AT15" s="529" t="s">
        <v>427</v>
      </c>
      <c r="AU15" s="538" t="s">
        <v>427</v>
      </c>
      <c r="AV15" s="538" t="s">
        <v>427</v>
      </c>
      <c r="AW15" s="529" t="e">
        <v>#VALUE!</v>
      </c>
      <c r="AX15" s="653"/>
      <c r="AZ15" s="432" t="e">
        <f t="shared" si="2"/>
        <v>#N/A</v>
      </c>
      <c r="BA15" s="653"/>
      <c r="BB15" s="433" t="e">
        <f>RANK(AZ15, $K$7:AZ$21)</f>
        <v>#N/A</v>
      </c>
    </row>
    <row r="16" spans="1:54" ht="14.25">
      <c r="A16" s="81"/>
      <c r="B16" s="661"/>
      <c r="C16" s="483">
        <v>10</v>
      </c>
      <c r="D16" s="223"/>
      <c r="E16" s="491"/>
      <c r="F16" s="483"/>
      <c r="G16" s="484"/>
      <c r="H16" s="678"/>
      <c r="I16" s="487" t="str">
        <f t="shared" si="0"/>
        <v>-</v>
      </c>
      <c r="J16" s="487" t="str">
        <f t="shared" si="0"/>
        <v>-</v>
      </c>
      <c r="K16" s="363" t="str">
        <f t="shared" si="0"/>
        <v>-</v>
      </c>
      <c r="L16" s="615"/>
      <c r="M16" s="489" t="e">
        <f>RANK(K16, K$7:$K$21)</f>
        <v>#VALUE!</v>
      </c>
      <c r="N16" s="624"/>
      <c r="O16" s="624"/>
      <c r="P16" s="411"/>
      <c r="Q16" s="182"/>
      <c r="R16" s="182"/>
      <c r="S16" s="182"/>
      <c r="T16" s="642"/>
      <c r="U16" s="529" t="s">
        <v>427</v>
      </c>
      <c r="V16" s="538" t="s">
        <v>427</v>
      </c>
      <c r="W16" s="538" t="s">
        <v>427</v>
      </c>
      <c r="X16" s="529" t="e">
        <v>#VALUE!</v>
      </c>
      <c r="Y16" s="653"/>
      <c r="Z16" s="529" t="s">
        <v>427</v>
      </c>
      <c r="AA16" s="538" t="s">
        <v>427</v>
      </c>
      <c r="AB16" s="538" t="s">
        <v>427</v>
      </c>
      <c r="AC16" s="529" t="e">
        <v>#VALUE!</v>
      </c>
      <c r="AD16" s="653"/>
      <c r="AE16" s="529" t="s">
        <v>427</v>
      </c>
      <c r="AF16" s="538" t="s">
        <v>427</v>
      </c>
      <c r="AG16" s="538" t="s">
        <v>427</v>
      </c>
      <c r="AH16" s="529" t="e">
        <v>#VALUE!</v>
      </c>
      <c r="AI16" s="653"/>
      <c r="AJ16" s="529" t="s">
        <v>427</v>
      </c>
      <c r="AK16" s="538" t="s">
        <v>427</v>
      </c>
      <c r="AL16" s="538" t="s">
        <v>427</v>
      </c>
      <c r="AM16" s="529" t="e">
        <v>#VALUE!</v>
      </c>
      <c r="AN16" s="653"/>
      <c r="AO16" s="529" t="s">
        <v>427</v>
      </c>
      <c r="AP16" s="538" t="s">
        <v>427</v>
      </c>
      <c r="AQ16" s="538" t="s">
        <v>427</v>
      </c>
      <c r="AR16" s="529" t="e">
        <v>#VALUE!</v>
      </c>
      <c r="AS16" s="653"/>
      <c r="AT16" s="529" t="s">
        <v>427</v>
      </c>
      <c r="AU16" s="538" t="s">
        <v>427</v>
      </c>
      <c r="AV16" s="538" t="s">
        <v>427</v>
      </c>
      <c r="AW16" s="529" t="e">
        <v>#VALUE!</v>
      </c>
      <c r="AX16" s="653"/>
      <c r="AZ16" s="432" t="e">
        <f t="shared" si="2"/>
        <v>#N/A</v>
      </c>
      <c r="BA16" s="653"/>
      <c r="BB16" s="433" t="e">
        <f>RANK(AZ16, $K$7:AZ$21)</f>
        <v>#N/A</v>
      </c>
    </row>
    <row r="17" spans="2:54">
      <c r="B17" s="661"/>
      <c r="C17" s="483">
        <v>11</v>
      </c>
      <c r="D17" s="223"/>
      <c r="E17" s="491"/>
      <c r="F17" s="483"/>
      <c r="G17" s="484"/>
      <c r="H17" s="678"/>
      <c r="I17" s="487" t="str">
        <f t="shared" si="0"/>
        <v>-</v>
      </c>
      <c r="J17" s="487" t="str">
        <f t="shared" si="0"/>
        <v>-</v>
      </c>
      <c r="K17" s="363" t="str">
        <f t="shared" si="0"/>
        <v>-</v>
      </c>
      <c r="L17" s="615"/>
      <c r="M17" s="489" t="e">
        <f>RANK(K17, K$7:$K$21)</f>
        <v>#VALUE!</v>
      </c>
      <c r="N17" s="624"/>
      <c r="O17" s="624"/>
      <c r="P17" s="411"/>
      <c r="Q17" s="182"/>
      <c r="R17" s="182"/>
      <c r="S17" s="182"/>
      <c r="T17" s="642"/>
      <c r="U17" s="529" t="s">
        <v>427</v>
      </c>
      <c r="V17" s="538" t="s">
        <v>427</v>
      </c>
      <c r="W17" s="538" t="s">
        <v>427</v>
      </c>
      <c r="X17" s="529" t="e">
        <v>#VALUE!</v>
      </c>
      <c r="Y17" s="653"/>
      <c r="Z17" s="529" t="s">
        <v>427</v>
      </c>
      <c r="AA17" s="538" t="s">
        <v>427</v>
      </c>
      <c r="AB17" s="538" t="s">
        <v>427</v>
      </c>
      <c r="AC17" s="529" t="e">
        <v>#VALUE!</v>
      </c>
      <c r="AD17" s="653"/>
      <c r="AE17" s="529" t="s">
        <v>427</v>
      </c>
      <c r="AF17" s="538" t="s">
        <v>427</v>
      </c>
      <c r="AG17" s="538" t="s">
        <v>427</v>
      </c>
      <c r="AH17" s="529" t="e">
        <v>#VALUE!</v>
      </c>
      <c r="AI17" s="653"/>
      <c r="AJ17" s="529" t="s">
        <v>427</v>
      </c>
      <c r="AK17" s="538" t="s">
        <v>427</v>
      </c>
      <c r="AL17" s="538" t="s">
        <v>427</v>
      </c>
      <c r="AM17" s="529" t="e">
        <v>#VALUE!</v>
      </c>
      <c r="AN17" s="653"/>
      <c r="AO17" s="529" t="s">
        <v>427</v>
      </c>
      <c r="AP17" s="538" t="s">
        <v>427</v>
      </c>
      <c r="AQ17" s="538" t="s">
        <v>427</v>
      </c>
      <c r="AR17" s="529" t="e">
        <v>#VALUE!</v>
      </c>
      <c r="AS17" s="653"/>
      <c r="AT17" s="529" t="s">
        <v>427</v>
      </c>
      <c r="AU17" s="538" t="s">
        <v>427</v>
      </c>
      <c r="AV17" s="538" t="s">
        <v>427</v>
      </c>
      <c r="AW17" s="529" t="e">
        <v>#VALUE!</v>
      </c>
      <c r="AX17" s="653"/>
      <c r="AZ17" s="432" t="e">
        <f t="shared" si="2"/>
        <v>#N/A</v>
      </c>
      <c r="BA17" s="653"/>
      <c r="BB17" s="433" t="e">
        <f>RANK(AZ17, $K$7:AZ$21)</f>
        <v>#N/A</v>
      </c>
    </row>
    <row r="18" spans="2:54">
      <c r="B18" s="661"/>
      <c r="C18" s="483">
        <v>12</v>
      </c>
      <c r="D18" s="223"/>
      <c r="E18" s="491"/>
      <c r="F18" s="483"/>
      <c r="G18" s="484"/>
      <c r="H18" s="678"/>
      <c r="I18" s="487" t="str">
        <f t="shared" si="0"/>
        <v>-</v>
      </c>
      <c r="J18" s="487" t="str">
        <f t="shared" si="0"/>
        <v>-</v>
      </c>
      <c r="K18" s="363" t="str">
        <f t="shared" si="0"/>
        <v>-</v>
      </c>
      <c r="L18" s="615"/>
      <c r="M18" s="489" t="e">
        <f>RANK(K18, K$7:$K$21)</f>
        <v>#VALUE!</v>
      </c>
      <c r="N18" s="624"/>
      <c r="O18" s="624"/>
      <c r="P18" s="411"/>
      <c r="Q18" s="182"/>
      <c r="R18" s="182"/>
      <c r="S18" s="182"/>
      <c r="T18" s="642"/>
      <c r="U18" s="529" t="s">
        <v>427</v>
      </c>
      <c r="V18" s="538" t="s">
        <v>427</v>
      </c>
      <c r="W18" s="538" t="s">
        <v>427</v>
      </c>
      <c r="X18" s="529" t="e">
        <v>#VALUE!</v>
      </c>
      <c r="Y18" s="653"/>
      <c r="Z18" s="529" t="s">
        <v>427</v>
      </c>
      <c r="AA18" s="538" t="s">
        <v>427</v>
      </c>
      <c r="AB18" s="538" t="s">
        <v>427</v>
      </c>
      <c r="AC18" s="529" t="e">
        <v>#VALUE!</v>
      </c>
      <c r="AD18" s="653"/>
      <c r="AE18" s="529" t="s">
        <v>427</v>
      </c>
      <c r="AF18" s="538" t="s">
        <v>427</v>
      </c>
      <c r="AG18" s="538" t="s">
        <v>427</v>
      </c>
      <c r="AH18" s="529" t="e">
        <v>#VALUE!</v>
      </c>
      <c r="AI18" s="653"/>
      <c r="AJ18" s="529" t="s">
        <v>427</v>
      </c>
      <c r="AK18" s="538" t="s">
        <v>427</v>
      </c>
      <c r="AL18" s="538" t="s">
        <v>427</v>
      </c>
      <c r="AM18" s="529" t="e">
        <v>#VALUE!</v>
      </c>
      <c r="AN18" s="653"/>
      <c r="AO18" s="529" t="s">
        <v>427</v>
      </c>
      <c r="AP18" s="538" t="s">
        <v>427</v>
      </c>
      <c r="AQ18" s="538" t="s">
        <v>427</v>
      </c>
      <c r="AR18" s="529" t="e">
        <v>#VALUE!</v>
      </c>
      <c r="AS18" s="653"/>
      <c r="AT18" s="529" t="s">
        <v>427</v>
      </c>
      <c r="AU18" s="538" t="s">
        <v>427</v>
      </c>
      <c r="AV18" s="538" t="s">
        <v>427</v>
      </c>
      <c r="AW18" s="529" t="e">
        <v>#VALUE!</v>
      </c>
      <c r="AX18" s="653"/>
      <c r="AZ18" s="432" t="e">
        <f t="shared" si="2"/>
        <v>#N/A</v>
      </c>
      <c r="BA18" s="653"/>
      <c r="BB18" s="433" t="e">
        <f>RANK(AZ18, $K$7:AZ$21)</f>
        <v>#N/A</v>
      </c>
    </row>
    <row r="19" spans="2:54">
      <c r="B19" s="661"/>
      <c r="C19" s="483">
        <v>13</v>
      </c>
      <c r="D19" s="223"/>
      <c r="E19" s="491"/>
      <c r="F19" s="483"/>
      <c r="G19" s="484"/>
      <c r="H19" s="678"/>
      <c r="I19" s="487" t="str">
        <f t="shared" si="0"/>
        <v>-</v>
      </c>
      <c r="J19" s="487" t="str">
        <f t="shared" si="0"/>
        <v>-</v>
      </c>
      <c r="K19" s="363" t="str">
        <f t="shared" si="0"/>
        <v>-</v>
      </c>
      <c r="L19" s="615"/>
      <c r="M19" s="489" t="e">
        <f>RANK(K19, K$7:$K$21)</f>
        <v>#VALUE!</v>
      </c>
      <c r="N19" s="624"/>
      <c r="O19" s="624"/>
      <c r="P19" s="411"/>
      <c r="Q19" s="182"/>
      <c r="R19" s="182"/>
      <c r="S19" s="182"/>
      <c r="T19" s="642"/>
      <c r="U19" s="529" t="s">
        <v>427</v>
      </c>
      <c r="V19" s="538" t="s">
        <v>427</v>
      </c>
      <c r="W19" s="538" t="s">
        <v>427</v>
      </c>
      <c r="X19" s="529" t="e">
        <v>#VALUE!</v>
      </c>
      <c r="Y19" s="653"/>
      <c r="Z19" s="529" t="s">
        <v>427</v>
      </c>
      <c r="AA19" s="538" t="s">
        <v>427</v>
      </c>
      <c r="AB19" s="538" t="s">
        <v>427</v>
      </c>
      <c r="AC19" s="529" t="e">
        <v>#VALUE!</v>
      </c>
      <c r="AD19" s="653"/>
      <c r="AE19" s="529" t="s">
        <v>427</v>
      </c>
      <c r="AF19" s="538" t="s">
        <v>427</v>
      </c>
      <c r="AG19" s="538" t="s">
        <v>427</v>
      </c>
      <c r="AH19" s="529" t="e">
        <v>#VALUE!</v>
      </c>
      <c r="AI19" s="653"/>
      <c r="AJ19" s="529" t="s">
        <v>427</v>
      </c>
      <c r="AK19" s="538" t="s">
        <v>427</v>
      </c>
      <c r="AL19" s="538" t="s">
        <v>427</v>
      </c>
      <c r="AM19" s="529" t="e">
        <v>#VALUE!</v>
      </c>
      <c r="AN19" s="653"/>
      <c r="AO19" s="529" t="s">
        <v>427</v>
      </c>
      <c r="AP19" s="538" t="s">
        <v>427</v>
      </c>
      <c r="AQ19" s="538" t="s">
        <v>427</v>
      </c>
      <c r="AR19" s="529" t="e">
        <v>#VALUE!</v>
      </c>
      <c r="AS19" s="653"/>
      <c r="AT19" s="529" t="s">
        <v>427</v>
      </c>
      <c r="AU19" s="538" t="s">
        <v>427</v>
      </c>
      <c r="AV19" s="538" t="s">
        <v>427</v>
      </c>
      <c r="AW19" s="529" t="e">
        <v>#VALUE!</v>
      </c>
      <c r="AX19" s="653"/>
      <c r="AZ19" s="432" t="e">
        <f t="shared" si="2"/>
        <v>#N/A</v>
      </c>
      <c r="BA19" s="653"/>
      <c r="BB19" s="433" t="e">
        <f>RANK(AZ19, $K$7:AZ$21)</f>
        <v>#N/A</v>
      </c>
    </row>
    <row r="20" spans="2:54">
      <c r="B20" s="661"/>
      <c r="C20" s="483">
        <v>14</v>
      </c>
      <c r="D20" s="223"/>
      <c r="E20" s="491"/>
      <c r="F20" s="483"/>
      <c r="G20" s="484"/>
      <c r="H20" s="678"/>
      <c r="I20" s="487" t="str">
        <f t="shared" si="0"/>
        <v>-</v>
      </c>
      <c r="J20" s="487" t="str">
        <f t="shared" si="0"/>
        <v>-</v>
      </c>
      <c r="K20" s="363" t="str">
        <f t="shared" si="0"/>
        <v>-</v>
      </c>
      <c r="L20" s="615"/>
      <c r="M20" s="489" t="e">
        <f>RANK(K20, K$7:$K$21)</f>
        <v>#VALUE!</v>
      </c>
      <c r="N20" s="624"/>
      <c r="O20" s="624"/>
      <c r="P20" s="411"/>
      <c r="Q20" s="182"/>
      <c r="R20" s="182"/>
      <c r="S20" s="182"/>
      <c r="T20" s="642"/>
      <c r="U20" s="529" t="s">
        <v>427</v>
      </c>
      <c r="V20" s="538" t="s">
        <v>427</v>
      </c>
      <c r="W20" s="538" t="s">
        <v>427</v>
      </c>
      <c r="X20" s="529" t="e">
        <v>#VALUE!</v>
      </c>
      <c r="Y20" s="653"/>
      <c r="Z20" s="529" t="s">
        <v>427</v>
      </c>
      <c r="AA20" s="538" t="s">
        <v>427</v>
      </c>
      <c r="AB20" s="538" t="s">
        <v>427</v>
      </c>
      <c r="AC20" s="529" t="e">
        <v>#VALUE!</v>
      </c>
      <c r="AD20" s="653"/>
      <c r="AE20" s="529" t="s">
        <v>427</v>
      </c>
      <c r="AF20" s="538" t="s">
        <v>427</v>
      </c>
      <c r="AG20" s="538" t="s">
        <v>427</v>
      </c>
      <c r="AH20" s="529" t="e">
        <v>#VALUE!</v>
      </c>
      <c r="AI20" s="653"/>
      <c r="AJ20" s="529" t="s">
        <v>427</v>
      </c>
      <c r="AK20" s="538" t="s">
        <v>427</v>
      </c>
      <c r="AL20" s="538" t="s">
        <v>427</v>
      </c>
      <c r="AM20" s="529" t="e">
        <v>#VALUE!</v>
      </c>
      <c r="AN20" s="653"/>
      <c r="AO20" s="529" t="s">
        <v>427</v>
      </c>
      <c r="AP20" s="538" t="s">
        <v>427</v>
      </c>
      <c r="AQ20" s="538" t="s">
        <v>427</v>
      </c>
      <c r="AR20" s="529" t="e">
        <v>#VALUE!</v>
      </c>
      <c r="AS20" s="653"/>
      <c r="AT20" s="529" t="s">
        <v>427</v>
      </c>
      <c r="AU20" s="538" t="s">
        <v>427</v>
      </c>
      <c r="AV20" s="538" t="s">
        <v>427</v>
      </c>
      <c r="AW20" s="529" t="e">
        <v>#VALUE!</v>
      </c>
      <c r="AX20" s="653"/>
      <c r="AZ20" s="432" t="e">
        <f t="shared" si="2"/>
        <v>#N/A</v>
      </c>
      <c r="BA20" s="653"/>
      <c r="BB20" s="433" t="e">
        <f>RANK(AZ20, $K$7:AZ$21)</f>
        <v>#N/A</v>
      </c>
    </row>
    <row r="21" spans="2:54">
      <c r="B21" s="661"/>
      <c r="C21" s="483">
        <v>15</v>
      </c>
      <c r="D21" s="223"/>
      <c r="E21" s="491"/>
      <c r="F21" s="483"/>
      <c r="G21" s="484"/>
      <c r="H21" s="679"/>
      <c r="I21" s="485"/>
      <c r="J21" s="485"/>
      <c r="K21" s="485"/>
      <c r="L21" s="616"/>
      <c r="M21" s="489" t="e">
        <f>RANK(K21, K$7:$K$21)</f>
        <v>#N/A</v>
      </c>
      <c r="N21" s="624"/>
      <c r="O21" s="624"/>
      <c r="P21" s="411"/>
      <c r="Q21" s="182"/>
      <c r="R21" s="182"/>
      <c r="S21" s="182"/>
      <c r="T21" s="642"/>
      <c r="U21" s="529" t="s">
        <v>427</v>
      </c>
      <c r="V21" s="538" t="s">
        <v>427</v>
      </c>
      <c r="W21" s="538" t="s">
        <v>427</v>
      </c>
      <c r="X21" s="529" t="e">
        <v>#VALUE!</v>
      </c>
      <c r="Y21" s="653"/>
      <c r="Z21" s="529" t="s">
        <v>427</v>
      </c>
      <c r="AA21" s="538" t="s">
        <v>427</v>
      </c>
      <c r="AB21" s="538" t="s">
        <v>427</v>
      </c>
      <c r="AC21" s="529" t="e">
        <v>#VALUE!</v>
      </c>
      <c r="AD21" s="653"/>
      <c r="AE21" s="529" t="s">
        <v>427</v>
      </c>
      <c r="AF21" s="538" t="s">
        <v>427</v>
      </c>
      <c r="AG21" s="538" t="s">
        <v>427</v>
      </c>
      <c r="AH21" s="529" t="e">
        <v>#VALUE!</v>
      </c>
      <c r="AI21" s="653"/>
      <c r="AJ21" s="529" t="s">
        <v>427</v>
      </c>
      <c r="AK21" s="538" t="s">
        <v>427</v>
      </c>
      <c r="AL21" s="538" t="s">
        <v>427</v>
      </c>
      <c r="AM21" s="529" t="e">
        <v>#VALUE!</v>
      </c>
      <c r="AN21" s="653"/>
      <c r="AO21" s="529" t="s">
        <v>427</v>
      </c>
      <c r="AP21" s="538" t="s">
        <v>427</v>
      </c>
      <c r="AQ21" s="538" t="s">
        <v>427</v>
      </c>
      <c r="AR21" s="529" t="e">
        <v>#VALUE!</v>
      </c>
      <c r="AS21" s="653"/>
      <c r="AT21" s="529" t="s">
        <v>427</v>
      </c>
      <c r="AU21" s="538" t="s">
        <v>427</v>
      </c>
      <c r="AV21" s="538" t="s">
        <v>427</v>
      </c>
      <c r="AW21" s="529" t="e">
        <v>#VALUE!</v>
      </c>
      <c r="AX21" s="653"/>
      <c r="AZ21" s="432" t="e">
        <f t="shared" si="2"/>
        <v>#N/A</v>
      </c>
      <c r="BA21" s="653"/>
      <c r="BB21" s="433" t="e">
        <f>RANK(AZ21, $K$7:AZ$21)</f>
        <v>#N/A</v>
      </c>
    </row>
    <row r="22" spans="2:54" ht="15.75">
      <c r="B22" s="657" t="s">
        <v>769</v>
      </c>
      <c r="C22" s="658"/>
      <c r="D22" s="658"/>
      <c r="E22" s="658"/>
      <c r="F22" s="658"/>
      <c r="G22" s="658"/>
      <c r="H22" s="658"/>
      <c r="I22" s="200"/>
      <c r="J22" s="200"/>
      <c r="K22" s="200"/>
      <c r="L22" s="200"/>
      <c r="M22" s="201"/>
      <c r="N22" s="639" t="s">
        <v>781</v>
      </c>
      <c r="O22" s="639" t="s">
        <v>105</v>
      </c>
      <c r="P22" s="634">
        <f>AT2+1</f>
        <v>46210</v>
      </c>
      <c r="Q22" s="635"/>
      <c r="R22" s="635"/>
      <c r="S22" s="635"/>
      <c r="T22" s="635"/>
      <c r="U22" s="636">
        <f>P22+1</f>
        <v>46211</v>
      </c>
      <c r="V22" s="637"/>
      <c r="W22" s="637"/>
      <c r="X22" s="637"/>
      <c r="Y22" s="638"/>
      <c r="Z22" s="636">
        <f t="shared" ref="Z22" si="3">U22+1</f>
        <v>46212</v>
      </c>
      <c r="AA22" s="637"/>
      <c r="AB22" s="637"/>
      <c r="AC22" s="637"/>
      <c r="AD22" s="638"/>
      <c r="AE22" s="636">
        <f t="shared" ref="AE22" si="4">Z22+1</f>
        <v>46213</v>
      </c>
      <c r="AF22" s="637"/>
      <c r="AG22" s="637"/>
      <c r="AH22" s="637"/>
      <c r="AI22" s="638"/>
      <c r="AJ22" s="636">
        <f t="shared" ref="AJ22" si="5">AE22+1</f>
        <v>46214</v>
      </c>
      <c r="AK22" s="637"/>
      <c r="AL22" s="637"/>
      <c r="AM22" s="637"/>
      <c r="AN22" s="638"/>
      <c r="AO22" s="636">
        <f t="shared" ref="AO22" si="6">AJ22+1</f>
        <v>46215</v>
      </c>
      <c r="AP22" s="637"/>
      <c r="AQ22" s="637"/>
      <c r="AR22" s="637"/>
      <c r="AS22" s="638"/>
      <c r="AT22" s="636">
        <f t="shared" ref="AT22" si="7">AO22+1</f>
        <v>46216</v>
      </c>
      <c r="AU22" s="637"/>
      <c r="AV22" s="637"/>
      <c r="AW22" s="637"/>
      <c r="AX22" s="638"/>
    </row>
    <row r="23" spans="2:54" ht="15.75">
      <c r="B23" s="646"/>
      <c r="C23" s="646"/>
      <c r="D23" s="646"/>
      <c r="E23" s="646"/>
      <c r="F23" s="646"/>
      <c r="G23" s="646"/>
      <c r="H23" s="646"/>
      <c r="I23" s="202"/>
      <c r="J23" s="202"/>
      <c r="K23" s="202"/>
      <c r="L23" s="202"/>
      <c r="M23" s="203"/>
      <c r="N23" s="641"/>
      <c r="O23" s="641"/>
      <c r="P23" s="634" t="s">
        <v>644</v>
      </c>
      <c r="Q23" s="635"/>
      <c r="R23" s="635"/>
      <c r="S23" s="635"/>
      <c r="T23" s="635"/>
      <c r="U23" s="634" t="s">
        <v>645</v>
      </c>
      <c r="V23" s="635"/>
      <c r="W23" s="635"/>
      <c r="X23" s="635"/>
      <c r="Y23" s="635"/>
      <c r="Z23" s="634" t="s">
        <v>158</v>
      </c>
      <c r="AA23" s="635"/>
      <c r="AB23" s="635"/>
      <c r="AC23" s="635"/>
      <c r="AD23" s="635"/>
      <c r="AE23" s="634" t="s">
        <v>646</v>
      </c>
      <c r="AF23" s="635"/>
      <c r="AG23" s="635"/>
      <c r="AH23" s="635"/>
      <c r="AI23" s="635"/>
      <c r="AJ23" s="634" t="s">
        <v>647</v>
      </c>
      <c r="AK23" s="635"/>
      <c r="AL23" s="635"/>
      <c r="AM23" s="635"/>
      <c r="AN23" s="635"/>
      <c r="AO23" s="634" t="s">
        <v>596</v>
      </c>
      <c r="AP23" s="635"/>
      <c r="AQ23" s="635"/>
      <c r="AR23" s="635"/>
      <c r="AS23" s="635"/>
      <c r="AT23" s="634" t="s">
        <v>597</v>
      </c>
      <c r="AU23" s="635"/>
      <c r="AV23" s="635"/>
      <c r="AW23" s="635"/>
      <c r="AX23" s="635"/>
    </row>
    <row r="24" spans="2:54">
      <c r="B24" s="624" t="s">
        <v>760</v>
      </c>
      <c r="C24" s="624" t="s">
        <v>464</v>
      </c>
      <c r="D24" s="624"/>
      <c r="E24" s="624" t="s">
        <v>465</v>
      </c>
      <c r="F24" s="624"/>
      <c r="G24" s="624"/>
      <c r="H24" s="647" t="s">
        <v>466</v>
      </c>
      <c r="I24" s="624" t="s">
        <v>467</v>
      </c>
      <c r="J24" s="624"/>
      <c r="K24" s="624"/>
      <c r="L24" s="647" t="s">
        <v>829</v>
      </c>
      <c r="M24" s="639" t="s">
        <v>468</v>
      </c>
      <c r="N24" s="624"/>
      <c r="O24" s="624" t="s">
        <v>469</v>
      </c>
      <c r="P24" s="621" t="s">
        <v>832</v>
      </c>
      <c r="Q24" s="622"/>
      <c r="R24" s="622"/>
      <c r="S24" s="623"/>
      <c r="T24" s="624" t="s">
        <v>829</v>
      </c>
      <c r="U24" s="621" t="s">
        <v>832</v>
      </c>
      <c r="V24" s="622"/>
      <c r="W24" s="622"/>
      <c r="X24" s="623"/>
      <c r="Y24" s="624" t="s">
        <v>829</v>
      </c>
      <c r="Z24" s="621" t="s">
        <v>832</v>
      </c>
      <c r="AA24" s="622"/>
      <c r="AB24" s="622"/>
      <c r="AC24" s="623"/>
      <c r="AD24" s="624" t="s">
        <v>829</v>
      </c>
      <c r="AE24" s="621" t="s">
        <v>832</v>
      </c>
      <c r="AF24" s="622"/>
      <c r="AG24" s="622"/>
      <c r="AH24" s="623"/>
      <c r="AI24" s="624" t="s">
        <v>829</v>
      </c>
      <c r="AJ24" s="621" t="s">
        <v>832</v>
      </c>
      <c r="AK24" s="622"/>
      <c r="AL24" s="622"/>
      <c r="AM24" s="623"/>
      <c r="AN24" s="624" t="s">
        <v>829</v>
      </c>
      <c r="AO24" s="621" t="s">
        <v>832</v>
      </c>
      <c r="AP24" s="622"/>
      <c r="AQ24" s="622"/>
      <c r="AR24" s="623"/>
      <c r="AS24" s="624" t="s">
        <v>829</v>
      </c>
      <c r="AT24" s="621" t="s">
        <v>832</v>
      </c>
      <c r="AU24" s="622"/>
      <c r="AV24" s="622"/>
      <c r="AW24" s="623"/>
      <c r="AX24" s="624" t="s">
        <v>829</v>
      </c>
    </row>
    <row r="25" spans="2:54">
      <c r="B25" s="624"/>
      <c r="C25" s="624"/>
      <c r="D25" s="624"/>
      <c r="E25" s="624" t="s">
        <v>470</v>
      </c>
      <c r="F25" s="624"/>
      <c r="G25" s="624"/>
      <c r="H25" s="648"/>
      <c r="I25" s="624" t="s">
        <v>470</v>
      </c>
      <c r="J25" s="624"/>
      <c r="K25" s="624"/>
      <c r="L25" s="648"/>
      <c r="M25" s="640"/>
      <c r="N25" s="624"/>
      <c r="O25" s="624"/>
      <c r="P25" s="621" t="s">
        <v>834</v>
      </c>
      <c r="Q25" s="622"/>
      <c r="R25" s="622"/>
      <c r="S25" s="623"/>
      <c r="T25" s="624"/>
      <c r="U25" s="621" t="s">
        <v>834</v>
      </c>
      <c r="V25" s="622"/>
      <c r="W25" s="622"/>
      <c r="X25" s="623"/>
      <c r="Y25" s="624"/>
      <c r="Z25" s="621" t="s">
        <v>834</v>
      </c>
      <c r="AA25" s="622"/>
      <c r="AB25" s="622"/>
      <c r="AC25" s="623"/>
      <c r="AD25" s="624"/>
      <c r="AE25" s="621" t="s">
        <v>834</v>
      </c>
      <c r="AF25" s="622"/>
      <c r="AG25" s="622"/>
      <c r="AH25" s="623"/>
      <c r="AI25" s="624"/>
      <c r="AJ25" s="621" t="s">
        <v>834</v>
      </c>
      <c r="AK25" s="622"/>
      <c r="AL25" s="622"/>
      <c r="AM25" s="623"/>
      <c r="AN25" s="624"/>
      <c r="AO25" s="621" t="s">
        <v>834</v>
      </c>
      <c r="AP25" s="622"/>
      <c r="AQ25" s="622"/>
      <c r="AR25" s="623"/>
      <c r="AS25" s="624"/>
      <c r="AT25" s="621" t="s">
        <v>834</v>
      </c>
      <c r="AU25" s="622"/>
      <c r="AV25" s="622"/>
      <c r="AW25" s="623"/>
      <c r="AX25" s="624"/>
    </row>
    <row r="26" spans="2:54">
      <c r="B26" s="624"/>
      <c r="C26" s="624"/>
      <c r="D26" s="624"/>
      <c r="E26" s="533" t="s">
        <v>471</v>
      </c>
      <c r="F26" s="533" t="s">
        <v>472</v>
      </c>
      <c r="G26" s="533" t="s">
        <v>473</v>
      </c>
      <c r="H26" s="649"/>
      <c r="I26" s="533" t="s">
        <v>471</v>
      </c>
      <c r="J26" s="533" t="s">
        <v>472</v>
      </c>
      <c r="K26" s="533" t="s">
        <v>473</v>
      </c>
      <c r="L26" s="649"/>
      <c r="M26" s="641"/>
      <c r="N26" s="624"/>
      <c r="O26" s="624"/>
      <c r="P26" s="533" t="s">
        <v>835</v>
      </c>
      <c r="Q26" s="533" t="s">
        <v>836</v>
      </c>
      <c r="R26" s="533" t="s">
        <v>837</v>
      </c>
      <c r="S26" s="533" t="s">
        <v>440</v>
      </c>
      <c r="T26" s="624"/>
      <c r="U26" s="533" t="s">
        <v>835</v>
      </c>
      <c r="V26" s="533" t="s">
        <v>836</v>
      </c>
      <c r="W26" s="533" t="s">
        <v>837</v>
      </c>
      <c r="X26" s="533" t="s">
        <v>440</v>
      </c>
      <c r="Y26" s="624"/>
      <c r="Z26" s="533" t="s">
        <v>835</v>
      </c>
      <c r="AA26" s="533" t="s">
        <v>836</v>
      </c>
      <c r="AB26" s="533" t="s">
        <v>837</v>
      </c>
      <c r="AC26" s="533" t="s">
        <v>440</v>
      </c>
      <c r="AD26" s="624"/>
      <c r="AE26" s="533" t="s">
        <v>835</v>
      </c>
      <c r="AF26" s="533" t="s">
        <v>836</v>
      </c>
      <c r="AG26" s="533" t="s">
        <v>837</v>
      </c>
      <c r="AH26" s="533" t="s">
        <v>440</v>
      </c>
      <c r="AI26" s="624"/>
      <c r="AJ26" s="533" t="s">
        <v>835</v>
      </c>
      <c r="AK26" s="533" t="s">
        <v>836</v>
      </c>
      <c r="AL26" s="533" t="s">
        <v>837</v>
      </c>
      <c r="AM26" s="533" t="s">
        <v>440</v>
      </c>
      <c r="AN26" s="624"/>
      <c r="AO26" s="533" t="s">
        <v>835</v>
      </c>
      <c r="AP26" s="533" t="s">
        <v>836</v>
      </c>
      <c r="AQ26" s="533" t="s">
        <v>837</v>
      </c>
      <c r="AR26" s="533" t="s">
        <v>440</v>
      </c>
      <c r="AS26" s="624"/>
      <c r="AT26" s="533" t="s">
        <v>835</v>
      </c>
      <c r="AU26" s="533" t="s">
        <v>836</v>
      </c>
      <c r="AV26" s="533" t="s">
        <v>837</v>
      </c>
      <c r="AW26" s="533" t="s">
        <v>440</v>
      </c>
      <c r="AX26" s="624"/>
    </row>
    <row r="27" spans="2:54">
      <c r="B27" s="624" t="s">
        <v>788</v>
      </c>
      <c r="C27" s="534">
        <v>1</v>
      </c>
      <c r="D27" s="223" t="s">
        <v>649</v>
      </c>
      <c r="E27" s="538">
        <v>17</v>
      </c>
      <c r="F27" s="529">
        <v>1565</v>
      </c>
      <c r="G27" s="530">
        <v>92.058823529411768</v>
      </c>
      <c r="H27" s="671">
        <f>AVERAGE(G27:G41)</f>
        <v>87.502364981080149</v>
      </c>
      <c r="I27" s="531">
        <f t="shared" ref="I27:K40" si="8">IFERROR(AVERAGE(P27,U27,Z27,AE27,AJ27,AO27,AT27),"-")</f>
        <v>17</v>
      </c>
      <c r="J27" s="531">
        <f t="shared" si="8"/>
        <v>1396.6019393211832</v>
      </c>
      <c r="K27" s="363">
        <f t="shared" si="8"/>
        <v>82.153055254187251</v>
      </c>
      <c r="L27" s="614">
        <f>IFERROR(AVERAGE(K27:K41),"-")</f>
        <v>78.633213968885073</v>
      </c>
      <c r="M27" s="537">
        <f>RANK(K27, K$24:$K$41)</f>
        <v>2</v>
      </c>
      <c r="N27" s="624"/>
      <c r="O27" s="624"/>
      <c r="P27" s="529">
        <v>17</v>
      </c>
      <c r="Q27" s="538">
        <v>1388.1176470588236</v>
      </c>
      <c r="R27" s="538">
        <v>81.653979238754332</v>
      </c>
      <c r="S27" s="529">
        <f t="shared" ref="S27:S41" si="9">RANK(R27, R$27:R$41)</f>
        <v>2</v>
      </c>
      <c r="T27" s="610">
        <f t="shared" ref="T27" si="10">AVERAGE(R27:R41)</f>
        <v>78.371606070483637</v>
      </c>
      <c r="U27" s="529">
        <v>17</v>
      </c>
      <c r="V27" s="538">
        <v>1400.5714285714289</v>
      </c>
      <c r="W27" s="538">
        <v>82.386554621848759</v>
      </c>
      <c r="X27" s="529">
        <f t="shared" ref="X27:X41" si="11">RANK(W27, W$27:W$41)</f>
        <v>2</v>
      </c>
      <c r="Y27" s="610">
        <f t="shared" ref="Y27" si="12">AVERAGE(W27:W41)</f>
        <v>78.607867143586404</v>
      </c>
      <c r="Z27" s="529">
        <v>17</v>
      </c>
      <c r="AA27" s="538">
        <v>1394.8072727272731</v>
      </c>
      <c r="AB27" s="538">
        <v>82.047486631016071</v>
      </c>
      <c r="AC27" s="529">
        <f t="shared" ref="AC27:AC41" si="13">RANK(AB27, AB$27:AB$41)</f>
        <v>2</v>
      </c>
      <c r="AD27" s="610">
        <f t="shared" ref="AD27" si="14">AVERAGE(AB27:AB41)</f>
        <v>78.5258138399427</v>
      </c>
      <c r="AE27" s="529">
        <v>17</v>
      </c>
      <c r="AF27" s="538">
        <v>1377.0857142857149</v>
      </c>
      <c r="AG27" s="538">
        <v>81.005042016806755</v>
      </c>
      <c r="AH27" s="529">
        <f t="shared" ref="AH27:AH41" si="15">RANK(AG27, AG$27:AG$41)</f>
        <v>2</v>
      </c>
      <c r="AI27" s="610">
        <f t="shared" ref="AI27" si="16">AVERAGE(AG27:AG41)</f>
        <v>78.07135201748207</v>
      </c>
      <c r="AJ27" s="529">
        <v>17</v>
      </c>
      <c r="AK27" s="538">
        <v>1411.264285714286</v>
      </c>
      <c r="AL27" s="538">
        <v>83.015546218487415</v>
      </c>
      <c r="AM27" s="529">
        <f t="shared" ref="AM27:AM41" si="17">RANK(AL27, AL$27:AL$41)</f>
        <v>2</v>
      </c>
      <c r="AN27" s="610">
        <f t="shared" ref="AN27" si="18">AVERAGE(AL27:AL41)</f>
        <v>79.008551985270316</v>
      </c>
      <c r="AO27" s="529">
        <v>17</v>
      </c>
      <c r="AP27" s="538">
        <v>1411.264285714286</v>
      </c>
      <c r="AQ27" s="538">
        <v>83.015546218487415</v>
      </c>
      <c r="AR27" s="529">
        <f t="shared" ref="AR27:AR41" si="19">RANK(AQ27, AQ$27:AQ$41)</f>
        <v>2</v>
      </c>
      <c r="AS27" s="610">
        <f t="shared" ref="AS27" si="20">AVERAGE(AQ27:AQ41)</f>
        <v>79.008551985270316</v>
      </c>
      <c r="AT27" s="529">
        <v>17</v>
      </c>
      <c r="AU27" s="538">
        <v>1393.1029411764707</v>
      </c>
      <c r="AV27" s="538">
        <v>81.947231833910038</v>
      </c>
      <c r="AW27" s="529">
        <f t="shared" ref="AW27:AW41" si="21">RANK(AV27, AV$27:AV$41)</f>
        <v>2</v>
      </c>
      <c r="AX27" s="610">
        <f t="shared" ref="AX27" si="22">AVERAGE(AV27:AV41)</f>
        <v>78.838754740160027</v>
      </c>
      <c r="AZ27" s="377" t="e">
        <f t="shared" ref="AZ27:AZ41" si="23">RANK(AY27, AY$27:AY$41)</f>
        <v>#N/A</v>
      </c>
      <c r="BA27" s="653" t="e">
        <f t="shared" ref="BA27" si="24">AVERAGE(AY27:AY41)</f>
        <v>#DIV/0!</v>
      </c>
    </row>
    <row r="28" spans="2:54">
      <c r="B28" s="635"/>
      <c r="C28" s="534">
        <v>2</v>
      </c>
      <c r="D28" s="223" t="s">
        <v>728</v>
      </c>
      <c r="E28" s="538">
        <v>19</v>
      </c>
      <c r="F28" s="529">
        <v>1500</v>
      </c>
      <c r="G28" s="530">
        <v>78.94736842105263</v>
      </c>
      <c r="H28" s="672"/>
      <c r="I28" s="531">
        <f t="shared" si="8"/>
        <v>19</v>
      </c>
      <c r="J28" s="531">
        <f t="shared" si="8"/>
        <v>1330.3988552554185</v>
      </c>
      <c r="K28" s="363">
        <f t="shared" si="8"/>
        <v>70.020992381864133</v>
      </c>
      <c r="L28" s="615"/>
      <c r="M28" s="537">
        <f>RANK(K28, K$24:$K$41)</f>
        <v>4</v>
      </c>
      <c r="N28" s="624"/>
      <c r="O28" s="624"/>
      <c r="P28" s="529">
        <v>19</v>
      </c>
      <c r="Q28" s="538">
        <v>1317.3133757961784</v>
      </c>
      <c r="R28" s="538">
        <v>69.332282936640965</v>
      </c>
      <c r="S28" s="529">
        <f t="shared" si="9"/>
        <v>4</v>
      </c>
      <c r="T28" s="611"/>
      <c r="U28" s="529">
        <v>19</v>
      </c>
      <c r="V28" s="538">
        <v>1313.4278145695362</v>
      </c>
      <c r="W28" s="538">
        <v>69.127779714186119</v>
      </c>
      <c r="X28" s="529">
        <f t="shared" si="11"/>
        <v>4</v>
      </c>
      <c r="Y28" s="611"/>
      <c r="Z28" s="529">
        <v>19</v>
      </c>
      <c r="AA28" s="538">
        <v>1327.365957446809</v>
      </c>
      <c r="AB28" s="538">
        <v>69.861366181411</v>
      </c>
      <c r="AC28" s="529">
        <f t="shared" si="13"/>
        <v>4</v>
      </c>
      <c r="AD28" s="611"/>
      <c r="AE28" s="529">
        <v>19</v>
      </c>
      <c r="AF28" s="538">
        <v>1330.6153846153843</v>
      </c>
      <c r="AG28" s="538">
        <v>70.032388663967595</v>
      </c>
      <c r="AH28" s="529">
        <f t="shared" si="15"/>
        <v>4</v>
      </c>
      <c r="AI28" s="611"/>
      <c r="AJ28" s="529">
        <v>19</v>
      </c>
      <c r="AK28" s="538">
        <v>1333.7837837837842</v>
      </c>
      <c r="AL28" s="538">
        <v>70.199146514936004</v>
      </c>
      <c r="AM28" s="529">
        <f t="shared" si="17"/>
        <v>4</v>
      </c>
      <c r="AN28" s="611"/>
      <c r="AO28" s="529">
        <v>19</v>
      </c>
      <c r="AP28" s="538">
        <v>1333.7837837837842</v>
      </c>
      <c r="AQ28" s="538">
        <v>70.199146514936004</v>
      </c>
      <c r="AR28" s="529">
        <f t="shared" si="19"/>
        <v>4</v>
      </c>
      <c r="AS28" s="611"/>
      <c r="AT28" s="529">
        <v>19</v>
      </c>
      <c r="AU28" s="538">
        <v>1356.501886792453</v>
      </c>
      <c r="AV28" s="538">
        <v>71.394836146971215</v>
      </c>
      <c r="AW28" s="529">
        <f t="shared" si="21"/>
        <v>4</v>
      </c>
      <c r="AX28" s="611"/>
      <c r="AZ28" s="377" t="e">
        <f t="shared" si="23"/>
        <v>#N/A</v>
      </c>
      <c r="BA28" s="653"/>
    </row>
    <row r="29" spans="2:54">
      <c r="B29" s="635"/>
      <c r="C29" s="534">
        <v>3</v>
      </c>
      <c r="D29" s="223" t="s">
        <v>729</v>
      </c>
      <c r="E29" s="538">
        <v>18</v>
      </c>
      <c r="F29" s="529">
        <v>1565</v>
      </c>
      <c r="G29" s="530">
        <v>86.944444444444443</v>
      </c>
      <c r="H29" s="672"/>
      <c r="I29" s="531">
        <f t="shared" si="8"/>
        <v>18</v>
      </c>
      <c r="J29" s="531">
        <f t="shared" si="8"/>
        <v>1426.9205984510443</v>
      </c>
      <c r="K29" s="363">
        <f t="shared" si="8"/>
        <v>79.273366580613583</v>
      </c>
      <c r="L29" s="615"/>
      <c r="M29" s="537">
        <f>RANK(K29, K$24:$K$41)</f>
        <v>3</v>
      </c>
      <c r="N29" s="624"/>
      <c r="O29" s="624"/>
      <c r="P29" s="529">
        <v>18</v>
      </c>
      <c r="Q29" s="538">
        <v>1427.663551401869</v>
      </c>
      <c r="R29" s="538">
        <v>79.314641744548283</v>
      </c>
      <c r="S29" s="529">
        <f t="shared" si="9"/>
        <v>3</v>
      </c>
      <c r="T29" s="611"/>
      <c r="U29" s="529">
        <v>18</v>
      </c>
      <c r="V29" s="538">
        <v>1434.2307692307688</v>
      </c>
      <c r="W29" s="538">
        <v>79.679487179487154</v>
      </c>
      <c r="X29" s="529">
        <f t="shared" si="11"/>
        <v>3</v>
      </c>
      <c r="Y29" s="611"/>
      <c r="Z29" s="529">
        <v>18</v>
      </c>
      <c r="AA29" s="538">
        <v>1403.5897435897436</v>
      </c>
      <c r="AB29" s="538">
        <v>77.977207977207982</v>
      </c>
      <c r="AC29" s="529">
        <f t="shared" si="13"/>
        <v>3</v>
      </c>
      <c r="AD29" s="611"/>
      <c r="AE29" s="529">
        <v>18</v>
      </c>
      <c r="AF29" s="538">
        <v>1422.4000000000005</v>
      </c>
      <c r="AG29" s="538">
        <v>79.022222222222254</v>
      </c>
      <c r="AH29" s="529">
        <f t="shared" si="15"/>
        <v>3</v>
      </c>
      <c r="AI29" s="611"/>
      <c r="AJ29" s="529">
        <v>18</v>
      </c>
      <c r="AK29" s="538">
        <v>1435.0588235294115</v>
      </c>
      <c r="AL29" s="538">
        <v>79.725490196078411</v>
      </c>
      <c r="AM29" s="529">
        <f t="shared" si="17"/>
        <v>3</v>
      </c>
      <c r="AN29" s="611"/>
      <c r="AO29" s="529">
        <v>18</v>
      </c>
      <c r="AP29" s="538">
        <v>1435.0588235294115</v>
      </c>
      <c r="AQ29" s="538">
        <v>79.725490196078411</v>
      </c>
      <c r="AR29" s="529">
        <f t="shared" si="19"/>
        <v>3</v>
      </c>
      <c r="AS29" s="611"/>
      <c r="AT29" s="529">
        <v>18</v>
      </c>
      <c r="AU29" s="538">
        <v>1430.4424778761061</v>
      </c>
      <c r="AV29" s="538">
        <v>79.469026548672559</v>
      </c>
      <c r="AW29" s="529">
        <f t="shared" si="21"/>
        <v>3</v>
      </c>
      <c r="AX29" s="611"/>
      <c r="AZ29" s="377" t="e">
        <f t="shared" si="23"/>
        <v>#N/A</v>
      </c>
      <c r="BA29" s="653"/>
    </row>
    <row r="30" spans="2:54">
      <c r="B30" s="635"/>
      <c r="C30" s="534">
        <v>4</v>
      </c>
      <c r="D30" s="223" t="s">
        <v>648</v>
      </c>
      <c r="E30" s="538">
        <v>17</v>
      </c>
      <c r="F30" s="529">
        <v>1565</v>
      </c>
      <c r="G30" s="530">
        <v>92.058823529411768</v>
      </c>
      <c r="H30" s="672"/>
      <c r="I30" s="531">
        <f t="shared" si="8"/>
        <v>17</v>
      </c>
      <c r="J30" s="531">
        <f t="shared" si="8"/>
        <v>1412.4525082008799</v>
      </c>
      <c r="K30" s="363">
        <f t="shared" si="8"/>
        <v>83.085441658875311</v>
      </c>
      <c r="L30" s="615"/>
      <c r="M30" s="537">
        <f>RANK(K30, K$24:$K$41)</f>
        <v>1</v>
      </c>
      <c r="N30" s="624"/>
      <c r="O30" s="624"/>
      <c r="P30" s="529">
        <v>17</v>
      </c>
      <c r="Q30" s="538">
        <v>1414.1538461538464</v>
      </c>
      <c r="R30" s="538">
        <v>83.185520361990967</v>
      </c>
      <c r="S30" s="529">
        <f t="shared" si="9"/>
        <v>1</v>
      </c>
      <c r="T30" s="611"/>
      <c r="U30" s="529">
        <v>17</v>
      </c>
      <c r="V30" s="538">
        <v>1415.0400000000004</v>
      </c>
      <c r="W30" s="538">
        <v>83.237647058823555</v>
      </c>
      <c r="X30" s="529">
        <f t="shared" si="11"/>
        <v>1</v>
      </c>
      <c r="Y30" s="611"/>
      <c r="Z30" s="529">
        <v>17</v>
      </c>
      <c r="AA30" s="538">
        <v>1431.6923076923074</v>
      </c>
      <c r="AB30" s="538">
        <v>84.217194570135732</v>
      </c>
      <c r="AC30" s="529">
        <f t="shared" si="13"/>
        <v>1</v>
      </c>
      <c r="AD30" s="611"/>
      <c r="AE30" s="529">
        <v>17</v>
      </c>
      <c r="AF30" s="538">
        <v>1397.8378378378379</v>
      </c>
      <c r="AG30" s="538">
        <v>82.225755166931648</v>
      </c>
      <c r="AH30" s="529">
        <f t="shared" si="15"/>
        <v>1</v>
      </c>
      <c r="AI30" s="611"/>
      <c r="AJ30" s="529">
        <v>17</v>
      </c>
      <c r="AK30" s="538">
        <v>1412.59842519685</v>
      </c>
      <c r="AL30" s="538">
        <v>83.094025011579419</v>
      </c>
      <c r="AM30" s="529">
        <f t="shared" si="17"/>
        <v>1</v>
      </c>
      <c r="AN30" s="611"/>
      <c r="AO30" s="529">
        <v>17</v>
      </c>
      <c r="AP30" s="538">
        <v>1412.59842519685</v>
      </c>
      <c r="AQ30" s="538">
        <v>83.094025011579419</v>
      </c>
      <c r="AR30" s="529">
        <f t="shared" si="19"/>
        <v>1</v>
      </c>
      <c r="AS30" s="611"/>
      <c r="AT30" s="529">
        <v>17</v>
      </c>
      <c r="AU30" s="538">
        <v>1403.2467153284672</v>
      </c>
      <c r="AV30" s="538">
        <v>82.54392443108631</v>
      </c>
      <c r="AW30" s="529">
        <f t="shared" si="21"/>
        <v>1</v>
      </c>
      <c r="AX30" s="611"/>
      <c r="AZ30" s="377" t="e">
        <f t="shared" si="23"/>
        <v>#N/A</v>
      </c>
      <c r="BA30" s="653"/>
    </row>
    <row r="31" spans="2:54">
      <c r="B31" s="635"/>
      <c r="C31" s="534">
        <v>5</v>
      </c>
      <c r="D31" s="223"/>
      <c r="E31" s="538"/>
      <c r="F31" s="529"/>
      <c r="G31" s="530"/>
      <c r="H31" s="672"/>
      <c r="I31" s="531" t="str">
        <f t="shared" si="8"/>
        <v>-</v>
      </c>
      <c r="J31" s="531" t="str">
        <f t="shared" si="8"/>
        <v>-</v>
      </c>
      <c r="K31" s="363" t="str">
        <f t="shared" si="8"/>
        <v>-</v>
      </c>
      <c r="L31" s="615"/>
      <c r="M31" s="537" t="e">
        <f>RANK(K31, K$24:$K$41)</f>
        <v>#VALUE!</v>
      </c>
      <c r="N31" s="624"/>
      <c r="O31" s="624"/>
      <c r="P31" s="529" t="s">
        <v>427</v>
      </c>
      <c r="Q31" s="538" t="s">
        <v>427</v>
      </c>
      <c r="R31" s="538" t="s">
        <v>427</v>
      </c>
      <c r="S31" s="529" t="e">
        <f t="shared" si="9"/>
        <v>#VALUE!</v>
      </c>
      <c r="T31" s="611"/>
      <c r="U31" s="529" t="s">
        <v>427</v>
      </c>
      <c r="V31" s="538" t="s">
        <v>427</v>
      </c>
      <c r="W31" s="538" t="s">
        <v>427</v>
      </c>
      <c r="X31" s="529" t="e">
        <f t="shared" si="11"/>
        <v>#VALUE!</v>
      </c>
      <c r="Y31" s="611"/>
      <c r="Z31" s="529" t="s">
        <v>427</v>
      </c>
      <c r="AA31" s="538" t="s">
        <v>427</v>
      </c>
      <c r="AB31" s="538" t="s">
        <v>427</v>
      </c>
      <c r="AC31" s="529" t="e">
        <f t="shared" si="13"/>
        <v>#VALUE!</v>
      </c>
      <c r="AD31" s="611"/>
      <c r="AE31" s="529" t="s">
        <v>427</v>
      </c>
      <c r="AF31" s="538" t="s">
        <v>427</v>
      </c>
      <c r="AG31" s="538" t="s">
        <v>427</v>
      </c>
      <c r="AH31" s="529" t="e">
        <f t="shared" si="15"/>
        <v>#VALUE!</v>
      </c>
      <c r="AI31" s="611"/>
      <c r="AJ31" s="529" t="s">
        <v>427</v>
      </c>
      <c r="AK31" s="538" t="s">
        <v>427</v>
      </c>
      <c r="AL31" s="538" t="s">
        <v>427</v>
      </c>
      <c r="AM31" s="529" t="e">
        <f t="shared" si="17"/>
        <v>#VALUE!</v>
      </c>
      <c r="AN31" s="611"/>
      <c r="AO31" s="529" t="s">
        <v>427</v>
      </c>
      <c r="AP31" s="538" t="s">
        <v>427</v>
      </c>
      <c r="AQ31" s="538" t="s">
        <v>427</v>
      </c>
      <c r="AR31" s="529" t="e">
        <f t="shared" si="19"/>
        <v>#VALUE!</v>
      </c>
      <c r="AS31" s="611"/>
      <c r="AT31" s="529" t="s">
        <v>427</v>
      </c>
      <c r="AU31" s="538" t="s">
        <v>427</v>
      </c>
      <c r="AV31" s="538" t="s">
        <v>427</v>
      </c>
      <c r="AW31" s="529" t="e">
        <f t="shared" si="21"/>
        <v>#VALUE!</v>
      </c>
      <c r="AX31" s="611"/>
      <c r="AZ31" s="377" t="e">
        <f t="shared" si="23"/>
        <v>#N/A</v>
      </c>
      <c r="BA31" s="653"/>
    </row>
    <row r="32" spans="2:54">
      <c r="B32" s="635"/>
      <c r="C32" s="534">
        <v>6</v>
      </c>
      <c r="D32" s="223"/>
      <c r="E32" s="538"/>
      <c r="F32" s="529"/>
      <c r="G32" s="530"/>
      <c r="H32" s="672"/>
      <c r="I32" s="531" t="str">
        <f t="shared" si="8"/>
        <v>-</v>
      </c>
      <c r="J32" s="531" t="str">
        <f t="shared" si="8"/>
        <v>-</v>
      </c>
      <c r="K32" s="363" t="str">
        <f t="shared" si="8"/>
        <v>-</v>
      </c>
      <c r="L32" s="615"/>
      <c r="M32" s="537" t="e">
        <f>RANK(K32, K$24:$K$41)</f>
        <v>#VALUE!</v>
      </c>
      <c r="N32" s="624"/>
      <c r="O32" s="624"/>
      <c r="P32" s="529" t="s">
        <v>427</v>
      </c>
      <c r="Q32" s="538" t="s">
        <v>427</v>
      </c>
      <c r="R32" s="538" t="s">
        <v>427</v>
      </c>
      <c r="S32" s="529" t="e">
        <f t="shared" si="9"/>
        <v>#VALUE!</v>
      </c>
      <c r="T32" s="611"/>
      <c r="U32" s="529" t="s">
        <v>427</v>
      </c>
      <c r="V32" s="538" t="s">
        <v>427</v>
      </c>
      <c r="W32" s="538" t="s">
        <v>427</v>
      </c>
      <c r="X32" s="529" t="e">
        <f t="shared" si="11"/>
        <v>#VALUE!</v>
      </c>
      <c r="Y32" s="611"/>
      <c r="Z32" s="529" t="s">
        <v>427</v>
      </c>
      <c r="AA32" s="538" t="s">
        <v>427</v>
      </c>
      <c r="AB32" s="538" t="s">
        <v>427</v>
      </c>
      <c r="AC32" s="529" t="e">
        <f t="shared" si="13"/>
        <v>#VALUE!</v>
      </c>
      <c r="AD32" s="611"/>
      <c r="AE32" s="529" t="s">
        <v>427</v>
      </c>
      <c r="AF32" s="538" t="s">
        <v>427</v>
      </c>
      <c r="AG32" s="538" t="s">
        <v>427</v>
      </c>
      <c r="AH32" s="529" t="e">
        <f t="shared" si="15"/>
        <v>#VALUE!</v>
      </c>
      <c r="AI32" s="611"/>
      <c r="AJ32" s="529" t="s">
        <v>427</v>
      </c>
      <c r="AK32" s="538" t="s">
        <v>427</v>
      </c>
      <c r="AL32" s="538" t="s">
        <v>427</v>
      </c>
      <c r="AM32" s="529" t="e">
        <f t="shared" si="17"/>
        <v>#VALUE!</v>
      </c>
      <c r="AN32" s="611"/>
      <c r="AO32" s="529" t="s">
        <v>427</v>
      </c>
      <c r="AP32" s="538" t="s">
        <v>427</v>
      </c>
      <c r="AQ32" s="538" t="s">
        <v>427</v>
      </c>
      <c r="AR32" s="529" t="e">
        <f t="shared" si="19"/>
        <v>#VALUE!</v>
      </c>
      <c r="AS32" s="611"/>
      <c r="AT32" s="529" t="s">
        <v>427</v>
      </c>
      <c r="AU32" s="538" t="s">
        <v>427</v>
      </c>
      <c r="AV32" s="538" t="s">
        <v>427</v>
      </c>
      <c r="AW32" s="529" t="e">
        <f t="shared" si="21"/>
        <v>#VALUE!</v>
      </c>
      <c r="AX32" s="611"/>
      <c r="AZ32" s="377" t="e">
        <f t="shared" si="23"/>
        <v>#N/A</v>
      </c>
      <c r="BA32" s="653"/>
    </row>
    <row r="33" spans="2:53">
      <c r="B33" s="635"/>
      <c r="C33" s="534">
        <v>7</v>
      </c>
      <c r="D33" s="223"/>
      <c r="E33" s="538"/>
      <c r="F33" s="529"/>
      <c r="G33" s="530"/>
      <c r="H33" s="672"/>
      <c r="I33" s="531" t="str">
        <f t="shared" si="8"/>
        <v>-</v>
      </c>
      <c r="J33" s="531" t="str">
        <f t="shared" si="8"/>
        <v>-</v>
      </c>
      <c r="K33" s="363" t="str">
        <f t="shared" si="8"/>
        <v>-</v>
      </c>
      <c r="L33" s="615"/>
      <c r="M33" s="537" t="e">
        <f>RANK(K33, K$24:$K$41)</f>
        <v>#VALUE!</v>
      </c>
      <c r="N33" s="624"/>
      <c r="O33" s="624"/>
      <c r="P33" s="529" t="s">
        <v>427</v>
      </c>
      <c r="Q33" s="538" t="s">
        <v>427</v>
      </c>
      <c r="R33" s="538" t="s">
        <v>427</v>
      </c>
      <c r="S33" s="529" t="e">
        <f t="shared" si="9"/>
        <v>#VALUE!</v>
      </c>
      <c r="T33" s="611"/>
      <c r="U33" s="529" t="s">
        <v>427</v>
      </c>
      <c r="V33" s="538" t="s">
        <v>427</v>
      </c>
      <c r="W33" s="538" t="s">
        <v>427</v>
      </c>
      <c r="X33" s="529" t="e">
        <f t="shared" si="11"/>
        <v>#VALUE!</v>
      </c>
      <c r="Y33" s="611"/>
      <c r="Z33" s="529" t="s">
        <v>427</v>
      </c>
      <c r="AA33" s="538" t="s">
        <v>427</v>
      </c>
      <c r="AB33" s="538" t="s">
        <v>427</v>
      </c>
      <c r="AC33" s="529" t="e">
        <f t="shared" si="13"/>
        <v>#VALUE!</v>
      </c>
      <c r="AD33" s="611"/>
      <c r="AE33" s="529" t="s">
        <v>427</v>
      </c>
      <c r="AF33" s="538" t="s">
        <v>427</v>
      </c>
      <c r="AG33" s="538" t="s">
        <v>427</v>
      </c>
      <c r="AH33" s="529" t="e">
        <f t="shared" si="15"/>
        <v>#VALUE!</v>
      </c>
      <c r="AI33" s="611"/>
      <c r="AJ33" s="529" t="s">
        <v>427</v>
      </c>
      <c r="AK33" s="538" t="s">
        <v>427</v>
      </c>
      <c r="AL33" s="538" t="s">
        <v>427</v>
      </c>
      <c r="AM33" s="529" t="e">
        <f t="shared" si="17"/>
        <v>#VALUE!</v>
      </c>
      <c r="AN33" s="611"/>
      <c r="AO33" s="529" t="s">
        <v>427</v>
      </c>
      <c r="AP33" s="538" t="s">
        <v>427</v>
      </c>
      <c r="AQ33" s="538" t="s">
        <v>427</v>
      </c>
      <c r="AR33" s="529" t="e">
        <f t="shared" si="19"/>
        <v>#VALUE!</v>
      </c>
      <c r="AS33" s="611"/>
      <c r="AT33" s="529" t="s">
        <v>427</v>
      </c>
      <c r="AU33" s="538" t="s">
        <v>427</v>
      </c>
      <c r="AV33" s="538" t="s">
        <v>427</v>
      </c>
      <c r="AW33" s="529" t="e">
        <f t="shared" si="21"/>
        <v>#VALUE!</v>
      </c>
      <c r="AX33" s="611"/>
      <c r="AZ33" s="377" t="e">
        <f t="shared" si="23"/>
        <v>#N/A</v>
      </c>
      <c r="BA33" s="653"/>
    </row>
    <row r="34" spans="2:53">
      <c r="B34" s="635"/>
      <c r="C34" s="534">
        <v>8</v>
      </c>
      <c r="D34" s="223"/>
      <c r="E34" s="538"/>
      <c r="F34" s="529"/>
      <c r="G34" s="530"/>
      <c r="H34" s="672"/>
      <c r="I34" s="531" t="str">
        <f t="shared" si="8"/>
        <v>-</v>
      </c>
      <c r="J34" s="531" t="str">
        <f t="shared" si="8"/>
        <v>-</v>
      </c>
      <c r="K34" s="363" t="str">
        <f t="shared" si="8"/>
        <v>-</v>
      </c>
      <c r="L34" s="615"/>
      <c r="M34" s="537" t="e">
        <f>RANK(K34, K$24:$K$41)</f>
        <v>#VALUE!</v>
      </c>
      <c r="N34" s="624"/>
      <c r="O34" s="624"/>
      <c r="P34" s="529" t="s">
        <v>427</v>
      </c>
      <c r="Q34" s="538" t="s">
        <v>427</v>
      </c>
      <c r="R34" s="538" t="s">
        <v>427</v>
      </c>
      <c r="S34" s="529" t="e">
        <f t="shared" si="9"/>
        <v>#VALUE!</v>
      </c>
      <c r="T34" s="611"/>
      <c r="U34" s="529" t="s">
        <v>427</v>
      </c>
      <c r="V34" s="538" t="s">
        <v>427</v>
      </c>
      <c r="W34" s="538" t="s">
        <v>427</v>
      </c>
      <c r="X34" s="529" t="e">
        <f t="shared" si="11"/>
        <v>#VALUE!</v>
      </c>
      <c r="Y34" s="611"/>
      <c r="Z34" s="529" t="s">
        <v>427</v>
      </c>
      <c r="AA34" s="538" t="s">
        <v>427</v>
      </c>
      <c r="AB34" s="538" t="s">
        <v>427</v>
      </c>
      <c r="AC34" s="529" t="e">
        <f t="shared" si="13"/>
        <v>#VALUE!</v>
      </c>
      <c r="AD34" s="611"/>
      <c r="AE34" s="529" t="s">
        <v>427</v>
      </c>
      <c r="AF34" s="538" t="s">
        <v>427</v>
      </c>
      <c r="AG34" s="538" t="s">
        <v>427</v>
      </c>
      <c r="AH34" s="529" t="e">
        <f t="shared" si="15"/>
        <v>#VALUE!</v>
      </c>
      <c r="AI34" s="611"/>
      <c r="AJ34" s="529" t="s">
        <v>427</v>
      </c>
      <c r="AK34" s="538" t="s">
        <v>427</v>
      </c>
      <c r="AL34" s="538" t="s">
        <v>427</v>
      </c>
      <c r="AM34" s="529" t="e">
        <f t="shared" si="17"/>
        <v>#VALUE!</v>
      </c>
      <c r="AN34" s="611"/>
      <c r="AO34" s="529" t="s">
        <v>427</v>
      </c>
      <c r="AP34" s="538" t="s">
        <v>427</v>
      </c>
      <c r="AQ34" s="538" t="s">
        <v>427</v>
      </c>
      <c r="AR34" s="529" t="e">
        <f t="shared" si="19"/>
        <v>#VALUE!</v>
      </c>
      <c r="AS34" s="611"/>
      <c r="AT34" s="529" t="s">
        <v>427</v>
      </c>
      <c r="AU34" s="538" t="s">
        <v>427</v>
      </c>
      <c r="AV34" s="538" t="s">
        <v>427</v>
      </c>
      <c r="AW34" s="529" t="e">
        <f t="shared" si="21"/>
        <v>#VALUE!</v>
      </c>
      <c r="AX34" s="611"/>
      <c r="AZ34" s="377" t="e">
        <f t="shared" si="23"/>
        <v>#N/A</v>
      </c>
      <c r="BA34" s="653"/>
    </row>
    <row r="35" spans="2:53">
      <c r="B35" s="635"/>
      <c r="C35" s="534">
        <v>9</v>
      </c>
      <c r="D35" s="223"/>
      <c r="E35" s="538"/>
      <c r="F35" s="529"/>
      <c r="G35" s="530"/>
      <c r="H35" s="672"/>
      <c r="I35" s="531" t="str">
        <f t="shared" si="8"/>
        <v>-</v>
      </c>
      <c r="J35" s="531" t="str">
        <f t="shared" si="8"/>
        <v>-</v>
      </c>
      <c r="K35" s="363" t="str">
        <f t="shared" si="8"/>
        <v>-</v>
      </c>
      <c r="L35" s="615"/>
      <c r="M35" s="537" t="e">
        <f>RANK(K35, K$24:$K$41)</f>
        <v>#VALUE!</v>
      </c>
      <c r="N35" s="624"/>
      <c r="O35" s="624"/>
      <c r="P35" s="529" t="s">
        <v>427</v>
      </c>
      <c r="Q35" s="538" t="s">
        <v>427</v>
      </c>
      <c r="R35" s="538" t="s">
        <v>427</v>
      </c>
      <c r="S35" s="529" t="e">
        <f t="shared" si="9"/>
        <v>#VALUE!</v>
      </c>
      <c r="T35" s="611"/>
      <c r="U35" s="529" t="s">
        <v>427</v>
      </c>
      <c r="V35" s="538" t="s">
        <v>427</v>
      </c>
      <c r="W35" s="538" t="s">
        <v>427</v>
      </c>
      <c r="X35" s="529" t="e">
        <f t="shared" si="11"/>
        <v>#VALUE!</v>
      </c>
      <c r="Y35" s="611"/>
      <c r="Z35" s="529" t="s">
        <v>427</v>
      </c>
      <c r="AA35" s="538" t="s">
        <v>427</v>
      </c>
      <c r="AB35" s="538" t="s">
        <v>427</v>
      </c>
      <c r="AC35" s="529" t="e">
        <f t="shared" si="13"/>
        <v>#VALUE!</v>
      </c>
      <c r="AD35" s="611"/>
      <c r="AE35" s="529" t="s">
        <v>427</v>
      </c>
      <c r="AF35" s="538" t="s">
        <v>427</v>
      </c>
      <c r="AG35" s="538" t="s">
        <v>427</v>
      </c>
      <c r="AH35" s="529" t="e">
        <f t="shared" si="15"/>
        <v>#VALUE!</v>
      </c>
      <c r="AI35" s="611"/>
      <c r="AJ35" s="529" t="s">
        <v>427</v>
      </c>
      <c r="AK35" s="538" t="s">
        <v>427</v>
      </c>
      <c r="AL35" s="538" t="s">
        <v>427</v>
      </c>
      <c r="AM35" s="529" t="e">
        <f t="shared" si="17"/>
        <v>#VALUE!</v>
      </c>
      <c r="AN35" s="611"/>
      <c r="AO35" s="529" t="s">
        <v>427</v>
      </c>
      <c r="AP35" s="538" t="s">
        <v>427</v>
      </c>
      <c r="AQ35" s="538" t="s">
        <v>427</v>
      </c>
      <c r="AR35" s="529" t="e">
        <f t="shared" si="19"/>
        <v>#VALUE!</v>
      </c>
      <c r="AS35" s="611"/>
      <c r="AT35" s="529" t="s">
        <v>427</v>
      </c>
      <c r="AU35" s="538" t="s">
        <v>427</v>
      </c>
      <c r="AV35" s="538" t="s">
        <v>427</v>
      </c>
      <c r="AW35" s="529" t="e">
        <f t="shared" si="21"/>
        <v>#VALUE!</v>
      </c>
      <c r="AX35" s="611"/>
      <c r="AZ35" s="377" t="e">
        <f t="shared" si="23"/>
        <v>#N/A</v>
      </c>
      <c r="BA35" s="653"/>
    </row>
    <row r="36" spans="2:53">
      <c r="B36" s="635"/>
      <c r="C36" s="534">
        <v>10</v>
      </c>
      <c r="D36" s="223"/>
      <c r="E36" s="538"/>
      <c r="F36" s="529"/>
      <c r="G36" s="530"/>
      <c r="H36" s="672"/>
      <c r="I36" s="531" t="str">
        <f t="shared" si="8"/>
        <v>-</v>
      </c>
      <c r="J36" s="531" t="str">
        <f t="shared" si="8"/>
        <v>-</v>
      </c>
      <c r="K36" s="363" t="str">
        <f t="shared" si="8"/>
        <v>-</v>
      </c>
      <c r="L36" s="615"/>
      <c r="M36" s="537" t="e">
        <f>RANK(K36, K$24:$K$41)</f>
        <v>#VALUE!</v>
      </c>
      <c r="N36" s="624"/>
      <c r="O36" s="624"/>
      <c r="P36" s="529" t="s">
        <v>427</v>
      </c>
      <c r="Q36" s="538" t="s">
        <v>427</v>
      </c>
      <c r="R36" s="538" t="s">
        <v>427</v>
      </c>
      <c r="S36" s="529" t="e">
        <f t="shared" si="9"/>
        <v>#VALUE!</v>
      </c>
      <c r="T36" s="611"/>
      <c r="U36" s="529" t="s">
        <v>427</v>
      </c>
      <c r="V36" s="538" t="s">
        <v>427</v>
      </c>
      <c r="W36" s="538" t="s">
        <v>427</v>
      </c>
      <c r="X36" s="529" t="e">
        <f t="shared" si="11"/>
        <v>#VALUE!</v>
      </c>
      <c r="Y36" s="611"/>
      <c r="Z36" s="529" t="s">
        <v>427</v>
      </c>
      <c r="AA36" s="538" t="s">
        <v>427</v>
      </c>
      <c r="AB36" s="538" t="s">
        <v>427</v>
      </c>
      <c r="AC36" s="529" t="e">
        <f t="shared" si="13"/>
        <v>#VALUE!</v>
      </c>
      <c r="AD36" s="611"/>
      <c r="AE36" s="529" t="s">
        <v>427</v>
      </c>
      <c r="AF36" s="538" t="s">
        <v>427</v>
      </c>
      <c r="AG36" s="538" t="s">
        <v>427</v>
      </c>
      <c r="AH36" s="529" t="e">
        <f t="shared" si="15"/>
        <v>#VALUE!</v>
      </c>
      <c r="AI36" s="611"/>
      <c r="AJ36" s="529" t="s">
        <v>427</v>
      </c>
      <c r="AK36" s="538" t="s">
        <v>427</v>
      </c>
      <c r="AL36" s="538" t="s">
        <v>427</v>
      </c>
      <c r="AM36" s="529" t="e">
        <f t="shared" si="17"/>
        <v>#VALUE!</v>
      </c>
      <c r="AN36" s="611"/>
      <c r="AO36" s="529" t="s">
        <v>427</v>
      </c>
      <c r="AP36" s="538" t="s">
        <v>427</v>
      </c>
      <c r="AQ36" s="538" t="s">
        <v>427</v>
      </c>
      <c r="AR36" s="529" t="e">
        <f t="shared" si="19"/>
        <v>#VALUE!</v>
      </c>
      <c r="AS36" s="611"/>
      <c r="AT36" s="529" t="s">
        <v>427</v>
      </c>
      <c r="AU36" s="538" t="s">
        <v>427</v>
      </c>
      <c r="AV36" s="538" t="s">
        <v>427</v>
      </c>
      <c r="AW36" s="529" t="e">
        <f t="shared" si="21"/>
        <v>#VALUE!</v>
      </c>
      <c r="AX36" s="611"/>
      <c r="AZ36" s="377" t="e">
        <f t="shared" si="23"/>
        <v>#N/A</v>
      </c>
      <c r="BA36" s="653"/>
    </row>
    <row r="37" spans="2:53">
      <c r="B37" s="635"/>
      <c r="C37" s="534">
        <v>11</v>
      </c>
      <c r="D37" s="223"/>
      <c r="E37" s="538"/>
      <c r="F37" s="529"/>
      <c r="G37" s="530"/>
      <c r="H37" s="672"/>
      <c r="I37" s="531" t="str">
        <f t="shared" si="8"/>
        <v>-</v>
      </c>
      <c r="J37" s="531" t="str">
        <f t="shared" si="8"/>
        <v>-</v>
      </c>
      <c r="K37" s="363" t="str">
        <f t="shared" si="8"/>
        <v>-</v>
      </c>
      <c r="L37" s="615"/>
      <c r="M37" s="537" t="e">
        <f>RANK(K37, K$24:$K$41)</f>
        <v>#VALUE!</v>
      </c>
      <c r="N37" s="624"/>
      <c r="O37" s="624"/>
      <c r="P37" s="529" t="s">
        <v>427</v>
      </c>
      <c r="Q37" s="538" t="s">
        <v>427</v>
      </c>
      <c r="R37" s="538" t="s">
        <v>427</v>
      </c>
      <c r="S37" s="529" t="e">
        <f t="shared" si="9"/>
        <v>#VALUE!</v>
      </c>
      <c r="T37" s="611"/>
      <c r="U37" s="529" t="s">
        <v>427</v>
      </c>
      <c r="V37" s="538" t="s">
        <v>427</v>
      </c>
      <c r="W37" s="538" t="s">
        <v>427</v>
      </c>
      <c r="X37" s="529" t="e">
        <f t="shared" si="11"/>
        <v>#VALUE!</v>
      </c>
      <c r="Y37" s="611"/>
      <c r="Z37" s="529" t="s">
        <v>427</v>
      </c>
      <c r="AA37" s="538" t="s">
        <v>427</v>
      </c>
      <c r="AB37" s="538" t="s">
        <v>427</v>
      </c>
      <c r="AC37" s="529" t="e">
        <f t="shared" si="13"/>
        <v>#VALUE!</v>
      </c>
      <c r="AD37" s="611"/>
      <c r="AE37" s="529" t="s">
        <v>427</v>
      </c>
      <c r="AF37" s="538" t="s">
        <v>427</v>
      </c>
      <c r="AG37" s="538" t="s">
        <v>427</v>
      </c>
      <c r="AH37" s="529" t="e">
        <f t="shared" si="15"/>
        <v>#VALUE!</v>
      </c>
      <c r="AI37" s="611"/>
      <c r="AJ37" s="529" t="s">
        <v>427</v>
      </c>
      <c r="AK37" s="538" t="s">
        <v>427</v>
      </c>
      <c r="AL37" s="538" t="s">
        <v>427</v>
      </c>
      <c r="AM37" s="529" t="e">
        <f t="shared" si="17"/>
        <v>#VALUE!</v>
      </c>
      <c r="AN37" s="611"/>
      <c r="AO37" s="529" t="s">
        <v>427</v>
      </c>
      <c r="AP37" s="538" t="s">
        <v>427</v>
      </c>
      <c r="AQ37" s="538" t="s">
        <v>427</v>
      </c>
      <c r="AR37" s="529" t="e">
        <f t="shared" si="19"/>
        <v>#VALUE!</v>
      </c>
      <c r="AS37" s="611"/>
      <c r="AT37" s="529" t="s">
        <v>427</v>
      </c>
      <c r="AU37" s="538" t="s">
        <v>427</v>
      </c>
      <c r="AV37" s="538" t="s">
        <v>427</v>
      </c>
      <c r="AW37" s="529" t="e">
        <f t="shared" si="21"/>
        <v>#VALUE!</v>
      </c>
      <c r="AX37" s="611"/>
      <c r="AZ37" s="377" t="e">
        <f t="shared" si="23"/>
        <v>#N/A</v>
      </c>
      <c r="BA37" s="653"/>
    </row>
    <row r="38" spans="2:53">
      <c r="B38" s="635"/>
      <c r="C38" s="534">
        <v>12</v>
      </c>
      <c r="D38" s="223"/>
      <c r="E38" s="538"/>
      <c r="F38" s="529"/>
      <c r="G38" s="530"/>
      <c r="H38" s="672"/>
      <c r="I38" s="531" t="str">
        <f t="shared" si="8"/>
        <v>-</v>
      </c>
      <c r="J38" s="531" t="str">
        <f t="shared" si="8"/>
        <v>-</v>
      </c>
      <c r="K38" s="363" t="str">
        <f t="shared" si="8"/>
        <v>-</v>
      </c>
      <c r="L38" s="615"/>
      <c r="M38" s="537" t="e">
        <f>RANK(K38, K$24:$K$41)</f>
        <v>#VALUE!</v>
      </c>
      <c r="N38" s="624"/>
      <c r="O38" s="624"/>
      <c r="P38" s="529" t="s">
        <v>427</v>
      </c>
      <c r="Q38" s="538" t="s">
        <v>427</v>
      </c>
      <c r="R38" s="538" t="s">
        <v>427</v>
      </c>
      <c r="S38" s="529" t="e">
        <f t="shared" si="9"/>
        <v>#VALUE!</v>
      </c>
      <c r="T38" s="611"/>
      <c r="U38" s="529" t="s">
        <v>427</v>
      </c>
      <c r="V38" s="538" t="s">
        <v>427</v>
      </c>
      <c r="W38" s="538" t="s">
        <v>427</v>
      </c>
      <c r="X38" s="529" t="e">
        <f t="shared" si="11"/>
        <v>#VALUE!</v>
      </c>
      <c r="Y38" s="611"/>
      <c r="Z38" s="529" t="s">
        <v>427</v>
      </c>
      <c r="AA38" s="538" t="s">
        <v>427</v>
      </c>
      <c r="AB38" s="538" t="s">
        <v>427</v>
      </c>
      <c r="AC38" s="529" t="e">
        <f t="shared" si="13"/>
        <v>#VALUE!</v>
      </c>
      <c r="AD38" s="611"/>
      <c r="AE38" s="529" t="s">
        <v>427</v>
      </c>
      <c r="AF38" s="538" t="s">
        <v>427</v>
      </c>
      <c r="AG38" s="538" t="s">
        <v>427</v>
      </c>
      <c r="AH38" s="529" t="e">
        <f t="shared" si="15"/>
        <v>#VALUE!</v>
      </c>
      <c r="AI38" s="611"/>
      <c r="AJ38" s="529" t="s">
        <v>427</v>
      </c>
      <c r="AK38" s="538" t="s">
        <v>427</v>
      </c>
      <c r="AL38" s="538" t="s">
        <v>427</v>
      </c>
      <c r="AM38" s="529" t="e">
        <f t="shared" si="17"/>
        <v>#VALUE!</v>
      </c>
      <c r="AN38" s="611"/>
      <c r="AO38" s="529" t="s">
        <v>427</v>
      </c>
      <c r="AP38" s="538" t="s">
        <v>427</v>
      </c>
      <c r="AQ38" s="538" t="s">
        <v>427</v>
      </c>
      <c r="AR38" s="529" t="e">
        <f t="shared" si="19"/>
        <v>#VALUE!</v>
      </c>
      <c r="AS38" s="611"/>
      <c r="AT38" s="529" t="s">
        <v>427</v>
      </c>
      <c r="AU38" s="538" t="s">
        <v>427</v>
      </c>
      <c r="AV38" s="538" t="s">
        <v>427</v>
      </c>
      <c r="AW38" s="529" t="e">
        <f t="shared" si="21"/>
        <v>#VALUE!</v>
      </c>
      <c r="AX38" s="611"/>
      <c r="AZ38" s="377" t="e">
        <f t="shared" si="23"/>
        <v>#N/A</v>
      </c>
      <c r="BA38" s="653"/>
    </row>
    <row r="39" spans="2:53">
      <c r="B39" s="635"/>
      <c r="C39" s="534">
        <v>13</v>
      </c>
      <c r="D39" s="223"/>
      <c r="E39" s="538"/>
      <c r="F39" s="529"/>
      <c r="G39" s="530"/>
      <c r="H39" s="672"/>
      <c r="I39" s="531" t="str">
        <f t="shared" si="8"/>
        <v>-</v>
      </c>
      <c r="J39" s="531" t="str">
        <f t="shared" si="8"/>
        <v>-</v>
      </c>
      <c r="K39" s="363" t="str">
        <f t="shared" si="8"/>
        <v>-</v>
      </c>
      <c r="L39" s="615"/>
      <c r="M39" s="537" t="e">
        <f>RANK(K39, K$24:$K$41)</f>
        <v>#VALUE!</v>
      </c>
      <c r="N39" s="624"/>
      <c r="O39" s="624"/>
      <c r="P39" s="529" t="s">
        <v>427</v>
      </c>
      <c r="Q39" s="538" t="s">
        <v>427</v>
      </c>
      <c r="R39" s="538" t="s">
        <v>427</v>
      </c>
      <c r="S39" s="529" t="e">
        <f t="shared" si="9"/>
        <v>#VALUE!</v>
      </c>
      <c r="T39" s="611"/>
      <c r="U39" s="529" t="s">
        <v>427</v>
      </c>
      <c r="V39" s="538" t="s">
        <v>427</v>
      </c>
      <c r="W39" s="538" t="s">
        <v>427</v>
      </c>
      <c r="X39" s="529" t="e">
        <f t="shared" si="11"/>
        <v>#VALUE!</v>
      </c>
      <c r="Y39" s="611"/>
      <c r="Z39" s="529" t="s">
        <v>427</v>
      </c>
      <c r="AA39" s="538" t="s">
        <v>427</v>
      </c>
      <c r="AB39" s="538" t="s">
        <v>427</v>
      </c>
      <c r="AC39" s="529" t="e">
        <f t="shared" si="13"/>
        <v>#VALUE!</v>
      </c>
      <c r="AD39" s="611"/>
      <c r="AE39" s="529" t="s">
        <v>427</v>
      </c>
      <c r="AF39" s="538" t="s">
        <v>427</v>
      </c>
      <c r="AG39" s="538" t="s">
        <v>427</v>
      </c>
      <c r="AH39" s="529" t="e">
        <f t="shared" si="15"/>
        <v>#VALUE!</v>
      </c>
      <c r="AI39" s="611"/>
      <c r="AJ39" s="529" t="s">
        <v>427</v>
      </c>
      <c r="AK39" s="538" t="s">
        <v>427</v>
      </c>
      <c r="AL39" s="538" t="s">
        <v>427</v>
      </c>
      <c r="AM39" s="529" t="e">
        <f t="shared" si="17"/>
        <v>#VALUE!</v>
      </c>
      <c r="AN39" s="611"/>
      <c r="AO39" s="529" t="s">
        <v>427</v>
      </c>
      <c r="AP39" s="538" t="s">
        <v>427</v>
      </c>
      <c r="AQ39" s="538" t="s">
        <v>427</v>
      </c>
      <c r="AR39" s="529" t="e">
        <f t="shared" si="19"/>
        <v>#VALUE!</v>
      </c>
      <c r="AS39" s="611"/>
      <c r="AT39" s="529" t="s">
        <v>427</v>
      </c>
      <c r="AU39" s="538" t="s">
        <v>427</v>
      </c>
      <c r="AV39" s="538" t="s">
        <v>427</v>
      </c>
      <c r="AW39" s="529" t="e">
        <f t="shared" si="21"/>
        <v>#VALUE!</v>
      </c>
      <c r="AX39" s="611"/>
      <c r="AZ39" s="377" t="e">
        <f t="shared" si="23"/>
        <v>#N/A</v>
      </c>
      <c r="BA39" s="653"/>
    </row>
    <row r="40" spans="2:53">
      <c r="B40" s="635"/>
      <c r="C40" s="534">
        <v>14</v>
      </c>
      <c r="D40" s="223"/>
      <c r="E40" s="538"/>
      <c r="F40" s="529"/>
      <c r="G40" s="530"/>
      <c r="H40" s="672"/>
      <c r="I40" s="531" t="str">
        <f t="shared" si="8"/>
        <v>-</v>
      </c>
      <c r="J40" s="531" t="str">
        <f t="shared" si="8"/>
        <v>-</v>
      </c>
      <c r="K40" s="363" t="str">
        <f t="shared" si="8"/>
        <v>-</v>
      </c>
      <c r="L40" s="615"/>
      <c r="M40" s="537" t="e">
        <f>RANK(K40, K$24:$K$41)</f>
        <v>#VALUE!</v>
      </c>
      <c r="N40" s="624"/>
      <c r="O40" s="624"/>
      <c r="P40" s="529" t="s">
        <v>427</v>
      </c>
      <c r="Q40" s="538" t="s">
        <v>427</v>
      </c>
      <c r="R40" s="538" t="s">
        <v>427</v>
      </c>
      <c r="S40" s="529" t="e">
        <f t="shared" si="9"/>
        <v>#VALUE!</v>
      </c>
      <c r="T40" s="611"/>
      <c r="U40" s="529" t="s">
        <v>427</v>
      </c>
      <c r="V40" s="538" t="s">
        <v>427</v>
      </c>
      <c r="W40" s="538" t="s">
        <v>427</v>
      </c>
      <c r="X40" s="529" t="e">
        <f t="shared" si="11"/>
        <v>#VALUE!</v>
      </c>
      <c r="Y40" s="611"/>
      <c r="Z40" s="529" t="s">
        <v>427</v>
      </c>
      <c r="AA40" s="538" t="s">
        <v>427</v>
      </c>
      <c r="AB40" s="538" t="s">
        <v>427</v>
      </c>
      <c r="AC40" s="529" t="e">
        <f t="shared" si="13"/>
        <v>#VALUE!</v>
      </c>
      <c r="AD40" s="611"/>
      <c r="AE40" s="529" t="s">
        <v>427</v>
      </c>
      <c r="AF40" s="538" t="s">
        <v>427</v>
      </c>
      <c r="AG40" s="538" t="s">
        <v>427</v>
      </c>
      <c r="AH40" s="529" t="e">
        <f t="shared" si="15"/>
        <v>#VALUE!</v>
      </c>
      <c r="AI40" s="611"/>
      <c r="AJ40" s="529" t="s">
        <v>427</v>
      </c>
      <c r="AK40" s="538" t="s">
        <v>427</v>
      </c>
      <c r="AL40" s="538" t="s">
        <v>427</v>
      </c>
      <c r="AM40" s="529" t="e">
        <f t="shared" si="17"/>
        <v>#VALUE!</v>
      </c>
      <c r="AN40" s="611"/>
      <c r="AO40" s="529" t="s">
        <v>427</v>
      </c>
      <c r="AP40" s="538" t="s">
        <v>427</v>
      </c>
      <c r="AQ40" s="538" t="s">
        <v>427</v>
      </c>
      <c r="AR40" s="529" t="e">
        <f t="shared" si="19"/>
        <v>#VALUE!</v>
      </c>
      <c r="AS40" s="611"/>
      <c r="AT40" s="529" t="s">
        <v>427</v>
      </c>
      <c r="AU40" s="538" t="s">
        <v>427</v>
      </c>
      <c r="AV40" s="538" t="s">
        <v>427</v>
      </c>
      <c r="AW40" s="529" t="e">
        <f t="shared" si="21"/>
        <v>#VALUE!</v>
      </c>
      <c r="AX40" s="611"/>
      <c r="AZ40" s="377" t="e">
        <f t="shared" si="23"/>
        <v>#N/A</v>
      </c>
      <c r="BA40" s="653"/>
    </row>
    <row r="41" spans="2:53">
      <c r="B41" s="635"/>
      <c r="C41" s="534">
        <v>15</v>
      </c>
      <c r="D41" s="223"/>
      <c r="E41" s="538"/>
      <c r="F41" s="529"/>
      <c r="G41" s="530"/>
      <c r="H41" s="676"/>
      <c r="I41" s="534"/>
      <c r="J41" s="534"/>
      <c r="K41" s="534"/>
      <c r="L41" s="616"/>
      <c r="M41" s="537" t="e">
        <f>RANK(K41, K$24:$K$41)</f>
        <v>#N/A</v>
      </c>
      <c r="N41" s="624"/>
      <c r="O41" s="624"/>
      <c r="P41" s="529" t="s">
        <v>427</v>
      </c>
      <c r="Q41" s="538" t="s">
        <v>427</v>
      </c>
      <c r="R41" s="538" t="s">
        <v>427</v>
      </c>
      <c r="S41" s="529" t="e">
        <f t="shared" si="9"/>
        <v>#VALUE!</v>
      </c>
      <c r="T41" s="612"/>
      <c r="U41" s="529" t="s">
        <v>427</v>
      </c>
      <c r="V41" s="538" t="s">
        <v>427</v>
      </c>
      <c r="W41" s="538" t="s">
        <v>427</v>
      </c>
      <c r="X41" s="529" t="e">
        <f t="shared" si="11"/>
        <v>#VALUE!</v>
      </c>
      <c r="Y41" s="612"/>
      <c r="Z41" s="529" t="s">
        <v>427</v>
      </c>
      <c r="AA41" s="538" t="s">
        <v>427</v>
      </c>
      <c r="AB41" s="538" t="s">
        <v>427</v>
      </c>
      <c r="AC41" s="529" t="e">
        <f t="shared" si="13"/>
        <v>#VALUE!</v>
      </c>
      <c r="AD41" s="612"/>
      <c r="AE41" s="529" t="s">
        <v>427</v>
      </c>
      <c r="AF41" s="538" t="s">
        <v>427</v>
      </c>
      <c r="AG41" s="538" t="s">
        <v>427</v>
      </c>
      <c r="AH41" s="529" t="e">
        <f t="shared" si="15"/>
        <v>#VALUE!</v>
      </c>
      <c r="AI41" s="612"/>
      <c r="AJ41" s="529" t="s">
        <v>427</v>
      </c>
      <c r="AK41" s="538" t="s">
        <v>427</v>
      </c>
      <c r="AL41" s="538" t="s">
        <v>427</v>
      </c>
      <c r="AM41" s="529" t="e">
        <f t="shared" si="17"/>
        <v>#VALUE!</v>
      </c>
      <c r="AN41" s="612"/>
      <c r="AO41" s="529" t="s">
        <v>427</v>
      </c>
      <c r="AP41" s="538" t="s">
        <v>427</v>
      </c>
      <c r="AQ41" s="538" t="s">
        <v>427</v>
      </c>
      <c r="AR41" s="529" t="e">
        <f t="shared" si="19"/>
        <v>#VALUE!</v>
      </c>
      <c r="AS41" s="612"/>
      <c r="AT41" s="529" t="s">
        <v>427</v>
      </c>
      <c r="AU41" s="538" t="s">
        <v>427</v>
      </c>
      <c r="AV41" s="538" t="s">
        <v>427</v>
      </c>
      <c r="AW41" s="529" t="e">
        <f t="shared" si="21"/>
        <v>#VALUE!</v>
      </c>
      <c r="AX41" s="612"/>
      <c r="AZ41" s="377" t="e">
        <f t="shared" si="23"/>
        <v>#N/A</v>
      </c>
      <c r="BA41" s="653"/>
    </row>
    <row r="42" spans="2:53" ht="15.75">
      <c r="B42" s="657" t="s">
        <v>769</v>
      </c>
      <c r="C42" s="658"/>
      <c r="D42" s="658"/>
      <c r="E42" s="658"/>
      <c r="F42" s="658"/>
      <c r="G42" s="658"/>
      <c r="H42" s="658"/>
      <c r="I42" s="205"/>
      <c r="J42" s="200"/>
      <c r="K42" s="205"/>
      <c r="L42" s="205"/>
      <c r="M42" s="201"/>
      <c r="N42" s="639" t="s">
        <v>781</v>
      </c>
      <c r="O42" s="639" t="s">
        <v>714</v>
      </c>
      <c r="P42" s="634">
        <f>AT22+1</f>
        <v>46217</v>
      </c>
      <c r="Q42" s="635"/>
      <c r="R42" s="635"/>
      <c r="S42" s="635"/>
      <c r="T42" s="635"/>
      <c r="U42" s="636">
        <f>P42+1</f>
        <v>46218</v>
      </c>
      <c r="V42" s="637"/>
      <c r="W42" s="637"/>
      <c r="X42" s="637"/>
      <c r="Y42" s="638"/>
      <c r="Z42" s="636">
        <f t="shared" ref="Z42" si="25">U42+1</f>
        <v>46219</v>
      </c>
      <c r="AA42" s="637"/>
      <c r="AB42" s="637"/>
      <c r="AC42" s="637"/>
      <c r="AD42" s="638"/>
      <c r="AE42" s="636">
        <f t="shared" ref="AE42" si="26">Z42+1</f>
        <v>46220</v>
      </c>
      <c r="AF42" s="637"/>
      <c r="AG42" s="637"/>
      <c r="AH42" s="637"/>
      <c r="AI42" s="638"/>
      <c r="AJ42" s="636">
        <f t="shared" ref="AJ42" si="27">AE42+1</f>
        <v>46221</v>
      </c>
      <c r="AK42" s="637"/>
      <c r="AL42" s="637"/>
      <c r="AM42" s="637"/>
      <c r="AN42" s="638"/>
      <c r="AO42" s="636">
        <f t="shared" ref="AO42" si="28">AJ42+1</f>
        <v>46222</v>
      </c>
      <c r="AP42" s="637"/>
      <c r="AQ42" s="637"/>
      <c r="AR42" s="637"/>
      <c r="AS42" s="638"/>
      <c r="AT42" s="636">
        <f t="shared" ref="AT42" si="29">AO42+1</f>
        <v>46223</v>
      </c>
      <c r="AU42" s="637"/>
      <c r="AV42" s="637"/>
      <c r="AW42" s="637"/>
      <c r="AX42" s="638"/>
    </row>
    <row r="43" spans="2:53" ht="15.75">
      <c r="B43" s="646"/>
      <c r="C43" s="646"/>
      <c r="D43" s="646"/>
      <c r="E43" s="646"/>
      <c r="F43" s="646"/>
      <c r="G43" s="646"/>
      <c r="H43" s="646"/>
      <c r="I43" s="202"/>
      <c r="J43" s="202"/>
      <c r="K43" s="202"/>
      <c r="L43" s="202"/>
      <c r="M43" s="203"/>
      <c r="N43" s="641"/>
      <c r="O43" s="641"/>
      <c r="P43" s="634" t="s">
        <v>715</v>
      </c>
      <c r="Q43" s="635"/>
      <c r="R43" s="635"/>
      <c r="S43" s="635"/>
      <c r="T43" s="635"/>
      <c r="U43" s="634" t="s">
        <v>716</v>
      </c>
      <c r="V43" s="635"/>
      <c r="W43" s="635"/>
      <c r="X43" s="635"/>
      <c r="Y43" s="635"/>
      <c r="Z43" s="634" t="s">
        <v>717</v>
      </c>
      <c r="AA43" s="635"/>
      <c r="AB43" s="635"/>
      <c r="AC43" s="635"/>
      <c r="AD43" s="635"/>
      <c r="AE43" s="634" t="s">
        <v>718</v>
      </c>
      <c r="AF43" s="635"/>
      <c r="AG43" s="635"/>
      <c r="AH43" s="635"/>
      <c r="AI43" s="635"/>
      <c r="AJ43" s="634" t="s">
        <v>719</v>
      </c>
      <c r="AK43" s="635"/>
      <c r="AL43" s="635"/>
      <c r="AM43" s="635"/>
      <c r="AN43" s="635"/>
      <c r="AO43" s="634" t="s">
        <v>720</v>
      </c>
      <c r="AP43" s="635"/>
      <c r="AQ43" s="635"/>
      <c r="AR43" s="635"/>
      <c r="AS43" s="635"/>
      <c r="AT43" s="634" t="s">
        <v>721</v>
      </c>
      <c r="AU43" s="635"/>
      <c r="AV43" s="635"/>
      <c r="AW43" s="635"/>
      <c r="AX43" s="635"/>
    </row>
    <row r="44" spans="2:53">
      <c r="B44" s="624" t="s">
        <v>760</v>
      </c>
      <c r="C44" s="624" t="s">
        <v>464</v>
      </c>
      <c r="D44" s="624"/>
      <c r="E44" s="624" t="s">
        <v>465</v>
      </c>
      <c r="F44" s="624"/>
      <c r="G44" s="624"/>
      <c r="H44" s="647" t="s">
        <v>466</v>
      </c>
      <c r="I44" s="624" t="s">
        <v>467</v>
      </c>
      <c r="J44" s="624"/>
      <c r="K44" s="624"/>
      <c r="L44" s="647" t="s">
        <v>829</v>
      </c>
      <c r="M44" s="639" t="s">
        <v>468</v>
      </c>
      <c r="N44" s="624"/>
      <c r="O44" s="624" t="s">
        <v>469</v>
      </c>
      <c r="P44" s="621" t="s">
        <v>832</v>
      </c>
      <c r="Q44" s="622"/>
      <c r="R44" s="622"/>
      <c r="S44" s="623"/>
      <c r="T44" s="624" t="s">
        <v>829</v>
      </c>
      <c r="U44" s="621" t="s">
        <v>832</v>
      </c>
      <c r="V44" s="622"/>
      <c r="W44" s="622"/>
      <c r="X44" s="623"/>
      <c r="Y44" s="624" t="s">
        <v>829</v>
      </c>
      <c r="Z44" s="621" t="s">
        <v>832</v>
      </c>
      <c r="AA44" s="622"/>
      <c r="AB44" s="622"/>
      <c r="AC44" s="623"/>
      <c r="AD44" s="624" t="s">
        <v>829</v>
      </c>
      <c r="AE44" s="621" t="s">
        <v>832</v>
      </c>
      <c r="AF44" s="622"/>
      <c r="AG44" s="622"/>
      <c r="AH44" s="623"/>
      <c r="AI44" s="624" t="s">
        <v>829</v>
      </c>
      <c r="AJ44" s="621" t="s">
        <v>832</v>
      </c>
      <c r="AK44" s="622"/>
      <c r="AL44" s="622"/>
      <c r="AM44" s="623"/>
      <c r="AN44" s="624" t="s">
        <v>829</v>
      </c>
      <c r="AO44" s="621" t="s">
        <v>832</v>
      </c>
      <c r="AP44" s="622"/>
      <c r="AQ44" s="622"/>
      <c r="AR44" s="623"/>
      <c r="AS44" s="624" t="s">
        <v>829</v>
      </c>
      <c r="AT44" s="621" t="s">
        <v>832</v>
      </c>
      <c r="AU44" s="622"/>
      <c r="AV44" s="622"/>
      <c r="AW44" s="623"/>
      <c r="AX44" s="624" t="s">
        <v>829</v>
      </c>
    </row>
    <row r="45" spans="2:53">
      <c r="B45" s="624"/>
      <c r="C45" s="624"/>
      <c r="D45" s="624"/>
      <c r="E45" s="624" t="s">
        <v>470</v>
      </c>
      <c r="F45" s="624"/>
      <c r="G45" s="624"/>
      <c r="H45" s="648"/>
      <c r="I45" s="624" t="s">
        <v>470</v>
      </c>
      <c r="J45" s="624"/>
      <c r="K45" s="624"/>
      <c r="L45" s="648"/>
      <c r="M45" s="640"/>
      <c r="N45" s="624"/>
      <c r="O45" s="624"/>
      <c r="P45" s="621" t="s">
        <v>834</v>
      </c>
      <c r="Q45" s="622"/>
      <c r="R45" s="622"/>
      <c r="S45" s="623"/>
      <c r="T45" s="624"/>
      <c r="U45" s="621" t="s">
        <v>834</v>
      </c>
      <c r="V45" s="622"/>
      <c r="W45" s="622"/>
      <c r="X45" s="623"/>
      <c r="Y45" s="624"/>
      <c r="Z45" s="621" t="s">
        <v>834</v>
      </c>
      <c r="AA45" s="622"/>
      <c r="AB45" s="622"/>
      <c r="AC45" s="623"/>
      <c r="AD45" s="624"/>
      <c r="AE45" s="621" t="s">
        <v>834</v>
      </c>
      <c r="AF45" s="622"/>
      <c r="AG45" s="622"/>
      <c r="AH45" s="623"/>
      <c r="AI45" s="624"/>
      <c r="AJ45" s="621" t="s">
        <v>834</v>
      </c>
      <c r="AK45" s="622"/>
      <c r="AL45" s="622"/>
      <c r="AM45" s="623"/>
      <c r="AN45" s="624"/>
      <c r="AO45" s="621" t="s">
        <v>834</v>
      </c>
      <c r="AP45" s="622"/>
      <c r="AQ45" s="622"/>
      <c r="AR45" s="623"/>
      <c r="AS45" s="624"/>
      <c r="AT45" s="621" t="s">
        <v>834</v>
      </c>
      <c r="AU45" s="622"/>
      <c r="AV45" s="622"/>
      <c r="AW45" s="623"/>
      <c r="AX45" s="624"/>
    </row>
    <row r="46" spans="2:53">
      <c r="B46" s="624"/>
      <c r="C46" s="624"/>
      <c r="D46" s="624"/>
      <c r="E46" s="533" t="s">
        <v>471</v>
      </c>
      <c r="F46" s="533" t="s">
        <v>472</v>
      </c>
      <c r="G46" s="533" t="s">
        <v>473</v>
      </c>
      <c r="H46" s="649"/>
      <c r="I46" s="533" t="s">
        <v>471</v>
      </c>
      <c r="J46" s="533" t="s">
        <v>472</v>
      </c>
      <c r="K46" s="533" t="s">
        <v>473</v>
      </c>
      <c r="L46" s="649"/>
      <c r="M46" s="641"/>
      <c r="N46" s="624"/>
      <c r="O46" s="624"/>
      <c r="P46" s="533" t="s">
        <v>835</v>
      </c>
      <c r="Q46" s="533" t="s">
        <v>836</v>
      </c>
      <c r="R46" s="533" t="s">
        <v>837</v>
      </c>
      <c r="S46" s="533" t="s">
        <v>440</v>
      </c>
      <c r="T46" s="624"/>
      <c r="U46" s="533" t="s">
        <v>835</v>
      </c>
      <c r="V46" s="533" t="s">
        <v>836</v>
      </c>
      <c r="W46" s="533" t="s">
        <v>837</v>
      </c>
      <c r="X46" s="533" t="s">
        <v>440</v>
      </c>
      <c r="Y46" s="624"/>
      <c r="Z46" s="533" t="s">
        <v>835</v>
      </c>
      <c r="AA46" s="533" t="s">
        <v>836</v>
      </c>
      <c r="AB46" s="533" t="s">
        <v>837</v>
      </c>
      <c r="AC46" s="533" t="s">
        <v>440</v>
      </c>
      <c r="AD46" s="624"/>
      <c r="AE46" s="533" t="s">
        <v>835</v>
      </c>
      <c r="AF46" s="533" t="s">
        <v>836</v>
      </c>
      <c r="AG46" s="533" t="s">
        <v>837</v>
      </c>
      <c r="AH46" s="533" t="s">
        <v>440</v>
      </c>
      <c r="AI46" s="624"/>
      <c r="AJ46" s="533" t="s">
        <v>835</v>
      </c>
      <c r="AK46" s="533" t="s">
        <v>836</v>
      </c>
      <c r="AL46" s="533" t="s">
        <v>837</v>
      </c>
      <c r="AM46" s="533" t="s">
        <v>440</v>
      </c>
      <c r="AN46" s="624"/>
      <c r="AO46" s="533" t="s">
        <v>835</v>
      </c>
      <c r="AP46" s="533" t="s">
        <v>836</v>
      </c>
      <c r="AQ46" s="533" t="s">
        <v>837</v>
      </c>
      <c r="AR46" s="533" t="s">
        <v>440</v>
      </c>
      <c r="AS46" s="624"/>
      <c r="AT46" s="533" t="s">
        <v>835</v>
      </c>
      <c r="AU46" s="533" t="s">
        <v>836</v>
      </c>
      <c r="AV46" s="533" t="s">
        <v>837</v>
      </c>
      <c r="AW46" s="533" t="s">
        <v>440</v>
      </c>
      <c r="AX46" s="624"/>
    </row>
    <row r="47" spans="2:53">
      <c r="B47" s="624" t="s">
        <v>788</v>
      </c>
      <c r="C47" s="534">
        <v>1</v>
      </c>
      <c r="D47" s="223" t="s">
        <v>649</v>
      </c>
      <c r="E47" s="538">
        <v>17</v>
      </c>
      <c r="F47" s="529">
        <v>1565</v>
      </c>
      <c r="G47" s="530">
        <v>92.058823529411768</v>
      </c>
      <c r="H47" s="671">
        <f>AVERAGE(G47:G61)</f>
        <v>87.502364981080149</v>
      </c>
      <c r="I47" s="531">
        <f t="shared" ref="I47:K60" si="30">IFERROR(AVERAGE(P47,U47,Z47,AE47,AJ47,AO47,AT47),"-")</f>
        <v>17</v>
      </c>
      <c r="J47" s="531">
        <f t="shared" si="30"/>
        <v>1412.1217409445235</v>
      </c>
      <c r="K47" s="363">
        <f t="shared" si="30"/>
        <v>83.06598476144255</v>
      </c>
      <c r="L47" s="614">
        <f>IFERROR(AVERAGE(K47:K61),"-")</f>
        <v>78.585181821482081</v>
      </c>
      <c r="M47" s="537">
        <f>RANK(K47, K$47:$K$61)</f>
        <v>1</v>
      </c>
      <c r="N47" s="624"/>
      <c r="O47" s="624"/>
      <c r="P47" s="529">
        <v>17</v>
      </c>
      <c r="Q47" s="538">
        <v>1398.3233532934134</v>
      </c>
      <c r="R47" s="538">
        <v>82.254314899612552</v>
      </c>
      <c r="S47" s="529">
        <f t="shared" ref="S47:S61" si="31">RANK(R47, R$47:R$61)</f>
        <v>2</v>
      </c>
      <c r="T47" s="610">
        <f t="shared" ref="T47" si="32">AVERAGE(R47:R61)</f>
        <v>78.525312030183116</v>
      </c>
      <c r="U47" s="529">
        <v>17</v>
      </c>
      <c r="V47" s="538">
        <v>1423.0290909090911</v>
      </c>
      <c r="W47" s="538">
        <v>83.707593582887711</v>
      </c>
      <c r="X47" s="529">
        <f t="shared" ref="X47:X61" si="33">RANK(W47, W$47:W$61)</f>
        <v>1</v>
      </c>
      <c r="Y47" s="610">
        <f t="shared" ref="Y47" si="34">AVERAGE(W47:W61)</f>
        <v>78.410912055883472</v>
      </c>
      <c r="Z47" s="529">
        <v>17</v>
      </c>
      <c r="AA47" s="538">
        <v>1415.4256097560976</v>
      </c>
      <c r="AB47" s="538">
        <v>83.260329985652803</v>
      </c>
      <c r="AC47" s="529">
        <f t="shared" ref="AC47:AC61" si="35">RANK(AB47, AB$47:AB$61)</f>
        <v>2</v>
      </c>
      <c r="AD47" s="610">
        <f t="shared" ref="AD47" si="36">AVERAGE(AB47:AB61)</f>
        <v>78.950093636523135</v>
      </c>
      <c r="AE47" s="529">
        <v>17</v>
      </c>
      <c r="AF47" s="538">
        <v>1421.2500000000007</v>
      </c>
      <c r="AG47" s="538">
        <v>83.602941176470623</v>
      </c>
      <c r="AH47" s="529">
        <f t="shared" ref="AH47:AH61" si="37">RANK(AG47, AG$47:AG$61)</f>
        <v>1</v>
      </c>
      <c r="AI47" s="610">
        <f t="shared" ref="AI47" si="38">AVERAGE(AG47:AG61)</f>
        <v>79.247150444449474</v>
      </c>
      <c r="AJ47" s="529">
        <v>17</v>
      </c>
      <c r="AK47" s="538">
        <v>1424.0816326530619</v>
      </c>
      <c r="AL47" s="538">
        <v>83.769507803121286</v>
      </c>
      <c r="AM47" s="529">
        <f t="shared" ref="AM47:AM61" si="39">RANK(AL47, AL$47:AL$61)</f>
        <v>1</v>
      </c>
      <c r="AN47" s="610">
        <f t="shared" ref="AN47" si="40">AVERAGE(AL47:AL61)</f>
        <v>78.459110129432929</v>
      </c>
      <c r="AO47" s="529">
        <v>17</v>
      </c>
      <c r="AP47" s="538">
        <v>1395.7424999999998</v>
      </c>
      <c r="AQ47" s="538">
        <v>82.102499999999992</v>
      </c>
      <c r="AR47" s="529">
        <f t="shared" ref="AR47:AR61" si="41">RANK(AQ47, AQ$47:AQ$61)</f>
        <v>1</v>
      </c>
      <c r="AS47" s="610">
        <f t="shared" ref="AS47" si="42">AVERAGE(AQ47:AQ61)</f>
        <v>78.331412578189159</v>
      </c>
      <c r="AT47" s="529">
        <v>17</v>
      </c>
      <c r="AU47" s="538">
        <v>1407</v>
      </c>
      <c r="AV47" s="538">
        <v>82.764705882352942</v>
      </c>
      <c r="AW47" s="529">
        <f t="shared" ref="AW47:AW61" si="43">RANK(AV47, AV$47:AV$61)</f>
        <v>1</v>
      </c>
      <c r="AX47" s="610">
        <f t="shared" ref="AX47" si="44">AVERAGE(AV47:AV61)</f>
        <v>78.172281875713253</v>
      </c>
      <c r="AZ47" s="377" t="e">
        <f>RANK(AY47, AY$47:AY$61)</f>
        <v>#N/A</v>
      </c>
      <c r="BA47" s="635" t="e">
        <f>AVERAGE(AY47:AY61)</f>
        <v>#DIV/0!</v>
      </c>
    </row>
    <row r="48" spans="2:53">
      <c r="B48" s="635"/>
      <c r="C48" s="534">
        <v>2</v>
      </c>
      <c r="D48" s="223" t="s">
        <v>728</v>
      </c>
      <c r="E48" s="538">
        <v>19</v>
      </c>
      <c r="F48" s="529">
        <v>1500</v>
      </c>
      <c r="G48" s="530">
        <v>78.94736842105263</v>
      </c>
      <c r="H48" s="672"/>
      <c r="I48" s="531">
        <f t="shared" si="30"/>
        <v>19</v>
      </c>
      <c r="J48" s="531">
        <f t="shared" si="30"/>
        <v>1359.9080978499544</v>
      </c>
      <c r="K48" s="363">
        <f t="shared" si="30"/>
        <v>71.574110413155481</v>
      </c>
      <c r="L48" s="615"/>
      <c r="M48" s="537">
        <f>RANK(K48, K$47:$K$61)</f>
        <v>4</v>
      </c>
      <c r="N48" s="624"/>
      <c r="O48" s="624"/>
      <c r="P48" s="529">
        <v>19</v>
      </c>
      <c r="Q48" s="538">
        <v>1339.6610169491526</v>
      </c>
      <c r="R48" s="538">
        <v>70.508474576271183</v>
      </c>
      <c r="S48" s="529">
        <f t="shared" si="31"/>
        <v>4</v>
      </c>
      <c r="T48" s="611"/>
      <c r="U48" s="529">
        <v>19</v>
      </c>
      <c r="V48" s="538">
        <v>1368.9863013698634</v>
      </c>
      <c r="W48" s="538">
        <v>72.051910598413869</v>
      </c>
      <c r="X48" s="529">
        <f t="shared" si="33"/>
        <v>4</v>
      </c>
      <c r="Y48" s="611"/>
      <c r="Z48" s="529">
        <v>19</v>
      </c>
      <c r="AA48" s="538">
        <v>1367.922077922078</v>
      </c>
      <c r="AB48" s="538">
        <v>71.995898838004109</v>
      </c>
      <c r="AC48" s="529">
        <f t="shared" si="35"/>
        <v>4</v>
      </c>
      <c r="AD48" s="611"/>
      <c r="AE48" s="529">
        <v>19</v>
      </c>
      <c r="AF48" s="538">
        <v>1375.9999999999993</v>
      </c>
      <c r="AG48" s="538">
        <v>72.421052631578917</v>
      </c>
      <c r="AH48" s="529">
        <f t="shared" si="37"/>
        <v>4</v>
      </c>
      <c r="AI48" s="611"/>
      <c r="AJ48" s="529">
        <v>19</v>
      </c>
      <c r="AK48" s="538">
        <v>1356.2068965517233</v>
      </c>
      <c r="AL48" s="538">
        <v>71.379310344827545</v>
      </c>
      <c r="AM48" s="529">
        <f t="shared" si="39"/>
        <v>4</v>
      </c>
      <c r="AN48" s="611"/>
      <c r="AO48" s="529">
        <v>19</v>
      </c>
      <c r="AP48" s="538">
        <v>1355.9921568627447</v>
      </c>
      <c r="AQ48" s="538">
        <v>71.36800825593393</v>
      </c>
      <c r="AR48" s="529">
        <f t="shared" si="41"/>
        <v>4</v>
      </c>
      <c r="AS48" s="611"/>
      <c r="AT48" s="529">
        <v>19</v>
      </c>
      <c r="AU48" s="538">
        <v>1354.5882352941182</v>
      </c>
      <c r="AV48" s="538">
        <v>71.294117647058854</v>
      </c>
      <c r="AW48" s="529">
        <f t="shared" si="43"/>
        <v>4</v>
      </c>
      <c r="AX48" s="611"/>
      <c r="AZ48" s="377" t="e">
        <f t="shared" ref="AZ48:AZ61" si="45">RANK(AY48, AY$47:AY$61)</f>
        <v>#N/A</v>
      </c>
      <c r="BA48" s="635"/>
    </row>
    <row r="49" spans="2:53">
      <c r="B49" s="635"/>
      <c r="C49" s="534">
        <v>3</v>
      </c>
      <c r="D49" s="223" t="s">
        <v>729</v>
      </c>
      <c r="E49" s="538">
        <v>18</v>
      </c>
      <c r="F49" s="529">
        <v>1565</v>
      </c>
      <c r="G49" s="530">
        <v>86.944444444444443</v>
      </c>
      <c r="H49" s="672"/>
      <c r="I49" s="531">
        <f t="shared" si="30"/>
        <v>18</v>
      </c>
      <c r="J49" s="531">
        <f t="shared" si="30"/>
        <v>1394.1556592616341</v>
      </c>
      <c r="K49" s="363">
        <f t="shared" si="30"/>
        <v>77.453092181201896</v>
      </c>
      <c r="L49" s="615"/>
      <c r="M49" s="537">
        <f>RANK(K49, K$47:$K$61)</f>
        <v>3</v>
      </c>
      <c r="N49" s="624"/>
      <c r="O49" s="624"/>
      <c r="P49" s="529">
        <v>18</v>
      </c>
      <c r="Q49" s="538">
        <v>1418.2352941176464</v>
      </c>
      <c r="R49" s="538">
        <v>78.790849673202572</v>
      </c>
      <c r="S49" s="529">
        <f t="shared" si="31"/>
        <v>3</v>
      </c>
      <c r="T49" s="611"/>
      <c r="U49" s="529">
        <v>18</v>
      </c>
      <c r="V49" s="538">
        <v>1385.6250000000005</v>
      </c>
      <c r="W49" s="538">
        <v>76.979166666666686</v>
      </c>
      <c r="X49" s="529">
        <f t="shared" si="33"/>
        <v>3</v>
      </c>
      <c r="Y49" s="611"/>
      <c r="Z49" s="529">
        <v>18</v>
      </c>
      <c r="AA49" s="538">
        <v>1388.6666666666667</v>
      </c>
      <c r="AB49" s="538">
        <v>77.148148148148152</v>
      </c>
      <c r="AC49" s="529">
        <f t="shared" si="35"/>
        <v>3</v>
      </c>
      <c r="AD49" s="611"/>
      <c r="AE49" s="529">
        <v>18</v>
      </c>
      <c r="AF49" s="538">
        <v>1403.4782608695648</v>
      </c>
      <c r="AG49" s="538">
        <v>77.971014492753596</v>
      </c>
      <c r="AH49" s="529">
        <f t="shared" si="37"/>
        <v>3</v>
      </c>
      <c r="AI49" s="611"/>
      <c r="AJ49" s="529">
        <v>18</v>
      </c>
      <c r="AK49" s="538">
        <v>1371.3043478260863</v>
      </c>
      <c r="AL49" s="538">
        <v>76.183574879227024</v>
      </c>
      <c r="AM49" s="529">
        <f t="shared" si="39"/>
        <v>3</v>
      </c>
      <c r="AN49" s="611"/>
      <c r="AO49" s="529">
        <v>18</v>
      </c>
      <c r="AP49" s="538">
        <v>1411.2244897959188</v>
      </c>
      <c r="AQ49" s="538">
        <v>78.40136054421771</v>
      </c>
      <c r="AR49" s="529">
        <f t="shared" si="41"/>
        <v>3</v>
      </c>
      <c r="AS49" s="611"/>
      <c r="AT49" s="529">
        <v>18</v>
      </c>
      <c r="AU49" s="538">
        <v>1380.5555555555554</v>
      </c>
      <c r="AV49" s="538">
        <v>76.697530864197518</v>
      </c>
      <c r="AW49" s="529">
        <f t="shared" si="43"/>
        <v>3</v>
      </c>
      <c r="AX49" s="611"/>
      <c r="AZ49" s="377" t="e">
        <f t="shared" si="45"/>
        <v>#N/A</v>
      </c>
      <c r="BA49" s="635"/>
    </row>
    <row r="50" spans="2:53">
      <c r="B50" s="635"/>
      <c r="C50" s="534">
        <v>4</v>
      </c>
      <c r="D50" s="223" t="s">
        <v>648</v>
      </c>
      <c r="E50" s="538">
        <v>17</v>
      </c>
      <c r="F50" s="529">
        <v>1565</v>
      </c>
      <c r="G50" s="530">
        <v>92.058823529411768</v>
      </c>
      <c r="H50" s="672"/>
      <c r="I50" s="531">
        <f t="shared" si="30"/>
        <v>17</v>
      </c>
      <c r="J50" s="531">
        <f t="shared" si="30"/>
        <v>1398.2081788121827</v>
      </c>
      <c r="K50" s="363">
        <f t="shared" si="30"/>
        <v>82.247539930128383</v>
      </c>
      <c r="L50" s="615"/>
      <c r="M50" s="537">
        <f>RANK(K50, K$47:$K$61)</f>
        <v>2</v>
      </c>
      <c r="N50" s="624"/>
      <c r="O50" s="624"/>
      <c r="P50" s="529">
        <v>17</v>
      </c>
      <c r="Q50" s="538">
        <v>1403.3093525179854</v>
      </c>
      <c r="R50" s="538">
        <v>82.547608971646198</v>
      </c>
      <c r="S50" s="529">
        <f t="shared" si="31"/>
        <v>1</v>
      </c>
      <c r="T50" s="611"/>
      <c r="U50" s="529">
        <v>17</v>
      </c>
      <c r="V50" s="538">
        <v>1375.3846153846152</v>
      </c>
      <c r="W50" s="538">
        <v>80.904977375565608</v>
      </c>
      <c r="X50" s="529">
        <f t="shared" si="33"/>
        <v>2</v>
      </c>
      <c r="Y50" s="611"/>
      <c r="Z50" s="529">
        <v>17</v>
      </c>
      <c r="AA50" s="538">
        <v>1417.7319587628872</v>
      </c>
      <c r="AB50" s="538">
        <v>83.395997574287478</v>
      </c>
      <c r="AC50" s="529">
        <f t="shared" si="35"/>
        <v>1</v>
      </c>
      <c r="AD50" s="611"/>
      <c r="AE50" s="529">
        <v>17</v>
      </c>
      <c r="AF50" s="538">
        <v>1410.8910891089108</v>
      </c>
      <c r="AG50" s="538">
        <v>82.993593476994761</v>
      </c>
      <c r="AH50" s="529">
        <f t="shared" si="37"/>
        <v>2</v>
      </c>
      <c r="AI50" s="611"/>
      <c r="AJ50" s="529">
        <v>17</v>
      </c>
      <c r="AK50" s="538">
        <v>1402.5688073394499</v>
      </c>
      <c r="AL50" s="538">
        <v>82.504047490555877</v>
      </c>
      <c r="AM50" s="529">
        <f t="shared" si="39"/>
        <v>2</v>
      </c>
      <c r="AN50" s="611"/>
      <c r="AO50" s="529">
        <v>17</v>
      </c>
      <c r="AP50" s="538">
        <v>1384.7142857142856</v>
      </c>
      <c r="AQ50" s="538">
        <v>81.453781512605033</v>
      </c>
      <c r="AR50" s="529">
        <f t="shared" si="41"/>
        <v>2</v>
      </c>
      <c r="AS50" s="611"/>
      <c r="AT50" s="529">
        <v>17</v>
      </c>
      <c r="AU50" s="538">
        <v>1392.8571428571431</v>
      </c>
      <c r="AV50" s="538">
        <v>81.932773109243712</v>
      </c>
      <c r="AW50" s="529">
        <f t="shared" si="43"/>
        <v>2</v>
      </c>
      <c r="AX50" s="611"/>
      <c r="AZ50" s="377" t="e">
        <f t="shared" si="45"/>
        <v>#N/A</v>
      </c>
      <c r="BA50" s="635"/>
    </row>
    <row r="51" spans="2:53">
      <c r="B51" s="635"/>
      <c r="C51" s="534">
        <v>5</v>
      </c>
      <c r="D51" s="223"/>
      <c r="E51" s="538"/>
      <c r="F51" s="529"/>
      <c r="G51" s="530"/>
      <c r="H51" s="672"/>
      <c r="I51" s="531" t="str">
        <f t="shared" si="30"/>
        <v>-</v>
      </c>
      <c r="J51" s="531" t="str">
        <f t="shared" si="30"/>
        <v>-</v>
      </c>
      <c r="K51" s="363" t="str">
        <f t="shared" si="30"/>
        <v>-</v>
      </c>
      <c r="L51" s="615"/>
      <c r="M51" s="537" t="e">
        <f>RANK(K51, K$47:$K$61)</f>
        <v>#VALUE!</v>
      </c>
      <c r="N51" s="624"/>
      <c r="O51" s="624"/>
      <c r="P51" s="529" t="s">
        <v>427</v>
      </c>
      <c r="Q51" s="538" t="s">
        <v>427</v>
      </c>
      <c r="R51" s="538" t="s">
        <v>427</v>
      </c>
      <c r="S51" s="529" t="e">
        <f t="shared" si="31"/>
        <v>#VALUE!</v>
      </c>
      <c r="T51" s="611"/>
      <c r="U51" s="529" t="s">
        <v>427</v>
      </c>
      <c r="V51" s="538" t="s">
        <v>427</v>
      </c>
      <c r="W51" s="538" t="s">
        <v>427</v>
      </c>
      <c r="X51" s="529" t="e">
        <f t="shared" si="33"/>
        <v>#VALUE!</v>
      </c>
      <c r="Y51" s="611"/>
      <c r="Z51" s="529" t="s">
        <v>427</v>
      </c>
      <c r="AA51" s="538" t="s">
        <v>427</v>
      </c>
      <c r="AB51" s="538" t="s">
        <v>427</v>
      </c>
      <c r="AC51" s="529" t="e">
        <f t="shared" si="35"/>
        <v>#VALUE!</v>
      </c>
      <c r="AD51" s="611"/>
      <c r="AE51" s="529" t="s">
        <v>427</v>
      </c>
      <c r="AF51" s="538" t="s">
        <v>427</v>
      </c>
      <c r="AG51" s="538" t="s">
        <v>427</v>
      </c>
      <c r="AH51" s="529" t="e">
        <f t="shared" si="37"/>
        <v>#VALUE!</v>
      </c>
      <c r="AI51" s="611"/>
      <c r="AJ51" s="529" t="s">
        <v>427</v>
      </c>
      <c r="AK51" s="538" t="s">
        <v>427</v>
      </c>
      <c r="AL51" s="538" t="s">
        <v>427</v>
      </c>
      <c r="AM51" s="529" t="e">
        <f t="shared" si="39"/>
        <v>#VALUE!</v>
      </c>
      <c r="AN51" s="611"/>
      <c r="AO51" s="529" t="s">
        <v>427</v>
      </c>
      <c r="AP51" s="538" t="s">
        <v>427</v>
      </c>
      <c r="AQ51" s="538" t="s">
        <v>427</v>
      </c>
      <c r="AR51" s="529" t="e">
        <f t="shared" si="41"/>
        <v>#VALUE!</v>
      </c>
      <c r="AS51" s="611"/>
      <c r="AT51" s="529" t="s">
        <v>427</v>
      </c>
      <c r="AU51" s="538" t="s">
        <v>427</v>
      </c>
      <c r="AV51" s="538" t="s">
        <v>427</v>
      </c>
      <c r="AW51" s="529" t="e">
        <f t="shared" si="43"/>
        <v>#VALUE!</v>
      </c>
      <c r="AX51" s="611"/>
      <c r="AZ51" s="377" t="e">
        <f t="shared" si="45"/>
        <v>#N/A</v>
      </c>
      <c r="BA51" s="635"/>
    </row>
    <row r="52" spans="2:53">
      <c r="B52" s="635"/>
      <c r="C52" s="534">
        <v>6</v>
      </c>
      <c r="D52" s="223"/>
      <c r="E52" s="538"/>
      <c r="F52" s="529"/>
      <c r="G52" s="530"/>
      <c r="H52" s="672"/>
      <c r="I52" s="531" t="str">
        <f t="shared" si="30"/>
        <v>-</v>
      </c>
      <c r="J52" s="531" t="str">
        <f t="shared" si="30"/>
        <v>-</v>
      </c>
      <c r="K52" s="363" t="str">
        <f t="shared" si="30"/>
        <v>-</v>
      </c>
      <c r="L52" s="615"/>
      <c r="M52" s="537" t="e">
        <f>RANK(K52, K$47:$K$61)</f>
        <v>#VALUE!</v>
      </c>
      <c r="N52" s="624"/>
      <c r="O52" s="624"/>
      <c r="P52" s="529" t="s">
        <v>427</v>
      </c>
      <c r="Q52" s="538" t="s">
        <v>427</v>
      </c>
      <c r="R52" s="538" t="s">
        <v>427</v>
      </c>
      <c r="S52" s="529" t="e">
        <f t="shared" si="31"/>
        <v>#VALUE!</v>
      </c>
      <c r="T52" s="611"/>
      <c r="U52" s="529" t="s">
        <v>427</v>
      </c>
      <c r="V52" s="538" t="s">
        <v>427</v>
      </c>
      <c r="W52" s="538" t="s">
        <v>427</v>
      </c>
      <c r="X52" s="529" t="e">
        <f t="shared" si="33"/>
        <v>#VALUE!</v>
      </c>
      <c r="Y52" s="611"/>
      <c r="Z52" s="529" t="s">
        <v>427</v>
      </c>
      <c r="AA52" s="538" t="s">
        <v>427</v>
      </c>
      <c r="AB52" s="538" t="s">
        <v>427</v>
      </c>
      <c r="AC52" s="529" t="e">
        <f t="shared" si="35"/>
        <v>#VALUE!</v>
      </c>
      <c r="AD52" s="611"/>
      <c r="AE52" s="529" t="s">
        <v>427</v>
      </c>
      <c r="AF52" s="538" t="s">
        <v>427</v>
      </c>
      <c r="AG52" s="538" t="s">
        <v>427</v>
      </c>
      <c r="AH52" s="529" t="e">
        <f t="shared" si="37"/>
        <v>#VALUE!</v>
      </c>
      <c r="AI52" s="611"/>
      <c r="AJ52" s="529" t="s">
        <v>427</v>
      </c>
      <c r="AK52" s="538" t="s">
        <v>427</v>
      </c>
      <c r="AL52" s="538" t="s">
        <v>427</v>
      </c>
      <c r="AM52" s="529" t="e">
        <f t="shared" si="39"/>
        <v>#VALUE!</v>
      </c>
      <c r="AN52" s="611"/>
      <c r="AO52" s="529" t="s">
        <v>427</v>
      </c>
      <c r="AP52" s="538" t="s">
        <v>427</v>
      </c>
      <c r="AQ52" s="538" t="s">
        <v>427</v>
      </c>
      <c r="AR52" s="529" t="e">
        <f t="shared" si="41"/>
        <v>#VALUE!</v>
      </c>
      <c r="AS52" s="611"/>
      <c r="AT52" s="529" t="s">
        <v>427</v>
      </c>
      <c r="AU52" s="538" t="s">
        <v>427</v>
      </c>
      <c r="AV52" s="538" t="s">
        <v>427</v>
      </c>
      <c r="AW52" s="529" t="e">
        <f t="shared" si="43"/>
        <v>#VALUE!</v>
      </c>
      <c r="AX52" s="611"/>
      <c r="AZ52" s="377" t="e">
        <f t="shared" si="45"/>
        <v>#N/A</v>
      </c>
      <c r="BA52" s="635"/>
    </row>
    <row r="53" spans="2:53">
      <c r="B53" s="635"/>
      <c r="C53" s="534">
        <v>7</v>
      </c>
      <c r="D53" s="223"/>
      <c r="E53" s="538"/>
      <c r="F53" s="529"/>
      <c r="G53" s="530"/>
      <c r="H53" s="672"/>
      <c r="I53" s="531" t="str">
        <f t="shared" si="30"/>
        <v>-</v>
      </c>
      <c r="J53" s="531" t="str">
        <f t="shared" si="30"/>
        <v>-</v>
      </c>
      <c r="K53" s="363" t="str">
        <f t="shared" si="30"/>
        <v>-</v>
      </c>
      <c r="L53" s="615"/>
      <c r="M53" s="537" t="e">
        <f>RANK(K53, K$47:$K$61)</f>
        <v>#VALUE!</v>
      </c>
      <c r="N53" s="624"/>
      <c r="O53" s="624"/>
      <c r="P53" s="529" t="s">
        <v>427</v>
      </c>
      <c r="Q53" s="538" t="s">
        <v>427</v>
      </c>
      <c r="R53" s="538" t="s">
        <v>427</v>
      </c>
      <c r="S53" s="529" t="e">
        <f t="shared" si="31"/>
        <v>#VALUE!</v>
      </c>
      <c r="T53" s="611"/>
      <c r="U53" s="529" t="s">
        <v>427</v>
      </c>
      <c r="V53" s="538" t="s">
        <v>427</v>
      </c>
      <c r="W53" s="538" t="s">
        <v>427</v>
      </c>
      <c r="X53" s="529" t="e">
        <f t="shared" si="33"/>
        <v>#VALUE!</v>
      </c>
      <c r="Y53" s="611"/>
      <c r="Z53" s="529" t="s">
        <v>427</v>
      </c>
      <c r="AA53" s="538" t="s">
        <v>427</v>
      </c>
      <c r="AB53" s="538" t="s">
        <v>427</v>
      </c>
      <c r="AC53" s="529" t="e">
        <f t="shared" si="35"/>
        <v>#VALUE!</v>
      </c>
      <c r="AD53" s="611"/>
      <c r="AE53" s="529" t="s">
        <v>427</v>
      </c>
      <c r="AF53" s="538" t="s">
        <v>427</v>
      </c>
      <c r="AG53" s="538" t="s">
        <v>427</v>
      </c>
      <c r="AH53" s="529" t="e">
        <f t="shared" si="37"/>
        <v>#VALUE!</v>
      </c>
      <c r="AI53" s="611"/>
      <c r="AJ53" s="529" t="s">
        <v>427</v>
      </c>
      <c r="AK53" s="538" t="s">
        <v>427</v>
      </c>
      <c r="AL53" s="538" t="s">
        <v>427</v>
      </c>
      <c r="AM53" s="529" t="e">
        <f t="shared" si="39"/>
        <v>#VALUE!</v>
      </c>
      <c r="AN53" s="611"/>
      <c r="AO53" s="529" t="s">
        <v>427</v>
      </c>
      <c r="AP53" s="538" t="s">
        <v>427</v>
      </c>
      <c r="AQ53" s="538" t="s">
        <v>427</v>
      </c>
      <c r="AR53" s="529" t="e">
        <f t="shared" si="41"/>
        <v>#VALUE!</v>
      </c>
      <c r="AS53" s="611"/>
      <c r="AT53" s="529" t="s">
        <v>427</v>
      </c>
      <c r="AU53" s="538" t="s">
        <v>427</v>
      </c>
      <c r="AV53" s="538" t="s">
        <v>427</v>
      </c>
      <c r="AW53" s="529" t="e">
        <f t="shared" si="43"/>
        <v>#VALUE!</v>
      </c>
      <c r="AX53" s="611"/>
      <c r="AZ53" s="377" t="e">
        <f t="shared" si="45"/>
        <v>#N/A</v>
      </c>
      <c r="BA53" s="635"/>
    </row>
    <row r="54" spans="2:53">
      <c r="B54" s="635"/>
      <c r="C54" s="534">
        <v>8</v>
      </c>
      <c r="D54" s="223"/>
      <c r="E54" s="538"/>
      <c r="F54" s="529"/>
      <c r="G54" s="530"/>
      <c r="H54" s="672"/>
      <c r="I54" s="531" t="str">
        <f t="shared" si="30"/>
        <v>-</v>
      </c>
      <c r="J54" s="531" t="str">
        <f t="shared" si="30"/>
        <v>-</v>
      </c>
      <c r="K54" s="363" t="str">
        <f t="shared" si="30"/>
        <v>-</v>
      </c>
      <c r="L54" s="615"/>
      <c r="M54" s="537" t="e">
        <f>RANK(K54, K$47:$K$61)</f>
        <v>#VALUE!</v>
      </c>
      <c r="N54" s="624"/>
      <c r="O54" s="624"/>
      <c r="P54" s="529" t="s">
        <v>427</v>
      </c>
      <c r="Q54" s="538" t="s">
        <v>427</v>
      </c>
      <c r="R54" s="538" t="s">
        <v>427</v>
      </c>
      <c r="S54" s="529" t="e">
        <f t="shared" si="31"/>
        <v>#VALUE!</v>
      </c>
      <c r="T54" s="611"/>
      <c r="U54" s="529" t="s">
        <v>427</v>
      </c>
      <c r="V54" s="538" t="s">
        <v>427</v>
      </c>
      <c r="W54" s="538" t="s">
        <v>427</v>
      </c>
      <c r="X54" s="529" t="e">
        <f t="shared" si="33"/>
        <v>#VALUE!</v>
      </c>
      <c r="Y54" s="611"/>
      <c r="Z54" s="529" t="s">
        <v>427</v>
      </c>
      <c r="AA54" s="538" t="s">
        <v>427</v>
      </c>
      <c r="AB54" s="538" t="s">
        <v>427</v>
      </c>
      <c r="AC54" s="529" t="e">
        <f t="shared" si="35"/>
        <v>#VALUE!</v>
      </c>
      <c r="AD54" s="611"/>
      <c r="AE54" s="529" t="s">
        <v>427</v>
      </c>
      <c r="AF54" s="538" t="s">
        <v>427</v>
      </c>
      <c r="AG54" s="538" t="s">
        <v>427</v>
      </c>
      <c r="AH54" s="529" t="e">
        <f t="shared" si="37"/>
        <v>#VALUE!</v>
      </c>
      <c r="AI54" s="611"/>
      <c r="AJ54" s="529" t="s">
        <v>427</v>
      </c>
      <c r="AK54" s="538" t="s">
        <v>427</v>
      </c>
      <c r="AL54" s="538" t="s">
        <v>427</v>
      </c>
      <c r="AM54" s="529" t="e">
        <f t="shared" si="39"/>
        <v>#VALUE!</v>
      </c>
      <c r="AN54" s="611"/>
      <c r="AO54" s="529" t="s">
        <v>427</v>
      </c>
      <c r="AP54" s="538" t="s">
        <v>427</v>
      </c>
      <c r="AQ54" s="538" t="s">
        <v>427</v>
      </c>
      <c r="AR54" s="529" t="e">
        <f t="shared" si="41"/>
        <v>#VALUE!</v>
      </c>
      <c r="AS54" s="611"/>
      <c r="AT54" s="529" t="s">
        <v>427</v>
      </c>
      <c r="AU54" s="538" t="s">
        <v>427</v>
      </c>
      <c r="AV54" s="538" t="s">
        <v>427</v>
      </c>
      <c r="AW54" s="529" t="e">
        <f t="shared" si="43"/>
        <v>#VALUE!</v>
      </c>
      <c r="AX54" s="611"/>
      <c r="AZ54" s="377" t="e">
        <f t="shared" si="45"/>
        <v>#N/A</v>
      </c>
      <c r="BA54" s="635"/>
    </row>
    <row r="55" spans="2:53">
      <c r="B55" s="635"/>
      <c r="C55" s="534">
        <v>9</v>
      </c>
      <c r="D55" s="223"/>
      <c r="E55" s="538"/>
      <c r="F55" s="529"/>
      <c r="G55" s="530"/>
      <c r="H55" s="672"/>
      <c r="I55" s="531" t="str">
        <f t="shared" si="30"/>
        <v>-</v>
      </c>
      <c r="J55" s="531" t="str">
        <f t="shared" si="30"/>
        <v>-</v>
      </c>
      <c r="K55" s="363" t="str">
        <f t="shared" si="30"/>
        <v>-</v>
      </c>
      <c r="L55" s="615"/>
      <c r="M55" s="537" t="e">
        <f>RANK(K55, K$47:$K$61)</f>
        <v>#VALUE!</v>
      </c>
      <c r="N55" s="624"/>
      <c r="O55" s="624"/>
      <c r="P55" s="529" t="s">
        <v>427</v>
      </c>
      <c r="Q55" s="538" t="s">
        <v>427</v>
      </c>
      <c r="R55" s="538" t="s">
        <v>427</v>
      </c>
      <c r="S55" s="529" t="e">
        <f t="shared" si="31"/>
        <v>#VALUE!</v>
      </c>
      <c r="T55" s="611"/>
      <c r="U55" s="529" t="s">
        <v>427</v>
      </c>
      <c r="V55" s="538" t="s">
        <v>427</v>
      </c>
      <c r="W55" s="538" t="s">
        <v>427</v>
      </c>
      <c r="X55" s="529" t="e">
        <f t="shared" si="33"/>
        <v>#VALUE!</v>
      </c>
      <c r="Y55" s="611"/>
      <c r="Z55" s="529" t="s">
        <v>427</v>
      </c>
      <c r="AA55" s="538" t="s">
        <v>427</v>
      </c>
      <c r="AB55" s="538" t="s">
        <v>427</v>
      </c>
      <c r="AC55" s="529" t="e">
        <f t="shared" si="35"/>
        <v>#VALUE!</v>
      </c>
      <c r="AD55" s="611"/>
      <c r="AE55" s="529" t="s">
        <v>427</v>
      </c>
      <c r="AF55" s="538" t="s">
        <v>427</v>
      </c>
      <c r="AG55" s="538" t="s">
        <v>427</v>
      </c>
      <c r="AH55" s="529" t="e">
        <f t="shared" si="37"/>
        <v>#VALUE!</v>
      </c>
      <c r="AI55" s="611"/>
      <c r="AJ55" s="529" t="s">
        <v>427</v>
      </c>
      <c r="AK55" s="538" t="s">
        <v>427</v>
      </c>
      <c r="AL55" s="538" t="s">
        <v>427</v>
      </c>
      <c r="AM55" s="529" t="e">
        <f t="shared" si="39"/>
        <v>#VALUE!</v>
      </c>
      <c r="AN55" s="611"/>
      <c r="AO55" s="529" t="s">
        <v>427</v>
      </c>
      <c r="AP55" s="538" t="s">
        <v>427</v>
      </c>
      <c r="AQ55" s="538" t="s">
        <v>427</v>
      </c>
      <c r="AR55" s="529" t="e">
        <f t="shared" si="41"/>
        <v>#VALUE!</v>
      </c>
      <c r="AS55" s="611"/>
      <c r="AT55" s="529" t="s">
        <v>427</v>
      </c>
      <c r="AU55" s="538" t="s">
        <v>427</v>
      </c>
      <c r="AV55" s="538" t="s">
        <v>427</v>
      </c>
      <c r="AW55" s="529" t="e">
        <f t="shared" si="43"/>
        <v>#VALUE!</v>
      </c>
      <c r="AX55" s="611"/>
      <c r="AZ55" s="377" t="e">
        <f t="shared" si="45"/>
        <v>#N/A</v>
      </c>
      <c r="BA55" s="635"/>
    </row>
    <row r="56" spans="2:53">
      <c r="B56" s="635"/>
      <c r="C56" s="534">
        <v>10</v>
      </c>
      <c r="D56" s="223"/>
      <c r="E56" s="538"/>
      <c r="F56" s="529"/>
      <c r="G56" s="530"/>
      <c r="H56" s="672"/>
      <c r="I56" s="531" t="str">
        <f t="shared" si="30"/>
        <v>-</v>
      </c>
      <c r="J56" s="531" t="str">
        <f t="shared" si="30"/>
        <v>-</v>
      </c>
      <c r="K56" s="363" t="str">
        <f t="shared" si="30"/>
        <v>-</v>
      </c>
      <c r="L56" s="615"/>
      <c r="M56" s="537" t="e">
        <f>RANK(K56, K$47:$K$61)</f>
        <v>#VALUE!</v>
      </c>
      <c r="N56" s="624"/>
      <c r="O56" s="624"/>
      <c r="P56" s="529" t="s">
        <v>427</v>
      </c>
      <c r="Q56" s="538" t="s">
        <v>427</v>
      </c>
      <c r="R56" s="538" t="s">
        <v>427</v>
      </c>
      <c r="S56" s="529" t="e">
        <f t="shared" si="31"/>
        <v>#VALUE!</v>
      </c>
      <c r="T56" s="611"/>
      <c r="U56" s="529" t="s">
        <v>427</v>
      </c>
      <c r="V56" s="538" t="s">
        <v>427</v>
      </c>
      <c r="W56" s="538" t="s">
        <v>427</v>
      </c>
      <c r="X56" s="529" t="e">
        <f t="shared" si="33"/>
        <v>#VALUE!</v>
      </c>
      <c r="Y56" s="611"/>
      <c r="Z56" s="529" t="s">
        <v>427</v>
      </c>
      <c r="AA56" s="538" t="s">
        <v>427</v>
      </c>
      <c r="AB56" s="538" t="s">
        <v>427</v>
      </c>
      <c r="AC56" s="529" t="e">
        <f t="shared" si="35"/>
        <v>#VALUE!</v>
      </c>
      <c r="AD56" s="611"/>
      <c r="AE56" s="529" t="s">
        <v>427</v>
      </c>
      <c r="AF56" s="538" t="s">
        <v>427</v>
      </c>
      <c r="AG56" s="538" t="s">
        <v>427</v>
      </c>
      <c r="AH56" s="529" t="e">
        <f t="shared" si="37"/>
        <v>#VALUE!</v>
      </c>
      <c r="AI56" s="611"/>
      <c r="AJ56" s="529" t="s">
        <v>427</v>
      </c>
      <c r="AK56" s="538" t="s">
        <v>427</v>
      </c>
      <c r="AL56" s="538" t="s">
        <v>427</v>
      </c>
      <c r="AM56" s="529" t="e">
        <f t="shared" si="39"/>
        <v>#VALUE!</v>
      </c>
      <c r="AN56" s="611"/>
      <c r="AO56" s="529" t="s">
        <v>427</v>
      </c>
      <c r="AP56" s="538" t="s">
        <v>427</v>
      </c>
      <c r="AQ56" s="538" t="s">
        <v>427</v>
      </c>
      <c r="AR56" s="529" t="e">
        <f t="shared" si="41"/>
        <v>#VALUE!</v>
      </c>
      <c r="AS56" s="611"/>
      <c r="AT56" s="529" t="s">
        <v>427</v>
      </c>
      <c r="AU56" s="538" t="s">
        <v>427</v>
      </c>
      <c r="AV56" s="538" t="s">
        <v>427</v>
      </c>
      <c r="AW56" s="529" t="e">
        <f t="shared" si="43"/>
        <v>#VALUE!</v>
      </c>
      <c r="AX56" s="611"/>
      <c r="AZ56" s="377" t="e">
        <f t="shared" si="45"/>
        <v>#N/A</v>
      </c>
      <c r="BA56" s="635"/>
    </row>
    <row r="57" spans="2:53">
      <c r="B57" s="635"/>
      <c r="C57" s="534">
        <v>11</v>
      </c>
      <c r="D57" s="223"/>
      <c r="E57" s="538"/>
      <c r="F57" s="529"/>
      <c r="G57" s="530"/>
      <c r="H57" s="672"/>
      <c r="I57" s="531" t="str">
        <f t="shared" si="30"/>
        <v>-</v>
      </c>
      <c r="J57" s="531" t="str">
        <f t="shared" si="30"/>
        <v>-</v>
      </c>
      <c r="K57" s="363" t="str">
        <f t="shared" si="30"/>
        <v>-</v>
      </c>
      <c r="L57" s="615"/>
      <c r="M57" s="537" t="e">
        <f>RANK(K57, K$47:$K$61)</f>
        <v>#VALUE!</v>
      </c>
      <c r="N57" s="624"/>
      <c r="O57" s="624"/>
      <c r="P57" s="529" t="s">
        <v>427</v>
      </c>
      <c r="Q57" s="538" t="s">
        <v>427</v>
      </c>
      <c r="R57" s="538" t="s">
        <v>427</v>
      </c>
      <c r="S57" s="529" t="e">
        <f t="shared" si="31"/>
        <v>#VALUE!</v>
      </c>
      <c r="T57" s="611"/>
      <c r="U57" s="529" t="s">
        <v>427</v>
      </c>
      <c r="V57" s="538" t="s">
        <v>427</v>
      </c>
      <c r="W57" s="538" t="s">
        <v>427</v>
      </c>
      <c r="X57" s="529" t="e">
        <f t="shared" si="33"/>
        <v>#VALUE!</v>
      </c>
      <c r="Y57" s="611"/>
      <c r="Z57" s="529" t="s">
        <v>427</v>
      </c>
      <c r="AA57" s="538" t="s">
        <v>427</v>
      </c>
      <c r="AB57" s="538" t="s">
        <v>427</v>
      </c>
      <c r="AC57" s="529" t="e">
        <f t="shared" si="35"/>
        <v>#VALUE!</v>
      </c>
      <c r="AD57" s="611"/>
      <c r="AE57" s="529" t="s">
        <v>427</v>
      </c>
      <c r="AF57" s="538" t="s">
        <v>427</v>
      </c>
      <c r="AG57" s="538" t="s">
        <v>427</v>
      </c>
      <c r="AH57" s="529" t="e">
        <f t="shared" si="37"/>
        <v>#VALUE!</v>
      </c>
      <c r="AI57" s="611"/>
      <c r="AJ57" s="529" t="s">
        <v>427</v>
      </c>
      <c r="AK57" s="538" t="s">
        <v>427</v>
      </c>
      <c r="AL57" s="538" t="s">
        <v>427</v>
      </c>
      <c r="AM57" s="529" t="e">
        <f t="shared" si="39"/>
        <v>#VALUE!</v>
      </c>
      <c r="AN57" s="611"/>
      <c r="AO57" s="529" t="s">
        <v>427</v>
      </c>
      <c r="AP57" s="538" t="s">
        <v>427</v>
      </c>
      <c r="AQ57" s="538" t="s">
        <v>427</v>
      </c>
      <c r="AR57" s="529" t="e">
        <f t="shared" si="41"/>
        <v>#VALUE!</v>
      </c>
      <c r="AS57" s="611"/>
      <c r="AT57" s="529" t="s">
        <v>427</v>
      </c>
      <c r="AU57" s="538" t="s">
        <v>427</v>
      </c>
      <c r="AV57" s="538" t="s">
        <v>427</v>
      </c>
      <c r="AW57" s="529" t="e">
        <f t="shared" si="43"/>
        <v>#VALUE!</v>
      </c>
      <c r="AX57" s="611"/>
      <c r="AZ57" s="377" t="e">
        <f t="shared" si="45"/>
        <v>#N/A</v>
      </c>
      <c r="BA57" s="635"/>
    </row>
    <row r="58" spans="2:53">
      <c r="B58" s="635"/>
      <c r="C58" s="534">
        <v>12</v>
      </c>
      <c r="D58" s="223"/>
      <c r="E58" s="538"/>
      <c r="F58" s="529"/>
      <c r="G58" s="530"/>
      <c r="H58" s="672"/>
      <c r="I58" s="531" t="str">
        <f t="shared" si="30"/>
        <v>-</v>
      </c>
      <c r="J58" s="531" t="str">
        <f t="shared" si="30"/>
        <v>-</v>
      </c>
      <c r="K58" s="363" t="str">
        <f t="shared" si="30"/>
        <v>-</v>
      </c>
      <c r="L58" s="615"/>
      <c r="M58" s="537" t="e">
        <f>RANK(K58, K$47:$K$61)</f>
        <v>#VALUE!</v>
      </c>
      <c r="N58" s="624"/>
      <c r="O58" s="624"/>
      <c r="P58" s="529" t="s">
        <v>427</v>
      </c>
      <c r="Q58" s="538" t="s">
        <v>427</v>
      </c>
      <c r="R58" s="538" t="s">
        <v>427</v>
      </c>
      <c r="S58" s="529" t="e">
        <f t="shared" si="31"/>
        <v>#VALUE!</v>
      </c>
      <c r="T58" s="611"/>
      <c r="U58" s="529" t="s">
        <v>427</v>
      </c>
      <c r="V58" s="538" t="s">
        <v>427</v>
      </c>
      <c r="W58" s="538" t="s">
        <v>427</v>
      </c>
      <c r="X58" s="529" t="e">
        <f t="shared" si="33"/>
        <v>#VALUE!</v>
      </c>
      <c r="Y58" s="611"/>
      <c r="Z58" s="529" t="s">
        <v>427</v>
      </c>
      <c r="AA58" s="538" t="s">
        <v>427</v>
      </c>
      <c r="AB58" s="538" t="s">
        <v>427</v>
      </c>
      <c r="AC58" s="529" t="e">
        <f t="shared" si="35"/>
        <v>#VALUE!</v>
      </c>
      <c r="AD58" s="611"/>
      <c r="AE58" s="529" t="s">
        <v>427</v>
      </c>
      <c r="AF58" s="538" t="s">
        <v>427</v>
      </c>
      <c r="AG58" s="538" t="s">
        <v>427</v>
      </c>
      <c r="AH58" s="529" t="e">
        <f t="shared" si="37"/>
        <v>#VALUE!</v>
      </c>
      <c r="AI58" s="611"/>
      <c r="AJ58" s="529" t="s">
        <v>427</v>
      </c>
      <c r="AK58" s="538" t="s">
        <v>427</v>
      </c>
      <c r="AL58" s="538" t="s">
        <v>427</v>
      </c>
      <c r="AM58" s="529" t="e">
        <f t="shared" si="39"/>
        <v>#VALUE!</v>
      </c>
      <c r="AN58" s="611"/>
      <c r="AO58" s="529" t="s">
        <v>427</v>
      </c>
      <c r="AP58" s="538" t="s">
        <v>427</v>
      </c>
      <c r="AQ58" s="538" t="s">
        <v>427</v>
      </c>
      <c r="AR58" s="529" t="e">
        <f t="shared" si="41"/>
        <v>#VALUE!</v>
      </c>
      <c r="AS58" s="611"/>
      <c r="AT58" s="529" t="s">
        <v>427</v>
      </c>
      <c r="AU58" s="538" t="s">
        <v>427</v>
      </c>
      <c r="AV58" s="538" t="s">
        <v>427</v>
      </c>
      <c r="AW58" s="529" t="e">
        <f t="shared" si="43"/>
        <v>#VALUE!</v>
      </c>
      <c r="AX58" s="611"/>
      <c r="AZ58" s="377" t="e">
        <f t="shared" si="45"/>
        <v>#N/A</v>
      </c>
      <c r="BA58" s="635"/>
    </row>
    <row r="59" spans="2:53">
      <c r="B59" s="635"/>
      <c r="C59" s="534">
        <v>13</v>
      </c>
      <c r="D59" s="223"/>
      <c r="E59" s="538"/>
      <c r="F59" s="529"/>
      <c r="G59" s="530"/>
      <c r="H59" s="672"/>
      <c r="I59" s="531" t="str">
        <f t="shared" si="30"/>
        <v>-</v>
      </c>
      <c r="J59" s="531" t="str">
        <f t="shared" si="30"/>
        <v>-</v>
      </c>
      <c r="K59" s="363" t="str">
        <f t="shared" si="30"/>
        <v>-</v>
      </c>
      <c r="L59" s="615"/>
      <c r="M59" s="537" t="e">
        <f>RANK(K59, K$47:$K$61)</f>
        <v>#VALUE!</v>
      </c>
      <c r="N59" s="624"/>
      <c r="O59" s="624"/>
      <c r="P59" s="529" t="s">
        <v>427</v>
      </c>
      <c r="Q59" s="538" t="s">
        <v>427</v>
      </c>
      <c r="R59" s="538" t="s">
        <v>427</v>
      </c>
      <c r="S59" s="529" t="e">
        <f t="shared" si="31"/>
        <v>#VALUE!</v>
      </c>
      <c r="T59" s="611"/>
      <c r="U59" s="529" t="s">
        <v>427</v>
      </c>
      <c r="V59" s="538" t="s">
        <v>427</v>
      </c>
      <c r="W59" s="538" t="s">
        <v>427</v>
      </c>
      <c r="X59" s="529" t="e">
        <f t="shared" si="33"/>
        <v>#VALUE!</v>
      </c>
      <c r="Y59" s="611"/>
      <c r="Z59" s="529" t="s">
        <v>427</v>
      </c>
      <c r="AA59" s="538" t="s">
        <v>427</v>
      </c>
      <c r="AB59" s="538" t="s">
        <v>427</v>
      </c>
      <c r="AC59" s="529" t="e">
        <f t="shared" si="35"/>
        <v>#VALUE!</v>
      </c>
      <c r="AD59" s="611"/>
      <c r="AE59" s="529" t="s">
        <v>427</v>
      </c>
      <c r="AF59" s="538" t="s">
        <v>427</v>
      </c>
      <c r="AG59" s="538" t="s">
        <v>427</v>
      </c>
      <c r="AH59" s="529" t="e">
        <f t="shared" si="37"/>
        <v>#VALUE!</v>
      </c>
      <c r="AI59" s="611"/>
      <c r="AJ59" s="529" t="s">
        <v>427</v>
      </c>
      <c r="AK59" s="538" t="s">
        <v>427</v>
      </c>
      <c r="AL59" s="538" t="s">
        <v>427</v>
      </c>
      <c r="AM59" s="529" t="e">
        <f t="shared" si="39"/>
        <v>#VALUE!</v>
      </c>
      <c r="AN59" s="611"/>
      <c r="AO59" s="529" t="s">
        <v>427</v>
      </c>
      <c r="AP59" s="538" t="s">
        <v>427</v>
      </c>
      <c r="AQ59" s="538" t="s">
        <v>427</v>
      </c>
      <c r="AR59" s="529" t="e">
        <f t="shared" si="41"/>
        <v>#VALUE!</v>
      </c>
      <c r="AS59" s="611"/>
      <c r="AT59" s="529" t="s">
        <v>427</v>
      </c>
      <c r="AU59" s="538" t="s">
        <v>427</v>
      </c>
      <c r="AV59" s="538" t="s">
        <v>427</v>
      </c>
      <c r="AW59" s="529" t="e">
        <f t="shared" si="43"/>
        <v>#VALUE!</v>
      </c>
      <c r="AX59" s="611"/>
      <c r="AZ59" s="377" t="e">
        <f t="shared" si="45"/>
        <v>#N/A</v>
      </c>
      <c r="BA59" s="635"/>
    </row>
    <row r="60" spans="2:53">
      <c r="B60" s="635"/>
      <c r="C60" s="534">
        <v>14</v>
      </c>
      <c r="D60" s="223"/>
      <c r="E60" s="538"/>
      <c r="F60" s="529"/>
      <c r="G60" s="530"/>
      <c r="H60" s="672"/>
      <c r="I60" s="531" t="str">
        <f t="shared" si="30"/>
        <v>-</v>
      </c>
      <c r="J60" s="531" t="str">
        <f t="shared" si="30"/>
        <v>-</v>
      </c>
      <c r="K60" s="363" t="str">
        <f t="shared" si="30"/>
        <v>-</v>
      </c>
      <c r="L60" s="615"/>
      <c r="M60" s="537" t="e">
        <f>RANK(K60, K$47:$K$61)</f>
        <v>#VALUE!</v>
      </c>
      <c r="N60" s="624"/>
      <c r="O60" s="624"/>
      <c r="P60" s="529" t="s">
        <v>427</v>
      </c>
      <c r="Q60" s="538" t="s">
        <v>427</v>
      </c>
      <c r="R60" s="538" t="s">
        <v>427</v>
      </c>
      <c r="S60" s="529" t="e">
        <f t="shared" si="31"/>
        <v>#VALUE!</v>
      </c>
      <c r="T60" s="611"/>
      <c r="U60" s="529" t="s">
        <v>427</v>
      </c>
      <c r="V60" s="538" t="s">
        <v>427</v>
      </c>
      <c r="W60" s="538" t="s">
        <v>427</v>
      </c>
      <c r="X60" s="529" t="e">
        <f t="shared" si="33"/>
        <v>#VALUE!</v>
      </c>
      <c r="Y60" s="611"/>
      <c r="Z60" s="529" t="s">
        <v>427</v>
      </c>
      <c r="AA60" s="538" t="s">
        <v>427</v>
      </c>
      <c r="AB60" s="538" t="s">
        <v>427</v>
      </c>
      <c r="AC60" s="529" t="e">
        <f t="shared" si="35"/>
        <v>#VALUE!</v>
      </c>
      <c r="AD60" s="611"/>
      <c r="AE60" s="529" t="s">
        <v>427</v>
      </c>
      <c r="AF60" s="538" t="s">
        <v>427</v>
      </c>
      <c r="AG60" s="538" t="s">
        <v>427</v>
      </c>
      <c r="AH60" s="529" t="e">
        <f t="shared" si="37"/>
        <v>#VALUE!</v>
      </c>
      <c r="AI60" s="611"/>
      <c r="AJ60" s="529" t="s">
        <v>427</v>
      </c>
      <c r="AK60" s="538" t="s">
        <v>427</v>
      </c>
      <c r="AL60" s="538" t="s">
        <v>427</v>
      </c>
      <c r="AM60" s="529" t="e">
        <f t="shared" si="39"/>
        <v>#VALUE!</v>
      </c>
      <c r="AN60" s="611"/>
      <c r="AO60" s="529" t="s">
        <v>427</v>
      </c>
      <c r="AP60" s="538" t="s">
        <v>427</v>
      </c>
      <c r="AQ60" s="538" t="s">
        <v>427</v>
      </c>
      <c r="AR60" s="529" t="e">
        <f t="shared" si="41"/>
        <v>#VALUE!</v>
      </c>
      <c r="AS60" s="611"/>
      <c r="AT60" s="529" t="s">
        <v>427</v>
      </c>
      <c r="AU60" s="538" t="s">
        <v>427</v>
      </c>
      <c r="AV60" s="538" t="s">
        <v>427</v>
      </c>
      <c r="AW60" s="529" t="e">
        <f t="shared" si="43"/>
        <v>#VALUE!</v>
      </c>
      <c r="AX60" s="611"/>
      <c r="AZ60" s="377" t="e">
        <f t="shared" si="45"/>
        <v>#N/A</v>
      </c>
      <c r="BA60" s="635"/>
    </row>
    <row r="61" spans="2:53">
      <c r="B61" s="635"/>
      <c r="C61" s="534">
        <v>15</v>
      </c>
      <c r="D61" s="223"/>
      <c r="E61" s="538"/>
      <c r="F61" s="529"/>
      <c r="G61" s="530"/>
      <c r="H61" s="676"/>
      <c r="I61" s="534"/>
      <c r="J61" s="534"/>
      <c r="K61" s="534"/>
      <c r="L61" s="616"/>
      <c r="M61" s="537" t="e">
        <f>RANK(K61, K$47:$K$61)</f>
        <v>#N/A</v>
      </c>
      <c r="N61" s="624"/>
      <c r="O61" s="624"/>
      <c r="P61" s="529" t="s">
        <v>427</v>
      </c>
      <c r="Q61" s="538" t="s">
        <v>427</v>
      </c>
      <c r="R61" s="538" t="s">
        <v>427</v>
      </c>
      <c r="S61" s="529" t="e">
        <f t="shared" si="31"/>
        <v>#VALUE!</v>
      </c>
      <c r="T61" s="612"/>
      <c r="U61" s="529" t="s">
        <v>427</v>
      </c>
      <c r="V61" s="538" t="s">
        <v>427</v>
      </c>
      <c r="W61" s="538" t="s">
        <v>427</v>
      </c>
      <c r="X61" s="529" t="e">
        <f t="shared" si="33"/>
        <v>#VALUE!</v>
      </c>
      <c r="Y61" s="612"/>
      <c r="Z61" s="529" t="s">
        <v>427</v>
      </c>
      <c r="AA61" s="538" t="s">
        <v>427</v>
      </c>
      <c r="AB61" s="538" t="s">
        <v>427</v>
      </c>
      <c r="AC61" s="529" t="e">
        <f t="shared" si="35"/>
        <v>#VALUE!</v>
      </c>
      <c r="AD61" s="612"/>
      <c r="AE61" s="529" t="s">
        <v>427</v>
      </c>
      <c r="AF61" s="538" t="s">
        <v>427</v>
      </c>
      <c r="AG61" s="538" t="s">
        <v>427</v>
      </c>
      <c r="AH61" s="529" t="e">
        <f t="shared" si="37"/>
        <v>#VALUE!</v>
      </c>
      <c r="AI61" s="612"/>
      <c r="AJ61" s="529" t="s">
        <v>427</v>
      </c>
      <c r="AK61" s="538" t="s">
        <v>427</v>
      </c>
      <c r="AL61" s="538" t="s">
        <v>427</v>
      </c>
      <c r="AM61" s="529" t="e">
        <f t="shared" si="39"/>
        <v>#VALUE!</v>
      </c>
      <c r="AN61" s="612"/>
      <c r="AO61" s="529" t="s">
        <v>427</v>
      </c>
      <c r="AP61" s="538" t="s">
        <v>427</v>
      </c>
      <c r="AQ61" s="538" t="s">
        <v>427</v>
      </c>
      <c r="AR61" s="529" t="e">
        <f t="shared" si="41"/>
        <v>#VALUE!</v>
      </c>
      <c r="AS61" s="612"/>
      <c r="AT61" s="529" t="s">
        <v>427</v>
      </c>
      <c r="AU61" s="538" t="s">
        <v>427</v>
      </c>
      <c r="AV61" s="538" t="s">
        <v>427</v>
      </c>
      <c r="AW61" s="529" t="e">
        <f t="shared" si="43"/>
        <v>#VALUE!</v>
      </c>
      <c r="AX61" s="612"/>
      <c r="AZ61" s="377" t="e">
        <f t="shared" si="45"/>
        <v>#N/A</v>
      </c>
      <c r="BA61" s="635"/>
    </row>
    <row r="62" spans="2:53" ht="15.75">
      <c r="B62" s="643" t="s">
        <v>769</v>
      </c>
      <c r="C62" s="644"/>
      <c r="D62" s="644"/>
      <c r="E62" s="644"/>
      <c r="F62" s="644"/>
      <c r="G62" s="644"/>
      <c r="H62" s="645"/>
      <c r="I62" s="205"/>
      <c r="J62" s="205"/>
      <c r="K62" s="205"/>
      <c r="L62" s="205"/>
      <c r="M62" s="204"/>
      <c r="N62" s="639" t="s">
        <v>781</v>
      </c>
      <c r="O62" s="639" t="s">
        <v>714</v>
      </c>
      <c r="P62" s="634">
        <f>AT42+1</f>
        <v>46224</v>
      </c>
      <c r="Q62" s="635"/>
      <c r="R62" s="635"/>
      <c r="S62" s="635"/>
      <c r="T62" s="635"/>
      <c r="U62" s="636">
        <f>P62+1</f>
        <v>46225</v>
      </c>
      <c r="V62" s="637"/>
      <c r="W62" s="637"/>
      <c r="X62" s="637"/>
      <c r="Y62" s="638"/>
      <c r="Z62" s="636">
        <f t="shared" ref="Z62" si="46">U62+1</f>
        <v>46226</v>
      </c>
      <c r="AA62" s="637"/>
      <c r="AB62" s="637"/>
      <c r="AC62" s="637"/>
      <c r="AD62" s="638"/>
      <c r="AE62" s="636">
        <f t="shared" ref="AE62" si="47">Z62+1</f>
        <v>46227</v>
      </c>
      <c r="AF62" s="637"/>
      <c r="AG62" s="637"/>
      <c r="AH62" s="637"/>
      <c r="AI62" s="638"/>
      <c r="AJ62" s="636">
        <f t="shared" ref="AJ62" si="48">AE62+1</f>
        <v>46228</v>
      </c>
      <c r="AK62" s="637"/>
      <c r="AL62" s="637"/>
      <c r="AM62" s="637"/>
      <c r="AN62" s="638"/>
      <c r="AO62" s="636">
        <f t="shared" ref="AO62" si="49">AJ62+1</f>
        <v>46229</v>
      </c>
      <c r="AP62" s="637"/>
      <c r="AQ62" s="637"/>
      <c r="AR62" s="637"/>
      <c r="AS62" s="638"/>
      <c r="AT62" s="636">
        <f t="shared" ref="AT62" si="50">AO62+1</f>
        <v>46230</v>
      </c>
      <c r="AU62" s="637"/>
      <c r="AV62" s="637"/>
      <c r="AW62" s="637"/>
      <c r="AX62" s="638"/>
    </row>
    <row r="63" spans="2:53" ht="15.75">
      <c r="B63" s="646"/>
      <c r="C63" s="646"/>
      <c r="D63" s="646"/>
      <c r="E63" s="646"/>
      <c r="F63" s="646"/>
      <c r="G63" s="646"/>
      <c r="H63" s="646"/>
      <c r="I63" s="202"/>
      <c r="J63" s="202"/>
      <c r="K63" s="202"/>
      <c r="L63" s="202"/>
      <c r="M63" s="203"/>
      <c r="N63" s="641"/>
      <c r="O63" s="641"/>
      <c r="P63" s="634" t="s">
        <v>715</v>
      </c>
      <c r="Q63" s="635"/>
      <c r="R63" s="635"/>
      <c r="S63" s="635"/>
      <c r="T63" s="635"/>
      <c r="U63" s="634" t="s">
        <v>716</v>
      </c>
      <c r="V63" s="635"/>
      <c r="W63" s="635"/>
      <c r="X63" s="635"/>
      <c r="Y63" s="635"/>
      <c r="Z63" s="634" t="s">
        <v>717</v>
      </c>
      <c r="AA63" s="635"/>
      <c r="AB63" s="635"/>
      <c r="AC63" s="635"/>
      <c r="AD63" s="635"/>
      <c r="AE63" s="634" t="s">
        <v>718</v>
      </c>
      <c r="AF63" s="635"/>
      <c r="AG63" s="635"/>
      <c r="AH63" s="635"/>
      <c r="AI63" s="635"/>
      <c r="AJ63" s="634" t="s">
        <v>719</v>
      </c>
      <c r="AK63" s="635"/>
      <c r="AL63" s="635"/>
      <c r="AM63" s="635"/>
      <c r="AN63" s="635"/>
      <c r="AO63" s="634" t="s">
        <v>720</v>
      </c>
      <c r="AP63" s="635"/>
      <c r="AQ63" s="635"/>
      <c r="AR63" s="635"/>
      <c r="AS63" s="635"/>
      <c r="AT63" s="634" t="s">
        <v>721</v>
      </c>
      <c r="AU63" s="635"/>
      <c r="AV63" s="635"/>
      <c r="AW63" s="635"/>
      <c r="AX63" s="635"/>
    </row>
    <row r="64" spans="2:53">
      <c r="B64" s="624" t="s">
        <v>760</v>
      </c>
      <c r="C64" s="624" t="s">
        <v>464</v>
      </c>
      <c r="D64" s="624"/>
      <c r="E64" s="624" t="s">
        <v>465</v>
      </c>
      <c r="F64" s="624"/>
      <c r="G64" s="624"/>
      <c r="H64" s="647" t="s">
        <v>466</v>
      </c>
      <c r="I64" s="624" t="s">
        <v>467</v>
      </c>
      <c r="J64" s="624"/>
      <c r="K64" s="624"/>
      <c r="L64" s="647" t="s">
        <v>829</v>
      </c>
      <c r="M64" s="639" t="s">
        <v>468</v>
      </c>
      <c r="N64" s="624"/>
      <c r="O64" s="624" t="s">
        <v>469</v>
      </c>
      <c r="P64" s="621" t="s">
        <v>832</v>
      </c>
      <c r="Q64" s="622"/>
      <c r="R64" s="622"/>
      <c r="S64" s="623"/>
      <c r="T64" s="624" t="s">
        <v>829</v>
      </c>
      <c r="U64" s="621" t="s">
        <v>832</v>
      </c>
      <c r="V64" s="622"/>
      <c r="W64" s="622"/>
      <c r="X64" s="623"/>
      <c r="Y64" s="624" t="s">
        <v>829</v>
      </c>
      <c r="Z64" s="621" t="s">
        <v>832</v>
      </c>
      <c r="AA64" s="622"/>
      <c r="AB64" s="622"/>
      <c r="AC64" s="623"/>
      <c r="AD64" s="624" t="s">
        <v>829</v>
      </c>
      <c r="AE64" s="621" t="s">
        <v>832</v>
      </c>
      <c r="AF64" s="622"/>
      <c r="AG64" s="622"/>
      <c r="AH64" s="623"/>
      <c r="AI64" s="624" t="s">
        <v>829</v>
      </c>
      <c r="AJ64" s="621" t="s">
        <v>832</v>
      </c>
      <c r="AK64" s="622"/>
      <c r="AL64" s="622"/>
      <c r="AM64" s="623"/>
      <c r="AN64" s="624" t="s">
        <v>829</v>
      </c>
      <c r="AO64" s="621" t="s">
        <v>832</v>
      </c>
      <c r="AP64" s="622"/>
      <c r="AQ64" s="622"/>
      <c r="AR64" s="623"/>
      <c r="AS64" s="624" t="s">
        <v>829</v>
      </c>
      <c r="AT64" s="621" t="s">
        <v>832</v>
      </c>
      <c r="AU64" s="622"/>
      <c r="AV64" s="622"/>
      <c r="AW64" s="623"/>
      <c r="AX64" s="624" t="s">
        <v>829</v>
      </c>
    </row>
    <row r="65" spans="2:53">
      <c r="B65" s="624"/>
      <c r="C65" s="624"/>
      <c r="D65" s="624"/>
      <c r="E65" s="624" t="s">
        <v>470</v>
      </c>
      <c r="F65" s="624"/>
      <c r="G65" s="624"/>
      <c r="H65" s="648"/>
      <c r="I65" s="624" t="s">
        <v>470</v>
      </c>
      <c r="J65" s="624"/>
      <c r="K65" s="624"/>
      <c r="L65" s="648"/>
      <c r="M65" s="640"/>
      <c r="N65" s="624"/>
      <c r="O65" s="624"/>
      <c r="P65" s="621" t="s">
        <v>834</v>
      </c>
      <c r="Q65" s="622"/>
      <c r="R65" s="622"/>
      <c r="S65" s="623"/>
      <c r="T65" s="624"/>
      <c r="U65" s="621" t="s">
        <v>834</v>
      </c>
      <c r="V65" s="622"/>
      <c r="W65" s="622"/>
      <c r="X65" s="623"/>
      <c r="Y65" s="624"/>
      <c r="Z65" s="621" t="s">
        <v>834</v>
      </c>
      <c r="AA65" s="622"/>
      <c r="AB65" s="622"/>
      <c r="AC65" s="623"/>
      <c r="AD65" s="624"/>
      <c r="AE65" s="621" t="s">
        <v>834</v>
      </c>
      <c r="AF65" s="622"/>
      <c r="AG65" s="622"/>
      <c r="AH65" s="623"/>
      <c r="AI65" s="624"/>
      <c r="AJ65" s="621" t="s">
        <v>834</v>
      </c>
      <c r="AK65" s="622"/>
      <c r="AL65" s="622"/>
      <c r="AM65" s="623"/>
      <c r="AN65" s="624"/>
      <c r="AO65" s="621" t="s">
        <v>834</v>
      </c>
      <c r="AP65" s="622"/>
      <c r="AQ65" s="622"/>
      <c r="AR65" s="623"/>
      <c r="AS65" s="624"/>
      <c r="AT65" s="621" t="s">
        <v>834</v>
      </c>
      <c r="AU65" s="622"/>
      <c r="AV65" s="622"/>
      <c r="AW65" s="623"/>
      <c r="AX65" s="624"/>
    </row>
    <row r="66" spans="2:53">
      <c r="B66" s="624"/>
      <c r="C66" s="624"/>
      <c r="D66" s="624"/>
      <c r="E66" s="533" t="s">
        <v>471</v>
      </c>
      <c r="F66" s="533" t="s">
        <v>472</v>
      </c>
      <c r="G66" s="533" t="s">
        <v>473</v>
      </c>
      <c r="H66" s="649"/>
      <c r="I66" s="533" t="s">
        <v>471</v>
      </c>
      <c r="J66" s="533" t="s">
        <v>472</v>
      </c>
      <c r="K66" s="533" t="s">
        <v>473</v>
      </c>
      <c r="L66" s="649"/>
      <c r="M66" s="641"/>
      <c r="N66" s="624"/>
      <c r="O66" s="624"/>
      <c r="P66" s="533" t="s">
        <v>835</v>
      </c>
      <c r="Q66" s="533" t="s">
        <v>836</v>
      </c>
      <c r="R66" s="533" t="s">
        <v>837</v>
      </c>
      <c r="S66" s="533" t="s">
        <v>440</v>
      </c>
      <c r="T66" s="624"/>
      <c r="U66" s="533" t="s">
        <v>835</v>
      </c>
      <c r="V66" s="533" t="s">
        <v>836</v>
      </c>
      <c r="W66" s="533" t="s">
        <v>837</v>
      </c>
      <c r="X66" s="533" t="s">
        <v>440</v>
      </c>
      <c r="Y66" s="624"/>
      <c r="Z66" s="533" t="s">
        <v>835</v>
      </c>
      <c r="AA66" s="533" t="s">
        <v>836</v>
      </c>
      <c r="AB66" s="533" t="s">
        <v>837</v>
      </c>
      <c r="AC66" s="533" t="s">
        <v>440</v>
      </c>
      <c r="AD66" s="624"/>
      <c r="AE66" s="533" t="s">
        <v>835</v>
      </c>
      <c r="AF66" s="533" t="s">
        <v>836</v>
      </c>
      <c r="AG66" s="533" t="s">
        <v>837</v>
      </c>
      <c r="AH66" s="533" t="s">
        <v>440</v>
      </c>
      <c r="AI66" s="624"/>
      <c r="AJ66" s="533" t="s">
        <v>835</v>
      </c>
      <c r="AK66" s="533" t="s">
        <v>836</v>
      </c>
      <c r="AL66" s="533" t="s">
        <v>837</v>
      </c>
      <c r="AM66" s="533" t="s">
        <v>440</v>
      </c>
      <c r="AN66" s="624"/>
      <c r="AO66" s="533" t="s">
        <v>835</v>
      </c>
      <c r="AP66" s="533" t="s">
        <v>836</v>
      </c>
      <c r="AQ66" s="533" t="s">
        <v>837</v>
      </c>
      <c r="AR66" s="533" t="s">
        <v>440</v>
      </c>
      <c r="AS66" s="624"/>
      <c r="AT66" s="533" t="s">
        <v>835</v>
      </c>
      <c r="AU66" s="533" t="s">
        <v>836</v>
      </c>
      <c r="AV66" s="533" t="s">
        <v>837</v>
      </c>
      <c r="AW66" s="533" t="s">
        <v>440</v>
      </c>
      <c r="AX66" s="624"/>
    </row>
    <row r="67" spans="2:53">
      <c r="B67" s="624" t="s">
        <v>788</v>
      </c>
      <c r="C67" s="534">
        <v>1</v>
      </c>
      <c r="D67" s="223" t="s">
        <v>649</v>
      </c>
      <c r="E67" s="538">
        <v>17</v>
      </c>
      <c r="F67" s="529">
        <v>1565</v>
      </c>
      <c r="G67" s="530">
        <v>92.058823529411768</v>
      </c>
      <c r="H67" s="671">
        <f>AVERAGE(G67:G81)</f>
        <v>88.413656690746478</v>
      </c>
      <c r="I67" s="531">
        <f t="shared" ref="I67:K80" si="51">IFERROR(AVERAGE(P67,U67,Z67,AE67,AJ67,AO67,AT67),"-")</f>
        <v>17</v>
      </c>
      <c r="J67" s="531">
        <f t="shared" si="51"/>
        <v>1389.259914177341</v>
      </c>
      <c r="K67" s="363">
        <f t="shared" si="51"/>
        <v>81.72117142219652</v>
      </c>
      <c r="L67" s="614">
        <f>IFERROR(AVERAGE(K67:K81),"-")</f>
        <v>77.412658067827877</v>
      </c>
      <c r="M67" s="537">
        <f>RANK(K67, K$67:$K$81)</f>
        <v>1</v>
      </c>
      <c r="N67" s="624"/>
      <c r="O67" s="624"/>
      <c r="P67" s="529">
        <v>17</v>
      </c>
      <c r="Q67" s="538">
        <v>1341.9250000000004</v>
      </c>
      <c r="R67" s="538">
        <v>78.936764705882382</v>
      </c>
      <c r="S67" s="529">
        <f t="shared" ref="S67:S81" si="52">RANK(R67, R$67:R$81)</f>
        <v>2</v>
      </c>
      <c r="T67" s="610">
        <f t="shared" ref="T67" si="53">AVERAGE(R67:R81)</f>
        <v>76.663206018074277</v>
      </c>
      <c r="U67" s="529">
        <v>17</v>
      </c>
      <c r="V67" s="538">
        <v>1361.6571428571433</v>
      </c>
      <c r="W67" s="538">
        <v>80.09747899159666</v>
      </c>
      <c r="X67" s="529">
        <f t="shared" ref="X67:X81" si="54">RANK(W67, W$67:W$81)</f>
        <v>1</v>
      </c>
      <c r="Y67" s="610">
        <f t="shared" ref="Y67" si="55">AVERAGE(W67:W81)</f>
        <v>76.637011960645424</v>
      </c>
      <c r="Z67" s="529">
        <v>17</v>
      </c>
      <c r="AA67" s="538">
        <v>1364.8721311475406</v>
      </c>
      <c r="AB67" s="538">
        <v>80.286595949855325</v>
      </c>
      <c r="AC67" s="529">
        <f t="shared" ref="AC67:AC81" si="56">RANK(AB67, AB$67:AB$81)</f>
        <v>1</v>
      </c>
      <c r="AD67" s="610">
        <f t="shared" ref="AD67" si="57">AVERAGE(AB67:AB81)</f>
        <v>76.644507667742147</v>
      </c>
      <c r="AE67" s="529">
        <v>17</v>
      </c>
      <c r="AF67" s="538">
        <v>1372.0500000000002</v>
      </c>
      <c r="AG67" s="538">
        <v>80.708823529411774</v>
      </c>
      <c r="AH67" s="529">
        <f t="shared" ref="AH67:AH81" si="58">RANK(AG67, AG$67:AG$81)</f>
        <v>1</v>
      </c>
      <c r="AI67" s="610">
        <f t="shared" ref="AI67" si="59">AVERAGE(AG67:AG81)</f>
        <v>77.650041467110583</v>
      </c>
      <c r="AJ67" s="529">
        <v>17</v>
      </c>
      <c r="AK67" s="538">
        <v>1402.3124999999998</v>
      </c>
      <c r="AL67" s="538">
        <v>82.488970588235276</v>
      </c>
      <c r="AM67" s="529">
        <f t="shared" ref="AM67:AM81" si="60">RANK(AL67, AL$67:AL$81)</f>
        <v>1</v>
      </c>
      <c r="AN67" s="610">
        <f t="shared" ref="AN67" si="61">AVERAGE(AL67:AL81)</f>
        <v>78.071937154099118</v>
      </c>
      <c r="AO67" s="529">
        <v>17</v>
      </c>
      <c r="AP67" s="538">
        <v>1456.6013513513519</v>
      </c>
      <c r="AQ67" s="538">
        <v>85.682432432432464</v>
      </c>
      <c r="AR67" s="529">
        <f t="shared" ref="AR67:AR81" si="62">RANK(AQ67, AQ$67:AQ$81)</f>
        <v>1</v>
      </c>
      <c r="AS67" s="610">
        <f t="shared" ref="AS67" si="63">AVERAGE(AQ67:AQ81)</f>
        <v>78.129830280625058</v>
      </c>
      <c r="AT67" s="529">
        <v>17</v>
      </c>
      <c r="AU67" s="538">
        <v>1425.4012738853501</v>
      </c>
      <c r="AV67" s="538">
        <v>83.847133757961771</v>
      </c>
      <c r="AW67" s="529">
        <f t="shared" ref="AW67:AW81" si="64">RANK(AV67, AV$67:AV$81)</f>
        <v>1</v>
      </c>
      <c r="AX67" s="610">
        <f t="shared" ref="AX67" si="65">AVERAGE(AV67:AV81)</f>
        <v>78.092071926498505</v>
      </c>
      <c r="AZ67" s="377" t="e">
        <f t="shared" ref="AZ67:AZ81" si="66">RANK(AY67, AY$67:AY$81)</f>
        <v>#N/A</v>
      </c>
      <c r="BA67" s="653" t="e">
        <f t="shared" ref="BA67" si="67">AVERAGE(AY67:AY81)</f>
        <v>#DIV/0!</v>
      </c>
    </row>
    <row r="68" spans="2:53">
      <c r="B68" s="635"/>
      <c r="C68" s="534">
        <v>2</v>
      </c>
      <c r="D68" s="223" t="s">
        <v>728</v>
      </c>
      <c r="E68" s="538">
        <v>19</v>
      </c>
      <c r="F68" s="529">
        <v>1500</v>
      </c>
      <c r="G68" s="530">
        <v>78.94736842105263</v>
      </c>
      <c r="H68" s="672"/>
      <c r="I68" s="531">
        <f t="shared" si="51"/>
        <v>19</v>
      </c>
      <c r="J68" s="531">
        <f t="shared" si="51"/>
        <v>1385.0099020637738</v>
      </c>
      <c r="K68" s="363">
        <f t="shared" si="51"/>
        <v>72.895258003356517</v>
      </c>
      <c r="L68" s="615"/>
      <c r="M68" s="537">
        <f>RANK(K68, K$67:$K$81)</f>
        <v>5</v>
      </c>
      <c r="N68" s="624"/>
      <c r="O68" s="624"/>
      <c r="P68" s="529">
        <v>19</v>
      </c>
      <c r="Q68" s="538">
        <v>1367.905882352941</v>
      </c>
      <c r="R68" s="538">
        <v>71.995046439628481</v>
      </c>
      <c r="S68" s="529">
        <f t="shared" si="52"/>
        <v>5</v>
      </c>
      <c r="T68" s="611"/>
      <c r="U68" s="529">
        <v>19</v>
      </c>
      <c r="V68" s="538">
        <v>1388.3544303797469</v>
      </c>
      <c r="W68" s="538">
        <v>73.071285809460363</v>
      </c>
      <c r="X68" s="529">
        <f t="shared" si="54"/>
        <v>5</v>
      </c>
      <c r="Y68" s="611"/>
      <c r="Z68" s="529">
        <v>19</v>
      </c>
      <c r="AA68" s="538">
        <v>1390.6779661016951</v>
      </c>
      <c r="AB68" s="538">
        <v>73.193577163247113</v>
      </c>
      <c r="AC68" s="529">
        <f t="shared" si="56"/>
        <v>5</v>
      </c>
      <c r="AD68" s="611"/>
      <c r="AE68" s="529">
        <v>19</v>
      </c>
      <c r="AF68" s="538">
        <v>1402.5641025641023</v>
      </c>
      <c r="AG68" s="538">
        <v>73.819163292847492</v>
      </c>
      <c r="AH68" s="529">
        <f t="shared" si="58"/>
        <v>5</v>
      </c>
      <c r="AI68" s="611"/>
      <c r="AJ68" s="529">
        <v>19</v>
      </c>
      <c r="AK68" s="538">
        <v>1383.050847457627</v>
      </c>
      <c r="AL68" s="538">
        <v>72.792149866190897</v>
      </c>
      <c r="AM68" s="529">
        <f t="shared" si="60"/>
        <v>5</v>
      </c>
      <c r="AN68" s="611"/>
      <c r="AO68" s="529">
        <v>19</v>
      </c>
      <c r="AP68" s="538">
        <v>1372.638036809816</v>
      </c>
      <c r="AQ68" s="538">
        <v>72.244107200516623</v>
      </c>
      <c r="AR68" s="529">
        <f t="shared" si="62"/>
        <v>5</v>
      </c>
      <c r="AS68" s="611"/>
      <c r="AT68" s="529">
        <v>19</v>
      </c>
      <c r="AU68" s="538">
        <v>1389.8780487804879</v>
      </c>
      <c r="AV68" s="538">
        <v>73.15147625160462</v>
      </c>
      <c r="AW68" s="529">
        <f t="shared" si="64"/>
        <v>5</v>
      </c>
      <c r="AX68" s="611"/>
      <c r="AZ68" s="377" t="e">
        <f t="shared" si="66"/>
        <v>#N/A</v>
      </c>
      <c r="BA68" s="653"/>
    </row>
    <row r="69" spans="2:53">
      <c r="B69" s="635"/>
      <c r="C69" s="534">
        <v>3</v>
      </c>
      <c r="D69" s="223" t="s">
        <v>729</v>
      </c>
      <c r="E69" s="538">
        <v>18</v>
      </c>
      <c r="F69" s="529">
        <v>1565</v>
      </c>
      <c r="G69" s="530">
        <v>86.944444444444443</v>
      </c>
      <c r="H69" s="672"/>
      <c r="I69" s="531">
        <f t="shared" si="51"/>
        <v>18</v>
      </c>
      <c r="J69" s="531">
        <f t="shared" si="51"/>
        <v>1357.6063971245694</v>
      </c>
      <c r="K69" s="363">
        <f t="shared" si="51"/>
        <v>75.422577618031625</v>
      </c>
      <c r="L69" s="615"/>
      <c r="M69" s="537">
        <f>RANK(K69, K$67:$K$81)</f>
        <v>4</v>
      </c>
      <c r="N69" s="624"/>
      <c r="O69" s="624"/>
      <c r="P69" s="529">
        <v>18</v>
      </c>
      <c r="Q69" s="538">
        <v>1352.0454545454545</v>
      </c>
      <c r="R69" s="538">
        <v>75.11363636363636</v>
      </c>
      <c r="S69" s="529">
        <f t="shared" si="52"/>
        <v>4</v>
      </c>
      <c r="T69" s="611"/>
      <c r="U69" s="529">
        <v>18</v>
      </c>
      <c r="V69" s="538">
        <v>1329.7674418604647</v>
      </c>
      <c r="W69" s="538">
        <v>73.875968992248033</v>
      </c>
      <c r="X69" s="529">
        <f t="shared" si="54"/>
        <v>4</v>
      </c>
      <c r="Y69" s="611"/>
      <c r="Z69" s="529">
        <v>18</v>
      </c>
      <c r="AA69" s="538">
        <v>1337.3493975903609</v>
      </c>
      <c r="AB69" s="538">
        <v>74.297188755020045</v>
      </c>
      <c r="AC69" s="529">
        <f t="shared" si="56"/>
        <v>4</v>
      </c>
      <c r="AD69" s="611"/>
      <c r="AE69" s="529">
        <v>18</v>
      </c>
      <c r="AF69" s="538">
        <v>1376.9491525423723</v>
      </c>
      <c r="AG69" s="538">
        <v>76.497175141242906</v>
      </c>
      <c r="AH69" s="529">
        <f t="shared" si="58"/>
        <v>4</v>
      </c>
      <c r="AI69" s="611"/>
      <c r="AJ69" s="529">
        <v>18</v>
      </c>
      <c r="AK69" s="538">
        <v>1361.9999999999993</v>
      </c>
      <c r="AL69" s="538">
        <v>75.666666666666629</v>
      </c>
      <c r="AM69" s="529">
        <f t="shared" si="60"/>
        <v>4</v>
      </c>
      <c r="AN69" s="611"/>
      <c r="AO69" s="529">
        <v>18</v>
      </c>
      <c r="AP69" s="538">
        <v>1357.3333333333335</v>
      </c>
      <c r="AQ69" s="538">
        <v>75.407407407407419</v>
      </c>
      <c r="AR69" s="529">
        <f t="shared" si="62"/>
        <v>4</v>
      </c>
      <c r="AS69" s="611"/>
      <c r="AT69" s="529">
        <v>18</v>
      </c>
      <c r="AU69" s="538">
        <v>1387.8000000000004</v>
      </c>
      <c r="AV69" s="538">
        <v>77.100000000000023</v>
      </c>
      <c r="AW69" s="529">
        <f t="shared" si="64"/>
        <v>3</v>
      </c>
      <c r="AX69" s="611"/>
      <c r="AZ69" s="377" t="e">
        <f t="shared" si="66"/>
        <v>#N/A</v>
      </c>
      <c r="BA69" s="653"/>
    </row>
    <row r="70" spans="2:53">
      <c r="B70" s="635"/>
      <c r="C70" s="534">
        <v>4</v>
      </c>
      <c r="D70" s="223" t="s">
        <v>648</v>
      </c>
      <c r="E70" s="538">
        <v>17</v>
      </c>
      <c r="F70" s="529">
        <v>1565</v>
      </c>
      <c r="G70" s="530">
        <v>92.058823529411768</v>
      </c>
      <c r="H70" s="672"/>
      <c r="I70" s="531">
        <f t="shared" si="51"/>
        <v>17</v>
      </c>
      <c r="J70" s="531">
        <f t="shared" si="51"/>
        <v>1356.5390362843139</v>
      </c>
      <c r="K70" s="363">
        <f t="shared" si="51"/>
        <v>79.796413899077294</v>
      </c>
      <c r="L70" s="615"/>
      <c r="M70" s="537">
        <f>RANK(K70, K$67:$K$81)</f>
        <v>2</v>
      </c>
      <c r="N70" s="624"/>
      <c r="O70" s="624"/>
      <c r="P70" s="529">
        <v>17</v>
      </c>
      <c r="Q70" s="538">
        <v>1355.6097560975606</v>
      </c>
      <c r="R70" s="538">
        <v>79.741750358680036</v>
      </c>
      <c r="S70" s="529">
        <f t="shared" si="52"/>
        <v>1</v>
      </c>
      <c r="T70" s="611"/>
      <c r="U70" s="529">
        <v>17</v>
      </c>
      <c r="V70" s="538">
        <v>1319.9999999999995</v>
      </c>
      <c r="W70" s="538">
        <v>77.647058823529392</v>
      </c>
      <c r="X70" s="529">
        <f t="shared" si="54"/>
        <v>3</v>
      </c>
      <c r="Y70" s="611"/>
      <c r="Z70" s="529">
        <v>17</v>
      </c>
      <c r="AA70" s="538">
        <v>1344.0000000000002</v>
      </c>
      <c r="AB70" s="538">
        <v>79.058823529411782</v>
      </c>
      <c r="AC70" s="529">
        <f t="shared" si="56"/>
        <v>2</v>
      </c>
      <c r="AD70" s="611"/>
      <c r="AE70" s="529">
        <v>17</v>
      </c>
      <c r="AF70" s="538">
        <v>1357.8947368421054</v>
      </c>
      <c r="AG70" s="538">
        <v>79.87616099071208</v>
      </c>
      <c r="AH70" s="529">
        <f t="shared" si="58"/>
        <v>2</v>
      </c>
      <c r="AI70" s="611"/>
      <c r="AJ70" s="529">
        <v>17</v>
      </c>
      <c r="AK70" s="538">
        <v>1383.2258064516125</v>
      </c>
      <c r="AL70" s="538">
        <v>81.366223908918386</v>
      </c>
      <c r="AM70" s="529">
        <f t="shared" si="60"/>
        <v>2</v>
      </c>
      <c r="AN70" s="611"/>
      <c r="AO70" s="529">
        <v>17</v>
      </c>
      <c r="AP70" s="538">
        <v>1365.8532110091742</v>
      </c>
      <c r="AQ70" s="538">
        <v>80.344306529951425</v>
      </c>
      <c r="AR70" s="529">
        <f t="shared" si="62"/>
        <v>2</v>
      </c>
      <c r="AS70" s="611"/>
      <c r="AT70" s="529">
        <v>17</v>
      </c>
      <c r="AU70" s="538">
        <v>1369.1897435897438</v>
      </c>
      <c r="AV70" s="538">
        <v>80.540573152337871</v>
      </c>
      <c r="AW70" s="529">
        <f t="shared" si="64"/>
        <v>2</v>
      </c>
      <c r="AX70" s="611"/>
      <c r="AZ70" s="377" t="e">
        <f t="shared" si="66"/>
        <v>#N/A</v>
      </c>
      <c r="BA70" s="653"/>
    </row>
    <row r="71" spans="2:53">
      <c r="B71" s="635"/>
      <c r="C71" s="534">
        <v>5</v>
      </c>
      <c r="D71" s="223" t="s">
        <v>849</v>
      </c>
      <c r="E71" s="538">
        <v>17</v>
      </c>
      <c r="F71" s="529">
        <v>1565</v>
      </c>
      <c r="G71" s="530">
        <v>92.058823529411768</v>
      </c>
      <c r="H71" s="672"/>
      <c r="I71" s="531">
        <f t="shared" si="51"/>
        <v>17</v>
      </c>
      <c r="J71" s="531">
        <f t="shared" si="51"/>
        <v>1312.8737797401161</v>
      </c>
      <c r="K71" s="363">
        <f t="shared" si="51"/>
        <v>77.227869396477431</v>
      </c>
      <c r="L71" s="615"/>
      <c r="M71" s="537">
        <f>RANK(K71, K$67:$K$81)</f>
        <v>3</v>
      </c>
      <c r="N71" s="624"/>
      <c r="O71" s="624"/>
      <c r="P71" s="529">
        <v>17</v>
      </c>
      <c r="Q71" s="538">
        <v>1317.9901477832511</v>
      </c>
      <c r="R71" s="538">
        <v>77.528832222544182</v>
      </c>
      <c r="S71" s="529">
        <f t="shared" si="52"/>
        <v>3</v>
      </c>
      <c r="T71" s="611"/>
      <c r="U71" s="529">
        <v>17</v>
      </c>
      <c r="V71" s="538">
        <v>1334.3855421686744</v>
      </c>
      <c r="W71" s="538">
        <v>78.493267186392615</v>
      </c>
      <c r="X71" s="529">
        <f t="shared" si="54"/>
        <v>2</v>
      </c>
      <c r="Y71" s="611"/>
      <c r="Z71" s="529">
        <v>17</v>
      </c>
      <c r="AA71" s="538">
        <v>1298.5680000000004</v>
      </c>
      <c r="AB71" s="538">
        <v>76.386352941176497</v>
      </c>
      <c r="AC71" s="529">
        <f t="shared" si="56"/>
        <v>3</v>
      </c>
      <c r="AD71" s="611"/>
      <c r="AE71" s="529">
        <v>17</v>
      </c>
      <c r="AF71" s="538">
        <v>1314.9310344827577</v>
      </c>
      <c r="AG71" s="538">
        <v>77.348884381338692</v>
      </c>
      <c r="AH71" s="529">
        <f t="shared" si="58"/>
        <v>3</v>
      </c>
      <c r="AI71" s="611"/>
      <c r="AJ71" s="529">
        <v>17</v>
      </c>
      <c r="AK71" s="538">
        <v>1326.7764705882348</v>
      </c>
      <c r="AL71" s="538">
        <v>78.045674740484401</v>
      </c>
      <c r="AM71" s="529">
        <f t="shared" si="60"/>
        <v>3</v>
      </c>
      <c r="AN71" s="611"/>
      <c r="AO71" s="529">
        <v>17</v>
      </c>
      <c r="AP71" s="538">
        <v>1308.5052631578956</v>
      </c>
      <c r="AQ71" s="538">
        <v>76.970897832817386</v>
      </c>
      <c r="AR71" s="529">
        <f t="shared" si="62"/>
        <v>3</v>
      </c>
      <c r="AS71" s="611"/>
      <c r="AT71" s="529">
        <v>17</v>
      </c>
      <c r="AU71" s="538">
        <v>1288.9599999999998</v>
      </c>
      <c r="AV71" s="538">
        <v>75.821176470588227</v>
      </c>
      <c r="AW71" s="529">
        <f t="shared" si="64"/>
        <v>4</v>
      </c>
      <c r="AX71" s="611"/>
      <c r="AZ71" s="377" t="e">
        <f t="shared" si="66"/>
        <v>#N/A</v>
      </c>
      <c r="BA71" s="653"/>
    </row>
    <row r="72" spans="2:53">
      <c r="B72" s="635"/>
      <c r="C72" s="534">
        <v>6</v>
      </c>
      <c r="D72" s="223"/>
      <c r="E72" s="538"/>
      <c r="F72" s="529"/>
      <c r="G72" s="530"/>
      <c r="H72" s="672"/>
      <c r="I72" s="531" t="str">
        <f t="shared" si="51"/>
        <v>-</v>
      </c>
      <c r="J72" s="531" t="str">
        <f t="shared" si="51"/>
        <v>-</v>
      </c>
      <c r="K72" s="363" t="str">
        <f t="shared" si="51"/>
        <v>-</v>
      </c>
      <c r="L72" s="615"/>
      <c r="M72" s="537" t="e">
        <f>RANK(K72, K$67:$K$81)</f>
        <v>#VALUE!</v>
      </c>
      <c r="N72" s="624"/>
      <c r="O72" s="624"/>
      <c r="P72" s="529" t="s">
        <v>427</v>
      </c>
      <c r="Q72" s="538" t="s">
        <v>427</v>
      </c>
      <c r="R72" s="538" t="s">
        <v>427</v>
      </c>
      <c r="S72" s="529" t="e">
        <f t="shared" si="52"/>
        <v>#VALUE!</v>
      </c>
      <c r="T72" s="611"/>
      <c r="U72" s="529" t="s">
        <v>427</v>
      </c>
      <c r="V72" s="538" t="s">
        <v>427</v>
      </c>
      <c r="W72" s="538" t="s">
        <v>427</v>
      </c>
      <c r="X72" s="529" t="e">
        <f t="shared" si="54"/>
        <v>#VALUE!</v>
      </c>
      <c r="Y72" s="611"/>
      <c r="Z72" s="529" t="s">
        <v>427</v>
      </c>
      <c r="AA72" s="538" t="s">
        <v>427</v>
      </c>
      <c r="AB72" s="538" t="s">
        <v>427</v>
      </c>
      <c r="AC72" s="529" t="e">
        <f t="shared" si="56"/>
        <v>#VALUE!</v>
      </c>
      <c r="AD72" s="611"/>
      <c r="AE72" s="529" t="s">
        <v>427</v>
      </c>
      <c r="AF72" s="538" t="s">
        <v>427</v>
      </c>
      <c r="AG72" s="538" t="s">
        <v>427</v>
      </c>
      <c r="AH72" s="529" t="e">
        <f t="shared" si="58"/>
        <v>#VALUE!</v>
      </c>
      <c r="AI72" s="611"/>
      <c r="AJ72" s="529" t="s">
        <v>427</v>
      </c>
      <c r="AK72" s="538" t="s">
        <v>427</v>
      </c>
      <c r="AL72" s="538" t="s">
        <v>427</v>
      </c>
      <c r="AM72" s="529" t="e">
        <f t="shared" si="60"/>
        <v>#VALUE!</v>
      </c>
      <c r="AN72" s="611"/>
      <c r="AO72" s="529" t="s">
        <v>427</v>
      </c>
      <c r="AP72" s="538" t="s">
        <v>427</v>
      </c>
      <c r="AQ72" s="538" t="s">
        <v>427</v>
      </c>
      <c r="AR72" s="529" t="e">
        <f t="shared" si="62"/>
        <v>#VALUE!</v>
      </c>
      <c r="AS72" s="611"/>
      <c r="AT72" s="529" t="s">
        <v>427</v>
      </c>
      <c r="AU72" s="538" t="s">
        <v>427</v>
      </c>
      <c r="AV72" s="538" t="s">
        <v>427</v>
      </c>
      <c r="AW72" s="529" t="e">
        <f t="shared" si="64"/>
        <v>#VALUE!</v>
      </c>
      <c r="AX72" s="611"/>
      <c r="AZ72" s="377" t="e">
        <f t="shared" si="66"/>
        <v>#N/A</v>
      </c>
      <c r="BA72" s="653"/>
    </row>
    <row r="73" spans="2:53">
      <c r="B73" s="635"/>
      <c r="C73" s="534">
        <v>7</v>
      </c>
      <c r="D73" s="223"/>
      <c r="E73" s="538"/>
      <c r="F73" s="529"/>
      <c r="G73" s="530"/>
      <c r="H73" s="672"/>
      <c r="I73" s="531" t="str">
        <f t="shared" si="51"/>
        <v>-</v>
      </c>
      <c r="J73" s="531" t="str">
        <f t="shared" si="51"/>
        <v>-</v>
      </c>
      <c r="K73" s="363" t="str">
        <f t="shared" si="51"/>
        <v>-</v>
      </c>
      <c r="L73" s="615"/>
      <c r="M73" s="537" t="e">
        <f>RANK(K73, K$67:$K$81)</f>
        <v>#VALUE!</v>
      </c>
      <c r="N73" s="624"/>
      <c r="O73" s="624"/>
      <c r="P73" s="529" t="s">
        <v>427</v>
      </c>
      <c r="Q73" s="538" t="s">
        <v>427</v>
      </c>
      <c r="R73" s="538" t="s">
        <v>427</v>
      </c>
      <c r="S73" s="529" t="e">
        <f t="shared" si="52"/>
        <v>#VALUE!</v>
      </c>
      <c r="T73" s="611"/>
      <c r="U73" s="529" t="s">
        <v>427</v>
      </c>
      <c r="V73" s="538" t="s">
        <v>427</v>
      </c>
      <c r="W73" s="538" t="s">
        <v>427</v>
      </c>
      <c r="X73" s="529" t="e">
        <f t="shared" si="54"/>
        <v>#VALUE!</v>
      </c>
      <c r="Y73" s="611"/>
      <c r="Z73" s="529" t="s">
        <v>427</v>
      </c>
      <c r="AA73" s="538" t="s">
        <v>427</v>
      </c>
      <c r="AB73" s="538" t="s">
        <v>427</v>
      </c>
      <c r="AC73" s="529" t="e">
        <f t="shared" si="56"/>
        <v>#VALUE!</v>
      </c>
      <c r="AD73" s="611"/>
      <c r="AE73" s="529" t="s">
        <v>427</v>
      </c>
      <c r="AF73" s="538" t="s">
        <v>427</v>
      </c>
      <c r="AG73" s="538" t="s">
        <v>427</v>
      </c>
      <c r="AH73" s="529" t="e">
        <f t="shared" si="58"/>
        <v>#VALUE!</v>
      </c>
      <c r="AI73" s="611"/>
      <c r="AJ73" s="529" t="s">
        <v>427</v>
      </c>
      <c r="AK73" s="538" t="s">
        <v>427</v>
      </c>
      <c r="AL73" s="538" t="s">
        <v>427</v>
      </c>
      <c r="AM73" s="529" t="e">
        <f t="shared" si="60"/>
        <v>#VALUE!</v>
      </c>
      <c r="AN73" s="611"/>
      <c r="AO73" s="529" t="s">
        <v>427</v>
      </c>
      <c r="AP73" s="538" t="s">
        <v>427</v>
      </c>
      <c r="AQ73" s="538" t="s">
        <v>427</v>
      </c>
      <c r="AR73" s="529" t="e">
        <f t="shared" si="62"/>
        <v>#VALUE!</v>
      </c>
      <c r="AS73" s="611"/>
      <c r="AT73" s="529" t="s">
        <v>427</v>
      </c>
      <c r="AU73" s="538" t="s">
        <v>427</v>
      </c>
      <c r="AV73" s="538" t="s">
        <v>427</v>
      </c>
      <c r="AW73" s="529" t="e">
        <f t="shared" si="64"/>
        <v>#VALUE!</v>
      </c>
      <c r="AX73" s="611"/>
      <c r="AZ73" s="377" t="e">
        <f t="shared" si="66"/>
        <v>#N/A</v>
      </c>
      <c r="BA73" s="653"/>
    </row>
    <row r="74" spans="2:53">
      <c r="B74" s="635"/>
      <c r="C74" s="534">
        <v>8</v>
      </c>
      <c r="D74" s="223"/>
      <c r="E74" s="538"/>
      <c r="F74" s="529"/>
      <c r="G74" s="530"/>
      <c r="H74" s="672"/>
      <c r="I74" s="531" t="str">
        <f t="shared" si="51"/>
        <v>-</v>
      </c>
      <c r="J74" s="531" t="str">
        <f t="shared" si="51"/>
        <v>-</v>
      </c>
      <c r="K74" s="363" t="str">
        <f t="shared" si="51"/>
        <v>-</v>
      </c>
      <c r="L74" s="615"/>
      <c r="M74" s="537" t="e">
        <f>RANK(K74, K$67:$K$81)</f>
        <v>#VALUE!</v>
      </c>
      <c r="N74" s="624"/>
      <c r="O74" s="624"/>
      <c r="P74" s="529" t="s">
        <v>427</v>
      </c>
      <c r="Q74" s="538" t="s">
        <v>427</v>
      </c>
      <c r="R74" s="538" t="s">
        <v>427</v>
      </c>
      <c r="S74" s="529" t="e">
        <f t="shared" si="52"/>
        <v>#VALUE!</v>
      </c>
      <c r="T74" s="611"/>
      <c r="U74" s="529" t="s">
        <v>427</v>
      </c>
      <c r="V74" s="538" t="s">
        <v>427</v>
      </c>
      <c r="W74" s="538" t="s">
        <v>427</v>
      </c>
      <c r="X74" s="529" t="e">
        <f t="shared" si="54"/>
        <v>#VALUE!</v>
      </c>
      <c r="Y74" s="611"/>
      <c r="Z74" s="529" t="s">
        <v>427</v>
      </c>
      <c r="AA74" s="538" t="s">
        <v>427</v>
      </c>
      <c r="AB74" s="538" t="s">
        <v>427</v>
      </c>
      <c r="AC74" s="529" t="e">
        <f t="shared" si="56"/>
        <v>#VALUE!</v>
      </c>
      <c r="AD74" s="611"/>
      <c r="AE74" s="529" t="s">
        <v>427</v>
      </c>
      <c r="AF74" s="538" t="s">
        <v>427</v>
      </c>
      <c r="AG74" s="538" t="s">
        <v>427</v>
      </c>
      <c r="AH74" s="529" t="e">
        <f t="shared" si="58"/>
        <v>#VALUE!</v>
      </c>
      <c r="AI74" s="611"/>
      <c r="AJ74" s="529" t="s">
        <v>427</v>
      </c>
      <c r="AK74" s="538" t="s">
        <v>427</v>
      </c>
      <c r="AL74" s="538" t="s">
        <v>427</v>
      </c>
      <c r="AM74" s="529" t="e">
        <f t="shared" si="60"/>
        <v>#VALUE!</v>
      </c>
      <c r="AN74" s="611"/>
      <c r="AO74" s="529" t="s">
        <v>427</v>
      </c>
      <c r="AP74" s="538" t="s">
        <v>427</v>
      </c>
      <c r="AQ74" s="538" t="s">
        <v>427</v>
      </c>
      <c r="AR74" s="529" t="e">
        <f t="shared" si="62"/>
        <v>#VALUE!</v>
      </c>
      <c r="AS74" s="611"/>
      <c r="AT74" s="529" t="s">
        <v>427</v>
      </c>
      <c r="AU74" s="538" t="s">
        <v>427</v>
      </c>
      <c r="AV74" s="538" t="s">
        <v>427</v>
      </c>
      <c r="AW74" s="529" t="e">
        <f t="shared" si="64"/>
        <v>#VALUE!</v>
      </c>
      <c r="AX74" s="611"/>
      <c r="AZ74" s="377" t="e">
        <f t="shared" si="66"/>
        <v>#N/A</v>
      </c>
      <c r="BA74" s="653"/>
    </row>
    <row r="75" spans="2:53">
      <c r="B75" s="635"/>
      <c r="C75" s="534">
        <v>9</v>
      </c>
      <c r="D75" s="223"/>
      <c r="E75" s="538"/>
      <c r="F75" s="529"/>
      <c r="G75" s="530"/>
      <c r="H75" s="672"/>
      <c r="I75" s="531" t="str">
        <f t="shared" si="51"/>
        <v>-</v>
      </c>
      <c r="J75" s="531" t="str">
        <f t="shared" si="51"/>
        <v>-</v>
      </c>
      <c r="K75" s="363" t="str">
        <f t="shared" si="51"/>
        <v>-</v>
      </c>
      <c r="L75" s="615"/>
      <c r="M75" s="537" t="e">
        <f>RANK(K75, K$67:$K$81)</f>
        <v>#VALUE!</v>
      </c>
      <c r="N75" s="624"/>
      <c r="O75" s="624"/>
      <c r="P75" s="529" t="s">
        <v>427</v>
      </c>
      <c r="Q75" s="538" t="s">
        <v>427</v>
      </c>
      <c r="R75" s="538" t="s">
        <v>427</v>
      </c>
      <c r="S75" s="529" t="e">
        <f t="shared" si="52"/>
        <v>#VALUE!</v>
      </c>
      <c r="T75" s="611"/>
      <c r="U75" s="529" t="s">
        <v>427</v>
      </c>
      <c r="V75" s="538" t="s">
        <v>427</v>
      </c>
      <c r="W75" s="538" t="s">
        <v>427</v>
      </c>
      <c r="X75" s="529" t="e">
        <f t="shared" si="54"/>
        <v>#VALUE!</v>
      </c>
      <c r="Y75" s="611"/>
      <c r="Z75" s="529" t="s">
        <v>427</v>
      </c>
      <c r="AA75" s="538" t="s">
        <v>427</v>
      </c>
      <c r="AB75" s="538" t="s">
        <v>427</v>
      </c>
      <c r="AC75" s="529" t="e">
        <f t="shared" si="56"/>
        <v>#VALUE!</v>
      </c>
      <c r="AD75" s="611"/>
      <c r="AE75" s="529" t="s">
        <v>427</v>
      </c>
      <c r="AF75" s="538" t="s">
        <v>427</v>
      </c>
      <c r="AG75" s="538" t="s">
        <v>427</v>
      </c>
      <c r="AH75" s="529" t="e">
        <f t="shared" si="58"/>
        <v>#VALUE!</v>
      </c>
      <c r="AI75" s="611"/>
      <c r="AJ75" s="529" t="s">
        <v>427</v>
      </c>
      <c r="AK75" s="538" t="s">
        <v>427</v>
      </c>
      <c r="AL75" s="538" t="s">
        <v>427</v>
      </c>
      <c r="AM75" s="529" t="e">
        <f t="shared" si="60"/>
        <v>#VALUE!</v>
      </c>
      <c r="AN75" s="611"/>
      <c r="AO75" s="529" t="s">
        <v>427</v>
      </c>
      <c r="AP75" s="538" t="s">
        <v>427</v>
      </c>
      <c r="AQ75" s="538" t="s">
        <v>427</v>
      </c>
      <c r="AR75" s="529" t="e">
        <f t="shared" si="62"/>
        <v>#VALUE!</v>
      </c>
      <c r="AS75" s="611"/>
      <c r="AT75" s="529" t="s">
        <v>427</v>
      </c>
      <c r="AU75" s="538" t="s">
        <v>427</v>
      </c>
      <c r="AV75" s="538" t="s">
        <v>427</v>
      </c>
      <c r="AW75" s="529" t="e">
        <f t="shared" si="64"/>
        <v>#VALUE!</v>
      </c>
      <c r="AX75" s="611"/>
      <c r="AZ75" s="377" t="e">
        <f t="shared" si="66"/>
        <v>#N/A</v>
      </c>
      <c r="BA75" s="653"/>
    </row>
    <row r="76" spans="2:53">
      <c r="B76" s="635"/>
      <c r="C76" s="534">
        <v>10</v>
      </c>
      <c r="D76" s="223"/>
      <c r="E76" s="538"/>
      <c r="F76" s="529"/>
      <c r="G76" s="530"/>
      <c r="H76" s="672"/>
      <c r="I76" s="531" t="str">
        <f t="shared" si="51"/>
        <v>-</v>
      </c>
      <c r="J76" s="531" t="str">
        <f t="shared" si="51"/>
        <v>-</v>
      </c>
      <c r="K76" s="363" t="str">
        <f t="shared" si="51"/>
        <v>-</v>
      </c>
      <c r="L76" s="615"/>
      <c r="M76" s="537" t="e">
        <f>RANK(K76, K$67:$K$81)</f>
        <v>#VALUE!</v>
      </c>
      <c r="N76" s="624"/>
      <c r="O76" s="624"/>
      <c r="P76" s="529" t="s">
        <v>427</v>
      </c>
      <c r="Q76" s="538" t="s">
        <v>427</v>
      </c>
      <c r="R76" s="538" t="s">
        <v>427</v>
      </c>
      <c r="S76" s="529" t="e">
        <f t="shared" si="52"/>
        <v>#VALUE!</v>
      </c>
      <c r="T76" s="611"/>
      <c r="U76" s="529" t="s">
        <v>427</v>
      </c>
      <c r="V76" s="538" t="s">
        <v>427</v>
      </c>
      <c r="W76" s="538" t="s">
        <v>427</v>
      </c>
      <c r="X76" s="529" t="e">
        <f t="shared" si="54"/>
        <v>#VALUE!</v>
      </c>
      <c r="Y76" s="611"/>
      <c r="Z76" s="529" t="s">
        <v>427</v>
      </c>
      <c r="AA76" s="538" t="s">
        <v>427</v>
      </c>
      <c r="AB76" s="538" t="s">
        <v>427</v>
      </c>
      <c r="AC76" s="529" t="e">
        <f t="shared" si="56"/>
        <v>#VALUE!</v>
      </c>
      <c r="AD76" s="611"/>
      <c r="AE76" s="529" t="s">
        <v>427</v>
      </c>
      <c r="AF76" s="538" t="s">
        <v>427</v>
      </c>
      <c r="AG76" s="538" t="s">
        <v>427</v>
      </c>
      <c r="AH76" s="529" t="e">
        <f t="shared" si="58"/>
        <v>#VALUE!</v>
      </c>
      <c r="AI76" s="611"/>
      <c r="AJ76" s="529" t="s">
        <v>427</v>
      </c>
      <c r="AK76" s="538" t="s">
        <v>427</v>
      </c>
      <c r="AL76" s="538" t="s">
        <v>427</v>
      </c>
      <c r="AM76" s="529" t="e">
        <f t="shared" si="60"/>
        <v>#VALUE!</v>
      </c>
      <c r="AN76" s="611"/>
      <c r="AO76" s="529" t="s">
        <v>427</v>
      </c>
      <c r="AP76" s="538" t="s">
        <v>427</v>
      </c>
      <c r="AQ76" s="538" t="s">
        <v>427</v>
      </c>
      <c r="AR76" s="529" t="e">
        <f t="shared" si="62"/>
        <v>#VALUE!</v>
      </c>
      <c r="AS76" s="611"/>
      <c r="AT76" s="529" t="s">
        <v>427</v>
      </c>
      <c r="AU76" s="538" t="s">
        <v>427</v>
      </c>
      <c r="AV76" s="538" t="s">
        <v>427</v>
      </c>
      <c r="AW76" s="529" t="e">
        <f t="shared" si="64"/>
        <v>#VALUE!</v>
      </c>
      <c r="AX76" s="611"/>
      <c r="AZ76" s="377" t="e">
        <f t="shared" si="66"/>
        <v>#N/A</v>
      </c>
      <c r="BA76" s="653"/>
    </row>
    <row r="77" spans="2:53">
      <c r="B77" s="635"/>
      <c r="C77" s="534">
        <v>11</v>
      </c>
      <c r="D77" s="223"/>
      <c r="E77" s="538"/>
      <c r="F77" s="529"/>
      <c r="G77" s="530"/>
      <c r="H77" s="672"/>
      <c r="I77" s="531" t="str">
        <f t="shared" si="51"/>
        <v>-</v>
      </c>
      <c r="J77" s="531" t="str">
        <f t="shared" si="51"/>
        <v>-</v>
      </c>
      <c r="K77" s="363" t="str">
        <f t="shared" si="51"/>
        <v>-</v>
      </c>
      <c r="L77" s="615"/>
      <c r="M77" s="537" t="e">
        <f>RANK(K77, K$67:$K$81)</f>
        <v>#VALUE!</v>
      </c>
      <c r="N77" s="624"/>
      <c r="O77" s="624"/>
      <c r="P77" s="529" t="s">
        <v>427</v>
      </c>
      <c r="Q77" s="538" t="s">
        <v>427</v>
      </c>
      <c r="R77" s="538" t="s">
        <v>427</v>
      </c>
      <c r="S77" s="529" t="e">
        <f t="shared" si="52"/>
        <v>#VALUE!</v>
      </c>
      <c r="T77" s="611"/>
      <c r="U77" s="529" t="s">
        <v>427</v>
      </c>
      <c r="V77" s="538" t="s">
        <v>427</v>
      </c>
      <c r="W77" s="538" t="s">
        <v>427</v>
      </c>
      <c r="X77" s="529" t="e">
        <f t="shared" si="54"/>
        <v>#VALUE!</v>
      </c>
      <c r="Y77" s="611"/>
      <c r="Z77" s="529" t="s">
        <v>427</v>
      </c>
      <c r="AA77" s="538" t="s">
        <v>427</v>
      </c>
      <c r="AB77" s="538" t="s">
        <v>427</v>
      </c>
      <c r="AC77" s="529" t="e">
        <f t="shared" si="56"/>
        <v>#VALUE!</v>
      </c>
      <c r="AD77" s="611"/>
      <c r="AE77" s="529" t="s">
        <v>427</v>
      </c>
      <c r="AF77" s="538" t="s">
        <v>427</v>
      </c>
      <c r="AG77" s="538" t="s">
        <v>427</v>
      </c>
      <c r="AH77" s="529" t="e">
        <f t="shared" si="58"/>
        <v>#VALUE!</v>
      </c>
      <c r="AI77" s="611"/>
      <c r="AJ77" s="529" t="s">
        <v>427</v>
      </c>
      <c r="AK77" s="538" t="s">
        <v>427</v>
      </c>
      <c r="AL77" s="538" t="s">
        <v>427</v>
      </c>
      <c r="AM77" s="529" t="e">
        <f t="shared" si="60"/>
        <v>#VALUE!</v>
      </c>
      <c r="AN77" s="611"/>
      <c r="AO77" s="529" t="s">
        <v>427</v>
      </c>
      <c r="AP77" s="538" t="s">
        <v>427</v>
      </c>
      <c r="AQ77" s="538" t="s">
        <v>427</v>
      </c>
      <c r="AR77" s="529" t="e">
        <f t="shared" si="62"/>
        <v>#VALUE!</v>
      </c>
      <c r="AS77" s="611"/>
      <c r="AT77" s="529" t="s">
        <v>427</v>
      </c>
      <c r="AU77" s="538" t="s">
        <v>427</v>
      </c>
      <c r="AV77" s="538" t="s">
        <v>427</v>
      </c>
      <c r="AW77" s="529" t="e">
        <f t="shared" si="64"/>
        <v>#VALUE!</v>
      </c>
      <c r="AX77" s="611"/>
      <c r="AZ77" s="377" t="e">
        <f t="shared" si="66"/>
        <v>#N/A</v>
      </c>
      <c r="BA77" s="653"/>
    </row>
    <row r="78" spans="2:53">
      <c r="B78" s="635"/>
      <c r="C78" s="534">
        <v>12</v>
      </c>
      <c r="D78" s="223"/>
      <c r="E78" s="538"/>
      <c r="F78" s="529"/>
      <c r="G78" s="530"/>
      <c r="H78" s="672"/>
      <c r="I78" s="531" t="str">
        <f t="shared" si="51"/>
        <v>-</v>
      </c>
      <c r="J78" s="531" t="str">
        <f t="shared" si="51"/>
        <v>-</v>
      </c>
      <c r="K78" s="363" t="str">
        <f t="shared" si="51"/>
        <v>-</v>
      </c>
      <c r="L78" s="615"/>
      <c r="M78" s="537" t="e">
        <f>RANK(K78, K$67:$K$81)</f>
        <v>#VALUE!</v>
      </c>
      <c r="N78" s="624"/>
      <c r="O78" s="624"/>
      <c r="P78" s="529" t="s">
        <v>427</v>
      </c>
      <c r="Q78" s="538" t="s">
        <v>427</v>
      </c>
      <c r="R78" s="538" t="s">
        <v>427</v>
      </c>
      <c r="S78" s="529" t="e">
        <f t="shared" si="52"/>
        <v>#VALUE!</v>
      </c>
      <c r="T78" s="611"/>
      <c r="U78" s="529" t="s">
        <v>427</v>
      </c>
      <c r="V78" s="538" t="s">
        <v>427</v>
      </c>
      <c r="W78" s="538" t="s">
        <v>427</v>
      </c>
      <c r="X78" s="529" t="e">
        <f t="shared" si="54"/>
        <v>#VALUE!</v>
      </c>
      <c r="Y78" s="611"/>
      <c r="Z78" s="529" t="s">
        <v>427</v>
      </c>
      <c r="AA78" s="538" t="s">
        <v>427</v>
      </c>
      <c r="AB78" s="538" t="s">
        <v>427</v>
      </c>
      <c r="AC78" s="529" t="e">
        <f t="shared" si="56"/>
        <v>#VALUE!</v>
      </c>
      <c r="AD78" s="611"/>
      <c r="AE78" s="529" t="s">
        <v>427</v>
      </c>
      <c r="AF78" s="538" t="s">
        <v>427</v>
      </c>
      <c r="AG78" s="538" t="s">
        <v>427</v>
      </c>
      <c r="AH78" s="529" t="e">
        <f t="shared" si="58"/>
        <v>#VALUE!</v>
      </c>
      <c r="AI78" s="611"/>
      <c r="AJ78" s="529" t="s">
        <v>427</v>
      </c>
      <c r="AK78" s="538" t="s">
        <v>427</v>
      </c>
      <c r="AL78" s="538" t="s">
        <v>427</v>
      </c>
      <c r="AM78" s="529" t="e">
        <f t="shared" si="60"/>
        <v>#VALUE!</v>
      </c>
      <c r="AN78" s="611"/>
      <c r="AO78" s="529" t="s">
        <v>427</v>
      </c>
      <c r="AP78" s="538" t="s">
        <v>427</v>
      </c>
      <c r="AQ78" s="538" t="s">
        <v>427</v>
      </c>
      <c r="AR78" s="529" t="e">
        <f t="shared" si="62"/>
        <v>#VALUE!</v>
      </c>
      <c r="AS78" s="611"/>
      <c r="AT78" s="529" t="s">
        <v>427</v>
      </c>
      <c r="AU78" s="538" t="s">
        <v>427</v>
      </c>
      <c r="AV78" s="538" t="s">
        <v>427</v>
      </c>
      <c r="AW78" s="529" t="e">
        <f t="shared" si="64"/>
        <v>#VALUE!</v>
      </c>
      <c r="AX78" s="611"/>
      <c r="AZ78" s="377" t="e">
        <f t="shared" si="66"/>
        <v>#N/A</v>
      </c>
      <c r="BA78" s="653"/>
    </row>
    <row r="79" spans="2:53">
      <c r="B79" s="635"/>
      <c r="C79" s="534">
        <v>13</v>
      </c>
      <c r="D79" s="223"/>
      <c r="E79" s="538"/>
      <c r="F79" s="529"/>
      <c r="G79" s="530"/>
      <c r="H79" s="672"/>
      <c r="I79" s="531" t="str">
        <f t="shared" si="51"/>
        <v>-</v>
      </c>
      <c r="J79" s="531" t="str">
        <f t="shared" si="51"/>
        <v>-</v>
      </c>
      <c r="K79" s="363" t="str">
        <f t="shared" si="51"/>
        <v>-</v>
      </c>
      <c r="L79" s="615"/>
      <c r="M79" s="537" t="e">
        <f>RANK(K79, K$67:$K$81)</f>
        <v>#VALUE!</v>
      </c>
      <c r="N79" s="624"/>
      <c r="O79" s="624"/>
      <c r="P79" s="529" t="s">
        <v>427</v>
      </c>
      <c r="Q79" s="538" t="s">
        <v>427</v>
      </c>
      <c r="R79" s="538" t="s">
        <v>427</v>
      </c>
      <c r="S79" s="529" t="e">
        <f t="shared" si="52"/>
        <v>#VALUE!</v>
      </c>
      <c r="T79" s="611"/>
      <c r="U79" s="529" t="s">
        <v>427</v>
      </c>
      <c r="V79" s="538" t="s">
        <v>427</v>
      </c>
      <c r="W79" s="538" t="s">
        <v>427</v>
      </c>
      <c r="X79" s="529" t="e">
        <f t="shared" si="54"/>
        <v>#VALUE!</v>
      </c>
      <c r="Y79" s="611"/>
      <c r="Z79" s="529" t="s">
        <v>427</v>
      </c>
      <c r="AA79" s="538" t="s">
        <v>427</v>
      </c>
      <c r="AB79" s="538" t="s">
        <v>427</v>
      </c>
      <c r="AC79" s="529" t="e">
        <f t="shared" si="56"/>
        <v>#VALUE!</v>
      </c>
      <c r="AD79" s="611"/>
      <c r="AE79" s="529" t="s">
        <v>427</v>
      </c>
      <c r="AF79" s="538" t="s">
        <v>427</v>
      </c>
      <c r="AG79" s="538" t="s">
        <v>427</v>
      </c>
      <c r="AH79" s="529" t="e">
        <f t="shared" si="58"/>
        <v>#VALUE!</v>
      </c>
      <c r="AI79" s="611"/>
      <c r="AJ79" s="529" t="s">
        <v>427</v>
      </c>
      <c r="AK79" s="538" t="s">
        <v>427</v>
      </c>
      <c r="AL79" s="538" t="s">
        <v>427</v>
      </c>
      <c r="AM79" s="529" t="e">
        <f t="shared" si="60"/>
        <v>#VALUE!</v>
      </c>
      <c r="AN79" s="611"/>
      <c r="AO79" s="529" t="s">
        <v>427</v>
      </c>
      <c r="AP79" s="538" t="s">
        <v>427</v>
      </c>
      <c r="AQ79" s="538" t="s">
        <v>427</v>
      </c>
      <c r="AR79" s="529" t="e">
        <f t="shared" si="62"/>
        <v>#VALUE!</v>
      </c>
      <c r="AS79" s="611"/>
      <c r="AT79" s="529" t="s">
        <v>427</v>
      </c>
      <c r="AU79" s="538" t="s">
        <v>427</v>
      </c>
      <c r="AV79" s="538" t="s">
        <v>427</v>
      </c>
      <c r="AW79" s="529" t="e">
        <f t="shared" si="64"/>
        <v>#VALUE!</v>
      </c>
      <c r="AX79" s="611"/>
      <c r="AZ79" s="377" t="e">
        <f t="shared" si="66"/>
        <v>#N/A</v>
      </c>
      <c r="BA79" s="653"/>
    </row>
    <row r="80" spans="2:53">
      <c r="B80" s="635"/>
      <c r="C80" s="534">
        <v>14</v>
      </c>
      <c r="D80" s="223"/>
      <c r="E80" s="538"/>
      <c r="F80" s="529"/>
      <c r="G80" s="530"/>
      <c r="H80" s="672"/>
      <c r="I80" s="531" t="str">
        <f t="shared" si="51"/>
        <v>-</v>
      </c>
      <c r="J80" s="531" t="str">
        <f t="shared" si="51"/>
        <v>-</v>
      </c>
      <c r="K80" s="363" t="str">
        <f t="shared" si="51"/>
        <v>-</v>
      </c>
      <c r="L80" s="615"/>
      <c r="M80" s="537" t="e">
        <f>RANK(K80, K$67:$K$81)</f>
        <v>#VALUE!</v>
      </c>
      <c r="N80" s="624"/>
      <c r="O80" s="624"/>
      <c r="P80" s="529" t="s">
        <v>427</v>
      </c>
      <c r="Q80" s="538" t="s">
        <v>427</v>
      </c>
      <c r="R80" s="538" t="s">
        <v>427</v>
      </c>
      <c r="S80" s="529" t="e">
        <f t="shared" si="52"/>
        <v>#VALUE!</v>
      </c>
      <c r="T80" s="611"/>
      <c r="U80" s="529" t="s">
        <v>427</v>
      </c>
      <c r="V80" s="538" t="s">
        <v>427</v>
      </c>
      <c r="W80" s="538" t="s">
        <v>427</v>
      </c>
      <c r="X80" s="529" t="e">
        <f t="shared" si="54"/>
        <v>#VALUE!</v>
      </c>
      <c r="Y80" s="611"/>
      <c r="Z80" s="529" t="s">
        <v>427</v>
      </c>
      <c r="AA80" s="538" t="s">
        <v>427</v>
      </c>
      <c r="AB80" s="538" t="s">
        <v>427</v>
      </c>
      <c r="AC80" s="529" t="e">
        <f t="shared" si="56"/>
        <v>#VALUE!</v>
      </c>
      <c r="AD80" s="611"/>
      <c r="AE80" s="529" t="s">
        <v>427</v>
      </c>
      <c r="AF80" s="538" t="s">
        <v>427</v>
      </c>
      <c r="AG80" s="538" t="s">
        <v>427</v>
      </c>
      <c r="AH80" s="529" t="e">
        <f t="shared" si="58"/>
        <v>#VALUE!</v>
      </c>
      <c r="AI80" s="611"/>
      <c r="AJ80" s="529" t="s">
        <v>427</v>
      </c>
      <c r="AK80" s="538" t="s">
        <v>427</v>
      </c>
      <c r="AL80" s="538" t="s">
        <v>427</v>
      </c>
      <c r="AM80" s="529" t="e">
        <f t="shared" si="60"/>
        <v>#VALUE!</v>
      </c>
      <c r="AN80" s="611"/>
      <c r="AO80" s="529" t="s">
        <v>427</v>
      </c>
      <c r="AP80" s="538" t="s">
        <v>427</v>
      </c>
      <c r="AQ80" s="538" t="s">
        <v>427</v>
      </c>
      <c r="AR80" s="529" t="e">
        <f t="shared" si="62"/>
        <v>#VALUE!</v>
      </c>
      <c r="AS80" s="611"/>
      <c r="AT80" s="529" t="s">
        <v>427</v>
      </c>
      <c r="AU80" s="538" t="s">
        <v>427</v>
      </c>
      <c r="AV80" s="538" t="s">
        <v>427</v>
      </c>
      <c r="AW80" s="529" t="e">
        <f t="shared" si="64"/>
        <v>#VALUE!</v>
      </c>
      <c r="AX80" s="611"/>
      <c r="AZ80" s="377" t="e">
        <f t="shared" si="66"/>
        <v>#N/A</v>
      </c>
      <c r="BA80" s="653"/>
    </row>
    <row r="81" spans="2:53">
      <c r="B81" s="635"/>
      <c r="C81" s="534">
        <v>15</v>
      </c>
      <c r="D81" s="223"/>
      <c r="E81" s="538"/>
      <c r="F81" s="529"/>
      <c r="G81" s="530"/>
      <c r="H81" s="676"/>
      <c r="I81" s="534"/>
      <c r="J81" s="534"/>
      <c r="K81" s="534"/>
      <c r="L81" s="616"/>
      <c r="M81" s="537" t="e">
        <f>RANK(K81, K$67:$K$81)</f>
        <v>#N/A</v>
      </c>
      <c r="N81" s="624"/>
      <c r="O81" s="624"/>
      <c r="P81" s="529" t="s">
        <v>427</v>
      </c>
      <c r="Q81" s="538" t="s">
        <v>427</v>
      </c>
      <c r="R81" s="538" t="s">
        <v>427</v>
      </c>
      <c r="S81" s="529" t="e">
        <f t="shared" si="52"/>
        <v>#VALUE!</v>
      </c>
      <c r="T81" s="612"/>
      <c r="U81" s="529" t="s">
        <v>427</v>
      </c>
      <c r="V81" s="538" t="s">
        <v>427</v>
      </c>
      <c r="W81" s="538" t="s">
        <v>427</v>
      </c>
      <c r="X81" s="529" t="e">
        <f t="shared" si="54"/>
        <v>#VALUE!</v>
      </c>
      <c r="Y81" s="612"/>
      <c r="Z81" s="529" t="s">
        <v>427</v>
      </c>
      <c r="AA81" s="538" t="s">
        <v>427</v>
      </c>
      <c r="AB81" s="538" t="s">
        <v>427</v>
      </c>
      <c r="AC81" s="529" t="e">
        <f t="shared" si="56"/>
        <v>#VALUE!</v>
      </c>
      <c r="AD81" s="612"/>
      <c r="AE81" s="529" t="s">
        <v>427</v>
      </c>
      <c r="AF81" s="538" t="s">
        <v>427</v>
      </c>
      <c r="AG81" s="538" t="s">
        <v>427</v>
      </c>
      <c r="AH81" s="529" t="e">
        <f t="shared" si="58"/>
        <v>#VALUE!</v>
      </c>
      <c r="AI81" s="612"/>
      <c r="AJ81" s="529" t="s">
        <v>427</v>
      </c>
      <c r="AK81" s="538" t="s">
        <v>427</v>
      </c>
      <c r="AL81" s="538" t="s">
        <v>427</v>
      </c>
      <c r="AM81" s="529" t="e">
        <f t="shared" si="60"/>
        <v>#VALUE!</v>
      </c>
      <c r="AN81" s="612"/>
      <c r="AO81" s="529" t="s">
        <v>427</v>
      </c>
      <c r="AP81" s="538" t="s">
        <v>427</v>
      </c>
      <c r="AQ81" s="538" t="s">
        <v>427</v>
      </c>
      <c r="AR81" s="529" t="e">
        <f t="shared" si="62"/>
        <v>#VALUE!</v>
      </c>
      <c r="AS81" s="612"/>
      <c r="AT81" s="529" t="s">
        <v>427</v>
      </c>
      <c r="AU81" s="538" t="s">
        <v>427</v>
      </c>
      <c r="AV81" s="538" t="s">
        <v>427</v>
      </c>
      <c r="AW81" s="529" t="e">
        <f t="shared" si="64"/>
        <v>#VALUE!</v>
      </c>
      <c r="AX81" s="612"/>
      <c r="AZ81" s="377" t="e">
        <f t="shared" si="66"/>
        <v>#N/A</v>
      </c>
      <c r="BA81" s="653"/>
    </row>
    <row r="82" spans="2:53" ht="15.75">
      <c r="B82" s="643" t="s">
        <v>769</v>
      </c>
      <c r="C82" s="644"/>
      <c r="D82" s="644"/>
      <c r="E82" s="644"/>
      <c r="F82" s="644"/>
      <c r="G82" s="644"/>
      <c r="H82" s="645"/>
      <c r="I82" s="205"/>
      <c r="J82" s="205"/>
      <c r="K82" s="205"/>
      <c r="L82" s="205"/>
      <c r="M82" s="204"/>
      <c r="N82" s="639" t="s">
        <v>781</v>
      </c>
      <c r="O82" s="639" t="s">
        <v>498</v>
      </c>
      <c r="P82" s="634">
        <f>AT62+1</f>
        <v>46231</v>
      </c>
      <c r="Q82" s="635"/>
      <c r="R82" s="635"/>
      <c r="S82" s="635"/>
      <c r="T82" s="635"/>
      <c r="U82" s="636">
        <f>P82+1</f>
        <v>46232</v>
      </c>
      <c r="V82" s="637"/>
      <c r="W82" s="637"/>
      <c r="X82" s="637"/>
      <c r="Y82" s="638"/>
      <c r="Z82" s="636">
        <f t="shared" ref="Z82" si="68">U82+1</f>
        <v>46233</v>
      </c>
      <c r="AA82" s="637"/>
      <c r="AB82" s="637"/>
      <c r="AC82" s="637"/>
      <c r="AD82" s="638"/>
      <c r="AE82" s="636">
        <f t="shared" ref="AE82" si="69">Z82+1</f>
        <v>46234</v>
      </c>
      <c r="AF82" s="637"/>
      <c r="AG82" s="637"/>
      <c r="AH82" s="637"/>
      <c r="AI82" s="638"/>
      <c r="AJ82" s="636"/>
      <c r="AK82" s="637"/>
      <c r="AL82" s="637"/>
      <c r="AM82" s="637"/>
      <c r="AN82" s="638"/>
      <c r="AO82" s="636"/>
      <c r="AP82" s="637"/>
      <c r="AQ82" s="637"/>
      <c r="AR82" s="637"/>
      <c r="AS82" s="638"/>
      <c r="AT82" s="636"/>
      <c r="AU82" s="637"/>
      <c r="AV82" s="637"/>
      <c r="AW82" s="637"/>
      <c r="AX82" s="638"/>
    </row>
    <row r="83" spans="2:53" ht="15.75">
      <c r="B83" s="646"/>
      <c r="C83" s="646"/>
      <c r="D83" s="646"/>
      <c r="E83" s="646"/>
      <c r="F83" s="646"/>
      <c r="G83" s="646"/>
      <c r="H83" s="646"/>
      <c r="I83" s="202"/>
      <c r="J83" s="202"/>
      <c r="K83" s="202"/>
      <c r="L83" s="202"/>
      <c r="M83" s="203"/>
      <c r="N83" s="641"/>
      <c r="O83" s="641"/>
      <c r="P83" s="634" t="s">
        <v>499</v>
      </c>
      <c r="Q83" s="635"/>
      <c r="R83" s="635"/>
      <c r="S83" s="635"/>
      <c r="T83" s="635"/>
      <c r="U83" s="634" t="s">
        <v>500</v>
      </c>
      <c r="V83" s="635"/>
      <c r="W83" s="635"/>
      <c r="X83" s="635"/>
      <c r="Y83" s="635"/>
      <c r="Z83" s="634" t="s">
        <v>501</v>
      </c>
      <c r="AA83" s="635"/>
      <c r="AB83" s="635"/>
      <c r="AC83" s="635"/>
      <c r="AD83" s="635"/>
      <c r="AE83" s="634" t="s">
        <v>502</v>
      </c>
      <c r="AF83" s="635"/>
      <c r="AG83" s="635"/>
      <c r="AH83" s="635"/>
      <c r="AI83" s="635"/>
      <c r="AJ83" s="634" t="s">
        <v>503</v>
      </c>
      <c r="AK83" s="635"/>
      <c r="AL83" s="635"/>
      <c r="AM83" s="635"/>
      <c r="AN83" s="635"/>
      <c r="AO83" s="634" t="s">
        <v>504</v>
      </c>
      <c r="AP83" s="635"/>
      <c r="AQ83" s="635"/>
      <c r="AR83" s="635"/>
      <c r="AS83" s="635"/>
      <c r="AT83" s="634" t="s">
        <v>505</v>
      </c>
      <c r="AU83" s="635"/>
      <c r="AV83" s="635"/>
      <c r="AW83" s="635"/>
      <c r="AX83" s="635"/>
    </row>
    <row r="84" spans="2:53">
      <c r="B84" s="624" t="s">
        <v>760</v>
      </c>
      <c r="C84" s="624" t="s">
        <v>464</v>
      </c>
      <c r="D84" s="624"/>
      <c r="E84" s="624" t="s">
        <v>465</v>
      </c>
      <c r="F84" s="624"/>
      <c r="G84" s="624"/>
      <c r="H84" s="647" t="s">
        <v>466</v>
      </c>
      <c r="I84" s="624" t="s">
        <v>467</v>
      </c>
      <c r="J84" s="624"/>
      <c r="K84" s="624"/>
      <c r="L84" s="647" t="s">
        <v>763</v>
      </c>
      <c r="M84" s="639" t="s">
        <v>468</v>
      </c>
      <c r="N84" s="624"/>
      <c r="O84" s="624" t="s">
        <v>512</v>
      </c>
      <c r="P84" s="621" t="s">
        <v>513</v>
      </c>
      <c r="Q84" s="622"/>
      <c r="R84" s="622"/>
      <c r="S84" s="623"/>
      <c r="T84" s="624" t="s">
        <v>509</v>
      </c>
      <c r="U84" s="621" t="s">
        <v>513</v>
      </c>
      <c r="V84" s="622"/>
      <c r="W84" s="622"/>
      <c r="X84" s="623"/>
      <c r="Y84" s="624" t="s">
        <v>509</v>
      </c>
      <c r="Z84" s="621" t="s">
        <v>513</v>
      </c>
      <c r="AA84" s="622"/>
      <c r="AB84" s="622"/>
      <c r="AC84" s="623"/>
      <c r="AD84" s="624" t="s">
        <v>509</v>
      </c>
      <c r="AE84" s="621" t="s">
        <v>513</v>
      </c>
      <c r="AF84" s="622"/>
      <c r="AG84" s="622"/>
      <c r="AH84" s="623"/>
      <c r="AI84" s="624" t="s">
        <v>509</v>
      </c>
      <c r="AJ84" s="621" t="s">
        <v>513</v>
      </c>
      <c r="AK84" s="622"/>
      <c r="AL84" s="622"/>
      <c r="AM84" s="623"/>
      <c r="AN84" s="624" t="s">
        <v>509</v>
      </c>
      <c r="AO84" s="621" t="s">
        <v>513</v>
      </c>
      <c r="AP84" s="622"/>
      <c r="AQ84" s="622"/>
      <c r="AR84" s="623"/>
      <c r="AS84" s="624" t="s">
        <v>509</v>
      </c>
      <c r="AT84" s="621" t="s">
        <v>513</v>
      </c>
      <c r="AU84" s="622"/>
      <c r="AV84" s="622"/>
      <c r="AW84" s="623"/>
      <c r="AX84" s="624" t="s">
        <v>509</v>
      </c>
    </row>
    <row r="85" spans="2:53">
      <c r="B85" s="624"/>
      <c r="C85" s="624"/>
      <c r="D85" s="624"/>
      <c r="E85" s="624" t="s">
        <v>470</v>
      </c>
      <c r="F85" s="624"/>
      <c r="G85" s="624"/>
      <c r="H85" s="648"/>
      <c r="I85" s="624" t="s">
        <v>470</v>
      </c>
      <c r="J85" s="624"/>
      <c r="K85" s="624"/>
      <c r="L85" s="648"/>
      <c r="M85" s="640"/>
      <c r="N85" s="624"/>
      <c r="O85" s="624"/>
      <c r="P85" s="621" t="s">
        <v>515</v>
      </c>
      <c r="Q85" s="622"/>
      <c r="R85" s="622"/>
      <c r="S85" s="623"/>
      <c r="T85" s="624"/>
      <c r="U85" s="621" t="s">
        <v>515</v>
      </c>
      <c r="V85" s="622"/>
      <c r="W85" s="622"/>
      <c r="X85" s="623"/>
      <c r="Y85" s="624"/>
      <c r="Z85" s="621" t="s">
        <v>515</v>
      </c>
      <c r="AA85" s="622"/>
      <c r="AB85" s="622"/>
      <c r="AC85" s="623"/>
      <c r="AD85" s="624"/>
      <c r="AE85" s="621" t="s">
        <v>515</v>
      </c>
      <c r="AF85" s="622"/>
      <c r="AG85" s="622"/>
      <c r="AH85" s="623"/>
      <c r="AI85" s="624"/>
      <c r="AJ85" s="621" t="s">
        <v>515</v>
      </c>
      <c r="AK85" s="622"/>
      <c r="AL85" s="622"/>
      <c r="AM85" s="623"/>
      <c r="AN85" s="624"/>
      <c r="AO85" s="621" t="s">
        <v>515</v>
      </c>
      <c r="AP85" s="622"/>
      <c r="AQ85" s="622"/>
      <c r="AR85" s="623"/>
      <c r="AS85" s="624"/>
      <c r="AT85" s="621" t="s">
        <v>515</v>
      </c>
      <c r="AU85" s="622"/>
      <c r="AV85" s="622"/>
      <c r="AW85" s="623"/>
      <c r="AX85" s="624"/>
    </row>
    <row r="86" spans="2:53">
      <c r="B86" s="624"/>
      <c r="C86" s="624"/>
      <c r="D86" s="624"/>
      <c r="E86" s="482" t="s">
        <v>471</v>
      </c>
      <c r="F86" s="482" t="s">
        <v>472</v>
      </c>
      <c r="G86" s="482" t="s">
        <v>473</v>
      </c>
      <c r="H86" s="649"/>
      <c r="I86" s="482" t="s">
        <v>471</v>
      </c>
      <c r="J86" s="482" t="s">
        <v>472</v>
      </c>
      <c r="K86" s="482" t="s">
        <v>473</v>
      </c>
      <c r="L86" s="649"/>
      <c r="M86" s="641"/>
      <c r="N86" s="624"/>
      <c r="O86" s="624"/>
      <c r="P86" s="353" t="s">
        <v>516</v>
      </c>
      <c r="Q86" s="353" t="s">
        <v>517</v>
      </c>
      <c r="R86" s="353" t="s">
        <v>518</v>
      </c>
      <c r="S86" s="353" t="s">
        <v>511</v>
      </c>
      <c r="T86" s="624"/>
      <c r="U86" s="353" t="s">
        <v>516</v>
      </c>
      <c r="V86" s="353" t="s">
        <v>517</v>
      </c>
      <c r="W86" s="353" t="s">
        <v>518</v>
      </c>
      <c r="X86" s="353" t="s">
        <v>511</v>
      </c>
      <c r="Y86" s="624"/>
      <c r="Z86" s="353" t="s">
        <v>516</v>
      </c>
      <c r="AA86" s="353" t="s">
        <v>517</v>
      </c>
      <c r="AB86" s="353" t="s">
        <v>518</v>
      </c>
      <c r="AC86" s="353" t="s">
        <v>511</v>
      </c>
      <c r="AD86" s="624"/>
      <c r="AE86" s="353" t="s">
        <v>516</v>
      </c>
      <c r="AF86" s="353" t="s">
        <v>517</v>
      </c>
      <c r="AG86" s="353" t="s">
        <v>518</v>
      </c>
      <c r="AH86" s="353" t="s">
        <v>511</v>
      </c>
      <c r="AI86" s="624"/>
      <c r="AJ86" s="353" t="s">
        <v>516</v>
      </c>
      <c r="AK86" s="353" t="s">
        <v>517</v>
      </c>
      <c r="AL86" s="353" t="s">
        <v>518</v>
      </c>
      <c r="AM86" s="353" t="s">
        <v>511</v>
      </c>
      <c r="AN86" s="624"/>
      <c r="AO86" s="353" t="s">
        <v>516</v>
      </c>
      <c r="AP86" s="353" t="s">
        <v>517</v>
      </c>
      <c r="AQ86" s="353" t="s">
        <v>518</v>
      </c>
      <c r="AR86" s="353" t="s">
        <v>511</v>
      </c>
      <c r="AS86" s="624"/>
      <c r="AT86" s="353" t="s">
        <v>516</v>
      </c>
      <c r="AU86" s="353" t="s">
        <v>517</v>
      </c>
      <c r="AV86" s="353" t="s">
        <v>518</v>
      </c>
      <c r="AW86" s="353" t="s">
        <v>511</v>
      </c>
      <c r="AX86" s="624"/>
    </row>
    <row r="87" spans="2:53">
      <c r="B87" s="624" t="s">
        <v>788</v>
      </c>
      <c r="C87" s="485">
        <v>1</v>
      </c>
      <c r="D87" s="223" t="s">
        <v>649</v>
      </c>
      <c r="E87" s="491">
        <v>17</v>
      </c>
      <c r="F87" s="483">
        <v>1565</v>
      </c>
      <c r="G87" s="484">
        <v>92.058823529411768</v>
      </c>
      <c r="H87" s="671">
        <f>AVERAGE(G87:G101)</f>
        <v>88.413656690746478</v>
      </c>
      <c r="I87" s="487">
        <f t="shared" ref="I87:K100" si="70">IFERROR(AVERAGE(P87,U87,Z87,AE87,AJ87,AO87,AT87),"-")</f>
        <v>17</v>
      </c>
      <c r="J87" s="487">
        <f t="shared" si="70"/>
        <v>1437.3157897349645</v>
      </c>
      <c r="K87" s="363">
        <f t="shared" si="70"/>
        <v>84.547987631468501</v>
      </c>
      <c r="L87" s="614">
        <f>IFERROR(AVERAGE(K87:K101),"-")</f>
        <v>78.019854139110549</v>
      </c>
      <c r="M87" s="490">
        <f>RANK(K87, K$87:$K$101)</f>
        <v>1</v>
      </c>
      <c r="N87" s="624"/>
      <c r="O87" s="624"/>
      <c r="P87" s="540">
        <v>17</v>
      </c>
      <c r="Q87" s="541">
        <v>1420.6643835616439</v>
      </c>
      <c r="R87" s="541">
        <v>83.568493150684944</v>
      </c>
      <c r="S87" s="540">
        <f t="shared" ref="S87:S101" si="71">RANK(R87, R$87:R$101)</f>
        <v>1</v>
      </c>
      <c r="T87" s="653">
        <f t="shared" ref="T87" si="72">AVERAGE(R87:R101)</f>
        <v>78.405322088280556</v>
      </c>
      <c r="U87" s="540">
        <v>17</v>
      </c>
      <c r="V87" s="541">
        <v>1457.9770992366412</v>
      </c>
      <c r="W87" s="541">
        <v>85.763358778625957</v>
      </c>
      <c r="X87" s="540">
        <f t="shared" ref="X87:X101" si="73">RANK(W87, W$87:W$101)</f>
        <v>1</v>
      </c>
      <c r="Y87" s="653">
        <f t="shared" ref="Y87" si="74">AVERAGE(W87:W101)</f>
        <v>78.114690916330645</v>
      </c>
      <c r="Z87" s="540">
        <v>17</v>
      </c>
      <c r="AA87" s="541">
        <v>1441.3533834586465</v>
      </c>
      <c r="AB87" s="541">
        <v>84.785493144626258</v>
      </c>
      <c r="AC87" s="540">
        <f t="shared" ref="AC87:AC101" si="75">RANK(AB87, AB$87:AB$101)</f>
        <v>1</v>
      </c>
      <c r="AD87" s="653">
        <f t="shared" ref="AD87" si="76">AVERAGE(AB87:AB101)</f>
        <v>77.842550404815938</v>
      </c>
      <c r="AE87" s="540">
        <v>17</v>
      </c>
      <c r="AF87" s="541">
        <v>1429.2682926829264</v>
      </c>
      <c r="AG87" s="541">
        <v>84.074605451936847</v>
      </c>
      <c r="AH87" s="540">
        <f t="shared" ref="AH87:AH101" si="77">RANK(AG87, AG$87:AG$101)</f>
        <v>1</v>
      </c>
      <c r="AI87" s="653">
        <f t="shared" ref="AI87" si="78">AVERAGE(AG87:AG101)</f>
        <v>77.716853147015087</v>
      </c>
      <c r="AJ87" s="483"/>
      <c r="AK87" s="491"/>
      <c r="AL87" s="491"/>
      <c r="AM87" s="483"/>
      <c r="AN87" s="653"/>
      <c r="AO87" s="483"/>
      <c r="AP87" s="491"/>
      <c r="AQ87" s="491"/>
      <c r="AR87" s="483"/>
      <c r="AS87" s="653"/>
      <c r="AT87" s="483"/>
      <c r="AU87" s="491"/>
      <c r="AV87" s="491"/>
      <c r="AW87" s="483"/>
      <c r="AX87" s="653"/>
      <c r="AZ87" s="377" t="e">
        <f t="shared" ref="AZ87:AZ101" si="79">RANK(AY87, AY$87:AY$101)</f>
        <v>#N/A</v>
      </c>
      <c r="BA87" s="653" t="e">
        <f t="shared" ref="BA87" si="80">AVERAGE(AY87:AY101)</f>
        <v>#DIV/0!</v>
      </c>
    </row>
    <row r="88" spans="2:53">
      <c r="B88" s="635"/>
      <c r="C88" s="485">
        <v>2</v>
      </c>
      <c r="D88" s="223" t="s">
        <v>728</v>
      </c>
      <c r="E88" s="491">
        <v>19</v>
      </c>
      <c r="F88" s="483">
        <v>1500</v>
      </c>
      <c r="G88" s="484">
        <v>78.94736842105263</v>
      </c>
      <c r="H88" s="672"/>
      <c r="I88" s="487">
        <f t="shared" si="70"/>
        <v>19</v>
      </c>
      <c r="J88" s="487">
        <f t="shared" si="70"/>
        <v>1382.72197006038</v>
      </c>
      <c r="K88" s="363">
        <f t="shared" si="70"/>
        <v>72.774840529493687</v>
      </c>
      <c r="L88" s="615"/>
      <c r="M88" s="490">
        <f>RANK(K88, K$87:$K$101)</f>
        <v>5</v>
      </c>
      <c r="N88" s="624"/>
      <c r="O88" s="624"/>
      <c r="P88" s="540">
        <v>19</v>
      </c>
      <c r="Q88" s="541">
        <v>1398.5526315789471</v>
      </c>
      <c r="R88" s="541">
        <v>73.608033240997216</v>
      </c>
      <c r="S88" s="540">
        <f t="shared" si="71"/>
        <v>5</v>
      </c>
      <c r="T88" s="653"/>
      <c r="U88" s="540">
        <v>19</v>
      </c>
      <c r="V88" s="541">
        <v>1365.3061224489802</v>
      </c>
      <c r="W88" s="541">
        <v>71.858216970998953</v>
      </c>
      <c r="X88" s="540">
        <f t="shared" si="73"/>
        <v>5</v>
      </c>
      <c r="Y88" s="653"/>
      <c r="Z88" s="540">
        <v>19</v>
      </c>
      <c r="AA88" s="541">
        <v>1384</v>
      </c>
      <c r="AB88" s="541">
        <v>72.84210526315789</v>
      </c>
      <c r="AC88" s="540">
        <f t="shared" si="75"/>
        <v>5</v>
      </c>
      <c r="AD88" s="653"/>
      <c r="AE88" s="540">
        <v>19</v>
      </c>
      <c r="AF88" s="541">
        <v>1383.0291262135929</v>
      </c>
      <c r="AG88" s="541">
        <v>72.791006642820676</v>
      </c>
      <c r="AH88" s="540">
        <f t="shared" si="77"/>
        <v>5</v>
      </c>
      <c r="AI88" s="653"/>
      <c r="AJ88" s="483"/>
      <c r="AK88" s="491"/>
      <c r="AL88" s="491"/>
      <c r="AM88" s="483"/>
      <c r="AN88" s="653"/>
      <c r="AO88" s="483"/>
      <c r="AP88" s="491"/>
      <c r="AQ88" s="491"/>
      <c r="AR88" s="483"/>
      <c r="AS88" s="653"/>
      <c r="AT88" s="483"/>
      <c r="AU88" s="491"/>
      <c r="AV88" s="491"/>
      <c r="AW88" s="483"/>
      <c r="AX88" s="653"/>
      <c r="AZ88" s="377" t="e">
        <f t="shared" si="79"/>
        <v>#N/A</v>
      </c>
      <c r="BA88" s="653"/>
    </row>
    <row r="89" spans="2:53">
      <c r="B89" s="635"/>
      <c r="C89" s="485">
        <v>3</v>
      </c>
      <c r="D89" s="223" t="s">
        <v>729</v>
      </c>
      <c r="E89" s="491">
        <v>18</v>
      </c>
      <c r="F89" s="483">
        <v>1565</v>
      </c>
      <c r="G89" s="484">
        <v>86.944444444444443</v>
      </c>
      <c r="H89" s="672"/>
      <c r="I89" s="487">
        <f t="shared" si="70"/>
        <v>18</v>
      </c>
      <c r="J89" s="487">
        <f t="shared" si="70"/>
        <v>1369.8173057383583</v>
      </c>
      <c r="K89" s="363">
        <f t="shared" si="70"/>
        <v>76.100961429908807</v>
      </c>
      <c r="L89" s="615"/>
      <c r="M89" s="490">
        <f>RANK(K89, K$87:$K$101)</f>
        <v>4</v>
      </c>
      <c r="N89" s="624"/>
      <c r="O89" s="624"/>
      <c r="P89" s="540">
        <v>18</v>
      </c>
      <c r="Q89" s="541">
        <v>1387.6923076923085</v>
      </c>
      <c r="R89" s="541">
        <v>77.094017094017147</v>
      </c>
      <c r="S89" s="540">
        <f t="shared" si="71"/>
        <v>3</v>
      </c>
      <c r="T89" s="653"/>
      <c r="U89" s="540">
        <v>18</v>
      </c>
      <c r="V89" s="541">
        <v>1382.3684210526321</v>
      </c>
      <c r="W89" s="541">
        <v>76.798245614035125</v>
      </c>
      <c r="X89" s="540">
        <f t="shared" si="73"/>
        <v>3</v>
      </c>
      <c r="Y89" s="653"/>
      <c r="Z89" s="540">
        <v>18</v>
      </c>
      <c r="AA89" s="541">
        <v>1361.3513513513517</v>
      </c>
      <c r="AB89" s="541">
        <v>75.630630630630648</v>
      </c>
      <c r="AC89" s="540">
        <f t="shared" si="75"/>
        <v>4</v>
      </c>
      <c r="AD89" s="653"/>
      <c r="AE89" s="540">
        <v>18</v>
      </c>
      <c r="AF89" s="541">
        <v>1347.8571428571418</v>
      </c>
      <c r="AG89" s="541">
        <v>74.880952380952323</v>
      </c>
      <c r="AH89" s="540">
        <f t="shared" si="77"/>
        <v>4</v>
      </c>
      <c r="AI89" s="653"/>
      <c r="AJ89" s="483"/>
      <c r="AK89" s="491"/>
      <c r="AL89" s="491"/>
      <c r="AM89" s="483"/>
      <c r="AN89" s="653"/>
      <c r="AO89" s="483"/>
      <c r="AP89" s="491"/>
      <c r="AQ89" s="491"/>
      <c r="AR89" s="483"/>
      <c r="AS89" s="653"/>
      <c r="AT89" s="483"/>
      <c r="AU89" s="491"/>
      <c r="AV89" s="491"/>
      <c r="AW89" s="483"/>
      <c r="AX89" s="653"/>
      <c r="AZ89" s="377" t="e">
        <f t="shared" si="79"/>
        <v>#N/A</v>
      </c>
      <c r="BA89" s="653"/>
    </row>
    <row r="90" spans="2:53">
      <c r="B90" s="635"/>
      <c r="C90" s="485">
        <v>4</v>
      </c>
      <c r="D90" s="223" t="s">
        <v>648</v>
      </c>
      <c r="E90" s="491">
        <v>17</v>
      </c>
      <c r="F90" s="483">
        <v>1565</v>
      </c>
      <c r="G90" s="484">
        <v>92.058823529411768</v>
      </c>
      <c r="H90" s="672"/>
      <c r="I90" s="487">
        <f t="shared" si="70"/>
        <v>17</v>
      </c>
      <c r="J90" s="487">
        <f t="shared" si="70"/>
        <v>1361.3574048389582</v>
      </c>
      <c r="K90" s="363">
        <f t="shared" si="70"/>
        <v>80.079847343468145</v>
      </c>
      <c r="L90" s="615"/>
      <c r="M90" s="490">
        <f>RANK(K90, K$87:$K$101)</f>
        <v>2</v>
      </c>
      <c r="N90" s="624"/>
      <c r="O90" s="624"/>
      <c r="P90" s="540">
        <v>17</v>
      </c>
      <c r="Q90" s="541">
        <v>1376.3883495145637</v>
      </c>
      <c r="R90" s="541">
        <v>80.964020559680222</v>
      </c>
      <c r="S90" s="540">
        <f t="shared" si="71"/>
        <v>2</v>
      </c>
      <c r="T90" s="653"/>
      <c r="U90" s="540">
        <v>17</v>
      </c>
      <c r="V90" s="541">
        <v>1363.2000000000005</v>
      </c>
      <c r="W90" s="541">
        <v>80.188235294117675</v>
      </c>
      <c r="X90" s="540">
        <f t="shared" si="73"/>
        <v>2</v>
      </c>
      <c r="Y90" s="653"/>
      <c r="Z90" s="540">
        <v>17</v>
      </c>
      <c r="AA90" s="541">
        <v>1350.285714285714</v>
      </c>
      <c r="AB90" s="541">
        <v>79.428571428571416</v>
      </c>
      <c r="AC90" s="540">
        <f t="shared" si="75"/>
        <v>2</v>
      </c>
      <c r="AD90" s="653"/>
      <c r="AE90" s="540">
        <v>17</v>
      </c>
      <c r="AF90" s="541">
        <v>1355.555555555555</v>
      </c>
      <c r="AG90" s="541">
        <v>79.73856209150324</v>
      </c>
      <c r="AH90" s="540">
        <f t="shared" si="77"/>
        <v>2</v>
      </c>
      <c r="AI90" s="653"/>
      <c r="AJ90" s="483"/>
      <c r="AK90" s="491"/>
      <c r="AL90" s="491"/>
      <c r="AM90" s="483"/>
      <c r="AN90" s="653"/>
      <c r="AO90" s="483"/>
      <c r="AP90" s="491"/>
      <c r="AQ90" s="491"/>
      <c r="AR90" s="483"/>
      <c r="AS90" s="653"/>
      <c r="AT90" s="483"/>
      <c r="AU90" s="491"/>
      <c r="AV90" s="491"/>
      <c r="AW90" s="483"/>
      <c r="AX90" s="653"/>
      <c r="AZ90" s="377" t="e">
        <f t="shared" si="79"/>
        <v>#N/A</v>
      </c>
      <c r="BA90" s="653"/>
    </row>
    <row r="91" spans="2:53">
      <c r="B91" s="635"/>
      <c r="C91" s="485">
        <v>5</v>
      </c>
      <c r="D91" s="223" t="s">
        <v>849</v>
      </c>
      <c r="E91" s="491">
        <v>17</v>
      </c>
      <c r="F91" s="483">
        <v>1565</v>
      </c>
      <c r="G91" s="484">
        <v>92.058823529411768</v>
      </c>
      <c r="H91" s="672"/>
      <c r="I91" s="487">
        <f t="shared" si="70"/>
        <v>17</v>
      </c>
      <c r="J91" s="487">
        <f t="shared" si="70"/>
        <v>1302.125773940631</v>
      </c>
      <c r="K91" s="363">
        <f t="shared" si="70"/>
        <v>76.595633761213605</v>
      </c>
      <c r="L91" s="615"/>
      <c r="M91" s="490">
        <f>RANK(K91, K$87:$K$101)</f>
        <v>3</v>
      </c>
      <c r="N91" s="624"/>
      <c r="O91" s="624"/>
      <c r="P91" s="540">
        <v>17</v>
      </c>
      <c r="Q91" s="541">
        <v>1305.4647887323949</v>
      </c>
      <c r="R91" s="541">
        <v>76.792046396023238</v>
      </c>
      <c r="S91" s="540">
        <f t="shared" si="71"/>
        <v>4</v>
      </c>
      <c r="T91" s="653"/>
      <c r="U91" s="540">
        <v>17</v>
      </c>
      <c r="V91" s="541">
        <v>1291.4117647058827</v>
      </c>
      <c r="W91" s="541">
        <v>75.965397923875457</v>
      </c>
      <c r="X91" s="540">
        <f t="shared" si="73"/>
        <v>4</v>
      </c>
      <c r="Y91" s="653"/>
      <c r="Z91" s="540">
        <v>17</v>
      </c>
      <c r="AA91" s="541">
        <v>1300.9411764705883</v>
      </c>
      <c r="AB91" s="541">
        <v>76.525951557093435</v>
      </c>
      <c r="AC91" s="540">
        <f t="shared" si="75"/>
        <v>3</v>
      </c>
      <c r="AD91" s="653"/>
      <c r="AE91" s="540">
        <v>17</v>
      </c>
      <c r="AF91" s="541">
        <v>1310.6853658536586</v>
      </c>
      <c r="AG91" s="541">
        <v>77.099139167862276</v>
      </c>
      <c r="AH91" s="540">
        <f t="shared" si="77"/>
        <v>3</v>
      </c>
      <c r="AI91" s="653"/>
      <c r="AJ91" s="483"/>
      <c r="AK91" s="491"/>
      <c r="AL91" s="491"/>
      <c r="AM91" s="483"/>
      <c r="AN91" s="653"/>
      <c r="AO91" s="483"/>
      <c r="AP91" s="491"/>
      <c r="AQ91" s="491"/>
      <c r="AR91" s="483"/>
      <c r="AS91" s="653"/>
      <c r="AT91" s="483"/>
      <c r="AU91" s="491"/>
      <c r="AV91" s="491"/>
      <c r="AW91" s="483"/>
      <c r="AX91" s="653"/>
      <c r="AZ91" s="377" t="e">
        <f t="shared" si="79"/>
        <v>#N/A</v>
      </c>
      <c r="BA91" s="653"/>
    </row>
    <row r="92" spans="2:53">
      <c r="B92" s="635"/>
      <c r="C92" s="485">
        <v>6</v>
      </c>
      <c r="D92" s="223"/>
      <c r="E92" s="491"/>
      <c r="F92" s="483"/>
      <c r="G92" s="484"/>
      <c r="H92" s="672"/>
      <c r="I92" s="487" t="str">
        <f t="shared" si="70"/>
        <v>-</v>
      </c>
      <c r="J92" s="487" t="str">
        <f t="shared" si="70"/>
        <v>-</v>
      </c>
      <c r="K92" s="363" t="str">
        <f t="shared" si="70"/>
        <v>-</v>
      </c>
      <c r="L92" s="615"/>
      <c r="M92" s="490" t="e">
        <f>RANK(K92, K$87:$K$101)</f>
        <v>#VALUE!</v>
      </c>
      <c r="N92" s="624"/>
      <c r="O92" s="624"/>
      <c r="P92" s="540" t="s">
        <v>427</v>
      </c>
      <c r="Q92" s="541" t="s">
        <v>427</v>
      </c>
      <c r="R92" s="541" t="s">
        <v>427</v>
      </c>
      <c r="S92" s="540" t="e">
        <f t="shared" si="71"/>
        <v>#VALUE!</v>
      </c>
      <c r="T92" s="653"/>
      <c r="U92" s="540" t="s">
        <v>427</v>
      </c>
      <c r="V92" s="541" t="s">
        <v>427</v>
      </c>
      <c r="W92" s="541" t="s">
        <v>427</v>
      </c>
      <c r="X92" s="540" t="e">
        <f t="shared" si="73"/>
        <v>#VALUE!</v>
      </c>
      <c r="Y92" s="653"/>
      <c r="Z92" s="540" t="s">
        <v>427</v>
      </c>
      <c r="AA92" s="541" t="s">
        <v>427</v>
      </c>
      <c r="AB92" s="541" t="s">
        <v>427</v>
      </c>
      <c r="AC92" s="540" t="e">
        <f t="shared" si="75"/>
        <v>#VALUE!</v>
      </c>
      <c r="AD92" s="653"/>
      <c r="AE92" s="540" t="s">
        <v>427</v>
      </c>
      <c r="AF92" s="541" t="s">
        <v>427</v>
      </c>
      <c r="AG92" s="541" t="s">
        <v>427</v>
      </c>
      <c r="AH92" s="540" t="e">
        <f t="shared" si="77"/>
        <v>#VALUE!</v>
      </c>
      <c r="AI92" s="653"/>
      <c r="AJ92" s="483"/>
      <c r="AK92" s="491"/>
      <c r="AL92" s="491"/>
      <c r="AM92" s="483"/>
      <c r="AN92" s="653"/>
      <c r="AO92" s="483"/>
      <c r="AP92" s="491"/>
      <c r="AQ92" s="491"/>
      <c r="AR92" s="483"/>
      <c r="AS92" s="653"/>
      <c r="AT92" s="483"/>
      <c r="AU92" s="491"/>
      <c r="AV92" s="491"/>
      <c r="AW92" s="483"/>
      <c r="AX92" s="653"/>
      <c r="AZ92" s="377" t="e">
        <f t="shared" si="79"/>
        <v>#N/A</v>
      </c>
      <c r="BA92" s="653"/>
    </row>
    <row r="93" spans="2:53">
      <c r="B93" s="635"/>
      <c r="C93" s="485">
        <v>7</v>
      </c>
      <c r="D93" s="223"/>
      <c r="E93" s="491"/>
      <c r="F93" s="483"/>
      <c r="G93" s="484"/>
      <c r="H93" s="672"/>
      <c r="I93" s="487" t="str">
        <f t="shared" si="70"/>
        <v>-</v>
      </c>
      <c r="J93" s="487" t="str">
        <f t="shared" si="70"/>
        <v>-</v>
      </c>
      <c r="K93" s="363" t="str">
        <f t="shared" si="70"/>
        <v>-</v>
      </c>
      <c r="L93" s="615"/>
      <c r="M93" s="490" t="e">
        <f>RANK(K93, K$87:$K$101)</f>
        <v>#VALUE!</v>
      </c>
      <c r="N93" s="624"/>
      <c r="O93" s="624"/>
      <c r="P93" s="540" t="s">
        <v>427</v>
      </c>
      <c r="Q93" s="541" t="s">
        <v>427</v>
      </c>
      <c r="R93" s="541" t="s">
        <v>427</v>
      </c>
      <c r="S93" s="540" t="e">
        <f t="shared" si="71"/>
        <v>#VALUE!</v>
      </c>
      <c r="T93" s="653"/>
      <c r="U93" s="540" t="s">
        <v>427</v>
      </c>
      <c r="V93" s="541" t="s">
        <v>427</v>
      </c>
      <c r="W93" s="541" t="s">
        <v>427</v>
      </c>
      <c r="X93" s="540" t="e">
        <f t="shared" si="73"/>
        <v>#VALUE!</v>
      </c>
      <c r="Y93" s="653"/>
      <c r="Z93" s="540" t="s">
        <v>427</v>
      </c>
      <c r="AA93" s="541" t="s">
        <v>427</v>
      </c>
      <c r="AB93" s="541" t="s">
        <v>427</v>
      </c>
      <c r="AC93" s="540" t="e">
        <f t="shared" si="75"/>
        <v>#VALUE!</v>
      </c>
      <c r="AD93" s="653"/>
      <c r="AE93" s="540" t="s">
        <v>427</v>
      </c>
      <c r="AF93" s="541" t="s">
        <v>427</v>
      </c>
      <c r="AG93" s="541" t="s">
        <v>427</v>
      </c>
      <c r="AH93" s="540" t="e">
        <f t="shared" si="77"/>
        <v>#VALUE!</v>
      </c>
      <c r="AI93" s="653"/>
      <c r="AJ93" s="483"/>
      <c r="AK93" s="491"/>
      <c r="AL93" s="491"/>
      <c r="AM93" s="483"/>
      <c r="AN93" s="653"/>
      <c r="AO93" s="483"/>
      <c r="AP93" s="491"/>
      <c r="AQ93" s="491"/>
      <c r="AR93" s="483"/>
      <c r="AS93" s="653"/>
      <c r="AT93" s="483"/>
      <c r="AU93" s="491"/>
      <c r="AV93" s="491"/>
      <c r="AW93" s="483"/>
      <c r="AX93" s="653"/>
      <c r="AZ93" s="377" t="e">
        <f t="shared" si="79"/>
        <v>#N/A</v>
      </c>
      <c r="BA93" s="653"/>
    </row>
    <row r="94" spans="2:53">
      <c r="B94" s="635"/>
      <c r="C94" s="485">
        <v>8</v>
      </c>
      <c r="D94" s="223"/>
      <c r="E94" s="491"/>
      <c r="F94" s="483"/>
      <c r="G94" s="484"/>
      <c r="H94" s="672"/>
      <c r="I94" s="487" t="str">
        <f t="shared" si="70"/>
        <v>-</v>
      </c>
      <c r="J94" s="487" t="str">
        <f t="shared" si="70"/>
        <v>-</v>
      </c>
      <c r="K94" s="363" t="str">
        <f t="shared" si="70"/>
        <v>-</v>
      </c>
      <c r="L94" s="615"/>
      <c r="M94" s="490" t="e">
        <f>RANK(K94, K$87:$K$101)</f>
        <v>#VALUE!</v>
      </c>
      <c r="N94" s="624"/>
      <c r="O94" s="624"/>
      <c r="P94" s="540" t="s">
        <v>427</v>
      </c>
      <c r="Q94" s="541" t="s">
        <v>427</v>
      </c>
      <c r="R94" s="541" t="s">
        <v>427</v>
      </c>
      <c r="S94" s="540" t="e">
        <f t="shared" si="71"/>
        <v>#VALUE!</v>
      </c>
      <c r="T94" s="653"/>
      <c r="U94" s="540" t="s">
        <v>427</v>
      </c>
      <c r="V94" s="541" t="s">
        <v>427</v>
      </c>
      <c r="W94" s="541" t="s">
        <v>427</v>
      </c>
      <c r="X94" s="540" t="e">
        <f t="shared" si="73"/>
        <v>#VALUE!</v>
      </c>
      <c r="Y94" s="653"/>
      <c r="Z94" s="540" t="s">
        <v>427</v>
      </c>
      <c r="AA94" s="541" t="s">
        <v>427</v>
      </c>
      <c r="AB94" s="541" t="s">
        <v>427</v>
      </c>
      <c r="AC94" s="540" t="e">
        <f t="shared" si="75"/>
        <v>#VALUE!</v>
      </c>
      <c r="AD94" s="653"/>
      <c r="AE94" s="540" t="s">
        <v>427</v>
      </c>
      <c r="AF94" s="541" t="s">
        <v>427</v>
      </c>
      <c r="AG94" s="541" t="s">
        <v>427</v>
      </c>
      <c r="AH94" s="540" t="e">
        <f t="shared" si="77"/>
        <v>#VALUE!</v>
      </c>
      <c r="AI94" s="653"/>
      <c r="AJ94" s="483"/>
      <c r="AK94" s="491"/>
      <c r="AL94" s="491"/>
      <c r="AM94" s="483"/>
      <c r="AN94" s="653"/>
      <c r="AO94" s="483"/>
      <c r="AP94" s="491"/>
      <c r="AQ94" s="491"/>
      <c r="AR94" s="483"/>
      <c r="AS94" s="653"/>
      <c r="AT94" s="483"/>
      <c r="AU94" s="491"/>
      <c r="AV94" s="491"/>
      <c r="AW94" s="483"/>
      <c r="AX94" s="653"/>
      <c r="AZ94" s="377" t="e">
        <f t="shared" si="79"/>
        <v>#N/A</v>
      </c>
      <c r="BA94" s="653"/>
    </row>
    <row r="95" spans="2:53">
      <c r="B95" s="635"/>
      <c r="C95" s="485">
        <v>9</v>
      </c>
      <c r="D95" s="223"/>
      <c r="E95" s="491"/>
      <c r="F95" s="483"/>
      <c r="G95" s="484"/>
      <c r="H95" s="672"/>
      <c r="I95" s="487" t="str">
        <f t="shared" si="70"/>
        <v>-</v>
      </c>
      <c r="J95" s="487" t="str">
        <f t="shared" si="70"/>
        <v>-</v>
      </c>
      <c r="K95" s="363" t="str">
        <f t="shared" si="70"/>
        <v>-</v>
      </c>
      <c r="L95" s="615"/>
      <c r="M95" s="490" t="e">
        <f>RANK(K95, K$87:$K$101)</f>
        <v>#VALUE!</v>
      </c>
      <c r="N95" s="624"/>
      <c r="O95" s="624"/>
      <c r="P95" s="540" t="s">
        <v>427</v>
      </c>
      <c r="Q95" s="541" t="s">
        <v>427</v>
      </c>
      <c r="R95" s="541" t="s">
        <v>427</v>
      </c>
      <c r="S95" s="540" t="e">
        <f t="shared" si="71"/>
        <v>#VALUE!</v>
      </c>
      <c r="T95" s="653"/>
      <c r="U95" s="540" t="s">
        <v>427</v>
      </c>
      <c r="V95" s="541" t="s">
        <v>427</v>
      </c>
      <c r="W95" s="541" t="s">
        <v>427</v>
      </c>
      <c r="X95" s="540" t="e">
        <f t="shared" si="73"/>
        <v>#VALUE!</v>
      </c>
      <c r="Y95" s="653"/>
      <c r="Z95" s="540" t="s">
        <v>427</v>
      </c>
      <c r="AA95" s="541" t="s">
        <v>427</v>
      </c>
      <c r="AB95" s="541" t="s">
        <v>427</v>
      </c>
      <c r="AC95" s="540" t="e">
        <f t="shared" si="75"/>
        <v>#VALUE!</v>
      </c>
      <c r="AD95" s="653"/>
      <c r="AE95" s="540" t="s">
        <v>427</v>
      </c>
      <c r="AF95" s="541" t="s">
        <v>427</v>
      </c>
      <c r="AG95" s="541" t="s">
        <v>427</v>
      </c>
      <c r="AH95" s="540" t="e">
        <f t="shared" si="77"/>
        <v>#VALUE!</v>
      </c>
      <c r="AI95" s="653"/>
      <c r="AJ95" s="483"/>
      <c r="AK95" s="491"/>
      <c r="AL95" s="491"/>
      <c r="AM95" s="483"/>
      <c r="AN95" s="653"/>
      <c r="AO95" s="483"/>
      <c r="AP95" s="491"/>
      <c r="AQ95" s="491"/>
      <c r="AR95" s="483"/>
      <c r="AS95" s="653"/>
      <c r="AT95" s="483"/>
      <c r="AU95" s="491"/>
      <c r="AV95" s="491"/>
      <c r="AW95" s="483"/>
      <c r="AX95" s="653"/>
      <c r="AZ95" s="377" t="e">
        <f t="shared" si="79"/>
        <v>#N/A</v>
      </c>
      <c r="BA95" s="653"/>
    </row>
    <row r="96" spans="2:53">
      <c r="B96" s="635"/>
      <c r="C96" s="485">
        <v>10</v>
      </c>
      <c r="D96" s="223"/>
      <c r="E96" s="491"/>
      <c r="F96" s="483"/>
      <c r="G96" s="484"/>
      <c r="H96" s="672"/>
      <c r="I96" s="487" t="str">
        <f t="shared" si="70"/>
        <v>-</v>
      </c>
      <c r="J96" s="487" t="str">
        <f t="shared" si="70"/>
        <v>-</v>
      </c>
      <c r="K96" s="363" t="str">
        <f t="shared" si="70"/>
        <v>-</v>
      </c>
      <c r="L96" s="615"/>
      <c r="M96" s="490" t="e">
        <f>RANK(K96, K$87:$K$101)</f>
        <v>#VALUE!</v>
      </c>
      <c r="N96" s="624"/>
      <c r="O96" s="624"/>
      <c r="P96" s="540" t="s">
        <v>427</v>
      </c>
      <c r="Q96" s="541" t="s">
        <v>427</v>
      </c>
      <c r="R96" s="541" t="s">
        <v>427</v>
      </c>
      <c r="S96" s="540" t="e">
        <f t="shared" si="71"/>
        <v>#VALUE!</v>
      </c>
      <c r="T96" s="653"/>
      <c r="U96" s="540" t="s">
        <v>427</v>
      </c>
      <c r="V96" s="541" t="s">
        <v>427</v>
      </c>
      <c r="W96" s="541" t="s">
        <v>427</v>
      </c>
      <c r="X96" s="540" t="e">
        <f t="shared" si="73"/>
        <v>#VALUE!</v>
      </c>
      <c r="Y96" s="653"/>
      <c r="Z96" s="540" t="s">
        <v>427</v>
      </c>
      <c r="AA96" s="541" t="s">
        <v>427</v>
      </c>
      <c r="AB96" s="541" t="s">
        <v>427</v>
      </c>
      <c r="AC96" s="540" t="e">
        <f t="shared" si="75"/>
        <v>#VALUE!</v>
      </c>
      <c r="AD96" s="653"/>
      <c r="AE96" s="540" t="s">
        <v>427</v>
      </c>
      <c r="AF96" s="541" t="s">
        <v>427</v>
      </c>
      <c r="AG96" s="541" t="s">
        <v>427</v>
      </c>
      <c r="AH96" s="540" t="e">
        <f t="shared" si="77"/>
        <v>#VALUE!</v>
      </c>
      <c r="AI96" s="653"/>
      <c r="AJ96" s="483"/>
      <c r="AK96" s="491"/>
      <c r="AL96" s="491"/>
      <c r="AM96" s="483"/>
      <c r="AN96" s="653"/>
      <c r="AO96" s="483"/>
      <c r="AP96" s="491"/>
      <c r="AQ96" s="491"/>
      <c r="AR96" s="483"/>
      <c r="AS96" s="653"/>
      <c r="AT96" s="483"/>
      <c r="AU96" s="491"/>
      <c r="AV96" s="491"/>
      <c r="AW96" s="483"/>
      <c r="AX96" s="653"/>
      <c r="AZ96" s="377" t="e">
        <f t="shared" si="79"/>
        <v>#N/A</v>
      </c>
      <c r="BA96" s="653"/>
    </row>
    <row r="97" spans="2:53">
      <c r="B97" s="635"/>
      <c r="C97" s="485">
        <v>11</v>
      </c>
      <c r="D97" s="223"/>
      <c r="E97" s="491"/>
      <c r="F97" s="483"/>
      <c r="G97" s="484"/>
      <c r="H97" s="672"/>
      <c r="I97" s="487" t="str">
        <f t="shared" si="70"/>
        <v>-</v>
      </c>
      <c r="J97" s="487" t="str">
        <f t="shared" si="70"/>
        <v>-</v>
      </c>
      <c r="K97" s="363" t="str">
        <f t="shared" si="70"/>
        <v>-</v>
      </c>
      <c r="L97" s="615"/>
      <c r="M97" s="490" t="e">
        <f>RANK(K97, K$87:$K$101)</f>
        <v>#VALUE!</v>
      </c>
      <c r="N97" s="624"/>
      <c r="O97" s="624"/>
      <c r="P97" s="540" t="s">
        <v>427</v>
      </c>
      <c r="Q97" s="541" t="s">
        <v>427</v>
      </c>
      <c r="R97" s="541" t="s">
        <v>427</v>
      </c>
      <c r="S97" s="540" t="e">
        <f t="shared" si="71"/>
        <v>#VALUE!</v>
      </c>
      <c r="T97" s="653"/>
      <c r="U97" s="540" t="s">
        <v>427</v>
      </c>
      <c r="V97" s="541" t="s">
        <v>427</v>
      </c>
      <c r="W97" s="541" t="s">
        <v>427</v>
      </c>
      <c r="X97" s="540" t="e">
        <f t="shared" si="73"/>
        <v>#VALUE!</v>
      </c>
      <c r="Y97" s="653"/>
      <c r="Z97" s="540" t="s">
        <v>427</v>
      </c>
      <c r="AA97" s="541" t="s">
        <v>427</v>
      </c>
      <c r="AB97" s="541" t="s">
        <v>427</v>
      </c>
      <c r="AC97" s="540" t="e">
        <f t="shared" si="75"/>
        <v>#VALUE!</v>
      </c>
      <c r="AD97" s="653"/>
      <c r="AE97" s="540" t="s">
        <v>427</v>
      </c>
      <c r="AF97" s="541" t="s">
        <v>427</v>
      </c>
      <c r="AG97" s="541" t="s">
        <v>427</v>
      </c>
      <c r="AH97" s="540" t="e">
        <f t="shared" si="77"/>
        <v>#VALUE!</v>
      </c>
      <c r="AI97" s="653"/>
      <c r="AJ97" s="483"/>
      <c r="AK97" s="491"/>
      <c r="AL97" s="491"/>
      <c r="AM97" s="483"/>
      <c r="AN97" s="653"/>
      <c r="AO97" s="483"/>
      <c r="AP97" s="491"/>
      <c r="AQ97" s="491"/>
      <c r="AR97" s="483"/>
      <c r="AS97" s="653"/>
      <c r="AT97" s="483"/>
      <c r="AU97" s="491"/>
      <c r="AV97" s="491"/>
      <c r="AW97" s="483"/>
      <c r="AX97" s="653"/>
      <c r="AZ97" s="377" t="e">
        <f t="shared" si="79"/>
        <v>#N/A</v>
      </c>
      <c r="BA97" s="653"/>
    </row>
    <row r="98" spans="2:53">
      <c r="B98" s="635"/>
      <c r="C98" s="485">
        <v>12</v>
      </c>
      <c r="D98" s="223"/>
      <c r="E98" s="491"/>
      <c r="F98" s="483"/>
      <c r="G98" s="484"/>
      <c r="H98" s="672"/>
      <c r="I98" s="487" t="str">
        <f t="shared" si="70"/>
        <v>-</v>
      </c>
      <c r="J98" s="487" t="str">
        <f t="shared" si="70"/>
        <v>-</v>
      </c>
      <c r="K98" s="363" t="str">
        <f t="shared" si="70"/>
        <v>-</v>
      </c>
      <c r="L98" s="615"/>
      <c r="M98" s="490" t="e">
        <f>RANK(K98, K$87:$K$101)</f>
        <v>#VALUE!</v>
      </c>
      <c r="N98" s="624"/>
      <c r="O98" s="624"/>
      <c r="P98" s="540" t="s">
        <v>427</v>
      </c>
      <c r="Q98" s="541" t="s">
        <v>427</v>
      </c>
      <c r="R98" s="541" t="s">
        <v>427</v>
      </c>
      <c r="S98" s="540" t="e">
        <f t="shared" si="71"/>
        <v>#VALUE!</v>
      </c>
      <c r="T98" s="653"/>
      <c r="U98" s="540" t="s">
        <v>427</v>
      </c>
      <c r="V98" s="541" t="s">
        <v>427</v>
      </c>
      <c r="W98" s="541" t="s">
        <v>427</v>
      </c>
      <c r="X98" s="540" t="e">
        <f t="shared" si="73"/>
        <v>#VALUE!</v>
      </c>
      <c r="Y98" s="653"/>
      <c r="Z98" s="540" t="s">
        <v>427</v>
      </c>
      <c r="AA98" s="541" t="s">
        <v>427</v>
      </c>
      <c r="AB98" s="541" t="s">
        <v>427</v>
      </c>
      <c r="AC98" s="540" t="e">
        <f t="shared" si="75"/>
        <v>#VALUE!</v>
      </c>
      <c r="AD98" s="653"/>
      <c r="AE98" s="540" t="s">
        <v>427</v>
      </c>
      <c r="AF98" s="541" t="s">
        <v>427</v>
      </c>
      <c r="AG98" s="541" t="s">
        <v>427</v>
      </c>
      <c r="AH98" s="540" t="e">
        <f t="shared" si="77"/>
        <v>#VALUE!</v>
      </c>
      <c r="AI98" s="653"/>
      <c r="AJ98" s="483"/>
      <c r="AK98" s="491"/>
      <c r="AL98" s="491"/>
      <c r="AM98" s="483"/>
      <c r="AN98" s="653"/>
      <c r="AO98" s="483"/>
      <c r="AP98" s="491"/>
      <c r="AQ98" s="491"/>
      <c r="AR98" s="483"/>
      <c r="AS98" s="653"/>
      <c r="AT98" s="483"/>
      <c r="AU98" s="491"/>
      <c r="AV98" s="491"/>
      <c r="AW98" s="483"/>
      <c r="AX98" s="653"/>
      <c r="AZ98" s="377" t="e">
        <f t="shared" si="79"/>
        <v>#N/A</v>
      </c>
      <c r="BA98" s="653"/>
    </row>
    <row r="99" spans="2:53">
      <c r="B99" s="635"/>
      <c r="C99" s="485">
        <v>13</v>
      </c>
      <c r="D99" s="223"/>
      <c r="E99" s="491"/>
      <c r="F99" s="483"/>
      <c r="G99" s="484"/>
      <c r="H99" s="672"/>
      <c r="I99" s="487" t="str">
        <f t="shared" si="70"/>
        <v>-</v>
      </c>
      <c r="J99" s="487" t="str">
        <f t="shared" si="70"/>
        <v>-</v>
      </c>
      <c r="K99" s="363" t="str">
        <f t="shared" si="70"/>
        <v>-</v>
      </c>
      <c r="L99" s="615"/>
      <c r="M99" s="490" t="e">
        <f>RANK(K99, K$87:$K$101)</f>
        <v>#VALUE!</v>
      </c>
      <c r="N99" s="624"/>
      <c r="O99" s="624"/>
      <c r="P99" s="540" t="s">
        <v>427</v>
      </c>
      <c r="Q99" s="541" t="s">
        <v>427</v>
      </c>
      <c r="R99" s="541" t="s">
        <v>427</v>
      </c>
      <c r="S99" s="540" t="e">
        <f t="shared" si="71"/>
        <v>#VALUE!</v>
      </c>
      <c r="T99" s="653"/>
      <c r="U99" s="540" t="s">
        <v>427</v>
      </c>
      <c r="V99" s="541" t="s">
        <v>427</v>
      </c>
      <c r="W99" s="541" t="s">
        <v>427</v>
      </c>
      <c r="X99" s="540" t="e">
        <f t="shared" si="73"/>
        <v>#VALUE!</v>
      </c>
      <c r="Y99" s="653"/>
      <c r="Z99" s="540" t="s">
        <v>427</v>
      </c>
      <c r="AA99" s="541" t="s">
        <v>427</v>
      </c>
      <c r="AB99" s="541" t="s">
        <v>427</v>
      </c>
      <c r="AC99" s="540" t="e">
        <f t="shared" si="75"/>
        <v>#VALUE!</v>
      </c>
      <c r="AD99" s="653"/>
      <c r="AE99" s="540" t="s">
        <v>427</v>
      </c>
      <c r="AF99" s="541" t="s">
        <v>427</v>
      </c>
      <c r="AG99" s="541" t="s">
        <v>427</v>
      </c>
      <c r="AH99" s="540" t="e">
        <f t="shared" si="77"/>
        <v>#VALUE!</v>
      </c>
      <c r="AI99" s="653"/>
      <c r="AJ99" s="483"/>
      <c r="AK99" s="491"/>
      <c r="AL99" s="491"/>
      <c r="AM99" s="483"/>
      <c r="AN99" s="653"/>
      <c r="AO99" s="483"/>
      <c r="AP99" s="491"/>
      <c r="AQ99" s="491"/>
      <c r="AR99" s="483"/>
      <c r="AS99" s="653"/>
      <c r="AT99" s="483"/>
      <c r="AU99" s="491"/>
      <c r="AV99" s="491"/>
      <c r="AW99" s="483"/>
      <c r="AX99" s="653"/>
      <c r="AZ99" s="377" t="e">
        <f t="shared" si="79"/>
        <v>#N/A</v>
      </c>
      <c r="BA99" s="653"/>
    </row>
    <row r="100" spans="2:53">
      <c r="B100" s="635"/>
      <c r="C100" s="485">
        <v>14</v>
      </c>
      <c r="D100" s="223"/>
      <c r="E100" s="491"/>
      <c r="F100" s="483"/>
      <c r="G100" s="484"/>
      <c r="H100" s="672"/>
      <c r="I100" s="487" t="str">
        <f t="shared" si="70"/>
        <v>-</v>
      </c>
      <c r="J100" s="487" t="str">
        <f t="shared" si="70"/>
        <v>-</v>
      </c>
      <c r="K100" s="363" t="str">
        <f t="shared" si="70"/>
        <v>-</v>
      </c>
      <c r="L100" s="615"/>
      <c r="M100" s="490" t="e">
        <f>RANK(K100, K$87:$K$101)</f>
        <v>#VALUE!</v>
      </c>
      <c r="N100" s="624"/>
      <c r="O100" s="624"/>
      <c r="P100" s="540" t="s">
        <v>427</v>
      </c>
      <c r="Q100" s="541" t="s">
        <v>427</v>
      </c>
      <c r="R100" s="541" t="s">
        <v>427</v>
      </c>
      <c r="S100" s="540" t="e">
        <f t="shared" si="71"/>
        <v>#VALUE!</v>
      </c>
      <c r="T100" s="653"/>
      <c r="U100" s="540" t="s">
        <v>427</v>
      </c>
      <c r="V100" s="541" t="s">
        <v>427</v>
      </c>
      <c r="W100" s="541" t="s">
        <v>427</v>
      </c>
      <c r="X100" s="540" t="e">
        <f t="shared" si="73"/>
        <v>#VALUE!</v>
      </c>
      <c r="Y100" s="653"/>
      <c r="Z100" s="540" t="s">
        <v>427</v>
      </c>
      <c r="AA100" s="541" t="s">
        <v>427</v>
      </c>
      <c r="AB100" s="541" t="s">
        <v>427</v>
      </c>
      <c r="AC100" s="540" t="e">
        <f t="shared" si="75"/>
        <v>#VALUE!</v>
      </c>
      <c r="AD100" s="653"/>
      <c r="AE100" s="540" t="s">
        <v>427</v>
      </c>
      <c r="AF100" s="541" t="s">
        <v>427</v>
      </c>
      <c r="AG100" s="541" t="s">
        <v>427</v>
      </c>
      <c r="AH100" s="540" t="e">
        <f t="shared" si="77"/>
        <v>#VALUE!</v>
      </c>
      <c r="AI100" s="653"/>
      <c r="AJ100" s="483"/>
      <c r="AK100" s="491"/>
      <c r="AL100" s="491"/>
      <c r="AM100" s="483"/>
      <c r="AN100" s="653"/>
      <c r="AO100" s="483"/>
      <c r="AP100" s="491"/>
      <c r="AQ100" s="491"/>
      <c r="AR100" s="483"/>
      <c r="AS100" s="653"/>
      <c r="AT100" s="483"/>
      <c r="AU100" s="491"/>
      <c r="AV100" s="491"/>
      <c r="AW100" s="483"/>
      <c r="AX100" s="653"/>
      <c r="AZ100" s="377" t="e">
        <f t="shared" si="79"/>
        <v>#N/A</v>
      </c>
      <c r="BA100" s="653"/>
    </row>
    <row r="101" spans="2:53">
      <c r="B101" s="635"/>
      <c r="C101" s="485">
        <v>15</v>
      </c>
      <c r="D101" s="223"/>
      <c r="E101" s="491"/>
      <c r="F101" s="483"/>
      <c r="G101" s="484"/>
      <c r="H101" s="676"/>
      <c r="I101" s="485"/>
      <c r="J101" s="485"/>
      <c r="K101" s="485"/>
      <c r="L101" s="616"/>
      <c r="M101" s="490" t="e">
        <f>RANK(K101, K$87:$K$101)</f>
        <v>#N/A</v>
      </c>
      <c r="N101" s="624"/>
      <c r="O101" s="624"/>
      <c r="P101" s="540" t="s">
        <v>427</v>
      </c>
      <c r="Q101" s="541" t="s">
        <v>427</v>
      </c>
      <c r="R101" s="541" t="s">
        <v>427</v>
      </c>
      <c r="S101" s="540" t="e">
        <f t="shared" si="71"/>
        <v>#VALUE!</v>
      </c>
      <c r="T101" s="653"/>
      <c r="U101" s="540" t="s">
        <v>427</v>
      </c>
      <c r="V101" s="541" t="s">
        <v>427</v>
      </c>
      <c r="W101" s="541" t="s">
        <v>427</v>
      </c>
      <c r="X101" s="540" t="e">
        <f t="shared" si="73"/>
        <v>#VALUE!</v>
      </c>
      <c r="Y101" s="653"/>
      <c r="Z101" s="540" t="s">
        <v>427</v>
      </c>
      <c r="AA101" s="541" t="s">
        <v>427</v>
      </c>
      <c r="AB101" s="541" t="s">
        <v>427</v>
      </c>
      <c r="AC101" s="540" t="e">
        <f t="shared" si="75"/>
        <v>#VALUE!</v>
      </c>
      <c r="AD101" s="653"/>
      <c r="AE101" s="540" t="s">
        <v>427</v>
      </c>
      <c r="AF101" s="541" t="s">
        <v>427</v>
      </c>
      <c r="AG101" s="541" t="s">
        <v>427</v>
      </c>
      <c r="AH101" s="540" t="e">
        <f t="shared" si="77"/>
        <v>#VALUE!</v>
      </c>
      <c r="AI101" s="653"/>
      <c r="AJ101" s="483"/>
      <c r="AK101" s="491"/>
      <c r="AL101" s="491"/>
      <c r="AM101" s="483"/>
      <c r="AN101" s="653"/>
      <c r="AO101" s="483"/>
      <c r="AP101" s="491"/>
      <c r="AQ101" s="491"/>
      <c r="AR101" s="483"/>
      <c r="AS101" s="653"/>
      <c r="AT101" s="483"/>
      <c r="AU101" s="491"/>
      <c r="AV101" s="491"/>
      <c r="AW101" s="483"/>
      <c r="AX101" s="653"/>
      <c r="AZ101" s="377" t="e">
        <f t="shared" si="79"/>
        <v>#N/A</v>
      </c>
      <c r="BA101" s="653"/>
    </row>
    <row r="102" spans="2:53" ht="15.75">
      <c r="B102" s="643" t="s">
        <v>496</v>
      </c>
      <c r="C102" s="644"/>
      <c r="D102" s="644"/>
      <c r="E102" s="644"/>
      <c r="F102" s="644"/>
      <c r="G102" s="644"/>
      <c r="H102" s="645"/>
      <c r="I102" s="205"/>
      <c r="J102" s="205"/>
      <c r="K102" s="205"/>
      <c r="L102" s="205"/>
      <c r="M102" s="204"/>
      <c r="N102" s="639" t="s">
        <v>497</v>
      </c>
      <c r="O102" s="639" t="s">
        <v>498</v>
      </c>
      <c r="P102" s="634"/>
      <c r="Q102" s="635"/>
      <c r="R102" s="635"/>
      <c r="S102" s="635"/>
      <c r="T102" s="635"/>
      <c r="U102" s="636"/>
      <c r="V102" s="637"/>
      <c r="W102" s="637"/>
      <c r="X102" s="637"/>
      <c r="Y102" s="638"/>
      <c r="Z102" s="636"/>
      <c r="AA102" s="637"/>
      <c r="AB102" s="637"/>
      <c r="AC102" s="637"/>
      <c r="AD102" s="638"/>
      <c r="AE102" s="636"/>
      <c r="AF102" s="637"/>
      <c r="AG102" s="637"/>
      <c r="AH102" s="637"/>
      <c r="AI102" s="638"/>
      <c r="AJ102" s="636"/>
      <c r="AK102" s="637"/>
      <c r="AL102" s="637"/>
      <c r="AM102" s="637"/>
      <c r="AN102" s="638"/>
      <c r="AO102" s="636"/>
      <c r="AP102" s="637"/>
      <c r="AQ102" s="637"/>
      <c r="AR102" s="637"/>
      <c r="AS102" s="638"/>
      <c r="AT102" s="636"/>
      <c r="AU102" s="637"/>
      <c r="AV102" s="637"/>
      <c r="AW102" s="637"/>
      <c r="AX102" s="638"/>
    </row>
    <row r="103" spans="2:53" ht="15.75">
      <c r="B103" s="646"/>
      <c r="C103" s="646"/>
      <c r="D103" s="646"/>
      <c r="E103" s="646"/>
      <c r="F103" s="646"/>
      <c r="G103" s="646"/>
      <c r="H103" s="646"/>
      <c r="I103" s="202"/>
      <c r="J103" s="202"/>
      <c r="K103" s="202"/>
      <c r="L103" s="202"/>
      <c r="M103" s="203"/>
      <c r="N103" s="641"/>
      <c r="O103" s="641"/>
      <c r="P103" s="634" t="s">
        <v>499</v>
      </c>
      <c r="Q103" s="635"/>
      <c r="R103" s="635"/>
      <c r="S103" s="635"/>
      <c r="T103" s="635"/>
      <c r="U103" s="634" t="s">
        <v>500</v>
      </c>
      <c r="V103" s="635"/>
      <c r="W103" s="635"/>
      <c r="X103" s="635"/>
      <c r="Y103" s="635"/>
      <c r="Z103" s="634" t="s">
        <v>501</v>
      </c>
      <c r="AA103" s="635"/>
      <c r="AB103" s="635"/>
      <c r="AC103" s="635"/>
      <c r="AD103" s="635"/>
      <c r="AE103" s="634" t="s">
        <v>502</v>
      </c>
      <c r="AF103" s="635"/>
      <c r="AG103" s="635"/>
      <c r="AH103" s="635"/>
      <c r="AI103" s="635"/>
      <c r="AJ103" s="634" t="s">
        <v>503</v>
      </c>
      <c r="AK103" s="635"/>
      <c r="AL103" s="635"/>
      <c r="AM103" s="635"/>
      <c r="AN103" s="635"/>
      <c r="AO103" s="634" t="s">
        <v>504</v>
      </c>
      <c r="AP103" s="635"/>
      <c r="AQ103" s="635"/>
      <c r="AR103" s="635"/>
      <c r="AS103" s="635"/>
      <c r="AT103" s="634" t="s">
        <v>505</v>
      </c>
      <c r="AU103" s="635"/>
      <c r="AV103" s="635"/>
      <c r="AW103" s="635"/>
      <c r="AX103" s="635"/>
    </row>
    <row r="104" spans="2:53">
      <c r="B104" s="624" t="s">
        <v>463</v>
      </c>
      <c r="C104" s="624" t="s">
        <v>464</v>
      </c>
      <c r="D104" s="624"/>
      <c r="E104" s="624" t="s">
        <v>465</v>
      </c>
      <c r="F104" s="624"/>
      <c r="G104" s="624"/>
      <c r="H104" s="647" t="s">
        <v>466</v>
      </c>
      <c r="I104" s="624" t="s">
        <v>467</v>
      </c>
      <c r="J104" s="624"/>
      <c r="K104" s="624"/>
      <c r="L104" s="647" t="s">
        <v>466</v>
      </c>
      <c r="M104" s="639" t="s">
        <v>468</v>
      </c>
      <c r="N104" s="624"/>
      <c r="O104" s="624" t="s">
        <v>469</v>
      </c>
      <c r="P104" s="621" t="s">
        <v>513</v>
      </c>
      <c r="Q104" s="622"/>
      <c r="R104" s="622"/>
      <c r="S104" s="623"/>
      <c r="T104" s="624" t="s">
        <v>509</v>
      </c>
      <c r="U104" s="621" t="s">
        <v>513</v>
      </c>
      <c r="V104" s="622"/>
      <c r="W104" s="622"/>
      <c r="X104" s="623"/>
      <c r="Y104" s="624" t="s">
        <v>509</v>
      </c>
      <c r="Z104" s="621" t="s">
        <v>513</v>
      </c>
      <c r="AA104" s="622"/>
      <c r="AB104" s="622"/>
      <c r="AC104" s="623"/>
      <c r="AD104" s="624" t="s">
        <v>509</v>
      </c>
      <c r="AE104" s="621" t="s">
        <v>513</v>
      </c>
      <c r="AF104" s="622"/>
      <c r="AG104" s="622"/>
      <c r="AH104" s="623"/>
      <c r="AI104" s="624" t="s">
        <v>509</v>
      </c>
      <c r="AJ104" s="621" t="s">
        <v>513</v>
      </c>
      <c r="AK104" s="622"/>
      <c r="AL104" s="622"/>
      <c r="AM104" s="623"/>
      <c r="AN104" s="624" t="s">
        <v>509</v>
      </c>
      <c r="AO104" s="621" t="s">
        <v>513</v>
      </c>
      <c r="AP104" s="622"/>
      <c r="AQ104" s="622"/>
      <c r="AR104" s="623"/>
      <c r="AS104" s="624" t="s">
        <v>509</v>
      </c>
      <c r="AT104" s="621" t="s">
        <v>513</v>
      </c>
      <c r="AU104" s="622"/>
      <c r="AV104" s="622"/>
      <c r="AW104" s="623"/>
      <c r="AX104" s="624" t="s">
        <v>509</v>
      </c>
    </row>
    <row r="105" spans="2:53">
      <c r="B105" s="624"/>
      <c r="C105" s="624"/>
      <c r="D105" s="624"/>
      <c r="E105" s="624" t="s">
        <v>470</v>
      </c>
      <c r="F105" s="624"/>
      <c r="G105" s="624"/>
      <c r="H105" s="648"/>
      <c r="I105" s="624" t="s">
        <v>470</v>
      </c>
      <c r="J105" s="624"/>
      <c r="K105" s="624"/>
      <c r="L105" s="648"/>
      <c r="M105" s="640"/>
      <c r="N105" s="624"/>
      <c r="O105" s="624"/>
      <c r="P105" s="621" t="s">
        <v>515</v>
      </c>
      <c r="Q105" s="622"/>
      <c r="R105" s="622"/>
      <c r="S105" s="623"/>
      <c r="T105" s="624"/>
      <c r="U105" s="621" t="s">
        <v>515</v>
      </c>
      <c r="V105" s="622"/>
      <c r="W105" s="622"/>
      <c r="X105" s="623"/>
      <c r="Y105" s="624"/>
      <c r="Z105" s="621" t="s">
        <v>515</v>
      </c>
      <c r="AA105" s="622"/>
      <c r="AB105" s="622"/>
      <c r="AC105" s="623"/>
      <c r="AD105" s="624"/>
      <c r="AE105" s="621" t="s">
        <v>515</v>
      </c>
      <c r="AF105" s="622"/>
      <c r="AG105" s="622"/>
      <c r="AH105" s="623"/>
      <c r="AI105" s="624"/>
      <c r="AJ105" s="621" t="s">
        <v>515</v>
      </c>
      <c r="AK105" s="622"/>
      <c r="AL105" s="622"/>
      <c r="AM105" s="623"/>
      <c r="AN105" s="624"/>
      <c r="AO105" s="621" t="s">
        <v>515</v>
      </c>
      <c r="AP105" s="622"/>
      <c r="AQ105" s="622"/>
      <c r="AR105" s="623"/>
      <c r="AS105" s="624"/>
      <c r="AT105" s="621" t="s">
        <v>515</v>
      </c>
      <c r="AU105" s="622"/>
      <c r="AV105" s="622"/>
      <c r="AW105" s="623"/>
      <c r="AX105" s="624"/>
    </row>
    <row r="106" spans="2:53">
      <c r="B106" s="624"/>
      <c r="C106" s="624"/>
      <c r="D106" s="624"/>
      <c r="E106" s="353" t="s">
        <v>471</v>
      </c>
      <c r="F106" s="353" t="s">
        <v>472</v>
      </c>
      <c r="G106" s="353" t="s">
        <v>473</v>
      </c>
      <c r="H106" s="649"/>
      <c r="I106" s="353" t="s">
        <v>471</v>
      </c>
      <c r="J106" s="353" t="s">
        <v>472</v>
      </c>
      <c r="K106" s="353" t="s">
        <v>473</v>
      </c>
      <c r="L106" s="649"/>
      <c r="M106" s="641"/>
      <c r="N106" s="624"/>
      <c r="O106" s="624"/>
      <c r="P106" s="353" t="s">
        <v>516</v>
      </c>
      <c r="Q106" s="353" t="s">
        <v>517</v>
      </c>
      <c r="R106" s="353" t="s">
        <v>518</v>
      </c>
      <c r="S106" s="353" t="s">
        <v>511</v>
      </c>
      <c r="T106" s="624"/>
      <c r="U106" s="353" t="s">
        <v>516</v>
      </c>
      <c r="V106" s="353" t="s">
        <v>517</v>
      </c>
      <c r="W106" s="353" t="s">
        <v>518</v>
      </c>
      <c r="X106" s="353" t="s">
        <v>511</v>
      </c>
      <c r="Y106" s="624"/>
      <c r="Z106" s="353" t="s">
        <v>516</v>
      </c>
      <c r="AA106" s="353" t="s">
        <v>517</v>
      </c>
      <c r="AB106" s="353" t="s">
        <v>518</v>
      </c>
      <c r="AC106" s="353" t="s">
        <v>511</v>
      </c>
      <c r="AD106" s="624"/>
      <c r="AE106" s="353" t="s">
        <v>516</v>
      </c>
      <c r="AF106" s="353" t="s">
        <v>517</v>
      </c>
      <c r="AG106" s="353" t="s">
        <v>518</v>
      </c>
      <c r="AH106" s="353" t="s">
        <v>511</v>
      </c>
      <c r="AI106" s="624"/>
      <c r="AJ106" s="353" t="s">
        <v>516</v>
      </c>
      <c r="AK106" s="353" t="s">
        <v>517</v>
      </c>
      <c r="AL106" s="353" t="s">
        <v>518</v>
      </c>
      <c r="AM106" s="353" t="s">
        <v>511</v>
      </c>
      <c r="AN106" s="624"/>
      <c r="AO106" s="353" t="s">
        <v>516</v>
      </c>
      <c r="AP106" s="353" t="s">
        <v>517</v>
      </c>
      <c r="AQ106" s="353" t="s">
        <v>518</v>
      </c>
      <c r="AR106" s="353" t="s">
        <v>511</v>
      </c>
      <c r="AS106" s="624"/>
      <c r="AT106" s="353" t="s">
        <v>516</v>
      </c>
      <c r="AU106" s="353" t="s">
        <v>517</v>
      </c>
      <c r="AV106" s="353" t="s">
        <v>518</v>
      </c>
      <c r="AW106" s="353" t="s">
        <v>511</v>
      </c>
      <c r="AX106" s="624"/>
    </row>
    <row r="107" spans="2:53">
      <c r="B107" s="624" t="s">
        <v>135</v>
      </c>
      <c r="C107" s="359">
        <v>1</v>
      </c>
      <c r="D107" s="223"/>
      <c r="E107" s="182"/>
      <c r="F107" s="354"/>
      <c r="G107" s="362"/>
      <c r="H107" s="671" t="e">
        <f>AVERAGE(G107:G121)</f>
        <v>#DIV/0!</v>
      </c>
      <c r="I107" s="379" t="str">
        <f t="shared" ref="I107:K121" si="81">IFERROR(AVERAGE(P107,U107,Z107,AE107,AJ107,AO107,AT107),"-")</f>
        <v>-</v>
      </c>
      <c r="J107" s="379" t="str">
        <f t="shared" si="81"/>
        <v>-</v>
      </c>
      <c r="K107" s="363" t="str">
        <f t="shared" si="81"/>
        <v>-</v>
      </c>
      <c r="L107" s="614" t="str">
        <f>IFERROR(AVERAGE(K107:K121),"-")</f>
        <v>-</v>
      </c>
      <c r="M107" s="366" t="e">
        <f>RANK(K107, K$67:$K$81)</f>
        <v>#VALUE!</v>
      </c>
      <c r="N107" s="624"/>
      <c r="O107" s="624"/>
      <c r="P107" s="414"/>
      <c r="Q107" s="415"/>
      <c r="R107" s="415"/>
      <c r="S107" s="497"/>
      <c r="T107" s="677"/>
      <c r="U107" s="359"/>
      <c r="V107" s="366"/>
      <c r="W107" s="366"/>
      <c r="X107" s="366"/>
      <c r="Y107" s="674"/>
      <c r="Z107" s="359"/>
      <c r="AA107" s="366"/>
      <c r="AB107" s="366"/>
      <c r="AC107" s="366"/>
      <c r="AD107" s="674"/>
      <c r="AE107" s="359"/>
      <c r="AF107" s="366"/>
      <c r="AG107" s="366"/>
      <c r="AH107" s="366"/>
      <c r="AI107" s="674"/>
      <c r="AJ107" s="359"/>
      <c r="AK107" s="366"/>
      <c r="AL107" s="366"/>
      <c r="AM107" s="366"/>
      <c r="AN107" s="674"/>
      <c r="AO107" s="359"/>
      <c r="AP107" s="366"/>
      <c r="AQ107" s="366"/>
      <c r="AR107" s="366"/>
      <c r="AS107" s="690"/>
      <c r="AT107" s="182"/>
      <c r="AU107" s="182"/>
      <c r="AV107" s="182"/>
      <c r="AW107" s="359"/>
      <c r="AX107" s="689"/>
      <c r="AZ107" s="497" t="e">
        <f>RANK(AY107, AY$107:AY$121)</f>
        <v>#N/A</v>
      </c>
      <c r="BA107" s="677" t="e">
        <f>AVERAGE(AY107:AY121)</f>
        <v>#DIV/0!</v>
      </c>
    </row>
    <row r="108" spans="2:53">
      <c r="B108" s="661"/>
      <c r="C108" s="359">
        <v>2</v>
      </c>
      <c r="D108" s="223"/>
      <c r="E108" s="182"/>
      <c r="F108" s="354"/>
      <c r="G108" s="362"/>
      <c r="H108" s="672"/>
      <c r="I108" s="379" t="str">
        <f t="shared" si="81"/>
        <v>-</v>
      </c>
      <c r="J108" s="379" t="str">
        <f t="shared" si="81"/>
        <v>-</v>
      </c>
      <c r="K108" s="363" t="str">
        <f t="shared" si="81"/>
        <v>-</v>
      </c>
      <c r="L108" s="615"/>
      <c r="M108" s="366" t="e">
        <f>RANK(K108, K$67:$K$81)</f>
        <v>#VALUE!</v>
      </c>
      <c r="N108" s="624"/>
      <c r="O108" s="624"/>
      <c r="P108" s="414"/>
      <c r="Q108" s="415"/>
      <c r="R108" s="415"/>
      <c r="S108" s="497"/>
      <c r="T108" s="678"/>
      <c r="U108" s="359"/>
      <c r="V108" s="366"/>
      <c r="W108" s="366"/>
      <c r="X108" s="366"/>
      <c r="Y108" s="674"/>
      <c r="Z108" s="359"/>
      <c r="AA108" s="366"/>
      <c r="AB108" s="366"/>
      <c r="AC108" s="366"/>
      <c r="AD108" s="674"/>
      <c r="AE108" s="359"/>
      <c r="AF108" s="366"/>
      <c r="AG108" s="366"/>
      <c r="AH108" s="366"/>
      <c r="AI108" s="674"/>
      <c r="AJ108" s="359"/>
      <c r="AK108" s="366"/>
      <c r="AL108" s="366"/>
      <c r="AM108" s="366"/>
      <c r="AN108" s="674"/>
      <c r="AO108" s="359"/>
      <c r="AP108" s="366"/>
      <c r="AQ108" s="366"/>
      <c r="AR108" s="366"/>
      <c r="AS108" s="690"/>
      <c r="AT108" s="182"/>
      <c r="AU108" s="182"/>
      <c r="AV108" s="182"/>
      <c r="AW108" s="359"/>
      <c r="AX108" s="689"/>
      <c r="AZ108" s="497" t="e">
        <f t="shared" ref="AZ108:AZ121" si="82">RANK(AY108, AY$107:AY$121)</f>
        <v>#N/A</v>
      </c>
      <c r="BA108" s="678"/>
    </row>
    <row r="109" spans="2:53">
      <c r="B109" s="661"/>
      <c r="C109" s="359">
        <v>3</v>
      </c>
      <c r="D109" s="223"/>
      <c r="E109" s="182"/>
      <c r="F109" s="354"/>
      <c r="G109" s="362"/>
      <c r="H109" s="672"/>
      <c r="I109" s="379" t="str">
        <f t="shared" si="81"/>
        <v>-</v>
      </c>
      <c r="J109" s="379" t="str">
        <f t="shared" si="81"/>
        <v>-</v>
      </c>
      <c r="K109" s="363" t="str">
        <f t="shared" si="81"/>
        <v>-</v>
      </c>
      <c r="L109" s="615"/>
      <c r="M109" s="366" t="e">
        <f>RANK(K109, K$67:$K$81)</f>
        <v>#VALUE!</v>
      </c>
      <c r="N109" s="624"/>
      <c r="O109" s="624"/>
      <c r="P109" s="414"/>
      <c r="Q109" s="415"/>
      <c r="R109" s="415"/>
      <c r="S109" s="497"/>
      <c r="T109" s="678"/>
      <c r="U109" s="359"/>
      <c r="V109" s="366"/>
      <c r="W109" s="366"/>
      <c r="X109" s="366"/>
      <c r="Y109" s="674"/>
      <c r="Z109" s="359"/>
      <c r="AA109" s="366"/>
      <c r="AB109" s="366"/>
      <c r="AC109" s="366"/>
      <c r="AD109" s="674"/>
      <c r="AE109" s="359"/>
      <c r="AF109" s="366"/>
      <c r="AG109" s="366"/>
      <c r="AH109" s="366"/>
      <c r="AI109" s="674"/>
      <c r="AJ109" s="359"/>
      <c r="AK109" s="366"/>
      <c r="AL109" s="366"/>
      <c r="AM109" s="366"/>
      <c r="AN109" s="674"/>
      <c r="AO109" s="359"/>
      <c r="AP109" s="366"/>
      <c r="AQ109" s="366"/>
      <c r="AR109" s="366"/>
      <c r="AS109" s="690"/>
      <c r="AT109" s="182"/>
      <c r="AU109" s="182"/>
      <c r="AV109" s="182"/>
      <c r="AW109" s="359"/>
      <c r="AX109" s="689"/>
      <c r="AZ109" s="497" t="e">
        <f t="shared" si="82"/>
        <v>#N/A</v>
      </c>
      <c r="BA109" s="678"/>
    </row>
    <row r="110" spans="2:53">
      <c r="B110" s="661"/>
      <c r="C110" s="359">
        <v>4</v>
      </c>
      <c r="D110" s="223"/>
      <c r="E110" s="182"/>
      <c r="F110" s="354"/>
      <c r="G110" s="362"/>
      <c r="H110" s="672"/>
      <c r="I110" s="379" t="str">
        <f t="shared" si="81"/>
        <v>-</v>
      </c>
      <c r="J110" s="379" t="str">
        <f t="shared" si="81"/>
        <v>-</v>
      </c>
      <c r="K110" s="363" t="str">
        <f t="shared" si="81"/>
        <v>-</v>
      </c>
      <c r="L110" s="615"/>
      <c r="M110" s="366" t="e">
        <f>RANK(K110, K$67:$K$81)</f>
        <v>#VALUE!</v>
      </c>
      <c r="N110" s="624"/>
      <c r="O110" s="624"/>
      <c r="P110" s="414"/>
      <c r="Q110" s="415"/>
      <c r="R110" s="415"/>
      <c r="S110" s="497"/>
      <c r="T110" s="678"/>
      <c r="U110" s="359"/>
      <c r="V110" s="366"/>
      <c r="W110" s="366"/>
      <c r="X110" s="366"/>
      <c r="Y110" s="674"/>
      <c r="Z110" s="359"/>
      <c r="AA110" s="366"/>
      <c r="AB110" s="366"/>
      <c r="AC110" s="366"/>
      <c r="AD110" s="674"/>
      <c r="AE110" s="359"/>
      <c r="AF110" s="366"/>
      <c r="AG110" s="366"/>
      <c r="AH110" s="366"/>
      <c r="AI110" s="674"/>
      <c r="AJ110" s="359"/>
      <c r="AK110" s="366"/>
      <c r="AL110" s="366"/>
      <c r="AM110" s="366"/>
      <c r="AN110" s="674"/>
      <c r="AO110" s="359"/>
      <c r="AP110" s="366"/>
      <c r="AQ110" s="366"/>
      <c r="AR110" s="366"/>
      <c r="AS110" s="690"/>
      <c r="AT110" s="182"/>
      <c r="AU110" s="182"/>
      <c r="AV110" s="182"/>
      <c r="AW110" s="359"/>
      <c r="AX110" s="689"/>
      <c r="AZ110" s="497" t="e">
        <f t="shared" si="82"/>
        <v>#N/A</v>
      </c>
      <c r="BA110" s="678"/>
    </row>
    <row r="111" spans="2:53">
      <c r="B111" s="661"/>
      <c r="C111" s="359">
        <v>5</v>
      </c>
      <c r="D111" s="223"/>
      <c r="E111" s="182"/>
      <c r="F111" s="354"/>
      <c r="G111" s="362"/>
      <c r="H111" s="672"/>
      <c r="I111" s="379" t="str">
        <f t="shared" si="81"/>
        <v>-</v>
      </c>
      <c r="J111" s="379" t="str">
        <f t="shared" si="81"/>
        <v>-</v>
      </c>
      <c r="K111" s="363" t="str">
        <f t="shared" si="81"/>
        <v>-</v>
      </c>
      <c r="L111" s="615"/>
      <c r="M111" s="366" t="e">
        <f>RANK(K111, K$67:$K$81)</f>
        <v>#VALUE!</v>
      </c>
      <c r="N111" s="624"/>
      <c r="O111" s="624"/>
      <c r="P111" s="414"/>
      <c r="Q111" s="415"/>
      <c r="R111" s="415"/>
      <c r="S111" s="497"/>
      <c r="T111" s="678"/>
      <c r="U111" s="359"/>
      <c r="V111" s="366"/>
      <c r="W111" s="366"/>
      <c r="X111" s="366"/>
      <c r="Y111" s="674"/>
      <c r="Z111" s="359"/>
      <c r="AA111" s="366"/>
      <c r="AB111" s="366"/>
      <c r="AC111" s="366"/>
      <c r="AD111" s="674"/>
      <c r="AE111" s="359"/>
      <c r="AF111" s="366"/>
      <c r="AG111" s="366"/>
      <c r="AH111" s="366"/>
      <c r="AI111" s="674"/>
      <c r="AJ111" s="359"/>
      <c r="AK111" s="366"/>
      <c r="AL111" s="366"/>
      <c r="AM111" s="366"/>
      <c r="AN111" s="674"/>
      <c r="AO111" s="359"/>
      <c r="AP111" s="366"/>
      <c r="AQ111" s="366"/>
      <c r="AR111" s="366"/>
      <c r="AS111" s="690"/>
      <c r="AT111" s="182"/>
      <c r="AU111" s="182"/>
      <c r="AV111" s="182"/>
      <c r="AW111" s="359"/>
      <c r="AX111" s="689"/>
      <c r="AZ111" s="497" t="e">
        <f t="shared" si="82"/>
        <v>#N/A</v>
      </c>
      <c r="BA111" s="678"/>
    </row>
    <row r="112" spans="2:53">
      <c r="B112" s="661"/>
      <c r="C112" s="359">
        <v>6</v>
      </c>
      <c r="D112" s="223"/>
      <c r="E112" s="182"/>
      <c r="F112" s="354"/>
      <c r="G112" s="362"/>
      <c r="H112" s="672"/>
      <c r="I112" s="379" t="str">
        <f t="shared" si="81"/>
        <v>-</v>
      </c>
      <c r="J112" s="379" t="str">
        <f t="shared" si="81"/>
        <v>-</v>
      </c>
      <c r="K112" s="363" t="str">
        <f t="shared" si="81"/>
        <v>-</v>
      </c>
      <c r="L112" s="615"/>
      <c r="M112" s="366" t="e">
        <f>RANK(K112, K$67:$K$81)</f>
        <v>#VALUE!</v>
      </c>
      <c r="N112" s="624"/>
      <c r="O112" s="624"/>
      <c r="P112" s="414"/>
      <c r="Q112" s="415"/>
      <c r="R112" s="415"/>
      <c r="S112" s="497"/>
      <c r="T112" s="678"/>
      <c r="U112" s="359"/>
      <c r="V112" s="366"/>
      <c r="W112" s="366"/>
      <c r="X112" s="366"/>
      <c r="Y112" s="674"/>
      <c r="Z112" s="359"/>
      <c r="AA112" s="366"/>
      <c r="AB112" s="366"/>
      <c r="AC112" s="366"/>
      <c r="AD112" s="674"/>
      <c r="AE112" s="359"/>
      <c r="AF112" s="366"/>
      <c r="AG112" s="366"/>
      <c r="AH112" s="366"/>
      <c r="AI112" s="674"/>
      <c r="AJ112" s="359"/>
      <c r="AK112" s="366"/>
      <c r="AL112" s="366"/>
      <c r="AM112" s="366"/>
      <c r="AN112" s="674"/>
      <c r="AO112" s="359"/>
      <c r="AP112" s="366"/>
      <c r="AQ112" s="366"/>
      <c r="AR112" s="366"/>
      <c r="AS112" s="690"/>
      <c r="AT112" s="182"/>
      <c r="AU112" s="182"/>
      <c r="AV112" s="182"/>
      <c r="AW112" s="359"/>
      <c r="AX112" s="689"/>
      <c r="AZ112" s="497" t="e">
        <f t="shared" si="82"/>
        <v>#N/A</v>
      </c>
      <c r="BA112" s="678"/>
    </row>
    <row r="113" spans="2:53">
      <c r="B113" s="661"/>
      <c r="C113" s="359">
        <v>7</v>
      </c>
      <c r="D113" s="223"/>
      <c r="E113" s="182"/>
      <c r="F113" s="354"/>
      <c r="G113" s="362"/>
      <c r="H113" s="672"/>
      <c r="I113" s="379" t="str">
        <f t="shared" si="81"/>
        <v>-</v>
      </c>
      <c r="J113" s="379" t="str">
        <f t="shared" si="81"/>
        <v>-</v>
      </c>
      <c r="K113" s="363" t="str">
        <f t="shared" si="81"/>
        <v>-</v>
      </c>
      <c r="L113" s="615"/>
      <c r="M113" s="366" t="e">
        <f>RANK(K113, K$67:$K$81)</f>
        <v>#VALUE!</v>
      </c>
      <c r="N113" s="624"/>
      <c r="O113" s="624"/>
      <c r="P113" s="414"/>
      <c r="Q113" s="415"/>
      <c r="R113" s="415"/>
      <c r="S113" s="497"/>
      <c r="T113" s="678"/>
      <c r="U113" s="359"/>
      <c r="V113" s="366"/>
      <c r="W113" s="366"/>
      <c r="X113" s="366"/>
      <c r="Y113" s="674"/>
      <c r="Z113" s="359"/>
      <c r="AA113" s="366"/>
      <c r="AB113" s="366"/>
      <c r="AC113" s="366"/>
      <c r="AD113" s="674"/>
      <c r="AE113" s="359"/>
      <c r="AF113" s="366"/>
      <c r="AG113" s="366"/>
      <c r="AH113" s="366"/>
      <c r="AI113" s="674"/>
      <c r="AJ113" s="359"/>
      <c r="AK113" s="366"/>
      <c r="AL113" s="366"/>
      <c r="AM113" s="366"/>
      <c r="AN113" s="674"/>
      <c r="AO113" s="359"/>
      <c r="AP113" s="366"/>
      <c r="AQ113" s="366"/>
      <c r="AR113" s="366"/>
      <c r="AS113" s="690"/>
      <c r="AT113" s="182"/>
      <c r="AU113" s="182"/>
      <c r="AV113" s="182"/>
      <c r="AW113" s="359"/>
      <c r="AX113" s="689"/>
      <c r="AZ113" s="497" t="e">
        <f t="shared" si="82"/>
        <v>#N/A</v>
      </c>
      <c r="BA113" s="678"/>
    </row>
    <row r="114" spans="2:53">
      <c r="B114" s="661"/>
      <c r="C114" s="359">
        <v>8</v>
      </c>
      <c r="D114" s="223"/>
      <c r="E114" s="182"/>
      <c r="F114" s="354"/>
      <c r="G114" s="362"/>
      <c r="H114" s="672"/>
      <c r="I114" s="379" t="str">
        <f t="shared" si="81"/>
        <v>-</v>
      </c>
      <c r="J114" s="379" t="str">
        <f t="shared" si="81"/>
        <v>-</v>
      </c>
      <c r="K114" s="363" t="str">
        <f t="shared" si="81"/>
        <v>-</v>
      </c>
      <c r="L114" s="615"/>
      <c r="M114" s="366" t="e">
        <f>RANK(K114, K$67:$K$81)</f>
        <v>#VALUE!</v>
      </c>
      <c r="N114" s="624"/>
      <c r="O114" s="624"/>
      <c r="P114" s="414"/>
      <c r="Q114" s="415"/>
      <c r="R114" s="415"/>
      <c r="S114" s="497"/>
      <c r="T114" s="678"/>
      <c r="U114" s="359"/>
      <c r="V114" s="366"/>
      <c r="W114" s="366"/>
      <c r="X114" s="366"/>
      <c r="Y114" s="674"/>
      <c r="Z114" s="359"/>
      <c r="AA114" s="366"/>
      <c r="AB114" s="366"/>
      <c r="AC114" s="366"/>
      <c r="AD114" s="674"/>
      <c r="AE114" s="359"/>
      <c r="AF114" s="366"/>
      <c r="AG114" s="366"/>
      <c r="AH114" s="366"/>
      <c r="AI114" s="674"/>
      <c r="AJ114" s="359"/>
      <c r="AK114" s="366"/>
      <c r="AL114" s="366"/>
      <c r="AM114" s="366"/>
      <c r="AN114" s="674"/>
      <c r="AO114" s="359"/>
      <c r="AP114" s="366"/>
      <c r="AQ114" s="366"/>
      <c r="AR114" s="366"/>
      <c r="AS114" s="690"/>
      <c r="AT114" s="182"/>
      <c r="AU114" s="182"/>
      <c r="AV114" s="182"/>
      <c r="AW114" s="359"/>
      <c r="AX114" s="689"/>
      <c r="AZ114" s="497" t="e">
        <f t="shared" si="82"/>
        <v>#N/A</v>
      </c>
      <c r="BA114" s="678"/>
    </row>
    <row r="115" spans="2:53">
      <c r="B115" s="661"/>
      <c r="C115" s="359">
        <v>9</v>
      </c>
      <c r="D115" s="223"/>
      <c r="E115" s="182"/>
      <c r="F115" s="354"/>
      <c r="G115" s="362"/>
      <c r="H115" s="672"/>
      <c r="I115" s="379" t="str">
        <f t="shared" si="81"/>
        <v>-</v>
      </c>
      <c r="J115" s="379" t="str">
        <f t="shared" si="81"/>
        <v>-</v>
      </c>
      <c r="K115" s="363" t="str">
        <f t="shared" si="81"/>
        <v>-</v>
      </c>
      <c r="L115" s="615"/>
      <c r="M115" s="366" t="e">
        <f>RANK(K115, K$67:$K$81)</f>
        <v>#VALUE!</v>
      </c>
      <c r="N115" s="624"/>
      <c r="O115" s="624"/>
      <c r="P115" s="414"/>
      <c r="Q115" s="415"/>
      <c r="R115" s="415"/>
      <c r="S115" s="497"/>
      <c r="T115" s="678"/>
      <c r="U115" s="359"/>
      <c r="V115" s="366"/>
      <c r="W115" s="366"/>
      <c r="X115" s="366"/>
      <c r="Y115" s="674"/>
      <c r="Z115" s="359"/>
      <c r="AA115" s="366"/>
      <c r="AB115" s="366"/>
      <c r="AC115" s="366"/>
      <c r="AD115" s="674"/>
      <c r="AE115" s="359"/>
      <c r="AF115" s="366"/>
      <c r="AG115" s="366"/>
      <c r="AH115" s="366"/>
      <c r="AI115" s="674"/>
      <c r="AJ115" s="359"/>
      <c r="AK115" s="366"/>
      <c r="AL115" s="366"/>
      <c r="AM115" s="366"/>
      <c r="AN115" s="674"/>
      <c r="AO115" s="359"/>
      <c r="AP115" s="366"/>
      <c r="AQ115" s="366"/>
      <c r="AR115" s="366"/>
      <c r="AS115" s="690"/>
      <c r="AT115" s="182"/>
      <c r="AU115" s="182"/>
      <c r="AV115" s="182"/>
      <c r="AW115" s="359"/>
      <c r="AX115" s="689"/>
      <c r="AZ115" s="497" t="e">
        <f t="shared" si="82"/>
        <v>#N/A</v>
      </c>
      <c r="BA115" s="678"/>
    </row>
    <row r="116" spans="2:53">
      <c r="B116" s="661"/>
      <c r="C116" s="359">
        <v>10</v>
      </c>
      <c r="D116" s="223"/>
      <c r="E116" s="182"/>
      <c r="F116" s="354"/>
      <c r="G116" s="362"/>
      <c r="H116" s="672"/>
      <c r="I116" s="379" t="str">
        <f t="shared" si="81"/>
        <v>-</v>
      </c>
      <c r="J116" s="379" t="str">
        <f t="shared" si="81"/>
        <v>-</v>
      </c>
      <c r="K116" s="363" t="str">
        <f t="shared" si="81"/>
        <v>-</v>
      </c>
      <c r="L116" s="615"/>
      <c r="M116" s="366" t="e">
        <f>RANK(K116, K$67:$K$81)</f>
        <v>#VALUE!</v>
      </c>
      <c r="N116" s="624"/>
      <c r="O116" s="624"/>
      <c r="P116" s="414"/>
      <c r="Q116" s="415"/>
      <c r="R116" s="415"/>
      <c r="S116" s="497"/>
      <c r="T116" s="678"/>
      <c r="U116" s="359"/>
      <c r="V116" s="366"/>
      <c r="W116" s="366"/>
      <c r="X116" s="366"/>
      <c r="Y116" s="674"/>
      <c r="Z116" s="359"/>
      <c r="AA116" s="366"/>
      <c r="AB116" s="366"/>
      <c r="AC116" s="366"/>
      <c r="AD116" s="674"/>
      <c r="AE116" s="359"/>
      <c r="AF116" s="366"/>
      <c r="AG116" s="366"/>
      <c r="AH116" s="366"/>
      <c r="AI116" s="674"/>
      <c r="AJ116" s="359"/>
      <c r="AK116" s="366"/>
      <c r="AL116" s="366"/>
      <c r="AM116" s="366"/>
      <c r="AN116" s="674"/>
      <c r="AO116" s="359"/>
      <c r="AP116" s="366"/>
      <c r="AQ116" s="366"/>
      <c r="AR116" s="366"/>
      <c r="AS116" s="690"/>
      <c r="AT116" s="182"/>
      <c r="AU116" s="182"/>
      <c r="AV116" s="182"/>
      <c r="AW116" s="359"/>
      <c r="AX116" s="689"/>
      <c r="AZ116" s="497" t="e">
        <f t="shared" si="82"/>
        <v>#N/A</v>
      </c>
      <c r="BA116" s="678"/>
    </row>
    <row r="117" spans="2:53">
      <c r="B117" s="661"/>
      <c r="C117" s="359">
        <v>11</v>
      </c>
      <c r="D117" s="223"/>
      <c r="E117" s="182"/>
      <c r="F117" s="354"/>
      <c r="G117" s="362"/>
      <c r="H117" s="672"/>
      <c r="I117" s="379" t="str">
        <f t="shared" si="81"/>
        <v>-</v>
      </c>
      <c r="J117" s="379" t="str">
        <f t="shared" si="81"/>
        <v>-</v>
      </c>
      <c r="K117" s="363" t="str">
        <f t="shared" si="81"/>
        <v>-</v>
      </c>
      <c r="L117" s="615"/>
      <c r="M117" s="366" t="e">
        <f>RANK(K117, K$67:$K$81)</f>
        <v>#VALUE!</v>
      </c>
      <c r="N117" s="624"/>
      <c r="O117" s="624"/>
      <c r="P117" s="414"/>
      <c r="Q117" s="415"/>
      <c r="R117" s="415"/>
      <c r="S117" s="497"/>
      <c r="T117" s="678"/>
      <c r="U117" s="359"/>
      <c r="V117" s="366"/>
      <c r="W117" s="366"/>
      <c r="X117" s="366"/>
      <c r="Y117" s="674"/>
      <c r="Z117" s="359"/>
      <c r="AA117" s="366"/>
      <c r="AB117" s="366"/>
      <c r="AC117" s="366"/>
      <c r="AD117" s="674"/>
      <c r="AE117" s="359"/>
      <c r="AF117" s="366"/>
      <c r="AG117" s="366"/>
      <c r="AH117" s="366"/>
      <c r="AI117" s="674"/>
      <c r="AJ117" s="359"/>
      <c r="AK117" s="366"/>
      <c r="AL117" s="366"/>
      <c r="AM117" s="366"/>
      <c r="AN117" s="674"/>
      <c r="AO117" s="359"/>
      <c r="AP117" s="366"/>
      <c r="AQ117" s="366"/>
      <c r="AR117" s="366"/>
      <c r="AS117" s="690"/>
      <c r="AT117" s="182"/>
      <c r="AU117" s="182"/>
      <c r="AV117" s="182"/>
      <c r="AW117" s="359"/>
      <c r="AX117" s="689"/>
      <c r="AZ117" s="497" t="e">
        <f t="shared" si="82"/>
        <v>#N/A</v>
      </c>
      <c r="BA117" s="678"/>
    </row>
    <row r="118" spans="2:53">
      <c r="B118" s="661"/>
      <c r="C118" s="359">
        <v>12</v>
      </c>
      <c r="D118" s="223"/>
      <c r="E118" s="182"/>
      <c r="F118" s="354"/>
      <c r="G118" s="362"/>
      <c r="H118" s="672"/>
      <c r="I118" s="379" t="str">
        <f t="shared" si="81"/>
        <v>-</v>
      </c>
      <c r="J118" s="379" t="str">
        <f t="shared" si="81"/>
        <v>-</v>
      </c>
      <c r="K118" s="363" t="str">
        <f t="shared" si="81"/>
        <v>-</v>
      </c>
      <c r="L118" s="615"/>
      <c r="M118" s="366" t="e">
        <f>RANK(K118, K$67:$K$81)</f>
        <v>#VALUE!</v>
      </c>
      <c r="N118" s="624"/>
      <c r="O118" s="624"/>
      <c r="P118" s="414"/>
      <c r="Q118" s="415"/>
      <c r="R118" s="415"/>
      <c r="S118" s="497"/>
      <c r="T118" s="678"/>
      <c r="U118" s="359"/>
      <c r="V118" s="366"/>
      <c r="W118" s="366"/>
      <c r="X118" s="366"/>
      <c r="Y118" s="674"/>
      <c r="Z118" s="359"/>
      <c r="AA118" s="366"/>
      <c r="AB118" s="366"/>
      <c r="AC118" s="366"/>
      <c r="AD118" s="674"/>
      <c r="AE118" s="359"/>
      <c r="AF118" s="366"/>
      <c r="AG118" s="366"/>
      <c r="AH118" s="366"/>
      <c r="AI118" s="674"/>
      <c r="AJ118" s="359"/>
      <c r="AK118" s="366"/>
      <c r="AL118" s="366"/>
      <c r="AM118" s="366"/>
      <c r="AN118" s="674"/>
      <c r="AO118" s="359"/>
      <c r="AP118" s="366"/>
      <c r="AQ118" s="366"/>
      <c r="AR118" s="366"/>
      <c r="AS118" s="690"/>
      <c r="AT118" s="182"/>
      <c r="AU118" s="182"/>
      <c r="AV118" s="182"/>
      <c r="AW118" s="359"/>
      <c r="AX118" s="689"/>
      <c r="AZ118" s="497" t="e">
        <f t="shared" si="82"/>
        <v>#N/A</v>
      </c>
      <c r="BA118" s="678"/>
    </row>
    <row r="119" spans="2:53">
      <c r="B119" s="661"/>
      <c r="C119" s="359">
        <v>13</v>
      </c>
      <c r="D119" s="223"/>
      <c r="E119" s="182"/>
      <c r="F119" s="354"/>
      <c r="G119" s="362"/>
      <c r="H119" s="672"/>
      <c r="I119" s="379" t="str">
        <f t="shared" si="81"/>
        <v>-</v>
      </c>
      <c r="J119" s="379" t="str">
        <f t="shared" si="81"/>
        <v>-</v>
      </c>
      <c r="K119" s="363" t="str">
        <f t="shared" si="81"/>
        <v>-</v>
      </c>
      <c r="L119" s="615"/>
      <c r="M119" s="366" t="e">
        <f>RANK(K119, K$67:$K$81)</f>
        <v>#VALUE!</v>
      </c>
      <c r="N119" s="624"/>
      <c r="O119" s="624"/>
      <c r="P119" s="414"/>
      <c r="Q119" s="415"/>
      <c r="R119" s="415"/>
      <c r="S119" s="497"/>
      <c r="T119" s="678"/>
      <c r="U119" s="359"/>
      <c r="V119" s="366"/>
      <c r="W119" s="366"/>
      <c r="X119" s="366"/>
      <c r="Y119" s="674"/>
      <c r="Z119" s="359"/>
      <c r="AA119" s="366"/>
      <c r="AB119" s="366"/>
      <c r="AC119" s="358"/>
      <c r="AD119" s="674"/>
      <c r="AE119" s="359"/>
      <c r="AF119" s="366"/>
      <c r="AG119" s="366"/>
      <c r="AH119" s="366"/>
      <c r="AI119" s="674"/>
      <c r="AJ119" s="359"/>
      <c r="AK119" s="366"/>
      <c r="AL119" s="366"/>
      <c r="AM119" s="366"/>
      <c r="AN119" s="674"/>
      <c r="AO119" s="359"/>
      <c r="AP119" s="366"/>
      <c r="AQ119" s="366"/>
      <c r="AR119" s="358"/>
      <c r="AS119" s="690"/>
      <c r="AT119" s="182"/>
      <c r="AU119" s="182"/>
      <c r="AV119" s="182"/>
      <c r="AW119" s="359"/>
      <c r="AX119" s="689"/>
      <c r="AZ119" s="497" t="e">
        <f t="shared" si="82"/>
        <v>#N/A</v>
      </c>
      <c r="BA119" s="678"/>
    </row>
    <row r="120" spans="2:53">
      <c r="B120" s="661"/>
      <c r="C120" s="359">
        <v>14</v>
      </c>
      <c r="D120" s="223"/>
      <c r="E120" s="182"/>
      <c r="F120" s="354"/>
      <c r="G120" s="362"/>
      <c r="H120" s="672"/>
      <c r="I120" s="379" t="str">
        <f t="shared" si="81"/>
        <v>-</v>
      </c>
      <c r="J120" s="379" t="str">
        <f t="shared" si="81"/>
        <v>-</v>
      </c>
      <c r="K120" s="363" t="str">
        <f t="shared" si="81"/>
        <v>-</v>
      </c>
      <c r="L120" s="615"/>
      <c r="M120" s="366" t="e">
        <f>RANK(K120, K$67:$K$81)</f>
        <v>#VALUE!</v>
      </c>
      <c r="N120" s="624"/>
      <c r="O120" s="624"/>
      <c r="P120" s="414"/>
      <c r="Q120" s="415"/>
      <c r="R120" s="415"/>
      <c r="S120" s="497"/>
      <c r="T120" s="678"/>
      <c r="U120" s="359"/>
      <c r="V120" s="366"/>
      <c r="W120" s="366"/>
      <c r="X120" s="366"/>
      <c r="Y120" s="674"/>
      <c r="Z120" s="359"/>
      <c r="AA120" s="366"/>
      <c r="AB120" s="366"/>
      <c r="AC120" s="358"/>
      <c r="AD120" s="674"/>
      <c r="AE120" s="359"/>
      <c r="AF120" s="366"/>
      <c r="AG120" s="366"/>
      <c r="AH120" s="358"/>
      <c r="AI120" s="674"/>
      <c r="AJ120" s="359"/>
      <c r="AK120" s="366"/>
      <c r="AL120" s="366"/>
      <c r="AM120" s="358"/>
      <c r="AN120" s="674"/>
      <c r="AO120" s="359"/>
      <c r="AP120" s="366"/>
      <c r="AQ120" s="366"/>
      <c r="AR120" s="358"/>
      <c r="AS120" s="690"/>
      <c r="AT120" s="182"/>
      <c r="AU120" s="182"/>
      <c r="AV120" s="182"/>
      <c r="AW120" s="359"/>
      <c r="AX120" s="689"/>
      <c r="AZ120" s="497" t="e">
        <f t="shared" si="82"/>
        <v>#N/A</v>
      </c>
      <c r="BA120" s="678"/>
    </row>
    <row r="121" spans="2:53">
      <c r="B121" s="661"/>
      <c r="C121" s="359">
        <v>15</v>
      </c>
      <c r="D121" s="223"/>
      <c r="E121" s="182"/>
      <c r="F121" s="354"/>
      <c r="G121" s="362"/>
      <c r="H121" s="676"/>
      <c r="I121" s="379" t="str">
        <f t="shared" si="81"/>
        <v>-</v>
      </c>
      <c r="J121" s="379" t="str">
        <f t="shared" si="81"/>
        <v>-</v>
      </c>
      <c r="K121" s="363" t="str">
        <f t="shared" si="81"/>
        <v>-</v>
      </c>
      <c r="L121" s="616"/>
      <c r="M121" s="366" t="e">
        <f>RANK(K121, K$67:$K$81)</f>
        <v>#VALUE!</v>
      </c>
      <c r="N121" s="624"/>
      <c r="O121" s="624"/>
      <c r="P121" s="414"/>
      <c r="Q121" s="415"/>
      <c r="R121" s="415"/>
      <c r="S121" s="497"/>
      <c r="T121" s="679"/>
      <c r="U121" s="359"/>
      <c r="V121" s="366"/>
      <c r="W121" s="366"/>
      <c r="X121" s="358"/>
      <c r="Y121" s="674"/>
      <c r="Z121" s="359"/>
      <c r="AA121" s="366"/>
      <c r="AB121" s="366"/>
      <c r="AC121" s="358"/>
      <c r="AD121" s="674"/>
      <c r="AE121" s="359"/>
      <c r="AF121" s="366"/>
      <c r="AG121" s="366"/>
      <c r="AH121" s="358"/>
      <c r="AI121" s="674"/>
      <c r="AJ121" s="359"/>
      <c r="AK121" s="366"/>
      <c r="AL121" s="366"/>
      <c r="AM121" s="358"/>
      <c r="AN121" s="674"/>
      <c r="AO121" s="359"/>
      <c r="AP121" s="366"/>
      <c r="AQ121" s="366"/>
      <c r="AR121" s="358"/>
      <c r="AS121" s="690"/>
      <c r="AT121" s="182"/>
      <c r="AU121" s="182"/>
      <c r="AV121" s="182"/>
      <c r="AW121" s="359"/>
      <c r="AX121" s="689"/>
      <c r="AZ121" s="497" t="e">
        <f t="shared" si="82"/>
        <v>#N/A</v>
      </c>
      <c r="BA121" s="679"/>
    </row>
    <row r="123" spans="2:53" ht="15.75">
      <c r="B123" s="666" t="s">
        <v>520</v>
      </c>
      <c r="C123" s="667"/>
      <c r="D123" s="667"/>
      <c r="E123" s="667"/>
      <c r="F123" s="667"/>
      <c r="G123" s="667"/>
      <c r="H123" s="668"/>
      <c r="I123" s="286"/>
      <c r="J123" s="286"/>
      <c r="K123" s="286"/>
      <c r="L123" s="286"/>
      <c r="M123" s="287"/>
    </row>
    <row r="124" spans="2:53" ht="15.75">
      <c r="B124" s="669"/>
      <c r="C124" s="669"/>
      <c r="D124" s="669"/>
      <c r="E124" s="669"/>
      <c r="F124" s="669"/>
      <c r="G124" s="669"/>
      <c r="H124" s="669"/>
      <c r="I124" s="360"/>
      <c r="J124" s="360"/>
      <c r="K124" s="360"/>
      <c r="L124" s="360"/>
      <c r="M124" s="289"/>
    </row>
    <row r="125" spans="2:53">
      <c r="B125" s="624" t="s">
        <v>506</v>
      </c>
      <c r="C125" s="624" t="s">
        <v>507</v>
      </c>
      <c r="D125" s="624"/>
      <c r="E125" s="624" t="s">
        <v>508</v>
      </c>
      <c r="F125" s="624"/>
      <c r="G125" s="624"/>
      <c r="H125" s="647" t="s">
        <v>509</v>
      </c>
      <c r="I125" s="670" t="s">
        <v>510</v>
      </c>
      <c r="J125" s="670"/>
      <c r="K125" s="670"/>
      <c r="L125" s="683" t="s">
        <v>509</v>
      </c>
      <c r="M125" s="686" t="s">
        <v>511</v>
      </c>
    </row>
    <row r="126" spans="2:53">
      <c r="B126" s="624"/>
      <c r="C126" s="624"/>
      <c r="D126" s="624"/>
      <c r="E126" s="624" t="s">
        <v>514</v>
      </c>
      <c r="F126" s="624"/>
      <c r="G126" s="624"/>
      <c r="H126" s="648"/>
      <c r="I126" s="670" t="s">
        <v>514</v>
      </c>
      <c r="J126" s="670"/>
      <c r="K126" s="670"/>
      <c r="L126" s="684"/>
      <c r="M126" s="687"/>
    </row>
    <row r="127" spans="2:53">
      <c r="B127" s="624"/>
      <c r="C127" s="624"/>
      <c r="D127" s="624"/>
      <c r="E127" s="353" t="s">
        <v>516</v>
      </c>
      <c r="F127" s="353" t="s">
        <v>517</v>
      </c>
      <c r="G127" s="353" t="s">
        <v>518</v>
      </c>
      <c r="H127" s="649"/>
      <c r="I127" s="361" t="s">
        <v>516</v>
      </c>
      <c r="J127" s="361" t="s">
        <v>517</v>
      </c>
      <c r="K127" s="361" t="s">
        <v>518</v>
      </c>
      <c r="L127" s="685"/>
      <c r="M127" s="688"/>
    </row>
    <row r="128" spans="2:53">
      <c r="B128" s="624" t="s">
        <v>529</v>
      </c>
      <c r="C128" s="354">
        <v>1</v>
      </c>
      <c r="D128" s="223"/>
      <c r="E128" s="182"/>
      <c r="F128" s="354"/>
      <c r="G128" s="362"/>
      <c r="H128" s="677" t="e">
        <f>AVERAGE(G128:G142)</f>
        <v>#DIV/0!</v>
      </c>
      <c r="I128" s="365" t="e">
        <f t="shared" ref="I128:K137" si="83">AVERAGEIF($D$7:$D$121,$D128,I$7:I$121)</f>
        <v>#DIV/0!</v>
      </c>
      <c r="J128" s="365" t="e">
        <f t="shared" si="83"/>
        <v>#DIV/0!</v>
      </c>
      <c r="K128" s="365" t="e">
        <f t="shared" si="83"/>
        <v>#DIV/0!</v>
      </c>
      <c r="L128" s="680" t="e">
        <f>AVERAGE(K128:K142)</f>
        <v>#DIV/0!</v>
      </c>
      <c r="M128" s="365" t="e">
        <f>RANK(K128, K$128:$K$142)</f>
        <v>#DIV/0!</v>
      </c>
    </row>
    <row r="129" spans="2:13" s="108" customFormat="1">
      <c r="B129" s="635"/>
      <c r="C129" s="354">
        <v>2</v>
      </c>
      <c r="D129" s="223"/>
      <c r="E129" s="182"/>
      <c r="F129" s="354"/>
      <c r="G129" s="362"/>
      <c r="H129" s="678"/>
      <c r="I129" s="365" t="e">
        <f t="shared" si="83"/>
        <v>#DIV/0!</v>
      </c>
      <c r="J129" s="365" t="e">
        <f t="shared" si="83"/>
        <v>#DIV/0!</v>
      </c>
      <c r="K129" s="365" t="e">
        <f t="shared" si="83"/>
        <v>#DIV/0!</v>
      </c>
      <c r="L129" s="681"/>
      <c r="M129" s="365" t="e">
        <f>RANK(K129, K$128:$K$142)</f>
        <v>#DIV/0!</v>
      </c>
    </row>
    <row r="130" spans="2:13" s="108" customFormat="1">
      <c r="B130" s="635"/>
      <c r="C130" s="354">
        <v>3</v>
      </c>
      <c r="D130" s="223"/>
      <c r="E130" s="182"/>
      <c r="F130" s="354"/>
      <c r="G130" s="362"/>
      <c r="H130" s="678"/>
      <c r="I130" s="365" t="e">
        <f t="shared" si="83"/>
        <v>#DIV/0!</v>
      </c>
      <c r="J130" s="365" t="e">
        <f t="shared" si="83"/>
        <v>#DIV/0!</v>
      </c>
      <c r="K130" s="365" t="e">
        <f t="shared" si="83"/>
        <v>#DIV/0!</v>
      </c>
      <c r="L130" s="681"/>
      <c r="M130" s="365" t="e">
        <f>RANK(K130, K$128:$K$142)</f>
        <v>#DIV/0!</v>
      </c>
    </row>
    <row r="131" spans="2:13" s="108" customFormat="1">
      <c r="B131" s="635"/>
      <c r="C131" s="354">
        <v>4</v>
      </c>
      <c r="D131" s="223"/>
      <c r="E131" s="182"/>
      <c r="F131" s="354"/>
      <c r="G131" s="362"/>
      <c r="H131" s="678"/>
      <c r="I131" s="365" t="e">
        <f t="shared" si="83"/>
        <v>#DIV/0!</v>
      </c>
      <c r="J131" s="365" t="e">
        <f t="shared" si="83"/>
        <v>#DIV/0!</v>
      </c>
      <c r="K131" s="365" t="e">
        <f t="shared" si="83"/>
        <v>#DIV/0!</v>
      </c>
      <c r="L131" s="681"/>
      <c r="M131" s="365" t="e">
        <f>RANK(K131, K$128:$K$142)</f>
        <v>#DIV/0!</v>
      </c>
    </row>
    <row r="132" spans="2:13" s="108" customFormat="1">
      <c r="B132" s="635"/>
      <c r="C132" s="354">
        <v>5</v>
      </c>
      <c r="D132" s="223"/>
      <c r="E132" s="182"/>
      <c r="F132" s="354"/>
      <c r="G132" s="362"/>
      <c r="H132" s="678"/>
      <c r="I132" s="365" t="e">
        <f t="shared" si="83"/>
        <v>#DIV/0!</v>
      </c>
      <c r="J132" s="365" t="e">
        <f t="shared" si="83"/>
        <v>#DIV/0!</v>
      </c>
      <c r="K132" s="365" t="e">
        <f t="shared" si="83"/>
        <v>#DIV/0!</v>
      </c>
      <c r="L132" s="681"/>
      <c r="M132" s="365" t="e">
        <f>RANK(K132, K$128:$K$142)</f>
        <v>#DIV/0!</v>
      </c>
    </row>
    <row r="133" spans="2:13" s="108" customFormat="1">
      <c r="B133" s="635"/>
      <c r="C133" s="354">
        <v>6</v>
      </c>
      <c r="D133" s="291"/>
      <c r="E133" s="182"/>
      <c r="F133" s="354"/>
      <c r="G133" s="362"/>
      <c r="H133" s="678"/>
      <c r="I133" s="365" t="e">
        <f t="shared" si="83"/>
        <v>#DIV/0!</v>
      </c>
      <c r="J133" s="365" t="e">
        <f t="shared" si="83"/>
        <v>#DIV/0!</v>
      </c>
      <c r="K133" s="365" t="e">
        <f t="shared" si="83"/>
        <v>#DIV/0!</v>
      </c>
      <c r="L133" s="681"/>
      <c r="M133" s="365" t="e">
        <f>RANK(K133, K$128:$K$142)</f>
        <v>#DIV/0!</v>
      </c>
    </row>
    <row r="134" spans="2:13" s="108" customFormat="1">
      <c r="B134" s="635"/>
      <c r="C134" s="354">
        <v>7</v>
      </c>
      <c r="D134" s="223"/>
      <c r="E134" s="182"/>
      <c r="F134" s="354"/>
      <c r="G134" s="362"/>
      <c r="H134" s="678"/>
      <c r="I134" s="365" t="e">
        <f t="shared" si="83"/>
        <v>#DIV/0!</v>
      </c>
      <c r="J134" s="365" t="e">
        <f t="shared" si="83"/>
        <v>#DIV/0!</v>
      </c>
      <c r="K134" s="365" t="e">
        <f t="shared" si="83"/>
        <v>#DIV/0!</v>
      </c>
      <c r="L134" s="681"/>
      <c r="M134" s="365" t="e">
        <f>RANK(K134, K$128:$K$142)</f>
        <v>#DIV/0!</v>
      </c>
    </row>
    <row r="135" spans="2:13" s="108" customFormat="1">
      <c r="B135" s="635"/>
      <c r="C135" s="354">
        <v>8</v>
      </c>
      <c r="D135" s="223"/>
      <c r="E135" s="182"/>
      <c r="F135" s="354"/>
      <c r="G135" s="362"/>
      <c r="H135" s="678"/>
      <c r="I135" s="365" t="e">
        <f t="shared" si="83"/>
        <v>#DIV/0!</v>
      </c>
      <c r="J135" s="365" t="e">
        <f t="shared" si="83"/>
        <v>#DIV/0!</v>
      </c>
      <c r="K135" s="365" t="e">
        <f t="shared" si="83"/>
        <v>#DIV/0!</v>
      </c>
      <c r="L135" s="681"/>
      <c r="M135" s="365" t="e">
        <f>RANK(K135, K$128:$K$142)</f>
        <v>#DIV/0!</v>
      </c>
    </row>
    <row r="136" spans="2:13" s="108" customFormat="1">
      <c r="B136" s="635"/>
      <c r="C136" s="354">
        <v>9</v>
      </c>
      <c r="D136" s="223"/>
      <c r="E136" s="354"/>
      <c r="F136" s="354"/>
      <c r="G136" s="354"/>
      <c r="H136" s="678"/>
      <c r="I136" s="365" t="e">
        <f t="shared" si="83"/>
        <v>#DIV/0!</v>
      </c>
      <c r="J136" s="365" t="e">
        <f t="shared" si="83"/>
        <v>#DIV/0!</v>
      </c>
      <c r="K136" s="365" t="e">
        <f t="shared" si="83"/>
        <v>#DIV/0!</v>
      </c>
      <c r="L136" s="681"/>
      <c r="M136" s="365" t="e">
        <f>RANK(K136, K$128:$K$142)</f>
        <v>#DIV/0!</v>
      </c>
    </row>
    <row r="137" spans="2:13" s="108" customFormat="1">
      <c r="B137" s="635"/>
      <c r="C137" s="354">
        <v>10</v>
      </c>
      <c r="D137" s="223"/>
      <c r="E137" s="354"/>
      <c r="F137" s="354"/>
      <c r="G137" s="354"/>
      <c r="H137" s="678"/>
      <c r="I137" s="365" t="e">
        <f t="shared" si="83"/>
        <v>#DIV/0!</v>
      </c>
      <c r="J137" s="365" t="e">
        <f t="shared" si="83"/>
        <v>#DIV/0!</v>
      </c>
      <c r="K137" s="365" t="e">
        <f t="shared" si="83"/>
        <v>#DIV/0!</v>
      </c>
      <c r="L137" s="681"/>
      <c r="M137" s="365" t="e">
        <f>RANK(K137, K$128:$K$142)</f>
        <v>#DIV/0!</v>
      </c>
    </row>
    <row r="138" spans="2:13" s="108" customFormat="1">
      <c r="B138" s="635"/>
      <c r="C138" s="354">
        <v>11</v>
      </c>
      <c r="D138" s="223"/>
      <c r="E138" s="354"/>
      <c r="F138" s="354"/>
      <c r="G138" s="354"/>
      <c r="H138" s="678"/>
      <c r="I138" s="365"/>
      <c r="J138" s="365"/>
      <c r="K138" s="365"/>
      <c r="L138" s="681"/>
      <c r="M138" s="365" t="e">
        <f>RANK(K138, K$128:$K$142)</f>
        <v>#DIV/0!</v>
      </c>
    </row>
    <row r="139" spans="2:13" s="108" customFormat="1">
      <c r="B139" s="635"/>
      <c r="C139" s="354">
        <v>12</v>
      </c>
      <c r="D139" s="223"/>
      <c r="E139" s="354"/>
      <c r="F139" s="354"/>
      <c r="G139" s="354"/>
      <c r="H139" s="678"/>
      <c r="I139" s="365"/>
      <c r="J139" s="365"/>
      <c r="K139" s="365"/>
      <c r="L139" s="681"/>
      <c r="M139" s="365" t="e">
        <f>RANK(K139, K$128:$K$142)</f>
        <v>#DIV/0!</v>
      </c>
    </row>
    <row r="140" spans="2:13" s="108" customFormat="1">
      <c r="B140" s="635"/>
      <c r="C140" s="354">
        <v>13</v>
      </c>
      <c r="D140" s="223"/>
      <c r="E140" s="354"/>
      <c r="F140" s="354"/>
      <c r="G140" s="354"/>
      <c r="H140" s="678"/>
      <c r="I140" s="365"/>
      <c r="J140" s="365"/>
      <c r="K140" s="365"/>
      <c r="L140" s="681"/>
      <c r="M140" s="365" t="e">
        <f>RANK(K140, K$128:$K$142)</f>
        <v>#DIV/0!</v>
      </c>
    </row>
    <row r="141" spans="2:13" s="108" customFormat="1">
      <c r="B141" s="635"/>
      <c r="C141" s="354">
        <v>14</v>
      </c>
      <c r="D141" s="223"/>
      <c r="E141" s="354"/>
      <c r="F141" s="354"/>
      <c r="G141" s="354"/>
      <c r="H141" s="678"/>
      <c r="I141" s="365"/>
      <c r="J141" s="365"/>
      <c r="K141" s="365"/>
      <c r="L141" s="681"/>
      <c r="M141" s="365" t="e">
        <f>RANK(K141, K$128:$K$142)</f>
        <v>#DIV/0!</v>
      </c>
    </row>
    <row r="142" spans="2:13" s="108" customFormat="1">
      <c r="B142" s="635"/>
      <c r="C142" s="354">
        <v>15</v>
      </c>
      <c r="D142" s="223"/>
      <c r="E142" s="354"/>
      <c r="F142" s="354"/>
      <c r="G142" s="354"/>
      <c r="H142" s="679"/>
      <c r="I142" s="365"/>
      <c r="J142" s="365"/>
      <c r="K142" s="365"/>
      <c r="L142" s="682"/>
      <c r="M142" s="365" t="e">
        <f>RANK(K142, K$128:$K$142)</f>
        <v>#DIV/0!</v>
      </c>
    </row>
  </sheetData>
  <mergeCells count="373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T65:AW65"/>
    <mergeCell ref="AO64:AR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Y64:Y66"/>
    <mergeCell ref="Z64:AC64"/>
    <mergeCell ref="AX64:AX66"/>
    <mergeCell ref="E65:G65"/>
    <mergeCell ref="B84:B86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P84:S84"/>
    <mergeCell ref="T84:T86"/>
    <mergeCell ref="U84:X84"/>
    <mergeCell ref="U64:X64"/>
    <mergeCell ref="I65:K65"/>
    <mergeCell ref="P65:S65"/>
    <mergeCell ref="U65:X65"/>
    <mergeCell ref="Z65:AC65"/>
    <mergeCell ref="Y87:Y101"/>
    <mergeCell ref="AD87:AD101"/>
    <mergeCell ref="AI87:AI101"/>
    <mergeCell ref="AE84:AH84"/>
    <mergeCell ref="AI84:AI86"/>
    <mergeCell ref="Z84:AC84"/>
    <mergeCell ref="AD64:AD66"/>
    <mergeCell ref="AE64:AH64"/>
    <mergeCell ref="AI64:AI66"/>
    <mergeCell ref="Y84:Y86"/>
    <mergeCell ref="C64:D66"/>
    <mergeCell ref="AS67:AS81"/>
    <mergeCell ref="H64:H66"/>
    <mergeCell ref="I64:K64"/>
    <mergeCell ref="L64:L66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E64:G64"/>
    <mergeCell ref="AO65:AR65"/>
    <mergeCell ref="AJ64:AM64"/>
    <mergeCell ref="AE65:AH65"/>
    <mergeCell ref="AJ65:AM65"/>
    <mergeCell ref="M64:M66"/>
    <mergeCell ref="N64:N81"/>
    <mergeCell ref="O64:O81"/>
    <mergeCell ref="P64:S64"/>
    <mergeCell ref="T64:T66"/>
    <mergeCell ref="BA27:BA41"/>
    <mergeCell ref="BA47:BA61"/>
    <mergeCell ref="BA67:BA8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S64:AS66"/>
    <mergeCell ref="AT64:AW64"/>
    <mergeCell ref="B64:B66"/>
    <mergeCell ref="BA7:BA21"/>
    <mergeCell ref="BA87:BA101"/>
    <mergeCell ref="BA107:BA12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5:AH85"/>
    <mergeCell ref="Z85:AC85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CC"/>
  </sheetPr>
  <dimension ref="A1:BA142"/>
  <sheetViews>
    <sheetView topLeftCell="A52" zoomScale="40" zoomScaleNormal="40" workbookViewId="0">
      <pane xSplit="15" topLeftCell="P1" activePane="topRight" state="frozen"/>
      <selection activeCell="AA142" sqref="AA142"/>
      <selection pane="topRight" activeCell="D7" sqref="D7:G17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3" ht="24">
      <c r="A1" s="75"/>
      <c r="B1" s="218" t="s">
        <v>307</v>
      </c>
      <c r="C1" s="217">
        <f>AVERAGE(L7,L27,L47,L67,L87,L107)</f>
        <v>121.70792131080641</v>
      </c>
    </row>
    <row r="2" spans="1:53" ht="15.75">
      <c r="A2" s="81"/>
      <c r="B2" s="643" t="s">
        <v>496</v>
      </c>
      <c r="C2" s="643"/>
      <c r="D2" s="643"/>
      <c r="E2" s="643"/>
      <c r="F2" s="643"/>
      <c r="G2" s="643"/>
      <c r="H2" s="643"/>
      <c r="I2" s="355"/>
      <c r="J2" s="355"/>
      <c r="K2" s="355"/>
      <c r="L2" s="355"/>
      <c r="M2" s="197"/>
      <c r="N2" s="639" t="s">
        <v>497</v>
      </c>
      <c r="O2" s="639" t="s">
        <v>498</v>
      </c>
      <c r="P2" s="634"/>
      <c r="Q2" s="635"/>
      <c r="R2" s="635"/>
      <c r="S2" s="635"/>
      <c r="T2" s="635"/>
      <c r="U2" s="636">
        <v>46204</v>
      </c>
      <c r="V2" s="637"/>
      <c r="W2" s="637"/>
      <c r="X2" s="637"/>
      <c r="Y2" s="638"/>
      <c r="Z2" s="636">
        <f>U2+1</f>
        <v>46205</v>
      </c>
      <c r="AA2" s="637"/>
      <c r="AB2" s="637"/>
      <c r="AC2" s="637"/>
      <c r="AD2" s="638"/>
      <c r="AE2" s="636">
        <f>Z2+1</f>
        <v>46206</v>
      </c>
      <c r="AF2" s="637"/>
      <c r="AG2" s="637"/>
      <c r="AH2" s="637"/>
      <c r="AI2" s="638"/>
      <c r="AJ2" s="636">
        <f>AE2+1</f>
        <v>46207</v>
      </c>
      <c r="AK2" s="637"/>
      <c r="AL2" s="637"/>
      <c r="AM2" s="637"/>
      <c r="AN2" s="638"/>
      <c r="AO2" s="636">
        <f>AJ2+1</f>
        <v>46208</v>
      </c>
      <c r="AP2" s="637"/>
      <c r="AQ2" s="637"/>
      <c r="AR2" s="637"/>
      <c r="AS2" s="638"/>
      <c r="AT2" s="636">
        <f>AO2+1</f>
        <v>46209</v>
      </c>
      <c r="AU2" s="637"/>
      <c r="AV2" s="637"/>
      <c r="AW2" s="637"/>
      <c r="AX2" s="638"/>
    </row>
    <row r="3" spans="1:53" ht="15.75">
      <c r="A3" s="81"/>
      <c r="B3" s="659"/>
      <c r="C3" s="659"/>
      <c r="D3" s="659"/>
      <c r="E3" s="659"/>
      <c r="F3" s="659"/>
      <c r="G3" s="659"/>
      <c r="H3" s="659"/>
      <c r="I3" s="356"/>
      <c r="J3" s="356"/>
      <c r="K3" s="356"/>
      <c r="L3" s="356"/>
      <c r="M3" s="198"/>
      <c r="N3" s="641"/>
      <c r="O3" s="641"/>
      <c r="P3" s="636" t="s">
        <v>499</v>
      </c>
      <c r="Q3" s="637"/>
      <c r="R3" s="637"/>
      <c r="S3" s="637"/>
      <c r="T3" s="638"/>
      <c r="U3" s="636" t="s">
        <v>500</v>
      </c>
      <c r="V3" s="637"/>
      <c r="W3" s="637"/>
      <c r="X3" s="637"/>
      <c r="Y3" s="638"/>
      <c r="Z3" s="636" t="s">
        <v>501</v>
      </c>
      <c r="AA3" s="637"/>
      <c r="AB3" s="637"/>
      <c r="AC3" s="637"/>
      <c r="AD3" s="638"/>
      <c r="AE3" s="636" t="s">
        <v>502</v>
      </c>
      <c r="AF3" s="637"/>
      <c r="AG3" s="637"/>
      <c r="AH3" s="637"/>
      <c r="AI3" s="638"/>
      <c r="AJ3" s="636" t="s">
        <v>503</v>
      </c>
      <c r="AK3" s="637"/>
      <c r="AL3" s="637"/>
      <c r="AM3" s="637"/>
      <c r="AN3" s="638"/>
      <c r="AO3" s="636" t="s">
        <v>504</v>
      </c>
      <c r="AP3" s="637"/>
      <c r="AQ3" s="637"/>
      <c r="AR3" s="637"/>
      <c r="AS3" s="638"/>
      <c r="AT3" s="636" t="s">
        <v>505</v>
      </c>
      <c r="AU3" s="637"/>
      <c r="AV3" s="637"/>
      <c r="AW3" s="637"/>
      <c r="AX3" s="638"/>
    </row>
    <row r="4" spans="1:53" ht="14.25">
      <c r="A4" s="81"/>
      <c r="B4" s="624" t="s">
        <v>463</v>
      </c>
      <c r="C4" s="624" t="s">
        <v>398</v>
      </c>
      <c r="D4" s="624"/>
      <c r="E4" s="624" t="s">
        <v>399</v>
      </c>
      <c r="F4" s="624"/>
      <c r="G4" s="624"/>
      <c r="H4" s="647" t="s">
        <v>789</v>
      </c>
      <c r="I4" s="617" t="s">
        <v>401</v>
      </c>
      <c r="J4" s="617"/>
      <c r="K4" s="617"/>
      <c r="L4" s="618" t="s">
        <v>367</v>
      </c>
      <c r="M4" s="628" t="s">
        <v>368</v>
      </c>
      <c r="N4" s="624"/>
      <c r="O4" s="624" t="s">
        <v>488</v>
      </c>
      <c r="P4" s="621" t="s">
        <v>576</v>
      </c>
      <c r="Q4" s="622"/>
      <c r="R4" s="622"/>
      <c r="S4" s="623"/>
      <c r="T4" s="624" t="s">
        <v>650</v>
      </c>
      <c r="U4" s="621" t="s">
        <v>457</v>
      </c>
      <c r="V4" s="622"/>
      <c r="W4" s="622"/>
      <c r="X4" s="623"/>
      <c r="Y4" s="624" t="s">
        <v>579</v>
      </c>
      <c r="Z4" s="621" t="s">
        <v>651</v>
      </c>
      <c r="AA4" s="622"/>
      <c r="AB4" s="622"/>
      <c r="AC4" s="623"/>
      <c r="AD4" s="624" t="s">
        <v>454</v>
      </c>
      <c r="AE4" s="621" t="s">
        <v>576</v>
      </c>
      <c r="AF4" s="622"/>
      <c r="AG4" s="622"/>
      <c r="AH4" s="623"/>
      <c r="AI4" s="624" t="s">
        <v>604</v>
      </c>
      <c r="AJ4" s="621" t="s">
        <v>599</v>
      </c>
      <c r="AK4" s="622"/>
      <c r="AL4" s="622"/>
      <c r="AM4" s="623"/>
      <c r="AN4" s="624" t="s">
        <v>573</v>
      </c>
      <c r="AO4" s="621" t="s">
        <v>599</v>
      </c>
      <c r="AP4" s="622"/>
      <c r="AQ4" s="622"/>
      <c r="AR4" s="623"/>
      <c r="AS4" s="624" t="s">
        <v>652</v>
      </c>
      <c r="AT4" s="621" t="s">
        <v>457</v>
      </c>
      <c r="AU4" s="622"/>
      <c r="AV4" s="622"/>
      <c r="AW4" s="623"/>
      <c r="AX4" s="624" t="s">
        <v>579</v>
      </c>
    </row>
    <row r="5" spans="1:53" ht="14.25">
      <c r="A5" s="81"/>
      <c r="B5" s="624"/>
      <c r="C5" s="624"/>
      <c r="D5" s="624"/>
      <c r="E5" s="624" t="s">
        <v>403</v>
      </c>
      <c r="F5" s="624"/>
      <c r="G5" s="624"/>
      <c r="H5" s="648"/>
      <c r="I5" s="617" t="s">
        <v>790</v>
      </c>
      <c r="J5" s="617"/>
      <c r="K5" s="617"/>
      <c r="L5" s="619"/>
      <c r="M5" s="629"/>
      <c r="N5" s="624"/>
      <c r="O5" s="624"/>
      <c r="P5" s="621" t="s">
        <v>653</v>
      </c>
      <c r="Q5" s="622"/>
      <c r="R5" s="622"/>
      <c r="S5" s="623"/>
      <c r="T5" s="624"/>
      <c r="U5" s="621" t="s">
        <v>370</v>
      </c>
      <c r="V5" s="622"/>
      <c r="W5" s="622"/>
      <c r="X5" s="623"/>
      <c r="Y5" s="624"/>
      <c r="Z5" s="621" t="s">
        <v>580</v>
      </c>
      <c r="AA5" s="622"/>
      <c r="AB5" s="622"/>
      <c r="AC5" s="623"/>
      <c r="AD5" s="624"/>
      <c r="AE5" s="621" t="s">
        <v>654</v>
      </c>
      <c r="AF5" s="622"/>
      <c r="AG5" s="622"/>
      <c r="AH5" s="623"/>
      <c r="AI5" s="624"/>
      <c r="AJ5" s="621" t="s">
        <v>370</v>
      </c>
      <c r="AK5" s="622"/>
      <c r="AL5" s="622"/>
      <c r="AM5" s="623"/>
      <c r="AN5" s="624"/>
      <c r="AO5" s="621" t="s">
        <v>580</v>
      </c>
      <c r="AP5" s="622"/>
      <c r="AQ5" s="622"/>
      <c r="AR5" s="623"/>
      <c r="AS5" s="624"/>
      <c r="AT5" s="621" t="s">
        <v>606</v>
      </c>
      <c r="AU5" s="622"/>
      <c r="AV5" s="622"/>
      <c r="AW5" s="623"/>
      <c r="AX5" s="624"/>
    </row>
    <row r="6" spans="1:53" ht="14.25">
      <c r="A6" s="79"/>
      <c r="B6" s="624"/>
      <c r="C6" s="624"/>
      <c r="D6" s="624"/>
      <c r="E6" s="482" t="s">
        <v>371</v>
      </c>
      <c r="F6" s="482" t="s">
        <v>372</v>
      </c>
      <c r="G6" s="482" t="s">
        <v>791</v>
      </c>
      <c r="H6" s="649"/>
      <c r="I6" s="481" t="s">
        <v>371</v>
      </c>
      <c r="J6" s="481" t="s">
        <v>372</v>
      </c>
      <c r="K6" s="481" t="s">
        <v>373</v>
      </c>
      <c r="L6" s="620"/>
      <c r="M6" s="630"/>
      <c r="N6" s="624"/>
      <c r="O6" s="624"/>
      <c r="P6" s="413" t="s">
        <v>443</v>
      </c>
      <c r="Q6" s="413" t="s">
        <v>613</v>
      </c>
      <c r="R6" s="413" t="s">
        <v>373</v>
      </c>
      <c r="S6" s="413" t="s">
        <v>588</v>
      </c>
      <c r="T6" s="624"/>
      <c r="U6" s="413" t="s">
        <v>585</v>
      </c>
      <c r="V6" s="413" t="s">
        <v>586</v>
      </c>
      <c r="W6" s="413" t="s">
        <v>614</v>
      </c>
      <c r="X6" s="413" t="s">
        <v>368</v>
      </c>
      <c r="Y6" s="624"/>
      <c r="Z6" s="413" t="s">
        <v>583</v>
      </c>
      <c r="AA6" s="413" t="s">
        <v>615</v>
      </c>
      <c r="AB6" s="413" t="s">
        <v>445</v>
      </c>
      <c r="AC6" s="413" t="s">
        <v>608</v>
      </c>
      <c r="AD6" s="624"/>
      <c r="AE6" s="413" t="s">
        <v>610</v>
      </c>
      <c r="AF6" s="413" t="s">
        <v>372</v>
      </c>
      <c r="AG6" s="413" t="s">
        <v>611</v>
      </c>
      <c r="AH6" s="413" t="s">
        <v>629</v>
      </c>
      <c r="AI6" s="624"/>
      <c r="AJ6" s="413" t="s">
        <v>443</v>
      </c>
      <c r="AK6" s="413" t="s">
        <v>613</v>
      </c>
      <c r="AL6" s="413" t="s">
        <v>373</v>
      </c>
      <c r="AM6" s="413" t="s">
        <v>588</v>
      </c>
      <c r="AN6" s="624"/>
      <c r="AO6" s="413" t="s">
        <v>585</v>
      </c>
      <c r="AP6" s="413" t="s">
        <v>586</v>
      </c>
      <c r="AQ6" s="413" t="s">
        <v>655</v>
      </c>
      <c r="AR6" s="413" t="s">
        <v>368</v>
      </c>
      <c r="AS6" s="624"/>
      <c r="AT6" s="413" t="s">
        <v>583</v>
      </c>
      <c r="AU6" s="413" t="s">
        <v>656</v>
      </c>
      <c r="AV6" s="413" t="s">
        <v>445</v>
      </c>
      <c r="AW6" s="413" t="s">
        <v>608</v>
      </c>
      <c r="AX6" s="624"/>
    </row>
    <row r="7" spans="1:53" ht="14.25">
      <c r="A7" s="81"/>
      <c r="B7" s="624" t="s">
        <v>136</v>
      </c>
      <c r="C7" s="483">
        <v>1</v>
      </c>
      <c r="D7" s="223" t="s">
        <v>347</v>
      </c>
      <c r="E7" s="491">
        <v>20</v>
      </c>
      <c r="F7" s="483">
        <v>2400</v>
      </c>
      <c r="G7" s="484">
        <v>120</v>
      </c>
      <c r="H7" s="677">
        <f>AVERAGE(G7:G21)</f>
        <v>135.92479661721146</v>
      </c>
      <c r="I7" s="487">
        <f t="shared" ref="I7:K20" si="0">IFERROR(AVERAGE(P7,U7,Z7,AE7,AJ7,AO7,AT7),"-")</f>
        <v>20</v>
      </c>
      <c r="J7" s="487">
        <f t="shared" si="0"/>
        <v>2356.6837937529367</v>
      </c>
      <c r="K7" s="363">
        <f t="shared" si="0"/>
        <v>117.83418968764686</v>
      </c>
      <c r="L7" s="614">
        <f>IFERROR(AVERAGE(K7:K21),"-")</f>
        <v>122.049094536304</v>
      </c>
      <c r="M7" s="489">
        <f>RANK(K7, K$7:$K$21)</f>
        <v>8</v>
      </c>
      <c r="N7" s="624"/>
      <c r="O7" s="624"/>
      <c r="P7" s="411"/>
      <c r="Q7" s="182"/>
      <c r="R7" s="182"/>
      <c r="S7" s="414"/>
      <c r="T7" s="674"/>
      <c r="U7" s="540">
        <v>20</v>
      </c>
      <c r="V7" s="541">
        <v>2370.3021582733813</v>
      </c>
      <c r="W7" s="541">
        <v>118.51510791366907</v>
      </c>
      <c r="X7" s="540">
        <f>RANK(W7, W$7:W$21)</f>
        <v>8</v>
      </c>
      <c r="Y7" s="653">
        <f t="shared" ref="Y7" si="1">AVERAGE(W7:W21)</f>
        <v>123.2882683540186</v>
      </c>
      <c r="Z7" s="540">
        <v>20</v>
      </c>
      <c r="AA7" s="541">
        <v>2369.7024793388418</v>
      </c>
      <c r="AB7" s="541">
        <v>118.4851239669421</v>
      </c>
      <c r="AC7" s="540">
        <f>RANK(AB7, AB$7:AB$21)</f>
        <v>7</v>
      </c>
      <c r="AD7" s="653">
        <f t="shared" ref="AD7" si="2">AVERAGE(AB7:AB21)</f>
        <v>122.73542545784076</v>
      </c>
      <c r="AE7" s="540">
        <v>20</v>
      </c>
      <c r="AF7" s="541">
        <v>2312.4495867768587</v>
      </c>
      <c r="AG7" s="541">
        <v>115.62247933884294</v>
      </c>
      <c r="AH7" s="540">
        <f>RANK(AG7, AG$7:AG$21)</f>
        <v>7</v>
      </c>
      <c r="AI7" s="653">
        <f t="shared" ref="AI7" si="3">AVERAGE(AG7:AG21)</f>
        <v>120.25242574894564</v>
      </c>
      <c r="AJ7" s="540">
        <v>20</v>
      </c>
      <c r="AK7" s="541">
        <v>2365.1047619047617</v>
      </c>
      <c r="AL7" s="541">
        <v>118.25523809523808</v>
      </c>
      <c r="AM7" s="540">
        <f>RANK(AL7, AL$7:AL$21)</f>
        <v>7</v>
      </c>
      <c r="AN7" s="653">
        <f t="shared" ref="AN7" si="4">AVERAGE(AL7:AL21)</f>
        <v>121.28313640250053</v>
      </c>
      <c r="AO7" s="540">
        <v>20</v>
      </c>
      <c r="AP7" s="541">
        <v>2368.5969230769228</v>
      </c>
      <c r="AQ7" s="541">
        <v>118.42984615384614</v>
      </c>
      <c r="AR7" s="540">
        <f>RANK(AQ7, AQ$7:AQ$21)</f>
        <v>7</v>
      </c>
      <c r="AS7" s="653">
        <f t="shared" ref="AS7" si="5">AVERAGE(AQ7:AQ21)</f>
        <v>121.03971409920814</v>
      </c>
      <c r="AT7" s="540">
        <v>20</v>
      </c>
      <c r="AU7" s="541">
        <v>2353.9468531468538</v>
      </c>
      <c r="AV7" s="541">
        <v>117.69734265734269</v>
      </c>
      <c r="AW7" s="540">
        <f>RANK(AV7, AV$7:AV$21)</f>
        <v>8</v>
      </c>
      <c r="AX7" s="653">
        <f t="shared" ref="AX7" si="6">AVERAGE(AV7:AV21)</f>
        <v>123.69559715531027</v>
      </c>
      <c r="AZ7" s="540" t="e">
        <f>RANK(AY7, AY$7:AY$21)</f>
        <v>#N/A</v>
      </c>
      <c r="BA7" s="653" t="e">
        <f t="shared" ref="BA7" si="7">AVERAGE(AY7:AY21)</f>
        <v>#DIV/0!</v>
      </c>
    </row>
    <row r="8" spans="1:53" ht="15" customHeight="1">
      <c r="A8" s="81"/>
      <c r="B8" s="661"/>
      <c r="C8" s="483">
        <v>2</v>
      </c>
      <c r="D8" s="223" t="s">
        <v>348</v>
      </c>
      <c r="E8" s="491">
        <v>18</v>
      </c>
      <c r="F8" s="483">
        <v>2769</v>
      </c>
      <c r="G8" s="484">
        <v>153.83333333333334</v>
      </c>
      <c r="H8" s="678"/>
      <c r="I8" s="487">
        <f t="shared" si="0"/>
        <v>18</v>
      </c>
      <c r="J8" s="487">
        <f t="shared" si="0"/>
        <v>2520.7549837720621</v>
      </c>
      <c r="K8" s="363">
        <f t="shared" si="0"/>
        <v>140.04194354289234</v>
      </c>
      <c r="L8" s="615"/>
      <c r="M8" s="489">
        <f>RANK(K8, K$7:$K$21)</f>
        <v>1</v>
      </c>
      <c r="N8" s="624"/>
      <c r="O8" s="624"/>
      <c r="P8" s="411"/>
      <c r="Q8" s="182"/>
      <c r="R8" s="182"/>
      <c r="S8" s="414"/>
      <c r="T8" s="674"/>
      <c r="U8" s="540">
        <v>18</v>
      </c>
      <c r="V8" s="541">
        <v>2515.1612903225828</v>
      </c>
      <c r="W8" s="541">
        <v>139.73118279569906</v>
      </c>
      <c r="X8" s="540">
        <f t="shared" ref="X8:X21" si="8">RANK(W8, W$7:W$21)</f>
        <v>1</v>
      </c>
      <c r="Y8" s="653"/>
      <c r="Z8" s="540">
        <v>18</v>
      </c>
      <c r="AA8" s="541">
        <v>2541.1764705882388</v>
      </c>
      <c r="AB8" s="541">
        <v>141.17647058823547</v>
      </c>
      <c r="AC8" s="540">
        <f t="shared" ref="AC8:AC21" si="9">RANK(AB8, AB$7:AB$21)</f>
        <v>2</v>
      </c>
      <c r="AD8" s="653"/>
      <c r="AE8" s="540">
        <v>18</v>
      </c>
      <c r="AF8" s="541">
        <v>2482.941176470591</v>
      </c>
      <c r="AG8" s="541">
        <v>137.9411764705884</v>
      </c>
      <c r="AH8" s="540">
        <f t="shared" ref="AH8:AH21" si="10">RANK(AG8, AG$7:AG$21)</f>
        <v>1</v>
      </c>
      <c r="AI8" s="653"/>
      <c r="AJ8" s="540">
        <v>18</v>
      </c>
      <c r="AK8" s="541">
        <v>2502.9729729729711</v>
      </c>
      <c r="AL8" s="541">
        <v>139.05405405405395</v>
      </c>
      <c r="AM8" s="540">
        <f t="shared" ref="AM8:AM21" si="11">RANK(AL8, AL$7:AL$21)</f>
        <v>2</v>
      </c>
      <c r="AN8" s="653"/>
      <c r="AO8" s="540">
        <v>18</v>
      </c>
      <c r="AP8" s="541">
        <v>2537.142857142856</v>
      </c>
      <c r="AQ8" s="541">
        <v>140.95238095238088</v>
      </c>
      <c r="AR8" s="540">
        <f t="shared" ref="AR8:AR21" si="12">RANK(AQ8, AQ$7:AQ$21)</f>
        <v>1</v>
      </c>
      <c r="AS8" s="653"/>
      <c r="AT8" s="540">
        <v>18</v>
      </c>
      <c r="AU8" s="541">
        <v>2545.1351351351332</v>
      </c>
      <c r="AV8" s="541">
        <v>141.39639639639628</v>
      </c>
      <c r="AW8" s="540">
        <f t="shared" ref="AW8:AW21" si="13">RANK(AV8, AV$7:AV$21)</f>
        <v>1</v>
      </c>
      <c r="AX8" s="653"/>
      <c r="AZ8" s="540" t="e">
        <f t="shared" ref="AZ8:AZ21" si="14">RANK(AY8, AY$7:AY$21)</f>
        <v>#N/A</v>
      </c>
      <c r="BA8" s="653"/>
    </row>
    <row r="9" spans="1:53" ht="14.25">
      <c r="A9" s="81"/>
      <c r="B9" s="661"/>
      <c r="C9" s="483">
        <v>3</v>
      </c>
      <c r="D9" s="223" t="s">
        <v>349</v>
      </c>
      <c r="E9" s="491">
        <v>19</v>
      </c>
      <c r="F9" s="483">
        <v>2769</v>
      </c>
      <c r="G9" s="484">
        <v>145.73684210526315</v>
      </c>
      <c r="H9" s="678"/>
      <c r="I9" s="487">
        <f t="shared" si="0"/>
        <v>19</v>
      </c>
      <c r="J9" s="487">
        <f t="shared" si="0"/>
        <v>2393.4115587625479</v>
      </c>
      <c r="K9" s="363">
        <f t="shared" si="0"/>
        <v>125.96902940855517</v>
      </c>
      <c r="L9" s="615"/>
      <c r="M9" s="489">
        <f>RANK(K9, K$7:$K$21)</f>
        <v>5</v>
      </c>
      <c r="N9" s="624"/>
      <c r="O9" s="624"/>
      <c r="P9" s="411"/>
      <c r="Q9" s="182"/>
      <c r="R9" s="182"/>
      <c r="S9" s="414"/>
      <c r="T9" s="674"/>
      <c r="U9" s="540">
        <v>19</v>
      </c>
      <c r="V9" s="541">
        <v>2482</v>
      </c>
      <c r="W9" s="541">
        <v>130.63157894736841</v>
      </c>
      <c r="X9" s="540">
        <f t="shared" si="8"/>
        <v>4</v>
      </c>
      <c r="Y9" s="653"/>
      <c r="Z9" s="540">
        <v>19</v>
      </c>
      <c r="AA9" s="541">
        <v>2495.744680851064</v>
      </c>
      <c r="AB9" s="541">
        <v>131.35498320268758</v>
      </c>
      <c r="AC9" s="540">
        <f t="shared" si="9"/>
        <v>4</v>
      </c>
      <c r="AD9" s="653"/>
      <c r="AE9" s="540">
        <v>19</v>
      </c>
      <c r="AF9" s="541">
        <v>2288.3870967741941</v>
      </c>
      <c r="AG9" s="541">
        <v>120.44142614601022</v>
      </c>
      <c r="AH9" s="540">
        <f t="shared" si="10"/>
        <v>6</v>
      </c>
      <c r="AI9" s="653"/>
      <c r="AJ9" s="540">
        <v>19</v>
      </c>
      <c r="AK9" s="541">
        <v>2328.7894736842086</v>
      </c>
      <c r="AL9" s="541">
        <v>122.56786703601098</v>
      </c>
      <c r="AM9" s="540">
        <f t="shared" si="11"/>
        <v>5</v>
      </c>
      <c r="AN9" s="653"/>
      <c r="AO9" s="540">
        <v>19</v>
      </c>
      <c r="AP9" s="541">
        <v>2315.8481012658212</v>
      </c>
      <c r="AQ9" s="541">
        <v>121.88674217188533</v>
      </c>
      <c r="AR9" s="540">
        <f t="shared" si="12"/>
        <v>5</v>
      </c>
      <c r="AS9" s="653"/>
      <c r="AT9" s="540">
        <v>19</v>
      </c>
      <c r="AU9" s="541">
        <v>2449.7000000000012</v>
      </c>
      <c r="AV9" s="541">
        <v>128.93157894736848</v>
      </c>
      <c r="AW9" s="540">
        <f t="shared" si="13"/>
        <v>5</v>
      </c>
      <c r="AX9" s="653"/>
      <c r="AZ9" s="540" t="e">
        <f t="shared" si="14"/>
        <v>#N/A</v>
      </c>
      <c r="BA9" s="653"/>
    </row>
    <row r="10" spans="1:53" ht="14.25">
      <c r="A10" s="81"/>
      <c r="B10" s="661"/>
      <c r="C10" s="483">
        <v>4</v>
      </c>
      <c r="D10" s="223" t="s">
        <v>350</v>
      </c>
      <c r="E10" s="491">
        <v>20</v>
      </c>
      <c r="F10" s="483">
        <v>2769</v>
      </c>
      <c r="G10" s="484">
        <v>138.44999999999999</v>
      </c>
      <c r="H10" s="678"/>
      <c r="I10" s="487">
        <f t="shared" si="0"/>
        <v>20</v>
      </c>
      <c r="J10" s="487">
        <f t="shared" si="0"/>
        <v>2370.1766724974791</v>
      </c>
      <c r="K10" s="363">
        <f t="shared" si="0"/>
        <v>118.50883362487393</v>
      </c>
      <c r="L10" s="615"/>
      <c r="M10" s="489">
        <f>RANK(K10, K$7:$K$21)</f>
        <v>7</v>
      </c>
      <c r="N10" s="624"/>
      <c r="O10" s="624"/>
      <c r="P10" s="411"/>
      <c r="Q10" s="182"/>
      <c r="R10" s="182"/>
      <c r="S10" s="414"/>
      <c r="T10" s="674"/>
      <c r="U10" s="540">
        <v>20</v>
      </c>
      <c r="V10" s="541">
        <v>2555.1724137931019</v>
      </c>
      <c r="W10" s="541">
        <v>127.75862068965509</v>
      </c>
      <c r="X10" s="540">
        <f t="shared" si="8"/>
        <v>6</v>
      </c>
      <c r="Y10" s="653"/>
      <c r="Z10" s="540">
        <v>20</v>
      </c>
      <c r="AA10" s="541">
        <v>2328.9631578947351</v>
      </c>
      <c r="AB10" s="541">
        <v>116.44815789473675</v>
      </c>
      <c r="AC10" s="540">
        <f t="shared" si="9"/>
        <v>8</v>
      </c>
      <c r="AD10" s="653"/>
      <c r="AE10" s="540">
        <v>20</v>
      </c>
      <c r="AF10" s="541">
        <v>2289.565217391304</v>
      </c>
      <c r="AG10" s="541">
        <v>114.4782608695652</v>
      </c>
      <c r="AH10" s="540">
        <f t="shared" si="10"/>
        <v>8</v>
      </c>
      <c r="AI10" s="653"/>
      <c r="AJ10" s="540">
        <v>20</v>
      </c>
      <c r="AK10" s="541">
        <v>2268.627450980393</v>
      </c>
      <c r="AL10" s="541">
        <v>113.43137254901964</v>
      </c>
      <c r="AM10" s="540">
        <f t="shared" si="11"/>
        <v>8</v>
      </c>
      <c r="AN10" s="653"/>
      <c r="AO10" s="540">
        <v>20</v>
      </c>
      <c r="AP10" s="541">
        <v>2278.0891719745209</v>
      </c>
      <c r="AQ10" s="541">
        <v>113.90445859872605</v>
      </c>
      <c r="AR10" s="540">
        <f t="shared" si="12"/>
        <v>8</v>
      </c>
      <c r="AS10" s="653"/>
      <c r="AT10" s="540">
        <v>20</v>
      </c>
      <c r="AU10" s="541">
        <v>2500.6426229508188</v>
      </c>
      <c r="AV10" s="541">
        <v>125.03213114754094</v>
      </c>
      <c r="AW10" s="540">
        <f t="shared" si="13"/>
        <v>6</v>
      </c>
      <c r="AX10" s="653"/>
      <c r="AZ10" s="540" t="e">
        <f t="shared" si="14"/>
        <v>#N/A</v>
      </c>
      <c r="BA10" s="653"/>
    </row>
    <row r="11" spans="1:53" ht="14.25">
      <c r="A11" s="81"/>
      <c r="B11" s="661"/>
      <c r="C11" s="483">
        <v>5</v>
      </c>
      <c r="D11" s="223" t="s">
        <v>430</v>
      </c>
      <c r="E11" s="491">
        <v>18</v>
      </c>
      <c r="F11" s="483">
        <v>2400</v>
      </c>
      <c r="G11" s="484">
        <v>133.33333333333334</v>
      </c>
      <c r="H11" s="678"/>
      <c r="I11" s="487">
        <f t="shared" si="0"/>
        <v>18</v>
      </c>
      <c r="J11" s="487">
        <f t="shared" si="0"/>
        <v>2166.9457614810162</v>
      </c>
      <c r="K11" s="363">
        <f t="shared" si="0"/>
        <v>120.38587563783422</v>
      </c>
      <c r="L11" s="615"/>
      <c r="M11" s="489">
        <f>RANK(K11, K$7:$K$21)</f>
        <v>6</v>
      </c>
      <c r="N11" s="624"/>
      <c r="O11" s="624"/>
      <c r="P11" s="411"/>
      <c r="Q11" s="182"/>
      <c r="R11" s="182"/>
      <c r="S11" s="414"/>
      <c r="T11" s="674"/>
      <c r="U11" s="540">
        <v>18</v>
      </c>
      <c r="V11" s="541">
        <v>2150.9196428571427</v>
      </c>
      <c r="W11" s="541">
        <v>119.49553571428571</v>
      </c>
      <c r="X11" s="540">
        <f t="shared" si="8"/>
        <v>7</v>
      </c>
      <c r="Y11" s="653"/>
      <c r="Z11" s="540">
        <v>18</v>
      </c>
      <c r="AA11" s="541">
        <v>2154.5333333333333</v>
      </c>
      <c r="AB11" s="541">
        <v>119.6962962962963</v>
      </c>
      <c r="AC11" s="540">
        <f t="shared" si="9"/>
        <v>6</v>
      </c>
      <c r="AD11" s="653"/>
      <c r="AE11" s="540">
        <v>18</v>
      </c>
      <c r="AF11" s="541">
        <v>2196.8773584905666</v>
      </c>
      <c r="AG11" s="541">
        <v>122.04874213836482</v>
      </c>
      <c r="AH11" s="540">
        <f t="shared" si="10"/>
        <v>5</v>
      </c>
      <c r="AI11" s="653"/>
      <c r="AJ11" s="540">
        <v>18</v>
      </c>
      <c r="AK11" s="541">
        <v>2172.8571428571431</v>
      </c>
      <c r="AL11" s="541">
        <v>120.71428571428572</v>
      </c>
      <c r="AM11" s="540">
        <f t="shared" si="11"/>
        <v>6</v>
      </c>
      <c r="AN11" s="653"/>
      <c r="AO11" s="540">
        <v>18</v>
      </c>
      <c r="AP11" s="541">
        <v>2136.6198347107438</v>
      </c>
      <c r="AQ11" s="541">
        <v>118.70110192837465</v>
      </c>
      <c r="AR11" s="540">
        <f t="shared" si="12"/>
        <v>6</v>
      </c>
      <c r="AS11" s="653"/>
      <c r="AT11" s="540">
        <v>18</v>
      </c>
      <c r="AU11" s="541">
        <v>2189.8672566371679</v>
      </c>
      <c r="AV11" s="541">
        <v>121.65929203539821</v>
      </c>
      <c r="AW11" s="540">
        <f t="shared" si="13"/>
        <v>7</v>
      </c>
      <c r="AX11" s="653"/>
      <c r="AZ11" s="540" t="e">
        <f t="shared" si="14"/>
        <v>#N/A</v>
      </c>
      <c r="BA11" s="653"/>
    </row>
    <row r="12" spans="1:53" ht="14.25">
      <c r="A12" s="81"/>
      <c r="B12" s="661"/>
      <c r="C12" s="483">
        <v>6</v>
      </c>
      <c r="D12" s="223" t="s">
        <v>661</v>
      </c>
      <c r="E12" s="491">
        <v>17</v>
      </c>
      <c r="F12" s="483">
        <v>2571</v>
      </c>
      <c r="G12" s="484">
        <v>151.23529411764707</v>
      </c>
      <c r="H12" s="678"/>
      <c r="I12" s="487">
        <f t="shared" si="0"/>
        <v>17</v>
      </c>
      <c r="J12" s="487">
        <f t="shared" si="0"/>
        <v>2368.8249484095923</v>
      </c>
      <c r="K12" s="363">
        <f t="shared" si="0"/>
        <v>139.34264402409369</v>
      </c>
      <c r="L12" s="615"/>
      <c r="M12" s="489">
        <f>RANK(K12, K$7:$K$21)</f>
        <v>2</v>
      </c>
      <c r="N12" s="624"/>
      <c r="O12" s="624"/>
      <c r="P12" s="411"/>
      <c r="Q12" s="182"/>
      <c r="R12" s="182"/>
      <c r="S12" s="414"/>
      <c r="T12" s="674"/>
      <c r="U12" s="540">
        <v>17</v>
      </c>
      <c r="V12" s="541">
        <v>2340</v>
      </c>
      <c r="W12" s="541">
        <v>137.64705882352942</v>
      </c>
      <c r="X12" s="540">
        <f t="shared" si="8"/>
        <v>2</v>
      </c>
      <c r="Y12" s="653"/>
      <c r="Z12" s="540">
        <v>17</v>
      </c>
      <c r="AA12" s="541">
        <v>2406.0000000000005</v>
      </c>
      <c r="AB12" s="541">
        <v>141.52941176470591</v>
      </c>
      <c r="AC12" s="540">
        <f t="shared" si="9"/>
        <v>1</v>
      </c>
      <c r="AD12" s="653"/>
      <c r="AE12" s="540">
        <v>17</v>
      </c>
      <c r="AF12" s="541">
        <v>2312.307692307691</v>
      </c>
      <c r="AG12" s="541">
        <v>136.01809954751124</v>
      </c>
      <c r="AH12" s="540">
        <f t="shared" si="10"/>
        <v>2</v>
      </c>
      <c r="AI12" s="653"/>
      <c r="AJ12" s="540">
        <v>17</v>
      </c>
      <c r="AK12" s="541">
        <v>2388</v>
      </c>
      <c r="AL12" s="541">
        <v>140.47058823529412</v>
      </c>
      <c r="AM12" s="540">
        <f t="shared" si="11"/>
        <v>1</v>
      </c>
      <c r="AN12" s="653"/>
      <c r="AO12" s="540">
        <v>17</v>
      </c>
      <c r="AP12" s="541">
        <v>2392.1739130434785</v>
      </c>
      <c r="AQ12" s="541">
        <v>140.71611253196932</v>
      </c>
      <c r="AR12" s="540">
        <f t="shared" si="12"/>
        <v>2</v>
      </c>
      <c r="AS12" s="653"/>
      <c r="AT12" s="540">
        <v>17</v>
      </c>
      <c r="AU12" s="541">
        <v>2374.4680851063831</v>
      </c>
      <c r="AV12" s="541">
        <v>139.67459324155195</v>
      </c>
      <c r="AW12" s="540">
        <f t="shared" si="13"/>
        <v>2</v>
      </c>
      <c r="AX12" s="653"/>
      <c r="AZ12" s="540" t="e">
        <f t="shared" si="14"/>
        <v>#N/A</v>
      </c>
      <c r="BA12" s="653"/>
    </row>
    <row r="13" spans="1:53" ht="14.25">
      <c r="A13" s="81"/>
      <c r="B13" s="661"/>
      <c r="C13" s="483">
        <v>7</v>
      </c>
      <c r="D13" s="223" t="s">
        <v>664</v>
      </c>
      <c r="E13" s="491">
        <v>18</v>
      </c>
      <c r="F13" s="483">
        <v>2571</v>
      </c>
      <c r="G13" s="484">
        <v>142.83333333333334</v>
      </c>
      <c r="H13" s="678"/>
      <c r="I13" s="487">
        <f t="shared" si="0"/>
        <v>18</v>
      </c>
      <c r="J13" s="487">
        <f t="shared" si="0"/>
        <v>2343.3326149425252</v>
      </c>
      <c r="K13" s="363">
        <f t="shared" si="0"/>
        <v>130.18514527458476</v>
      </c>
      <c r="L13" s="615"/>
      <c r="M13" s="489">
        <f>RANK(K13, K$7:$K$21)</f>
        <v>4</v>
      </c>
      <c r="N13" s="624"/>
      <c r="O13" s="624"/>
      <c r="P13" s="411"/>
      <c r="Q13" s="182"/>
      <c r="R13" s="182"/>
      <c r="S13" s="414"/>
      <c r="T13" s="674"/>
      <c r="U13" s="540">
        <v>18</v>
      </c>
      <c r="V13" s="541">
        <v>2331.7241379310299</v>
      </c>
      <c r="W13" s="541">
        <v>129.54022988505722</v>
      </c>
      <c r="X13" s="540">
        <f t="shared" si="8"/>
        <v>5</v>
      </c>
      <c r="Y13" s="653"/>
      <c r="Z13" s="540">
        <v>18</v>
      </c>
      <c r="AA13" s="541">
        <v>2363.9999999999955</v>
      </c>
      <c r="AB13" s="541">
        <v>131.33333333333309</v>
      </c>
      <c r="AC13" s="540">
        <f t="shared" si="9"/>
        <v>5</v>
      </c>
      <c r="AD13" s="653"/>
      <c r="AE13" s="540">
        <v>18</v>
      </c>
      <c r="AF13" s="541">
        <v>2366.8965517241336</v>
      </c>
      <c r="AG13" s="541">
        <v>131.49425287356297</v>
      </c>
      <c r="AH13" s="540">
        <f t="shared" si="10"/>
        <v>3</v>
      </c>
      <c r="AI13" s="653"/>
      <c r="AJ13" s="540">
        <v>18</v>
      </c>
      <c r="AK13" s="541">
        <v>2319.3749999999968</v>
      </c>
      <c r="AL13" s="541">
        <v>128.85416666666649</v>
      </c>
      <c r="AM13" s="540">
        <f t="shared" si="11"/>
        <v>4</v>
      </c>
      <c r="AN13" s="653"/>
      <c r="AO13" s="540">
        <v>18</v>
      </c>
      <c r="AP13" s="541">
        <v>2339.999999999995</v>
      </c>
      <c r="AQ13" s="541">
        <v>129.99999999999972</v>
      </c>
      <c r="AR13" s="540">
        <f t="shared" si="12"/>
        <v>3</v>
      </c>
      <c r="AS13" s="653"/>
      <c r="AT13" s="540">
        <v>18</v>
      </c>
      <c r="AU13" s="541">
        <v>2338.0000000000023</v>
      </c>
      <c r="AV13" s="541">
        <v>129.88888888888903</v>
      </c>
      <c r="AW13" s="540">
        <f t="shared" si="13"/>
        <v>3</v>
      </c>
      <c r="AX13" s="653"/>
      <c r="AZ13" s="540" t="e">
        <f t="shared" si="14"/>
        <v>#N/A</v>
      </c>
      <c r="BA13" s="653"/>
    </row>
    <row r="14" spans="1:53" ht="14.25">
      <c r="A14" s="81"/>
      <c r="B14" s="661"/>
      <c r="C14" s="483">
        <v>8</v>
      </c>
      <c r="D14" s="223" t="s">
        <v>730</v>
      </c>
      <c r="E14" s="491">
        <v>19</v>
      </c>
      <c r="F14" s="483">
        <v>2400</v>
      </c>
      <c r="G14" s="484">
        <v>126.31578947368421</v>
      </c>
      <c r="H14" s="678"/>
      <c r="I14" s="487">
        <f t="shared" si="0"/>
        <v>18.666666666666668</v>
      </c>
      <c r="J14" s="487">
        <f t="shared" si="0"/>
        <v>2016.1658199552919</v>
      </c>
      <c r="K14" s="363">
        <f t="shared" si="0"/>
        <v>108.07459378650505</v>
      </c>
      <c r="L14" s="615"/>
      <c r="M14" s="489">
        <f>RANK(K14, K$7:$K$21)</f>
        <v>9</v>
      </c>
      <c r="N14" s="624"/>
      <c r="O14" s="624"/>
      <c r="P14" s="411"/>
      <c r="Q14" s="182"/>
      <c r="R14" s="182"/>
      <c r="S14" s="414"/>
      <c r="T14" s="674"/>
      <c r="U14" s="540">
        <v>18</v>
      </c>
      <c r="V14" s="541">
        <v>2009.9999999999982</v>
      </c>
      <c r="W14" s="541">
        <v>111.66666666666657</v>
      </c>
      <c r="X14" s="540">
        <f t="shared" si="8"/>
        <v>9</v>
      </c>
      <c r="Y14" s="653"/>
      <c r="Z14" s="540">
        <v>19</v>
      </c>
      <c r="AA14" s="541">
        <v>2033.513513513512</v>
      </c>
      <c r="AB14" s="541">
        <v>107.02702702702695</v>
      </c>
      <c r="AC14" s="540">
        <f t="shared" si="9"/>
        <v>10</v>
      </c>
      <c r="AD14" s="653"/>
      <c r="AE14" s="540">
        <v>19</v>
      </c>
      <c r="AF14" s="541">
        <v>1984.8648648648632</v>
      </c>
      <c r="AG14" s="541">
        <v>104.46657183499281</v>
      </c>
      <c r="AH14" s="540">
        <f t="shared" si="10"/>
        <v>10</v>
      </c>
      <c r="AI14" s="653"/>
      <c r="AJ14" s="540">
        <v>19</v>
      </c>
      <c r="AK14" s="541">
        <v>2046.3157894736828</v>
      </c>
      <c r="AL14" s="541">
        <v>107.70083102493068</v>
      </c>
      <c r="AM14" s="540">
        <f t="shared" si="11"/>
        <v>9</v>
      </c>
      <c r="AN14" s="653"/>
      <c r="AO14" s="540">
        <v>19</v>
      </c>
      <c r="AP14" s="541">
        <v>2009.1428571428551</v>
      </c>
      <c r="AQ14" s="541">
        <v>105.74436090225554</v>
      </c>
      <c r="AR14" s="540">
        <f t="shared" si="12"/>
        <v>10</v>
      </c>
      <c r="AS14" s="653"/>
      <c r="AT14" s="540">
        <v>18</v>
      </c>
      <c r="AU14" s="541">
        <v>2013.1578947368405</v>
      </c>
      <c r="AV14" s="541">
        <v>111.8421052631578</v>
      </c>
      <c r="AW14" s="540">
        <f t="shared" si="13"/>
        <v>9</v>
      </c>
      <c r="AX14" s="653"/>
      <c r="AZ14" s="540" t="e">
        <f t="shared" si="14"/>
        <v>#N/A</v>
      </c>
      <c r="BA14" s="653"/>
    </row>
    <row r="15" spans="1:53" ht="14.25">
      <c r="A15" s="81"/>
      <c r="B15" s="661"/>
      <c r="C15" s="483">
        <v>9</v>
      </c>
      <c r="D15" s="223" t="s">
        <v>731</v>
      </c>
      <c r="E15" s="491">
        <v>18</v>
      </c>
      <c r="F15" s="483">
        <v>2571</v>
      </c>
      <c r="G15" s="484">
        <v>142.83333333333334</v>
      </c>
      <c r="H15" s="678"/>
      <c r="I15" s="487">
        <f t="shared" si="0"/>
        <v>18</v>
      </c>
      <c r="J15" s="487">
        <f t="shared" si="0"/>
        <v>2358.8065297950156</v>
      </c>
      <c r="K15" s="363">
        <f t="shared" si="0"/>
        <v>131.04480721083419</v>
      </c>
      <c r="L15" s="615"/>
      <c r="M15" s="489">
        <f>RANK(K15, K$7:$K$21)</f>
        <v>3</v>
      </c>
      <c r="N15" s="624"/>
      <c r="O15" s="624"/>
      <c r="P15" s="411"/>
      <c r="Q15" s="182"/>
      <c r="R15" s="182"/>
      <c r="S15" s="414"/>
      <c r="T15" s="674"/>
      <c r="U15" s="540">
        <v>18</v>
      </c>
      <c r="V15" s="541">
        <v>2384.0963855421678</v>
      </c>
      <c r="W15" s="541">
        <v>132.4497991967871</v>
      </c>
      <c r="X15" s="540">
        <f t="shared" si="8"/>
        <v>3</v>
      </c>
      <c r="Y15" s="653"/>
      <c r="Z15" s="540">
        <v>18</v>
      </c>
      <c r="AA15" s="541">
        <v>2377.411764705882</v>
      </c>
      <c r="AB15" s="541">
        <v>132.07843137254901</v>
      </c>
      <c r="AC15" s="540">
        <f t="shared" si="9"/>
        <v>3</v>
      </c>
      <c r="AD15" s="653"/>
      <c r="AE15" s="540">
        <v>18</v>
      </c>
      <c r="AF15" s="541">
        <v>2330.7692307692332</v>
      </c>
      <c r="AG15" s="541">
        <v>129.48717948717962</v>
      </c>
      <c r="AH15" s="540">
        <f t="shared" si="10"/>
        <v>4</v>
      </c>
      <c r="AI15" s="653"/>
      <c r="AJ15" s="540">
        <v>18</v>
      </c>
      <c r="AK15" s="541">
        <v>2390.5617977528091</v>
      </c>
      <c r="AL15" s="541">
        <v>132.80898876404495</v>
      </c>
      <c r="AM15" s="540">
        <f t="shared" si="11"/>
        <v>3</v>
      </c>
      <c r="AN15" s="653"/>
      <c r="AO15" s="540">
        <v>18</v>
      </c>
      <c r="AP15" s="541">
        <v>2337.3333333333335</v>
      </c>
      <c r="AQ15" s="541">
        <v>129.85185185185185</v>
      </c>
      <c r="AR15" s="540">
        <f t="shared" si="12"/>
        <v>4</v>
      </c>
      <c r="AS15" s="653"/>
      <c r="AT15" s="540">
        <v>18</v>
      </c>
      <c r="AU15" s="541">
        <v>2332.666666666667</v>
      </c>
      <c r="AV15" s="541">
        <v>129.59259259259261</v>
      </c>
      <c r="AW15" s="540">
        <f t="shared" si="13"/>
        <v>4</v>
      </c>
      <c r="AX15" s="653"/>
      <c r="AZ15" s="540" t="e">
        <f t="shared" si="14"/>
        <v>#N/A</v>
      </c>
      <c r="BA15" s="653"/>
    </row>
    <row r="16" spans="1:53" ht="14.25">
      <c r="A16" s="81"/>
      <c r="B16" s="661"/>
      <c r="C16" s="483">
        <v>10</v>
      </c>
      <c r="D16" s="223" t="s">
        <v>794</v>
      </c>
      <c r="E16" s="491">
        <v>19</v>
      </c>
      <c r="F16" s="483">
        <v>2400</v>
      </c>
      <c r="G16" s="484">
        <v>126.31578947368421</v>
      </c>
      <c r="H16" s="678"/>
      <c r="I16" s="487">
        <f t="shared" si="0"/>
        <v>19</v>
      </c>
      <c r="J16" s="487">
        <f t="shared" si="0"/>
        <v>2032.6562499999998</v>
      </c>
      <c r="K16" s="363">
        <f t="shared" si="0"/>
        <v>106.98190789473684</v>
      </c>
      <c r="L16" s="615"/>
      <c r="M16" s="489">
        <f>RANK(K16, K$7:$K$21)</f>
        <v>10</v>
      </c>
      <c r="N16" s="624"/>
      <c r="O16" s="624"/>
      <c r="P16" s="411"/>
      <c r="Q16" s="182"/>
      <c r="R16" s="182"/>
      <c r="S16" s="414"/>
      <c r="T16" s="674"/>
      <c r="U16" s="540">
        <v>19</v>
      </c>
      <c r="V16" s="541">
        <v>1996</v>
      </c>
      <c r="W16" s="541">
        <v>105.05263157894737</v>
      </c>
      <c r="X16" s="540">
        <f t="shared" si="8"/>
        <v>10</v>
      </c>
      <c r="Y16" s="653"/>
      <c r="Z16" s="540">
        <v>19</v>
      </c>
      <c r="AA16" s="541">
        <v>2037.3913043478262</v>
      </c>
      <c r="AB16" s="541">
        <v>107.23112128146454</v>
      </c>
      <c r="AC16" s="540">
        <f t="shared" si="9"/>
        <v>9</v>
      </c>
      <c r="AD16" s="653"/>
      <c r="AE16" s="540">
        <v>19</v>
      </c>
      <c r="AF16" s="541">
        <v>2046.1874999999973</v>
      </c>
      <c r="AG16" s="541">
        <v>107.69407894736828</v>
      </c>
      <c r="AH16" s="540">
        <f t="shared" si="10"/>
        <v>9</v>
      </c>
      <c r="AI16" s="653"/>
      <c r="AJ16" s="540">
        <v>19</v>
      </c>
      <c r="AK16" s="541">
        <v>2025.0000000000005</v>
      </c>
      <c r="AL16" s="541">
        <v>106.57894736842108</v>
      </c>
      <c r="AM16" s="540">
        <f t="shared" si="11"/>
        <v>10</v>
      </c>
      <c r="AN16" s="653"/>
      <c r="AO16" s="540">
        <v>19</v>
      </c>
      <c r="AP16" s="541">
        <v>2018.7500000000005</v>
      </c>
      <c r="AQ16" s="541">
        <v>106.25000000000003</v>
      </c>
      <c r="AR16" s="540">
        <f t="shared" si="12"/>
        <v>9</v>
      </c>
      <c r="AS16" s="653"/>
      <c r="AT16" s="540">
        <v>19</v>
      </c>
      <c r="AU16" s="541">
        <v>2072.608695652174</v>
      </c>
      <c r="AV16" s="541">
        <v>109.08466819221968</v>
      </c>
      <c r="AW16" s="540">
        <f t="shared" si="13"/>
        <v>10</v>
      </c>
      <c r="AX16" s="653"/>
      <c r="AZ16" s="540" t="e">
        <f t="shared" si="14"/>
        <v>#N/A</v>
      </c>
      <c r="BA16" s="653"/>
    </row>
    <row r="17" spans="2:53">
      <c r="B17" s="661"/>
      <c r="C17" s="483">
        <v>11</v>
      </c>
      <c r="D17" s="223" t="s">
        <v>795</v>
      </c>
      <c r="E17" s="491">
        <v>21</v>
      </c>
      <c r="F17" s="483">
        <v>2400</v>
      </c>
      <c r="G17" s="484">
        <v>114.28571428571429</v>
      </c>
      <c r="H17" s="678"/>
      <c r="I17" s="487">
        <f t="shared" si="0"/>
        <v>21</v>
      </c>
      <c r="J17" s="487">
        <f t="shared" si="0"/>
        <v>2187.592465942525</v>
      </c>
      <c r="K17" s="363">
        <f t="shared" si="0"/>
        <v>104.17106980678689</v>
      </c>
      <c r="L17" s="615"/>
      <c r="M17" s="489">
        <f>RANK(K17, K$7:$K$21)</f>
        <v>11</v>
      </c>
      <c r="N17" s="624"/>
      <c r="O17" s="624"/>
      <c r="P17" s="411"/>
      <c r="Q17" s="182"/>
      <c r="R17" s="182"/>
      <c r="S17" s="414"/>
      <c r="T17" s="674"/>
      <c r="U17" s="540">
        <v>21</v>
      </c>
      <c r="V17" s="541">
        <v>2177.3333333333335</v>
      </c>
      <c r="W17" s="541">
        <v>103.68253968253968</v>
      </c>
      <c r="X17" s="540">
        <f t="shared" si="8"/>
        <v>11</v>
      </c>
      <c r="Y17" s="653"/>
      <c r="Z17" s="540">
        <v>21</v>
      </c>
      <c r="AA17" s="541">
        <v>2178.3157894736846</v>
      </c>
      <c r="AB17" s="541">
        <v>103.72932330827069</v>
      </c>
      <c r="AC17" s="540">
        <f t="shared" si="9"/>
        <v>11</v>
      </c>
      <c r="AD17" s="653"/>
      <c r="AE17" s="540">
        <v>21</v>
      </c>
      <c r="AF17" s="541">
        <v>2164.772727272727</v>
      </c>
      <c r="AG17" s="541">
        <v>103.08441558441557</v>
      </c>
      <c r="AH17" s="540">
        <f t="shared" si="10"/>
        <v>11</v>
      </c>
      <c r="AI17" s="653"/>
      <c r="AJ17" s="540">
        <v>21</v>
      </c>
      <c r="AK17" s="541">
        <v>2177.2413793103447</v>
      </c>
      <c r="AL17" s="541">
        <v>103.67816091954022</v>
      </c>
      <c r="AM17" s="540">
        <f t="shared" si="11"/>
        <v>11</v>
      </c>
      <c r="AN17" s="653"/>
      <c r="AO17" s="540">
        <v>21</v>
      </c>
      <c r="AP17" s="541">
        <v>2205</v>
      </c>
      <c r="AQ17" s="541">
        <v>105</v>
      </c>
      <c r="AR17" s="540">
        <f t="shared" si="12"/>
        <v>11</v>
      </c>
      <c r="AS17" s="653"/>
      <c r="AT17" s="540">
        <v>21</v>
      </c>
      <c r="AU17" s="541">
        <v>2222.8915662650593</v>
      </c>
      <c r="AV17" s="541">
        <v>105.8519793459552</v>
      </c>
      <c r="AW17" s="540">
        <f t="shared" si="13"/>
        <v>11</v>
      </c>
      <c r="AX17" s="653"/>
      <c r="AZ17" s="540" t="e">
        <f t="shared" si="14"/>
        <v>#N/A</v>
      </c>
      <c r="BA17" s="653"/>
    </row>
    <row r="18" spans="2:53">
      <c r="B18" s="661"/>
      <c r="C18" s="483">
        <v>12</v>
      </c>
      <c r="D18" s="223"/>
      <c r="E18" s="491"/>
      <c r="F18" s="483"/>
      <c r="G18" s="484"/>
      <c r="H18" s="678"/>
      <c r="I18" s="487" t="str">
        <f t="shared" si="0"/>
        <v>-</v>
      </c>
      <c r="J18" s="487" t="str">
        <f t="shared" si="0"/>
        <v>-</v>
      </c>
      <c r="K18" s="363" t="str">
        <f t="shared" si="0"/>
        <v>-</v>
      </c>
      <c r="L18" s="615"/>
      <c r="M18" s="489" t="e">
        <f>RANK(K18, K$7:$K$21)</f>
        <v>#VALUE!</v>
      </c>
      <c r="N18" s="624"/>
      <c r="O18" s="624"/>
      <c r="P18" s="411"/>
      <c r="Q18" s="182"/>
      <c r="R18" s="182"/>
      <c r="S18" s="414"/>
      <c r="T18" s="674"/>
      <c r="U18" s="540" t="s">
        <v>427</v>
      </c>
      <c r="V18" s="541" t="s">
        <v>427</v>
      </c>
      <c r="W18" s="541" t="s">
        <v>427</v>
      </c>
      <c r="X18" s="540" t="e">
        <f t="shared" si="8"/>
        <v>#VALUE!</v>
      </c>
      <c r="Y18" s="653"/>
      <c r="Z18" s="540" t="s">
        <v>427</v>
      </c>
      <c r="AA18" s="541" t="s">
        <v>427</v>
      </c>
      <c r="AB18" s="541" t="s">
        <v>427</v>
      </c>
      <c r="AC18" s="540" t="e">
        <f t="shared" si="9"/>
        <v>#VALUE!</v>
      </c>
      <c r="AD18" s="653"/>
      <c r="AE18" s="540" t="s">
        <v>427</v>
      </c>
      <c r="AF18" s="541" t="s">
        <v>427</v>
      </c>
      <c r="AG18" s="541" t="s">
        <v>427</v>
      </c>
      <c r="AH18" s="540" t="e">
        <f t="shared" si="10"/>
        <v>#VALUE!</v>
      </c>
      <c r="AI18" s="653"/>
      <c r="AJ18" s="540" t="s">
        <v>427</v>
      </c>
      <c r="AK18" s="541" t="s">
        <v>427</v>
      </c>
      <c r="AL18" s="541" t="s">
        <v>427</v>
      </c>
      <c r="AM18" s="540" t="e">
        <f t="shared" si="11"/>
        <v>#VALUE!</v>
      </c>
      <c r="AN18" s="653"/>
      <c r="AO18" s="540" t="s">
        <v>427</v>
      </c>
      <c r="AP18" s="541" t="s">
        <v>427</v>
      </c>
      <c r="AQ18" s="541" t="s">
        <v>427</v>
      </c>
      <c r="AR18" s="540" t="e">
        <f t="shared" si="12"/>
        <v>#VALUE!</v>
      </c>
      <c r="AS18" s="653"/>
      <c r="AT18" s="540" t="s">
        <v>427</v>
      </c>
      <c r="AU18" s="541" t="s">
        <v>427</v>
      </c>
      <c r="AV18" s="541" t="s">
        <v>427</v>
      </c>
      <c r="AW18" s="540" t="e">
        <f t="shared" si="13"/>
        <v>#VALUE!</v>
      </c>
      <c r="AX18" s="653"/>
      <c r="AZ18" s="540" t="e">
        <f t="shared" si="14"/>
        <v>#N/A</v>
      </c>
      <c r="BA18" s="653"/>
    </row>
    <row r="19" spans="2:53">
      <c r="B19" s="661"/>
      <c r="C19" s="483">
        <v>13</v>
      </c>
      <c r="D19" s="223"/>
      <c r="E19" s="491"/>
      <c r="F19" s="483"/>
      <c r="G19" s="484"/>
      <c r="H19" s="678"/>
      <c r="I19" s="487" t="str">
        <f t="shared" si="0"/>
        <v>-</v>
      </c>
      <c r="J19" s="487" t="str">
        <f t="shared" si="0"/>
        <v>-</v>
      </c>
      <c r="K19" s="363" t="str">
        <f t="shared" si="0"/>
        <v>-</v>
      </c>
      <c r="L19" s="615"/>
      <c r="M19" s="489" t="e">
        <f>RANK(K19, K$7:$K$21)</f>
        <v>#VALUE!</v>
      </c>
      <c r="N19" s="624"/>
      <c r="O19" s="624"/>
      <c r="P19" s="411"/>
      <c r="Q19" s="182"/>
      <c r="R19" s="182"/>
      <c r="S19" s="414"/>
      <c r="T19" s="674"/>
      <c r="U19" s="540" t="s">
        <v>427</v>
      </c>
      <c r="V19" s="541" t="s">
        <v>427</v>
      </c>
      <c r="W19" s="541" t="s">
        <v>427</v>
      </c>
      <c r="X19" s="540" t="e">
        <f t="shared" si="8"/>
        <v>#VALUE!</v>
      </c>
      <c r="Y19" s="653"/>
      <c r="Z19" s="540" t="s">
        <v>427</v>
      </c>
      <c r="AA19" s="541" t="s">
        <v>427</v>
      </c>
      <c r="AB19" s="541" t="s">
        <v>427</v>
      </c>
      <c r="AC19" s="540" t="e">
        <f t="shared" si="9"/>
        <v>#VALUE!</v>
      </c>
      <c r="AD19" s="653"/>
      <c r="AE19" s="540" t="s">
        <v>427</v>
      </c>
      <c r="AF19" s="541" t="s">
        <v>427</v>
      </c>
      <c r="AG19" s="541" t="s">
        <v>427</v>
      </c>
      <c r="AH19" s="540" t="e">
        <f t="shared" si="10"/>
        <v>#VALUE!</v>
      </c>
      <c r="AI19" s="653"/>
      <c r="AJ19" s="540" t="s">
        <v>427</v>
      </c>
      <c r="AK19" s="541" t="s">
        <v>427</v>
      </c>
      <c r="AL19" s="541" t="s">
        <v>427</v>
      </c>
      <c r="AM19" s="540" t="e">
        <f t="shared" si="11"/>
        <v>#VALUE!</v>
      </c>
      <c r="AN19" s="653"/>
      <c r="AO19" s="540" t="s">
        <v>427</v>
      </c>
      <c r="AP19" s="541" t="s">
        <v>427</v>
      </c>
      <c r="AQ19" s="541" t="s">
        <v>427</v>
      </c>
      <c r="AR19" s="540" t="e">
        <f t="shared" si="12"/>
        <v>#VALUE!</v>
      </c>
      <c r="AS19" s="653"/>
      <c r="AT19" s="540" t="s">
        <v>427</v>
      </c>
      <c r="AU19" s="541" t="s">
        <v>427</v>
      </c>
      <c r="AV19" s="541" t="s">
        <v>427</v>
      </c>
      <c r="AW19" s="540" t="e">
        <f t="shared" si="13"/>
        <v>#VALUE!</v>
      </c>
      <c r="AX19" s="653"/>
      <c r="AZ19" s="540" t="e">
        <f t="shared" si="14"/>
        <v>#N/A</v>
      </c>
      <c r="BA19" s="653"/>
    </row>
    <row r="20" spans="2:53">
      <c r="B20" s="661"/>
      <c r="C20" s="483">
        <v>14</v>
      </c>
      <c r="D20" s="223"/>
      <c r="E20" s="491"/>
      <c r="F20" s="483"/>
      <c r="G20" s="484"/>
      <c r="H20" s="678"/>
      <c r="I20" s="487" t="str">
        <f t="shared" si="0"/>
        <v>-</v>
      </c>
      <c r="J20" s="487" t="str">
        <f t="shared" si="0"/>
        <v>-</v>
      </c>
      <c r="K20" s="363" t="str">
        <f t="shared" si="0"/>
        <v>-</v>
      </c>
      <c r="L20" s="615"/>
      <c r="M20" s="489" t="e">
        <f>RANK(K20, K$7:$K$21)</f>
        <v>#VALUE!</v>
      </c>
      <c r="N20" s="624"/>
      <c r="O20" s="624"/>
      <c r="P20" s="411"/>
      <c r="Q20" s="182"/>
      <c r="R20" s="182"/>
      <c r="S20" s="414"/>
      <c r="T20" s="674"/>
      <c r="U20" s="540" t="s">
        <v>427</v>
      </c>
      <c r="V20" s="541" t="s">
        <v>427</v>
      </c>
      <c r="W20" s="541" t="s">
        <v>427</v>
      </c>
      <c r="X20" s="540" t="e">
        <f t="shared" si="8"/>
        <v>#VALUE!</v>
      </c>
      <c r="Y20" s="653"/>
      <c r="Z20" s="540" t="s">
        <v>427</v>
      </c>
      <c r="AA20" s="541" t="s">
        <v>427</v>
      </c>
      <c r="AB20" s="541" t="s">
        <v>427</v>
      </c>
      <c r="AC20" s="540" t="e">
        <f t="shared" si="9"/>
        <v>#VALUE!</v>
      </c>
      <c r="AD20" s="653"/>
      <c r="AE20" s="540" t="s">
        <v>427</v>
      </c>
      <c r="AF20" s="541" t="s">
        <v>427</v>
      </c>
      <c r="AG20" s="541" t="s">
        <v>427</v>
      </c>
      <c r="AH20" s="540" t="e">
        <f t="shared" si="10"/>
        <v>#VALUE!</v>
      </c>
      <c r="AI20" s="653"/>
      <c r="AJ20" s="540" t="s">
        <v>427</v>
      </c>
      <c r="AK20" s="541" t="s">
        <v>427</v>
      </c>
      <c r="AL20" s="541" t="s">
        <v>427</v>
      </c>
      <c r="AM20" s="540" t="e">
        <f t="shared" si="11"/>
        <v>#VALUE!</v>
      </c>
      <c r="AN20" s="653"/>
      <c r="AO20" s="540" t="s">
        <v>427</v>
      </c>
      <c r="AP20" s="541" t="s">
        <v>427</v>
      </c>
      <c r="AQ20" s="541" t="s">
        <v>427</v>
      </c>
      <c r="AR20" s="540" t="e">
        <f t="shared" si="12"/>
        <v>#VALUE!</v>
      </c>
      <c r="AS20" s="653"/>
      <c r="AT20" s="540" t="s">
        <v>427</v>
      </c>
      <c r="AU20" s="541" t="s">
        <v>427</v>
      </c>
      <c r="AV20" s="541" t="s">
        <v>427</v>
      </c>
      <c r="AW20" s="540" t="e">
        <f t="shared" si="13"/>
        <v>#VALUE!</v>
      </c>
      <c r="AX20" s="653"/>
      <c r="AZ20" s="540" t="e">
        <f t="shared" si="14"/>
        <v>#N/A</v>
      </c>
      <c r="BA20" s="653"/>
    </row>
    <row r="21" spans="2:53">
      <c r="B21" s="661"/>
      <c r="C21" s="483">
        <v>15</v>
      </c>
      <c r="D21" s="223"/>
      <c r="E21" s="491"/>
      <c r="F21" s="483"/>
      <c r="G21" s="484"/>
      <c r="H21" s="679"/>
      <c r="I21" s="485"/>
      <c r="J21" s="485"/>
      <c r="K21" s="485"/>
      <c r="L21" s="616"/>
      <c r="M21" s="489" t="e">
        <f>RANK(K21, K$7:$K$21)</f>
        <v>#N/A</v>
      </c>
      <c r="N21" s="624"/>
      <c r="O21" s="624"/>
      <c r="P21" s="411"/>
      <c r="Q21" s="182"/>
      <c r="R21" s="182"/>
      <c r="S21" s="414"/>
      <c r="T21" s="674"/>
      <c r="U21" s="540" t="s">
        <v>427</v>
      </c>
      <c r="V21" s="541" t="s">
        <v>427</v>
      </c>
      <c r="W21" s="541" t="s">
        <v>427</v>
      </c>
      <c r="X21" s="540" t="e">
        <f t="shared" si="8"/>
        <v>#VALUE!</v>
      </c>
      <c r="Y21" s="653"/>
      <c r="Z21" s="540" t="s">
        <v>427</v>
      </c>
      <c r="AA21" s="541" t="s">
        <v>427</v>
      </c>
      <c r="AB21" s="541" t="s">
        <v>427</v>
      </c>
      <c r="AC21" s="540" t="e">
        <f t="shared" si="9"/>
        <v>#VALUE!</v>
      </c>
      <c r="AD21" s="653"/>
      <c r="AE21" s="540" t="s">
        <v>427</v>
      </c>
      <c r="AF21" s="541" t="s">
        <v>427</v>
      </c>
      <c r="AG21" s="541" t="s">
        <v>427</v>
      </c>
      <c r="AH21" s="540" t="e">
        <f t="shared" si="10"/>
        <v>#VALUE!</v>
      </c>
      <c r="AI21" s="653"/>
      <c r="AJ21" s="540" t="s">
        <v>427</v>
      </c>
      <c r="AK21" s="541" t="s">
        <v>427</v>
      </c>
      <c r="AL21" s="541" t="s">
        <v>427</v>
      </c>
      <c r="AM21" s="540" t="e">
        <f t="shared" si="11"/>
        <v>#VALUE!</v>
      </c>
      <c r="AN21" s="653"/>
      <c r="AO21" s="540" t="s">
        <v>427</v>
      </c>
      <c r="AP21" s="541" t="s">
        <v>427</v>
      </c>
      <c r="AQ21" s="541" t="s">
        <v>427</v>
      </c>
      <c r="AR21" s="540" t="e">
        <f t="shared" si="12"/>
        <v>#VALUE!</v>
      </c>
      <c r="AS21" s="653"/>
      <c r="AT21" s="540" t="s">
        <v>427</v>
      </c>
      <c r="AU21" s="541" t="s">
        <v>427</v>
      </c>
      <c r="AV21" s="541" t="s">
        <v>427</v>
      </c>
      <c r="AW21" s="540" t="e">
        <f t="shared" si="13"/>
        <v>#VALUE!</v>
      </c>
      <c r="AX21" s="653"/>
      <c r="AZ21" s="540" t="e">
        <f t="shared" si="14"/>
        <v>#N/A</v>
      </c>
      <c r="BA21" s="653"/>
    </row>
    <row r="22" spans="2:53" ht="15.75">
      <c r="B22" s="657" t="s">
        <v>161</v>
      </c>
      <c r="C22" s="658"/>
      <c r="D22" s="658"/>
      <c r="E22" s="658"/>
      <c r="F22" s="658"/>
      <c r="G22" s="658"/>
      <c r="H22" s="658"/>
      <c r="I22" s="200"/>
      <c r="J22" s="200"/>
      <c r="K22" s="200"/>
      <c r="L22" s="200"/>
      <c r="M22" s="201"/>
      <c r="N22" s="639" t="s">
        <v>792</v>
      </c>
      <c r="O22" s="639" t="s">
        <v>657</v>
      </c>
      <c r="P22" s="634">
        <f>AT2+1</f>
        <v>46210</v>
      </c>
      <c r="Q22" s="635"/>
      <c r="R22" s="635"/>
      <c r="S22" s="635"/>
      <c r="T22" s="635"/>
      <c r="U22" s="636">
        <f>P22+1</f>
        <v>46211</v>
      </c>
      <c r="V22" s="637"/>
      <c r="W22" s="637"/>
      <c r="X22" s="637"/>
      <c r="Y22" s="638"/>
      <c r="Z22" s="636">
        <f t="shared" ref="Z22" si="15">U22+1</f>
        <v>46212</v>
      </c>
      <c r="AA22" s="637"/>
      <c r="AB22" s="637"/>
      <c r="AC22" s="637"/>
      <c r="AD22" s="638"/>
      <c r="AE22" s="636">
        <f t="shared" ref="AE22" si="16">Z22+1</f>
        <v>46213</v>
      </c>
      <c r="AF22" s="637"/>
      <c r="AG22" s="637"/>
      <c r="AH22" s="637"/>
      <c r="AI22" s="638"/>
      <c r="AJ22" s="636">
        <f t="shared" ref="AJ22" si="17">AE22+1</f>
        <v>46214</v>
      </c>
      <c r="AK22" s="637"/>
      <c r="AL22" s="637"/>
      <c r="AM22" s="637"/>
      <c r="AN22" s="638"/>
      <c r="AO22" s="636">
        <f t="shared" ref="AO22" si="18">AJ22+1</f>
        <v>46215</v>
      </c>
      <c r="AP22" s="637"/>
      <c r="AQ22" s="637"/>
      <c r="AR22" s="637"/>
      <c r="AS22" s="638"/>
      <c r="AT22" s="636">
        <f t="shared" ref="AT22" si="19">AO22+1</f>
        <v>46216</v>
      </c>
      <c r="AU22" s="637"/>
      <c r="AV22" s="637"/>
      <c r="AW22" s="637"/>
      <c r="AX22" s="638"/>
    </row>
    <row r="23" spans="2:53" ht="15.75">
      <c r="B23" s="646"/>
      <c r="C23" s="646"/>
      <c r="D23" s="646"/>
      <c r="E23" s="646"/>
      <c r="F23" s="646"/>
      <c r="G23" s="646"/>
      <c r="H23" s="646"/>
      <c r="I23" s="202"/>
      <c r="J23" s="202"/>
      <c r="K23" s="202"/>
      <c r="L23" s="202"/>
      <c r="M23" s="203"/>
      <c r="N23" s="641"/>
      <c r="O23" s="641"/>
      <c r="P23" s="634" t="s">
        <v>658</v>
      </c>
      <c r="Q23" s="635"/>
      <c r="R23" s="635"/>
      <c r="S23" s="635"/>
      <c r="T23" s="635"/>
      <c r="U23" s="634" t="s">
        <v>479</v>
      </c>
      <c r="V23" s="635"/>
      <c r="W23" s="635"/>
      <c r="X23" s="635"/>
      <c r="Y23" s="635"/>
      <c r="Z23" s="634" t="s">
        <v>659</v>
      </c>
      <c r="AA23" s="635"/>
      <c r="AB23" s="635"/>
      <c r="AC23" s="635"/>
      <c r="AD23" s="635"/>
      <c r="AE23" s="634" t="s">
        <v>660</v>
      </c>
      <c r="AF23" s="635"/>
      <c r="AG23" s="635"/>
      <c r="AH23" s="635"/>
      <c r="AI23" s="635"/>
      <c r="AJ23" s="634" t="s">
        <v>595</v>
      </c>
      <c r="AK23" s="635"/>
      <c r="AL23" s="635"/>
      <c r="AM23" s="635"/>
      <c r="AN23" s="635"/>
      <c r="AO23" s="634" t="s">
        <v>596</v>
      </c>
      <c r="AP23" s="635"/>
      <c r="AQ23" s="635"/>
      <c r="AR23" s="635"/>
      <c r="AS23" s="635"/>
      <c r="AT23" s="634" t="s">
        <v>597</v>
      </c>
      <c r="AU23" s="635"/>
      <c r="AV23" s="635"/>
      <c r="AW23" s="635"/>
      <c r="AX23" s="635"/>
    </row>
    <row r="24" spans="2:53">
      <c r="B24" s="624" t="s">
        <v>154</v>
      </c>
      <c r="C24" s="624" t="s">
        <v>464</v>
      </c>
      <c r="D24" s="624"/>
      <c r="E24" s="624" t="s">
        <v>465</v>
      </c>
      <c r="F24" s="624"/>
      <c r="G24" s="624"/>
      <c r="H24" s="647" t="s">
        <v>466</v>
      </c>
      <c r="I24" s="624" t="s">
        <v>467</v>
      </c>
      <c r="J24" s="624"/>
      <c r="K24" s="624"/>
      <c r="L24" s="647" t="s">
        <v>367</v>
      </c>
      <c r="M24" s="639" t="s">
        <v>468</v>
      </c>
      <c r="N24" s="624"/>
      <c r="O24" s="624" t="s">
        <v>708</v>
      </c>
      <c r="P24" s="621" t="s">
        <v>709</v>
      </c>
      <c r="Q24" s="622"/>
      <c r="R24" s="622"/>
      <c r="S24" s="623"/>
      <c r="T24" s="624" t="s">
        <v>706</v>
      </c>
      <c r="U24" s="621" t="s">
        <v>709</v>
      </c>
      <c r="V24" s="622"/>
      <c r="W24" s="622"/>
      <c r="X24" s="623"/>
      <c r="Y24" s="624" t="s">
        <v>706</v>
      </c>
      <c r="Z24" s="621" t="s">
        <v>709</v>
      </c>
      <c r="AA24" s="622"/>
      <c r="AB24" s="622"/>
      <c r="AC24" s="623"/>
      <c r="AD24" s="624" t="s">
        <v>706</v>
      </c>
      <c r="AE24" s="621" t="s">
        <v>709</v>
      </c>
      <c r="AF24" s="622"/>
      <c r="AG24" s="622"/>
      <c r="AH24" s="623"/>
      <c r="AI24" s="624" t="s">
        <v>706</v>
      </c>
      <c r="AJ24" s="621" t="s">
        <v>709</v>
      </c>
      <c r="AK24" s="622"/>
      <c r="AL24" s="622"/>
      <c r="AM24" s="623"/>
      <c r="AN24" s="624" t="s">
        <v>706</v>
      </c>
      <c r="AO24" s="621" t="s">
        <v>709</v>
      </c>
      <c r="AP24" s="622"/>
      <c r="AQ24" s="622"/>
      <c r="AR24" s="623"/>
      <c r="AS24" s="624" t="s">
        <v>706</v>
      </c>
      <c r="AT24" s="621" t="s">
        <v>709</v>
      </c>
      <c r="AU24" s="622"/>
      <c r="AV24" s="622"/>
      <c r="AW24" s="623"/>
      <c r="AX24" s="624" t="s">
        <v>706</v>
      </c>
    </row>
    <row r="25" spans="2:53">
      <c r="B25" s="624"/>
      <c r="C25" s="624"/>
      <c r="D25" s="624"/>
      <c r="E25" s="624" t="s">
        <v>470</v>
      </c>
      <c r="F25" s="624"/>
      <c r="G25" s="624"/>
      <c r="H25" s="648"/>
      <c r="I25" s="624" t="s">
        <v>470</v>
      </c>
      <c r="J25" s="624"/>
      <c r="K25" s="624"/>
      <c r="L25" s="648"/>
      <c r="M25" s="640"/>
      <c r="N25" s="624"/>
      <c r="O25" s="624"/>
      <c r="P25" s="621" t="s">
        <v>710</v>
      </c>
      <c r="Q25" s="622"/>
      <c r="R25" s="622"/>
      <c r="S25" s="623"/>
      <c r="T25" s="624"/>
      <c r="U25" s="621" t="s">
        <v>710</v>
      </c>
      <c r="V25" s="622"/>
      <c r="W25" s="622"/>
      <c r="X25" s="623"/>
      <c r="Y25" s="624"/>
      <c r="Z25" s="621" t="s">
        <v>710</v>
      </c>
      <c r="AA25" s="622"/>
      <c r="AB25" s="622"/>
      <c r="AC25" s="623"/>
      <c r="AD25" s="624"/>
      <c r="AE25" s="621" t="s">
        <v>710</v>
      </c>
      <c r="AF25" s="622"/>
      <c r="AG25" s="622"/>
      <c r="AH25" s="623"/>
      <c r="AI25" s="624"/>
      <c r="AJ25" s="621" t="s">
        <v>710</v>
      </c>
      <c r="AK25" s="622"/>
      <c r="AL25" s="622"/>
      <c r="AM25" s="623"/>
      <c r="AN25" s="624"/>
      <c r="AO25" s="621" t="s">
        <v>710</v>
      </c>
      <c r="AP25" s="622"/>
      <c r="AQ25" s="622"/>
      <c r="AR25" s="623"/>
      <c r="AS25" s="624"/>
      <c r="AT25" s="621" t="s">
        <v>710</v>
      </c>
      <c r="AU25" s="622"/>
      <c r="AV25" s="622"/>
      <c r="AW25" s="623"/>
      <c r="AX25" s="624"/>
    </row>
    <row r="26" spans="2:53">
      <c r="B26" s="624"/>
      <c r="C26" s="624"/>
      <c r="D26" s="624"/>
      <c r="E26" s="482" t="s">
        <v>471</v>
      </c>
      <c r="F26" s="482" t="s">
        <v>472</v>
      </c>
      <c r="G26" s="482" t="s">
        <v>473</v>
      </c>
      <c r="H26" s="649"/>
      <c r="I26" s="482" t="s">
        <v>471</v>
      </c>
      <c r="J26" s="482" t="s">
        <v>472</v>
      </c>
      <c r="K26" s="482" t="s">
        <v>473</v>
      </c>
      <c r="L26" s="649"/>
      <c r="M26" s="641"/>
      <c r="N26" s="624"/>
      <c r="O26" s="624"/>
      <c r="P26" s="431" t="s">
        <v>711</v>
      </c>
      <c r="Q26" s="431" t="s">
        <v>712</v>
      </c>
      <c r="R26" s="431" t="s">
        <v>713</v>
      </c>
      <c r="S26" s="431" t="s">
        <v>707</v>
      </c>
      <c r="T26" s="624"/>
      <c r="U26" s="431" t="s">
        <v>711</v>
      </c>
      <c r="V26" s="431" t="s">
        <v>712</v>
      </c>
      <c r="W26" s="431" t="s">
        <v>713</v>
      </c>
      <c r="X26" s="431" t="s">
        <v>707</v>
      </c>
      <c r="Y26" s="624"/>
      <c r="Z26" s="431" t="s">
        <v>711</v>
      </c>
      <c r="AA26" s="431" t="s">
        <v>712</v>
      </c>
      <c r="AB26" s="431" t="s">
        <v>713</v>
      </c>
      <c r="AC26" s="431" t="s">
        <v>707</v>
      </c>
      <c r="AD26" s="624"/>
      <c r="AE26" s="431" t="s">
        <v>711</v>
      </c>
      <c r="AF26" s="431" t="s">
        <v>712</v>
      </c>
      <c r="AG26" s="431" t="s">
        <v>713</v>
      </c>
      <c r="AH26" s="431" t="s">
        <v>707</v>
      </c>
      <c r="AI26" s="624"/>
      <c r="AJ26" s="431" t="s">
        <v>711</v>
      </c>
      <c r="AK26" s="431" t="s">
        <v>712</v>
      </c>
      <c r="AL26" s="431" t="s">
        <v>713</v>
      </c>
      <c r="AM26" s="431" t="s">
        <v>707</v>
      </c>
      <c r="AN26" s="624"/>
      <c r="AO26" s="431" t="s">
        <v>711</v>
      </c>
      <c r="AP26" s="431" t="s">
        <v>712</v>
      </c>
      <c r="AQ26" s="431" t="s">
        <v>713</v>
      </c>
      <c r="AR26" s="431" t="s">
        <v>707</v>
      </c>
      <c r="AS26" s="624"/>
      <c r="AT26" s="431" t="s">
        <v>711</v>
      </c>
      <c r="AU26" s="431" t="s">
        <v>712</v>
      </c>
      <c r="AV26" s="431" t="s">
        <v>713</v>
      </c>
      <c r="AW26" s="431" t="s">
        <v>707</v>
      </c>
      <c r="AX26" s="624"/>
    </row>
    <row r="27" spans="2:53">
      <c r="B27" s="624" t="s">
        <v>793</v>
      </c>
      <c r="C27" s="485">
        <v>1</v>
      </c>
      <c r="D27" s="223" t="s">
        <v>347</v>
      </c>
      <c r="E27" s="491">
        <v>20</v>
      </c>
      <c r="F27" s="483">
        <v>2400</v>
      </c>
      <c r="G27" s="484">
        <v>120</v>
      </c>
      <c r="H27" s="671">
        <f>AVERAGE(G27:G41)</f>
        <v>135.87404602191751</v>
      </c>
      <c r="I27" s="487">
        <f t="shared" ref="I27:K40" si="20">IFERROR(AVERAGE(P27,U27,Z27,AE27,AJ27,AO27,AT27),"-")</f>
        <v>20</v>
      </c>
      <c r="J27" s="487">
        <f t="shared" si="20"/>
        <v>2359.0131626174161</v>
      </c>
      <c r="K27" s="363">
        <f t="shared" si="20"/>
        <v>117.95065813087083</v>
      </c>
      <c r="L27" s="614">
        <f>IFERROR(AVERAGE(K27:K41),"-")</f>
        <v>122.96480912594996</v>
      </c>
      <c r="M27" s="490">
        <f>RANK(K27, K$24:$K$41)</f>
        <v>8</v>
      </c>
      <c r="N27" s="624"/>
      <c r="O27" s="624"/>
      <c r="P27" s="540">
        <v>20</v>
      </c>
      <c r="Q27" s="541">
        <v>2371.3297297297304</v>
      </c>
      <c r="R27" s="541">
        <v>118.56648648648653</v>
      </c>
      <c r="S27" s="540">
        <f t="shared" ref="S27:S41" si="21">RANK(R27, R$27:R$41)</f>
        <v>9</v>
      </c>
      <c r="T27" s="653">
        <f t="shared" ref="T27" si="22">AVERAGE(R27:R41)</f>
        <v>123.20003675873994</v>
      </c>
      <c r="U27" s="540">
        <v>20</v>
      </c>
      <c r="V27" s="541">
        <v>2379.4349999999999</v>
      </c>
      <c r="W27" s="541">
        <v>118.97175</v>
      </c>
      <c r="X27" s="540">
        <f t="shared" ref="X27:X41" si="23">RANK(W27, W$27:W$41)</f>
        <v>7</v>
      </c>
      <c r="Y27" s="653">
        <f t="shared" ref="Y27" si="24">AVERAGE(W27:W41)</f>
        <v>122.25203088156313</v>
      </c>
      <c r="Z27" s="540">
        <v>20</v>
      </c>
      <c r="AA27" s="541">
        <v>2324.7793548387094</v>
      </c>
      <c r="AB27" s="541">
        <v>116.23896774193547</v>
      </c>
      <c r="AC27" s="540">
        <f t="shared" ref="AC27:AC41" si="25">RANK(AB27, AB$27:AB$41)</f>
        <v>8</v>
      </c>
      <c r="AD27" s="653">
        <f t="shared" ref="AD27" si="26">AVERAGE(AB27:AB41)</f>
        <v>123.62022765047186</v>
      </c>
      <c r="AE27" s="540">
        <v>20</v>
      </c>
      <c r="AF27" s="541">
        <v>2347.5903614457825</v>
      </c>
      <c r="AG27" s="541">
        <v>117.37951807228913</v>
      </c>
      <c r="AH27" s="540">
        <f t="shared" ref="AH27:AH41" si="27">RANK(AG27, AG$27:AG$41)</f>
        <v>9</v>
      </c>
      <c r="AI27" s="653">
        <f t="shared" ref="AI27" si="28">AVERAGE(AG27:AG41)</f>
        <v>122.96848047777256</v>
      </c>
      <c r="AJ27" s="540">
        <v>20</v>
      </c>
      <c r="AK27" s="541">
        <v>2381.5384615384614</v>
      </c>
      <c r="AL27" s="541">
        <v>119.07692307692307</v>
      </c>
      <c r="AM27" s="540">
        <f t="shared" ref="AM27:AM41" si="29">RANK(AL27, AL$27:AL$41)</f>
        <v>8</v>
      </c>
      <c r="AN27" s="653">
        <f t="shared" ref="AN27" si="30">AVERAGE(AL27:AL41)</f>
        <v>123.38108661286793</v>
      </c>
      <c r="AO27" s="540">
        <v>20</v>
      </c>
      <c r="AP27" s="541">
        <v>2381.5384615384614</v>
      </c>
      <c r="AQ27" s="541">
        <v>119.07692307692307</v>
      </c>
      <c r="AR27" s="540">
        <f t="shared" ref="AR27:AR41" si="31">RANK(AQ27, AQ$27:AQ$41)</f>
        <v>8</v>
      </c>
      <c r="AS27" s="653">
        <f t="shared" ref="AS27" si="32">AVERAGE(AQ27:AQ41)</f>
        <v>123.23707923274308</v>
      </c>
      <c r="AT27" s="540">
        <v>20</v>
      </c>
      <c r="AU27" s="541">
        <v>2326.8807692307696</v>
      </c>
      <c r="AV27" s="541">
        <v>116.34403846153847</v>
      </c>
      <c r="AW27" s="540">
        <f>RANK(AV27, AV$27:AV$41)</f>
        <v>8</v>
      </c>
      <c r="AX27" s="653">
        <f t="shared" ref="AX27" si="33">AVERAGE(AV27:AV41)</f>
        <v>122.09472226749132</v>
      </c>
      <c r="AZ27" s="377" t="e">
        <f t="shared" ref="AZ27:AZ41" si="34">RANK(AY27, AY$27:AY$41)</f>
        <v>#N/A</v>
      </c>
      <c r="BA27" s="653" t="e">
        <f t="shared" ref="BA27" si="35">AVERAGE(AY27:AY41)</f>
        <v>#DIV/0!</v>
      </c>
    </row>
    <row r="28" spans="2:53">
      <c r="B28" s="635"/>
      <c r="C28" s="485">
        <v>2</v>
      </c>
      <c r="D28" s="223" t="s">
        <v>348</v>
      </c>
      <c r="E28" s="491">
        <v>18</v>
      </c>
      <c r="F28" s="483">
        <v>2769</v>
      </c>
      <c r="G28" s="484">
        <v>153.83333333333334</v>
      </c>
      <c r="H28" s="672"/>
      <c r="I28" s="487">
        <f t="shared" si="20"/>
        <v>18.285714285714285</v>
      </c>
      <c r="J28" s="487">
        <f t="shared" si="20"/>
        <v>2507.763257378102</v>
      </c>
      <c r="K28" s="363">
        <f t="shared" si="20"/>
        <v>137.23439073229147</v>
      </c>
      <c r="L28" s="615"/>
      <c r="M28" s="490">
        <f>RANK(K28, K$24:$K$41)</f>
        <v>2</v>
      </c>
      <c r="N28" s="624"/>
      <c r="O28" s="624"/>
      <c r="P28" s="540">
        <v>18</v>
      </c>
      <c r="Q28" s="541">
        <v>2522.1951219512189</v>
      </c>
      <c r="R28" s="541">
        <v>140.12195121951217</v>
      </c>
      <c r="S28" s="540">
        <f t="shared" si="21"/>
        <v>1</v>
      </c>
      <c r="T28" s="653"/>
      <c r="U28" s="540">
        <v>18</v>
      </c>
      <c r="V28" s="541">
        <v>2496.2962962962952</v>
      </c>
      <c r="W28" s="541">
        <v>138.68312757201639</v>
      </c>
      <c r="X28" s="540">
        <f t="shared" si="23"/>
        <v>2</v>
      </c>
      <c r="Y28" s="653"/>
      <c r="Z28" s="540">
        <v>19</v>
      </c>
      <c r="AA28" s="541">
        <v>2498.1818181818167</v>
      </c>
      <c r="AB28" s="541">
        <v>131.48325358851667</v>
      </c>
      <c r="AC28" s="540">
        <f t="shared" si="25"/>
        <v>5</v>
      </c>
      <c r="AD28" s="653"/>
      <c r="AE28" s="540">
        <v>18</v>
      </c>
      <c r="AF28" s="541">
        <v>2540.8695652173888</v>
      </c>
      <c r="AG28" s="541">
        <v>141.15942028985492</v>
      </c>
      <c r="AH28" s="540">
        <f t="shared" si="27"/>
        <v>1</v>
      </c>
      <c r="AI28" s="653"/>
      <c r="AJ28" s="540">
        <v>19</v>
      </c>
      <c r="AK28" s="541">
        <v>2495.1999999999985</v>
      </c>
      <c r="AL28" s="541">
        <v>131.3263157894736</v>
      </c>
      <c r="AM28" s="540">
        <f t="shared" si="29"/>
        <v>4</v>
      </c>
      <c r="AN28" s="653"/>
      <c r="AO28" s="540">
        <v>18</v>
      </c>
      <c r="AP28" s="541">
        <v>2495.1999999999985</v>
      </c>
      <c r="AQ28" s="541">
        <v>138.62222222222215</v>
      </c>
      <c r="AR28" s="540">
        <f t="shared" si="31"/>
        <v>1</v>
      </c>
      <c r="AS28" s="653"/>
      <c r="AT28" s="540">
        <v>18</v>
      </c>
      <c r="AU28" s="541">
        <v>2506.3999999999983</v>
      </c>
      <c r="AV28" s="541">
        <v>139.24444444444435</v>
      </c>
      <c r="AW28" s="540">
        <f t="shared" ref="AW28:AW41" si="36">RANK(AV28, AV$27:AV$41)</f>
        <v>2</v>
      </c>
      <c r="AX28" s="653"/>
      <c r="AZ28" s="377" t="e">
        <f t="shared" si="34"/>
        <v>#N/A</v>
      </c>
      <c r="BA28" s="653"/>
    </row>
    <row r="29" spans="2:53">
      <c r="B29" s="635"/>
      <c r="C29" s="485">
        <v>3</v>
      </c>
      <c r="D29" s="223" t="s">
        <v>349</v>
      </c>
      <c r="E29" s="491">
        <v>19</v>
      </c>
      <c r="F29" s="483">
        <v>2769</v>
      </c>
      <c r="G29" s="484">
        <v>145.73684210526315</v>
      </c>
      <c r="H29" s="672"/>
      <c r="I29" s="487">
        <f t="shared" si="20"/>
        <v>19</v>
      </c>
      <c r="J29" s="487">
        <f t="shared" si="20"/>
        <v>2480.2213844398452</v>
      </c>
      <c r="K29" s="363">
        <f t="shared" si="20"/>
        <v>130.5379676020971</v>
      </c>
      <c r="L29" s="615"/>
      <c r="M29" s="490">
        <f>RANK(K29, K$24:$K$41)</f>
        <v>5</v>
      </c>
      <c r="N29" s="624"/>
      <c r="O29" s="624"/>
      <c r="P29" s="540">
        <v>19</v>
      </c>
      <c r="Q29" s="541">
        <v>2487.2727272727257</v>
      </c>
      <c r="R29" s="541">
        <v>130.90909090909082</v>
      </c>
      <c r="S29" s="540">
        <f t="shared" si="21"/>
        <v>4</v>
      </c>
      <c r="T29" s="653"/>
      <c r="U29" s="540">
        <v>19</v>
      </c>
      <c r="V29" s="541">
        <v>2437.5000000000018</v>
      </c>
      <c r="W29" s="541">
        <v>128.28947368421063</v>
      </c>
      <c r="X29" s="540">
        <f t="shared" si="23"/>
        <v>5</v>
      </c>
      <c r="Y29" s="653"/>
      <c r="Z29" s="540">
        <v>19</v>
      </c>
      <c r="AA29" s="541">
        <v>2510.0970873786418</v>
      </c>
      <c r="AB29" s="541">
        <v>132.11037301992852</v>
      </c>
      <c r="AC29" s="540">
        <f t="shared" si="25"/>
        <v>4</v>
      </c>
      <c r="AD29" s="653"/>
      <c r="AE29" s="540">
        <v>19</v>
      </c>
      <c r="AF29" s="541">
        <v>2461.9565217391287</v>
      </c>
      <c r="AG29" s="541">
        <v>129.57665903890151</v>
      </c>
      <c r="AH29" s="540">
        <f t="shared" si="27"/>
        <v>5</v>
      </c>
      <c r="AI29" s="653"/>
      <c r="AJ29" s="540">
        <v>19</v>
      </c>
      <c r="AK29" s="541">
        <v>2490.8910891089122</v>
      </c>
      <c r="AL29" s="541">
        <v>131.09953100573222</v>
      </c>
      <c r="AM29" s="540">
        <f t="shared" si="29"/>
        <v>5</v>
      </c>
      <c r="AN29" s="653"/>
      <c r="AO29" s="540">
        <v>19</v>
      </c>
      <c r="AP29" s="541">
        <v>2490.8910891089122</v>
      </c>
      <c r="AQ29" s="541">
        <v>131.09953100573222</v>
      </c>
      <c r="AR29" s="540">
        <f t="shared" si="31"/>
        <v>4</v>
      </c>
      <c r="AS29" s="653"/>
      <c r="AT29" s="540">
        <v>19</v>
      </c>
      <c r="AU29" s="541">
        <v>2482.9411764705892</v>
      </c>
      <c r="AV29" s="541">
        <v>130.68111455108365</v>
      </c>
      <c r="AW29" s="540">
        <f t="shared" si="36"/>
        <v>4</v>
      </c>
      <c r="AX29" s="653"/>
      <c r="AZ29" s="377" t="e">
        <f t="shared" si="34"/>
        <v>#N/A</v>
      </c>
      <c r="BA29" s="653"/>
    </row>
    <row r="30" spans="2:53">
      <c r="B30" s="635"/>
      <c r="C30" s="485">
        <v>4</v>
      </c>
      <c r="D30" s="223" t="s">
        <v>350</v>
      </c>
      <c r="E30" s="491">
        <v>20</v>
      </c>
      <c r="F30" s="483">
        <v>2769</v>
      </c>
      <c r="G30" s="484">
        <v>138.44999999999999</v>
      </c>
      <c r="H30" s="672"/>
      <c r="I30" s="487">
        <f t="shared" si="20"/>
        <v>19.285714285714285</v>
      </c>
      <c r="J30" s="487">
        <f t="shared" si="20"/>
        <v>2407.3921348374765</v>
      </c>
      <c r="K30" s="363">
        <f t="shared" si="20"/>
        <v>124.89925747264915</v>
      </c>
      <c r="L30" s="615"/>
      <c r="M30" s="490">
        <f>RANK(K30, K$24:$K$41)</f>
        <v>6</v>
      </c>
      <c r="N30" s="624"/>
      <c r="O30" s="624"/>
      <c r="P30" s="540">
        <v>19</v>
      </c>
      <c r="Q30" s="541">
        <v>2372.9010989010985</v>
      </c>
      <c r="R30" s="541">
        <v>124.88953152111044</v>
      </c>
      <c r="S30" s="540">
        <f t="shared" si="21"/>
        <v>6</v>
      </c>
      <c r="T30" s="653"/>
      <c r="U30" s="540">
        <v>19</v>
      </c>
      <c r="V30" s="541">
        <v>2373.8400000000011</v>
      </c>
      <c r="W30" s="541">
        <v>124.93894736842111</v>
      </c>
      <c r="X30" s="540">
        <f t="shared" si="23"/>
        <v>6</v>
      </c>
      <c r="Y30" s="653"/>
      <c r="Z30" s="540">
        <v>19</v>
      </c>
      <c r="AA30" s="541">
        <v>2437.0833333333339</v>
      </c>
      <c r="AB30" s="541">
        <v>128.26754385964915</v>
      </c>
      <c r="AC30" s="540">
        <f t="shared" si="25"/>
        <v>6</v>
      </c>
      <c r="AD30" s="653"/>
      <c r="AE30" s="540">
        <v>19</v>
      </c>
      <c r="AF30" s="541">
        <v>2426.0465116279065</v>
      </c>
      <c r="AG30" s="541">
        <v>127.68665850673192</v>
      </c>
      <c r="AH30" s="540">
        <f t="shared" si="27"/>
        <v>6</v>
      </c>
      <c r="AI30" s="653"/>
      <c r="AJ30" s="540">
        <v>20</v>
      </c>
      <c r="AK30" s="541">
        <v>2439.0000000000005</v>
      </c>
      <c r="AL30" s="541">
        <v>121.95000000000002</v>
      </c>
      <c r="AM30" s="540">
        <f t="shared" si="29"/>
        <v>6</v>
      </c>
      <c r="AN30" s="653"/>
      <c r="AO30" s="540">
        <v>19</v>
      </c>
      <c r="AP30" s="541">
        <v>2439.0000000000005</v>
      </c>
      <c r="AQ30" s="541">
        <v>128.36842105263159</v>
      </c>
      <c r="AR30" s="540">
        <f t="shared" si="31"/>
        <v>6</v>
      </c>
      <c r="AS30" s="653"/>
      <c r="AT30" s="540">
        <v>20</v>
      </c>
      <c r="AU30" s="541">
        <v>2363.8739999999971</v>
      </c>
      <c r="AV30" s="541">
        <v>118.19369999999985</v>
      </c>
      <c r="AW30" s="540">
        <f t="shared" si="36"/>
        <v>7</v>
      </c>
      <c r="AX30" s="653"/>
      <c r="AZ30" s="377" t="e">
        <f t="shared" si="34"/>
        <v>#N/A</v>
      </c>
      <c r="BA30" s="653"/>
    </row>
    <row r="31" spans="2:53">
      <c r="B31" s="635"/>
      <c r="C31" s="485">
        <v>5</v>
      </c>
      <c r="D31" s="223" t="s">
        <v>430</v>
      </c>
      <c r="E31" s="491">
        <v>18</v>
      </c>
      <c r="F31" s="483">
        <v>2400</v>
      </c>
      <c r="G31" s="484">
        <v>133.33333333333334</v>
      </c>
      <c r="H31" s="672"/>
      <c r="I31" s="487">
        <f t="shared" si="20"/>
        <v>18</v>
      </c>
      <c r="J31" s="487">
        <f t="shared" si="20"/>
        <v>2153.0151630839632</v>
      </c>
      <c r="K31" s="363">
        <f t="shared" si="20"/>
        <v>119.6119535046646</v>
      </c>
      <c r="L31" s="615"/>
      <c r="M31" s="490">
        <f>RANK(K31, K$24:$K$41)</f>
        <v>7</v>
      </c>
      <c r="N31" s="624"/>
      <c r="O31" s="624"/>
      <c r="P31" s="540">
        <v>18</v>
      </c>
      <c r="Q31" s="541">
        <v>2166.6558139534882</v>
      </c>
      <c r="R31" s="541">
        <v>120.36976744186046</v>
      </c>
      <c r="S31" s="540">
        <f t="shared" si="21"/>
        <v>7</v>
      </c>
      <c r="T31" s="653"/>
      <c r="U31" s="540">
        <v>18</v>
      </c>
      <c r="V31" s="541">
        <v>2135.1636363636385</v>
      </c>
      <c r="W31" s="541">
        <v>118.62020202020214</v>
      </c>
      <c r="X31" s="540">
        <f t="shared" si="23"/>
        <v>8</v>
      </c>
      <c r="Y31" s="653"/>
      <c r="Z31" s="540">
        <v>18</v>
      </c>
      <c r="AA31" s="541">
        <v>2172.6545454545471</v>
      </c>
      <c r="AB31" s="541">
        <v>120.7030303030304</v>
      </c>
      <c r="AC31" s="540">
        <f t="shared" si="25"/>
        <v>7</v>
      </c>
      <c r="AD31" s="653"/>
      <c r="AE31" s="540">
        <v>18</v>
      </c>
      <c r="AF31" s="541">
        <v>2166.1764705882329</v>
      </c>
      <c r="AG31" s="541">
        <v>120.34313725490182</v>
      </c>
      <c r="AH31" s="540">
        <f t="shared" si="27"/>
        <v>7</v>
      </c>
      <c r="AI31" s="653"/>
      <c r="AJ31" s="540">
        <v>18</v>
      </c>
      <c r="AK31" s="541">
        <v>2148.1690140845049</v>
      </c>
      <c r="AL31" s="541">
        <v>119.34272300469472</v>
      </c>
      <c r="AM31" s="540">
        <f t="shared" si="29"/>
        <v>7</v>
      </c>
      <c r="AN31" s="653"/>
      <c r="AO31" s="540">
        <v>18</v>
      </c>
      <c r="AP31" s="541">
        <v>2148.1690140845049</v>
      </c>
      <c r="AQ31" s="541">
        <v>119.34272300469472</v>
      </c>
      <c r="AR31" s="540">
        <f t="shared" si="31"/>
        <v>7</v>
      </c>
      <c r="AS31" s="653"/>
      <c r="AT31" s="540">
        <v>18</v>
      </c>
      <c r="AU31" s="541">
        <v>2134.1176470588243</v>
      </c>
      <c r="AV31" s="541">
        <v>118.56209150326802</v>
      </c>
      <c r="AW31" s="540">
        <f t="shared" si="36"/>
        <v>6</v>
      </c>
      <c r="AX31" s="653"/>
      <c r="AZ31" s="377" t="e">
        <f t="shared" si="34"/>
        <v>#N/A</v>
      </c>
      <c r="BA31" s="653"/>
    </row>
    <row r="32" spans="2:53">
      <c r="B32" s="635"/>
      <c r="C32" s="485">
        <v>6</v>
      </c>
      <c r="D32" s="223" t="s">
        <v>661</v>
      </c>
      <c r="E32" s="491">
        <v>17</v>
      </c>
      <c r="F32" s="483">
        <v>2571</v>
      </c>
      <c r="G32" s="484">
        <v>151.23529411764707</v>
      </c>
      <c r="H32" s="672"/>
      <c r="I32" s="487">
        <f t="shared" si="20"/>
        <v>17</v>
      </c>
      <c r="J32" s="487">
        <f t="shared" si="20"/>
        <v>2348.9234407049539</v>
      </c>
      <c r="K32" s="363">
        <f t="shared" si="20"/>
        <v>138.17196710029137</v>
      </c>
      <c r="L32" s="615"/>
      <c r="M32" s="490">
        <f>RANK(K32, K$24:$K$41)</f>
        <v>1</v>
      </c>
      <c r="N32" s="624"/>
      <c r="O32" s="624"/>
      <c r="P32" s="540">
        <v>17</v>
      </c>
      <c r="Q32" s="541">
        <v>2328.4615384615395</v>
      </c>
      <c r="R32" s="541">
        <v>136.96832579185525</v>
      </c>
      <c r="S32" s="540">
        <f t="shared" si="21"/>
        <v>2</v>
      </c>
      <c r="T32" s="653"/>
      <c r="U32" s="540">
        <v>17</v>
      </c>
      <c r="V32" s="541">
        <v>2371.7647058823541</v>
      </c>
      <c r="W32" s="541">
        <v>139.51557093425612</v>
      </c>
      <c r="X32" s="540">
        <f t="shared" si="23"/>
        <v>1</v>
      </c>
      <c r="Y32" s="653"/>
      <c r="Z32" s="540">
        <v>17</v>
      </c>
      <c r="AA32" s="541">
        <v>2335.2941176470595</v>
      </c>
      <c r="AB32" s="541">
        <v>137.37024221453291</v>
      </c>
      <c r="AC32" s="540">
        <f t="shared" si="25"/>
        <v>2</v>
      </c>
      <c r="AD32" s="653"/>
      <c r="AE32" s="540">
        <v>17</v>
      </c>
      <c r="AF32" s="541">
        <v>2321.4285714285706</v>
      </c>
      <c r="AG32" s="541">
        <v>136.55462184873946</v>
      </c>
      <c r="AH32" s="540">
        <f t="shared" si="27"/>
        <v>2</v>
      </c>
      <c r="AI32" s="653"/>
      <c r="AJ32" s="540">
        <v>17</v>
      </c>
      <c r="AK32" s="541">
        <v>2338.6666666666665</v>
      </c>
      <c r="AL32" s="541">
        <v>137.56862745098039</v>
      </c>
      <c r="AM32" s="540">
        <f t="shared" si="29"/>
        <v>3</v>
      </c>
      <c r="AN32" s="653"/>
      <c r="AO32" s="540">
        <v>17</v>
      </c>
      <c r="AP32" s="541">
        <v>2338.6666666666665</v>
      </c>
      <c r="AQ32" s="541">
        <v>137.56862745098039</v>
      </c>
      <c r="AR32" s="540">
        <f t="shared" si="31"/>
        <v>2</v>
      </c>
      <c r="AS32" s="653"/>
      <c r="AT32" s="540">
        <v>17</v>
      </c>
      <c r="AU32" s="541">
        <v>2408.181818181818</v>
      </c>
      <c r="AV32" s="541">
        <v>141.65775401069519</v>
      </c>
      <c r="AW32" s="540">
        <f t="shared" si="36"/>
        <v>1</v>
      </c>
      <c r="AX32" s="653"/>
      <c r="AZ32" s="377" t="e">
        <f t="shared" si="34"/>
        <v>#N/A</v>
      </c>
      <c r="BA32" s="653"/>
    </row>
    <row r="33" spans="2:53">
      <c r="B33" s="635"/>
      <c r="C33" s="485">
        <v>7</v>
      </c>
      <c r="D33" s="223" t="s">
        <v>664</v>
      </c>
      <c r="E33" s="491">
        <v>18</v>
      </c>
      <c r="F33" s="483">
        <v>2571</v>
      </c>
      <c r="G33" s="484">
        <v>142.83333333333334</v>
      </c>
      <c r="H33" s="672"/>
      <c r="I33" s="487">
        <f t="shared" si="20"/>
        <v>17.714285714285715</v>
      </c>
      <c r="J33" s="487">
        <f t="shared" si="20"/>
        <v>2339.2362417677455</v>
      </c>
      <c r="K33" s="363">
        <f t="shared" si="20"/>
        <v>132.1328462170101</v>
      </c>
      <c r="L33" s="615"/>
      <c r="M33" s="490">
        <f>RANK(K33, K$24:$K$41)</f>
        <v>4</v>
      </c>
      <c r="N33" s="624"/>
      <c r="O33" s="624"/>
      <c r="P33" s="540">
        <v>18</v>
      </c>
      <c r="Q33" s="541">
        <v>2323.1249999999968</v>
      </c>
      <c r="R33" s="541">
        <v>129.06249999999983</v>
      </c>
      <c r="S33" s="540">
        <f t="shared" si="21"/>
        <v>5</v>
      </c>
      <c r="T33" s="653"/>
      <c r="U33" s="540">
        <v>18</v>
      </c>
      <c r="V33" s="541">
        <v>2328.7499999999968</v>
      </c>
      <c r="W33" s="541">
        <v>129.37499999999983</v>
      </c>
      <c r="X33" s="540">
        <f t="shared" si="23"/>
        <v>3</v>
      </c>
      <c r="Y33" s="653"/>
      <c r="Z33" s="540">
        <v>17</v>
      </c>
      <c r="AA33" s="541">
        <v>2278.0645161290286</v>
      </c>
      <c r="AB33" s="541">
        <v>134.00379506641343</v>
      </c>
      <c r="AC33" s="540">
        <f t="shared" si="25"/>
        <v>3</v>
      </c>
      <c r="AD33" s="653"/>
      <c r="AE33" s="540">
        <v>18</v>
      </c>
      <c r="AF33" s="541">
        <v>2366.3999999999933</v>
      </c>
      <c r="AG33" s="541">
        <v>131.4666666666663</v>
      </c>
      <c r="AH33" s="540">
        <f t="shared" si="27"/>
        <v>4</v>
      </c>
      <c r="AI33" s="653"/>
      <c r="AJ33" s="540">
        <v>17</v>
      </c>
      <c r="AK33" s="541">
        <v>2381.3793103448229</v>
      </c>
      <c r="AL33" s="541">
        <v>140.08113590263665</v>
      </c>
      <c r="AM33" s="540">
        <f t="shared" si="29"/>
        <v>1</v>
      </c>
      <c r="AN33" s="653"/>
      <c r="AO33" s="540">
        <v>18</v>
      </c>
      <c r="AP33" s="541">
        <v>2381.3793103448229</v>
      </c>
      <c r="AQ33" s="541">
        <v>132.29885057471239</v>
      </c>
      <c r="AR33" s="540">
        <f t="shared" si="31"/>
        <v>3</v>
      </c>
      <c r="AS33" s="653"/>
      <c r="AT33" s="540">
        <v>18</v>
      </c>
      <c r="AU33" s="541">
        <v>2315.5555555555566</v>
      </c>
      <c r="AV33" s="541">
        <v>128.64197530864203</v>
      </c>
      <c r="AW33" s="540">
        <f t="shared" si="36"/>
        <v>5</v>
      </c>
      <c r="AX33" s="653"/>
      <c r="AZ33" s="377" t="e">
        <f t="shared" si="34"/>
        <v>#N/A</v>
      </c>
      <c r="BA33" s="653"/>
    </row>
    <row r="34" spans="2:53">
      <c r="B34" s="635"/>
      <c r="C34" s="485">
        <v>8</v>
      </c>
      <c r="D34" s="223" t="s">
        <v>730</v>
      </c>
      <c r="E34" s="491">
        <v>19</v>
      </c>
      <c r="F34" s="483">
        <v>2400</v>
      </c>
      <c r="G34" s="484">
        <v>126.31578947368421</v>
      </c>
      <c r="H34" s="672"/>
      <c r="I34" s="487">
        <f t="shared" si="20"/>
        <v>18.285714285714285</v>
      </c>
      <c r="J34" s="487">
        <f t="shared" si="20"/>
        <v>2095.1097488690307</v>
      </c>
      <c r="K34" s="363">
        <f t="shared" si="20"/>
        <v>114.67698135913729</v>
      </c>
      <c r="L34" s="615"/>
      <c r="M34" s="490">
        <f>RANK(K34, K$24:$K$41)</f>
        <v>9</v>
      </c>
      <c r="N34" s="624"/>
      <c r="O34" s="624"/>
      <c r="P34" s="540">
        <v>18</v>
      </c>
      <c r="Q34" s="541">
        <v>2143.7837837837824</v>
      </c>
      <c r="R34" s="541">
        <v>119.09909909909902</v>
      </c>
      <c r="S34" s="540">
        <f t="shared" si="21"/>
        <v>8</v>
      </c>
      <c r="T34" s="653"/>
      <c r="U34" s="540">
        <v>18</v>
      </c>
      <c r="V34" s="541">
        <v>2103.3333333333317</v>
      </c>
      <c r="W34" s="541">
        <v>116.85185185185176</v>
      </c>
      <c r="X34" s="540">
        <f t="shared" si="23"/>
        <v>9</v>
      </c>
      <c r="Y34" s="653"/>
      <c r="Z34" s="540">
        <v>18</v>
      </c>
      <c r="AA34" s="541">
        <v>2084.5714285714262</v>
      </c>
      <c r="AB34" s="541">
        <v>115.80952380952368</v>
      </c>
      <c r="AC34" s="540">
        <f t="shared" si="25"/>
        <v>9</v>
      </c>
      <c r="AD34" s="653"/>
      <c r="AE34" s="540">
        <v>19</v>
      </c>
      <c r="AF34" s="541">
        <v>2053.548387096771</v>
      </c>
      <c r="AG34" s="541">
        <v>108.08149405772478</v>
      </c>
      <c r="AH34" s="540">
        <f t="shared" si="27"/>
        <v>11</v>
      </c>
      <c r="AI34" s="653"/>
      <c r="AJ34" s="540">
        <v>18</v>
      </c>
      <c r="AK34" s="541">
        <v>2110.5882352941148</v>
      </c>
      <c r="AL34" s="541">
        <v>117.25490196078415</v>
      </c>
      <c r="AM34" s="540">
        <f t="shared" si="29"/>
        <v>9</v>
      </c>
      <c r="AN34" s="653"/>
      <c r="AO34" s="540">
        <v>18</v>
      </c>
      <c r="AP34" s="541">
        <v>2110.5882352941148</v>
      </c>
      <c r="AQ34" s="541">
        <v>117.25490196078415</v>
      </c>
      <c r="AR34" s="540">
        <f t="shared" si="31"/>
        <v>9</v>
      </c>
      <c r="AS34" s="653"/>
      <c r="AT34" s="540">
        <v>19</v>
      </c>
      <c r="AU34" s="541">
        <v>2059.3548387096744</v>
      </c>
      <c r="AV34" s="541">
        <v>108.38709677419338</v>
      </c>
      <c r="AW34" s="540">
        <f t="shared" si="36"/>
        <v>11</v>
      </c>
      <c r="AX34" s="653"/>
      <c r="AZ34" s="377" t="e">
        <f t="shared" si="34"/>
        <v>#N/A</v>
      </c>
      <c r="BA34" s="653"/>
    </row>
    <row r="35" spans="2:53">
      <c r="B35" s="635"/>
      <c r="C35" s="485">
        <v>9</v>
      </c>
      <c r="D35" s="223" t="s">
        <v>731</v>
      </c>
      <c r="E35" s="491">
        <v>18</v>
      </c>
      <c r="F35" s="483">
        <v>2571</v>
      </c>
      <c r="G35" s="484">
        <v>142.83333333333334</v>
      </c>
      <c r="H35" s="672"/>
      <c r="I35" s="487">
        <f t="shared" si="20"/>
        <v>17.714285714285715</v>
      </c>
      <c r="J35" s="487">
        <f t="shared" si="20"/>
        <v>2360.0145826103726</v>
      </c>
      <c r="K35" s="363">
        <f t="shared" si="20"/>
        <v>133.31329069279533</v>
      </c>
      <c r="L35" s="615"/>
      <c r="M35" s="490">
        <f>RANK(K35, K$24:$K$41)</f>
        <v>3</v>
      </c>
      <c r="N35" s="624"/>
      <c r="O35" s="624"/>
      <c r="P35" s="540">
        <v>18</v>
      </c>
      <c r="Q35" s="541">
        <v>2398.3938461538492</v>
      </c>
      <c r="R35" s="541">
        <v>133.24410256410272</v>
      </c>
      <c r="S35" s="540">
        <f t="shared" si="21"/>
        <v>3</v>
      </c>
      <c r="T35" s="653"/>
      <c r="U35" s="540">
        <v>18</v>
      </c>
      <c r="V35" s="541">
        <v>2316.6000000000022</v>
      </c>
      <c r="W35" s="541">
        <v>128.70000000000013</v>
      </c>
      <c r="X35" s="540">
        <f t="shared" si="23"/>
        <v>4</v>
      </c>
      <c r="Y35" s="653"/>
      <c r="Z35" s="540">
        <v>17</v>
      </c>
      <c r="AA35" s="541">
        <v>2371.3333333333335</v>
      </c>
      <c r="AB35" s="541">
        <v>139.49019607843138</v>
      </c>
      <c r="AC35" s="540">
        <f t="shared" si="25"/>
        <v>1</v>
      </c>
      <c r="AD35" s="653"/>
      <c r="AE35" s="540">
        <v>18</v>
      </c>
      <c r="AF35" s="541">
        <v>2368.4210526315774</v>
      </c>
      <c r="AG35" s="541">
        <v>131.57894736842096</v>
      </c>
      <c r="AH35" s="540">
        <f t="shared" si="27"/>
        <v>3</v>
      </c>
      <c r="AI35" s="653"/>
      <c r="AJ35" s="540">
        <v>17</v>
      </c>
      <c r="AK35" s="541">
        <v>2344</v>
      </c>
      <c r="AL35" s="541">
        <v>137.88235294117646</v>
      </c>
      <c r="AM35" s="540">
        <f t="shared" si="29"/>
        <v>2</v>
      </c>
      <c r="AN35" s="653"/>
      <c r="AO35" s="540">
        <v>18</v>
      </c>
      <c r="AP35" s="541">
        <v>2344</v>
      </c>
      <c r="AQ35" s="541">
        <v>130.22222222222223</v>
      </c>
      <c r="AR35" s="540">
        <f t="shared" si="31"/>
        <v>5</v>
      </c>
      <c r="AS35" s="653"/>
      <c r="AT35" s="540">
        <v>18</v>
      </c>
      <c r="AU35" s="541">
        <v>2377.3538461538446</v>
      </c>
      <c r="AV35" s="541">
        <v>132.0752136752136</v>
      </c>
      <c r="AW35" s="540">
        <f t="shared" si="36"/>
        <v>3</v>
      </c>
      <c r="AX35" s="653"/>
      <c r="AZ35" s="377" t="e">
        <f t="shared" si="34"/>
        <v>#N/A</v>
      </c>
      <c r="BA35" s="653"/>
    </row>
    <row r="36" spans="2:53">
      <c r="B36" s="635"/>
      <c r="C36" s="485">
        <v>10</v>
      </c>
      <c r="D36" s="223" t="s">
        <v>794</v>
      </c>
      <c r="E36" s="491">
        <v>19</v>
      </c>
      <c r="F36" s="483">
        <v>2400</v>
      </c>
      <c r="G36" s="484">
        <v>126.31578947368421</v>
      </c>
      <c r="H36" s="672"/>
      <c r="I36" s="487">
        <f t="shared" si="20"/>
        <v>19</v>
      </c>
      <c r="J36" s="487">
        <f t="shared" si="20"/>
        <v>2111.5470258506043</v>
      </c>
      <c r="K36" s="363">
        <f t="shared" si="20"/>
        <v>111.13405399213707</v>
      </c>
      <c r="L36" s="615"/>
      <c r="M36" s="490">
        <f>RANK(K36, K$24:$K$41)</f>
        <v>11</v>
      </c>
      <c r="N36" s="624"/>
      <c r="O36" s="624"/>
      <c r="P36" s="540">
        <v>19</v>
      </c>
      <c r="Q36" s="541">
        <v>2079.5744680851067</v>
      </c>
      <c r="R36" s="541">
        <v>109.45128779395299</v>
      </c>
      <c r="S36" s="540">
        <f t="shared" si="21"/>
        <v>11</v>
      </c>
      <c r="T36" s="653"/>
      <c r="U36" s="540">
        <v>19</v>
      </c>
      <c r="V36" s="541">
        <v>2127.391304347826</v>
      </c>
      <c r="W36" s="541">
        <v>111.96796338672769</v>
      </c>
      <c r="X36" s="540">
        <f t="shared" si="23"/>
        <v>10</v>
      </c>
      <c r="Y36" s="653"/>
      <c r="Z36" s="540">
        <v>19</v>
      </c>
      <c r="AA36" s="541">
        <v>2085.333333333333</v>
      </c>
      <c r="AB36" s="541">
        <v>109.75438596491226</v>
      </c>
      <c r="AC36" s="540">
        <f t="shared" si="25"/>
        <v>11</v>
      </c>
      <c r="AD36" s="653"/>
      <c r="AE36" s="540">
        <v>19</v>
      </c>
      <c r="AF36" s="541">
        <v>2106.3157894736828</v>
      </c>
      <c r="AG36" s="541">
        <v>110.85872576177277</v>
      </c>
      <c r="AH36" s="540">
        <f t="shared" si="27"/>
        <v>10</v>
      </c>
      <c r="AI36" s="653"/>
      <c r="AJ36" s="540">
        <v>19</v>
      </c>
      <c r="AK36" s="541">
        <v>2132.8571428571422</v>
      </c>
      <c r="AL36" s="541">
        <v>112.25563909774432</v>
      </c>
      <c r="AM36" s="540">
        <f t="shared" si="29"/>
        <v>10</v>
      </c>
      <c r="AN36" s="653"/>
      <c r="AO36" s="540">
        <v>19</v>
      </c>
      <c r="AP36" s="541">
        <v>2132.8571428571422</v>
      </c>
      <c r="AQ36" s="541">
        <v>112.25563909774432</v>
      </c>
      <c r="AR36" s="540">
        <f t="shared" si="31"/>
        <v>10</v>
      </c>
      <c r="AS36" s="653"/>
      <c r="AT36" s="540">
        <v>19</v>
      </c>
      <c r="AU36" s="541">
        <v>2116.4999999999991</v>
      </c>
      <c r="AV36" s="541">
        <v>111.39473684210522</v>
      </c>
      <c r="AW36" s="540">
        <f t="shared" si="36"/>
        <v>10</v>
      </c>
      <c r="AX36" s="653"/>
      <c r="AZ36" s="377" t="e">
        <f t="shared" si="34"/>
        <v>#N/A</v>
      </c>
      <c r="BA36" s="653"/>
    </row>
    <row r="37" spans="2:53">
      <c r="B37" s="635"/>
      <c r="C37" s="485">
        <v>11</v>
      </c>
      <c r="D37" s="223" t="s">
        <v>795</v>
      </c>
      <c r="E37" s="491">
        <v>21</v>
      </c>
      <c r="F37" s="483">
        <v>2400</v>
      </c>
      <c r="G37" s="484">
        <v>114.28571428571429</v>
      </c>
      <c r="H37" s="672"/>
      <c r="I37" s="487">
        <f t="shared" si="20"/>
        <v>21</v>
      </c>
      <c r="J37" s="487">
        <f t="shared" si="20"/>
        <v>2161.8806490555717</v>
      </c>
      <c r="K37" s="363">
        <f t="shared" si="20"/>
        <v>102.94669757407483</v>
      </c>
      <c r="L37" s="615"/>
      <c r="M37" s="490">
        <f>RANK(K37, K$24:$K$41)</f>
        <v>12</v>
      </c>
      <c r="N37" s="624"/>
      <c r="O37" s="624"/>
      <c r="P37" s="540">
        <v>21</v>
      </c>
      <c r="Q37" s="541">
        <v>2175.681818181818</v>
      </c>
      <c r="R37" s="541">
        <v>103.60389610389609</v>
      </c>
      <c r="S37" s="540">
        <f t="shared" si="21"/>
        <v>12</v>
      </c>
      <c r="T37" s="653"/>
      <c r="U37" s="540">
        <v>21</v>
      </c>
      <c r="V37" s="541">
        <v>2128.2352941176464</v>
      </c>
      <c r="W37" s="541">
        <v>101.34453781512602</v>
      </c>
      <c r="X37" s="540">
        <f t="shared" si="23"/>
        <v>12</v>
      </c>
      <c r="Y37" s="653"/>
      <c r="Z37" s="540">
        <v>21</v>
      </c>
      <c r="AA37" s="541">
        <v>2168.6842105263154</v>
      </c>
      <c r="AB37" s="541">
        <v>103.27067669172931</v>
      </c>
      <c r="AC37" s="540">
        <f t="shared" si="25"/>
        <v>12</v>
      </c>
      <c r="AD37" s="653"/>
      <c r="AE37" s="540">
        <v>21</v>
      </c>
      <c r="AF37" s="541">
        <v>2166.3636363636365</v>
      </c>
      <c r="AG37" s="541">
        <v>103.16017316017317</v>
      </c>
      <c r="AH37" s="540">
        <f t="shared" si="27"/>
        <v>12</v>
      </c>
      <c r="AI37" s="653"/>
      <c r="AJ37" s="540">
        <v>21</v>
      </c>
      <c r="AK37" s="541">
        <v>2155.9459459459467</v>
      </c>
      <c r="AL37" s="541">
        <v>102.66409266409271</v>
      </c>
      <c r="AM37" s="540">
        <f t="shared" si="29"/>
        <v>12</v>
      </c>
      <c r="AN37" s="653"/>
      <c r="AO37" s="540">
        <v>21</v>
      </c>
      <c r="AP37" s="541">
        <v>2155.9459459459467</v>
      </c>
      <c r="AQ37" s="541">
        <v>102.66409266409271</v>
      </c>
      <c r="AR37" s="540">
        <f t="shared" si="31"/>
        <v>12</v>
      </c>
      <c r="AS37" s="653"/>
      <c r="AT37" s="540">
        <v>21</v>
      </c>
      <c r="AU37" s="541">
        <v>2182.3076923076919</v>
      </c>
      <c r="AV37" s="541">
        <v>103.9194139194139</v>
      </c>
      <c r="AW37" s="540">
        <f t="shared" si="36"/>
        <v>12</v>
      </c>
      <c r="AX37" s="653"/>
      <c r="AZ37" s="377" t="e">
        <f t="shared" si="34"/>
        <v>#N/A</v>
      </c>
      <c r="BA37" s="653"/>
    </row>
    <row r="38" spans="2:53">
      <c r="B38" s="635"/>
      <c r="C38" s="485">
        <v>12</v>
      </c>
      <c r="D38" s="223" t="s">
        <v>850</v>
      </c>
      <c r="E38" s="491">
        <v>19</v>
      </c>
      <c r="F38" s="483">
        <v>2571</v>
      </c>
      <c r="G38" s="484">
        <v>135.31578947368422</v>
      </c>
      <c r="H38" s="672"/>
      <c r="I38" s="487">
        <f t="shared" si="20"/>
        <v>19.571428571428573</v>
      </c>
      <c r="J38" s="487">
        <f t="shared" si="20"/>
        <v>2209.5312491114055</v>
      </c>
      <c r="K38" s="363">
        <f t="shared" si="20"/>
        <v>112.96764513338064</v>
      </c>
      <c r="L38" s="615"/>
      <c r="M38" s="490">
        <f>RANK(K38, K$24:$K$41)</f>
        <v>10</v>
      </c>
      <c r="N38" s="624"/>
      <c r="O38" s="624"/>
      <c r="P38" s="540">
        <v>20</v>
      </c>
      <c r="Q38" s="541">
        <v>2242.288043478261</v>
      </c>
      <c r="R38" s="541">
        <v>112.11440217391305</v>
      </c>
      <c r="S38" s="540">
        <f t="shared" si="21"/>
        <v>10</v>
      </c>
      <c r="T38" s="653"/>
      <c r="U38" s="540">
        <v>20</v>
      </c>
      <c r="V38" s="541">
        <v>2195.3189189189197</v>
      </c>
      <c r="W38" s="541">
        <v>109.76594594594599</v>
      </c>
      <c r="X38" s="540">
        <f t="shared" si="23"/>
        <v>11</v>
      </c>
      <c r="Y38" s="653"/>
      <c r="Z38" s="540">
        <v>19</v>
      </c>
      <c r="AA38" s="541">
        <v>2183.8741258741261</v>
      </c>
      <c r="AB38" s="541">
        <v>114.94074346705926</v>
      </c>
      <c r="AC38" s="540">
        <f t="shared" si="25"/>
        <v>10</v>
      </c>
      <c r="AD38" s="653"/>
      <c r="AE38" s="540">
        <v>19</v>
      </c>
      <c r="AF38" s="541">
        <v>2237.739130434783</v>
      </c>
      <c r="AG38" s="541">
        <v>117.77574370709384</v>
      </c>
      <c r="AH38" s="540">
        <f t="shared" si="27"/>
        <v>8</v>
      </c>
      <c r="AI38" s="653"/>
      <c r="AJ38" s="540">
        <v>20</v>
      </c>
      <c r="AK38" s="541">
        <v>2201.4159292035397</v>
      </c>
      <c r="AL38" s="541">
        <v>110.07079646017698</v>
      </c>
      <c r="AM38" s="540">
        <f t="shared" si="29"/>
        <v>11</v>
      </c>
      <c r="AN38" s="653"/>
      <c r="AO38" s="540">
        <v>20</v>
      </c>
      <c r="AP38" s="541">
        <v>2201.4159292035397</v>
      </c>
      <c r="AQ38" s="541">
        <v>110.07079646017698</v>
      </c>
      <c r="AR38" s="540">
        <f t="shared" si="31"/>
        <v>11</v>
      </c>
      <c r="AS38" s="653"/>
      <c r="AT38" s="540">
        <v>19</v>
      </c>
      <c r="AU38" s="541">
        <v>2204.666666666667</v>
      </c>
      <c r="AV38" s="541">
        <v>116.03508771929826</v>
      </c>
      <c r="AW38" s="540">
        <f t="shared" si="36"/>
        <v>9</v>
      </c>
      <c r="AX38" s="653"/>
      <c r="AZ38" s="377" t="e">
        <f t="shared" si="34"/>
        <v>#N/A</v>
      </c>
      <c r="BA38" s="653"/>
    </row>
    <row r="39" spans="2:53">
      <c r="B39" s="635"/>
      <c r="C39" s="485">
        <v>13</v>
      </c>
      <c r="D39" s="223"/>
      <c r="E39" s="491"/>
      <c r="F39" s="483"/>
      <c r="G39" s="484"/>
      <c r="H39" s="672"/>
      <c r="I39" s="487" t="str">
        <f t="shared" si="20"/>
        <v>-</v>
      </c>
      <c r="J39" s="487" t="str">
        <f t="shared" si="20"/>
        <v>-</v>
      </c>
      <c r="K39" s="363" t="str">
        <f t="shared" si="20"/>
        <v>-</v>
      </c>
      <c r="L39" s="615"/>
      <c r="M39" s="490" t="e">
        <f>RANK(K39, K$24:$K$41)</f>
        <v>#VALUE!</v>
      </c>
      <c r="N39" s="624"/>
      <c r="O39" s="624"/>
      <c r="P39" s="540" t="s">
        <v>427</v>
      </c>
      <c r="Q39" s="541" t="s">
        <v>427</v>
      </c>
      <c r="R39" s="541" t="s">
        <v>427</v>
      </c>
      <c r="S39" s="540" t="e">
        <f t="shared" si="21"/>
        <v>#VALUE!</v>
      </c>
      <c r="T39" s="653"/>
      <c r="U39" s="540" t="s">
        <v>427</v>
      </c>
      <c r="V39" s="541" t="s">
        <v>427</v>
      </c>
      <c r="W39" s="541" t="s">
        <v>427</v>
      </c>
      <c r="X39" s="540" t="e">
        <f t="shared" si="23"/>
        <v>#VALUE!</v>
      </c>
      <c r="Y39" s="653"/>
      <c r="Z39" s="540" t="s">
        <v>427</v>
      </c>
      <c r="AA39" s="541" t="s">
        <v>427</v>
      </c>
      <c r="AB39" s="541" t="s">
        <v>427</v>
      </c>
      <c r="AC39" s="540" t="e">
        <f t="shared" si="25"/>
        <v>#VALUE!</v>
      </c>
      <c r="AD39" s="653"/>
      <c r="AE39" s="540" t="s">
        <v>427</v>
      </c>
      <c r="AF39" s="541" t="s">
        <v>427</v>
      </c>
      <c r="AG39" s="541" t="s">
        <v>427</v>
      </c>
      <c r="AH39" s="540" t="e">
        <f t="shared" si="27"/>
        <v>#VALUE!</v>
      </c>
      <c r="AI39" s="653"/>
      <c r="AJ39" s="540" t="s">
        <v>427</v>
      </c>
      <c r="AK39" s="541" t="s">
        <v>427</v>
      </c>
      <c r="AL39" s="541" t="s">
        <v>427</v>
      </c>
      <c r="AM39" s="540" t="e">
        <f t="shared" si="29"/>
        <v>#VALUE!</v>
      </c>
      <c r="AN39" s="653"/>
      <c r="AO39" s="540" t="s">
        <v>427</v>
      </c>
      <c r="AP39" s="541" t="s">
        <v>427</v>
      </c>
      <c r="AQ39" s="541" t="s">
        <v>427</v>
      </c>
      <c r="AR39" s="540" t="e">
        <f t="shared" si="31"/>
        <v>#VALUE!</v>
      </c>
      <c r="AS39" s="653"/>
      <c r="AT39" s="540" t="s">
        <v>427</v>
      </c>
      <c r="AU39" s="541" t="s">
        <v>427</v>
      </c>
      <c r="AV39" s="541" t="s">
        <v>427</v>
      </c>
      <c r="AW39" s="540" t="e">
        <f t="shared" si="36"/>
        <v>#VALUE!</v>
      </c>
      <c r="AX39" s="653"/>
      <c r="AZ39" s="377" t="e">
        <f t="shared" si="34"/>
        <v>#N/A</v>
      </c>
      <c r="BA39" s="653"/>
    </row>
    <row r="40" spans="2:53">
      <c r="B40" s="635"/>
      <c r="C40" s="485">
        <v>14</v>
      </c>
      <c r="D40" s="223"/>
      <c r="E40" s="491"/>
      <c r="F40" s="483"/>
      <c r="G40" s="484"/>
      <c r="H40" s="672"/>
      <c r="I40" s="487" t="str">
        <f t="shared" si="20"/>
        <v>-</v>
      </c>
      <c r="J40" s="487" t="str">
        <f t="shared" si="20"/>
        <v>-</v>
      </c>
      <c r="K40" s="363" t="str">
        <f t="shared" si="20"/>
        <v>-</v>
      </c>
      <c r="L40" s="615"/>
      <c r="M40" s="490" t="e">
        <f>RANK(K40, K$24:$K$41)</f>
        <v>#VALUE!</v>
      </c>
      <c r="N40" s="624"/>
      <c r="O40" s="624"/>
      <c r="P40" s="540" t="s">
        <v>427</v>
      </c>
      <c r="Q40" s="541" t="s">
        <v>427</v>
      </c>
      <c r="R40" s="541" t="s">
        <v>427</v>
      </c>
      <c r="S40" s="540" t="e">
        <f t="shared" si="21"/>
        <v>#VALUE!</v>
      </c>
      <c r="T40" s="653"/>
      <c r="U40" s="540" t="s">
        <v>427</v>
      </c>
      <c r="V40" s="541" t="s">
        <v>427</v>
      </c>
      <c r="W40" s="541" t="s">
        <v>427</v>
      </c>
      <c r="X40" s="540" t="e">
        <f t="shared" si="23"/>
        <v>#VALUE!</v>
      </c>
      <c r="Y40" s="653"/>
      <c r="Z40" s="540" t="s">
        <v>427</v>
      </c>
      <c r="AA40" s="541" t="s">
        <v>427</v>
      </c>
      <c r="AB40" s="541" t="s">
        <v>427</v>
      </c>
      <c r="AC40" s="540" t="e">
        <f t="shared" si="25"/>
        <v>#VALUE!</v>
      </c>
      <c r="AD40" s="653"/>
      <c r="AE40" s="540" t="s">
        <v>427</v>
      </c>
      <c r="AF40" s="541" t="s">
        <v>427</v>
      </c>
      <c r="AG40" s="541" t="s">
        <v>427</v>
      </c>
      <c r="AH40" s="540" t="e">
        <f t="shared" si="27"/>
        <v>#VALUE!</v>
      </c>
      <c r="AI40" s="653"/>
      <c r="AJ40" s="540" t="s">
        <v>427</v>
      </c>
      <c r="AK40" s="541" t="s">
        <v>427</v>
      </c>
      <c r="AL40" s="541" t="s">
        <v>427</v>
      </c>
      <c r="AM40" s="540" t="e">
        <f t="shared" si="29"/>
        <v>#VALUE!</v>
      </c>
      <c r="AN40" s="653"/>
      <c r="AO40" s="540" t="s">
        <v>427</v>
      </c>
      <c r="AP40" s="541" t="s">
        <v>427</v>
      </c>
      <c r="AQ40" s="541" t="s">
        <v>427</v>
      </c>
      <c r="AR40" s="540" t="e">
        <f t="shared" si="31"/>
        <v>#VALUE!</v>
      </c>
      <c r="AS40" s="653"/>
      <c r="AT40" s="540" t="s">
        <v>427</v>
      </c>
      <c r="AU40" s="541" t="s">
        <v>427</v>
      </c>
      <c r="AV40" s="541" t="s">
        <v>427</v>
      </c>
      <c r="AW40" s="540" t="e">
        <f t="shared" si="36"/>
        <v>#VALUE!</v>
      </c>
      <c r="AX40" s="653"/>
      <c r="AZ40" s="377" t="e">
        <f t="shared" si="34"/>
        <v>#N/A</v>
      </c>
      <c r="BA40" s="653"/>
    </row>
    <row r="41" spans="2:53">
      <c r="B41" s="635"/>
      <c r="C41" s="485">
        <v>15</v>
      </c>
      <c r="D41" s="223"/>
      <c r="E41" s="491"/>
      <c r="F41" s="483"/>
      <c r="G41" s="484"/>
      <c r="H41" s="676"/>
      <c r="I41" s="485"/>
      <c r="J41" s="485"/>
      <c r="K41" s="485"/>
      <c r="L41" s="616"/>
      <c r="M41" s="490" t="e">
        <f>RANK(K41, K$24:$K$41)</f>
        <v>#N/A</v>
      </c>
      <c r="N41" s="624"/>
      <c r="O41" s="624"/>
      <c r="P41" s="540" t="s">
        <v>427</v>
      </c>
      <c r="Q41" s="541" t="s">
        <v>427</v>
      </c>
      <c r="R41" s="541" t="s">
        <v>427</v>
      </c>
      <c r="S41" s="540" t="e">
        <f t="shared" si="21"/>
        <v>#VALUE!</v>
      </c>
      <c r="T41" s="653"/>
      <c r="U41" s="540" t="s">
        <v>427</v>
      </c>
      <c r="V41" s="541" t="s">
        <v>427</v>
      </c>
      <c r="W41" s="541" t="s">
        <v>427</v>
      </c>
      <c r="X41" s="540" t="e">
        <f t="shared" si="23"/>
        <v>#VALUE!</v>
      </c>
      <c r="Y41" s="653"/>
      <c r="Z41" s="540" t="s">
        <v>427</v>
      </c>
      <c r="AA41" s="541" t="s">
        <v>427</v>
      </c>
      <c r="AB41" s="541" t="s">
        <v>427</v>
      </c>
      <c r="AC41" s="540" t="e">
        <f t="shared" si="25"/>
        <v>#VALUE!</v>
      </c>
      <c r="AD41" s="653"/>
      <c r="AE41" s="540" t="s">
        <v>427</v>
      </c>
      <c r="AF41" s="541" t="s">
        <v>427</v>
      </c>
      <c r="AG41" s="541" t="s">
        <v>427</v>
      </c>
      <c r="AH41" s="540" t="e">
        <f t="shared" si="27"/>
        <v>#VALUE!</v>
      </c>
      <c r="AI41" s="653"/>
      <c r="AJ41" s="540" t="s">
        <v>427</v>
      </c>
      <c r="AK41" s="541" t="s">
        <v>427</v>
      </c>
      <c r="AL41" s="541" t="s">
        <v>427</v>
      </c>
      <c r="AM41" s="540" t="e">
        <f t="shared" si="29"/>
        <v>#VALUE!</v>
      </c>
      <c r="AN41" s="653"/>
      <c r="AO41" s="540" t="s">
        <v>427</v>
      </c>
      <c r="AP41" s="541" t="s">
        <v>427</v>
      </c>
      <c r="AQ41" s="541" t="s">
        <v>427</v>
      </c>
      <c r="AR41" s="540" t="e">
        <f t="shared" si="31"/>
        <v>#VALUE!</v>
      </c>
      <c r="AS41" s="653"/>
      <c r="AT41" s="540" t="s">
        <v>427</v>
      </c>
      <c r="AU41" s="541" t="s">
        <v>427</v>
      </c>
      <c r="AV41" s="541" t="s">
        <v>427</v>
      </c>
      <c r="AW41" s="540" t="e">
        <f t="shared" si="36"/>
        <v>#VALUE!</v>
      </c>
      <c r="AX41" s="653"/>
      <c r="AZ41" s="377" t="e">
        <f t="shared" si="34"/>
        <v>#N/A</v>
      </c>
      <c r="BA41" s="653"/>
    </row>
    <row r="42" spans="2:53" ht="15.75">
      <c r="B42" s="657" t="s">
        <v>161</v>
      </c>
      <c r="C42" s="658"/>
      <c r="D42" s="658"/>
      <c r="E42" s="658"/>
      <c r="F42" s="658"/>
      <c r="G42" s="658"/>
      <c r="H42" s="658"/>
      <c r="I42" s="205"/>
      <c r="J42" s="200"/>
      <c r="K42" s="205"/>
      <c r="L42" s="205"/>
      <c r="M42" s="201"/>
      <c r="N42" s="639" t="s">
        <v>155</v>
      </c>
      <c r="O42" s="639" t="s">
        <v>714</v>
      </c>
      <c r="P42" s="634">
        <f>AT22+1</f>
        <v>46217</v>
      </c>
      <c r="Q42" s="635"/>
      <c r="R42" s="635"/>
      <c r="S42" s="635"/>
      <c r="T42" s="635"/>
      <c r="U42" s="636">
        <f>P42+1</f>
        <v>46218</v>
      </c>
      <c r="V42" s="637"/>
      <c r="W42" s="637"/>
      <c r="X42" s="637"/>
      <c r="Y42" s="638"/>
      <c r="Z42" s="636">
        <f t="shared" ref="Z42" si="37">U42+1</f>
        <v>46219</v>
      </c>
      <c r="AA42" s="637"/>
      <c r="AB42" s="637"/>
      <c r="AC42" s="637"/>
      <c r="AD42" s="638"/>
      <c r="AE42" s="636">
        <f t="shared" ref="AE42" si="38">Z42+1</f>
        <v>46220</v>
      </c>
      <c r="AF42" s="637"/>
      <c r="AG42" s="637"/>
      <c r="AH42" s="637"/>
      <c r="AI42" s="638"/>
      <c r="AJ42" s="636">
        <f t="shared" ref="AJ42" si="39">AE42+1</f>
        <v>46221</v>
      </c>
      <c r="AK42" s="637"/>
      <c r="AL42" s="637"/>
      <c r="AM42" s="637"/>
      <c r="AN42" s="638"/>
      <c r="AO42" s="636">
        <f t="shared" ref="AO42" si="40">AJ42+1</f>
        <v>46222</v>
      </c>
      <c r="AP42" s="637"/>
      <c r="AQ42" s="637"/>
      <c r="AR42" s="637"/>
      <c r="AS42" s="638"/>
      <c r="AT42" s="636">
        <f t="shared" ref="AT42" si="41">AO42+1</f>
        <v>46223</v>
      </c>
      <c r="AU42" s="637"/>
      <c r="AV42" s="637"/>
      <c r="AW42" s="637"/>
      <c r="AX42" s="638"/>
    </row>
    <row r="43" spans="2:53" ht="15.75">
      <c r="B43" s="646"/>
      <c r="C43" s="646"/>
      <c r="D43" s="646"/>
      <c r="E43" s="646"/>
      <c r="F43" s="646"/>
      <c r="G43" s="646"/>
      <c r="H43" s="646"/>
      <c r="I43" s="202"/>
      <c r="J43" s="202"/>
      <c r="K43" s="202"/>
      <c r="L43" s="202"/>
      <c r="M43" s="203"/>
      <c r="N43" s="641"/>
      <c r="O43" s="641"/>
      <c r="P43" s="634" t="s">
        <v>715</v>
      </c>
      <c r="Q43" s="635"/>
      <c r="R43" s="635"/>
      <c r="S43" s="635"/>
      <c r="T43" s="635"/>
      <c r="U43" s="634" t="s">
        <v>716</v>
      </c>
      <c r="V43" s="635"/>
      <c r="W43" s="635"/>
      <c r="X43" s="635"/>
      <c r="Y43" s="635"/>
      <c r="Z43" s="634" t="s">
        <v>717</v>
      </c>
      <c r="AA43" s="635"/>
      <c r="AB43" s="635"/>
      <c r="AC43" s="635"/>
      <c r="AD43" s="635"/>
      <c r="AE43" s="634" t="s">
        <v>718</v>
      </c>
      <c r="AF43" s="635"/>
      <c r="AG43" s="635"/>
      <c r="AH43" s="635"/>
      <c r="AI43" s="635"/>
      <c r="AJ43" s="634" t="s">
        <v>719</v>
      </c>
      <c r="AK43" s="635"/>
      <c r="AL43" s="635"/>
      <c r="AM43" s="635"/>
      <c r="AN43" s="635"/>
      <c r="AO43" s="634" t="s">
        <v>720</v>
      </c>
      <c r="AP43" s="635"/>
      <c r="AQ43" s="635"/>
      <c r="AR43" s="635"/>
      <c r="AS43" s="635"/>
      <c r="AT43" s="634" t="s">
        <v>721</v>
      </c>
      <c r="AU43" s="635"/>
      <c r="AV43" s="635"/>
      <c r="AW43" s="635"/>
      <c r="AX43" s="635"/>
    </row>
    <row r="44" spans="2:53">
      <c r="B44" s="624" t="s">
        <v>154</v>
      </c>
      <c r="C44" s="624" t="s">
        <v>464</v>
      </c>
      <c r="D44" s="624"/>
      <c r="E44" s="624" t="s">
        <v>465</v>
      </c>
      <c r="F44" s="624"/>
      <c r="G44" s="624"/>
      <c r="H44" s="647" t="s">
        <v>466</v>
      </c>
      <c r="I44" s="624" t="s">
        <v>467</v>
      </c>
      <c r="J44" s="624"/>
      <c r="K44" s="624"/>
      <c r="L44" s="647" t="s">
        <v>367</v>
      </c>
      <c r="M44" s="639" t="s">
        <v>468</v>
      </c>
      <c r="N44" s="624"/>
      <c r="O44" s="624" t="s">
        <v>708</v>
      </c>
      <c r="P44" s="621" t="s">
        <v>709</v>
      </c>
      <c r="Q44" s="622"/>
      <c r="R44" s="622"/>
      <c r="S44" s="623"/>
      <c r="T44" s="624" t="s">
        <v>706</v>
      </c>
      <c r="U44" s="621" t="s">
        <v>709</v>
      </c>
      <c r="V44" s="622"/>
      <c r="W44" s="622"/>
      <c r="X44" s="623"/>
      <c r="Y44" s="624" t="s">
        <v>706</v>
      </c>
      <c r="Z44" s="621" t="s">
        <v>709</v>
      </c>
      <c r="AA44" s="622"/>
      <c r="AB44" s="622"/>
      <c r="AC44" s="623"/>
      <c r="AD44" s="624" t="s">
        <v>706</v>
      </c>
      <c r="AE44" s="621" t="s">
        <v>709</v>
      </c>
      <c r="AF44" s="622"/>
      <c r="AG44" s="622"/>
      <c r="AH44" s="623"/>
      <c r="AI44" s="624" t="s">
        <v>706</v>
      </c>
      <c r="AJ44" s="621" t="s">
        <v>709</v>
      </c>
      <c r="AK44" s="622"/>
      <c r="AL44" s="622"/>
      <c r="AM44" s="623"/>
      <c r="AN44" s="624" t="s">
        <v>706</v>
      </c>
      <c r="AO44" s="621" t="s">
        <v>709</v>
      </c>
      <c r="AP44" s="622"/>
      <c r="AQ44" s="622"/>
      <c r="AR44" s="623"/>
      <c r="AS44" s="624" t="s">
        <v>706</v>
      </c>
      <c r="AT44" s="621" t="s">
        <v>709</v>
      </c>
      <c r="AU44" s="622"/>
      <c r="AV44" s="622"/>
      <c r="AW44" s="623"/>
      <c r="AX44" s="624" t="s">
        <v>706</v>
      </c>
    </row>
    <row r="45" spans="2:53">
      <c r="B45" s="624"/>
      <c r="C45" s="624"/>
      <c r="D45" s="624"/>
      <c r="E45" s="624" t="s">
        <v>470</v>
      </c>
      <c r="F45" s="624"/>
      <c r="G45" s="624"/>
      <c r="H45" s="648"/>
      <c r="I45" s="624" t="s">
        <v>470</v>
      </c>
      <c r="J45" s="624"/>
      <c r="K45" s="624"/>
      <c r="L45" s="648"/>
      <c r="M45" s="640"/>
      <c r="N45" s="624"/>
      <c r="O45" s="624"/>
      <c r="P45" s="621" t="s">
        <v>710</v>
      </c>
      <c r="Q45" s="622"/>
      <c r="R45" s="622"/>
      <c r="S45" s="623"/>
      <c r="T45" s="624"/>
      <c r="U45" s="621" t="s">
        <v>710</v>
      </c>
      <c r="V45" s="622"/>
      <c r="W45" s="622"/>
      <c r="X45" s="623"/>
      <c r="Y45" s="624"/>
      <c r="Z45" s="621" t="s">
        <v>710</v>
      </c>
      <c r="AA45" s="622"/>
      <c r="AB45" s="622"/>
      <c r="AC45" s="623"/>
      <c r="AD45" s="624"/>
      <c r="AE45" s="621" t="s">
        <v>710</v>
      </c>
      <c r="AF45" s="622"/>
      <c r="AG45" s="622"/>
      <c r="AH45" s="623"/>
      <c r="AI45" s="624"/>
      <c r="AJ45" s="621" t="s">
        <v>710</v>
      </c>
      <c r="AK45" s="622"/>
      <c r="AL45" s="622"/>
      <c r="AM45" s="623"/>
      <c r="AN45" s="624"/>
      <c r="AO45" s="621" t="s">
        <v>710</v>
      </c>
      <c r="AP45" s="622"/>
      <c r="AQ45" s="622"/>
      <c r="AR45" s="623"/>
      <c r="AS45" s="624"/>
      <c r="AT45" s="621" t="s">
        <v>710</v>
      </c>
      <c r="AU45" s="622"/>
      <c r="AV45" s="622"/>
      <c r="AW45" s="623"/>
      <c r="AX45" s="624"/>
    </row>
    <row r="46" spans="2:53">
      <c r="B46" s="624"/>
      <c r="C46" s="624"/>
      <c r="D46" s="624"/>
      <c r="E46" s="482" t="s">
        <v>471</v>
      </c>
      <c r="F46" s="482" t="s">
        <v>472</v>
      </c>
      <c r="G46" s="482" t="s">
        <v>473</v>
      </c>
      <c r="H46" s="649"/>
      <c r="I46" s="482" t="s">
        <v>471</v>
      </c>
      <c r="J46" s="482" t="s">
        <v>472</v>
      </c>
      <c r="K46" s="482" t="s">
        <v>473</v>
      </c>
      <c r="L46" s="649"/>
      <c r="M46" s="641"/>
      <c r="N46" s="624"/>
      <c r="O46" s="624"/>
      <c r="P46" s="431" t="s">
        <v>711</v>
      </c>
      <c r="Q46" s="431" t="s">
        <v>712</v>
      </c>
      <c r="R46" s="431" t="s">
        <v>713</v>
      </c>
      <c r="S46" s="431" t="s">
        <v>707</v>
      </c>
      <c r="T46" s="624"/>
      <c r="U46" s="431" t="s">
        <v>711</v>
      </c>
      <c r="V46" s="431" t="s">
        <v>712</v>
      </c>
      <c r="W46" s="431" t="s">
        <v>713</v>
      </c>
      <c r="X46" s="431" t="s">
        <v>707</v>
      </c>
      <c r="Y46" s="624"/>
      <c r="Z46" s="431" t="s">
        <v>711</v>
      </c>
      <c r="AA46" s="431" t="s">
        <v>712</v>
      </c>
      <c r="AB46" s="431" t="s">
        <v>713</v>
      </c>
      <c r="AC46" s="431" t="s">
        <v>707</v>
      </c>
      <c r="AD46" s="624"/>
      <c r="AE46" s="431" t="s">
        <v>711</v>
      </c>
      <c r="AF46" s="431" t="s">
        <v>712</v>
      </c>
      <c r="AG46" s="431" t="s">
        <v>713</v>
      </c>
      <c r="AH46" s="431" t="s">
        <v>707</v>
      </c>
      <c r="AI46" s="624"/>
      <c r="AJ46" s="431" t="s">
        <v>711</v>
      </c>
      <c r="AK46" s="431" t="s">
        <v>712</v>
      </c>
      <c r="AL46" s="431" t="s">
        <v>713</v>
      </c>
      <c r="AM46" s="431" t="s">
        <v>707</v>
      </c>
      <c r="AN46" s="624"/>
      <c r="AO46" s="431" t="s">
        <v>711</v>
      </c>
      <c r="AP46" s="431" t="s">
        <v>712</v>
      </c>
      <c r="AQ46" s="431" t="s">
        <v>713</v>
      </c>
      <c r="AR46" s="431" t="s">
        <v>707</v>
      </c>
      <c r="AS46" s="624"/>
      <c r="AT46" s="431" t="s">
        <v>711</v>
      </c>
      <c r="AU46" s="431" t="s">
        <v>712</v>
      </c>
      <c r="AV46" s="431" t="s">
        <v>713</v>
      </c>
      <c r="AW46" s="431" t="s">
        <v>707</v>
      </c>
      <c r="AX46" s="624"/>
    </row>
    <row r="47" spans="2:53">
      <c r="B47" s="624" t="s">
        <v>793</v>
      </c>
      <c r="C47" s="485">
        <v>1</v>
      </c>
      <c r="D47" s="223" t="s">
        <v>347</v>
      </c>
      <c r="E47" s="491">
        <v>20</v>
      </c>
      <c r="F47" s="483">
        <v>2400</v>
      </c>
      <c r="G47" s="484">
        <v>120</v>
      </c>
      <c r="H47" s="671">
        <f>AVERAGE(G47:G61)</f>
        <v>135.87404602191751</v>
      </c>
      <c r="I47" s="487">
        <f t="shared" ref="I47:K60" si="42">IFERROR(AVERAGE(P47,U47,Z47,AE47,AJ47,AO47,AT47),"-")</f>
        <v>20</v>
      </c>
      <c r="J47" s="487">
        <f t="shared" si="42"/>
        <v>2334.4744430168389</v>
      </c>
      <c r="K47" s="363">
        <f t="shared" si="42"/>
        <v>116.72372215084195</v>
      </c>
      <c r="L47" s="614">
        <f>IFERROR(AVERAGE(K47:K61),"-")</f>
        <v>121.35124203714356</v>
      </c>
      <c r="M47" s="490">
        <f>RANK(K47, K$47:$K$61)</f>
        <v>8</v>
      </c>
      <c r="N47" s="624"/>
      <c r="O47" s="624"/>
      <c r="P47" s="540">
        <v>20</v>
      </c>
      <c r="Q47" s="541">
        <v>2335.4166666666674</v>
      </c>
      <c r="R47" s="541">
        <v>116.77083333333337</v>
      </c>
      <c r="S47" s="540">
        <f t="shared" ref="S47:S61" si="43">RANK(R47, R$47:R$61)</f>
        <v>8</v>
      </c>
      <c r="T47" s="653">
        <f>AVERAGE(R47:R61)</f>
        <v>120.42572049566854</v>
      </c>
      <c r="U47" s="540">
        <v>20</v>
      </c>
      <c r="V47" s="541">
        <v>2331.0967741935483</v>
      </c>
      <c r="W47" s="541">
        <v>116.55483870967741</v>
      </c>
      <c r="X47" s="540">
        <f t="shared" ref="X47:X61" si="44">RANK(W47, W$47:W$61)</f>
        <v>8</v>
      </c>
      <c r="Y47" s="653">
        <f>AVERAGE(W47:W61)</f>
        <v>120.51923143944884</v>
      </c>
      <c r="Z47" s="540">
        <v>20</v>
      </c>
      <c r="AA47" s="541">
        <v>2331.7808219178087</v>
      </c>
      <c r="AB47" s="541">
        <v>116.58904109589044</v>
      </c>
      <c r="AC47" s="540">
        <f t="shared" ref="AC47:AC61" si="45">RANK(AB47, AB$47:AB$61)</f>
        <v>9</v>
      </c>
      <c r="AD47" s="653">
        <f>AVERAGE(AB47:AB61)</f>
        <v>121.2027056940352</v>
      </c>
      <c r="AE47" s="540">
        <v>20</v>
      </c>
      <c r="AF47" s="541">
        <v>2361.8181818181824</v>
      </c>
      <c r="AG47" s="541">
        <v>118.09090909090912</v>
      </c>
      <c r="AH47" s="540">
        <f t="shared" ref="AH47:AH61" si="46">RANK(AG47, AG$47:AG$61)</f>
        <v>7</v>
      </c>
      <c r="AI47" s="653">
        <f>AVERAGE(AG47:AG61)</f>
        <v>123.18780871976723</v>
      </c>
      <c r="AJ47" s="540">
        <v>20</v>
      </c>
      <c r="AK47" s="541">
        <v>2344.817518248175</v>
      </c>
      <c r="AL47" s="541">
        <v>117.24087591240875</v>
      </c>
      <c r="AM47" s="540">
        <f t="shared" ref="AM47:AM61" si="47">RANK(AL47, AL$47:AL$61)</f>
        <v>8</v>
      </c>
      <c r="AN47" s="653">
        <f>AVERAGE(AL47:AL61)</f>
        <v>121.07971360290141</v>
      </c>
      <c r="AO47" s="540">
        <v>20</v>
      </c>
      <c r="AP47" s="541">
        <v>2302.2352941176468</v>
      </c>
      <c r="AQ47" s="541">
        <v>115.11176470588234</v>
      </c>
      <c r="AR47" s="540">
        <f t="shared" ref="AR47:AR61" si="48">RANK(AQ47, AQ$47:AQ$61)</f>
        <v>9</v>
      </c>
      <c r="AS47" s="653">
        <f>AVERAGE(AQ47:AQ61)</f>
        <v>121.67230300167756</v>
      </c>
      <c r="AT47" s="540">
        <v>20</v>
      </c>
      <c r="AU47" s="541">
        <v>2334.1558441558441</v>
      </c>
      <c r="AV47" s="541">
        <v>116.70779220779221</v>
      </c>
      <c r="AW47" s="540">
        <f t="shared" ref="AW47:AW61" si="49">RANK(AV47, AV$47:AV$61)</f>
        <v>8</v>
      </c>
      <c r="AX47" s="653">
        <f>AVERAGE(AV47:AV61)</f>
        <v>121.37121130650615</v>
      </c>
      <c r="AZ47" s="540" t="e">
        <f t="shared" ref="AZ47:AZ61" si="50">RANK(AY47, AY$47:AY$61)</f>
        <v>#N/A</v>
      </c>
      <c r="BA47" s="653" t="e">
        <f>AVERAGE(AY47:AY61)</f>
        <v>#DIV/0!</v>
      </c>
    </row>
    <row r="48" spans="2:53">
      <c r="B48" s="635"/>
      <c r="C48" s="485">
        <v>2</v>
      </c>
      <c r="D48" s="223" t="s">
        <v>348</v>
      </c>
      <c r="E48" s="491">
        <v>18</v>
      </c>
      <c r="F48" s="483">
        <v>2769</v>
      </c>
      <c r="G48" s="484">
        <v>153.83333333333334</v>
      </c>
      <c r="H48" s="672"/>
      <c r="I48" s="487">
        <f t="shared" si="42"/>
        <v>18.285714285714285</v>
      </c>
      <c r="J48" s="487">
        <f t="shared" si="42"/>
        <v>2488.9173681061197</v>
      </c>
      <c r="K48" s="363">
        <f t="shared" si="42"/>
        <v>136.18288198910756</v>
      </c>
      <c r="L48" s="615"/>
      <c r="M48" s="490">
        <f>RANK(K48, K$47:$K$61)</f>
        <v>1</v>
      </c>
      <c r="N48" s="624"/>
      <c r="O48" s="624"/>
      <c r="P48" s="540">
        <v>18</v>
      </c>
      <c r="Q48" s="541">
        <v>2499.6610169491546</v>
      </c>
      <c r="R48" s="541">
        <v>138.87005649717526</v>
      </c>
      <c r="S48" s="540">
        <f t="shared" si="43"/>
        <v>1</v>
      </c>
      <c r="T48" s="653"/>
      <c r="U48" s="540">
        <v>18</v>
      </c>
      <c r="V48" s="541">
        <v>2504.9999999999968</v>
      </c>
      <c r="W48" s="541">
        <v>139.16666666666649</v>
      </c>
      <c r="X48" s="540">
        <f t="shared" si="44"/>
        <v>1</v>
      </c>
      <c r="Y48" s="653"/>
      <c r="Z48" s="540">
        <v>18</v>
      </c>
      <c r="AA48" s="541">
        <v>2461.76470588235</v>
      </c>
      <c r="AB48" s="541">
        <v>136.76470588235279</v>
      </c>
      <c r="AC48" s="540">
        <f t="shared" si="45"/>
        <v>1</v>
      </c>
      <c r="AD48" s="653"/>
      <c r="AE48" s="540">
        <v>19</v>
      </c>
      <c r="AF48" s="541">
        <v>2477.3333333333276</v>
      </c>
      <c r="AG48" s="541">
        <v>130.3859649122804</v>
      </c>
      <c r="AH48" s="540">
        <f t="shared" si="46"/>
        <v>4</v>
      </c>
      <c r="AI48" s="653"/>
      <c r="AJ48" s="540">
        <v>19</v>
      </c>
      <c r="AK48" s="541">
        <v>2526.8571428571404</v>
      </c>
      <c r="AL48" s="541">
        <v>132.9924812030074</v>
      </c>
      <c r="AM48" s="540">
        <f t="shared" si="47"/>
        <v>2</v>
      </c>
      <c r="AN48" s="653"/>
      <c r="AO48" s="540">
        <v>18</v>
      </c>
      <c r="AP48" s="541">
        <v>2508.1690140845044</v>
      </c>
      <c r="AQ48" s="541">
        <v>139.34272300469468</v>
      </c>
      <c r="AR48" s="540">
        <f t="shared" si="48"/>
        <v>1</v>
      </c>
      <c r="AS48" s="653"/>
      <c r="AT48" s="540">
        <v>18</v>
      </c>
      <c r="AU48" s="541">
        <v>2443.6363636363653</v>
      </c>
      <c r="AV48" s="541">
        <v>135.75757575757586</v>
      </c>
      <c r="AW48" s="540">
        <f t="shared" si="49"/>
        <v>2</v>
      </c>
      <c r="AX48" s="653"/>
      <c r="AZ48" s="540" t="e">
        <f t="shared" si="50"/>
        <v>#N/A</v>
      </c>
      <c r="BA48" s="653"/>
    </row>
    <row r="49" spans="2:53">
      <c r="B49" s="635"/>
      <c r="C49" s="485">
        <v>3</v>
      </c>
      <c r="D49" s="223" t="s">
        <v>349</v>
      </c>
      <c r="E49" s="491">
        <v>19</v>
      </c>
      <c r="F49" s="483">
        <v>2769</v>
      </c>
      <c r="G49" s="484">
        <v>145.73684210526315</v>
      </c>
      <c r="H49" s="672"/>
      <c r="I49" s="487">
        <f t="shared" si="42"/>
        <v>19.142857142857142</v>
      </c>
      <c r="J49" s="487">
        <f t="shared" si="42"/>
        <v>2408.2349340155329</v>
      </c>
      <c r="K49" s="363">
        <f t="shared" si="42"/>
        <v>125.8444451486872</v>
      </c>
      <c r="L49" s="615"/>
      <c r="M49" s="490">
        <f>RANK(K49, K$47:$K$61)</f>
        <v>5</v>
      </c>
      <c r="N49" s="624"/>
      <c r="O49" s="624"/>
      <c r="P49" s="540">
        <v>19</v>
      </c>
      <c r="Q49" s="541">
        <v>2307.692307692309</v>
      </c>
      <c r="R49" s="541">
        <v>121.45748987854257</v>
      </c>
      <c r="S49" s="540">
        <f t="shared" si="43"/>
        <v>5</v>
      </c>
      <c r="T49" s="653"/>
      <c r="U49" s="540">
        <v>19</v>
      </c>
      <c r="V49" s="541">
        <v>2361.8918918918903</v>
      </c>
      <c r="W49" s="541">
        <v>124.31009957325739</v>
      </c>
      <c r="X49" s="540">
        <f t="shared" si="44"/>
        <v>5</v>
      </c>
      <c r="Y49" s="653"/>
      <c r="Z49" s="540">
        <v>19</v>
      </c>
      <c r="AA49" s="541">
        <v>2432.1649484536092</v>
      </c>
      <c r="AB49" s="541">
        <v>128.00868149755837</v>
      </c>
      <c r="AC49" s="540">
        <f t="shared" si="45"/>
        <v>4</v>
      </c>
      <c r="AD49" s="653"/>
      <c r="AE49" s="540">
        <v>19</v>
      </c>
      <c r="AF49" s="541">
        <v>2436.2500000000009</v>
      </c>
      <c r="AG49" s="541">
        <v>128.22368421052636</v>
      </c>
      <c r="AH49" s="540">
        <f t="shared" si="46"/>
        <v>5</v>
      </c>
      <c r="AI49" s="653"/>
      <c r="AJ49" s="540">
        <v>19</v>
      </c>
      <c r="AK49" s="541">
        <v>2463.8297872340431</v>
      </c>
      <c r="AL49" s="541">
        <v>129.67525195968648</v>
      </c>
      <c r="AM49" s="540">
        <f t="shared" si="47"/>
        <v>4</v>
      </c>
      <c r="AN49" s="653"/>
      <c r="AO49" s="540">
        <v>19</v>
      </c>
      <c r="AP49" s="541">
        <v>2449.1489361702106</v>
      </c>
      <c r="AQ49" s="541">
        <v>128.90257558790583</v>
      </c>
      <c r="AR49" s="540">
        <f t="shared" si="48"/>
        <v>4</v>
      </c>
      <c r="AS49" s="653"/>
      <c r="AT49" s="540">
        <v>20</v>
      </c>
      <c r="AU49" s="541">
        <v>2406.666666666667</v>
      </c>
      <c r="AV49" s="541">
        <v>120.33333333333334</v>
      </c>
      <c r="AW49" s="540">
        <f t="shared" si="49"/>
        <v>5</v>
      </c>
      <c r="AX49" s="653"/>
      <c r="AZ49" s="540" t="e">
        <f t="shared" si="50"/>
        <v>#N/A</v>
      </c>
      <c r="BA49" s="653"/>
    </row>
    <row r="50" spans="2:53">
      <c r="B50" s="635"/>
      <c r="C50" s="485">
        <v>4</v>
      </c>
      <c r="D50" s="223" t="s">
        <v>350</v>
      </c>
      <c r="E50" s="491">
        <v>20</v>
      </c>
      <c r="F50" s="483">
        <v>2769</v>
      </c>
      <c r="G50" s="484">
        <v>138.44999999999999</v>
      </c>
      <c r="H50" s="672"/>
      <c r="I50" s="487">
        <f t="shared" si="42"/>
        <v>20</v>
      </c>
      <c r="J50" s="487">
        <f t="shared" si="42"/>
        <v>2404.6302630278983</v>
      </c>
      <c r="K50" s="363">
        <f t="shared" si="42"/>
        <v>120.23151315139491</v>
      </c>
      <c r="L50" s="615"/>
      <c r="M50" s="490">
        <f>RANK(K50, K$47:$K$61)</f>
        <v>6</v>
      </c>
      <c r="N50" s="624"/>
      <c r="O50" s="624"/>
      <c r="P50" s="540">
        <v>20</v>
      </c>
      <c r="Q50" s="541">
        <v>2423.8235294117649</v>
      </c>
      <c r="R50" s="541">
        <v>121.19117647058825</v>
      </c>
      <c r="S50" s="540">
        <f t="shared" si="43"/>
        <v>6</v>
      </c>
      <c r="T50" s="653"/>
      <c r="U50" s="540">
        <v>20</v>
      </c>
      <c r="V50" s="541">
        <v>2396.8421052631579</v>
      </c>
      <c r="W50" s="541">
        <v>119.84210526315789</v>
      </c>
      <c r="X50" s="540">
        <f t="shared" si="44"/>
        <v>6</v>
      </c>
      <c r="Y50" s="653"/>
      <c r="Z50" s="540">
        <v>20</v>
      </c>
      <c r="AA50" s="541">
        <v>2376.6000000000008</v>
      </c>
      <c r="AB50" s="541">
        <v>118.83000000000004</v>
      </c>
      <c r="AC50" s="540">
        <f t="shared" si="45"/>
        <v>7</v>
      </c>
      <c r="AD50" s="653"/>
      <c r="AE50" s="540">
        <v>20</v>
      </c>
      <c r="AF50" s="541">
        <v>2424.4444444444462</v>
      </c>
      <c r="AG50" s="541">
        <v>121.22222222222231</v>
      </c>
      <c r="AH50" s="540">
        <f t="shared" si="46"/>
        <v>6</v>
      </c>
      <c r="AI50" s="653"/>
      <c r="AJ50" s="540">
        <v>20</v>
      </c>
      <c r="AK50" s="541">
        <v>2413.2352941176468</v>
      </c>
      <c r="AL50" s="541">
        <v>120.66176470588235</v>
      </c>
      <c r="AM50" s="540">
        <f t="shared" si="47"/>
        <v>6</v>
      </c>
      <c r="AN50" s="653"/>
      <c r="AO50" s="540">
        <v>20</v>
      </c>
      <c r="AP50" s="541">
        <v>2400.909090909091</v>
      </c>
      <c r="AQ50" s="541">
        <v>120.04545454545455</v>
      </c>
      <c r="AR50" s="540">
        <f t="shared" si="48"/>
        <v>7</v>
      </c>
      <c r="AS50" s="653"/>
      <c r="AT50" s="540">
        <v>20</v>
      </c>
      <c r="AU50" s="541">
        <v>2396.5573770491796</v>
      </c>
      <c r="AV50" s="541">
        <v>119.82786885245898</v>
      </c>
      <c r="AW50" s="540">
        <f t="shared" si="49"/>
        <v>6</v>
      </c>
      <c r="AX50" s="653"/>
      <c r="AZ50" s="540" t="e">
        <f t="shared" si="50"/>
        <v>#N/A</v>
      </c>
      <c r="BA50" s="653"/>
    </row>
    <row r="51" spans="2:53">
      <c r="B51" s="635"/>
      <c r="C51" s="485">
        <v>5</v>
      </c>
      <c r="D51" s="223" t="s">
        <v>430</v>
      </c>
      <c r="E51" s="491">
        <v>18</v>
      </c>
      <c r="F51" s="483">
        <v>2400</v>
      </c>
      <c r="G51" s="484">
        <v>133.33333333333334</v>
      </c>
      <c r="H51" s="672"/>
      <c r="I51" s="487">
        <f t="shared" si="42"/>
        <v>18</v>
      </c>
      <c r="J51" s="487">
        <f t="shared" si="42"/>
        <v>2135.4433041473917</v>
      </c>
      <c r="K51" s="363">
        <f t="shared" si="42"/>
        <v>118.63573911929954</v>
      </c>
      <c r="L51" s="615"/>
      <c r="M51" s="490">
        <f>RANK(K51, K$47:$K$61)</f>
        <v>7</v>
      </c>
      <c r="N51" s="624"/>
      <c r="O51" s="624"/>
      <c r="P51" s="540">
        <v>18</v>
      </c>
      <c r="Q51" s="541">
        <v>2130.810810810809</v>
      </c>
      <c r="R51" s="541">
        <v>118.37837837837827</v>
      </c>
      <c r="S51" s="540">
        <f t="shared" si="43"/>
        <v>7</v>
      </c>
      <c r="T51" s="653"/>
      <c r="U51" s="540">
        <v>18</v>
      </c>
      <c r="V51" s="541">
        <v>2126.1818181818194</v>
      </c>
      <c r="W51" s="541">
        <v>118.12121212121218</v>
      </c>
      <c r="X51" s="540">
        <f t="shared" si="44"/>
        <v>7</v>
      </c>
      <c r="Y51" s="653"/>
      <c r="Z51" s="540">
        <v>18</v>
      </c>
      <c r="AA51" s="541">
        <v>2139.6428571428555</v>
      </c>
      <c r="AB51" s="541">
        <v>118.86904761904754</v>
      </c>
      <c r="AC51" s="540">
        <f t="shared" si="45"/>
        <v>6</v>
      </c>
      <c r="AD51" s="653"/>
      <c r="AE51" s="540">
        <v>18</v>
      </c>
      <c r="AF51" s="541">
        <v>2111.1111111111104</v>
      </c>
      <c r="AG51" s="541">
        <v>117.28395061728391</v>
      </c>
      <c r="AH51" s="540">
        <f t="shared" si="46"/>
        <v>9</v>
      </c>
      <c r="AI51" s="653"/>
      <c r="AJ51" s="540">
        <v>18</v>
      </c>
      <c r="AK51" s="541">
        <v>2137.377049180327</v>
      </c>
      <c r="AL51" s="541">
        <v>118.74316939890706</v>
      </c>
      <c r="AM51" s="540">
        <f t="shared" si="47"/>
        <v>7</v>
      </c>
      <c r="AN51" s="653"/>
      <c r="AO51" s="540">
        <v>18</v>
      </c>
      <c r="AP51" s="541">
        <v>2165.0847457627137</v>
      </c>
      <c r="AQ51" s="541">
        <v>120.28248587570631</v>
      </c>
      <c r="AR51" s="540">
        <f t="shared" si="48"/>
        <v>6</v>
      </c>
      <c r="AS51" s="653"/>
      <c r="AT51" s="540">
        <v>18</v>
      </c>
      <c r="AU51" s="541">
        <v>2137.8947368421068</v>
      </c>
      <c r="AV51" s="541">
        <v>118.77192982456148</v>
      </c>
      <c r="AW51" s="540">
        <f t="shared" si="49"/>
        <v>7</v>
      </c>
      <c r="AX51" s="653"/>
      <c r="AZ51" s="540" t="e">
        <f t="shared" si="50"/>
        <v>#N/A</v>
      </c>
      <c r="BA51" s="653"/>
    </row>
    <row r="52" spans="2:53">
      <c r="B52" s="635"/>
      <c r="C52" s="485">
        <v>6</v>
      </c>
      <c r="D52" s="223" t="s">
        <v>661</v>
      </c>
      <c r="E52" s="491">
        <v>17</v>
      </c>
      <c r="F52" s="483">
        <v>2571</v>
      </c>
      <c r="G52" s="484">
        <v>151.23529411764707</v>
      </c>
      <c r="H52" s="672"/>
      <c r="I52" s="487">
        <f t="shared" si="42"/>
        <v>17.428571428571427</v>
      </c>
      <c r="J52" s="487">
        <f t="shared" si="42"/>
        <v>2336.5269053174402</v>
      </c>
      <c r="K52" s="363">
        <f t="shared" si="42"/>
        <v>134.1423595438589</v>
      </c>
      <c r="L52" s="615"/>
      <c r="M52" s="490">
        <f>RANK(K52, K$47:$K$61)</f>
        <v>2</v>
      </c>
      <c r="N52" s="624"/>
      <c r="O52" s="624"/>
      <c r="P52" s="540">
        <v>18</v>
      </c>
      <c r="Q52" s="541">
        <v>2336.1702127659578</v>
      </c>
      <c r="R52" s="541">
        <v>129.78723404255322</v>
      </c>
      <c r="S52" s="540">
        <f t="shared" si="43"/>
        <v>3</v>
      </c>
      <c r="T52" s="653"/>
      <c r="U52" s="540">
        <v>18</v>
      </c>
      <c r="V52" s="541">
        <v>2348.9999999999991</v>
      </c>
      <c r="W52" s="541">
        <v>130.49999999999994</v>
      </c>
      <c r="X52" s="540">
        <f t="shared" si="44"/>
        <v>3</v>
      </c>
      <c r="Y52" s="653"/>
      <c r="Z52" s="540">
        <v>18</v>
      </c>
      <c r="AA52" s="541">
        <v>2384.2857142857138</v>
      </c>
      <c r="AB52" s="541">
        <v>132.46031746031744</v>
      </c>
      <c r="AC52" s="540">
        <f t="shared" si="45"/>
        <v>2</v>
      </c>
      <c r="AD52" s="653"/>
      <c r="AE52" s="540">
        <v>17</v>
      </c>
      <c r="AF52" s="541">
        <v>2304.782608695652</v>
      </c>
      <c r="AG52" s="541">
        <v>135.57544757033247</v>
      </c>
      <c r="AH52" s="540">
        <f t="shared" si="46"/>
        <v>3</v>
      </c>
      <c r="AI52" s="653"/>
      <c r="AJ52" s="540">
        <v>17</v>
      </c>
      <c r="AK52" s="541">
        <v>2316.2790697674413</v>
      </c>
      <c r="AL52" s="541">
        <v>136.25170998632007</v>
      </c>
      <c r="AM52" s="540">
        <f t="shared" si="47"/>
        <v>1</v>
      </c>
      <c r="AN52" s="653"/>
      <c r="AO52" s="540">
        <v>17</v>
      </c>
      <c r="AP52" s="541">
        <v>2312</v>
      </c>
      <c r="AQ52" s="541">
        <v>136</v>
      </c>
      <c r="AR52" s="540">
        <f t="shared" si="48"/>
        <v>2</v>
      </c>
      <c r="AS52" s="653"/>
      <c r="AT52" s="540">
        <v>17</v>
      </c>
      <c r="AU52" s="541">
        <v>2353.170731707316</v>
      </c>
      <c r="AV52" s="541">
        <v>138.42180774748917</v>
      </c>
      <c r="AW52" s="540">
        <f t="shared" si="49"/>
        <v>1</v>
      </c>
      <c r="AX52" s="653"/>
      <c r="AZ52" s="540" t="e">
        <f t="shared" si="50"/>
        <v>#N/A</v>
      </c>
      <c r="BA52" s="653"/>
    </row>
    <row r="53" spans="2:53">
      <c r="B53" s="635"/>
      <c r="C53" s="485">
        <v>7</v>
      </c>
      <c r="D53" s="223" t="s">
        <v>664</v>
      </c>
      <c r="E53" s="491">
        <v>18</v>
      </c>
      <c r="F53" s="483">
        <v>2571</v>
      </c>
      <c r="G53" s="484">
        <v>142.83333333333334</v>
      </c>
      <c r="H53" s="672"/>
      <c r="I53" s="487">
        <f t="shared" si="42"/>
        <v>17.857142857142858</v>
      </c>
      <c r="J53" s="487">
        <f t="shared" si="42"/>
        <v>2292.138321995461</v>
      </c>
      <c r="K53" s="363">
        <f t="shared" si="42"/>
        <v>128.45212899974783</v>
      </c>
      <c r="L53" s="615"/>
      <c r="M53" s="490">
        <f>RANK(K53, K$47:$K$61)</f>
        <v>4</v>
      </c>
      <c r="N53" s="624"/>
      <c r="O53" s="624"/>
      <c r="P53" s="540">
        <v>18</v>
      </c>
      <c r="Q53" s="541">
        <v>2295.555555555557</v>
      </c>
      <c r="R53" s="541">
        <v>127.53086419753095</v>
      </c>
      <c r="S53" s="540">
        <f t="shared" si="43"/>
        <v>4</v>
      </c>
      <c r="T53" s="653"/>
      <c r="U53" s="540">
        <v>18</v>
      </c>
      <c r="V53" s="541">
        <v>2282.0000000000018</v>
      </c>
      <c r="W53" s="541">
        <v>126.77777777777789</v>
      </c>
      <c r="X53" s="540">
        <f t="shared" si="44"/>
        <v>4</v>
      </c>
      <c r="Y53" s="653"/>
      <c r="Z53" s="540">
        <v>18</v>
      </c>
      <c r="AA53" s="541">
        <v>2247.8571428571377</v>
      </c>
      <c r="AB53" s="541">
        <v>124.8809523809521</v>
      </c>
      <c r="AC53" s="540">
        <f t="shared" si="45"/>
        <v>5</v>
      </c>
      <c r="AD53" s="653"/>
      <c r="AE53" s="540">
        <v>17</v>
      </c>
      <c r="AF53" s="541">
        <v>2379.9999999999927</v>
      </c>
      <c r="AG53" s="541">
        <v>139.99999999999957</v>
      </c>
      <c r="AH53" s="540">
        <f t="shared" si="46"/>
        <v>2</v>
      </c>
      <c r="AI53" s="653"/>
      <c r="AJ53" s="540">
        <v>18</v>
      </c>
      <c r="AK53" s="541">
        <v>2265.5999999999935</v>
      </c>
      <c r="AL53" s="541">
        <v>125.8666666666663</v>
      </c>
      <c r="AM53" s="540">
        <f t="shared" si="47"/>
        <v>5</v>
      </c>
      <c r="AN53" s="653"/>
      <c r="AO53" s="540">
        <v>18</v>
      </c>
      <c r="AP53" s="541">
        <v>2258.3999999999937</v>
      </c>
      <c r="AQ53" s="541">
        <v>125.46666666666631</v>
      </c>
      <c r="AR53" s="540">
        <f t="shared" si="48"/>
        <v>5</v>
      </c>
      <c r="AS53" s="653"/>
      <c r="AT53" s="540">
        <v>18</v>
      </c>
      <c r="AU53" s="541">
        <v>2315.5555555555502</v>
      </c>
      <c r="AV53" s="541">
        <v>128.64197530864169</v>
      </c>
      <c r="AW53" s="540">
        <f t="shared" si="49"/>
        <v>4</v>
      </c>
      <c r="AX53" s="653"/>
      <c r="AZ53" s="540" t="e">
        <f t="shared" si="50"/>
        <v>#N/A</v>
      </c>
      <c r="BA53" s="653"/>
    </row>
    <row r="54" spans="2:53">
      <c r="B54" s="635"/>
      <c r="C54" s="485">
        <v>8</v>
      </c>
      <c r="D54" s="223" t="s">
        <v>730</v>
      </c>
      <c r="E54" s="491">
        <v>19</v>
      </c>
      <c r="F54" s="483">
        <v>2400</v>
      </c>
      <c r="G54" s="484">
        <v>126.31578947368421</v>
      </c>
      <c r="H54" s="672"/>
      <c r="I54" s="487">
        <f t="shared" si="42"/>
        <v>18.428571428571427</v>
      </c>
      <c r="J54" s="487">
        <f t="shared" si="42"/>
        <v>2111.1484936577526</v>
      </c>
      <c r="K54" s="363">
        <f t="shared" si="42"/>
        <v>114.63511646681975</v>
      </c>
      <c r="L54" s="615"/>
      <c r="M54" s="490">
        <f>RANK(K54, K$47:$K$61)</f>
        <v>10</v>
      </c>
      <c r="N54" s="624"/>
      <c r="O54" s="624"/>
      <c r="P54" s="540">
        <v>19</v>
      </c>
      <c r="Q54" s="541">
        <v>2084.5161290322549</v>
      </c>
      <c r="R54" s="541">
        <v>109.71137521222394</v>
      </c>
      <c r="S54" s="540">
        <f t="shared" si="43"/>
        <v>11</v>
      </c>
      <c r="T54" s="653"/>
      <c r="U54" s="540">
        <v>19</v>
      </c>
      <c r="V54" s="541">
        <v>2131.76470588235</v>
      </c>
      <c r="W54" s="541">
        <v>112.19814241486053</v>
      </c>
      <c r="X54" s="540">
        <f t="shared" si="44"/>
        <v>11</v>
      </c>
      <c r="Y54" s="653"/>
      <c r="Z54" s="540">
        <v>18</v>
      </c>
      <c r="AA54" s="541">
        <v>2124.0000000000018</v>
      </c>
      <c r="AB54" s="541">
        <v>118.0000000000001</v>
      </c>
      <c r="AC54" s="540">
        <f t="shared" si="45"/>
        <v>8</v>
      </c>
      <c r="AD54" s="653"/>
      <c r="AE54" s="540">
        <v>18</v>
      </c>
      <c r="AF54" s="541">
        <v>2122.7586206896567</v>
      </c>
      <c r="AG54" s="541">
        <v>117.9310344827587</v>
      </c>
      <c r="AH54" s="540">
        <f t="shared" si="46"/>
        <v>8</v>
      </c>
      <c r="AI54" s="653"/>
      <c r="AJ54" s="540">
        <v>19</v>
      </c>
      <c r="AK54" s="541">
        <v>2130.0000000000018</v>
      </c>
      <c r="AL54" s="541">
        <v>112.10526315789484</v>
      </c>
      <c r="AM54" s="540">
        <f t="shared" si="47"/>
        <v>10</v>
      </c>
      <c r="AN54" s="653"/>
      <c r="AO54" s="540">
        <v>18</v>
      </c>
      <c r="AP54" s="541">
        <v>2085.0000000000018</v>
      </c>
      <c r="AQ54" s="541">
        <v>115.83333333333343</v>
      </c>
      <c r="AR54" s="540">
        <f t="shared" si="48"/>
        <v>8</v>
      </c>
      <c r="AS54" s="653"/>
      <c r="AT54" s="540">
        <v>18</v>
      </c>
      <c r="AU54" s="541">
        <v>2100.0000000000023</v>
      </c>
      <c r="AV54" s="541">
        <v>116.6666666666668</v>
      </c>
      <c r="AW54" s="540">
        <f t="shared" si="49"/>
        <v>9</v>
      </c>
      <c r="AX54" s="653"/>
      <c r="AZ54" s="540" t="e">
        <f t="shared" si="50"/>
        <v>#N/A</v>
      </c>
      <c r="BA54" s="653"/>
    </row>
    <row r="55" spans="2:53">
      <c r="B55" s="635"/>
      <c r="C55" s="485">
        <v>9</v>
      </c>
      <c r="D55" s="223" t="s">
        <v>731</v>
      </c>
      <c r="E55" s="491">
        <v>18</v>
      </c>
      <c r="F55" s="483">
        <v>2571</v>
      </c>
      <c r="G55" s="484">
        <v>142.83333333333334</v>
      </c>
      <c r="H55" s="672"/>
      <c r="I55" s="487">
        <f t="shared" si="42"/>
        <v>17.857142857142858</v>
      </c>
      <c r="J55" s="487">
        <f t="shared" si="42"/>
        <v>2369.3764901764903</v>
      </c>
      <c r="K55" s="363">
        <f t="shared" si="42"/>
        <v>132.74379193790958</v>
      </c>
      <c r="L55" s="615"/>
      <c r="M55" s="490">
        <f>RANK(K55, K$47:$K$61)</f>
        <v>3</v>
      </c>
      <c r="N55" s="624"/>
      <c r="O55" s="624"/>
      <c r="P55" s="540">
        <v>18</v>
      </c>
      <c r="Q55" s="541">
        <v>2379.2307692307704</v>
      </c>
      <c r="R55" s="541">
        <v>132.17948717948724</v>
      </c>
      <c r="S55" s="540">
        <f t="shared" si="43"/>
        <v>2</v>
      </c>
      <c r="T55" s="653"/>
      <c r="U55" s="540">
        <v>18</v>
      </c>
      <c r="V55" s="541">
        <v>2352.4999999999982</v>
      </c>
      <c r="W55" s="541">
        <v>130.69444444444434</v>
      </c>
      <c r="X55" s="540">
        <f t="shared" si="44"/>
        <v>2</v>
      </c>
      <c r="Y55" s="653"/>
      <c r="Z55" s="540">
        <v>18</v>
      </c>
      <c r="AA55" s="541">
        <v>2365.8333333333339</v>
      </c>
      <c r="AB55" s="541">
        <v>131.43518518518522</v>
      </c>
      <c r="AC55" s="540">
        <f t="shared" si="45"/>
        <v>3</v>
      </c>
      <c r="AD55" s="653"/>
      <c r="AE55" s="540">
        <v>17</v>
      </c>
      <c r="AF55" s="541">
        <v>2381.4</v>
      </c>
      <c r="AG55" s="541">
        <v>140.08235294117648</v>
      </c>
      <c r="AH55" s="540">
        <f t="shared" si="46"/>
        <v>1</v>
      </c>
      <c r="AI55" s="653"/>
      <c r="AJ55" s="540">
        <v>18</v>
      </c>
      <c r="AK55" s="541">
        <v>2386.3636363636365</v>
      </c>
      <c r="AL55" s="541">
        <v>132.57575757575759</v>
      </c>
      <c r="AM55" s="540">
        <f t="shared" si="47"/>
        <v>3</v>
      </c>
      <c r="AN55" s="653"/>
      <c r="AO55" s="540">
        <v>18</v>
      </c>
      <c r="AP55" s="541">
        <v>2360</v>
      </c>
      <c r="AQ55" s="541">
        <v>131.11111111111111</v>
      </c>
      <c r="AR55" s="540">
        <f t="shared" si="48"/>
        <v>3</v>
      </c>
      <c r="AS55" s="653"/>
      <c r="AT55" s="540">
        <v>18</v>
      </c>
      <c r="AU55" s="541">
        <v>2360.3076923076919</v>
      </c>
      <c r="AV55" s="541">
        <v>131.12820512820511</v>
      </c>
      <c r="AW55" s="540">
        <f t="shared" si="49"/>
        <v>3</v>
      </c>
      <c r="AX55" s="653"/>
      <c r="AZ55" s="540" t="e">
        <f t="shared" si="50"/>
        <v>#N/A</v>
      </c>
      <c r="BA55" s="653"/>
    </row>
    <row r="56" spans="2:53">
      <c r="B56" s="635"/>
      <c r="C56" s="485">
        <v>10</v>
      </c>
      <c r="D56" s="223" t="s">
        <v>794</v>
      </c>
      <c r="E56" s="491">
        <v>19</v>
      </c>
      <c r="F56" s="483">
        <v>2400</v>
      </c>
      <c r="G56" s="484">
        <v>126.31578947368421</v>
      </c>
      <c r="H56" s="672"/>
      <c r="I56" s="487">
        <f t="shared" si="42"/>
        <v>19</v>
      </c>
      <c r="J56" s="487">
        <f t="shared" si="42"/>
        <v>2120.432737248525</v>
      </c>
      <c r="K56" s="363">
        <f t="shared" si="42"/>
        <v>111.60172301308027</v>
      </c>
      <c r="L56" s="615"/>
      <c r="M56" s="490">
        <f>RANK(K56, K$47:$K$61)</f>
        <v>11</v>
      </c>
      <c r="N56" s="624"/>
      <c r="O56" s="624"/>
      <c r="P56" s="540">
        <v>19</v>
      </c>
      <c r="Q56" s="541">
        <v>2145.789473684209</v>
      </c>
      <c r="R56" s="541">
        <v>112.93628808864258</v>
      </c>
      <c r="S56" s="540">
        <f t="shared" si="43"/>
        <v>10</v>
      </c>
      <c r="T56" s="653"/>
      <c r="U56" s="540">
        <v>19</v>
      </c>
      <c r="V56" s="541">
        <v>2138.9189189189174</v>
      </c>
      <c r="W56" s="541">
        <v>112.57467994310092</v>
      </c>
      <c r="X56" s="540">
        <f t="shared" si="44"/>
        <v>10</v>
      </c>
      <c r="Y56" s="653"/>
      <c r="Z56" s="540">
        <v>19</v>
      </c>
      <c r="AA56" s="541">
        <v>2125.2631578947353</v>
      </c>
      <c r="AB56" s="541">
        <v>111.85595567867028</v>
      </c>
      <c r="AC56" s="540">
        <f t="shared" si="45"/>
        <v>11</v>
      </c>
      <c r="AD56" s="653"/>
      <c r="AE56" s="540">
        <v>19</v>
      </c>
      <c r="AF56" s="541">
        <v>2086.4999999999991</v>
      </c>
      <c r="AG56" s="541">
        <v>109.81578947368416</v>
      </c>
      <c r="AH56" s="540">
        <f t="shared" si="46"/>
        <v>11</v>
      </c>
      <c r="AI56" s="653"/>
      <c r="AJ56" s="540">
        <v>19</v>
      </c>
      <c r="AK56" s="541">
        <v>2103.1578947368407</v>
      </c>
      <c r="AL56" s="541">
        <v>110.69252077562319</v>
      </c>
      <c r="AM56" s="540">
        <f t="shared" si="47"/>
        <v>11</v>
      </c>
      <c r="AN56" s="653"/>
      <c r="AO56" s="540">
        <v>19</v>
      </c>
      <c r="AP56" s="541">
        <v>2129.1891891891873</v>
      </c>
      <c r="AQ56" s="541">
        <v>112.06258890469407</v>
      </c>
      <c r="AR56" s="540">
        <f t="shared" si="48"/>
        <v>11</v>
      </c>
      <c r="AS56" s="653"/>
      <c r="AT56" s="540">
        <v>19</v>
      </c>
      <c r="AU56" s="541">
        <v>2114.2105263157878</v>
      </c>
      <c r="AV56" s="541">
        <v>111.27423822714672</v>
      </c>
      <c r="AW56" s="540">
        <f t="shared" si="49"/>
        <v>11</v>
      </c>
      <c r="AX56" s="653"/>
      <c r="AZ56" s="540" t="e">
        <f t="shared" si="50"/>
        <v>#N/A</v>
      </c>
      <c r="BA56" s="653"/>
    </row>
    <row r="57" spans="2:53">
      <c r="B57" s="635"/>
      <c r="C57" s="485">
        <v>11</v>
      </c>
      <c r="D57" s="223" t="s">
        <v>795</v>
      </c>
      <c r="E57" s="491">
        <v>21</v>
      </c>
      <c r="F57" s="483">
        <v>2400</v>
      </c>
      <c r="G57" s="484">
        <v>114.28571428571429</v>
      </c>
      <c r="H57" s="672"/>
      <c r="I57" s="487">
        <f t="shared" si="42"/>
        <v>21</v>
      </c>
      <c r="J57" s="487">
        <f t="shared" si="42"/>
        <v>2141.5926183508536</v>
      </c>
      <c r="K57" s="363">
        <f t="shared" si="42"/>
        <v>101.98060087385019</v>
      </c>
      <c r="L57" s="615"/>
      <c r="M57" s="490">
        <f>RANK(K57, K$47:$K$61)</f>
        <v>12</v>
      </c>
      <c r="N57" s="624"/>
      <c r="O57" s="624"/>
      <c r="P57" s="540">
        <v>21</v>
      </c>
      <c r="Q57" s="541">
        <v>2150.2941176470586</v>
      </c>
      <c r="R57" s="541">
        <v>102.39495798319327</v>
      </c>
      <c r="S57" s="540">
        <f t="shared" si="43"/>
        <v>12</v>
      </c>
      <c r="T57" s="653"/>
      <c r="U57" s="540">
        <v>21</v>
      </c>
      <c r="V57" s="541">
        <v>2133.3333333333326</v>
      </c>
      <c r="W57" s="541">
        <v>101.58730158730155</v>
      </c>
      <c r="X57" s="540">
        <f t="shared" si="44"/>
        <v>12</v>
      </c>
      <c r="Y57" s="653"/>
      <c r="Z57" s="540">
        <v>21</v>
      </c>
      <c r="AA57" s="541">
        <v>2111.6417910447763</v>
      </c>
      <c r="AB57" s="541">
        <v>100.5543710021322</v>
      </c>
      <c r="AC57" s="540">
        <f t="shared" si="45"/>
        <v>12</v>
      </c>
      <c r="AD57" s="653"/>
      <c r="AE57" s="540">
        <v>21</v>
      </c>
      <c r="AF57" s="541">
        <v>2159.9999999999991</v>
      </c>
      <c r="AG57" s="541">
        <v>102.85714285714282</v>
      </c>
      <c r="AH57" s="540">
        <f t="shared" si="46"/>
        <v>12</v>
      </c>
      <c r="AI57" s="653"/>
      <c r="AJ57" s="540">
        <v>21</v>
      </c>
      <c r="AK57" s="541">
        <v>2127.9310344827572</v>
      </c>
      <c r="AL57" s="541">
        <v>101.33004926108367</v>
      </c>
      <c r="AM57" s="540">
        <f t="shared" si="47"/>
        <v>12</v>
      </c>
      <c r="AN57" s="653"/>
      <c r="AO57" s="540">
        <v>21</v>
      </c>
      <c r="AP57" s="541">
        <v>2129.090909090909</v>
      </c>
      <c r="AQ57" s="541">
        <v>101.38528138528139</v>
      </c>
      <c r="AR57" s="540">
        <f t="shared" si="48"/>
        <v>12</v>
      </c>
      <c r="AS57" s="653"/>
      <c r="AT57" s="540">
        <v>21</v>
      </c>
      <c r="AU57" s="541">
        <v>2178.8571428571436</v>
      </c>
      <c r="AV57" s="541">
        <v>103.75510204081635</v>
      </c>
      <c r="AW57" s="540">
        <f t="shared" si="49"/>
        <v>12</v>
      </c>
      <c r="AX57" s="653"/>
      <c r="AZ57" s="540" t="e">
        <f t="shared" si="50"/>
        <v>#N/A</v>
      </c>
      <c r="BA57" s="653"/>
    </row>
    <row r="58" spans="2:53">
      <c r="B58" s="635"/>
      <c r="C58" s="485">
        <v>12</v>
      </c>
      <c r="D58" s="223" t="s">
        <v>850</v>
      </c>
      <c r="E58" s="491">
        <v>19</v>
      </c>
      <c r="F58" s="483">
        <v>2571</v>
      </c>
      <c r="G58" s="484">
        <v>135.31578947368422</v>
      </c>
      <c r="H58" s="672"/>
      <c r="I58" s="487">
        <f t="shared" si="42"/>
        <v>19</v>
      </c>
      <c r="J58" s="487">
        <f t="shared" si="42"/>
        <v>2185.7767589713758</v>
      </c>
      <c r="K58" s="363">
        <f t="shared" si="42"/>
        <v>115.04088205112501</v>
      </c>
      <c r="L58" s="615"/>
      <c r="M58" s="490">
        <f>RANK(K58, K$47:$K$61)</f>
        <v>9</v>
      </c>
      <c r="N58" s="624"/>
      <c r="O58" s="624"/>
      <c r="P58" s="540">
        <v>19</v>
      </c>
      <c r="Q58" s="541">
        <v>2164.1095890410961</v>
      </c>
      <c r="R58" s="541">
        <v>113.90050468637348</v>
      </c>
      <c r="S58" s="540">
        <f t="shared" si="43"/>
        <v>9</v>
      </c>
      <c r="T58" s="653"/>
      <c r="U58" s="540">
        <v>19</v>
      </c>
      <c r="V58" s="541">
        <v>2164.166666666667</v>
      </c>
      <c r="W58" s="541">
        <v>113.90350877192984</v>
      </c>
      <c r="X58" s="540">
        <f t="shared" si="44"/>
        <v>9</v>
      </c>
      <c r="Y58" s="653"/>
      <c r="Z58" s="540">
        <v>19</v>
      </c>
      <c r="AA58" s="541">
        <v>2207.5000000000005</v>
      </c>
      <c r="AB58" s="541">
        <v>116.18421052631581</v>
      </c>
      <c r="AC58" s="540">
        <f t="shared" si="45"/>
        <v>10</v>
      </c>
      <c r="AD58" s="653"/>
      <c r="AE58" s="540">
        <v>19</v>
      </c>
      <c r="AF58" s="541">
        <v>2218.9189189189187</v>
      </c>
      <c r="AG58" s="541">
        <v>116.78520625889045</v>
      </c>
      <c r="AH58" s="540">
        <f t="shared" si="46"/>
        <v>10</v>
      </c>
      <c r="AI58" s="653"/>
      <c r="AJ58" s="540">
        <v>19</v>
      </c>
      <c r="AK58" s="541">
        <v>2181.6000000000008</v>
      </c>
      <c r="AL58" s="541">
        <v>114.82105263157899</v>
      </c>
      <c r="AM58" s="540">
        <f t="shared" si="47"/>
        <v>9</v>
      </c>
      <c r="AN58" s="653"/>
      <c r="AO58" s="540">
        <v>19</v>
      </c>
      <c r="AP58" s="541">
        <v>2175.9493670886091</v>
      </c>
      <c r="AQ58" s="541">
        <v>114.52365089940048</v>
      </c>
      <c r="AR58" s="540">
        <f t="shared" si="48"/>
        <v>10</v>
      </c>
      <c r="AS58" s="653"/>
      <c r="AT58" s="540">
        <v>19</v>
      </c>
      <c r="AU58" s="541">
        <v>2188.1927710843365</v>
      </c>
      <c r="AV58" s="541">
        <v>115.16804058338613</v>
      </c>
      <c r="AW58" s="540">
        <f t="shared" si="49"/>
        <v>10</v>
      </c>
      <c r="AX58" s="653"/>
      <c r="AZ58" s="540" t="e">
        <f t="shared" si="50"/>
        <v>#N/A</v>
      </c>
      <c r="BA58" s="653"/>
    </row>
    <row r="59" spans="2:53">
      <c r="B59" s="635"/>
      <c r="C59" s="485">
        <v>13</v>
      </c>
      <c r="D59" s="223"/>
      <c r="E59" s="491"/>
      <c r="F59" s="483"/>
      <c r="G59" s="484"/>
      <c r="H59" s="672"/>
      <c r="I59" s="487" t="str">
        <f t="shared" si="42"/>
        <v>-</v>
      </c>
      <c r="J59" s="487" t="str">
        <f t="shared" si="42"/>
        <v>-</v>
      </c>
      <c r="K59" s="363" t="str">
        <f t="shared" si="42"/>
        <v>-</v>
      </c>
      <c r="L59" s="615"/>
      <c r="M59" s="490" t="e">
        <f>RANK(K59, K$47:$K$61)</f>
        <v>#VALUE!</v>
      </c>
      <c r="N59" s="624"/>
      <c r="O59" s="624"/>
      <c r="P59" s="540" t="s">
        <v>427</v>
      </c>
      <c r="Q59" s="541" t="s">
        <v>427</v>
      </c>
      <c r="R59" s="541" t="s">
        <v>427</v>
      </c>
      <c r="S59" s="540" t="e">
        <f t="shared" si="43"/>
        <v>#VALUE!</v>
      </c>
      <c r="T59" s="653"/>
      <c r="U59" s="540" t="s">
        <v>427</v>
      </c>
      <c r="V59" s="541" t="s">
        <v>427</v>
      </c>
      <c r="W59" s="541" t="s">
        <v>427</v>
      </c>
      <c r="X59" s="540" t="e">
        <f t="shared" si="44"/>
        <v>#VALUE!</v>
      </c>
      <c r="Y59" s="653"/>
      <c r="Z59" s="540" t="s">
        <v>427</v>
      </c>
      <c r="AA59" s="541" t="s">
        <v>427</v>
      </c>
      <c r="AB59" s="541" t="s">
        <v>427</v>
      </c>
      <c r="AC59" s="540" t="e">
        <f t="shared" si="45"/>
        <v>#VALUE!</v>
      </c>
      <c r="AD59" s="653"/>
      <c r="AE59" s="540" t="s">
        <v>427</v>
      </c>
      <c r="AF59" s="541" t="s">
        <v>427</v>
      </c>
      <c r="AG59" s="541" t="s">
        <v>427</v>
      </c>
      <c r="AH59" s="540" t="e">
        <f t="shared" si="46"/>
        <v>#VALUE!</v>
      </c>
      <c r="AI59" s="653"/>
      <c r="AJ59" s="540" t="s">
        <v>427</v>
      </c>
      <c r="AK59" s="541" t="s">
        <v>427</v>
      </c>
      <c r="AL59" s="541" t="s">
        <v>427</v>
      </c>
      <c r="AM59" s="540" t="e">
        <f t="shared" si="47"/>
        <v>#VALUE!</v>
      </c>
      <c r="AN59" s="653"/>
      <c r="AO59" s="540" t="s">
        <v>427</v>
      </c>
      <c r="AP59" s="541" t="s">
        <v>427</v>
      </c>
      <c r="AQ59" s="541" t="s">
        <v>427</v>
      </c>
      <c r="AR59" s="540" t="e">
        <f t="shared" si="48"/>
        <v>#VALUE!</v>
      </c>
      <c r="AS59" s="653"/>
      <c r="AT59" s="540" t="s">
        <v>427</v>
      </c>
      <c r="AU59" s="541" t="s">
        <v>427</v>
      </c>
      <c r="AV59" s="541" t="s">
        <v>427</v>
      </c>
      <c r="AW59" s="540" t="e">
        <f t="shared" si="49"/>
        <v>#VALUE!</v>
      </c>
      <c r="AX59" s="653"/>
      <c r="AZ59" s="540" t="e">
        <f t="shared" si="50"/>
        <v>#N/A</v>
      </c>
      <c r="BA59" s="653"/>
    </row>
    <row r="60" spans="2:53">
      <c r="B60" s="635"/>
      <c r="C60" s="485">
        <v>14</v>
      </c>
      <c r="D60" s="223"/>
      <c r="E60" s="491"/>
      <c r="F60" s="483"/>
      <c r="G60" s="484"/>
      <c r="H60" s="672"/>
      <c r="I60" s="487" t="str">
        <f t="shared" si="42"/>
        <v>-</v>
      </c>
      <c r="J60" s="487" t="str">
        <f t="shared" si="42"/>
        <v>-</v>
      </c>
      <c r="K60" s="363" t="str">
        <f t="shared" si="42"/>
        <v>-</v>
      </c>
      <c r="L60" s="615"/>
      <c r="M60" s="490" t="e">
        <f>RANK(K60, K$47:$K$61)</f>
        <v>#VALUE!</v>
      </c>
      <c r="N60" s="624"/>
      <c r="O60" s="624"/>
      <c r="P60" s="540" t="s">
        <v>427</v>
      </c>
      <c r="Q60" s="541" t="s">
        <v>427</v>
      </c>
      <c r="R60" s="541" t="s">
        <v>427</v>
      </c>
      <c r="S60" s="540" t="e">
        <f t="shared" si="43"/>
        <v>#VALUE!</v>
      </c>
      <c r="T60" s="653"/>
      <c r="U60" s="540" t="s">
        <v>427</v>
      </c>
      <c r="V60" s="541" t="s">
        <v>427</v>
      </c>
      <c r="W60" s="541" t="s">
        <v>427</v>
      </c>
      <c r="X60" s="540" t="e">
        <f t="shared" si="44"/>
        <v>#VALUE!</v>
      </c>
      <c r="Y60" s="653"/>
      <c r="Z60" s="540" t="s">
        <v>427</v>
      </c>
      <c r="AA60" s="541" t="s">
        <v>427</v>
      </c>
      <c r="AB60" s="541" t="s">
        <v>427</v>
      </c>
      <c r="AC60" s="540" t="e">
        <f t="shared" si="45"/>
        <v>#VALUE!</v>
      </c>
      <c r="AD60" s="653"/>
      <c r="AE60" s="540" t="s">
        <v>427</v>
      </c>
      <c r="AF60" s="541" t="s">
        <v>427</v>
      </c>
      <c r="AG60" s="541" t="s">
        <v>427</v>
      </c>
      <c r="AH60" s="540" t="e">
        <f t="shared" si="46"/>
        <v>#VALUE!</v>
      </c>
      <c r="AI60" s="653"/>
      <c r="AJ60" s="540" t="s">
        <v>427</v>
      </c>
      <c r="AK60" s="541" t="s">
        <v>427</v>
      </c>
      <c r="AL60" s="541" t="s">
        <v>427</v>
      </c>
      <c r="AM60" s="540" t="e">
        <f t="shared" si="47"/>
        <v>#VALUE!</v>
      </c>
      <c r="AN60" s="653"/>
      <c r="AO60" s="540" t="s">
        <v>427</v>
      </c>
      <c r="AP60" s="541" t="s">
        <v>427</v>
      </c>
      <c r="AQ60" s="541" t="s">
        <v>427</v>
      </c>
      <c r="AR60" s="540" t="e">
        <f t="shared" si="48"/>
        <v>#VALUE!</v>
      </c>
      <c r="AS60" s="653"/>
      <c r="AT60" s="540" t="s">
        <v>427</v>
      </c>
      <c r="AU60" s="541" t="s">
        <v>427</v>
      </c>
      <c r="AV60" s="541" t="s">
        <v>427</v>
      </c>
      <c r="AW60" s="540" t="e">
        <f t="shared" si="49"/>
        <v>#VALUE!</v>
      </c>
      <c r="AX60" s="653"/>
      <c r="AZ60" s="540" t="e">
        <f t="shared" si="50"/>
        <v>#N/A</v>
      </c>
      <c r="BA60" s="653"/>
    </row>
    <row r="61" spans="2:53">
      <c r="B61" s="635"/>
      <c r="C61" s="485">
        <v>15</v>
      </c>
      <c r="D61" s="223"/>
      <c r="E61" s="491"/>
      <c r="F61" s="483"/>
      <c r="G61" s="484"/>
      <c r="H61" s="676"/>
      <c r="I61" s="485"/>
      <c r="J61" s="485"/>
      <c r="K61" s="485"/>
      <c r="L61" s="616"/>
      <c r="M61" s="490" t="e">
        <f>RANK(K61, K$47:$K$61)</f>
        <v>#N/A</v>
      </c>
      <c r="N61" s="624"/>
      <c r="O61" s="624"/>
      <c r="P61" s="540" t="s">
        <v>427</v>
      </c>
      <c r="Q61" s="541" t="s">
        <v>427</v>
      </c>
      <c r="R61" s="541" t="s">
        <v>427</v>
      </c>
      <c r="S61" s="540" t="e">
        <f t="shared" si="43"/>
        <v>#VALUE!</v>
      </c>
      <c r="T61" s="653"/>
      <c r="U61" s="540" t="s">
        <v>427</v>
      </c>
      <c r="V61" s="541" t="s">
        <v>427</v>
      </c>
      <c r="W61" s="541" t="s">
        <v>427</v>
      </c>
      <c r="X61" s="540" t="e">
        <f t="shared" si="44"/>
        <v>#VALUE!</v>
      </c>
      <c r="Y61" s="653"/>
      <c r="Z61" s="540" t="s">
        <v>427</v>
      </c>
      <c r="AA61" s="541" t="s">
        <v>427</v>
      </c>
      <c r="AB61" s="541" t="s">
        <v>427</v>
      </c>
      <c r="AC61" s="540" t="e">
        <f t="shared" si="45"/>
        <v>#VALUE!</v>
      </c>
      <c r="AD61" s="653"/>
      <c r="AE61" s="540" t="s">
        <v>427</v>
      </c>
      <c r="AF61" s="541" t="s">
        <v>427</v>
      </c>
      <c r="AG61" s="541" t="s">
        <v>427</v>
      </c>
      <c r="AH61" s="540" t="e">
        <f t="shared" si="46"/>
        <v>#VALUE!</v>
      </c>
      <c r="AI61" s="653"/>
      <c r="AJ61" s="540" t="s">
        <v>427</v>
      </c>
      <c r="AK61" s="541" t="s">
        <v>427</v>
      </c>
      <c r="AL61" s="541" t="s">
        <v>427</v>
      </c>
      <c r="AM61" s="540" t="e">
        <f t="shared" si="47"/>
        <v>#VALUE!</v>
      </c>
      <c r="AN61" s="653"/>
      <c r="AO61" s="540" t="s">
        <v>427</v>
      </c>
      <c r="AP61" s="541" t="s">
        <v>427</v>
      </c>
      <c r="AQ61" s="541" t="s">
        <v>427</v>
      </c>
      <c r="AR61" s="540" t="e">
        <f t="shared" si="48"/>
        <v>#VALUE!</v>
      </c>
      <c r="AS61" s="653"/>
      <c r="AT61" s="540" t="s">
        <v>427</v>
      </c>
      <c r="AU61" s="541" t="s">
        <v>427</v>
      </c>
      <c r="AV61" s="541" t="s">
        <v>427</v>
      </c>
      <c r="AW61" s="540" t="e">
        <f t="shared" si="49"/>
        <v>#VALUE!</v>
      </c>
      <c r="AX61" s="653"/>
      <c r="AZ61" s="540" t="e">
        <f t="shared" si="50"/>
        <v>#N/A</v>
      </c>
      <c r="BA61" s="653"/>
    </row>
    <row r="62" spans="2:53" ht="15.75">
      <c r="B62" s="643" t="s">
        <v>161</v>
      </c>
      <c r="C62" s="644"/>
      <c r="D62" s="644"/>
      <c r="E62" s="644"/>
      <c r="F62" s="644"/>
      <c r="G62" s="644"/>
      <c r="H62" s="645"/>
      <c r="I62" s="205"/>
      <c r="J62" s="205"/>
      <c r="K62" s="205"/>
      <c r="L62" s="205"/>
      <c r="M62" s="204"/>
      <c r="N62" s="639" t="s">
        <v>155</v>
      </c>
      <c r="O62" s="639" t="s">
        <v>714</v>
      </c>
      <c r="P62" s="634">
        <f>AT42+1</f>
        <v>46224</v>
      </c>
      <c r="Q62" s="635"/>
      <c r="R62" s="635"/>
      <c r="S62" s="635"/>
      <c r="T62" s="635"/>
      <c r="U62" s="636">
        <f>P62+1</f>
        <v>46225</v>
      </c>
      <c r="V62" s="637"/>
      <c r="W62" s="637"/>
      <c r="X62" s="637"/>
      <c r="Y62" s="638"/>
      <c r="Z62" s="636">
        <f t="shared" ref="Z62" si="51">U62+1</f>
        <v>46226</v>
      </c>
      <c r="AA62" s="637"/>
      <c r="AB62" s="637"/>
      <c r="AC62" s="637"/>
      <c r="AD62" s="638"/>
      <c r="AE62" s="636">
        <f t="shared" ref="AE62" si="52">Z62+1</f>
        <v>46227</v>
      </c>
      <c r="AF62" s="637"/>
      <c r="AG62" s="637"/>
      <c r="AH62" s="637"/>
      <c r="AI62" s="638"/>
      <c r="AJ62" s="636">
        <f t="shared" ref="AJ62" si="53">AE62+1</f>
        <v>46228</v>
      </c>
      <c r="AK62" s="637"/>
      <c r="AL62" s="637"/>
      <c r="AM62" s="637"/>
      <c r="AN62" s="638"/>
      <c r="AO62" s="636">
        <f t="shared" ref="AO62" si="54">AJ62+1</f>
        <v>46229</v>
      </c>
      <c r="AP62" s="637"/>
      <c r="AQ62" s="637"/>
      <c r="AR62" s="637"/>
      <c r="AS62" s="638"/>
      <c r="AT62" s="636">
        <f t="shared" ref="AT62" si="55">AO62+1</f>
        <v>46230</v>
      </c>
      <c r="AU62" s="637"/>
      <c r="AV62" s="637"/>
      <c r="AW62" s="637"/>
      <c r="AX62" s="638"/>
    </row>
    <row r="63" spans="2:53" ht="15.75">
      <c r="B63" s="646"/>
      <c r="C63" s="646"/>
      <c r="D63" s="646"/>
      <c r="E63" s="646"/>
      <c r="F63" s="646"/>
      <c r="G63" s="646"/>
      <c r="H63" s="646"/>
      <c r="I63" s="202"/>
      <c r="J63" s="202"/>
      <c r="K63" s="202"/>
      <c r="L63" s="202"/>
      <c r="M63" s="203"/>
      <c r="N63" s="641"/>
      <c r="O63" s="641"/>
      <c r="P63" s="634" t="s">
        <v>715</v>
      </c>
      <c r="Q63" s="635"/>
      <c r="R63" s="635"/>
      <c r="S63" s="635"/>
      <c r="T63" s="635"/>
      <c r="U63" s="634" t="s">
        <v>716</v>
      </c>
      <c r="V63" s="635"/>
      <c r="W63" s="635"/>
      <c r="X63" s="635"/>
      <c r="Y63" s="635"/>
      <c r="Z63" s="634" t="s">
        <v>717</v>
      </c>
      <c r="AA63" s="635"/>
      <c r="AB63" s="635"/>
      <c r="AC63" s="635"/>
      <c r="AD63" s="635"/>
      <c r="AE63" s="634" t="s">
        <v>718</v>
      </c>
      <c r="AF63" s="635"/>
      <c r="AG63" s="635"/>
      <c r="AH63" s="635"/>
      <c r="AI63" s="635"/>
      <c r="AJ63" s="634" t="s">
        <v>719</v>
      </c>
      <c r="AK63" s="635"/>
      <c r="AL63" s="635"/>
      <c r="AM63" s="635"/>
      <c r="AN63" s="635"/>
      <c r="AO63" s="634" t="s">
        <v>720</v>
      </c>
      <c r="AP63" s="635"/>
      <c r="AQ63" s="635"/>
      <c r="AR63" s="635"/>
      <c r="AS63" s="635"/>
      <c r="AT63" s="634" t="s">
        <v>721</v>
      </c>
      <c r="AU63" s="635"/>
      <c r="AV63" s="635"/>
      <c r="AW63" s="635"/>
      <c r="AX63" s="635"/>
    </row>
    <row r="64" spans="2:53">
      <c r="B64" s="624" t="s">
        <v>796</v>
      </c>
      <c r="C64" s="624" t="s">
        <v>464</v>
      </c>
      <c r="D64" s="624"/>
      <c r="E64" s="624" t="s">
        <v>465</v>
      </c>
      <c r="F64" s="624"/>
      <c r="G64" s="624"/>
      <c r="H64" s="647" t="s">
        <v>466</v>
      </c>
      <c r="I64" s="624" t="s">
        <v>467</v>
      </c>
      <c r="J64" s="624"/>
      <c r="K64" s="624"/>
      <c r="L64" s="647" t="s">
        <v>367</v>
      </c>
      <c r="M64" s="639" t="s">
        <v>468</v>
      </c>
      <c r="N64" s="624"/>
      <c r="O64" s="624" t="s">
        <v>708</v>
      </c>
      <c r="P64" s="621" t="s">
        <v>709</v>
      </c>
      <c r="Q64" s="622"/>
      <c r="R64" s="622"/>
      <c r="S64" s="623"/>
      <c r="T64" s="624" t="s">
        <v>706</v>
      </c>
      <c r="U64" s="621" t="s">
        <v>709</v>
      </c>
      <c r="V64" s="622"/>
      <c r="W64" s="622"/>
      <c r="X64" s="623"/>
      <c r="Y64" s="624" t="s">
        <v>706</v>
      </c>
      <c r="Z64" s="621" t="s">
        <v>709</v>
      </c>
      <c r="AA64" s="622"/>
      <c r="AB64" s="622"/>
      <c r="AC64" s="623"/>
      <c r="AD64" s="624" t="s">
        <v>706</v>
      </c>
      <c r="AE64" s="621" t="s">
        <v>709</v>
      </c>
      <c r="AF64" s="622"/>
      <c r="AG64" s="622"/>
      <c r="AH64" s="623"/>
      <c r="AI64" s="624" t="s">
        <v>706</v>
      </c>
      <c r="AJ64" s="621" t="s">
        <v>709</v>
      </c>
      <c r="AK64" s="622"/>
      <c r="AL64" s="622"/>
      <c r="AM64" s="623"/>
      <c r="AN64" s="624" t="s">
        <v>706</v>
      </c>
      <c r="AO64" s="621" t="s">
        <v>709</v>
      </c>
      <c r="AP64" s="622"/>
      <c r="AQ64" s="622"/>
      <c r="AR64" s="623"/>
      <c r="AS64" s="624" t="s">
        <v>706</v>
      </c>
      <c r="AT64" s="621" t="s">
        <v>709</v>
      </c>
      <c r="AU64" s="622"/>
      <c r="AV64" s="622"/>
      <c r="AW64" s="623"/>
      <c r="AX64" s="624" t="s">
        <v>706</v>
      </c>
    </row>
    <row r="65" spans="2:53">
      <c r="B65" s="624"/>
      <c r="C65" s="624"/>
      <c r="D65" s="624"/>
      <c r="E65" s="624" t="s">
        <v>470</v>
      </c>
      <c r="F65" s="624"/>
      <c r="G65" s="624"/>
      <c r="H65" s="648"/>
      <c r="I65" s="624" t="s">
        <v>470</v>
      </c>
      <c r="J65" s="624"/>
      <c r="K65" s="624"/>
      <c r="L65" s="648"/>
      <c r="M65" s="640"/>
      <c r="N65" s="624"/>
      <c r="O65" s="624"/>
      <c r="P65" s="621" t="s">
        <v>710</v>
      </c>
      <c r="Q65" s="622"/>
      <c r="R65" s="622"/>
      <c r="S65" s="623"/>
      <c r="T65" s="624"/>
      <c r="U65" s="621" t="s">
        <v>710</v>
      </c>
      <c r="V65" s="622"/>
      <c r="W65" s="622"/>
      <c r="X65" s="623"/>
      <c r="Y65" s="624"/>
      <c r="Z65" s="621" t="s">
        <v>710</v>
      </c>
      <c r="AA65" s="622"/>
      <c r="AB65" s="622"/>
      <c r="AC65" s="623"/>
      <c r="AD65" s="624"/>
      <c r="AE65" s="621" t="s">
        <v>710</v>
      </c>
      <c r="AF65" s="622"/>
      <c r="AG65" s="622"/>
      <c r="AH65" s="623"/>
      <c r="AI65" s="624"/>
      <c r="AJ65" s="621" t="s">
        <v>710</v>
      </c>
      <c r="AK65" s="622"/>
      <c r="AL65" s="622"/>
      <c r="AM65" s="623"/>
      <c r="AN65" s="624"/>
      <c r="AO65" s="621" t="s">
        <v>710</v>
      </c>
      <c r="AP65" s="622"/>
      <c r="AQ65" s="622"/>
      <c r="AR65" s="623"/>
      <c r="AS65" s="624"/>
      <c r="AT65" s="621" t="s">
        <v>710</v>
      </c>
      <c r="AU65" s="622"/>
      <c r="AV65" s="622"/>
      <c r="AW65" s="623"/>
      <c r="AX65" s="624"/>
    </row>
    <row r="66" spans="2:53">
      <c r="B66" s="624"/>
      <c r="C66" s="624"/>
      <c r="D66" s="624"/>
      <c r="E66" s="482" t="s">
        <v>471</v>
      </c>
      <c r="F66" s="482" t="s">
        <v>472</v>
      </c>
      <c r="G66" s="482" t="s">
        <v>473</v>
      </c>
      <c r="H66" s="649"/>
      <c r="I66" s="482" t="s">
        <v>471</v>
      </c>
      <c r="J66" s="482" t="s">
        <v>472</v>
      </c>
      <c r="K66" s="482" t="s">
        <v>473</v>
      </c>
      <c r="L66" s="649"/>
      <c r="M66" s="641"/>
      <c r="N66" s="624"/>
      <c r="O66" s="624"/>
      <c r="P66" s="431" t="s">
        <v>711</v>
      </c>
      <c r="Q66" s="431" t="s">
        <v>712</v>
      </c>
      <c r="R66" s="431" t="s">
        <v>713</v>
      </c>
      <c r="S66" s="431" t="s">
        <v>707</v>
      </c>
      <c r="T66" s="624"/>
      <c r="U66" s="431" t="s">
        <v>711</v>
      </c>
      <c r="V66" s="431" t="s">
        <v>712</v>
      </c>
      <c r="W66" s="431" t="s">
        <v>713</v>
      </c>
      <c r="X66" s="431" t="s">
        <v>707</v>
      </c>
      <c r="Y66" s="624"/>
      <c r="Z66" s="431" t="s">
        <v>711</v>
      </c>
      <c r="AA66" s="431" t="s">
        <v>712</v>
      </c>
      <c r="AB66" s="431" t="s">
        <v>713</v>
      </c>
      <c r="AC66" s="431" t="s">
        <v>707</v>
      </c>
      <c r="AD66" s="624"/>
      <c r="AE66" s="431" t="s">
        <v>711</v>
      </c>
      <c r="AF66" s="431" t="s">
        <v>712</v>
      </c>
      <c r="AG66" s="431" t="s">
        <v>713</v>
      </c>
      <c r="AH66" s="431" t="s">
        <v>707</v>
      </c>
      <c r="AI66" s="624"/>
      <c r="AJ66" s="431" t="s">
        <v>711</v>
      </c>
      <c r="AK66" s="431" t="s">
        <v>712</v>
      </c>
      <c r="AL66" s="431" t="s">
        <v>713</v>
      </c>
      <c r="AM66" s="431" t="s">
        <v>707</v>
      </c>
      <c r="AN66" s="624"/>
      <c r="AO66" s="431" t="s">
        <v>711</v>
      </c>
      <c r="AP66" s="431" t="s">
        <v>712</v>
      </c>
      <c r="AQ66" s="431" t="s">
        <v>713</v>
      </c>
      <c r="AR66" s="431" t="s">
        <v>707</v>
      </c>
      <c r="AS66" s="624"/>
      <c r="AT66" s="431" t="s">
        <v>711</v>
      </c>
      <c r="AU66" s="431" t="s">
        <v>712</v>
      </c>
      <c r="AV66" s="431" t="s">
        <v>713</v>
      </c>
      <c r="AW66" s="431" t="s">
        <v>707</v>
      </c>
      <c r="AX66" s="624"/>
    </row>
    <row r="67" spans="2:53">
      <c r="B67" s="624" t="s">
        <v>530</v>
      </c>
      <c r="C67" s="485">
        <v>1</v>
      </c>
      <c r="D67" s="223" t="s">
        <v>347</v>
      </c>
      <c r="E67" s="491">
        <v>20</v>
      </c>
      <c r="F67" s="483">
        <v>2400</v>
      </c>
      <c r="G67" s="484">
        <v>120</v>
      </c>
      <c r="H67" s="671">
        <f>AVERAGE(G67:G81)</f>
        <v>136.57420942061034</v>
      </c>
      <c r="I67" s="487">
        <f t="shared" ref="I67:K81" si="56">IFERROR(AVERAGE(P67,U67,Z67,AE67,AJ67,AO67,AT67),"-")</f>
        <v>21</v>
      </c>
      <c r="J67" s="487">
        <f t="shared" si="56"/>
        <v>2371.1875914997231</v>
      </c>
      <c r="K67" s="363">
        <f t="shared" si="56"/>
        <v>112.91369483332016</v>
      </c>
      <c r="L67" s="614">
        <f>IFERROR(AVERAGE(K67:K81),"-")</f>
        <v>120.58443641187579</v>
      </c>
      <c r="M67" s="490">
        <f>RANK(K67, K$67:$K$81)</f>
        <v>9</v>
      </c>
      <c r="N67" s="624"/>
      <c r="O67" s="624"/>
      <c r="P67" s="542">
        <v>21</v>
      </c>
      <c r="Q67" s="543">
        <v>2380.3921568627447</v>
      </c>
      <c r="R67" s="543">
        <v>113.35200746965451</v>
      </c>
      <c r="S67" s="540">
        <f t="shared" ref="S67:S81" si="57">RANK(R67, R$67:R$81)</f>
        <v>8</v>
      </c>
      <c r="T67" s="653">
        <f t="shared" ref="T67" si="58">AVERAGE(R67:R81)</f>
        <v>119.49136605942068</v>
      </c>
      <c r="U67" s="542">
        <v>21</v>
      </c>
      <c r="V67" s="543">
        <v>2383.3783783783792</v>
      </c>
      <c r="W67" s="543">
        <v>113.49420849420854</v>
      </c>
      <c r="X67" s="540">
        <f t="shared" ref="X67:X81" si="59">RANK(W67, W$67:W$81)</f>
        <v>9</v>
      </c>
      <c r="Y67" s="653">
        <f t="shared" ref="Y67" si="60">AVERAGE(W67:W81)</f>
        <v>119.55706809490518</v>
      </c>
      <c r="Z67" s="542">
        <v>21</v>
      </c>
      <c r="AA67" s="543">
        <v>2336.3265306122457</v>
      </c>
      <c r="AB67" s="543">
        <v>111.25364431486885</v>
      </c>
      <c r="AC67" s="540">
        <f t="shared" ref="AC67:AC81" si="61">RANK(AB67, AB$67:AB$81)</f>
        <v>10</v>
      </c>
      <c r="AD67" s="653">
        <f t="shared" ref="AD67" si="62">AVERAGE(AB67:AB81)</f>
        <v>120.6781221616007</v>
      </c>
      <c r="AE67" s="542">
        <v>21</v>
      </c>
      <c r="AF67" s="543">
        <v>2365.588235294118</v>
      </c>
      <c r="AG67" s="543">
        <v>112.64705882352943</v>
      </c>
      <c r="AH67" s="540">
        <f t="shared" ref="AH67:AH81" si="63">RANK(AG67, AG$67:AG$81)</f>
        <v>9</v>
      </c>
      <c r="AI67" s="653">
        <f t="shared" ref="AI67" si="64">AVERAGE(AG67:AG81)</f>
        <v>120.71290359735282</v>
      </c>
      <c r="AJ67" s="542">
        <v>21</v>
      </c>
      <c r="AK67" s="543">
        <v>2368.5517241379316</v>
      </c>
      <c r="AL67" s="543">
        <v>112.78817733990151</v>
      </c>
      <c r="AM67" s="540">
        <f t="shared" ref="AM67:AM81" si="65">RANK(AL67, AL$67:AL$81)</f>
        <v>10</v>
      </c>
      <c r="AN67" s="653">
        <f t="shared" ref="AN67" si="66">AVERAGE(AL67:AL81)</f>
        <v>121.3598789353137</v>
      </c>
      <c r="AO67" s="542">
        <v>21</v>
      </c>
      <c r="AP67" s="543">
        <v>2372.5423728813557</v>
      </c>
      <c r="AQ67" s="543">
        <v>112.97820823244551</v>
      </c>
      <c r="AR67" s="540">
        <f t="shared" ref="AR67:AR81" si="67">RANK(AQ67, AQ$67:AQ$81)</f>
        <v>10</v>
      </c>
      <c r="AS67" s="653">
        <f t="shared" ref="AS67" si="68">AVERAGE(AQ67:AQ81)</f>
        <v>121.44304057953015</v>
      </c>
      <c r="AT67" s="540">
        <v>21</v>
      </c>
      <c r="AU67" s="541">
        <v>2391.5337423312885</v>
      </c>
      <c r="AV67" s="541">
        <v>113.88255915863279</v>
      </c>
      <c r="AW67" s="540">
        <f t="shared" ref="AW67:AW81" si="69">RANK(AV67, AV$67:AV$81)</f>
        <v>10</v>
      </c>
      <c r="AX67" s="653">
        <f t="shared" ref="AX67" si="70">AVERAGE(AV67:AV81)</f>
        <v>120.84867545500725</v>
      </c>
      <c r="AZ67" s="377" t="e">
        <f t="shared" ref="AZ67:AZ81" si="71">RANK(AY67, AY$67:AY$81)</f>
        <v>#N/A</v>
      </c>
      <c r="BA67" s="653" t="e">
        <f t="shared" ref="BA67" si="72">AVERAGE(AY67:AY81)</f>
        <v>#DIV/0!</v>
      </c>
    </row>
    <row r="68" spans="2:53">
      <c r="B68" s="635"/>
      <c r="C68" s="485">
        <v>2</v>
      </c>
      <c r="D68" s="223" t="s">
        <v>348</v>
      </c>
      <c r="E68" s="491">
        <v>18</v>
      </c>
      <c r="F68" s="483">
        <v>2769</v>
      </c>
      <c r="G68" s="484">
        <v>153.83333333333334</v>
      </c>
      <c r="H68" s="672"/>
      <c r="I68" s="487">
        <f t="shared" si="56"/>
        <v>18.428571428571427</v>
      </c>
      <c r="J68" s="487">
        <f t="shared" si="56"/>
        <v>2497.4714639248632</v>
      </c>
      <c r="K68" s="363">
        <f t="shared" si="56"/>
        <v>135.63272730843789</v>
      </c>
      <c r="L68" s="615"/>
      <c r="M68" s="490">
        <f>RANK(K68, K$67:$K$81)</f>
        <v>2</v>
      </c>
      <c r="N68" s="624"/>
      <c r="O68" s="624"/>
      <c r="P68" s="542">
        <v>18</v>
      </c>
      <c r="Q68" s="543">
        <v>2473.5849056603784</v>
      </c>
      <c r="R68" s="543">
        <v>137.42138364779879</v>
      </c>
      <c r="S68" s="540">
        <f t="shared" si="57"/>
        <v>2</v>
      </c>
      <c r="T68" s="653"/>
      <c r="U68" s="542">
        <v>19</v>
      </c>
      <c r="V68" s="543">
        <v>2487.1698113207558</v>
      </c>
      <c r="W68" s="543">
        <v>130.90367428003978</v>
      </c>
      <c r="X68" s="540">
        <f t="shared" si="59"/>
        <v>2</v>
      </c>
      <c r="Y68" s="653"/>
      <c r="Z68" s="542">
        <v>19</v>
      </c>
      <c r="AA68" s="543">
        <v>2501.7857142857165</v>
      </c>
      <c r="AB68" s="543">
        <v>131.67293233082719</v>
      </c>
      <c r="AC68" s="540">
        <f t="shared" si="61"/>
        <v>2</v>
      </c>
      <c r="AD68" s="653"/>
      <c r="AE68" s="542">
        <v>18</v>
      </c>
      <c r="AF68" s="543">
        <v>2522.2222222222235</v>
      </c>
      <c r="AG68" s="543">
        <v>140.12345679012353</v>
      </c>
      <c r="AH68" s="540">
        <f t="shared" si="63"/>
        <v>1</v>
      </c>
      <c r="AI68" s="653"/>
      <c r="AJ68" s="542">
        <v>18</v>
      </c>
      <c r="AK68" s="543">
        <v>2497.8947368421072</v>
      </c>
      <c r="AL68" s="543">
        <v>138.77192982456151</v>
      </c>
      <c r="AM68" s="540">
        <f t="shared" si="65"/>
        <v>1</v>
      </c>
      <c r="AN68" s="653"/>
      <c r="AO68" s="542">
        <v>18</v>
      </c>
      <c r="AP68" s="543">
        <v>2529.6428571428592</v>
      </c>
      <c r="AQ68" s="543">
        <v>140.53571428571439</v>
      </c>
      <c r="AR68" s="540">
        <f t="shared" si="67"/>
        <v>1</v>
      </c>
      <c r="AS68" s="653"/>
      <c r="AT68" s="540">
        <v>19</v>
      </c>
      <c r="AU68" s="541">
        <v>2470.0000000000023</v>
      </c>
      <c r="AV68" s="541">
        <v>130.00000000000011</v>
      </c>
      <c r="AW68" s="540">
        <f t="shared" si="69"/>
        <v>3</v>
      </c>
      <c r="AX68" s="653"/>
      <c r="AZ68" s="377" t="e">
        <f t="shared" si="71"/>
        <v>#N/A</v>
      </c>
      <c r="BA68" s="653"/>
    </row>
    <row r="69" spans="2:53">
      <c r="B69" s="635"/>
      <c r="C69" s="485">
        <v>3</v>
      </c>
      <c r="D69" s="223" t="s">
        <v>349</v>
      </c>
      <c r="E69" s="491">
        <v>19</v>
      </c>
      <c r="F69" s="483">
        <v>2769</v>
      </c>
      <c r="G69" s="484">
        <v>145.73684210526315</v>
      </c>
      <c r="H69" s="672"/>
      <c r="I69" s="487">
        <f t="shared" si="56"/>
        <v>20</v>
      </c>
      <c r="J69" s="487">
        <f t="shared" si="56"/>
        <v>2531.5550320277239</v>
      </c>
      <c r="K69" s="363">
        <f t="shared" si="56"/>
        <v>126.5777516013862</v>
      </c>
      <c r="L69" s="615"/>
      <c r="M69" s="490">
        <f>RANK(K69, K$67:$K$81)</f>
        <v>5</v>
      </c>
      <c r="N69" s="624"/>
      <c r="O69" s="624"/>
      <c r="P69" s="542">
        <v>20</v>
      </c>
      <c r="Q69" s="543">
        <v>2504.1176470588207</v>
      </c>
      <c r="R69" s="543">
        <v>125.20588235294103</v>
      </c>
      <c r="S69" s="540">
        <f t="shared" si="57"/>
        <v>5</v>
      </c>
      <c r="T69" s="653"/>
      <c r="U69" s="542">
        <v>20</v>
      </c>
      <c r="V69" s="543">
        <v>2542.1917808219159</v>
      </c>
      <c r="W69" s="543">
        <v>127.1095890410958</v>
      </c>
      <c r="X69" s="540">
        <f t="shared" si="59"/>
        <v>5</v>
      </c>
      <c r="Y69" s="653"/>
      <c r="Z69" s="542">
        <v>20</v>
      </c>
      <c r="AA69" s="543">
        <v>2572.2077922077906</v>
      </c>
      <c r="AB69" s="543">
        <v>128.61038961038952</v>
      </c>
      <c r="AC69" s="540">
        <f t="shared" si="61"/>
        <v>5</v>
      </c>
      <c r="AD69" s="653"/>
      <c r="AE69" s="542">
        <v>20</v>
      </c>
      <c r="AF69" s="543">
        <v>2533.6708860759481</v>
      </c>
      <c r="AG69" s="543">
        <v>126.6835443037974</v>
      </c>
      <c r="AH69" s="540">
        <f t="shared" si="63"/>
        <v>5</v>
      </c>
      <c r="AI69" s="653"/>
      <c r="AJ69" s="542">
        <v>20</v>
      </c>
      <c r="AK69" s="543">
        <v>2486.3736263736264</v>
      </c>
      <c r="AL69" s="543">
        <v>124.31868131868131</v>
      </c>
      <c r="AM69" s="540">
        <f t="shared" si="65"/>
        <v>5</v>
      </c>
      <c r="AN69" s="653"/>
      <c r="AO69" s="542">
        <v>20</v>
      </c>
      <c r="AP69" s="543">
        <v>2533.9024390243894</v>
      </c>
      <c r="AQ69" s="543">
        <v>126.69512195121948</v>
      </c>
      <c r="AR69" s="540">
        <f t="shared" si="67"/>
        <v>5</v>
      </c>
      <c r="AS69" s="653"/>
      <c r="AT69" s="540">
        <v>20</v>
      </c>
      <c r="AU69" s="541">
        <v>2548.4210526315774</v>
      </c>
      <c r="AV69" s="541">
        <v>127.42105263157887</v>
      </c>
      <c r="AW69" s="540">
        <f t="shared" si="69"/>
        <v>5</v>
      </c>
      <c r="AX69" s="653"/>
      <c r="AZ69" s="377" t="e">
        <f t="shared" si="71"/>
        <v>#N/A</v>
      </c>
      <c r="BA69" s="653"/>
    </row>
    <row r="70" spans="2:53">
      <c r="B70" s="635"/>
      <c r="C70" s="485">
        <v>4</v>
      </c>
      <c r="D70" s="223" t="s">
        <v>350</v>
      </c>
      <c r="E70" s="491">
        <v>20</v>
      </c>
      <c r="F70" s="483">
        <v>2769</v>
      </c>
      <c r="G70" s="484">
        <v>138.44999999999999</v>
      </c>
      <c r="H70" s="672"/>
      <c r="I70" s="487">
        <f t="shared" si="56"/>
        <v>20.285714285714285</v>
      </c>
      <c r="J70" s="487">
        <f t="shared" si="56"/>
        <v>2478.9309982366153</v>
      </c>
      <c r="K70" s="363">
        <f t="shared" si="56"/>
        <v>122.23756315923497</v>
      </c>
      <c r="L70" s="615"/>
      <c r="M70" s="490">
        <f>RANK(K70, K$67:$K$81)</f>
        <v>6</v>
      </c>
      <c r="N70" s="624"/>
      <c r="O70" s="624"/>
      <c r="P70" s="542">
        <v>21</v>
      </c>
      <c r="Q70" s="543">
        <v>2528.421052631581</v>
      </c>
      <c r="R70" s="543">
        <v>120.40100250626577</v>
      </c>
      <c r="S70" s="540">
        <f t="shared" si="57"/>
        <v>6</v>
      </c>
      <c r="T70" s="653"/>
      <c r="U70" s="542">
        <v>20</v>
      </c>
      <c r="V70" s="543">
        <v>2523.5294117647059</v>
      </c>
      <c r="W70" s="543">
        <v>126.17647058823529</v>
      </c>
      <c r="X70" s="540">
        <f t="shared" si="59"/>
        <v>6</v>
      </c>
      <c r="Y70" s="653"/>
      <c r="Z70" s="542">
        <v>20</v>
      </c>
      <c r="AA70" s="543">
        <v>2457.8181818181833</v>
      </c>
      <c r="AB70" s="543">
        <v>122.89090909090916</v>
      </c>
      <c r="AC70" s="540">
        <f t="shared" si="61"/>
        <v>6</v>
      </c>
      <c r="AD70" s="653"/>
      <c r="AE70" s="542">
        <v>21</v>
      </c>
      <c r="AF70" s="543">
        <v>2495.9999999999982</v>
      </c>
      <c r="AG70" s="543">
        <v>118.85714285714278</v>
      </c>
      <c r="AH70" s="540">
        <f t="shared" si="63"/>
        <v>6</v>
      </c>
      <c r="AI70" s="653"/>
      <c r="AJ70" s="542">
        <v>20</v>
      </c>
      <c r="AK70" s="543">
        <v>2473.1092436974777</v>
      </c>
      <c r="AL70" s="543">
        <v>123.65546218487388</v>
      </c>
      <c r="AM70" s="540">
        <f t="shared" si="65"/>
        <v>6</v>
      </c>
      <c r="AN70" s="653"/>
      <c r="AO70" s="542">
        <v>20</v>
      </c>
      <c r="AP70" s="543">
        <v>2454.2105263157882</v>
      </c>
      <c r="AQ70" s="543">
        <v>122.71052631578941</v>
      </c>
      <c r="AR70" s="540">
        <f t="shared" si="67"/>
        <v>6</v>
      </c>
      <c r="AS70" s="653"/>
      <c r="AT70" s="540">
        <v>20</v>
      </c>
      <c r="AU70" s="541">
        <v>2419.4285714285725</v>
      </c>
      <c r="AV70" s="541">
        <v>120.97142857142862</v>
      </c>
      <c r="AW70" s="540">
        <f t="shared" si="69"/>
        <v>6</v>
      </c>
      <c r="AX70" s="653"/>
      <c r="AZ70" s="377" t="e">
        <f t="shared" si="71"/>
        <v>#N/A</v>
      </c>
      <c r="BA70" s="653"/>
    </row>
    <row r="71" spans="2:53">
      <c r="B71" s="635"/>
      <c r="C71" s="485">
        <v>5</v>
      </c>
      <c r="D71" s="223" t="s">
        <v>430</v>
      </c>
      <c r="E71" s="491">
        <v>18</v>
      </c>
      <c r="F71" s="483">
        <v>2400</v>
      </c>
      <c r="G71" s="484">
        <v>133.33333333333334</v>
      </c>
      <c r="H71" s="672"/>
      <c r="I71" s="487">
        <f t="shared" si="56"/>
        <v>19</v>
      </c>
      <c r="J71" s="487">
        <f t="shared" si="56"/>
        <v>2173.6675155928888</v>
      </c>
      <c r="K71" s="363">
        <f t="shared" si="56"/>
        <v>114.4035534522573</v>
      </c>
      <c r="L71" s="615"/>
      <c r="M71" s="490">
        <f>RANK(K71, K$67:$K$81)</f>
        <v>8</v>
      </c>
      <c r="N71" s="624"/>
      <c r="O71" s="624"/>
      <c r="P71" s="542">
        <v>19</v>
      </c>
      <c r="Q71" s="543">
        <v>2045.1063829787238</v>
      </c>
      <c r="R71" s="543">
        <v>107.63717805151178</v>
      </c>
      <c r="S71" s="540">
        <f t="shared" si="57"/>
        <v>11</v>
      </c>
      <c r="T71" s="653"/>
      <c r="U71" s="542">
        <v>19</v>
      </c>
      <c r="V71" s="543">
        <v>2184.210526315791</v>
      </c>
      <c r="W71" s="543">
        <v>114.95844875346268</v>
      </c>
      <c r="X71" s="540">
        <f t="shared" si="59"/>
        <v>7</v>
      </c>
      <c r="Y71" s="653"/>
      <c r="Z71" s="542">
        <v>19</v>
      </c>
      <c r="AA71" s="543">
        <v>2197.4999999999982</v>
      </c>
      <c r="AB71" s="543">
        <v>115.65789473684201</v>
      </c>
      <c r="AC71" s="540">
        <f t="shared" si="61"/>
        <v>8</v>
      </c>
      <c r="AD71" s="653"/>
      <c r="AE71" s="542">
        <v>19</v>
      </c>
      <c r="AF71" s="543">
        <v>2168.7272727272743</v>
      </c>
      <c r="AG71" s="543">
        <v>114.14354066985655</v>
      </c>
      <c r="AH71" s="540">
        <f t="shared" si="63"/>
        <v>8</v>
      </c>
      <c r="AI71" s="653"/>
      <c r="AJ71" s="542">
        <v>19</v>
      </c>
      <c r="AK71" s="543">
        <v>2200.7142857142876</v>
      </c>
      <c r="AL71" s="543">
        <v>115.82706766917303</v>
      </c>
      <c r="AM71" s="540">
        <f t="shared" si="65"/>
        <v>9</v>
      </c>
      <c r="AN71" s="653"/>
      <c r="AO71" s="542">
        <v>19</v>
      </c>
      <c r="AP71" s="543">
        <v>2191.6363636363653</v>
      </c>
      <c r="AQ71" s="543">
        <v>115.34928229665081</v>
      </c>
      <c r="AR71" s="540">
        <f t="shared" si="67"/>
        <v>8</v>
      </c>
      <c r="AS71" s="653"/>
      <c r="AT71" s="540">
        <v>19</v>
      </c>
      <c r="AU71" s="541">
        <v>2227.7777777777787</v>
      </c>
      <c r="AV71" s="541">
        <v>117.25146198830414</v>
      </c>
      <c r="AW71" s="540">
        <f t="shared" si="69"/>
        <v>7</v>
      </c>
      <c r="AX71" s="653"/>
      <c r="AZ71" s="377" t="e">
        <f t="shared" si="71"/>
        <v>#N/A</v>
      </c>
      <c r="BA71" s="653"/>
    </row>
    <row r="72" spans="2:53">
      <c r="B72" s="635"/>
      <c r="C72" s="485">
        <v>6</v>
      </c>
      <c r="D72" s="223" t="s">
        <v>661</v>
      </c>
      <c r="E72" s="491">
        <v>17</v>
      </c>
      <c r="F72" s="483">
        <v>2571</v>
      </c>
      <c r="G72" s="484">
        <v>151.23529411764707</v>
      </c>
      <c r="H72" s="672"/>
      <c r="I72" s="487">
        <f t="shared" si="56"/>
        <v>17</v>
      </c>
      <c r="J72" s="487">
        <f t="shared" si="56"/>
        <v>2362.5007358192488</v>
      </c>
      <c r="K72" s="363">
        <f t="shared" si="56"/>
        <v>138.97063151877936</v>
      </c>
      <c r="L72" s="615"/>
      <c r="M72" s="490">
        <f>RANK(K72, K$67:$K$81)</f>
        <v>1</v>
      </c>
      <c r="N72" s="624"/>
      <c r="O72" s="624"/>
      <c r="P72" s="542">
        <v>17</v>
      </c>
      <c r="Q72" s="543">
        <v>2345.7142857142849</v>
      </c>
      <c r="R72" s="543">
        <v>137.98319327731087</v>
      </c>
      <c r="S72" s="540">
        <f t="shared" si="57"/>
        <v>1</v>
      </c>
      <c r="T72" s="653"/>
      <c r="U72" s="542">
        <v>17</v>
      </c>
      <c r="V72" s="543">
        <v>2352.8571428571422</v>
      </c>
      <c r="W72" s="543">
        <v>138.40336134453779</v>
      </c>
      <c r="X72" s="540">
        <f t="shared" si="59"/>
        <v>1</v>
      </c>
      <c r="Y72" s="653"/>
      <c r="Z72" s="542">
        <v>17</v>
      </c>
      <c r="AA72" s="543">
        <v>2383.0434782608695</v>
      </c>
      <c r="AB72" s="543">
        <v>140.17902813299233</v>
      </c>
      <c r="AC72" s="540">
        <f t="shared" si="61"/>
        <v>1</v>
      </c>
      <c r="AD72" s="653"/>
      <c r="AE72" s="542">
        <v>17</v>
      </c>
      <c r="AF72" s="543">
        <v>2380.0000000000032</v>
      </c>
      <c r="AG72" s="543">
        <v>140.0000000000002</v>
      </c>
      <c r="AH72" s="540">
        <f t="shared" si="63"/>
        <v>2</v>
      </c>
      <c r="AI72" s="653"/>
      <c r="AJ72" s="542">
        <v>17</v>
      </c>
      <c r="AK72" s="543">
        <v>2344.3902439024428</v>
      </c>
      <c r="AL72" s="543">
        <v>137.90530846484958</v>
      </c>
      <c r="AM72" s="540">
        <f t="shared" si="65"/>
        <v>2</v>
      </c>
      <c r="AN72" s="653"/>
      <c r="AO72" s="542">
        <v>17</v>
      </c>
      <c r="AP72" s="543">
        <v>2352.5000000000005</v>
      </c>
      <c r="AQ72" s="543">
        <v>138.38235294117649</v>
      </c>
      <c r="AR72" s="540">
        <f t="shared" si="67"/>
        <v>2</v>
      </c>
      <c r="AS72" s="653"/>
      <c r="AT72" s="540">
        <v>17</v>
      </c>
      <c r="AU72" s="541">
        <v>2378.9999999999991</v>
      </c>
      <c r="AV72" s="541">
        <v>139.94117647058818</v>
      </c>
      <c r="AW72" s="540">
        <f t="shared" si="69"/>
        <v>1</v>
      </c>
      <c r="AX72" s="653"/>
      <c r="AZ72" s="377" t="e">
        <f t="shared" si="71"/>
        <v>#N/A</v>
      </c>
      <c r="BA72" s="653"/>
    </row>
    <row r="73" spans="2:53">
      <c r="B73" s="635"/>
      <c r="C73" s="485">
        <v>7</v>
      </c>
      <c r="D73" s="223" t="s">
        <v>730</v>
      </c>
      <c r="E73" s="491">
        <v>19</v>
      </c>
      <c r="F73" s="483">
        <v>2400</v>
      </c>
      <c r="G73" s="484">
        <v>126.31578947368421</v>
      </c>
      <c r="H73" s="672"/>
      <c r="I73" s="487">
        <f t="shared" si="56"/>
        <v>18.428571428571427</v>
      </c>
      <c r="J73" s="487">
        <f t="shared" si="56"/>
        <v>2066.9008808651638</v>
      </c>
      <c r="K73" s="363">
        <f t="shared" si="56"/>
        <v>112.24352203769483</v>
      </c>
      <c r="L73" s="615"/>
      <c r="M73" s="490">
        <f>RANK(K73, K$67:$K$81)</f>
        <v>10</v>
      </c>
      <c r="N73" s="624"/>
      <c r="O73" s="624"/>
      <c r="P73" s="542">
        <v>19</v>
      </c>
      <c r="Q73" s="543">
        <v>2066.666666666662</v>
      </c>
      <c r="R73" s="543">
        <v>108.77192982456116</v>
      </c>
      <c r="S73" s="540">
        <f t="shared" si="57"/>
        <v>9</v>
      </c>
      <c r="T73" s="653"/>
      <c r="U73" s="542">
        <v>19</v>
      </c>
      <c r="V73" s="543">
        <v>2024.4444444444398</v>
      </c>
      <c r="W73" s="543">
        <v>106.54970760233894</v>
      </c>
      <c r="X73" s="540">
        <f t="shared" si="59"/>
        <v>10</v>
      </c>
      <c r="Y73" s="653"/>
      <c r="Z73" s="542">
        <v>18</v>
      </c>
      <c r="AA73" s="543">
        <v>2036.2499999999975</v>
      </c>
      <c r="AB73" s="543">
        <v>113.12499999999986</v>
      </c>
      <c r="AC73" s="540">
        <f t="shared" si="61"/>
        <v>9</v>
      </c>
      <c r="AD73" s="653"/>
      <c r="AE73" s="542">
        <v>19</v>
      </c>
      <c r="AF73" s="543">
        <v>2095.7142857142871</v>
      </c>
      <c r="AG73" s="543">
        <v>110.30075187969932</v>
      </c>
      <c r="AH73" s="540">
        <f t="shared" si="63"/>
        <v>10</v>
      </c>
      <c r="AI73" s="653"/>
      <c r="AJ73" s="542">
        <v>18</v>
      </c>
      <c r="AK73" s="543">
        <v>2120.0000000000005</v>
      </c>
      <c r="AL73" s="543">
        <v>117.7777777777778</v>
      </c>
      <c r="AM73" s="540">
        <f t="shared" si="65"/>
        <v>7</v>
      </c>
      <c r="AN73" s="653"/>
      <c r="AO73" s="542">
        <v>18</v>
      </c>
      <c r="AP73" s="543">
        <v>2049.2307692307641</v>
      </c>
      <c r="AQ73" s="543">
        <v>113.84615384615356</v>
      </c>
      <c r="AR73" s="540">
        <f t="shared" si="67"/>
        <v>9</v>
      </c>
      <c r="AS73" s="653"/>
      <c r="AT73" s="540">
        <v>18</v>
      </c>
      <c r="AU73" s="541">
        <v>2075.9999999999964</v>
      </c>
      <c r="AV73" s="541">
        <v>115.33333333333313</v>
      </c>
      <c r="AW73" s="540">
        <f t="shared" si="69"/>
        <v>8</v>
      </c>
      <c r="AX73" s="653"/>
      <c r="AZ73" s="377" t="e">
        <f t="shared" si="71"/>
        <v>#N/A</v>
      </c>
      <c r="BA73" s="653"/>
    </row>
    <row r="74" spans="2:53">
      <c r="B74" s="635"/>
      <c r="C74" s="485">
        <v>8</v>
      </c>
      <c r="D74" s="223" t="s">
        <v>731</v>
      </c>
      <c r="E74" s="491">
        <v>18</v>
      </c>
      <c r="F74" s="483">
        <v>2571</v>
      </c>
      <c r="G74" s="484">
        <v>142.83333333333334</v>
      </c>
      <c r="H74" s="672"/>
      <c r="I74" s="487">
        <f t="shared" si="56"/>
        <v>18</v>
      </c>
      <c r="J74" s="487">
        <f t="shared" si="56"/>
        <v>2348.6190687192984</v>
      </c>
      <c r="K74" s="363">
        <f t="shared" si="56"/>
        <v>130.47883715107213</v>
      </c>
      <c r="L74" s="615"/>
      <c r="M74" s="490">
        <f>RANK(K74, K$67:$K$81)</f>
        <v>3</v>
      </c>
      <c r="N74" s="624"/>
      <c r="O74" s="624"/>
      <c r="P74" s="542">
        <v>18</v>
      </c>
      <c r="Q74" s="543">
        <v>2352.3809523809518</v>
      </c>
      <c r="R74" s="543">
        <v>130.68783068783065</v>
      </c>
      <c r="S74" s="540">
        <f t="shared" si="57"/>
        <v>3</v>
      </c>
      <c r="T74" s="653"/>
      <c r="U74" s="542">
        <v>18</v>
      </c>
      <c r="V74" s="543">
        <v>2341.8461538461534</v>
      </c>
      <c r="W74" s="543">
        <v>130.10256410256409</v>
      </c>
      <c r="X74" s="540">
        <f t="shared" si="59"/>
        <v>4</v>
      </c>
      <c r="Y74" s="653"/>
      <c r="Z74" s="542">
        <v>18</v>
      </c>
      <c r="AA74" s="543">
        <v>2355.483870967741</v>
      </c>
      <c r="AB74" s="543">
        <v>130.8602150537634</v>
      </c>
      <c r="AC74" s="540">
        <f t="shared" si="61"/>
        <v>3</v>
      </c>
      <c r="AD74" s="653"/>
      <c r="AE74" s="542">
        <v>18</v>
      </c>
      <c r="AF74" s="543">
        <v>2333.9999999999991</v>
      </c>
      <c r="AG74" s="543">
        <v>129.66666666666663</v>
      </c>
      <c r="AH74" s="540">
        <f t="shared" si="63"/>
        <v>4</v>
      </c>
      <c r="AI74" s="653"/>
      <c r="AJ74" s="542">
        <v>18</v>
      </c>
      <c r="AK74" s="543">
        <v>2373.7499999999995</v>
      </c>
      <c r="AL74" s="543">
        <v>131.87499999999997</v>
      </c>
      <c r="AM74" s="540">
        <f t="shared" si="65"/>
        <v>3</v>
      </c>
      <c r="AN74" s="653"/>
      <c r="AO74" s="542">
        <v>18</v>
      </c>
      <c r="AP74" s="543">
        <v>2341.9047619047615</v>
      </c>
      <c r="AQ74" s="543">
        <v>130.10582010582007</v>
      </c>
      <c r="AR74" s="540">
        <f t="shared" si="67"/>
        <v>4</v>
      </c>
      <c r="AS74" s="653"/>
      <c r="AT74" s="540">
        <v>18</v>
      </c>
      <c r="AU74" s="541">
        <v>2340.967741935483</v>
      </c>
      <c r="AV74" s="541">
        <v>130.05376344086017</v>
      </c>
      <c r="AW74" s="540">
        <f t="shared" si="69"/>
        <v>2</v>
      </c>
      <c r="AX74" s="653"/>
      <c r="AZ74" s="377" t="e">
        <f t="shared" si="71"/>
        <v>#N/A</v>
      </c>
      <c r="BA74" s="653"/>
    </row>
    <row r="75" spans="2:53">
      <c r="B75" s="635"/>
      <c r="C75" s="485">
        <v>9</v>
      </c>
      <c r="D75" s="223" t="s">
        <v>794</v>
      </c>
      <c r="E75" s="491">
        <v>19</v>
      </c>
      <c r="F75" s="483">
        <v>2400</v>
      </c>
      <c r="G75" s="484">
        <v>126.31578947368421</v>
      </c>
      <c r="H75" s="672"/>
      <c r="I75" s="487">
        <f t="shared" si="56"/>
        <v>19</v>
      </c>
      <c r="J75" s="487">
        <f t="shared" si="56"/>
        <v>2064.020577877719</v>
      </c>
      <c r="K75" s="363">
        <f t="shared" si="56"/>
        <v>108.63266199356416</v>
      </c>
      <c r="L75" s="615"/>
      <c r="M75" s="490">
        <f>RANK(K75, K$67:$K$81)</f>
        <v>11</v>
      </c>
      <c r="N75" s="624"/>
      <c r="O75" s="624"/>
      <c r="P75" s="542">
        <v>19</v>
      </c>
      <c r="Q75" s="543">
        <v>2057.1428571428551</v>
      </c>
      <c r="R75" s="543">
        <v>108.27067669172921</v>
      </c>
      <c r="S75" s="540">
        <f t="shared" si="57"/>
        <v>10</v>
      </c>
      <c r="T75" s="653"/>
      <c r="U75" s="542">
        <v>19</v>
      </c>
      <c r="V75" s="543">
        <v>2007.5675675675659</v>
      </c>
      <c r="W75" s="543">
        <v>105.66145092460873</v>
      </c>
      <c r="X75" s="540">
        <f t="shared" si="59"/>
        <v>11</v>
      </c>
      <c r="Y75" s="653"/>
      <c r="Z75" s="542">
        <v>19</v>
      </c>
      <c r="AA75" s="543">
        <v>2067.6923076923067</v>
      </c>
      <c r="AB75" s="543">
        <v>108.82591093117404</v>
      </c>
      <c r="AC75" s="540">
        <f t="shared" si="61"/>
        <v>11</v>
      </c>
      <c r="AD75" s="653"/>
      <c r="AE75" s="542">
        <v>19</v>
      </c>
      <c r="AF75" s="543">
        <v>2087.0270270270253</v>
      </c>
      <c r="AG75" s="543">
        <v>109.84352773826448</v>
      </c>
      <c r="AH75" s="540">
        <f t="shared" si="63"/>
        <v>11</v>
      </c>
      <c r="AI75" s="653"/>
      <c r="AJ75" s="542">
        <v>19</v>
      </c>
      <c r="AK75" s="543">
        <v>2070.8571428571404</v>
      </c>
      <c r="AL75" s="543">
        <v>108.99248120300739</v>
      </c>
      <c r="AM75" s="540">
        <f t="shared" si="65"/>
        <v>11</v>
      </c>
      <c r="AN75" s="653"/>
      <c r="AO75" s="542">
        <v>19</v>
      </c>
      <c r="AP75" s="543">
        <v>2082.8571428571408</v>
      </c>
      <c r="AQ75" s="543">
        <v>109.62406015037584</v>
      </c>
      <c r="AR75" s="540">
        <f t="shared" si="67"/>
        <v>11</v>
      </c>
      <c r="AS75" s="653"/>
      <c r="AT75" s="540">
        <v>19</v>
      </c>
      <c r="AU75" s="541">
        <v>2074.9999999999986</v>
      </c>
      <c r="AV75" s="541">
        <v>109.21052631578941</v>
      </c>
      <c r="AW75" s="540">
        <f t="shared" si="69"/>
        <v>11</v>
      </c>
      <c r="AX75" s="653"/>
      <c r="AZ75" s="377" t="e">
        <f t="shared" si="71"/>
        <v>#N/A</v>
      </c>
      <c r="BA75" s="653"/>
    </row>
    <row r="76" spans="2:53">
      <c r="B76" s="635"/>
      <c r="C76" s="485">
        <v>10</v>
      </c>
      <c r="D76" s="223" t="s">
        <v>795</v>
      </c>
      <c r="E76" s="491">
        <v>21</v>
      </c>
      <c r="F76" s="483">
        <v>2400</v>
      </c>
      <c r="G76" s="484">
        <v>114.28571428571429</v>
      </c>
      <c r="H76" s="672"/>
      <c r="I76" s="487">
        <f t="shared" si="56"/>
        <v>21</v>
      </c>
      <c r="J76" s="487">
        <f t="shared" si="56"/>
        <v>2091.6984863228818</v>
      </c>
      <c r="K76" s="363">
        <f t="shared" si="56"/>
        <v>99.604689824899168</v>
      </c>
      <c r="L76" s="615"/>
      <c r="M76" s="490">
        <f>RANK(K76, K$67:$K$81)</f>
        <v>12</v>
      </c>
      <c r="N76" s="624"/>
      <c r="O76" s="624"/>
      <c r="P76" s="542">
        <v>21</v>
      </c>
      <c r="Q76" s="543">
        <v>2049.8360655737711</v>
      </c>
      <c r="R76" s="543">
        <v>97.611241217798622</v>
      </c>
      <c r="S76" s="540">
        <f t="shared" si="57"/>
        <v>12</v>
      </c>
      <c r="T76" s="653"/>
      <c r="U76" s="542">
        <v>21</v>
      </c>
      <c r="V76" s="543">
        <v>2032.2580645161297</v>
      </c>
      <c r="W76" s="543">
        <v>96.774193548387132</v>
      </c>
      <c r="X76" s="540">
        <f t="shared" si="59"/>
        <v>12</v>
      </c>
      <c r="Y76" s="653"/>
      <c r="Z76" s="542">
        <v>21</v>
      </c>
      <c r="AA76" s="543">
        <v>2069.090909090909</v>
      </c>
      <c r="AB76" s="543">
        <v>98.528138528138527</v>
      </c>
      <c r="AC76" s="540">
        <f t="shared" si="61"/>
        <v>12</v>
      </c>
      <c r="AD76" s="653"/>
      <c r="AE76" s="542">
        <v>21</v>
      </c>
      <c r="AF76" s="543">
        <v>2102.2222222222217</v>
      </c>
      <c r="AG76" s="543">
        <v>100.10582010582009</v>
      </c>
      <c r="AH76" s="540">
        <f t="shared" si="63"/>
        <v>12</v>
      </c>
      <c r="AI76" s="653"/>
      <c r="AJ76" s="542">
        <v>21</v>
      </c>
      <c r="AK76" s="543">
        <v>2102.5000000000009</v>
      </c>
      <c r="AL76" s="543">
        <v>100.11904761904766</v>
      </c>
      <c r="AM76" s="540">
        <f t="shared" si="65"/>
        <v>12</v>
      </c>
      <c r="AN76" s="653"/>
      <c r="AO76" s="542">
        <v>21</v>
      </c>
      <c r="AP76" s="543">
        <v>2120.3571428571431</v>
      </c>
      <c r="AQ76" s="543">
        <v>100.96938775510205</v>
      </c>
      <c r="AR76" s="540">
        <f t="shared" si="67"/>
        <v>12</v>
      </c>
      <c r="AS76" s="653"/>
      <c r="AT76" s="540">
        <v>21</v>
      </c>
      <c r="AU76" s="541">
        <v>2165.6249999999995</v>
      </c>
      <c r="AV76" s="541">
        <v>103.12499999999997</v>
      </c>
      <c r="AW76" s="540">
        <f t="shared" si="69"/>
        <v>12</v>
      </c>
      <c r="AX76" s="653"/>
      <c r="AZ76" s="377" t="e">
        <f t="shared" si="71"/>
        <v>#N/A</v>
      </c>
      <c r="BA76" s="653"/>
    </row>
    <row r="77" spans="2:53">
      <c r="B77" s="635"/>
      <c r="C77" s="485">
        <v>11</v>
      </c>
      <c r="D77" s="223" t="s">
        <v>850</v>
      </c>
      <c r="E77" s="491">
        <v>19</v>
      </c>
      <c r="F77" s="483">
        <v>2571</v>
      </c>
      <c r="G77" s="484">
        <v>135.31578947368422</v>
      </c>
      <c r="H77" s="672"/>
      <c r="I77" s="487">
        <f t="shared" si="56"/>
        <v>19</v>
      </c>
      <c r="J77" s="487">
        <f t="shared" si="56"/>
        <v>2198.9690340924103</v>
      </c>
      <c r="K77" s="363">
        <f t="shared" si="56"/>
        <v>115.73521232065316</v>
      </c>
      <c r="L77" s="615"/>
      <c r="M77" s="490">
        <f>RANK(K77, K$67:$K$81)</f>
        <v>7</v>
      </c>
      <c r="N77" s="624"/>
      <c r="O77" s="624"/>
      <c r="P77" s="542">
        <v>19</v>
      </c>
      <c r="Q77" s="543">
        <v>2212.8000000000006</v>
      </c>
      <c r="R77" s="543">
        <v>116.46315789473688</v>
      </c>
      <c r="S77" s="540">
        <f t="shared" si="57"/>
        <v>7</v>
      </c>
      <c r="T77" s="653"/>
      <c r="U77" s="542">
        <v>19</v>
      </c>
      <c r="V77" s="543">
        <v>2162.6470588235297</v>
      </c>
      <c r="W77" s="543">
        <v>113.82352941176472</v>
      </c>
      <c r="X77" s="540">
        <f t="shared" si="59"/>
        <v>8</v>
      </c>
      <c r="Y77" s="653"/>
      <c r="Z77" s="542">
        <v>19</v>
      </c>
      <c r="AA77" s="543">
        <v>2228.6842105263163</v>
      </c>
      <c r="AB77" s="543">
        <v>117.29916897506928</v>
      </c>
      <c r="AC77" s="540">
        <f t="shared" si="61"/>
        <v>7</v>
      </c>
      <c r="AD77" s="653"/>
      <c r="AE77" s="542">
        <v>19</v>
      </c>
      <c r="AF77" s="543">
        <v>2208.7499999999995</v>
      </c>
      <c r="AG77" s="543">
        <v>116.24999999999997</v>
      </c>
      <c r="AH77" s="540">
        <f t="shared" si="63"/>
        <v>7</v>
      </c>
      <c r="AI77" s="653"/>
      <c r="AJ77" s="542">
        <v>19</v>
      </c>
      <c r="AK77" s="543">
        <v>2203.7288135593208</v>
      </c>
      <c r="AL77" s="543">
        <v>115.98572702943794</v>
      </c>
      <c r="AM77" s="540">
        <f t="shared" si="65"/>
        <v>8</v>
      </c>
      <c r="AN77" s="653"/>
      <c r="AO77" s="542">
        <v>19</v>
      </c>
      <c r="AP77" s="543">
        <v>2198.3606557377043</v>
      </c>
      <c r="AQ77" s="543">
        <v>115.7031924072476</v>
      </c>
      <c r="AR77" s="540">
        <f t="shared" si="67"/>
        <v>7</v>
      </c>
      <c r="AS77" s="653"/>
      <c r="AT77" s="540">
        <v>19</v>
      </c>
      <c r="AU77" s="541">
        <v>2177.8124999999995</v>
      </c>
      <c r="AV77" s="541">
        <v>114.62171052631577</v>
      </c>
      <c r="AW77" s="540">
        <f t="shared" si="69"/>
        <v>9</v>
      </c>
      <c r="AX77" s="653"/>
      <c r="AZ77" s="377" t="e">
        <f t="shared" si="71"/>
        <v>#N/A</v>
      </c>
      <c r="BA77" s="653"/>
    </row>
    <row r="78" spans="2:53">
      <c r="B78" s="635"/>
      <c r="C78" s="485">
        <v>12</v>
      </c>
      <c r="D78" s="223" t="s">
        <v>851</v>
      </c>
      <c r="E78" s="491">
        <v>17</v>
      </c>
      <c r="F78" s="483">
        <v>2571</v>
      </c>
      <c r="G78" s="484">
        <v>151.23529411764707</v>
      </c>
      <c r="H78" s="672"/>
      <c r="I78" s="487">
        <f t="shared" si="56"/>
        <v>18</v>
      </c>
      <c r="J78" s="487">
        <f t="shared" si="56"/>
        <v>2332.4830513417828</v>
      </c>
      <c r="K78" s="363">
        <f t="shared" si="56"/>
        <v>129.58239174121016</v>
      </c>
      <c r="L78" s="615"/>
      <c r="M78" s="490">
        <f>RANK(K78, K$67:$K$81)</f>
        <v>4</v>
      </c>
      <c r="N78" s="624"/>
      <c r="O78" s="624"/>
      <c r="P78" s="542">
        <v>18</v>
      </c>
      <c r="Q78" s="543">
        <v>2341.6363636363617</v>
      </c>
      <c r="R78" s="543">
        <v>130.09090909090898</v>
      </c>
      <c r="S78" s="540">
        <f t="shared" si="57"/>
        <v>4</v>
      </c>
      <c r="T78" s="653"/>
      <c r="U78" s="542">
        <v>18</v>
      </c>
      <c r="V78" s="543">
        <v>2353.0971428571406</v>
      </c>
      <c r="W78" s="543">
        <v>130.72761904761893</v>
      </c>
      <c r="X78" s="540">
        <f t="shared" si="59"/>
        <v>3</v>
      </c>
      <c r="Y78" s="653"/>
      <c r="Z78" s="542">
        <v>18</v>
      </c>
      <c r="AA78" s="543">
        <v>2326.2162162162172</v>
      </c>
      <c r="AB78" s="543">
        <v>129.23423423423429</v>
      </c>
      <c r="AC78" s="540">
        <f t="shared" si="61"/>
        <v>4</v>
      </c>
      <c r="AD78" s="653"/>
      <c r="AE78" s="542">
        <v>18</v>
      </c>
      <c r="AF78" s="543">
        <v>2338.8000000000006</v>
      </c>
      <c r="AG78" s="543">
        <v>129.93333333333337</v>
      </c>
      <c r="AH78" s="540">
        <f t="shared" si="63"/>
        <v>3</v>
      </c>
      <c r="AI78" s="653"/>
      <c r="AJ78" s="542">
        <v>18</v>
      </c>
      <c r="AK78" s="543">
        <v>2309.4339622641519</v>
      </c>
      <c r="AL78" s="543">
        <v>128.30188679245288</v>
      </c>
      <c r="AM78" s="540">
        <f t="shared" si="65"/>
        <v>4</v>
      </c>
      <c r="AN78" s="653"/>
      <c r="AO78" s="542">
        <v>18</v>
      </c>
      <c r="AP78" s="543">
        <v>2347.5000000000027</v>
      </c>
      <c r="AQ78" s="543">
        <v>130.41666666666683</v>
      </c>
      <c r="AR78" s="540">
        <f t="shared" si="67"/>
        <v>3</v>
      </c>
      <c r="AS78" s="653"/>
      <c r="AT78" s="540">
        <v>18</v>
      </c>
      <c r="AU78" s="541">
        <v>2310.697674418604</v>
      </c>
      <c r="AV78" s="541">
        <v>128.37209302325579</v>
      </c>
      <c r="AW78" s="540">
        <f t="shared" si="69"/>
        <v>4</v>
      </c>
      <c r="AX78" s="653"/>
      <c r="AZ78" s="377" t="e">
        <f t="shared" si="71"/>
        <v>#N/A</v>
      </c>
      <c r="BA78" s="653"/>
    </row>
    <row r="79" spans="2:53">
      <c r="B79" s="635"/>
      <c r="C79" s="485">
        <v>13</v>
      </c>
      <c r="D79" s="223"/>
      <c r="E79" s="491"/>
      <c r="F79" s="483"/>
      <c r="G79" s="484"/>
      <c r="H79" s="672"/>
      <c r="I79" s="487" t="str">
        <f t="shared" si="56"/>
        <v>-</v>
      </c>
      <c r="J79" s="487" t="str">
        <f t="shared" si="56"/>
        <v>-</v>
      </c>
      <c r="K79" s="363" t="str">
        <f t="shared" si="56"/>
        <v>-</v>
      </c>
      <c r="L79" s="615"/>
      <c r="M79" s="490" t="e">
        <f>RANK(K79, K$67:$K$81)</f>
        <v>#VALUE!</v>
      </c>
      <c r="N79" s="624"/>
      <c r="O79" s="624"/>
      <c r="P79" s="542" t="s">
        <v>427</v>
      </c>
      <c r="Q79" s="543" t="s">
        <v>427</v>
      </c>
      <c r="R79" s="543" t="s">
        <v>427</v>
      </c>
      <c r="S79" s="540" t="e">
        <f t="shared" si="57"/>
        <v>#VALUE!</v>
      </c>
      <c r="T79" s="653"/>
      <c r="U79" s="542" t="s">
        <v>427</v>
      </c>
      <c r="V79" s="543" t="s">
        <v>427</v>
      </c>
      <c r="W79" s="543" t="s">
        <v>427</v>
      </c>
      <c r="X79" s="540" t="e">
        <f t="shared" si="59"/>
        <v>#VALUE!</v>
      </c>
      <c r="Y79" s="653"/>
      <c r="Z79" s="542" t="s">
        <v>427</v>
      </c>
      <c r="AA79" s="543" t="s">
        <v>427</v>
      </c>
      <c r="AB79" s="543" t="s">
        <v>427</v>
      </c>
      <c r="AC79" s="540" t="e">
        <f t="shared" si="61"/>
        <v>#VALUE!</v>
      </c>
      <c r="AD79" s="653"/>
      <c r="AE79" s="542" t="s">
        <v>427</v>
      </c>
      <c r="AF79" s="543" t="s">
        <v>427</v>
      </c>
      <c r="AG79" s="543" t="s">
        <v>427</v>
      </c>
      <c r="AH79" s="540" t="e">
        <f t="shared" si="63"/>
        <v>#VALUE!</v>
      </c>
      <c r="AI79" s="653"/>
      <c r="AJ79" s="542" t="s">
        <v>427</v>
      </c>
      <c r="AK79" s="543" t="s">
        <v>427</v>
      </c>
      <c r="AL79" s="543" t="s">
        <v>427</v>
      </c>
      <c r="AM79" s="540" t="e">
        <f t="shared" si="65"/>
        <v>#VALUE!</v>
      </c>
      <c r="AN79" s="653"/>
      <c r="AO79" s="542" t="s">
        <v>427</v>
      </c>
      <c r="AP79" s="543" t="s">
        <v>427</v>
      </c>
      <c r="AQ79" s="543" t="s">
        <v>427</v>
      </c>
      <c r="AR79" s="540" t="e">
        <f t="shared" si="67"/>
        <v>#VALUE!</v>
      </c>
      <c r="AS79" s="653"/>
      <c r="AT79" s="540" t="s">
        <v>427</v>
      </c>
      <c r="AU79" s="541" t="s">
        <v>427</v>
      </c>
      <c r="AV79" s="541" t="s">
        <v>427</v>
      </c>
      <c r="AW79" s="540" t="e">
        <f t="shared" si="69"/>
        <v>#VALUE!</v>
      </c>
      <c r="AX79" s="653"/>
      <c r="AZ79" s="377" t="e">
        <f t="shared" si="71"/>
        <v>#N/A</v>
      </c>
      <c r="BA79" s="653"/>
    </row>
    <row r="80" spans="2:53">
      <c r="B80" s="635"/>
      <c r="C80" s="485">
        <v>14</v>
      </c>
      <c r="D80" s="223"/>
      <c r="E80" s="491"/>
      <c r="F80" s="483"/>
      <c r="G80" s="484"/>
      <c r="H80" s="672"/>
      <c r="I80" s="487" t="str">
        <f t="shared" si="56"/>
        <v>-</v>
      </c>
      <c r="J80" s="487" t="str">
        <f t="shared" si="56"/>
        <v>-</v>
      </c>
      <c r="K80" s="363" t="str">
        <f t="shared" si="56"/>
        <v>-</v>
      </c>
      <c r="L80" s="615"/>
      <c r="M80" s="490" t="e">
        <f>RANK(K80, K$67:$K$81)</f>
        <v>#VALUE!</v>
      </c>
      <c r="N80" s="624"/>
      <c r="O80" s="624"/>
      <c r="P80" s="542" t="s">
        <v>427</v>
      </c>
      <c r="Q80" s="543" t="s">
        <v>427</v>
      </c>
      <c r="R80" s="543" t="s">
        <v>427</v>
      </c>
      <c r="S80" s="540" t="e">
        <f t="shared" si="57"/>
        <v>#VALUE!</v>
      </c>
      <c r="T80" s="653"/>
      <c r="U80" s="542" t="s">
        <v>427</v>
      </c>
      <c r="V80" s="543" t="s">
        <v>427</v>
      </c>
      <c r="W80" s="543" t="s">
        <v>427</v>
      </c>
      <c r="X80" s="540" t="e">
        <f t="shared" si="59"/>
        <v>#VALUE!</v>
      </c>
      <c r="Y80" s="653"/>
      <c r="Z80" s="542" t="s">
        <v>427</v>
      </c>
      <c r="AA80" s="543" t="s">
        <v>427</v>
      </c>
      <c r="AB80" s="543" t="s">
        <v>427</v>
      </c>
      <c r="AC80" s="540" t="e">
        <f t="shared" si="61"/>
        <v>#VALUE!</v>
      </c>
      <c r="AD80" s="653"/>
      <c r="AE80" s="542" t="s">
        <v>427</v>
      </c>
      <c r="AF80" s="543" t="s">
        <v>427</v>
      </c>
      <c r="AG80" s="543" t="s">
        <v>427</v>
      </c>
      <c r="AH80" s="540" t="e">
        <f t="shared" si="63"/>
        <v>#VALUE!</v>
      </c>
      <c r="AI80" s="653"/>
      <c r="AJ80" s="542" t="s">
        <v>427</v>
      </c>
      <c r="AK80" s="543" t="s">
        <v>427</v>
      </c>
      <c r="AL80" s="543" t="s">
        <v>427</v>
      </c>
      <c r="AM80" s="540" t="e">
        <f t="shared" si="65"/>
        <v>#VALUE!</v>
      </c>
      <c r="AN80" s="653"/>
      <c r="AO80" s="542" t="s">
        <v>427</v>
      </c>
      <c r="AP80" s="543" t="s">
        <v>427</v>
      </c>
      <c r="AQ80" s="543" t="s">
        <v>427</v>
      </c>
      <c r="AR80" s="540" t="e">
        <f t="shared" si="67"/>
        <v>#VALUE!</v>
      </c>
      <c r="AS80" s="653"/>
      <c r="AT80" s="540" t="s">
        <v>427</v>
      </c>
      <c r="AU80" s="541" t="s">
        <v>427</v>
      </c>
      <c r="AV80" s="541" t="s">
        <v>427</v>
      </c>
      <c r="AW80" s="540" t="e">
        <f t="shared" si="69"/>
        <v>#VALUE!</v>
      </c>
      <c r="AX80" s="653"/>
      <c r="AZ80" s="377" t="e">
        <f t="shared" si="71"/>
        <v>#N/A</v>
      </c>
      <c r="BA80" s="653"/>
    </row>
    <row r="81" spans="2:53">
      <c r="B81" s="635"/>
      <c r="C81" s="485">
        <v>15</v>
      </c>
      <c r="D81" s="223"/>
      <c r="E81" s="491"/>
      <c r="F81" s="483"/>
      <c r="G81" s="484"/>
      <c r="H81" s="676"/>
      <c r="I81" s="487" t="str">
        <f t="shared" si="56"/>
        <v>-</v>
      </c>
      <c r="J81" s="487" t="str">
        <f t="shared" si="56"/>
        <v>-</v>
      </c>
      <c r="K81" s="363" t="str">
        <f t="shared" si="56"/>
        <v>-</v>
      </c>
      <c r="L81" s="616"/>
      <c r="M81" s="490" t="e">
        <f>RANK(K81, K$47:$K$61)</f>
        <v>#VALUE!</v>
      </c>
      <c r="N81" s="624"/>
      <c r="O81" s="624"/>
      <c r="P81" s="542" t="s">
        <v>427</v>
      </c>
      <c r="Q81" s="543" t="s">
        <v>427</v>
      </c>
      <c r="R81" s="543" t="s">
        <v>427</v>
      </c>
      <c r="S81" s="540" t="e">
        <f t="shared" si="57"/>
        <v>#VALUE!</v>
      </c>
      <c r="T81" s="653"/>
      <c r="U81" s="542" t="s">
        <v>427</v>
      </c>
      <c r="V81" s="543" t="s">
        <v>427</v>
      </c>
      <c r="W81" s="543" t="s">
        <v>427</v>
      </c>
      <c r="X81" s="540" t="e">
        <f t="shared" si="59"/>
        <v>#VALUE!</v>
      </c>
      <c r="Y81" s="653"/>
      <c r="Z81" s="542" t="s">
        <v>427</v>
      </c>
      <c r="AA81" s="543" t="s">
        <v>427</v>
      </c>
      <c r="AB81" s="543" t="s">
        <v>427</v>
      </c>
      <c r="AC81" s="540" t="e">
        <f t="shared" si="61"/>
        <v>#VALUE!</v>
      </c>
      <c r="AD81" s="653"/>
      <c r="AE81" s="542" t="s">
        <v>427</v>
      </c>
      <c r="AF81" s="543" t="s">
        <v>427</v>
      </c>
      <c r="AG81" s="543" t="s">
        <v>427</v>
      </c>
      <c r="AH81" s="540" t="e">
        <f t="shared" si="63"/>
        <v>#VALUE!</v>
      </c>
      <c r="AI81" s="653"/>
      <c r="AJ81" s="542" t="s">
        <v>427</v>
      </c>
      <c r="AK81" s="543" t="s">
        <v>427</v>
      </c>
      <c r="AL81" s="543" t="s">
        <v>427</v>
      </c>
      <c r="AM81" s="540" t="e">
        <f t="shared" si="65"/>
        <v>#VALUE!</v>
      </c>
      <c r="AN81" s="653"/>
      <c r="AO81" s="542" t="s">
        <v>427</v>
      </c>
      <c r="AP81" s="543" t="s">
        <v>427</v>
      </c>
      <c r="AQ81" s="543" t="s">
        <v>427</v>
      </c>
      <c r="AR81" s="540" t="e">
        <f t="shared" si="67"/>
        <v>#VALUE!</v>
      </c>
      <c r="AS81" s="653"/>
      <c r="AT81" s="540" t="s">
        <v>427</v>
      </c>
      <c r="AU81" s="541" t="s">
        <v>427</v>
      </c>
      <c r="AV81" s="541" t="s">
        <v>427</v>
      </c>
      <c r="AW81" s="540" t="e">
        <f t="shared" si="69"/>
        <v>#VALUE!</v>
      </c>
      <c r="AX81" s="653"/>
      <c r="AZ81" s="377" t="e">
        <f t="shared" si="71"/>
        <v>#N/A</v>
      </c>
      <c r="BA81" s="653"/>
    </row>
    <row r="82" spans="2:53" ht="15.75">
      <c r="B82" s="643" t="s">
        <v>161</v>
      </c>
      <c r="C82" s="644"/>
      <c r="D82" s="644"/>
      <c r="E82" s="644"/>
      <c r="F82" s="644"/>
      <c r="G82" s="644"/>
      <c r="H82" s="645"/>
      <c r="I82" s="205"/>
      <c r="J82" s="205"/>
      <c r="K82" s="205"/>
      <c r="L82" s="205"/>
      <c r="M82" s="204"/>
      <c r="N82" s="639" t="s">
        <v>155</v>
      </c>
      <c r="O82" s="639" t="s">
        <v>498</v>
      </c>
      <c r="P82" s="634">
        <f>AT62+1</f>
        <v>46231</v>
      </c>
      <c r="Q82" s="635"/>
      <c r="R82" s="635"/>
      <c r="S82" s="635"/>
      <c r="T82" s="635"/>
      <c r="U82" s="636">
        <f>P82+1</f>
        <v>46232</v>
      </c>
      <c r="V82" s="637"/>
      <c r="W82" s="637"/>
      <c r="X82" s="637"/>
      <c r="Y82" s="638"/>
      <c r="Z82" s="636">
        <f t="shared" ref="Z82" si="73">U82+1</f>
        <v>46233</v>
      </c>
      <c r="AA82" s="637"/>
      <c r="AB82" s="637"/>
      <c r="AC82" s="637"/>
      <c r="AD82" s="638"/>
      <c r="AE82" s="636">
        <f t="shared" ref="AE82" si="74">Z82+1</f>
        <v>46234</v>
      </c>
      <c r="AF82" s="637"/>
      <c r="AG82" s="637"/>
      <c r="AH82" s="637"/>
      <c r="AI82" s="638"/>
      <c r="AJ82" s="636"/>
      <c r="AK82" s="637"/>
      <c r="AL82" s="637"/>
      <c r="AM82" s="637"/>
      <c r="AN82" s="638"/>
      <c r="AO82" s="636"/>
      <c r="AP82" s="637"/>
      <c r="AQ82" s="637"/>
      <c r="AR82" s="637"/>
      <c r="AS82" s="638"/>
      <c r="AT82" s="636"/>
      <c r="AU82" s="637"/>
      <c r="AV82" s="637"/>
      <c r="AW82" s="637"/>
      <c r="AX82" s="638"/>
    </row>
    <row r="83" spans="2:53" ht="15.75">
      <c r="B83" s="646"/>
      <c r="C83" s="646"/>
      <c r="D83" s="646"/>
      <c r="E83" s="646"/>
      <c r="F83" s="646"/>
      <c r="G83" s="646"/>
      <c r="H83" s="646"/>
      <c r="I83" s="202"/>
      <c r="J83" s="202"/>
      <c r="K83" s="202"/>
      <c r="L83" s="202"/>
      <c r="M83" s="203"/>
      <c r="N83" s="641"/>
      <c r="O83" s="641"/>
      <c r="P83" s="634" t="s">
        <v>499</v>
      </c>
      <c r="Q83" s="635"/>
      <c r="R83" s="635"/>
      <c r="S83" s="635"/>
      <c r="T83" s="635"/>
      <c r="U83" s="634" t="s">
        <v>500</v>
      </c>
      <c r="V83" s="635"/>
      <c r="W83" s="635"/>
      <c r="X83" s="635"/>
      <c r="Y83" s="635"/>
      <c r="Z83" s="634" t="s">
        <v>501</v>
      </c>
      <c r="AA83" s="635"/>
      <c r="AB83" s="635"/>
      <c r="AC83" s="635"/>
      <c r="AD83" s="635"/>
      <c r="AE83" s="634" t="s">
        <v>502</v>
      </c>
      <c r="AF83" s="635"/>
      <c r="AG83" s="635"/>
      <c r="AH83" s="635"/>
      <c r="AI83" s="635"/>
      <c r="AJ83" s="634" t="s">
        <v>503</v>
      </c>
      <c r="AK83" s="635"/>
      <c r="AL83" s="635"/>
      <c r="AM83" s="635"/>
      <c r="AN83" s="635"/>
      <c r="AO83" s="634" t="s">
        <v>504</v>
      </c>
      <c r="AP83" s="635"/>
      <c r="AQ83" s="635"/>
      <c r="AR83" s="635"/>
      <c r="AS83" s="635"/>
      <c r="AT83" s="634" t="s">
        <v>505</v>
      </c>
      <c r="AU83" s="635"/>
      <c r="AV83" s="635"/>
      <c r="AW83" s="635"/>
      <c r="AX83" s="635"/>
    </row>
    <row r="84" spans="2:53">
      <c r="B84" s="624" t="s">
        <v>796</v>
      </c>
      <c r="C84" s="624" t="s">
        <v>464</v>
      </c>
      <c r="D84" s="624"/>
      <c r="E84" s="624" t="s">
        <v>465</v>
      </c>
      <c r="F84" s="624"/>
      <c r="G84" s="624"/>
      <c r="H84" s="647" t="s">
        <v>466</v>
      </c>
      <c r="I84" s="624" t="s">
        <v>467</v>
      </c>
      <c r="J84" s="624"/>
      <c r="K84" s="624"/>
      <c r="L84" s="647" t="s">
        <v>367</v>
      </c>
      <c r="M84" s="639" t="s">
        <v>468</v>
      </c>
      <c r="N84" s="624"/>
      <c r="O84" s="624" t="s">
        <v>512</v>
      </c>
      <c r="P84" s="621" t="s">
        <v>513</v>
      </c>
      <c r="Q84" s="622"/>
      <c r="R84" s="622"/>
      <c r="S84" s="623"/>
      <c r="T84" s="624" t="s">
        <v>509</v>
      </c>
      <c r="U84" s="621" t="s">
        <v>513</v>
      </c>
      <c r="V84" s="622"/>
      <c r="W84" s="622"/>
      <c r="X84" s="623"/>
      <c r="Y84" s="624" t="s">
        <v>509</v>
      </c>
      <c r="Z84" s="621" t="s">
        <v>513</v>
      </c>
      <c r="AA84" s="622"/>
      <c r="AB84" s="622"/>
      <c r="AC84" s="623"/>
      <c r="AD84" s="624" t="s">
        <v>509</v>
      </c>
      <c r="AE84" s="621" t="s">
        <v>513</v>
      </c>
      <c r="AF84" s="622"/>
      <c r="AG84" s="622"/>
      <c r="AH84" s="623"/>
      <c r="AI84" s="624" t="s">
        <v>509</v>
      </c>
      <c r="AJ84" s="621" t="s">
        <v>513</v>
      </c>
      <c r="AK84" s="622"/>
      <c r="AL84" s="622"/>
      <c r="AM84" s="623"/>
      <c r="AN84" s="624" t="s">
        <v>509</v>
      </c>
      <c r="AO84" s="621" t="s">
        <v>513</v>
      </c>
      <c r="AP84" s="622"/>
      <c r="AQ84" s="622"/>
      <c r="AR84" s="623"/>
      <c r="AS84" s="624" t="s">
        <v>509</v>
      </c>
      <c r="AT84" s="621" t="s">
        <v>513</v>
      </c>
      <c r="AU84" s="622"/>
      <c r="AV84" s="622"/>
      <c r="AW84" s="623"/>
      <c r="AX84" s="624" t="s">
        <v>509</v>
      </c>
    </row>
    <row r="85" spans="2:53">
      <c r="B85" s="624"/>
      <c r="C85" s="624"/>
      <c r="D85" s="624"/>
      <c r="E85" s="624" t="s">
        <v>470</v>
      </c>
      <c r="F85" s="624"/>
      <c r="G85" s="624"/>
      <c r="H85" s="648"/>
      <c r="I85" s="624" t="s">
        <v>470</v>
      </c>
      <c r="J85" s="624"/>
      <c r="K85" s="624"/>
      <c r="L85" s="648"/>
      <c r="M85" s="640"/>
      <c r="N85" s="624"/>
      <c r="O85" s="624"/>
      <c r="P85" s="621" t="s">
        <v>515</v>
      </c>
      <c r="Q85" s="622"/>
      <c r="R85" s="622"/>
      <c r="S85" s="623"/>
      <c r="T85" s="624"/>
      <c r="U85" s="621" t="s">
        <v>515</v>
      </c>
      <c r="V85" s="622"/>
      <c r="W85" s="622"/>
      <c r="X85" s="623"/>
      <c r="Y85" s="624"/>
      <c r="Z85" s="621" t="s">
        <v>515</v>
      </c>
      <c r="AA85" s="622"/>
      <c r="AB85" s="622"/>
      <c r="AC85" s="623"/>
      <c r="AD85" s="624"/>
      <c r="AE85" s="621" t="s">
        <v>515</v>
      </c>
      <c r="AF85" s="622"/>
      <c r="AG85" s="622"/>
      <c r="AH85" s="623"/>
      <c r="AI85" s="624"/>
      <c r="AJ85" s="621" t="s">
        <v>515</v>
      </c>
      <c r="AK85" s="622"/>
      <c r="AL85" s="622"/>
      <c r="AM85" s="623"/>
      <c r="AN85" s="624"/>
      <c r="AO85" s="621" t="s">
        <v>515</v>
      </c>
      <c r="AP85" s="622"/>
      <c r="AQ85" s="622"/>
      <c r="AR85" s="623"/>
      <c r="AS85" s="624"/>
      <c r="AT85" s="621" t="s">
        <v>515</v>
      </c>
      <c r="AU85" s="622"/>
      <c r="AV85" s="622"/>
      <c r="AW85" s="623"/>
      <c r="AX85" s="624"/>
    </row>
    <row r="86" spans="2:53">
      <c r="B86" s="624"/>
      <c r="C86" s="624"/>
      <c r="D86" s="624"/>
      <c r="E86" s="482" t="s">
        <v>471</v>
      </c>
      <c r="F86" s="482" t="s">
        <v>472</v>
      </c>
      <c r="G86" s="482" t="s">
        <v>473</v>
      </c>
      <c r="H86" s="649"/>
      <c r="I86" s="482" t="s">
        <v>471</v>
      </c>
      <c r="J86" s="482" t="s">
        <v>472</v>
      </c>
      <c r="K86" s="482" t="s">
        <v>473</v>
      </c>
      <c r="L86" s="649"/>
      <c r="M86" s="641"/>
      <c r="N86" s="624"/>
      <c r="O86" s="624"/>
      <c r="P86" s="353" t="s">
        <v>516</v>
      </c>
      <c r="Q86" s="353" t="s">
        <v>517</v>
      </c>
      <c r="R86" s="353" t="s">
        <v>518</v>
      </c>
      <c r="S86" s="353" t="s">
        <v>511</v>
      </c>
      <c r="T86" s="624"/>
      <c r="U86" s="353" t="s">
        <v>516</v>
      </c>
      <c r="V86" s="353" t="s">
        <v>517</v>
      </c>
      <c r="W86" s="353" t="s">
        <v>518</v>
      </c>
      <c r="X86" s="353" t="s">
        <v>511</v>
      </c>
      <c r="Y86" s="624"/>
      <c r="Z86" s="353" t="s">
        <v>516</v>
      </c>
      <c r="AA86" s="353" t="s">
        <v>517</v>
      </c>
      <c r="AB86" s="353" t="s">
        <v>518</v>
      </c>
      <c r="AC86" s="353" t="s">
        <v>511</v>
      </c>
      <c r="AD86" s="624"/>
      <c r="AE86" s="353" t="s">
        <v>516</v>
      </c>
      <c r="AF86" s="353" t="s">
        <v>517</v>
      </c>
      <c r="AG86" s="353" t="s">
        <v>518</v>
      </c>
      <c r="AH86" s="353" t="s">
        <v>511</v>
      </c>
      <c r="AI86" s="624"/>
      <c r="AJ86" s="353" t="s">
        <v>516</v>
      </c>
      <c r="AK86" s="353" t="s">
        <v>517</v>
      </c>
      <c r="AL86" s="353" t="s">
        <v>518</v>
      </c>
      <c r="AM86" s="353" t="s">
        <v>511</v>
      </c>
      <c r="AN86" s="624"/>
      <c r="AO86" s="353" t="s">
        <v>516</v>
      </c>
      <c r="AP86" s="353" t="s">
        <v>517</v>
      </c>
      <c r="AQ86" s="353" t="s">
        <v>518</v>
      </c>
      <c r="AR86" s="353" t="s">
        <v>511</v>
      </c>
      <c r="AS86" s="624"/>
      <c r="AT86" s="353" t="s">
        <v>516</v>
      </c>
      <c r="AU86" s="353" t="s">
        <v>517</v>
      </c>
      <c r="AV86" s="353" t="s">
        <v>518</v>
      </c>
      <c r="AW86" s="353" t="s">
        <v>511</v>
      </c>
      <c r="AX86" s="624"/>
    </row>
    <row r="87" spans="2:53">
      <c r="B87" s="624" t="s">
        <v>530</v>
      </c>
      <c r="C87" s="485">
        <v>1</v>
      </c>
      <c r="D87" s="223" t="s">
        <v>347</v>
      </c>
      <c r="E87" s="538">
        <v>20</v>
      </c>
      <c r="F87" s="529">
        <v>2400</v>
      </c>
      <c r="G87" s="530">
        <v>120</v>
      </c>
      <c r="H87" s="671">
        <f>AVERAGE(G87:G101)</f>
        <v>136.57420942061034</v>
      </c>
      <c r="I87" s="487">
        <f t="shared" ref="I87:K100" si="75">IFERROR(AVERAGE(P87,U87,Z87,AE87,AJ87,AO87,AT87),"-")</f>
        <v>20.25</v>
      </c>
      <c r="J87" s="487">
        <f t="shared" si="75"/>
        <v>2350.2457042431929</v>
      </c>
      <c r="K87" s="363">
        <f t="shared" si="75"/>
        <v>116.10939072102987</v>
      </c>
      <c r="L87" s="614">
        <f>IFERROR(AVERAGE(K87:K101),"-")</f>
        <v>121.59002444275875</v>
      </c>
      <c r="M87" s="490">
        <f>RANK(K87, K$87:$K$101)</f>
        <v>8</v>
      </c>
      <c r="N87" s="624"/>
      <c r="O87" s="624"/>
      <c r="P87" s="542">
        <v>20</v>
      </c>
      <c r="Q87" s="543">
        <v>2329.292307692308</v>
      </c>
      <c r="R87" s="543">
        <v>116.4646153846154</v>
      </c>
      <c r="S87" s="540">
        <f t="shared" ref="S87:S101" si="76">RANK(R87, R$87:R$101)</f>
        <v>8</v>
      </c>
      <c r="T87" s="653">
        <f t="shared" ref="T87" si="77">AVERAGE(R87:R101)</f>
        <v>121.7787112578178</v>
      </c>
      <c r="U87" s="542">
        <v>20</v>
      </c>
      <c r="V87" s="543">
        <v>2365.1503448275867</v>
      </c>
      <c r="W87" s="543">
        <v>118.25751724137933</v>
      </c>
      <c r="X87" s="540">
        <f t="shared" ref="X87:X101" si="78">RANK(W87, W$87:W$101)</f>
        <v>7</v>
      </c>
      <c r="Y87" s="653">
        <f t="shared" ref="Y87" si="79">AVERAGE(W87:W101)</f>
        <v>122.16709089732062</v>
      </c>
      <c r="Z87" s="542">
        <v>21</v>
      </c>
      <c r="AA87" s="543">
        <v>2356.8627450980389</v>
      </c>
      <c r="AB87" s="543">
        <v>112.2315592903828</v>
      </c>
      <c r="AC87" s="540">
        <f t="shared" ref="AC87:AC101" si="80">RANK(AB87, AB$87:AB$101)</f>
        <v>10</v>
      </c>
      <c r="AD87" s="653">
        <f t="shared" ref="AD87" si="81">AVERAGE(AB87:AB101)</f>
        <v>121.11157560326212</v>
      </c>
      <c r="AE87" s="542">
        <v>20</v>
      </c>
      <c r="AF87" s="543">
        <v>2349.677419354839</v>
      </c>
      <c r="AG87" s="543">
        <v>117.48387096774195</v>
      </c>
      <c r="AH87" s="540">
        <f t="shared" ref="AH87:AH101" si="82">RANK(AG87, AG$87:AG$101)</f>
        <v>7</v>
      </c>
      <c r="AI87" s="653">
        <f t="shared" ref="AI87" si="83">AVERAGE(AG87:AG101)</f>
        <v>121.30272001263428</v>
      </c>
      <c r="AJ87" s="542"/>
      <c r="AK87" s="543"/>
      <c r="AL87" s="543"/>
      <c r="AM87" s="540"/>
      <c r="AN87" s="610"/>
      <c r="AO87" s="542"/>
      <c r="AP87" s="543"/>
      <c r="AQ87" s="543"/>
      <c r="AR87" s="540"/>
      <c r="AS87" s="610"/>
      <c r="AT87" s="540"/>
      <c r="AU87" s="541"/>
      <c r="AV87" s="541"/>
      <c r="AW87" s="540"/>
      <c r="AX87" s="610"/>
      <c r="AZ87" s="377" t="e">
        <f t="shared" ref="AZ87:AZ101" si="84">RANK(AY87, AY$87:AY$101)</f>
        <v>#N/A</v>
      </c>
      <c r="BA87" s="653" t="e">
        <f t="shared" ref="BA87" si="85">AVERAGE(AY87:AY101)</f>
        <v>#DIV/0!</v>
      </c>
    </row>
    <row r="88" spans="2:53">
      <c r="B88" s="635"/>
      <c r="C88" s="485">
        <v>2</v>
      </c>
      <c r="D88" s="223" t="s">
        <v>348</v>
      </c>
      <c r="E88" s="538">
        <v>18</v>
      </c>
      <c r="F88" s="529">
        <v>2769</v>
      </c>
      <c r="G88" s="530">
        <v>153.83333333333334</v>
      </c>
      <c r="H88" s="672"/>
      <c r="I88" s="487">
        <f t="shared" si="75"/>
        <v>18.25</v>
      </c>
      <c r="J88" s="487">
        <f t="shared" si="75"/>
        <v>2525.3589466089479</v>
      </c>
      <c r="K88" s="363">
        <f t="shared" si="75"/>
        <v>138.42291861809414</v>
      </c>
      <c r="L88" s="615"/>
      <c r="M88" s="490">
        <f>RANK(K88, K$87:$K$101)</f>
        <v>1</v>
      </c>
      <c r="N88" s="624"/>
      <c r="O88" s="624"/>
      <c r="P88" s="542">
        <v>18</v>
      </c>
      <c r="Q88" s="543">
        <v>2513.4545454545473</v>
      </c>
      <c r="R88" s="543">
        <v>139.63636363636374</v>
      </c>
      <c r="S88" s="540">
        <f t="shared" si="76"/>
        <v>2</v>
      </c>
      <c r="T88" s="653"/>
      <c r="U88" s="542">
        <v>18</v>
      </c>
      <c r="V88" s="543">
        <v>2501.1111111111122</v>
      </c>
      <c r="W88" s="543">
        <v>138.95061728395069</v>
      </c>
      <c r="X88" s="540">
        <f t="shared" si="78"/>
        <v>1</v>
      </c>
      <c r="Y88" s="653"/>
      <c r="Z88" s="542">
        <v>19</v>
      </c>
      <c r="AA88" s="543">
        <v>2564.7272727272743</v>
      </c>
      <c r="AB88" s="543">
        <v>134.98564593301444</v>
      </c>
      <c r="AC88" s="540">
        <f t="shared" si="80"/>
        <v>3</v>
      </c>
      <c r="AD88" s="653"/>
      <c r="AE88" s="542">
        <v>18</v>
      </c>
      <c r="AF88" s="543">
        <v>2522.1428571428592</v>
      </c>
      <c r="AG88" s="543">
        <v>140.11904761904773</v>
      </c>
      <c r="AH88" s="540">
        <f t="shared" si="82"/>
        <v>1</v>
      </c>
      <c r="AI88" s="653"/>
      <c r="AJ88" s="542"/>
      <c r="AK88" s="543"/>
      <c r="AL88" s="543"/>
      <c r="AM88" s="540"/>
      <c r="AN88" s="611"/>
      <c r="AO88" s="542"/>
      <c r="AP88" s="543"/>
      <c r="AQ88" s="543"/>
      <c r="AR88" s="540"/>
      <c r="AS88" s="611"/>
      <c r="AT88" s="540"/>
      <c r="AU88" s="541"/>
      <c r="AV88" s="541"/>
      <c r="AW88" s="540"/>
      <c r="AX88" s="611"/>
      <c r="AZ88" s="377" t="e">
        <f t="shared" si="84"/>
        <v>#N/A</v>
      </c>
      <c r="BA88" s="653"/>
    </row>
    <row r="89" spans="2:53">
      <c r="B89" s="635"/>
      <c r="C89" s="485">
        <v>3</v>
      </c>
      <c r="D89" s="223" t="s">
        <v>349</v>
      </c>
      <c r="E89" s="538">
        <v>19</v>
      </c>
      <c r="F89" s="529">
        <v>2769</v>
      </c>
      <c r="G89" s="530">
        <v>145.73684210526315</v>
      </c>
      <c r="H89" s="672"/>
      <c r="I89" s="487">
        <f t="shared" si="75"/>
        <v>19.25</v>
      </c>
      <c r="J89" s="487">
        <f t="shared" si="75"/>
        <v>2512.7986239972524</v>
      </c>
      <c r="K89" s="363">
        <f t="shared" si="75"/>
        <v>130.59312648515956</v>
      </c>
      <c r="L89" s="615"/>
      <c r="M89" s="490">
        <f>RANK(K89, K$87:$K$101)</f>
        <v>4</v>
      </c>
      <c r="N89" s="624"/>
      <c r="O89" s="624"/>
      <c r="P89" s="542">
        <v>19</v>
      </c>
      <c r="Q89" s="543">
        <v>2532.3287671232856</v>
      </c>
      <c r="R89" s="543">
        <v>133.28046142754135</v>
      </c>
      <c r="S89" s="540">
        <f t="shared" si="76"/>
        <v>3</v>
      </c>
      <c r="T89" s="653"/>
      <c r="U89" s="542">
        <v>19</v>
      </c>
      <c r="V89" s="543">
        <v>2497.2972972972957</v>
      </c>
      <c r="W89" s="543">
        <v>131.43669985775242</v>
      </c>
      <c r="X89" s="540">
        <f t="shared" si="78"/>
        <v>3</v>
      </c>
      <c r="Y89" s="653"/>
      <c r="Z89" s="542">
        <v>20</v>
      </c>
      <c r="AA89" s="543">
        <v>2522.3376623376607</v>
      </c>
      <c r="AB89" s="543">
        <v>126.11688311688303</v>
      </c>
      <c r="AC89" s="540">
        <f t="shared" si="80"/>
        <v>5</v>
      </c>
      <c r="AD89" s="653"/>
      <c r="AE89" s="542">
        <v>19</v>
      </c>
      <c r="AF89" s="543">
        <v>2499.2307692307677</v>
      </c>
      <c r="AG89" s="543">
        <v>131.53846153846146</v>
      </c>
      <c r="AH89" s="540">
        <f t="shared" si="82"/>
        <v>3</v>
      </c>
      <c r="AI89" s="653"/>
      <c r="AJ89" s="542"/>
      <c r="AK89" s="543"/>
      <c r="AL89" s="543"/>
      <c r="AM89" s="540"/>
      <c r="AN89" s="611"/>
      <c r="AO89" s="542"/>
      <c r="AP89" s="543"/>
      <c r="AQ89" s="543"/>
      <c r="AR89" s="540"/>
      <c r="AS89" s="611"/>
      <c r="AT89" s="540"/>
      <c r="AU89" s="541"/>
      <c r="AV89" s="541"/>
      <c r="AW89" s="540"/>
      <c r="AX89" s="611"/>
      <c r="AZ89" s="377" t="e">
        <f t="shared" si="84"/>
        <v>#N/A</v>
      </c>
      <c r="BA89" s="653"/>
    </row>
    <row r="90" spans="2:53">
      <c r="B90" s="635"/>
      <c r="C90" s="485">
        <v>4</v>
      </c>
      <c r="D90" s="223" t="s">
        <v>350</v>
      </c>
      <c r="E90" s="538">
        <v>20</v>
      </c>
      <c r="F90" s="529">
        <v>2769</v>
      </c>
      <c r="G90" s="530">
        <v>138.44999999999999</v>
      </c>
      <c r="H90" s="672"/>
      <c r="I90" s="487">
        <f t="shared" si="75"/>
        <v>20</v>
      </c>
      <c r="J90" s="487">
        <f t="shared" si="75"/>
        <v>2446.4899358970838</v>
      </c>
      <c r="K90" s="363">
        <f t="shared" si="75"/>
        <v>122.3244967948542</v>
      </c>
      <c r="L90" s="615"/>
      <c r="M90" s="490">
        <f>RANK(K90, K$87:$K$101)</f>
        <v>6</v>
      </c>
      <c r="N90" s="624"/>
      <c r="O90" s="624"/>
      <c r="P90" s="542">
        <v>20</v>
      </c>
      <c r="Q90" s="543">
        <v>2436.0000000000005</v>
      </c>
      <c r="R90" s="543">
        <v>121.80000000000003</v>
      </c>
      <c r="S90" s="540">
        <f t="shared" si="76"/>
        <v>6</v>
      </c>
      <c r="T90" s="653"/>
      <c r="U90" s="542">
        <v>20</v>
      </c>
      <c r="V90" s="543">
        <v>2428.5436893203896</v>
      </c>
      <c r="W90" s="543">
        <v>121.42718446601948</v>
      </c>
      <c r="X90" s="540">
        <f t="shared" si="78"/>
        <v>6</v>
      </c>
      <c r="Y90" s="653"/>
      <c r="Z90" s="542">
        <v>20</v>
      </c>
      <c r="AA90" s="543">
        <v>2422.6229508196711</v>
      </c>
      <c r="AB90" s="543">
        <v>121.13114754098356</v>
      </c>
      <c r="AC90" s="540">
        <f t="shared" si="80"/>
        <v>6</v>
      </c>
      <c r="AD90" s="653"/>
      <c r="AE90" s="542">
        <v>20</v>
      </c>
      <c r="AF90" s="543">
        <v>2498.7931034482745</v>
      </c>
      <c r="AG90" s="543">
        <v>124.93965517241372</v>
      </c>
      <c r="AH90" s="540">
        <f t="shared" si="82"/>
        <v>5</v>
      </c>
      <c r="AI90" s="653"/>
      <c r="AJ90" s="542"/>
      <c r="AK90" s="543"/>
      <c r="AL90" s="543"/>
      <c r="AM90" s="540"/>
      <c r="AN90" s="611"/>
      <c r="AO90" s="542"/>
      <c r="AP90" s="543"/>
      <c r="AQ90" s="543"/>
      <c r="AR90" s="540"/>
      <c r="AS90" s="611"/>
      <c r="AT90" s="540"/>
      <c r="AU90" s="541"/>
      <c r="AV90" s="541"/>
      <c r="AW90" s="540"/>
      <c r="AX90" s="611"/>
      <c r="AZ90" s="377" t="e">
        <f t="shared" si="84"/>
        <v>#N/A</v>
      </c>
      <c r="BA90" s="653"/>
    </row>
    <row r="91" spans="2:53">
      <c r="B91" s="635"/>
      <c r="C91" s="485">
        <v>5</v>
      </c>
      <c r="D91" s="223" t="s">
        <v>430</v>
      </c>
      <c r="E91" s="538">
        <v>18</v>
      </c>
      <c r="F91" s="529">
        <v>2400</v>
      </c>
      <c r="G91" s="530">
        <v>133.33333333333334</v>
      </c>
      <c r="H91" s="672"/>
      <c r="I91" s="487">
        <f t="shared" si="75"/>
        <v>19</v>
      </c>
      <c r="J91" s="487">
        <f t="shared" si="75"/>
        <v>2147.5104575163409</v>
      </c>
      <c r="K91" s="363">
        <f t="shared" si="75"/>
        <v>113.02686618507057</v>
      </c>
      <c r="L91" s="615"/>
      <c r="M91" s="490">
        <f>RANK(K91, K$87:$K$101)</f>
        <v>10</v>
      </c>
      <c r="N91" s="624"/>
      <c r="O91" s="624"/>
      <c r="P91" s="542">
        <v>19</v>
      </c>
      <c r="Q91" s="543">
        <v>2162.3529411764716</v>
      </c>
      <c r="R91" s="543">
        <v>113.80804953560377</v>
      </c>
      <c r="S91" s="540">
        <f t="shared" si="76"/>
        <v>9</v>
      </c>
      <c r="T91" s="653"/>
      <c r="U91" s="542">
        <v>19</v>
      </c>
      <c r="V91" s="543">
        <v>2200.8000000000006</v>
      </c>
      <c r="W91" s="543">
        <v>115.83157894736846</v>
      </c>
      <c r="X91" s="540">
        <f t="shared" si="78"/>
        <v>10</v>
      </c>
      <c r="Y91" s="653"/>
      <c r="Z91" s="542">
        <v>19</v>
      </c>
      <c r="AA91" s="543">
        <v>2138.8888888888901</v>
      </c>
      <c r="AB91" s="543">
        <v>112.57309941520474</v>
      </c>
      <c r="AC91" s="540">
        <f t="shared" si="80"/>
        <v>9</v>
      </c>
      <c r="AD91" s="653"/>
      <c r="AE91" s="542">
        <v>19</v>
      </c>
      <c r="AF91" s="543">
        <v>2088.0000000000014</v>
      </c>
      <c r="AG91" s="543">
        <v>109.89473684210533</v>
      </c>
      <c r="AH91" s="540">
        <f t="shared" si="82"/>
        <v>10</v>
      </c>
      <c r="AI91" s="653"/>
      <c r="AJ91" s="542"/>
      <c r="AK91" s="543"/>
      <c r="AL91" s="543"/>
      <c r="AM91" s="540"/>
      <c r="AN91" s="611"/>
      <c r="AO91" s="542"/>
      <c r="AP91" s="543"/>
      <c r="AQ91" s="543"/>
      <c r="AR91" s="540"/>
      <c r="AS91" s="611"/>
      <c r="AT91" s="540"/>
      <c r="AU91" s="541"/>
      <c r="AV91" s="541"/>
      <c r="AW91" s="540"/>
      <c r="AX91" s="611"/>
      <c r="AZ91" s="377" t="e">
        <f t="shared" si="84"/>
        <v>#N/A</v>
      </c>
      <c r="BA91" s="653"/>
    </row>
    <row r="92" spans="2:53">
      <c r="B92" s="635"/>
      <c r="C92" s="485">
        <v>6</v>
      </c>
      <c r="D92" s="223" t="s">
        <v>661</v>
      </c>
      <c r="E92" s="538">
        <v>17</v>
      </c>
      <c r="F92" s="529">
        <v>2571</v>
      </c>
      <c r="G92" s="530">
        <v>151.23529411764707</v>
      </c>
      <c r="H92" s="672"/>
      <c r="I92" s="487">
        <f t="shared" si="75"/>
        <v>17</v>
      </c>
      <c r="J92" s="487">
        <f t="shared" si="75"/>
        <v>2345.5995560921738</v>
      </c>
      <c r="K92" s="363">
        <f t="shared" si="75"/>
        <v>137.97644447601022</v>
      </c>
      <c r="L92" s="615"/>
      <c r="M92" s="490">
        <f>RANK(K92, K$87:$K$101)</f>
        <v>2</v>
      </c>
      <c r="N92" s="624"/>
      <c r="O92" s="624"/>
      <c r="P92" s="542">
        <v>17</v>
      </c>
      <c r="Q92" s="543">
        <v>2379.5454545454545</v>
      </c>
      <c r="R92" s="543">
        <v>139.97326203208556</v>
      </c>
      <c r="S92" s="540">
        <f t="shared" si="76"/>
        <v>1</v>
      </c>
      <c r="T92" s="653"/>
      <c r="U92" s="542">
        <v>17</v>
      </c>
      <c r="V92" s="543">
        <v>2300.5263157894719</v>
      </c>
      <c r="W92" s="543">
        <v>135.32507739938069</v>
      </c>
      <c r="X92" s="540">
        <f t="shared" si="78"/>
        <v>2</v>
      </c>
      <c r="Y92" s="653"/>
      <c r="Z92" s="542">
        <v>17</v>
      </c>
      <c r="AA92" s="543">
        <v>2347.6923076923067</v>
      </c>
      <c r="AB92" s="543">
        <v>138.09954751131215</v>
      </c>
      <c r="AC92" s="540">
        <f t="shared" si="80"/>
        <v>2</v>
      </c>
      <c r="AD92" s="653"/>
      <c r="AE92" s="542">
        <v>17</v>
      </c>
      <c r="AF92" s="543">
        <v>2354.6341463414624</v>
      </c>
      <c r="AG92" s="543">
        <v>138.50789096126249</v>
      </c>
      <c r="AH92" s="540">
        <f t="shared" si="82"/>
        <v>2</v>
      </c>
      <c r="AI92" s="653"/>
      <c r="AJ92" s="542"/>
      <c r="AK92" s="543"/>
      <c r="AL92" s="543"/>
      <c r="AM92" s="540"/>
      <c r="AN92" s="611"/>
      <c r="AO92" s="542"/>
      <c r="AP92" s="543"/>
      <c r="AQ92" s="543"/>
      <c r="AR92" s="540"/>
      <c r="AS92" s="611"/>
      <c r="AT92" s="540"/>
      <c r="AU92" s="541"/>
      <c r="AV92" s="541"/>
      <c r="AW92" s="540"/>
      <c r="AX92" s="611"/>
      <c r="AZ92" s="377" t="e">
        <f t="shared" si="84"/>
        <v>#N/A</v>
      </c>
      <c r="BA92" s="653"/>
    </row>
    <row r="93" spans="2:53">
      <c r="B93" s="635"/>
      <c r="C93" s="485">
        <v>7</v>
      </c>
      <c r="D93" s="223" t="s">
        <v>730</v>
      </c>
      <c r="E93" s="538">
        <v>19</v>
      </c>
      <c r="F93" s="529">
        <v>2400</v>
      </c>
      <c r="G93" s="530">
        <v>126.31578947368421</v>
      </c>
      <c r="H93" s="672"/>
      <c r="I93" s="487">
        <f t="shared" si="75"/>
        <v>18.25</v>
      </c>
      <c r="J93" s="487">
        <f t="shared" si="75"/>
        <v>2082.1384615384613</v>
      </c>
      <c r="K93" s="363">
        <f t="shared" si="75"/>
        <v>114.16794871794869</v>
      </c>
      <c r="L93" s="615"/>
      <c r="M93" s="490">
        <f>RANK(K93, K$87:$K$101)</f>
        <v>9</v>
      </c>
      <c r="N93" s="624"/>
      <c r="O93" s="624"/>
      <c r="P93" s="542">
        <v>19</v>
      </c>
      <c r="Q93" s="543">
        <v>2060.7692307692323</v>
      </c>
      <c r="R93" s="543">
        <v>108.46153846153854</v>
      </c>
      <c r="S93" s="540">
        <f t="shared" si="76"/>
        <v>11</v>
      </c>
      <c r="T93" s="653"/>
      <c r="U93" s="542">
        <v>18</v>
      </c>
      <c r="V93" s="543">
        <v>2102.400000000001</v>
      </c>
      <c r="W93" s="543">
        <v>116.80000000000005</v>
      </c>
      <c r="X93" s="540">
        <f t="shared" si="78"/>
        <v>9</v>
      </c>
      <c r="Y93" s="653"/>
      <c r="Z93" s="542">
        <v>18</v>
      </c>
      <c r="AA93" s="543">
        <v>2072.3076923076933</v>
      </c>
      <c r="AB93" s="543">
        <v>115.12820512820518</v>
      </c>
      <c r="AC93" s="540">
        <f t="shared" si="80"/>
        <v>7</v>
      </c>
      <c r="AD93" s="653"/>
      <c r="AE93" s="542">
        <v>18</v>
      </c>
      <c r="AF93" s="543">
        <v>2093.0769230769179</v>
      </c>
      <c r="AG93" s="543">
        <v>116.28205128205099</v>
      </c>
      <c r="AH93" s="540">
        <f t="shared" si="82"/>
        <v>8</v>
      </c>
      <c r="AI93" s="653"/>
      <c r="AJ93" s="542"/>
      <c r="AK93" s="543"/>
      <c r="AL93" s="543"/>
      <c r="AM93" s="540"/>
      <c r="AN93" s="611"/>
      <c r="AO93" s="542"/>
      <c r="AP93" s="543"/>
      <c r="AQ93" s="543"/>
      <c r="AR93" s="540"/>
      <c r="AS93" s="611"/>
      <c r="AT93" s="540"/>
      <c r="AU93" s="541"/>
      <c r="AV93" s="541"/>
      <c r="AW93" s="540"/>
      <c r="AX93" s="611"/>
      <c r="AZ93" s="377" t="e">
        <f t="shared" si="84"/>
        <v>#N/A</v>
      </c>
      <c r="BA93" s="653"/>
    </row>
    <row r="94" spans="2:53">
      <c r="B94" s="635"/>
      <c r="C94" s="485">
        <v>8</v>
      </c>
      <c r="D94" s="223" t="s">
        <v>731</v>
      </c>
      <c r="E94" s="538">
        <v>18</v>
      </c>
      <c r="F94" s="529">
        <v>2571</v>
      </c>
      <c r="G94" s="530">
        <v>142.83333333333334</v>
      </c>
      <c r="H94" s="672"/>
      <c r="I94" s="487">
        <f t="shared" si="75"/>
        <v>17.75</v>
      </c>
      <c r="J94" s="487">
        <f t="shared" si="75"/>
        <v>2333.8392857142867</v>
      </c>
      <c r="K94" s="363">
        <f t="shared" si="75"/>
        <v>131.57650560224096</v>
      </c>
      <c r="L94" s="615"/>
      <c r="M94" s="490">
        <f>RANK(K94, K$87:$K$101)</f>
        <v>3</v>
      </c>
      <c r="N94" s="624"/>
      <c r="O94" s="624"/>
      <c r="P94" s="542">
        <v>18</v>
      </c>
      <c r="Q94" s="543">
        <v>2325.0000000000018</v>
      </c>
      <c r="R94" s="543">
        <v>129.16666666666677</v>
      </c>
      <c r="S94" s="540">
        <f t="shared" si="76"/>
        <v>4</v>
      </c>
      <c r="T94" s="653"/>
      <c r="U94" s="542">
        <v>18</v>
      </c>
      <c r="V94" s="543">
        <v>2356.0714285714266</v>
      </c>
      <c r="W94" s="543">
        <v>130.89285714285703</v>
      </c>
      <c r="X94" s="540">
        <f t="shared" si="78"/>
        <v>4</v>
      </c>
      <c r="Y94" s="653"/>
      <c r="Z94" s="542">
        <v>17</v>
      </c>
      <c r="AA94" s="543">
        <v>2348.5714285714303</v>
      </c>
      <c r="AB94" s="543">
        <v>138.15126050420179</v>
      </c>
      <c r="AC94" s="540">
        <f t="shared" si="80"/>
        <v>1</v>
      </c>
      <c r="AD94" s="653"/>
      <c r="AE94" s="542">
        <v>18</v>
      </c>
      <c r="AF94" s="543">
        <v>2305.7142857142876</v>
      </c>
      <c r="AG94" s="543">
        <v>128.09523809523819</v>
      </c>
      <c r="AH94" s="540">
        <f t="shared" si="82"/>
        <v>4</v>
      </c>
      <c r="AI94" s="653"/>
      <c r="AJ94" s="542"/>
      <c r="AK94" s="543"/>
      <c r="AL94" s="543"/>
      <c r="AM94" s="540"/>
      <c r="AN94" s="611"/>
      <c r="AO94" s="542"/>
      <c r="AP94" s="543"/>
      <c r="AQ94" s="543"/>
      <c r="AR94" s="540"/>
      <c r="AS94" s="611"/>
      <c r="AT94" s="540"/>
      <c r="AU94" s="541"/>
      <c r="AV94" s="541"/>
      <c r="AW94" s="540"/>
      <c r="AX94" s="611"/>
      <c r="AZ94" s="377" t="e">
        <f t="shared" si="84"/>
        <v>#N/A</v>
      </c>
      <c r="BA94" s="653"/>
    </row>
    <row r="95" spans="2:53">
      <c r="B95" s="635"/>
      <c r="C95" s="485">
        <v>9</v>
      </c>
      <c r="D95" s="223" t="s">
        <v>794</v>
      </c>
      <c r="E95" s="538">
        <v>19</v>
      </c>
      <c r="F95" s="529">
        <v>2400</v>
      </c>
      <c r="G95" s="530">
        <v>126.31578947368421</v>
      </c>
      <c r="H95" s="672"/>
      <c r="I95" s="487">
        <f t="shared" si="75"/>
        <v>19</v>
      </c>
      <c r="J95" s="487">
        <f t="shared" si="75"/>
        <v>2070.2406417112311</v>
      </c>
      <c r="K95" s="363">
        <f t="shared" si="75"/>
        <v>108.96003377427532</v>
      </c>
      <c r="L95" s="615"/>
      <c r="M95" s="490">
        <f>RANK(K95, K$87:$K$101)</f>
        <v>11</v>
      </c>
      <c r="N95" s="624"/>
      <c r="O95" s="624"/>
      <c r="P95" s="542">
        <v>19</v>
      </c>
      <c r="Q95" s="543">
        <v>2061.1764705882379</v>
      </c>
      <c r="R95" s="543">
        <v>108.48297213622304</v>
      </c>
      <c r="S95" s="540">
        <f t="shared" si="76"/>
        <v>10</v>
      </c>
      <c r="T95" s="653"/>
      <c r="U95" s="542">
        <v>19</v>
      </c>
      <c r="V95" s="543">
        <v>2072.7272727272748</v>
      </c>
      <c r="W95" s="543">
        <v>109.09090909090919</v>
      </c>
      <c r="X95" s="540">
        <f t="shared" si="78"/>
        <v>11</v>
      </c>
      <c r="Y95" s="653"/>
      <c r="Z95" s="542">
        <v>19</v>
      </c>
      <c r="AA95" s="543">
        <v>2077.0588235294144</v>
      </c>
      <c r="AB95" s="543">
        <v>109.31888544891655</v>
      </c>
      <c r="AC95" s="540">
        <f t="shared" si="80"/>
        <v>11</v>
      </c>
      <c r="AD95" s="653"/>
      <c r="AE95" s="542">
        <v>19</v>
      </c>
      <c r="AF95" s="543">
        <v>2069.9999999999973</v>
      </c>
      <c r="AG95" s="543">
        <v>108.94736842105249</v>
      </c>
      <c r="AH95" s="540">
        <f t="shared" si="82"/>
        <v>11</v>
      </c>
      <c r="AI95" s="653"/>
      <c r="AJ95" s="542"/>
      <c r="AK95" s="543"/>
      <c r="AL95" s="543"/>
      <c r="AM95" s="540"/>
      <c r="AN95" s="611"/>
      <c r="AO95" s="542"/>
      <c r="AP95" s="543"/>
      <c r="AQ95" s="543"/>
      <c r="AR95" s="540"/>
      <c r="AS95" s="611"/>
      <c r="AT95" s="540"/>
      <c r="AU95" s="541"/>
      <c r="AV95" s="541"/>
      <c r="AW95" s="540"/>
      <c r="AX95" s="611"/>
      <c r="AZ95" s="377" t="e">
        <f t="shared" si="84"/>
        <v>#N/A</v>
      </c>
      <c r="BA95" s="653"/>
    </row>
    <row r="96" spans="2:53">
      <c r="B96" s="635"/>
      <c r="C96" s="485">
        <v>10</v>
      </c>
      <c r="D96" s="223" t="s">
        <v>795</v>
      </c>
      <c r="E96" s="538">
        <v>21</v>
      </c>
      <c r="F96" s="529">
        <v>2400</v>
      </c>
      <c r="G96" s="530">
        <v>114.28571428571429</v>
      </c>
      <c r="H96" s="672"/>
      <c r="I96" s="487">
        <f t="shared" si="75"/>
        <v>21</v>
      </c>
      <c r="J96" s="487">
        <f t="shared" si="75"/>
        <v>2175.6986826231723</v>
      </c>
      <c r="K96" s="363">
        <f t="shared" si="75"/>
        <v>103.60469917253199</v>
      </c>
      <c r="L96" s="615"/>
      <c r="M96" s="490">
        <f>RANK(K96, K$87:$K$101)</f>
        <v>12</v>
      </c>
      <c r="N96" s="624"/>
      <c r="O96" s="624"/>
      <c r="P96" s="542">
        <v>21</v>
      </c>
      <c r="Q96" s="543">
        <v>2171.7647058823522</v>
      </c>
      <c r="R96" s="543">
        <v>103.41736694677869</v>
      </c>
      <c r="S96" s="540">
        <f t="shared" si="76"/>
        <v>12</v>
      </c>
      <c r="T96" s="653"/>
      <c r="U96" s="542">
        <v>21</v>
      </c>
      <c r="V96" s="543">
        <v>2174.716981132075</v>
      </c>
      <c r="W96" s="543">
        <v>103.55795148247977</v>
      </c>
      <c r="X96" s="540">
        <f t="shared" si="78"/>
        <v>12</v>
      </c>
      <c r="Y96" s="653"/>
      <c r="Z96" s="542">
        <v>21</v>
      </c>
      <c r="AA96" s="543">
        <v>2192.3999999999992</v>
      </c>
      <c r="AB96" s="543">
        <v>104.39999999999996</v>
      </c>
      <c r="AC96" s="540">
        <f t="shared" si="80"/>
        <v>12</v>
      </c>
      <c r="AD96" s="653"/>
      <c r="AE96" s="542">
        <v>21</v>
      </c>
      <c r="AF96" s="543">
        <v>2163.913043478261</v>
      </c>
      <c r="AG96" s="543">
        <v>103.04347826086958</v>
      </c>
      <c r="AH96" s="540">
        <f t="shared" si="82"/>
        <v>12</v>
      </c>
      <c r="AI96" s="653"/>
      <c r="AJ96" s="542"/>
      <c r="AK96" s="543"/>
      <c r="AL96" s="543"/>
      <c r="AM96" s="540"/>
      <c r="AN96" s="611"/>
      <c r="AO96" s="542"/>
      <c r="AP96" s="543"/>
      <c r="AQ96" s="543"/>
      <c r="AR96" s="540"/>
      <c r="AS96" s="611"/>
      <c r="AT96" s="540"/>
      <c r="AU96" s="541"/>
      <c r="AV96" s="541"/>
      <c r="AW96" s="540"/>
      <c r="AX96" s="611"/>
      <c r="AZ96" s="377" t="e">
        <f t="shared" si="84"/>
        <v>#N/A</v>
      </c>
      <c r="BA96" s="653"/>
    </row>
    <row r="97" spans="2:53">
      <c r="B97" s="635"/>
      <c r="C97" s="485">
        <v>11</v>
      </c>
      <c r="D97" s="223" t="s">
        <v>850</v>
      </c>
      <c r="E97" s="538">
        <v>19</v>
      </c>
      <c r="F97" s="529">
        <v>2571</v>
      </c>
      <c r="G97" s="530">
        <v>135.31578947368422</v>
      </c>
      <c r="H97" s="672"/>
      <c r="I97" s="487">
        <f t="shared" si="75"/>
        <v>19</v>
      </c>
      <c r="J97" s="487">
        <f t="shared" si="75"/>
        <v>2209.8320512820519</v>
      </c>
      <c r="K97" s="363">
        <f t="shared" si="75"/>
        <v>116.30695006747641</v>
      </c>
      <c r="L97" s="615"/>
      <c r="M97" s="490">
        <f>RANK(K97, K$87:$K$101)</f>
        <v>7</v>
      </c>
      <c r="N97" s="624"/>
      <c r="O97" s="624"/>
      <c r="P97" s="542">
        <v>19</v>
      </c>
      <c r="Q97" s="543">
        <v>2253.4615384615395</v>
      </c>
      <c r="R97" s="543">
        <v>118.60323886639681</v>
      </c>
      <c r="S97" s="540">
        <f t="shared" si="76"/>
        <v>7</v>
      </c>
      <c r="T97" s="653"/>
      <c r="U97" s="542">
        <v>19</v>
      </c>
      <c r="V97" s="543">
        <v>2220.0000000000009</v>
      </c>
      <c r="W97" s="543">
        <v>116.84210526315795</v>
      </c>
      <c r="X97" s="540">
        <f t="shared" si="78"/>
        <v>8</v>
      </c>
      <c r="Y97" s="653"/>
      <c r="Z97" s="542">
        <v>19</v>
      </c>
      <c r="AA97" s="543">
        <v>2179.2000000000003</v>
      </c>
      <c r="AB97" s="543">
        <v>114.69473684210527</v>
      </c>
      <c r="AC97" s="540">
        <f t="shared" si="80"/>
        <v>8</v>
      </c>
      <c r="AD97" s="653"/>
      <c r="AE97" s="542">
        <v>19</v>
      </c>
      <c r="AF97" s="543">
        <v>2186.6666666666665</v>
      </c>
      <c r="AG97" s="543">
        <v>115.0877192982456</v>
      </c>
      <c r="AH97" s="540">
        <f t="shared" si="82"/>
        <v>9</v>
      </c>
      <c r="AI97" s="653"/>
      <c r="AJ97" s="542"/>
      <c r="AK97" s="543"/>
      <c r="AL97" s="543"/>
      <c r="AM97" s="540"/>
      <c r="AN97" s="611"/>
      <c r="AO97" s="542"/>
      <c r="AP97" s="543"/>
      <c r="AQ97" s="543"/>
      <c r="AR97" s="540"/>
      <c r="AS97" s="611"/>
      <c r="AT97" s="540"/>
      <c r="AU97" s="541"/>
      <c r="AV97" s="541"/>
      <c r="AW97" s="540"/>
      <c r="AX97" s="611"/>
      <c r="AZ97" s="377" t="e">
        <f t="shared" si="84"/>
        <v>#N/A</v>
      </c>
      <c r="BA97" s="653"/>
    </row>
    <row r="98" spans="2:53">
      <c r="B98" s="635"/>
      <c r="C98" s="485">
        <v>12</v>
      </c>
      <c r="D98" s="223" t="s">
        <v>851</v>
      </c>
      <c r="E98" s="538">
        <v>17</v>
      </c>
      <c r="F98" s="529">
        <v>2571</v>
      </c>
      <c r="G98" s="530">
        <v>151.23529411764707</v>
      </c>
      <c r="H98" s="672"/>
      <c r="I98" s="487">
        <f t="shared" si="75"/>
        <v>18</v>
      </c>
      <c r="J98" s="487">
        <f t="shared" si="75"/>
        <v>2268.1964285714284</v>
      </c>
      <c r="K98" s="363">
        <f t="shared" si="75"/>
        <v>126.01091269841268</v>
      </c>
      <c r="L98" s="615"/>
      <c r="M98" s="490">
        <f>RANK(K98, K$87:$K$101)</f>
        <v>5</v>
      </c>
      <c r="N98" s="624"/>
      <c r="O98" s="624"/>
      <c r="P98" s="542">
        <v>18</v>
      </c>
      <c r="Q98" s="543">
        <v>2308.4999999999991</v>
      </c>
      <c r="R98" s="543">
        <v>128.24999999999994</v>
      </c>
      <c r="S98" s="540">
        <f t="shared" si="76"/>
        <v>5</v>
      </c>
      <c r="T98" s="653"/>
      <c r="U98" s="542">
        <v>18</v>
      </c>
      <c r="V98" s="543">
        <v>2296.6666666666652</v>
      </c>
      <c r="W98" s="543">
        <v>127.59259259259251</v>
      </c>
      <c r="X98" s="540">
        <f t="shared" si="78"/>
        <v>5</v>
      </c>
      <c r="Y98" s="653"/>
      <c r="Z98" s="542">
        <v>18</v>
      </c>
      <c r="AA98" s="543">
        <v>2277.1428571428564</v>
      </c>
      <c r="AB98" s="543">
        <v>126.50793650793646</v>
      </c>
      <c r="AC98" s="540">
        <f t="shared" si="80"/>
        <v>4</v>
      </c>
      <c r="AD98" s="653"/>
      <c r="AE98" s="542">
        <v>18</v>
      </c>
      <c r="AF98" s="543">
        <v>2190.4761904761926</v>
      </c>
      <c r="AG98" s="543">
        <v>121.69312169312181</v>
      </c>
      <c r="AH98" s="540">
        <f t="shared" si="82"/>
        <v>6</v>
      </c>
      <c r="AI98" s="653"/>
      <c r="AJ98" s="542"/>
      <c r="AK98" s="543"/>
      <c r="AL98" s="543"/>
      <c r="AM98" s="540"/>
      <c r="AN98" s="611"/>
      <c r="AO98" s="542"/>
      <c r="AP98" s="543"/>
      <c r="AQ98" s="543"/>
      <c r="AR98" s="540"/>
      <c r="AS98" s="611"/>
      <c r="AT98" s="540"/>
      <c r="AU98" s="541"/>
      <c r="AV98" s="541"/>
      <c r="AW98" s="540"/>
      <c r="AX98" s="611"/>
      <c r="AZ98" s="377" t="e">
        <f t="shared" si="84"/>
        <v>#N/A</v>
      </c>
      <c r="BA98" s="653"/>
    </row>
    <row r="99" spans="2:53">
      <c r="B99" s="635"/>
      <c r="C99" s="485">
        <v>13</v>
      </c>
      <c r="D99" s="223"/>
      <c r="E99" s="538"/>
      <c r="F99" s="529"/>
      <c r="G99" s="530"/>
      <c r="H99" s="672"/>
      <c r="I99" s="487" t="str">
        <f t="shared" si="75"/>
        <v>-</v>
      </c>
      <c r="J99" s="487" t="str">
        <f t="shared" si="75"/>
        <v>-</v>
      </c>
      <c r="K99" s="363" t="str">
        <f t="shared" si="75"/>
        <v>-</v>
      </c>
      <c r="L99" s="615"/>
      <c r="M99" s="490" t="e">
        <f>RANK(K99, K$87:$K$101)</f>
        <v>#VALUE!</v>
      </c>
      <c r="N99" s="624"/>
      <c r="O99" s="624"/>
      <c r="P99" s="542" t="s">
        <v>427</v>
      </c>
      <c r="Q99" s="543" t="s">
        <v>427</v>
      </c>
      <c r="R99" s="543" t="s">
        <v>427</v>
      </c>
      <c r="S99" s="540" t="e">
        <f t="shared" si="76"/>
        <v>#VALUE!</v>
      </c>
      <c r="T99" s="653"/>
      <c r="U99" s="542" t="s">
        <v>427</v>
      </c>
      <c r="V99" s="543" t="s">
        <v>427</v>
      </c>
      <c r="W99" s="543" t="s">
        <v>427</v>
      </c>
      <c r="X99" s="540" t="e">
        <f t="shared" si="78"/>
        <v>#VALUE!</v>
      </c>
      <c r="Y99" s="653"/>
      <c r="Z99" s="542" t="s">
        <v>427</v>
      </c>
      <c r="AA99" s="543" t="s">
        <v>427</v>
      </c>
      <c r="AB99" s="543" t="s">
        <v>427</v>
      </c>
      <c r="AC99" s="540" t="e">
        <f t="shared" si="80"/>
        <v>#VALUE!</v>
      </c>
      <c r="AD99" s="653"/>
      <c r="AE99" s="542" t="s">
        <v>427</v>
      </c>
      <c r="AF99" s="543" t="s">
        <v>427</v>
      </c>
      <c r="AG99" s="543" t="s">
        <v>427</v>
      </c>
      <c r="AH99" s="540" t="e">
        <f t="shared" si="82"/>
        <v>#VALUE!</v>
      </c>
      <c r="AI99" s="653"/>
      <c r="AJ99" s="542"/>
      <c r="AK99" s="543"/>
      <c r="AL99" s="543"/>
      <c r="AM99" s="540"/>
      <c r="AN99" s="611"/>
      <c r="AO99" s="542"/>
      <c r="AP99" s="543"/>
      <c r="AQ99" s="543"/>
      <c r="AR99" s="540"/>
      <c r="AS99" s="611"/>
      <c r="AT99" s="540"/>
      <c r="AU99" s="541"/>
      <c r="AV99" s="541"/>
      <c r="AW99" s="540"/>
      <c r="AX99" s="611"/>
      <c r="AZ99" s="377" t="e">
        <f t="shared" si="84"/>
        <v>#N/A</v>
      </c>
      <c r="BA99" s="653"/>
    </row>
    <row r="100" spans="2:53">
      <c r="B100" s="635"/>
      <c r="C100" s="485">
        <v>14</v>
      </c>
      <c r="D100" s="223"/>
      <c r="E100" s="538"/>
      <c r="F100" s="529"/>
      <c r="G100" s="530"/>
      <c r="H100" s="672"/>
      <c r="I100" s="487" t="str">
        <f t="shared" si="75"/>
        <v>-</v>
      </c>
      <c r="J100" s="487" t="str">
        <f t="shared" si="75"/>
        <v>-</v>
      </c>
      <c r="K100" s="363" t="str">
        <f t="shared" si="75"/>
        <v>-</v>
      </c>
      <c r="L100" s="615"/>
      <c r="M100" s="490" t="e">
        <f>RANK(K100, K$87:$K$101)</f>
        <v>#VALUE!</v>
      </c>
      <c r="N100" s="624"/>
      <c r="O100" s="624"/>
      <c r="P100" s="542" t="s">
        <v>427</v>
      </c>
      <c r="Q100" s="543" t="s">
        <v>427</v>
      </c>
      <c r="R100" s="543" t="s">
        <v>427</v>
      </c>
      <c r="S100" s="540" t="e">
        <f t="shared" si="76"/>
        <v>#VALUE!</v>
      </c>
      <c r="T100" s="653"/>
      <c r="U100" s="542" t="s">
        <v>427</v>
      </c>
      <c r="V100" s="543" t="s">
        <v>427</v>
      </c>
      <c r="W100" s="543" t="s">
        <v>427</v>
      </c>
      <c r="X100" s="540" t="e">
        <f t="shared" si="78"/>
        <v>#VALUE!</v>
      </c>
      <c r="Y100" s="653"/>
      <c r="Z100" s="542" t="s">
        <v>427</v>
      </c>
      <c r="AA100" s="543" t="s">
        <v>427</v>
      </c>
      <c r="AB100" s="543" t="s">
        <v>427</v>
      </c>
      <c r="AC100" s="540" t="e">
        <f t="shared" si="80"/>
        <v>#VALUE!</v>
      </c>
      <c r="AD100" s="653"/>
      <c r="AE100" s="542" t="s">
        <v>427</v>
      </c>
      <c r="AF100" s="543" t="s">
        <v>427</v>
      </c>
      <c r="AG100" s="543" t="s">
        <v>427</v>
      </c>
      <c r="AH100" s="540" t="e">
        <f t="shared" si="82"/>
        <v>#VALUE!</v>
      </c>
      <c r="AI100" s="653"/>
      <c r="AJ100" s="542"/>
      <c r="AK100" s="543"/>
      <c r="AL100" s="543"/>
      <c r="AM100" s="540"/>
      <c r="AN100" s="611"/>
      <c r="AO100" s="542"/>
      <c r="AP100" s="543"/>
      <c r="AQ100" s="543"/>
      <c r="AR100" s="540"/>
      <c r="AS100" s="611"/>
      <c r="AT100" s="540"/>
      <c r="AU100" s="541"/>
      <c r="AV100" s="541"/>
      <c r="AW100" s="540"/>
      <c r="AX100" s="611"/>
      <c r="AZ100" s="377" t="e">
        <f t="shared" si="84"/>
        <v>#N/A</v>
      </c>
      <c r="BA100" s="653"/>
    </row>
    <row r="101" spans="2:53">
      <c r="B101" s="635"/>
      <c r="C101" s="485">
        <v>15</v>
      </c>
      <c r="D101" s="223"/>
      <c r="E101" s="538"/>
      <c r="F101" s="529"/>
      <c r="G101" s="530"/>
      <c r="H101" s="676"/>
      <c r="I101" s="485"/>
      <c r="J101" s="485"/>
      <c r="K101" s="485"/>
      <c r="L101" s="616"/>
      <c r="M101" s="490" t="e">
        <f>RANK(K101, K$87:$K$101)</f>
        <v>#N/A</v>
      </c>
      <c r="N101" s="624"/>
      <c r="O101" s="624"/>
      <c r="P101" s="542" t="s">
        <v>427</v>
      </c>
      <c r="Q101" s="543" t="s">
        <v>427</v>
      </c>
      <c r="R101" s="543" t="s">
        <v>427</v>
      </c>
      <c r="S101" s="540" t="e">
        <f t="shared" si="76"/>
        <v>#VALUE!</v>
      </c>
      <c r="T101" s="653"/>
      <c r="U101" s="542" t="s">
        <v>427</v>
      </c>
      <c r="V101" s="543" t="s">
        <v>427</v>
      </c>
      <c r="W101" s="543" t="s">
        <v>427</v>
      </c>
      <c r="X101" s="540" t="e">
        <f t="shared" si="78"/>
        <v>#VALUE!</v>
      </c>
      <c r="Y101" s="653"/>
      <c r="Z101" s="542" t="s">
        <v>427</v>
      </c>
      <c r="AA101" s="543" t="s">
        <v>427</v>
      </c>
      <c r="AB101" s="543" t="s">
        <v>427</v>
      </c>
      <c r="AC101" s="540" t="e">
        <f t="shared" si="80"/>
        <v>#VALUE!</v>
      </c>
      <c r="AD101" s="653"/>
      <c r="AE101" s="542" t="s">
        <v>427</v>
      </c>
      <c r="AF101" s="543" t="s">
        <v>427</v>
      </c>
      <c r="AG101" s="543" t="s">
        <v>427</v>
      </c>
      <c r="AH101" s="540" t="e">
        <f t="shared" si="82"/>
        <v>#VALUE!</v>
      </c>
      <c r="AI101" s="653"/>
      <c r="AJ101" s="542"/>
      <c r="AK101" s="543"/>
      <c r="AL101" s="543"/>
      <c r="AM101" s="540"/>
      <c r="AN101" s="612"/>
      <c r="AO101" s="542"/>
      <c r="AP101" s="543"/>
      <c r="AQ101" s="543"/>
      <c r="AR101" s="540"/>
      <c r="AS101" s="612"/>
      <c r="AT101" s="540"/>
      <c r="AU101" s="541"/>
      <c r="AV101" s="541"/>
      <c r="AW101" s="540"/>
      <c r="AX101" s="612"/>
      <c r="AZ101" s="377" t="e">
        <f t="shared" si="84"/>
        <v>#N/A</v>
      </c>
      <c r="BA101" s="653"/>
    </row>
    <row r="102" spans="2:53" ht="15.75">
      <c r="B102" s="643" t="s">
        <v>496</v>
      </c>
      <c r="C102" s="644"/>
      <c r="D102" s="644"/>
      <c r="E102" s="644"/>
      <c r="F102" s="644"/>
      <c r="G102" s="644"/>
      <c r="H102" s="645"/>
      <c r="I102" s="205"/>
      <c r="J102" s="205"/>
      <c r="K102" s="205"/>
      <c r="L102" s="205"/>
      <c r="M102" s="204"/>
      <c r="N102" s="639" t="s">
        <v>497</v>
      </c>
      <c r="O102" s="639" t="s">
        <v>498</v>
      </c>
      <c r="P102" s="634"/>
      <c r="Q102" s="635"/>
      <c r="R102" s="635"/>
      <c r="S102" s="635"/>
      <c r="T102" s="635"/>
      <c r="U102" s="636"/>
      <c r="V102" s="637"/>
      <c r="W102" s="637"/>
      <c r="X102" s="637"/>
      <c r="Y102" s="638"/>
      <c r="Z102" s="636"/>
      <c r="AA102" s="637"/>
      <c r="AB102" s="637"/>
      <c r="AC102" s="637"/>
      <c r="AD102" s="638"/>
      <c r="AE102" s="636"/>
      <c r="AF102" s="637"/>
      <c r="AG102" s="637"/>
      <c r="AH102" s="637"/>
      <c r="AI102" s="638"/>
      <c r="AJ102" s="636"/>
      <c r="AK102" s="637"/>
      <c r="AL102" s="637"/>
      <c r="AM102" s="637"/>
      <c r="AN102" s="638"/>
      <c r="AO102" s="636"/>
      <c r="AP102" s="637"/>
      <c r="AQ102" s="637"/>
      <c r="AR102" s="637"/>
      <c r="AS102" s="638"/>
      <c r="AT102" s="636"/>
      <c r="AU102" s="637"/>
      <c r="AV102" s="637"/>
      <c r="AW102" s="637"/>
      <c r="AX102" s="638"/>
    </row>
    <row r="103" spans="2:53" ht="15.75">
      <c r="B103" s="646"/>
      <c r="C103" s="646"/>
      <c r="D103" s="646"/>
      <c r="E103" s="646"/>
      <c r="F103" s="646"/>
      <c r="G103" s="646"/>
      <c r="H103" s="646"/>
      <c r="I103" s="202"/>
      <c r="J103" s="202"/>
      <c r="K103" s="202"/>
      <c r="L103" s="202"/>
      <c r="M103" s="203"/>
      <c r="N103" s="641"/>
      <c r="O103" s="641"/>
      <c r="P103" s="634" t="s">
        <v>499</v>
      </c>
      <c r="Q103" s="635"/>
      <c r="R103" s="635"/>
      <c r="S103" s="635"/>
      <c r="T103" s="635"/>
      <c r="U103" s="634" t="s">
        <v>500</v>
      </c>
      <c r="V103" s="635"/>
      <c r="W103" s="635"/>
      <c r="X103" s="635"/>
      <c r="Y103" s="635"/>
      <c r="Z103" s="634" t="s">
        <v>501</v>
      </c>
      <c r="AA103" s="635"/>
      <c r="AB103" s="635"/>
      <c r="AC103" s="635"/>
      <c r="AD103" s="635"/>
      <c r="AE103" s="634" t="s">
        <v>502</v>
      </c>
      <c r="AF103" s="635"/>
      <c r="AG103" s="635"/>
      <c r="AH103" s="635"/>
      <c r="AI103" s="635"/>
      <c r="AJ103" s="634" t="s">
        <v>503</v>
      </c>
      <c r="AK103" s="635"/>
      <c r="AL103" s="635"/>
      <c r="AM103" s="635"/>
      <c r="AN103" s="635"/>
      <c r="AO103" s="634" t="s">
        <v>504</v>
      </c>
      <c r="AP103" s="635"/>
      <c r="AQ103" s="635"/>
      <c r="AR103" s="635"/>
      <c r="AS103" s="635"/>
      <c r="AT103" s="634" t="s">
        <v>505</v>
      </c>
      <c r="AU103" s="635"/>
      <c r="AV103" s="635"/>
      <c r="AW103" s="635"/>
      <c r="AX103" s="635"/>
    </row>
    <row r="104" spans="2:53">
      <c r="B104" s="624" t="s">
        <v>463</v>
      </c>
      <c r="C104" s="624" t="s">
        <v>464</v>
      </c>
      <c r="D104" s="624"/>
      <c r="E104" s="624" t="s">
        <v>465</v>
      </c>
      <c r="F104" s="624"/>
      <c r="G104" s="624"/>
      <c r="H104" s="647" t="s">
        <v>466</v>
      </c>
      <c r="I104" s="624" t="s">
        <v>467</v>
      </c>
      <c r="J104" s="624"/>
      <c r="K104" s="624"/>
      <c r="L104" s="647" t="s">
        <v>466</v>
      </c>
      <c r="M104" s="639" t="s">
        <v>468</v>
      </c>
      <c r="N104" s="624"/>
      <c r="O104" s="624" t="s">
        <v>512</v>
      </c>
      <c r="P104" s="621" t="s">
        <v>513</v>
      </c>
      <c r="Q104" s="622"/>
      <c r="R104" s="622"/>
      <c r="S104" s="623"/>
      <c r="T104" s="624" t="s">
        <v>509</v>
      </c>
      <c r="U104" s="621" t="s">
        <v>513</v>
      </c>
      <c r="V104" s="622"/>
      <c r="W104" s="622"/>
      <c r="X104" s="623"/>
      <c r="Y104" s="624" t="s">
        <v>509</v>
      </c>
      <c r="Z104" s="621" t="s">
        <v>513</v>
      </c>
      <c r="AA104" s="622"/>
      <c r="AB104" s="622"/>
      <c r="AC104" s="623"/>
      <c r="AD104" s="624" t="s">
        <v>509</v>
      </c>
      <c r="AE104" s="621" t="s">
        <v>513</v>
      </c>
      <c r="AF104" s="622"/>
      <c r="AG104" s="622"/>
      <c r="AH104" s="623"/>
      <c r="AI104" s="624" t="s">
        <v>509</v>
      </c>
      <c r="AJ104" s="621" t="s">
        <v>513</v>
      </c>
      <c r="AK104" s="622"/>
      <c r="AL104" s="622"/>
      <c r="AM104" s="623"/>
      <c r="AN104" s="624" t="s">
        <v>509</v>
      </c>
      <c r="AO104" s="621" t="s">
        <v>513</v>
      </c>
      <c r="AP104" s="622"/>
      <c r="AQ104" s="622"/>
      <c r="AR104" s="623"/>
      <c r="AS104" s="624" t="s">
        <v>509</v>
      </c>
      <c r="AT104" s="621" t="s">
        <v>513</v>
      </c>
      <c r="AU104" s="622"/>
      <c r="AV104" s="622"/>
      <c r="AW104" s="623"/>
      <c r="AX104" s="624" t="s">
        <v>509</v>
      </c>
    </row>
    <row r="105" spans="2:53">
      <c r="B105" s="624"/>
      <c r="C105" s="624"/>
      <c r="D105" s="624"/>
      <c r="E105" s="624" t="s">
        <v>470</v>
      </c>
      <c r="F105" s="624"/>
      <c r="G105" s="624"/>
      <c r="H105" s="648"/>
      <c r="I105" s="624" t="s">
        <v>470</v>
      </c>
      <c r="J105" s="624"/>
      <c r="K105" s="624"/>
      <c r="L105" s="648"/>
      <c r="M105" s="640"/>
      <c r="N105" s="624"/>
      <c r="O105" s="624"/>
      <c r="P105" s="621" t="s">
        <v>515</v>
      </c>
      <c r="Q105" s="622"/>
      <c r="R105" s="622"/>
      <c r="S105" s="623"/>
      <c r="T105" s="624"/>
      <c r="U105" s="621" t="s">
        <v>515</v>
      </c>
      <c r="V105" s="622"/>
      <c r="W105" s="622"/>
      <c r="X105" s="623"/>
      <c r="Y105" s="624"/>
      <c r="Z105" s="621" t="s">
        <v>515</v>
      </c>
      <c r="AA105" s="622"/>
      <c r="AB105" s="622"/>
      <c r="AC105" s="623"/>
      <c r="AD105" s="624"/>
      <c r="AE105" s="621" t="s">
        <v>515</v>
      </c>
      <c r="AF105" s="622"/>
      <c r="AG105" s="622"/>
      <c r="AH105" s="623"/>
      <c r="AI105" s="624"/>
      <c r="AJ105" s="621" t="s">
        <v>515</v>
      </c>
      <c r="AK105" s="622"/>
      <c r="AL105" s="622"/>
      <c r="AM105" s="623"/>
      <c r="AN105" s="624"/>
      <c r="AO105" s="621" t="s">
        <v>515</v>
      </c>
      <c r="AP105" s="622"/>
      <c r="AQ105" s="622"/>
      <c r="AR105" s="623"/>
      <c r="AS105" s="624"/>
      <c r="AT105" s="621" t="s">
        <v>515</v>
      </c>
      <c r="AU105" s="622"/>
      <c r="AV105" s="622"/>
      <c r="AW105" s="623"/>
      <c r="AX105" s="624"/>
    </row>
    <row r="106" spans="2:53">
      <c r="B106" s="624"/>
      <c r="C106" s="624"/>
      <c r="D106" s="624"/>
      <c r="E106" s="353" t="s">
        <v>471</v>
      </c>
      <c r="F106" s="353" t="s">
        <v>472</v>
      </c>
      <c r="G106" s="353" t="s">
        <v>473</v>
      </c>
      <c r="H106" s="649"/>
      <c r="I106" s="353" t="s">
        <v>471</v>
      </c>
      <c r="J106" s="353" t="s">
        <v>472</v>
      </c>
      <c r="K106" s="353" t="s">
        <v>473</v>
      </c>
      <c r="L106" s="649"/>
      <c r="M106" s="641"/>
      <c r="N106" s="624"/>
      <c r="O106" s="624"/>
      <c r="P106" s="353" t="s">
        <v>516</v>
      </c>
      <c r="Q106" s="353" t="s">
        <v>517</v>
      </c>
      <c r="R106" s="353" t="s">
        <v>518</v>
      </c>
      <c r="S106" s="353" t="s">
        <v>511</v>
      </c>
      <c r="T106" s="624"/>
      <c r="U106" s="353" t="s">
        <v>516</v>
      </c>
      <c r="V106" s="353" t="s">
        <v>517</v>
      </c>
      <c r="W106" s="353" t="s">
        <v>518</v>
      </c>
      <c r="X106" s="353" t="s">
        <v>511</v>
      </c>
      <c r="Y106" s="624"/>
      <c r="Z106" s="353" t="s">
        <v>516</v>
      </c>
      <c r="AA106" s="353" t="s">
        <v>517</v>
      </c>
      <c r="AB106" s="353" t="s">
        <v>518</v>
      </c>
      <c r="AC106" s="353" t="s">
        <v>511</v>
      </c>
      <c r="AD106" s="624"/>
      <c r="AE106" s="353" t="s">
        <v>516</v>
      </c>
      <c r="AF106" s="353" t="s">
        <v>517</v>
      </c>
      <c r="AG106" s="353" t="s">
        <v>518</v>
      </c>
      <c r="AH106" s="353" t="s">
        <v>511</v>
      </c>
      <c r="AI106" s="624"/>
      <c r="AJ106" s="353" t="s">
        <v>516</v>
      </c>
      <c r="AK106" s="353" t="s">
        <v>517</v>
      </c>
      <c r="AL106" s="353" t="s">
        <v>518</v>
      </c>
      <c r="AM106" s="353" t="s">
        <v>511</v>
      </c>
      <c r="AN106" s="624"/>
      <c r="AO106" s="353" t="s">
        <v>516</v>
      </c>
      <c r="AP106" s="353" t="s">
        <v>517</v>
      </c>
      <c r="AQ106" s="353" t="s">
        <v>518</v>
      </c>
      <c r="AR106" s="353" t="s">
        <v>511</v>
      </c>
      <c r="AS106" s="624"/>
      <c r="AT106" s="353" t="s">
        <v>516</v>
      </c>
      <c r="AU106" s="353" t="s">
        <v>517</v>
      </c>
      <c r="AV106" s="353" t="s">
        <v>518</v>
      </c>
      <c r="AW106" s="353" t="s">
        <v>511</v>
      </c>
      <c r="AX106" s="624"/>
    </row>
    <row r="107" spans="2:53">
      <c r="B107" s="624" t="s">
        <v>136</v>
      </c>
      <c r="C107" s="359">
        <v>1</v>
      </c>
      <c r="D107" s="223"/>
      <c r="E107" s="182"/>
      <c r="F107" s="354"/>
      <c r="G107" s="362"/>
      <c r="H107" s="691" t="e">
        <f>AVERAGE(G107:G121)</f>
        <v>#DIV/0!</v>
      </c>
      <c r="I107" s="379" t="str">
        <f t="shared" ref="I107:K121" si="86">IFERROR(AVERAGE(P107,U107,Z107,AE107,AJ107,AO107,AT107),"-")</f>
        <v>-</v>
      </c>
      <c r="J107" s="379" t="str">
        <f t="shared" si="86"/>
        <v>-</v>
      </c>
      <c r="K107" s="363" t="str">
        <f t="shared" si="86"/>
        <v>-</v>
      </c>
      <c r="L107" s="614" t="str">
        <f>IFERROR(AVERAGE(K107:K121),"-")</f>
        <v>-</v>
      </c>
      <c r="M107" s="366" t="e">
        <f>RANK(K107, K$67:$K$81)</f>
        <v>#VALUE!</v>
      </c>
      <c r="N107" s="624"/>
      <c r="O107" s="624"/>
      <c r="P107" s="414"/>
      <c r="Q107" s="415"/>
      <c r="R107" s="415"/>
      <c r="S107" s="497"/>
      <c r="T107" s="677"/>
      <c r="U107" s="359"/>
      <c r="V107" s="366"/>
      <c r="W107" s="366"/>
      <c r="X107" s="359"/>
      <c r="Y107" s="674"/>
      <c r="Z107" s="359"/>
      <c r="AA107" s="366"/>
      <c r="AB107" s="366"/>
      <c r="AC107" s="359"/>
      <c r="AD107" s="674"/>
      <c r="AE107" s="359"/>
      <c r="AF107" s="366"/>
      <c r="AG107" s="366"/>
      <c r="AH107" s="359"/>
      <c r="AI107" s="674"/>
      <c r="AJ107" s="359"/>
      <c r="AK107" s="366"/>
      <c r="AL107" s="366"/>
      <c r="AM107" s="359"/>
      <c r="AN107" s="674"/>
      <c r="AO107" s="359"/>
      <c r="AP107" s="366"/>
      <c r="AQ107" s="366"/>
      <c r="AR107" s="359"/>
      <c r="AS107" s="674"/>
      <c r="AT107" s="182"/>
      <c r="AU107" s="362"/>
      <c r="AV107" s="362"/>
      <c r="AW107" s="359"/>
      <c r="AX107" s="674"/>
      <c r="AZ107" s="497" t="e">
        <f>RANK(AY107, AY$107:AY$121)</f>
        <v>#N/A</v>
      </c>
      <c r="BA107" s="677" t="e">
        <f>AVERAGE(AY107:AY121)</f>
        <v>#DIV/0!</v>
      </c>
    </row>
    <row r="108" spans="2:53">
      <c r="B108" s="661"/>
      <c r="C108" s="359">
        <v>2</v>
      </c>
      <c r="D108" s="223"/>
      <c r="E108" s="182"/>
      <c r="F108" s="354"/>
      <c r="G108" s="362"/>
      <c r="H108" s="692"/>
      <c r="I108" s="379" t="str">
        <f t="shared" si="86"/>
        <v>-</v>
      </c>
      <c r="J108" s="379" t="str">
        <f t="shared" si="86"/>
        <v>-</v>
      </c>
      <c r="K108" s="363" t="str">
        <f t="shared" si="86"/>
        <v>-</v>
      </c>
      <c r="L108" s="615"/>
      <c r="M108" s="366" t="e">
        <f>RANK(K108, K$67:$K$81)</f>
        <v>#VALUE!</v>
      </c>
      <c r="N108" s="624"/>
      <c r="O108" s="624"/>
      <c r="P108" s="414"/>
      <c r="Q108" s="415"/>
      <c r="R108" s="415"/>
      <c r="S108" s="497"/>
      <c r="T108" s="678"/>
      <c r="U108" s="359"/>
      <c r="V108" s="366"/>
      <c r="W108" s="366"/>
      <c r="X108" s="359"/>
      <c r="Y108" s="674"/>
      <c r="Z108" s="359"/>
      <c r="AA108" s="366"/>
      <c r="AB108" s="366"/>
      <c r="AC108" s="359"/>
      <c r="AD108" s="674"/>
      <c r="AE108" s="359"/>
      <c r="AF108" s="366"/>
      <c r="AG108" s="366"/>
      <c r="AH108" s="359"/>
      <c r="AI108" s="674"/>
      <c r="AJ108" s="359"/>
      <c r="AK108" s="366"/>
      <c r="AL108" s="366"/>
      <c r="AM108" s="359"/>
      <c r="AN108" s="674"/>
      <c r="AO108" s="359"/>
      <c r="AP108" s="366"/>
      <c r="AQ108" s="366"/>
      <c r="AR108" s="359"/>
      <c r="AS108" s="674"/>
      <c r="AT108" s="354"/>
      <c r="AU108" s="362"/>
      <c r="AV108" s="362"/>
      <c r="AW108" s="359"/>
      <c r="AX108" s="674"/>
      <c r="AZ108" s="497" t="e">
        <f t="shared" ref="AZ108:AZ121" si="87">RANK(AY108, AY$107:AY$121)</f>
        <v>#N/A</v>
      </c>
      <c r="BA108" s="678"/>
    </row>
    <row r="109" spans="2:53">
      <c r="B109" s="661"/>
      <c r="C109" s="359">
        <v>3</v>
      </c>
      <c r="D109" s="223"/>
      <c r="E109" s="182"/>
      <c r="F109" s="354"/>
      <c r="G109" s="362"/>
      <c r="H109" s="692"/>
      <c r="I109" s="379" t="str">
        <f t="shared" si="86"/>
        <v>-</v>
      </c>
      <c r="J109" s="379" t="str">
        <f t="shared" si="86"/>
        <v>-</v>
      </c>
      <c r="K109" s="363" t="str">
        <f t="shared" si="86"/>
        <v>-</v>
      </c>
      <c r="L109" s="615"/>
      <c r="M109" s="366" t="e">
        <f>RANK(K109, K$67:$K$81)</f>
        <v>#VALUE!</v>
      </c>
      <c r="N109" s="624"/>
      <c r="O109" s="624"/>
      <c r="P109" s="414"/>
      <c r="Q109" s="415"/>
      <c r="R109" s="415"/>
      <c r="S109" s="497"/>
      <c r="T109" s="678"/>
      <c r="U109" s="359"/>
      <c r="V109" s="366"/>
      <c r="W109" s="366"/>
      <c r="X109" s="359"/>
      <c r="Y109" s="674"/>
      <c r="Z109" s="359"/>
      <c r="AA109" s="366"/>
      <c r="AB109" s="366"/>
      <c r="AC109" s="359"/>
      <c r="AD109" s="674"/>
      <c r="AE109" s="359"/>
      <c r="AF109" s="366"/>
      <c r="AG109" s="366"/>
      <c r="AH109" s="359"/>
      <c r="AI109" s="674"/>
      <c r="AJ109" s="359"/>
      <c r="AK109" s="366"/>
      <c r="AL109" s="366"/>
      <c r="AM109" s="359"/>
      <c r="AN109" s="674"/>
      <c r="AO109" s="359"/>
      <c r="AP109" s="366"/>
      <c r="AQ109" s="366"/>
      <c r="AR109" s="359"/>
      <c r="AS109" s="674"/>
      <c r="AT109" s="354"/>
      <c r="AU109" s="362"/>
      <c r="AV109" s="362"/>
      <c r="AW109" s="359"/>
      <c r="AX109" s="674"/>
      <c r="AZ109" s="497" t="e">
        <f t="shared" si="87"/>
        <v>#N/A</v>
      </c>
      <c r="BA109" s="678"/>
    </row>
    <row r="110" spans="2:53">
      <c r="B110" s="661"/>
      <c r="C110" s="359">
        <v>4</v>
      </c>
      <c r="D110" s="223"/>
      <c r="E110" s="182"/>
      <c r="F110" s="354"/>
      <c r="G110" s="362"/>
      <c r="H110" s="692"/>
      <c r="I110" s="379" t="str">
        <f t="shared" si="86"/>
        <v>-</v>
      </c>
      <c r="J110" s="379" t="str">
        <f t="shared" si="86"/>
        <v>-</v>
      </c>
      <c r="K110" s="363" t="str">
        <f t="shared" si="86"/>
        <v>-</v>
      </c>
      <c r="L110" s="615"/>
      <c r="M110" s="366" t="e">
        <f>RANK(K110, K$67:$K$81)</f>
        <v>#VALUE!</v>
      </c>
      <c r="N110" s="624"/>
      <c r="O110" s="624"/>
      <c r="P110" s="414"/>
      <c r="Q110" s="415"/>
      <c r="R110" s="415"/>
      <c r="S110" s="497"/>
      <c r="T110" s="678"/>
      <c r="U110" s="359"/>
      <c r="V110" s="366"/>
      <c r="W110" s="366"/>
      <c r="X110" s="359"/>
      <c r="Y110" s="674"/>
      <c r="Z110" s="359"/>
      <c r="AA110" s="366"/>
      <c r="AB110" s="366"/>
      <c r="AC110" s="359"/>
      <c r="AD110" s="674"/>
      <c r="AE110" s="359"/>
      <c r="AF110" s="366"/>
      <c r="AG110" s="366"/>
      <c r="AH110" s="359"/>
      <c r="AI110" s="674"/>
      <c r="AJ110" s="359"/>
      <c r="AK110" s="366"/>
      <c r="AL110" s="366"/>
      <c r="AM110" s="359"/>
      <c r="AN110" s="674"/>
      <c r="AO110" s="359"/>
      <c r="AP110" s="366"/>
      <c r="AQ110" s="366"/>
      <c r="AR110" s="359"/>
      <c r="AS110" s="674"/>
      <c r="AT110" s="354"/>
      <c r="AU110" s="362"/>
      <c r="AV110" s="362"/>
      <c r="AW110" s="359"/>
      <c r="AX110" s="674"/>
      <c r="AZ110" s="497" t="e">
        <f t="shared" si="87"/>
        <v>#N/A</v>
      </c>
      <c r="BA110" s="678"/>
    </row>
    <row r="111" spans="2:53">
      <c r="B111" s="661"/>
      <c r="C111" s="359">
        <v>5</v>
      </c>
      <c r="D111" s="223"/>
      <c r="E111" s="182"/>
      <c r="F111" s="354"/>
      <c r="G111" s="362"/>
      <c r="H111" s="692"/>
      <c r="I111" s="379" t="str">
        <f t="shared" si="86"/>
        <v>-</v>
      </c>
      <c r="J111" s="379" t="str">
        <f t="shared" si="86"/>
        <v>-</v>
      </c>
      <c r="K111" s="363" t="str">
        <f t="shared" si="86"/>
        <v>-</v>
      </c>
      <c r="L111" s="615"/>
      <c r="M111" s="366" t="e">
        <f>RANK(K111, K$67:$K$81)</f>
        <v>#VALUE!</v>
      </c>
      <c r="N111" s="624"/>
      <c r="O111" s="624"/>
      <c r="P111" s="414"/>
      <c r="Q111" s="415"/>
      <c r="R111" s="415"/>
      <c r="S111" s="497"/>
      <c r="T111" s="678"/>
      <c r="U111" s="359"/>
      <c r="V111" s="366"/>
      <c r="W111" s="366"/>
      <c r="X111" s="359"/>
      <c r="Y111" s="674"/>
      <c r="Z111" s="359"/>
      <c r="AA111" s="366"/>
      <c r="AB111" s="366"/>
      <c r="AC111" s="359"/>
      <c r="AD111" s="674"/>
      <c r="AE111" s="359"/>
      <c r="AF111" s="366"/>
      <c r="AG111" s="366"/>
      <c r="AH111" s="359"/>
      <c r="AI111" s="674"/>
      <c r="AJ111" s="359"/>
      <c r="AK111" s="366"/>
      <c r="AL111" s="366"/>
      <c r="AM111" s="359"/>
      <c r="AN111" s="674"/>
      <c r="AO111" s="359"/>
      <c r="AP111" s="366"/>
      <c r="AQ111" s="366"/>
      <c r="AR111" s="359"/>
      <c r="AS111" s="674"/>
      <c r="AT111" s="354"/>
      <c r="AU111" s="362"/>
      <c r="AV111" s="362"/>
      <c r="AW111" s="359"/>
      <c r="AX111" s="674"/>
      <c r="AZ111" s="497" t="e">
        <f t="shared" si="87"/>
        <v>#N/A</v>
      </c>
      <c r="BA111" s="678"/>
    </row>
    <row r="112" spans="2:53">
      <c r="B112" s="661"/>
      <c r="C112" s="359">
        <v>6</v>
      </c>
      <c r="D112" s="223"/>
      <c r="E112" s="182"/>
      <c r="F112" s="354"/>
      <c r="G112" s="362"/>
      <c r="H112" s="692"/>
      <c r="I112" s="379" t="str">
        <f t="shared" si="86"/>
        <v>-</v>
      </c>
      <c r="J112" s="379" t="str">
        <f t="shared" si="86"/>
        <v>-</v>
      </c>
      <c r="K112" s="363" t="str">
        <f t="shared" si="86"/>
        <v>-</v>
      </c>
      <c r="L112" s="615"/>
      <c r="M112" s="366" t="e">
        <f>RANK(K112, K$67:$K$81)</f>
        <v>#VALUE!</v>
      </c>
      <c r="N112" s="624"/>
      <c r="O112" s="624"/>
      <c r="P112" s="414"/>
      <c r="Q112" s="415"/>
      <c r="R112" s="415"/>
      <c r="S112" s="497"/>
      <c r="T112" s="678"/>
      <c r="U112" s="359"/>
      <c r="V112" s="366"/>
      <c r="W112" s="366"/>
      <c r="X112" s="359"/>
      <c r="Y112" s="674"/>
      <c r="Z112" s="359"/>
      <c r="AA112" s="366"/>
      <c r="AB112" s="366"/>
      <c r="AC112" s="359"/>
      <c r="AD112" s="674"/>
      <c r="AE112" s="359"/>
      <c r="AF112" s="366"/>
      <c r="AG112" s="366"/>
      <c r="AH112" s="359"/>
      <c r="AI112" s="674"/>
      <c r="AJ112" s="359"/>
      <c r="AK112" s="366"/>
      <c r="AL112" s="366"/>
      <c r="AM112" s="359"/>
      <c r="AN112" s="674"/>
      <c r="AO112" s="359"/>
      <c r="AP112" s="366"/>
      <c r="AQ112" s="366"/>
      <c r="AR112" s="359"/>
      <c r="AS112" s="674"/>
      <c r="AT112" s="354"/>
      <c r="AU112" s="362"/>
      <c r="AV112" s="362"/>
      <c r="AW112" s="359"/>
      <c r="AX112" s="674"/>
      <c r="AZ112" s="497" t="e">
        <f t="shared" si="87"/>
        <v>#N/A</v>
      </c>
      <c r="BA112" s="678"/>
    </row>
    <row r="113" spans="2:53">
      <c r="B113" s="661"/>
      <c r="C113" s="359">
        <v>7</v>
      </c>
      <c r="D113" s="223"/>
      <c r="E113" s="182"/>
      <c r="F113" s="354"/>
      <c r="G113" s="362"/>
      <c r="H113" s="692"/>
      <c r="I113" s="379" t="str">
        <f t="shared" si="86"/>
        <v>-</v>
      </c>
      <c r="J113" s="379" t="str">
        <f t="shared" si="86"/>
        <v>-</v>
      </c>
      <c r="K113" s="363" t="str">
        <f t="shared" si="86"/>
        <v>-</v>
      </c>
      <c r="L113" s="615"/>
      <c r="M113" s="366" t="e">
        <f>RANK(K113, K$67:$K$81)</f>
        <v>#VALUE!</v>
      </c>
      <c r="N113" s="624"/>
      <c r="O113" s="624"/>
      <c r="P113" s="414"/>
      <c r="Q113" s="415"/>
      <c r="R113" s="415"/>
      <c r="S113" s="497"/>
      <c r="T113" s="678"/>
      <c r="U113" s="359"/>
      <c r="V113" s="366"/>
      <c r="W113" s="366"/>
      <c r="X113" s="359"/>
      <c r="Y113" s="674"/>
      <c r="Z113" s="359"/>
      <c r="AA113" s="366"/>
      <c r="AB113" s="366"/>
      <c r="AC113" s="359"/>
      <c r="AD113" s="674"/>
      <c r="AE113" s="359"/>
      <c r="AF113" s="366"/>
      <c r="AG113" s="366"/>
      <c r="AH113" s="359"/>
      <c r="AI113" s="674"/>
      <c r="AJ113" s="359"/>
      <c r="AK113" s="366"/>
      <c r="AL113" s="366"/>
      <c r="AM113" s="359"/>
      <c r="AN113" s="674"/>
      <c r="AO113" s="359"/>
      <c r="AP113" s="366"/>
      <c r="AQ113" s="366"/>
      <c r="AR113" s="359"/>
      <c r="AS113" s="674"/>
      <c r="AT113" s="354"/>
      <c r="AU113" s="362"/>
      <c r="AV113" s="362"/>
      <c r="AW113" s="359"/>
      <c r="AX113" s="674"/>
      <c r="AZ113" s="497" t="e">
        <f t="shared" si="87"/>
        <v>#N/A</v>
      </c>
      <c r="BA113" s="678"/>
    </row>
    <row r="114" spans="2:53">
      <c r="B114" s="661"/>
      <c r="C114" s="359">
        <v>8</v>
      </c>
      <c r="D114" s="223"/>
      <c r="E114" s="182"/>
      <c r="F114" s="354"/>
      <c r="G114" s="362"/>
      <c r="H114" s="692"/>
      <c r="I114" s="379" t="str">
        <f t="shared" si="86"/>
        <v>-</v>
      </c>
      <c r="J114" s="379" t="str">
        <f t="shared" si="86"/>
        <v>-</v>
      </c>
      <c r="K114" s="363" t="str">
        <f t="shared" si="86"/>
        <v>-</v>
      </c>
      <c r="L114" s="615"/>
      <c r="M114" s="366" t="e">
        <f>RANK(K114, K$67:$K$81)</f>
        <v>#VALUE!</v>
      </c>
      <c r="N114" s="624"/>
      <c r="O114" s="624"/>
      <c r="P114" s="414"/>
      <c r="Q114" s="415"/>
      <c r="R114" s="415"/>
      <c r="S114" s="497"/>
      <c r="T114" s="678"/>
      <c r="U114" s="359"/>
      <c r="V114" s="366"/>
      <c r="W114" s="366"/>
      <c r="X114" s="359"/>
      <c r="Y114" s="674"/>
      <c r="Z114" s="359"/>
      <c r="AA114" s="366"/>
      <c r="AB114" s="366"/>
      <c r="AC114" s="359"/>
      <c r="AD114" s="674"/>
      <c r="AE114" s="359"/>
      <c r="AF114" s="366"/>
      <c r="AG114" s="366"/>
      <c r="AH114" s="359"/>
      <c r="AI114" s="674"/>
      <c r="AJ114" s="359"/>
      <c r="AK114" s="366"/>
      <c r="AL114" s="366"/>
      <c r="AM114" s="359"/>
      <c r="AN114" s="674"/>
      <c r="AO114" s="359"/>
      <c r="AP114" s="366"/>
      <c r="AQ114" s="366"/>
      <c r="AR114" s="359"/>
      <c r="AS114" s="674"/>
      <c r="AT114" s="354"/>
      <c r="AU114" s="362"/>
      <c r="AV114" s="362"/>
      <c r="AW114" s="359"/>
      <c r="AX114" s="674"/>
      <c r="AZ114" s="497" t="e">
        <f t="shared" si="87"/>
        <v>#N/A</v>
      </c>
      <c r="BA114" s="678"/>
    </row>
    <row r="115" spans="2:53">
      <c r="B115" s="661"/>
      <c r="C115" s="359">
        <v>9</v>
      </c>
      <c r="D115" s="223"/>
      <c r="E115" s="182"/>
      <c r="F115" s="354"/>
      <c r="G115" s="362"/>
      <c r="H115" s="692"/>
      <c r="I115" s="379" t="str">
        <f t="shared" si="86"/>
        <v>-</v>
      </c>
      <c r="J115" s="379" t="str">
        <f t="shared" si="86"/>
        <v>-</v>
      </c>
      <c r="K115" s="363" t="str">
        <f t="shared" si="86"/>
        <v>-</v>
      </c>
      <c r="L115" s="615"/>
      <c r="M115" s="366" t="e">
        <f>RANK(K115, K$67:$K$81)</f>
        <v>#VALUE!</v>
      </c>
      <c r="N115" s="624"/>
      <c r="O115" s="624"/>
      <c r="P115" s="414"/>
      <c r="Q115" s="415"/>
      <c r="R115" s="415"/>
      <c r="S115" s="497"/>
      <c r="T115" s="678"/>
      <c r="U115" s="359"/>
      <c r="V115" s="366"/>
      <c r="W115" s="366"/>
      <c r="X115" s="359"/>
      <c r="Y115" s="674"/>
      <c r="Z115" s="359"/>
      <c r="AA115" s="366"/>
      <c r="AB115" s="366"/>
      <c r="AC115" s="359"/>
      <c r="AD115" s="674"/>
      <c r="AE115" s="359"/>
      <c r="AF115" s="366"/>
      <c r="AG115" s="366"/>
      <c r="AH115" s="359"/>
      <c r="AI115" s="674"/>
      <c r="AJ115" s="359"/>
      <c r="AK115" s="366"/>
      <c r="AL115" s="366"/>
      <c r="AM115" s="359"/>
      <c r="AN115" s="674"/>
      <c r="AO115" s="359"/>
      <c r="AP115" s="366"/>
      <c r="AQ115" s="366"/>
      <c r="AR115" s="359"/>
      <c r="AS115" s="674"/>
      <c r="AT115" s="354"/>
      <c r="AU115" s="362"/>
      <c r="AV115" s="362"/>
      <c r="AW115" s="359"/>
      <c r="AX115" s="674"/>
      <c r="AZ115" s="497" t="e">
        <f t="shared" si="87"/>
        <v>#N/A</v>
      </c>
      <c r="BA115" s="678"/>
    </row>
    <row r="116" spans="2:53">
      <c r="B116" s="661"/>
      <c r="C116" s="359">
        <v>10</v>
      </c>
      <c r="D116" s="223"/>
      <c r="E116" s="182"/>
      <c r="F116" s="354"/>
      <c r="G116" s="362"/>
      <c r="H116" s="692"/>
      <c r="I116" s="379" t="str">
        <f t="shared" si="86"/>
        <v>-</v>
      </c>
      <c r="J116" s="379" t="str">
        <f t="shared" si="86"/>
        <v>-</v>
      </c>
      <c r="K116" s="363" t="str">
        <f t="shared" si="86"/>
        <v>-</v>
      </c>
      <c r="L116" s="615"/>
      <c r="M116" s="366" t="e">
        <f>RANK(K116, K$67:$K$81)</f>
        <v>#VALUE!</v>
      </c>
      <c r="N116" s="624"/>
      <c r="O116" s="624"/>
      <c r="P116" s="414"/>
      <c r="Q116" s="415"/>
      <c r="R116" s="415"/>
      <c r="S116" s="497"/>
      <c r="T116" s="678"/>
      <c r="U116" s="359"/>
      <c r="V116" s="366"/>
      <c r="W116" s="366"/>
      <c r="X116" s="359"/>
      <c r="Y116" s="674"/>
      <c r="Z116" s="359"/>
      <c r="AA116" s="366"/>
      <c r="AB116" s="366"/>
      <c r="AC116" s="359"/>
      <c r="AD116" s="674"/>
      <c r="AE116" s="359"/>
      <c r="AF116" s="366"/>
      <c r="AG116" s="366"/>
      <c r="AH116" s="359"/>
      <c r="AI116" s="674"/>
      <c r="AJ116" s="359"/>
      <c r="AK116" s="366"/>
      <c r="AL116" s="366"/>
      <c r="AM116" s="359"/>
      <c r="AN116" s="674"/>
      <c r="AO116" s="359"/>
      <c r="AP116" s="366"/>
      <c r="AQ116" s="366"/>
      <c r="AR116" s="359"/>
      <c r="AS116" s="674"/>
      <c r="AT116" s="354"/>
      <c r="AU116" s="354"/>
      <c r="AV116" s="362"/>
      <c r="AW116" s="359"/>
      <c r="AX116" s="674"/>
      <c r="AZ116" s="497" t="e">
        <f t="shared" si="87"/>
        <v>#N/A</v>
      </c>
      <c r="BA116" s="678"/>
    </row>
    <row r="117" spans="2:53">
      <c r="B117" s="661"/>
      <c r="C117" s="359">
        <v>11</v>
      </c>
      <c r="D117" s="223"/>
      <c r="E117" s="182"/>
      <c r="F117" s="354"/>
      <c r="G117" s="362"/>
      <c r="H117" s="692"/>
      <c r="I117" s="379" t="str">
        <f t="shared" si="86"/>
        <v>-</v>
      </c>
      <c r="J117" s="379" t="str">
        <f t="shared" si="86"/>
        <v>-</v>
      </c>
      <c r="K117" s="363" t="str">
        <f t="shared" si="86"/>
        <v>-</v>
      </c>
      <c r="L117" s="615"/>
      <c r="M117" s="366" t="e">
        <f>RANK(K117, K$67:$K$81)</f>
        <v>#VALUE!</v>
      </c>
      <c r="N117" s="624"/>
      <c r="O117" s="624"/>
      <c r="P117" s="414"/>
      <c r="Q117" s="415"/>
      <c r="R117" s="415"/>
      <c r="S117" s="497"/>
      <c r="T117" s="678"/>
      <c r="U117" s="359"/>
      <c r="V117" s="366"/>
      <c r="W117" s="366"/>
      <c r="X117" s="359"/>
      <c r="Y117" s="674"/>
      <c r="Z117" s="359"/>
      <c r="AA117" s="366"/>
      <c r="AB117" s="366"/>
      <c r="AC117" s="359"/>
      <c r="AD117" s="674"/>
      <c r="AE117" s="359"/>
      <c r="AF117" s="366"/>
      <c r="AG117" s="366"/>
      <c r="AH117" s="359"/>
      <c r="AI117" s="674"/>
      <c r="AJ117" s="359"/>
      <c r="AK117" s="366"/>
      <c r="AL117" s="366"/>
      <c r="AM117" s="359"/>
      <c r="AN117" s="674"/>
      <c r="AO117" s="359"/>
      <c r="AP117" s="366"/>
      <c r="AQ117" s="366"/>
      <c r="AR117" s="359"/>
      <c r="AS117" s="674"/>
      <c r="AT117" s="354"/>
      <c r="AU117" s="354"/>
      <c r="AV117" s="354"/>
      <c r="AW117" s="359"/>
      <c r="AX117" s="674"/>
      <c r="AZ117" s="497" t="e">
        <f t="shared" si="87"/>
        <v>#N/A</v>
      </c>
      <c r="BA117" s="678"/>
    </row>
    <row r="118" spans="2:53">
      <c r="B118" s="661"/>
      <c r="C118" s="359">
        <v>12</v>
      </c>
      <c r="D118" s="223"/>
      <c r="E118" s="182"/>
      <c r="F118" s="354"/>
      <c r="G118" s="362"/>
      <c r="H118" s="692"/>
      <c r="I118" s="379" t="str">
        <f t="shared" si="86"/>
        <v>-</v>
      </c>
      <c r="J118" s="379" t="str">
        <f t="shared" si="86"/>
        <v>-</v>
      </c>
      <c r="K118" s="363" t="str">
        <f t="shared" si="86"/>
        <v>-</v>
      </c>
      <c r="L118" s="615"/>
      <c r="M118" s="366" t="e">
        <f>RANK(K118, K$67:$K$81)</f>
        <v>#VALUE!</v>
      </c>
      <c r="N118" s="624"/>
      <c r="O118" s="624"/>
      <c r="P118" s="414"/>
      <c r="Q118" s="415"/>
      <c r="R118" s="415"/>
      <c r="S118" s="497"/>
      <c r="T118" s="678"/>
      <c r="U118" s="359"/>
      <c r="V118" s="366"/>
      <c r="W118" s="366"/>
      <c r="X118" s="359"/>
      <c r="Y118" s="674"/>
      <c r="Z118" s="359"/>
      <c r="AA118" s="366"/>
      <c r="AB118" s="366"/>
      <c r="AC118" s="359"/>
      <c r="AD118" s="674"/>
      <c r="AE118" s="359"/>
      <c r="AF118" s="366"/>
      <c r="AG118" s="366"/>
      <c r="AH118" s="359"/>
      <c r="AI118" s="674"/>
      <c r="AJ118" s="359"/>
      <c r="AK118" s="366"/>
      <c r="AL118" s="366"/>
      <c r="AM118" s="359"/>
      <c r="AN118" s="674"/>
      <c r="AO118" s="359"/>
      <c r="AP118" s="366"/>
      <c r="AQ118" s="366"/>
      <c r="AR118" s="359"/>
      <c r="AS118" s="674"/>
      <c r="AT118" s="354"/>
      <c r="AU118" s="354"/>
      <c r="AV118" s="354"/>
      <c r="AW118" s="359"/>
      <c r="AX118" s="674"/>
      <c r="AZ118" s="497" t="e">
        <f t="shared" si="87"/>
        <v>#N/A</v>
      </c>
      <c r="BA118" s="678"/>
    </row>
    <row r="119" spans="2:53">
      <c r="B119" s="661"/>
      <c r="C119" s="359">
        <v>13</v>
      </c>
      <c r="D119" s="223"/>
      <c r="E119" s="182"/>
      <c r="F119" s="354"/>
      <c r="G119" s="362"/>
      <c r="H119" s="692"/>
      <c r="I119" s="379" t="str">
        <f t="shared" si="86"/>
        <v>-</v>
      </c>
      <c r="J119" s="379" t="str">
        <f t="shared" si="86"/>
        <v>-</v>
      </c>
      <c r="K119" s="363" t="str">
        <f t="shared" si="86"/>
        <v>-</v>
      </c>
      <c r="L119" s="615"/>
      <c r="M119" s="366" t="e">
        <f>RANK(K119, K$67:$K$81)</f>
        <v>#VALUE!</v>
      </c>
      <c r="N119" s="624"/>
      <c r="O119" s="624"/>
      <c r="P119" s="414"/>
      <c r="Q119" s="415"/>
      <c r="R119" s="415"/>
      <c r="S119" s="497"/>
      <c r="T119" s="678"/>
      <c r="U119" s="359"/>
      <c r="V119" s="366"/>
      <c r="W119" s="366"/>
      <c r="X119" s="359"/>
      <c r="Y119" s="674"/>
      <c r="Z119" s="359"/>
      <c r="AA119" s="366"/>
      <c r="AB119" s="366"/>
      <c r="AC119" s="359"/>
      <c r="AD119" s="674"/>
      <c r="AE119" s="359"/>
      <c r="AF119" s="366"/>
      <c r="AG119" s="366"/>
      <c r="AH119" s="359"/>
      <c r="AI119" s="674"/>
      <c r="AJ119" s="359"/>
      <c r="AK119" s="366"/>
      <c r="AL119" s="366"/>
      <c r="AM119" s="359"/>
      <c r="AN119" s="674"/>
      <c r="AO119" s="359"/>
      <c r="AP119" s="366"/>
      <c r="AQ119" s="366"/>
      <c r="AR119" s="359"/>
      <c r="AS119" s="674"/>
      <c r="AT119" s="354"/>
      <c r="AU119" s="354"/>
      <c r="AV119" s="354"/>
      <c r="AW119" s="359"/>
      <c r="AX119" s="674"/>
      <c r="AZ119" s="497" t="e">
        <f t="shared" si="87"/>
        <v>#N/A</v>
      </c>
      <c r="BA119" s="678"/>
    </row>
    <row r="120" spans="2:53">
      <c r="B120" s="661"/>
      <c r="C120" s="359">
        <v>14</v>
      </c>
      <c r="D120" s="223"/>
      <c r="E120" s="182"/>
      <c r="F120" s="354"/>
      <c r="G120" s="362"/>
      <c r="H120" s="692"/>
      <c r="I120" s="379" t="str">
        <f t="shared" si="86"/>
        <v>-</v>
      </c>
      <c r="J120" s="379" t="str">
        <f t="shared" si="86"/>
        <v>-</v>
      </c>
      <c r="K120" s="363" t="str">
        <f t="shared" si="86"/>
        <v>-</v>
      </c>
      <c r="L120" s="615"/>
      <c r="M120" s="366" t="e">
        <f>RANK(K120, K$67:$K$81)</f>
        <v>#VALUE!</v>
      </c>
      <c r="N120" s="624"/>
      <c r="O120" s="624"/>
      <c r="P120" s="414"/>
      <c r="Q120" s="415"/>
      <c r="R120" s="415"/>
      <c r="S120" s="497"/>
      <c r="T120" s="678"/>
      <c r="U120" s="359"/>
      <c r="V120" s="366"/>
      <c r="W120" s="366"/>
      <c r="X120" s="359"/>
      <c r="Y120" s="674"/>
      <c r="Z120" s="359"/>
      <c r="AA120" s="366"/>
      <c r="AB120" s="366"/>
      <c r="AC120" s="359"/>
      <c r="AD120" s="674"/>
      <c r="AE120" s="359"/>
      <c r="AF120" s="366"/>
      <c r="AG120" s="366"/>
      <c r="AH120" s="359"/>
      <c r="AI120" s="674"/>
      <c r="AJ120" s="359"/>
      <c r="AK120" s="366"/>
      <c r="AL120" s="366"/>
      <c r="AM120" s="359"/>
      <c r="AN120" s="674"/>
      <c r="AO120" s="359"/>
      <c r="AP120" s="366"/>
      <c r="AQ120" s="366"/>
      <c r="AR120" s="359"/>
      <c r="AS120" s="674"/>
      <c r="AT120" s="354"/>
      <c r="AU120" s="354"/>
      <c r="AV120" s="354"/>
      <c r="AW120" s="359"/>
      <c r="AX120" s="674"/>
      <c r="AZ120" s="497" t="e">
        <f t="shared" si="87"/>
        <v>#N/A</v>
      </c>
      <c r="BA120" s="678"/>
    </row>
    <row r="121" spans="2:53">
      <c r="B121" s="661"/>
      <c r="C121" s="359">
        <v>15</v>
      </c>
      <c r="D121" s="223"/>
      <c r="E121" s="182"/>
      <c r="F121" s="354"/>
      <c r="G121" s="362"/>
      <c r="H121" s="693"/>
      <c r="I121" s="379" t="str">
        <f t="shared" si="86"/>
        <v>-</v>
      </c>
      <c r="J121" s="379" t="str">
        <f t="shared" si="86"/>
        <v>-</v>
      </c>
      <c r="K121" s="363" t="str">
        <f t="shared" si="86"/>
        <v>-</v>
      </c>
      <c r="L121" s="616"/>
      <c r="M121" s="366" t="e">
        <f>RANK(K121, K$47:$K$61)</f>
        <v>#VALUE!</v>
      </c>
      <c r="N121" s="624"/>
      <c r="O121" s="624"/>
      <c r="P121" s="414"/>
      <c r="Q121" s="415"/>
      <c r="R121" s="415"/>
      <c r="S121" s="497"/>
      <c r="T121" s="679"/>
      <c r="U121" s="359"/>
      <c r="V121" s="366"/>
      <c r="W121" s="366"/>
      <c r="X121" s="359"/>
      <c r="Y121" s="674"/>
      <c r="Z121" s="359"/>
      <c r="AA121" s="366"/>
      <c r="AB121" s="366"/>
      <c r="AC121" s="359"/>
      <c r="AD121" s="674"/>
      <c r="AE121" s="359"/>
      <c r="AF121" s="366"/>
      <c r="AG121" s="366"/>
      <c r="AH121" s="359"/>
      <c r="AI121" s="674"/>
      <c r="AJ121" s="359"/>
      <c r="AK121" s="366"/>
      <c r="AL121" s="366"/>
      <c r="AM121" s="359"/>
      <c r="AN121" s="674"/>
      <c r="AO121" s="359"/>
      <c r="AP121" s="366"/>
      <c r="AQ121" s="366"/>
      <c r="AR121" s="359"/>
      <c r="AS121" s="674"/>
      <c r="AT121" s="354"/>
      <c r="AU121" s="354"/>
      <c r="AV121" s="354"/>
      <c r="AW121" s="359"/>
      <c r="AX121" s="674"/>
      <c r="AZ121" s="497" t="e">
        <f t="shared" si="87"/>
        <v>#N/A</v>
      </c>
      <c r="BA121" s="679"/>
    </row>
    <row r="123" spans="2:53" ht="15.75">
      <c r="B123" s="666" t="s">
        <v>520</v>
      </c>
      <c r="C123" s="667"/>
      <c r="D123" s="667"/>
      <c r="E123" s="667"/>
      <c r="F123" s="667"/>
      <c r="G123" s="667"/>
      <c r="H123" s="668"/>
      <c r="I123" s="286"/>
      <c r="J123" s="286"/>
      <c r="K123" s="286"/>
      <c r="L123" s="286"/>
      <c r="M123" s="287"/>
    </row>
    <row r="124" spans="2:53" ht="15.75">
      <c r="B124" s="669"/>
      <c r="C124" s="669"/>
      <c r="D124" s="669"/>
      <c r="E124" s="669"/>
      <c r="F124" s="669"/>
      <c r="G124" s="669"/>
      <c r="H124" s="669"/>
      <c r="I124" s="360"/>
      <c r="J124" s="360"/>
      <c r="K124" s="360"/>
      <c r="L124" s="360"/>
      <c r="M124" s="289"/>
    </row>
    <row r="125" spans="2:53">
      <c r="B125" s="624" t="s">
        <v>506</v>
      </c>
      <c r="C125" s="624" t="s">
        <v>507</v>
      </c>
      <c r="D125" s="624"/>
      <c r="E125" s="624" t="s">
        <v>508</v>
      </c>
      <c r="F125" s="624"/>
      <c r="G125" s="624"/>
      <c r="H125" s="647" t="s">
        <v>509</v>
      </c>
      <c r="I125" s="670" t="s">
        <v>510</v>
      </c>
      <c r="J125" s="670"/>
      <c r="K125" s="670"/>
      <c r="L125" s="683" t="s">
        <v>509</v>
      </c>
      <c r="M125" s="686" t="s">
        <v>511</v>
      </c>
    </row>
    <row r="126" spans="2:53">
      <c r="B126" s="624"/>
      <c r="C126" s="624"/>
      <c r="D126" s="624"/>
      <c r="E126" s="624" t="s">
        <v>514</v>
      </c>
      <c r="F126" s="624"/>
      <c r="G126" s="624"/>
      <c r="H126" s="648"/>
      <c r="I126" s="670" t="s">
        <v>514</v>
      </c>
      <c r="J126" s="670"/>
      <c r="K126" s="670"/>
      <c r="L126" s="684"/>
      <c r="M126" s="687"/>
    </row>
    <row r="127" spans="2:53">
      <c r="B127" s="624"/>
      <c r="C127" s="624"/>
      <c r="D127" s="624"/>
      <c r="E127" s="353" t="s">
        <v>516</v>
      </c>
      <c r="F127" s="353" t="s">
        <v>517</v>
      </c>
      <c r="G127" s="353" t="s">
        <v>518</v>
      </c>
      <c r="H127" s="649"/>
      <c r="I127" s="361" t="s">
        <v>516</v>
      </c>
      <c r="J127" s="361" t="s">
        <v>517</v>
      </c>
      <c r="K127" s="361" t="s">
        <v>518</v>
      </c>
      <c r="L127" s="685"/>
      <c r="M127" s="688"/>
    </row>
    <row r="128" spans="2:53">
      <c r="B128" s="624" t="s">
        <v>530</v>
      </c>
      <c r="C128" s="354">
        <v>1</v>
      </c>
      <c r="D128" s="223"/>
      <c r="E128" s="182"/>
      <c r="F128" s="354"/>
      <c r="G128" s="362"/>
      <c r="H128" s="677" t="e">
        <f>AVERAGE(G128:G142)</f>
        <v>#DIV/0!</v>
      </c>
      <c r="I128" s="365" t="e">
        <f t="shared" ref="I128:J132" si="88">AVERAGEIF($D$7:$D$121,$D128,I$7:I$121)</f>
        <v>#DIV/0!</v>
      </c>
      <c r="J128" s="365" t="e">
        <f t="shared" si="88"/>
        <v>#DIV/0!</v>
      </c>
      <c r="K128" s="365" t="e">
        <f>AVERAGEIF($D$7:$D$121,$D128,K$7:K$121)</f>
        <v>#DIV/0!</v>
      </c>
      <c r="L128" s="680" t="e">
        <f>AVERAGE(K128:K142)</f>
        <v>#DIV/0!</v>
      </c>
      <c r="M128" s="365" t="e">
        <f>RANK(K128, K$128:$K$142)</f>
        <v>#DIV/0!</v>
      </c>
    </row>
    <row r="129" spans="2:13" s="108" customFormat="1">
      <c r="B129" s="635"/>
      <c r="C129" s="354">
        <v>2</v>
      </c>
      <c r="D129" s="223"/>
      <c r="E129" s="182"/>
      <c r="F129" s="354"/>
      <c r="G129" s="362"/>
      <c r="H129" s="678"/>
      <c r="I129" s="365" t="e">
        <f t="shared" si="88"/>
        <v>#DIV/0!</v>
      </c>
      <c r="J129" s="365" t="e">
        <f t="shared" si="88"/>
        <v>#DIV/0!</v>
      </c>
      <c r="K129" s="365" t="e">
        <f>AVERAGEIF($D$7:$D$121,$D129,K$7:K$121)</f>
        <v>#DIV/0!</v>
      </c>
      <c r="L129" s="681"/>
      <c r="M129" s="365" t="e">
        <f>RANK(K129, K$128:$K$142)</f>
        <v>#DIV/0!</v>
      </c>
    </row>
    <row r="130" spans="2:13" s="108" customFormat="1">
      <c r="B130" s="635"/>
      <c r="C130" s="354">
        <v>3</v>
      </c>
      <c r="D130" s="223"/>
      <c r="E130" s="182"/>
      <c r="F130" s="354"/>
      <c r="G130" s="362"/>
      <c r="H130" s="678"/>
      <c r="I130" s="365" t="e">
        <f t="shared" si="88"/>
        <v>#DIV/0!</v>
      </c>
      <c r="J130" s="365" t="e">
        <f t="shared" si="88"/>
        <v>#DIV/0!</v>
      </c>
      <c r="K130" s="365" t="e">
        <f>AVERAGEIF($D$7:$D$121,$D130,K$7:K$121)</f>
        <v>#DIV/0!</v>
      </c>
      <c r="L130" s="681"/>
      <c r="M130" s="365" t="e">
        <f>RANK(K130, K$128:$K$142)</f>
        <v>#DIV/0!</v>
      </c>
    </row>
    <row r="131" spans="2:13" s="108" customFormat="1">
      <c r="B131" s="635"/>
      <c r="C131" s="354">
        <v>4</v>
      </c>
      <c r="D131" s="223"/>
      <c r="E131" s="182"/>
      <c r="F131" s="354"/>
      <c r="G131" s="362"/>
      <c r="H131" s="678"/>
      <c r="I131" s="365" t="e">
        <f t="shared" si="88"/>
        <v>#DIV/0!</v>
      </c>
      <c r="J131" s="365" t="e">
        <f t="shared" si="88"/>
        <v>#DIV/0!</v>
      </c>
      <c r="K131" s="365" t="e">
        <f>AVERAGEIF($D$7:$D$121,$D131,K$7:K$121)</f>
        <v>#DIV/0!</v>
      </c>
      <c r="L131" s="681"/>
      <c r="M131" s="365" t="e">
        <f>RANK(K131, K$128:$K$142)</f>
        <v>#DIV/0!</v>
      </c>
    </row>
    <row r="132" spans="2:13" s="108" customFormat="1">
      <c r="B132" s="635"/>
      <c r="C132" s="354">
        <v>5</v>
      </c>
      <c r="D132" s="223"/>
      <c r="E132" s="182"/>
      <c r="F132" s="354"/>
      <c r="G132" s="362"/>
      <c r="H132" s="678"/>
      <c r="I132" s="365" t="e">
        <f t="shared" si="88"/>
        <v>#DIV/0!</v>
      </c>
      <c r="J132" s="365" t="e">
        <f t="shared" si="88"/>
        <v>#DIV/0!</v>
      </c>
      <c r="K132" s="365" t="e">
        <f>AVERAGEIF($D$7:$D$121,$D132,K$7:K$121)</f>
        <v>#DIV/0!</v>
      </c>
      <c r="L132" s="681"/>
      <c r="M132" s="365" t="e">
        <f>RANK(K132, K$128:$K$142)</f>
        <v>#DIV/0!</v>
      </c>
    </row>
    <row r="133" spans="2:13" s="108" customFormat="1">
      <c r="B133" s="635"/>
      <c r="C133" s="354">
        <v>6</v>
      </c>
      <c r="D133" s="291"/>
      <c r="E133" s="182"/>
      <c r="F133" s="354"/>
      <c r="G133" s="362"/>
      <c r="H133" s="678"/>
      <c r="I133" s="365"/>
      <c r="J133" s="365"/>
      <c r="K133" s="365"/>
      <c r="L133" s="681"/>
      <c r="M133" s="365" t="e">
        <f>RANK(K133, K$128:$K$142)</f>
        <v>#DIV/0!</v>
      </c>
    </row>
    <row r="134" spans="2:13" s="108" customFormat="1">
      <c r="B134" s="635"/>
      <c r="C134" s="354">
        <v>7</v>
      </c>
      <c r="D134" s="223"/>
      <c r="E134" s="182"/>
      <c r="F134" s="354"/>
      <c r="G134" s="362"/>
      <c r="H134" s="678"/>
      <c r="I134" s="365"/>
      <c r="J134" s="365"/>
      <c r="K134" s="365"/>
      <c r="L134" s="681"/>
      <c r="M134" s="365" t="e">
        <f>RANK(K134, K$128:$K$142)</f>
        <v>#DIV/0!</v>
      </c>
    </row>
    <row r="135" spans="2:13" s="108" customFormat="1">
      <c r="B135" s="635"/>
      <c r="C135" s="354">
        <v>8</v>
      </c>
      <c r="D135" s="223"/>
      <c r="E135" s="182"/>
      <c r="F135" s="354"/>
      <c r="G135" s="362"/>
      <c r="H135" s="678"/>
      <c r="I135" s="365"/>
      <c r="J135" s="365"/>
      <c r="K135" s="365"/>
      <c r="L135" s="681"/>
      <c r="M135" s="365" t="e">
        <f>RANK(K135, K$128:$K$142)</f>
        <v>#DIV/0!</v>
      </c>
    </row>
    <row r="136" spans="2:13" s="108" customFormat="1">
      <c r="B136" s="635"/>
      <c r="C136" s="354">
        <v>9</v>
      </c>
      <c r="D136" s="223"/>
      <c r="E136" s="354"/>
      <c r="F136" s="354"/>
      <c r="G136" s="354"/>
      <c r="H136" s="678"/>
      <c r="I136" s="365"/>
      <c r="J136" s="365"/>
      <c r="K136" s="365"/>
      <c r="L136" s="681"/>
      <c r="M136" s="365" t="e">
        <f>RANK(K136, K$128:$K$142)</f>
        <v>#DIV/0!</v>
      </c>
    </row>
    <row r="137" spans="2:13" s="108" customFormat="1">
      <c r="B137" s="635"/>
      <c r="C137" s="354">
        <v>10</v>
      </c>
      <c r="D137" s="223"/>
      <c r="E137" s="354"/>
      <c r="F137" s="354"/>
      <c r="G137" s="354"/>
      <c r="H137" s="678"/>
      <c r="I137" s="365"/>
      <c r="J137" s="365"/>
      <c r="K137" s="365"/>
      <c r="L137" s="681"/>
      <c r="M137" s="365" t="e">
        <f>RANK(K137, K$128:$K$142)</f>
        <v>#DIV/0!</v>
      </c>
    </row>
    <row r="138" spans="2:13" s="108" customFormat="1">
      <c r="B138" s="635"/>
      <c r="C138" s="354">
        <v>11</v>
      </c>
      <c r="D138" s="223"/>
      <c r="E138" s="354"/>
      <c r="F138" s="354"/>
      <c r="G138" s="354"/>
      <c r="H138" s="678"/>
      <c r="I138" s="365"/>
      <c r="J138" s="365"/>
      <c r="K138" s="365"/>
      <c r="L138" s="681"/>
      <c r="M138" s="365" t="e">
        <f>RANK(K138, K$128:$K$142)</f>
        <v>#DIV/0!</v>
      </c>
    </row>
    <row r="139" spans="2:13" s="108" customFormat="1">
      <c r="B139" s="635"/>
      <c r="C139" s="354">
        <v>12</v>
      </c>
      <c r="D139" s="223"/>
      <c r="E139" s="354"/>
      <c r="F139" s="354"/>
      <c r="G139" s="354"/>
      <c r="H139" s="678"/>
      <c r="I139" s="365"/>
      <c r="J139" s="365"/>
      <c r="K139" s="365"/>
      <c r="L139" s="681"/>
      <c r="M139" s="365" t="e">
        <f>RANK(K139, K$128:$K$142)</f>
        <v>#DIV/0!</v>
      </c>
    </row>
    <row r="140" spans="2:13" s="108" customFormat="1">
      <c r="B140" s="635"/>
      <c r="C140" s="354">
        <v>13</v>
      </c>
      <c r="D140" s="223"/>
      <c r="E140" s="354"/>
      <c r="F140" s="354"/>
      <c r="G140" s="354"/>
      <c r="H140" s="678"/>
      <c r="I140" s="365"/>
      <c r="J140" s="365"/>
      <c r="K140" s="365"/>
      <c r="L140" s="681"/>
      <c r="M140" s="365" t="e">
        <f>RANK(K140, K$128:$K$142)</f>
        <v>#DIV/0!</v>
      </c>
    </row>
    <row r="141" spans="2:13" s="108" customFormat="1">
      <c r="B141" s="635"/>
      <c r="C141" s="354">
        <v>14</v>
      </c>
      <c r="D141" s="223"/>
      <c r="E141" s="354"/>
      <c r="F141" s="354"/>
      <c r="G141" s="354"/>
      <c r="H141" s="678"/>
      <c r="I141" s="365"/>
      <c r="J141" s="365"/>
      <c r="K141" s="365"/>
      <c r="L141" s="681"/>
      <c r="M141" s="365" t="e">
        <f>RANK(K141, K$128:$K$142)</f>
        <v>#DIV/0!</v>
      </c>
    </row>
    <row r="142" spans="2:13" s="108" customFormat="1">
      <c r="B142" s="635"/>
      <c r="C142" s="354">
        <v>15</v>
      </c>
      <c r="D142" s="223"/>
      <c r="E142" s="354"/>
      <c r="F142" s="354"/>
      <c r="G142" s="354"/>
      <c r="H142" s="679"/>
      <c r="I142" s="365"/>
      <c r="J142" s="365"/>
      <c r="K142" s="365"/>
      <c r="L142" s="682"/>
      <c r="M142" s="365" t="e">
        <f>RANK(K142, K$128:$K$142)</f>
        <v>#DIV/0!</v>
      </c>
    </row>
  </sheetData>
  <mergeCells count="373">
    <mergeCell ref="B128:B142"/>
    <mergeCell ref="H128:H142"/>
    <mergeCell ref="L128:L142"/>
    <mergeCell ref="AX107:AX121"/>
    <mergeCell ref="E125:G125"/>
    <mergeCell ref="I125:K12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23:H124"/>
    <mergeCell ref="B125:B127"/>
    <mergeCell ref="C125:D127"/>
    <mergeCell ref="H125:H127"/>
    <mergeCell ref="L125:L127"/>
    <mergeCell ref="M125:M127"/>
    <mergeCell ref="E126:G126"/>
    <mergeCell ref="I126:K126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T65:AW65"/>
    <mergeCell ref="AO64:AR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Y64:Y66"/>
    <mergeCell ref="Z64:AC64"/>
    <mergeCell ref="AX64:AX66"/>
    <mergeCell ref="E65:G65"/>
    <mergeCell ref="B84:B86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P84:S84"/>
    <mergeCell ref="T84:T86"/>
    <mergeCell ref="U84:X84"/>
    <mergeCell ref="U64:X64"/>
    <mergeCell ref="I65:K65"/>
    <mergeCell ref="P65:S65"/>
    <mergeCell ref="U65:X65"/>
    <mergeCell ref="Z65:AC65"/>
    <mergeCell ref="Y87:Y101"/>
    <mergeCell ref="AD87:AD101"/>
    <mergeCell ref="AI87:AI101"/>
    <mergeCell ref="AE84:AH84"/>
    <mergeCell ref="AI84:AI86"/>
    <mergeCell ref="Z84:AC84"/>
    <mergeCell ref="AD64:AD66"/>
    <mergeCell ref="AE64:AH64"/>
    <mergeCell ref="AI64:AI66"/>
    <mergeCell ref="Y84:Y86"/>
    <mergeCell ref="C64:D66"/>
    <mergeCell ref="AS67:AS81"/>
    <mergeCell ref="H64:H66"/>
    <mergeCell ref="I64:K64"/>
    <mergeCell ref="L64:L66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E64:G64"/>
    <mergeCell ref="AO65:AR65"/>
    <mergeCell ref="AJ64:AM64"/>
    <mergeCell ref="AE65:AH65"/>
    <mergeCell ref="AJ65:AM65"/>
    <mergeCell ref="M64:M66"/>
    <mergeCell ref="N64:N81"/>
    <mergeCell ref="O64:O81"/>
    <mergeCell ref="P64:S64"/>
    <mergeCell ref="T64:T66"/>
    <mergeCell ref="BA27:BA41"/>
    <mergeCell ref="BA47:BA61"/>
    <mergeCell ref="BA67:BA8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S64:AS66"/>
    <mergeCell ref="AT64:AW64"/>
    <mergeCell ref="B64:B66"/>
    <mergeCell ref="BA7:BA21"/>
    <mergeCell ref="BA87:BA101"/>
    <mergeCell ref="BA107:BA12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5:AH85"/>
    <mergeCell ref="Z85:AC85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CC"/>
  </sheetPr>
  <dimension ref="A1:BA142"/>
  <sheetViews>
    <sheetView topLeftCell="A58" zoomScale="40" zoomScaleNormal="40" workbookViewId="0">
      <pane xSplit="15" topLeftCell="P1" activePane="topRight" state="frozen"/>
      <selection activeCell="AA142" sqref="AA142"/>
      <selection pane="topRight" activeCell="T87" sqref="S87:T10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3" ht="24">
      <c r="A1" s="75"/>
      <c r="B1" s="218" t="s">
        <v>307</v>
      </c>
      <c r="C1" s="217">
        <f>AVERAGE(L7,L27,L47,L67,L87,L107)</f>
        <v>151.27704786354067</v>
      </c>
    </row>
    <row r="2" spans="1:53" ht="15.75">
      <c r="A2" s="81"/>
      <c r="B2" s="643" t="s">
        <v>476</v>
      </c>
      <c r="C2" s="643"/>
      <c r="D2" s="643"/>
      <c r="E2" s="643"/>
      <c r="F2" s="643"/>
      <c r="G2" s="643"/>
      <c r="H2" s="643"/>
      <c r="I2" s="347"/>
      <c r="J2" s="347"/>
      <c r="K2" s="347"/>
      <c r="L2" s="347"/>
      <c r="M2" s="197"/>
      <c r="N2" s="639" t="s">
        <v>477</v>
      </c>
      <c r="O2" s="639" t="s">
        <v>478</v>
      </c>
      <c r="P2" s="634"/>
      <c r="Q2" s="635"/>
      <c r="R2" s="635"/>
      <c r="S2" s="635"/>
      <c r="T2" s="635"/>
      <c r="U2" s="636">
        <v>46204</v>
      </c>
      <c r="V2" s="637"/>
      <c r="W2" s="637"/>
      <c r="X2" s="637"/>
      <c r="Y2" s="638"/>
      <c r="Z2" s="636">
        <f>U2+1</f>
        <v>46205</v>
      </c>
      <c r="AA2" s="637"/>
      <c r="AB2" s="637"/>
      <c r="AC2" s="637"/>
      <c r="AD2" s="638"/>
      <c r="AE2" s="636">
        <f>Z2+1</f>
        <v>46206</v>
      </c>
      <c r="AF2" s="637"/>
      <c r="AG2" s="637"/>
      <c r="AH2" s="637"/>
      <c r="AI2" s="638"/>
      <c r="AJ2" s="636">
        <f>AE2+1</f>
        <v>46207</v>
      </c>
      <c r="AK2" s="637"/>
      <c r="AL2" s="637"/>
      <c r="AM2" s="637"/>
      <c r="AN2" s="638"/>
      <c r="AO2" s="636">
        <f>AJ2+1</f>
        <v>46208</v>
      </c>
      <c r="AP2" s="637"/>
      <c r="AQ2" s="637"/>
      <c r="AR2" s="637"/>
      <c r="AS2" s="638"/>
      <c r="AT2" s="636">
        <f>AO2+1</f>
        <v>46209</v>
      </c>
      <c r="AU2" s="637"/>
      <c r="AV2" s="637"/>
      <c r="AW2" s="637"/>
      <c r="AX2" s="638"/>
    </row>
    <row r="3" spans="1:53" ht="15.75">
      <c r="A3" s="81"/>
      <c r="B3" s="659"/>
      <c r="C3" s="659"/>
      <c r="D3" s="659"/>
      <c r="E3" s="659"/>
      <c r="F3" s="659"/>
      <c r="G3" s="659"/>
      <c r="H3" s="659"/>
      <c r="I3" s="348"/>
      <c r="J3" s="348"/>
      <c r="K3" s="348"/>
      <c r="L3" s="348"/>
      <c r="M3" s="198"/>
      <c r="N3" s="641"/>
      <c r="O3" s="641"/>
      <c r="P3" s="636" t="s">
        <v>499</v>
      </c>
      <c r="Q3" s="637"/>
      <c r="R3" s="637"/>
      <c r="S3" s="637"/>
      <c r="T3" s="638"/>
      <c r="U3" s="636" t="s">
        <v>500</v>
      </c>
      <c r="V3" s="637"/>
      <c r="W3" s="637"/>
      <c r="X3" s="637"/>
      <c r="Y3" s="638"/>
      <c r="Z3" s="636" t="s">
        <v>501</v>
      </c>
      <c r="AA3" s="637"/>
      <c r="AB3" s="637"/>
      <c r="AC3" s="637"/>
      <c r="AD3" s="638"/>
      <c r="AE3" s="636" t="s">
        <v>502</v>
      </c>
      <c r="AF3" s="637"/>
      <c r="AG3" s="637"/>
      <c r="AH3" s="637"/>
      <c r="AI3" s="638"/>
      <c r="AJ3" s="636" t="s">
        <v>503</v>
      </c>
      <c r="AK3" s="637"/>
      <c r="AL3" s="637"/>
      <c r="AM3" s="637"/>
      <c r="AN3" s="638"/>
      <c r="AO3" s="636" t="s">
        <v>504</v>
      </c>
      <c r="AP3" s="637"/>
      <c r="AQ3" s="637"/>
      <c r="AR3" s="637"/>
      <c r="AS3" s="638"/>
      <c r="AT3" s="636" t="s">
        <v>505</v>
      </c>
      <c r="AU3" s="637"/>
      <c r="AV3" s="637"/>
      <c r="AW3" s="637"/>
      <c r="AX3" s="638"/>
    </row>
    <row r="4" spans="1:53" ht="14.25">
      <c r="A4" s="81"/>
      <c r="B4" s="624" t="s">
        <v>463</v>
      </c>
      <c r="C4" s="624" t="s">
        <v>761</v>
      </c>
      <c r="D4" s="624"/>
      <c r="E4" s="624" t="s">
        <v>762</v>
      </c>
      <c r="F4" s="624"/>
      <c r="G4" s="624"/>
      <c r="H4" s="647" t="s">
        <v>763</v>
      </c>
      <c r="I4" s="617" t="s">
        <v>764</v>
      </c>
      <c r="J4" s="617"/>
      <c r="K4" s="617"/>
      <c r="L4" s="618" t="s">
        <v>763</v>
      </c>
      <c r="M4" s="628" t="s">
        <v>773</v>
      </c>
      <c r="N4" s="624"/>
      <c r="O4" s="624" t="s">
        <v>598</v>
      </c>
      <c r="P4" s="621" t="s">
        <v>599</v>
      </c>
      <c r="Q4" s="622"/>
      <c r="R4" s="622"/>
      <c r="S4" s="623"/>
      <c r="T4" s="624" t="s">
        <v>573</v>
      </c>
      <c r="U4" s="621" t="s">
        <v>599</v>
      </c>
      <c r="V4" s="622"/>
      <c r="W4" s="622"/>
      <c r="X4" s="623"/>
      <c r="Y4" s="624" t="s">
        <v>573</v>
      </c>
      <c r="Z4" s="621" t="s">
        <v>599</v>
      </c>
      <c r="AA4" s="622"/>
      <c r="AB4" s="622"/>
      <c r="AC4" s="623"/>
      <c r="AD4" s="624" t="s">
        <v>573</v>
      </c>
      <c r="AE4" s="621" t="s">
        <v>599</v>
      </c>
      <c r="AF4" s="622"/>
      <c r="AG4" s="622"/>
      <c r="AH4" s="623"/>
      <c r="AI4" s="624" t="s">
        <v>573</v>
      </c>
      <c r="AJ4" s="621" t="s">
        <v>599</v>
      </c>
      <c r="AK4" s="622"/>
      <c r="AL4" s="622"/>
      <c r="AM4" s="623"/>
      <c r="AN4" s="624" t="s">
        <v>573</v>
      </c>
      <c r="AO4" s="621" t="s">
        <v>599</v>
      </c>
      <c r="AP4" s="622"/>
      <c r="AQ4" s="622"/>
      <c r="AR4" s="623"/>
      <c r="AS4" s="624" t="s">
        <v>573</v>
      </c>
      <c r="AT4" s="621" t="s">
        <v>599</v>
      </c>
      <c r="AU4" s="622"/>
      <c r="AV4" s="622"/>
      <c r="AW4" s="623"/>
      <c r="AX4" s="624" t="s">
        <v>573</v>
      </c>
    </row>
    <row r="5" spans="1:53" ht="14.25">
      <c r="A5" s="81"/>
      <c r="B5" s="624"/>
      <c r="C5" s="624"/>
      <c r="D5" s="624"/>
      <c r="E5" s="624" t="s">
        <v>765</v>
      </c>
      <c r="F5" s="624"/>
      <c r="G5" s="624"/>
      <c r="H5" s="648"/>
      <c r="I5" s="617" t="s">
        <v>765</v>
      </c>
      <c r="J5" s="617"/>
      <c r="K5" s="617"/>
      <c r="L5" s="619"/>
      <c r="M5" s="629"/>
      <c r="N5" s="624"/>
      <c r="O5" s="624"/>
      <c r="P5" s="621" t="s">
        <v>582</v>
      </c>
      <c r="Q5" s="622"/>
      <c r="R5" s="622"/>
      <c r="S5" s="623"/>
      <c r="T5" s="624"/>
      <c r="U5" s="621" t="s">
        <v>582</v>
      </c>
      <c r="V5" s="622"/>
      <c r="W5" s="622"/>
      <c r="X5" s="623"/>
      <c r="Y5" s="624"/>
      <c r="Z5" s="621" t="s">
        <v>582</v>
      </c>
      <c r="AA5" s="622"/>
      <c r="AB5" s="622"/>
      <c r="AC5" s="623"/>
      <c r="AD5" s="624"/>
      <c r="AE5" s="621" t="s">
        <v>582</v>
      </c>
      <c r="AF5" s="622"/>
      <c r="AG5" s="622"/>
      <c r="AH5" s="623"/>
      <c r="AI5" s="624"/>
      <c r="AJ5" s="621" t="s">
        <v>582</v>
      </c>
      <c r="AK5" s="622"/>
      <c r="AL5" s="622"/>
      <c r="AM5" s="623"/>
      <c r="AN5" s="624"/>
      <c r="AO5" s="621" t="s">
        <v>582</v>
      </c>
      <c r="AP5" s="622"/>
      <c r="AQ5" s="622"/>
      <c r="AR5" s="623"/>
      <c r="AS5" s="624"/>
      <c r="AT5" s="621" t="s">
        <v>582</v>
      </c>
      <c r="AU5" s="622"/>
      <c r="AV5" s="622"/>
      <c r="AW5" s="623"/>
      <c r="AX5" s="624"/>
    </row>
    <row r="6" spans="1:53" ht="14.25">
      <c r="A6" s="79"/>
      <c r="B6" s="624"/>
      <c r="C6" s="624"/>
      <c r="D6" s="624"/>
      <c r="E6" s="482" t="s">
        <v>766</v>
      </c>
      <c r="F6" s="482" t="s">
        <v>767</v>
      </c>
      <c r="G6" s="482" t="s">
        <v>768</v>
      </c>
      <c r="H6" s="649"/>
      <c r="I6" s="481" t="s">
        <v>766</v>
      </c>
      <c r="J6" s="481" t="s">
        <v>767</v>
      </c>
      <c r="K6" s="481" t="s">
        <v>768</v>
      </c>
      <c r="L6" s="620"/>
      <c r="M6" s="630"/>
      <c r="N6" s="624"/>
      <c r="O6" s="624"/>
      <c r="P6" s="413" t="s">
        <v>585</v>
      </c>
      <c r="Q6" s="413" t="s">
        <v>586</v>
      </c>
      <c r="R6" s="413" t="s">
        <v>587</v>
      </c>
      <c r="S6" s="413" t="s">
        <v>588</v>
      </c>
      <c r="T6" s="624"/>
      <c r="U6" s="413" t="s">
        <v>585</v>
      </c>
      <c r="V6" s="413" t="s">
        <v>586</v>
      </c>
      <c r="W6" s="413" t="s">
        <v>587</v>
      </c>
      <c r="X6" s="413" t="s">
        <v>588</v>
      </c>
      <c r="Y6" s="624"/>
      <c r="Z6" s="413" t="s">
        <v>585</v>
      </c>
      <c r="AA6" s="413" t="s">
        <v>586</v>
      </c>
      <c r="AB6" s="413" t="s">
        <v>587</v>
      </c>
      <c r="AC6" s="413" t="s">
        <v>588</v>
      </c>
      <c r="AD6" s="624"/>
      <c r="AE6" s="413" t="s">
        <v>585</v>
      </c>
      <c r="AF6" s="413" t="s">
        <v>586</v>
      </c>
      <c r="AG6" s="413" t="s">
        <v>587</v>
      </c>
      <c r="AH6" s="413" t="s">
        <v>588</v>
      </c>
      <c r="AI6" s="624"/>
      <c r="AJ6" s="413" t="s">
        <v>585</v>
      </c>
      <c r="AK6" s="413" t="s">
        <v>586</v>
      </c>
      <c r="AL6" s="413" t="s">
        <v>587</v>
      </c>
      <c r="AM6" s="413" t="s">
        <v>588</v>
      </c>
      <c r="AN6" s="624"/>
      <c r="AO6" s="413" t="s">
        <v>585</v>
      </c>
      <c r="AP6" s="413" t="s">
        <v>586</v>
      </c>
      <c r="AQ6" s="413" t="s">
        <v>587</v>
      </c>
      <c r="AR6" s="413" t="s">
        <v>588</v>
      </c>
      <c r="AS6" s="624"/>
      <c r="AT6" s="413" t="s">
        <v>585</v>
      </c>
      <c r="AU6" s="413" t="s">
        <v>586</v>
      </c>
      <c r="AV6" s="413" t="s">
        <v>587</v>
      </c>
      <c r="AW6" s="413" t="s">
        <v>588</v>
      </c>
      <c r="AX6" s="624"/>
    </row>
    <row r="7" spans="1:53" ht="14.25">
      <c r="A7" s="81"/>
      <c r="B7" s="624" t="s">
        <v>136</v>
      </c>
      <c r="C7" s="483">
        <v>1</v>
      </c>
      <c r="D7" s="223" t="s">
        <v>351</v>
      </c>
      <c r="E7" s="491">
        <v>7</v>
      </c>
      <c r="F7" s="483">
        <v>1500</v>
      </c>
      <c r="G7" s="484">
        <v>214.28571428571428</v>
      </c>
      <c r="H7" s="677">
        <f>AVERAGE(G7:G21)</f>
        <v>165.04330595874714</v>
      </c>
      <c r="I7" s="487">
        <f t="shared" ref="I7:K20" si="0">IFERROR(AVERAGE(P7,U7,Z7,AE7,AJ7,AO7,AT7),"-")</f>
        <v>7</v>
      </c>
      <c r="J7" s="487">
        <f t="shared" si="0"/>
        <v>1463.1083902047369</v>
      </c>
      <c r="K7" s="363">
        <f t="shared" si="0"/>
        <v>209.01548431496246</v>
      </c>
      <c r="L7" s="614">
        <f>IFERROR(AVERAGE(K7:K21),"-")</f>
        <v>148.0357535669327</v>
      </c>
      <c r="M7" s="489">
        <f>RANK(K7, K$7:$K$21)</f>
        <v>3</v>
      </c>
      <c r="N7" s="624"/>
      <c r="O7" s="624"/>
      <c r="P7" s="411"/>
      <c r="Q7" s="182"/>
      <c r="R7" s="182"/>
      <c r="S7" s="414"/>
      <c r="T7" s="674"/>
      <c r="U7" s="540">
        <v>7</v>
      </c>
      <c r="V7" s="541">
        <v>1447.6595744680853</v>
      </c>
      <c r="W7" s="541">
        <v>206.80851063829792</v>
      </c>
      <c r="X7" s="540">
        <f>RANK(W7, W$7:W$21)</f>
        <v>3</v>
      </c>
      <c r="Y7" s="653">
        <f t="shared" ref="Y7" si="1">AVERAGE(W7:W21)</f>
        <v>148.36711434948259</v>
      </c>
      <c r="Z7" s="540">
        <v>7</v>
      </c>
      <c r="AA7" s="541">
        <v>1461.7021276595747</v>
      </c>
      <c r="AB7" s="541">
        <v>208.81458966565353</v>
      </c>
      <c r="AC7" s="540">
        <f>RANK(AB7, AB$7:AB$21)</f>
        <v>4</v>
      </c>
      <c r="AD7" s="653">
        <f t="shared" ref="AD7" si="2">AVERAGE(AB7:AB21)</f>
        <v>148.26659715655558</v>
      </c>
      <c r="AE7" s="540">
        <v>7</v>
      </c>
      <c r="AF7" s="541">
        <v>1457.9999999999993</v>
      </c>
      <c r="AG7" s="541">
        <v>208.28571428571419</v>
      </c>
      <c r="AH7" s="540">
        <f>RANK(AG7, AG$7:AG$21)</f>
        <v>3</v>
      </c>
      <c r="AI7" s="653">
        <f t="shared" ref="AI7" si="3">AVERAGE(AG7:AG21)</f>
        <v>147.75877431502039</v>
      </c>
      <c r="AJ7" s="540">
        <v>7</v>
      </c>
      <c r="AK7" s="541">
        <v>1465.5319148936173</v>
      </c>
      <c r="AL7" s="541">
        <v>209.36170212765961</v>
      </c>
      <c r="AM7" s="540">
        <f>RANK(AL7, AL$7:AL$21)</f>
        <v>3</v>
      </c>
      <c r="AN7" s="653">
        <f t="shared" ref="AN7" si="4">AVERAGE(AL7:AL21)</f>
        <v>147.85721442755238</v>
      </c>
      <c r="AO7" s="540">
        <v>7</v>
      </c>
      <c r="AP7" s="541">
        <v>1480.8510638297876</v>
      </c>
      <c r="AQ7" s="541">
        <v>211.55015197568395</v>
      </c>
      <c r="AR7" s="540">
        <f>RANK(AQ7, AQ$7:AQ$21)</f>
        <v>2</v>
      </c>
      <c r="AS7" s="653">
        <f t="shared" ref="AS7" si="5">AVERAGE(AQ7:AQ21)</f>
        <v>147.48571029702308</v>
      </c>
      <c r="AT7" s="540">
        <v>7</v>
      </c>
      <c r="AU7" s="541">
        <v>1464.9056603773581</v>
      </c>
      <c r="AV7" s="541">
        <v>209.27223719676545</v>
      </c>
      <c r="AW7" s="540">
        <f>RANK(AV7, AV$7:AV$21)</f>
        <v>3</v>
      </c>
      <c r="AX7" s="653">
        <f t="shared" ref="AX7" si="6">AVERAGE(AV7:AV21)</f>
        <v>148.47911085596206</v>
      </c>
      <c r="AZ7" s="540" t="e">
        <f>RANK(AY7, AY$7:AY$21)</f>
        <v>#N/A</v>
      </c>
      <c r="BA7" s="653" t="e">
        <f t="shared" ref="BA7" si="7">AVERAGE(AY7:AY21)</f>
        <v>#DIV/0!</v>
      </c>
    </row>
    <row r="8" spans="1:53" ht="15" customHeight="1">
      <c r="A8" s="81"/>
      <c r="B8" s="661"/>
      <c r="C8" s="483">
        <v>2</v>
      </c>
      <c r="D8" s="223" t="s">
        <v>352</v>
      </c>
      <c r="E8" s="491">
        <v>7</v>
      </c>
      <c r="F8" s="483">
        <v>1500</v>
      </c>
      <c r="G8" s="484">
        <v>214.28571428571428</v>
      </c>
      <c r="H8" s="678"/>
      <c r="I8" s="487">
        <f t="shared" si="0"/>
        <v>7</v>
      </c>
      <c r="J8" s="487">
        <f t="shared" si="0"/>
        <v>1471.8119043528095</v>
      </c>
      <c r="K8" s="363">
        <f t="shared" si="0"/>
        <v>210.25884347897272</v>
      </c>
      <c r="L8" s="615"/>
      <c r="M8" s="489">
        <f>RANK(K8, K$7:$K$21)</f>
        <v>1</v>
      </c>
      <c r="N8" s="624"/>
      <c r="O8" s="624"/>
      <c r="P8" s="411"/>
      <c r="Q8" s="182"/>
      <c r="R8" s="182"/>
      <c r="S8" s="414"/>
      <c r="T8" s="674"/>
      <c r="U8" s="540">
        <v>7</v>
      </c>
      <c r="V8" s="541">
        <v>1467.1874999999995</v>
      </c>
      <c r="W8" s="541">
        <v>209.59821428571422</v>
      </c>
      <c r="X8" s="540">
        <f t="shared" ref="X8:X21" si="8">RANK(W8, W$7:W$21)</f>
        <v>1</v>
      </c>
      <c r="Y8" s="653"/>
      <c r="Z8" s="540">
        <v>7</v>
      </c>
      <c r="AA8" s="541">
        <v>1469.5161290322585</v>
      </c>
      <c r="AB8" s="541">
        <v>209.93087557603693</v>
      </c>
      <c r="AC8" s="540">
        <f t="shared" ref="AC8:AC21" si="9">RANK(AB8, AB$7:AB$21)</f>
        <v>1</v>
      </c>
      <c r="AD8" s="653"/>
      <c r="AE8" s="540">
        <v>7</v>
      </c>
      <c r="AF8" s="541">
        <v>1486.6666666666665</v>
      </c>
      <c r="AG8" s="541">
        <v>212.38095238095235</v>
      </c>
      <c r="AH8" s="540">
        <f t="shared" ref="AH8:AH21" si="10">RANK(AG8, AG$7:AG$21)</f>
        <v>1</v>
      </c>
      <c r="AI8" s="653"/>
      <c r="AJ8" s="540">
        <v>7</v>
      </c>
      <c r="AK8" s="541">
        <v>1467.6106194690267</v>
      </c>
      <c r="AL8" s="541">
        <v>209.65865992414666</v>
      </c>
      <c r="AM8" s="540">
        <f t="shared" ref="AM8:AM21" si="11">RANK(AL8, AL$7:AL$21)</f>
        <v>2</v>
      </c>
      <c r="AN8" s="653"/>
      <c r="AO8" s="540">
        <v>7</v>
      </c>
      <c r="AP8" s="541">
        <v>1484.9999999999995</v>
      </c>
      <c r="AQ8" s="541">
        <v>212.14285714285708</v>
      </c>
      <c r="AR8" s="540">
        <f t="shared" ref="AR8:AR21" si="12">RANK(AQ8, AQ$7:AQ$21)</f>
        <v>1</v>
      </c>
      <c r="AS8" s="653"/>
      <c r="AT8" s="540">
        <v>7</v>
      </c>
      <c r="AU8" s="541">
        <v>1454.8905109489051</v>
      </c>
      <c r="AV8" s="541">
        <v>207.84150156412929</v>
      </c>
      <c r="AW8" s="540">
        <f t="shared" ref="AW8:AW21" si="13">RANK(AV8, AV$7:AV$21)</f>
        <v>4</v>
      </c>
      <c r="AX8" s="653"/>
      <c r="AZ8" s="540" t="e">
        <f t="shared" ref="AZ8:AZ21" si="14">RANK(AY8, AY$7:AY$21)</f>
        <v>#N/A</v>
      </c>
      <c r="BA8" s="653"/>
    </row>
    <row r="9" spans="1:53" ht="14.25">
      <c r="A9" s="81"/>
      <c r="B9" s="661"/>
      <c r="C9" s="483">
        <v>3</v>
      </c>
      <c r="D9" s="223" t="s">
        <v>315</v>
      </c>
      <c r="E9" s="491">
        <v>20</v>
      </c>
      <c r="F9" s="483">
        <v>1385</v>
      </c>
      <c r="G9" s="484">
        <v>69.25</v>
      </c>
      <c r="H9" s="678"/>
      <c r="I9" s="487">
        <f t="shared" si="0"/>
        <v>19.833333333333332</v>
      </c>
      <c r="J9" s="487">
        <f t="shared" si="0"/>
        <v>1295.117585512158</v>
      </c>
      <c r="K9" s="363">
        <f t="shared" si="0"/>
        <v>65.318995728156594</v>
      </c>
      <c r="L9" s="615"/>
      <c r="M9" s="489">
        <f>RANK(K9, K$7:$K$21)</f>
        <v>11</v>
      </c>
      <c r="N9" s="624"/>
      <c r="O9" s="624"/>
      <c r="P9" s="411"/>
      <c r="Q9" s="182"/>
      <c r="R9" s="182"/>
      <c r="S9" s="414"/>
      <c r="T9" s="674"/>
      <c r="U9" s="540">
        <v>19</v>
      </c>
      <c r="V9" s="541">
        <v>1283.9055118110234</v>
      </c>
      <c r="W9" s="541">
        <v>67.573974305843336</v>
      </c>
      <c r="X9" s="540">
        <f t="shared" si="8"/>
        <v>11</v>
      </c>
      <c r="Y9" s="653"/>
      <c r="Z9" s="540">
        <v>20</v>
      </c>
      <c r="AA9" s="541">
        <v>1290.8672268907565</v>
      </c>
      <c r="AB9" s="541">
        <v>64.543361344537828</v>
      </c>
      <c r="AC9" s="540">
        <f t="shared" si="9"/>
        <v>11</v>
      </c>
      <c r="AD9" s="653"/>
      <c r="AE9" s="540">
        <v>20</v>
      </c>
      <c r="AF9" s="541">
        <v>1290.0000000000002</v>
      </c>
      <c r="AG9" s="541">
        <v>64.500000000000014</v>
      </c>
      <c r="AH9" s="540">
        <f t="shared" si="10"/>
        <v>11</v>
      </c>
      <c r="AI9" s="653"/>
      <c r="AJ9" s="540">
        <v>20</v>
      </c>
      <c r="AK9" s="541">
        <v>1285.3770491803284</v>
      </c>
      <c r="AL9" s="541">
        <v>64.268852459016415</v>
      </c>
      <c r="AM9" s="540">
        <f t="shared" si="11"/>
        <v>11</v>
      </c>
      <c r="AN9" s="653"/>
      <c r="AO9" s="540">
        <v>20</v>
      </c>
      <c r="AP9" s="541">
        <v>1311.7557251908397</v>
      </c>
      <c r="AQ9" s="541">
        <v>65.587786259541986</v>
      </c>
      <c r="AR9" s="540">
        <f t="shared" si="12"/>
        <v>11</v>
      </c>
      <c r="AS9" s="653"/>
      <c r="AT9" s="540">
        <v>20</v>
      </c>
      <c r="AU9" s="541">
        <v>1308.8000000000002</v>
      </c>
      <c r="AV9" s="541">
        <v>65.440000000000012</v>
      </c>
      <c r="AW9" s="540">
        <f t="shared" si="13"/>
        <v>11</v>
      </c>
      <c r="AX9" s="653"/>
      <c r="AZ9" s="540" t="e">
        <f t="shared" si="14"/>
        <v>#N/A</v>
      </c>
      <c r="BA9" s="653"/>
    </row>
    <row r="10" spans="1:53" ht="14.25">
      <c r="A10" s="81"/>
      <c r="B10" s="661"/>
      <c r="C10" s="483">
        <v>4</v>
      </c>
      <c r="D10" s="223" t="s">
        <v>353</v>
      </c>
      <c r="E10" s="491">
        <v>17</v>
      </c>
      <c r="F10" s="483">
        <v>1500</v>
      </c>
      <c r="G10" s="484">
        <v>88.235294117647058</v>
      </c>
      <c r="H10" s="678"/>
      <c r="I10" s="487">
        <f t="shared" si="0"/>
        <v>16.833333333333332</v>
      </c>
      <c r="J10" s="487">
        <f t="shared" si="0"/>
        <v>1381.1445731258948</v>
      </c>
      <c r="K10" s="363">
        <f t="shared" si="0"/>
        <v>82.101130935510142</v>
      </c>
      <c r="L10" s="615"/>
      <c r="M10" s="489">
        <f>RANK(K10, K$7:$K$21)</f>
        <v>9</v>
      </c>
      <c r="N10" s="624"/>
      <c r="O10" s="624"/>
      <c r="P10" s="411"/>
      <c r="Q10" s="182"/>
      <c r="R10" s="182"/>
      <c r="S10" s="414"/>
      <c r="T10" s="674"/>
      <c r="U10" s="540">
        <v>16</v>
      </c>
      <c r="V10" s="541">
        <v>1399.166666666667</v>
      </c>
      <c r="W10" s="541">
        <v>87.447916666666686</v>
      </c>
      <c r="X10" s="540">
        <f t="shared" si="8"/>
        <v>9</v>
      </c>
      <c r="Y10" s="653"/>
      <c r="Z10" s="540">
        <v>17</v>
      </c>
      <c r="AA10" s="541">
        <v>1368.3333333333337</v>
      </c>
      <c r="AB10" s="541">
        <v>80.490196078431396</v>
      </c>
      <c r="AC10" s="540">
        <f t="shared" si="9"/>
        <v>9</v>
      </c>
      <c r="AD10" s="653"/>
      <c r="AE10" s="540">
        <v>17</v>
      </c>
      <c r="AF10" s="541">
        <v>1394.4827586206889</v>
      </c>
      <c r="AG10" s="541">
        <v>82.028397565922873</v>
      </c>
      <c r="AH10" s="540">
        <f t="shared" si="10"/>
        <v>9</v>
      </c>
      <c r="AI10" s="653"/>
      <c r="AJ10" s="540">
        <v>17</v>
      </c>
      <c r="AK10" s="541">
        <v>1359.7499999999995</v>
      </c>
      <c r="AL10" s="541">
        <v>79.98529411764703</v>
      </c>
      <c r="AM10" s="540">
        <f t="shared" si="11"/>
        <v>9</v>
      </c>
      <c r="AN10" s="653"/>
      <c r="AO10" s="540">
        <v>17</v>
      </c>
      <c r="AP10" s="541">
        <v>1367.4074074074069</v>
      </c>
      <c r="AQ10" s="541">
        <v>80.435729847494528</v>
      </c>
      <c r="AR10" s="540">
        <f t="shared" si="12"/>
        <v>9</v>
      </c>
      <c r="AS10" s="653"/>
      <c r="AT10" s="540">
        <v>17</v>
      </c>
      <c r="AU10" s="541">
        <v>1397.7272727272727</v>
      </c>
      <c r="AV10" s="541">
        <v>82.219251336898395</v>
      </c>
      <c r="AW10" s="540">
        <f t="shared" si="13"/>
        <v>9</v>
      </c>
      <c r="AX10" s="653"/>
      <c r="AZ10" s="540" t="e">
        <f t="shared" si="14"/>
        <v>#N/A</v>
      </c>
      <c r="BA10" s="653"/>
    </row>
    <row r="11" spans="1:53" ht="14.25">
      <c r="A11" s="81"/>
      <c r="B11" s="661"/>
      <c r="C11" s="483">
        <v>5</v>
      </c>
      <c r="D11" s="223" t="s">
        <v>384</v>
      </c>
      <c r="E11" s="491">
        <v>7</v>
      </c>
      <c r="F11" s="483">
        <v>1500</v>
      </c>
      <c r="G11" s="484">
        <v>214.28571428571428</v>
      </c>
      <c r="H11" s="678"/>
      <c r="I11" s="487">
        <f t="shared" si="0"/>
        <v>7</v>
      </c>
      <c r="J11" s="487">
        <f t="shared" si="0"/>
        <v>1463.7906016717327</v>
      </c>
      <c r="K11" s="363">
        <f t="shared" si="0"/>
        <v>209.11294309596181</v>
      </c>
      <c r="L11" s="615"/>
      <c r="M11" s="489">
        <f>RANK(K11, K$7:$K$21)</f>
        <v>2</v>
      </c>
      <c r="N11" s="624"/>
      <c r="O11" s="624"/>
      <c r="P11" s="411"/>
      <c r="Q11" s="182"/>
      <c r="R11" s="182"/>
      <c r="S11" s="414"/>
      <c r="T11" s="674"/>
      <c r="U11" s="540">
        <v>7</v>
      </c>
      <c r="V11" s="541">
        <v>1463.4042553191487</v>
      </c>
      <c r="W11" s="541">
        <v>209.05775075987839</v>
      </c>
      <c r="X11" s="540">
        <f t="shared" si="8"/>
        <v>2</v>
      </c>
      <c r="Y11" s="653"/>
      <c r="Z11" s="540">
        <v>7</v>
      </c>
      <c r="AA11" s="541">
        <v>1454.8872180451133</v>
      </c>
      <c r="AB11" s="541">
        <v>207.8410311493019</v>
      </c>
      <c r="AC11" s="540">
        <f t="shared" si="9"/>
        <v>5</v>
      </c>
      <c r="AD11" s="653"/>
      <c r="AE11" s="540">
        <v>7</v>
      </c>
      <c r="AF11" s="541">
        <v>1472.3478260869565</v>
      </c>
      <c r="AG11" s="541">
        <v>210.33540372670808</v>
      </c>
      <c r="AH11" s="540">
        <f t="shared" si="10"/>
        <v>2</v>
      </c>
      <c r="AI11" s="653"/>
      <c r="AJ11" s="540">
        <v>7</v>
      </c>
      <c r="AK11" s="541">
        <v>1453.4883720930236</v>
      </c>
      <c r="AL11" s="541">
        <v>207.64119601328909</v>
      </c>
      <c r="AM11" s="540">
        <f t="shared" si="11"/>
        <v>4</v>
      </c>
      <c r="AN11" s="653"/>
      <c r="AO11" s="540">
        <v>7</v>
      </c>
      <c r="AP11" s="541">
        <v>1453.1125827814569</v>
      </c>
      <c r="AQ11" s="541">
        <v>207.58751182592241</v>
      </c>
      <c r="AR11" s="540">
        <f t="shared" si="12"/>
        <v>4</v>
      </c>
      <c r="AS11" s="653"/>
      <c r="AT11" s="540">
        <v>7</v>
      </c>
      <c r="AU11" s="541">
        <v>1485.5033557046977</v>
      </c>
      <c r="AV11" s="541">
        <v>212.21476510067109</v>
      </c>
      <c r="AW11" s="540">
        <f t="shared" si="13"/>
        <v>1</v>
      </c>
      <c r="AX11" s="653"/>
      <c r="AZ11" s="540" t="e">
        <f t="shared" si="14"/>
        <v>#N/A</v>
      </c>
      <c r="BA11" s="653"/>
    </row>
    <row r="12" spans="1:53" ht="14.25">
      <c r="A12" s="81"/>
      <c r="B12" s="661"/>
      <c r="C12" s="483">
        <v>6</v>
      </c>
      <c r="D12" s="223" t="s">
        <v>563</v>
      </c>
      <c r="E12" s="491">
        <v>12</v>
      </c>
      <c r="F12" s="483">
        <v>2000</v>
      </c>
      <c r="G12" s="484">
        <v>166.66666666666666</v>
      </c>
      <c r="H12" s="678"/>
      <c r="I12" s="487">
        <f t="shared" si="0"/>
        <v>12</v>
      </c>
      <c r="J12" s="487">
        <f t="shared" si="0"/>
        <v>1432.9117063718979</v>
      </c>
      <c r="K12" s="363">
        <f t="shared" si="0"/>
        <v>119.40930886432483</v>
      </c>
      <c r="L12" s="615"/>
      <c r="M12" s="489">
        <f>RANK(K12, K$7:$K$21)</f>
        <v>8</v>
      </c>
      <c r="N12" s="624"/>
      <c r="O12" s="624"/>
      <c r="P12" s="411"/>
      <c r="Q12" s="182"/>
      <c r="R12" s="182"/>
      <c r="S12" s="414"/>
      <c r="T12" s="674"/>
      <c r="U12" s="540">
        <v>12</v>
      </c>
      <c r="V12" s="541">
        <v>1439.4915254237289</v>
      </c>
      <c r="W12" s="541">
        <v>119.95762711864408</v>
      </c>
      <c r="X12" s="540">
        <f t="shared" si="8"/>
        <v>8</v>
      </c>
      <c r="Y12" s="653"/>
      <c r="Z12" s="540">
        <v>12</v>
      </c>
      <c r="AA12" s="541">
        <v>1448.0357142857144</v>
      </c>
      <c r="AB12" s="541">
        <v>120.66964285714288</v>
      </c>
      <c r="AC12" s="540">
        <f t="shared" si="9"/>
        <v>7</v>
      </c>
      <c r="AD12" s="653"/>
      <c r="AE12" s="540">
        <v>12</v>
      </c>
      <c r="AF12" s="541">
        <v>1431.1578947368412</v>
      </c>
      <c r="AG12" s="541">
        <v>119.26315789473676</v>
      </c>
      <c r="AH12" s="540">
        <f t="shared" si="10"/>
        <v>7</v>
      </c>
      <c r="AI12" s="653"/>
      <c r="AJ12" s="540">
        <v>12</v>
      </c>
      <c r="AK12" s="541">
        <v>1426.1111111111109</v>
      </c>
      <c r="AL12" s="541">
        <v>118.84259259259257</v>
      </c>
      <c r="AM12" s="540">
        <f t="shared" si="11"/>
        <v>8</v>
      </c>
      <c r="AN12" s="653"/>
      <c r="AO12" s="540">
        <v>12</v>
      </c>
      <c r="AP12" s="541">
        <v>1430.7692307692309</v>
      </c>
      <c r="AQ12" s="541">
        <v>119.23076923076924</v>
      </c>
      <c r="AR12" s="540">
        <f t="shared" si="12"/>
        <v>8</v>
      </c>
      <c r="AS12" s="653"/>
      <c r="AT12" s="540">
        <v>12</v>
      </c>
      <c r="AU12" s="541">
        <v>1421.9047619047624</v>
      </c>
      <c r="AV12" s="541">
        <v>118.49206349206354</v>
      </c>
      <c r="AW12" s="540">
        <f t="shared" si="13"/>
        <v>8</v>
      </c>
      <c r="AX12" s="653"/>
      <c r="AZ12" s="540" t="e">
        <f t="shared" si="14"/>
        <v>#N/A</v>
      </c>
      <c r="BA12" s="653"/>
    </row>
    <row r="13" spans="1:53" ht="14.25">
      <c r="A13" s="81"/>
      <c r="B13" s="661"/>
      <c r="C13" s="483">
        <v>7</v>
      </c>
      <c r="D13" s="223" t="s">
        <v>540</v>
      </c>
      <c r="E13" s="491">
        <v>7</v>
      </c>
      <c r="F13" s="483">
        <v>1500</v>
      </c>
      <c r="G13" s="484">
        <v>214.28571428571428</v>
      </c>
      <c r="H13" s="678"/>
      <c r="I13" s="487">
        <f t="shared" si="0"/>
        <v>7</v>
      </c>
      <c r="J13" s="487">
        <f t="shared" si="0"/>
        <v>1447.7219429415081</v>
      </c>
      <c r="K13" s="363">
        <f t="shared" si="0"/>
        <v>206.81742042021543</v>
      </c>
      <c r="L13" s="615"/>
      <c r="M13" s="489">
        <f>RANK(K13, K$7:$K$21)</f>
        <v>5</v>
      </c>
      <c r="N13" s="624"/>
      <c r="O13" s="624"/>
      <c r="P13" s="411"/>
      <c r="Q13" s="182"/>
      <c r="R13" s="182"/>
      <c r="S13" s="414"/>
      <c r="T13" s="674"/>
      <c r="U13" s="540">
        <v>7</v>
      </c>
      <c r="V13" s="541">
        <v>1442.3999999999996</v>
      </c>
      <c r="W13" s="541">
        <v>206.05714285714279</v>
      </c>
      <c r="X13" s="540">
        <f t="shared" si="8"/>
        <v>5</v>
      </c>
      <c r="Y13" s="653"/>
      <c r="Z13" s="540">
        <v>7</v>
      </c>
      <c r="AA13" s="541">
        <v>1464.1666666666661</v>
      </c>
      <c r="AB13" s="541">
        <v>209.16666666666657</v>
      </c>
      <c r="AC13" s="540">
        <f t="shared" si="9"/>
        <v>3</v>
      </c>
      <c r="AD13" s="653"/>
      <c r="AE13" s="540">
        <v>7</v>
      </c>
      <c r="AF13" s="541">
        <v>1450.4761904761908</v>
      </c>
      <c r="AG13" s="541">
        <v>207.21088435374153</v>
      </c>
      <c r="AH13" s="540">
        <f t="shared" si="10"/>
        <v>4</v>
      </c>
      <c r="AI13" s="653"/>
      <c r="AJ13" s="540">
        <v>7</v>
      </c>
      <c r="AK13" s="541">
        <v>1453.0434782608695</v>
      </c>
      <c r="AL13" s="541">
        <v>207.57763975155279</v>
      </c>
      <c r="AM13" s="540">
        <f t="shared" si="11"/>
        <v>5</v>
      </c>
      <c r="AN13" s="653"/>
      <c r="AO13" s="540">
        <v>7</v>
      </c>
      <c r="AP13" s="541">
        <v>1422.4615384615381</v>
      </c>
      <c r="AQ13" s="541">
        <v>203.20879120879115</v>
      </c>
      <c r="AR13" s="540">
        <f t="shared" si="12"/>
        <v>5</v>
      </c>
      <c r="AS13" s="653"/>
      <c r="AT13" s="540">
        <v>7</v>
      </c>
      <c r="AU13" s="541">
        <v>1453.7837837837835</v>
      </c>
      <c r="AV13" s="541">
        <v>207.68339768339766</v>
      </c>
      <c r="AW13" s="540">
        <f t="shared" si="13"/>
        <v>5</v>
      </c>
      <c r="AX13" s="653"/>
      <c r="AZ13" s="540" t="e">
        <f t="shared" si="14"/>
        <v>#N/A</v>
      </c>
      <c r="BA13" s="653"/>
    </row>
    <row r="14" spans="1:53" ht="14.25">
      <c r="A14" s="81"/>
      <c r="B14" s="661"/>
      <c r="C14" s="483">
        <v>8</v>
      </c>
      <c r="D14" s="223" t="s">
        <v>723</v>
      </c>
      <c r="E14" s="491">
        <v>12</v>
      </c>
      <c r="F14" s="483">
        <v>2000</v>
      </c>
      <c r="G14" s="484">
        <v>166.66666666666666</v>
      </c>
      <c r="H14" s="678"/>
      <c r="I14" s="487">
        <f t="shared" si="0"/>
        <v>12</v>
      </c>
      <c r="J14" s="487">
        <f t="shared" si="0"/>
        <v>1446.314483008601</v>
      </c>
      <c r="K14" s="363">
        <f t="shared" si="0"/>
        <v>120.52620691738342</v>
      </c>
      <c r="L14" s="615"/>
      <c r="M14" s="489">
        <f>RANK(K14, K$7:$K$21)</f>
        <v>7</v>
      </c>
      <c r="N14" s="624"/>
      <c r="O14" s="624"/>
      <c r="P14" s="411"/>
      <c r="Q14" s="182"/>
      <c r="R14" s="182"/>
      <c r="S14" s="414"/>
      <c r="T14" s="674"/>
      <c r="U14" s="540">
        <v>12</v>
      </c>
      <c r="V14" s="541">
        <v>1455.8142857142861</v>
      </c>
      <c r="W14" s="541">
        <v>121.31785714285718</v>
      </c>
      <c r="X14" s="540">
        <f t="shared" si="8"/>
        <v>7</v>
      </c>
      <c r="Y14" s="653"/>
      <c r="Z14" s="540">
        <v>12</v>
      </c>
      <c r="AA14" s="541">
        <v>1434.9705882352939</v>
      </c>
      <c r="AB14" s="541">
        <v>119.58088235294116</v>
      </c>
      <c r="AC14" s="540">
        <f t="shared" si="9"/>
        <v>8</v>
      </c>
      <c r="AD14" s="653"/>
      <c r="AE14" s="540">
        <v>12</v>
      </c>
      <c r="AF14" s="541">
        <v>1418.181818181818</v>
      </c>
      <c r="AG14" s="541">
        <v>118.18181818181817</v>
      </c>
      <c r="AH14" s="540">
        <f t="shared" si="10"/>
        <v>8</v>
      </c>
      <c r="AI14" s="653"/>
      <c r="AJ14" s="540">
        <v>12</v>
      </c>
      <c r="AK14" s="541">
        <v>1449.1904761904759</v>
      </c>
      <c r="AL14" s="541">
        <v>120.765873015873</v>
      </c>
      <c r="AM14" s="540">
        <f t="shared" si="11"/>
        <v>7</v>
      </c>
      <c r="AN14" s="653"/>
      <c r="AO14" s="540">
        <v>12</v>
      </c>
      <c r="AP14" s="541">
        <v>1454.5945945945953</v>
      </c>
      <c r="AQ14" s="541">
        <v>121.21621621621627</v>
      </c>
      <c r="AR14" s="540">
        <f t="shared" si="12"/>
        <v>7</v>
      </c>
      <c r="AS14" s="653"/>
      <c r="AT14" s="540">
        <v>12</v>
      </c>
      <c r="AU14" s="541">
        <v>1465.1351351351359</v>
      </c>
      <c r="AV14" s="541">
        <v>122.09459459459465</v>
      </c>
      <c r="AW14" s="540">
        <f t="shared" si="13"/>
        <v>7</v>
      </c>
      <c r="AX14" s="653"/>
      <c r="AZ14" s="540" t="e">
        <f t="shared" si="14"/>
        <v>#N/A</v>
      </c>
      <c r="BA14" s="653"/>
    </row>
    <row r="15" spans="1:53" ht="14.25">
      <c r="A15" s="81"/>
      <c r="B15" s="661"/>
      <c r="C15" s="483">
        <v>9</v>
      </c>
      <c r="D15" s="223" t="s">
        <v>724</v>
      </c>
      <c r="E15" s="491">
        <v>12</v>
      </c>
      <c r="F15" s="483">
        <v>2000</v>
      </c>
      <c r="G15" s="484">
        <v>166.66666666666666</v>
      </c>
      <c r="H15" s="678"/>
      <c r="I15" s="487">
        <f t="shared" si="0"/>
        <v>12</v>
      </c>
      <c r="J15" s="487">
        <f t="shared" si="0"/>
        <v>1517.7274831649836</v>
      </c>
      <c r="K15" s="363">
        <f t="shared" si="0"/>
        <v>126.47729026374863</v>
      </c>
      <c r="L15" s="615"/>
      <c r="M15" s="489">
        <f>RANK(K15, K$7:$K$21)</f>
        <v>6</v>
      </c>
      <c r="N15" s="624"/>
      <c r="O15" s="624"/>
      <c r="P15" s="411"/>
      <c r="Q15" s="182"/>
      <c r="R15" s="182"/>
      <c r="S15" s="414"/>
      <c r="T15" s="674"/>
      <c r="U15" s="540">
        <v>12</v>
      </c>
      <c r="V15" s="541">
        <v>1520.0000000000005</v>
      </c>
      <c r="W15" s="541">
        <v>126.6666666666667</v>
      </c>
      <c r="X15" s="540">
        <f t="shared" si="8"/>
        <v>6</v>
      </c>
      <c r="Y15" s="653"/>
      <c r="Z15" s="540">
        <v>12</v>
      </c>
      <c r="AA15" s="541">
        <v>1548.0000000000002</v>
      </c>
      <c r="AB15" s="541">
        <v>129.00000000000003</v>
      </c>
      <c r="AC15" s="540">
        <f t="shared" si="9"/>
        <v>6</v>
      </c>
      <c r="AD15" s="653"/>
      <c r="AE15" s="540">
        <v>12</v>
      </c>
      <c r="AF15" s="541">
        <v>1500.0000000000005</v>
      </c>
      <c r="AG15" s="541">
        <v>125.00000000000004</v>
      </c>
      <c r="AH15" s="540">
        <f t="shared" si="10"/>
        <v>6</v>
      </c>
      <c r="AI15" s="653"/>
      <c r="AJ15" s="540">
        <v>12</v>
      </c>
      <c r="AK15" s="541">
        <v>1539.3749999999995</v>
      </c>
      <c r="AL15" s="541">
        <v>128.28124999999997</v>
      </c>
      <c r="AM15" s="540">
        <f t="shared" si="11"/>
        <v>6</v>
      </c>
      <c r="AN15" s="653"/>
      <c r="AO15" s="540">
        <v>12</v>
      </c>
      <c r="AP15" s="541">
        <v>1484.4444444444453</v>
      </c>
      <c r="AQ15" s="541">
        <v>123.70370370370377</v>
      </c>
      <c r="AR15" s="540">
        <f t="shared" si="12"/>
        <v>6</v>
      </c>
      <c r="AS15" s="653"/>
      <c r="AT15" s="540">
        <v>12</v>
      </c>
      <c r="AU15" s="541">
        <v>1514.5454545454545</v>
      </c>
      <c r="AV15" s="541">
        <v>126.2121212121212</v>
      </c>
      <c r="AW15" s="540">
        <f t="shared" si="13"/>
        <v>6</v>
      </c>
      <c r="AX15" s="653"/>
      <c r="AZ15" s="540" t="e">
        <f t="shared" si="14"/>
        <v>#N/A</v>
      </c>
      <c r="BA15" s="653"/>
    </row>
    <row r="16" spans="1:53" ht="14.25">
      <c r="A16" s="81"/>
      <c r="B16" s="661"/>
      <c r="C16" s="483">
        <v>10</v>
      </c>
      <c r="D16" s="223" t="s">
        <v>732</v>
      </c>
      <c r="E16" s="491">
        <v>16</v>
      </c>
      <c r="F16" s="483">
        <v>1385</v>
      </c>
      <c r="G16" s="484">
        <v>86.5625</v>
      </c>
      <c r="H16" s="678"/>
      <c r="I16" s="487">
        <f t="shared" si="0"/>
        <v>16</v>
      </c>
      <c r="J16" s="487">
        <f t="shared" si="0"/>
        <v>1130.2022004396583</v>
      </c>
      <c r="K16" s="363">
        <f t="shared" si="0"/>
        <v>70.637637527478645</v>
      </c>
      <c r="L16" s="615"/>
      <c r="M16" s="489">
        <f>RANK(K16, K$7:$K$21)</f>
        <v>10</v>
      </c>
      <c r="N16" s="624"/>
      <c r="O16" s="624"/>
      <c r="P16" s="411"/>
      <c r="Q16" s="182"/>
      <c r="R16" s="182"/>
      <c r="S16" s="414"/>
      <c r="T16" s="674"/>
      <c r="U16" s="540">
        <v>16</v>
      </c>
      <c r="V16" s="541">
        <v>1138.4415584415588</v>
      </c>
      <c r="W16" s="541">
        <v>71.152597402597422</v>
      </c>
      <c r="X16" s="540">
        <f t="shared" si="8"/>
        <v>10</v>
      </c>
      <c r="Y16" s="653"/>
      <c r="Z16" s="540">
        <v>16</v>
      </c>
      <c r="AA16" s="541">
        <v>1138.4810126582286</v>
      </c>
      <c r="AB16" s="541">
        <v>71.155063291139285</v>
      </c>
      <c r="AC16" s="540">
        <f t="shared" si="9"/>
        <v>10</v>
      </c>
      <c r="AD16" s="653"/>
      <c r="AE16" s="540">
        <v>16</v>
      </c>
      <c r="AF16" s="541">
        <v>1142.9999999999993</v>
      </c>
      <c r="AG16" s="541">
        <v>71.437499999999957</v>
      </c>
      <c r="AH16" s="540">
        <f t="shared" si="10"/>
        <v>10</v>
      </c>
      <c r="AI16" s="653"/>
      <c r="AJ16" s="540">
        <v>16</v>
      </c>
      <c r="AK16" s="541">
        <v>1109.5200000000004</v>
      </c>
      <c r="AL16" s="541">
        <v>69.345000000000027</v>
      </c>
      <c r="AM16" s="540">
        <f t="shared" si="11"/>
        <v>10</v>
      </c>
      <c r="AN16" s="653"/>
      <c r="AO16" s="540">
        <v>16</v>
      </c>
      <c r="AP16" s="541">
        <v>1113.7931034482756</v>
      </c>
      <c r="AQ16" s="541">
        <v>69.612068965517224</v>
      </c>
      <c r="AR16" s="540">
        <f t="shared" si="12"/>
        <v>10</v>
      </c>
      <c r="AS16" s="653"/>
      <c r="AT16" s="540">
        <v>16</v>
      </c>
      <c r="AU16" s="541">
        <v>1137.9775280898875</v>
      </c>
      <c r="AV16" s="541">
        <v>71.123595505617971</v>
      </c>
      <c r="AW16" s="540">
        <f t="shared" si="13"/>
        <v>10</v>
      </c>
      <c r="AX16" s="653"/>
      <c r="AZ16" s="540" t="e">
        <f t="shared" si="14"/>
        <v>#N/A</v>
      </c>
      <c r="BA16" s="653"/>
    </row>
    <row r="17" spans="2:53">
      <c r="B17" s="661"/>
      <c r="C17" s="483">
        <v>11</v>
      </c>
      <c r="D17" s="223" t="s">
        <v>798</v>
      </c>
      <c r="E17" s="491">
        <v>7</v>
      </c>
      <c r="F17" s="483">
        <v>1500</v>
      </c>
      <c r="G17" s="484">
        <v>214.28571428571428</v>
      </c>
      <c r="H17" s="678"/>
      <c r="I17" s="487">
        <f t="shared" si="0"/>
        <v>7</v>
      </c>
      <c r="J17" s="487">
        <f t="shared" si="0"/>
        <v>1461.0261938268134</v>
      </c>
      <c r="K17" s="363">
        <f t="shared" si="0"/>
        <v>208.71802768954475</v>
      </c>
      <c r="L17" s="615"/>
      <c r="M17" s="489">
        <f>RANK(K17, K$7:$K$21)</f>
        <v>4</v>
      </c>
      <c r="N17" s="624"/>
      <c r="O17" s="624"/>
      <c r="P17" s="411"/>
      <c r="Q17" s="182"/>
      <c r="R17" s="182"/>
      <c r="S17" s="414"/>
      <c r="T17" s="674"/>
      <c r="U17" s="540">
        <v>7</v>
      </c>
      <c r="V17" s="541">
        <v>1444.8000000000006</v>
      </c>
      <c r="W17" s="541">
        <v>206.40000000000009</v>
      </c>
      <c r="X17" s="540">
        <f t="shared" si="8"/>
        <v>4</v>
      </c>
      <c r="Y17" s="653"/>
      <c r="Z17" s="540">
        <v>7</v>
      </c>
      <c r="AA17" s="541">
        <v>1468.181818181818</v>
      </c>
      <c r="AB17" s="541">
        <v>209.74025974025972</v>
      </c>
      <c r="AC17" s="540">
        <f t="shared" si="9"/>
        <v>2</v>
      </c>
      <c r="AD17" s="653"/>
      <c r="AE17" s="540">
        <v>7</v>
      </c>
      <c r="AF17" s="541">
        <v>1447.058823529411</v>
      </c>
      <c r="AG17" s="541">
        <v>206.72268907563014</v>
      </c>
      <c r="AH17" s="540">
        <f t="shared" si="10"/>
        <v>5</v>
      </c>
      <c r="AI17" s="653"/>
      <c r="AJ17" s="540">
        <v>7</v>
      </c>
      <c r="AK17" s="541">
        <v>1474.9090909090917</v>
      </c>
      <c r="AL17" s="541">
        <v>210.70129870129881</v>
      </c>
      <c r="AM17" s="540">
        <f t="shared" si="11"/>
        <v>1</v>
      </c>
      <c r="AN17" s="653"/>
      <c r="AO17" s="540">
        <v>7</v>
      </c>
      <c r="AP17" s="541">
        <v>1456.4705882352946</v>
      </c>
      <c r="AQ17" s="541">
        <v>208.06722689075636</v>
      </c>
      <c r="AR17" s="540">
        <f t="shared" si="12"/>
        <v>3</v>
      </c>
      <c r="AS17" s="653"/>
      <c r="AT17" s="540">
        <v>7</v>
      </c>
      <c r="AU17" s="541">
        <v>1474.7368421052643</v>
      </c>
      <c r="AV17" s="541">
        <v>210.67669172932347</v>
      </c>
      <c r="AW17" s="540">
        <f t="shared" si="13"/>
        <v>2</v>
      </c>
      <c r="AX17" s="653"/>
      <c r="AZ17" s="540" t="e">
        <f t="shared" si="14"/>
        <v>#N/A</v>
      </c>
      <c r="BA17" s="653"/>
    </row>
    <row r="18" spans="2:53">
      <c r="B18" s="661"/>
      <c r="C18" s="483">
        <v>12</v>
      </c>
      <c r="D18" s="223"/>
      <c r="E18" s="491"/>
      <c r="F18" s="483"/>
      <c r="G18" s="484"/>
      <c r="H18" s="678"/>
      <c r="I18" s="487" t="str">
        <f t="shared" si="0"/>
        <v>-</v>
      </c>
      <c r="J18" s="487" t="str">
        <f t="shared" si="0"/>
        <v>-</v>
      </c>
      <c r="K18" s="363" t="str">
        <f t="shared" si="0"/>
        <v>-</v>
      </c>
      <c r="L18" s="615"/>
      <c r="M18" s="489" t="e">
        <f>RANK(K18, K$7:$K$21)</f>
        <v>#VALUE!</v>
      </c>
      <c r="N18" s="624"/>
      <c r="O18" s="624"/>
      <c r="P18" s="411"/>
      <c r="Q18" s="182"/>
      <c r="R18" s="182"/>
      <c r="S18" s="414"/>
      <c r="T18" s="674"/>
      <c r="U18" s="540" t="s">
        <v>427</v>
      </c>
      <c r="V18" s="541" t="s">
        <v>427</v>
      </c>
      <c r="W18" s="541" t="s">
        <v>427</v>
      </c>
      <c r="X18" s="540" t="e">
        <f t="shared" si="8"/>
        <v>#VALUE!</v>
      </c>
      <c r="Y18" s="653"/>
      <c r="Z18" s="540" t="s">
        <v>427</v>
      </c>
      <c r="AA18" s="541" t="s">
        <v>427</v>
      </c>
      <c r="AB18" s="541" t="s">
        <v>427</v>
      </c>
      <c r="AC18" s="540" t="e">
        <f t="shared" si="9"/>
        <v>#VALUE!</v>
      </c>
      <c r="AD18" s="653"/>
      <c r="AE18" s="540" t="s">
        <v>427</v>
      </c>
      <c r="AF18" s="541" t="s">
        <v>427</v>
      </c>
      <c r="AG18" s="541" t="s">
        <v>427</v>
      </c>
      <c r="AH18" s="540" t="e">
        <f t="shared" si="10"/>
        <v>#VALUE!</v>
      </c>
      <c r="AI18" s="653"/>
      <c r="AJ18" s="540" t="s">
        <v>427</v>
      </c>
      <c r="AK18" s="541" t="s">
        <v>427</v>
      </c>
      <c r="AL18" s="541" t="s">
        <v>427</v>
      </c>
      <c r="AM18" s="540" t="e">
        <f t="shared" si="11"/>
        <v>#VALUE!</v>
      </c>
      <c r="AN18" s="653"/>
      <c r="AO18" s="540" t="s">
        <v>427</v>
      </c>
      <c r="AP18" s="541" t="s">
        <v>427</v>
      </c>
      <c r="AQ18" s="541" t="s">
        <v>427</v>
      </c>
      <c r="AR18" s="540" t="e">
        <f t="shared" si="12"/>
        <v>#VALUE!</v>
      </c>
      <c r="AS18" s="653"/>
      <c r="AT18" s="540" t="s">
        <v>427</v>
      </c>
      <c r="AU18" s="541" t="s">
        <v>427</v>
      </c>
      <c r="AV18" s="541" t="s">
        <v>427</v>
      </c>
      <c r="AW18" s="540" t="e">
        <f t="shared" si="13"/>
        <v>#VALUE!</v>
      </c>
      <c r="AX18" s="653"/>
      <c r="AZ18" s="540" t="e">
        <f t="shared" si="14"/>
        <v>#N/A</v>
      </c>
      <c r="BA18" s="653"/>
    </row>
    <row r="19" spans="2:53">
      <c r="B19" s="661"/>
      <c r="C19" s="483">
        <v>13</v>
      </c>
      <c r="D19" s="223"/>
      <c r="E19" s="491"/>
      <c r="F19" s="483"/>
      <c r="G19" s="484"/>
      <c r="H19" s="678"/>
      <c r="I19" s="487" t="str">
        <f t="shared" si="0"/>
        <v>-</v>
      </c>
      <c r="J19" s="487" t="str">
        <f t="shared" si="0"/>
        <v>-</v>
      </c>
      <c r="K19" s="363" t="str">
        <f t="shared" si="0"/>
        <v>-</v>
      </c>
      <c r="L19" s="615"/>
      <c r="M19" s="489" t="e">
        <f>RANK(K19, K$7:$K$21)</f>
        <v>#VALUE!</v>
      </c>
      <c r="N19" s="624"/>
      <c r="O19" s="624"/>
      <c r="P19" s="411"/>
      <c r="Q19" s="182"/>
      <c r="R19" s="182"/>
      <c r="S19" s="414"/>
      <c r="T19" s="674"/>
      <c r="U19" s="540" t="s">
        <v>427</v>
      </c>
      <c r="V19" s="541" t="s">
        <v>427</v>
      </c>
      <c r="W19" s="541" t="s">
        <v>427</v>
      </c>
      <c r="X19" s="540" t="e">
        <f t="shared" si="8"/>
        <v>#VALUE!</v>
      </c>
      <c r="Y19" s="653"/>
      <c r="Z19" s="540" t="s">
        <v>427</v>
      </c>
      <c r="AA19" s="541" t="s">
        <v>427</v>
      </c>
      <c r="AB19" s="541" t="s">
        <v>427</v>
      </c>
      <c r="AC19" s="540" t="e">
        <f t="shared" si="9"/>
        <v>#VALUE!</v>
      </c>
      <c r="AD19" s="653"/>
      <c r="AE19" s="540" t="s">
        <v>427</v>
      </c>
      <c r="AF19" s="541" t="s">
        <v>427</v>
      </c>
      <c r="AG19" s="541" t="s">
        <v>427</v>
      </c>
      <c r="AH19" s="540" t="e">
        <f t="shared" si="10"/>
        <v>#VALUE!</v>
      </c>
      <c r="AI19" s="653"/>
      <c r="AJ19" s="540" t="s">
        <v>427</v>
      </c>
      <c r="AK19" s="541" t="s">
        <v>427</v>
      </c>
      <c r="AL19" s="541" t="s">
        <v>427</v>
      </c>
      <c r="AM19" s="540" t="e">
        <f t="shared" si="11"/>
        <v>#VALUE!</v>
      </c>
      <c r="AN19" s="653"/>
      <c r="AO19" s="540" t="s">
        <v>427</v>
      </c>
      <c r="AP19" s="541" t="s">
        <v>427</v>
      </c>
      <c r="AQ19" s="541" t="s">
        <v>427</v>
      </c>
      <c r="AR19" s="540" t="e">
        <f t="shared" si="12"/>
        <v>#VALUE!</v>
      </c>
      <c r="AS19" s="653"/>
      <c r="AT19" s="540" t="s">
        <v>427</v>
      </c>
      <c r="AU19" s="541" t="s">
        <v>427</v>
      </c>
      <c r="AV19" s="541" t="s">
        <v>427</v>
      </c>
      <c r="AW19" s="540" t="e">
        <f t="shared" si="13"/>
        <v>#VALUE!</v>
      </c>
      <c r="AX19" s="653"/>
      <c r="AZ19" s="540" t="e">
        <f t="shared" si="14"/>
        <v>#N/A</v>
      </c>
      <c r="BA19" s="653"/>
    </row>
    <row r="20" spans="2:53">
      <c r="B20" s="661"/>
      <c r="C20" s="483">
        <v>14</v>
      </c>
      <c r="D20" s="223"/>
      <c r="E20" s="491"/>
      <c r="F20" s="483"/>
      <c r="G20" s="484"/>
      <c r="H20" s="678"/>
      <c r="I20" s="487" t="str">
        <f t="shared" si="0"/>
        <v>-</v>
      </c>
      <c r="J20" s="487" t="str">
        <f t="shared" si="0"/>
        <v>-</v>
      </c>
      <c r="K20" s="363" t="str">
        <f t="shared" si="0"/>
        <v>-</v>
      </c>
      <c r="L20" s="615"/>
      <c r="M20" s="489" t="e">
        <f>RANK(K20, K$7:$K$21)</f>
        <v>#VALUE!</v>
      </c>
      <c r="N20" s="624"/>
      <c r="O20" s="624"/>
      <c r="P20" s="411"/>
      <c r="Q20" s="182"/>
      <c r="R20" s="182"/>
      <c r="S20" s="414"/>
      <c r="T20" s="674"/>
      <c r="U20" s="540" t="s">
        <v>427</v>
      </c>
      <c r="V20" s="541" t="s">
        <v>427</v>
      </c>
      <c r="W20" s="541" t="s">
        <v>427</v>
      </c>
      <c r="X20" s="540" t="e">
        <f t="shared" si="8"/>
        <v>#VALUE!</v>
      </c>
      <c r="Y20" s="653"/>
      <c r="Z20" s="540" t="s">
        <v>427</v>
      </c>
      <c r="AA20" s="541" t="s">
        <v>427</v>
      </c>
      <c r="AB20" s="541" t="s">
        <v>427</v>
      </c>
      <c r="AC20" s="540" t="e">
        <f t="shared" si="9"/>
        <v>#VALUE!</v>
      </c>
      <c r="AD20" s="653"/>
      <c r="AE20" s="540" t="s">
        <v>427</v>
      </c>
      <c r="AF20" s="541" t="s">
        <v>427</v>
      </c>
      <c r="AG20" s="541" t="s">
        <v>427</v>
      </c>
      <c r="AH20" s="540" t="e">
        <f t="shared" si="10"/>
        <v>#VALUE!</v>
      </c>
      <c r="AI20" s="653"/>
      <c r="AJ20" s="540" t="s">
        <v>427</v>
      </c>
      <c r="AK20" s="541" t="s">
        <v>427</v>
      </c>
      <c r="AL20" s="541" t="s">
        <v>427</v>
      </c>
      <c r="AM20" s="540" t="e">
        <f t="shared" si="11"/>
        <v>#VALUE!</v>
      </c>
      <c r="AN20" s="653"/>
      <c r="AO20" s="540" t="s">
        <v>427</v>
      </c>
      <c r="AP20" s="541" t="s">
        <v>427</v>
      </c>
      <c r="AQ20" s="541" t="s">
        <v>427</v>
      </c>
      <c r="AR20" s="540" t="e">
        <f t="shared" si="12"/>
        <v>#VALUE!</v>
      </c>
      <c r="AS20" s="653"/>
      <c r="AT20" s="540" t="s">
        <v>427</v>
      </c>
      <c r="AU20" s="541" t="s">
        <v>427</v>
      </c>
      <c r="AV20" s="541" t="s">
        <v>427</v>
      </c>
      <c r="AW20" s="540" t="e">
        <f t="shared" si="13"/>
        <v>#VALUE!</v>
      </c>
      <c r="AX20" s="653"/>
      <c r="AZ20" s="540" t="e">
        <f t="shared" si="14"/>
        <v>#N/A</v>
      </c>
      <c r="BA20" s="653"/>
    </row>
    <row r="21" spans="2:53">
      <c r="B21" s="661"/>
      <c r="C21" s="483">
        <v>15</v>
      </c>
      <c r="D21" s="223"/>
      <c r="E21" s="491"/>
      <c r="F21" s="483"/>
      <c r="G21" s="484"/>
      <c r="H21" s="679"/>
      <c r="I21" s="485"/>
      <c r="J21" s="485"/>
      <c r="K21" s="485"/>
      <c r="L21" s="616"/>
      <c r="M21" s="489" t="e">
        <f>RANK(K21, K$7:$K$21)</f>
        <v>#N/A</v>
      </c>
      <c r="N21" s="624"/>
      <c r="O21" s="624"/>
      <c r="P21" s="411"/>
      <c r="Q21" s="182"/>
      <c r="R21" s="182"/>
      <c r="S21" s="414"/>
      <c r="T21" s="674"/>
      <c r="U21" s="540" t="s">
        <v>427</v>
      </c>
      <c r="V21" s="541" t="s">
        <v>427</v>
      </c>
      <c r="W21" s="541" t="s">
        <v>427</v>
      </c>
      <c r="X21" s="540" t="e">
        <f t="shared" si="8"/>
        <v>#VALUE!</v>
      </c>
      <c r="Y21" s="653"/>
      <c r="Z21" s="540" t="s">
        <v>427</v>
      </c>
      <c r="AA21" s="541" t="s">
        <v>427</v>
      </c>
      <c r="AB21" s="541" t="s">
        <v>427</v>
      </c>
      <c r="AC21" s="540" t="e">
        <f t="shared" si="9"/>
        <v>#VALUE!</v>
      </c>
      <c r="AD21" s="653"/>
      <c r="AE21" s="540" t="s">
        <v>427</v>
      </c>
      <c r="AF21" s="541" t="s">
        <v>427</v>
      </c>
      <c r="AG21" s="541" t="s">
        <v>427</v>
      </c>
      <c r="AH21" s="540" t="e">
        <f t="shared" si="10"/>
        <v>#VALUE!</v>
      </c>
      <c r="AI21" s="653"/>
      <c r="AJ21" s="540" t="s">
        <v>427</v>
      </c>
      <c r="AK21" s="541" t="s">
        <v>427</v>
      </c>
      <c r="AL21" s="541" t="s">
        <v>427</v>
      </c>
      <c r="AM21" s="540" t="e">
        <f t="shared" si="11"/>
        <v>#VALUE!</v>
      </c>
      <c r="AN21" s="653"/>
      <c r="AO21" s="540" t="s">
        <v>427</v>
      </c>
      <c r="AP21" s="541" t="s">
        <v>427</v>
      </c>
      <c r="AQ21" s="541" t="s">
        <v>427</v>
      </c>
      <c r="AR21" s="540" t="e">
        <f t="shared" si="12"/>
        <v>#VALUE!</v>
      </c>
      <c r="AS21" s="653"/>
      <c r="AT21" s="540" t="s">
        <v>427</v>
      </c>
      <c r="AU21" s="541" t="s">
        <v>427</v>
      </c>
      <c r="AV21" s="541" t="s">
        <v>427</v>
      </c>
      <c r="AW21" s="540" t="e">
        <f t="shared" si="13"/>
        <v>#VALUE!</v>
      </c>
      <c r="AX21" s="653"/>
      <c r="AZ21" s="540" t="e">
        <f t="shared" si="14"/>
        <v>#N/A</v>
      </c>
      <c r="BA21" s="653"/>
    </row>
    <row r="22" spans="2:53" ht="15.75">
      <c r="B22" s="657" t="s">
        <v>769</v>
      </c>
      <c r="C22" s="658"/>
      <c r="D22" s="658"/>
      <c r="E22" s="658"/>
      <c r="F22" s="658"/>
      <c r="G22" s="658"/>
      <c r="H22" s="658"/>
      <c r="I22" s="200"/>
      <c r="J22" s="200"/>
      <c r="K22" s="200"/>
      <c r="L22" s="200"/>
      <c r="M22" s="201"/>
      <c r="N22" s="639" t="s">
        <v>781</v>
      </c>
      <c r="O22" s="639" t="s">
        <v>590</v>
      </c>
      <c r="P22" s="634">
        <f>AT2+1</f>
        <v>46210</v>
      </c>
      <c r="Q22" s="635"/>
      <c r="R22" s="635"/>
      <c r="S22" s="635"/>
      <c r="T22" s="635"/>
      <c r="U22" s="636">
        <f>P22+1</f>
        <v>46211</v>
      </c>
      <c r="V22" s="637"/>
      <c r="W22" s="637"/>
      <c r="X22" s="637"/>
      <c r="Y22" s="638"/>
      <c r="Z22" s="636">
        <f t="shared" ref="Z22" si="15">U22+1</f>
        <v>46212</v>
      </c>
      <c r="AA22" s="637"/>
      <c r="AB22" s="637"/>
      <c r="AC22" s="637"/>
      <c r="AD22" s="638"/>
      <c r="AE22" s="636">
        <f t="shared" ref="AE22" si="16">Z22+1</f>
        <v>46213</v>
      </c>
      <c r="AF22" s="637"/>
      <c r="AG22" s="637"/>
      <c r="AH22" s="637"/>
      <c r="AI22" s="638"/>
      <c r="AJ22" s="636">
        <f t="shared" ref="AJ22" si="17">AE22+1</f>
        <v>46214</v>
      </c>
      <c r="AK22" s="637"/>
      <c r="AL22" s="637"/>
      <c r="AM22" s="637"/>
      <c r="AN22" s="638"/>
      <c r="AO22" s="636">
        <f t="shared" ref="AO22" si="18">AJ22+1</f>
        <v>46215</v>
      </c>
      <c r="AP22" s="637"/>
      <c r="AQ22" s="637"/>
      <c r="AR22" s="637"/>
      <c r="AS22" s="638"/>
      <c r="AT22" s="636">
        <f t="shared" ref="AT22" si="19">AO22+1</f>
        <v>46216</v>
      </c>
      <c r="AU22" s="637"/>
      <c r="AV22" s="637"/>
      <c r="AW22" s="637"/>
      <c r="AX22" s="638"/>
    </row>
    <row r="23" spans="2:53" ht="15.75">
      <c r="B23" s="646"/>
      <c r="C23" s="646"/>
      <c r="D23" s="646"/>
      <c r="E23" s="646"/>
      <c r="F23" s="646"/>
      <c r="G23" s="646"/>
      <c r="H23" s="646"/>
      <c r="I23" s="202"/>
      <c r="J23" s="202"/>
      <c r="K23" s="202"/>
      <c r="L23" s="202"/>
      <c r="M23" s="203"/>
      <c r="N23" s="641"/>
      <c r="O23" s="641"/>
      <c r="P23" s="634" t="s">
        <v>591</v>
      </c>
      <c r="Q23" s="635"/>
      <c r="R23" s="635"/>
      <c r="S23" s="635"/>
      <c r="T23" s="635"/>
      <c r="U23" s="634" t="s">
        <v>592</v>
      </c>
      <c r="V23" s="635"/>
      <c r="W23" s="635"/>
      <c r="X23" s="635"/>
      <c r="Y23" s="635"/>
      <c r="Z23" s="634" t="s">
        <v>593</v>
      </c>
      <c r="AA23" s="635"/>
      <c r="AB23" s="635"/>
      <c r="AC23" s="635"/>
      <c r="AD23" s="635"/>
      <c r="AE23" s="634" t="s">
        <v>594</v>
      </c>
      <c r="AF23" s="635"/>
      <c r="AG23" s="635"/>
      <c r="AH23" s="635"/>
      <c r="AI23" s="635"/>
      <c r="AJ23" s="634" t="s">
        <v>595</v>
      </c>
      <c r="AK23" s="635"/>
      <c r="AL23" s="635"/>
      <c r="AM23" s="635"/>
      <c r="AN23" s="635"/>
      <c r="AO23" s="634" t="s">
        <v>596</v>
      </c>
      <c r="AP23" s="635"/>
      <c r="AQ23" s="635"/>
      <c r="AR23" s="635"/>
      <c r="AS23" s="635"/>
      <c r="AT23" s="634" t="s">
        <v>597</v>
      </c>
      <c r="AU23" s="635"/>
      <c r="AV23" s="635"/>
      <c r="AW23" s="635"/>
      <c r="AX23" s="635"/>
    </row>
    <row r="24" spans="2:53">
      <c r="B24" s="624" t="s">
        <v>760</v>
      </c>
      <c r="C24" s="624" t="s">
        <v>464</v>
      </c>
      <c r="D24" s="624"/>
      <c r="E24" s="624" t="s">
        <v>465</v>
      </c>
      <c r="F24" s="624"/>
      <c r="G24" s="624"/>
      <c r="H24" s="647" t="s">
        <v>466</v>
      </c>
      <c r="I24" s="624" t="s">
        <v>467</v>
      </c>
      <c r="J24" s="624"/>
      <c r="K24" s="624"/>
      <c r="L24" s="647" t="s">
        <v>763</v>
      </c>
      <c r="M24" s="639" t="s">
        <v>468</v>
      </c>
      <c r="N24" s="624"/>
      <c r="O24" s="624" t="s">
        <v>708</v>
      </c>
      <c r="P24" s="621" t="s">
        <v>709</v>
      </c>
      <c r="Q24" s="622"/>
      <c r="R24" s="622"/>
      <c r="S24" s="623"/>
      <c r="T24" s="624" t="s">
        <v>706</v>
      </c>
      <c r="U24" s="621" t="s">
        <v>709</v>
      </c>
      <c r="V24" s="622"/>
      <c r="W24" s="622"/>
      <c r="X24" s="623"/>
      <c r="Y24" s="624" t="s">
        <v>706</v>
      </c>
      <c r="Z24" s="621" t="s">
        <v>709</v>
      </c>
      <c r="AA24" s="622"/>
      <c r="AB24" s="622"/>
      <c r="AC24" s="623"/>
      <c r="AD24" s="624" t="s">
        <v>706</v>
      </c>
      <c r="AE24" s="621" t="s">
        <v>709</v>
      </c>
      <c r="AF24" s="622"/>
      <c r="AG24" s="622"/>
      <c r="AH24" s="623"/>
      <c r="AI24" s="624" t="s">
        <v>706</v>
      </c>
      <c r="AJ24" s="621" t="s">
        <v>709</v>
      </c>
      <c r="AK24" s="622"/>
      <c r="AL24" s="622"/>
      <c r="AM24" s="623"/>
      <c r="AN24" s="624" t="s">
        <v>706</v>
      </c>
      <c r="AO24" s="621" t="s">
        <v>709</v>
      </c>
      <c r="AP24" s="622"/>
      <c r="AQ24" s="622"/>
      <c r="AR24" s="623"/>
      <c r="AS24" s="624" t="s">
        <v>706</v>
      </c>
      <c r="AT24" s="621" t="s">
        <v>709</v>
      </c>
      <c r="AU24" s="622"/>
      <c r="AV24" s="622"/>
      <c r="AW24" s="623"/>
      <c r="AX24" s="624" t="s">
        <v>706</v>
      </c>
    </row>
    <row r="25" spans="2:53">
      <c r="B25" s="624"/>
      <c r="C25" s="624"/>
      <c r="D25" s="624"/>
      <c r="E25" s="624" t="s">
        <v>470</v>
      </c>
      <c r="F25" s="624"/>
      <c r="G25" s="624"/>
      <c r="H25" s="648"/>
      <c r="I25" s="624" t="s">
        <v>470</v>
      </c>
      <c r="J25" s="624"/>
      <c r="K25" s="624"/>
      <c r="L25" s="648"/>
      <c r="M25" s="640"/>
      <c r="N25" s="624"/>
      <c r="O25" s="624"/>
      <c r="P25" s="621" t="s">
        <v>710</v>
      </c>
      <c r="Q25" s="622"/>
      <c r="R25" s="622"/>
      <c r="S25" s="623"/>
      <c r="T25" s="624"/>
      <c r="U25" s="621" t="s">
        <v>710</v>
      </c>
      <c r="V25" s="622"/>
      <c r="W25" s="622"/>
      <c r="X25" s="623"/>
      <c r="Y25" s="624"/>
      <c r="Z25" s="621" t="s">
        <v>710</v>
      </c>
      <c r="AA25" s="622"/>
      <c r="AB25" s="622"/>
      <c r="AC25" s="623"/>
      <c r="AD25" s="624"/>
      <c r="AE25" s="621" t="s">
        <v>710</v>
      </c>
      <c r="AF25" s="622"/>
      <c r="AG25" s="622"/>
      <c r="AH25" s="623"/>
      <c r="AI25" s="624"/>
      <c r="AJ25" s="621" t="s">
        <v>710</v>
      </c>
      <c r="AK25" s="622"/>
      <c r="AL25" s="622"/>
      <c r="AM25" s="623"/>
      <c r="AN25" s="624"/>
      <c r="AO25" s="621" t="s">
        <v>710</v>
      </c>
      <c r="AP25" s="622"/>
      <c r="AQ25" s="622"/>
      <c r="AR25" s="623"/>
      <c r="AS25" s="624"/>
      <c r="AT25" s="621" t="s">
        <v>710</v>
      </c>
      <c r="AU25" s="622"/>
      <c r="AV25" s="622"/>
      <c r="AW25" s="623"/>
      <c r="AX25" s="624"/>
    </row>
    <row r="26" spans="2:53">
      <c r="B26" s="624"/>
      <c r="C26" s="624"/>
      <c r="D26" s="624"/>
      <c r="E26" s="482" t="s">
        <v>471</v>
      </c>
      <c r="F26" s="482" t="s">
        <v>472</v>
      </c>
      <c r="G26" s="482" t="s">
        <v>473</v>
      </c>
      <c r="H26" s="649"/>
      <c r="I26" s="482" t="s">
        <v>471</v>
      </c>
      <c r="J26" s="482" t="s">
        <v>472</v>
      </c>
      <c r="K26" s="482" t="s">
        <v>473</v>
      </c>
      <c r="L26" s="649"/>
      <c r="M26" s="641"/>
      <c r="N26" s="624"/>
      <c r="O26" s="624"/>
      <c r="P26" s="431" t="s">
        <v>711</v>
      </c>
      <c r="Q26" s="431" t="s">
        <v>712</v>
      </c>
      <c r="R26" s="431" t="s">
        <v>713</v>
      </c>
      <c r="S26" s="431" t="s">
        <v>707</v>
      </c>
      <c r="T26" s="624"/>
      <c r="U26" s="431" t="s">
        <v>711</v>
      </c>
      <c r="V26" s="431" t="s">
        <v>712</v>
      </c>
      <c r="W26" s="431" t="s">
        <v>713</v>
      </c>
      <c r="X26" s="431" t="s">
        <v>707</v>
      </c>
      <c r="Y26" s="624"/>
      <c r="Z26" s="431" t="s">
        <v>711</v>
      </c>
      <c r="AA26" s="431" t="s">
        <v>712</v>
      </c>
      <c r="AB26" s="431" t="s">
        <v>713</v>
      </c>
      <c r="AC26" s="431" t="s">
        <v>707</v>
      </c>
      <c r="AD26" s="624"/>
      <c r="AE26" s="431" t="s">
        <v>711</v>
      </c>
      <c r="AF26" s="431" t="s">
        <v>712</v>
      </c>
      <c r="AG26" s="431" t="s">
        <v>713</v>
      </c>
      <c r="AH26" s="431" t="s">
        <v>707</v>
      </c>
      <c r="AI26" s="624"/>
      <c r="AJ26" s="431" t="s">
        <v>711</v>
      </c>
      <c r="AK26" s="431" t="s">
        <v>712</v>
      </c>
      <c r="AL26" s="431" t="s">
        <v>713</v>
      </c>
      <c r="AM26" s="431" t="s">
        <v>707</v>
      </c>
      <c r="AN26" s="624"/>
      <c r="AO26" s="431" t="s">
        <v>711</v>
      </c>
      <c r="AP26" s="431" t="s">
        <v>712</v>
      </c>
      <c r="AQ26" s="431" t="s">
        <v>713</v>
      </c>
      <c r="AR26" s="431" t="s">
        <v>707</v>
      </c>
      <c r="AS26" s="624"/>
      <c r="AT26" s="431" t="s">
        <v>711</v>
      </c>
      <c r="AU26" s="431" t="s">
        <v>712</v>
      </c>
      <c r="AV26" s="431" t="s">
        <v>713</v>
      </c>
      <c r="AW26" s="431" t="s">
        <v>707</v>
      </c>
      <c r="AX26" s="624"/>
    </row>
    <row r="27" spans="2:53">
      <c r="B27" s="624" t="s">
        <v>797</v>
      </c>
      <c r="C27" s="485">
        <v>1</v>
      </c>
      <c r="D27" s="223" t="s">
        <v>351</v>
      </c>
      <c r="E27" s="491">
        <v>7</v>
      </c>
      <c r="F27" s="483">
        <v>1500</v>
      </c>
      <c r="G27" s="484">
        <v>214.28571428571428</v>
      </c>
      <c r="H27" s="671">
        <f>AVERAGE(G27:G41)</f>
        <v>165.04330595874714</v>
      </c>
      <c r="I27" s="487">
        <f t="shared" ref="I27:K40" si="20">IFERROR(AVERAGE(P27,U27,Z27,AE27,AJ27,AO27,AT27),"-")</f>
        <v>7</v>
      </c>
      <c r="J27" s="487">
        <f t="shared" si="20"/>
        <v>1454.0161296165297</v>
      </c>
      <c r="K27" s="363">
        <f t="shared" si="20"/>
        <v>207.71658994521846</v>
      </c>
      <c r="L27" s="614">
        <f>IFERROR(AVERAGE(K27:K41),"-")</f>
        <v>148.56502504275318</v>
      </c>
      <c r="M27" s="490">
        <f>RANK(K27, K$24:$K$41)</f>
        <v>4</v>
      </c>
      <c r="N27" s="624"/>
      <c r="O27" s="624"/>
      <c r="P27" s="540">
        <v>7</v>
      </c>
      <c r="Q27" s="541">
        <v>1436.5384615384623</v>
      </c>
      <c r="R27" s="541">
        <v>205.21978021978035</v>
      </c>
      <c r="S27" s="540">
        <f t="shared" ref="S27:S41" si="21">RANK(R27, R$27:R$41)</f>
        <v>5</v>
      </c>
      <c r="T27" s="653">
        <f t="shared" ref="T27" si="22">AVERAGE(R27:R41)</f>
        <v>148.79971287530779</v>
      </c>
      <c r="U27" s="540">
        <v>7</v>
      </c>
      <c r="V27" s="541">
        <v>1451.1111111111111</v>
      </c>
      <c r="W27" s="541">
        <v>207.30158730158729</v>
      </c>
      <c r="X27" s="540">
        <f t="shared" ref="X27:X41" si="23">RANK(W27, W$27:W$41)</f>
        <v>4</v>
      </c>
      <c r="Y27" s="653">
        <f t="shared" ref="Y27" si="24">AVERAGE(W27:W41)</f>
        <v>148.20158156833449</v>
      </c>
      <c r="Z27" s="540">
        <v>7</v>
      </c>
      <c r="AA27" s="541">
        <v>1456.0000000000005</v>
      </c>
      <c r="AB27" s="541">
        <v>208.00000000000006</v>
      </c>
      <c r="AC27" s="540">
        <f t="shared" ref="AC27:AC41" si="25">RANK(AB27, AB$27:AB$41)</f>
        <v>4</v>
      </c>
      <c r="AD27" s="653">
        <f t="shared" ref="AD27" si="26">AVERAGE(AB27:AB41)</f>
        <v>149.43841851202845</v>
      </c>
      <c r="AE27" s="540">
        <v>7</v>
      </c>
      <c r="AF27" s="541">
        <v>1437.0731707317068</v>
      </c>
      <c r="AG27" s="541">
        <v>205.29616724738668</v>
      </c>
      <c r="AH27" s="540">
        <f t="shared" ref="AH27:AH41" si="27">RANK(AG27, AG$27:AG$41)</f>
        <v>5</v>
      </c>
      <c r="AI27" s="653">
        <f t="shared" ref="AI27" si="28">AVERAGE(AG27:AG41)</f>
        <v>146.39066103818757</v>
      </c>
      <c r="AJ27" s="540">
        <v>7</v>
      </c>
      <c r="AK27" s="541">
        <v>1466.4000000000005</v>
      </c>
      <c r="AL27" s="541">
        <v>209.48571428571435</v>
      </c>
      <c r="AM27" s="540">
        <f t="shared" ref="AM27:AM41" si="29">RANK(AL27, AL$27:AL$41)</f>
        <v>3</v>
      </c>
      <c r="AN27" s="653">
        <f t="shared" ref="AN27" si="30">AVERAGE(AL27:AL41)</f>
        <v>157.53175744865865</v>
      </c>
      <c r="AO27" s="540">
        <v>7</v>
      </c>
      <c r="AP27" s="541">
        <v>1466.4000000000005</v>
      </c>
      <c r="AQ27" s="541">
        <v>209.48571428571435</v>
      </c>
      <c r="AR27" s="540">
        <f t="shared" ref="AR27:AR41" si="31">RANK(AQ27, AQ$27:AQ$41)</f>
        <v>3</v>
      </c>
      <c r="AS27" s="653">
        <f t="shared" ref="AS27" si="32">AVERAGE(AQ27:AQ41)</f>
        <v>157.53175744865865</v>
      </c>
      <c r="AT27" s="540">
        <v>7</v>
      </c>
      <c r="AU27" s="541">
        <v>1464.5901639344258</v>
      </c>
      <c r="AV27" s="541">
        <v>209.22716627634654</v>
      </c>
      <c r="AW27" s="540">
        <f t="shared" ref="AW27:AW41" si="33">RANK(AV27, AV$27:AV$41)</f>
        <v>2</v>
      </c>
      <c r="AX27" s="653">
        <f t="shared" ref="AX27" si="34">AVERAGE(AV27:AV41)</f>
        <v>156.61769588748686</v>
      </c>
      <c r="AZ27" s="377" t="e">
        <f t="shared" ref="AZ27:AZ41" si="35">RANK(AY27, AY$27:AY$41)</f>
        <v>#N/A</v>
      </c>
      <c r="BA27" s="653" t="e">
        <f t="shared" ref="BA27" si="36">AVERAGE(AY27:AY41)</f>
        <v>#DIV/0!</v>
      </c>
    </row>
    <row r="28" spans="2:53">
      <c r="B28" s="635"/>
      <c r="C28" s="485">
        <v>2</v>
      </c>
      <c r="D28" s="223" t="s">
        <v>352</v>
      </c>
      <c r="E28" s="491">
        <v>7</v>
      </c>
      <c r="F28" s="483">
        <v>1500</v>
      </c>
      <c r="G28" s="484">
        <v>214.28571428571428</v>
      </c>
      <c r="H28" s="672"/>
      <c r="I28" s="487">
        <f t="shared" si="20"/>
        <v>7</v>
      </c>
      <c r="J28" s="487">
        <f t="shared" si="20"/>
        <v>1456.8099911534098</v>
      </c>
      <c r="K28" s="363">
        <f t="shared" si="20"/>
        <v>208.1157130219157</v>
      </c>
      <c r="L28" s="615"/>
      <c r="M28" s="490">
        <f>RANK(K28, K$24:$K$41)</f>
        <v>3</v>
      </c>
      <c r="N28" s="624"/>
      <c r="O28" s="624"/>
      <c r="P28" s="540">
        <v>7</v>
      </c>
      <c r="Q28" s="541">
        <v>1469.7841726618706</v>
      </c>
      <c r="R28" s="541">
        <v>209.96916752312436</v>
      </c>
      <c r="S28" s="540">
        <f t="shared" si="21"/>
        <v>1</v>
      </c>
      <c r="T28" s="653"/>
      <c r="U28" s="540">
        <v>7</v>
      </c>
      <c r="V28" s="541">
        <v>1462.553191489362</v>
      </c>
      <c r="W28" s="541">
        <v>208.936170212766</v>
      </c>
      <c r="X28" s="540">
        <f t="shared" si="23"/>
        <v>2</v>
      </c>
      <c r="Y28" s="653"/>
      <c r="Z28" s="540">
        <v>7</v>
      </c>
      <c r="AA28" s="541">
        <v>1470.6122448979588</v>
      </c>
      <c r="AB28" s="541">
        <v>210.08746355685125</v>
      </c>
      <c r="AC28" s="540">
        <f t="shared" si="25"/>
        <v>3</v>
      </c>
      <c r="AD28" s="653"/>
      <c r="AE28" s="540">
        <v>7</v>
      </c>
      <c r="AF28" s="541">
        <v>1459.4594594594594</v>
      </c>
      <c r="AG28" s="541">
        <v>208.49420849420849</v>
      </c>
      <c r="AH28" s="540">
        <f t="shared" si="27"/>
        <v>3</v>
      </c>
      <c r="AI28" s="653"/>
      <c r="AJ28" s="540">
        <v>7</v>
      </c>
      <c r="AK28" s="541">
        <v>1443.130434782609</v>
      </c>
      <c r="AL28" s="541">
        <v>206.16149068322986</v>
      </c>
      <c r="AM28" s="540">
        <f t="shared" si="29"/>
        <v>5</v>
      </c>
      <c r="AN28" s="653"/>
      <c r="AO28" s="540">
        <v>7</v>
      </c>
      <c r="AP28" s="541">
        <v>1443.130434782609</v>
      </c>
      <c r="AQ28" s="541">
        <v>206.16149068322986</v>
      </c>
      <c r="AR28" s="540">
        <f t="shared" si="31"/>
        <v>5</v>
      </c>
      <c r="AS28" s="653"/>
      <c r="AT28" s="540">
        <v>7</v>
      </c>
      <c r="AU28" s="541">
        <v>1449</v>
      </c>
      <c r="AV28" s="541">
        <v>207</v>
      </c>
      <c r="AW28" s="540">
        <f t="shared" si="33"/>
        <v>4</v>
      </c>
      <c r="AX28" s="653"/>
      <c r="AZ28" s="377" t="e">
        <f t="shared" si="35"/>
        <v>#N/A</v>
      </c>
      <c r="BA28" s="653"/>
    </row>
    <row r="29" spans="2:53">
      <c r="B29" s="635"/>
      <c r="C29" s="485">
        <v>3</v>
      </c>
      <c r="D29" s="223" t="s">
        <v>315</v>
      </c>
      <c r="E29" s="491">
        <v>20</v>
      </c>
      <c r="F29" s="483">
        <v>1385</v>
      </c>
      <c r="G29" s="484">
        <v>69.25</v>
      </c>
      <c r="H29" s="672"/>
      <c r="I29" s="487">
        <f t="shared" si="20"/>
        <v>20</v>
      </c>
      <c r="J29" s="487">
        <f t="shared" si="20"/>
        <v>1343.7380434100778</v>
      </c>
      <c r="K29" s="363">
        <f t="shared" si="20"/>
        <v>67.186902170503885</v>
      </c>
      <c r="L29" s="615"/>
      <c r="M29" s="490">
        <f>RANK(K29, K$24:$K$41)</f>
        <v>11</v>
      </c>
      <c r="N29" s="624"/>
      <c r="O29" s="624"/>
      <c r="P29" s="540">
        <v>20</v>
      </c>
      <c r="Q29" s="541">
        <v>1365.8879999999999</v>
      </c>
      <c r="R29" s="541">
        <v>68.294399999999996</v>
      </c>
      <c r="S29" s="540">
        <f t="shared" si="21"/>
        <v>11</v>
      </c>
      <c r="T29" s="653"/>
      <c r="U29" s="540">
        <v>20</v>
      </c>
      <c r="V29" s="541">
        <v>1307.0163934426228</v>
      </c>
      <c r="W29" s="541">
        <v>65.350819672131138</v>
      </c>
      <c r="X29" s="540">
        <f t="shared" si="23"/>
        <v>11</v>
      </c>
      <c r="Y29" s="653"/>
      <c r="Z29" s="540">
        <v>20</v>
      </c>
      <c r="AA29" s="541">
        <v>1320.5669291338581</v>
      </c>
      <c r="AB29" s="541">
        <v>66.028346456692901</v>
      </c>
      <c r="AC29" s="540">
        <f t="shared" si="25"/>
        <v>11</v>
      </c>
      <c r="AD29" s="653"/>
      <c r="AE29" s="540">
        <v>20</v>
      </c>
      <c r="AF29" s="541">
        <v>1381.48085106383</v>
      </c>
      <c r="AG29" s="541">
        <v>69.074042553191504</v>
      </c>
      <c r="AH29" s="540">
        <f t="shared" si="27"/>
        <v>11</v>
      </c>
      <c r="AI29" s="653"/>
      <c r="AJ29" s="540" t="s">
        <v>427</v>
      </c>
      <c r="AK29" s="541" t="s">
        <v>427</v>
      </c>
      <c r="AL29" s="541" t="s">
        <v>427</v>
      </c>
      <c r="AM29" s="540" t="e">
        <f t="shared" si="29"/>
        <v>#VALUE!</v>
      </c>
      <c r="AN29" s="653"/>
      <c r="AO29" s="540" t="s">
        <v>427</v>
      </c>
      <c r="AP29" s="541" t="s">
        <v>427</v>
      </c>
      <c r="AQ29" s="541" t="s">
        <v>427</v>
      </c>
      <c r="AR29" s="540" t="e">
        <f t="shared" si="31"/>
        <v>#VALUE!</v>
      </c>
      <c r="AS29" s="653"/>
      <c r="AT29" s="540" t="s">
        <v>427</v>
      </c>
      <c r="AU29" s="541" t="s">
        <v>427</v>
      </c>
      <c r="AV29" s="541" t="s">
        <v>427</v>
      </c>
      <c r="AW29" s="540" t="e">
        <f t="shared" si="33"/>
        <v>#VALUE!</v>
      </c>
      <c r="AX29" s="653"/>
      <c r="AZ29" s="377" t="e">
        <f t="shared" si="35"/>
        <v>#N/A</v>
      </c>
      <c r="BA29" s="653"/>
    </row>
    <row r="30" spans="2:53">
      <c r="B30" s="635"/>
      <c r="C30" s="485">
        <v>4</v>
      </c>
      <c r="D30" s="223" t="s">
        <v>353</v>
      </c>
      <c r="E30" s="491">
        <v>17</v>
      </c>
      <c r="F30" s="483">
        <v>1500</v>
      </c>
      <c r="G30" s="484">
        <v>88.235294117647058</v>
      </c>
      <c r="H30" s="672"/>
      <c r="I30" s="487">
        <f t="shared" si="20"/>
        <v>16.142857142857142</v>
      </c>
      <c r="J30" s="487">
        <f t="shared" si="20"/>
        <v>1392.9297541825949</v>
      </c>
      <c r="K30" s="363">
        <f t="shared" si="20"/>
        <v>86.335229575296822</v>
      </c>
      <c r="L30" s="615"/>
      <c r="M30" s="490">
        <f>RANK(K30, K$24:$K$41)</f>
        <v>9</v>
      </c>
      <c r="N30" s="624"/>
      <c r="O30" s="624"/>
      <c r="P30" s="540">
        <v>16</v>
      </c>
      <c r="Q30" s="541">
        <v>1404.5454545454545</v>
      </c>
      <c r="R30" s="541">
        <v>87.784090909090907</v>
      </c>
      <c r="S30" s="540">
        <f t="shared" si="21"/>
        <v>9</v>
      </c>
      <c r="T30" s="653"/>
      <c r="U30" s="540">
        <v>16</v>
      </c>
      <c r="V30" s="541">
        <v>1385.853658536585</v>
      </c>
      <c r="W30" s="541">
        <v>86.615853658536565</v>
      </c>
      <c r="X30" s="540">
        <f t="shared" si="23"/>
        <v>9</v>
      </c>
      <c r="Y30" s="653"/>
      <c r="Z30" s="540">
        <v>16</v>
      </c>
      <c r="AA30" s="541">
        <v>1400.2173913043484</v>
      </c>
      <c r="AB30" s="541">
        <v>87.513586956521777</v>
      </c>
      <c r="AC30" s="540">
        <f t="shared" si="25"/>
        <v>9</v>
      </c>
      <c r="AD30" s="653"/>
      <c r="AE30" s="540">
        <v>17</v>
      </c>
      <c r="AF30" s="541">
        <v>1376.3636363636369</v>
      </c>
      <c r="AG30" s="541">
        <v>80.96256684491982</v>
      </c>
      <c r="AH30" s="540">
        <f t="shared" si="27"/>
        <v>9</v>
      </c>
      <c r="AI30" s="653"/>
      <c r="AJ30" s="540">
        <v>16</v>
      </c>
      <c r="AK30" s="541">
        <v>1402.5974025974031</v>
      </c>
      <c r="AL30" s="541">
        <v>87.662337662337691</v>
      </c>
      <c r="AM30" s="540">
        <f t="shared" si="29"/>
        <v>9</v>
      </c>
      <c r="AN30" s="653"/>
      <c r="AO30" s="540">
        <v>16</v>
      </c>
      <c r="AP30" s="541">
        <v>1402.5974025974031</v>
      </c>
      <c r="AQ30" s="541">
        <v>87.662337662337691</v>
      </c>
      <c r="AR30" s="540">
        <f t="shared" si="31"/>
        <v>9</v>
      </c>
      <c r="AS30" s="653"/>
      <c r="AT30" s="540">
        <v>16</v>
      </c>
      <c r="AU30" s="541">
        <v>1378.3333333333337</v>
      </c>
      <c r="AV30" s="541">
        <v>86.145833333333357</v>
      </c>
      <c r="AW30" s="540">
        <f t="shared" si="33"/>
        <v>9</v>
      </c>
      <c r="AX30" s="653"/>
      <c r="AZ30" s="377" t="e">
        <f t="shared" si="35"/>
        <v>#N/A</v>
      </c>
      <c r="BA30" s="653"/>
    </row>
    <row r="31" spans="2:53">
      <c r="B31" s="635"/>
      <c r="C31" s="485">
        <v>5</v>
      </c>
      <c r="D31" s="223" t="s">
        <v>384</v>
      </c>
      <c r="E31" s="491">
        <v>7</v>
      </c>
      <c r="F31" s="483">
        <v>1500</v>
      </c>
      <c r="G31" s="484">
        <v>214.28571428571428</v>
      </c>
      <c r="H31" s="672"/>
      <c r="I31" s="487">
        <f t="shared" si="20"/>
        <v>7</v>
      </c>
      <c r="J31" s="487">
        <f t="shared" si="20"/>
        <v>1451.4105641135488</v>
      </c>
      <c r="K31" s="363">
        <f t="shared" si="20"/>
        <v>207.34436630193554</v>
      </c>
      <c r="L31" s="615"/>
      <c r="M31" s="490">
        <f>RANK(K31, K$24:$K$41)</f>
        <v>5</v>
      </c>
      <c r="N31" s="624"/>
      <c r="O31" s="624"/>
      <c r="P31" s="540">
        <v>7</v>
      </c>
      <c r="Q31" s="541">
        <v>1437.2185430463578</v>
      </c>
      <c r="R31" s="541">
        <v>205.31693472090825</v>
      </c>
      <c r="S31" s="540">
        <f t="shared" si="21"/>
        <v>4</v>
      </c>
      <c r="T31" s="653"/>
      <c r="U31" s="540">
        <v>7</v>
      </c>
      <c r="V31" s="541">
        <v>1435.5999999999997</v>
      </c>
      <c r="W31" s="541">
        <v>205.08571428571423</v>
      </c>
      <c r="X31" s="540">
        <f t="shared" si="23"/>
        <v>5</v>
      </c>
      <c r="Y31" s="653"/>
      <c r="Z31" s="540">
        <v>7</v>
      </c>
      <c r="AA31" s="541">
        <v>1478.2894736842104</v>
      </c>
      <c r="AB31" s="541">
        <v>211.18421052631578</v>
      </c>
      <c r="AC31" s="540">
        <f t="shared" si="25"/>
        <v>1</v>
      </c>
      <c r="AD31" s="653"/>
      <c r="AE31" s="540">
        <v>7</v>
      </c>
      <c r="AF31" s="541">
        <v>1453.6842105263158</v>
      </c>
      <c r="AG31" s="541">
        <v>207.66917293233084</v>
      </c>
      <c r="AH31" s="540">
        <f t="shared" si="27"/>
        <v>4</v>
      </c>
      <c r="AI31" s="653"/>
      <c r="AJ31" s="540">
        <v>7</v>
      </c>
      <c r="AK31" s="541">
        <v>1447.7862595419851</v>
      </c>
      <c r="AL31" s="541">
        <v>206.82660850599788</v>
      </c>
      <c r="AM31" s="540">
        <f t="shared" si="29"/>
        <v>4</v>
      </c>
      <c r="AN31" s="653"/>
      <c r="AO31" s="540">
        <v>7</v>
      </c>
      <c r="AP31" s="541">
        <v>1447.7862595419851</v>
      </c>
      <c r="AQ31" s="541">
        <v>206.82660850599788</v>
      </c>
      <c r="AR31" s="540">
        <f t="shared" si="31"/>
        <v>4</v>
      </c>
      <c r="AS31" s="653"/>
      <c r="AT31" s="540">
        <v>7</v>
      </c>
      <c r="AU31" s="541">
        <v>1459.5092024539877</v>
      </c>
      <c r="AV31" s="541">
        <v>208.50131463628395</v>
      </c>
      <c r="AW31" s="540">
        <f t="shared" si="33"/>
        <v>3</v>
      </c>
      <c r="AX31" s="653"/>
      <c r="AZ31" s="377" t="e">
        <f t="shared" si="35"/>
        <v>#N/A</v>
      </c>
      <c r="BA31" s="653"/>
    </row>
    <row r="32" spans="2:53">
      <c r="B32" s="635"/>
      <c r="C32" s="485">
        <v>6</v>
      </c>
      <c r="D32" s="223" t="s">
        <v>563</v>
      </c>
      <c r="E32" s="491">
        <v>12</v>
      </c>
      <c r="F32" s="483">
        <v>2000</v>
      </c>
      <c r="G32" s="484">
        <v>166.66666666666666</v>
      </c>
      <c r="H32" s="672"/>
      <c r="I32" s="487">
        <f t="shared" si="20"/>
        <v>12</v>
      </c>
      <c r="J32" s="487">
        <f t="shared" si="20"/>
        <v>1431.2116817638682</v>
      </c>
      <c r="K32" s="363">
        <f t="shared" si="20"/>
        <v>119.26764014698901</v>
      </c>
      <c r="L32" s="615"/>
      <c r="M32" s="490">
        <f>RANK(K32, K$24:$K$41)</f>
        <v>8</v>
      </c>
      <c r="N32" s="624"/>
      <c r="O32" s="624"/>
      <c r="P32" s="540">
        <v>12</v>
      </c>
      <c r="Q32" s="541">
        <v>1469.5238095238101</v>
      </c>
      <c r="R32" s="541">
        <v>122.46031746031751</v>
      </c>
      <c r="S32" s="540">
        <f t="shared" si="21"/>
        <v>8</v>
      </c>
      <c r="T32" s="653"/>
      <c r="U32" s="540">
        <v>12</v>
      </c>
      <c r="V32" s="541">
        <v>1406.1654135338354</v>
      </c>
      <c r="W32" s="541">
        <v>117.18045112781961</v>
      </c>
      <c r="X32" s="540">
        <f t="shared" si="23"/>
        <v>8</v>
      </c>
      <c r="Y32" s="653"/>
      <c r="Z32" s="540">
        <v>12</v>
      </c>
      <c r="AA32" s="541">
        <v>1428.5294117647049</v>
      </c>
      <c r="AB32" s="541">
        <v>119.04411764705874</v>
      </c>
      <c r="AC32" s="540">
        <f t="shared" si="25"/>
        <v>8</v>
      </c>
      <c r="AD32" s="653"/>
      <c r="AE32" s="540">
        <v>12</v>
      </c>
      <c r="AF32" s="541">
        <v>1403.6363636363631</v>
      </c>
      <c r="AG32" s="541">
        <v>116.96969696969693</v>
      </c>
      <c r="AH32" s="540">
        <f t="shared" si="27"/>
        <v>7</v>
      </c>
      <c r="AI32" s="653"/>
      <c r="AJ32" s="540">
        <v>12</v>
      </c>
      <c r="AK32" s="541">
        <v>1453.3928571428571</v>
      </c>
      <c r="AL32" s="541">
        <v>121.11607142857143</v>
      </c>
      <c r="AM32" s="540">
        <f t="shared" si="29"/>
        <v>8</v>
      </c>
      <c r="AN32" s="653"/>
      <c r="AO32" s="540">
        <v>12</v>
      </c>
      <c r="AP32" s="541">
        <v>1453.3928571428571</v>
      </c>
      <c r="AQ32" s="541">
        <v>121.11607142857143</v>
      </c>
      <c r="AR32" s="540">
        <f t="shared" si="31"/>
        <v>8</v>
      </c>
      <c r="AS32" s="653"/>
      <c r="AT32" s="540">
        <v>12</v>
      </c>
      <c r="AU32" s="541">
        <v>1403.8410596026488</v>
      </c>
      <c r="AV32" s="541">
        <v>116.9867549668874</v>
      </c>
      <c r="AW32" s="540">
        <f t="shared" si="33"/>
        <v>8</v>
      </c>
      <c r="AX32" s="653"/>
      <c r="AZ32" s="377" t="e">
        <f t="shared" si="35"/>
        <v>#N/A</v>
      </c>
      <c r="BA32" s="653"/>
    </row>
    <row r="33" spans="2:53">
      <c r="B33" s="635"/>
      <c r="C33" s="485">
        <v>7</v>
      </c>
      <c r="D33" s="223" t="s">
        <v>540</v>
      </c>
      <c r="E33" s="491">
        <v>7</v>
      </c>
      <c r="F33" s="483">
        <v>1500</v>
      </c>
      <c r="G33" s="484">
        <v>214.28571428571428</v>
      </c>
      <c r="H33" s="672"/>
      <c r="I33" s="487">
        <f t="shared" si="20"/>
        <v>7</v>
      </c>
      <c r="J33" s="487">
        <f t="shared" si="20"/>
        <v>1461.1086491550293</v>
      </c>
      <c r="K33" s="363">
        <f t="shared" si="20"/>
        <v>208.72980702214701</v>
      </c>
      <c r="L33" s="615"/>
      <c r="M33" s="490">
        <f>RANK(K33, K$24:$K$41)</f>
        <v>2</v>
      </c>
      <c r="N33" s="624"/>
      <c r="O33" s="624"/>
      <c r="P33" s="540">
        <v>7</v>
      </c>
      <c r="Q33" s="541">
        <v>1452.9113924050641</v>
      </c>
      <c r="R33" s="541">
        <v>207.55877034358059</v>
      </c>
      <c r="S33" s="540">
        <f t="shared" si="21"/>
        <v>3</v>
      </c>
      <c r="T33" s="653"/>
      <c r="U33" s="540">
        <v>7</v>
      </c>
      <c r="V33" s="541">
        <v>1451.590909090909</v>
      </c>
      <c r="W33" s="541">
        <v>207.37012987012986</v>
      </c>
      <c r="X33" s="540">
        <f t="shared" si="23"/>
        <v>3</v>
      </c>
      <c r="Y33" s="653"/>
      <c r="Z33" s="540">
        <v>7</v>
      </c>
      <c r="AA33" s="541">
        <v>1453.8947368421057</v>
      </c>
      <c r="AB33" s="541">
        <v>207.69924812030081</v>
      </c>
      <c r="AC33" s="540">
        <f t="shared" si="25"/>
        <v>5</v>
      </c>
      <c r="AD33" s="653"/>
      <c r="AE33" s="540">
        <v>7</v>
      </c>
      <c r="AF33" s="541">
        <v>1459.6551724137933</v>
      </c>
      <c r="AG33" s="541">
        <v>208.52216748768475</v>
      </c>
      <c r="AH33" s="540">
        <f t="shared" si="27"/>
        <v>2</v>
      </c>
      <c r="AI33" s="653"/>
      <c r="AJ33" s="540">
        <v>7</v>
      </c>
      <c r="AK33" s="541">
        <v>1482.1874999999995</v>
      </c>
      <c r="AL33" s="541">
        <v>211.74107142857136</v>
      </c>
      <c r="AM33" s="540">
        <f t="shared" si="29"/>
        <v>2</v>
      </c>
      <c r="AN33" s="653"/>
      <c r="AO33" s="540">
        <v>7</v>
      </c>
      <c r="AP33" s="541">
        <v>1482.1874999999995</v>
      </c>
      <c r="AQ33" s="541">
        <v>211.74107142857136</v>
      </c>
      <c r="AR33" s="540">
        <f t="shared" si="31"/>
        <v>2</v>
      </c>
      <c r="AS33" s="653"/>
      <c r="AT33" s="540">
        <v>7</v>
      </c>
      <c r="AU33" s="541">
        <v>1445.3333333333333</v>
      </c>
      <c r="AV33" s="541">
        <v>206.47619047619045</v>
      </c>
      <c r="AW33" s="540">
        <f t="shared" si="33"/>
        <v>5</v>
      </c>
      <c r="AX33" s="653"/>
      <c r="AZ33" s="377" t="e">
        <f t="shared" si="35"/>
        <v>#N/A</v>
      </c>
      <c r="BA33" s="653"/>
    </row>
    <row r="34" spans="2:53">
      <c r="B34" s="635"/>
      <c r="C34" s="485">
        <v>8</v>
      </c>
      <c r="D34" s="223" t="s">
        <v>723</v>
      </c>
      <c r="E34" s="491">
        <v>12</v>
      </c>
      <c r="F34" s="483">
        <v>2000</v>
      </c>
      <c r="G34" s="484">
        <v>166.66666666666666</v>
      </c>
      <c r="H34" s="672"/>
      <c r="I34" s="487">
        <f t="shared" si="20"/>
        <v>12</v>
      </c>
      <c r="J34" s="487">
        <f t="shared" si="20"/>
        <v>1505.6799379162676</v>
      </c>
      <c r="K34" s="363">
        <f t="shared" si="20"/>
        <v>125.47332815968899</v>
      </c>
      <c r="L34" s="615"/>
      <c r="M34" s="490">
        <f>RANK(K34, K$24:$K$41)</f>
        <v>6</v>
      </c>
      <c r="N34" s="624"/>
      <c r="O34" s="624"/>
      <c r="P34" s="540">
        <v>12</v>
      </c>
      <c r="Q34" s="541">
        <v>1509.8181818181818</v>
      </c>
      <c r="R34" s="541">
        <v>125.81818181818181</v>
      </c>
      <c r="S34" s="540">
        <f t="shared" si="21"/>
        <v>6</v>
      </c>
      <c r="T34" s="653"/>
      <c r="U34" s="540">
        <v>12</v>
      </c>
      <c r="V34" s="541">
        <v>1482.7499999999995</v>
      </c>
      <c r="W34" s="541">
        <v>123.56249999999996</v>
      </c>
      <c r="X34" s="540">
        <f t="shared" si="23"/>
        <v>7</v>
      </c>
      <c r="Y34" s="653"/>
      <c r="Z34" s="540">
        <v>12</v>
      </c>
      <c r="AA34" s="541">
        <v>1503.5294117647059</v>
      </c>
      <c r="AB34" s="541">
        <v>125.29411764705883</v>
      </c>
      <c r="AC34" s="540">
        <f t="shared" si="25"/>
        <v>7</v>
      </c>
      <c r="AD34" s="653"/>
      <c r="AE34" s="540">
        <v>12</v>
      </c>
      <c r="AF34" s="541">
        <v>1507.5</v>
      </c>
      <c r="AG34" s="541">
        <v>125.625</v>
      </c>
      <c r="AH34" s="540">
        <f t="shared" si="27"/>
        <v>6</v>
      </c>
      <c r="AI34" s="653"/>
      <c r="AJ34" s="540">
        <v>12</v>
      </c>
      <c r="AK34" s="541">
        <v>1506.2500000000005</v>
      </c>
      <c r="AL34" s="541">
        <v>125.52083333333337</v>
      </c>
      <c r="AM34" s="540">
        <f t="shared" si="29"/>
        <v>6</v>
      </c>
      <c r="AN34" s="653"/>
      <c r="AO34" s="540">
        <v>12</v>
      </c>
      <c r="AP34" s="541">
        <v>1506.2500000000005</v>
      </c>
      <c r="AQ34" s="541">
        <v>125.52083333333337</v>
      </c>
      <c r="AR34" s="540">
        <f t="shared" si="31"/>
        <v>6</v>
      </c>
      <c r="AS34" s="653"/>
      <c r="AT34" s="540">
        <v>12</v>
      </c>
      <c r="AU34" s="541">
        <v>1523.6619718309862</v>
      </c>
      <c r="AV34" s="541">
        <v>126.97183098591552</v>
      </c>
      <c r="AW34" s="540">
        <f t="shared" si="33"/>
        <v>6</v>
      </c>
      <c r="AX34" s="653"/>
      <c r="AZ34" s="377" t="e">
        <f t="shared" si="35"/>
        <v>#N/A</v>
      </c>
      <c r="BA34" s="653"/>
    </row>
    <row r="35" spans="2:53">
      <c r="B35" s="635"/>
      <c r="C35" s="485">
        <v>9</v>
      </c>
      <c r="D35" s="223" t="s">
        <v>724</v>
      </c>
      <c r="E35" s="491">
        <v>12</v>
      </c>
      <c r="F35" s="483">
        <v>2000</v>
      </c>
      <c r="G35" s="484">
        <v>166.66666666666666</v>
      </c>
      <c r="H35" s="672"/>
      <c r="I35" s="487">
        <f t="shared" si="20"/>
        <v>12</v>
      </c>
      <c r="J35" s="487">
        <f t="shared" si="20"/>
        <v>1477.3433513747912</v>
      </c>
      <c r="K35" s="363">
        <f t="shared" si="20"/>
        <v>123.11194594789927</v>
      </c>
      <c r="L35" s="615"/>
      <c r="M35" s="490">
        <f>RANK(K35, K$24:$K$41)</f>
        <v>7</v>
      </c>
      <c r="N35" s="624"/>
      <c r="O35" s="624"/>
      <c r="P35" s="540">
        <v>12</v>
      </c>
      <c r="Q35" s="541">
        <v>1492.4999999999995</v>
      </c>
      <c r="R35" s="541">
        <v>124.37499999999996</v>
      </c>
      <c r="S35" s="540">
        <f t="shared" si="21"/>
        <v>7</v>
      </c>
      <c r="T35" s="653"/>
      <c r="U35" s="540">
        <v>12</v>
      </c>
      <c r="V35" s="541">
        <v>1538.1818181818182</v>
      </c>
      <c r="W35" s="541">
        <v>128.18181818181819</v>
      </c>
      <c r="X35" s="540">
        <f t="shared" si="23"/>
        <v>6</v>
      </c>
      <c r="Y35" s="653"/>
      <c r="Z35" s="540">
        <v>12</v>
      </c>
      <c r="AA35" s="541">
        <v>1525.0000000000002</v>
      </c>
      <c r="AB35" s="541">
        <v>127.08333333333336</v>
      </c>
      <c r="AC35" s="540">
        <f t="shared" si="25"/>
        <v>6</v>
      </c>
      <c r="AD35" s="653"/>
      <c r="AE35" s="540">
        <v>12</v>
      </c>
      <c r="AF35" s="541">
        <v>1299.2307692307697</v>
      </c>
      <c r="AG35" s="541">
        <v>108.26923076923082</v>
      </c>
      <c r="AH35" s="540">
        <f t="shared" si="27"/>
        <v>8</v>
      </c>
      <c r="AI35" s="653"/>
      <c r="AJ35" s="540">
        <v>12</v>
      </c>
      <c r="AK35" s="541">
        <v>1502.0689655172403</v>
      </c>
      <c r="AL35" s="541">
        <v>125.17241379310336</v>
      </c>
      <c r="AM35" s="540">
        <f t="shared" si="29"/>
        <v>7</v>
      </c>
      <c r="AN35" s="653"/>
      <c r="AO35" s="540">
        <v>12</v>
      </c>
      <c r="AP35" s="541">
        <v>1502.0689655172403</v>
      </c>
      <c r="AQ35" s="541">
        <v>125.17241379310336</v>
      </c>
      <c r="AR35" s="540">
        <f t="shared" si="31"/>
        <v>7</v>
      </c>
      <c r="AS35" s="653"/>
      <c r="AT35" s="540">
        <v>12</v>
      </c>
      <c r="AU35" s="541">
        <v>1482.3529411764707</v>
      </c>
      <c r="AV35" s="541">
        <v>123.5294117647059</v>
      </c>
      <c r="AW35" s="540">
        <f t="shared" si="33"/>
        <v>7</v>
      </c>
      <c r="AX35" s="653"/>
      <c r="AZ35" s="377" t="e">
        <f t="shared" si="35"/>
        <v>#N/A</v>
      </c>
      <c r="BA35" s="653"/>
    </row>
    <row r="36" spans="2:53">
      <c r="B36" s="635"/>
      <c r="C36" s="485">
        <v>10</v>
      </c>
      <c r="D36" s="223" t="s">
        <v>732</v>
      </c>
      <c r="E36" s="491">
        <v>16</v>
      </c>
      <c r="F36" s="483">
        <v>1385</v>
      </c>
      <c r="G36" s="484">
        <v>86.5625</v>
      </c>
      <c r="H36" s="672"/>
      <c r="I36" s="487">
        <f t="shared" si="20"/>
        <v>16</v>
      </c>
      <c r="J36" s="487">
        <f t="shared" si="20"/>
        <v>1124.7987589050203</v>
      </c>
      <c r="K36" s="363">
        <f t="shared" si="20"/>
        <v>70.299922431563772</v>
      </c>
      <c r="L36" s="615"/>
      <c r="M36" s="490">
        <f>RANK(K36, K$24:$K$41)</f>
        <v>10</v>
      </c>
      <c r="N36" s="624"/>
      <c r="O36" s="624"/>
      <c r="P36" s="540">
        <v>16</v>
      </c>
      <c r="Q36" s="541">
        <v>1127.0967741935485</v>
      </c>
      <c r="R36" s="541">
        <v>70.443548387096783</v>
      </c>
      <c r="S36" s="540">
        <f t="shared" si="21"/>
        <v>10</v>
      </c>
      <c r="T36" s="653"/>
      <c r="U36" s="540">
        <v>16</v>
      </c>
      <c r="V36" s="541">
        <v>1130.1176470588234</v>
      </c>
      <c r="W36" s="541">
        <v>70.632352941176464</v>
      </c>
      <c r="X36" s="540">
        <f t="shared" si="23"/>
        <v>10</v>
      </c>
      <c r="Y36" s="653"/>
      <c r="Z36" s="540">
        <v>16</v>
      </c>
      <c r="AA36" s="541">
        <v>1135.3846153846155</v>
      </c>
      <c r="AB36" s="541">
        <v>70.961538461538467</v>
      </c>
      <c r="AC36" s="540">
        <f t="shared" si="25"/>
        <v>10</v>
      </c>
      <c r="AD36" s="653"/>
      <c r="AE36" s="540">
        <v>16</v>
      </c>
      <c r="AF36" s="541">
        <v>1128.1818181818182</v>
      </c>
      <c r="AG36" s="541">
        <v>70.51136363636364</v>
      </c>
      <c r="AH36" s="540">
        <f t="shared" si="27"/>
        <v>10</v>
      </c>
      <c r="AI36" s="653"/>
      <c r="AJ36" s="540">
        <v>16</v>
      </c>
      <c r="AK36" s="541">
        <v>1111.1111111111106</v>
      </c>
      <c r="AL36" s="541">
        <v>69.444444444444414</v>
      </c>
      <c r="AM36" s="540">
        <f t="shared" si="29"/>
        <v>10</v>
      </c>
      <c r="AN36" s="653"/>
      <c r="AO36" s="540">
        <v>16</v>
      </c>
      <c r="AP36" s="541">
        <v>1111.1111111111106</v>
      </c>
      <c r="AQ36" s="541">
        <v>69.444444444444414</v>
      </c>
      <c r="AR36" s="540">
        <f t="shared" si="31"/>
        <v>10</v>
      </c>
      <c r="AS36" s="653"/>
      <c r="AT36" s="540">
        <v>16</v>
      </c>
      <c r="AU36" s="541">
        <v>1130.5882352941173</v>
      </c>
      <c r="AV36" s="541">
        <v>70.661764705882334</v>
      </c>
      <c r="AW36" s="540">
        <f t="shared" si="33"/>
        <v>10</v>
      </c>
      <c r="AX36" s="653"/>
      <c r="AZ36" s="377" t="e">
        <f t="shared" si="35"/>
        <v>#N/A</v>
      </c>
      <c r="BA36" s="653"/>
    </row>
    <row r="37" spans="2:53">
      <c r="B37" s="635"/>
      <c r="C37" s="485">
        <v>11</v>
      </c>
      <c r="D37" s="223" t="s">
        <v>798</v>
      </c>
      <c r="E37" s="491">
        <v>7</v>
      </c>
      <c r="F37" s="483">
        <v>1500</v>
      </c>
      <c r="G37" s="484">
        <v>214.28571428571428</v>
      </c>
      <c r="H37" s="672"/>
      <c r="I37" s="487">
        <f t="shared" si="20"/>
        <v>7</v>
      </c>
      <c r="J37" s="487">
        <f t="shared" si="20"/>
        <v>1474.4368152298848</v>
      </c>
      <c r="K37" s="363">
        <f t="shared" si="20"/>
        <v>210.63383074712644</v>
      </c>
      <c r="L37" s="615"/>
      <c r="M37" s="490">
        <f>RANK(K37, K$24:$K$41)</f>
        <v>1</v>
      </c>
      <c r="N37" s="624"/>
      <c r="O37" s="624"/>
      <c r="P37" s="540">
        <v>7</v>
      </c>
      <c r="Q37" s="541">
        <v>1466.896551724137</v>
      </c>
      <c r="R37" s="541">
        <v>209.55665024630528</v>
      </c>
      <c r="S37" s="540">
        <f t="shared" si="21"/>
        <v>2</v>
      </c>
      <c r="T37" s="653"/>
      <c r="U37" s="540">
        <v>7</v>
      </c>
      <c r="V37" s="541">
        <v>1470</v>
      </c>
      <c r="W37" s="541">
        <v>210</v>
      </c>
      <c r="X37" s="540">
        <f t="shared" si="23"/>
        <v>1</v>
      </c>
      <c r="Y37" s="653"/>
      <c r="Z37" s="540">
        <v>7</v>
      </c>
      <c r="AA37" s="541">
        <v>1476.4864864864869</v>
      </c>
      <c r="AB37" s="541">
        <v>210.926640926641</v>
      </c>
      <c r="AC37" s="540">
        <f t="shared" si="25"/>
        <v>2</v>
      </c>
      <c r="AD37" s="653"/>
      <c r="AE37" s="540">
        <v>7</v>
      </c>
      <c r="AF37" s="541">
        <v>1462.3255813953488</v>
      </c>
      <c r="AG37" s="541">
        <v>208.90365448504983</v>
      </c>
      <c r="AH37" s="540">
        <f t="shared" si="27"/>
        <v>1</v>
      </c>
      <c r="AI37" s="653"/>
      <c r="AJ37" s="540">
        <v>7</v>
      </c>
      <c r="AK37" s="541">
        <v>1485.30612244898</v>
      </c>
      <c r="AL37" s="541">
        <v>212.18658892128286</v>
      </c>
      <c r="AM37" s="540">
        <f t="shared" si="29"/>
        <v>1</v>
      </c>
      <c r="AN37" s="653"/>
      <c r="AO37" s="540">
        <v>7</v>
      </c>
      <c r="AP37" s="541">
        <v>1485.30612244898</v>
      </c>
      <c r="AQ37" s="541">
        <v>212.18658892128286</v>
      </c>
      <c r="AR37" s="540">
        <f t="shared" si="31"/>
        <v>1</v>
      </c>
      <c r="AS37" s="653"/>
      <c r="AT37" s="540">
        <v>7</v>
      </c>
      <c r="AU37" s="541">
        <v>1474.7368421052622</v>
      </c>
      <c r="AV37" s="541">
        <v>210.67669172932318</v>
      </c>
      <c r="AW37" s="540">
        <f t="shared" si="33"/>
        <v>1</v>
      </c>
      <c r="AX37" s="653"/>
      <c r="AZ37" s="377" t="e">
        <f t="shared" si="35"/>
        <v>#N/A</v>
      </c>
      <c r="BA37" s="653"/>
    </row>
    <row r="38" spans="2:53">
      <c r="B38" s="635"/>
      <c r="C38" s="485">
        <v>12</v>
      </c>
      <c r="D38" s="223"/>
      <c r="E38" s="491"/>
      <c r="F38" s="483"/>
      <c r="G38" s="484"/>
      <c r="H38" s="672"/>
      <c r="I38" s="487" t="str">
        <f t="shared" si="20"/>
        <v>-</v>
      </c>
      <c r="J38" s="487" t="str">
        <f t="shared" si="20"/>
        <v>-</v>
      </c>
      <c r="K38" s="363" t="str">
        <f t="shared" si="20"/>
        <v>-</v>
      </c>
      <c r="L38" s="615"/>
      <c r="M38" s="490" t="e">
        <f>RANK(K38, K$24:$K$41)</f>
        <v>#VALUE!</v>
      </c>
      <c r="N38" s="624"/>
      <c r="O38" s="624"/>
      <c r="P38" s="540" t="s">
        <v>427</v>
      </c>
      <c r="Q38" s="541" t="s">
        <v>427</v>
      </c>
      <c r="R38" s="541" t="s">
        <v>427</v>
      </c>
      <c r="S38" s="540" t="e">
        <f t="shared" si="21"/>
        <v>#VALUE!</v>
      </c>
      <c r="T38" s="653"/>
      <c r="U38" s="540" t="s">
        <v>427</v>
      </c>
      <c r="V38" s="541" t="s">
        <v>427</v>
      </c>
      <c r="W38" s="541" t="s">
        <v>427</v>
      </c>
      <c r="X38" s="540" t="e">
        <f t="shared" si="23"/>
        <v>#VALUE!</v>
      </c>
      <c r="Y38" s="653"/>
      <c r="Z38" s="540" t="s">
        <v>427</v>
      </c>
      <c r="AA38" s="541" t="s">
        <v>427</v>
      </c>
      <c r="AB38" s="541" t="s">
        <v>427</v>
      </c>
      <c r="AC38" s="540" t="e">
        <f t="shared" si="25"/>
        <v>#VALUE!</v>
      </c>
      <c r="AD38" s="653"/>
      <c r="AE38" s="540" t="s">
        <v>427</v>
      </c>
      <c r="AF38" s="541" t="s">
        <v>427</v>
      </c>
      <c r="AG38" s="541" t="s">
        <v>427</v>
      </c>
      <c r="AH38" s="540" t="e">
        <f t="shared" si="27"/>
        <v>#VALUE!</v>
      </c>
      <c r="AI38" s="653"/>
      <c r="AJ38" s="540" t="s">
        <v>427</v>
      </c>
      <c r="AK38" s="541" t="s">
        <v>427</v>
      </c>
      <c r="AL38" s="541" t="s">
        <v>427</v>
      </c>
      <c r="AM38" s="540" t="e">
        <f t="shared" si="29"/>
        <v>#VALUE!</v>
      </c>
      <c r="AN38" s="653"/>
      <c r="AO38" s="540" t="s">
        <v>427</v>
      </c>
      <c r="AP38" s="541" t="s">
        <v>427</v>
      </c>
      <c r="AQ38" s="541" t="s">
        <v>427</v>
      </c>
      <c r="AR38" s="540" t="e">
        <f t="shared" si="31"/>
        <v>#VALUE!</v>
      </c>
      <c r="AS38" s="653"/>
      <c r="AT38" s="540" t="s">
        <v>427</v>
      </c>
      <c r="AU38" s="541" t="s">
        <v>427</v>
      </c>
      <c r="AV38" s="541" t="s">
        <v>427</v>
      </c>
      <c r="AW38" s="540" t="e">
        <f t="shared" si="33"/>
        <v>#VALUE!</v>
      </c>
      <c r="AX38" s="653"/>
      <c r="AZ38" s="377" t="e">
        <f t="shared" si="35"/>
        <v>#N/A</v>
      </c>
      <c r="BA38" s="653"/>
    </row>
    <row r="39" spans="2:53">
      <c r="B39" s="635"/>
      <c r="C39" s="485">
        <v>13</v>
      </c>
      <c r="D39" s="223"/>
      <c r="E39" s="491"/>
      <c r="F39" s="483"/>
      <c r="G39" s="484"/>
      <c r="H39" s="672"/>
      <c r="I39" s="487" t="str">
        <f t="shared" si="20"/>
        <v>-</v>
      </c>
      <c r="J39" s="487" t="str">
        <f t="shared" si="20"/>
        <v>-</v>
      </c>
      <c r="K39" s="363" t="str">
        <f t="shared" si="20"/>
        <v>-</v>
      </c>
      <c r="L39" s="615"/>
      <c r="M39" s="490" t="e">
        <f>RANK(K39, K$24:$K$41)</f>
        <v>#VALUE!</v>
      </c>
      <c r="N39" s="624"/>
      <c r="O39" s="624"/>
      <c r="P39" s="540" t="s">
        <v>427</v>
      </c>
      <c r="Q39" s="541" t="s">
        <v>427</v>
      </c>
      <c r="R39" s="541" t="s">
        <v>427</v>
      </c>
      <c r="S39" s="540" t="e">
        <f t="shared" si="21"/>
        <v>#VALUE!</v>
      </c>
      <c r="T39" s="653"/>
      <c r="U39" s="540" t="s">
        <v>427</v>
      </c>
      <c r="V39" s="541" t="s">
        <v>427</v>
      </c>
      <c r="W39" s="541" t="s">
        <v>427</v>
      </c>
      <c r="X39" s="540" t="e">
        <f t="shared" si="23"/>
        <v>#VALUE!</v>
      </c>
      <c r="Y39" s="653"/>
      <c r="Z39" s="540" t="s">
        <v>427</v>
      </c>
      <c r="AA39" s="541" t="s">
        <v>427</v>
      </c>
      <c r="AB39" s="541" t="s">
        <v>427</v>
      </c>
      <c r="AC39" s="540" t="e">
        <f t="shared" si="25"/>
        <v>#VALUE!</v>
      </c>
      <c r="AD39" s="653"/>
      <c r="AE39" s="540" t="s">
        <v>427</v>
      </c>
      <c r="AF39" s="541" t="s">
        <v>427</v>
      </c>
      <c r="AG39" s="541" t="s">
        <v>427</v>
      </c>
      <c r="AH39" s="540" t="e">
        <f t="shared" si="27"/>
        <v>#VALUE!</v>
      </c>
      <c r="AI39" s="653"/>
      <c r="AJ39" s="540" t="s">
        <v>427</v>
      </c>
      <c r="AK39" s="541" t="s">
        <v>427</v>
      </c>
      <c r="AL39" s="541" t="s">
        <v>427</v>
      </c>
      <c r="AM39" s="540" t="e">
        <f t="shared" si="29"/>
        <v>#VALUE!</v>
      </c>
      <c r="AN39" s="653"/>
      <c r="AO39" s="540" t="s">
        <v>427</v>
      </c>
      <c r="AP39" s="541" t="s">
        <v>427</v>
      </c>
      <c r="AQ39" s="541" t="s">
        <v>427</v>
      </c>
      <c r="AR39" s="540" t="e">
        <f t="shared" si="31"/>
        <v>#VALUE!</v>
      </c>
      <c r="AS39" s="653"/>
      <c r="AT39" s="540" t="s">
        <v>427</v>
      </c>
      <c r="AU39" s="541" t="s">
        <v>427</v>
      </c>
      <c r="AV39" s="541" t="s">
        <v>427</v>
      </c>
      <c r="AW39" s="540" t="e">
        <f t="shared" si="33"/>
        <v>#VALUE!</v>
      </c>
      <c r="AX39" s="653"/>
      <c r="AZ39" s="377" t="e">
        <f t="shared" si="35"/>
        <v>#N/A</v>
      </c>
      <c r="BA39" s="653"/>
    </row>
    <row r="40" spans="2:53">
      <c r="B40" s="635"/>
      <c r="C40" s="485">
        <v>14</v>
      </c>
      <c r="D40" s="223"/>
      <c r="E40" s="491"/>
      <c r="F40" s="483"/>
      <c r="G40" s="484"/>
      <c r="H40" s="672"/>
      <c r="I40" s="487" t="str">
        <f t="shared" si="20"/>
        <v>-</v>
      </c>
      <c r="J40" s="487" t="str">
        <f t="shared" si="20"/>
        <v>-</v>
      </c>
      <c r="K40" s="363" t="str">
        <f t="shared" si="20"/>
        <v>-</v>
      </c>
      <c r="L40" s="615"/>
      <c r="M40" s="490" t="e">
        <f>RANK(K40, K$24:$K$41)</f>
        <v>#VALUE!</v>
      </c>
      <c r="N40" s="624"/>
      <c r="O40" s="624"/>
      <c r="P40" s="540" t="s">
        <v>427</v>
      </c>
      <c r="Q40" s="541" t="s">
        <v>427</v>
      </c>
      <c r="R40" s="541" t="s">
        <v>427</v>
      </c>
      <c r="S40" s="540" t="e">
        <f t="shared" si="21"/>
        <v>#VALUE!</v>
      </c>
      <c r="T40" s="653"/>
      <c r="U40" s="540" t="s">
        <v>427</v>
      </c>
      <c r="V40" s="541" t="s">
        <v>427</v>
      </c>
      <c r="W40" s="541" t="s">
        <v>427</v>
      </c>
      <c r="X40" s="540" t="e">
        <f t="shared" si="23"/>
        <v>#VALUE!</v>
      </c>
      <c r="Y40" s="653"/>
      <c r="Z40" s="540" t="s">
        <v>427</v>
      </c>
      <c r="AA40" s="541" t="s">
        <v>427</v>
      </c>
      <c r="AB40" s="541" t="s">
        <v>427</v>
      </c>
      <c r="AC40" s="540" t="e">
        <f t="shared" si="25"/>
        <v>#VALUE!</v>
      </c>
      <c r="AD40" s="653"/>
      <c r="AE40" s="540" t="s">
        <v>427</v>
      </c>
      <c r="AF40" s="541" t="s">
        <v>427</v>
      </c>
      <c r="AG40" s="541" t="s">
        <v>427</v>
      </c>
      <c r="AH40" s="540" t="e">
        <f t="shared" si="27"/>
        <v>#VALUE!</v>
      </c>
      <c r="AI40" s="653"/>
      <c r="AJ40" s="540" t="s">
        <v>427</v>
      </c>
      <c r="AK40" s="541" t="s">
        <v>427</v>
      </c>
      <c r="AL40" s="541" t="s">
        <v>427</v>
      </c>
      <c r="AM40" s="540" t="e">
        <f t="shared" si="29"/>
        <v>#VALUE!</v>
      </c>
      <c r="AN40" s="653"/>
      <c r="AO40" s="540" t="s">
        <v>427</v>
      </c>
      <c r="AP40" s="541" t="s">
        <v>427</v>
      </c>
      <c r="AQ40" s="541" t="s">
        <v>427</v>
      </c>
      <c r="AR40" s="540" t="e">
        <f t="shared" si="31"/>
        <v>#VALUE!</v>
      </c>
      <c r="AS40" s="653"/>
      <c r="AT40" s="540" t="s">
        <v>427</v>
      </c>
      <c r="AU40" s="541" t="s">
        <v>427</v>
      </c>
      <c r="AV40" s="541" t="s">
        <v>427</v>
      </c>
      <c r="AW40" s="540" t="e">
        <f t="shared" si="33"/>
        <v>#VALUE!</v>
      </c>
      <c r="AX40" s="653"/>
      <c r="AZ40" s="377" t="e">
        <f t="shared" si="35"/>
        <v>#N/A</v>
      </c>
      <c r="BA40" s="653"/>
    </row>
    <row r="41" spans="2:53">
      <c r="B41" s="635"/>
      <c r="C41" s="485">
        <v>15</v>
      </c>
      <c r="D41" s="223"/>
      <c r="E41" s="491"/>
      <c r="F41" s="483"/>
      <c r="G41" s="484"/>
      <c r="H41" s="676"/>
      <c r="I41" s="485"/>
      <c r="J41" s="485"/>
      <c r="K41" s="485"/>
      <c r="L41" s="616"/>
      <c r="M41" s="490" t="e">
        <f>RANK(K41, K$24:$K$41)</f>
        <v>#N/A</v>
      </c>
      <c r="N41" s="624"/>
      <c r="O41" s="624"/>
      <c r="P41" s="540" t="s">
        <v>427</v>
      </c>
      <c r="Q41" s="541" t="s">
        <v>427</v>
      </c>
      <c r="R41" s="541" t="s">
        <v>427</v>
      </c>
      <c r="S41" s="540" t="e">
        <f t="shared" si="21"/>
        <v>#VALUE!</v>
      </c>
      <c r="T41" s="653"/>
      <c r="U41" s="540" t="s">
        <v>427</v>
      </c>
      <c r="V41" s="541" t="s">
        <v>427</v>
      </c>
      <c r="W41" s="541" t="s">
        <v>427</v>
      </c>
      <c r="X41" s="540" t="e">
        <f t="shared" si="23"/>
        <v>#VALUE!</v>
      </c>
      <c r="Y41" s="653"/>
      <c r="Z41" s="540" t="s">
        <v>427</v>
      </c>
      <c r="AA41" s="541" t="s">
        <v>427</v>
      </c>
      <c r="AB41" s="541" t="s">
        <v>427</v>
      </c>
      <c r="AC41" s="540" t="e">
        <f t="shared" si="25"/>
        <v>#VALUE!</v>
      </c>
      <c r="AD41" s="653"/>
      <c r="AE41" s="540" t="s">
        <v>427</v>
      </c>
      <c r="AF41" s="541" t="s">
        <v>427</v>
      </c>
      <c r="AG41" s="541" t="s">
        <v>427</v>
      </c>
      <c r="AH41" s="540" t="e">
        <f t="shared" si="27"/>
        <v>#VALUE!</v>
      </c>
      <c r="AI41" s="653"/>
      <c r="AJ41" s="540" t="s">
        <v>427</v>
      </c>
      <c r="AK41" s="541" t="s">
        <v>427</v>
      </c>
      <c r="AL41" s="541" t="s">
        <v>427</v>
      </c>
      <c r="AM41" s="540" t="e">
        <f t="shared" si="29"/>
        <v>#VALUE!</v>
      </c>
      <c r="AN41" s="653"/>
      <c r="AO41" s="540" t="s">
        <v>427</v>
      </c>
      <c r="AP41" s="541" t="s">
        <v>427</v>
      </c>
      <c r="AQ41" s="541" t="s">
        <v>427</v>
      </c>
      <c r="AR41" s="540" t="e">
        <f t="shared" si="31"/>
        <v>#VALUE!</v>
      </c>
      <c r="AS41" s="653"/>
      <c r="AT41" s="540" t="s">
        <v>427</v>
      </c>
      <c r="AU41" s="541" t="s">
        <v>427</v>
      </c>
      <c r="AV41" s="541" t="s">
        <v>427</v>
      </c>
      <c r="AW41" s="540" t="e">
        <f t="shared" si="33"/>
        <v>#VALUE!</v>
      </c>
      <c r="AX41" s="653"/>
      <c r="AZ41" s="377" t="e">
        <f t="shared" si="35"/>
        <v>#N/A</v>
      </c>
      <c r="BA41" s="653"/>
    </row>
    <row r="42" spans="2:53" ht="15.75">
      <c r="B42" s="657" t="s">
        <v>769</v>
      </c>
      <c r="C42" s="658"/>
      <c r="D42" s="658"/>
      <c r="E42" s="658"/>
      <c r="F42" s="658"/>
      <c r="G42" s="658"/>
      <c r="H42" s="658"/>
      <c r="I42" s="205"/>
      <c r="J42" s="200"/>
      <c r="K42" s="205"/>
      <c r="L42" s="205"/>
      <c r="M42" s="201"/>
      <c r="N42" s="639" t="s">
        <v>781</v>
      </c>
      <c r="O42" s="639" t="s">
        <v>714</v>
      </c>
      <c r="P42" s="634">
        <f>AT22+1</f>
        <v>46217</v>
      </c>
      <c r="Q42" s="635"/>
      <c r="R42" s="635"/>
      <c r="S42" s="635"/>
      <c r="T42" s="635"/>
      <c r="U42" s="636">
        <f>P42+1</f>
        <v>46218</v>
      </c>
      <c r="V42" s="637"/>
      <c r="W42" s="637"/>
      <c r="X42" s="637"/>
      <c r="Y42" s="638"/>
      <c r="Z42" s="636">
        <f t="shared" ref="Z42" si="37">U42+1</f>
        <v>46219</v>
      </c>
      <c r="AA42" s="637"/>
      <c r="AB42" s="637"/>
      <c r="AC42" s="637"/>
      <c r="AD42" s="638"/>
      <c r="AE42" s="636">
        <f t="shared" ref="AE42" si="38">Z42+1</f>
        <v>46220</v>
      </c>
      <c r="AF42" s="637"/>
      <c r="AG42" s="637"/>
      <c r="AH42" s="637"/>
      <c r="AI42" s="638"/>
      <c r="AJ42" s="636">
        <f t="shared" ref="AJ42" si="39">AE42+1</f>
        <v>46221</v>
      </c>
      <c r="AK42" s="637"/>
      <c r="AL42" s="637"/>
      <c r="AM42" s="637"/>
      <c r="AN42" s="638"/>
      <c r="AO42" s="636">
        <f t="shared" ref="AO42" si="40">AJ42+1</f>
        <v>46222</v>
      </c>
      <c r="AP42" s="637"/>
      <c r="AQ42" s="637"/>
      <c r="AR42" s="637"/>
      <c r="AS42" s="638"/>
      <c r="AT42" s="636">
        <f t="shared" ref="AT42" si="41">AO42+1</f>
        <v>46223</v>
      </c>
      <c r="AU42" s="637"/>
      <c r="AV42" s="637"/>
      <c r="AW42" s="637"/>
      <c r="AX42" s="638"/>
    </row>
    <row r="43" spans="2:53" ht="15.75">
      <c r="B43" s="646"/>
      <c r="C43" s="646"/>
      <c r="D43" s="646"/>
      <c r="E43" s="646"/>
      <c r="F43" s="646"/>
      <c r="G43" s="646"/>
      <c r="H43" s="646"/>
      <c r="I43" s="202"/>
      <c r="J43" s="202"/>
      <c r="K43" s="202"/>
      <c r="L43" s="202"/>
      <c r="M43" s="203"/>
      <c r="N43" s="641"/>
      <c r="O43" s="641"/>
      <c r="P43" s="634" t="s">
        <v>715</v>
      </c>
      <c r="Q43" s="635"/>
      <c r="R43" s="635"/>
      <c r="S43" s="635"/>
      <c r="T43" s="635"/>
      <c r="U43" s="634" t="s">
        <v>716</v>
      </c>
      <c r="V43" s="635"/>
      <c r="W43" s="635"/>
      <c r="X43" s="635"/>
      <c r="Y43" s="635"/>
      <c r="Z43" s="634" t="s">
        <v>717</v>
      </c>
      <c r="AA43" s="635"/>
      <c r="AB43" s="635"/>
      <c r="AC43" s="635"/>
      <c r="AD43" s="635"/>
      <c r="AE43" s="634" t="s">
        <v>718</v>
      </c>
      <c r="AF43" s="635"/>
      <c r="AG43" s="635"/>
      <c r="AH43" s="635"/>
      <c r="AI43" s="635"/>
      <c r="AJ43" s="634" t="s">
        <v>719</v>
      </c>
      <c r="AK43" s="635"/>
      <c r="AL43" s="635"/>
      <c r="AM43" s="635"/>
      <c r="AN43" s="635"/>
      <c r="AO43" s="634" t="s">
        <v>720</v>
      </c>
      <c r="AP43" s="635"/>
      <c r="AQ43" s="635"/>
      <c r="AR43" s="635"/>
      <c r="AS43" s="635"/>
      <c r="AT43" s="634" t="s">
        <v>721</v>
      </c>
      <c r="AU43" s="635"/>
      <c r="AV43" s="635"/>
      <c r="AW43" s="635"/>
      <c r="AX43" s="635"/>
    </row>
    <row r="44" spans="2:53">
      <c r="B44" s="624" t="s">
        <v>760</v>
      </c>
      <c r="C44" s="624" t="s">
        <v>464</v>
      </c>
      <c r="D44" s="624"/>
      <c r="E44" s="624" t="s">
        <v>465</v>
      </c>
      <c r="F44" s="624"/>
      <c r="G44" s="624"/>
      <c r="H44" s="647" t="s">
        <v>466</v>
      </c>
      <c r="I44" s="624" t="s">
        <v>467</v>
      </c>
      <c r="J44" s="624"/>
      <c r="K44" s="624"/>
      <c r="L44" s="647" t="s">
        <v>763</v>
      </c>
      <c r="M44" s="639" t="s">
        <v>468</v>
      </c>
      <c r="N44" s="624"/>
      <c r="O44" s="624" t="s">
        <v>708</v>
      </c>
      <c r="P44" s="621" t="s">
        <v>709</v>
      </c>
      <c r="Q44" s="622"/>
      <c r="R44" s="622"/>
      <c r="S44" s="623"/>
      <c r="T44" s="624" t="s">
        <v>706</v>
      </c>
      <c r="U44" s="621" t="s">
        <v>709</v>
      </c>
      <c r="V44" s="622"/>
      <c r="W44" s="622"/>
      <c r="X44" s="623"/>
      <c r="Y44" s="624" t="s">
        <v>706</v>
      </c>
      <c r="Z44" s="621" t="s">
        <v>709</v>
      </c>
      <c r="AA44" s="622"/>
      <c r="AB44" s="622"/>
      <c r="AC44" s="623"/>
      <c r="AD44" s="624" t="s">
        <v>706</v>
      </c>
      <c r="AE44" s="621" t="s">
        <v>709</v>
      </c>
      <c r="AF44" s="622"/>
      <c r="AG44" s="622"/>
      <c r="AH44" s="623"/>
      <c r="AI44" s="624" t="s">
        <v>706</v>
      </c>
      <c r="AJ44" s="621" t="s">
        <v>709</v>
      </c>
      <c r="AK44" s="622"/>
      <c r="AL44" s="622"/>
      <c r="AM44" s="623"/>
      <c r="AN44" s="624" t="s">
        <v>706</v>
      </c>
      <c r="AO44" s="621" t="s">
        <v>709</v>
      </c>
      <c r="AP44" s="622"/>
      <c r="AQ44" s="622"/>
      <c r="AR44" s="623"/>
      <c r="AS44" s="624" t="s">
        <v>706</v>
      </c>
      <c r="AT44" s="621" t="s">
        <v>709</v>
      </c>
      <c r="AU44" s="622"/>
      <c r="AV44" s="622"/>
      <c r="AW44" s="623"/>
      <c r="AX44" s="624" t="s">
        <v>706</v>
      </c>
    </row>
    <row r="45" spans="2:53">
      <c r="B45" s="624"/>
      <c r="C45" s="624"/>
      <c r="D45" s="624"/>
      <c r="E45" s="624" t="s">
        <v>470</v>
      </c>
      <c r="F45" s="624"/>
      <c r="G45" s="624"/>
      <c r="H45" s="648"/>
      <c r="I45" s="624" t="s">
        <v>470</v>
      </c>
      <c r="J45" s="624"/>
      <c r="K45" s="624"/>
      <c r="L45" s="648"/>
      <c r="M45" s="640"/>
      <c r="N45" s="624"/>
      <c r="O45" s="624"/>
      <c r="P45" s="621" t="s">
        <v>710</v>
      </c>
      <c r="Q45" s="622"/>
      <c r="R45" s="622"/>
      <c r="S45" s="623"/>
      <c r="T45" s="624"/>
      <c r="U45" s="621" t="s">
        <v>710</v>
      </c>
      <c r="V45" s="622"/>
      <c r="W45" s="622"/>
      <c r="X45" s="623"/>
      <c r="Y45" s="624"/>
      <c r="Z45" s="621" t="s">
        <v>710</v>
      </c>
      <c r="AA45" s="622"/>
      <c r="AB45" s="622"/>
      <c r="AC45" s="623"/>
      <c r="AD45" s="624"/>
      <c r="AE45" s="621" t="s">
        <v>710</v>
      </c>
      <c r="AF45" s="622"/>
      <c r="AG45" s="622"/>
      <c r="AH45" s="623"/>
      <c r="AI45" s="624"/>
      <c r="AJ45" s="621" t="s">
        <v>710</v>
      </c>
      <c r="AK45" s="622"/>
      <c r="AL45" s="622"/>
      <c r="AM45" s="623"/>
      <c r="AN45" s="624"/>
      <c r="AO45" s="621" t="s">
        <v>710</v>
      </c>
      <c r="AP45" s="622"/>
      <c r="AQ45" s="622"/>
      <c r="AR45" s="623"/>
      <c r="AS45" s="624"/>
      <c r="AT45" s="621" t="s">
        <v>710</v>
      </c>
      <c r="AU45" s="622"/>
      <c r="AV45" s="622"/>
      <c r="AW45" s="623"/>
      <c r="AX45" s="624"/>
    </row>
    <row r="46" spans="2:53">
      <c r="B46" s="624"/>
      <c r="C46" s="624"/>
      <c r="D46" s="624"/>
      <c r="E46" s="482" t="s">
        <v>471</v>
      </c>
      <c r="F46" s="482" t="s">
        <v>472</v>
      </c>
      <c r="G46" s="482" t="s">
        <v>473</v>
      </c>
      <c r="H46" s="649"/>
      <c r="I46" s="482" t="s">
        <v>471</v>
      </c>
      <c r="J46" s="482" t="s">
        <v>472</v>
      </c>
      <c r="K46" s="482" t="s">
        <v>473</v>
      </c>
      <c r="L46" s="649"/>
      <c r="M46" s="641"/>
      <c r="N46" s="624"/>
      <c r="O46" s="624"/>
      <c r="P46" s="431" t="s">
        <v>711</v>
      </c>
      <c r="Q46" s="431" t="s">
        <v>712</v>
      </c>
      <c r="R46" s="431" t="s">
        <v>713</v>
      </c>
      <c r="S46" s="431" t="s">
        <v>707</v>
      </c>
      <c r="T46" s="624"/>
      <c r="U46" s="431" t="s">
        <v>711</v>
      </c>
      <c r="V46" s="431" t="s">
        <v>712</v>
      </c>
      <c r="W46" s="431" t="s">
        <v>713</v>
      </c>
      <c r="X46" s="431" t="s">
        <v>707</v>
      </c>
      <c r="Y46" s="624"/>
      <c r="Z46" s="431" t="s">
        <v>711</v>
      </c>
      <c r="AA46" s="431" t="s">
        <v>712</v>
      </c>
      <c r="AB46" s="431" t="s">
        <v>713</v>
      </c>
      <c r="AC46" s="431" t="s">
        <v>707</v>
      </c>
      <c r="AD46" s="624"/>
      <c r="AE46" s="431" t="s">
        <v>711</v>
      </c>
      <c r="AF46" s="431" t="s">
        <v>712</v>
      </c>
      <c r="AG46" s="431" t="s">
        <v>713</v>
      </c>
      <c r="AH46" s="431" t="s">
        <v>707</v>
      </c>
      <c r="AI46" s="624"/>
      <c r="AJ46" s="431" t="s">
        <v>711</v>
      </c>
      <c r="AK46" s="431" t="s">
        <v>712</v>
      </c>
      <c r="AL46" s="431" t="s">
        <v>713</v>
      </c>
      <c r="AM46" s="431" t="s">
        <v>707</v>
      </c>
      <c r="AN46" s="624"/>
      <c r="AO46" s="431" t="s">
        <v>711</v>
      </c>
      <c r="AP46" s="431" t="s">
        <v>712</v>
      </c>
      <c r="AQ46" s="431" t="s">
        <v>713</v>
      </c>
      <c r="AR46" s="431" t="s">
        <v>707</v>
      </c>
      <c r="AS46" s="624"/>
      <c r="AT46" s="431" t="s">
        <v>711</v>
      </c>
      <c r="AU46" s="431" t="s">
        <v>712</v>
      </c>
      <c r="AV46" s="431" t="s">
        <v>713</v>
      </c>
      <c r="AW46" s="431" t="s">
        <v>707</v>
      </c>
      <c r="AX46" s="624"/>
    </row>
    <row r="47" spans="2:53">
      <c r="B47" s="624" t="s">
        <v>797</v>
      </c>
      <c r="C47" s="485">
        <v>1</v>
      </c>
      <c r="D47" s="223" t="s">
        <v>351</v>
      </c>
      <c r="E47" s="491">
        <v>7</v>
      </c>
      <c r="F47" s="483">
        <v>1500</v>
      </c>
      <c r="G47" s="484">
        <v>214.28571428571428</v>
      </c>
      <c r="H47" s="671">
        <f>AVERAGE(G47:G61)</f>
        <v>178.22837089381207</v>
      </c>
      <c r="I47" s="487">
        <f t="shared" ref="I47:K60" si="42">IFERROR(AVERAGE(P47,U47,Z47,AE47,AJ47,AO47,AT47),"-")</f>
        <v>7</v>
      </c>
      <c r="J47" s="487">
        <f t="shared" si="42"/>
        <v>1447.59447331813</v>
      </c>
      <c r="K47" s="363">
        <f t="shared" si="42"/>
        <v>206.79921047401857</v>
      </c>
      <c r="L47" s="614">
        <f>IFERROR(AVERAGE(K47:K61),"-")</f>
        <v>157.07549185780513</v>
      </c>
      <c r="M47" s="490">
        <f>RANK(K47, K$47:$K$61)</f>
        <v>5</v>
      </c>
      <c r="N47" s="624"/>
      <c r="O47" s="624"/>
      <c r="P47" s="540">
        <v>7</v>
      </c>
      <c r="Q47" s="541">
        <v>1442.1052631578948</v>
      </c>
      <c r="R47" s="541">
        <v>206.01503759398497</v>
      </c>
      <c r="S47" s="540">
        <f>RANK(R47, R$47:R$61)</f>
        <v>5</v>
      </c>
      <c r="T47" s="653">
        <f>AVERAGE(R47:R61)</f>
        <v>157.13588330835253</v>
      </c>
      <c r="U47" s="540">
        <v>7</v>
      </c>
      <c r="V47" s="541">
        <v>1463.7735849056598</v>
      </c>
      <c r="W47" s="541">
        <v>209.11051212937997</v>
      </c>
      <c r="X47" s="540">
        <f>RANK(W47, W$47:W$61)</f>
        <v>1</v>
      </c>
      <c r="Y47" s="653">
        <f>AVERAGE(W47:W61)</f>
        <v>155.97156557768935</v>
      </c>
      <c r="Z47" s="540">
        <v>7</v>
      </c>
      <c r="AA47" s="541">
        <v>1458.0000000000005</v>
      </c>
      <c r="AB47" s="541">
        <v>208.28571428571436</v>
      </c>
      <c r="AC47" s="540">
        <f>RANK(AB47, AB$47:AB$61)</f>
        <v>3</v>
      </c>
      <c r="AD47" s="653">
        <f>AVERAGE(AB47:AB61)</f>
        <v>157.0952018470835</v>
      </c>
      <c r="AE47" s="540">
        <v>7</v>
      </c>
      <c r="AF47" s="541">
        <v>1417.674418604651</v>
      </c>
      <c r="AG47" s="541">
        <v>202.52491694352156</v>
      </c>
      <c r="AH47" s="540">
        <f>RANK(AG47, AG$47:AG$61)</f>
        <v>5</v>
      </c>
      <c r="AI47" s="653">
        <f>AVERAGE(AG47:AG61)</f>
        <v>156.9959911846305</v>
      </c>
      <c r="AJ47" s="540">
        <v>7</v>
      </c>
      <c r="AK47" s="541">
        <v>1470.76923076923</v>
      </c>
      <c r="AL47" s="541">
        <v>210.10989010989002</v>
      </c>
      <c r="AM47" s="540">
        <f>RANK(AL47, AL$47:AL$61)</f>
        <v>1</v>
      </c>
      <c r="AN47" s="653">
        <f>AVERAGE(AL47:AL61)</f>
        <v>157.08882320875816</v>
      </c>
      <c r="AO47" s="540">
        <v>7</v>
      </c>
      <c r="AP47" s="541">
        <v>1430.5263157894735</v>
      </c>
      <c r="AQ47" s="541">
        <v>204.36090225563908</v>
      </c>
      <c r="AR47" s="540">
        <f>RANK(AQ47, AQ$47:AQ$61)</f>
        <v>5</v>
      </c>
      <c r="AS47" s="653">
        <f>AVERAGE(AQ47:AQ61)</f>
        <v>157.88526901597936</v>
      </c>
      <c r="AT47" s="540">
        <v>7</v>
      </c>
      <c r="AU47" s="541">
        <v>1450.3124999999995</v>
      </c>
      <c r="AV47" s="541">
        <v>207.18749999999994</v>
      </c>
      <c r="AW47" s="540">
        <f>RANK(AV47, AV$47:AV$61)</f>
        <v>4</v>
      </c>
      <c r="AX47" s="653">
        <f>AVERAGE(AV47:AV61)</f>
        <v>157.35570886214254</v>
      </c>
      <c r="AZ47" s="540" t="e">
        <f>RANK(AY47, AY$47:AY$61)</f>
        <v>#N/A</v>
      </c>
      <c r="BA47" s="653" t="e">
        <f>AVERAGE(AY47:AY61)</f>
        <v>#DIV/0!</v>
      </c>
    </row>
    <row r="48" spans="2:53">
      <c r="B48" s="635"/>
      <c r="C48" s="485">
        <v>2</v>
      </c>
      <c r="D48" s="223" t="s">
        <v>352</v>
      </c>
      <c r="E48" s="491">
        <v>7</v>
      </c>
      <c r="F48" s="483">
        <v>1500</v>
      </c>
      <c r="G48" s="484">
        <v>214.28571428571428</v>
      </c>
      <c r="H48" s="672"/>
      <c r="I48" s="487">
        <f t="shared" si="42"/>
        <v>7</v>
      </c>
      <c r="J48" s="487">
        <f t="shared" si="42"/>
        <v>1459.466350806128</v>
      </c>
      <c r="K48" s="363">
        <f t="shared" si="42"/>
        <v>208.49519297230401</v>
      </c>
      <c r="L48" s="615"/>
      <c r="M48" s="490">
        <f>RANK(K48, K$47:$K$61)</f>
        <v>1</v>
      </c>
      <c r="N48" s="624"/>
      <c r="O48" s="624"/>
      <c r="P48" s="540">
        <v>7</v>
      </c>
      <c r="Q48" s="541">
        <v>1449.3243243243239</v>
      </c>
      <c r="R48" s="541">
        <v>207.046332046332</v>
      </c>
      <c r="S48" s="540">
        <f t="shared" ref="S48:S50" si="43">RANK(R48, R$47:R$61)</f>
        <v>4</v>
      </c>
      <c r="T48" s="653"/>
      <c r="U48" s="540">
        <v>7</v>
      </c>
      <c r="V48" s="541">
        <v>1445.8333333333328</v>
      </c>
      <c r="W48" s="541">
        <v>206.54761904761898</v>
      </c>
      <c r="X48" s="540">
        <f t="shared" ref="X48:X50" si="44">RANK(W48, W$47:W$61)</f>
        <v>2</v>
      </c>
      <c r="Y48" s="653"/>
      <c r="Z48" s="540">
        <v>7</v>
      </c>
      <c r="AA48" s="541">
        <v>1461.6541353383459</v>
      </c>
      <c r="AB48" s="541">
        <v>208.8077336197637</v>
      </c>
      <c r="AC48" s="540">
        <f t="shared" ref="AC48:AC50" si="45">RANK(AB48, AB$47:AB$61)</f>
        <v>2</v>
      </c>
      <c r="AD48" s="653"/>
      <c r="AE48" s="540">
        <v>7</v>
      </c>
      <c r="AF48" s="541">
        <v>1458.918918918919</v>
      </c>
      <c r="AG48" s="541">
        <v>208.41698841698843</v>
      </c>
      <c r="AH48" s="540">
        <f t="shared" ref="AH48:AH50" si="46">RANK(AG48, AG$47:AG$61)</f>
        <v>2</v>
      </c>
      <c r="AI48" s="653"/>
      <c r="AJ48" s="540">
        <v>7</v>
      </c>
      <c r="AK48" s="541">
        <v>1466.7272727272725</v>
      </c>
      <c r="AL48" s="541">
        <v>209.53246753246751</v>
      </c>
      <c r="AM48" s="540">
        <f t="shared" ref="AM48:AM50" si="47">RANK(AL48, AL$47:AL$61)</f>
        <v>2</v>
      </c>
      <c r="AN48" s="653"/>
      <c r="AO48" s="540">
        <v>7</v>
      </c>
      <c r="AP48" s="541">
        <v>1474.4776119402986</v>
      </c>
      <c r="AQ48" s="541">
        <v>210.63965884861409</v>
      </c>
      <c r="AR48" s="540">
        <f t="shared" ref="AR48:AR50" si="48">RANK(AQ48, AQ$47:AQ$61)</f>
        <v>2</v>
      </c>
      <c r="AS48" s="653"/>
      <c r="AT48" s="540">
        <v>7</v>
      </c>
      <c r="AU48" s="541">
        <v>1459.3288590604031</v>
      </c>
      <c r="AV48" s="541">
        <v>208.47555129434332</v>
      </c>
      <c r="AW48" s="540">
        <f t="shared" ref="AW48:AW50" si="49">RANK(AV48, AV$47:AV$61)</f>
        <v>2</v>
      </c>
      <c r="AX48" s="653"/>
      <c r="AZ48" s="540" t="e">
        <f t="shared" ref="AZ48:AZ50" si="50">RANK(AY48, AY$47:AY$61)</f>
        <v>#N/A</v>
      </c>
      <c r="BA48" s="653"/>
    </row>
    <row r="49" spans="2:53">
      <c r="B49" s="635"/>
      <c r="C49" s="485">
        <v>3</v>
      </c>
      <c r="D49" s="223" t="s">
        <v>353</v>
      </c>
      <c r="E49" s="491">
        <v>17</v>
      </c>
      <c r="F49" s="483">
        <v>1500</v>
      </c>
      <c r="G49" s="484">
        <v>88.235294117647058</v>
      </c>
      <c r="H49" s="672"/>
      <c r="I49" s="487">
        <f t="shared" si="42"/>
        <v>16.571428571428573</v>
      </c>
      <c r="J49" s="487">
        <f t="shared" si="42"/>
        <v>1363.8448434761074</v>
      </c>
      <c r="K49" s="363">
        <f t="shared" si="42"/>
        <v>82.360410450208747</v>
      </c>
      <c r="L49" s="615"/>
      <c r="M49" s="490">
        <f>RANK(K49, K$47:$K$61)</f>
        <v>9</v>
      </c>
      <c r="N49" s="624"/>
      <c r="O49" s="624"/>
      <c r="P49" s="540">
        <v>17</v>
      </c>
      <c r="Q49" s="541">
        <v>1370.2040816326535</v>
      </c>
      <c r="R49" s="541">
        <v>80.600240096038434</v>
      </c>
      <c r="S49" s="540">
        <f t="shared" si="43"/>
        <v>9</v>
      </c>
      <c r="T49" s="653"/>
      <c r="U49" s="540">
        <v>17</v>
      </c>
      <c r="V49" s="541">
        <v>1357.7528089887639</v>
      </c>
      <c r="W49" s="541">
        <v>79.867812293456709</v>
      </c>
      <c r="X49" s="540">
        <f t="shared" si="44"/>
        <v>9</v>
      </c>
      <c r="Y49" s="653"/>
      <c r="Z49" s="540">
        <v>17</v>
      </c>
      <c r="AA49" s="541">
        <v>1384.3902439024394</v>
      </c>
      <c r="AB49" s="541">
        <v>81.434720229555253</v>
      </c>
      <c r="AC49" s="540">
        <f t="shared" si="45"/>
        <v>9</v>
      </c>
      <c r="AD49" s="653"/>
      <c r="AE49" s="540">
        <v>16</v>
      </c>
      <c r="AF49" s="541">
        <v>1355.4929577464791</v>
      </c>
      <c r="AG49" s="541">
        <v>84.718309859154942</v>
      </c>
      <c r="AH49" s="540">
        <f t="shared" si="46"/>
        <v>9</v>
      </c>
      <c r="AI49" s="653"/>
      <c r="AJ49" s="540">
        <v>16</v>
      </c>
      <c r="AK49" s="541">
        <v>1352.8767123287676</v>
      </c>
      <c r="AL49" s="541">
        <v>84.554794520547972</v>
      </c>
      <c r="AM49" s="540">
        <f t="shared" si="47"/>
        <v>9</v>
      </c>
      <c r="AN49" s="653"/>
      <c r="AO49" s="540">
        <v>17</v>
      </c>
      <c r="AP49" s="541">
        <v>1370.9677419354839</v>
      </c>
      <c r="AQ49" s="541">
        <v>80.645161290322577</v>
      </c>
      <c r="AR49" s="540">
        <f t="shared" si="48"/>
        <v>9</v>
      </c>
      <c r="AS49" s="653"/>
      <c r="AT49" s="540">
        <v>16</v>
      </c>
      <c r="AU49" s="541">
        <v>1355.229357798165</v>
      </c>
      <c r="AV49" s="541">
        <v>84.701834862385311</v>
      </c>
      <c r="AW49" s="540">
        <f t="shared" si="49"/>
        <v>9</v>
      </c>
      <c r="AX49" s="653"/>
      <c r="AZ49" s="540" t="e">
        <f t="shared" si="50"/>
        <v>#N/A</v>
      </c>
      <c r="BA49" s="653"/>
    </row>
    <row r="50" spans="2:53">
      <c r="B50" s="635"/>
      <c r="C50" s="485">
        <v>4</v>
      </c>
      <c r="D50" s="223" t="s">
        <v>384</v>
      </c>
      <c r="E50" s="491">
        <v>7</v>
      </c>
      <c r="F50" s="483">
        <v>1500</v>
      </c>
      <c r="G50" s="484">
        <v>214.28571428571428</v>
      </c>
      <c r="H50" s="672"/>
      <c r="I50" s="487">
        <f t="shared" si="42"/>
        <v>7</v>
      </c>
      <c r="J50" s="487">
        <f t="shared" si="42"/>
        <v>1455.4256625952542</v>
      </c>
      <c r="K50" s="363">
        <f t="shared" si="42"/>
        <v>207.917951799322</v>
      </c>
      <c r="L50" s="615"/>
      <c r="M50" s="490">
        <f>RANK(K50, K$47:$K$61)</f>
        <v>3</v>
      </c>
      <c r="N50" s="624"/>
      <c r="O50" s="624"/>
      <c r="P50" s="540">
        <v>7</v>
      </c>
      <c r="Q50" s="541">
        <v>1479.2156862745094</v>
      </c>
      <c r="R50" s="541">
        <v>211.31652661064419</v>
      </c>
      <c r="S50" s="540">
        <f t="shared" si="43"/>
        <v>1</v>
      </c>
      <c r="T50" s="653"/>
      <c r="U50" s="540">
        <v>7</v>
      </c>
      <c r="V50" s="541">
        <v>1437.5675675675673</v>
      </c>
      <c r="W50" s="541">
        <v>205.36679536679532</v>
      </c>
      <c r="X50" s="540">
        <f t="shared" si="44"/>
        <v>5</v>
      </c>
      <c r="Y50" s="653"/>
      <c r="Z50" s="540">
        <v>7</v>
      </c>
      <c r="AA50" s="541">
        <v>1464.6808510638293</v>
      </c>
      <c r="AB50" s="541">
        <v>209.24012158054705</v>
      </c>
      <c r="AC50" s="540">
        <f t="shared" si="45"/>
        <v>1</v>
      </c>
      <c r="AD50" s="653"/>
      <c r="AE50" s="540">
        <v>7</v>
      </c>
      <c r="AF50" s="541">
        <v>1440.0000000000002</v>
      </c>
      <c r="AG50" s="541">
        <v>205.71428571428575</v>
      </c>
      <c r="AH50" s="540">
        <f t="shared" si="46"/>
        <v>4</v>
      </c>
      <c r="AI50" s="653"/>
      <c r="AJ50" s="540">
        <v>7</v>
      </c>
      <c r="AK50" s="541">
        <v>1458.3870967741937</v>
      </c>
      <c r="AL50" s="541">
        <v>208.34101382488481</v>
      </c>
      <c r="AM50" s="540">
        <f t="shared" si="47"/>
        <v>3</v>
      </c>
      <c r="AN50" s="653"/>
      <c r="AO50" s="540">
        <v>7</v>
      </c>
      <c r="AP50" s="541">
        <v>1474.0243902439026</v>
      </c>
      <c r="AQ50" s="541">
        <v>210.57491289198609</v>
      </c>
      <c r="AR50" s="540">
        <f t="shared" si="48"/>
        <v>3</v>
      </c>
      <c r="AS50" s="653"/>
      <c r="AT50" s="540">
        <v>7</v>
      </c>
      <c r="AU50" s="541">
        <v>1434.104046242775</v>
      </c>
      <c r="AV50" s="541">
        <v>204.87200660611072</v>
      </c>
      <c r="AW50" s="540">
        <f t="shared" si="49"/>
        <v>5</v>
      </c>
      <c r="AX50" s="653"/>
      <c r="AZ50" s="540" t="e">
        <f t="shared" si="50"/>
        <v>#N/A</v>
      </c>
      <c r="BA50" s="653"/>
    </row>
    <row r="51" spans="2:53">
      <c r="B51" s="635"/>
      <c r="C51" s="485">
        <v>5</v>
      </c>
      <c r="D51" s="223" t="s">
        <v>563</v>
      </c>
      <c r="E51" s="491">
        <v>12</v>
      </c>
      <c r="F51" s="483">
        <v>2000</v>
      </c>
      <c r="G51" s="484">
        <v>166.66666666666666</v>
      </c>
      <c r="H51" s="672"/>
      <c r="I51" s="487">
        <f t="shared" si="42"/>
        <v>12</v>
      </c>
      <c r="J51" s="487">
        <f t="shared" si="42"/>
        <v>1518.1477175346906</v>
      </c>
      <c r="K51" s="363">
        <f t="shared" si="42"/>
        <v>126.51230979455754</v>
      </c>
      <c r="L51" s="615"/>
      <c r="M51" s="490">
        <f>RANK(K51, K$47:$K$61)</f>
        <v>7</v>
      </c>
      <c r="N51" s="624"/>
      <c r="O51" s="624"/>
      <c r="P51" s="540">
        <v>12</v>
      </c>
      <c r="Q51" s="541">
        <v>1515.2307692307679</v>
      </c>
      <c r="R51" s="541">
        <v>126.26923076923066</v>
      </c>
      <c r="S51" s="540">
        <f>RANK(R51, R$47:R$61)</f>
        <v>6</v>
      </c>
      <c r="T51" s="653"/>
      <c r="U51" s="540">
        <v>12</v>
      </c>
      <c r="V51" s="541">
        <v>1499.7906976744196</v>
      </c>
      <c r="W51" s="541">
        <v>124.98255813953496</v>
      </c>
      <c r="X51" s="540">
        <f>RANK(W51, W$47:W$61)</f>
        <v>7</v>
      </c>
      <c r="Y51" s="653"/>
      <c r="Z51" s="540">
        <v>12</v>
      </c>
      <c r="AA51" s="541">
        <v>1516.1481481481489</v>
      </c>
      <c r="AB51" s="541">
        <v>126.34567901234574</v>
      </c>
      <c r="AC51" s="540">
        <f>RANK(AB51, AB$47:AB$61)</f>
        <v>8</v>
      </c>
      <c r="AD51" s="653"/>
      <c r="AE51" s="540">
        <v>12</v>
      </c>
      <c r="AF51" s="541">
        <v>1548.9090909090908</v>
      </c>
      <c r="AG51" s="541">
        <v>129.07575757575756</v>
      </c>
      <c r="AH51" s="540">
        <f>RANK(AG51, AG$47:AG$61)</f>
        <v>6</v>
      </c>
      <c r="AI51" s="653"/>
      <c r="AJ51" s="540">
        <v>12</v>
      </c>
      <c r="AK51" s="541">
        <v>1496.0281690140848</v>
      </c>
      <c r="AL51" s="541">
        <v>124.66901408450707</v>
      </c>
      <c r="AM51" s="540">
        <f>RANK(AL51, AL$47:AL$61)</f>
        <v>7</v>
      </c>
      <c r="AN51" s="653"/>
      <c r="AO51" s="540">
        <v>12</v>
      </c>
      <c r="AP51" s="541">
        <v>1531.1333333333346</v>
      </c>
      <c r="AQ51" s="541">
        <v>127.59444444444455</v>
      </c>
      <c r="AR51" s="540">
        <f>RANK(AQ51, AQ$47:AQ$61)</f>
        <v>7</v>
      </c>
      <c r="AS51" s="653"/>
      <c r="AT51" s="540">
        <v>12</v>
      </c>
      <c r="AU51" s="541">
        <v>1519.7938144329887</v>
      </c>
      <c r="AV51" s="541">
        <v>126.6494845360824</v>
      </c>
      <c r="AW51" s="540">
        <f>RANK(AV51, AV$47:AV$61)</f>
        <v>7</v>
      </c>
      <c r="AX51" s="653"/>
      <c r="AZ51" s="540" t="e">
        <f>RANK(AY51, AY$47:AY$61)</f>
        <v>#N/A</v>
      </c>
      <c r="BA51" s="653"/>
    </row>
    <row r="52" spans="2:53">
      <c r="B52" s="635"/>
      <c r="C52" s="485">
        <v>6</v>
      </c>
      <c r="D52" s="223" t="s">
        <v>540</v>
      </c>
      <c r="E52" s="491">
        <v>7</v>
      </c>
      <c r="F52" s="483">
        <v>1500</v>
      </c>
      <c r="G52" s="484">
        <v>214.28571428571428</v>
      </c>
      <c r="H52" s="672"/>
      <c r="I52" s="487">
        <f t="shared" si="42"/>
        <v>7</v>
      </c>
      <c r="J52" s="487">
        <f t="shared" si="42"/>
        <v>1455.8087360386482</v>
      </c>
      <c r="K52" s="363">
        <f t="shared" si="42"/>
        <v>207.97267657694974</v>
      </c>
      <c r="L52" s="615"/>
      <c r="M52" s="490">
        <f>RANK(K52, K$47:$K$61)</f>
        <v>2</v>
      </c>
      <c r="N52" s="624"/>
      <c r="O52" s="624"/>
      <c r="P52" s="540">
        <v>7</v>
      </c>
      <c r="Q52" s="541">
        <v>1456.9230769230778</v>
      </c>
      <c r="R52" s="541">
        <v>208.13186813186826</v>
      </c>
      <c r="S52" s="540">
        <f t="shared" ref="S52:S61" si="51">RANK(R52, R$47:R$61)</f>
        <v>3</v>
      </c>
      <c r="T52" s="653"/>
      <c r="U52" s="540">
        <v>7</v>
      </c>
      <c r="V52" s="541">
        <v>1440.7594936708861</v>
      </c>
      <c r="W52" s="541">
        <v>205.82278481012659</v>
      </c>
      <c r="X52" s="540">
        <f t="shared" ref="X52:X61" si="52">RANK(W52, W$47:W$61)</f>
        <v>3</v>
      </c>
      <c r="Y52" s="653"/>
      <c r="Z52" s="540">
        <v>7</v>
      </c>
      <c r="AA52" s="541">
        <v>1449.5121951219514</v>
      </c>
      <c r="AB52" s="541">
        <v>207.07317073170734</v>
      </c>
      <c r="AC52" s="540">
        <f t="shared" ref="AC52:AC61" si="53">RANK(AB52, AB$47:AB$61)</f>
        <v>4</v>
      </c>
      <c r="AD52" s="653"/>
      <c r="AE52" s="540">
        <v>7</v>
      </c>
      <c r="AF52" s="541">
        <v>1464.9999999999993</v>
      </c>
      <c r="AG52" s="541">
        <v>209.28571428571419</v>
      </c>
      <c r="AH52" s="540">
        <f t="shared" ref="AH52:AH61" si="54">RANK(AG52, AG$47:AG$61)</f>
        <v>1</v>
      </c>
      <c r="AI52" s="653"/>
      <c r="AJ52" s="540">
        <v>7</v>
      </c>
      <c r="AK52" s="541">
        <v>1447.5000000000011</v>
      </c>
      <c r="AL52" s="541">
        <v>206.78571428571445</v>
      </c>
      <c r="AM52" s="540">
        <f t="shared" ref="AM52:AM61" si="55">RANK(AL52, AL$47:AL$61)</f>
        <v>4</v>
      </c>
      <c r="AN52" s="653"/>
      <c r="AO52" s="540">
        <v>7</v>
      </c>
      <c r="AP52" s="541">
        <v>1478.8235294117649</v>
      </c>
      <c r="AQ52" s="541">
        <v>211.2605042016807</v>
      </c>
      <c r="AR52" s="540">
        <f t="shared" ref="AR52:AR61" si="56">RANK(AQ52, AQ$47:AQ$61)</f>
        <v>1</v>
      </c>
      <c r="AS52" s="653"/>
      <c r="AT52" s="540">
        <v>7</v>
      </c>
      <c r="AU52" s="541">
        <v>1452.1428571428567</v>
      </c>
      <c r="AV52" s="541">
        <v>207.44897959183666</v>
      </c>
      <c r="AW52" s="540">
        <f t="shared" ref="AW52:AW61" si="57">RANK(AV52, AV$47:AV$61)</f>
        <v>3</v>
      </c>
      <c r="AX52" s="653"/>
      <c r="AZ52" s="540" t="e">
        <f t="shared" ref="AZ52:AZ61" si="58">RANK(AY52, AY$47:AY$61)</f>
        <v>#N/A</v>
      </c>
      <c r="BA52" s="653"/>
    </row>
    <row r="53" spans="2:53">
      <c r="B53" s="635"/>
      <c r="C53" s="485">
        <v>7</v>
      </c>
      <c r="D53" s="223" t="s">
        <v>723</v>
      </c>
      <c r="E53" s="491">
        <v>12</v>
      </c>
      <c r="F53" s="483">
        <v>2000</v>
      </c>
      <c r="G53" s="484">
        <v>166.66666666666666</v>
      </c>
      <c r="H53" s="672"/>
      <c r="I53" s="487">
        <f t="shared" si="42"/>
        <v>12</v>
      </c>
      <c r="J53" s="487">
        <f t="shared" si="42"/>
        <v>1524.0630325619338</v>
      </c>
      <c r="K53" s="363">
        <f t="shared" si="42"/>
        <v>127.0052527134945</v>
      </c>
      <c r="L53" s="615"/>
      <c r="M53" s="490">
        <f>RANK(K53, K$47:$K$61)</f>
        <v>6</v>
      </c>
      <c r="N53" s="624"/>
      <c r="O53" s="624"/>
      <c r="P53" s="540">
        <v>12</v>
      </c>
      <c r="Q53" s="541">
        <v>1506.6153846153845</v>
      </c>
      <c r="R53" s="541">
        <v>125.55128205128204</v>
      </c>
      <c r="S53" s="540">
        <f t="shared" si="51"/>
        <v>7</v>
      </c>
      <c r="T53" s="653"/>
      <c r="U53" s="540">
        <v>12</v>
      </c>
      <c r="V53" s="541">
        <v>1534.4383561643838</v>
      </c>
      <c r="W53" s="541">
        <v>127.86986301369865</v>
      </c>
      <c r="X53" s="540">
        <f t="shared" si="52"/>
        <v>6</v>
      </c>
      <c r="Y53" s="653"/>
      <c r="Z53" s="540">
        <v>12</v>
      </c>
      <c r="AA53" s="541">
        <v>1529.1549295774648</v>
      </c>
      <c r="AB53" s="541">
        <v>127.42957746478874</v>
      </c>
      <c r="AC53" s="540">
        <f t="shared" si="53"/>
        <v>6</v>
      </c>
      <c r="AD53" s="653"/>
      <c r="AE53" s="540">
        <v>12</v>
      </c>
      <c r="AF53" s="541">
        <v>1501.8620689655174</v>
      </c>
      <c r="AG53" s="541">
        <v>125.15517241379312</v>
      </c>
      <c r="AH53" s="540">
        <f t="shared" si="54"/>
        <v>8</v>
      </c>
      <c r="AI53" s="653"/>
      <c r="AJ53" s="540">
        <v>12</v>
      </c>
      <c r="AK53" s="541">
        <v>1520.9508196721306</v>
      </c>
      <c r="AL53" s="541">
        <v>126.74590163934421</v>
      </c>
      <c r="AM53" s="540">
        <f t="shared" si="55"/>
        <v>6</v>
      </c>
      <c r="AN53" s="653"/>
      <c r="AO53" s="540">
        <v>12</v>
      </c>
      <c r="AP53" s="541">
        <v>1542.1538461538462</v>
      </c>
      <c r="AQ53" s="541">
        <v>128.51282051282053</v>
      </c>
      <c r="AR53" s="540">
        <f t="shared" si="56"/>
        <v>6</v>
      </c>
      <c r="AS53" s="653"/>
      <c r="AT53" s="540">
        <v>12</v>
      </c>
      <c r="AU53" s="541">
        <v>1533.2658227848101</v>
      </c>
      <c r="AV53" s="541">
        <v>127.77215189873418</v>
      </c>
      <c r="AW53" s="540">
        <f t="shared" si="57"/>
        <v>6</v>
      </c>
      <c r="AX53" s="653"/>
      <c r="AZ53" s="540" t="e">
        <f t="shared" si="58"/>
        <v>#N/A</v>
      </c>
      <c r="BA53" s="653"/>
    </row>
    <row r="54" spans="2:53">
      <c r="B54" s="635"/>
      <c r="C54" s="485">
        <v>8</v>
      </c>
      <c r="D54" s="223" t="s">
        <v>724</v>
      </c>
      <c r="E54" s="491">
        <v>12</v>
      </c>
      <c r="F54" s="483">
        <v>2000</v>
      </c>
      <c r="G54" s="484">
        <v>166.66666666666666</v>
      </c>
      <c r="H54" s="672"/>
      <c r="I54" s="487">
        <f t="shared" si="42"/>
        <v>12</v>
      </c>
      <c r="J54" s="487">
        <f t="shared" si="42"/>
        <v>1507.786096696743</v>
      </c>
      <c r="K54" s="363">
        <f t="shared" si="42"/>
        <v>125.64884139139524</v>
      </c>
      <c r="L54" s="615"/>
      <c r="M54" s="490">
        <f>RANK(K54, K$47:$K$61)</f>
        <v>8</v>
      </c>
      <c r="N54" s="624"/>
      <c r="O54" s="624"/>
      <c r="P54" s="540">
        <v>12</v>
      </c>
      <c r="Q54" s="541">
        <v>1505.9999999999993</v>
      </c>
      <c r="R54" s="541">
        <v>125.49999999999994</v>
      </c>
      <c r="S54" s="540">
        <f t="shared" si="51"/>
        <v>8</v>
      </c>
      <c r="T54" s="653"/>
      <c r="U54" s="540">
        <v>12</v>
      </c>
      <c r="V54" s="541">
        <v>1479.3749999999995</v>
      </c>
      <c r="W54" s="541">
        <v>123.28124999999996</v>
      </c>
      <c r="X54" s="540">
        <f t="shared" si="52"/>
        <v>8</v>
      </c>
      <c r="Y54" s="653"/>
      <c r="Z54" s="540">
        <v>12</v>
      </c>
      <c r="AA54" s="541">
        <v>1525.16129032258</v>
      </c>
      <c r="AB54" s="541">
        <v>127.09677419354834</v>
      </c>
      <c r="AC54" s="540">
        <f t="shared" si="53"/>
        <v>7</v>
      </c>
      <c r="AD54" s="653"/>
      <c r="AE54" s="540">
        <v>12</v>
      </c>
      <c r="AF54" s="541">
        <v>1534.2857142857138</v>
      </c>
      <c r="AG54" s="541">
        <v>127.85714285714282</v>
      </c>
      <c r="AH54" s="540">
        <f t="shared" si="54"/>
        <v>7</v>
      </c>
      <c r="AI54" s="653"/>
      <c r="AJ54" s="540">
        <v>12</v>
      </c>
      <c r="AK54" s="541">
        <v>1487.9999999999993</v>
      </c>
      <c r="AL54" s="541">
        <v>123.99999999999994</v>
      </c>
      <c r="AM54" s="540">
        <f t="shared" si="55"/>
        <v>8</v>
      </c>
      <c r="AN54" s="653"/>
      <c r="AO54" s="540">
        <v>12</v>
      </c>
      <c r="AP54" s="541">
        <v>1512.857142857144</v>
      </c>
      <c r="AQ54" s="541">
        <v>126.07142857142867</v>
      </c>
      <c r="AR54" s="540">
        <f t="shared" si="56"/>
        <v>8</v>
      </c>
      <c r="AS54" s="653"/>
      <c r="AT54" s="540">
        <v>12</v>
      </c>
      <c r="AU54" s="541">
        <v>1508.8235294117649</v>
      </c>
      <c r="AV54" s="541">
        <v>125.73529411764707</v>
      </c>
      <c r="AW54" s="540">
        <f t="shared" si="57"/>
        <v>8</v>
      </c>
      <c r="AX54" s="653"/>
      <c r="AZ54" s="540" t="e">
        <f t="shared" si="58"/>
        <v>#N/A</v>
      </c>
      <c r="BA54" s="653"/>
    </row>
    <row r="55" spans="2:53">
      <c r="B55" s="635"/>
      <c r="C55" s="485">
        <v>9</v>
      </c>
      <c r="D55" s="223" t="s">
        <v>732</v>
      </c>
      <c r="E55" s="491">
        <v>16</v>
      </c>
      <c r="F55" s="483">
        <v>1385</v>
      </c>
      <c r="G55" s="484">
        <v>86.5625</v>
      </c>
      <c r="H55" s="672"/>
      <c r="I55" s="487">
        <f t="shared" si="42"/>
        <v>16</v>
      </c>
      <c r="J55" s="487">
        <f t="shared" si="42"/>
        <v>1132.0560238077792</v>
      </c>
      <c r="K55" s="363">
        <f t="shared" si="42"/>
        <v>70.753501487986199</v>
      </c>
      <c r="L55" s="615"/>
      <c r="M55" s="490">
        <f>RANK(K55, K$47:$K$61)</f>
        <v>10</v>
      </c>
      <c r="N55" s="624"/>
      <c r="O55" s="624"/>
      <c r="P55" s="540">
        <v>16</v>
      </c>
      <c r="Q55" s="541">
        <v>1136.1975903614455</v>
      </c>
      <c r="R55" s="541">
        <v>71.012349397590341</v>
      </c>
      <c r="S55" s="540">
        <f t="shared" si="51"/>
        <v>10</v>
      </c>
      <c r="T55" s="653"/>
      <c r="U55" s="540">
        <v>16</v>
      </c>
      <c r="V55" s="541">
        <v>1140.8837837837841</v>
      </c>
      <c r="W55" s="541">
        <v>71.305236486486507</v>
      </c>
      <c r="X55" s="540">
        <f t="shared" si="52"/>
        <v>10</v>
      </c>
      <c r="Y55" s="653"/>
      <c r="Z55" s="540">
        <v>16</v>
      </c>
      <c r="AA55" s="541">
        <v>1124.2105263157898</v>
      </c>
      <c r="AB55" s="541">
        <v>70.263157894736864</v>
      </c>
      <c r="AC55" s="540">
        <f t="shared" si="53"/>
        <v>10</v>
      </c>
      <c r="AD55" s="653"/>
      <c r="AE55" s="540">
        <v>16</v>
      </c>
      <c r="AF55" s="541">
        <v>1111.304347826087</v>
      </c>
      <c r="AG55" s="541">
        <v>69.456521739130437</v>
      </c>
      <c r="AH55" s="540">
        <f t="shared" si="54"/>
        <v>10</v>
      </c>
      <c r="AI55" s="653"/>
      <c r="AJ55" s="540">
        <v>16</v>
      </c>
      <c r="AK55" s="541">
        <v>1130.5714285714289</v>
      </c>
      <c r="AL55" s="541">
        <v>70.660714285714306</v>
      </c>
      <c r="AM55" s="540">
        <f t="shared" si="55"/>
        <v>10</v>
      </c>
      <c r="AN55" s="653"/>
      <c r="AO55" s="540">
        <v>16</v>
      </c>
      <c r="AP55" s="541">
        <v>1140</v>
      </c>
      <c r="AQ55" s="541">
        <v>71.25</v>
      </c>
      <c r="AR55" s="540">
        <f t="shared" si="56"/>
        <v>10</v>
      </c>
      <c r="AS55" s="653"/>
      <c r="AT55" s="540">
        <v>16</v>
      </c>
      <c r="AU55" s="541">
        <v>1141.2244897959188</v>
      </c>
      <c r="AV55" s="541">
        <v>71.326530612244923</v>
      </c>
      <c r="AW55" s="540">
        <f t="shared" si="57"/>
        <v>10</v>
      </c>
      <c r="AX55" s="653"/>
      <c r="AZ55" s="540" t="e">
        <f t="shared" si="58"/>
        <v>#N/A</v>
      </c>
      <c r="BA55" s="653"/>
    </row>
    <row r="56" spans="2:53">
      <c r="B56" s="635"/>
      <c r="C56" s="485">
        <v>10</v>
      </c>
      <c r="D56" s="223" t="s">
        <v>798</v>
      </c>
      <c r="E56" s="491">
        <v>7</v>
      </c>
      <c r="F56" s="483">
        <v>1500</v>
      </c>
      <c r="G56" s="484">
        <v>214.28571428571428</v>
      </c>
      <c r="H56" s="672"/>
      <c r="I56" s="487">
        <f t="shared" si="42"/>
        <v>7</v>
      </c>
      <c r="J56" s="487">
        <f t="shared" si="42"/>
        <v>1451.0269964247038</v>
      </c>
      <c r="K56" s="363">
        <f t="shared" si="42"/>
        <v>207.28957091781484</v>
      </c>
      <c r="L56" s="615"/>
      <c r="M56" s="490">
        <f>RANK(K56, K$47:$K$61)</f>
        <v>4</v>
      </c>
      <c r="N56" s="624"/>
      <c r="O56" s="624"/>
      <c r="P56" s="540">
        <v>7</v>
      </c>
      <c r="Q56" s="541">
        <v>1469.4117647058829</v>
      </c>
      <c r="R56" s="541">
        <v>209.91596638655469</v>
      </c>
      <c r="S56" s="540">
        <f t="shared" si="51"/>
        <v>2</v>
      </c>
      <c r="T56" s="653"/>
      <c r="U56" s="540">
        <v>7</v>
      </c>
      <c r="V56" s="541">
        <v>1438.9285714285704</v>
      </c>
      <c r="W56" s="541">
        <v>205.56122448979576</v>
      </c>
      <c r="X56" s="540">
        <f t="shared" si="52"/>
        <v>4</v>
      </c>
      <c r="Y56" s="653"/>
      <c r="Z56" s="540">
        <v>7</v>
      </c>
      <c r="AA56" s="541">
        <v>1434.8275862068956</v>
      </c>
      <c r="AB56" s="541">
        <v>204.97536945812794</v>
      </c>
      <c r="AC56" s="540">
        <f t="shared" si="53"/>
        <v>5</v>
      </c>
      <c r="AD56" s="653"/>
      <c r="AE56" s="540">
        <v>7</v>
      </c>
      <c r="AF56" s="541">
        <v>1454.2857142857138</v>
      </c>
      <c r="AG56" s="541">
        <v>207.75510204081624</v>
      </c>
      <c r="AH56" s="540">
        <f t="shared" si="54"/>
        <v>3</v>
      </c>
      <c r="AI56" s="653"/>
      <c r="AJ56" s="540">
        <v>7</v>
      </c>
      <c r="AK56" s="541">
        <v>1438.4210526315778</v>
      </c>
      <c r="AL56" s="541">
        <v>205.48872180451113</v>
      </c>
      <c r="AM56" s="540">
        <f t="shared" si="55"/>
        <v>5</v>
      </c>
      <c r="AN56" s="653"/>
      <c r="AO56" s="540">
        <v>7</v>
      </c>
      <c r="AP56" s="541">
        <v>1455.6000000000006</v>
      </c>
      <c r="AQ56" s="541">
        <v>207.94285714285724</v>
      </c>
      <c r="AR56" s="540">
        <f t="shared" si="56"/>
        <v>4</v>
      </c>
      <c r="AS56" s="653"/>
      <c r="AT56" s="540">
        <v>7</v>
      </c>
      <c r="AU56" s="541">
        <v>1465.7142857142853</v>
      </c>
      <c r="AV56" s="541">
        <v>209.38775510204076</v>
      </c>
      <c r="AW56" s="540">
        <f t="shared" si="57"/>
        <v>1</v>
      </c>
      <c r="AX56" s="653"/>
      <c r="AZ56" s="540" t="e">
        <f t="shared" si="58"/>
        <v>#N/A</v>
      </c>
      <c r="BA56" s="653"/>
    </row>
    <row r="57" spans="2:53">
      <c r="B57" s="635"/>
      <c r="C57" s="485">
        <v>11</v>
      </c>
      <c r="D57" s="223" t="s">
        <v>798</v>
      </c>
      <c r="E57" s="491">
        <v>7</v>
      </c>
      <c r="F57" s="483">
        <v>1500</v>
      </c>
      <c r="G57" s="484">
        <v>214.28571428571428</v>
      </c>
      <c r="H57" s="672"/>
      <c r="I57" s="487" t="str">
        <f t="shared" si="42"/>
        <v>-</v>
      </c>
      <c r="J57" s="487" t="str">
        <f t="shared" si="42"/>
        <v>-</v>
      </c>
      <c r="K57" s="363" t="str">
        <f t="shared" si="42"/>
        <v>-</v>
      </c>
      <c r="L57" s="615"/>
      <c r="M57" s="490" t="e">
        <f>RANK(K57, K$47:$K$61)</f>
        <v>#VALUE!</v>
      </c>
      <c r="N57" s="624"/>
      <c r="O57" s="624"/>
      <c r="P57" s="540" t="s">
        <v>427</v>
      </c>
      <c r="Q57" s="541" t="s">
        <v>427</v>
      </c>
      <c r="R57" s="541" t="s">
        <v>427</v>
      </c>
      <c r="S57" s="540" t="e">
        <f t="shared" si="51"/>
        <v>#VALUE!</v>
      </c>
      <c r="T57" s="653"/>
      <c r="U57" s="540" t="s">
        <v>427</v>
      </c>
      <c r="V57" s="541" t="s">
        <v>427</v>
      </c>
      <c r="W57" s="541" t="s">
        <v>427</v>
      </c>
      <c r="X57" s="540" t="e">
        <f t="shared" si="52"/>
        <v>#VALUE!</v>
      </c>
      <c r="Y57" s="653"/>
      <c r="Z57" s="540" t="s">
        <v>427</v>
      </c>
      <c r="AA57" s="541" t="s">
        <v>427</v>
      </c>
      <c r="AB57" s="541" t="s">
        <v>427</v>
      </c>
      <c r="AC57" s="540" t="e">
        <f t="shared" si="53"/>
        <v>#VALUE!</v>
      </c>
      <c r="AD57" s="653"/>
      <c r="AE57" s="540" t="s">
        <v>427</v>
      </c>
      <c r="AF57" s="541" t="s">
        <v>427</v>
      </c>
      <c r="AG57" s="541" t="s">
        <v>427</v>
      </c>
      <c r="AH57" s="540" t="e">
        <f t="shared" si="54"/>
        <v>#VALUE!</v>
      </c>
      <c r="AI57" s="653"/>
      <c r="AJ57" s="540" t="s">
        <v>427</v>
      </c>
      <c r="AK57" s="541" t="s">
        <v>427</v>
      </c>
      <c r="AL57" s="541" t="s">
        <v>427</v>
      </c>
      <c r="AM57" s="540" t="e">
        <f t="shared" si="55"/>
        <v>#VALUE!</v>
      </c>
      <c r="AN57" s="653"/>
      <c r="AO57" s="540" t="s">
        <v>427</v>
      </c>
      <c r="AP57" s="541" t="s">
        <v>427</v>
      </c>
      <c r="AQ57" s="541" t="s">
        <v>427</v>
      </c>
      <c r="AR57" s="540" t="e">
        <f t="shared" si="56"/>
        <v>#VALUE!</v>
      </c>
      <c r="AS57" s="653"/>
      <c r="AT57" s="540" t="s">
        <v>427</v>
      </c>
      <c r="AU57" s="541" t="s">
        <v>427</v>
      </c>
      <c r="AV57" s="541" t="s">
        <v>427</v>
      </c>
      <c r="AW57" s="540" t="e">
        <f t="shared" si="57"/>
        <v>#VALUE!</v>
      </c>
      <c r="AX57" s="653"/>
      <c r="AZ57" s="540" t="e">
        <f t="shared" si="58"/>
        <v>#N/A</v>
      </c>
      <c r="BA57" s="653"/>
    </row>
    <row r="58" spans="2:53">
      <c r="B58" s="635"/>
      <c r="C58" s="485">
        <v>12</v>
      </c>
      <c r="D58" s="223"/>
      <c r="E58" s="491"/>
      <c r="F58" s="483"/>
      <c r="G58" s="484"/>
      <c r="H58" s="672"/>
      <c r="I58" s="487" t="str">
        <f t="shared" si="42"/>
        <v>-</v>
      </c>
      <c r="J58" s="487" t="str">
        <f t="shared" si="42"/>
        <v>-</v>
      </c>
      <c r="K58" s="363" t="str">
        <f t="shared" si="42"/>
        <v>-</v>
      </c>
      <c r="L58" s="615"/>
      <c r="M58" s="490" t="e">
        <f>RANK(K58, K$47:$K$61)</f>
        <v>#VALUE!</v>
      </c>
      <c r="N58" s="624"/>
      <c r="O58" s="624"/>
      <c r="P58" s="540" t="s">
        <v>427</v>
      </c>
      <c r="Q58" s="541" t="s">
        <v>427</v>
      </c>
      <c r="R58" s="541" t="s">
        <v>427</v>
      </c>
      <c r="S58" s="540" t="e">
        <f t="shared" si="51"/>
        <v>#VALUE!</v>
      </c>
      <c r="T58" s="653"/>
      <c r="U58" s="540" t="s">
        <v>427</v>
      </c>
      <c r="V58" s="541" t="s">
        <v>427</v>
      </c>
      <c r="W58" s="541" t="s">
        <v>427</v>
      </c>
      <c r="X58" s="540" t="e">
        <f t="shared" si="52"/>
        <v>#VALUE!</v>
      </c>
      <c r="Y58" s="653"/>
      <c r="Z58" s="540" t="s">
        <v>427</v>
      </c>
      <c r="AA58" s="541" t="s">
        <v>427</v>
      </c>
      <c r="AB58" s="541" t="s">
        <v>427</v>
      </c>
      <c r="AC58" s="540" t="e">
        <f t="shared" si="53"/>
        <v>#VALUE!</v>
      </c>
      <c r="AD58" s="653"/>
      <c r="AE58" s="540" t="s">
        <v>427</v>
      </c>
      <c r="AF58" s="541" t="s">
        <v>427</v>
      </c>
      <c r="AG58" s="541" t="s">
        <v>427</v>
      </c>
      <c r="AH58" s="540" t="e">
        <f t="shared" si="54"/>
        <v>#VALUE!</v>
      </c>
      <c r="AI58" s="653"/>
      <c r="AJ58" s="540" t="s">
        <v>427</v>
      </c>
      <c r="AK58" s="541" t="s">
        <v>427</v>
      </c>
      <c r="AL58" s="541" t="s">
        <v>427</v>
      </c>
      <c r="AM58" s="540" t="e">
        <f t="shared" si="55"/>
        <v>#VALUE!</v>
      </c>
      <c r="AN58" s="653"/>
      <c r="AO58" s="540" t="s">
        <v>427</v>
      </c>
      <c r="AP58" s="541" t="s">
        <v>427</v>
      </c>
      <c r="AQ58" s="541" t="s">
        <v>427</v>
      </c>
      <c r="AR58" s="540" t="e">
        <f t="shared" si="56"/>
        <v>#VALUE!</v>
      </c>
      <c r="AS58" s="653"/>
      <c r="AT58" s="540" t="s">
        <v>427</v>
      </c>
      <c r="AU58" s="541" t="s">
        <v>427</v>
      </c>
      <c r="AV58" s="541" t="s">
        <v>427</v>
      </c>
      <c r="AW58" s="540" t="e">
        <f t="shared" si="57"/>
        <v>#VALUE!</v>
      </c>
      <c r="AX58" s="653"/>
      <c r="AZ58" s="540" t="e">
        <f t="shared" si="58"/>
        <v>#N/A</v>
      </c>
      <c r="BA58" s="653"/>
    </row>
    <row r="59" spans="2:53">
      <c r="B59" s="635"/>
      <c r="C59" s="485">
        <v>13</v>
      </c>
      <c r="D59" s="223"/>
      <c r="E59" s="491"/>
      <c r="F59" s="483"/>
      <c r="G59" s="484"/>
      <c r="H59" s="672"/>
      <c r="I59" s="487" t="str">
        <f t="shared" si="42"/>
        <v>-</v>
      </c>
      <c r="J59" s="487" t="str">
        <f t="shared" si="42"/>
        <v>-</v>
      </c>
      <c r="K59" s="363" t="str">
        <f t="shared" si="42"/>
        <v>-</v>
      </c>
      <c r="L59" s="615"/>
      <c r="M59" s="490" t="e">
        <f>RANK(K59, K$47:$K$61)</f>
        <v>#VALUE!</v>
      </c>
      <c r="N59" s="624"/>
      <c r="O59" s="624"/>
      <c r="P59" s="540" t="s">
        <v>427</v>
      </c>
      <c r="Q59" s="541" t="s">
        <v>427</v>
      </c>
      <c r="R59" s="541" t="s">
        <v>427</v>
      </c>
      <c r="S59" s="540" t="e">
        <f t="shared" si="51"/>
        <v>#VALUE!</v>
      </c>
      <c r="T59" s="653"/>
      <c r="U59" s="540" t="s">
        <v>427</v>
      </c>
      <c r="V59" s="541" t="s">
        <v>427</v>
      </c>
      <c r="W59" s="541" t="s">
        <v>427</v>
      </c>
      <c r="X59" s="540" t="e">
        <f t="shared" si="52"/>
        <v>#VALUE!</v>
      </c>
      <c r="Y59" s="653"/>
      <c r="Z59" s="540" t="s">
        <v>427</v>
      </c>
      <c r="AA59" s="541" t="s">
        <v>427</v>
      </c>
      <c r="AB59" s="541" t="s">
        <v>427</v>
      </c>
      <c r="AC59" s="540" t="e">
        <f t="shared" si="53"/>
        <v>#VALUE!</v>
      </c>
      <c r="AD59" s="653"/>
      <c r="AE59" s="540" t="s">
        <v>427</v>
      </c>
      <c r="AF59" s="541" t="s">
        <v>427</v>
      </c>
      <c r="AG59" s="541" t="s">
        <v>427</v>
      </c>
      <c r="AH59" s="540" t="e">
        <f t="shared" si="54"/>
        <v>#VALUE!</v>
      </c>
      <c r="AI59" s="653"/>
      <c r="AJ59" s="540" t="s">
        <v>427</v>
      </c>
      <c r="AK59" s="541" t="s">
        <v>427</v>
      </c>
      <c r="AL59" s="541" t="s">
        <v>427</v>
      </c>
      <c r="AM59" s="540" t="e">
        <f t="shared" si="55"/>
        <v>#VALUE!</v>
      </c>
      <c r="AN59" s="653"/>
      <c r="AO59" s="540" t="s">
        <v>427</v>
      </c>
      <c r="AP59" s="541" t="s">
        <v>427</v>
      </c>
      <c r="AQ59" s="541" t="s">
        <v>427</v>
      </c>
      <c r="AR59" s="540" t="e">
        <f t="shared" si="56"/>
        <v>#VALUE!</v>
      </c>
      <c r="AS59" s="653"/>
      <c r="AT59" s="540" t="s">
        <v>427</v>
      </c>
      <c r="AU59" s="541" t="s">
        <v>427</v>
      </c>
      <c r="AV59" s="541" t="s">
        <v>427</v>
      </c>
      <c r="AW59" s="540" t="e">
        <f t="shared" si="57"/>
        <v>#VALUE!</v>
      </c>
      <c r="AX59" s="653"/>
      <c r="AZ59" s="540" t="e">
        <f t="shared" si="58"/>
        <v>#N/A</v>
      </c>
      <c r="BA59" s="653"/>
    </row>
    <row r="60" spans="2:53">
      <c r="B60" s="635"/>
      <c r="C60" s="485">
        <v>14</v>
      </c>
      <c r="D60" s="223"/>
      <c r="E60" s="491"/>
      <c r="F60" s="483"/>
      <c r="G60" s="484"/>
      <c r="H60" s="672"/>
      <c r="I60" s="487" t="str">
        <f t="shared" si="42"/>
        <v>-</v>
      </c>
      <c r="J60" s="487" t="str">
        <f t="shared" si="42"/>
        <v>-</v>
      </c>
      <c r="K60" s="363" t="str">
        <f t="shared" si="42"/>
        <v>-</v>
      </c>
      <c r="L60" s="615"/>
      <c r="M60" s="490" t="e">
        <f>RANK(K60, K$47:$K$61)</f>
        <v>#VALUE!</v>
      </c>
      <c r="N60" s="624"/>
      <c r="O60" s="624"/>
      <c r="P60" s="540" t="s">
        <v>427</v>
      </c>
      <c r="Q60" s="541" t="s">
        <v>427</v>
      </c>
      <c r="R60" s="541" t="s">
        <v>427</v>
      </c>
      <c r="S60" s="540" t="e">
        <f t="shared" si="51"/>
        <v>#VALUE!</v>
      </c>
      <c r="T60" s="653"/>
      <c r="U60" s="540" t="s">
        <v>427</v>
      </c>
      <c r="V60" s="541" t="s">
        <v>427</v>
      </c>
      <c r="W60" s="541" t="s">
        <v>427</v>
      </c>
      <c r="X60" s="540" t="e">
        <f t="shared" si="52"/>
        <v>#VALUE!</v>
      </c>
      <c r="Y60" s="653"/>
      <c r="Z60" s="540" t="s">
        <v>427</v>
      </c>
      <c r="AA60" s="541" t="s">
        <v>427</v>
      </c>
      <c r="AB60" s="541" t="s">
        <v>427</v>
      </c>
      <c r="AC60" s="540" t="e">
        <f t="shared" si="53"/>
        <v>#VALUE!</v>
      </c>
      <c r="AD60" s="653"/>
      <c r="AE60" s="540" t="s">
        <v>427</v>
      </c>
      <c r="AF60" s="541" t="s">
        <v>427</v>
      </c>
      <c r="AG60" s="541" t="s">
        <v>427</v>
      </c>
      <c r="AH60" s="540" t="e">
        <f t="shared" si="54"/>
        <v>#VALUE!</v>
      </c>
      <c r="AI60" s="653"/>
      <c r="AJ60" s="540" t="s">
        <v>427</v>
      </c>
      <c r="AK60" s="541" t="s">
        <v>427</v>
      </c>
      <c r="AL60" s="541" t="s">
        <v>427</v>
      </c>
      <c r="AM60" s="540" t="e">
        <f t="shared" si="55"/>
        <v>#VALUE!</v>
      </c>
      <c r="AN60" s="653"/>
      <c r="AO60" s="540" t="s">
        <v>427</v>
      </c>
      <c r="AP60" s="541" t="s">
        <v>427</v>
      </c>
      <c r="AQ60" s="541" t="s">
        <v>427</v>
      </c>
      <c r="AR60" s="540" t="e">
        <f t="shared" si="56"/>
        <v>#VALUE!</v>
      </c>
      <c r="AS60" s="653"/>
      <c r="AT60" s="540" t="s">
        <v>427</v>
      </c>
      <c r="AU60" s="541" t="s">
        <v>427</v>
      </c>
      <c r="AV60" s="541" t="s">
        <v>427</v>
      </c>
      <c r="AW60" s="540" t="e">
        <f t="shared" si="57"/>
        <v>#VALUE!</v>
      </c>
      <c r="AX60" s="653"/>
      <c r="AZ60" s="540" t="e">
        <f t="shared" si="58"/>
        <v>#N/A</v>
      </c>
      <c r="BA60" s="653"/>
    </row>
    <row r="61" spans="2:53">
      <c r="B61" s="635"/>
      <c r="C61" s="485">
        <v>15</v>
      </c>
      <c r="D61" s="223"/>
      <c r="E61" s="491"/>
      <c r="F61" s="483"/>
      <c r="G61" s="484"/>
      <c r="H61" s="676"/>
      <c r="I61" s="485"/>
      <c r="J61" s="485"/>
      <c r="K61" s="485"/>
      <c r="L61" s="616"/>
      <c r="M61" s="490" t="e">
        <f>RANK(K61, K$47:$K$61)</f>
        <v>#N/A</v>
      </c>
      <c r="N61" s="624"/>
      <c r="O61" s="624"/>
      <c r="P61" s="540" t="s">
        <v>427</v>
      </c>
      <c r="Q61" s="541" t="s">
        <v>427</v>
      </c>
      <c r="R61" s="541" t="s">
        <v>427</v>
      </c>
      <c r="S61" s="540" t="e">
        <f t="shared" si="51"/>
        <v>#VALUE!</v>
      </c>
      <c r="T61" s="653"/>
      <c r="U61" s="540" t="s">
        <v>427</v>
      </c>
      <c r="V61" s="541" t="s">
        <v>427</v>
      </c>
      <c r="W61" s="541" t="s">
        <v>427</v>
      </c>
      <c r="X61" s="540" t="e">
        <f t="shared" si="52"/>
        <v>#VALUE!</v>
      </c>
      <c r="Y61" s="653"/>
      <c r="Z61" s="540" t="s">
        <v>427</v>
      </c>
      <c r="AA61" s="541" t="s">
        <v>427</v>
      </c>
      <c r="AB61" s="541" t="s">
        <v>427</v>
      </c>
      <c r="AC61" s="540" t="e">
        <f t="shared" si="53"/>
        <v>#VALUE!</v>
      </c>
      <c r="AD61" s="653"/>
      <c r="AE61" s="540" t="s">
        <v>427</v>
      </c>
      <c r="AF61" s="541" t="s">
        <v>427</v>
      </c>
      <c r="AG61" s="541" t="s">
        <v>427</v>
      </c>
      <c r="AH61" s="540" t="e">
        <f t="shared" si="54"/>
        <v>#VALUE!</v>
      </c>
      <c r="AI61" s="653"/>
      <c r="AJ61" s="540" t="s">
        <v>427</v>
      </c>
      <c r="AK61" s="541" t="s">
        <v>427</v>
      </c>
      <c r="AL61" s="541" t="s">
        <v>427</v>
      </c>
      <c r="AM61" s="540" t="e">
        <f t="shared" si="55"/>
        <v>#VALUE!</v>
      </c>
      <c r="AN61" s="653"/>
      <c r="AO61" s="540" t="s">
        <v>427</v>
      </c>
      <c r="AP61" s="541" t="s">
        <v>427</v>
      </c>
      <c r="AQ61" s="541" t="s">
        <v>427</v>
      </c>
      <c r="AR61" s="540" t="e">
        <f t="shared" si="56"/>
        <v>#VALUE!</v>
      </c>
      <c r="AS61" s="653"/>
      <c r="AT61" s="540" t="s">
        <v>427</v>
      </c>
      <c r="AU61" s="541" t="s">
        <v>427</v>
      </c>
      <c r="AV61" s="541" t="s">
        <v>427</v>
      </c>
      <c r="AW61" s="540" t="e">
        <f t="shared" si="57"/>
        <v>#VALUE!</v>
      </c>
      <c r="AX61" s="653"/>
      <c r="AZ61" s="540" t="e">
        <f t="shared" si="58"/>
        <v>#N/A</v>
      </c>
      <c r="BA61" s="653"/>
    </row>
    <row r="62" spans="2:53" ht="15.75">
      <c r="B62" s="643" t="s">
        <v>769</v>
      </c>
      <c r="C62" s="644"/>
      <c r="D62" s="644"/>
      <c r="E62" s="644"/>
      <c r="F62" s="644"/>
      <c r="G62" s="644"/>
      <c r="H62" s="645"/>
      <c r="I62" s="205"/>
      <c r="J62" s="205"/>
      <c r="K62" s="205"/>
      <c r="L62" s="205"/>
      <c r="M62" s="204"/>
      <c r="N62" s="639" t="s">
        <v>781</v>
      </c>
      <c r="O62" s="639" t="s">
        <v>714</v>
      </c>
      <c r="P62" s="634">
        <f>AT42+1</f>
        <v>46224</v>
      </c>
      <c r="Q62" s="635"/>
      <c r="R62" s="635"/>
      <c r="S62" s="635"/>
      <c r="T62" s="635"/>
      <c r="U62" s="636">
        <f>P62+1</f>
        <v>46225</v>
      </c>
      <c r="V62" s="637"/>
      <c r="W62" s="637"/>
      <c r="X62" s="637"/>
      <c r="Y62" s="638"/>
      <c r="Z62" s="636">
        <f t="shared" ref="Z62" si="59">U62+1</f>
        <v>46226</v>
      </c>
      <c r="AA62" s="637"/>
      <c r="AB62" s="637"/>
      <c r="AC62" s="637"/>
      <c r="AD62" s="638"/>
      <c r="AE62" s="636">
        <f t="shared" ref="AE62" si="60">Z62+1</f>
        <v>46227</v>
      </c>
      <c r="AF62" s="637"/>
      <c r="AG62" s="637"/>
      <c r="AH62" s="637"/>
      <c r="AI62" s="638"/>
      <c r="AJ62" s="636">
        <f t="shared" ref="AJ62" si="61">AE62+1</f>
        <v>46228</v>
      </c>
      <c r="AK62" s="637"/>
      <c r="AL62" s="637"/>
      <c r="AM62" s="637"/>
      <c r="AN62" s="638"/>
      <c r="AO62" s="636">
        <f t="shared" ref="AO62" si="62">AJ62+1</f>
        <v>46229</v>
      </c>
      <c r="AP62" s="637"/>
      <c r="AQ62" s="637"/>
      <c r="AR62" s="637"/>
      <c r="AS62" s="638"/>
      <c r="AT62" s="636">
        <f t="shared" ref="AT62" si="63">AO62+1</f>
        <v>46230</v>
      </c>
      <c r="AU62" s="637"/>
      <c r="AV62" s="637"/>
      <c r="AW62" s="637"/>
      <c r="AX62" s="638"/>
    </row>
    <row r="63" spans="2:53" ht="15.75">
      <c r="B63" s="646"/>
      <c r="C63" s="646"/>
      <c r="D63" s="646"/>
      <c r="E63" s="646"/>
      <c r="F63" s="646"/>
      <c r="G63" s="646"/>
      <c r="H63" s="646"/>
      <c r="I63" s="202"/>
      <c r="J63" s="202"/>
      <c r="K63" s="202"/>
      <c r="L63" s="202"/>
      <c r="M63" s="203"/>
      <c r="N63" s="641"/>
      <c r="O63" s="641"/>
      <c r="P63" s="634" t="s">
        <v>715</v>
      </c>
      <c r="Q63" s="635"/>
      <c r="R63" s="635"/>
      <c r="S63" s="635"/>
      <c r="T63" s="635"/>
      <c r="U63" s="634" t="s">
        <v>716</v>
      </c>
      <c r="V63" s="635"/>
      <c r="W63" s="635"/>
      <c r="X63" s="635"/>
      <c r="Y63" s="635"/>
      <c r="Z63" s="634" t="s">
        <v>717</v>
      </c>
      <c r="AA63" s="635"/>
      <c r="AB63" s="635"/>
      <c r="AC63" s="635"/>
      <c r="AD63" s="635"/>
      <c r="AE63" s="634" t="s">
        <v>718</v>
      </c>
      <c r="AF63" s="635"/>
      <c r="AG63" s="635"/>
      <c r="AH63" s="635"/>
      <c r="AI63" s="635"/>
      <c r="AJ63" s="634" t="s">
        <v>719</v>
      </c>
      <c r="AK63" s="635"/>
      <c r="AL63" s="635"/>
      <c r="AM63" s="635"/>
      <c r="AN63" s="635"/>
      <c r="AO63" s="634" t="s">
        <v>720</v>
      </c>
      <c r="AP63" s="635"/>
      <c r="AQ63" s="635"/>
      <c r="AR63" s="635"/>
      <c r="AS63" s="635"/>
      <c r="AT63" s="634" t="s">
        <v>721</v>
      </c>
      <c r="AU63" s="635"/>
      <c r="AV63" s="635"/>
      <c r="AW63" s="635"/>
      <c r="AX63" s="635"/>
    </row>
    <row r="64" spans="2:53">
      <c r="B64" s="624" t="s">
        <v>760</v>
      </c>
      <c r="C64" s="624" t="s">
        <v>464</v>
      </c>
      <c r="D64" s="624"/>
      <c r="E64" s="624" t="s">
        <v>465</v>
      </c>
      <c r="F64" s="624"/>
      <c r="G64" s="624"/>
      <c r="H64" s="647" t="s">
        <v>466</v>
      </c>
      <c r="I64" s="624" t="s">
        <v>467</v>
      </c>
      <c r="J64" s="624"/>
      <c r="K64" s="624"/>
      <c r="L64" s="647" t="s">
        <v>763</v>
      </c>
      <c r="M64" s="639" t="s">
        <v>468</v>
      </c>
      <c r="N64" s="624"/>
      <c r="O64" s="624" t="s">
        <v>708</v>
      </c>
      <c r="P64" s="621" t="s">
        <v>709</v>
      </c>
      <c r="Q64" s="622"/>
      <c r="R64" s="622"/>
      <c r="S64" s="623"/>
      <c r="T64" s="624" t="s">
        <v>706</v>
      </c>
      <c r="U64" s="621" t="s">
        <v>709</v>
      </c>
      <c r="V64" s="622"/>
      <c r="W64" s="622"/>
      <c r="X64" s="623"/>
      <c r="Y64" s="624" t="s">
        <v>706</v>
      </c>
      <c r="Z64" s="621" t="s">
        <v>709</v>
      </c>
      <c r="AA64" s="622"/>
      <c r="AB64" s="622"/>
      <c r="AC64" s="623"/>
      <c r="AD64" s="624" t="s">
        <v>706</v>
      </c>
      <c r="AE64" s="621" t="s">
        <v>709</v>
      </c>
      <c r="AF64" s="622"/>
      <c r="AG64" s="622"/>
      <c r="AH64" s="623"/>
      <c r="AI64" s="624" t="s">
        <v>706</v>
      </c>
      <c r="AJ64" s="621" t="s">
        <v>709</v>
      </c>
      <c r="AK64" s="622"/>
      <c r="AL64" s="622"/>
      <c r="AM64" s="623"/>
      <c r="AN64" s="624" t="s">
        <v>706</v>
      </c>
      <c r="AO64" s="621" t="s">
        <v>709</v>
      </c>
      <c r="AP64" s="622"/>
      <c r="AQ64" s="622"/>
      <c r="AR64" s="623"/>
      <c r="AS64" s="624" t="s">
        <v>706</v>
      </c>
      <c r="AT64" s="621" t="s">
        <v>709</v>
      </c>
      <c r="AU64" s="622"/>
      <c r="AV64" s="622"/>
      <c r="AW64" s="623"/>
      <c r="AX64" s="624" t="s">
        <v>706</v>
      </c>
    </row>
    <row r="65" spans="2:53">
      <c r="B65" s="624"/>
      <c r="C65" s="624"/>
      <c r="D65" s="624"/>
      <c r="E65" s="624" t="s">
        <v>470</v>
      </c>
      <c r="F65" s="624"/>
      <c r="G65" s="624"/>
      <c r="H65" s="648"/>
      <c r="I65" s="624" t="s">
        <v>470</v>
      </c>
      <c r="J65" s="624"/>
      <c r="K65" s="624"/>
      <c r="L65" s="648"/>
      <c r="M65" s="640"/>
      <c r="N65" s="624"/>
      <c r="O65" s="624"/>
      <c r="P65" s="621" t="s">
        <v>710</v>
      </c>
      <c r="Q65" s="622"/>
      <c r="R65" s="622"/>
      <c r="S65" s="623"/>
      <c r="T65" s="624"/>
      <c r="U65" s="621" t="s">
        <v>710</v>
      </c>
      <c r="V65" s="622"/>
      <c r="W65" s="622"/>
      <c r="X65" s="623"/>
      <c r="Y65" s="624"/>
      <c r="Z65" s="621" t="s">
        <v>710</v>
      </c>
      <c r="AA65" s="622"/>
      <c r="AB65" s="622"/>
      <c r="AC65" s="623"/>
      <c r="AD65" s="624"/>
      <c r="AE65" s="621" t="s">
        <v>710</v>
      </c>
      <c r="AF65" s="622"/>
      <c r="AG65" s="622"/>
      <c r="AH65" s="623"/>
      <c r="AI65" s="624"/>
      <c r="AJ65" s="621" t="s">
        <v>710</v>
      </c>
      <c r="AK65" s="622"/>
      <c r="AL65" s="622"/>
      <c r="AM65" s="623"/>
      <c r="AN65" s="624"/>
      <c r="AO65" s="621" t="s">
        <v>710</v>
      </c>
      <c r="AP65" s="622"/>
      <c r="AQ65" s="622"/>
      <c r="AR65" s="623"/>
      <c r="AS65" s="624"/>
      <c r="AT65" s="621" t="s">
        <v>710</v>
      </c>
      <c r="AU65" s="622"/>
      <c r="AV65" s="622"/>
      <c r="AW65" s="623"/>
      <c r="AX65" s="624"/>
    </row>
    <row r="66" spans="2:53">
      <c r="B66" s="624"/>
      <c r="C66" s="624"/>
      <c r="D66" s="624"/>
      <c r="E66" s="482" t="s">
        <v>471</v>
      </c>
      <c r="F66" s="482" t="s">
        <v>472</v>
      </c>
      <c r="G66" s="482" t="s">
        <v>473</v>
      </c>
      <c r="H66" s="649"/>
      <c r="I66" s="482" t="s">
        <v>471</v>
      </c>
      <c r="J66" s="482" t="s">
        <v>472</v>
      </c>
      <c r="K66" s="482" t="s">
        <v>473</v>
      </c>
      <c r="L66" s="649"/>
      <c r="M66" s="641"/>
      <c r="N66" s="624"/>
      <c r="O66" s="624"/>
      <c r="P66" s="431" t="s">
        <v>711</v>
      </c>
      <c r="Q66" s="431" t="s">
        <v>712</v>
      </c>
      <c r="R66" s="431" t="s">
        <v>713</v>
      </c>
      <c r="S66" s="431" t="s">
        <v>707</v>
      </c>
      <c r="T66" s="624"/>
      <c r="U66" s="431" t="s">
        <v>711</v>
      </c>
      <c r="V66" s="431" t="s">
        <v>712</v>
      </c>
      <c r="W66" s="431" t="s">
        <v>713</v>
      </c>
      <c r="X66" s="431" t="s">
        <v>707</v>
      </c>
      <c r="Y66" s="624"/>
      <c r="Z66" s="431" t="s">
        <v>711</v>
      </c>
      <c r="AA66" s="431" t="s">
        <v>712</v>
      </c>
      <c r="AB66" s="431" t="s">
        <v>713</v>
      </c>
      <c r="AC66" s="431" t="s">
        <v>707</v>
      </c>
      <c r="AD66" s="624"/>
      <c r="AE66" s="431" t="s">
        <v>711</v>
      </c>
      <c r="AF66" s="431" t="s">
        <v>712</v>
      </c>
      <c r="AG66" s="431" t="s">
        <v>713</v>
      </c>
      <c r="AH66" s="431" t="s">
        <v>707</v>
      </c>
      <c r="AI66" s="624"/>
      <c r="AJ66" s="431" t="s">
        <v>711</v>
      </c>
      <c r="AK66" s="431" t="s">
        <v>712</v>
      </c>
      <c r="AL66" s="431" t="s">
        <v>713</v>
      </c>
      <c r="AM66" s="431" t="s">
        <v>707</v>
      </c>
      <c r="AN66" s="624"/>
      <c r="AO66" s="431" t="s">
        <v>711</v>
      </c>
      <c r="AP66" s="431" t="s">
        <v>712</v>
      </c>
      <c r="AQ66" s="431" t="s">
        <v>713</v>
      </c>
      <c r="AR66" s="431" t="s">
        <v>707</v>
      </c>
      <c r="AS66" s="624"/>
      <c r="AT66" s="431" t="s">
        <v>711</v>
      </c>
      <c r="AU66" s="431" t="s">
        <v>712</v>
      </c>
      <c r="AV66" s="431" t="s">
        <v>713</v>
      </c>
      <c r="AW66" s="431" t="s">
        <v>707</v>
      </c>
      <c r="AX66" s="624"/>
    </row>
    <row r="67" spans="2:53">
      <c r="B67" s="624" t="s">
        <v>797</v>
      </c>
      <c r="C67" s="485">
        <v>1</v>
      </c>
      <c r="D67" s="223" t="s">
        <v>351</v>
      </c>
      <c r="E67" s="491">
        <v>7</v>
      </c>
      <c r="F67" s="483">
        <v>1500</v>
      </c>
      <c r="G67" s="484">
        <v>214.28571428571428</v>
      </c>
      <c r="H67" s="671">
        <f>AVERAGE(G67:G81)</f>
        <v>174.62263655462186</v>
      </c>
      <c r="I67" s="487">
        <f t="shared" ref="I67:K80" si="64">IFERROR(AVERAGE(P67,U67,Z67,AE67,AJ67,AO67,AT67),"-")</f>
        <v>7</v>
      </c>
      <c r="J67" s="487">
        <f t="shared" si="64"/>
        <v>1444.5980997560505</v>
      </c>
      <c r="K67" s="363">
        <f t="shared" si="64"/>
        <v>206.37115710800717</v>
      </c>
      <c r="L67" s="614">
        <f>IFERROR(AVERAGE(K67:K81),"-")</f>
        <v>156.17246300143455</v>
      </c>
      <c r="M67" s="490">
        <f>RANK(K67, K$67:$K$81)</f>
        <v>3</v>
      </c>
      <c r="N67" s="624"/>
      <c r="O67" s="624"/>
      <c r="P67" s="542">
        <v>7</v>
      </c>
      <c r="Q67" s="543">
        <v>1462.7586206896553</v>
      </c>
      <c r="R67" s="543">
        <v>208.96551724137933</v>
      </c>
      <c r="S67" s="540">
        <f t="shared" ref="S67:S81" si="65">RANK(R67, R$67:R$81)</f>
        <v>2</v>
      </c>
      <c r="T67" s="653">
        <f t="shared" ref="T67" si="66">AVERAGE(R67:R81)</f>
        <v>155.83183594278617</v>
      </c>
      <c r="U67" s="542">
        <v>7</v>
      </c>
      <c r="V67" s="543">
        <v>1460.6896551724139</v>
      </c>
      <c r="W67" s="543">
        <v>208.66995073891627</v>
      </c>
      <c r="X67" s="540">
        <f t="shared" ref="X67:X81" si="67">RANK(W67, W$67:W$81)</f>
        <v>3</v>
      </c>
      <c r="Y67" s="653">
        <f t="shared" ref="Y67" si="68">AVERAGE(W67:W81)</f>
        <v>158.03528795341259</v>
      </c>
      <c r="Z67" s="542">
        <v>7</v>
      </c>
      <c r="AA67" s="543">
        <v>1437.0000000000005</v>
      </c>
      <c r="AB67" s="543">
        <v>205.28571428571436</v>
      </c>
      <c r="AC67" s="540">
        <f t="shared" ref="AC67:AC81" si="69">RANK(AB67, AB$67:AB$81)</f>
        <v>3</v>
      </c>
      <c r="AD67" s="653">
        <f t="shared" ref="AD67" si="70">AVERAGE(AB67:AB81)</f>
        <v>157.63528632601876</v>
      </c>
      <c r="AE67" s="542">
        <v>7</v>
      </c>
      <c r="AF67" s="543">
        <v>1428.7500000000005</v>
      </c>
      <c r="AG67" s="543">
        <v>204.10714285714292</v>
      </c>
      <c r="AH67" s="540">
        <f t="shared" ref="AH67:AH81" si="71">RANK(AG67, AG$67:AG$81)</f>
        <v>3</v>
      </c>
      <c r="AI67" s="653">
        <f t="shared" ref="AI67" si="72">AVERAGE(AG67:AG81)</f>
        <v>154.33326006721921</v>
      </c>
      <c r="AJ67" s="542">
        <v>7</v>
      </c>
      <c r="AK67" s="543">
        <v>1441.395348837209</v>
      </c>
      <c r="AL67" s="543">
        <v>205.91362126245843</v>
      </c>
      <c r="AM67" s="540">
        <f t="shared" ref="AM67:AM81" si="73">RANK(AL67, AL$67:AL$81)</f>
        <v>5</v>
      </c>
      <c r="AN67" s="653">
        <f t="shared" ref="AN67" si="74">AVERAGE(AL67:AL81)</f>
        <v>155.90175277795782</v>
      </c>
      <c r="AO67" s="542">
        <v>7</v>
      </c>
      <c r="AP67" s="543">
        <v>1422.5454545454545</v>
      </c>
      <c r="AQ67" s="543">
        <v>203.22077922077921</v>
      </c>
      <c r="AR67" s="540">
        <f t="shared" ref="AR67:AR81" si="75">RANK(AQ67, AQ$67:AQ$81)</f>
        <v>4</v>
      </c>
      <c r="AS67" s="653">
        <f t="shared" ref="AS67" si="76">AVERAGE(AQ67:AQ81)</f>
        <v>154.61489652968405</v>
      </c>
      <c r="AT67" s="540">
        <v>7</v>
      </c>
      <c r="AU67" s="541">
        <v>1459.0476190476188</v>
      </c>
      <c r="AV67" s="541">
        <v>208.43537414965982</v>
      </c>
      <c r="AW67" s="540">
        <f t="shared" ref="AW67:AW81" si="77">RANK(AV67, AV$67:AV$81)</f>
        <v>2</v>
      </c>
      <c r="AX67" s="653">
        <f t="shared" ref="AX67" si="78">AVERAGE(AV67:AV81)</f>
        <v>156.85492141296351</v>
      </c>
      <c r="AZ67" s="377" t="e">
        <f t="shared" ref="AZ67:AZ81" si="79">RANK(AY67, AY$67:AY$81)</f>
        <v>#N/A</v>
      </c>
      <c r="BA67" s="653" t="e">
        <f t="shared" ref="BA67" si="80">AVERAGE(AY67:AY81)</f>
        <v>#DIV/0!</v>
      </c>
    </row>
    <row r="68" spans="2:53">
      <c r="B68" s="635"/>
      <c r="C68" s="485">
        <v>2</v>
      </c>
      <c r="D68" s="223" t="s">
        <v>352</v>
      </c>
      <c r="E68" s="491">
        <v>7</v>
      </c>
      <c r="F68" s="483">
        <v>1500</v>
      </c>
      <c r="G68" s="484">
        <v>214.28571428571428</v>
      </c>
      <c r="H68" s="672"/>
      <c r="I68" s="487">
        <f t="shared" si="64"/>
        <v>7</v>
      </c>
      <c r="J68" s="487">
        <f t="shared" si="64"/>
        <v>1468.4953407553726</v>
      </c>
      <c r="K68" s="363">
        <f t="shared" si="64"/>
        <v>209.7850486793389</v>
      </c>
      <c r="L68" s="615"/>
      <c r="M68" s="490">
        <f>RANK(K68, K$67:$K$81)</f>
        <v>1</v>
      </c>
      <c r="N68" s="624"/>
      <c r="O68" s="624"/>
      <c r="P68" s="542">
        <v>7</v>
      </c>
      <c r="Q68" s="543">
        <v>1478.0281690140848</v>
      </c>
      <c r="R68" s="543">
        <v>211.14688128772642</v>
      </c>
      <c r="S68" s="540">
        <f t="shared" si="65"/>
        <v>1</v>
      </c>
      <c r="T68" s="653"/>
      <c r="U68" s="542">
        <v>7</v>
      </c>
      <c r="V68" s="543">
        <v>1467.0000000000005</v>
      </c>
      <c r="W68" s="543">
        <v>209.57142857142864</v>
      </c>
      <c r="X68" s="540">
        <f t="shared" si="67"/>
        <v>1</v>
      </c>
      <c r="Y68" s="653"/>
      <c r="Z68" s="542">
        <v>7</v>
      </c>
      <c r="AA68" s="543">
        <v>1455.2173913043478</v>
      </c>
      <c r="AB68" s="543">
        <v>207.88819875776397</v>
      </c>
      <c r="AC68" s="540">
        <f t="shared" si="69"/>
        <v>1</v>
      </c>
      <c r="AD68" s="653"/>
      <c r="AE68" s="542">
        <v>7</v>
      </c>
      <c r="AF68" s="543">
        <v>1478.4615384615386</v>
      </c>
      <c r="AG68" s="543">
        <v>211.20879120879121</v>
      </c>
      <c r="AH68" s="540">
        <f t="shared" si="71"/>
        <v>1</v>
      </c>
      <c r="AI68" s="653"/>
      <c r="AJ68" s="542">
        <v>7</v>
      </c>
      <c r="AK68" s="543">
        <v>1474.2105263157894</v>
      </c>
      <c r="AL68" s="543">
        <v>210.60150375939847</v>
      </c>
      <c r="AM68" s="540">
        <f t="shared" si="73"/>
        <v>3</v>
      </c>
      <c r="AN68" s="653"/>
      <c r="AO68" s="542">
        <v>7</v>
      </c>
      <c r="AP68" s="543">
        <v>1448.6330935251799</v>
      </c>
      <c r="AQ68" s="543">
        <v>206.94758478931141</v>
      </c>
      <c r="AR68" s="540">
        <f t="shared" si="75"/>
        <v>2</v>
      </c>
      <c r="AS68" s="653"/>
      <c r="AT68" s="540">
        <v>7</v>
      </c>
      <c r="AU68" s="541">
        <v>1477.9166666666661</v>
      </c>
      <c r="AV68" s="541">
        <v>211.13095238095229</v>
      </c>
      <c r="AW68" s="540">
        <f t="shared" si="77"/>
        <v>1</v>
      </c>
      <c r="AX68" s="653"/>
      <c r="AZ68" s="377" t="e">
        <f t="shared" si="79"/>
        <v>#N/A</v>
      </c>
      <c r="BA68" s="653"/>
    </row>
    <row r="69" spans="2:53">
      <c r="B69" s="635"/>
      <c r="C69" s="485">
        <v>3</v>
      </c>
      <c r="D69" s="223" t="s">
        <v>353</v>
      </c>
      <c r="E69" s="491">
        <v>17</v>
      </c>
      <c r="F69" s="483">
        <v>1500</v>
      </c>
      <c r="G69" s="484">
        <v>88.235294117647058</v>
      </c>
      <c r="H69" s="672"/>
      <c r="I69" s="487">
        <f t="shared" si="64"/>
        <v>17</v>
      </c>
      <c r="J69" s="487">
        <f t="shared" si="64"/>
        <v>1396.726820932088</v>
      </c>
      <c r="K69" s="363">
        <f t="shared" si="64"/>
        <v>82.160401231299304</v>
      </c>
      <c r="L69" s="615"/>
      <c r="M69" s="490">
        <f>RANK(K69, K$67:$K$81)</f>
        <v>9</v>
      </c>
      <c r="N69" s="624"/>
      <c r="O69" s="624"/>
      <c r="P69" s="542">
        <v>17</v>
      </c>
      <c r="Q69" s="543">
        <v>1418</v>
      </c>
      <c r="R69" s="543">
        <v>83.411764705882348</v>
      </c>
      <c r="S69" s="540">
        <f t="shared" si="65"/>
        <v>9</v>
      </c>
      <c r="T69" s="653"/>
      <c r="U69" s="542">
        <v>17</v>
      </c>
      <c r="V69" s="543">
        <v>1402.092307692307</v>
      </c>
      <c r="W69" s="543">
        <v>82.476018099547474</v>
      </c>
      <c r="X69" s="540">
        <f t="shared" si="67"/>
        <v>9</v>
      </c>
      <c r="Y69" s="653"/>
      <c r="Z69" s="542">
        <v>17</v>
      </c>
      <c r="AA69" s="543">
        <v>1389.8823529411761</v>
      </c>
      <c r="AB69" s="543">
        <v>81.757785467128002</v>
      </c>
      <c r="AC69" s="540">
        <f t="shared" si="69"/>
        <v>9</v>
      </c>
      <c r="AD69" s="653"/>
      <c r="AE69" s="542">
        <v>17</v>
      </c>
      <c r="AF69" s="543">
        <v>1408.6567164179105</v>
      </c>
      <c r="AG69" s="543">
        <v>82.862159789288853</v>
      </c>
      <c r="AH69" s="540">
        <f t="shared" si="71"/>
        <v>9</v>
      </c>
      <c r="AI69" s="653"/>
      <c r="AJ69" s="542">
        <v>17</v>
      </c>
      <c r="AK69" s="543">
        <v>1404.5454545454545</v>
      </c>
      <c r="AL69" s="543">
        <v>82.620320855614978</v>
      </c>
      <c r="AM69" s="540">
        <f t="shared" si="73"/>
        <v>9</v>
      </c>
      <c r="AN69" s="653"/>
      <c r="AO69" s="542">
        <v>17</v>
      </c>
      <c r="AP69" s="543">
        <v>1382.6966292134832</v>
      </c>
      <c r="AQ69" s="543">
        <v>81.335095836087248</v>
      </c>
      <c r="AR69" s="540">
        <f t="shared" si="75"/>
        <v>9</v>
      </c>
      <c r="AS69" s="653"/>
      <c r="AT69" s="540">
        <v>17</v>
      </c>
      <c r="AU69" s="541">
        <v>1371.2142857142853</v>
      </c>
      <c r="AV69" s="541">
        <v>80.659663865546193</v>
      </c>
      <c r="AW69" s="540">
        <f t="shared" si="77"/>
        <v>9</v>
      </c>
      <c r="AX69" s="653"/>
      <c r="AZ69" s="377" t="e">
        <f t="shared" si="79"/>
        <v>#N/A</v>
      </c>
      <c r="BA69" s="653"/>
    </row>
    <row r="70" spans="2:53">
      <c r="B70" s="635"/>
      <c r="C70" s="485">
        <v>4</v>
      </c>
      <c r="D70" s="223" t="s">
        <v>384</v>
      </c>
      <c r="E70" s="491">
        <v>7</v>
      </c>
      <c r="F70" s="483">
        <v>1500</v>
      </c>
      <c r="G70" s="484">
        <v>214.28571428571428</v>
      </c>
      <c r="H70" s="672"/>
      <c r="I70" s="487">
        <f t="shared" si="64"/>
        <v>7</v>
      </c>
      <c r="J70" s="487">
        <f t="shared" si="64"/>
        <v>1465.6601876261047</v>
      </c>
      <c r="K70" s="363">
        <f t="shared" si="64"/>
        <v>209.38002680372924</v>
      </c>
      <c r="L70" s="615"/>
      <c r="M70" s="490">
        <f>RANK(K70, K$67:$K$81)</f>
        <v>2</v>
      </c>
      <c r="N70" s="624"/>
      <c r="O70" s="624"/>
      <c r="P70" s="542">
        <v>7</v>
      </c>
      <c r="Q70" s="543">
        <v>1441.0588235294122</v>
      </c>
      <c r="R70" s="543">
        <v>205.86554621848745</v>
      </c>
      <c r="S70" s="540">
        <f t="shared" si="65"/>
        <v>3</v>
      </c>
      <c r="T70" s="653"/>
      <c r="U70" s="542">
        <v>7</v>
      </c>
      <c r="V70" s="543">
        <v>1464.3636363636365</v>
      </c>
      <c r="W70" s="543">
        <v>209.19480519480521</v>
      </c>
      <c r="X70" s="540">
        <f t="shared" si="67"/>
        <v>2</v>
      </c>
      <c r="Y70" s="653"/>
      <c r="Z70" s="542">
        <v>7</v>
      </c>
      <c r="AA70" s="543">
        <v>1450.181818181818</v>
      </c>
      <c r="AB70" s="543">
        <v>207.16883116883113</v>
      </c>
      <c r="AC70" s="540">
        <f t="shared" si="69"/>
        <v>2</v>
      </c>
      <c r="AD70" s="653"/>
      <c r="AE70" s="542">
        <v>7</v>
      </c>
      <c r="AF70" s="543">
        <v>1476.6906474820144</v>
      </c>
      <c r="AG70" s="543">
        <v>210.95580678314491</v>
      </c>
      <c r="AH70" s="540">
        <f t="shared" si="71"/>
        <v>2</v>
      </c>
      <c r="AI70" s="653"/>
      <c r="AJ70" s="542">
        <v>7</v>
      </c>
      <c r="AK70" s="543">
        <v>1495.0375939849623</v>
      </c>
      <c r="AL70" s="543">
        <v>213.57679914070891</v>
      </c>
      <c r="AM70" s="540">
        <f t="shared" si="73"/>
        <v>1</v>
      </c>
      <c r="AN70" s="653"/>
      <c r="AO70" s="542">
        <v>7</v>
      </c>
      <c r="AP70" s="543">
        <v>1481.3173652694611</v>
      </c>
      <c r="AQ70" s="543">
        <v>211.61676646706587</v>
      </c>
      <c r="AR70" s="540">
        <f t="shared" si="75"/>
        <v>1</v>
      </c>
      <c r="AS70" s="653"/>
      <c r="AT70" s="540">
        <v>7</v>
      </c>
      <c r="AU70" s="541">
        <v>1450.9714285714283</v>
      </c>
      <c r="AV70" s="541">
        <v>207.28163265306119</v>
      </c>
      <c r="AW70" s="540">
        <f t="shared" si="77"/>
        <v>3</v>
      </c>
      <c r="AX70" s="653"/>
      <c r="AZ70" s="377" t="e">
        <f t="shared" si="79"/>
        <v>#N/A</v>
      </c>
      <c r="BA70" s="653"/>
    </row>
    <row r="71" spans="2:53">
      <c r="B71" s="635"/>
      <c r="C71" s="485">
        <v>5</v>
      </c>
      <c r="D71" s="223" t="s">
        <v>563</v>
      </c>
      <c r="E71" s="491">
        <v>12</v>
      </c>
      <c r="F71" s="483">
        <v>2000</v>
      </c>
      <c r="G71" s="484">
        <v>166.66666666666666</v>
      </c>
      <c r="H71" s="672"/>
      <c r="I71" s="487">
        <f t="shared" si="64"/>
        <v>11.428571428571429</v>
      </c>
      <c r="J71" s="487">
        <f t="shared" si="64"/>
        <v>1509.8129422196014</v>
      </c>
      <c r="K71" s="363">
        <f t="shared" si="64"/>
        <v>132.64098683794978</v>
      </c>
      <c r="L71" s="615"/>
      <c r="M71" s="490">
        <f>RANK(K71, K$67:$K$81)</f>
        <v>6</v>
      </c>
      <c r="N71" s="624"/>
      <c r="O71" s="624"/>
      <c r="P71" s="542">
        <v>12</v>
      </c>
      <c r="Q71" s="543">
        <v>1507.1641791044767</v>
      </c>
      <c r="R71" s="543">
        <v>125.59701492537306</v>
      </c>
      <c r="S71" s="540">
        <f t="shared" si="65"/>
        <v>7</v>
      </c>
      <c r="T71" s="653"/>
      <c r="U71" s="542">
        <v>10</v>
      </c>
      <c r="V71" s="543">
        <v>1415.4166666666661</v>
      </c>
      <c r="W71" s="543">
        <v>141.5416666666666</v>
      </c>
      <c r="X71" s="540">
        <f t="shared" si="67"/>
        <v>6</v>
      </c>
      <c r="Y71" s="653"/>
      <c r="Z71" s="542">
        <v>10</v>
      </c>
      <c r="AA71" s="543">
        <v>1450.3448275862063</v>
      </c>
      <c r="AB71" s="543">
        <v>145.03448275862064</v>
      </c>
      <c r="AC71" s="540">
        <f t="shared" si="69"/>
        <v>6</v>
      </c>
      <c r="AD71" s="653"/>
      <c r="AE71" s="542">
        <v>12</v>
      </c>
      <c r="AF71" s="543">
        <v>1526.5486725663718</v>
      </c>
      <c r="AG71" s="543">
        <v>127.21238938053098</v>
      </c>
      <c r="AH71" s="540">
        <f t="shared" si="71"/>
        <v>6</v>
      </c>
      <c r="AI71" s="653"/>
      <c r="AJ71" s="542">
        <v>12</v>
      </c>
      <c r="AK71" s="543">
        <v>1519.2233009708734</v>
      </c>
      <c r="AL71" s="543">
        <v>126.60194174757278</v>
      </c>
      <c r="AM71" s="540">
        <f t="shared" si="73"/>
        <v>6</v>
      </c>
      <c r="AN71" s="653"/>
      <c r="AO71" s="542">
        <v>12</v>
      </c>
      <c r="AP71" s="543">
        <v>1577.0078740157487</v>
      </c>
      <c r="AQ71" s="543">
        <v>131.41732283464572</v>
      </c>
      <c r="AR71" s="540">
        <f t="shared" si="75"/>
        <v>6</v>
      </c>
      <c r="AS71" s="653"/>
      <c r="AT71" s="540">
        <v>12</v>
      </c>
      <c r="AU71" s="541">
        <v>1572.9850746268648</v>
      </c>
      <c r="AV71" s="541">
        <v>131.08208955223873</v>
      </c>
      <c r="AW71" s="540">
        <f t="shared" si="77"/>
        <v>6</v>
      </c>
      <c r="AX71" s="653"/>
      <c r="AZ71" s="377" t="e">
        <f t="shared" si="79"/>
        <v>#N/A</v>
      </c>
      <c r="BA71" s="653"/>
    </row>
    <row r="72" spans="2:53">
      <c r="B72" s="635"/>
      <c r="C72" s="485">
        <v>6</v>
      </c>
      <c r="D72" s="223" t="s">
        <v>540</v>
      </c>
      <c r="E72" s="491">
        <v>7</v>
      </c>
      <c r="F72" s="483">
        <v>1500</v>
      </c>
      <c r="G72" s="484">
        <v>214.28571428571428</v>
      </c>
      <c r="H72" s="672"/>
      <c r="I72" s="487">
        <f t="shared" si="64"/>
        <v>7</v>
      </c>
      <c r="J72" s="487">
        <f t="shared" si="64"/>
        <v>1425.2148106419706</v>
      </c>
      <c r="K72" s="363">
        <f t="shared" si="64"/>
        <v>203.60211580599579</v>
      </c>
      <c r="L72" s="615"/>
      <c r="M72" s="490">
        <f>RANK(K72, K$67:$K$81)</f>
        <v>4</v>
      </c>
      <c r="N72" s="624"/>
      <c r="O72" s="624"/>
      <c r="P72" s="542">
        <v>7</v>
      </c>
      <c r="Q72" s="543">
        <v>1428.1481481481483</v>
      </c>
      <c r="R72" s="543">
        <v>204.02116402116403</v>
      </c>
      <c r="S72" s="540">
        <f t="shared" si="65"/>
        <v>4</v>
      </c>
      <c r="T72" s="653"/>
      <c r="U72" s="542">
        <v>7</v>
      </c>
      <c r="V72" s="543">
        <v>1419.5294117647063</v>
      </c>
      <c r="W72" s="543">
        <v>202.78991596638662</v>
      </c>
      <c r="X72" s="540">
        <f t="shared" si="67"/>
        <v>5</v>
      </c>
      <c r="Y72" s="653"/>
      <c r="Z72" s="542">
        <v>7</v>
      </c>
      <c r="AA72" s="543">
        <v>1434.9397590361448</v>
      </c>
      <c r="AB72" s="543">
        <v>204.99139414802067</v>
      </c>
      <c r="AC72" s="540">
        <f t="shared" si="69"/>
        <v>4</v>
      </c>
      <c r="AD72" s="653"/>
      <c r="AE72" s="542">
        <v>7</v>
      </c>
      <c r="AF72" s="543">
        <v>1407.8260869565213</v>
      </c>
      <c r="AG72" s="543">
        <v>201.11801242236018</v>
      </c>
      <c r="AH72" s="540">
        <f t="shared" si="71"/>
        <v>4</v>
      </c>
      <c r="AI72" s="653"/>
      <c r="AJ72" s="542">
        <v>7</v>
      </c>
      <c r="AK72" s="543">
        <v>1444.0000000000005</v>
      </c>
      <c r="AL72" s="543">
        <v>206.28571428571436</v>
      </c>
      <c r="AM72" s="540">
        <f t="shared" si="73"/>
        <v>4</v>
      </c>
      <c r="AN72" s="653"/>
      <c r="AO72" s="542">
        <v>7</v>
      </c>
      <c r="AP72" s="543">
        <v>1426.4788732394368</v>
      </c>
      <c r="AQ72" s="543">
        <v>203.78269617706241</v>
      </c>
      <c r="AR72" s="540">
        <f t="shared" si="75"/>
        <v>3</v>
      </c>
      <c r="AS72" s="653"/>
      <c r="AT72" s="540">
        <v>7</v>
      </c>
      <c r="AU72" s="541">
        <v>1415.5813953488371</v>
      </c>
      <c r="AV72" s="541">
        <v>202.22591362126244</v>
      </c>
      <c r="AW72" s="540">
        <f t="shared" si="77"/>
        <v>5</v>
      </c>
      <c r="AX72" s="653"/>
      <c r="AZ72" s="377" t="e">
        <f t="shared" si="79"/>
        <v>#N/A</v>
      </c>
      <c r="BA72" s="653"/>
    </row>
    <row r="73" spans="2:53">
      <c r="B73" s="635"/>
      <c r="C73" s="485">
        <v>7</v>
      </c>
      <c r="D73" s="223" t="s">
        <v>723</v>
      </c>
      <c r="E73" s="491">
        <v>12</v>
      </c>
      <c r="F73" s="483">
        <v>2000</v>
      </c>
      <c r="G73" s="484">
        <v>166.66666666666666</v>
      </c>
      <c r="H73" s="672"/>
      <c r="I73" s="487">
        <f t="shared" si="64"/>
        <v>12</v>
      </c>
      <c r="J73" s="487">
        <f t="shared" si="64"/>
        <v>1479.7611073883309</v>
      </c>
      <c r="K73" s="363">
        <f t="shared" si="64"/>
        <v>123.31342561569423</v>
      </c>
      <c r="L73" s="615"/>
      <c r="M73" s="490">
        <f>RANK(K73, K$67:$K$81)</f>
        <v>7</v>
      </c>
      <c r="N73" s="624"/>
      <c r="O73" s="624"/>
      <c r="P73" s="542">
        <v>12</v>
      </c>
      <c r="Q73" s="543">
        <v>1482.2891566265055</v>
      </c>
      <c r="R73" s="543">
        <v>123.52409638554212</v>
      </c>
      <c r="S73" s="540">
        <f t="shared" si="65"/>
        <v>8</v>
      </c>
      <c r="T73" s="653"/>
      <c r="U73" s="542">
        <v>12</v>
      </c>
      <c r="V73" s="543">
        <v>1437.9069767441858</v>
      </c>
      <c r="W73" s="543">
        <v>119.82558139534882</v>
      </c>
      <c r="X73" s="540">
        <f t="shared" si="67"/>
        <v>8</v>
      </c>
      <c r="Y73" s="653"/>
      <c r="Z73" s="542">
        <v>12</v>
      </c>
      <c r="AA73" s="543">
        <v>1502.0886075949368</v>
      </c>
      <c r="AB73" s="543">
        <v>125.1740506329114</v>
      </c>
      <c r="AC73" s="540">
        <f t="shared" si="69"/>
        <v>8</v>
      </c>
      <c r="AD73" s="653"/>
      <c r="AE73" s="542">
        <v>12</v>
      </c>
      <c r="AF73" s="543">
        <v>1471.2096774193544</v>
      </c>
      <c r="AG73" s="543">
        <v>122.60080645161287</v>
      </c>
      <c r="AH73" s="540">
        <f t="shared" si="71"/>
        <v>7</v>
      </c>
      <c r="AI73" s="653"/>
      <c r="AJ73" s="542">
        <v>12</v>
      </c>
      <c r="AK73" s="543">
        <v>1484.9999999999995</v>
      </c>
      <c r="AL73" s="543">
        <v>123.74999999999996</v>
      </c>
      <c r="AM73" s="540">
        <f t="shared" si="73"/>
        <v>7</v>
      </c>
      <c r="AN73" s="653"/>
      <c r="AO73" s="542">
        <v>12</v>
      </c>
      <c r="AP73" s="543">
        <v>1495.125</v>
      </c>
      <c r="AQ73" s="543">
        <v>124.59375</v>
      </c>
      <c r="AR73" s="540">
        <f t="shared" si="75"/>
        <v>7</v>
      </c>
      <c r="AS73" s="653"/>
      <c r="AT73" s="540">
        <v>12</v>
      </c>
      <c r="AU73" s="541">
        <v>1484.7083333333337</v>
      </c>
      <c r="AV73" s="541">
        <v>123.72569444444447</v>
      </c>
      <c r="AW73" s="540">
        <f t="shared" si="77"/>
        <v>8</v>
      </c>
      <c r="AX73" s="653"/>
      <c r="AZ73" s="377" t="e">
        <f t="shared" si="79"/>
        <v>#N/A</v>
      </c>
      <c r="BA73" s="653"/>
    </row>
    <row r="74" spans="2:53">
      <c r="B74" s="635"/>
      <c r="C74" s="485">
        <v>8</v>
      </c>
      <c r="D74" s="223" t="s">
        <v>724</v>
      </c>
      <c r="E74" s="491">
        <v>12</v>
      </c>
      <c r="F74" s="483">
        <v>2000</v>
      </c>
      <c r="G74" s="484">
        <v>166.66666666666666</v>
      </c>
      <c r="H74" s="672"/>
      <c r="I74" s="487">
        <f t="shared" si="64"/>
        <v>12</v>
      </c>
      <c r="J74" s="487">
        <f t="shared" si="64"/>
        <v>1444.5845460821522</v>
      </c>
      <c r="K74" s="363">
        <f t="shared" si="64"/>
        <v>120.382045506846</v>
      </c>
      <c r="L74" s="615"/>
      <c r="M74" s="490">
        <f>RANK(K74, K$67:$K$81)</f>
        <v>8</v>
      </c>
      <c r="N74" s="624"/>
      <c r="O74" s="624"/>
      <c r="P74" s="542">
        <v>12</v>
      </c>
      <c r="Q74" s="543">
        <v>1530.0000000000011</v>
      </c>
      <c r="R74" s="543">
        <v>127.5000000000001</v>
      </c>
      <c r="S74" s="540">
        <f t="shared" si="65"/>
        <v>6</v>
      </c>
      <c r="T74" s="653"/>
      <c r="U74" s="542">
        <v>12</v>
      </c>
      <c r="V74" s="543">
        <v>1535.1724137931026</v>
      </c>
      <c r="W74" s="543">
        <v>127.93103448275855</v>
      </c>
      <c r="X74" s="540">
        <f t="shared" si="67"/>
        <v>7</v>
      </c>
      <c r="Y74" s="653"/>
      <c r="Z74" s="542">
        <v>12</v>
      </c>
      <c r="AA74" s="543">
        <v>1540.645161290322</v>
      </c>
      <c r="AB74" s="543">
        <v>128.38709677419351</v>
      </c>
      <c r="AC74" s="540">
        <f t="shared" si="69"/>
        <v>7</v>
      </c>
      <c r="AD74" s="653"/>
      <c r="AE74" s="542">
        <v>12</v>
      </c>
      <c r="AF74" s="543">
        <v>1333.0434782608695</v>
      </c>
      <c r="AG74" s="543">
        <v>111.08695652173913</v>
      </c>
      <c r="AH74" s="540">
        <f t="shared" si="71"/>
        <v>8</v>
      </c>
      <c r="AI74" s="653"/>
      <c r="AJ74" s="542">
        <v>12</v>
      </c>
      <c r="AK74" s="543">
        <v>1289.9999999999995</v>
      </c>
      <c r="AL74" s="543">
        <v>107.49999999999996</v>
      </c>
      <c r="AM74" s="540">
        <f t="shared" si="73"/>
        <v>8</v>
      </c>
      <c r="AN74" s="653"/>
      <c r="AO74" s="542">
        <v>12</v>
      </c>
      <c r="AP74" s="543">
        <v>1329.23076923077</v>
      </c>
      <c r="AQ74" s="543">
        <v>110.76923076923083</v>
      </c>
      <c r="AR74" s="540">
        <f t="shared" si="75"/>
        <v>8</v>
      </c>
      <c r="AS74" s="653"/>
      <c r="AT74" s="540">
        <v>12</v>
      </c>
      <c r="AU74" s="541">
        <v>1553.9999999999993</v>
      </c>
      <c r="AV74" s="541">
        <v>129.49999999999994</v>
      </c>
      <c r="AW74" s="540">
        <f t="shared" si="77"/>
        <v>7</v>
      </c>
      <c r="AX74" s="653"/>
      <c r="AZ74" s="377" t="e">
        <f t="shared" si="79"/>
        <v>#N/A</v>
      </c>
      <c r="BA74" s="653"/>
    </row>
    <row r="75" spans="2:53">
      <c r="B75" s="635"/>
      <c r="C75" s="485">
        <v>9</v>
      </c>
      <c r="D75" s="223" t="s">
        <v>732</v>
      </c>
      <c r="E75" s="491">
        <v>16</v>
      </c>
      <c r="F75" s="483">
        <v>1385</v>
      </c>
      <c r="G75" s="484">
        <v>86.5625</v>
      </c>
      <c r="H75" s="672"/>
      <c r="I75" s="487">
        <f t="shared" si="64"/>
        <v>16</v>
      </c>
      <c r="J75" s="487">
        <f t="shared" si="64"/>
        <v>1132.8186372052894</v>
      </c>
      <c r="K75" s="363">
        <f t="shared" si="64"/>
        <v>70.801164825330588</v>
      </c>
      <c r="L75" s="615"/>
      <c r="M75" s="490">
        <f>RANK(K75, K$67:$K$81)</f>
        <v>10</v>
      </c>
      <c r="N75" s="624"/>
      <c r="O75" s="624"/>
      <c r="P75" s="542">
        <v>16</v>
      </c>
      <c r="Q75" s="543">
        <v>1112.7272727272727</v>
      </c>
      <c r="R75" s="543">
        <v>69.545454545454547</v>
      </c>
      <c r="S75" s="540">
        <f t="shared" si="65"/>
        <v>10</v>
      </c>
      <c r="T75" s="653"/>
      <c r="U75" s="542">
        <v>16</v>
      </c>
      <c r="V75" s="543">
        <v>1142.9629629629626</v>
      </c>
      <c r="W75" s="543">
        <v>71.435185185185162</v>
      </c>
      <c r="X75" s="540">
        <f t="shared" si="67"/>
        <v>10</v>
      </c>
      <c r="Y75" s="653"/>
      <c r="Z75" s="542">
        <v>16</v>
      </c>
      <c r="AA75" s="543">
        <v>1129.8701298701303</v>
      </c>
      <c r="AB75" s="543">
        <v>70.616883116883145</v>
      </c>
      <c r="AC75" s="540">
        <f t="shared" si="69"/>
        <v>10</v>
      </c>
      <c r="AD75" s="653"/>
      <c r="AE75" s="542">
        <v>16</v>
      </c>
      <c r="AF75" s="543">
        <v>1155.8823529411766</v>
      </c>
      <c r="AG75" s="543">
        <v>72.242647058823536</v>
      </c>
      <c r="AH75" s="540">
        <f t="shared" si="71"/>
        <v>10</v>
      </c>
      <c r="AI75" s="653"/>
      <c r="AJ75" s="542">
        <v>16</v>
      </c>
      <c r="AK75" s="543">
        <v>1140.9677419354834</v>
      </c>
      <c r="AL75" s="543">
        <v>71.310483870967715</v>
      </c>
      <c r="AM75" s="540">
        <f t="shared" si="73"/>
        <v>10</v>
      </c>
      <c r="AN75" s="653"/>
      <c r="AO75" s="542">
        <v>16</v>
      </c>
      <c r="AP75" s="543">
        <v>1134.9999999999995</v>
      </c>
      <c r="AQ75" s="543">
        <v>70.937499999999972</v>
      </c>
      <c r="AR75" s="540">
        <f t="shared" si="75"/>
        <v>10</v>
      </c>
      <c r="AS75" s="653"/>
      <c r="AT75" s="540">
        <v>16</v>
      </c>
      <c r="AU75" s="541">
        <v>1112.3200000000004</v>
      </c>
      <c r="AV75" s="541">
        <v>69.520000000000024</v>
      </c>
      <c r="AW75" s="540">
        <f t="shared" si="77"/>
        <v>10</v>
      </c>
      <c r="AX75" s="653"/>
      <c r="AZ75" s="377" t="e">
        <f t="shared" si="79"/>
        <v>#N/A</v>
      </c>
      <c r="BA75" s="653"/>
    </row>
    <row r="76" spans="2:53">
      <c r="B76" s="635"/>
      <c r="C76" s="485">
        <v>10</v>
      </c>
      <c r="D76" s="223" t="s">
        <v>798</v>
      </c>
      <c r="E76" s="491">
        <v>7</v>
      </c>
      <c r="F76" s="483">
        <v>1500</v>
      </c>
      <c r="G76" s="484">
        <v>214.28571428571428</v>
      </c>
      <c r="H76" s="672"/>
      <c r="I76" s="487">
        <f t="shared" si="64"/>
        <v>7</v>
      </c>
      <c r="J76" s="487">
        <f t="shared" si="64"/>
        <v>1423.0178032010833</v>
      </c>
      <c r="K76" s="363">
        <f t="shared" si="64"/>
        <v>203.28825760015479</v>
      </c>
      <c r="L76" s="615"/>
      <c r="M76" s="490">
        <f>RANK(K76, K$67:$K$81)</f>
        <v>5</v>
      </c>
      <c r="N76" s="624"/>
      <c r="O76" s="624"/>
      <c r="P76" s="542">
        <v>7</v>
      </c>
      <c r="Q76" s="543">
        <v>1391.1864406779655</v>
      </c>
      <c r="R76" s="543">
        <v>198.74092009685222</v>
      </c>
      <c r="S76" s="540">
        <f t="shared" si="65"/>
        <v>5</v>
      </c>
      <c r="T76" s="653"/>
      <c r="U76" s="542">
        <v>7</v>
      </c>
      <c r="V76" s="543">
        <v>1448.421052631578</v>
      </c>
      <c r="W76" s="543">
        <v>206.91729323308257</v>
      </c>
      <c r="X76" s="540">
        <f t="shared" si="67"/>
        <v>4</v>
      </c>
      <c r="Y76" s="653"/>
      <c r="Z76" s="542">
        <v>7</v>
      </c>
      <c r="AA76" s="543">
        <v>1400.3389830508468</v>
      </c>
      <c r="AB76" s="543">
        <v>200.04842615012097</v>
      </c>
      <c r="AC76" s="540">
        <f t="shared" si="69"/>
        <v>5</v>
      </c>
      <c r="AD76" s="653"/>
      <c r="AE76" s="542">
        <v>7</v>
      </c>
      <c r="AF76" s="543">
        <v>1399.5652173913043</v>
      </c>
      <c r="AG76" s="543">
        <v>199.93788819875775</v>
      </c>
      <c r="AH76" s="540">
        <f t="shared" si="71"/>
        <v>5</v>
      </c>
      <c r="AI76" s="653"/>
      <c r="AJ76" s="542">
        <v>7</v>
      </c>
      <c r="AK76" s="543">
        <v>1475.9999999999986</v>
      </c>
      <c r="AL76" s="543">
        <v>210.85714285714266</v>
      </c>
      <c r="AM76" s="540">
        <f t="shared" si="73"/>
        <v>2</v>
      </c>
      <c r="AN76" s="653"/>
      <c r="AO76" s="542">
        <v>7</v>
      </c>
      <c r="AP76" s="543">
        <v>1410.6976744186045</v>
      </c>
      <c r="AQ76" s="543">
        <v>201.52823920265777</v>
      </c>
      <c r="AR76" s="540">
        <f t="shared" si="75"/>
        <v>5</v>
      </c>
      <c r="AS76" s="653"/>
      <c r="AT76" s="540">
        <v>7</v>
      </c>
      <c r="AU76" s="541">
        <v>1434.9152542372874</v>
      </c>
      <c r="AV76" s="541">
        <v>204.98789346246963</v>
      </c>
      <c r="AW76" s="540">
        <f t="shared" si="77"/>
        <v>4</v>
      </c>
      <c r="AX76" s="653"/>
      <c r="AZ76" s="377" t="e">
        <f t="shared" si="79"/>
        <v>#N/A</v>
      </c>
      <c r="BA76" s="653"/>
    </row>
    <row r="77" spans="2:53">
      <c r="B77" s="635"/>
      <c r="C77" s="485">
        <v>11</v>
      </c>
      <c r="D77" s="223"/>
      <c r="E77" s="491"/>
      <c r="F77" s="483"/>
      <c r="G77" s="484"/>
      <c r="H77" s="672"/>
      <c r="I77" s="487" t="str">
        <f t="shared" si="64"/>
        <v>-</v>
      </c>
      <c r="J77" s="487" t="str">
        <f t="shared" si="64"/>
        <v>-</v>
      </c>
      <c r="K77" s="363" t="str">
        <f t="shared" si="64"/>
        <v>-</v>
      </c>
      <c r="L77" s="615"/>
      <c r="M77" s="490" t="e">
        <f>RANK(K77, K$67:$K$81)</f>
        <v>#VALUE!</v>
      </c>
      <c r="N77" s="624"/>
      <c r="O77" s="624"/>
      <c r="P77" s="542" t="s">
        <v>427</v>
      </c>
      <c r="Q77" s="543" t="s">
        <v>427</v>
      </c>
      <c r="R77" s="543" t="s">
        <v>427</v>
      </c>
      <c r="S77" s="540" t="e">
        <f t="shared" si="65"/>
        <v>#VALUE!</v>
      </c>
      <c r="T77" s="653"/>
      <c r="U77" s="542" t="s">
        <v>427</v>
      </c>
      <c r="V77" s="543" t="s">
        <v>427</v>
      </c>
      <c r="W77" s="543" t="s">
        <v>427</v>
      </c>
      <c r="X77" s="540" t="e">
        <f t="shared" si="67"/>
        <v>#VALUE!</v>
      </c>
      <c r="Y77" s="653"/>
      <c r="Z77" s="542" t="s">
        <v>427</v>
      </c>
      <c r="AA77" s="543" t="s">
        <v>427</v>
      </c>
      <c r="AB77" s="543" t="s">
        <v>427</v>
      </c>
      <c r="AC77" s="540" t="e">
        <f t="shared" si="69"/>
        <v>#VALUE!</v>
      </c>
      <c r="AD77" s="653"/>
      <c r="AE77" s="542" t="s">
        <v>427</v>
      </c>
      <c r="AF77" s="543" t="s">
        <v>427</v>
      </c>
      <c r="AG77" s="543" t="s">
        <v>427</v>
      </c>
      <c r="AH77" s="540" t="e">
        <f t="shared" si="71"/>
        <v>#VALUE!</v>
      </c>
      <c r="AI77" s="653"/>
      <c r="AJ77" s="542" t="s">
        <v>427</v>
      </c>
      <c r="AK77" s="543" t="s">
        <v>427</v>
      </c>
      <c r="AL77" s="543" t="s">
        <v>427</v>
      </c>
      <c r="AM77" s="540" t="e">
        <f t="shared" si="73"/>
        <v>#VALUE!</v>
      </c>
      <c r="AN77" s="653"/>
      <c r="AO77" s="542" t="s">
        <v>427</v>
      </c>
      <c r="AP77" s="543" t="s">
        <v>427</v>
      </c>
      <c r="AQ77" s="543" t="s">
        <v>427</v>
      </c>
      <c r="AR77" s="540" t="e">
        <f t="shared" si="75"/>
        <v>#VALUE!</v>
      </c>
      <c r="AS77" s="653"/>
      <c r="AT77" s="540" t="s">
        <v>427</v>
      </c>
      <c r="AU77" s="541" t="s">
        <v>427</v>
      </c>
      <c r="AV77" s="541" t="s">
        <v>427</v>
      </c>
      <c r="AW77" s="540" t="e">
        <f t="shared" si="77"/>
        <v>#VALUE!</v>
      </c>
      <c r="AX77" s="653"/>
      <c r="AZ77" s="377" t="e">
        <f t="shared" si="79"/>
        <v>#N/A</v>
      </c>
      <c r="BA77" s="653"/>
    </row>
    <row r="78" spans="2:53">
      <c r="B78" s="635"/>
      <c r="C78" s="485">
        <v>12</v>
      </c>
      <c r="D78" s="223"/>
      <c r="E78" s="491"/>
      <c r="F78" s="483"/>
      <c r="G78" s="484"/>
      <c r="H78" s="672"/>
      <c r="I78" s="487" t="str">
        <f t="shared" si="64"/>
        <v>-</v>
      </c>
      <c r="J78" s="487" t="str">
        <f t="shared" si="64"/>
        <v>-</v>
      </c>
      <c r="K78" s="363" t="str">
        <f t="shared" si="64"/>
        <v>-</v>
      </c>
      <c r="L78" s="615"/>
      <c r="M78" s="490" t="e">
        <f>RANK(K78, K$67:$K$81)</f>
        <v>#VALUE!</v>
      </c>
      <c r="N78" s="624"/>
      <c r="O78" s="624"/>
      <c r="P78" s="542" t="s">
        <v>427</v>
      </c>
      <c r="Q78" s="543" t="s">
        <v>427</v>
      </c>
      <c r="R78" s="543" t="s">
        <v>427</v>
      </c>
      <c r="S78" s="540" t="e">
        <f t="shared" si="65"/>
        <v>#VALUE!</v>
      </c>
      <c r="T78" s="653"/>
      <c r="U78" s="542" t="s">
        <v>427</v>
      </c>
      <c r="V78" s="543" t="s">
        <v>427</v>
      </c>
      <c r="W78" s="543" t="s">
        <v>427</v>
      </c>
      <c r="X78" s="540" t="e">
        <f t="shared" si="67"/>
        <v>#VALUE!</v>
      </c>
      <c r="Y78" s="653"/>
      <c r="Z78" s="542" t="s">
        <v>427</v>
      </c>
      <c r="AA78" s="543" t="s">
        <v>427</v>
      </c>
      <c r="AB78" s="543" t="s">
        <v>427</v>
      </c>
      <c r="AC78" s="540" t="e">
        <f t="shared" si="69"/>
        <v>#VALUE!</v>
      </c>
      <c r="AD78" s="653"/>
      <c r="AE78" s="542" t="s">
        <v>427</v>
      </c>
      <c r="AF78" s="543" t="s">
        <v>427</v>
      </c>
      <c r="AG78" s="543" t="s">
        <v>427</v>
      </c>
      <c r="AH78" s="540" t="e">
        <f t="shared" si="71"/>
        <v>#VALUE!</v>
      </c>
      <c r="AI78" s="653"/>
      <c r="AJ78" s="542" t="s">
        <v>427</v>
      </c>
      <c r="AK78" s="543" t="s">
        <v>427</v>
      </c>
      <c r="AL78" s="543" t="s">
        <v>427</v>
      </c>
      <c r="AM78" s="540" t="e">
        <f t="shared" si="73"/>
        <v>#VALUE!</v>
      </c>
      <c r="AN78" s="653"/>
      <c r="AO78" s="542" t="s">
        <v>427</v>
      </c>
      <c r="AP78" s="543" t="s">
        <v>427</v>
      </c>
      <c r="AQ78" s="543" t="s">
        <v>427</v>
      </c>
      <c r="AR78" s="540" t="e">
        <f t="shared" si="75"/>
        <v>#VALUE!</v>
      </c>
      <c r="AS78" s="653"/>
      <c r="AT78" s="540" t="s">
        <v>427</v>
      </c>
      <c r="AU78" s="541" t="s">
        <v>427</v>
      </c>
      <c r="AV78" s="541" t="s">
        <v>427</v>
      </c>
      <c r="AW78" s="540" t="e">
        <f t="shared" si="77"/>
        <v>#VALUE!</v>
      </c>
      <c r="AX78" s="653"/>
      <c r="AZ78" s="377" t="e">
        <f t="shared" si="79"/>
        <v>#N/A</v>
      </c>
      <c r="BA78" s="653"/>
    </row>
    <row r="79" spans="2:53">
      <c r="B79" s="635"/>
      <c r="C79" s="485">
        <v>13</v>
      </c>
      <c r="D79" s="223"/>
      <c r="E79" s="491"/>
      <c r="F79" s="483"/>
      <c r="G79" s="484"/>
      <c r="H79" s="672"/>
      <c r="I79" s="487" t="str">
        <f t="shared" si="64"/>
        <v>-</v>
      </c>
      <c r="J79" s="487" t="str">
        <f t="shared" si="64"/>
        <v>-</v>
      </c>
      <c r="K79" s="363" t="str">
        <f t="shared" si="64"/>
        <v>-</v>
      </c>
      <c r="L79" s="615"/>
      <c r="M79" s="490" t="e">
        <f>RANK(K79, K$67:$K$81)</f>
        <v>#VALUE!</v>
      </c>
      <c r="N79" s="624"/>
      <c r="O79" s="624"/>
      <c r="P79" s="542" t="s">
        <v>427</v>
      </c>
      <c r="Q79" s="543" t="s">
        <v>427</v>
      </c>
      <c r="R79" s="543" t="s">
        <v>427</v>
      </c>
      <c r="S79" s="540" t="e">
        <f t="shared" si="65"/>
        <v>#VALUE!</v>
      </c>
      <c r="T79" s="653"/>
      <c r="U79" s="542" t="s">
        <v>427</v>
      </c>
      <c r="V79" s="543" t="s">
        <v>427</v>
      </c>
      <c r="W79" s="543" t="s">
        <v>427</v>
      </c>
      <c r="X79" s="540" t="e">
        <f t="shared" si="67"/>
        <v>#VALUE!</v>
      </c>
      <c r="Y79" s="653"/>
      <c r="Z79" s="542" t="s">
        <v>427</v>
      </c>
      <c r="AA79" s="543" t="s">
        <v>427</v>
      </c>
      <c r="AB79" s="543" t="s">
        <v>427</v>
      </c>
      <c r="AC79" s="540" t="e">
        <f t="shared" si="69"/>
        <v>#VALUE!</v>
      </c>
      <c r="AD79" s="653"/>
      <c r="AE79" s="542" t="s">
        <v>427</v>
      </c>
      <c r="AF79" s="543" t="s">
        <v>427</v>
      </c>
      <c r="AG79" s="543" t="s">
        <v>427</v>
      </c>
      <c r="AH79" s="540" t="e">
        <f t="shared" si="71"/>
        <v>#VALUE!</v>
      </c>
      <c r="AI79" s="653"/>
      <c r="AJ79" s="542" t="s">
        <v>427</v>
      </c>
      <c r="AK79" s="543" t="s">
        <v>427</v>
      </c>
      <c r="AL79" s="543" t="s">
        <v>427</v>
      </c>
      <c r="AM79" s="540" t="e">
        <f t="shared" si="73"/>
        <v>#VALUE!</v>
      </c>
      <c r="AN79" s="653"/>
      <c r="AO79" s="542" t="s">
        <v>427</v>
      </c>
      <c r="AP79" s="543" t="s">
        <v>427</v>
      </c>
      <c r="AQ79" s="543" t="s">
        <v>427</v>
      </c>
      <c r="AR79" s="540" t="e">
        <f t="shared" si="75"/>
        <v>#VALUE!</v>
      </c>
      <c r="AS79" s="653"/>
      <c r="AT79" s="540" t="s">
        <v>427</v>
      </c>
      <c r="AU79" s="541" t="s">
        <v>427</v>
      </c>
      <c r="AV79" s="541" t="s">
        <v>427</v>
      </c>
      <c r="AW79" s="540" t="e">
        <f t="shared" si="77"/>
        <v>#VALUE!</v>
      </c>
      <c r="AX79" s="653"/>
      <c r="AZ79" s="377" t="e">
        <f t="shared" si="79"/>
        <v>#N/A</v>
      </c>
      <c r="BA79" s="653"/>
    </row>
    <row r="80" spans="2:53">
      <c r="B80" s="635"/>
      <c r="C80" s="485">
        <v>14</v>
      </c>
      <c r="D80" s="223"/>
      <c r="E80" s="491"/>
      <c r="F80" s="483"/>
      <c r="G80" s="484"/>
      <c r="H80" s="672"/>
      <c r="I80" s="487" t="str">
        <f t="shared" si="64"/>
        <v>-</v>
      </c>
      <c r="J80" s="487" t="str">
        <f t="shared" si="64"/>
        <v>-</v>
      </c>
      <c r="K80" s="363" t="str">
        <f t="shared" si="64"/>
        <v>-</v>
      </c>
      <c r="L80" s="615"/>
      <c r="M80" s="490" t="e">
        <f>RANK(K80, K$67:$K$81)</f>
        <v>#VALUE!</v>
      </c>
      <c r="N80" s="624"/>
      <c r="O80" s="624"/>
      <c r="P80" s="542" t="s">
        <v>427</v>
      </c>
      <c r="Q80" s="543" t="s">
        <v>427</v>
      </c>
      <c r="R80" s="543" t="s">
        <v>427</v>
      </c>
      <c r="S80" s="540" t="e">
        <f t="shared" si="65"/>
        <v>#VALUE!</v>
      </c>
      <c r="T80" s="653"/>
      <c r="U80" s="542" t="s">
        <v>427</v>
      </c>
      <c r="V80" s="543" t="s">
        <v>427</v>
      </c>
      <c r="W80" s="543" t="s">
        <v>427</v>
      </c>
      <c r="X80" s="540" t="e">
        <f t="shared" si="67"/>
        <v>#VALUE!</v>
      </c>
      <c r="Y80" s="653"/>
      <c r="Z80" s="542" t="s">
        <v>427</v>
      </c>
      <c r="AA80" s="543" t="s">
        <v>427</v>
      </c>
      <c r="AB80" s="543" t="s">
        <v>427</v>
      </c>
      <c r="AC80" s="540" t="e">
        <f t="shared" si="69"/>
        <v>#VALUE!</v>
      </c>
      <c r="AD80" s="653"/>
      <c r="AE80" s="542" t="s">
        <v>427</v>
      </c>
      <c r="AF80" s="543" t="s">
        <v>427</v>
      </c>
      <c r="AG80" s="543" t="s">
        <v>427</v>
      </c>
      <c r="AH80" s="540" t="e">
        <f t="shared" si="71"/>
        <v>#VALUE!</v>
      </c>
      <c r="AI80" s="653"/>
      <c r="AJ80" s="542" t="s">
        <v>427</v>
      </c>
      <c r="AK80" s="543" t="s">
        <v>427</v>
      </c>
      <c r="AL80" s="543" t="s">
        <v>427</v>
      </c>
      <c r="AM80" s="540" t="e">
        <f t="shared" si="73"/>
        <v>#VALUE!</v>
      </c>
      <c r="AN80" s="653"/>
      <c r="AO80" s="542" t="s">
        <v>427</v>
      </c>
      <c r="AP80" s="543" t="s">
        <v>427</v>
      </c>
      <c r="AQ80" s="543" t="s">
        <v>427</v>
      </c>
      <c r="AR80" s="540" t="e">
        <f t="shared" si="75"/>
        <v>#VALUE!</v>
      </c>
      <c r="AS80" s="653"/>
      <c r="AT80" s="540" t="s">
        <v>427</v>
      </c>
      <c r="AU80" s="541" t="s">
        <v>427</v>
      </c>
      <c r="AV80" s="541" t="s">
        <v>427</v>
      </c>
      <c r="AW80" s="540" t="e">
        <f t="shared" si="77"/>
        <v>#VALUE!</v>
      </c>
      <c r="AX80" s="653"/>
      <c r="AZ80" s="377" t="e">
        <f t="shared" si="79"/>
        <v>#N/A</v>
      </c>
      <c r="BA80" s="653"/>
    </row>
    <row r="81" spans="2:53">
      <c r="B81" s="635"/>
      <c r="C81" s="485">
        <v>15</v>
      </c>
      <c r="D81" s="223"/>
      <c r="E81" s="491"/>
      <c r="F81" s="483"/>
      <c r="G81" s="484"/>
      <c r="H81" s="676"/>
      <c r="I81" s="485"/>
      <c r="J81" s="485"/>
      <c r="K81" s="485"/>
      <c r="L81" s="616"/>
      <c r="M81" s="490" t="e">
        <f>RANK(K81, K$47:$K$61)</f>
        <v>#N/A</v>
      </c>
      <c r="N81" s="624"/>
      <c r="O81" s="624"/>
      <c r="P81" s="542" t="s">
        <v>427</v>
      </c>
      <c r="Q81" s="543" t="s">
        <v>427</v>
      </c>
      <c r="R81" s="543" t="s">
        <v>427</v>
      </c>
      <c r="S81" s="540" t="e">
        <f t="shared" si="65"/>
        <v>#VALUE!</v>
      </c>
      <c r="T81" s="653"/>
      <c r="U81" s="542" t="s">
        <v>427</v>
      </c>
      <c r="V81" s="543" t="s">
        <v>427</v>
      </c>
      <c r="W81" s="543" t="s">
        <v>427</v>
      </c>
      <c r="X81" s="540" t="e">
        <f t="shared" si="67"/>
        <v>#VALUE!</v>
      </c>
      <c r="Y81" s="653"/>
      <c r="Z81" s="542" t="s">
        <v>427</v>
      </c>
      <c r="AA81" s="543" t="s">
        <v>427</v>
      </c>
      <c r="AB81" s="543" t="s">
        <v>427</v>
      </c>
      <c r="AC81" s="540" t="e">
        <f t="shared" si="69"/>
        <v>#VALUE!</v>
      </c>
      <c r="AD81" s="653"/>
      <c r="AE81" s="542" t="s">
        <v>427</v>
      </c>
      <c r="AF81" s="543" t="s">
        <v>427</v>
      </c>
      <c r="AG81" s="543" t="s">
        <v>427</v>
      </c>
      <c r="AH81" s="540" t="e">
        <f t="shared" si="71"/>
        <v>#VALUE!</v>
      </c>
      <c r="AI81" s="653"/>
      <c r="AJ81" s="542" t="s">
        <v>427</v>
      </c>
      <c r="AK81" s="543" t="s">
        <v>427</v>
      </c>
      <c r="AL81" s="543" t="s">
        <v>427</v>
      </c>
      <c r="AM81" s="540" t="e">
        <f t="shared" si="73"/>
        <v>#VALUE!</v>
      </c>
      <c r="AN81" s="653"/>
      <c r="AO81" s="542" t="s">
        <v>427</v>
      </c>
      <c r="AP81" s="543" t="s">
        <v>427</v>
      </c>
      <c r="AQ81" s="543" t="s">
        <v>427</v>
      </c>
      <c r="AR81" s="540" t="e">
        <f t="shared" si="75"/>
        <v>#VALUE!</v>
      </c>
      <c r="AS81" s="653"/>
      <c r="AT81" s="540" t="s">
        <v>427</v>
      </c>
      <c r="AU81" s="541" t="s">
        <v>427</v>
      </c>
      <c r="AV81" s="541" t="s">
        <v>427</v>
      </c>
      <c r="AW81" s="540" t="e">
        <f t="shared" si="77"/>
        <v>#VALUE!</v>
      </c>
      <c r="AX81" s="653"/>
      <c r="AZ81" s="377" t="e">
        <f t="shared" si="79"/>
        <v>#N/A</v>
      </c>
      <c r="BA81" s="653"/>
    </row>
    <row r="82" spans="2:53" ht="15.75">
      <c r="B82" s="643" t="s">
        <v>769</v>
      </c>
      <c r="C82" s="644"/>
      <c r="D82" s="644"/>
      <c r="E82" s="644"/>
      <c r="F82" s="644"/>
      <c r="G82" s="644"/>
      <c r="H82" s="645"/>
      <c r="I82" s="205"/>
      <c r="J82" s="205"/>
      <c r="K82" s="205"/>
      <c r="L82" s="205"/>
      <c r="M82" s="204"/>
      <c r="N82" s="639" t="s">
        <v>781</v>
      </c>
      <c r="O82" s="639" t="s">
        <v>446</v>
      </c>
      <c r="P82" s="634">
        <f>AT62+1</f>
        <v>46231</v>
      </c>
      <c r="Q82" s="635"/>
      <c r="R82" s="635"/>
      <c r="S82" s="635"/>
      <c r="T82" s="635"/>
      <c r="U82" s="636">
        <f>P82+1</f>
        <v>46232</v>
      </c>
      <c r="V82" s="637"/>
      <c r="W82" s="637"/>
      <c r="X82" s="637"/>
      <c r="Y82" s="638"/>
      <c r="Z82" s="636">
        <f t="shared" ref="Z82" si="81">U82+1</f>
        <v>46233</v>
      </c>
      <c r="AA82" s="637"/>
      <c r="AB82" s="637"/>
      <c r="AC82" s="637"/>
      <c r="AD82" s="638"/>
      <c r="AE82" s="636">
        <f t="shared" ref="AE82" si="82">Z82+1</f>
        <v>46234</v>
      </c>
      <c r="AF82" s="637"/>
      <c r="AG82" s="637"/>
      <c r="AH82" s="637"/>
      <c r="AI82" s="638"/>
      <c r="AJ82" s="636"/>
      <c r="AK82" s="637"/>
      <c r="AL82" s="637"/>
      <c r="AM82" s="637"/>
      <c r="AN82" s="638"/>
      <c r="AO82" s="636"/>
      <c r="AP82" s="637"/>
      <c r="AQ82" s="637"/>
      <c r="AR82" s="637"/>
      <c r="AS82" s="638"/>
      <c r="AT82" s="636"/>
      <c r="AU82" s="637"/>
      <c r="AV82" s="637"/>
      <c r="AW82" s="637"/>
      <c r="AX82" s="638"/>
    </row>
    <row r="83" spans="2:53" ht="15.75">
      <c r="B83" s="646"/>
      <c r="C83" s="646"/>
      <c r="D83" s="646"/>
      <c r="E83" s="646"/>
      <c r="F83" s="646"/>
      <c r="G83" s="646"/>
      <c r="H83" s="646"/>
      <c r="I83" s="202"/>
      <c r="J83" s="202"/>
      <c r="K83" s="202"/>
      <c r="L83" s="202"/>
      <c r="M83" s="203"/>
      <c r="N83" s="641"/>
      <c r="O83" s="641"/>
      <c r="P83" s="634" t="s">
        <v>447</v>
      </c>
      <c r="Q83" s="635"/>
      <c r="R83" s="635"/>
      <c r="S83" s="635"/>
      <c r="T83" s="635"/>
      <c r="U83" s="634" t="s">
        <v>448</v>
      </c>
      <c r="V83" s="635"/>
      <c r="W83" s="635"/>
      <c r="X83" s="635"/>
      <c r="Y83" s="635"/>
      <c r="Z83" s="634" t="s">
        <v>449</v>
      </c>
      <c r="AA83" s="635"/>
      <c r="AB83" s="635"/>
      <c r="AC83" s="635"/>
      <c r="AD83" s="635"/>
      <c r="AE83" s="634" t="s">
        <v>450</v>
      </c>
      <c r="AF83" s="635"/>
      <c r="AG83" s="635"/>
      <c r="AH83" s="635"/>
      <c r="AI83" s="635"/>
      <c r="AJ83" s="634" t="s">
        <v>451</v>
      </c>
      <c r="AK83" s="635"/>
      <c r="AL83" s="635"/>
      <c r="AM83" s="635"/>
      <c r="AN83" s="635"/>
      <c r="AO83" s="634" t="s">
        <v>452</v>
      </c>
      <c r="AP83" s="635"/>
      <c r="AQ83" s="635"/>
      <c r="AR83" s="635"/>
      <c r="AS83" s="635"/>
      <c r="AT83" s="634" t="s">
        <v>453</v>
      </c>
      <c r="AU83" s="635"/>
      <c r="AV83" s="635"/>
      <c r="AW83" s="635"/>
      <c r="AX83" s="635"/>
    </row>
    <row r="84" spans="2:53">
      <c r="B84" s="624" t="s">
        <v>760</v>
      </c>
      <c r="C84" s="624" t="s">
        <v>464</v>
      </c>
      <c r="D84" s="624"/>
      <c r="E84" s="624" t="s">
        <v>465</v>
      </c>
      <c r="F84" s="624"/>
      <c r="G84" s="624"/>
      <c r="H84" s="647" t="s">
        <v>466</v>
      </c>
      <c r="I84" s="624" t="s">
        <v>467</v>
      </c>
      <c r="J84" s="624"/>
      <c r="K84" s="624"/>
      <c r="L84" s="647" t="s">
        <v>763</v>
      </c>
      <c r="M84" s="639" t="s">
        <v>468</v>
      </c>
      <c r="N84" s="624"/>
      <c r="O84" s="624" t="s">
        <v>488</v>
      </c>
      <c r="P84" s="621" t="s">
        <v>489</v>
      </c>
      <c r="Q84" s="622"/>
      <c r="R84" s="622"/>
      <c r="S84" s="623"/>
      <c r="T84" s="624" t="s">
        <v>482</v>
      </c>
      <c r="U84" s="621" t="s">
        <v>489</v>
      </c>
      <c r="V84" s="622"/>
      <c r="W84" s="622"/>
      <c r="X84" s="623"/>
      <c r="Y84" s="624" t="s">
        <v>482</v>
      </c>
      <c r="Z84" s="621" t="s">
        <v>489</v>
      </c>
      <c r="AA84" s="622"/>
      <c r="AB84" s="622"/>
      <c r="AC84" s="623"/>
      <c r="AD84" s="624" t="s">
        <v>482</v>
      </c>
      <c r="AE84" s="621" t="s">
        <v>489</v>
      </c>
      <c r="AF84" s="622"/>
      <c r="AG84" s="622"/>
      <c r="AH84" s="623"/>
      <c r="AI84" s="624" t="s">
        <v>482</v>
      </c>
      <c r="AJ84" s="621" t="s">
        <v>489</v>
      </c>
      <c r="AK84" s="622"/>
      <c r="AL84" s="622"/>
      <c r="AM84" s="623"/>
      <c r="AN84" s="624" t="s">
        <v>482</v>
      </c>
      <c r="AO84" s="621" t="s">
        <v>441</v>
      </c>
      <c r="AP84" s="622"/>
      <c r="AQ84" s="622"/>
      <c r="AR84" s="623"/>
      <c r="AS84" s="624" t="s">
        <v>439</v>
      </c>
      <c r="AT84" s="621" t="s">
        <v>441</v>
      </c>
      <c r="AU84" s="622"/>
      <c r="AV84" s="622"/>
      <c r="AW84" s="623"/>
      <c r="AX84" s="624" t="s">
        <v>439</v>
      </c>
    </row>
    <row r="85" spans="2:53">
      <c r="B85" s="624"/>
      <c r="C85" s="624"/>
      <c r="D85" s="624"/>
      <c r="E85" s="624" t="s">
        <v>470</v>
      </c>
      <c r="F85" s="624"/>
      <c r="G85" s="624"/>
      <c r="H85" s="648"/>
      <c r="I85" s="624" t="s">
        <v>470</v>
      </c>
      <c r="J85" s="624"/>
      <c r="K85" s="624"/>
      <c r="L85" s="648"/>
      <c r="M85" s="640"/>
      <c r="N85" s="624"/>
      <c r="O85" s="624"/>
      <c r="P85" s="621" t="s">
        <v>483</v>
      </c>
      <c r="Q85" s="622"/>
      <c r="R85" s="622"/>
      <c r="S85" s="623"/>
      <c r="T85" s="624"/>
      <c r="U85" s="621" t="s">
        <v>483</v>
      </c>
      <c r="V85" s="622"/>
      <c r="W85" s="622"/>
      <c r="X85" s="623"/>
      <c r="Y85" s="624"/>
      <c r="Z85" s="621" t="s">
        <v>483</v>
      </c>
      <c r="AA85" s="622"/>
      <c r="AB85" s="622"/>
      <c r="AC85" s="623"/>
      <c r="AD85" s="624"/>
      <c r="AE85" s="621" t="s">
        <v>483</v>
      </c>
      <c r="AF85" s="622"/>
      <c r="AG85" s="622"/>
      <c r="AH85" s="623"/>
      <c r="AI85" s="624"/>
      <c r="AJ85" s="621" t="s">
        <v>483</v>
      </c>
      <c r="AK85" s="622"/>
      <c r="AL85" s="622"/>
      <c r="AM85" s="623"/>
      <c r="AN85" s="624"/>
      <c r="AO85" s="621" t="s">
        <v>442</v>
      </c>
      <c r="AP85" s="622"/>
      <c r="AQ85" s="622"/>
      <c r="AR85" s="623"/>
      <c r="AS85" s="624"/>
      <c r="AT85" s="621" t="s">
        <v>442</v>
      </c>
      <c r="AU85" s="622"/>
      <c r="AV85" s="622"/>
      <c r="AW85" s="623"/>
      <c r="AX85" s="624"/>
    </row>
    <row r="86" spans="2:53">
      <c r="B86" s="624"/>
      <c r="C86" s="624"/>
      <c r="D86" s="624"/>
      <c r="E86" s="482" t="s">
        <v>471</v>
      </c>
      <c r="F86" s="482" t="s">
        <v>472</v>
      </c>
      <c r="G86" s="482" t="s">
        <v>473</v>
      </c>
      <c r="H86" s="649"/>
      <c r="I86" s="482" t="s">
        <v>471</v>
      </c>
      <c r="J86" s="482" t="s">
        <v>472</v>
      </c>
      <c r="K86" s="482" t="s">
        <v>473</v>
      </c>
      <c r="L86" s="649"/>
      <c r="M86" s="641"/>
      <c r="N86" s="624"/>
      <c r="O86" s="624"/>
      <c r="P86" s="350" t="s">
        <v>486</v>
      </c>
      <c r="Q86" s="350" t="s">
        <v>484</v>
      </c>
      <c r="R86" s="350" t="s">
        <v>485</v>
      </c>
      <c r="S86" s="350" t="s">
        <v>487</v>
      </c>
      <c r="T86" s="624"/>
      <c r="U86" s="350" t="s">
        <v>486</v>
      </c>
      <c r="V86" s="350" t="s">
        <v>484</v>
      </c>
      <c r="W86" s="350" t="s">
        <v>485</v>
      </c>
      <c r="X86" s="350" t="s">
        <v>487</v>
      </c>
      <c r="Y86" s="624"/>
      <c r="Z86" s="350" t="s">
        <v>486</v>
      </c>
      <c r="AA86" s="350" t="s">
        <v>484</v>
      </c>
      <c r="AB86" s="350" t="s">
        <v>485</v>
      </c>
      <c r="AC86" s="350" t="s">
        <v>487</v>
      </c>
      <c r="AD86" s="624"/>
      <c r="AE86" s="350" t="s">
        <v>486</v>
      </c>
      <c r="AF86" s="350" t="s">
        <v>484</v>
      </c>
      <c r="AG86" s="350" t="s">
        <v>485</v>
      </c>
      <c r="AH86" s="350" t="s">
        <v>487</v>
      </c>
      <c r="AI86" s="624"/>
      <c r="AJ86" s="350" t="s">
        <v>486</v>
      </c>
      <c r="AK86" s="350" t="s">
        <v>484</v>
      </c>
      <c r="AL86" s="350" t="s">
        <v>485</v>
      </c>
      <c r="AM86" s="350" t="s">
        <v>487</v>
      </c>
      <c r="AN86" s="624"/>
      <c r="AO86" s="331" t="s">
        <v>443</v>
      </c>
      <c r="AP86" s="331" t="s">
        <v>444</v>
      </c>
      <c r="AQ86" s="331" t="s">
        <v>445</v>
      </c>
      <c r="AR86" s="331" t="s">
        <v>440</v>
      </c>
      <c r="AS86" s="624"/>
      <c r="AT86" s="331" t="s">
        <v>443</v>
      </c>
      <c r="AU86" s="331" t="s">
        <v>444</v>
      </c>
      <c r="AV86" s="331" t="s">
        <v>445</v>
      </c>
      <c r="AW86" s="331" t="s">
        <v>440</v>
      </c>
      <c r="AX86" s="624"/>
    </row>
    <row r="87" spans="2:53">
      <c r="B87" s="624" t="s">
        <v>797</v>
      </c>
      <c r="C87" s="485">
        <v>1</v>
      </c>
      <c r="D87" s="223" t="s">
        <v>351</v>
      </c>
      <c r="E87" s="538">
        <v>7</v>
      </c>
      <c r="F87" s="529">
        <v>1500</v>
      </c>
      <c r="G87" s="530">
        <v>214.28571428571428</v>
      </c>
      <c r="H87" s="671">
        <f>AVERAGE(G87:G101)</f>
        <v>165.04330595874714</v>
      </c>
      <c r="I87" s="487">
        <f t="shared" ref="I87:K100" si="83">IFERROR(AVERAGE(P87,U87,Z87,AE87,AJ87,AO87,AT87),"-")</f>
        <v>7</v>
      </c>
      <c r="J87" s="487">
        <f t="shared" si="83"/>
        <v>1428.4684514831574</v>
      </c>
      <c r="K87" s="363">
        <f t="shared" si="83"/>
        <v>204.06692164045106</v>
      </c>
      <c r="L87" s="614">
        <f>IFERROR(AVERAGE(K87:K101),"-")</f>
        <v>146.53650584877792</v>
      </c>
      <c r="M87" s="490">
        <f>RANK(K87, K$87:$K$101)</f>
        <v>3</v>
      </c>
      <c r="N87" s="624"/>
      <c r="O87" s="624"/>
      <c r="P87" s="542">
        <v>7</v>
      </c>
      <c r="Q87" s="543">
        <v>1432.2222222222219</v>
      </c>
      <c r="R87" s="543">
        <v>204.60317460317455</v>
      </c>
      <c r="S87" s="540">
        <f t="shared" ref="S87:S101" si="84">RANK(R87, R$87:R$101)</f>
        <v>3</v>
      </c>
      <c r="T87" s="653">
        <f t="shared" ref="T87" si="85">AVERAGE(R87:R101)</f>
        <v>145.69355892681767</v>
      </c>
      <c r="U87" s="542">
        <v>7</v>
      </c>
      <c r="V87" s="543">
        <v>1415.7692307692314</v>
      </c>
      <c r="W87" s="543">
        <v>202.25274725274735</v>
      </c>
      <c r="X87" s="540">
        <f t="shared" ref="X87:X101" si="86">RANK(W87, W$87:W$101)</f>
        <v>3</v>
      </c>
      <c r="Y87" s="653">
        <f t="shared" ref="Y87" si="87">AVERAGE(W87:W101)</f>
        <v>147.12515930196739</v>
      </c>
      <c r="Z87" s="542">
        <v>7</v>
      </c>
      <c r="AA87" s="543">
        <v>1425.8823529411773</v>
      </c>
      <c r="AB87" s="543">
        <v>203.69747899159674</v>
      </c>
      <c r="AC87" s="540">
        <f t="shared" ref="AC87:AC101" si="88">RANK(AB87, AB$87:AB$101)</f>
        <v>3</v>
      </c>
      <c r="AD87" s="653">
        <f t="shared" ref="AD87" si="89">AVERAGE(AB87:AB101)</f>
        <v>147.79347861522459</v>
      </c>
      <c r="AE87" s="542">
        <v>7</v>
      </c>
      <c r="AF87" s="543">
        <v>1439.9999999999991</v>
      </c>
      <c r="AG87" s="543">
        <v>205.71428571428558</v>
      </c>
      <c r="AH87" s="540">
        <f t="shared" ref="AH87:AH101" si="90">RANK(AG87, AG$87:AG$101)</f>
        <v>3</v>
      </c>
      <c r="AI87" s="653">
        <f t="shared" ref="AI87" si="91">AVERAGE(AG87:AG101)</f>
        <v>145.53382655110195</v>
      </c>
      <c r="AJ87" s="534"/>
      <c r="AK87" s="537"/>
      <c r="AL87" s="537"/>
      <c r="AM87" s="529"/>
      <c r="AN87" s="610"/>
      <c r="AO87" s="534"/>
      <c r="AP87" s="537"/>
      <c r="AQ87" s="537"/>
      <c r="AR87" s="529"/>
      <c r="AS87" s="610"/>
      <c r="AT87" s="529"/>
      <c r="AU87" s="538"/>
      <c r="AV87" s="538"/>
      <c r="AW87" s="529"/>
      <c r="AX87" s="610"/>
      <c r="AZ87" s="377" t="e">
        <f t="shared" ref="AZ87:AZ101" si="92">RANK(AY87, AY$87:AY$101)</f>
        <v>#N/A</v>
      </c>
      <c r="BA87" s="653" t="e">
        <f t="shared" ref="BA87" si="93">AVERAGE(AY87:AY101)</f>
        <v>#DIV/0!</v>
      </c>
    </row>
    <row r="88" spans="2:53">
      <c r="B88" s="635"/>
      <c r="C88" s="485">
        <v>2</v>
      </c>
      <c r="D88" s="223" t="s">
        <v>352</v>
      </c>
      <c r="E88" s="538">
        <v>7</v>
      </c>
      <c r="F88" s="529">
        <v>1500</v>
      </c>
      <c r="G88" s="530">
        <v>214.28571428571428</v>
      </c>
      <c r="H88" s="672"/>
      <c r="I88" s="487">
        <f t="shared" si="83"/>
        <v>7</v>
      </c>
      <c r="J88" s="487">
        <f t="shared" si="83"/>
        <v>1452.7304090709251</v>
      </c>
      <c r="K88" s="363">
        <f t="shared" si="83"/>
        <v>207.53291558156076</v>
      </c>
      <c r="L88" s="615"/>
      <c r="M88" s="490">
        <f>RANK(K88, K$87:$K$101)</f>
        <v>2</v>
      </c>
      <c r="N88" s="624"/>
      <c r="O88" s="624"/>
      <c r="P88" s="542">
        <v>7</v>
      </c>
      <c r="Q88" s="543">
        <v>1457.0833333333337</v>
      </c>
      <c r="R88" s="543">
        <v>208.15476190476195</v>
      </c>
      <c r="S88" s="540">
        <f t="shared" si="84"/>
        <v>1</v>
      </c>
      <c r="T88" s="653"/>
      <c r="U88" s="542">
        <v>7</v>
      </c>
      <c r="V88" s="543">
        <v>1438.7323943661975</v>
      </c>
      <c r="W88" s="543">
        <v>205.53319919517108</v>
      </c>
      <c r="X88" s="540">
        <f t="shared" si="86"/>
        <v>2</v>
      </c>
      <c r="Y88" s="653"/>
      <c r="Z88" s="542">
        <v>7</v>
      </c>
      <c r="AA88" s="543">
        <v>1458.695652173913</v>
      </c>
      <c r="AB88" s="543">
        <v>208.38509316770185</v>
      </c>
      <c r="AC88" s="540">
        <f t="shared" si="88"/>
        <v>2</v>
      </c>
      <c r="AD88" s="653"/>
      <c r="AE88" s="542">
        <v>7</v>
      </c>
      <c r="AF88" s="543">
        <v>1456.4102564102566</v>
      </c>
      <c r="AG88" s="543">
        <v>208.05860805860809</v>
      </c>
      <c r="AH88" s="540">
        <f t="shared" si="90"/>
        <v>1</v>
      </c>
      <c r="AI88" s="653"/>
      <c r="AJ88" s="534"/>
      <c r="AK88" s="537"/>
      <c r="AL88" s="537"/>
      <c r="AM88" s="529"/>
      <c r="AN88" s="611"/>
      <c r="AO88" s="534"/>
      <c r="AP88" s="537"/>
      <c r="AQ88" s="537"/>
      <c r="AR88" s="529"/>
      <c r="AS88" s="611"/>
      <c r="AT88" s="529"/>
      <c r="AU88" s="538"/>
      <c r="AV88" s="538"/>
      <c r="AW88" s="529"/>
      <c r="AX88" s="611"/>
      <c r="AZ88" s="377" t="e">
        <f t="shared" si="92"/>
        <v>#N/A</v>
      </c>
      <c r="BA88" s="653"/>
    </row>
    <row r="89" spans="2:53">
      <c r="B89" s="635"/>
      <c r="C89" s="485">
        <v>3</v>
      </c>
      <c r="D89" s="223" t="s">
        <v>353</v>
      </c>
      <c r="E89" s="538">
        <v>17</v>
      </c>
      <c r="F89" s="529">
        <v>1500</v>
      </c>
      <c r="G89" s="530">
        <v>88.235294117647058</v>
      </c>
      <c r="H89" s="672"/>
      <c r="I89" s="487">
        <f t="shared" si="83"/>
        <v>17</v>
      </c>
      <c r="J89" s="487">
        <f t="shared" si="83"/>
        <v>1395.7149320637041</v>
      </c>
      <c r="K89" s="363">
        <f t="shared" si="83"/>
        <v>82.100878356688483</v>
      </c>
      <c r="L89" s="615"/>
      <c r="M89" s="490">
        <f>RANK(K89, K$87:$K$101)</f>
        <v>9</v>
      </c>
      <c r="N89" s="624"/>
      <c r="O89" s="624"/>
      <c r="P89" s="542">
        <v>17</v>
      </c>
      <c r="Q89" s="543">
        <v>1406.3414634146336</v>
      </c>
      <c r="R89" s="543">
        <v>82.725968436154915</v>
      </c>
      <c r="S89" s="540">
        <f t="shared" si="84"/>
        <v>9</v>
      </c>
      <c r="T89" s="653"/>
      <c r="U89" s="542">
        <v>17</v>
      </c>
      <c r="V89" s="543">
        <v>1390.6849315068496</v>
      </c>
      <c r="W89" s="543">
        <v>81.804995970991158</v>
      </c>
      <c r="X89" s="540">
        <f t="shared" si="86"/>
        <v>9</v>
      </c>
      <c r="Y89" s="653"/>
      <c r="Z89" s="542">
        <v>17</v>
      </c>
      <c r="AA89" s="543">
        <v>1419.166666666667</v>
      </c>
      <c r="AB89" s="543">
        <v>83.480392156862763</v>
      </c>
      <c r="AC89" s="540">
        <f t="shared" si="88"/>
        <v>9</v>
      </c>
      <c r="AD89" s="653"/>
      <c r="AE89" s="542">
        <v>17</v>
      </c>
      <c r="AF89" s="543">
        <v>1366.6666666666663</v>
      </c>
      <c r="AG89" s="543">
        <v>80.392156862745082</v>
      </c>
      <c r="AH89" s="540">
        <f t="shared" si="90"/>
        <v>9</v>
      </c>
      <c r="AI89" s="653"/>
      <c r="AJ89" s="534"/>
      <c r="AK89" s="537"/>
      <c r="AL89" s="537"/>
      <c r="AM89" s="529"/>
      <c r="AN89" s="611"/>
      <c r="AO89" s="534"/>
      <c r="AP89" s="537"/>
      <c r="AQ89" s="537"/>
      <c r="AR89" s="529"/>
      <c r="AS89" s="611"/>
      <c r="AT89" s="529"/>
      <c r="AU89" s="538"/>
      <c r="AV89" s="538"/>
      <c r="AW89" s="529"/>
      <c r="AX89" s="611"/>
      <c r="AZ89" s="377" t="e">
        <f t="shared" si="92"/>
        <v>#N/A</v>
      </c>
      <c r="BA89" s="653"/>
    </row>
    <row r="90" spans="2:53">
      <c r="B90" s="635"/>
      <c r="C90" s="485">
        <v>4</v>
      </c>
      <c r="D90" s="223" t="s">
        <v>384</v>
      </c>
      <c r="E90" s="538">
        <v>7</v>
      </c>
      <c r="F90" s="529">
        <v>1500</v>
      </c>
      <c r="G90" s="530">
        <v>214.28571428571428</v>
      </c>
      <c r="H90" s="672"/>
      <c r="I90" s="487">
        <f t="shared" si="83"/>
        <v>7</v>
      </c>
      <c r="J90" s="487">
        <f t="shared" si="83"/>
        <v>1453.6090209105803</v>
      </c>
      <c r="K90" s="363">
        <f t="shared" si="83"/>
        <v>207.65843155865434</v>
      </c>
      <c r="L90" s="615"/>
      <c r="M90" s="490">
        <f>RANK(K90, K$87:$K$101)</f>
        <v>1</v>
      </c>
      <c r="N90" s="624"/>
      <c r="O90" s="624"/>
      <c r="P90" s="542">
        <v>7</v>
      </c>
      <c r="Q90" s="543">
        <v>1441.0843373493976</v>
      </c>
      <c r="R90" s="543">
        <v>205.86919104991395</v>
      </c>
      <c r="S90" s="540">
        <f t="shared" si="84"/>
        <v>2</v>
      </c>
      <c r="T90" s="653"/>
      <c r="U90" s="542">
        <v>7</v>
      </c>
      <c r="V90" s="543">
        <v>1454.9019607843134</v>
      </c>
      <c r="W90" s="543">
        <v>207.8431372549019</v>
      </c>
      <c r="X90" s="540">
        <f t="shared" si="86"/>
        <v>1</v>
      </c>
      <c r="Y90" s="653"/>
      <c r="Z90" s="542">
        <v>7</v>
      </c>
      <c r="AA90" s="543">
        <v>1466.8531468531473</v>
      </c>
      <c r="AB90" s="543">
        <v>209.55044955044963</v>
      </c>
      <c r="AC90" s="540">
        <f t="shared" si="88"/>
        <v>1</v>
      </c>
      <c r="AD90" s="653"/>
      <c r="AE90" s="542">
        <v>7</v>
      </c>
      <c r="AF90" s="543">
        <v>1451.5966386554626</v>
      </c>
      <c r="AG90" s="543">
        <v>207.3709483793518</v>
      </c>
      <c r="AH90" s="540">
        <f t="shared" si="90"/>
        <v>2</v>
      </c>
      <c r="AI90" s="653"/>
      <c r="AJ90" s="534"/>
      <c r="AK90" s="537"/>
      <c r="AL90" s="537"/>
      <c r="AM90" s="529"/>
      <c r="AN90" s="611"/>
      <c r="AO90" s="534"/>
      <c r="AP90" s="537"/>
      <c r="AQ90" s="537"/>
      <c r="AR90" s="529"/>
      <c r="AS90" s="611"/>
      <c r="AT90" s="529"/>
      <c r="AU90" s="538"/>
      <c r="AV90" s="538"/>
      <c r="AW90" s="529"/>
      <c r="AX90" s="611"/>
      <c r="AZ90" s="377" t="e">
        <f t="shared" si="92"/>
        <v>#N/A</v>
      </c>
      <c r="BA90" s="653"/>
    </row>
    <row r="91" spans="2:53">
      <c r="B91" s="635"/>
      <c r="C91" s="485">
        <v>5</v>
      </c>
      <c r="D91" s="223" t="s">
        <v>563</v>
      </c>
      <c r="E91" s="538">
        <v>12</v>
      </c>
      <c r="F91" s="529">
        <v>2000</v>
      </c>
      <c r="G91" s="530">
        <v>166.66666666666666</v>
      </c>
      <c r="H91" s="672"/>
      <c r="I91" s="487">
        <f t="shared" si="83"/>
        <v>12</v>
      </c>
      <c r="J91" s="487">
        <f t="shared" si="83"/>
        <v>1550.0877515970317</v>
      </c>
      <c r="K91" s="363">
        <f t="shared" si="83"/>
        <v>129.17397929975263</v>
      </c>
      <c r="L91" s="615"/>
      <c r="M91" s="490">
        <f>RANK(K91, K$87:$K$101)</f>
        <v>6</v>
      </c>
      <c r="N91" s="624"/>
      <c r="O91" s="624"/>
      <c r="P91" s="542">
        <v>12</v>
      </c>
      <c r="Q91" s="543">
        <v>1564.4628099173558</v>
      </c>
      <c r="R91" s="543">
        <v>130.37190082644631</v>
      </c>
      <c r="S91" s="540">
        <f t="shared" si="84"/>
        <v>6</v>
      </c>
      <c r="T91" s="653"/>
      <c r="U91" s="542">
        <v>12</v>
      </c>
      <c r="V91" s="543">
        <v>1552.5619834710747</v>
      </c>
      <c r="W91" s="543">
        <v>129.38016528925621</v>
      </c>
      <c r="X91" s="540">
        <f t="shared" si="86"/>
        <v>7</v>
      </c>
      <c r="Y91" s="653"/>
      <c r="Z91" s="542">
        <v>12</v>
      </c>
      <c r="AA91" s="543">
        <v>1541.9469026548672</v>
      </c>
      <c r="AB91" s="543">
        <v>128.49557522123894</v>
      </c>
      <c r="AC91" s="540">
        <f t="shared" si="88"/>
        <v>6</v>
      </c>
      <c r="AD91" s="653"/>
      <c r="AE91" s="542">
        <v>12</v>
      </c>
      <c r="AF91" s="543">
        <v>1541.3793103448288</v>
      </c>
      <c r="AG91" s="543">
        <v>128.44827586206907</v>
      </c>
      <c r="AH91" s="540">
        <f t="shared" si="90"/>
        <v>6</v>
      </c>
      <c r="AI91" s="653"/>
      <c r="AJ91" s="534"/>
      <c r="AK91" s="537"/>
      <c r="AL91" s="537"/>
      <c r="AM91" s="529"/>
      <c r="AN91" s="611"/>
      <c r="AO91" s="534"/>
      <c r="AP91" s="537"/>
      <c r="AQ91" s="537"/>
      <c r="AR91" s="529"/>
      <c r="AS91" s="611"/>
      <c r="AT91" s="529"/>
      <c r="AU91" s="538"/>
      <c r="AV91" s="538"/>
      <c r="AW91" s="529"/>
      <c r="AX91" s="611"/>
      <c r="AZ91" s="377" t="e">
        <f t="shared" si="92"/>
        <v>#N/A</v>
      </c>
      <c r="BA91" s="653"/>
    </row>
    <row r="92" spans="2:53">
      <c r="B92" s="635"/>
      <c r="C92" s="485">
        <v>6</v>
      </c>
      <c r="D92" s="223" t="s">
        <v>540</v>
      </c>
      <c r="E92" s="538">
        <v>7</v>
      </c>
      <c r="F92" s="529">
        <v>1500</v>
      </c>
      <c r="G92" s="530">
        <v>214.28571428571428</v>
      </c>
      <c r="H92" s="672"/>
      <c r="I92" s="487">
        <f t="shared" si="83"/>
        <v>7</v>
      </c>
      <c r="J92" s="487">
        <f t="shared" si="83"/>
        <v>1420.2067162508069</v>
      </c>
      <c r="K92" s="363">
        <f t="shared" si="83"/>
        <v>202.88667375011528</v>
      </c>
      <c r="L92" s="615"/>
      <c r="M92" s="490">
        <f>RANK(K92, K$87:$K$101)</f>
        <v>4</v>
      </c>
      <c r="N92" s="624"/>
      <c r="O92" s="624"/>
      <c r="P92" s="542">
        <v>7</v>
      </c>
      <c r="Q92" s="543">
        <v>1421.8421052631584</v>
      </c>
      <c r="R92" s="543">
        <v>203.12030075187977</v>
      </c>
      <c r="S92" s="540">
        <f t="shared" si="84"/>
        <v>4</v>
      </c>
      <c r="T92" s="653"/>
      <c r="U92" s="542">
        <v>7</v>
      </c>
      <c r="V92" s="543">
        <v>1407.0731707317068</v>
      </c>
      <c r="W92" s="543">
        <v>201.0104529616724</v>
      </c>
      <c r="X92" s="540">
        <f t="shared" si="86"/>
        <v>5</v>
      </c>
      <c r="Y92" s="653"/>
      <c r="Z92" s="542">
        <v>7</v>
      </c>
      <c r="AA92" s="543">
        <v>1414.814814814815</v>
      </c>
      <c r="AB92" s="543">
        <v>202.11640211640216</v>
      </c>
      <c r="AC92" s="540">
        <f t="shared" si="88"/>
        <v>5</v>
      </c>
      <c r="AD92" s="653"/>
      <c r="AE92" s="542">
        <v>7</v>
      </c>
      <c r="AF92" s="543">
        <v>1437.0967741935478</v>
      </c>
      <c r="AG92" s="543">
        <v>205.29953917050685</v>
      </c>
      <c r="AH92" s="540">
        <f t="shared" si="90"/>
        <v>4</v>
      </c>
      <c r="AI92" s="653"/>
      <c r="AJ92" s="534"/>
      <c r="AK92" s="537"/>
      <c r="AL92" s="537"/>
      <c r="AM92" s="529"/>
      <c r="AN92" s="611"/>
      <c r="AO92" s="534"/>
      <c r="AP92" s="537"/>
      <c r="AQ92" s="537"/>
      <c r="AR92" s="529"/>
      <c r="AS92" s="611"/>
      <c r="AT92" s="529"/>
      <c r="AU92" s="538"/>
      <c r="AV92" s="538"/>
      <c r="AW92" s="529"/>
      <c r="AX92" s="611"/>
      <c r="AZ92" s="377" t="e">
        <f t="shared" si="92"/>
        <v>#N/A</v>
      </c>
      <c r="BA92" s="653"/>
    </row>
    <row r="93" spans="2:53">
      <c r="B93" s="635"/>
      <c r="C93" s="485">
        <v>7</v>
      </c>
      <c r="D93" s="223" t="s">
        <v>723</v>
      </c>
      <c r="E93" s="538">
        <v>12</v>
      </c>
      <c r="F93" s="529">
        <v>2000</v>
      </c>
      <c r="G93" s="530">
        <v>166.66666666666666</v>
      </c>
      <c r="H93" s="672"/>
      <c r="I93" s="487">
        <f t="shared" si="83"/>
        <v>12</v>
      </c>
      <c r="J93" s="487">
        <f t="shared" si="83"/>
        <v>1486.9180849001743</v>
      </c>
      <c r="K93" s="363">
        <f t="shared" si="83"/>
        <v>123.90984040834788</v>
      </c>
      <c r="L93" s="615"/>
      <c r="M93" s="490">
        <f>RANK(K93, K$87:$K$101)</f>
        <v>7</v>
      </c>
      <c r="N93" s="624"/>
      <c r="O93" s="624"/>
      <c r="P93" s="542">
        <v>12</v>
      </c>
      <c r="Q93" s="543">
        <v>1475.5970149253731</v>
      </c>
      <c r="R93" s="543">
        <v>122.96641791044776</v>
      </c>
      <c r="S93" s="540">
        <f t="shared" si="84"/>
        <v>7</v>
      </c>
      <c r="T93" s="653"/>
      <c r="U93" s="542">
        <v>12</v>
      </c>
      <c r="V93" s="543">
        <v>1478.3999999999999</v>
      </c>
      <c r="W93" s="543">
        <v>123.19999999999999</v>
      </c>
      <c r="X93" s="540">
        <f t="shared" si="86"/>
        <v>8</v>
      </c>
      <c r="Y93" s="653"/>
      <c r="Z93" s="542">
        <v>12</v>
      </c>
      <c r="AA93" s="543">
        <v>1506.1428571428569</v>
      </c>
      <c r="AB93" s="543">
        <v>125.51190476190474</v>
      </c>
      <c r="AC93" s="540">
        <f t="shared" si="88"/>
        <v>8</v>
      </c>
      <c r="AD93" s="653"/>
      <c r="AE93" s="542">
        <v>12</v>
      </c>
      <c r="AF93" s="543">
        <v>1487.5324675324675</v>
      </c>
      <c r="AG93" s="543">
        <v>123.96103896103897</v>
      </c>
      <c r="AH93" s="540">
        <f t="shared" si="90"/>
        <v>7</v>
      </c>
      <c r="AI93" s="653"/>
      <c r="AJ93" s="534"/>
      <c r="AK93" s="537"/>
      <c r="AL93" s="537"/>
      <c r="AM93" s="529"/>
      <c r="AN93" s="611"/>
      <c r="AO93" s="534"/>
      <c r="AP93" s="537"/>
      <c r="AQ93" s="537"/>
      <c r="AR93" s="529"/>
      <c r="AS93" s="611"/>
      <c r="AT93" s="529"/>
      <c r="AU93" s="538"/>
      <c r="AV93" s="538"/>
      <c r="AW93" s="529"/>
      <c r="AX93" s="611"/>
      <c r="AZ93" s="377" t="e">
        <f t="shared" si="92"/>
        <v>#N/A</v>
      </c>
      <c r="BA93" s="653"/>
    </row>
    <row r="94" spans="2:53">
      <c r="B94" s="635"/>
      <c r="C94" s="485">
        <v>8</v>
      </c>
      <c r="D94" s="223" t="s">
        <v>724</v>
      </c>
      <c r="E94" s="538">
        <v>12</v>
      </c>
      <c r="F94" s="529">
        <v>2000</v>
      </c>
      <c r="G94" s="530">
        <v>166.66666666666666</v>
      </c>
      <c r="H94" s="672"/>
      <c r="I94" s="487">
        <f t="shared" si="83"/>
        <v>12</v>
      </c>
      <c r="J94" s="487">
        <f t="shared" si="83"/>
        <v>1433.3223684210529</v>
      </c>
      <c r="K94" s="363">
        <f t="shared" si="83"/>
        <v>119.4435307017544</v>
      </c>
      <c r="L94" s="615"/>
      <c r="M94" s="490">
        <f>RANK(K94, K$87:$K$101)</f>
        <v>8</v>
      </c>
      <c r="N94" s="624"/>
      <c r="O94" s="624"/>
      <c r="P94" s="542">
        <v>12</v>
      </c>
      <c r="Q94" s="543">
        <v>1290.0000000000007</v>
      </c>
      <c r="R94" s="543">
        <v>107.50000000000006</v>
      </c>
      <c r="S94" s="540">
        <f t="shared" si="84"/>
        <v>8</v>
      </c>
      <c r="T94" s="653"/>
      <c r="U94" s="542">
        <v>12</v>
      </c>
      <c r="V94" s="543">
        <v>1567.5000000000005</v>
      </c>
      <c r="W94" s="543">
        <v>130.62500000000003</v>
      </c>
      <c r="X94" s="540">
        <f t="shared" si="86"/>
        <v>6</v>
      </c>
      <c r="Y94" s="653"/>
      <c r="Z94" s="542">
        <v>12</v>
      </c>
      <c r="AA94" s="543">
        <v>1540.0000000000005</v>
      </c>
      <c r="AB94" s="543">
        <v>128.33333333333337</v>
      </c>
      <c r="AC94" s="540">
        <f t="shared" si="88"/>
        <v>7</v>
      </c>
      <c r="AD94" s="653"/>
      <c r="AE94" s="542">
        <v>12</v>
      </c>
      <c r="AF94" s="543">
        <v>1335.7894736842095</v>
      </c>
      <c r="AG94" s="543">
        <v>111.31578947368412</v>
      </c>
      <c r="AH94" s="540">
        <f t="shared" si="90"/>
        <v>8</v>
      </c>
      <c r="AI94" s="653"/>
      <c r="AJ94" s="534"/>
      <c r="AK94" s="537"/>
      <c r="AL94" s="537"/>
      <c r="AM94" s="529"/>
      <c r="AN94" s="611"/>
      <c r="AO94" s="534"/>
      <c r="AP94" s="537"/>
      <c r="AQ94" s="537"/>
      <c r="AR94" s="529"/>
      <c r="AS94" s="611"/>
      <c r="AT94" s="529"/>
      <c r="AU94" s="538"/>
      <c r="AV94" s="538"/>
      <c r="AW94" s="529"/>
      <c r="AX94" s="611"/>
      <c r="AZ94" s="377" t="e">
        <f t="shared" si="92"/>
        <v>#N/A</v>
      </c>
      <c r="BA94" s="653"/>
    </row>
    <row r="95" spans="2:53">
      <c r="B95" s="635"/>
      <c r="C95" s="485">
        <v>9</v>
      </c>
      <c r="D95" s="223" t="s">
        <v>732</v>
      </c>
      <c r="E95" s="538">
        <v>16</v>
      </c>
      <c r="F95" s="529">
        <v>1385</v>
      </c>
      <c r="G95" s="530">
        <v>86.5625</v>
      </c>
      <c r="H95" s="672"/>
      <c r="I95" s="487">
        <f t="shared" si="83"/>
        <v>16</v>
      </c>
      <c r="J95" s="487">
        <f t="shared" si="83"/>
        <v>1116.9238319152109</v>
      </c>
      <c r="K95" s="363">
        <f t="shared" si="83"/>
        <v>69.807739494700684</v>
      </c>
      <c r="L95" s="615"/>
      <c r="M95" s="490">
        <f>RANK(K95, K$87:$K$101)</f>
        <v>10</v>
      </c>
      <c r="N95" s="624"/>
      <c r="O95" s="624"/>
      <c r="P95" s="542">
        <v>16</v>
      </c>
      <c r="Q95" s="543">
        <v>1132.9523809523807</v>
      </c>
      <c r="R95" s="543">
        <v>70.809523809523796</v>
      </c>
      <c r="S95" s="540">
        <f t="shared" si="84"/>
        <v>10</v>
      </c>
      <c r="T95" s="653"/>
      <c r="U95" s="542">
        <v>16</v>
      </c>
      <c r="V95" s="543">
        <v>1126.3636363636365</v>
      </c>
      <c r="W95" s="543">
        <v>70.39772727272728</v>
      </c>
      <c r="X95" s="540">
        <f t="shared" si="86"/>
        <v>10</v>
      </c>
      <c r="Y95" s="653"/>
      <c r="Z95" s="542">
        <v>16</v>
      </c>
      <c r="AA95" s="543">
        <v>1115.379310344827</v>
      </c>
      <c r="AB95" s="543">
        <v>69.711206896551687</v>
      </c>
      <c r="AC95" s="540">
        <f t="shared" si="88"/>
        <v>10</v>
      </c>
      <c r="AD95" s="653"/>
      <c r="AE95" s="542">
        <v>16</v>
      </c>
      <c r="AF95" s="543">
        <v>1092.9999999999995</v>
      </c>
      <c r="AG95" s="543">
        <v>68.312499999999972</v>
      </c>
      <c r="AH95" s="540">
        <f t="shared" si="90"/>
        <v>10</v>
      </c>
      <c r="AI95" s="653"/>
      <c r="AJ95" s="534"/>
      <c r="AK95" s="537"/>
      <c r="AL95" s="537"/>
      <c r="AM95" s="529"/>
      <c r="AN95" s="611"/>
      <c r="AO95" s="534"/>
      <c r="AP95" s="537"/>
      <c r="AQ95" s="537"/>
      <c r="AR95" s="529"/>
      <c r="AS95" s="611"/>
      <c r="AT95" s="529"/>
      <c r="AU95" s="538"/>
      <c r="AV95" s="538"/>
      <c r="AW95" s="529"/>
      <c r="AX95" s="611"/>
      <c r="AZ95" s="377" t="e">
        <f t="shared" si="92"/>
        <v>#N/A</v>
      </c>
      <c r="BA95" s="653"/>
    </row>
    <row r="96" spans="2:53">
      <c r="B96" s="635"/>
      <c r="C96" s="485">
        <v>10</v>
      </c>
      <c r="D96" s="223" t="s">
        <v>798</v>
      </c>
      <c r="E96" s="538">
        <v>7</v>
      </c>
      <c r="F96" s="529">
        <v>1500</v>
      </c>
      <c r="G96" s="530">
        <v>214.28571428571428</v>
      </c>
      <c r="H96" s="672"/>
      <c r="I96" s="487">
        <f t="shared" si="83"/>
        <v>7</v>
      </c>
      <c r="J96" s="487">
        <f t="shared" si="83"/>
        <v>1407.9859505087888</v>
      </c>
      <c r="K96" s="363">
        <f t="shared" si="83"/>
        <v>201.14085007268409</v>
      </c>
      <c r="L96" s="615"/>
      <c r="M96" s="490">
        <f>RANK(K96, K$87:$K$101)</f>
        <v>5</v>
      </c>
      <c r="N96" s="624"/>
      <c r="O96" s="624"/>
      <c r="P96" s="542">
        <v>7</v>
      </c>
      <c r="Q96" s="543">
        <v>1412.608695652174</v>
      </c>
      <c r="R96" s="543">
        <v>201.80124223602485</v>
      </c>
      <c r="S96" s="540">
        <f t="shared" si="84"/>
        <v>5</v>
      </c>
      <c r="T96" s="653"/>
      <c r="U96" s="542">
        <v>7</v>
      </c>
      <c r="V96" s="543">
        <v>1408.0851063829789</v>
      </c>
      <c r="W96" s="543">
        <v>201.15501519756842</v>
      </c>
      <c r="X96" s="540">
        <f t="shared" si="86"/>
        <v>4</v>
      </c>
      <c r="Y96" s="653"/>
      <c r="Z96" s="542">
        <v>7</v>
      </c>
      <c r="AA96" s="543">
        <v>1416.2500000000005</v>
      </c>
      <c r="AB96" s="543">
        <v>202.32142857142864</v>
      </c>
      <c r="AC96" s="540">
        <f t="shared" si="88"/>
        <v>4</v>
      </c>
      <c r="AD96" s="653"/>
      <c r="AE96" s="542">
        <v>7</v>
      </c>
      <c r="AF96" s="543">
        <v>1395.0000000000016</v>
      </c>
      <c r="AG96" s="543">
        <v>199.2857142857145</v>
      </c>
      <c r="AH96" s="540">
        <f t="shared" si="90"/>
        <v>5</v>
      </c>
      <c r="AI96" s="653"/>
      <c r="AJ96" s="534"/>
      <c r="AK96" s="537"/>
      <c r="AL96" s="537"/>
      <c r="AM96" s="529"/>
      <c r="AN96" s="611"/>
      <c r="AO96" s="534"/>
      <c r="AP96" s="537"/>
      <c r="AQ96" s="537"/>
      <c r="AR96" s="529"/>
      <c r="AS96" s="611"/>
      <c r="AT96" s="529"/>
      <c r="AU96" s="538"/>
      <c r="AV96" s="538"/>
      <c r="AW96" s="529"/>
      <c r="AX96" s="611"/>
      <c r="AZ96" s="377" t="e">
        <f t="shared" si="92"/>
        <v>#N/A</v>
      </c>
      <c r="BA96" s="653"/>
    </row>
    <row r="97" spans="2:53">
      <c r="B97" s="635"/>
      <c r="C97" s="485">
        <v>11</v>
      </c>
      <c r="D97" s="223" t="s">
        <v>315</v>
      </c>
      <c r="E97" s="538">
        <v>20</v>
      </c>
      <c r="F97" s="529">
        <v>1385</v>
      </c>
      <c r="G97" s="530">
        <v>69.25</v>
      </c>
      <c r="H97" s="672"/>
      <c r="I97" s="487">
        <f t="shared" si="83"/>
        <v>20</v>
      </c>
      <c r="J97" s="487">
        <f t="shared" si="83"/>
        <v>1283.5960694369487</v>
      </c>
      <c r="K97" s="363">
        <f t="shared" si="83"/>
        <v>64.179803471847436</v>
      </c>
      <c r="L97" s="615"/>
      <c r="M97" s="490">
        <f>RANK(K97, K$87:$K$101)</f>
        <v>11</v>
      </c>
      <c r="N97" s="624"/>
      <c r="O97" s="624"/>
      <c r="P97" s="542">
        <v>20</v>
      </c>
      <c r="Q97" s="543">
        <v>1294.1333333333328</v>
      </c>
      <c r="R97" s="543">
        <v>64.706666666666635</v>
      </c>
      <c r="S97" s="540">
        <f t="shared" si="84"/>
        <v>11</v>
      </c>
      <c r="T97" s="653"/>
      <c r="U97" s="542">
        <v>20</v>
      </c>
      <c r="V97" s="543">
        <v>1303.4862385321098</v>
      </c>
      <c r="W97" s="543">
        <v>65.174311926605498</v>
      </c>
      <c r="X97" s="540">
        <f t="shared" si="86"/>
        <v>11</v>
      </c>
      <c r="Y97" s="653"/>
      <c r="Z97" s="542">
        <v>20</v>
      </c>
      <c r="AA97" s="543">
        <v>1282.4999999999995</v>
      </c>
      <c r="AB97" s="543">
        <v>64.124999999999972</v>
      </c>
      <c r="AC97" s="540">
        <f t="shared" si="88"/>
        <v>11</v>
      </c>
      <c r="AD97" s="653"/>
      <c r="AE97" s="542">
        <v>20</v>
      </c>
      <c r="AF97" s="543">
        <v>1254.2647058823532</v>
      </c>
      <c r="AG97" s="543">
        <v>62.713235294117659</v>
      </c>
      <c r="AH97" s="540">
        <f t="shared" si="90"/>
        <v>11</v>
      </c>
      <c r="AI97" s="653"/>
      <c r="AJ97" s="534"/>
      <c r="AK97" s="537"/>
      <c r="AL97" s="537"/>
      <c r="AM97" s="529"/>
      <c r="AN97" s="611"/>
      <c r="AO97" s="534"/>
      <c r="AP97" s="537"/>
      <c r="AQ97" s="537"/>
      <c r="AR97" s="529"/>
      <c r="AS97" s="611"/>
      <c r="AT97" s="529"/>
      <c r="AU97" s="538"/>
      <c r="AV97" s="538"/>
      <c r="AW97" s="529"/>
      <c r="AX97" s="611"/>
      <c r="AZ97" s="377" t="e">
        <f t="shared" si="92"/>
        <v>#N/A</v>
      </c>
      <c r="BA97" s="653"/>
    </row>
    <row r="98" spans="2:53">
      <c r="B98" s="635"/>
      <c r="C98" s="485">
        <v>12</v>
      </c>
      <c r="D98" s="223"/>
      <c r="E98" s="538" t="s">
        <v>427</v>
      </c>
      <c r="F98" s="529" t="s">
        <v>427</v>
      </c>
      <c r="G98" s="530" t="s">
        <v>427</v>
      </c>
      <c r="H98" s="672"/>
      <c r="I98" s="487" t="str">
        <f t="shared" si="83"/>
        <v>-</v>
      </c>
      <c r="J98" s="487" t="str">
        <f t="shared" si="83"/>
        <v>-</v>
      </c>
      <c r="K98" s="363" t="str">
        <f t="shared" si="83"/>
        <v>-</v>
      </c>
      <c r="L98" s="615"/>
      <c r="M98" s="490" t="e">
        <f>RANK(K98, K$87:$K$101)</f>
        <v>#VALUE!</v>
      </c>
      <c r="N98" s="624"/>
      <c r="O98" s="624"/>
      <c r="P98" s="542" t="s">
        <v>427</v>
      </c>
      <c r="Q98" s="543" t="s">
        <v>427</v>
      </c>
      <c r="R98" s="543" t="s">
        <v>427</v>
      </c>
      <c r="S98" s="540" t="e">
        <f t="shared" si="84"/>
        <v>#VALUE!</v>
      </c>
      <c r="T98" s="653"/>
      <c r="U98" s="542" t="s">
        <v>427</v>
      </c>
      <c r="V98" s="543" t="s">
        <v>427</v>
      </c>
      <c r="W98" s="543" t="s">
        <v>427</v>
      </c>
      <c r="X98" s="540" t="e">
        <f t="shared" si="86"/>
        <v>#VALUE!</v>
      </c>
      <c r="Y98" s="653"/>
      <c r="Z98" s="542" t="s">
        <v>427</v>
      </c>
      <c r="AA98" s="543" t="s">
        <v>427</v>
      </c>
      <c r="AB98" s="543" t="s">
        <v>427</v>
      </c>
      <c r="AC98" s="540" t="e">
        <f t="shared" si="88"/>
        <v>#VALUE!</v>
      </c>
      <c r="AD98" s="653"/>
      <c r="AE98" s="542" t="s">
        <v>427</v>
      </c>
      <c r="AF98" s="543" t="s">
        <v>427</v>
      </c>
      <c r="AG98" s="543" t="s">
        <v>427</v>
      </c>
      <c r="AH98" s="540" t="e">
        <f t="shared" si="90"/>
        <v>#VALUE!</v>
      </c>
      <c r="AI98" s="653"/>
      <c r="AJ98" s="534"/>
      <c r="AK98" s="537"/>
      <c r="AL98" s="537"/>
      <c r="AM98" s="529"/>
      <c r="AN98" s="611"/>
      <c r="AO98" s="534"/>
      <c r="AP98" s="537"/>
      <c r="AQ98" s="537"/>
      <c r="AR98" s="529"/>
      <c r="AS98" s="611"/>
      <c r="AT98" s="529"/>
      <c r="AU98" s="538"/>
      <c r="AV98" s="538"/>
      <c r="AW98" s="529"/>
      <c r="AX98" s="611"/>
      <c r="AZ98" s="377" t="e">
        <f t="shared" si="92"/>
        <v>#N/A</v>
      </c>
      <c r="BA98" s="653"/>
    </row>
    <row r="99" spans="2:53">
      <c r="B99" s="635"/>
      <c r="C99" s="485">
        <v>13</v>
      </c>
      <c r="D99" s="223"/>
      <c r="E99" s="538" t="s">
        <v>427</v>
      </c>
      <c r="F99" s="529" t="s">
        <v>427</v>
      </c>
      <c r="G99" s="530" t="s">
        <v>427</v>
      </c>
      <c r="H99" s="672"/>
      <c r="I99" s="487" t="str">
        <f t="shared" si="83"/>
        <v>-</v>
      </c>
      <c r="J99" s="487" t="str">
        <f t="shared" si="83"/>
        <v>-</v>
      </c>
      <c r="K99" s="363" t="str">
        <f t="shared" si="83"/>
        <v>-</v>
      </c>
      <c r="L99" s="615"/>
      <c r="M99" s="490" t="e">
        <f>RANK(K99, K$87:$K$101)</f>
        <v>#VALUE!</v>
      </c>
      <c r="N99" s="624"/>
      <c r="O99" s="624"/>
      <c r="P99" s="542" t="s">
        <v>427</v>
      </c>
      <c r="Q99" s="543" t="s">
        <v>427</v>
      </c>
      <c r="R99" s="543" t="s">
        <v>427</v>
      </c>
      <c r="S99" s="540" t="e">
        <f t="shared" si="84"/>
        <v>#VALUE!</v>
      </c>
      <c r="T99" s="653"/>
      <c r="U99" s="542" t="s">
        <v>427</v>
      </c>
      <c r="V99" s="543" t="s">
        <v>427</v>
      </c>
      <c r="W99" s="543" t="s">
        <v>427</v>
      </c>
      <c r="X99" s="540" t="e">
        <f t="shared" si="86"/>
        <v>#VALUE!</v>
      </c>
      <c r="Y99" s="653"/>
      <c r="Z99" s="542" t="s">
        <v>427</v>
      </c>
      <c r="AA99" s="543" t="s">
        <v>427</v>
      </c>
      <c r="AB99" s="543" t="s">
        <v>427</v>
      </c>
      <c r="AC99" s="540" t="e">
        <f t="shared" si="88"/>
        <v>#VALUE!</v>
      </c>
      <c r="AD99" s="653"/>
      <c r="AE99" s="542" t="s">
        <v>427</v>
      </c>
      <c r="AF99" s="543" t="s">
        <v>427</v>
      </c>
      <c r="AG99" s="543" t="s">
        <v>427</v>
      </c>
      <c r="AH99" s="540" t="e">
        <f t="shared" si="90"/>
        <v>#VALUE!</v>
      </c>
      <c r="AI99" s="653"/>
      <c r="AJ99" s="534"/>
      <c r="AK99" s="537"/>
      <c r="AL99" s="537"/>
      <c r="AM99" s="529"/>
      <c r="AN99" s="611"/>
      <c r="AO99" s="534"/>
      <c r="AP99" s="537"/>
      <c r="AQ99" s="537"/>
      <c r="AR99" s="529"/>
      <c r="AS99" s="611"/>
      <c r="AT99" s="529"/>
      <c r="AU99" s="538"/>
      <c r="AV99" s="538"/>
      <c r="AW99" s="529"/>
      <c r="AX99" s="611"/>
      <c r="AZ99" s="377" t="e">
        <f t="shared" si="92"/>
        <v>#N/A</v>
      </c>
      <c r="BA99" s="653"/>
    </row>
    <row r="100" spans="2:53">
      <c r="B100" s="635"/>
      <c r="C100" s="485">
        <v>14</v>
      </c>
      <c r="D100" s="223"/>
      <c r="E100" s="538" t="s">
        <v>427</v>
      </c>
      <c r="F100" s="529" t="s">
        <v>427</v>
      </c>
      <c r="G100" s="530" t="s">
        <v>427</v>
      </c>
      <c r="H100" s="672"/>
      <c r="I100" s="487" t="str">
        <f t="shared" si="83"/>
        <v>-</v>
      </c>
      <c r="J100" s="487" t="str">
        <f t="shared" si="83"/>
        <v>-</v>
      </c>
      <c r="K100" s="363" t="str">
        <f t="shared" si="83"/>
        <v>-</v>
      </c>
      <c r="L100" s="615"/>
      <c r="M100" s="490" t="e">
        <f>RANK(K100, K$87:$K$101)</f>
        <v>#VALUE!</v>
      </c>
      <c r="N100" s="624"/>
      <c r="O100" s="624"/>
      <c r="P100" s="542" t="s">
        <v>427</v>
      </c>
      <c r="Q100" s="543" t="s">
        <v>427</v>
      </c>
      <c r="R100" s="543" t="s">
        <v>427</v>
      </c>
      <c r="S100" s="540" t="e">
        <f t="shared" si="84"/>
        <v>#VALUE!</v>
      </c>
      <c r="T100" s="653"/>
      <c r="U100" s="542" t="s">
        <v>427</v>
      </c>
      <c r="V100" s="543" t="s">
        <v>427</v>
      </c>
      <c r="W100" s="543" t="s">
        <v>427</v>
      </c>
      <c r="X100" s="540" t="e">
        <f t="shared" si="86"/>
        <v>#VALUE!</v>
      </c>
      <c r="Y100" s="653"/>
      <c r="Z100" s="542" t="s">
        <v>427</v>
      </c>
      <c r="AA100" s="543" t="s">
        <v>427</v>
      </c>
      <c r="AB100" s="543" t="s">
        <v>427</v>
      </c>
      <c r="AC100" s="540" t="e">
        <f t="shared" si="88"/>
        <v>#VALUE!</v>
      </c>
      <c r="AD100" s="653"/>
      <c r="AE100" s="542" t="s">
        <v>427</v>
      </c>
      <c r="AF100" s="543" t="s">
        <v>427</v>
      </c>
      <c r="AG100" s="543" t="s">
        <v>427</v>
      </c>
      <c r="AH100" s="540" t="e">
        <f t="shared" si="90"/>
        <v>#VALUE!</v>
      </c>
      <c r="AI100" s="653"/>
      <c r="AJ100" s="534"/>
      <c r="AK100" s="537"/>
      <c r="AL100" s="537"/>
      <c r="AM100" s="529"/>
      <c r="AN100" s="611"/>
      <c r="AO100" s="534"/>
      <c r="AP100" s="537"/>
      <c r="AQ100" s="537"/>
      <c r="AR100" s="529"/>
      <c r="AS100" s="611"/>
      <c r="AT100" s="529"/>
      <c r="AU100" s="538"/>
      <c r="AV100" s="538"/>
      <c r="AW100" s="529"/>
      <c r="AX100" s="611"/>
      <c r="AZ100" s="377" t="e">
        <f t="shared" si="92"/>
        <v>#N/A</v>
      </c>
      <c r="BA100" s="653"/>
    </row>
    <row r="101" spans="2:53">
      <c r="B101" s="635"/>
      <c r="C101" s="485">
        <v>15</v>
      </c>
      <c r="D101" s="223"/>
      <c r="E101" s="538" t="s">
        <v>427</v>
      </c>
      <c r="F101" s="529" t="s">
        <v>427</v>
      </c>
      <c r="G101" s="530" t="s">
        <v>427</v>
      </c>
      <c r="H101" s="676"/>
      <c r="I101" s="485"/>
      <c r="J101" s="485"/>
      <c r="K101" s="485"/>
      <c r="L101" s="616"/>
      <c r="M101" s="490" t="e">
        <f>RANK(K101, K$87:$K$101)</f>
        <v>#N/A</v>
      </c>
      <c r="N101" s="624"/>
      <c r="O101" s="624"/>
      <c r="P101" s="542" t="s">
        <v>427</v>
      </c>
      <c r="Q101" s="543" t="s">
        <v>427</v>
      </c>
      <c r="R101" s="543" t="s">
        <v>427</v>
      </c>
      <c r="S101" s="540" t="e">
        <f t="shared" si="84"/>
        <v>#VALUE!</v>
      </c>
      <c r="T101" s="653"/>
      <c r="U101" s="542" t="s">
        <v>427</v>
      </c>
      <c r="V101" s="543" t="s">
        <v>427</v>
      </c>
      <c r="W101" s="543" t="s">
        <v>427</v>
      </c>
      <c r="X101" s="540" t="e">
        <f t="shared" si="86"/>
        <v>#VALUE!</v>
      </c>
      <c r="Y101" s="653"/>
      <c r="Z101" s="542" t="s">
        <v>427</v>
      </c>
      <c r="AA101" s="543" t="s">
        <v>427</v>
      </c>
      <c r="AB101" s="543" t="s">
        <v>427</v>
      </c>
      <c r="AC101" s="540" t="e">
        <f t="shared" si="88"/>
        <v>#VALUE!</v>
      </c>
      <c r="AD101" s="653"/>
      <c r="AE101" s="542" t="s">
        <v>427</v>
      </c>
      <c r="AF101" s="543" t="s">
        <v>427</v>
      </c>
      <c r="AG101" s="543" t="s">
        <v>427</v>
      </c>
      <c r="AH101" s="540" t="e">
        <f t="shared" si="90"/>
        <v>#VALUE!</v>
      </c>
      <c r="AI101" s="653"/>
      <c r="AJ101" s="534"/>
      <c r="AK101" s="537"/>
      <c r="AL101" s="537"/>
      <c r="AM101" s="529"/>
      <c r="AN101" s="612"/>
      <c r="AO101" s="534"/>
      <c r="AP101" s="537"/>
      <c r="AQ101" s="537"/>
      <c r="AR101" s="529"/>
      <c r="AS101" s="612"/>
      <c r="AT101" s="529"/>
      <c r="AU101" s="538"/>
      <c r="AV101" s="538"/>
      <c r="AW101" s="529"/>
      <c r="AX101" s="612"/>
      <c r="AZ101" s="377" t="e">
        <f t="shared" si="92"/>
        <v>#N/A</v>
      </c>
      <c r="BA101" s="653"/>
    </row>
    <row r="102" spans="2:53" ht="15.75">
      <c r="B102" s="643" t="s">
        <v>161</v>
      </c>
      <c r="C102" s="644"/>
      <c r="D102" s="644"/>
      <c r="E102" s="644"/>
      <c r="F102" s="644"/>
      <c r="G102" s="644"/>
      <c r="H102" s="645"/>
      <c r="I102" s="205"/>
      <c r="J102" s="205"/>
      <c r="K102" s="205"/>
      <c r="L102" s="205"/>
      <c r="M102" s="204"/>
      <c r="N102" s="639" t="s">
        <v>155</v>
      </c>
      <c r="O102" s="639" t="s">
        <v>105</v>
      </c>
      <c r="P102" s="634"/>
      <c r="Q102" s="635"/>
      <c r="R102" s="635"/>
      <c r="S102" s="635"/>
      <c r="T102" s="635"/>
      <c r="U102" s="636"/>
      <c r="V102" s="637"/>
      <c r="W102" s="637"/>
      <c r="X102" s="637"/>
      <c r="Y102" s="638"/>
      <c r="Z102" s="636"/>
      <c r="AA102" s="637"/>
      <c r="AB102" s="637"/>
      <c r="AC102" s="637"/>
      <c r="AD102" s="638"/>
      <c r="AE102" s="636"/>
      <c r="AF102" s="637"/>
      <c r="AG102" s="637"/>
      <c r="AH102" s="637"/>
      <c r="AI102" s="638"/>
      <c r="AJ102" s="636"/>
      <c r="AK102" s="637"/>
      <c r="AL102" s="637"/>
      <c r="AM102" s="637"/>
      <c r="AN102" s="638"/>
      <c r="AO102" s="636"/>
      <c r="AP102" s="637"/>
      <c r="AQ102" s="637"/>
      <c r="AR102" s="637"/>
      <c r="AS102" s="638"/>
      <c r="AT102" s="636"/>
      <c r="AU102" s="637"/>
      <c r="AV102" s="637"/>
      <c r="AW102" s="637"/>
      <c r="AX102" s="638"/>
    </row>
    <row r="103" spans="2:53" ht="15.75">
      <c r="B103" s="646"/>
      <c r="C103" s="646"/>
      <c r="D103" s="646"/>
      <c r="E103" s="646"/>
      <c r="F103" s="646"/>
      <c r="G103" s="646"/>
      <c r="H103" s="646"/>
      <c r="I103" s="202"/>
      <c r="J103" s="202"/>
      <c r="K103" s="202"/>
      <c r="L103" s="202"/>
      <c r="M103" s="203"/>
      <c r="N103" s="641"/>
      <c r="O103" s="641"/>
      <c r="P103" s="634" t="s">
        <v>157</v>
      </c>
      <c r="Q103" s="635"/>
      <c r="R103" s="635"/>
      <c r="S103" s="635"/>
      <c r="T103" s="635"/>
      <c r="U103" s="634" t="s">
        <v>114</v>
      </c>
      <c r="V103" s="635"/>
      <c r="W103" s="635"/>
      <c r="X103" s="635"/>
      <c r="Y103" s="635"/>
      <c r="Z103" s="634" t="s">
        <v>158</v>
      </c>
      <c r="AA103" s="635"/>
      <c r="AB103" s="635"/>
      <c r="AC103" s="635"/>
      <c r="AD103" s="635"/>
      <c r="AE103" s="634" t="s">
        <v>156</v>
      </c>
      <c r="AF103" s="635"/>
      <c r="AG103" s="635"/>
      <c r="AH103" s="635"/>
      <c r="AI103" s="635"/>
      <c r="AJ103" s="634" t="s">
        <v>159</v>
      </c>
      <c r="AK103" s="635"/>
      <c r="AL103" s="635"/>
      <c r="AM103" s="635"/>
      <c r="AN103" s="635"/>
      <c r="AO103" s="634" t="s">
        <v>115</v>
      </c>
      <c r="AP103" s="635"/>
      <c r="AQ103" s="635"/>
      <c r="AR103" s="635"/>
      <c r="AS103" s="635"/>
      <c r="AT103" s="634" t="s">
        <v>160</v>
      </c>
      <c r="AU103" s="635"/>
      <c r="AV103" s="635"/>
      <c r="AW103" s="635"/>
      <c r="AX103" s="635"/>
    </row>
    <row r="104" spans="2:53">
      <c r="B104" s="624" t="s">
        <v>463</v>
      </c>
      <c r="C104" s="624" t="s">
        <v>464</v>
      </c>
      <c r="D104" s="624"/>
      <c r="E104" s="624" t="s">
        <v>465</v>
      </c>
      <c r="F104" s="624"/>
      <c r="G104" s="624"/>
      <c r="H104" s="647" t="s">
        <v>466</v>
      </c>
      <c r="I104" s="624" t="s">
        <v>467</v>
      </c>
      <c r="J104" s="624"/>
      <c r="K104" s="624"/>
      <c r="L104" s="647" t="s">
        <v>466</v>
      </c>
      <c r="M104" s="639" t="s">
        <v>468</v>
      </c>
      <c r="N104" s="624"/>
      <c r="O104" s="624" t="s">
        <v>456</v>
      </c>
      <c r="P104" s="621" t="s">
        <v>457</v>
      </c>
      <c r="Q104" s="622"/>
      <c r="R104" s="622"/>
      <c r="S104" s="623"/>
      <c r="T104" s="624" t="s">
        <v>454</v>
      </c>
      <c r="U104" s="621" t="s">
        <v>457</v>
      </c>
      <c r="V104" s="622"/>
      <c r="W104" s="622"/>
      <c r="X104" s="623"/>
      <c r="Y104" s="624" t="s">
        <v>454</v>
      </c>
      <c r="Z104" s="621" t="s">
        <v>369</v>
      </c>
      <c r="AA104" s="622"/>
      <c r="AB104" s="622"/>
      <c r="AC104" s="623"/>
      <c r="AD104" s="624" t="s">
        <v>367</v>
      </c>
      <c r="AE104" s="621" t="s">
        <v>369</v>
      </c>
      <c r="AF104" s="622"/>
      <c r="AG104" s="622"/>
      <c r="AH104" s="623"/>
      <c r="AI104" s="624" t="s">
        <v>367</v>
      </c>
      <c r="AJ104" s="621" t="s">
        <v>369</v>
      </c>
      <c r="AK104" s="622"/>
      <c r="AL104" s="622"/>
      <c r="AM104" s="623"/>
      <c r="AN104" s="624" t="s">
        <v>367</v>
      </c>
      <c r="AO104" s="621" t="s">
        <v>369</v>
      </c>
      <c r="AP104" s="622"/>
      <c r="AQ104" s="622"/>
      <c r="AR104" s="623"/>
      <c r="AS104" s="624" t="s">
        <v>367</v>
      </c>
      <c r="AT104" s="621" t="s">
        <v>369</v>
      </c>
      <c r="AU104" s="622"/>
      <c r="AV104" s="622"/>
      <c r="AW104" s="623"/>
      <c r="AX104" s="624" t="s">
        <v>367</v>
      </c>
    </row>
    <row r="105" spans="2:53">
      <c r="B105" s="624"/>
      <c r="C105" s="624"/>
      <c r="D105" s="624"/>
      <c r="E105" s="624" t="s">
        <v>470</v>
      </c>
      <c r="F105" s="624"/>
      <c r="G105" s="624"/>
      <c r="H105" s="648"/>
      <c r="I105" s="624" t="s">
        <v>470</v>
      </c>
      <c r="J105" s="624"/>
      <c r="K105" s="624"/>
      <c r="L105" s="648"/>
      <c r="M105" s="640"/>
      <c r="N105" s="624"/>
      <c r="O105" s="624"/>
      <c r="P105" s="621" t="s">
        <v>458</v>
      </c>
      <c r="Q105" s="622"/>
      <c r="R105" s="622"/>
      <c r="S105" s="623"/>
      <c r="T105" s="624"/>
      <c r="U105" s="621" t="s">
        <v>458</v>
      </c>
      <c r="V105" s="622"/>
      <c r="W105" s="622"/>
      <c r="X105" s="623"/>
      <c r="Y105" s="624"/>
      <c r="Z105" s="621" t="s">
        <v>370</v>
      </c>
      <c r="AA105" s="622"/>
      <c r="AB105" s="622"/>
      <c r="AC105" s="623"/>
      <c r="AD105" s="624"/>
      <c r="AE105" s="621" t="s">
        <v>370</v>
      </c>
      <c r="AF105" s="622"/>
      <c r="AG105" s="622"/>
      <c r="AH105" s="623"/>
      <c r="AI105" s="624"/>
      <c r="AJ105" s="621" t="s">
        <v>370</v>
      </c>
      <c r="AK105" s="622"/>
      <c r="AL105" s="622"/>
      <c r="AM105" s="623"/>
      <c r="AN105" s="624"/>
      <c r="AO105" s="621" t="s">
        <v>370</v>
      </c>
      <c r="AP105" s="622"/>
      <c r="AQ105" s="622"/>
      <c r="AR105" s="623"/>
      <c r="AS105" s="624"/>
      <c r="AT105" s="621" t="s">
        <v>370</v>
      </c>
      <c r="AU105" s="622"/>
      <c r="AV105" s="622"/>
      <c r="AW105" s="623"/>
      <c r="AX105" s="624"/>
    </row>
    <row r="106" spans="2:53">
      <c r="B106" s="624"/>
      <c r="C106" s="624"/>
      <c r="D106" s="624"/>
      <c r="E106" s="332" t="s">
        <v>471</v>
      </c>
      <c r="F106" s="332" t="s">
        <v>472</v>
      </c>
      <c r="G106" s="332" t="s">
        <v>473</v>
      </c>
      <c r="H106" s="649"/>
      <c r="I106" s="332" t="s">
        <v>471</v>
      </c>
      <c r="J106" s="332" t="s">
        <v>472</v>
      </c>
      <c r="K106" s="332" t="s">
        <v>473</v>
      </c>
      <c r="L106" s="649"/>
      <c r="M106" s="641"/>
      <c r="N106" s="624"/>
      <c r="O106" s="624"/>
      <c r="P106" s="332" t="s">
        <v>459</v>
      </c>
      <c r="Q106" s="332" t="s">
        <v>460</v>
      </c>
      <c r="R106" s="332" t="s">
        <v>461</v>
      </c>
      <c r="S106" s="332" t="s">
        <v>455</v>
      </c>
      <c r="T106" s="624"/>
      <c r="U106" s="332" t="s">
        <v>459</v>
      </c>
      <c r="V106" s="332" t="s">
        <v>460</v>
      </c>
      <c r="W106" s="332" t="s">
        <v>461</v>
      </c>
      <c r="X106" s="332" t="s">
        <v>455</v>
      </c>
      <c r="Y106" s="624"/>
      <c r="Z106" s="284" t="s">
        <v>371</v>
      </c>
      <c r="AA106" s="284" t="s">
        <v>372</v>
      </c>
      <c r="AB106" s="284" t="s">
        <v>373</v>
      </c>
      <c r="AC106" s="284" t="s">
        <v>368</v>
      </c>
      <c r="AD106" s="624"/>
      <c r="AE106" s="284" t="s">
        <v>371</v>
      </c>
      <c r="AF106" s="284" t="s">
        <v>372</v>
      </c>
      <c r="AG106" s="284" t="s">
        <v>373</v>
      </c>
      <c r="AH106" s="284" t="s">
        <v>368</v>
      </c>
      <c r="AI106" s="624"/>
      <c r="AJ106" s="284" t="s">
        <v>371</v>
      </c>
      <c r="AK106" s="284" t="s">
        <v>372</v>
      </c>
      <c r="AL106" s="284" t="s">
        <v>373</v>
      </c>
      <c r="AM106" s="284" t="s">
        <v>368</v>
      </c>
      <c r="AN106" s="624"/>
      <c r="AO106" s="284" t="s">
        <v>371</v>
      </c>
      <c r="AP106" s="284" t="s">
        <v>372</v>
      </c>
      <c r="AQ106" s="284" t="s">
        <v>373</v>
      </c>
      <c r="AR106" s="284" t="s">
        <v>368</v>
      </c>
      <c r="AS106" s="624"/>
      <c r="AT106" s="284" t="s">
        <v>371</v>
      </c>
      <c r="AU106" s="284" t="s">
        <v>372</v>
      </c>
      <c r="AV106" s="284" t="s">
        <v>373</v>
      </c>
      <c r="AW106" s="284" t="s">
        <v>368</v>
      </c>
      <c r="AX106" s="624"/>
    </row>
    <row r="107" spans="2:53">
      <c r="B107" s="624" t="s">
        <v>136</v>
      </c>
      <c r="C107" s="344">
        <v>1</v>
      </c>
      <c r="D107" s="346"/>
      <c r="E107" s="345"/>
      <c r="F107" s="345"/>
      <c r="G107" s="345"/>
      <c r="H107" s="671" t="e">
        <f>AVERAGE(G107:G121)</f>
        <v>#DIV/0!</v>
      </c>
      <c r="I107" s="379" t="str">
        <f t="shared" ref="I107:K121" si="94">IFERROR(AVERAGE(P107,U107,Z107,AE107,AJ107,AO107,AT107),"-")</f>
        <v>-</v>
      </c>
      <c r="J107" s="379" t="str">
        <f t="shared" si="94"/>
        <v>-</v>
      </c>
      <c r="K107" s="363" t="str">
        <f t="shared" si="94"/>
        <v>-</v>
      </c>
      <c r="L107" s="671"/>
      <c r="M107" s="345" t="e">
        <f>RANK(K107, K$107:$K$121)</f>
        <v>#VALUE!</v>
      </c>
      <c r="N107" s="624"/>
      <c r="O107" s="624"/>
      <c r="P107" s="414"/>
      <c r="Q107" s="415"/>
      <c r="R107" s="415"/>
      <c r="S107" s="497"/>
      <c r="T107" s="677"/>
      <c r="U107" s="344"/>
      <c r="V107" s="345"/>
      <c r="W107" s="345"/>
      <c r="X107" s="344"/>
      <c r="Y107" s="674"/>
      <c r="Z107" s="182"/>
      <c r="AA107" s="182"/>
      <c r="AB107" s="295"/>
      <c r="AC107" s="293"/>
      <c r="AD107" s="610"/>
      <c r="AE107" s="182"/>
      <c r="AF107" s="182"/>
      <c r="AG107" s="295"/>
      <c r="AH107" s="293"/>
      <c r="AI107" s="610"/>
      <c r="AJ107" s="182"/>
      <c r="AK107" s="182"/>
      <c r="AL107" s="295"/>
      <c r="AM107" s="293"/>
      <c r="AN107" s="610"/>
      <c r="AO107" s="182"/>
      <c r="AP107" s="182"/>
      <c r="AQ107" s="295"/>
      <c r="AR107" s="293"/>
      <c r="AS107" s="610"/>
      <c r="AT107" s="182"/>
      <c r="AU107" s="182"/>
      <c r="AV107" s="295"/>
      <c r="AW107" s="293"/>
      <c r="AX107" s="610"/>
      <c r="AZ107" s="497" t="e">
        <f>RANK(AY107, AY$107:AY$121)</f>
        <v>#N/A</v>
      </c>
      <c r="BA107" s="677" t="e">
        <f>AVERAGE(AY107:AY121)</f>
        <v>#DIV/0!</v>
      </c>
    </row>
    <row r="108" spans="2:53">
      <c r="B108" s="661"/>
      <c r="C108" s="344">
        <v>2</v>
      </c>
      <c r="D108" s="346"/>
      <c r="E108" s="345"/>
      <c r="F108" s="345"/>
      <c r="G108" s="345"/>
      <c r="H108" s="672"/>
      <c r="I108" s="379" t="str">
        <f t="shared" si="94"/>
        <v>-</v>
      </c>
      <c r="J108" s="379" t="str">
        <f t="shared" si="94"/>
        <v>-</v>
      </c>
      <c r="K108" s="363" t="str">
        <f t="shared" si="94"/>
        <v>-</v>
      </c>
      <c r="L108" s="672"/>
      <c r="M108" s="345" t="e">
        <f>RANK(K108, K$107:$K$121)</f>
        <v>#VALUE!</v>
      </c>
      <c r="N108" s="624"/>
      <c r="O108" s="624"/>
      <c r="P108" s="414"/>
      <c r="Q108" s="415"/>
      <c r="R108" s="415"/>
      <c r="S108" s="497"/>
      <c r="T108" s="678"/>
      <c r="U108" s="344"/>
      <c r="V108" s="345"/>
      <c r="W108" s="345"/>
      <c r="X108" s="344"/>
      <c r="Y108" s="674"/>
      <c r="Z108" s="294"/>
      <c r="AA108" s="182"/>
      <c r="AB108" s="295"/>
      <c r="AC108" s="293"/>
      <c r="AD108" s="611"/>
      <c r="AE108" s="294"/>
      <c r="AF108" s="182"/>
      <c r="AG108" s="295"/>
      <c r="AH108" s="293"/>
      <c r="AI108" s="611"/>
      <c r="AJ108" s="294"/>
      <c r="AK108" s="182"/>
      <c r="AL108" s="295"/>
      <c r="AM108" s="293"/>
      <c r="AN108" s="611"/>
      <c r="AO108" s="294"/>
      <c r="AP108" s="182"/>
      <c r="AQ108" s="295"/>
      <c r="AR108" s="293"/>
      <c r="AS108" s="611"/>
      <c r="AT108" s="294"/>
      <c r="AU108" s="182"/>
      <c r="AV108" s="295"/>
      <c r="AW108" s="293"/>
      <c r="AX108" s="611"/>
      <c r="AZ108" s="497" t="e">
        <f t="shared" ref="AZ108:AZ121" si="95">RANK(AY108, AY$107:AY$121)</f>
        <v>#N/A</v>
      </c>
      <c r="BA108" s="678"/>
    </row>
    <row r="109" spans="2:53">
      <c r="B109" s="661"/>
      <c r="C109" s="344">
        <v>3</v>
      </c>
      <c r="D109" s="346"/>
      <c r="E109" s="345"/>
      <c r="F109" s="345"/>
      <c r="G109" s="345"/>
      <c r="H109" s="672"/>
      <c r="I109" s="379" t="str">
        <f t="shared" si="94"/>
        <v>-</v>
      </c>
      <c r="J109" s="379" t="str">
        <f t="shared" si="94"/>
        <v>-</v>
      </c>
      <c r="K109" s="363" t="str">
        <f t="shared" si="94"/>
        <v>-</v>
      </c>
      <c r="L109" s="672"/>
      <c r="M109" s="345" t="e">
        <f>RANK(K109, K$107:$K$121)</f>
        <v>#VALUE!</v>
      </c>
      <c r="N109" s="624"/>
      <c r="O109" s="624"/>
      <c r="P109" s="414"/>
      <c r="Q109" s="415"/>
      <c r="R109" s="415"/>
      <c r="S109" s="497"/>
      <c r="T109" s="678"/>
      <c r="U109" s="344"/>
      <c r="V109" s="345"/>
      <c r="W109" s="345"/>
      <c r="X109" s="344"/>
      <c r="Y109" s="674"/>
      <c r="Z109" s="294"/>
      <c r="AA109" s="182"/>
      <c r="AB109" s="295"/>
      <c r="AC109" s="293"/>
      <c r="AD109" s="611"/>
      <c r="AE109" s="294"/>
      <c r="AF109" s="182"/>
      <c r="AG109" s="295"/>
      <c r="AH109" s="293"/>
      <c r="AI109" s="611"/>
      <c r="AJ109" s="294"/>
      <c r="AK109" s="182"/>
      <c r="AL109" s="295"/>
      <c r="AM109" s="293"/>
      <c r="AN109" s="611"/>
      <c r="AO109" s="294"/>
      <c r="AP109" s="182"/>
      <c r="AQ109" s="295"/>
      <c r="AR109" s="293"/>
      <c r="AS109" s="611"/>
      <c r="AT109" s="294"/>
      <c r="AU109" s="182"/>
      <c r="AV109" s="295"/>
      <c r="AW109" s="293"/>
      <c r="AX109" s="611"/>
      <c r="AZ109" s="497" t="e">
        <f t="shared" si="95"/>
        <v>#N/A</v>
      </c>
      <c r="BA109" s="678"/>
    </row>
    <row r="110" spans="2:53">
      <c r="B110" s="661"/>
      <c r="C110" s="344">
        <v>4</v>
      </c>
      <c r="D110" s="291"/>
      <c r="E110" s="345"/>
      <c r="F110" s="345"/>
      <c r="G110" s="345"/>
      <c r="H110" s="672"/>
      <c r="I110" s="379" t="str">
        <f t="shared" si="94"/>
        <v>-</v>
      </c>
      <c r="J110" s="379" t="str">
        <f t="shared" si="94"/>
        <v>-</v>
      </c>
      <c r="K110" s="363" t="str">
        <f t="shared" si="94"/>
        <v>-</v>
      </c>
      <c r="L110" s="672"/>
      <c r="M110" s="345" t="e">
        <f>RANK(K110, K$107:$K$121)</f>
        <v>#VALUE!</v>
      </c>
      <c r="N110" s="624"/>
      <c r="O110" s="624"/>
      <c r="P110" s="414"/>
      <c r="Q110" s="415"/>
      <c r="R110" s="415"/>
      <c r="S110" s="497"/>
      <c r="T110" s="678"/>
      <c r="U110" s="344"/>
      <c r="V110" s="345"/>
      <c r="W110" s="345"/>
      <c r="X110" s="344"/>
      <c r="Y110" s="674"/>
      <c r="Z110" s="294"/>
      <c r="AA110" s="182"/>
      <c r="AB110" s="295"/>
      <c r="AC110" s="293"/>
      <c r="AD110" s="611"/>
      <c r="AE110" s="294"/>
      <c r="AF110" s="182"/>
      <c r="AG110" s="295"/>
      <c r="AH110" s="293"/>
      <c r="AI110" s="611"/>
      <c r="AJ110" s="294"/>
      <c r="AK110" s="182"/>
      <c r="AL110" s="295"/>
      <c r="AM110" s="293"/>
      <c r="AN110" s="611"/>
      <c r="AO110" s="294"/>
      <c r="AP110" s="182"/>
      <c r="AQ110" s="295"/>
      <c r="AR110" s="293"/>
      <c r="AS110" s="611"/>
      <c r="AT110" s="294"/>
      <c r="AU110" s="182"/>
      <c r="AV110" s="295"/>
      <c r="AW110" s="293"/>
      <c r="AX110" s="611"/>
      <c r="AZ110" s="497" t="e">
        <f t="shared" si="95"/>
        <v>#N/A</v>
      </c>
      <c r="BA110" s="678"/>
    </row>
    <row r="111" spans="2:53">
      <c r="B111" s="661"/>
      <c r="C111" s="344">
        <v>5</v>
      </c>
      <c r="D111" s="346"/>
      <c r="E111" s="345"/>
      <c r="F111" s="345"/>
      <c r="G111" s="345"/>
      <c r="H111" s="672"/>
      <c r="I111" s="379" t="str">
        <f t="shared" si="94"/>
        <v>-</v>
      </c>
      <c r="J111" s="379" t="str">
        <f t="shared" si="94"/>
        <v>-</v>
      </c>
      <c r="K111" s="363" t="str">
        <f t="shared" si="94"/>
        <v>-</v>
      </c>
      <c r="L111" s="672"/>
      <c r="M111" s="345" t="e">
        <f>RANK(K111, K$107:$K$121)</f>
        <v>#VALUE!</v>
      </c>
      <c r="N111" s="624"/>
      <c r="O111" s="624"/>
      <c r="P111" s="414"/>
      <c r="Q111" s="415"/>
      <c r="R111" s="415"/>
      <c r="S111" s="497"/>
      <c r="T111" s="678"/>
      <c r="U111" s="344"/>
      <c r="V111" s="345"/>
      <c r="W111" s="345"/>
      <c r="X111" s="344"/>
      <c r="Y111" s="674"/>
      <c r="Z111" s="294"/>
      <c r="AA111" s="182"/>
      <c r="AB111" s="295"/>
      <c r="AC111" s="293"/>
      <c r="AD111" s="611"/>
      <c r="AE111" s="294"/>
      <c r="AF111" s="182"/>
      <c r="AG111" s="295"/>
      <c r="AH111" s="293"/>
      <c r="AI111" s="611"/>
      <c r="AJ111" s="294"/>
      <c r="AK111" s="182"/>
      <c r="AL111" s="295"/>
      <c r="AM111" s="293"/>
      <c r="AN111" s="611"/>
      <c r="AO111" s="294"/>
      <c r="AP111" s="182"/>
      <c r="AQ111" s="295"/>
      <c r="AR111" s="293"/>
      <c r="AS111" s="611"/>
      <c r="AT111" s="294"/>
      <c r="AU111" s="182"/>
      <c r="AV111" s="295"/>
      <c r="AW111" s="293"/>
      <c r="AX111" s="611"/>
      <c r="AZ111" s="497" t="e">
        <f t="shared" si="95"/>
        <v>#N/A</v>
      </c>
      <c r="BA111" s="678"/>
    </row>
    <row r="112" spans="2:53">
      <c r="B112" s="661"/>
      <c r="C112" s="344">
        <v>6</v>
      </c>
      <c r="D112" s="346"/>
      <c r="E112" s="345"/>
      <c r="F112" s="345"/>
      <c r="G112" s="345"/>
      <c r="H112" s="672"/>
      <c r="I112" s="379" t="str">
        <f t="shared" si="94"/>
        <v>-</v>
      </c>
      <c r="J112" s="379" t="str">
        <f t="shared" si="94"/>
        <v>-</v>
      </c>
      <c r="K112" s="363" t="str">
        <f t="shared" si="94"/>
        <v>-</v>
      </c>
      <c r="L112" s="672"/>
      <c r="M112" s="345" t="e">
        <f>RANK(K112, K$107:$K$121)</f>
        <v>#VALUE!</v>
      </c>
      <c r="N112" s="624"/>
      <c r="O112" s="624"/>
      <c r="P112" s="414"/>
      <c r="Q112" s="415"/>
      <c r="R112" s="415"/>
      <c r="S112" s="497"/>
      <c r="T112" s="678"/>
      <c r="U112" s="344"/>
      <c r="V112" s="345"/>
      <c r="W112" s="345"/>
      <c r="X112" s="344"/>
      <c r="Y112" s="674"/>
      <c r="Z112" s="294"/>
      <c r="AA112" s="182"/>
      <c r="AB112" s="295"/>
      <c r="AC112" s="293"/>
      <c r="AD112" s="611"/>
      <c r="AE112" s="294"/>
      <c r="AF112" s="182"/>
      <c r="AG112" s="295"/>
      <c r="AH112" s="293"/>
      <c r="AI112" s="611"/>
      <c r="AJ112" s="294"/>
      <c r="AK112" s="182"/>
      <c r="AL112" s="295"/>
      <c r="AM112" s="293"/>
      <c r="AN112" s="611"/>
      <c r="AO112" s="294"/>
      <c r="AP112" s="182"/>
      <c r="AQ112" s="295"/>
      <c r="AR112" s="293"/>
      <c r="AS112" s="611"/>
      <c r="AT112" s="294"/>
      <c r="AU112" s="182"/>
      <c r="AV112" s="295"/>
      <c r="AW112" s="293"/>
      <c r="AX112" s="611"/>
      <c r="AZ112" s="497" t="e">
        <f t="shared" si="95"/>
        <v>#N/A</v>
      </c>
      <c r="BA112" s="678"/>
    </row>
    <row r="113" spans="2:53">
      <c r="B113" s="661"/>
      <c r="C113" s="344">
        <v>7</v>
      </c>
      <c r="D113" s="291"/>
      <c r="E113" s="345"/>
      <c r="F113" s="345"/>
      <c r="G113" s="345"/>
      <c r="H113" s="672"/>
      <c r="I113" s="379" t="str">
        <f t="shared" si="94"/>
        <v>-</v>
      </c>
      <c r="J113" s="379" t="str">
        <f t="shared" si="94"/>
        <v>-</v>
      </c>
      <c r="K113" s="363" t="str">
        <f t="shared" si="94"/>
        <v>-</v>
      </c>
      <c r="L113" s="672"/>
      <c r="M113" s="345" t="e">
        <f>RANK(K113, K$107:$K$121)</f>
        <v>#VALUE!</v>
      </c>
      <c r="N113" s="624"/>
      <c r="O113" s="624"/>
      <c r="P113" s="414"/>
      <c r="Q113" s="415"/>
      <c r="R113" s="415"/>
      <c r="S113" s="497"/>
      <c r="T113" s="678"/>
      <c r="U113" s="344"/>
      <c r="V113" s="345"/>
      <c r="W113" s="345"/>
      <c r="X113" s="344"/>
      <c r="Y113" s="674"/>
      <c r="Z113" s="294"/>
      <c r="AA113" s="182"/>
      <c r="AB113" s="295"/>
      <c r="AC113" s="293"/>
      <c r="AD113" s="611"/>
      <c r="AE113" s="294"/>
      <c r="AF113" s="182"/>
      <c r="AG113" s="295"/>
      <c r="AH113" s="293"/>
      <c r="AI113" s="611"/>
      <c r="AJ113" s="294"/>
      <c r="AK113" s="182"/>
      <c r="AL113" s="295"/>
      <c r="AM113" s="293"/>
      <c r="AN113" s="611"/>
      <c r="AO113" s="294"/>
      <c r="AP113" s="182"/>
      <c r="AQ113" s="295"/>
      <c r="AR113" s="293"/>
      <c r="AS113" s="611"/>
      <c r="AT113" s="294"/>
      <c r="AU113" s="182"/>
      <c r="AV113" s="295"/>
      <c r="AW113" s="293"/>
      <c r="AX113" s="611"/>
      <c r="AZ113" s="497" t="e">
        <f t="shared" si="95"/>
        <v>#N/A</v>
      </c>
      <c r="BA113" s="678"/>
    </row>
    <row r="114" spans="2:53">
      <c r="B114" s="661"/>
      <c r="C114" s="344">
        <v>8</v>
      </c>
      <c r="D114" s="291"/>
      <c r="E114" s="345"/>
      <c r="F114" s="345"/>
      <c r="G114" s="345"/>
      <c r="H114" s="672"/>
      <c r="I114" s="379" t="str">
        <f t="shared" si="94"/>
        <v>-</v>
      </c>
      <c r="J114" s="379" t="str">
        <f t="shared" si="94"/>
        <v>-</v>
      </c>
      <c r="K114" s="363" t="str">
        <f t="shared" si="94"/>
        <v>-</v>
      </c>
      <c r="L114" s="672"/>
      <c r="M114" s="345" t="e">
        <f>RANK(K114, K$107:$K$121)</f>
        <v>#VALUE!</v>
      </c>
      <c r="N114" s="624"/>
      <c r="O114" s="624"/>
      <c r="P114" s="414"/>
      <c r="Q114" s="415"/>
      <c r="R114" s="415"/>
      <c r="S114" s="497"/>
      <c r="T114" s="678"/>
      <c r="U114" s="344"/>
      <c r="V114" s="345"/>
      <c r="W114" s="345"/>
      <c r="X114" s="344"/>
      <c r="Y114" s="674"/>
      <c r="Z114" s="294"/>
      <c r="AA114" s="182"/>
      <c r="AB114" s="295"/>
      <c r="AC114" s="292"/>
      <c r="AD114" s="611"/>
      <c r="AE114" s="294"/>
      <c r="AF114" s="182"/>
      <c r="AG114" s="295"/>
      <c r="AH114" s="292"/>
      <c r="AI114" s="611"/>
      <c r="AJ114" s="294"/>
      <c r="AK114" s="182"/>
      <c r="AL114" s="295"/>
      <c r="AM114" s="292"/>
      <c r="AN114" s="611"/>
      <c r="AO114" s="294"/>
      <c r="AP114" s="182"/>
      <c r="AQ114" s="295"/>
      <c r="AR114" s="292"/>
      <c r="AS114" s="611"/>
      <c r="AT114" s="294"/>
      <c r="AU114" s="182"/>
      <c r="AV114" s="295"/>
      <c r="AW114" s="292"/>
      <c r="AX114" s="611"/>
      <c r="AZ114" s="497" t="e">
        <f t="shared" si="95"/>
        <v>#N/A</v>
      </c>
      <c r="BA114" s="678"/>
    </row>
    <row r="115" spans="2:53">
      <c r="B115" s="661"/>
      <c r="C115" s="344">
        <v>9</v>
      </c>
      <c r="D115" s="346"/>
      <c r="E115" s="345"/>
      <c r="F115" s="345"/>
      <c r="G115" s="345"/>
      <c r="H115" s="672"/>
      <c r="I115" s="379" t="str">
        <f t="shared" si="94"/>
        <v>-</v>
      </c>
      <c r="J115" s="379" t="str">
        <f t="shared" si="94"/>
        <v>-</v>
      </c>
      <c r="K115" s="363" t="str">
        <f t="shared" si="94"/>
        <v>-</v>
      </c>
      <c r="L115" s="672"/>
      <c r="M115" s="345" t="e">
        <f>RANK(K115, K$107:$K$121)</f>
        <v>#VALUE!</v>
      </c>
      <c r="N115" s="624"/>
      <c r="O115" s="624"/>
      <c r="P115" s="414"/>
      <c r="Q115" s="415"/>
      <c r="R115" s="415"/>
      <c r="S115" s="497"/>
      <c r="T115" s="678"/>
      <c r="U115" s="344"/>
      <c r="V115" s="345"/>
      <c r="W115" s="345"/>
      <c r="X115" s="344"/>
      <c r="Y115" s="674"/>
      <c r="Z115" s="294"/>
      <c r="AA115" s="182"/>
      <c r="AB115" s="295"/>
      <c r="AC115" s="292"/>
      <c r="AD115" s="611"/>
      <c r="AE115" s="294"/>
      <c r="AF115" s="182"/>
      <c r="AG115" s="295"/>
      <c r="AH115" s="292"/>
      <c r="AI115" s="611"/>
      <c r="AJ115" s="294"/>
      <c r="AK115" s="182"/>
      <c r="AL115" s="295"/>
      <c r="AM115" s="292"/>
      <c r="AN115" s="611"/>
      <c r="AO115" s="294"/>
      <c r="AP115" s="182"/>
      <c r="AQ115" s="295"/>
      <c r="AR115" s="292"/>
      <c r="AS115" s="611"/>
      <c r="AT115" s="294"/>
      <c r="AU115" s="182"/>
      <c r="AV115" s="295"/>
      <c r="AW115" s="292"/>
      <c r="AX115" s="611"/>
      <c r="AZ115" s="497" t="e">
        <f t="shared" si="95"/>
        <v>#N/A</v>
      </c>
      <c r="BA115" s="678"/>
    </row>
    <row r="116" spans="2:53">
      <c r="B116" s="661"/>
      <c r="C116" s="344">
        <v>10</v>
      </c>
      <c r="D116" s="346"/>
      <c r="E116" s="345"/>
      <c r="F116" s="345"/>
      <c r="G116" s="345"/>
      <c r="H116" s="672"/>
      <c r="I116" s="379" t="str">
        <f t="shared" si="94"/>
        <v>-</v>
      </c>
      <c r="J116" s="379" t="str">
        <f t="shared" si="94"/>
        <v>-</v>
      </c>
      <c r="K116" s="363" t="str">
        <f t="shared" si="94"/>
        <v>-</v>
      </c>
      <c r="L116" s="672"/>
      <c r="M116" s="345" t="e">
        <f>RANK(K116, K$107:$K$121)</f>
        <v>#VALUE!</v>
      </c>
      <c r="N116" s="624"/>
      <c r="O116" s="624"/>
      <c r="P116" s="414"/>
      <c r="Q116" s="415"/>
      <c r="R116" s="415"/>
      <c r="S116" s="497"/>
      <c r="T116" s="678"/>
      <c r="U116" s="344"/>
      <c r="V116" s="345"/>
      <c r="W116" s="345"/>
      <c r="X116" s="344"/>
      <c r="Y116" s="674"/>
      <c r="Z116" s="294"/>
      <c r="AA116" s="182"/>
      <c r="AB116" s="295"/>
      <c r="AC116" s="292"/>
      <c r="AD116" s="611"/>
      <c r="AE116" s="294"/>
      <c r="AF116" s="182"/>
      <c r="AG116" s="295"/>
      <c r="AH116" s="292"/>
      <c r="AI116" s="611"/>
      <c r="AJ116" s="294"/>
      <c r="AK116" s="182"/>
      <c r="AL116" s="295"/>
      <c r="AM116" s="292"/>
      <c r="AN116" s="611"/>
      <c r="AO116" s="294"/>
      <c r="AP116" s="182"/>
      <c r="AQ116" s="295"/>
      <c r="AR116" s="292"/>
      <c r="AS116" s="611"/>
      <c r="AT116" s="294"/>
      <c r="AU116" s="182"/>
      <c r="AV116" s="295"/>
      <c r="AW116" s="292"/>
      <c r="AX116" s="611"/>
      <c r="AZ116" s="497" t="e">
        <f t="shared" si="95"/>
        <v>#N/A</v>
      </c>
      <c r="BA116" s="678"/>
    </row>
    <row r="117" spans="2:53">
      <c r="B117" s="661"/>
      <c r="C117" s="344">
        <v>11</v>
      </c>
      <c r="D117" s="346"/>
      <c r="E117" s="345"/>
      <c r="F117" s="345"/>
      <c r="G117" s="345"/>
      <c r="H117" s="672"/>
      <c r="I117" s="379" t="str">
        <f t="shared" si="94"/>
        <v>-</v>
      </c>
      <c r="J117" s="379" t="str">
        <f t="shared" si="94"/>
        <v>-</v>
      </c>
      <c r="K117" s="363" t="str">
        <f t="shared" si="94"/>
        <v>-</v>
      </c>
      <c r="L117" s="672"/>
      <c r="M117" s="345" t="e">
        <f>RANK(K117, K$107:$K$121)</f>
        <v>#VALUE!</v>
      </c>
      <c r="N117" s="624"/>
      <c r="O117" s="624"/>
      <c r="P117" s="414"/>
      <c r="Q117" s="415"/>
      <c r="R117" s="415"/>
      <c r="S117" s="497"/>
      <c r="T117" s="678"/>
      <c r="U117" s="344"/>
      <c r="V117" s="345"/>
      <c r="W117" s="345"/>
      <c r="X117" s="344"/>
      <c r="Y117" s="674"/>
      <c r="Z117" s="294"/>
      <c r="AA117" s="182"/>
      <c r="AB117" s="295"/>
      <c r="AC117" s="292"/>
      <c r="AD117" s="611"/>
      <c r="AE117" s="294"/>
      <c r="AF117" s="182"/>
      <c r="AG117" s="295"/>
      <c r="AH117" s="292"/>
      <c r="AI117" s="611"/>
      <c r="AJ117" s="294"/>
      <c r="AK117" s="182"/>
      <c r="AL117" s="295"/>
      <c r="AM117" s="292"/>
      <c r="AN117" s="611"/>
      <c r="AO117" s="294"/>
      <c r="AP117" s="182"/>
      <c r="AQ117" s="295"/>
      <c r="AR117" s="292"/>
      <c r="AS117" s="611"/>
      <c r="AT117" s="294"/>
      <c r="AU117" s="182"/>
      <c r="AV117" s="295"/>
      <c r="AW117" s="292"/>
      <c r="AX117" s="611"/>
      <c r="AZ117" s="497" t="e">
        <f t="shared" si="95"/>
        <v>#N/A</v>
      </c>
      <c r="BA117" s="678"/>
    </row>
    <row r="118" spans="2:53">
      <c r="B118" s="661"/>
      <c r="C118" s="344">
        <v>12</v>
      </c>
      <c r="D118" s="346"/>
      <c r="E118" s="345"/>
      <c r="F118" s="345"/>
      <c r="G118" s="345"/>
      <c r="H118" s="672"/>
      <c r="I118" s="379" t="str">
        <f t="shared" si="94"/>
        <v>-</v>
      </c>
      <c r="J118" s="379" t="str">
        <f t="shared" si="94"/>
        <v>-</v>
      </c>
      <c r="K118" s="363" t="str">
        <f t="shared" si="94"/>
        <v>-</v>
      </c>
      <c r="L118" s="672"/>
      <c r="M118" s="345" t="e">
        <f>RANK(K118, K$107:$K$121)</f>
        <v>#VALUE!</v>
      </c>
      <c r="N118" s="624"/>
      <c r="O118" s="624"/>
      <c r="P118" s="414"/>
      <c r="Q118" s="415"/>
      <c r="R118" s="415"/>
      <c r="S118" s="497"/>
      <c r="T118" s="678"/>
      <c r="U118" s="344"/>
      <c r="V118" s="345"/>
      <c r="W118" s="345"/>
      <c r="X118" s="344"/>
      <c r="Y118" s="674"/>
      <c r="Z118" s="294"/>
      <c r="AA118" s="182"/>
      <c r="AB118" s="295"/>
      <c r="AC118" s="292"/>
      <c r="AD118" s="611"/>
      <c r="AE118" s="294"/>
      <c r="AF118" s="182"/>
      <c r="AG118" s="295"/>
      <c r="AH118" s="292"/>
      <c r="AI118" s="611"/>
      <c r="AJ118" s="294"/>
      <c r="AK118" s="182"/>
      <c r="AL118" s="295"/>
      <c r="AM118" s="292"/>
      <c r="AN118" s="611"/>
      <c r="AO118" s="294"/>
      <c r="AP118" s="182"/>
      <c r="AQ118" s="295"/>
      <c r="AR118" s="292"/>
      <c r="AS118" s="611"/>
      <c r="AT118" s="294"/>
      <c r="AU118" s="182"/>
      <c r="AV118" s="295"/>
      <c r="AW118" s="292"/>
      <c r="AX118" s="611"/>
      <c r="AZ118" s="497" t="e">
        <f t="shared" si="95"/>
        <v>#N/A</v>
      </c>
      <c r="BA118" s="678"/>
    </row>
    <row r="119" spans="2:53">
      <c r="B119" s="661"/>
      <c r="C119" s="344">
        <v>13</v>
      </c>
      <c r="D119" s="346"/>
      <c r="E119" s="345"/>
      <c r="F119" s="345"/>
      <c r="G119" s="345"/>
      <c r="H119" s="672"/>
      <c r="I119" s="379" t="str">
        <f t="shared" si="94"/>
        <v>-</v>
      </c>
      <c r="J119" s="379" t="str">
        <f t="shared" si="94"/>
        <v>-</v>
      </c>
      <c r="K119" s="363" t="str">
        <f t="shared" si="94"/>
        <v>-</v>
      </c>
      <c r="L119" s="672"/>
      <c r="M119" s="345" t="e">
        <f>RANK(K119, K$107:$K$121)</f>
        <v>#VALUE!</v>
      </c>
      <c r="N119" s="624"/>
      <c r="O119" s="624"/>
      <c r="P119" s="414"/>
      <c r="Q119" s="415"/>
      <c r="R119" s="415"/>
      <c r="S119" s="497"/>
      <c r="T119" s="678"/>
      <c r="U119" s="344"/>
      <c r="V119" s="345"/>
      <c r="W119" s="345"/>
      <c r="X119" s="344"/>
      <c r="Y119" s="674"/>
      <c r="Z119" s="294"/>
      <c r="AA119" s="182"/>
      <c r="AB119" s="295"/>
      <c r="AC119" s="292"/>
      <c r="AD119" s="611"/>
      <c r="AE119" s="294"/>
      <c r="AF119" s="182"/>
      <c r="AG119" s="295"/>
      <c r="AH119" s="292"/>
      <c r="AI119" s="611"/>
      <c r="AJ119" s="294"/>
      <c r="AK119" s="182"/>
      <c r="AL119" s="295"/>
      <c r="AM119" s="292"/>
      <c r="AN119" s="611"/>
      <c r="AO119" s="294"/>
      <c r="AP119" s="182"/>
      <c r="AQ119" s="295"/>
      <c r="AR119" s="292"/>
      <c r="AS119" s="611"/>
      <c r="AT119" s="294"/>
      <c r="AU119" s="182"/>
      <c r="AV119" s="295"/>
      <c r="AW119" s="292"/>
      <c r="AX119" s="611"/>
      <c r="AZ119" s="497" t="e">
        <f t="shared" si="95"/>
        <v>#N/A</v>
      </c>
      <c r="BA119" s="678"/>
    </row>
    <row r="120" spans="2:53">
      <c r="B120" s="661"/>
      <c r="C120" s="344">
        <v>14</v>
      </c>
      <c r="D120" s="346"/>
      <c r="E120" s="345"/>
      <c r="F120" s="345"/>
      <c r="G120" s="345"/>
      <c r="H120" s="672"/>
      <c r="I120" s="379" t="str">
        <f t="shared" si="94"/>
        <v>-</v>
      </c>
      <c r="J120" s="379" t="str">
        <f t="shared" si="94"/>
        <v>-</v>
      </c>
      <c r="K120" s="363" t="str">
        <f t="shared" si="94"/>
        <v>-</v>
      </c>
      <c r="L120" s="672"/>
      <c r="M120" s="345" t="e">
        <f>RANK(K120, K$107:$K$121)</f>
        <v>#VALUE!</v>
      </c>
      <c r="N120" s="624"/>
      <c r="O120" s="624"/>
      <c r="P120" s="414"/>
      <c r="Q120" s="415"/>
      <c r="R120" s="415"/>
      <c r="S120" s="497"/>
      <c r="T120" s="678"/>
      <c r="U120" s="344"/>
      <c r="V120" s="345"/>
      <c r="W120" s="345"/>
      <c r="X120" s="344"/>
      <c r="Y120" s="674"/>
      <c r="Z120" s="294"/>
      <c r="AA120" s="182"/>
      <c r="AB120" s="295"/>
      <c r="AC120" s="292"/>
      <c r="AD120" s="611"/>
      <c r="AE120" s="294"/>
      <c r="AF120" s="182"/>
      <c r="AG120" s="295"/>
      <c r="AH120" s="292"/>
      <c r="AI120" s="611"/>
      <c r="AJ120" s="294"/>
      <c r="AK120" s="182"/>
      <c r="AL120" s="295"/>
      <c r="AM120" s="292"/>
      <c r="AN120" s="611"/>
      <c r="AO120" s="294"/>
      <c r="AP120" s="182"/>
      <c r="AQ120" s="295"/>
      <c r="AR120" s="292"/>
      <c r="AS120" s="611"/>
      <c r="AT120" s="294"/>
      <c r="AU120" s="182"/>
      <c r="AV120" s="295"/>
      <c r="AW120" s="292"/>
      <c r="AX120" s="611"/>
      <c r="AZ120" s="497" t="e">
        <f t="shared" si="95"/>
        <v>#N/A</v>
      </c>
      <c r="BA120" s="678"/>
    </row>
    <row r="121" spans="2:53">
      <c r="B121" s="661"/>
      <c r="C121" s="344">
        <v>15</v>
      </c>
      <c r="D121" s="346"/>
      <c r="E121" s="345"/>
      <c r="F121" s="345"/>
      <c r="G121" s="345"/>
      <c r="H121" s="676"/>
      <c r="I121" s="379" t="str">
        <f t="shared" si="94"/>
        <v>-</v>
      </c>
      <c r="J121" s="379" t="str">
        <f t="shared" si="94"/>
        <v>-</v>
      </c>
      <c r="K121" s="363" t="str">
        <f t="shared" si="94"/>
        <v>-</v>
      </c>
      <c r="L121" s="676"/>
      <c r="M121" s="345" t="e">
        <f>RANK(K121, K$107:$K$121)</f>
        <v>#VALUE!</v>
      </c>
      <c r="N121" s="624"/>
      <c r="O121" s="624"/>
      <c r="P121" s="414"/>
      <c r="Q121" s="415"/>
      <c r="R121" s="415"/>
      <c r="S121" s="497"/>
      <c r="T121" s="679"/>
      <c r="U121" s="344"/>
      <c r="V121" s="345"/>
      <c r="W121" s="345"/>
      <c r="X121" s="344"/>
      <c r="Y121" s="674"/>
      <c r="Z121" s="294"/>
      <c r="AA121" s="182"/>
      <c r="AB121" s="295"/>
      <c r="AC121" s="292"/>
      <c r="AD121" s="612"/>
      <c r="AE121" s="294"/>
      <c r="AF121" s="182"/>
      <c r="AG121" s="295"/>
      <c r="AH121" s="292"/>
      <c r="AI121" s="612"/>
      <c r="AJ121" s="294"/>
      <c r="AK121" s="182"/>
      <c r="AL121" s="295"/>
      <c r="AM121" s="292"/>
      <c r="AN121" s="612"/>
      <c r="AO121" s="294"/>
      <c r="AP121" s="182"/>
      <c r="AQ121" s="295"/>
      <c r="AR121" s="292"/>
      <c r="AS121" s="612"/>
      <c r="AT121" s="294"/>
      <c r="AU121" s="182"/>
      <c r="AV121" s="295"/>
      <c r="AW121" s="292"/>
      <c r="AX121" s="612"/>
      <c r="AZ121" s="497" t="e">
        <f t="shared" si="95"/>
        <v>#N/A</v>
      </c>
      <c r="BA121" s="679"/>
    </row>
    <row r="123" spans="2:53" ht="15.75">
      <c r="B123" s="666" t="s">
        <v>396</v>
      </c>
      <c r="C123" s="667"/>
      <c r="D123" s="667"/>
      <c r="E123" s="667"/>
      <c r="F123" s="667"/>
      <c r="G123" s="667"/>
      <c r="H123" s="668"/>
      <c r="I123" s="286"/>
      <c r="J123" s="286"/>
      <c r="K123" s="286"/>
      <c r="L123" s="286"/>
      <c r="M123" s="287"/>
    </row>
    <row r="124" spans="2:53" ht="15.75">
      <c r="B124" s="669"/>
      <c r="C124" s="669"/>
      <c r="D124" s="669"/>
      <c r="E124" s="669"/>
      <c r="F124" s="669"/>
      <c r="G124" s="669"/>
      <c r="H124" s="669"/>
      <c r="I124" s="288"/>
      <c r="J124" s="288"/>
      <c r="K124" s="288"/>
      <c r="L124" s="288"/>
      <c r="M124" s="289"/>
    </row>
    <row r="125" spans="2:53">
      <c r="B125" s="624" t="s">
        <v>397</v>
      </c>
      <c r="C125" s="624" t="s">
        <v>398</v>
      </c>
      <c r="D125" s="624"/>
      <c r="E125" s="624" t="s">
        <v>399</v>
      </c>
      <c r="F125" s="624"/>
      <c r="G125" s="624"/>
      <c r="H125" s="647" t="s">
        <v>400</v>
      </c>
      <c r="I125" s="670" t="s">
        <v>401</v>
      </c>
      <c r="J125" s="670"/>
      <c r="K125" s="670"/>
      <c r="L125" s="683" t="s">
        <v>400</v>
      </c>
      <c r="M125" s="686" t="s">
        <v>402</v>
      </c>
    </row>
    <row r="126" spans="2:53">
      <c r="B126" s="624"/>
      <c r="C126" s="624"/>
      <c r="D126" s="624"/>
      <c r="E126" s="624" t="s">
        <v>403</v>
      </c>
      <c r="F126" s="624"/>
      <c r="G126" s="624"/>
      <c r="H126" s="648"/>
      <c r="I126" s="670" t="s">
        <v>403</v>
      </c>
      <c r="J126" s="670"/>
      <c r="K126" s="670"/>
      <c r="L126" s="684"/>
      <c r="M126" s="687"/>
    </row>
    <row r="127" spans="2:53">
      <c r="B127" s="624"/>
      <c r="C127" s="624"/>
      <c r="D127" s="624"/>
      <c r="E127" s="284" t="s">
        <v>404</v>
      </c>
      <c r="F127" s="284" t="s">
        <v>405</v>
      </c>
      <c r="G127" s="284" t="s">
        <v>406</v>
      </c>
      <c r="H127" s="649"/>
      <c r="I127" s="290" t="s">
        <v>404</v>
      </c>
      <c r="J127" s="290" t="s">
        <v>405</v>
      </c>
      <c r="K127" s="290" t="s">
        <v>406</v>
      </c>
      <c r="L127" s="685"/>
      <c r="M127" s="688"/>
    </row>
    <row r="128" spans="2:53">
      <c r="B128" s="624" t="s">
        <v>407</v>
      </c>
      <c r="C128" s="283">
        <v>1</v>
      </c>
      <c r="D128" s="223" t="s">
        <v>351</v>
      </c>
      <c r="E128" s="182">
        <v>7</v>
      </c>
      <c r="F128" s="283">
        <v>1500</v>
      </c>
      <c r="G128" s="285">
        <v>214.28571428571428</v>
      </c>
      <c r="H128" s="677">
        <f>AVERAGE(G128:G142)</f>
        <v>214.28571428571428</v>
      </c>
      <c r="I128" s="199">
        <f t="shared" ref="I128:J135" si="96">AVERAGEIF($D$7:$D$121,$D128,I$7:I$121)</f>
        <v>7</v>
      </c>
      <c r="J128" s="199">
        <f t="shared" si="96"/>
        <v>1447.557108875721</v>
      </c>
      <c r="K128" s="199">
        <f t="shared" ref="K128:K135" si="97">AVERAGEIF($D$7:$D$121,$D128,K$7:K$121)</f>
        <v>206.79387269653157</v>
      </c>
      <c r="L128" s="680" t="e">
        <f>AVERAGE(K128:K142)</f>
        <v>#DIV/0!</v>
      </c>
      <c r="M128" s="199" t="e">
        <f>RANK(K128, K$128:$K$142)</f>
        <v>#DIV/0!</v>
      </c>
    </row>
    <row r="129" spans="2:13">
      <c r="B129" s="635"/>
      <c r="C129" s="283">
        <v>2</v>
      </c>
      <c r="D129" s="223"/>
      <c r="E129" s="182"/>
      <c r="F129" s="283"/>
      <c r="G129" s="285"/>
      <c r="H129" s="678"/>
      <c r="I129" s="199" t="e">
        <f t="shared" si="96"/>
        <v>#DIV/0!</v>
      </c>
      <c r="J129" s="199" t="e">
        <f t="shared" si="96"/>
        <v>#DIV/0!</v>
      </c>
      <c r="K129" s="199" t="e">
        <f t="shared" si="97"/>
        <v>#DIV/0!</v>
      </c>
      <c r="L129" s="681"/>
      <c r="M129" s="199" t="e">
        <f>RANK(K129, K$128:$K$142)</f>
        <v>#DIV/0!</v>
      </c>
    </row>
    <row r="130" spans="2:13">
      <c r="B130" s="635"/>
      <c r="C130" s="283">
        <v>3</v>
      </c>
      <c r="D130" s="223"/>
      <c r="E130" s="182"/>
      <c r="F130" s="283"/>
      <c r="G130" s="285"/>
      <c r="H130" s="678"/>
      <c r="I130" s="199" t="e">
        <f t="shared" si="96"/>
        <v>#DIV/0!</v>
      </c>
      <c r="J130" s="199" t="e">
        <f t="shared" si="96"/>
        <v>#DIV/0!</v>
      </c>
      <c r="K130" s="199" t="e">
        <f t="shared" si="97"/>
        <v>#DIV/0!</v>
      </c>
      <c r="L130" s="681"/>
      <c r="M130" s="199" t="e">
        <f>RANK(K130, K$128:$K$142)</f>
        <v>#DIV/0!</v>
      </c>
    </row>
    <row r="131" spans="2:13">
      <c r="B131" s="635"/>
      <c r="C131" s="283">
        <v>4</v>
      </c>
      <c r="D131" s="223"/>
      <c r="E131" s="182"/>
      <c r="F131" s="283"/>
      <c r="G131" s="285"/>
      <c r="H131" s="678"/>
      <c r="I131" s="199" t="e">
        <f t="shared" si="96"/>
        <v>#DIV/0!</v>
      </c>
      <c r="J131" s="199" t="e">
        <f t="shared" si="96"/>
        <v>#DIV/0!</v>
      </c>
      <c r="K131" s="199" t="e">
        <f t="shared" si="97"/>
        <v>#DIV/0!</v>
      </c>
      <c r="L131" s="681"/>
      <c r="M131" s="199" t="e">
        <f>RANK(K131, K$128:$K$142)</f>
        <v>#DIV/0!</v>
      </c>
    </row>
    <row r="132" spans="2:13">
      <c r="B132" s="635"/>
      <c r="C132" s="283">
        <v>5</v>
      </c>
      <c r="D132" s="223"/>
      <c r="E132" s="182"/>
      <c r="F132" s="283"/>
      <c r="G132" s="285"/>
      <c r="H132" s="678"/>
      <c r="I132" s="199" t="e">
        <f t="shared" si="96"/>
        <v>#DIV/0!</v>
      </c>
      <c r="J132" s="199" t="e">
        <f t="shared" si="96"/>
        <v>#DIV/0!</v>
      </c>
      <c r="K132" s="199" t="e">
        <f t="shared" si="97"/>
        <v>#DIV/0!</v>
      </c>
      <c r="L132" s="681"/>
      <c r="M132" s="199" t="e">
        <f>RANK(K132, K$128:$K$142)</f>
        <v>#DIV/0!</v>
      </c>
    </row>
    <row r="133" spans="2:13">
      <c r="B133" s="635"/>
      <c r="C133" s="283">
        <v>6</v>
      </c>
      <c r="D133" s="291"/>
      <c r="E133" s="182"/>
      <c r="F133" s="283"/>
      <c r="G133" s="285"/>
      <c r="H133" s="678"/>
      <c r="I133" s="199" t="e">
        <f t="shared" si="96"/>
        <v>#DIV/0!</v>
      </c>
      <c r="J133" s="199" t="e">
        <f t="shared" si="96"/>
        <v>#DIV/0!</v>
      </c>
      <c r="K133" s="199" t="e">
        <f t="shared" si="97"/>
        <v>#DIV/0!</v>
      </c>
      <c r="L133" s="681"/>
      <c r="M133" s="199" t="e">
        <f>RANK(K133, K$128:$K$142)</f>
        <v>#DIV/0!</v>
      </c>
    </row>
    <row r="134" spans="2:13">
      <c r="B134" s="635"/>
      <c r="C134" s="283">
        <v>7</v>
      </c>
      <c r="D134" s="223"/>
      <c r="E134" s="182"/>
      <c r="F134" s="283"/>
      <c r="G134" s="285"/>
      <c r="H134" s="678"/>
      <c r="I134" s="330" t="e">
        <f t="shared" si="96"/>
        <v>#DIV/0!</v>
      </c>
      <c r="J134" s="330" t="e">
        <f t="shared" si="96"/>
        <v>#DIV/0!</v>
      </c>
      <c r="K134" s="330" t="e">
        <f t="shared" si="97"/>
        <v>#DIV/0!</v>
      </c>
      <c r="L134" s="681"/>
      <c r="M134" s="199" t="e">
        <f>RANK(K134, K$128:$K$142)</f>
        <v>#DIV/0!</v>
      </c>
    </row>
    <row r="135" spans="2:13">
      <c r="B135" s="635"/>
      <c r="C135" s="283">
        <v>8</v>
      </c>
      <c r="D135" s="223"/>
      <c r="E135" s="182"/>
      <c r="F135" s="283"/>
      <c r="G135" s="285"/>
      <c r="H135" s="678"/>
      <c r="I135" s="330" t="e">
        <f t="shared" si="96"/>
        <v>#DIV/0!</v>
      </c>
      <c r="J135" s="330" t="e">
        <f t="shared" si="96"/>
        <v>#DIV/0!</v>
      </c>
      <c r="K135" s="330" t="e">
        <f t="shared" si="97"/>
        <v>#DIV/0!</v>
      </c>
      <c r="L135" s="681"/>
      <c r="M135" s="199" t="e">
        <f>RANK(K135, K$128:$K$142)</f>
        <v>#DIV/0!</v>
      </c>
    </row>
    <row r="136" spans="2:13">
      <c r="B136" s="635"/>
      <c r="C136" s="283">
        <v>9</v>
      </c>
      <c r="D136" s="223"/>
      <c r="E136" s="283"/>
      <c r="F136" s="283"/>
      <c r="G136" s="283"/>
      <c r="H136" s="678"/>
      <c r="I136" s="199"/>
      <c r="J136" s="199"/>
      <c r="K136" s="199"/>
      <c r="L136" s="681"/>
      <c r="M136" s="199" t="e">
        <f>RANK(K136, K$128:$K$142)</f>
        <v>#DIV/0!</v>
      </c>
    </row>
    <row r="137" spans="2:13">
      <c r="B137" s="635"/>
      <c r="C137" s="283">
        <v>10</v>
      </c>
      <c r="D137" s="223"/>
      <c r="E137" s="283"/>
      <c r="F137" s="283"/>
      <c r="G137" s="283"/>
      <c r="H137" s="678"/>
      <c r="I137" s="199"/>
      <c r="J137" s="199"/>
      <c r="K137" s="199"/>
      <c r="L137" s="681"/>
      <c r="M137" s="199" t="e">
        <f>RANK(K137, K$128:$K$142)</f>
        <v>#DIV/0!</v>
      </c>
    </row>
    <row r="138" spans="2:13">
      <c r="B138" s="635"/>
      <c r="C138" s="283">
        <v>11</v>
      </c>
      <c r="D138" s="223"/>
      <c r="E138" s="283"/>
      <c r="F138" s="283"/>
      <c r="G138" s="283"/>
      <c r="H138" s="678"/>
      <c r="I138" s="199"/>
      <c r="J138" s="199"/>
      <c r="K138" s="199"/>
      <c r="L138" s="681"/>
      <c r="M138" s="199" t="e">
        <f>RANK(K138, K$128:$K$142)</f>
        <v>#DIV/0!</v>
      </c>
    </row>
    <row r="139" spans="2:13">
      <c r="B139" s="635"/>
      <c r="C139" s="283">
        <v>12</v>
      </c>
      <c r="D139" s="223"/>
      <c r="E139" s="283"/>
      <c r="F139" s="283"/>
      <c r="G139" s="283"/>
      <c r="H139" s="678"/>
      <c r="I139" s="199"/>
      <c r="J139" s="199"/>
      <c r="K139" s="199"/>
      <c r="L139" s="681"/>
      <c r="M139" s="199" t="e">
        <f>RANK(K139, K$128:$K$142)</f>
        <v>#DIV/0!</v>
      </c>
    </row>
    <row r="140" spans="2:13">
      <c r="B140" s="635"/>
      <c r="C140" s="283">
        <v>13</v>
      </c>
      <c r="D140" s="223"/>
      <c r="E140" s="283"/>
      <c r="F140" s="283"/>
      <c r="G140" s="283"/>
      <c r="H140" s="678"/>
      <c r="I140" s="199"/>
      <c r="J140" s="199"/>
      <c r="K140" s="199"/>
      <c r="L140" s="681"/>
      <c r="M140" s="199" t="e">
        <f>RANK(K140, K$128:$K$142)</f>
        <v>#DIV/0!</v>
      </c>
    </row>
    <row r="141" spans="2:13">
      <c r="B141" s="635"/>
      <c r="C141" s="283">
        <v>14</v>
      </c>
      <c r="D141" s="223"/>
      <c r="E141" s="283"/>
      <c r="F141" s="283"/>
      <c r="G141" s="283"/>
      <c r="H141" s="678"/>
      <c r="I141" s="199"/>
      <c r="J141" s="199"/>
      <c r="K141" s="199"/>
      <c r="L141" s="681"/>
      <c r="M141" s="199" t="e">
        <f>RANK(K141, K$128:$K$142)</f>
        <v>#DIV/0!</v>
      </c>
    </row>
    <row r="142" spans="2:13">
      <c r="B142" s="635"/>
      <c r="C142" s="283">
        <v>15</v>
      </c>
      <c r="D142" s="223"/>
      <c r="E142" s="283"/>
      <c r="F142" s="283"/>
      <c r="G142" s="283"/>
      <c r="H142" s="679"/>
      <c r="I142" s="199"/>
      <c r="J142" s="199"/>
      <c r="K142" s="199"/>
      <c r="L142" s="682"/>
      <c r="M142" s="199" t="e">
        <f>RANK(K142, K$128:$K$142)</f>
        <v>#DIV/0!</v>
      </c>
    </row>
  </sheetData>
  <mergeCells count="373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T65:AW65"/>
    <mergeCell ref="AO64:AR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Y64:Y66"/>
    <mergeCell ref="Z64:AC64"/>
    <mergeCell ref="AX64:AX66"/>
    <mergeCell ref="E65:G65"/>
    <mergeCell ref="B84:B86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P84:S84"/>
    <mergeCell ref="T84:T86"/>
    <mergeCell ref="U84:X84"/>
    <mergeCell ref="U64:X64"/>
    <mergeCell ref="I65:K65"/>
    <mergeCell ref="P65:S65"/>
    <mergeCell ref="U65:X65"/>
    <mergeCell ref="Z65:AC65"/>
    <mergeCell ref="Y87:Y101"/>
    <mergeCell ref="AD87:AD101"/>
    <mergeCell ref="AI87:AI101"/>
    <mergeCell ref="AE84:AH84"/>
    <mergeCell ref="AI84:AI86"/>
    <mergeCell ref="Z84:AC84"/>
    <mergeCell ref="AD64:AD66"/>
    <mergeCell ref="AE64:AH64"/>
    <mergeCell ref="AI64:AI66"/>
    <mergeCell ref="Y84:Y86"/>
    <mergeCell ref="C64:D66"/>
    <mergeCell ref="AS67:AS81"/>
    <mergeCell ref="H64:H66"/>
    <mergeCell ref="I64:K64"/>
    <mergeCell ref="L64:L66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E64:G64"/>
    <mergeCell ref="AO65:AR65"/>
    <mergeCell ref="AJ64:AM64"/>
    <mergeCell ref="AE65:AH65"/>
    <mergeCell ref="AJ65:AM65"/>
    <mergeCell ref="M64:M66"/>
    <mergeCell ref="N64:N81"/>
    <mergeCell ref="O64:O81"/>
    <mergeCell ref="P64:S64"/>
    <mergeCell ref="T64:T66"/>
    <mergeCell ref="BA27:BA41"/>
    <mergeCell ref="BA47:BA61"/>
    <mergeCell ref="BA67:BA8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S64:AS66"/>
    <mergeCell ref="AT64:AW64"/>
    <mergeCell ref="B64:B66"/>
    <mergeCell ref="BA7:BA21"/>
    <mergeCell ref="BA87:BA101"/>
    <mergeCell ref="BA107:BA12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5:AH85"/>
    <mergeCell ref="Z85:AC85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  <outlinePr summaryBelow="0" summaryRight="0"/>
  </sheetPr>
  <dimension ref="A1:M35"/>
  <sheetViews>
    <sheetView zoomScale="70" zoomScaleNormal="70" zoomScaleSheetLayoutView="100" workbookViewId="0">
      <selection activeCell="A8" sqref="A8:L28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582" t="s">
        <v>183</v>
      </c>
      <c r="B1" s="582"/>
      <c r="C1" s="582"/>
      <c r="D1" s="582"/>
      <c r="E1" s="582"/>
      <c r="F1" s="582"/>
      <c r="G1" s="582"/>
      <c r="H1" s="582"/>
      <c r="I1" s="582"/>
      <c r="J1" s="582"/>
      <c r="K1" s="582"/>
      <c r="L1" s="582"/>
      <c r="M1" s="120"/>
    </row>
    <row r="2" spans="1:13" s="121" customFormat="1" ht="15.75" customHeight="1">
      <c r="A2" s="582"/>
      <c r="B2" s="582"/>
      <c r="C2" s="582"/>
      <c r="D2" s="582"/>
      <c r="E2" s="582"/>
      <c r="F2" s="582"/>
      <c r="G2" s="582"/>
      <c r="H2" s="582"/>
      <c r="I2" s="582"/>
      <c r="J2" s="582"/>
      <c r="K2" s="582"/>
      <c r="L2" s="582"/>
    </row>
    <row r="3" spans="1:13" ht="15.75" customHeight="1">
      <c r="A3" s="707" t="s">
        <v>184</v>
      </c>
      <c r="B3" s="708"/>
      <c r="C3" s="708"/>
      <c r="D3" s="708"/>
      <c r="E3" s="708"/>
      <c r="F3" s="708"/>
      <c r="G3" s="708"/>
      <c r="H3" s="708"/>
      <c r="I3" s="708"/>
      <c r="J3" s="708"/>
      <c r="K3" s="708"/>
      <c r="L3" s="708"/>
      <c r="M3" s="152"/>
    </row>
    <row r="4" spans="1:13" s="121" customFormat="1" ht="15.75" customHeight="1">
      <c r="A4" s="708"/>
      <c r="B4" s="708"/>
      <c r="C4" s="708"/>
      <c r="D4" s="708"/>
      <c r="E4" s="708"/>
      <c r="F4" s="708"/>
      <c r="G4" s="708"/>
      <c r="H4" s="708"/>
      <c r="I4" s="708"/>
      <c r="J4" s="708"/>
      <c r="K4" s="708"/>
      <c r="L4" s="708"/>
      <c r="M4" s="131"/>
    </row>
    <row r="5" spans="1:13" s="154" customFormat="1" ht="16.350000000000001" customHeight="1">
      <c r="A5" s="696" t="s">
        <v>154</v>
      </c>
      <c r="B5" s="166">
        <v>1</v>
      </c>
      <c r="C5" s="166">
        <v>2</v>
      </c>
      <c r="D5" s="156">
        <v>3</v>
      </c>
      <c r="E5" s="156">
        <v>4</v>
      </c>
      <c r="F5" s="156">
        <v>5</v>
      </c>
      <c r="G5" s="156">
        <v>6</v>
      </c>
      <c r="H5" s="156">
        <v>7</v>
      </c>
      <c r="I5" s="156">
        <v>8</v>
      </c>
      <c r="J5" s="156">
        <v>9</v>
      </c>
      <c r="K5" s="153"/>
      <c r="L5" s="153"/>
      <c r="M5" s="153"/>
    </row>
    <row r="6" spans="1:13" ht="16.350000000000001" customHeight="1">
      <c r="A6" s="696"/>
      <c r="B6" s="167" t="s">
        <v>185</v>
      </c>
      <c r="C6" s="167" t="s">
        <v>151</v>
      </c>
      <c r="D6" s="157" t="s">
        <v>186</v>
      </c>
      <c r="E6" s="157" t="s">
        <v>153</v>
      </c>
      <c r="F6" s="158" t="s">
        <v>133</v>
      </c>
      <c r="G6" s="159" t="s">
        <v>131</v>
      </c>
      <c r="H6" s="160" t="s">
        <v>187</v>
      </c>
      <c r="I6" s="159" t="s">
        <v>188</v>
      </c>
      <c r="J6" s="159" t="s">
        <v>137</v>
      </c>
      <c r="K6" s="155"/>
      <c r="L6" s="155"/>
      <c r="M6" s="131"/>
    </row>
    <row r="7" spans="1:13" s="154" customFormat="1" ht="15.75" customHeight="1">
      <c r="A7" s="705" t="s">
        <v>533</v>
      </c>
      <c r="B7" s="705"/>
      <c r="C7" s="368" t="s">
        <v>534</v>
      </c>
      <c r="D7" s="705" t="s">
        <v>12</v>
      </c>
      <c r="E7" s="706"/>
      <c r="F7" s="706"/>
      <c r="G7" s="368" t="s">
        <v>535</v>
      </c>
      <c r="H7" s="368" t="s">
        <v>536</v>
      </c>
      <c r="I7" s="368" t="s">
        <v>537</v>
      </c>
      <c r="J7" s="369" t="s">
        <v>538</v>
      </c>
      <c r="K7" s="705" t="s">
        <v>539</v>
      </c>
      <c r="L7" s="706"/>
      <c r="M7" s="153"/>
    </row>
    <row r="8" spans="1:13" ht="15.75" customHeight="1">
      <c r="A8" s="696">
        <v>1</v>
      </c>
      <c r="B8" s="699" t="s">
        <v>150</v>
      </c>
      <c r="C8" s="545">
        <v>1</v>
      </c>
      <c r="D8" s="385" t="s">
        <v>323</v>
      </c>
      <c r="E8" s="381"/>
      <c r="F8" s="382"/>
      <c r="G8" s="383">
        <v>3</v>
      </c>
      <c r="H8" s="383">
        <v>3199.1893882869649</v>
      </c>
      <c r="I8" s="383">
        <v>1066.3964627623218</v>
      </c>
      <c r="J8" s="386" t="s">
        <v>856</v>
      </c>
      <c r="K8" s="712" t="s">
        <v>857</v>
      </c>
      <c r="L8" s="713"/>
      <c r="M8" s="131"/>
    </row>
    <row r="9" spans="1:13" ht="15.75" customHeight="1">
      <c r="A9" s="696"/>
      <c r="B9" s="699"/>
      <c r="C9" s="545">
        <v>2</v>
      </c>
      <c r="D9" s="380" t="s">
        <v>326</v>
      </c>
      <c r="E9" s="381"/>
      <c r="F9" s="382"/>
      <c r="G9" s="383">
        <v>3</v>
      </c>
      <c r="H9" s="383">
        <v>3195.8896669070355</v>
      </c>
      <c r="I9" s="383">
        <v>1065.2965556356787</v>
      </c>
      <c r="J9" s="386" t="s">
        <v>856</v>
      </c>
      <c r="K9" s="714"/>
      <c r="L9" s="715"/>
      <c r="M9" s="131"/>
    </row>
    <row r="10" spans="1:13" ht="15.75" customHeight="1">
      <c r="A10" s="696"/>
      <c r="B10" s="699"/>
      <c r="C10" s="545">
        <v>3</v>
      </c>
      <c r="D10" s="385" t="s">
        <v>329</v>
      </c>
      <c r="E10" s="381"/>
      <c r="F10" s="382"/>
      <c r="G10" s="383">
        <v>3</v>
      </c>
      <c r="H10" s="383">
        <v>3174.6585539439934</v>
      </c>
      <c r="I10" s="383">
        <v>1058.2195179813311</v>
      </c>
      <c r="J10" s="386" t="s">
        <v>856</v>
      </c>
      <c r="K10" s="714"/>
      <c r="L10" s="715"/>
      <c r="M10" s="131"/>
    </row>
    <row r="11" spans="1:13" ht="15.75" customHeight="1">
      <c r="A11" s="696"/>
      <c r="B11" s="699"/>
      <c r="C11" s="545">
        <v>4</v>
      </c>
      <c r="D11" s="525" t="s">
        <v>324</v>
      </c>
      <c r="E11" s="381"/>
      <c r="F11" s="382"/>
      <c r="G11" s="383">
        <v>3</v>
      </c>
      <c r="H11" s="383">
        <v>3160.7914254433135</v>
      </c>
      <c r="I11" s="383">
        <v>1053.5971418144377</v>
      </c>
      <c r="J11" s="386" t="s">
        <v>856</v>
      </c>
      <c r="K11" s="714"/>
      <c r="L11" s="715"/>
      <c r="M11" s="131"/>
    </row>
    <row r="12" spans="1:13" ht="15.75" customHeight="1">
      <c r="A12" s="696"/>
      <c r="B12" s="699"/>
      <c r="C12" s="545">
        <v>5</v>
      </c>
      <c r="D12" s="385" t="s">
        <v>330</v>
      </c>
      <c r="E12" s="381"/>
      <c r="F12" s="382"/>
      <c r="G12" s="383">
        <v>3</v>
      </c>
      <c r="H12" s="383">
        <v>3157.144803979028</v>
      </c>
      <c r="I12" s="383">
        <v>1052.3816013263427</v>
      </c>
      <c r="J12" s="387" t="s">
        <v>858</v>
      </c>
      <c r="K12" s="716"/>
      <c r="L12" s="717"/>
      <c r="M12" s="131"/>
    </row>
    <row r="13" spans="1:13" ht="15.75" customHeight="1">
      <c r="A13" s="696"/>
      <c r="B13" s="699"/>
      <c r="C13" s="165" t="s">
        <v>379</v>
      </c>
      <c r="D13" s="380" t="s">
        <v>559</v>
      </c>
      <c r="E13" s="381"/>
      <c r="F13" s="382"/>
      <c r="G13" s="383">
        <v>10.84920634920635</v>
      </c>
      <c r="H13" s="383">
        <v>1008.5309580970252</v>
      </c>
      <c r="I13" s="383">
        <v>93.73132710221951</v>
      </c>
      <c r="J13" s="526" t="s">
        <v>859</v>
      </c>
      <c r="K13" s="709"/>
      <c r="L13" s="710"/>
      <c r="M13" s="131"/>
    </row>
    <row r="14" spans="1:13" ht="15.75" customHeight="1">
      <c r="A14" s="696"/>
      <c r="B14" s="699"/>
      <c r="C14" s="165" t="s">
        <v>380</v>
      </c>
      <c r="D14" s="380" t="s">
        <v>662</v>
      </c>
      <c r="E14" s="381"/>
      <c r="F14" s="382"/>
      <c r="G14" s="383">
        <v>12</v>
      </c>
      <c r="H14" s="383">
        <v>1405.5540527933204</v>
      </c>
      <c r="I14" s="383">
        <v>117.12950439944339</v>
      </c>
      <c r="J14" s="384" t="s">
        <v>859</v>
      </c>
      <c r="K14" s="711"/>
      <c r="L14" s="711"/>
      <c r="M14" s="131"/>
    </row>
    <row r="15" spans="1:13" ht="15.75" customHeight="1">
      <c r="A15" s="696"/>
      <c r="B15" s="699"/>
      <c r="C15" s="165" t="s">
        <v>381</v>
      </c>
      <c r="D15" s="527" t="s">
        <v>772</v>
      </c>
      <c r="E15" s="381"/>
      <c r="F15" s="382"/>
      <c r="G15" s="383">
        <v>5</v>
      </c>
      <c r="H15" s="383">
        <v>1907.9982213051721</v>
      </c>
      <c r="I15" s="383">
        <v>381.59964426103431</v>
      </c>
      <c r="J15" s="386" t="s">
        <v>856</v>
      </c>
      <c r="K15" s="718" t="s">
        <v>860</v>
      </c>
      <c r="L15" s="719"/>
      <c r="M15" s="131"/>
    </row>
    <row r="16" spans="1:13" ht="15.75" customHeight="1">
      <c r="A16" s="696"/>
      <c r="B16" s="699"/>
      <c r="C16" s="165" t="s">
        <v>382</v>
      </c>
      <c r="D16" s="380" t="s">
        <v>771</v>
      </c>
      <c r="E16" s="381"/>
      <c r="F16" s="382"/>
      <c r="G16" s="383">
        <v>5</v>
      </c>
      <c r="H16" s="383">
        <v>1946.5767183765936</v>
      </c>
      <c r="I16" s="383">
        <v>389.31534367531873</v>
      </c>
      <c r="J16" s="387" t="s">
        <v>858</v>
      </c>
      <c r="K16" s="720"/>
      <c r="L16" s="721"/>
      <c r="M16" s="152"/>
    </row>
    <row r="17" spans="1:13" ht="15.75" customHeight="1">
      <c r="A17" s="696"/>
      <c r="B17" s="699"/>
      <c r="C17" s="165" t="s">
        <v>383</v>
      </c>
      <c r="D17" s="525" t="s">
        <v>770</v>
      </c>
      <c r="E17" s="381"/>
      <c r="F17" s="382"/>
      <c r="G17" s="383">
        <v>4</v>
      </c>
      <c r="H17" s="383">
        <v>2259.289183673473</v>
      </c>
      <c r="I17" s="383">
        <v>564.82229591836824</v>
      </c>
      <c r="J17" s="384" t="s">
        <v>859</v>
      </c>
      <c r="K17" s="709"/>
      <c r="L17" s="710"/>
      <c r="M17" s="152"/>
    </row>
    <row r="18" spans="1:13" s="162" customFormat="1" ht="15.75" customHeight="1">
      <c r="A18" s="694" t="s">
        <v>166</v>
      </c>
      <c r="B18" s="694"/>
      <c r="C18" s="544" t="s">
        <v>47</v>
      </c>
      <c r="D18" s="694" t="s">
        <v>12</v>
      </c>
      <c r="E18" s="695"/>
      <c r="F18" s="695"/>
      <c r="G18" s="544" t="s">
        <v>46</v>
      </c>
      <c r="H18" s="544" t="s">
        <v>375</v>
      </c>
      <c r="I18" s="544" t="s">
        <v>376</v>
      </c>
      <c r="J18" s="219" t="s">
        <v>377</v>
      </c>
      <c r="K18" s="694" t="s">
        <v>51</v>
      </c>
      <c r="L18" s="695"/>
      <c r="M18" s="155"/>
    </row>
    <row r="19" spans="1:13" ht="15.75" customHeight="1">
      <c r="A19" s="696">
        <v>2</v>
      </c>
      <c r="B19" s="699" t="s">
        <v>151</v>
      </c>
      <c r="C19" s="545">
        <v>1</v>
      </c>
      <c r="D19" s="388" t="s">
        <v>334</v>
      </c>
      <c r="E19" s="381"/>
      <c r="F19" s="382"/>
      <c r="G19" s="383">
        <v>10</v>
      </c>
      <c r="H19" s="383">
        <v>1477.8555102040812</v>
      </c>
      <c r="I19" s="383">
        <v>147.78555102040812</v>
      </c>
      <c r="J19" s="384" t="s">
        <v>859</v>
      </c>
      <c r="K19" s="700"/>
      <c r="L19" s="698"/>
      <c r="M19" s="152"/>
    </row>
    <row r="20" spans="1:13" ht="15.75" customHeight="1">
      <c r="A20" s="696"/>
      <c r="B20" s="699"/>
      <c r="C20" s="545">
        <v>2</v>
      </c>
      <c r="D20" s="388" t="s">
        <v>624</v>
      </c>
      <c r="E20" s="381"/>
      <c r="F20" s="382"/>
      <c r="G20" s="383">
        <v>12.38095238095238</v>
      </c>
      <c r="H20" s="383">
        <v>1813.2073326673326</v>
      </c>
      <c r="I20" s="383">
        <v>146.8336682548221</v>
      </c>
      <c r="J20" s="386" t="s">
        <v>856</v>
      </c>
      <c r="K20" s="701" t="s">
        <v>861</v>
      </c>
      <c r="L20" s="702"/>
      <c r="M20" s="152"/>
    </row>
    <row r="21" spans="1:13" ht="15.75" customHeight="1">
      <c r="A21" s="696"/>
      <c r="B21" s="699"/>
      <c r="C21" s="545">
        <v>3</v>
      </c>
      <c r="D21" s="389" t="s">
        <v>623</v>
      </c>
      <c r="E21" s="381"/>
      <c r="F21" s="382"/>
      <c r="G21" s="383">
        <v>12.38095238095238</v>
      </c>
      <c r="H21" s="383">
        <v>1776.2376109604679</v>
      </c>
      <c r="I21" s="383">
        <v>143.82478783121638</v>
      </c>
      <c r="J21" s="387" t="s">
        <v>858</v>
      </c>
      <c r="K21" s="703"/>
      <c r="L21" s="704"/>
      <c r="M21" s="152"/>
    </row>
    <row r="22" spans="1:13" ht="15.75" customHeight="1">
      <c r="A22" s="696"/>
      <c r="B22" s="699"/>
      <c r="C22" s="545">
        <v>4</v>
      </c>
      <c r="D22" s="389" t="s">
        <v>839</v>
      </c>
      <c r="E22" s="381"/>
      <c r="F22" s="382"/>
      <c r="G22" s="383">
        <v>12.571428571428571</v>
      </c>
      <c r="H22" s="383">
        <v>1782.7522207410752</v>
      </c>
      <c r="I22" s="383">
        <v>141.99995702182235</v>
      </c>
      <c r="J22" s="384" t="s">
        <v>859</v>
      </c>
      <c r="K22" s="697"/>
      <c r="L22" s="698"/>
      <c r="M22" s="152"/>
    </row>
    <row r="23" spans="1:13" ht="15.75" customHeight="1">
      <c r="A23" s="696"/>
      <c r="B23" s="699"/>
      <c r="C23" s="545">
        <v>5</v>
      </c>
      <c r="D23" s="389"/>
      <c r="E23" s="381"/>
      <c r="F23" s="382"/>
      <c r="G23" s="383"/>
      <c r="H23" s="383"/>
      <c r="I23" s="383"/>
      <c r="J23" s="384"/>
      <c r="K23" s="697"/>
      <c r="L23" s="698"/>
      <c r="M23" s="152"/>
    </row>
    <row r="24" spans="1:13" ht="15.75" customHeight="1">
      <c r="A24" s="696"/>
      <c r="B24" s="699"/>
      <c r="C24" s="165" t="s">
        <v>379</v>
      </c>
      <c r="D24" s="388"/>
      <c r="E24" s="381"/>
      <c r="F24" s="382"/>
      <c r="G24" s="383"/>
      <c r="H24" s="383"/>
      <c r="I24" s="383"/>
      <c r="J24" s="384"/>
      <c r="K24" s="700"/>
      <c r="L24" s="698"/>
      <c r="M24" s="152"/>
    </row>
    <row r="25" spans="1:13" ht="15.75" customHeight="1">
      <c r="A25" s="696"/>
      <c r="B25" s="699"/>
      <c r="C25" s="165" t="s">
        <v>380</v>
      </c>
      <c r="D25" s="388"/>
      <c r="E25" s="381"/>
      <c r="F25" s="382"/>
      <c r="G25" s="383"/>
      <c r="H25" s="383"/>
      <c r="I25" s="383"/>
      <c r="J25" s="384"/>
      <c r="K25" s="697"/>
      <c r="L25" s="698"/>
      <c r="M25" s="152"/>
    </row>
    <row r="26" spans="1:13" ht="15.75" customHeight="1">
      <c r="A26" s="696"/>
      <c r="B26" s="699"/>
      <c r="C26" s="165" t="s">
        <v>381</v>
      </c>
      <c r="E26" s="381"/>
      <c r="F26" s="382"/>
      <c r="G26" s="383"/>
      <c r="H26" s="383"/>
      <c r="I26" s="383"/>
      <c r="J26" s="546"/>
      <c r="K26" s="697"/>
      <c r="L26" s="698"/>
      <c r="M26" s="152"/>
    </row>
    <row r="27" spans="1:13" ht="15.75" customHeight="1">
      <c r="A27" s="696"/>
      <c r="B27" s="699"/>
      <c r="C27" s="165" t="s">
        <v>382</v>
      </c>
      <c r="D27" s="388"/>
      <c r="E27" s="381"/>
      <c r="F27" s="382"/>
      <c r="G27" s="383"/>
      <c r="H27" s="383"/>
      <c r="I27" s="383"/>
      <c r="J27" s="546"/>
      <c r="K27" s="697"/>
      <c r="L27" s="698"/>
      <c r="M27" s="152"/>
    </row>
    <row r="28" spans="1:13" ht="15.75" customHeight="1">
      <c r="A28" s="696"/>
      <c r="B28" s="699"/>
      <c r="C28" s="165" t="s">
        <v>383</v>
      </c>
      <c r="D28" s="388"/>
      <c r="E28" s="381"/>
      <c r="F28" s="382"/>
      <c r="G28" s="546"/>
      <c r="H28" s="546"/>
      <c r="I28" s="546"/>
      <c r="J28" s="546"/>
      <c r="K28" s="697"/>
      <c r="L28" s="698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27">
    <mergeCell ref="A8:A17"/>
    <mergeCell ref="B8:B17"/>
    <mergeCell ref="K13:L13"/>
    <mergeCell ref="K14:L14"/>
    <mergeCell ref="K17:L17"/>
    <mergeCell ref="K8:L12"/>
    <mergeCell ref="K15:L16"/>
    <mergeCell ref="A1:L2"/>
    <mergeCell ref="A5:A6"/>
    <mergeCell ref="A7:B7"/>
    <mergeCell ref="D7:F7"/>
    <mergeCell ref="K7:L7"/>
    <mergeCell ref="A3:L4"/>
    <mergeCell ref="A18:B18"/>
    <mergeCell ref="D18:F18"/>
    <mergeCell ref="K18:L18"/>
    <mergeCell ref="A19:A28"/>
    <mergeCell ref="K28:L28"/>
    <mergeCell ref="B19:B28"/>
    <mergeCell ref="K27:L27"/>
    <mergeCell ref="K19:L19"/>
    <mergeCell ref="K26:L26"/>
    <mergeCell ref="K24:L24"/>
    <mergeCell ref="K25:L25"/>
    <mergeCell ref="K22:L22"/>
    <mergeCell ref="K23:L23"/>
    <mergeCell ref="K20:L21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0000"/>
    <outlinePr summaryBelow="0" summaryRight="0"/>
  </sheetPr>
  <dimension ref="A1:M35"/>
  <sheetViews>
    <sheetView zoomScale="70" zoomScaleNormal="70" zoomScaleSheetLayoutView="100" workbookViewId="0">
      <selection activeCell="A8" sqref="A8:L28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582" t="s">
        <v>183</v>
      </c>
      <c r="B1" s="582"/>
      <c r="C1" s="582"/>
      <c r="D1" s="582"/>
      <c r="E1" s="582"/>
      <c r="F1" s="582"/>
      <c r="G1" s="582"/>
      <c r="H1" s="582"/>
      <c r="I1" s="582"/>
      <c r="J1" s="582"/>
      <c r="K1" s="582"/>
      <c r="L1" s="582"/>
      <c r="M1" s="120"/>
    </row>
    <row r="2" spans="1:13" s="121" customFormat="1" ht="15.75" customHeight="1">
      <c r="A2" s="582"/>
      <c r="B2" s="582"/>
      <c r="C2" s="582"/>
      <c r="D2" s="582"/>
      <c r="E2" s="582"/>
      <c r="F2" s="582"/>
      <c r="G2" s="582"/>
      <c r="H2" s="582"/>
      <c r="I2" s="582"/>
      <c r="J2" s="582"/>
      <c r="K2" s="582"/>
      <c r="L2" s="582"/>
    </row>
    <row r="3" spans="1:13" ht="15.75" customHeight="1">
      <c r="A3" s="707" t="s">
        <v>184</v>
      </c>
      <c r="B3" s="708"/>
      <c r="C3" s="708"/>
      <c r="D3" s="708"/>
      <c r="E3" s="708"/>
      <c r="F3" s="708"/>
      <c r="G3" s="708"/>
      <c r="H3" s="708"/>
      <c r="I3" s="708"/>
      <c r="J3" s="708"/>
      <c r="K3" s="708"/>
      <c r="L3" s="708"/>
      <c r="M3" s="152"/>
    </row>
    <row r="4" spans="1:13" s="121" customFormat="1" ht="15.75" customHeight="1">
      <c r="A4" s="708"/>
      <c r="B4" s="708"/>
      <c r="C4" s="708"/>
      <c r="D4" s="708"/>
      <c r="E4" s="708"/>
      <c r="F4" s="708"/>
      <c r="G4" s="708"/>
      <c r="H4" s="708"/>
      <c r="I4" s="708"/>
      <c r="J4" s="708"/>
      <c r="K4" s="708"/>
      <c r="L4" s="708"/>
      <c r="M4" s="131"/>
    </row>
    <row r="5" spans="1:13" s="154" customFormat="1" ht="16.350000000000001" customHeight="1">
      <c r="A5" s="696" t="s">
        <v>154</v>
      </c>
      <c r="B5" s="156">
        <v>1</v>
      </c>
      <c r="C5" s="156">
        <v>2</v>
      </c>
      <c r="D5" s="166">
        <v>3</v>
      </c>
      <c r="E5" s="166">
        <v>4</v>
      </c>
      <c r="F5" s="156">
        <v>5</v>
      </c>
      <c r="G5" s="156">
        <v>6</v>
      </c>
      <c r="H5" s="156">
        <v>7</v>
      </c>
      <c r="I5" s="156">
        <v>8</v>
      </c>
      <c r="J5" s="156">
        <v>9</v>
      </c>
      <c r="K5" s="153"/>
      <c r="L5" s="153"/>
      <c r="M5" s="153"/>
    </row>
    <row r="6" spans="1:13" ht="16.350000000000001" customHeight="1">
      <c r="A6" s="696"/>
      <c r="B6" s="157" t="s">
        <v>185</v>
      </c>
      <c r="C6" s="157" t="s">
        <v>151</v>
      </c>
      <c r="D6" s="167" t="s">
        <v>186</v>
      </c>
      <c r="E6" s="167" t="s">
        <v>153</v>
      </c>
      <c r="F6" s="158" t="s">
        <v>133</v>
      </c>
      <c r="G6" s="159" t="s">
        <v>131</v>
      </c>
      <c r="H6" s="160" t="s">
        <v>187</v>
      </c>
      <c r="I6" s="159" t="s">
        <v>188</v>
      </c>
      <c r="J6" s="159" t="s">
        <v>137</v>
      </c>
      <c r="K6" s="155"/>
      <c r="L6" s="155"/>
      <c r="M6" s="131"/>
    </row>
    <row r="7" spans="1:13" s="154" customFormat="1" ht="15.75" customHeight="1">
      <c r="A7" s="705" t="s">
        <v>166</v>
      </c>
      <c r="B7" s="705"/>
      <c r="C7" s="368" t="s">
        <v>475</v>
      </c>
      <c r="D7" s="705" t="s">
        <v>12</v>
      </c>
      <c r="E7" s="706"/>
      <c r="F7" s="706"/>
      <c r="G7" s="368" t="s">
        <v>374</v>
      </c>
      <c r="H7" s="368" t="s">
        <v>375</v>
      </c>
      <c r="I7" s="368" t="s">
        <v>376</v>
      </c>
      <c r="J7" s="369" t="s">
        <v>377</v>
      </c>
      <c r="K7" s="705" t="s">
        <v>378</v>
      </c>
      <c r="L7" s="706"/>
      <c r="M7" s="153"/>
    </row>
    <row r="8" spans="1:13" ht="15.75" customHeight="1">
      <c r="A8" s="696">
        <v>3</v>
      </c>
      <c r="B8" s="699" t="s">
        <v>152</v>
      </c>
      <c r="C8" s="545">
        <v>1</v>
      </c>
      <c r="D8" s="388" t="s">
        <v>355</v>
      </c>
      <c r="E8" s="381"/>
      <c r="F8" s="382"/>
      <c r="G8" s="383">
        <v>5</v>
      </c>
      <c r="H8" s="383">
        <v>2112.2648521017081</v>
      </c>
      <c r="I8" s="383">
        <v>422.45297042034161</v>
      </c>
      <c r="J8" s="384" t="s">
        <v>859</v>
      </c>
      <c r="K8" s="723"/>
      <c r="L8" s="724"/>
      <c r="M8" s="131"/>
    </row>
    <row r="9" spans="1:13" ht="15.75" customHeight="1">
      <c r="A9" s="696"/>
      <c r="B9" s="699"/>
      <c r="C9" s="545">
        <v>2</v>
      </c>
      <c r="D9" s="388" t="s">
        <v>385</v>
      </c>
      <c r="E9" s="381"/>
      <c r="F9" s="382"/>
      <c r="G9" s="383">
        <v>5</v>
      </c>
      <c r="H9" s="383">
        <v>2106.969158795715</v>
      </c>
      <c r="I9" s="383">
        <v>421.39383175914293</v>
      </c>
      <c r="J9" s="384" t="s">
        <v>859</v>
      </c>
      <c r="K9" s="723"/>
      <c r="L9" s="724"/>
      <c r="M9" s="131"/>
    </row>
    <row r="10" spans="1:13" ht="15.75" customHeight="1">
      <c r="A10" s="696"/>
      <c r="B10" s="699"/>
      <c r="C10" s="545">
        <v>3</v>
      </c>
      <c r="D10" s="388" t="s">
        <v>841</v>
      </c>
      <c r="E10" s="381"/>
      <c r="F10" s="382"/>
      <c r="G10" s="383">
        <v>7</v>
      </c>
      <c r="H10" s="383">
        <v>2083.6977790749461</v>
      </c>
      <c r="I10" s="383">
        <v>297.67111129642086</v>
      </c>
      <c r="J10" s="384" t="s">
        <v>859</v>
      </c>
      <c r="K10" s="723" t="s">
        <v>862</v>
      </c>
      <c r="L10" s="724"/>
      <c r="M10" s="131"/>
    </row>
    <row r="11" spans="1:13" ht="15.75" customHeight="1">
      <c r="A11" s="696"/>
      <c r="B11" s="699"/>
      <c r="C11" s="545">
        <v>4</v>
      </c>
      <c r="D11" s="388" t="s">
        <v>359</v>
      </c>
      <c r="E11" s="381"/>
      <c r="F11" s="382"/>
      <c r="G11" s="383">
        <v>10.066666666666666</v>
      </c>
      <c r="H11" s="383">
        <v>2379.2295329858566</v>
      </c>
      <c r="I11" s="383">
        <v>236.54136415129878</v>
      </c>
      <c r="J11" s="384" t="s">
        <v>859</v>
      </c>
      <c r="K11" s="722"/>
      <c r="L11" s="695"/>
      <c r="M11" s="131"/>
    </row>
    <row r="12" spans="1:13" ht="15.75" customHeight="1">
      <c r="A12" s="696"/>
      <c r="B12" s="699"/>
      <c r="C12" s="545">
        <v>5</v>
      </c>
      <c r="D12" s="388" t="s">
        <v>840</v>
      </c>
      <c r="E12" s="381"/>
      <c r="F12" s="382"/>
      <c r="G12" s="383">
        <v>11</v>
      </c>
      <c r="H12" s="383">
        <v>2107.377872898337</v>
      </c>
      <c r="I12" s="383">
        <v>191.57980662712151</v>
      </c>
      <c r="J12" s="384" t="s">
        <v>859</v>
      </c>
      <c r="K12" s="722"/>
      <c r="L12" s="695"/>
      <c r="M12" s="131"/>
    </row>
    <row r="13" spans="1:13" ht="15.75" customHeight="1">
      <c r="A13" s="696"/>
      <c r="B13" s="699"/>
      <c r="C13" s="165" t="s">
        <v>379</v>
      </c>
      <c r="D13" s="388" t="s">
        <v>776</v>
      </c>
      <c r="E13" s="381"/>
      <c r="F13" s="382"/>
      <c r="G13" s="383">
        <v>18.083333333333332</v>
      </c>
      <c r="H13" s="383">
        <v>1176.6521951987163</v>
      </c>
      <c r="I13" s="383">
        <v>65.075670800273798</v>
      </c>
      <c r="J13" s="384" t="s">
        <v>859</v>
      </c>
      <c r="K13" s="722"/>
      <c r="L13" s="695"/>
      <c r="M13" s="131"/>
    </row>
    <row r="14" spans="1:13" ht="15.75" customHeight="1">
      <c r="A14" s="696"/>
      <c r="B14" s="699"/>
      <c r="C14" s="165" t="s">
        <v>380</v>
      </c>
      <c r="D14" s="388" t="s">
        <v>354</v>
      </c>
      <c r="E14" s="381"/>
      <c r="F14" s="382"/>
      <c r="G14" s="383">
        <v>18.614285714285714</v>
      </c>
      <c r="H14" s="383">
        <v>1206.5473392047529</v>
      </c>
      <c r="I14" s="383">
        <v>64.867204760665828</v>
      </c>
      <c r="J14" s="384" t="s">
        <v>859</v>
      </c>
      <c r="K14" s="722"/>
      <c r="L14" s="695"/>
      <c r="M14" s="131"/>
    </row>
    <row r="15" spans="1:13" ht="15.75" customHeight="1">
      <c r="A15" s="696"/>
      <c r="B15" s="699"/>
      <c r="C15" s="165" t="s">
        <v>381</v>
      </c>
      <c r="D15" s="388" t="s">
        <v>357</v>
      </c>
      <c r="E15" s="381"/>
      <c r="F15" s="382"/>
      <c r="G15" s="383">
        <v>13</v>
      </c>
      <c r="H15" s="383">
        <v>2096.6769864254284</v>
      </c>
      <c r="I15" s="383">
        <v>161.28284510964832</v>
      </c>
      <c r="J15" s="387" t="s">
        <v>858</v>
      </c>
      <c r="K15" s="727" t="s">
        <v>863</v>
      </c>
      <c r="L15" s="728"/>
      <c r="M15" s="131"/>
    </row>
    <row r="16" spans="1:13" ht="15.75" customHeight="1">
      <c r="A16" s="696"/>
      <c r="B16" s="699"/>
      <c r="C16" s="165" t="s">
        <v>382</v>
      </c>
      <c r="D16" s="388" t="s">
        <v>358</v>
      </c>
      <c r="E16" s="381"/>
      <c r="F16" s="382"/>
      <c r="G16" s="383">
        <v>13</v>
      </c>
      <c r="H16" s="383">
        <v>2146.5892725208118</v>
      </c>
      <c r="I16" s="383">
        <v>165.12225173237016</v>
      </c>
      <c r="J16" s="387" t="s">
        <v>858</v>
      </c>
      <c r="K16" s="729"/>
      <c r="L16" s="730"/>
      <c r="M16" s="152"/>
    </row>
    <row r="17" spans="1:13" ht="15.75" customHeight="1">
      <c r="A17" s="696"/>
      <c r="B17" s="699"/>
      <c r="C17" s="165" t="s">
        <v>383</v>
      </c>
      <c r="D17" s="388" t="s">
        <v>356</v>
      </c>
      <c r="E17" s="381"/>
      <c r="F17" s="382"/>
      <c r="G17" s="383">
        <v>12</v>
      </c>
      <c r="H17" s="383">
        <v>1991.9135885586097</v>
      </c>
      <c r="I17" s="383">
        <v>165.99279904655083</v>
      </c>
      <c r="J17" s="386" t="s">
        <v>856</v>
      </c>
      <c r="K17" s="731"/>
      <c r="L17" s="732"/>
      <c r="M17" s="152"/>
    </row>
    <row r="18" spans="1:13" s="162" customFormat="1" ht="15.75" customHeight="1">
      <c r="A18" s="694" t="s">
        <v>166</v>
      </c>
      <c r="B18" s="694"/>
      <c r="C18" s="544" t="s">
        <v>47</v>
      </c>
      <c r="D18" s="694" t="s">
        <v>12</v>
      </c>
      <c r="E18" s="695"/>
      <c r="F18" s="695"/>
      <c r="G18" s="544" t="s">
        <v>46</v>
      </c>
      <c r="H18" s="544" t="s">
        <v>375</v>
      </c>
      <c r="I18" s="544" t="s">
        <v>376</v>
      </c>
      <c r="J18" s="219" t="s">
        <v>377</v>
      </c>
      <c r="K18" s="694" t="s">
        <v>51</v>
      </c>
      <c r="L18" s="695"/>
      <c r="M18" s="155"/>
    </row>
    <row r="19" spans="1:13" ht="15.75" customHeight="1">
      <c r="A19" s="696">
        <v>4</v>
      </c>
      <c r="B19" s="699" t="s">
        <v>153</v>
      </c>
      <c r="C19" s="545">
        <v>1</v>
      </c>
      <c r="D19" s="389" t="s">
        <v>843</v>
      </c>
      <c r="E19" s="381"/>
      <c r="F19" s="382"/>
      <c r="G19" s="383">
        <v>10.857142857142858</v>
      </c>
      <c r="H19" s="383">
        <v>1896.619806502453</v>
      </c>
      <c r="I19" s="383">
        <v>177.03217920169385</v>
      </c>
      <c r="J19" s="384" t="s">
        <v>859</v>
      </c>
      <c r="K19" s="726"/>
      <c r="L19" s="698"/>
      <c r="M19" s="152"/>
    </row>
    <row r="20" spans="1:13" ht="15.75" customHeight="1">
      <c r="A20" s="696"/>
      <c r="B20" s="699"/>
      <c r="C20" s="545">
        <v>2</v>
      </c>
      <c r="D20" s="388" t="s">
        <v>842</v>
      </c>
      <c r="E20" s="381"/>
      <c r="F20" s="382"/>
      <c r="G20" s="383">
        <v>14.6</v>
      </c>
      <c r="H20" s="383">
        <v>1986.2698744914105</v>
      </c>
      <c r="I20" s="383">
        <v>136.40937624814532</v>
      </c>
      <c r="J20" s="384" t="s">
        <v>859</v>
      </c>
      <c r="K20" s="697"/>
      <c r="L20" s="698"/>
      <c r="M20" s="152"/>
    </row>
    <row r="21" spans="1:13" ht="15.75" customHeight="1">
      <c r="A21" s="696"/>
      <c r="B21" s="699"/>
      <c r="C21" s="545">
        <v>3</v>
      </c>
      <c r="D21" s="389"/>
      <c r="E21" s="381"/>
      <c r="F21" s="382"/>
      <c r="G21" s="383"/>
      <c r="H21" s="383"/>
      <c r="I21" s="383"/>
      <c r="J21" s="387"/>
      <c r="K21" s="697"/>
      <c r="L21" s="698"/>
      <c r="M21" s="152"/>
    </row>
    <row r="22" spans="1:13" ht="15.75" customHeight="1">
      <c r="A22" s="696"/>
      <c r="B22" s="699"/>
      <c r="C22" s="545">
        <v>4</v>
      </c>
      <c r="D22" s="389"/>
      <c r="E22" s="381"/>
      <c r="F22" s="382"/>
      <c r="G22" s="546"/>
      <c r="H22" s="383"/>
      <c r="I22" s="383"/>
      <c r="J22" s="384"/>
      <c r="K22" s="697"/>
      <c r="L22" s="698"/>
      <c r="M22" s="152"/>
    </row>
    <row r="23" spans="1:13" ht="15.75" customHeight="1">
      <c r="A23" s="696"/>
      <c r="B23" s="699"/>
      <c r="C23" s="545">
        <v>5</v>
      </c>
      <c r="D23" s="388"/>
      <c r="E23" s="381"/>
      <c r="F23" s="382"/>
      <c r="G23" s="546"/>
      <c r="H23" s="546"/>
      <c r="I23" s="546"/>
      <c r="J23" s="546"/>
      <c r="K23" s="697"/>
      <c r="L23" s="698"/>
      <c r="M23" s="152"/>
    </row>
    <row r="24" spans="1:13" ht="15.75" customHeight="1">
      <c r="A24" s="696"/>
      <c r="B24" s="699"/>
      <c r="C24" s="165" t="s">
        <v>379</v>
      </c>
      <c r="D24" s="389"/>
      <c r="E24" s="381"/>
      <c r="F24" s="382"/>
      <c r="G24" s="383"/>
      <c r="H24" s="383"/>
      <c r="I24" s="383"/>
      <c r="J24" s="384"/>
      <c r="K24" s="725"/>
      <c r="L24" s="698"/>
      <c r="M24" s="152"/>
    </row>
    <row r="25" spans="1:13" ht="15.75" customHeight="1">
      <c r="A25" s="696"/>
      <c r="B25" s="699"/>
      <c r="C25" s="165" t="s">
        <v>380</v>
      </c>
      <c r="D25" s="388"/>
      <c r="E25" s="381"/>
      <c r="F25" s="382"/>
      <c r="G25" s="546"/>
      <c r="H25" s="546"/>
      <c r="I25" s="546"/>
      <c r="J25" s="546"/>
      <c r="K25" s="697"/>
      <c r="L25" s="698"/>
      <c r="M25" s="152"/>
    </row>
    <row r="26" spans="1:13" ht="15.75" customHeight="1">
      <c r="A26" s="696"/>
      <c r="B26" s="699"/>
      <c r="C26" s="165" t="s">
        <v>381</v>
      </c>
      <c r="D26" s="388"/>
      <c r="E26" s="381"/>
      <c r="F26" s="382"/>
      <c r="G26" s="546"/>
      <c r="H26" s="546"/>
      <c r="I26" s="546"/>
      <c r="J26" s="546"/>
      <c r="K26" s="697"/>
      <c r="L26" s="698"/>
      <c r="M26" s="152"/>
    </row>
    <row r="27" spans="1:13" ht="15.75" customHeight="1">
      <c r="A27" s="696"/>
      <c r="B27" s="699"/>
      <c r="C27" s="165" t="s">
        <v>382</v>
      </c>
      <c r="D27" s="388"/>
      <c r="E27" s="381"/>
      <c r="F27" s="382"/>
      <c r="G27" s="546"/>
      <c r="H27" s="546"/>
      <c r="I27" s="546"/>
      <c r="J27" s="546"/>
      <c r="K27" s="697"/>
      <c r="L27" s="698"/>
      <c r="M27" s="152"/>
    </row>
    <row r="28" spans="1:13" ht="15.75" customHeight="1">
      <c r="A28" s="696"/>
      <c r="B28" s="699"/>
      <c r="C28" s="165" t="s">
        <v>383</v>
      </c>
      <c r="D28" s="388"/>
      <c r="E28" s="381"/>
      <c r="F28" s="382"/>
      <c r="G28" s="546"/>
      <c r="H28" s="546"/>
      <c r="I28" s="546"/>
      <c r="J28" s="546"/>
      <c r="K28" s="697"/>
      <c r="L28" s="698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31">
    <mergeCell ref="D7:F7"/>
    <mergeCell ref="D18:F18"/>
    <mergeCell ref="K28:L28"/>
    <mergeCell ref="K20:L20"/>
    <mergeCell ref="K19:L19"/>
    <mergeCell ref="K21:L21"/>
    <mergeCell ref="K15:L17"/>
    <mergeCell ref="A1:L2"/>
    <mergeCell ref="K24:L24"/>
    <mergeCell ref="K14:L14"/>
    <mergeCell ref="K12:L12"/>
    <mergeCell ref="A3:L4"/>
    <mergeCell ref="A19:A28"/>
    <mergeCell ref="A5:A6"/>
    <mergeCell ref="A7:B7"/>
    <mergeCell ref="K25:L25"/>
    <mergeCell ref="K26:L26"/>
    <mergeCell ref="B19:B28"/>
    <mergeCell ref="K27:L27"/>
    <mergeCell ref="K18:L18"/>
    <mergeCell ref="K7:L7"/>
    <mergeCell ref="K22:L22"/>
    <mergeCell ref="K23:L23"/>
    <mergeCell ref="A18:B18"/>
    <mergeCell ref="A8:A17"/>
    <mergeCell ref="B8:B17"/>
    <mergeCell ref="K13:L13"/>
    <mergeCell ref="K8:L8"/>
    <mergeCell ref="K9:L9"/>
    <mergeCell ref="K10:L10"/>
    <mergeCell ref="K11:L11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0000"/>
    <outlinePr summaryBelow="0" summaryRight="0"/>
  </sheetPr>
  <dimension ref="A1:R35"/>
  <sheetViews>
    <sheetView zoomScale="70" zoomScaleNormal="70" zoomScaleSheetLayoutView="100" workbookViewId="0">
      <selection activeCell="A8" sqref="A8:L28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8" ht="15.75" customHeight="1">
      <c r="A1" s="582" t="s">
        <v>183</v>
      </c>
      <c r="B1" s="582"/>
      <c r="C1" s="582"/>
      <c r="D1" s="582"/>
      <c r="E1" s="582"/>
      <c r="F1" s="582"/>
      <c r="G1" s="582"/>
      <c r="H1" s="582"/>
      <c r="I1" s="582"/>
      <c r="J1" s="582"/>
      <c r="K1" s="582"/>
      <c r="L1" s="582"/>
      <c r="M1" s="120"/>
    </row>
    <row r="2" spans="1:18" s="121" customFormat="1" ht="15.75" customHeight="1">
      <c r="A2" s="582"/>
      <c r="B2" s="582"/>
      <c r="C2" s="582"/>
      <c r="D2" s="582"/>
      <c r="E2" s="582"/>
      <c r="F2" s="582"/>
      <c r="G2" s="582"/>
      <c r="H2" s="582"/>
      <c r="I2" s="582"/>
      <c r="J2" s="582"/>
      <c r="K2" s="582"/>
      <c r="L2" s="582"/>
    </row>
    <row r="3" spans="1:18" ht="15.75" customHeight="1">
      <c r="A3" s="707" t="s">
        <v>184</v>
      </c>
      <c r="B3" s="708"/>
      <c r="C3" s="708"/>
      <c r="D3" s="708"/>
      <c r="E3" s="708"/>
      <c r="F3" s="708"/>
      <c r="G3" s="708"/>
      <c r="H3" s="708"/>
      <c r="I3" s="708"/>
      <c r="J3" s="708"/>
      <c r="K3" s="708"/>
      <c r="L3" s="708"/>
      <c r="M3" s="152"/>
    </row>
    <row r="4" spans="1:18" s="121" customFormat="1" ht="15.75" customHeight="1">
      <c r="A4" s="708"/>
      <c r="B4" s="708"/>
      <c r="C4" s="708"/>
      <c r="D4" s="708"/>
      <c r="E4" s="708"/>
      <c r="F4" s="708"/>
      <c r="G4" s="708"/>
      <c r="H4" s="708"/>
      <c r="I4" s="708"/>
      <c r="J4" s="708"/>
      <c r="K4" s="708"/>
      <c r="L4" s="708"/>
      <c r="M4" s="131"/>
    </row>
    <row r="5" spans="1:18" s="154" customFormat="1" ht="16.350000000000001" customHeight="1">
      <c r="A5" s="696" t="s">
        <v>154</v>
      </c>
      <c r="B5" s="156">
        <v>1</v>
      </c>
      <c r="C5" s="156">
        <v>2</v>
      </c>
      <c r="D5" s="156">
        <v>3</v>
      </c>
      <c r="E5" s="156">
        <v>4</v>
      </c>
      <c r="F5" s="166">
        <v>5</v>
      </c>
      <c r="G5" s="166">
        <v>6</v>
      </c>
      <c r="H5" s="156">
        <v>7</v>
      </c>
      <c r="I5" s="156">
        <v>8</v>
      </c>
      <c r="J5" s="156">
        <v>9</v>
      </c>
      <c r="K5" s="153"/>
      <c r="L5" s="153"/>
      <c r="M5" s="153"/>
    </row>
    <row r="6" spans="1:18" ht="16.350000000000001" customHeight="1">
      <c r="A6" s="696"/>
      <c r="B6" s="157" t="s">
        <v>185</v>
      </c>
      <c r="C6" s="157" t="s">
        <v>151</v>
      </c>
      <c r="D6" s="157" t="s">
        <v>186</v>
      </c>
      <c r="E6" s="157" t="s">
        <v>153</v>
      </c>
      <c r="F6" s="168" t="s">
        <v>133</v>
      </c>
      <c r="G6" s="169" t="s">
        <v>131</v>
      </c>
      <c r="H6" s="160" t="s">
        <v>187</v>
      </c>
      <c r="I6" s="159" t="s">
        <v>188</v>
      </c>
      <c r="J6" s="159" t="s">
        <v>137</v>
      </c>
      <c r="K6" s="155"/>
      <c r="L6" s="155"/>
      <c r="M6" s="131"/>
    </row>
    <row r="7" spans="1:18" s="154" customFormat="1" ht="15.75" customHeight="1">
      <c r="A7" s="705" t="s">
        <v>533</v>
      </c>
      <c r="B7" s="705"/>
      <c r="C7" s="368" t="s">
        <v>534</v>
      </c>
      <c r="D7" s="705" t="s">
        <v>12</v>
      </c>
      <c r="E7" s="706"/>
      <c r="F7" s="706"/>
      <c r="G7" s="368" t="s">
        <v>535</v>
      </c>
      <c r="H7" s="368" t="s">
        <v>536</v>
      </c>
      <c r="I7" s="368" t="s">
        <v>537</v>
      </c>
      <c r="J7" s="369" t="s">
        <v>538</v>
      </c>
      <c r="K7" s="705" t="s">
        <v>539</v>
      </c>
      <c r="L7" s="706"/>
      <c r="M7" s="153"/>
    </row>
    <row r="8" spans="1:18" ht="15.75" customHeight="1">
      <c r="A8" s="696">
        <v>5</v>
      </c>
      <c r="B8" s="699" t="s">
        <v>133</v>
      </c>
      <c r="C8" s="545">
        <v>1</v>
      </c>
      <c r="D8" s="426" t="s">
        <v>335</v>
      </c>
      <c r="E8" s="381"/>
      <c r="F8" s="382"/>
      <c r="G8" s="383">
        <v>6</v>
      </c>
      <c r="H8" s="383">
        <v>1448.1408142429746</v>
      </c>
      <c r="I8" s="383">
        <v>243.58724964912244</v>
      </c>
      <c r="J8" s="386" t="s">
        <v>856</v>
      </c>
      <c r="K8" s="739" t="s">
        <v>864</v>
      </c>
      <c r="L8" s="740"/>
      <c r="M8" s="131"/>
      <c r="P8" s="245"/>
      <c r="Q8" s="245"/>
      <c r="R8" s="245"/>
    </row>
    <row r="9" spans="1:18" ht="15.75" customHeight="1">
      <c r="A9" s="696"/>
      <c r="B9" s="699"/>
      <c r="C9" s="545">
        <v>2</v>
      </c>
      <c r="D9" s="389" t="s">
        <v>635</v>
      </c>
      <c r="E9" s="381"/>
      <c r="F9" s="382"/>
      <c r="G9" s="383">
        <v>6</v>
      </c>
      <c r="H9" s="383">
        <v>1442.1667564519923</v>
      </c>
      <c r="I9" s="383">
        <v>242.87742533645473</v>
      </c>
      <c r="J9" s="387" t="s">
        <v>858</v>
      </c>
      <c r="K9" s="741"/>
      <c r="L9" s="742"/>
      <c r="M9" s="131"/>
      <c r="P9" s="245"/>
      <c r="Q9" s="245"/>
      <c r="R9" s="245"/>
    </row>
    <row r="10" spans="1:18" ht="15.75" customHeight="1">
      <c r="A10" s="696"/>
      <c r="B10" s="699"/>
      <c r="C10" s="545">
        <v>3</v>
      </c>
      <c r="D10" s="388" t="s">
        <v>341</v>
      </c>
      <c r="E10" s="381"/>
      <c r="F10" s="382"/>
      <c r="G10" s="383">
        <v>15</v>
      </c>
      <c r="H10" s="383">
        <v>1255.2821815926231</v>
      </c>
      <c r="I10" s="383">
        <v>88.823803271230375</v>
      </c>
      <c r="J10" s="384" t="s">
        <v>859</v>
      </c>
      <c r="K10" s="733"/>
      <c r="L10" s="710"/>
      <c r="M10" s="131"/>
      <c r="P10" s="245"/>
      <c r="Q10" s="245"/>
      <c r="R10" s="245"/>
    </row>
    <row r="11" spans="1:18" ht="15.75" customHeight="1">
      <c r="A11" s="696"/>
      <c r="B11" s="699"/>
      <c r="C11" s="545">
        <v>4</v>
      </c>
      <c r="D11" s="528" t="s">
        <v>697</v>
      </c>
      <c r="E11" s="381"/>
      <c r="F11" s="382"/>
      <c r="G11" s="383">
        <v>16.033333333333335</v>
      </c>
      <c r="H11" s="383">
        <v>1411.5360243468026</v>
      </c>
      <c r="I11" s="383">
        <v>88.16798451395276</v>
      </c>
      <c r="J11" s="384" t="s">
        <v>859</v>
      </c>
      <c r="K11" s="733"/>
      <c r="L11" s="710"/>
      <c r="M11" s="131"/>
      <c r="P11" s="245"/>
      <c r="Q11" s="245"/>
      <c r="R11" s="245"/>
    </row>
    <row r="12" spans="1:18" ht="15.75" customHeight="1">
      <c r="A12" s="696"/>
      <c r="B12" s="699"/>
      <c r="C12" s="545">
        <v>5</v>
      </c>
      <c r="D12" s="388" t="s">
        <v>696</v>
      </c>
      <c r="E12" s="381"/>
      <c r="F12" s="382"/>
      <c r="G12" s="383">
        <v>16</v>
      </c>
      <c r="H12" s="383">
        <v>1385.1561929171428</v>
      </c>
      <c r="I12" s="383">
        <v>86.894094118480055</v>
      </c>
      <c r="J12" s="386" t="s">
        <v>856</v>
      </c>
      <c r="K12" s="733" t="s">
        <v>865</v>
      </c>
      <c r="L12" s="710"/>
      <c r="M12" s="131"/>
      <c r="P12" s="245"/>
      <c r="Q12" s="245"/>
      <c r="R12" s="245"/>
    </row>
    <row r="13" spans="1:18" ht="15.75" customHeight="1">
      <c r="A13" s="696"/>
      <c r="B13" s="699"/>
      <c r="C13" s="165" t="s">
        <v>379</v>
      </c>
      <c r="D13" s="528" t="s">
        <v>844</v>
      </c>
      <c r="E13" s="381"/>
      <c r="F13" s="382"/>
      <c r="G13" s="383">
        <v>20.914285714285715</v>
      </c>
      <c r="H13" s="383">
        <v>1153.4676363557689</v>
      </c>
      <c r="I13" s="383">
        <v>54.371885161910633</v>
      </c>
      <c r="J13" s="384" t="s">
        <v>859</v>
      </c>
      <c r="K13" s="733"/>
      <c r="L13" s="710"/>
      <c r="M13" s="131"/>
      <c r="P13" s="245"/>
      <c r="Q13" s="245"/>
      <c r="R13" s="245"/>
    </row>
    <row r="14" spans="1:18" ht="15.75" customHeight="1">
      <c r="A14" s="696"/>
      <c r="B14" s="699"/>
      <c r="C14" s="165" t="s">
        <v>380</v>
      </c>
      <c r="D14" s="528" t="s">
        <v>434</v>
      </c>
      <c r="E14" s="381"/>
      <c r="F14" s="382"/>
      <c r="G14" s="383">
        <v>20</v>
      </c>
      <c r="H14" s="383">
        <v>1116.5789473684224</v>
      </c>
      <c r="I14" s="383">
        <v>55.828947368421126</v>
      </c>
      <c r="J14" s="384" t="s">
        <v>859</v>
      </c>
      <c r="K14" s="733"/>
      <c r="L14" s="710"/>
      <c r="M14" s="131"/>
      <c r="P14" s="245"/>
      <c r="Q14" s="245"/>
      <c r="R14" s="245"/>
    </row>
    <row r="15" spans="1:18" ht="15.75" customHeight="1">
      <c r="A15" s="696"/>
      <c r="B15" s="699"/>
      <c r="C15" s="165" t="s">
        <v>381</v>
      </c>
      <c r="D15" s="388" t="s">
        <v>784</v>
      </c>
      <c r="E15" s="381"/>
      <c r="F15" s="382"/>
      <c r="G15" s="383">
        <v>20.209523809523809</v>
      </c>
      <c r="H15" s="383">
        <v>1264.742229811777</v>
      </c>
      <c r="I15" s="383">
        <v>62.41355022318951</v>
      </c>
      <c r="J15" s="384" t="s">
        <v>859</v>
      </c>
      <c r="K15" s="733"/>
      <c r="L15" s="710"/>
      <c r="M15" s="131"/>
      <c r="P15" s="245"/>
      <c r="Q15" s="245"/>
      <c r="R15" s="245"/>
    </row>
    <row r="16" spans="1:18" ht="15.75" customHeight="1">
      <c r="A16" s="696"/>
      <c r="B16" s="699"/>
      <c r="C16" s="165" t="s">
        <v>382</v>
      </c>
      <c r="D16" s="389" t="s">
        <v>431</v>
      </c>
      <c r="E16" s="381"/>
      <c r="F16" s="382"/>
      <c r="G16" s="383">
        <v>20</v>
      </c>
      <c r="H16" s="383">
        <v>1322.6513056137103</v>
      </c>
      <c r="I16" s="383">
        <v>66.483128914758268</v>
      </c>
      <c r="J16" s="384" t="s">
        <v>859</v>
      </c>
      <c r="K16" s="733"/>
      <c r="L16" s="710"/>
      <c r="M16" s="152"/>
      <c r="P16" s="245"/>
      <c r="Q16" s="245"/>
      <c r="R16" s="245"/>
    </row>
    <row r="17" spans="1:18" ht="15.75" customHeight="1">
      <c r="A17" s="696"/>
      <c r="B17" s="699"/>
      <c r="C17" s="165" t="s">
        <v>383</v>
      </c>
      <c r="D17" s="528" t="s">
        <v>866</v>
      </c>
      <c r="E17" s="381"/>
      <c r="F17" s="382"/>
      <c r="G17" s="383">
        <v>19</v>
      </c>
      <c r="H17" s="383">
        <v>1308.6435875521117</v>
      </c>
      <c r="I17" s="383">
        <v>69.18862689589902</v>
      </c>
      <c r="J17" s="387" t="s">
        <v>858</v>
      </c>
      <c r="K17" s="733" t="s">
        <v>865</v>
      </c>
      <c r="L17" s="710"/>
      <c r="M17" s="152"/>
      <c r="P17" s="245"/>
      <c r="Q17" s="245"/>
      <c r="R17" s="245"/>
    </row>
    <row r="18" spans="1:18" s="162" customFormat="1" ht="15.75" customHeight="1">
      <c r="A18" s="694" t="s">
        <v>166</v>
      </c>
      <c r="B18" s="694"/>
      <c r="C18" s="544" t="s">
        <v>47</v>
      </c>
      <c r="D18" s="694" t="s">
        <v>12</v>
      </c>
      <c r="E18" s="695"/>
      <c r="F18" s="695"/>
      <c r="G18" s="544" t="s">
        <v>46</v>
      </c>
      <c r="H18" s="544" t="s">
        <v>375</v>
      </c>
      <c r="I18" s="544" t="s">
        <v>376</v>
      </c>
      <c r="J18" s="219" t="s">
        <v>377</v>
      </c>
      <c r="K18" s="694" t="s">
        <v>51</v>
      </c>
      <c r="L18" s="695"/>
      <c r="M18" s="155"/>
    </row>
    <row r="19" spans="1:18" ht="15.75" customHeight="1">
      <c r="A19" s="696">
        <v>6</v>
      </c>
      <c r="B19" s="699" t="s">
        <v>131</v>
      </c>
      <c r="C19" s="545">
        <v>1</v>
      </c>
      <c r="D19" s="388" t="s">
        <v>429</v>
      </c>
      <c r="E19" s="381"/>
      <c r="F19" s="382"/>
      <c r="G19" s="383">
        <v>16.028571428571428</v>
      </c>
      <c r="H19" s="383">
        <v>1328.2845087767787</v>
      </c>
      <c r="I19" s="383">
        <v>82.878296386406262</v>
      </c>
      <c r="J19" s="384" t="s">
        <v>859</v>
      </c>
      <c r="K19" s="734"/>
      <c r="L19" s="710"/>
      <c r="M19" s="152"/>
      <c r="P19" s="245"/>
      <c r="Q19" s="245"/>
      <c r="R19" s="245"/>
    </row>
    <row r="20" spans="1:18" ht="15.75" customHeight="1">
      <c r="A20" s="696"/>
      <c r="B20" s="699"/>
      <c r="C20" s="545">
        <v>2</v>
      </c>
      <c r="D20" s="388" t="s">
        <v>636</v>
      </c>
      <c r="E20" s="381"/>
      <c r="F20" s="382"/>
      <c r="G20" s="383">
        <v>17</v>
      </c>
      <c r="H20" s="383">
        <v>1352.9719130481055</v>
      </c>
      <c r="I20" s="383">
        <v>79.586583120476774</v>
      </c>
      <c r="J20" s="384" t="s">
        <v>859</v>
      </c>
      <c r="K20" s="734"/>
      <c r="L20" s="710"/>
      <c r="M20" s="152"/>
      <c r="P20" s="245"/>
      <c r="Q20" s="245"/>
      <c r="R20" s="245"/>
    </row>
    <row r="21" spans="1:18" ht="15.75" customHeight="1">
      <c r="A21" s="696"/>
      <c r="B21" s="699"/>
      <c r="C21" s="545">
        <v>3</v>
      </c>
      <c r="D21" s="388" t="s">
        <v>343</v>
      </c>
      <c r="E21" s="381"/>
      <c r="F21" s="382"/>
      <c r="G21" s="383">
        <v>17</v>
      </c>
      <c r="H21" s="383">
        <v>1329.9367694958285</v>
      </c>
      <c r="I21" s="383">
        <v>78.231574676225193</v>
      </c>
      <c r="J21" s="384" t="s">
        <v>859</v>
      </c>
      <c r="K21" s="734"/>
      <c r="L21" s="710"/>
      <c r="M21" s="152"/>
      <c r="P21" s="245"/>
      <c r="Q21" s="245"/>
      <c r="R21" s="245"/>
    </row>
    <row r="22" spans="1:18" ht="15.75" customHeight="1">
      <c r="A22" s="696"/>
      <c r="B22" s="699"/>
      <c r="C22" s="545">
        <v>4</v>
      </c>
      <c r="D22" s="388" t="s">
        <v>722</v>
      </c>
      <c r="E22" s="381"/>
      <c r="F22" s="382"/>
      <c r="G22" s="383">
        <v>17</v>
      </c>
      <c r="H22" s="383">
        <v>1284.2332466211647</v>
      </c>
      <c r="I22" s="383">
        <v>75.543132154186168</v>
      </c>
      <c r="J22" s="384" t="s">
        <v>859</v>
      </c>
      <c r="K22" s="734"/>
      <c r="L22" s="710"/>
      <c r="M22" s="152"/>
      <c r="P22" s="245"/>
      <c r="Q22" s="245"/>
      <c r="R22" s="245"/>
    </row>
    <row r="23" spans="1:18" ht="15.75" customHeight="1">
      <c r="A23" s="696"/>
      <c r="B23" s="699"/>
      <c r="C23" s="545">
        <v>5</v>
      </c>
      <c r="D23" s="388" t="s">
        <v>528</v>
      </c>
      <c r="E23" s="381"/>
      <c r="F23" s="382"/>
      <c r="G23" s="383">
        <v>19</v>
      </c>
      <c r="H23" s="383">
        <v>1425.0461337759666</v>
      </c>
      <c r="I23" s="383">
        <v>75.002428093471934</v>
      </c>
      <c r="J23" s="384" t="s">
        <v>859</v>
      </c>
      <c r="K23" s="734"/>
      <c r="L23" s="710"/>
      <c r="M23" s="152"/>
      <c r="P23" s="245"/>
      <c r="Q23" s="245"/>
      <c r="R23" s="245"/>
    </row>
    <row r="24" spans="1:18" ht="15.75" customHeight="1">
      <c r="A24" s="696"/>
      <c r="B24" s="699"/>
      <c r="C24" s="165" t="s">
        <v>379</v>
      </c>
      <c r="D24" s="389" t="s">
        <v>564</v>
      </c>
      <c r="E24" s="381"/>
      <c r="F24" s="382"/>
      <c r="G24" s="383">
        <v>18.304761904761904</v>
      </c>
      <c r="H24" s="383">
        <v>1076.2946583528555</v>
      </c>
      <c r="I24" s="383">
        <v>58.836634992196899</v>
      </c>
      <c r="J24" s="384" t="s">
        <v>859</v>
      </c>
      <c r="K24" s="734"/>
      <c r="L24" s="710"/>
      <c r="M24" s="152"/>
      <c r="P24" s="245"/>
      <c r="Q24" s="245"/>
      <c r="R24" s="245"/>
    </row>
    <row r="25" spans="1:18" ht="15.75" customHeight="1">
      <c r="A25" s="696"/>
      <c r="B25" s="699"/>
      <c r="C25" s="165" t="s">
        <v>380</v>
      </c>
      <c r="D25" s="388" t="s">
        <v>345</v>
      </c>
      <c r="E25" s="381"/>
      <c r="F25" s="382"/>
      <c r="G25" s="383">
        <v>21</v>
      </c>
      <c r="H25" s="383">
        <v>1285.533741646524</v>
      </c>
      <c r="I25" s="383">
        <v>61.215892459358294</v>
      </c>
      <c r="J25" s="384" t="s">
        <v>859</v>
      </c>
      <c r="K25" s="734"/>
      <c r="L25" s="710"/>
      <c r="M25" s="152"/>
      <c r="P25" s="245"/>
      <c r="Q25" s="245"/>
      <c r="R25" s="245"/>
    </row>
    <row r="26" spans="1:18" ht="15.75" customHeight="1">
      <c r="A26" s="696"/>
      <c r="B26" s="699"/>
      <c r="C26" s="165" t="s">
        <v>381</v>
      </c>
      <c r="D26" s="528" t="s">
        <v>847</v>
      </c>
      <c r="E26" s="381"/>
      <c r="F26" s="382"/>
      <c r="G26" s="383">
        <v>19</v>
      </c>
      <c r="H26" s="383">
        <v>1297.8769697996586</v>
      </c>
      <c r="I26" s="383">
        <v>68.309314199982026</v>
      </c>
      <c r="J26" s="384" t="s">
        <v>859</v>
      </c>
      <c r="K26" s="734"/>
      <c r="L26" s="710"/>
      <c r="M26" s="152"/>
      <c r="P26" s="245"/>
      <c r="Q26" s="245"/>
      <c r="R26" s="245"/>
    </row>
    <row r="27" spans="1:18" ht="15.75" customHeight="1">
      <c r="A27" s="696"/>
      <c r="B27" s="699"/>
      <c r="C27" s="165" t="s">
        <v>382</v>
      </c>
      <c r="D27" s="388" t="s">
        <v>342</v>
      </c>
      <c r="E27" s="381"/>
      <c r="F27" s="382"/>
      <c r="G27" s="383">
        <v>18</v>
      </c>
      <c r="H27" s="383">
        <v>1239.9929843543846</v>
      </c>
      <c r="I27" s="383">
        <v>68.888499130799161</v>
      </c>
      <c r="J27" s="387" t="s">
        <v>858</v>
      </c>
      <c r="K27" s="735" t="s">
        <v>867</v>
      </c>
      <c r="L27" s="736"/>
      <c r="M27" s="152"/>
      <c r="P27" s="245"/>
      <c r="Q27" s="245"/>
      <c r="R27" s="245"/>
    </row>
    <row r="28" spans="1:18" ht="15.75" customHeight="1">
      <c r="A28" s="696"/>
      <c r="B28" s="699"/>
      <c r="C28" s="165" t="s">
        <v>383</v>
      </c>
      <c r="D28" s="388" t="s">
        <v>410</v>
      </c>
      <c r="E28" s="381"/>
      <c r="F28" s="382"/>
      <c r="G28" s="383">
        <v>18.033333333333335</v>
      </c>
      <c r="H28" s="383">
        <v>1243.587123074986</v>
      </c>
      <c r="I28" s="383">
        <v>68.962205430829385</v>
      </c>
      <c r="J28" s="386" t="s">
        <v>856</v>
      </c>
      <c r="K28" s="737"/>
      <c r="L28" s="738"/>
      <c r="M28" s="152"/>
      <c r="P28" s="245"/>
      <c r="Q28" s="245"/>
      <c r="R28" s="245"/>
    </row>
    <row r="29" spans="1:18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8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8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8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31">
    <mergeCell ref="K22:L22"/>
    <mergeCell ref="K23:L23"/>
    <mergeCell ref="K19:L19"/>
    <mergeCell ref="K20:L20"/>
    <mergeCell ref="K8:L9"/>
    <mergeCell ref="K11:L11"/>
    <mergeCell ref="K12:L12"/>
    <mergeCell ref="K13:L13"/>
    <mergeCell ref="K14:L14"/>
    <mergeCell ref="A1:L2"/>
    <mergeCell ref="A3:L4"/>
    <mergeCell ref="A5:A6"/>
    <mergeCell ref="A7:B7"/>
    <mergeCell ref="D7:F7"/>
    <mergeCell ref="K7:L7"/>
    <mergeCell ref="D18:F18"/>
    <mergeCell ref="K17:L17"/>
    <mergeCell ref="A19:A28"/>
    <mergeCell ref="B19:B28"/>
    <mergeCell ref="A8:A17"/>
    <mergeCell ref="B8:B17"/>
    <mergeCell ref="A18:B18"/>
    <mergeCell ref="K25:L25"/>
    <mergeCell ref="K26:L26"/>
    <mergeCell ref="K27:L28"/>
    <mergeCell ref="K16:L16"/>
    <mergeCell ref="K10:L10"/>
    <mergeCell ref="K18:L18"/>
    <mergeCell ref="K15:L15"/>
    <mergeCell ref="K24:L24"/>
    <mergeCell ref="K21:L21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0000"/>
    <outlinePr summaryBelow="0" summaryRight="0"/>
  </sheetPr>
  <dimension ref="A1:M35"/>
  <sheetViews>
    <sheetView topLeftCell="A4" zoomScale="85" zoomScaleNormal="85" zoomScaleSheetLayoutView="100" workbookViewId="0">
      <selection activeCell="A8" sqref="A8:L28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582" t="s">
        <v>183</v>
      </c>
      <c r="B1" s="582"/>
      <c r="C1" s="582"/>
      <c r="D1" s="582"/>
      <c r="E1" s="582"/>
      <c r="F1" s="582"/>
      <c r="G1" s="582"/>
      <c r="H1" s="582"/>
      <c r="I1" s="582"/>
      <c r="J1" s="582"/>
      <c r="K1" s="582"/>
      <c r="L1" s="582"/>
      <c r="M1" s="120"/>
    </row>
    <row r="2" spans="1:13" s="121" customFormat="1" ht="15.75" customHeight="1">
      <c r="A2" s="582"/>
      <c r="B2" s="582"/>
      <c r="C2" s="582"/>
      <c r="D2" s="582"/>
      <c r="E2" s="582"/>
      <c r="F2" s="582"/>
      <c r="G2" s="582"/>
      <c r="H2" s="582"/>
      <c r="I2" s="582"/>
      <c r="J2" s="582"/>
      <c r="K2" s="582"/>
      <c r="L2" s="582"/>
    </row>
    <row r="3" spans="1:13" ht="15.75" customHeight="1">
      <c r="A3" s="707" t="s">
        <v>184</v>
      </c>
      <c r="B3" s="707"/>
      <c r="C3" s="707"/>
      <c r="D3" s="707"/>
      <c r="E3" s="707"/>
      <c r="F3" s="707"/>
      <c r="G3" s="707"/>
      <c r="H3" s="707"/>
      <c r="I3" s="707"/>
      <c r="J3" s="707"/>
      <c r="K3" s="707"/>
      <c r="L3" s="707"/>
      <c r="M3" s="152"/>
    </row>
    <row r="4" spans="1:13" s="121" customFormat="1" ht="15.75" customHeight="1">
      <c r="A4" s="707"/>
      <c r="B4" s="707"/>
      <c r="C4" s="707"/>
      <c r="D4" s="707"/>
      <c r="E4" s="707"/>
      <c r="F4" s="707"/>
      <c r="G4" s="707"/>
      <c r="H4" s="707"/>
      <c r="I4" s="707"/>
      <c r="J4" s="707"/>
      <c r="K4" s="707"/>
      <c r="L4" s="707"/>
      <c r="M4" s="131"/>
    </row>
    <row r="5" spans="1:13" s="154" customFormat="1" ht="16.350000000000001" customHeight="1">
      <c r="A5" s="745" t="s">
        <v>154</v>
      </c>
      <c r="B5" s="156">
        <v>1</v>
      </c>
      <c r="C5" s="156">
        <v>2</v>
      </c>
      <c r="D5" s="156">
        <v>3</v>
      </c>
      <c r="E5" s="156">
        <v>4</v>
      </c>
      <c r="F5" s="156">
        <v>5</v>
      </c>
      <c r="G5" s="156">
        <v>6</v>
      </c>
      <c r="H5" s="166">
        <v>7</v>
      </c>
      <c r="I5" s="166">
        <v>8</v>
      </c>
      <c r="J5" s="156">
        <v>9</v>
      </c>
      <c r="K5" s="153"/>
      <c r="L5" s="153"/>
      <c r="M5" s="153"/>
    </row>
    <row r="6" spans="1:13" ht="16.350000000000001" customHeight="1">
      <c r="A6" s="747"/>
      <c r="B6" s="157" t="s">
        <v>185</v>
      </c>
      <c r="C6" s="157" t="s">
        <v>151</v>
      </c>
      <c r="D6" s="157" t="s">
        <v>186</v>
      </c>
      <c r="E6" s="157" t="s">
        <v>153</v>
      </c>
      <c r="F6" s="158" t="s">
        <v>133</v>
      </c>
      <c r="G6" s="159" t="s">
        <v>131</v>
      </c>
      <c r="H6" s="167" t="s">
        <v>187</v>
      </c>
      <c r="I6" s="169" t="s">
        <v>188</v>
      </c>
      <c r="J6" s="159" t="s">
        <v>137</v>
      </c>
      <c r="K6" s="155"/>
      <c r="L6" s="155"/>
      <c r="M6" s="131"/>
    </row>
    <row r="7" spans="1:13" s="154" customFormat="1" ht="15.75" customHeight="1">
      <c r="A7" s="754" t="s">
        <v>474</v>
      </c>
      <c r="B7" s="755"/>
      <c r="C7" s="368" t="s">
        <v>534</v>
      </c>
      <c r="D7" s="756" t="s">
        <v>12</v>
      </c>
      <c r="E7" s="757"/>
      <c r="F7" s="758"/>
      <c r="G7" s="368" t="s">
        <v>535</v>
      </c>
      <c r="H7" s="368" t="s">
        <v>536</v>
      </c>
      <c r="I7" s="368" t="s">
        <v>537</v>
      </c>
      <c r="J7" s="369" t="s">
        <v>538</v>
      </c>
      <c r="K7" s="756" t="s">
        <v>539</v>
      </c>
      <c r="L7" s="758"/>
      <c r="M7" s="153"/>
    </row>
    <row r="8" spans="1:13" ht="15.75" customHeight="1">
      <c r="A8" s="745">
        <v>7</v>
      </c>
      <c r="B8" s="748" t="s">
        <v>135</v>
      </c>
      <c r="C8" s="545">
        <v>1</v>
      </c>
      <c r="D8" s="388" t="s">
        <v>649</v>
      </c>
      <c r="E8" s="381"/>
      <c r="F8" s="382"/>
      <c r="G8" s="383">
        <v>17</v>
      </c>
      <c r="H8" s="383">
        <v>1395.2277525492696</v>
      </c>
      <c r="I8" s="383">
        <v>82.072220738192328</v>
      </c>
      <c r="J8" s="384" t="s">
        <v>859</v>
      </c>
      <c r="K8" s="743"/>
      <c r="L8" s="744"/>
      <c r="M8" s="131"/>
    </row>
    <row r="9" spans="1:13" ht="15.75" customHeight="1">
      <c r="A9" s="746"/>
      <c r="B9" s="749"/>
      <c r="C9" s="545">
        <v>2</v>
      </c>
      <c r="D9" s="388" t="s">
        <v>648</v>
      </c>
      <c r="E9" s="381"/>
      <c r="F9" s="382"/>
      <c r="G9" s="383">
        <v>17</v>
      </c>
      <c r="H9" s="383">
        <v>1389.2881217193494</v>
      </c>
      <c r="I9" s="383">
        <v>81.722830689373495</v>
      </c>
      <c r="J9" s="384" t="s">
        <v>859</v>
      </c>
      <c r="K9" s="743"/>
      <c r="L9" s="744"/>
      <c r="M9" s="131"/>
    </row>
    <row r="10" spans="1:13" ht="15.75" customHeight="1">
      <c r="A10" s="746"/>
      <c r="B10" s="749"/>
      <c r="C10" s="545">
        <v>3</v>
      </c>
      <c r="D10" s="389" t="s">
        <v>663</v>
      </c>
      <c r="E10" s="381"/>
      <c r="F10" s="382"/>
      <c r="G10" s="383">
        <v>18</v>
      </c>
      <c r="H10" s="383">
        <v>1426.6666666666667</v>
      </c>
      <c r="I10" s="383">
        <v>79.259259259259267</v>
      </c>
      <c r="J10" s="384" t="s">
        <v>859</v>
      </c>
      <c r="K10" s="743"/>
      <c r="L10" s="744"/>
      <c r="M10" s="131"/>
    </row>
    <row r="11" spans="1:13" ht="15.75" customHeight="1">
      <c r="A11" s="746"/>
      <c r="B11" s="749"/>
      <c r="C11" s="545">
        <v>4</v>
      </c>
      <c r="D11" s="388" t="s">
        <v>729</v>
      </c>
      <c r="E11" s="381"/>
      <c r="F11" s="382"/>
      <c r="G11" s="383">
        <v>18</v>
      </c>
      <c r="H11" s="383">
        <v>1393.3173493589657</v>
      </c>
      <c r="I11" s="383">
        <v>77.406519408831429</v>
      </c>
      <c r="J11" s="384" t="s">
        <v>859</v>
      </c>
      <c r="K11" s="743"/>
      <c r="L11" s="744"/>
      <c r="M11" s="131"/>
    </row>
    <row r="12" spans="1:13" ht="15.75" customHeight="1">
      <c r="A12" s="746"/>
      <c r="B12" s="749"/>
      <c r="C12" s="545">
        <v>5</v>
      </c>
      <c r="D12" s="389" t="s">
        <v>849</v>
      </c>
      <c r="E12" s="381"/>
      <c r="F12" s="382"/>
      <c r="G12" s="383">
        <v>17</v>
      </c>
      <c r="H12" s="383">
        <v>1307.4997768403737</v>
      </c>
      <c r="I12" s="383">
        <v>76.911751578845525</v>
      </c>
      <c r="J12" s="384" t="s">
        <v>859</v>
      </c>
      <c r="K12" s="743"/>
      <c r="L12" s="744"/>
      <c r="M12" s="131"/>
    </row>
    <row r="13" spans="1:13" ht="15.75" customHeight="1">
      <c r="A13" s="746"/>
      <c r="B13" s="749"/>
      <c r="C13" s="165" t="s">
        <v>379</v>
      </c>
      <c r="D13" s="389" t="s">
        <v>728</v>
      </c>
      <c r="E13" s="381"/>
      <c r="F13" s="382"/>
      <c r="G13" s="383">
        <v>19</v>
      </c>
      <c r="H13" s="383">
        <v>1358.800505959885</v>
      </c>
      <c r="I13" s="383">
        <v>71.515816103151835</v>
      </c>
      <c r="J13" s="384" t="s">
        <v>859</v>
      </c>
      <c r="K13" s="753"/>
      <c r="L13" s="752"/>
      <c r="M13" s="131"/>
    </row>
    <row r="14" spans="1:13" ht="15.75" customHeight="1">
      <c r="A14" s="746"/>
      <c r="B14" s="749"/>
      <c r="C14" s="165" t="s">
        <v>380</v>
      </c>
      <c r="D14" s="388"/>
      <c r="E14" s="381"/>
      <c r="F14" s="382"/>
      <c r="G14" s="383"/>
      <c r="H14" s="383"/>
      <c r="I14" s="383"/>
      <c r="J14" s="384"/>
      <c r="K14" s="751"/>
      <c r="L14" s="752"/>
      <c r="M14" s="131"/>
    </row>
    <row r="15" spans="1:13" ht="15.75" customHeight="1">
      <c r="A15" s="746"/>
      <c r="B15" s="749"/>
      <c r="C15" s="165" t="s">
        <v>381</v>
      </c>
      <c r="D15" s="388"/>
      <c r="E15" s="381"/>
      <c r="F15" s="382"/>
      <c r="G15" s="383"/>
      <c r="H15" s="383"/>
      <c r="I15" s="383"/>
      <c r="J15" s="384"/>
      <c r="K15" s="751"/>
      <c r="L15" s="752"/>
      <c r="M15" s="131"/>
    </row>
    <row r="16" spans="1:13" ht="15.75" customHeight="1">
      <c r="A16" s="746"/>
      <c r="B16" s="749"/>
      <c r="C16" s="165" t="s">
        <v>382</v>
      </c>
      <c r="D16" s="388"/>
      <c r="E16" s="381"/>
      <c r="F16" s="382"/>
      <c r="G16" s="383"/>
      <c r="H16" s="383"/>
      <c r="I16" s="383"/>
      <c r="J16" s="384"/>
      <c r="K16" s="751"/>
      <c r="L16" s="752"/>
      <c r="M16" s="152"/>
    </row>
    <row r="17" spans="1:13" ht="15.75" customHeight="1">
      <c r="A17" s="747"/>
      <c r="B17" s="750"/>
      <c r="C17" s="165" t="s">
        <v>383</v>
      </c>
      <c r="D17" s="388"/>
      <c r="E17" s="381"/>
      <c r="F17" s="382"/>
      <c r="G17" s="546"/>
      <c r="H17" s="546"/>
      <c r="I17" s="546"/>
      <c r="J17" s="546"/>
      <c r="K17" s="751"/>
      <c r="L17" s="752"/>
      <c r="M17" s="152"/>
    </row>
    <row r="18" spans="1:13" s="162" customFormat="1" ht="15.75" customHeight="1">
      <c r="A18" s="759" t="s">
        <v>166</v>
      </c>
      <c r="B18" s="760"/>
      <c r="C18" s="544" t="s">
        <v>47</v>
      </c>
      <c r="D18" s="759" t="s">
        <v>12</v>
      </c>
      <c r="E18" s="761"/>
      <c r="F18" s="760"/>
      <c r="G18" s="544" t="s">
        <v>46</v>
      </c>
      <c r="H18" s="544" t="s">
        <v>375</v>
      </c>
      <c r="I18" s="544" t="s">
        <v>376</v>
      </c>
      <c r="J18" s="219" t="s">
        <v>377</v>
      </c>
      <c r="K18" s="759" t="s">
        <v>51</v>
      </c>
      <c r="L18" s="760"/>
      <c r="M18" s="155"/>
    </row>
    <row r="19" spans="1:13" ht="15.75" customHeight="1">
      <c r="A19" s="745">
        <v>8</v>
      </c>
      <c r="B19" s="748" t="s">
        <v>136</v>
      </c>
      <c r="C19" s="545">
        <v>1</v>
      </c>
      <c r="D19" s="528" t="s">
        <v>661</v>
      </c>
      <c r="E19" s="381"/>
      <c r="F19" s="382"/>
      <c r="G19" s="383">
        <v>17.085714285714285</v>
      </c>
      <c r="H19" s="383">
        <v>2352.475117268682</v>
      </c>
      <c r="I19" s="383">
        <v>137.72080933260671</v>
      </c>
      <c r="J19" s="384" t="s">
        <v>859</v>
      </c>
      <c r="K19" s="763"/>
      <c r="L19" s="764"/>
      <c r="M19" s="152"/>
    </row>
    <row r="20" spans="1:13" ht="15.75" customHeight="1">
      <c r="A20" s="746"/>
      <c r="B20" s="749"/>
      <c r="C20" s="545">
        <v>2</v>
      </c>
      <c r="D20" s="528" t="s">
        <v>348</v>
      </c>
      <c r="E20" s="381"/>
      <c r="F20" s="382"/>
      <c r="G20" s="383">
        <v>18.25</v>
      </c>
      <c r="H20" s="383">
        <v>2508.0532039580189</v>
      </c>
      <c r="I20" s="383">
        <v>137.50297243816468</v>
      </c>
      <c r="J20" s="386" t="s">
        <v>856</v>
      </c>
      <c r="K20" s="763" t="s">
        <v>868</v>
      </c>
      <c r="L20" s="764"/>
      <c r="M20" s="152"/>
    </row>
    <row r="21" spans="1:13" ht="15.75" customHeight="1">
      <c r="A21" s="746"/>
      <c r="B21" s="749"/>
      <c r="C21" s="545">
        <v>3</v>
      </c>
      <c r="D21" s="388" t="s">
        <v>731</v>
      </c>
      <c r="E21" s="381"/>
      <c r="F21" s="382"/>
      <c r="G21" s="383">
        <v>17.864285714285714</v>
      </c>
      <c r="H21" s="383">
        <v>2354.131191403093</v>
      </c>
      <c r="I21" s="383">
        <v>131.83144651897047</v>
      </c>
      <c r="J21" s="387" t="s">
        <v>858</v>
      </c>
      <c r="K21" s="765" t="s">
        <v>869</v>
      </c>
      <c r="L21" s="766"/>
      <c r="M21" s="152"/>
    </row>
    <row r="22" spans="1:13" ht="15.75" customHeight="1">
      <c r="A22" s="746"/>
      <c r="B22" s="749"/>
      <c r="C22" s="545">
        <v>4</v>
      </c>
      <c r="D22" s="388" t="s">
        <v>664</v>
      </c>
      <c r="E22" s="381"/>
      <c r="F22" s="382"/>
      <c r="G22" s="383">
        <v>17.857142857142858</v>
      </c>
      <c r="H22" s="383">
        <v>2324.9023929019108</v>
      </c>
      <c r="I22" s="383">
        <v>130.25670683044757</v>
      </c>
      <c r="J22" s="387" t="s">
        <v>858</v>
      </c>
      <c r="K22" s="767"/>
      <c r="L22" s="768"/>
      <c r="M22" s="152"/>
    </row>
    <row r="23" spans="1:13" ht="15.75" customHeight="1">
      <c r="A23" s="746"/>
      <c r="B23" s="749"/>
      <c r="C23" s="545">
        <v>5</v>
      </c>
      <c r="D23" s="388" t="s">
        <v>349</v>
      </c>
      <c r="E23" s="381"/>
      <c r="F23" s="382"/>
      <c r="G23" s="383">
        <v>19.278571428571428</v>
      </c>
      <c r="H23" s="383">
        <v>2465.2443066485803</v>
      </c>
      <c r="I23" s="383">
        <v>127.90446404917705</v>
      </c>
      <c r="J23" s="384" t="s">
        <v>859</v>
      </c>
      <c r="K23" s="763"/>
      <c r="L23" s="764"/>
      <c r="M23" s="152"/>
    </row>
    <row r="24" spans="1:13" ht="15.75" customHeight="1">
      <c r="A24" s="746"/>
      <c r="B24" s="749"/>
      <c r="C24" s="165" t="s">
        <v>379</v>
      </c>
      <c r="D24" s="388" t="s">
        <v>795</v>
      </c>
      <c r="E24" s="381"/>
      <c r="F24" s="382"/>
      <c r="G24" s="383">
        <v>21</v>
      </c>
      <c r="H24" s="383">
        <v>2151.6925804590005</v>
      </c>
      <c r="I24" s="383">
        <v>102.46155145042863</v>
      </c>
      <c r="J24" s="384" t="s">
        <v>859</v>
      </c>
      <c r="K24" s="763"/>
      <c r="L24" s="764"/>
      <c r="M24" s="152"/>
    </row>
    <row r="25" spans="1:13" ht="15.75" customHeight="1">
      <c r="A25" s="746"/>
      <c r="B25" s="749"/>
      <c r="C25" s="165" t="s">
        <v>380</v>
      </c>
      <c r="D25" s="528" t="s">
        <v>794</v>
      </c>
      <c r="E25" s="381"/>
      <c r="F25" s="382"/>
      <c r="G25" s="383">
        <v>19</v>
      </c>
      <c r="H25" s="383">
        <v>2079.7794465376155</v>
      </c>
      <c r="I25" s="383">
        <v>109.46207613355872</v>
      </c>
      <c r="J25" s="384" t="s">
        <v>859</v>
      </c>
      <c r="K25" s="763"/>
      <c r="L25" s="764"/>
      <c r="M25" s="152"/>
    </row>
    <row r="26" spans="1:13" ht="15.75" customHeight="1">
      <c r="A26" s="746"/>
      <c r="B26" s="749"/>
      <c r="C26" s="165" t="s">
        <v>381</v>
      </c>
      <c r="D26" s="528" t="s">
        <v>730</v>
      </c>
      <c r="E26" s="381"/>
      <c r="F26" s="382"/>
      <c r="G26" s="383">
        <v>18.411904761904761</v>
      </c>
      <c r="H26" s="383">
        <v>2074.2926809771402</v>
      </c>
      <c r="I26" s="383">
        <v>112.75963247362112</v>
      </c>
      <c r="J26" s="384" t="s">
        <v>859</v>
      </c>
      <c r="K26" s="762"/>
      <c r="L26" s="744"/>
      <c r="M26" s="152"/>
    </row>
    <row r="27" spans="1:13" ht="15.75" customHeight="1">
      <c r="A27" s="746"/>
      <c r="B27" s="749"/>
      <c r="C27" s="165" t="s">
        <v>382</v>
      </c>
      <c r="D27" s="388" t="s">
        <v>850</v>
      </c>
      <c r="E27" s="381"/>
      <c r="F27" s="382"/>
      <c r="G27" s="383">
        <v>19.142857142857142</v>
      </c>
      <c r="H27" s="383">
        <v>2201.027273364311</v>
      </c>
      <c r="I27" s="383">
        <v>115.01267239315881</v>
      </c>
      <c r="J27" s="384" t="s">
        <v>859</v>
      </c>
      <c r="K27" s="762"/>
      <c r="L27" s="744"/>
      <c r="M27" s="152"/>
    </row>
    <row r="28" spans="1:13" ht="15.75" customHeight="1">
      <c r="A28" s="747"/>
      <c r="B28" s="750"/>
      <c r="C28" s="165" t="s">
        <v>383</v>
      </c>
      <c r="D28" s="388" t="s">
        <v>347</v>
      </c>
      <c r="E28" s="381"/>
      <c r="F28" s="382"/>
      <c r="G28" s="383">
        <v>20.25</v>
      </c>
      <c r="H28" s="383">
        <v>2354.3209390260217</v>
      </c>
      <c r="I28" s="383">
        <v>116.30633110474193</v>
      </c>
      <c r="J28" s="384" t="s">
        <v>859</v>
      </c>
      <c r="K28" s="762"/>
      <c r="L28" s="744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32">
    <mergeCell ref="A19:A28"/>
    <mergeCell ref="B19:B28"/>
    <mergeCell ref="K28:L28"/>
    <mergeCell ref="K24:L24"/>
    <mergeCell ref="K25:L25"/>
    <mergeCell ref="K27:L27"/>
    <mergeCell ref="K26:L26"/>
    <mergeCell ref="K23:L23"/>
    <mergeCell ref="K19:L19"/>
    <mergeCell ref="K20:L20"/>
    <mergeCell ref="K21:L22"/>
    <mergeCell ref="A18:B18"/>
    <mergeCell ref="D18:F18"/>
    <mergeCell ref="K18:L18"/>
    <mergeCell ref="K14:L14"/>
    <mergeCell ref="K16:L16"/>
    <mergeCell ref="A1:L2"/>
    <mergeCell ref="K8:L8"/>
    <mergeCell ref="K9:L9"/>
    <mergeCell ref="A8:A17"/>
    <mergeCell ref="B8:B17"/>
    <mergeCell ref="K10:L10"/>
    <mergeCell ref="K17:L17"/>
    <mergeCell ref="K13:L13"/>
    <mergeCell ref="K15:L15"/>
    <mergeCell ref="K11:L11"/>
    <mergeCell ref="K12:L12"/>
    <mergeCell ref="A3:L4"/>
    <mergeCell ref="A5:A6"/>
    <mergeCell ref="A7:B7"/>
    <mergeCell ref="D7:F7"/>
    <mergeCell ref="K7:L7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  <outlinePr summaryBelow="0" summaryRight="0"/>
  </sheetPr>
  <dimension ref="A1:M35"/>
  <sheetViews>
    <sheetView zoomScale="85" zoomScaleNormal="85" zoomScaleSheetLayoutView="100" workbookViewId="0">
      <selection activeCell="O17" sqref="O17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582" t="s">
        <v>183</v>
      </c>
      <c r="B1" s="582"/>
      <c r="C1" s="582"/>
      <c r="D1" s="582"/>
      <c r="E1" s="582"/>
      <c r="F1" s="582"/>
      <c r="G1" s="582"/>
      <c r="H1" s="582"/>
      <c r="I1" s="582"/>
      <c r="J1" s="582"/>
      <c r="K1" s="582"/>
      <c r="L1" s="582"/>
      <c r="M1" s="120"/>
    </row>
    <row r="2" spans="1:13" s="121" customFormat="1" ht="15.75" customHeight="1">
      <c r="A2" s="582"/>
      <c r="B2" s="582"/>
      <c r="C2" s="582"/>
      <c r="D2" s="582"/>
      <c r="E2" s="582"/>
      <c r="F2" s="582"/>
      <c r="G2" s="582"/>
      <c r="H2" s="582"/>
      <c r="I2" s="582"/>
      <c r="J2" s="582"/>
      <c r="K2" s="582"/>
      <c r="L2" s="582"/>
    </row>
    <row r="3" spans="1:13" ht="15.75" customHeight="1">
      <c r="A3" s="707" t="s">
        <v>184</v>
      </c>
      <c r="B3" s="707"/>
      <c r="C3" s="707"/>
      <c r="D3" s="707"/>
      <c r="E3" s="707"/>
      <c r="F3" s="707"/>
      <c r="G3" s="707"/>
      <c r="H3" s="707"/>
      <c r="I3" s="707"/>
      <c r="J3" s="707"/>
      <c r="K3" s="707"/>
      <c r="L3" s="707"/>
      <c r="M3" s="152"/>
    </row>
    <row r="4" spans="1:13" s="121" customFormat="1" ht="15.75" customHeight="1">
      <c r="A4" s="707"/>
      <c r="B4" s="707"/>
      <c r="C4" s="707"/>
      <c r="D4" s="707"/>
      <c r="E4" s="707"/>
      <c r="F4" s="707"/>
      <c r="G4" s="707"/>
      <c r="H4" s="707"/>
      <c r="I4" s="707"/>
      <c r="J4" s="707"/>
      <c r="K4" s="707"/>
      <c r="L4" s="707"/>
      <c r="M4" s="131"/>
    </row>
    <row r="5" spans="1:13" s="154" customFormat="1" ht="16.350000000000001" customHeight="1">
      <c r="A5" s="745" t="s">
        <v>154</v>
      </c>
      <c r="B5" s="156">
        <v>1</v>
      </c>
      <c r="C5" s="156">
        <v>2</v>
      </c>
      <c r="D5" s="156">
        <v>3</v>
      </c>
      <c r="E5" s="156">
        <v>4</v>
      </c>
      <c r="F5" s="156">
        <v>5</v>
      </c>
      <c r="G5" s="156">
        <v>6</v>
      </c>
      <c r="H5" s="156">
        <v>7</v>
      </c>
      <c r="I5" s="156">
        <v>8</v>
      </c>
      <c r="J5" s="166">
        <v>9</v>
      </c>
      <c r="K5" s="153"/>
      <c r="L5" s="153"/>
      <c r="M5" s="153"/>
    </row>
    <row r="6" spans="1:13" ht="16.350000000000001" customHeight="1">
      <c r="A6" s="747"/>
      <c r="B6" s="157" t="s">
        <v>185</v>
      </c>
      <c r="C6" s="157" t="s">
        <v>151</v>
      </c>
      <c r="D6" s="157" t="s">
        <v>186</v>
      </c>
      <c r="E6" s="157" t="s">
        <v>153</v>
      </c>
      <c r="F6" s="158" t="s">
        <v>133</v>
      </c>
      <c r="G6" s="159" t="s">
        <v>131</v>
      </c>
      <c r="H6" s="160" t="s">
        <v>187</v>
      </c>
      <c r="I6" s="159" t="s">
        <v>188</v>
      </c>
      <c r="J6" s="169" t="s">
        <v>137</v>
      </c>
      <c r="K6" s="155"/>
      <c r="L6" s="155"/>
      <c r="M6" s="131"/>
    </row>
    <row r="7" spans="1:13" s="154" customFormat="1" ht="15.75" customHeight="1">
      <c r="A7" s="754" t="s">
        <v>474</v>
      </c>
      <c r="B7" s="755"/>
      <c r="C7" s="368" t="s">
        <v>534</v>
      </c>
      <c r="D7" s="756" t="s">
        <v>12</v>
      </c>
      <c r="E7" s="757"/>
      <c r="F7" s="758"/>
      <c r="G7" s="368" t="s">
        <v>535</v>
      </c>
      <c r="H7" s="368" t="s">
        <v>536</v>
      </c>
      <c r="I7" s="368" t="s">
        <v>537</v>
      </c>
      <c r="J7" s="369" t="s">
        <v>538</v>
      </c>
      <c r="K7" s="756" t="s">
        <v>539</v>
      </c>
      <c r="L7" s="758"/>
      <c r="M7" s="153"/>
    </row>
    <row r="8" spans="1:13" ht="15.75" customHeight="1">
      <c r="A8" s="745">
        <f>J5</f>
        <v>9</v>
      </c>
      <c r="B8" s="748" t="str">
        <f>J6</f>
        <v>微波小吃</v>
      </c>
      <c r="C8" s="545">
        <v>1</v>
      </c>
      <c r="D8" s="388" t="s">
        <v>352</v>
      </c>
      <c r="E8" s="381"/>
      <c r="F8" s="382"/>
      <c r="G8" s="434">
        <v>7</v>
      </c>
      <c r="H8" s="434">
        <v>1465.3990365110451</v>
      </c>
      <c r="I8" s="434">
        <v>209.34271950157785</v>
      </c>
      <c r="J8" s="386" t="s">
        <v>856</v>
      </c>
      <c r="K8" s="772" t="s">
        <v>870</v>
      </c>
      <c r="L8" s="773"/>
      <c r="M8" s="131"/>
    </row>
    <row r="9" spans="1:13" ht="15.75" customHeight="1">
      <c r="A9" s="746"/>
      <c r="B9" s="749"/>
      <c r="C9" s="545">
        <v>2</v>
      </c>
      <c r="D9" s="388" t="s">
        <v>384</v>
      </c>
      <c r="E9" s="381"/>
      <c r="F9" s="382"/>
      <c r="G9" s="434">
        <v>7</v>
      </c>
      <c r="H9" s="434">
        <v>1459.4001332922512</v>
      </c>
      <c r="I9" s="434">
        <v>208.48573332746446</v>
      </c>
      <c r="J9" s="384" t="s">
        <v>859</v>
      </c>
      <c r="K9" s="774"/>
      <c r="L9" s="775"/>
      <c r="M9" s="131"/>
    </row>
    <row r="10" spans="1:13" ht="15.75" customHeight="1">
      <c r="A10" s="746"/>
      <c r="B10" s="749"/>
      <c r="C10" s="545">
        <v>3</v>
      </c>
      <c r="D10" s="388" t="s">
        <v>351</v>
      </c>
      <c r="E10" s="381"/>
      <c r="F10" s="382"/>
      <c r="G10" s="434">
        <v>7</v>
      </c>
      <c r="H10" s="434">
        <v>1452.0196929059887</v>
      </c>
      <c r="I10" s="434">
        <v>207.43138470085552</v>
      </c>
      <c r="J10" s="386" t="s">
        <v>856</v>
      </c>
      <c r="K10" s="774"/>
      <c r="L10" s="775"/>
      <c r="M10" s="131"/>
    </row>
    <row r="11" spans="1:13" ht="15.75" customHeight="1">
      <c r="A11" s="746"/>
      <c r="B11" s="749"/>
      <c r="C11" s="545">
        <v>4</v>
      </c>
      <c r="D11" s="389" t="s">
        <v>798</v>
      </c>
      <c r="E11" s="381"/>
      <c r="F11" s="382"/>
      <c r="G11" s="434">
        <v>7</v>
      </c>
      <c r="H11" s="434">
        <v>1448.6066275661572</v>
      </c>
      <c r="I11" s="434">
        <v>206.94380393802248</v>
      </c>
      <c r="J11" s="387" t="s">
        <v>858</v>
      </c>
      <c r="K11" s="774"/>
      <c r="L11" s="775"/>
      <c r="M11" s="131"/>
    </row>
    <row r="12" spans="1:13" ht="15.75" customHeight="1">
      <c r="A12" s="746"/>
      <c r="B12" s="749"/>
      <c r="C12" s="545">
        <v>5</v>
      </c>
      <c r="D12" s="389" t="s">
        <v>540</v>
      </c>
      <c r="E12" s="381"/>
      <c r="F12" s="382"/>
      <c r="G12" s="434">
        <v>7</v>
      </c>
      <c r="H12" s="434">
        <v>1445.8923632546764</v>
      </c>
      <c r="I12" s="434">
        <v>206.55605189352519</v>
      </c>
      <c r="J12" s="384" t="s">
        <v>859</v>
      </c>
      <c r="K12" s="776"/>
      <c r="L12" s="777"/>
      <c r="M12" s="131"/>
    </row>
    <row r="13" spans="1:13" ht="15.75" customHeight="1">
      <c r="A13" s="746"/>
      <c r="B13" s="749"/>
      <c r="C13" s="165" t="s">
        <v>379</v>
      </c>
      <c r="D13" s="389" t="s">
        <v>315</v>
      </c>
      <c r="E13" s="381"/>
      <c r="F13" s="382"/>
      <c r="G13" s="434">
        <v>19.896825396825395</v>
      </c>
      <c r="H13" s="434">
        <v>1305.634583708036</v>
      </c>
      <c r="I13" s="434">
        <v>65.627254767274167</v>
      </c>
      <c r="J13" s="384" t="s">
        <v>859</v>
      </c>
      <c r="K13" s="771"/>
      <c r="L13" s="771"/>
      <c r="M13" s="131"/>
    </row>
    <row r="14" spans="1:13" ht="15.75" customHeight="1">
      <c r="A14" s="746"/>
      <c r="B14" s="749"/>
      <c r="C14" s="165" t="s">
        <v>380</v>
      </c>
      <c r="D14" s="388" t="s">
        <v>732</v>
      </c>
      <c r="E14" s="381"/>
      <c r="F14" s="382"/>
      <c r="G14" s="434">
        <v>16</v>
      </c>
      <c r="H14" s="434">
        <v>1127.5001589849719</v>
      </c>
      <c r="I14" s="434">
        <v>70.468759936560744</v>
      </c>
      <c r="J14" s="384" t="s">
        <v>859</v>
      </c>
      <c r="K14" s="769"/>
      <c r="L14" s="770"/>
      <c r="M14" s="131"/>
    </row>
    <row r="15" spans="1:13" ht="15.75" customHeight="1">
      <c r="A15" s="746"/>
      <c r="B15" s="749"/>
      <c r="C15" s="165" t="s">
        <v>381</v>
      </c>
      <c r="D15" s="388" t="s">
        <v>353</v>
      </c>
      <c r="E15" s="381"/>
      <c r="F15" s="382"/>
      <c r="G15" s="383">
        <v>16.623809523809523</v>
      </c>
      <c r="H15" s="383">
        <v>1379.2674551075047</v>
      </c>
      <c r="I15" s="383">
        <v>83.026140640818568</v>
      </c>
      <c r="J15" s="384" t="s">
        <v>859</v>
      </c>
      <c r="K15" s="769"/>
      <c r="L15" s="770"/>
      <c r="M15" s="131"/>
    </row>
    <row r="16" spans="1:13" ht="15.75" customHeight="1">
      <c r="A16" s="746"/>
      <c r="B16" s="749"/>
      <c r="C16" s="165" t="s">
        <v>382</v>
      </c>
      <c r="D16" s="389" t="s">
        <v>723</v>
      </c>
      <c r="E16" s="381"/>
      <c r="F16" s="382"/>
      <c r="G16" s="383">
        <v>12</v>
      </c>
      <c r="H16" s="383">
        <v>1484.5779309879442</v>
      </c>
      <c r="I16" s="383">
        <v>123.7148275823287</v>
      </c>
      <c r="J16" s="384" t="s">
        <v>859</v>
      </c>
      <c r="K16" s="769"/>
      <c r="L16" s="770"/>
      <c r="M16" s="152"/>
    </row>
    <row r="17" spans="1:13" ht="15.75" customHeight="1">
      <c r="A17" s="747"/>
      <c r="B17" s="750"/>
      <c r="C17" s="165" t="s">
        <v>383</v>
      </c>
      <c r="D17" s="389" t="s">
        <v>724</v>
      </c>
      <c r="E17" s="381"/>
      <c r="F17" s="382"/>
      <c r="G17" s="383">
        <v>12</v>
      </c>
      <c r="H17" s="383">
        <v>1486.7281060291084</v>
      </c>
      <c r="I17" s="383">
        <v>123.89400883575904</v>
      </c>
      <c r="J17" s="384" t="s">
        <v>859</v>
      </c>
      <c r="K17" s="769"/>
      <c r="L17" s="770"/>
      <c r="M17" s="152"/>
    </row>
    <row r="18" spans="1:13" s="162" customFormat="1" ht="15.75" customHeight="1">
      <c r="A18" s="759" t="s">
        <v>166</v>
      </c>
      <c r="B18" s="760"/>
      <c r="C18" s="544" t="s">
        <v>47</v>
      </c>
      <c r="D18" s="759" t="s">
        <v>12</v>
      </c>
      <c r="E18" s="761"/>
      <c r="F18" s="760"/>
      <c r="G18" s="544" t="s">
        <v>46</v>
      </c>
      <c r="H18" s="544" t="s">
        <v>375</v>
      </c>
      <c r="I18" s="544" t="s">
        <v>376</v>
      </c>
      <c r="J18" s="219" t="s">
        <v>377</v>
      </c>
      <c r="K18" s="759" t="s">
        <v>51</v>
      </c>
      <c r="L18" s="760"/>
      <c r="M18" s="155"/>
    </row>
    <row r="19" spans="1:13" ht="15.75" customHeight="1">
      <c r="A19" s="745"/>
      <c r="B19" s="748"/>
      <c r="C19" s="545">
        <v>1</v>
      </c>
      <c r="D19" s="388"/>
      <c r="E19" s="381"/>
      <c r="F19" s="382"/>
      <c r="G19" s="546"/>
      <c r="H19" s="546"/>
      <c r="I19" s="546"/>
      <c r="J19" s="546"/>
      <c r="K19" s="778"/>
      <c r="L19" s="779"/>
      <c r="M19" s="152"/>
    </row>
    <row r="20" spans="1:13" ht="15.75" customHeight="1">
      <c r="A20" s="746"/>
      <c r="B20" s="749"/>
      <c r="C20" s="545">
        <v>2</v>
      </c>
      <c r="D20" s="388"/>
      <c r="E20" s="381"/>
      <c r="F20" s="382"/>
      <c r="G20" s="546"/>
      <c r="H20" s="546"/>
      <c r="I20" s="546"/>
      <c r="J20" s="546"/>
      <c r="K20" s="780"/>
      <c r="L20" s="781"/>
      <c r="M20" s="152"/>
    </row>
    <row r="21" spans="1:13" ht="15.75" customHeight="1">
      <c r="A21" s="746"/>
      <c r="B21" s="749"/>
      <c r="C21" s="545">
        <v>3</v>
      </c>
      <c r="D21" s="388"/>
      <c r="E21" s="381"/>
      <c r="F21" s="382"/>
      <c r="G21" s="546"/>
      <c r="H21" s="546"/>
      <c r="I21" s="546"/>
      <c r="J21" s="546"/>
      <c r="K21" s="780"/>
      <c r="L21" s="781"/>
      <c r="M21" s="152"/>
    </row>
    <row r="22" spans="1:13" ht="15.75" customHeight="1">
      <c r="A22" s="746"/>
      <c r="B22" s="749"/>
      <c r="C22" s="545">
        <v>4</v>
      </c>
      <c r="D22" s="388"/>
      <c r="E22" s="381"/>
      <c r="F22" s="382"/>
      <c r="G22" s="546"/>
      <c r="H22" s="546"/>
      <c r="I22" s="546"/>
      <c r="J22" s="546"/>
      <c r="K22" s="780"/>
      <c r="L22" s="781"/>
      <c r="M22" s="152"/>
    </row>
    <row r="23" spans="1:13" ht="15.75" customHeight="1">
      <c r="A23" s="746"/>
      <c r="B23" s="749"/>
      <c r="C23" s="545">
        <v>5</v>
      </c>
      <c r="D23" s="388"/>
      <c r="E23" s="381"/>
      <c r="F23" s="382"/>
      <c r="G23" s="546"/>
      <c r="H23" s="546"/>
      <c r="I23" s="546"/>
      <c r="J23" s="546"/>
      <c r="K23" s="780"/>
      <c r="L23" s="781"/>
      <c r="M23" s="152"/>
    </row>
    <row r="24" spans="1:13" ht="15.75" customHeight="1">
      <c r="A24" s="746"/>
      <c r="B24" s="749"/>
      <c r="C24" s="165" t="s">
        <v>379</v>
      </c>
      <c r="D24" s="388"/>
      <c r="E24" s="381"/>
      <c r="F24" s="382"/>
      <c r="G24" s="546"/>
      <c r="H24" s="546"/>
      <c r="I24" s="546"/>
      <c r="J24" s="546"/>
      <c r="K24" s="778"/>
      <c r="L24" s="779"/>
      <c r="M24" s="152"/>
    </row>
    <row r="25" spans="1:13" ht="15.75" customHeight="1">
      <c r="A25" s="746"/>
      <c r="B25" s="749"/>
      <c r="C25" s="165" t="s">
        <v>380</v>
      </c>
      <c r="D25" s="388"/>
      <c r="E25" s="381"/>
      <c r="F25" s="382"/>
      <c r="G25" s="546"/>
      <c r="H25" s="546"/>
      <c r="I25" s="546"/>
      <c r="J25" s="546"/>
      <c r="K25" s="780"/>
      <c r="L25" s="781"/>
      <c r="M25" s="152"/>
    </row>
    <row r="26" spans="1:13" ht="15.75" customHeight="1">
      <c r="A26" s="746"/>
      <c r="B26" s="749"/>
      <c r="C26" s="165" t="s">
        <v>381</v>
      </c>
      <c r="D26" s="388"/>
      <c r="E26" s="381"/>
      <c r="F26" s="382"/>
      <c r="G26" s="546"/>
      <c r="H26" s="546"/>
      <c r="I26" s="546"/>
      <c r="J26" s="546"/>
      <c r="K26" s="780"/>
      <c r="L26" s="781"/>
      <c r="M26" s="152"/>
    </row>
    <row r="27" spans="1:13" ht="15.75" customHeight="1">
      <c r="A27" s="746"/>
      <c r="B27" s="749"/>
      <c r="C27" s="165" t="s">
        <v>382</v>
      </c>
      <c r="D27" s="388"/>
      <c r="E27" s="381"/>
      <c r="F27" s="382"/>
      <c r="G27" s="546"/>
      <c r="H27" s="546"/>
      <c r="I27" s="546"/>
      <c r="J27" s="546"/>
      <c r="K27" s="780"/>
      <c r="L27" s="781"/>
      <c r="M27" s="152"/>
    </row>
    <row r="28" spans="1:13" ht="15.75" customHeight="1">
      <c r="A28" s="747"/>
      <c r="B28" s="750"/>
      <c r="C28" s="165" t="s">
        <v>383</v>
      </c>
      <c r="D28" s="388"/>
      <c r="E28" s="381"/>
      <c r="F28" s="382"/>
      <c r="G28" s="546"/>
      <c r="H28" s="546"/>
      <c r="I28" s="546"/>
      <c r="J28" s="546"/>
      <c r="K28" s="780"/>
      <c r="L28" s="781"/>
      <c r="M28" s="152"/>
    </row>
    <row r="29" spans="1:13" s="77" customFormat="1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436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29">
    <mergeCell ref="K28:L28"/>
    <mergeCell ref="K21:L21"/>
    <mergeCell ref="K22:L22"/>
    <mergeCell ref="K23:L23"/>
    <mergeCell ref="K27:L27"/>
    <mergeCell ref="A1:L2"/>
    <mergeCell ref="K24:L24"/>
    <mergeCell ref="K25:L25"/>
    <mergeCell ref="K26:L26"/>
    <mergeCell ref="A18:B18"/>
    <mergeCell ref="D18:F18"/>
    <mergeCell ref="K18:L18"/>
    <mergeCell ref="A19:A28"/>
    <mergeCell ref="B19:B28"/>
    <mergeCell ref="K19:L19"/>
    <mergeCell ref="K20:L20"/>
    <mergeCell ref="A3:L4"/>
    <mergeCell ref="A5:A6"/>
    <mergeCell ref="A7:B7"/>
    <mergeCell ref="D7:F7"/>
    <mergeCell ref="K7:L7"/>
    <mergeCell ref="A8:A17"/>
    <mergeCell ref="B8:B17"/>
    <mergeCell ref="K16:L16"/>
    <mergeCell ref="K17:L17"/>
    <mergeCell ref="K13:L13"/>
    <mergeCell ref="K14:L14"/>
    <mergeCell ref="K15:L15"/>
    <mergeCell ref="K8:L1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00"/>
    <outlinePr summaryBelow="0" summaryRight="0"/>
  </sheetPr>
  <dimension ref="A1:N15"/>
  <sheetViews>
    <sheetView zoomScale="115" zoomScaleNormal="115" zoomScaleSheetLayoutView="115" workbookViewId="0">
      <selection activeCell="N13" sqref="N13"/>
    </sheetView>
  </sheetViews>
  <sheetFormatPr defaultColWidth="12.5703125" defaultRowHeight="15.75" customHeight="1"/>
  <cols>
    <col min="1" max="1" width="7.5703125" style="183" customWidth="1"/>
    <col min="2" max="2" width="14.85546875" style="183" customWidth="1"/>
    <col min="3" max="3" width="12.85546875" style="183" customWidth="1"/>
    <col min="4" max="4" width="2.5703125" style="183" customWidth="1"/>
    <col min="5" max="5" width="7.5703125" style="183" customWidth="1"/>
    <col min="6" max="6" width="12.85546875" style="183" customWidth="1"/>
    <col min="7" max="7" width="9.42578125" style="183" customWidth="1"/>
    <col min="8" max="8" width="12.85546875" style="183" customWidth="1"/>
    <col min="9" max="9" width="9.42578125" style="183" customWidth="1"/>
    <col min="10" max="10" width="12.85546875" style="183" customWidth="1"/>
    <col min="11" max="11" width="9.42578125" style="183" customWidth="1"/>
    <col min="12" max="12" width="12.85546875" style="183" customWidth="1"/>
    <col min="13" max="13" width="9.42578125" style="183" customWidth="1"/>
    <col min="14" max="16384" width="12.5703125" style="183"/>
  </cols>
  <sheetData>
    <row r="1" spans="1:14" ht="15.75" customHeight="1">
      <c r="A1" s="784" t="s">
        <v>213</v>
      </c>
      <c r="B1" s="784"/>
      <c r="C1" s="784"/>
      <c r="D1" s="784"/>
      <c r="E1" s="784"/>
      <c r="F1" s="784"/>
      <c r="G1" s="784"/>
      <c r="H1" s="784"/>
      <c r="I1" s="784"/>
      <c r="J1" s="784"/>
      <c r="K1" s="784"/>
      <c r="L1" s="784"/>
      <c r="M1" s="784"/>
    </row>
    <row r="2" spans="1:14" s="184" customFormat="1" ht="15.75" customHeight="1">
      <c r="A2" s="784"/>
      <c r="B2" s="784"/>
      <c r="C2" s="784"/>
      <c r="D2" s="784"/>
      <c r="E2" s="784"/>
      <c r="F2" s="784"/>
      <c r="G2" s="784"/>
      <c r="H2" s="784"/>
      <c r="I2" s="784"/>
      <c r="J2" s="784"/>
      <c r="K2" s="784"/>
      <c r="L2" s="784"/>
      <c r="M2" s="784"/>
    </row>
    <row r="3" spans="1:14" ht="15.75" customHeight="1">
      <c r="A3" s="785" t="s">
        <v>214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85"/>
      <c r="M3" s="785"/>
      <c r="N3" s="185"/>
    </row>
    <row r="4" spans="1:14" s="184" customFormat="1" ht="15.75" customHeight="1">
      <c r="A4" s="785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85"/>
      <c r="M4" s="785"/>
      <c r="N4" s="186"/>
    </row>
    <row r="5" spans="1:14" ht="15.75" customHeight="1">
      <c r="A5" s="187" t="s">
        <v>215</v>
      </c>
      <c r="B5" s="188">
        <v>212376150</v>
      </c>
    </row>
    <row r="6" spans="1:14" ht="15.75" customHeight="1">
      <c r="A6" s="786" t="s">
        <v>216</v>
      </c>
      <c r="B6" s="787" t="s">
        <v>10</v>
      </c>
      <c r="C6" s="787"/>
      <c r="D6" s="788"/>
      <c r="E6" s="786" t="s">
        <v>216</v>
      </c>
      <c r="F6" s="790">
        <v>1</v>
      </c>
      <c r="G6" s="790"/>
      <c r="H6" s="790">
        <v>2</v>
      </c>
      <c r="I6" s="790"/>
      <c r="J6" s="790">
        <v>3</v>
      </c>
      <c r="K6" s="790"/>
      <c r="L6" s="790">
        <v>4</v>
      </c>
      <c r="M6" s="790"/>
    </row>
    <row r="7" spans="1:14" ht="31.35" customHeight="1">
      <c r="A7" s="786"/>
      <c r="B7" s="787"/>
      <c r="C7" s="787"/>
      <c r="D7" s="789"/>
      <c r="E7" s="786"/>
      <c r="F7" s="782" t="s">
        <v>227</v>
      </c>
      <c r="G7" s="782"/>
      <c r="H7" s="782" t="s">
        <v>217</v>
      </c>
      <c r="I7" s="782"/>
      <c r="J7" s="782" t="s">
        <v>218</v>
      </c>
      <c r="K7" s="782"/>
      <c r="L7" s="782" t="s">
        <v>219</v>
      </c>
      <c r="M7" s="782"/>
    </row>
    <row r="8" spans="1:14" ht="15.75" customHeight="1">
      <c r="A8" s="786"/>
      <c r="B8" s="213" t="s">
        <v>11</v>
      </c>
      <c r="C8" s="213" t="s">
        <v>220</v>
      </c>
      <c r="D8" s="789"/>
      <c r="E8" s="786"/>
      <c r="F8" s="213" t="s">
        <v>11</v>
      </c>
      <c r="G8" s="213" t="s">
        <v>220</v>
      </c>
      <c r="H8" s="213" t="s">
        <v>11</v>
      </c>
      <c r="I8" s="213" t="s">
        <v>220</v>
      </c>
      <c r="J8" s="213" t="s">
        <v>11</v>
      </c>
      <c r="K8" s="213" t="s">
        <v>220</v>
      </c>
      <c r="L8" s="213" t="s">
        <v>11</v>
      </c>
      <c r="M8" s="213" t="s">
        <v>220</v>
      </c>
    </row>
    <row r="9" spans="1:14" s="194" customFormat="1" ht="19.350000000000001" customHeight="1">
      <c r="A9" s="189" t="s">
        <v>221</v>
      </c>
      <c r="B9" s="190">
        <v>47927.00699999994</v>
      </c>
      <c r="C9" s="191">
        <f>B9/$B$5</f>
        <v>2.256703824793883E-4</v>
      </c>
      <c r="D9" s="789"/>
      <c r="E9" s="189" t="s">
        <v>221</v>
      </c>
      <c r="F9" s="192">
        <v>1423.9050000000002</v>
      </c>
      <c r="G9" s="193">
        <f>IFERROR(F9/$B$9,"")</f>
        <v>2.9709866923256903E-2</v>
      </c>
      <c r="H9" s="192">
        <v>5535.9419999999991</v>
      </c>
      <c r="I9" s="193">
        <f>IFERROR(H9/$B$9,"")</f>
        <v>0.11550777623146812</v>
      </c>
      <c r="J9" s="192">
        <v>6691.5360000000019</v>
      </c>
      <c r="K9" s="193">
        <f>IFERROR(J9/$B$9,"")</f>
        <v>0.13961931735065389</v>
      </c>
      <c r="L9" s="192">
        <v>17258.763000000006</v>
      </c>
      <c r="M9" s="193">
        <f>IFERROR(L9/$B$9,"")</f>
        <v>0.36010516993059943</v>
      </c>
    </row>
    <row r="10" spans="1:14" s="194" customFormat="1" ht="19.350000000000001" customHeight="1">
      <c r="A10" s="195" t="s">
        <v>222</v>
      </c>
      <c r="B10" s="196">
        <v>69974.579191980054</v>
      </c>
      <c r="C10" s="191">
        <f>B10/$B$5</f>
        <v>3.2948416849999424E-4</v>
      </c>
      <c r="D10" s="789"/>
      <c r="E10" s="195" t="s">
        <v>222</v>
      </c>
      <c r="F10" s="192">
        <v>1179.8078200000007</v>
      </c>
      <c r="G10" s="193">
        <f>IFERROR(F10/$B$10,"")</f>
        <v>1.6860520400746062E-2</v>
      </c>
      <c r="H10" s="192">
        <v>3563.9139100000007</v>
      </c>
      <c r="I10" s="193">
        <f>IFERROR(H10/$B$10,"")</f>
        <v>5.0931551874319365E-2</v>
      </c>
      <c r="J10" s="192">
        <v>3130.998689999999</v>
      </c>
      <c r="K10" s="193">
        <f>IFERROR(J10/$B$10,"")</f>
        <v>4.4744801986016804E-2</v>
      </c>
      <c r="L10" s="192">
        <v>14381.948886699534</v>
      </c>
      <c r="M10" s="193">
        <f>IFERROR(L10/$B$10,"")</f>
        <v>0.20553105217312806</v>
      </c>
    </row>
    <row r="11" spans="1:14" ht="15.75" customHeight="1">
      <c r="D11" s="789"/>
      <c r="E11" s="786" t="s">
        <v>216</v>
      </c>
      <c r="F11" s="790">
        <v>5</v>
      </c>
      <c r="G11" s="790"/>
      <c r="H11" s="790">
        <v>6</v>
      </c>
      <c r="I11" s="790"/>
      <c r="J11" s="790">
        <v>7</v>
      </c>
      <c r="K11" s="790"/>
      <c r="L11" s="791">
        <v>8</v>
      </c>
      <c r="M11" s="791"/>
    </row>
    <row r="12" spans="1:14" ht="31.35" customHeight="1">
      <c r="D12" s="789"/>
      <c r="E12" s="786"/>
      <c r="F12" s="782" t="s">
        <v>223</v>
      </c>
      <c r="G12" s="782"/>
      <c r="H12" s="782" t="s">
        <v>224</v>
      </c>
      <c r="I12" s="782"/>
      <c r="J12" s="782" t="s">
        <v>225</v>
      </c>
      <c r="K12" s="782"/>
      <c r="L12" s="783" t="s">
        <v>226</v>
      </c>
      <c r="M12" s="783"/>
    </row>
    <row r="13" spans="1:14" ht="15.75" customHeight="1">
      <c r="D13" s="789"/>
      <c r="E13" s="786"/>
      <c r="F13" s="213" t="s">
        <v>11</v>
      </c>
      <c r="G13" s="213" t="s">
        <v>220</v>
      </c>
      <c r="H13" s="213" t="s">
        <v>11</v>
      </c>
      <c r="I13" s="213" t="s">
        <v>220</v>
      </c>
      <c r="J13" s="213" t="s">
        <v>11</v>
      </c>
      <c r="K13" s="213" t="s">
        <v>220</v>
      </c>
      <c r="L13" s="213" t="s">
        <v>11</v>
      </c>
      <c r="M13" s="213" t="s">
        <v>220</v>
      </c>
    </row>
    <row r="14" spans="1:14" s="194" customFormat="1" ht="19.350000000000001" customHeight="1">
      <c r="D14" s="789"/>
      <c r="E14" s="189" t="s">
        <v>221</v>
      </c>
      <c r="F14" s="192">
        <v>12460.915000000001</v>
      </c>
      <c r="G14" s="193">
        <f>IFERROR(F14/$B$9,"")</f>
        <v>0.25999777119401629</v>
      </c>
      <c r="H14" s="192">
        <v>1494.27</v>
      </c>
      <c r="I14" s="193">
        <f>IFERROR(H14/$B$9,"")</f>
        <v>3.1178037051218365E-2</v>
      </c>
      <c r="J14" s="192">
        <v>3061.675999999999</v>
      </c>
      <c r="K14" s="193">
        <f>IFERROR(J14/$B$9,"")</f>
        <v>6.3882061318788444E-2</v>
      </c>
      <c r="L14" s="192">
        <v>0</v>
      </c>
      <c r="M14" s="193">
        <f>IFERROR(L14/$B$9,"")</f>
        <v>0</v>
      </c>
    </row>
    <row r="15" spans="1:14" s="194" customFormat="1" ht="19.350000000000001" customHeight="1">
      <c r="D15" s="789"/>
      <c r="E15" s="195" t="s">
        <v>222</v>
      </c>
      <c r="F15" s="192">
        <v>30846.731825280494</v>
      </c>
      <c r="G15" s="193">
        <f>IFERROR(F15/$B$10,"")</f>
        <v>0.44082768601795191</v>
      </c>
      <c r="H15" s="192">
        <v>12704.309300000044</v>
      </c>
      <c r="I15" s="193">
        <f>IFERROR(H15/$B$10,"")</f>
        <v>0.18155606574131589</v>
      </c>
      <c r="J15" s="192">
        <v>3994.7131600000112</v>
      </c>
      <c r="K15" s="193">
        <f>IFERROR(J15/$B$10,"")</f>
        <v>5.7088062638293857E-2</v>
      </c>
      <c r="L15" s="192">
        <v>0</v>
      </c>
      <c r="M15" s="193">
        <f>IFERROR(L15/$B$10,"")</f>
        <v>0</v>
      </c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5" tint="0.39997558519241921"/>
    <outlinePr summaryBelow="0" summaryRight="0"/>
  </sheetPr>
  <dimension ref="A1:S16"/>
  <sheetViews>
    <sheetView zoomScale="110" zoomScaleNormal="110" zoomScaleSheetLayoutView="115" workbookViewId="0">
      <selection activeCell="P22" sqref="P22"/>
    </sheetView>
  </sheetViews>
  <sheetFormatPr defaultColWidth="12.5703125" defaultRowHeight="15.75" customHeight="1"/>
  <cols>
    <col min="1" max="1" width="7.5703125" style="183" customWidth="1"/>
    <col min="2" max="2" width="14.85546875" style="183" customWidth="1"/>
    <col min="3" max="3" width="12.85546875" style="183" customWidth="1"/>
    <col min="4" max="4" width="2.5703125" style="183" customWidth="1"/>
    <col min="5" max="5" width="7.5703125" style="183" customWidth="1"/>
    <col min="6" max="6" width="12.85546875" style="183" customWidth="1"/>
    <col min="7" max="7" width="9.42578125" style="183" customWidth="1"/>
    <col min="8" max="8" width="12.85546875" style="183" customWidth="1"/>
    <col min="9" max="9" width="9.42578125" style="183" customWidth="1"/>
    <col min="10" max="10" width="12.85546875" style="183" customWidth="1"/>
    <col min="11" max="11" width="9.42578125" style="183" customWidth="1"/>
    <col min="12" max="12" width="12.85546875" style="183" customWidth="1"/>
    <col min="13" max="13" width="9.42578125" style="183" customWidth="1"/>
    <col min="14" max="16384" width="12.5703125" style="183"/>
  </cols>
  <sheetData>
    <row r="1" spans="1:19" ht="15.75" customHeight="1">
      <c r="A1" s="784" t="s">
        <v>213</v>
      </c>
      <c r="B1" s="784"/>
      <c r="C1" s="784"/>
      <c r="D1" s="784"/>
      <c r="E1" s="784"/>
      <c r="F1" s="784"/>
      <c r="G1" s="784"/>
      <c r="H1" s="784"/>
      <c r="I1" s="784"/>
      <c r="J1" s="784"/>
      <c r="K1" s="784"/>
      <c r="L1" s="784"/>
      <c r="M1" s="784"/>
    </row>
    <row r="2" spans="1:19" s="184" customFormat="1" ht="15.75" customHeight="1">
      <c r="A2" s="784"/>
      <c r="B2" s="784"/>
      <c r="C2" s="784"/>
      <c r="D2" s="784"/>
      <c r="E2" s="784"/>
      <c r="F2" s="784"/>
      <c r="G2" s="784"/>
      <c r="H2" s="784"/>
      <c r="I2" s="784"/>
      <c r="J2" s="784"/>
      <c r="K2" s="784"/>
      <c r="L2" s="784"/>
      <c r="M2" s="784"/>
    </row>
    <row r="3" spans="1:19" ht="15.75" customHeight="1">
      <c r="A3" s="785" t="s">
        <v>799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85"/>
      <c r="M3" s="785"/>
    </row>
    <row r="4" spans="1:19" ht="15.75" customHeight="1">
      <c r="A4" s="785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85"/>
      <c r="M4" s="785"/>
      <c r="N4" s="184"/>
      <c r="O4" s="184"/>
      <c r="P4" s="184"/>
      <c r="Q4" s="184"/>
      <c r="R4" s="184"/>
      <c r="S4" s="184"/>
    </row>
    <row r="5" spans="1:19" ht="15.75" customHeight="1" thickBot="1"/>
    <row r="6" spans="1:19" ht="15.75" customHeight="1" thickBot="1">
      <c r="A6" s="333" t="s">
        <v>871</v>
      </c>
      <c r="B6" s="334">
        <v>263727106</v>
      </c>
      <c r="C6" s="502" t="s">
        <v>872</v>
      </c>
      <c r="E6" s="810" t="s">
        <v>877</v>
      </c>
      <c r="F6" s="811"/>
      <c r="G6" s="811"/>
      <c r="H6" s="811"/>
      <c r="I6" s="811"/>
      <c r="J6" s="811"/>
      <c r="K6" s="811"/>
      <c r="L6" s="811"/>
      <c r="M6" s="811"/>
      <c r="N6" s="811"/>
      <c r="O6" s="811"/>
      <c r="P6" s="811"/>
      <c r="Q6" s="811"/>
      <c r="R6" s="811"/>
      <c r="S6" s="812"/>
    </row>
    <row r="7" spans="1:19" ht="15.75" customHeight="1">
      <c r="A7" s="796" t="s">
        <v>873</v>
      </c>
      <c r="B7" s="787" t="s">
        <v>10</v>
      </c>
      <c r="C7" s="797"/>
      <c r="D7" s="789"/>
      <c r="E7" s="798" t="s">
        <v>873</v>
      </c>
      <c r="F7" s="805">
        <v>1</v>
      </c>
      <c r="G7" s="806"/>
      <c r="H7" s="807">
        <v>2</v>
      </c>
      <c r="I7" s="808"/>
      <c r="J7" s="808">
        <v>3</v>
      </c>
      <c r="K7" s="809"/>
      <c r="L7" s="805">
        <v>4</v>
      </c>
      <c r="M7" s="806"/>
      <c r="N7" s="800">
        <v>5</v>
      </c>
      <c r="O7" s="801"/>
      <c r="P7" s="813">
        <v>6</v>
      </c>
      <c r="Q7" s="807"/>
      <c r="R7" s="809">
        <v>7</v>
      </c>
      <c r="S7" s="801"/>
    </row>
    <row r="8" spans="1:19" ht="15.75" customHeight="1">
      <c r="A8" s="796"/>
      <c r="B8" s="787"/>
      <c r="C8" s="797"/>
      <c r="D8" s="789"/>
      <c r="E8" s="799"/>
      <c r="F8" s="802" t="s">
        <v>740</v>
      </c>
      <c r="G8" s="803"/>
      <c r="H8" s="793" t="s">
        <v>317</v>
      </c>
      <c r="I8" s="782"/>
      <c r="J8" s="782" t="s">
        <v>363</v>
      </c>
      <c r="K8" s="794"/>
      <c r="L8" s="802" t="s">
        <v>409</v>
      </c>
      <c r="M8" s="803"/>
      <c r="N8" s="804" t="s">
        <v>191</v>
      </c>
      <c r="O8" s="795"/>
      <c r="P8" s="792" t="s">
        <v>192</v>
      </c>
      <c r="Q8" s="793"/>
      <c r="R8" s="794" t="s">
        <v>422</v>
      </c>
      <c r="S8" s="795"/>
    </row>
    <row r="9" spans="1:19" ht="15.75" customHeight="1">
      <c r="A9" s="796"/>
      <c r="B9" s="548" t="s">
        <v>11</v>
      </c>
      <c r="C9" s="549" t="s">
        <v>874</v>
      </c>
      <c r="D9" s="789"/>
      <c r="E9" s="799"/>
      <c r="F9" s="503" t="s">
        <v>11</v>
      </c>
      <c r="G9" s="549" t="s">
        <v>874</v>
      </c>
      <c r="H9" s="504" t="s">
        <v>11</v>
      </c>
      <c r="I9" s="548" t="s">
        <v>874</v>
      </c>
      <c r="J9" s="548" t="s">
        <v>11</v>
      </c>
      <c r="K9" s="505" t="s">
        <v>874</v>
      </c>
      <c r="L9" s="503" t="s">
        <v>11</v>
      </c>
      <c r="M9" s="549" t="s">
        <v>874</v>
      </c>
      <c r="N9" s="503" t="s">
        <v>11</v>
      </c>
      <c r="O9" s="549" t="s">
        <v>874</v>
      </c>
      <c r="P9" s="504" t="s">
        <v>11</v>
      </c>
      <c r="Q9" s="548" t="s">
        <v>874</v>
      </c>
      <c r="R9" s="548" t="s">
        <v>11</v>
      </c>
      <c r="S9" s="549" t="s">
        <v>874</v>
      </c>
    </row>
    <row r="10" spans="1:19" ht="15.75" customHeight="1">
      <c r="A10" s="335" t="s">
        <v>875</v>
      </c>
      <c r="B10" s="336">
        <v>638244.06639971887</v>
      </c>
      <c r="C10" s="506">
        <v>2.4200927848490434E-3</v>
      </c>
      <c r="D10" s="789"/>
      <c r="E10" s="507" t="s">
        <v>875</v>
      </c>
      <c r="F10" s="508">
        <v>0</v>
      </c>
      <c r="G10" s="338">
        <v>0</v>
      </c>
      <c r="H10" s="509">
        <v>0</v>
      </c>
      <c r="I10" s="193">
        <v>0</v>
      </c>
      <c r="J10" s="337">
        <v>7149.6989199999989</v>
      </c>
      <c r="K10" s="510">
        <v>1.120213926990477E-2</v>
      </c>
      <c r="L10" s="508">
        <v>25259.130693800085</v>
      </c>
      <c r="M10" s="338">
        <v>3.9575974182235206E-2</v>
      </c>
      <c r="N10" s="508">
        <v>30020.156272</v>
      </c>
      <c r="O10" s="338">
        <v>4.7035543066371428E-2</v>
      </c>
      <c r="P10" s="509">
        <v>11652.525000000001</v>
      </c>
      <c r="Q10" s="193">
        <v>1.8257161505207429E-2</v>
      </c>
      <c r="R10" s="337">
        <v>0</v>
      </c>
      <c r="S10" s="338">
        <v>0</v>
      </c>
    </row>
    <row r="11" spans="1:19" ht="15.75" customHeight="1" thickBot="1">
      <c r="A11" s="511" t="s">
        <v>876</v>
      </c>
      <c r="B11" s="512">
        <v>1057230.5079587102</v>
      </c>
      <c r="C11" s="513">
        <v>4.008804874075819E-3</v>
      </c>
      <c r="D11" s="789"/>
      <c r="E11" s="514" t="s">
        <v>876</v>
      </c>
      <c r="F11" s="515">
        <v>0</v>
      </c>
      <c r="G11" s="343">
        <v>0</v>
      </c>
      <c r="H11" s="515">
        <v>0</v>
      </c>
      <c r="I11" s="342">
        <v>0</v>
      </c>
      <c r="J11" s="515">
        <v>5629.5267200000017</v>
      </c>
      <c r="K11" s="516">
        <v>5.3247864847084615E-3</v>
      </c>
      <c r="L11" s="515">
        <v>36511.346640000018</v>
      </c>
      <c r="M11" s="343">
        <v>3.4534896945506946E-2</v>
      </c>
      <c r="N11" s="515">
        <v>56973.632850000002</v>
      </c>
      <c r="O11" s="343">
        <v>5.3889508882981545E-2</v>
      </c>
      <c r="P11" s="515">
        <v>22123.456740000001</v>
      </c>
      <c r="Q11" s="342">
        <v>2.092585918913345E-2</v>
      </c>
      <c r="R11" s="515">
        <v>5737.3679999999986</v>
      </c>
      <c r="S11" s="343">
        <v>5.4267900489153023E-3</v>
      </c>
    </row>
    <row r="12" spans="1:19" ht="15.75" customHeight="1">
      <c r="A12" s="339"/>
      <c r="B12" s="185"/>
      <c r="C12" s="185"/>
      <c r="D12" s="789"/>
    </row>
    <row r="13" spans="1:19" ht="15.75" customHeight="1">
      <c r="A13" s="339"/>
      <c r="B13" s="185"/>
      <c r="C13" s="185"/>
      <c r="D13" s="789"/>
    </row>
    <row r="14" spans="1:19" ht="15.75" customHeight="1">
      <c r="A14" s="339"/>
      <c r="B14" s="185"/>
      <c r="C14" s="185"/>
      <c r="D14" s="789"/>
    </row>
    <row r="15" spans="1:19" ht="15.75" customHeight="1">
      <c r="A15" s="340"/>
      <c r="B15" s="341"/>
      <c r="C15" s="341"/>
      <c r="D15" s="789"/>
    </row>
    <row r="16" spans="1:19" ht="15.75" customHeight="1">
      <c r="A16" s="340"/>
      <c r="B16" s="341"/>
      <c r="C16" s="341"/>
      <c r="D16" s="789"/>
    </row>
  </sheetData>
  <mergeCells count="21">
    <mergeCell ref="A1:M2"/>
    <mergeCell ref="A3:M4"/>
    <mergeCell ref="F7:G7"/>
    <mergeCell ref="H7:I7"/>
    <mergeCell ref="J7:K7"/>
    <mergeCell ref="L7:M7"/>
    <mergeCell ref="E6:S6"/>
    <mergeCell ref="P7:Q7"/>
    <mergeCell ref="R7:S7"/>
    <mergeCell ref="P8:Q8"/>
    <mergeCell ref="R8:S8"/>
    <mergeCell ref="A7:A9"/>
    <mergeCell ref="B7:C8"/>
    <mergeCell ref="D7:D16"/>
    <mergeCell ref="E7:E9"/>
    <mergeCell ref="N7:O7"/>
    <mergeCell ref="F8:G8"/>
    <mergeCell ref="H8:I8"/>
    <mergeCell ref="J8:K8"/>
    <mergeCell ref="L8:M8"/>
    <mergeCell ref="N8:O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5" tint="0.39997558519241921"/>
    <outlinePr summaryBelow="0" summaryRight="0"/>
  </sheetPr>
  <dimension ref="A1:Q31"/>
  <sheetViews>
    <sheetView view="pageBreakPreview" zoomScale="115" zoomScaleNormal="60" zoomScaleSheetLayoutView="115" workbookViewId="0">
      <selection activeCell="G19" sqref="G19:I19"/>
    </sheetView>
  </sheetViews>
  <sheetFormatPr defaultColWidth="12.5703125" defaultRowHeight="15.75" customHeight="1"/>
  <cols>
    <col min="1" max="1" width="5.42578125" style="120" customWidth="1"/>
    <col min="2" max="2" width="11.42578125" style="175" customWidth="1"/>
    <col min="3" max="3" width="4" style="161" customWidth="1"/>
    <col min="4" max="17" width="9.5703125" style="120" customWidth="1"/>
    <col min="18" max="16384" width="12.5703125" style="120"/>
  </cols>
  <sheetData>
    <row r="1" spans="1:17" ht="15.75" customHeight="1">
      <c r="A1" s="582" t="s">
        <v>183</v>
      </c>
      <c r="B1" s="582"/>
      <c r="C1" s="582"/>
      <c r="D1" s="582"/>
      <c r="E1" s="582"/>
      <c r="F1" s="582"/>
      <c r="G1" s="582"/>
      <c r="H1" s="582"/>
      <c r="I1" s="582"/>
      <c r="J1" s="582"/>
      <c r="K1" s="582"/>
      <c r="L1" s="582"/>
      <c r="M1" s="582"/>
      <c r="N1" s="582"/>
      <c r="O1" s="582"/>
      <c r="P1" s="582"/>
      <c r="Q1" s="582"/>
    </row>
    <row r="2" spans="1:17" s="121" customFormat="1" ht="15.75" customHeight="1">
      <c r="A2" s="582"/>
      <c r="B2" s="582"/>
      <c r="C2" s="582"/>
      <c r="D2" s="582"/>
      <c r="E2" s="582"/>
      <c r="F2" s="582"/>
      <c r="G2" s="582"/>
      <c r="H2" s="582"/>
      <c r="I2" s="582"/>
      <c r="J2" s="582"/>
      <c r="K2" s="582"/>
      <c r="L2" s="582"/>
      <c r="M2" s="582"/>
      <c r="N2" s="582"/>
      <c r="O2" s="582"/>
      <c r="P2" s="582"/>
      <c r="Q2" s="582"/>
    </row>
    <row r="3" spans="1:17" ht="15.75" customHeight="1">
      <c r="A3" s="707" t="s">
        <v>189</v>
      </c>
      <c r="B3" s="708"/>
      <c r="C3" s="708"/>
      <c r="D3" s="708"/>
      <c r="E3" s="708"/>
      <c r="F3" s="708"/>
      <c r="G3" s="708"/>
      <c r="H3" s="708"/>
      <c r="I3" s="708"/>
      <c r="J3" s="708"/>
      <c r="K3" s="708"/>
      <c r="L3" s="708"/>
      <c r="M3" s="708"/>
      <c r="N3" s="152"/>
    </row>
    <row r="4" spans="1:17" s="121" customFormat="1" ht="15.75" customHeight="1">
      <c r="A4" s="708"/>
      <c r="B4" s="708"/>
      <c r="C4" s="708"/>
      <c r="D4" s="708"/>
      <c r="E4" s="708"/>
      <c r="F4" s="708"/>
      <c r="G4" s="708"/>
      <c r="H4" s="708"/>
      <c r="I4" s="708"/>
      <c r="J4" s="708"/>
      <c r="K4" s="708"/>
      <c r="L4" s="708"/>
      <c r="M4" s="708"/>
      <c r="N4" s="131"/>
    </row>
    <row r="5" spans="1:17" ht="15.75" customHeight="1">
      <c r="A5" s="601" t="s">
        <v>169</v>
      </c>
      <c r="B5" s="840">
        <v>1</v>
      </c>
      <c r="C5" s="840"/>
      <c r="D5" s="840">
        <v>2</v>
      </c>
      <c r="E5" s="840"/>
      <c r="F5" s="840">
        <v>3</v>
      </c>
      <c r="G5" s="840"/>
      <c r="H5" s="837">
        <v>4</v>
      </c>
      <c r="I5" s="837"/>
      <c r="J5" s="837">
        <v>5</v>
      </c>
      <c r="K5" s="837"/>
      <c r="L5" s="837">
        <v>6</v>
      </c>
      <c r="M5" s="837"/>
      <c r="N5" s="837">
        <v>7</v>
      </c>
      <c r="O5" s="837"/>
      <c r="P5" s="837">
        <v>8</v>
      </c>
      <c r="Q5" s="837"/>
    </row>
    <row r="6" spans="1:17" ht="15.75" customHeight="1">
      <c r="A6" s="601"/>
      <c r="B6" s="841" t="s">
        <v>734</v>
      </c>
      <c r="C6" s="841"/>
      <c r="D6" s="841" t="s">
        <v>735</v>
      </c>
      <c r="E6" s="841"/>
      <c r="F6" s="841" t="s">
        <v>736</v>
      </c>
      <c r="G6" s="841"/>
      <c r="H6" s="601" t="s">
        <v>409</v>
      </c>
      <c r="I6" s="601"/>
      <c r="J6" s="601" t="s">
        <v>167</v>
      </c>
      <c r="K6" s="601"/>
      <c r="L6" s="601" t="s">
        <v>163</v>
      </c>
      <c r="M6" s="601"/>
      <c r="N6" s="601" t="s">
        <v>168</v>
      </c>
      <c r="O6" s="601"/>
      <c r="P6" s="839" t="s">
        <v>193</v>
      </c>
      <c r="Q6" s="601"/>
    </row>
    <row r="8" spans="1:17" s="154" customFormat="1" ht="15.75" customHeight="1">
      <c r="A8" s="830" t="s">
        <v>878</v>
      </c>
      <c r="B8" s="831"/>
      <c r="C8" s="552" t="s">
        <v>468</v>
      </c>
      <c r="D8" s="832" t="s">
        <v>12</v>
      </c>
      <c r="E8" s="833"/>
      <c r="F8" s="834"/>
      <c r="G8" s="550" t="s">
        <v>879</v>
      </c>
      <c r="H8" s="551"/>
      <c r="I8" s="552"/>
      <c r="J8" s="170" t="s">
        <v>880</v>
      </c>
      <c r="K8" s="170" t="s">
        <v>881</v>
      </c>
      <c r="L8" s="170" t="s">
        <v>882</v>
      </c>
      <c r="M8" s="170" t="s">
        <v>11</v>
      </c>
      <c r="N8" s="302" t="s">
        <v>13</v>
      </c>
      <c r="O8" s="835" t="s">
        <v>50</v>
      </c>
      <c r="P8" s="836"/>
    </row>
    <row r="9" spans="1:17" ht="15.75" customHeight="1">
      <c r="A9" s="745">
        <v>1</v>
      </c>
      <c r="B9" s="820" t="s">
        <v>740</v>
      </c>
      <c r="C9" s="171">
        <v>1</v>
      </c>
      <c r="D9" s="555">
        <v>0</v>
      </c>
      <c r="E9" s="823"/>
      <c r="F9" s="824"/>
      <c r="G9" s="555">
        <v>0</v>
      </c>
      <c r="H9" s="823"/>
      <c r="I9" s="824"/>
      <c r="J9" s="4">
        <v>0</v>
      </c>
      <c r="K9" s="14">
        <v>0</v>
      </c>
      <c r="L9" s="4">
        <v>0</v>
      </c>
      <c r="M9" s="437">
        <v>0</v>
      </c>
      <c r="N9" s="172"/>
      <c r="O9" s="838"/>
      <c r="P9" s="829"/>
    </row>
    <row r="10" spans="1:17" ht="15.75" customHeight="1">
      <c r="A10" s="746"/>
      <c r="B10" s="821"/>
      <c r="C10" s="171">
        <v>2</v>
      </c>
      <c r="D10" s="555">
        <v>0</v>
      </c>
      <c r="E10" s="823"/>
      <c r="F10" s="824"/>
      <c r="G10" s="555">
        <v>0</v>
      </c>
      <c r="H10" s="823"/>
      <c r="I10" s="824"/>
      <c r="J10" s="4">
        <v>0</v>
      </c>
      <c r="K10" s="14">
        <v>0</v>
      </c>
      <c r="L10" s="4">
        <v>0</v>
      </c>
      <c r="M10" s="437">
        <v>0</v>
      </c>
      <c r="N10" s="172"/>
      <c r="O10" s="838"/>
      <c r="P10" s="829"/>
    </row>
    <row r="11" spans="1:17" ht="15.75" customHeight="1">
      <c r="A11" s="746"/>
      <c r="B11" s="821"/>
      <c r="C11" s="171">
        <v>3</v>
      </c>
      <c r="D11" s="555">
        <v>0</v>
      </c>
      <c r="E11" s="823"/>
      <c r="F11" s="824"/>
      <c r="G11" s="555">
        <v>0</v>
      </c>
      <c r="H11" s="823"/>
      <c r="I11" s="824"/>
      <c r="J11" s="4">
        <v>0</v>
      </c>
      <c r="K11" s="14">
        <v>0</v>
      </c>
      <c r="L11" s="4">
        <v>0</v>
      </c>
      <c r="M11" s="437">
        <v>0</v>
      </c>
      <c r="N11" s="172"/>
      <c r="O11" s="838"/>
      <c r="P11" s="829"/>
    </row>
    <row r="12" spans="1:17" ht="15.75" customHeight="1">
      <c r="A12" s="746"/>
      <c r="B12" s="821"/>
      <c r="C12" s="171">
        <v>4</v>
      </c>
      <c r="D12" s="555">
        <v>0</v>
      </c>
      <c r="E12" s="823"/>
      <c r="F12" s="824"/>
      <c r="G12" s="555">
        <v>0</v>
      </c>
      <c r="H12" s="823"/>
      <c r="I12" s="824"/>
      <c r="J12" s="4">
        <v>0</v>
      </c>
      <c r="K12" s="14">
        <v>0</v>
      </c>
      <c r="L12" s="4">
        <v>0</v>
      </c>
      <c r="M12" s="437">
        <v>0</v>
      </c>
      <c r="N12" s="172"/>
      <c r="O12" s="838"/>
      <c r="P12" s="829"/>
    </row>
    <row r="13" spans="1:17" ht="15.75" customHeight="1" thickBot="1">
      <c r="A13" s="746"/>
      <c r="B13" s="821"/>
      <c r="C13" s="173">
        <v>5</v>
      </c>
      <c r="D13" s="555">
        <v>0</v>
      </c>
      <c r="E13" s="823"/>
      <c r="F13" s="824"/>
      <c r="G13" s="555">
        <v>0</v>
      </c>
      <c r="H13" s="823"/>
      <c r="I13" s="824"/>
      <c r="J13" s="4">
        <v>0</v>
      </c>
      <c r="K13" s="14">
        <v>0</v>
      </c>
      <c r="L13" s="4">
        <v>0</v>
      </c>
      <c r="M13" s="437">
        <v>0</v>
      </c>
      <c r="N13" s="172"/>
      <c r="O13" s="838"/>
      <c r="P13" s="829"/>
    </row>
    <row r="14" spans="1:17" ht="15.75" customHeight="1" thickTop="1" thickBot="1">
      <c r="A14" s="747"/>
      <c r="B14" s="822"/>
      <c r="C14" s="814"/>
      <c r="D14" s="815"/>
      <c r="E14" s="815"/>
      <c r="F14" s="815"/>
      <c r="G14" s="815"/>
      <c r="H14" s="815"/>
      <c r="I14" s="816"/>
      <c r="J14" s="301" t="s">
        <v>883</v>
      </c>
      <c r="K14" s="239">
        <v>0</v>
      </c>
      <c r="L14" s="301" t="s">
        <v>884</v>
      </c>
      <c r="M14" s="438">
        <v>0</v>
      </c>
      <c r="N14" s="817"/>
      <c r="O14" s="818"/>
      <c r="P14" s="819"/>
    </row>
    <row r="15" spans="1:17" ht="15.75" customHeight="1" thickTop="1"/>
    <row r="16" spans="1:17" ht="15.75" customHeight="1">
      <c r="A16" s="830" t="s">
        <v>878</v>
      </c>
      <c r="B16" s="831"/>
      <c r="C16" s="552" t="s">
        <v>468</v>
      </c>
      <c r="D16" s="832" t="s">
        <v>12</v>
      </c>
      <c r="E16" s="833"/>
      <c r="F16" s="834"/>
      <c r="G16" s="550" t="s">
        <v>879</v>
      </c>
      <c r="H16" s="551"/>
      <c r="I16" s="552"/>
      <c r="J16" s="170" t="s">
        <v>880</v>
      </c>
      <c r="K16" s="170" t="s">
        <v>881</v>
      </c>
      <c r="L16" s="170" t="s">
        <v>882</v>
      </c>
      <c r="M16" s="170" t="s">
        <v>11</v>
      </c>
      <c r="N16" s="302" t="s">
        <v>13</v>
      </c>
      <c r="O16" s="835" t="s">
        <v>50</v>
      </c>
      <c r="P16" s="836"/>
    </row>
    <row r="17" spans="1:16" ht="15.75" customHeight="1">
      <c r="A17" s="745">
        <v>2</v>
      </c>
      <c r="B17" s="820" t="s">
        <v>317</v>
      </c>
      <c r="C17" s="171">
        <v>1</v>
      </c>
      <c r="D17" s="555" t="s">
        <v>318</v>
      </c>
      <c r="E17" s="823"/>
      <c r="F17" s="824"/>
      <c r="G17" s="555" t="s">
        <v>885</v>
      </c>
      <c r="H17" s="823"/>
      <c r="I17" s="824"/>
      <c r="J17" s="4">
        <v>150.91999999999999</v>
      </c>
      <c r="K17" s="14">
        <v>2.3985682392664073E-2</v>
      </c>
      <c r="L17" s="4">
        <v>1.3</v>
      </c>
      <c r="M17" s="437">
        <v>196.196</v>
      </c>
      <c r="N17" s="172"/>
      <c r="O17" s="842" t="s">
        <v>801</v>
      </c>
      <c r="P17" s="843"/>
    </row>
    <row r="18" spans="1:16" ht="15.75" customHeight="1">
      <c r="A18" s="746"/>
      <c r="B18" s="821"/>
      <c r="C18" s="171">
        <v>2</v>
      </c>
      <c r="D18" s="555" t="s">
        <v>847</v>
      </c>
      <c r="E18" s="823"/>
      <c r="F18" s="824"/>
      <c r="G18" s="555" t="s">
        <v>886</v>
      </c>
      <c r="H18" s="823"/>
      <c r="I18" s="824"/>
      <c r="J18" s="4">
        <v>85.03</v>
      </c>
      <c r="K18" s="14">
        <v>4.5418641390205371E-2</v>
      </c>
      <c r="L18" s="4">
        <v>2.2999999999999998</v>
      </c>
      <c r="M18" s="437">
        <v>195.56899999999999</v>
      </c>
      <c r="N18" s="172"/>
      <c r="O18" s="842" t="s">
        <v>801</v>
      </c>
      <c r="P18" s="843"/>
    </row>
    <row r="19" spans="1:16" ht="15.75" customHeight="1">
      <c r="A19" s="746"/>
      <c r="B19" s="821"/>
      <c r="C19" s="171">
        <v>3</v>
      </c>
      <c r="D19" s="555" t="s">
        <v>343</v>
      </c>
      <c r="E19" s="823"/>
      <c r="F19" s="824"/>
      <c r="G19" s="555" t="s">
        <v>887</v>
      </c>
      <c r="H19" s="823"/>
      <c r="I19" s="824"/>
      <c r="J19" s="4">
        <v>144</v>
      </c>
      <c r="K19" s="14">
        <v>8.3542188805346709E-2</v>
      </c>
      <c r="L19" s="4">
        <v>1.3</v>
      </c>
      <c r="M19" s="437">
        <v>187.20000000000002</v>
      </c>
      <c r="N19" s="172"/>
      <c r="O19" s="842" t="s">
        <v>801</v>
      </c>
      <c r="P19" s="843"/>
    </row>
    <row r="20" spans="1:16" ht="15.75" customHeight="1">
      <c r="A20" s="746"/>
      <c r="B20" s="821"/>
      <c r="C20" s="171">
        <v>4</v>
      </c>
      <c r="D20" s="555" t="s">
        <v>338</v>
      </c>
      <c r="E20" s="823"/>
      <c r="F20" s="824"/>
      <c r="G20" s="555" t="s">
        <v>888</v>
      </c>
      <c r="H20" s="823"/>
      <c r="I20" s="824"/>
      <c r="J20" s="4">
        <v>116.39</v>
      </c>
      <c r="K20" s="14">
        <v>7.2098053352559491E-2</v>
      </c>
      <c r="L20" s="4">
        <v>1.6</v>
      </c>
      <c r="M20" s="437">
        <v>186.22400000000002</v>
      </c>
      <c r="N20" s="172"/>
      <c r="O20" s="838" t="s">
        <v>801</v>
      </c>
      <c r="P20" s="829"/>
    </row>
    <row r="21" spans="1:16" ht="15.75" customHeight="1" thickBot="1">
      <c r="A21" s="746"/>
      <c r="B21" s="821"/>
      <c r="C21" s="173">
        <v>5</v>
      </c>
      <c r="D21" s="555" t="s">
        <v>528</v>
      </c>
      <c r="E21" s="823"/>
      <c r="F21" s="824"/>
      <c r="G21" s="555" t="s">
        <v>889</v>
      </c>
      <c r="H21" s="823"/>
      <c r="I21" s="824"/>
      <c r="J21" s="4">
        <v>149.55000000000001</v>
      </c>
      <c r="K21" s="14">
        <v>4.606723500080432E-2</v>
      </c>
      <c r="L21" s="4">
        <v>1.1456000000000017</v>
      </c>
      <c r="M21" s="437">
        <v>171.32448000000028</v>
      </c>
      <c r="N21" s="174"/>
      <c r="O21" s="844" t="s">
        <v>801</v>
      </c>
      <c r="P21" s="845"/>
    </row>
    <row r="22" spans="1:16" ht="15.75" customHeight="1" thickTop="1" thickBot="1">
      <c r="A22" s="747"/>
      <c r="B22" s="822"/>
      <c r="C22" s="825"/>
      <c r="D22" s="826"/>
      <c r="E22" s="826"/>
      <c r="F22" s="826"/>
      <c r="G22" s="826"/>
      <c r="H22" s="826"/>
      <c r="I22" s="827"/>
      <c r="J22" s="301" t="s">
        <v>883</v>
      </c>
      <c r="K22" s="239">
        <v>1.4673281418545639E-3</v>
      </c>
      <c r="L22" s="301" t="s">
        <v>884</v>
      </c>
      <c r="M22" s="438">
        <v>936.5134800000003</v>
      </c>
      <c r="N22" s="817"/>
      <c r="O22" s="818"/>
      <c r="P22" s="819"/>
    </row>
    <row r="23" spans="1:16" ht="15.75" customHeight="1" thickTop="1"/>
    <row r="24" spans="1:16" ht="15.75" customHeight="1">
      <c r="A24" s="830" t="s">
        <v>878</v>
      </c>
      <c r="B24" s="831"/>
      <c r="C24" s="552" t="s">
        <v>468</v>
      </c>
      <c r="D24" s="832" t="s">
        <v>12</v>
      </c>
      <c r="E24" s="833"/>
      <c r="F24" s="834"/>
      <c r="G24" s="550" t="s">
        <v>879</v>
      </c>
      <c r="H24" s="551"/>
      <c r="I24" s="552"/>
      <c r="J24" s="170" t="s">
        <v>880</v>
      </c>
      <c r="K24" s="170" t="s">
        <v>881</v>
      </c>
      <c r="L24" s="170" t="s">
        <v>882</v>
      </c>
      <c r="M24" s="170" t="s">
        <v>11</v>
      </c>
      <c r="N24" s="302" t="s">
        <v>13</v>
      </c>
      <c r="O24" s="835" t="s">
        <v>50</v>
      </c>
      <c r="P24" s="836"/>
    </row>
    <row r="25" spans="1:16" ht="15.75" customHeight="1">
      <c r="A25" s="745">
        <v>3</v>
      </c>
      <c r="B25" s="820" t="s">
        <v>363</v>
      </c>
      <c r="C25" s="171">
        <v>1</v>
      </c>
      <c r="D25" s="555" t="s">
        <v>341</v>
      </c>
      <c r="E25" s="823"/>
      <c r="F25" s="824"/>
      <c r="G25" s="555" t="s">
        <v>668</v>
      </c>
      <c r="H25" s="823"/>
      <c r="I25" s="824"/>
      <c r="J25" s="4">
        <v>95.43</v>
      </c>
      <c r="K25" s="14">
        <v>3.3840947546531303E-2</v>
      </c>
      <c r="L25" s="4">
        <v>2</v>
      </c>
      <c r="M25" s="437">
        <v>190.86</v>
      </c>
      <c r="N25" s="172"/>
      <c r="O25" s="828" t="s">
        <v>890</v>
      </c>
      <c r="P25" s="829"/>
    </row>
    <row r="26" spans="1:16" ht="15.75" customHeight="1">
      <c r="A26" s="746"/>
      <c r="B26" s="821"/>
      <c r="C26" s="171">
        <v>2</v>
      </c>
      <c r="D26" s="555" t="s">
        <v>841</v>
      </c>
      <c r="E26" s="823"/>
      <c r="F26" s="824"/>
      <c r="G26" s="555" t="s">
        <v>891</v>
      </c>
      <c r="H26" s="823"/>
      <c r="I26" s="824"/>
      <c r="J26" s="4">
        <v>146.69</v>
      </c>
      <c r="K26" s="14">
        <v>3.7639701198679723E-2</v>
      </c>
      <c r="L26" s="4">
        <v>1.3</v>
      </c>
      <c r="M26" s="437">
        <v>190.697</v>
      </c>
      <c r="N26" s="172"/>
      <c r="O26" s="828" t="s">
        <v>892</v>
      </c>
      <c r="P26" s="829"/>
    </row>
    <row r="27" spans="1:16" ht="15.75" customHeight="1">
      <c r="A27" s="746"/>
      <c r="B27" s="821"/>
      <c r="C27" s="171">
        <v>3</v>
      </c>
      <c r="D27" s="555" t="s">
        <v>850</v>
      </c>
      <c r="E27" s="823"/>
      <c r="F27" s="824"/>
      <c r="G27" s="555" t="s">
        <v>802</v>
      </c>
      <c r="H27" s="823"/>
      <c r="I27" s="824"/>
      <c r="J27" s="4">
        <v>314.05</v>
      </c>
      <c r="K27" s="14">
        <v>9.9108027750247768E-2</v>
      </c>
      <c r="L27" s="4">
        <v>0.6</v>
      </c>
      <c r="M27" s="437">
        <v>188.43</v>
      </c>
      <c r="N27" s="172"/>
      <c r="O27" s="828" t="s">
        <v>892</v>
      </c>
      <c r="P27" s="829"/>
    </row>
    <row r="28" spans="1:16" ht="15.75" customHeight="1">
      <c r="A28" s="746"/>
      <c r="B28" s="821"/>
      <c r="C28" s="171">
        <v>4</v>
      </c>
      <c r="D28" s="555" t="s">
        <v>649</v>
      </c>
      <c r="E28" s="823"/>
      <c r="F28" s="824"/>
      <c r="G28" s="555" t="s">
        <v>893</v>
      </c>
      <c r="H28" s="823"/>
      <c r="I28" s="824"/>
      <c r="J28" s="4">
        <v>143.99</v>
      </c>
      <c r="K28" s="14">
        <v>2.4358253700580854E-2</v>
      </c>
      <c r="L28" s="4">
        <v>1.3</v>
      </c>
      <c r="M28" s="437">
        <v>187.18700000000001</v>
      </c>
      <c r="N28" s="172"/>
      <c r="O28" s="828" t="s">
        <v>894</v>
      </c>
      <c r="P28" s="829"/>
    </row>
    <row r="29" spans="1:16" ht="15.75" customHeight="1" thickBot="1">
      <c r="A29" s="746"/>
      <c r="B29" s="821"/>
      <c r="C29" s="173">
        <v>5</v>
      </c>
      <c r="D29" s="555" t="s">
        <v>841</v>
      </c>
      <c r="E29" s="823"/>
      <c r="F29" s="824"/>
      <c r="G29" s="555" t="s">
        <v>895</v>
      </c>
      <c r="H29" s="823"/>
      <c r="I29" s="824"/>
      <c r="J29" s="4">
        <v>143.16</v>
      </c>
      <c r="K29" s="14">
        <v>4.2973785990545764E-2</v>
      </c>
      <c r="L29" s="4">
        <v>1.3</v>
      </c>
      <c r="M29" s="437">
        <v>186.108</v>
      </c>
      <c r="N29" s="174"/>
      <c r="O29" s="828" t="s">
        <v>892</v>
      </c>
      <c r="P29" s="829"/>
    </row>
    <row r="30" spans="1:16" ht="15.75" customHeight="1" thickTop="1" thickBot="1">
      <c r="A30" s="747"/>
      <c r="B30" s="822"/>
      <c r="C30" s="814"/>
      <c r="D30" s="815"/>
      <c r="E30" s="815"/>
      <c r="F30" s="815"/>
      <c r="G30" s="815"/>
      <c r="H30" s="815"/>
      <c r="I30" s="816"/>
      <c r="J30" s="301" t="s">
        <v>883</v>
      </c>
      <c r="K30" s="239">
        <v>1.4779330504723289E-3</v>
      </c>
      <c r="L30" s="301" t="s">
        <v>884</v>
      </c>
      <c r="M30" s="438">
        <v>943.28200000000015</v>
      </c>
      <c r="N30" s="817"/>
      <c r="O30" s="818"/>
      <c r="P30" s="819"/>
    </row>
    <row r="31" spans="1:16" ht="15.75" customHeight="1" thickTop="1"/>
  </sheetData>
  <mergeCells count="85">
    <mergeCell ref="O17:P17"/>
    <mergeCell ref="O18:P18"/>
    <mergeCell ref="O19:P19"/>
    <mergeCell ref="O20:P20"/>
    <mergeCell ref="O21:P21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D21:F21"/>
    <mergeCell ref="G21:I21"/>
    <mergeCell ref="C22:I22"/>
    <mergeCell ref="N22:P22"/>
    <mergeCell ref="D29:F29"/>
    <mergeCell ref="G29:I29"/>
    <mergeCell ref="O25:P25"/>
    <mergeCell ref="O26:P26"/>
    <mergeCell ref="O27:P27"/>
    <mergeCell ref="O28:P28"/>
    <mergeCell ref="O29:P29"/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5" tint="0.39997558519241921"/>
    <outlinePr summaryBelow="0" summaryRight="0"/>
  </sheetPr>
  <dimension ref="A1:Q39"/>
  <sheetViews>
    <sheetView view="pageBreakPreview" topLeftCell="A13" zoomScaleNormal="60" zoomScaleSheetLayoutView="100" workbookViewId="0">
      <selection activeCell="A8" sqref="A8:P38"/>
    </sheetView>
  </sheetViews>
  <sheetFormatPr defaultColWidth="12.5703125" defaultRowHeight="15.75" customHeight="1"/>
  <cols>
    <col min="1" max="1" width="5.42578125" style="76" customWidth="1"/>
    <col min="2" max="2" width="11.42578125" style="111" customWidth="1"/>
    <col min="3" max="3" width="4" style="109" customWidth="1"/>
    <col min="4" max="17" width="9.5703125" style="76" customWidth="1"/>
    <col min="18" max="16384" width="12.5703125" style="76"/>
  </cols>
  <sheetData>
    <row r="1" spans="1:17" s="120" customFormat="1" ht="15.75" customHeight="1">
      <c r="A1" s="582" t="s">
        <v>183</v>
      </c>
      <c r="B1" s="582"/>
      <c r="C1" s="582"/>
      <c r="D1" s="582"/>
      <c r="E1" s="582"/>
      <c r="F1" s="582"/>
      <c r="G1" s="582"/>
      <c r="H1" s="582"/>
      <c r="I1" s="582"/>
      <c r="J1" s="582"/>
      <c r="K1" s="582"/>
      <c r="L1" s="582"/>
      <c r="M1" s="582"/>
      <c r="N1" s="582"/>
      <c r="O1" s="582"/>
      <c r="P1" s="582"/>
      <c r="Q1" s="582"/>
    </row>
    <row r="2" spans="1:17" s="121" customFormat="1" ht="15.75" customHeight="1">
      <c r="A2" s="582"/>
      <c r="B2" s="582"/>
      <c r="C2" s="582"/>
      <c r="D2" s="582"/>
      <c r="E2" s="582"/>
      <c r="F2" s="582"/>
      <c r="G2" s="582"/>
      <c r="H2" s="582"/>
      <c r="I2" s="582"/>
      <c r="J2" s="582"/>
      <c r="K2" s="582"/>
      <c r="L2" s="582"/>
      <c r="M2" s="582"/>
      <c r="N2" s="582"/>
      <c r="O2" s="582"/>
      <c r="P2" s="582"/>
      <c r="Q2" s="582"/>
    </row>
    <row r="3" spans="1:17" s="120" customFormat="1" ht="15.75" customHeight="1">
      <c r="A3" s="707" t="s">
        <v>189</v>
      </c>
      <c r="B3" s="708"/>
      <c r="C3" s="708"/>
      <c r="D3" s="708"/>
      <c r="E3" s="708"/>
      <c r="F3" s="708"/>
      <c r="G3" s="708"/>
      <c r="H3" s="708"/>
      <c r="I3" s="708"/>
      <c r="J3" s="708"/>
      <c r="K3" s="708"/>
      <c r="L3" s="708"/>
      <c r="M3" s="708"/>
      <c r="N3" s="152"/>
    </row>
    <row r="4" spans="1:17" s="121" customFormat="1" ht="15.75" customHeight="1">
      <c r="A4" s="708"/>
      <c r="B4" s="708"/>
      <c r="C4" s="708"/>
      <c r="D4" s="708"/>
      <c r="E4" s="708"/>
      <c r="F4" s="708"/>
      <c r="G4" s="708"/>
      <c r="H4" s="708"/>
      <c r="I4" s="708"/>
      <c r="J4" s="708"/>
      <c r="K4" s="708"/>
      <c r="L4" s="708"/>
      <c r="M4" s="708"/>
      <c r="N4" s="131"/>
    </row>
    <row r="5" spans="1:17" s="120" customFormat="1" ht="15.75" customHeight="1">
      <c r="A5" s="601" t="s">
        <v>169</v>
      </c>
      <c r="B5" s="837">
        <v>1</v>
      </c>
      <c r="C5" s="837"/>
      <c r="D5" s="837">
        <v>2</v>
      </c>
      <c r="E5" s="837"/>
      <c r="F5" s="837">
        <v>3</v>
      </c>
      <c r="G5" s="837"/>
      <c r="H5" s="840">
        <v>4</v>
      </c>
      <c r="I5" s="840"/>
      <c r="J5" s="840">
        <v>5</v>
      </c>
      <c r="K5" s="840"/>
      <c r="L5" s="840">
        <v>6</v>
      </c>
      <c r="M5" s="840"/>
      <c r="N5" s="840">
        <v>7</v>
      </c>
      <c r="O5" s="840"/>
      <c r="P5" s="837">
        <v>8</v>
      </c>
      <c r="Q5" s="837"/>
    </row>
    <row r="6" spans="1:17" s="120" customFormat="1" ht="15.75" customHeight="1">
      <c r="A6" s="601"/>
      <c r="B6" s="601" t="s">
        <v>740</v>
      </c>
      <c r="C6" s="601"/>
      <c r="D6" s="601" t="s">
        <v>190</v>
      </c>
      <c r="E6" s="601"/>
      <c r="F6" s="601" t="s">
        <v>162</v>
      </c>
      <c r="G6" s="601"/>
      <c r="H6" s="841" t="s">
        <v>409</v>
      </c>
      <c r="I6" s="841"/>
      <c r="J6" s="841" t="s">
        <v>167</v>
      </c>
      <c r="K6" s="841"/>
      <c r="L6" s="841" t="s">
        <v>163</v>
      </c>
      <c r="M6" s="841"/>
      <c r="N6" s="841" t="s">
        <v>168</v>
      </c>
      <c r="O6" s="841"/>
      <c r="P6" s="839" t="s">
        <v>193</v>
      </c>
      <c r="Q6" s="601"/>
    </row>
    <row r="7" spans="1:17" s="120" customFormat="1" ht="15.75" customHeight="1">
      <c r="B7" s="175"/>
      <c r="C7" s="161"/>
    </row>
    <row r="8" spans="1:17" s="110" customFormat="1" ht="15.75" customHeight="1">
      <c r="A8" s="846" t="s">
        <v>878</v>
      </c>
      <c r="B8" s="847"/>
      <c r="C8" s="117" t="s">
        <v>468</v>
      </c>
      <c r="D8" s="848" t="s">
        <v>12</v>
      </c>
      <c r="E8" s="849"/>
      <c r="F8" s="850"/>
      <c r="G8" s="115" t="s">
        <v>879</v>
      </c>
      <c r="H8" s="116"/>
      <c r="I8" s="117"/>
      <c r="J8" s="114" t="s">
        <v>880</v>
      </c>
      <c r="K8" s="114" t="s">
        <v>881</v>
      </c>
      <c r="L8" s="114" t="s">
        <v>882</v>
      </c>
      <c r="M8" s="118" t="s">
        <v>11</v>
      </c>
      <c r="N8" s="302" t="s">
        <v>13</v>
      </c>
      <c r="O8" s="851" t="s">
        <v>50</v>
      </c>
      <c r="P8" s="852"/>
    </row>
    <row r="9" spans="1:17" ht="15.75" customHeight="1">
      <c r="A9" s="847">
        <v>4</v>
      </c>
      <c r="B9" s="854" t="s">
        <v>409</v>
      </c>
      <c r="C9" s="112">
        <v>1</v>
      </c>
      <c r="D9" s="555" t="s">
        <v>846</v>
      </c>
      <c r="E9" s="823"/>
      <c r="F9" s="824"/>
      <c r="G9" s="555" t="s">
        <v>896</v>
      </c>
      <c r="H9" s="823"/>
      <c r="I9" s="824"/>
      <c r="J9" s="4">
        <v>105.27</v>
      </c>
      <c r="K9" s="14">
        <v>9.3725592293673523E-3</v>
      </c>
      <c r="L9" s="4">
        <v>1.8</v>
      </c>
      <c r="M9" s="437">
        <v>189.48599999999999</v>
      </c>
      <c r="N9" s="4"/>
      <c r="O9" s="838" t="s">
        <v>897</v>
      </c>
      <c r="P9" s="860"/>
      <c r="Q9" s="257"/>
    </row>
    <row r="10" spans="1:17" ht="15.75" customHeight="1">
      <c r="A10" s="847"/>
      <c r="B10" s="854"/>
      <c r="C10" s="112">
        <v>2</v>
      </c>
      <c r="D10" s="555" t="s">
        <v>318</v>
      </c>
      <c r="E10" s="823"/>
      <c r="F10" s="824"/>
      <c r="G10" s="555" t="s">
        <v>432</v>
      </c>
      <c r="H10" s="823"/>
      <c r="I10" s="824"/>
      <c r="J10" s="4">
        <v>111.17</v>
      </c>
      <c r="K10" s="14">
        <v>8.0117253957556703E-3</v>
      </c>
      <c r="L10" s="4">
        <v>1.7</v>
      </c>
      <c r="M10" s="437">
        <v>188.989</v>
      </c>
      <c r="N10" s="4"/>
      <c r="O10" s="838" t="s">
        <v>897</v>
      </c>
      <c r="P10" s="860"/>
      <c r="Q10" s="257"/>
    </row>
    <row r="11" spans="1:17" ht="15.75" customHeight="1">
      <c r="A11" s="847"/>
      <c r="B11" s="854"/>
      <c r="C11" s="112">
        <v>3</v>
      </c>
      <c r="D11" s="555" t="s">
        <v>728</v>
      </c>
      <c r="E11" s="823"/>
      <c r="F11" s="824"/>
      <c r="G11" s="555" t="s">
        <v>733</v>
      </c>
      <c r="H11" s="823"/>
      <c r="I11" s="824"/>
      <c r="J11" s="4">
        <v>118.03</v>
      </c>
      <c r="K11" s="14">
        <v>5.211047420531527E-3</v>
      </c>
      <c r="L11" s="4">
        <v>1.6</v>
      </c>
      <c r="M11" s="437">
        <v>188.84800000000001</v>
      </c>
      <c r="N11" s="4"/>
      <c r="O11" s="838" t="s">
        <v>897</v>
      </c>
      <c r="P11" s="860"/>
      <c r="Q11" s="257"/>
    </row>
    <row r="12" spans="1:17" ht="15.75" customHeight="1">
      <c r="A12" s="847"/>
      <c r="B12" s="854"/>
      <c r="C12" s="112">
        <v>4</v>
      </c>
      <c r="D12" s="555" t="s">
        <v>729</v>
      </c>
      <c r="E12" s="823"/>
      <c r="F12" s="824"/>
      <c r="G12" s="555" t="s">
        <v>810</v>
      </c>
      <c r="H12" s="823"/>
      <c r="I12" s="824"/>
      <c r="J12" s="4">
        <v>125.59</v>
      </c>
      <c r="K12" s="14">
        <v>1.8291790644358812E-2</v>
      </c>
      <c r="L12" s="4">
        <v>1.5</v>
      </c>
      <c r="M12" s="437">
        <v>188.38499999999999</v>
      </c>
      <c r="N12" s="4"/>
      <c r="O12" s="838" t="s">
        <v>897</v>
      </c>
      <c r="P12" s="860"/>
      <c r="Q12" s="257"/>
    </row>
    <row r="13" spans="1:17" ht="15.75" customHeight="1" thickBot="1">
      <c r="A13" s="847"/>
      <c r="B13" s="854"/>
      <c r="C13" s="113">
        <v>5</v>
      </c>
      <c r="D13" s="555" t="s">
        <v>728</v>
      </c>
      <c r="E13" s="823"/>
      <c r="F13" s="824"/>
      <c r="G13" s="555" t="s">
        <v>898</v>
      </c>
      <c r="H13" s="823"/>
      <c r="I13" s="824"/>
      <c r="J13" s="4">
        <v>234.48</v>
      </c>
      <c r="K13" s="14">
        <v>1.6250253910217349E-2</v>
      </c>
      <c r="L13" s="4">
        <v>0.8</v>
      </c>
      <c r="M13" s="437">
        <v>187.584</v>
      </c>
      <c r="N13" s="27"/>
      <c r="O13" s="838" t="s">
        <v>897</v>
      </c>
      <c r="P13" s="860"/>
      <c r="Q13" s="257"/>
    </row>
    <row r="14" spans="1:17" ht="15.75" customHeight="1" thickTop="1" thickBot="1">
      <c r="A14" s="847"/>
      <c r="B14" s="854"/>
      <c r="C14" s="862"/>
      <c r="D14" s="862"/>
      <c r="E14" s="862"/>
      <c r="F14" s="862"/>
      <c r="G14" s="862"/>
      <c r="H14" s="862"/>
      <c r="I14" s="862"/>
      <c r="J14" s="240" t="s">
        <v>883</v>
      </c>
      <c r="K14" s="239">
        <v>1.4779487184597437E-3</v>
      </c>
      <c r="L14" s="240" t="s">
        <v>884</v>
      </c>
      <c r="M14" s="438">
        <v>943.29200000000014</v>
      </c>
      <c r="N14" s="861"/>
      <c r="O14" s="861"/>
      <c r="P14" s="861"/>
      <c r="Q14" s="257"/>
    </row>
    <row r="15" spans="1:17" ht="15.75" customHeight="1" thickTop="1">
      <c r="A15" s="547"/>
      <c r="D15" s="547"/>
      <c r="E15" s="547"/>
      <c r="F15" s="547"/>
      <c r="G15" s="547"/>
      <c r="H15" s="547"/>
      <c r="I15" s="547"/>
      <c r="J15" s="547"/>
      <c r="K15" s="547"/>
      <c r="L15" s="547"/>
      <c r="M15" s="547"/>
      <c r="N15" s="547"/>
      <c r="O15" s="547"/>
      <c r="P15" s="547"/>
      <c r="Q15" s="257"/>
    </row>
    <row r="16" spans="1:17" ht="15.75" customHeight="1">
      <c r="A16" s="846" t="s">
        <v>878</v>
      </c>
      <c r="B16" s="847"/>
      <c r="C16" s="117" t="s">
        <v>468</v>
      </c>
      <c r="D16" s="848" t="s">
        <v>12</v>
      </c>
      <c r="E16" s="849"/>
      <c r="F16" s="850"/>
      <c r="G16" s="115" t="s">
        <v>879</v>
      </c>
      <c r="H16" s="116"/>
      <c r="I16" s="117"/>
      <c r="J16" s="114" t="s">
        <v>880</v>
      </c>
      <c r="K16" s="114" t="s">
        <v>881</v>
      </c>
      <c r="L16" s="114" t="s">
        <v>882</v>
      </c>
      <c r="M16" s="118" t="s">
        <v>11</v>
      </c>
      <c r="N16" s="302" t="s">
        <v>13</v>
      </c>
      <c r="O16" s="851" t="s">
        <v>50</v>
      </c>
      <c r="P16" s="852"/>
      <c r="Q16" s="257"/>
    </row>
    <row r="17" spans="1:17" ht="15.75" customHeight="1">
      <c r="A17" s="847">
        <v>5</v>
      </c>
      <c r="B17" s="853" t="s">
        <v>191</v>
      </c>
      <c r="C17" s="112">
        <v>1</v>
      </c>
      <c r="D17" s="555" t="s">
        <v>649</v>
      </c>
      <c r="E17" s="823"/>
      <c r="F17" s="824"/>
      <c r="G17" s="555" t="s">
        <v>899</v>
      </c>
      <c r="H17" s="823"/>
      <c r="I17" s="824"/>
      <c r="J17" s="4">
        <v>272.57</v>
      </c>
      <c r="K17" s="14">
        <v>1.3055895552835579E-2</v>
      </c>
      <c r="L17" s="4">
        <v>0.8</v>
      </c>
      <c r="M17" s="437">
        <v>218.05600000000001</v>
      </c>
      <c r="N17" s="4"/>
      <c r="O17" s="838" t="s">
        <v>421</v>
      </c>
      <c r="P17" s="860"/>
      <c r="Q17" s="257"/>
    </row>
    <row r="18" spans="1:17" ht="15.75" customHeight="1">
      <c r="A18" s="847"/>
      <c r="B18" s="854"/>
      <c r="C18" s="112">
        <v>2</v>
      </c>
      <c r="D18" s="555" t="s">
        <v>345</v>
      </c>
      <c r="E18" s="823"/>
      <c r="F18" s="824"/>
      <c r="G18" s="555" t="s">
        <v>364</v>
      </c>
      <c r="H18" s="823"/>
      <c r="I18" s="824"/>
      <c r="J18" s="4">
        <v>420.33</v>
      </c>
      <c r="K18" s="14">
        <v>7.6435068409386221E-3</v>
      </c>
      <c r="L18" s="4">
        <v>0.5</v>
      </c>
      <c r="M18" s="437">
        <v>210.16499999999999</v>
      </c>
      <c r="N18" s="4"/>
      <c r="O18" s="838" t="s">
        <v>421</v>
      </c>
      <c r="P18" s="860"/>
      <c r="Q18" s="257"/>
    </row>
    <row r="19" spans="1:17" ht="15.75" customHeight="1">
      <c r="A19" s="847"/>
      <c r="B19" s="854"/>
      <c r="C19" s="112">
        <v>3</v>
      </c>
      <c r="D19" s="555" t="s">
        <v>696</v>
      </c>
      <c r="E19" s="823"/>
      <c r="F19" s="824"/>
      <c r="G19" s="555" t="s">
        <v>803</v>
      </c>
      <c r="H19" s="823"/>
      <c r="I19" s="824"/>
      <c r="J19" s="4">
        <v>221.28</v>
      </c>
      <c r="K19" s="14">
        <v>1.6643550624133148E-2</v>
      </c>
      <c r="L19" s="4">
        <v>0.9</v>
      </c>
      <c r="M19" s="437">
        <v>199.15200000000002</v>
      </c>
      <c r="N19" s="4"/>
      <c r="O19" s="838" t="s">
        <v>421</v>
      </c>
      <c r="P19" s="860"/>
      <c r="Q19" s="257"/>
    </row>
    <row r="20" spans="1:17" ht="15.75" customHeight="1">
      <c r="A20" s="847"/>
      <c r="B20" s="854"/>
      <c r="C20" s="112">
        <v>4</v>
      </c>
      <c r="D20" s="555" t="s">
        <v>783</v>
      </c>
      <c r="E20" s="823"/>
      <c r="F20" s="824"/>
      <c r="G20" s="555" t="s">
        <v>804</v>
      </c>
      <c r="H20" s="823"/>
      <c r="I20" s="824"/>
      <c r="J20" s="4">
        <v>395.29</v>
      </c>
      <c r="K20" s="14">
        <v>1.0341261633919338E-2</v>
      </c>
      <c r="L20" s="4">
        <v>0.5</v>
      </c>
      <c r="M20" s="437">
        <v>197.64500000000001</v>
      </c>
      <c r="N20" s="4"/>
      <c r="O20" s="838" t="s">
        <v>421</v>
      </c>
      <c r="P20" s="860"/>
      <c r="Q20" s="257"/>
    </row>
    <row r="21" spans="1:17" ht="15.75" customHeight="1" thickBot="1">
      <c r="A21" s="847"/>
      <c r="B21" s="854"/>
      <c r="C21" s="113">
        <v>5</v>
      </c>
      <c r="D21" s="555" t="s">
        <v>847</v>
      </c>
      <c r="E21" s="823"/>
      <c r="F21" s="824"/>
      <c r="G21" s="555" t="s">
        <v>900</v>
      </c>
      <c r="H21" s="823"/>
      <c r="I21" s="824"/>
      <c r="J21" s="4">
        <v>122.85</v>
      </c>
      <c r="K21" s="14">
        <v>3.5310734463276837E-2</v>
      </c>
      <c r="L21" s="4">
        <v>1.6</v>
      </c>
      <c r="M21" s="437">
        <v>196.56</v>
      </c>
      <c r="N21" s="4"/>
      <c r="O21" s="838" t="s">
        <v>421</v>
      </c>
      <c r="P21" s="860"/>
      <c r="Q21" s="257"/>
    </row>
    <row r="22" spans="1:17" ht="15.75" customHeight="1" thickTop="1" thickBot="1">
      <c r="A22" s="847"/>
      <c r="B22" s="854"/>
      <c r="C22" s="855"/>
      <c r="D22" s="855"/>
      <c r="E22" s="855"/>
      <c r="F22" s="855"/>
      <c r="G22" s="855"/>
      <c r="H22" s="855"/>
      <c r="I22" s="856"/>
      <c r="J22" s="119" t="s">
        <v>883</v>
      </c>
      <c r="K22" s="239">
        <v>1.6006071247362088E-3</v>
      </c>
      <c r="L22" s="119" t="s">
        <v>884</v>
      </c>
      <c r="M22" s="438">
        <v>1021.578</v>
      </c>
      <c r="N22" s="857"/>
      <c r="O22" s="858"/>
      <c r="P22" s="859"/>
      <c r="Q22" s="257"/>
    </row>
    <row r="23" spans="1:17" ht="15.75" customHeight="1" thickTop="1">
      <c r="A23" s="547"/>
      <c r="D23" s="547"/>
      <c r="E23" s="547"/>
      <c r="F23" s="547"/>
      <c r="G23" s="547"/>
      <c r="H23" s="547"/>
      <c r="I23" s="547"/>
      <c r="J23" s="547"/>
      <c r="K23" s="547"/>
      <c r="L23" s="547"/>
      <c r="M23" s="547"/>
      <c r="N23" s="547"/>
      <c r="O23" s="547"/>
      <c r="P23" s="547"/>
      <c r="Q23" s="257"/>
    </row>
    <row r="24" spans="1:17" ht="15.75" customHeight="1">
      <c r="A24" s="846" t="s">
        <v>878</v>
      </c>
      <c r="B24" s="847"/>
      <c r="C24" s="117" t="s">
        <v>468</v>
      </c>
      <c r="D24" s="848" t="s">
        <v>12</v>
      </c>
      <c r="E24" s="849"/>
      <c r="F24" s="850"/>
      <c r="G24" s="115" t="s">
        <v>879</v>
      </c>
      <c r="H24" s="116"/>
      <c r="I24" s="117"/>
      <c r="J24" s="114" t="s">
        <v>880</v>
      </c>
      <c r="K24" s="114" t="s">
        <v>881</v>
      </c>
      <c r="L24" s="114" t="s">
        <v>882</v>
      </c>
      <c r="M24" s="118" t="s">
        <v>11</v>
      </c>
      <c r="N24" s="302" t="s">
        <v>13</v>
      </c>
      <c r="O24" s="851" t="s">
        <v>50</v>
      </c>
      <c r="P24" s="852"/>
      <c r="Q24" s="257"/>
    </row>
    <row r="25" spans="1:17" ht="15.75" customHeight="1">
      <c r="A25" s="847">
        <v>6</v>
      </c>
      <c r="B25" s="853" t="s">
        <v>192</v>
      </c>
      <c r="C25" s="112">
        <v>1</v>
      </c>
      <c r="D25" s="555" t="s">
        <v>848</v>
      </c>
      <c r="E25" s="823"/>
      <c r="F25" s="824"/>
      <c r="G25" s="555" t="s">
        <v>901</v>
      </c>
      <c r="H25" s="823"/>
      <c r="I25" s="824"/>
      <c r="J25" s="4">
        <v>535.87</v>
      </c>
      <c r="K25" s="14">
        <v>2.1265284423179162E-3</v>
      </c>
      <c r="L25" s="4">
        <v>0.4</v>
      </c>
      <c r="M25" s="437">
        <v>214.34800000000001</v>
      </c>
      <c r="N25" s="4"/>
      <c r="O25" s="838" t="s">
        <v>565</v>
      </c>
      <c r="P25" s="860"/>
      <c r="Q25" s="257"/>
    </row>
    <row r="26" spans="1:17" ht="15.75" customHeight="1">
      <c r="A26" s="847"/>
      <c r="B26" s="854"/>
      <c r="C26" s="112">
        <v>2</v>
      </c>
      <c r="D26" s="555" t="s">
        <v>784</v>
      </c>
      <c r="E26" s="823"/>
      <c r="F26" s="824"/>
      <c r="G26" s="555" t="s">
        <v>319</v>
      </c>
      <c r="H26" s="823"/>
      <c r="I26" s="824"/>
      <c r="J26" s="4">
        <v>487.66</v>
      </c>
      <c r="K26" s="14">
        <v>7.2210899934225612E-3</v>
      </c>
      <c r="L26" s="4">
        <v>0.4101218061764344</v>
      </c>
      <c r="M26" s="437">
        <v>200</v>
      </c>
      <c r="N26" s="4"/>
      <c r="O26" s="838" t="s">
        <v>565</v>
      </c>
      <c r="P26" s="860"/>
      <c r="Q26" s="257"/>
    </row>
    <row r="27" spans="1:17" ht="15.75" customHeight="1">
      <c r="A27" s="847"/>
      <c r="B27" s="854"/>
      <c r="C27" s="112">
        <v>3</v>
      </c>
      <c r="D27" s="555" t="s">
        <v>365</v>
      </c>
      <c r="E27" s="823"/>
      <c r="F27" s="824"/>
      <c r="G27" s="555" t="s">
        <v>366</v>
      </c>
      <c r="H27" s="823"/>
      <c r="I27" s="824"/>
      <c r="J27" s="4">
        <v>444.88</v>
      </c>
      <c r="K27" s="14">
        <v>2.4609326934908329E-2</v>
      </c>
      <c r="L27" s="4">
        <v>0.4</v>
      </c>
      <c r="M27" s="437">
        <v>177.952</v>
      </c>
      <c r="N27" s="4"/>
      <c r="O27" s="838" t="s">
        <v>565</v>
      </c>
      <c r="P27" s="860"/>
      <c r="Q27" s="257"/>
    </row>
    <row r="28" spans="1:17" ht="15.75" customHeight="1">
      <c r="A28" s="847"/>
      <c r="B28" s="854"/>
      <c r="C28" s="112">
        <v>4</v>
      </c>
      <c r="D28" s="555">
        <v>0</v>
      </c>
      <c r="E28" s="823"/>
      <c r="F28" s="824"/>
      <c r="G28" s="555">
        <v>0</v>
      </c>
      <c r="H28" s="823"/>
      <c r="I28" s="824"/>
      <c r="J28" s="4">
        <v>0</v>
      </c>
      <c r="K28" s="14">
        <v>0</v>
      </c>
      <c r="L28" s="4">
        <v>0</v>
      </c>
      <c r="M28" s="437">
        <v>0</v>
      </c>
      <c r="N28" s="4"/>
      <c r="O28" s="838"/>
      <c r="P28" s="860"/>
      <c r="Q28" s="257"/>
    </row>
    <row r="29" spans="1:17" ht="15.75" customHeight="1" thickBot="1">
      <c r="A29" s="847"/>
      <c r="B29" s="854"/>
      <c r="C29" s="113">
        <v>5</v>
      </c>
      <c r="D29" s="555">
        <v>0</v>
      </c>
      <c r="E29" s="823"/>
      <c r="F29" s="824"/>
      <c r="G29" s="555">
        <v>0</v>
      </c>
      <c r="H29" s="823"/>
      <c r="I29" s="824"/>
      <c r="J29" s="4">
        <v>0</v>
      </c>
      <c r="K29" s="14">
        <v>0</v>
      </c>
      <c r="L29" s="4">
        <v>0</v>
      </c>
      <c r="M29" s="437">
        <v>0</v>
      </c>
      <c r="N29" s="4"/>
      <c r="O29" s="838"/>
      <c r="P29" s="860"/>
      <c r="Q29" s="257"/>
    </row>
    <row r="30" spans="1:17" ht="15.75" customHeight="1" thickTop="1" thickBot="1">
      <c r="A30" s="847"/>
      <c r="B30" s="854"/>
      <c r="C30" s="855"/>
      <c r="D30" s="855"/>
      <c r="E30" s="855"/>
      <c r="F30" s="855"/>
      <c r="G30" s="855"/>
      <c r="H30" s="855"/>
      <c r="I30" s="856"/>
      <c r="J30" s="119" t="s">
        <v>883</v>
      </c>
      <c r="K30" s="239">
        <v>9.2801489458588227E-4</v>
      </c>
      <c r="L30" s="119" t="s">
        <v>884</v>
      </c>
      <c r="M30" s="438">
        <v>592.29999999999995</v>
      </c>
      <c r="N30" s="857"/>
      <c r="O30" s="858"/>
      <c r="P30" s="859"/>
      <c r="Q30" s="257"/>
    </row>
    <row r="31" spans="1:17" ht="15.75" customHeight="1" thickTop="1">
      <c r="A31" s="547"/>
      <c r="D31" s="547"/>
      <c r="E31" s="547"/>
      <c r="F31" s="547"/>
      <c r="G31" s="547"/>
      <c r="H31" s="547"/>
      <c r="I31" s="547"/>
      <c r="J31" s="547"/>
      <c r="K31" s="547"/>
      <c r="L31" s="547"/>
      <c r="M31" s="547"/>
      <c r="N31" s="547"/>
      <c r="O31" s="547"/>
      <c r="P31" s="547"/>
      <c r="Q31" s="257"/>
    </row>
    <row r="32" spans="1:17" ht="15.75" customHeight="1">
      <c r="A32" s="846" t="s">
        <v>878</v>
      </c>
      <c r="B32" s="847"/>
      <c r="C32" s="117" t="s">
        <v>468</v>
      </c>
      <c r="D32" s="848" t="s">
        <v>12</v>
      </c>
      <c r="E32" s="849"/>
      <c r="F32" s="850"/>
      <c r="G32" s="115" t="s">
        <v>879</v>
      </c>
      <c r="H32" s="116"/>
      <c r="I32" s="117"/>
      <c r="J32" s="114" t="s">
        <v>880</v>
      </c>
      <c r="K32" s="114" t="s">
        <v>881</v>
      </c>
      <c r="L32" s="114" t="s">
        <v>882</v>
      </c>
      <c r="M32" s="118" t="s">
        <v>11</v>
      </c>
      <c r="N32" s="118" t="s">
        <v>13</v>
      </c>
      <c r="O32" s="851" t="s">
        <v>50</v>
      </c>
      <c r="P32" s="852"/>
      <c r="Q32" s="257"/>
    </row>
    <row r="33" spans="1:17" ht="15.75" customHeight="1">
      <c r="A33" s="847">
        <v>7</v>
      </c>
      <c r="B33" s="853" t="s">
        <v>422</v>
      </c>
      <c r="C33" s="112">
        <v>1</v>
      </c>
      <c r="D33" s="555" t="s">
        <v>845</v>
      </c>
      <c r="E33" s="823"/>
      <c r="F33" s="824"/>
      <c r="G33" s="555" t="s">
        <v>902</v>
      </c>
      <c r="H33" s="823"/>
      <c r="I33" s="824"/>
      <c r="J33" s="4">
        <v>1010.1</v>
      </c>
      <c r="K33" s="14">
        <v>1.2984764542936287E-2</v>
      </c>
      <c r="L33" s="4">
        <v>0.3</v>
      </c>
      <c r="M33" s="437">
        <v>303.02999999999997</v>
      </c>
      <c r="N33" s="4"/>
      <c r="O33" s="838" t="s">
        <v>491</v>
      </c>
      <c r="P33" s="860"/>
      <c r="Q33" s="257"/>
    </row>
    <row r="34" spans="1:17" ht="15.75" customHeight="1">
      <c r="A34" s="847"/>
      <c r="B34" s="854"/>
      <c r="C34" s="112">
        <v>2</v>
      </c>
      <c r="D34" s="555" t="s">
        <v>848</v>
      </c>
      <c r="E34" s="823"/>
      <c r="F34" s="824"/>
      <c r="G34" s="555" t="s">
        <v>903</v>
      </c>
      <c r="H34" s="823"/>
      <c r="I34" s="824"/>
      <c r="J34" s="4">
        <v>547.79999999999995</v>
      </c>
      <c r="K34" s="14">
        <v>4.2530568846358328E-2</v>
      </c>
      <c r="L34" s="4">
        <v>0.4</v>
      </c>
      <c r="M34" s="437">
        <v>219.12</v>
      </c>
      <c r="N34" s="4"/>
      <c r="O34" s="838" t="s">
        <v>491</v>
      </c>
      <c r="P34" s="860"/>
      <c r="Q34" s="257"/>
    </row>
    <row r="35" spans="1:17" ht="15.75" customHeight="1">
      <c r="A35" s="847"/>
      <c r="B35" s="854"/>
      <c r="C35" s="112">
        <v>3</v>
      </c>
      <c r="D35" s="555" t="s">
        <v>904</v>
      </c>
      <c r="E35" s="823"/>
      <c r="F35" s="824"/>
      <c r="G35" s="555" t="s">
        <v>905</v>
      </c>
      <c r="H35" s="823"/>
      <c r="I35" s="824"/>
      <c r="J35" s="4">
        <v>952.28</v>
      </c>
      <c r="K35" s="14">
        <v>2.0986358866736624E-2</v>
      </c>
      <c r="L35" s="4">
        <v>0.2</v>
      </c>
      <c r="M35" s="437">
        <v>190.45600000000002</v>
      </c>
      <c r="N35" s="4"/>
      <c r="O35" s="838" t="s">
        <v>491</v>
      </c>
      <c r="P35" s="829"/>
      <c r="Q35" s="257"/>
    </row>
    <row r="36" spans="1:17" ht="15.75" customHeight="1">
      <c r="A36" s="847"/>
      <c r="B36" s="854"/>
      <c r="C36" s="112">
        <v>4</v>
      </c>
      <c r="D36" s="555" t="s">
        <v>776</v>
      </c>
      <c r="E36" s="823"/>
      <c r="F36" s="824"/>
      <c r="G36" s="555" t="s">
        <v>805</v>
      </c>
      <c r="H36" s="823"/>
      <c r="I36" s="824"/>
      <c r="J36" s="4">
        <v>935.2</v>
      </c>
      <c r="K36" s="14">
        <v>1.0615711252653929E-2</v>
      </c>
      <c r="L36" s="4">
        <v>0.2</v>
      </c>
      <c r="M36" s="437">
        <v>187.04000000000002</v>
      </c>
      <c r="N36" s="4"/>
      <c r="O36" s="838" t="s">
        <v>491</v>
      </c>
      <c r="P36" s="860"/>
      <c r="Q36" s="257"/>
    </row>
    <row r="37" spans="1:17" ht="15.75" customHeight="1" thickBot="1">
      <c r="A37" s="847"/>
      <c r="B37" s="854"/>
      <c r="C37" s="113">
        <v>5</v>
      </c>
      <c r="D37" s="555" t="s">
        <v>845</v>
      </c>
      <c r="E37" s="823"/>
      <c r="F37" s="824"/>
      <c r="G37" s="555" t="s">
        <v>906</v>
      </c>
      <c r="H37" s="823"/>
      <c r="I37" s="824"/>
      <c r="J37" s="4">
        <v>622.54999999999995</v>
      </c>
      <c r="K37" s="14">
        <v>5.7803468208092477E-2</v>
      </c>
      <c r="L37" s="4">
        <v>0.3</v>
      </c>
      <c r="M37" s="437">
        <v>186.76499999999999</v>
      </c>
      <c r="N37" s="4"/>
      <c r="O37" s="838" t="s">
        <v>491</v>
      </c>
      <c r="P37" s="829"/>
      <c r="Q37" s="257"/>
    </row>
    <row r="38" spans="1:17" ht="15.75" customHeight="1" thickTop="1" thickBot="1">
      <c r="A38" s="847"/>
      <c r="B38" s="854"/>
      <c r="C38" s="855"/>
      <c r="D38" s="855"/>
      <c r="E38" s="855"/>
      <c r="F38" s="855"/>
      <c r="G38" s="855"/>
      <c r="H38" s="855"/>
      <c r="I38" s="856"/>
      <c r="J38" s="119" t="s">
        <v>883</v>
      </c>
      <c r="K38" s="239">
        <v>1.7021873875433784E-3</v>
      </c>
      <c r="L38" s="119" t="s">
        <v>884</v>
      </c>
      <c r="M38" s="438">
        <v>1086.4110000000001</v>
      </c>
      <c r="N38" s="857"/>
      <c r="O38" s="858"/>
      <c r="P38" s="859"/>
      <c r="Q38" s="257"/>
    </row>
    <row r="39" spans="1:17" ht="15.75" customHeight="1" thickTop="1"/>
  </sheetData>
  <mergeCells count="107">
    <mergeCell ref="O25:P25"/>
    <mergeCell ref="O26:P26"/>
    <mergeCell ref="O27:P27"/>
    <mergeCell ref="O28:P28"/>
    <mergeCell ref="O29:P29"/>
    <mergeCell ref="O11:P11"/>
    <mergeCell ref="O12:P12"/>
    <mergeCell ref="O13:P13"/>
    <mergeCell ref="O17:P17"/>
    <mergeCell ref="O18:P18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9:P9"/>
    <mergeCell ref="O10:P10"/>
    <mergeCell ref="C14:I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19:P19"/>
    <mergeCell ref="O20:P20"/>
    <mergeCell ref="O21:P21"/>
    <mergeCell ref="D19:F19"/>
    <mergeCell ref="G19:I19"/>
    <mergeCell ref="D20:F20"/>
    <mergeCell ref="G20:I20"/>
    <mergeCell ref="C22:I22"/>
    <mergeCell ref="N38:P38"/>
    <mergeCell ref="G34:I34"/>
    <mergeCell ref="D35:F35"/>
    <mergeCell ref="G27:I27"/>
    <mergeCell ref="D28:F28"/>
    <mergeCell ref="O36:P36"/>
    <mergeCell ref="O37:P37"/>
    <mergeCell ref="G35:I35"/>
    <mergeCell ref="D36:F36"/>
    <mergeCell ref="G36:I36"/>
    <mergeCell ref="D37:F37"/>
    <mergeCell ref="G37:I37"/>
    <mergeCell ref="O33:P33"/>
    <mergeCell ref="O34:P34"/>
    <mergeCell ref="O35:P35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D26:F26"/>
    <mergeCell ref="G26:I26"/>
    <mergeCell ref="D27:F27"/>
    <mergeCell ref="N30:P30"/>
    <mergeCell ref="A32:B32"/>
    <mergeCell ref="D32:F32"/>
    <mergeCell ref="O32:P32"/>
    <mergeCell ref="C38:I3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5" tint="0.39997558519241921"/>
    <outlinePr summaryBelow="0" summaryRight="0"/>
  </sheetPr>
  <dimension ref="A1:W31"/>
  <sheetViews>
    <sheetView view="pageBreakPreview" zoomScale="115" zoomScaleNormal="60" zoomScaleSheetLayoutView="115" workbookViewId="0">
      <selection activeCell="A8" sqref="A8:P30"/>
    </sheetView>
  </sheetViews>
  <sheetFormatPr defaultColWidth="12.5703125" defaultRowHeight="15.75" customHeight="1"/>
  <cols>
    <col min="1" max="1" width="5.42578125" style="183" customWidth="1"/>
    <col min="2" max="2" width="11.42578125" style="304" customWidth="1"/>
    <col min="3" max="3" width="4" style="305" customWidth="1"/>
    <col min="4" max="17" width="9.5703125" style="183" customWidth="1"/>
    <col min="18" max="16384" width="12.5703125" style="183"/>
  </cols>
  <sheetData>
    <row r="1" spans="1:23" ht="15.75" customHeight="1">
      <c r="A1" s="784" t="s">
        <v>412</v>
      </c>
      <c r="B1" s="784"/>
      <c r="C1" s="784"/>
      <c r="D1" s="784"/>
      <c r="E1" s="784"/>
      <c r="F1" s="784"/>
      <c r="G1" s="784"/>
      <c r="H1" s="784"/>
      <c r="I1" s="784"/>
      <c r="J1" s="784"/>
      <c r="K1" s="784"/>
      <c r="L1" s="784"/>
      <c r="M1" s="784"/>
      <c r="N1" s="784"/>
      <c r="O1" s="784"/>
      <c r="P1" s="784"/>
      <c r="Q1" s="784"/>
    </row>
    <row r="2" spans="1:23" s="184" customFormat="1" ht="15.75" customHeight="1">
      <c r="A2" s="784"/>
      <c r="B2" s="784"/>
      <c r="C2" s="784"/>
      <c r="D2" s="784"/>
      <c r="E2" s="784"/>
      <c r="F2" s="784"/>
      <c r="G2" s="784"/>
      <c r="H2" s="784"/>
      <c r="I2" s="784"/>
      <c r="J2" s="784"/>
      <c r="K2" s="784"/>
      <c r="L2" s="784"/>
      <c r="M2" s="784"/>
      <c r="N2" s="784"/>
      <c r="O2" s="784"/>
      <c r="P2" s="784"/>
      <c r="Q2" s="784"/>
      <c r="R2" s="183"/>
      <c r="S2" s="183"/>
      <c r="T2" s="183"/>
      <c r="U2" s="183"/>
      <c r="V2" s="183"/>
      <c r="W2" s="183"/>
    </row>
    <row r="3" spans="1:23" ht="15.75" customHeight="1">
      <c r="A3" s="785" t="s">
        <v>413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85"/>
      <c r="M3" s="785"/>
      <c r="N3" s="185"/>
    </row>
    <row r="4" spans="1:23" s="184" customFormat="1" ht="15.75" customHeight="1">
      <c r="A4" s="785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85"/>
      <c r="M4" s="785"/>
      <c r="N4" s="186"/>
      <c r="R4" s="183"/>
      <c r="S4" s="183"/>
      <c r="T4" s="183"/>
      <c r="U4" s="183"/>
      <c r="V4" s="183"/>
      <c r="W4" s="183"/>
    </row>
    <row r="5" spans="1:23" ht="15.75" customHeight="1">
      <c r="A5" s="787" t="s">
        <v>411</v>
      </c>
      <c r="B5" s="864">
        <v>1</v>
      </c>
      <c r="C5" s="864"/>
      <c r="D5" s="864">
        <v>2</v>
      </c>
      <c r="E5" s="864"/>
      <c r="F5" s="864">
        <v>3</v>
      </c>
      <c r="G5" s="864"/>
      <c r="H5" s="790">
        <v>4</v>
      </c>
      <c r="I5" s="790"/>
      <c r="J5" s="790">
        <v>5</v>
      </c>
      <c r="K5" s="790"/>
      <c r="L5" s="790">
        <v>6</v>
      </c>
      <c r="M5" s="790"/>
      <c r="N5" s="790">
        <v>7</v>
      </c>
      <c r="O5" s="790"/>
      <c r="P5" s="790">
        <v>8</v>
      </c>
      <c r="Q5" s="790"/>
    </row>
    <row r="6" spans="1:23" ht="15.75" customHeight="1">
      <c r="A6" s="787"/>
      <c r="B6" s="841" t="s">
        <v>734</v>
      </c>
      <c r="C6" s="841"/>
      <c r="D6" s="865" t="s">
        <v>414</v>
      </c>
      <c r="E6" s="865"/>
      <c r="F6" s="865" t="s">
        <v>415</v>
      </c>
      <c r="G6" s="865"/>
      <c r="H6" s="863" t="s">
        <v>416</v>
      </c>
      <c r="I6" s="787"/>
      <c r="J6" s="787" t="s">
        <v>417</v>
      </c>
      <c r="K6" s="787"/>
      <c r="L6" s="787" t="s">
        <v>418</v>
      </c>
      <c r="M6" s="787"/>
      <c r="N6" s="787" t="s">
        <v>419</v>
      </c>
      <c r="O6" s="787"/>
      <c r="P6" s="863" t="s">
        <v>420</v>
      </c>
      <c r="Q6" s="787"/>
    </row>
    <row r="8" spans="1:23" s="303" customFormat="1" ht="15.75" customHeight="1">
      <c r="A8" s="830" t="s">
        <v>878</v>
      </c>
      <c r="B8" s="831"/>
      <c r="C8" s="552" t="s">
        <v>468</v>
      </c>
      <c r="D8" s="832" t="s">
        <v>12</v>
      </c>
      <c r="E8" s="833"/>
      <c r="F8" s="834"/>
      <c r="G8" s="550" t="s">
        <v>879</v>
      </c>
      <c r="H8" s="551"/>
      <c r="I8" s="552"/>
      <c r="J8" s="170" t="s">
        <v>880</v>
      </c>
      <c r="K8" s="302" t="s">
        <v>907</v>
      </c>
      <c r="L8" s="170" t="s">
        <v>882</v>
      </c>
      <c r="M8" s="170" t="s">
        <v>11</v>
      </c>
      <c r="N8" s="302" t="s">
        <v>13</v>
      </c>
      <c r="O8" s="835" t="s">
        <v>50</v>
      </c>
      <c r="P8" s="836"/>
      <c r="R8" s="183"/>
      <c r="S8" s="183"/>
      <c r="T8" s="183"/>
      <c r="U8" s="183"/>
      <c r="V8" s="183"/>
      <c r="W8" s="183"/>
    </row>
    <row r="9" spans="1:23" ht="15.75" customHeight="1">
      <c r="A9" s="745">
        <v>1</v>
      </c>
      <c r="B9" s="820" t="s">
        <v>740</v>
      </c>
      <c r="C9" s="171">
        <v>1</v>
      </c>
      <c r="D9" s="555">
        <v>0</v>
      </c>
      <c r="E9" s="823"/>
      <c r="F9" s="824"/>
      <c r="G9" s="555">
        <v>0</v>
      </c>
      <c r="H9" s="823"/>
      <c r="I9" s="824"/>
      <c r="J9" s="4">
        <v>0</v>
      </c>
      <c r="K9" s="14">
        <v>0</v>
      </c>
      <c r="L9" s="4">
        <v>0</v>
      </c>
      <c r="M9" s="437">
        <v>0</v>
      </c>
      <c r="N9" s="172"/>
      <c r="O9" s="838"/>
      <c r="P9" s="829"/>
    </row>
    <row r="10" spans="1:23" ht="15.75" customHeight="1">
      <c r="A10" s="746"/>
      <c r="B10" s="821"/>
      <c r="C10" s="171">
        <v>2</v>
      </c>
      <c r="D10" s="555">
        <v>0</v>
      </c>
      <c r="E10" s="823"/>
      <c r="F10" s="824"/>
      <c r="G10" s="555">
        <v>0</v>
      </c>
      <c r="H10" s="823"/>
      <c r="I10" s="824"/>
      <c r="J10" s="4">
        <v>0</v>
      </c>
      <c r="K10" s="14">
        <v>0</v>
      </c>
      <c r="L10" s="4">
        <v>0</v>
      </c>
      <c r="M10" s="437">
        <v>0</v>
      </c>
      <c r="N10" s="172"/>
      <c r="O10" s="838"/>
      <c r="P10" s="829"/>
    </row>
    <row r="11" spans="1:23" ht="15.75" customHeight="1">
      <c r="A11" s="746"/>
      <c r="B11" s="821"/>
      <c r="C11" s="171">
        <v>3</v>
      </c>
      <c r="D11" s="555">
        <v>0</v>
      </c>
      <c r="E11" s="823"/>
      <c r="F11" s="824"/>
      <c r="G11" s="555">
        <v>0</v>
      </c>
      <c r="H11" s="823"/>
      <c r="I11" s="824"/>
      <c r="J11" s="4">
        <v>0</v>
      </c>
      <c r="K11" s="14">
        <v>0</v>
      </c>
      <c r="L11" s="4">
        <v>0</v>
      </c>
      <c r="M11" s="437">
        <v>0</v>
      </c>
      <c r="N11" s="172"/>
      <c r="O11" s="838"/>
      <c r="P11" s="829"/>
    </row>
    <row r="12" spans="1:23" ht="15.75" customHeight="1">
      <c r="A12" s="746"/>
      <c r="B12" s="821"/>
      <c r="C12" s="171">
        <v>4</v>
      </c>
      <c r="D12" s="555">
        <v>0</v>
      </c>
      <c r="E12" s="823"/>
      <c r="F12" s="824"/>
      <c r="G12" s="555">
        <v>0</v>
      </c>
      <c r="H12" s="823"/>
      <c r="I12" s="824"/>
      <c r="J12" s="4">
        <v>0</v>
      </c>
      <c r="K12" s="14">
        <v>0</v>
      </c>
      <c r="L12" s="4">
        <v>0</v>
      </c>
      <c r="M12" s="437">
        <v>0</v>
      </c>
      <c r="N12" s="172"/>
      <c r="O12" s="838"/>
      <c r="P12" s="829"/>
    </row>
    <row r="13" spans="1:23" ht="15.75" customHeight="1" thickBot="1">
      <c r="A13" s="746"/>
      <c r="B13" s="821"/>
      <c r="C13" s="173">
        <v>5</v>
      </c>
      <c r="D13" s="555">
        <v>0</v>
      </c>
      <c r="E13" s="823"/>
      <c r="F13" s="824"/>
      <c r="G13" s="555">
        <v>0</v>
      </c>
      <c r="H13" s="823"/>
      <c r="I13" s="824"/>
      <c r="J13" s="4">
        <v>0</v>
      </c>
      <c r="K13" s="14">
        <v>0</v>
      </c>
      <c r="L13" s="4">
        <v>0</v>
      </c>
      <c r="M13" s="437">
        <v>0</v>
      </c>
      <c r="N13" s="174"/>
      <c r="O13" s="844"/>
      <c r="P13" s="845"/>
    </row>
    <row r="14" spans="1:23" ht="15.75" customHeight="1" thickTop="1" thickBot="1">
      <c r="A14" s="747"/>
      <c r="B14" s="822"/>
      <c r="C14" s="814"/>
      <c r="D14" s="815"/>
      <c r="E14" s="815"/>
      <c r="F14" s="815"/>
      <c r="G14" s="815"/>
      <c r="H14" s="815"/>
      <c r="I14" s="816"/>
      <c r="J14" s="301" t="s">
        <v>883</v>
      </c>
      <c r="K14" s="239">
        <v>0</v>
      </c>
      <c r="L14" s="301" t="s">
        <v>884</v>
      </c>
      <c r="M14" s="438">
        <v>0</v>
      </c>
      <c r="N14" s="817"/>
      <c r="O14" s="818"/>
      <c r="P14" s="819"/>
    </row>
    <row r="15" spans="1:23" ht="15.75" customHeight="1" thickTop="1">
      <c r="A15" s="120"/>
      <c r="B15" s="175"/>
      <c r="C15" s="161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</row>
    <row r="16" spans="1:23" ht="15.75" customHeight="1">
      <c r="A16" s="830" t="s">
        <v>878</v>
      </c>
      <c r="B16" s="831"/>
      <c r="C16" s="552" t="s">
        <v>468</v>
      </c>
      <c r="D16" s="832" t="s">
        <v>12</v>
      </c>
      <c r="E16" s="833"/>
      <c r="F16" s="834"/>
      <c r="G16" s="550" t="s">
        <v>879</v>
      </c>
      <c r="H16" s="551"/>
      <c r="I16" s="552"/>
      <c r="J16" s="170" t="s">
        <v>880</v>
      </c>
      <c r="K16" s="302" t="s">
        <v>907</v>
      </c>
      <c r="L16" s="170" t="s">
        <v>882</v>
      </c>
      <c r="M16" s="170" t="s">
        <v>11</v>
      </c>
      <c r="N16" s="302" t="s">
        <v>13</v>
      </c>
      <c r="O16" s="835" t="s">
        <v>50</v>
      </c>
      <c r="P16" s="836"/>
    </row>
    <row r="17" spans="1:16" ht="15.75" customHeight="1">
      <c r="A17" s="745">
        <v>2</v>
      </c>
      <c r="B17" s="820" t="s">
        <v>317</v>
      </c>
      <c r="C17" s="171">
        <v>1</v>
      </c>
      <c r="D17" s="555" t="s">
        <v>848</v>
      </c>
      <c r="E17" s="823"/>
      <c r="F17" s="824"/>
      <c r="G17" s="555" t="s">
        <v>903</v>
      </c>
      <c r="H17" s="823"/>
      <c r="I17" s="824"/>
      <c r="J17" s="4">
        <v>547.79999999999995</v>
      </c>
      <c r="K17" s="14">
        <v>0.31795716639209226</v>
      </c>
      <c r="L17" s="4">
        <v>0.57899999999999996</v>
      </c>
      <c r="M17" s="437">
        <v>317.17619999999994</v>
      </c>
      <c r="N17" s="172"/>
      <c r="O17" s="838" t="s">
        <v>807</v>
      </c>
      <c r="P17" s="829"/>
    </row>
    <row r="18" spans="1:16" ht="15.75" customHeight="1">
      <c r="A18" s="746"/>
      <c r="B18" s="821"/>
      <c r="C18" s="171">
        <v>2</v>
      </c>
      <c r="D18" s="555" t="s">
        <v>786</v>
      </c>
      <c r="E18" s="823"/>
      <c r="F18" s="824"/>
      <c r="G18" s="555" t="s">
        <v>809</v>
      </c>
      <c r="H18" s="823"/>
      <c r="I18" s="824"/>
      <c r="J18" s="4">
        <v>304.76</v>
      </c>
      <c r="K18" s="14">
        <v>6.0445387062566337E-2</v>
      </c>
      <c r="L18" s="4">
        <v>0.91200000000000081</v>
      </c>
      <c r="M18" s="437">
        <v>277.94112000000024</v>
      </c>
      <c r="N18" s="172"/>
      <c r="O18" s="838" t="s">
        <v>807</v>
      </c>
      <c r="P18" s="829"/>
    </row>
    <row r="19" spans="1:16" ht="15.75" customHeight="1">
      <c r="A19" s="746"/>
      <c r="B19" s="821"/>
      <c r="C19" s="171">
        <v>3</v>
      </c>
      <c r="D19" s="555" t="s">
        <v>318</v>
      </c>
      <c r="E19" s="823"/>
      <c r="F19" s="824"/>
      <c r="G19" s="555" t="s">
        <v>885</v>
      </c>
      <c r="H19" s="823"/>
      <c r="I19" s="824"/>
      <c r="J19" s="4">
        <v>150.91999999999999</v>
      </c>
      <c r="K19" s="14">
        <v>3.1384342884555078E-2</v>
      </c>
      <c r="L19" s="4">
        <v>1.7010000000000005</v>
      </c>
      <c r="M19" s="437">
        <v>256.71492000000006</v>
      </c>
      <c r="N19" s="172"/>
      <c r="O19" s="838" t="s">
        <v>807</v>
      </c>
      <c r="P19" s="829"/>
    </row>
    <row r="20" spans="1:16" ht="15.75" customHeight="1">
      <c r="A20" s="746"/>
      <c r="B20" s="821"/>
      <c r="C20" s="171">
        <v>4</v>
      </c>
      <c r="D20" s="555" t="s">
        <v>336</v>
      </c>
      <c r="E20" s="823"/>
      <c r="F20" s="824"/>
      <c r="G20" s="555" t="s">
        <v>490</v>
      </c>
      <c r="H20" s="823"/>
      <c r="I20" s="824"/>
      <c r="J20" s="4">
        <v>418.41</v>
      </c>
      <c r="K20" s="14">
        <v>4.8979262486887699E-2</v>
      </c>
      <c r="L20" s="4">
        <v>0.60699999999999932</v>
      </c>
      <c r="M20" s="437">
        <v>253.97486999999973</v>
      </c>
      <c r="N20" s="172"/>
      <c r="O20" s="838" t="s">
        <v>807</v>
      </c>
      <c r="P20" s="829"/>
    </row>
    <row r="21" spans="1:16" ht="15.75" customHeight="1" thickBot="1">
      <c r="A21" s="746"/>
      <c r="B21" s="821"/>
      <c r="C21" s="173">
        <v>5</v>
      </c>
      <c r="D21" s="555" t="s">
        <v>729</v>
      </c>
      <c r="E21" s="823"/>
      <c r="F21" s="824"/>
      <c r="G21" s="555" t="s">
        <v>800</v>
      </c>
      <c r="H21" s="823"/>
      <c r="I21" s="824"/>
      <c r="J21" s="4">
        <v>261.51</v>
      </c>
      <c r="K21" s="14">
        <v>0.12203731719616741</v>
      </c>
      <c r="L21" s="4">
        <v>0.96799999999999997</v>
      </c>
      <c r="M21" s="437">
        <v>253.14167999999998</v>
      </c>
      <c r="N21" s="174"/>
      <c r="O21" s="844" t="s">
        <v>807</v>
      </c>
      <c r="P21" s="845"/>
    </row>
    <row r="22" spans="1:16" ht="15.75" customHeight="1" thickTop="1" thickBot="1">
      <c r="A22" s="747"/>
      <c r="B22" s="822"/>
      <c r="C22" s="825"/>
      <c r="D22" s="826"/>
      <c r="E22" s="826"/>
      <c r="F22" s="826"/>
      <c r="G22" s="826"/>
      <c r="H22" s="826"/>
      <c r="I22" s="827"/>
      <c r="J22" s="301" t="s">
        <v>883</v>
      </c>
      <c r="K22" s="239">
        <v>1.2853855235636779E-3</v>
      </c>
      <c r="L22" s="301" t="s">
        <v>884</v>
      </c>
      <c r="M22" s="438">
        <v>1358.9487899999999</v>
      </c>
      <c r="N22" s="817"/>
      <c r="O22" s="818"/>
      <c r="P22" s="819"/>
    </row>
    <row r="23" spans="1:16" ht="15.75" customHeight="1" thickTop="1">
      <c r="A23" s="120"/>
      <c r="B23" s="175"/>
      <c r="C23" s="161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</row>
    <row r="24" spans="1:16" ht="15.75" customHeight="1">
      <c r="A24" s="830" t="s">
        <v>878</v>
      </c>
      <c r="B24" s="831"/>
      <c r="C24" s="552" t="s">
        <v>468</v>
      </c>
      <c r="D24" s="832" t="s">
        <v>12</v>
      </c>
      <c r="E24" s="833"/>
      <c r="F24" s="834"/>
      <c r="G24" s="550" t="s">
        <v>879</v>
      </c>
      <c r="H24" s="551"/>
      <c r="I24" s="552"/>
      <c r="J24" s="170" t="s">
        <v>880</v>
      </c>
      <c r="K24" s="302" t="s">
        <v>907</v>
      </c>
      <c r="L24" s="170" t="s">
        <v>882</v>
      </c>
      <c r="M24" s="170" t="s">
        <v>11</v>
      </c>
      <c r="N24" s="302" t="s">
        <v>13</v>
      </c>
      <c r="O24" s="835" t="s">
        <v>50</v>
      </c>
      <c r="P24" s="836"/>
    </row>
    <row r="25" spans="1:16" ht="15.75" customHeight="1">
      <c r="A25" s="745">
        <v>3</v>
      </c>
      <c r="B25" s="820" t="s">
        <v>363</v>
      </c>
      <c r="C25" s="171">
        <v>1</v>
      </c>
      <c r="D25" s="555" t="s">
        <v>786</v>
      </c>
      <c r="E25" s="823"/>
      <c r="F25" s="824"/>
      <c r="G25" s="555" t="s">
        <v>808</v>
      </c>
      <c r="H25" s="823"/>
      <c r="I25" s="824"/>
      <c r="J25" s="4">
        <v>304.58999999999997</v>
      </c>
      <c r="K25" s="14">
        <v>6.59694288012872E-2</v>
      </c>
      <c r="L25" s="4">
        <v>0.98399999999999999</v>
      </c>
      <c r="M25" s="437">
        <v>299.71655999999996</v>
      </c>
      <c r="N25" s="172"/>
      <c r="O25" s="842" t="s">
        <v>908</v>
      </c>
      <c r="P25" s="829"/>
    </row>
    <row r="26" spans="1:16" ht="15.75" customHeight="1">
      <c r="A26" s="746"/>
      <c r="B26" s="821"/>
      <c r="C26" s="171">
        <v>2</v>
      </c>
      <c r="D26" s="555" t="s">
        <v>786</v>
      </c>
      <c r="E26" s="823"/>
      <c r="F26" s="824"/>
      <c r="G26" s="555" t="s">
        <v>809</v>
      </c>
      <c r="H26" s="823"/>
      <c r="I26" s="824"/>
      <c r="J26" s="4">
        <v>304.76</v>
      </c>
      <c r="K26" s="14">
        <v>5.4725168756027079E-2</v>
      </c>
      <c r="L26" s="4">
        <v>0.90800000000000125</v>
      </c>
      <c r="M26" s="437">
        <v>276.72208000000035</v>
      </c>
      <c r="N26" s="172"/>
      <c r="O26" s="842" t="s">
        <v>894</v>
      </c>
      <c r="P26" s="829"/>
    </row>
    <row r="27" spans="1:16" ht="15.75" customHeight="1">
      <c r="A27" s="746"/>
      <c r="B27" s="821"/>
      <c r="C27" s="171">
        <v>3</v>
      </c>
      <c r="D27" s="555" t="s">
        <v>336</v>
      </c>
      <c r="E27" s="823"/>
      <c r="F27" s="824"/>
      <c r="G27" s="555" t="s">
        <v>490</v>
      </c>
      <c r="H27" s="823"/>
      <c r="I27" s="824"/>
      <c r="J27" s="4">
        <v>418.41</v>
      </c>
      <c r="K27" s="14">
        <v>4.821802935010483E-2</v>
      </c>
      <c r="L27" s="4">
        <v>0.64400000000000013</v>
      </c>
      <c r="M27" s="437">
        <v>269.45604000000009</v>
      </c>
      <c r="N27" s="172"/>
      <c r="O27" s="842" t="s">
        <v>894</v>
      </c>
      <c r="P27" s="829"/>
    </row>
    <row r="28" spans="1:16" ht="15.75" customHeight="1">
      <c r="A28" s="746"/>
      <c r="B28" s="821"/>
      <c r="C28" s="171">
        <v>4</v>
      </c>
      <c r="D28" s="555" t="s">
        <v>850</v>
      </c>
      <c r="E28" s="823"/>
      <c r="F28" s="824"/>
      <c r="G28" s="555" t="s">
        <v>802</v>
      </c>
      <c r="H28" s="823"/>
      <c r="I28" s="824"/>
      <c r="J28" s="4">
        <v>314.05</v>
      </c>
      <c r="K28" s="14">
        <v>0.13974231912784937</v>
      </c>
      <c r="L28" s="4">
        <v>0.84600000000000009</v>
      </c>
      <c r="M28" s="437">
        <v>265.68630000000002</v>
      </c>
      <c r="N28" s="172"/>
      <c r="O28" s="842" t="s">
        <v>894</v>
      </c>
      <c r="P28" s="829"/>
    </row>
    <row r="29" spans="1:16" ht="15.75" customHeight="1" thickBot="1">
      <c r="A29" s="746"/>
      <c r="B29" s="821"/>
      <c r="C29" s="173">
        <v>5</v>
      </c>
      <c r="D29" s="555" t="s">
        <v>841</v>
      </c>
      <c r="E29" s="823"/>
      <c r="F29" s="824"/>
      <c r="G29" s="555" t="s">
        <v>895</v>
      </c>
      <c r="H29" s="823"/>
      <c r="I29" s="824"/>
      <c r="J29" s="4">
        <v>143.16</v>
      </c>
      <c r="K29" s="14">
        <v>6.112194638193779E-2</v>
      </c>
      <c r="L29" s="4">
        <v>1.8490000000000002</v>
      </c>
      <c r="M29" s="437">
        <v>264.70284000000004</v>
      </c>
      <c r="N29" s="174"/>
      <c r="O29" s="828" t="s">
        <v>894</v>
      </c>
      <c r="P29" s="829"/>
    </row>
    <row r="30" spans="1:16" ht="15.75" customHeight="1" thickTop="1" thickBot="1">
      <c r="A30" s="747"/>
      <c r="B30" s="822"/>
      <c r="C30" s="814"/>
      <c r="D30" s="815"/>
      <c r="E30" s="815"/>
      <c r="F30" s="815"/>
      <c r="G30" s="815"/>
      <c r="H30" s="815"/>
      <c r="I30" s="816"/>
      <c r="J30" s="301" t="s">
        <v>883</v>
      </c>
      <c r="K30" s="239">
        <v>1.3017821654213472E-3</v>
      </c>
      <c r="L30" s="301" t="s">
        <v>884</v>
      </c>
      <c r="M30" s="438">
        <v>1376.2838200000006</v>
      </c>
      <c r="N30" s="817"/>
      <c r="O30" s="818"/>
      <c r="P30" s="819"/>
    </row>
    <row r="31" spans="1:16" ht="15.75" customHeight="1" thickTop="1"/>
  </sheetData>
  <mergeCells count="85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O10:P10"/>
    <mergeCell ref="D11:F11"/>
    <mergeCell ref="G11:I11"/>
    <mergeCell ref="O11:P11"/>
    <mergeCell ref="D12:F12"/>
    <mergeCell ref="G12:I12"/>
    <mergeCell ref="O12:P12"/>
    <mergeCell ref="G21:I21"/>
    <mergeCell ref="O21:P21"/>
    <mergeCell ref="D19:F19"/>
    <mergeCell ref="G19:I19"/>
    <mergeCell ref="G20:I20"/>
    <mergeCell ref="O20:P20"/>
    <mergeCell ref="D21:F21"/>
    <mergeCell ref="A25:A30"/>
    <mergeCell ref="B25:B30"/>
    <mergeCell ref="D25:F25"/>
    <mergeCell ref="G25:I25"/>
    <mergeCell ref="O25:P25"/>
    <mergeCell ref="D26:F26"/>
    <mergeCell ref="G26:I26"/>
    <mergeCell ref="O26:P26"/>
    <mergeCell ref="D27:F27"/>
    <mergeCell ref="G27:I27"/>
    <mergeCell ref="O27:P27"/>
    <mergeCell ref="C30:I30"/>
    <mergeCell ref="N30:P30"/>
    <mergeCell ref="D29:F29"/>
    <mergeCell ref="G29:I29"/>
    <mergeCell ref="O29:P29"/>
    <mergeCell ref="A24:B24"/>
    <mergeCell ref="D24:F24"/>
    <mergeCell ref="O24:P24"/>
    <mergeCell ref="A16:B16"/>
    <mergeCell ref="D16:F16"/>
    <mergeCell ref="O16:P16"/>
    <mergeCell ref="A17:A22"/>
    <mergeCell ref="B17:B22"/>
    <mergeCell ref="D17:F17"/>
    <mergeCell ref="G17:I17"/>
    <mergeCell ref="O17:P17"/>
    <mergeCell ref="D18:F18"/>
    <mergeCell ref="G18:I18"/>
    <mergeCell ref="O18:P18"/>
    <mergeCell ref="O19:P19"/>
    <mergeCell ref="D20:F20"/>
    <mergeCell ref="C22:I22"/>
    <mergeCell ref="N22:P22"/>
    <mergeCell ref="D28:F28"/>
    <mergeCell ref="G28:I28"/>
    <mergeCell ref="O28:P2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5" tint="0.39997558519241921"/>
    <outlinePr summaryBelow="0" summaryRight="0"/>
  </sheetPr>
  <dimension ref="A1:W39"/>
  <sheetViews>
    <sheetView view="pageBreakPreview" topLeftCell="A13" zoomScaleNormal="60" zoomScaleSheetLayoutView="100" workbookViewId="0">
      <selection activeCell="S36" sqref="S36"/>
    </sheetView>
  </sheetViews>
  <sheetFormatPr defaultColWidth="12.5703125" defaultRowHeight="15.75" customHeight="1"/>
  <cols>
    <col min="1" max="1" width="5.42578125" style="307" customWidth="1"/>
    <col min="2" max="2" width="11.42578125" style="308" customWidth="1"/>
    <col min="3" max="3" width="4" style="309" customWidth="1"/>
    <col min="4" max="17" width="9.5703125" style="307" customWidth="1"/>
    <col min="18" max="16384" width="12.5703125" style="307"/>
  </cols>
  <sheetData>
    <row r="1" spans="1:23" s="183" customFormat="1" ht="15.75" customHeight="1">
      <c r="A1" s="784" t="s">
        <v>412</v>
      </c>
      <c r="B1" s="784"/>
      <c r="C1" s="784"/>
      <c r="D1" s="784"/>
      <c r="E1" s="784"/>
      <c r="F1" s="784"/>
      <c r="G1" s="784"/>
      <c r="H1" s="784"/>
      <c r="I1" s="784"/>
      <c r="J1" s="784"/>
      <c r="K1" s="784"/>
      <c r="L1" s="784"/>
      <c r="M1" s="784"/>
      <c r="N1" s="784"/>
      <c r="O1" s="784"/>
      <c r="P1" s="784"/>
      <c r="Q1" s="784"/>
    </row>
    <row r="2" spans="1:23" s="184" customFormat="1" ht="15.75" customHeight="1">
      <c r="A2" s="784"/>
      <c r="B2" s="784"/>
      <c r="C2" s="784"/>
      <c r="D2" s="784"/>
      <c r="E2" s="784"/>
      <c r="F2" s="784"/>
      <c r="G2" s="784"/>
      <c r="H2" s="784"/>
      <c r="I2" s="784"/>
      <c r="J2" s="784"/>
      <c r="K2" s="784"/>
      <c r="L2" s="784"/>
      <c r="M2" s="784"/>
      <c r="N2" s="784"/>
      <c r="O2" s="784"/>
      <c r="P2" s="784"/>
      <c r="Q2" s="784"/>
    </row>
    <row r="3" spans="1:23" s="183" customFormat="1" ht="15.75" customHeight="1">
      <c r="A3" s="785" t="s">
        <v>413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85"/>
      <c r="M3" s="785"/>
      <c r="N3" s="185"/>
    </row>
    <row r="4" spans="1:23" s="184" customFormat="1" ht="15.75" customHeight="1">
      <c r="A4" s="785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85"/>
      <c r="M4" s="785"/>
      <c r="N4" s="186"/>
    </row>
    <row r="5" spans="1:23" s="183" customFormat="1" ht="15.75" customHeight="1">
      <c r="A5" s="787" t="s">
        <v>411</v>
      </c>
      <c r="B5" s="790">
        <v>1</v>
      </c>
      <c r="C5" s="790"/>
      <c r="D5" s="790">
        <v>2</v>
      </c>
      <c r="E5" s="790"/>
      <c r="F5" s="790">
        <v>3</v>
      </c>
      <c r="G5" s="790"/>
      <c r="H5" s="864">
        <v>4</v>
      </c>
      <c r="I5" s="864"/>
      <c r="J5" s="864">
        <v>5</v>
      </c>
      <c r="K5" s="864"/>
      <c r="L5" s="864">
        <v>6</v>
      </c>
      <c r="M5" s="864"/>
      <c r="N5" s="864">
        <v>7</v>
      </c>
      <c r="O5" s="864"/>
      <c r="P5" s="790">
        <v>8</v>
      </c>
      <c r="Q5" s="790"/>
    </row>
    <row r="6" spans="1:23" s="183" customFormat="1" ht="15.75" customHeight="1">
      <c r="A6" s="787"/>
      <c r="B6" s="787" t="s">
        <v>740</v>
      </c>
      <c r="C6" s="787"/>
      <c r="D6" s="787" t="s">
        <v>414</v>
      </c>
      <c r="E6" s="787"/>
      <c r="F6" s="787" t="s">
        <v>415</v>
      </c>
      <c r="G6" s="787"/>
      <c r="H6" s="866" t="s">
        <v>416</v>
      </c>
      <c r="I6" s="865"/>
      <c r="J6" s="865" t="s">
        <v>417</v>
      </c>
      <c r="K6" s="865"/>
      <c r="L6" s="865" t="s">
        <v>418</v>
      </c>
      <c r="M6" s="865"/>
      <c r="N6" s="865" t="s">
        <v>419</v>
      </c>
      <c r="O6" s="865"/>
      <c r="P6" s="863" t="s">
        <v>420</v>
      </c>
      <c r="Q6" s="787"/>
    </row>
    <row r="7" spans="1:23" s="183" customFormat="1" ht="15.75" customHeight="1">
      <c r="B7" s="304"/>
      <c r="C7" s="305"/>
    </row>
    <row r="8" spans="1:23" s="306" customFormat="1" ht="15.75" customHeight="1">
      <c r="A8" s="846" t="s">
        <v>878</v>
      </c>
      <c r="B8" s="847"/>
      <c r="C8" s="117" t="s">
        <v>468</v>
      </c>
      <c r="D8" s="848" t="s">
        <v>12</v>
      </c>
      <c r="E8" s="849"/>
      <c r="F8" s="850"/>
      <c r="G8" s="115" t="s">
        <v>879</v>
      </c>
      <c r="H8" s="116"/>
      <c r="I8" s="117"/>
      <c r="J8" s="114" t="s">
        <v>880</v>
      </c>
      <c r="K8" s="114" t="s">
        <v>907</v>
      </c>
      <c r="L8" s="114" t="s">
        <v>882</v>
      </c>
      <c r="M8" s="118" t="s">
        <v>11</v>
      </c>
      <c r="N8" s="302" t="s">
        <v>13</v>
      </c>
      <c r="O8" s="851" t="s">
        <v>50</v>
      </c>
      <c r="P8" s="852"/>
      <c r="R8" s="183"/>
      <c r="S8" s="183"/>
      <c r="T8" s="183"/>
      <c r="U8" s="183"/>
      <c r="V8" s="183"/>
      <c r="W8" s="183"/>
    </row>
    <row r="9" spans="1:23" ht="15.75" customHeight="1">
      <c r="A9" s="847">
        <v>4</v>
      </c>
      <c r="B9" s="854" t="s">
        <v>409</v>
      </c>
      <c r="C9" s="112">
        <v>1</v>
      </c>
      <c r="D9" s="555" t="s">
        <v>648</v>
      </c>
      <c r="E9" s="823"/>
      <c r="F9" s="824"/>
      <c r="G9" s="555" t="s">
        <v>665</v>
      </c>
      <c r="H9" s="823"/>
      <c r="I9" s="824"/>
      <c r="J9" s="4">
        <v>103.55</v>
      </c>
      <c r="K9" s="14">
        <v>7.2874493927125965E-3</v>
      </c>
      <c r="L9" s="4">
        <v>3.6000000000000227</v>
      </c>
      <c r="M9" s="437">
        <v>372.78000000000236</v>
      </c>
      <c r="N9" s="4"/>
      <c r="O9" s="838" t="s">
        <v>386</v>
      </c>
      <c r="P9" s="860"/>
      <c r="R9" s="183"/>
      <c r="S9" s="183"/>
      <c r="T9" s="183"/>
      <c r="U9" s="183"/>
      <c r="V9" s="183"/>
      <c r="W9" s="183"/>
    </row>
    <row r="10" spans="1:23" ht="15.75" customHeight="1">
      <c r="A10" s="847"/>
      <c r="B10" s="854"/>
      <c r="C10" s="112">
        <v>2</v>
      </c>
      <c r="D10" s="555" t="s">
        <v>318</v>
      </c>
      <c r="E10" s="823"/>
      <c r="F10" s="824"/>
      <c r="G10" s="555" t="s">
        <v>531</v>
      </c>
      <c r="H10" s="823"/>
      <c r="I10" s="824"/>
      <c r="J10" s="4">
        <v>371.13</v>
      </c>
      <c r="K10" s="14">
        <v>4.1394044598745128E-3</v>
      </c>
      <c r="L10" s="4">
        <v>0.93000000000000682</v>
      </c>
      <c r="M10" s="437">
        <v>345.15090000000254</v>
      </c>
      <c r="N10" s="4"/>
      <c r="O10" s="838" t="s">
        <v>386</v>
      </c>
      <c r="P10" s="860"/>
      <c r="R10" s="183"/>
      <c r="S10" s="183"/>
      <c r="T10" s="183"/>
      <c r="U10" s="183"/>
      <c r="V10" s="183"/>
      <c r="W10" s="183"/>
    </row>
    <row r="11" spans="1:23" ht="15.75" customHeight="1">
      <c r="A11" s="847"/>
      <c r="B11" s="854"/>
      <c r="C11" s="112">
        <v>3</v>
      </c>
      <c r="D11" s="555" t="s">
        <v>727</v>
      </c>
      <c r="E11" s="823"/>
      <c r="F11" s="824"/>
      <c r="G11" s="555" t="s">
        <v>737</v>
      </c>
      <c r="H11" s="823"/>
      <c r="I11" s="824"/>
      <c r="J11" s="4">
        <v>103.19</v>
      </c>
      <c r="K11" s="14">
        <v>1.1064030131826715E-2</v>
      </c>
      <c r="L11" s="4">
        <v>2.8199999999999932</v>
      </c>
      <c r="M11" s="437">
        <v>290.99579999999929</v>
      </c>
      <c r="N11" s="4"/>
      <c r="O11" s="838" t="s">
        <v>386</v>
      </c>
      <c r="P11" s="860"/>
      <c r="R11" s="183"/>
      <c r="S11" s="183"/>
      <c r="T11" s="183"/>
      <c r="U11" s="183"/>
      <c r="V11" s="183"/>
      <c r="W11" s="183"/>
    </row>
    <row r="12" spans="1:23" ht="15.75" customHeight="1">
      <c r="A12" s="847"/>
      <c r="B12" s="854"/>
      <c r="C12" s="112">
        <v>4</v>
      </c>
      <c r="D12" s="555" t="s">
        <v>431</v>
      </c>
      <c r="E12" s="823"/>
      <c r="F12" s="824"/>
      <c r="G12" s="555" t="s">
        <v>909</v>
      </c>
      <c r="H12" s="823"/>
      <c r="I12" s="824"/>
      <c r="J12" s="4">
        <v>71.38</v>
      </c>
      <c r="K12" s="14">
        <v>1.5987210231814548E-2</v>
      </c>
      <c r="L12" s="4">
        <v>4</v>
      </c>
      <c r="M12" s="437">
        <v>285.52</v>
      </c>
      <c r="N12" s="4"/>
      <c r="O12" s="838" t="s">
        <v>386</v>
      </c>
      <c r="P12" s="860"/>
      <c r="R12" s="183"/>
      <c r="S12" s="183"/>
      <c r="T12" s="183"/>
      <c r="U12" s="183"/>
      <c r="V12" s="183"/>
      <c r="W12" s="183"/>
    </row>
    <row r="13" spans="1:23" ht="15.75" customHeight="1" thickBot="1">
      <c r="A13" s="847"/>
      <c r="B13" s="854"/>
      <c r="C13" s="113">
        <v>5</v>
      </c>
      <c r="D13" s="555" t="s">
        <v>844</v>
      </c>
      <c r="E13" s="823"/>
      <c r="F13" s="824"/>
      <c r="G13" s="555" t="s">
        <v>910</v>
      </c>
      <c r="H13" s="823"/>
      <c r="I13" s="824"/>
      <c r="J13" s="4">
        <v>154.4</v>
      </c>
      <c r="K13" s="14">
        <v>2.3908523908523955E-2</v>
      </c>
      <c r="L13" s="4">
        <v>1.8400000000000034</v>
      </c>
      <c r="M13" s="437">
        <v>284.09600000000052</v>
      </c>
      <c r="N13" s="4"/>
      <c r="O13" s="838" t="s">
        <v>386</v>
      </c>
      <c r="P13" s="860"/>
      <c r="R13" s="183"/>
      <c r="S13" s="183"/>
      <c r="T13" s="183"/>
      <c r="U13" s="183"/>
      <c r="V13" s="183"/>
      <c r="W13" s="183"/>
    </row>
    <row r="14" spans="1:23" ht="15.75" customHeight="1" thickTop="1" thickBot="1">
      <c r="A14" s="847"/>
      <c r="B14" s="854"/>
      <c r="C14" s="862"/>
      <c r="D14" s="862"/>
      <c r="E14" s="862"/>
      <c r="F14" s="862"/>
      <c r="G14" s="862"/>
      <c r="H14" s="862"/>
      <c r="I14" s="862"/>
      <c r="J14" s="240" t="s">
        <v>883</v>
      </c>
      <c r="K14" s="239">
        <v>1.493092270906785E-3</v>
      </c>
      <c r="L14" s="240" t="s">
        <v>884</v>
      </c>
      <c r="M14" s="438">
        <v>1578.5427000000045</v>
      </c>
      <c r="N14" s="861"/>
      <c r="O14" s="861"/>
      <c r="P14" s="861"/>
      <c r="R14" s="183"/>
      <c r="S14" s="183"/>
      <c r="T14" s="183"/>
      <c r="U14" s="183"/>
      <c r="V14" s="183"/>
      <c r="W14" s="183"/>
    </row>
    <row r="15" spans="1:23" ht="15.75" customHeight="1" thickTop="1">
      <c r="A15" s="547"/>
      <c r="B15" s="111"/>
      <c r="C15" s="109"/>
      <c r="D15" s="547"/>
      <c r="E15" s="547"/>
      <c r="F15" s="547"/>
      <c r="G15" s="547"/>
      <c r="H15" s="547"/>
      <c r="I15" s="547"/>
      <c r="J15" s="547"/>
      <c r="K15" s="547"/>
      <c r="L15" s="547"/>
      <c r="M15" s="547"/>
      <c r="N15" s="547"/>
      <c r="O15" s="547"/>
      <c r="P15" s="547"/>
      <c r="R15" s="183"/>
      <c r="S15" s="183"/>
      <c r="T15" s="183"/>
      <c r="U15" s="183"/>
      <c r="V15" s="183"/>
      <c r="W15" s="183"/>
    </row>
    <row r="16" spans="1:23" ht="15.75" customHeight="1">
      <c r="A16" s="846" t="s">
        <v>878</v>
      </c>
      <c r="B16" s="847"/>
      <c r="C16" s="117" t="s">
        <v>468</v>
      </c>
      <c r="D16" s="848" t="s">
        <v>12</v>
      </c>
      <c r="E16" s="849"/>
      <c r="F16" s="850"/>
      <c r="G16" s="115" t="s">
        <v>879</v>
      </c>
      <c r="H16" s="116"/>
      <c r="I16" s="117"/>
      <c r="J16" s="114" t="s">
        <v>880</v>
      </c>
      <c r="K16" s="114" t="s">
        <v>907</v>
      </c>
      <c r="L16" s="114" t="s">
        <v>882</v>
      </c>
      <c r="M16" s="118" t="s">
        <v>11</v>
      </c>
      <c r="N16" s="302" t="s">
        <v>13</v>
      </c>
      <c r="O16" s="851" t="s">
        <v>50</v>
      </c>
      <c r="P16" s="852"/>
      <c r="R16" s="183"/>
      <c r="S16" s="183"/>
      <c r="T16" s="183"/>
      <c r="U16" s="183"/>
      <c r="V16" s="183"/>
      <c r="W16" s="183"/>
    </row>
    <row r="17" spans="1:23" ht="15.75" customHeight="1">
      <c r="A17" s="847">
        <v>5</v>
      </c>
      <c r="B17" s="853" t="s">
        <v>191</v>
      </c>
      <c r="C17" s="112">
        <v>1</v>
      </c>
      <c r="D17" s="555" t="s">
        <v>561</v>
      </c>
      <c r="E17" s="823"/>
      <c r="F17" s="824"/>
      <c r="G17" s="555" t="s">
        <v>566</v>
      </c>
      <c r="H17" s="823"/>
      <c r="I17" s="824"/>
      <c r="J17" s="4">
        <v>447.3</v>
      </c>
      <c r="K17" s="14">
        <v>8.468052347959925E-3</v>
      </c>
      <c r="L17" s="4">
        <v>0.87999999999999545</v>
      </c>
      <c r="M17" s="437">
        <v>393.62399999999798</v>
      </c>
      <c r="N17" s="4"/>
      <c r="O17" s="838" t="s">
        <v>421</v>
      </c>
      <c r="P17" s="829"/>
      <c r="R17" s="183"/>
      <c r="S17" s="183"/>
      <c r="T17" s="183"/>
      <c r="U17" s="183"/>
      <c r="V17" s="183"/>
      <c r="W17" s="183"/>
    </row>
    <row r="18" spans="1:23" ht="15.75" customHeight="1">
      <c r="A18" s="847"/>
      <c r="B18" s="854"/>
      <c r="C18" s="112">
        <v>2</v>
      </c>
      <c r="D18" s="555" t="s">
        <v>783</v>
      </c>
      <c r="E18" s="823"/>
      <c r="F18" s="824"/>
      <c r="G18" s="555" t="s">
        <v>804</v>
      </c>
      <c r="H18" s="823"/>
      <c r="I18" s="824"/>
      <c r="J18" s="4">
        <v>395.29</v>
      </c>
      <c r="K18" s="14">
        <v>1.9648397104446654E-2</v>
      </c>
      <c r="L18" s="4">
        <v>0.94999999999999574</v>
      </c>
      <c r="M18" s="437">
        <v>375.52549999999832</v>
      </c>
      <c r="N18" s="4"/>
      <c r="O18" s="838" t="s">
        <v>421</v>
      </c>
      <c r="P18" s="829"/>
      <c r="R18" s="183"/>
      <c r="S18" s="183"/>
      <c r="T18" s="183"/>
      <c r="U18" s="183"/>
      <c r="V18" s="183"/>
      <c r="W18" s="183"/>
    </row>
    <row r="19" spans="1:23" ht="15.75" customHeight="1">
      <c r="A19" s="847"/>
      <c r="B19" s="854"/>
      <c r="C19" s="112">
        <v>3</v>
      </c>
      <c r="D19" s="555" t="s">
        <v>320</v>
      </c>
      <c r="E19" s="823"/>
      <c r="F19" s="824"/>
      <c r="G19" s="555" t="s">
        <v>492</v>
      </c>
      <c r="H19" s="823"/>
      <c r="I19" s="824"/>
      <c r="J19" s="4">
        <v>581.91999999999996</v>
      </c>
      <c r="K19" s="14">
        <v>2.6502426278462179E-2</v>
      </c>
      <c r="L19" s="4">
        <v>0.56800000000000139</v>
      </c>
      <c r="M19" s="437">
        <v>330.53056000000078</v>
      </c>
      <c r="N19" s="4"/>
      <c r="O19" s="838" t="s">
        <v>421</v>
      </c>
      <c r="P19" s="829"/>
      <c r="R19" s="183"/>
      <c r="S19" s="183"/>
      <c r="T19" s="183"/>
      <c r="U19" s="183"/>
      <c r="V19" s="183"/>
      <c r="W19" s="183"/>
    </row>
    <row r="20" spans="1:23" ht="15.75" customHeight="1">
      <c r="A20" s="847"/>
      <c r="B20" s="854"/>
      <c r="C20" s="112">
        <v>4</v>
      </c>
      <c r="D20" s="555" t="s">
        <v>345</v>
      </c>
      <c r="E20" s="823"/>
      <c r="F20" s="824"/>
      <c r="G20" s="555" t="s">
        <v>364</v>
      </c>
      <c r="H20" s="823"/>
      <c r="I20" s="824"/>
      <c r="J20" s="4">
        <v>420.33</v>
      </c>
      <c r="K20" s="14">
        <v>1.2000305740273585E-2</v>
      </c>
      <c r="L20" s="4">
        <v>0.78499999999999659</v>
      </c>
      <c r="M20" s="437">
        <v>329.95904999999857</v>
      </c>
      <c r="N20" s="4"/>
      <c r="O20" s="838" t="s">
        <v>421</v>
      </c>
      <c r="P20" s="829"/>
      <c r="R20" s="183"/>
      <c r="S20" s="183"/>
      <c r="T20" s="183"/>
      <c r="U20" s="183"/>
      <c r="V20" s="183"/>
      <c r="W20" s="183"/>
    </row>
    <row r="21" spans="1:23" ht="15.75" customHeight="1" thickBot="1">
      <c r="A21" s="847"/>
      <c r="B21" s="854"/>
      <c r="C21" s="113">
        <v>5</v>
      </c>
      <c r="D21" s="555" t="s">
        <v>784</v>
      </c>
      <c r="E21" s="823"/>
      <c r="F21" s="824"/>
      <c r="G21" s="555" t="s">
        <v>319</v>
      </c>
      <c r="H21" s="823"/>
      <c r="I21" s="824"/>
      <c r="J21" s="4">
        <v>487.66</v>
      </c>
      <c r="K21" s="14">
        <v>9.5873405225924014E-3</v>
      </c>
      <c r="L21" s="4">
        <v>0.64100000000000534</v>
      </c>
      <c r="M21" s="437">
        <v>312.59006000000261</v>
      </c>
      <c r="N21" s="4"/>
      <c r="O21" s="838" t="s">
        <v>421</v>
      </c>
      <c r="P21" s="829"/>
      <c r="R21" s="183"/>
      <c r="S21" s="183"/>
      <c r="T21" s="183"/>
      <c r="U21" s="183"/>
      <c r="V21" s="183"/>
      <c r="W21" s="183"/>
    </row>
    <row r="22" spans="1:23" ht="15.75" customHeight="1" thickTop="1" thickBot="1">
      <c r="A22" s="847"/>
      <c r="B22" s="854"/>
      <c r="C22" s="855"/>
      <c r="D22" s="855"/>
      <c r="E22" s="855"/>
      <c r="F22" s="855"/>
      <c r="G22" s="855"/>
      <c r="H22" s="855"/>
      <c r="I22" s="856"/>
      <c r="J22" s="119" t="s">
        <v>883</v>
      </c>
      <c r="K22" s="239">
        <v>1.6479179865551519E-3</v>
      </c>
      <c r="L22" s="119" t="s">
        <v>884</v>
      </c>
      <c r="M22" s="438">
        <v>1742.2291699999982</v>
      </c>
      <c r="N22" s="857"/>
      <c r="O22" s="858"/>
      <c r="P22" s="859"/>
      <c r="R22" s="183"/>
      <c r="S22" s="183"/>
      <c r="T22" s="183"/>
      <c r="U22" s="183"/>
      <c r="V22" s="183"/>
      <c r="W22" s="183"/>
    </row>
    <row r="23" spans="1:23" ht="15.75" customHeight="1" thickTop="1">
      <c r="A23" s="547"/>
      <c r="B23" s="111"/>
      <c r="C23" s="109"/>
      <c r="D23" s="547"/>
      <c r="E23" s="547"/>
      <c r="F23" s="547"/>
      <c r="G23" s="547"/>
      <c r="H23" s="547"/>
      <c r="I23" s="547"/>
      <c r="J23" s="547"/>
      <c r="K23" s="547"/>
      <c r="L23" s="547"/>
      <c r="M23" s="547"/>
      <c r="N23" s="547"/>
      <c r="O23" s="547"/>
      <c r="P23" s="547"/>
      <c r="R23" s="183"/>
      <c r="S23" s="183"/>
      <c r="T23" s="183"/>
      <c r="U23" s="183"/>
      <c r="V23" s="183"/>
      <c r="W23" s="183"/>
    </row>
    <row r="24" spans="1:23" ht="15.75" customHeight="1">
      <c r="A24" s="846" t="s">
        <v>878</v>
      </c>
      <c r="B24" s="847"/>
      <c r="C24" s="117" t="s">
        <v>468</v>
      </c>
      <c r="D24" s="848" t="s">
        <v>12</v>
      </c>
      <c r="E24" s="849"/>
      <c r="F24" s="850"/>
      <c r="G24" s="115" t="s">
        <v>879</v>
      </c>
      <c r="H24" s="116"/>
      <c r="I24" s="117"/>
      <c r="J24" s="114" t="s">
        <v>880</v>
      </c>
      <c r="K24" s="114" t="s">
        <v>907</v>
      </c>
      <c r="L24" s="114" t="s">
        <v>882</v>
      </c>
      <c r="M24" s="118" t="s">
        <v>11</v>
      </c>
      <c r="N24" s="302" t="s">
        <v>13</v>
      </c>
      <c r="O24" s="851" t="s">
        <v>50</v>
      </c>
      <c r="P24" s="852"/>
      <c r="R24" s="183"/>
      <c r="S24" s="183"/>
      <c r="T24" s="183"/>
      <c r="U24" s="183"/>
      <c r="V24" s="183"/>
      <c r="W24" s="183"/>
    </row>
    <row r="25" spans="1:23" ht="15.75" customHeight="1">
      <c r="A25" s="847">
        <v>6</v>
      </c>
      <c r="B25" s="853" t="s">
        <v>192</v>
      </c>
      <c r="C25" s="112">
        <v>1</v>
      </c>
      <c r="D25" s="555" t="s">
        <v>848</v>
      </c>
      <c r="E25" s="823"/>
      <c r="F25" s="824"/>
      <c r="G25" s="555" t="s">
        <v>901</v>
      </c>
      <c r="H25" s="823"/>
      <c r="I25" s="824"/>
      <c r="J25" s="4">
        <v>535.87</v>
      </c>
      <c r="K25" s="14">
        <v>7.0611970410222212E-3</v>
      </c>
      <c r="L25" s="4">
        <v>0.84000000000000341</v>
      </c>
      <c r="M25" s="437">
        <v>450.13080000000184</v>
      </c>
      <c r="N25" s="4"/>
      <c r="O25" s="842" t="s">
        <v>911</v>
      </c>
      <c r="P25" s="860"/>
      <c r="R25" s="183"/>
      <c r="S25" s="183"/>
      <c r="T25" s="183"/>
      <c r="U25" s="183"/>
      <c r="V25" s="183"/>
      <c r="W25" s="183"/>
    </row>
    <row r="26" spans="1:23" ht="15.75" customHeight="1">
      <c r="A26" s="847"/>
      <c r="B26" s="854"/>
      <c r="C26" s="112">
        <v>2</v>
      </c>
      <c r="D26" s="555" t="s">
        <v>784</v>
      </c>
      <c r="E26" s="823"/>
      <c r="F26" s="824"/>
      <c r="G26" s="555" t="s">
        <v>319</v>
      </c>
      <c r="H26" s="823"/>
      <c r="I26" s="824"/>
      <c r="J26" s="4">
        <v>487.66</v>
      </c>
      <c r="K26" s="14">
        <v>1.3732746373888386E-2</v>
      </c>
      <c r="L26" s="4">
        <v>0.78299999999999415</v>
      </c>
      <c r="M26" s="437">
        <v>381.83777999999717</v>
      </c>
      <c r="N26" s="4"/>
      <c r="O26" s="842" t="s">
        <v>911</v>
      </c>
      <c r="P26" s="860"/>
      <c r="R26" s="183"/>
      <c r="S26" s="183"/>
      <c r="T26" s="183"/>
      <c r="U26" s="183"/>
      <c r="V26" s="183"/>
      <c r="W26" s="183"/>
    </row>
    <row r="27" spans="1:23" ht="15.75" customHeight="1">
      <c r="A27" s="847"/>
      <c r="B27" s="854"/>
      <c r="C27" s="112">
        <v>3</v>
      </c>
      <c r="D27" s="555" t="s">
        <v>365</v>
      </c>
      <c r="E27" s="823"/>
      <c r="F27" s="824"/>
      <c r="G27" s="555" t="s">
        <v>366</v>
      </c>
      <c r="H27" s="823"/>
      <c r="I27" s="824"/>
      <c r="J27" s="4">
        <v>444.88</v>
      </c>
      <c r="K27" s="14">
        <v>4.0391676866585152E-2</v>
      </c>
      <c r="L27" s="4">
        <v>0.59400000000000119</v>
      </c>
      <c r="M27" s="437">
        <v>264.25872000000055</v>
      </c>
      <c r="N27" s="4"/>
      <c r="O27" s="838" t="s">
        <v>911</v>
      </c>
      <c r="P27" s="860"/>
      <c r="R27" s="183"/>
      <c r="S27" s="183"/>
      <c r="T27" s="183"/>
      <c r="U27" s="183"/>
      <c r="V27" s="183"/>
      <c r="W27" s="183"/>
    </row>
    <row r="28" spans="1:23" ht="15.75" customHeight="1">
      <c r="A28" s="847"/>
      <c r="B28" s="854"/>
      <c r="C28" s="112">
        <v>4</v>
      </c>
      <c r="D28" s="555">
        <v>0</v>
      </c>
      <c r="E28" s="823"/>
      <c r="F28" s="824"/>
      <c r="G28" s="555">
        <v>0</v>
      </c>
      <c r="H28" s="823"/>
      <c r="I28" s="824"/>
      <c r="J28" s="4">
        <v>0</v>
      </c>
      <c r="K28" s="14">
        <v>0</v>
      </c>
      <c r="L28" s="4">
        <v>0</v>
      </c>
      <c r="M28" s="437">
        <v>0</v>
      </c>
      <c r="N28" s="4"/>
      <c r="O28" s="838"/>
      <c r="P28" s="860"/>
      <c r="R28" s="183"/>
      <c r="S28" s="183"/>
      <c r="T28" s="183"/>
      <c r="U28" s="183"/>
      <c r="V28" s="183"/>
      <c r="W28" s="183"/>
    </row>
    <row r="29" spans="1:23" ht="15.75" customHeight="1" thickBot="1">
      <c r="A29" s="847"/>
      <c r="B29" s="854"/>
      <c r="C29" s="113">
        <v>5</v>
      </c>
      <c r="D29" s="555">
        <v>0</v>
      </c>
      <c r="E29" s="823"/>
      <c r="F29" s="824"/>
      <c r="G29" s="555">
        <v>0</v>
      </c>
      <c r="H29" s="823"/>
      <c r="I29" s="824"/>
      <c r="J29" s="4">
        <v>0</v>
      </c>
      <c r="K29" s="14">
        <v>0</v>
      </c>
      <c r="L29" s="4">
        <v>0</v>
      </c>
      <c r="M29" s="437">
        <v>0</v>
      </c>
      <c r="N29" s="4"/>
      <c r="O29" s="838"/>
      <c r="P29" s="860"/>
      <c r="R29" s="183"/>
      <c r="S29" s="183"/>
      <c r="T29" s="183"/>
      <c r="U29" s="183"/>
      <c r="V29" s="183"/>
      <c r="W29" s="183"/>
    </row>
    <row r="30" spans="1:23" ht="15.75" customHeight="1" thickTop="1" thickBot="1">
      <c r="A30" s="847"/>
      <c r="B30" s="854"/>
      <c r="C30" s="855"/>
      <c r="D30" s="855"/>
      <c r="E30" s="855"/>
      <c r="F30" s="855"/>
      <c r="G30" s="855"/>
      <c r="H30" s="855"/>
      <c r="I30" s="856"/>
      <c r="J30" s="119" t="s">
        <v>883</v>
      </c>
      <c r="K30" s="239">
        <v>1.0368857990265376E-3</v>
      </c>
      <c r="L30" s="119" t="s">
        <v>884</v>
      </c>
      <c r="M30" s="438">
        <v>1096.2272999999996</v>
      </c>
      <c r="N30" s="857"/>
      <c r="O30" s="858"/>
      <c r="P30" s="859"/>
      <c r="R30" s="183"/>
      <c r="S30" s="183"/>
      <c r="T30" s="183"/>
      <c r="U30" s="183"/>
      <c r="V30" s="183"/>
      <c r="W30" s="183"/>
    </row>
    <row r="31" spans="1:23" ht="15.75" customHeight="1" thickTop="1">
      <c r="A31" s="547"/>
      <c r="B31" s="111"/>
      <c r="C31" s="109"/>
      <c r="D31" s="547"/>
      <c r="E31" s="547"/>
      <c r="F31" s="547"/>
      <c r="G31" s="547"/>
      <c r="H31" s="547"/>
      <c r="I31" s="547"/>
      <c r="J31" s="547"/>
      <c r="K31" s="547"/>
      <c r="L31" s="547"/>
      <c r="M31" s="547"/>
      <c r="N31" s="547"/>
      <c r="O31" s="547"/>
      <c r="P31" s="547"/>
      <c r="R31" s="183"/>
      <c r="S31" s="183"/>
      <c r="T31" s="183"/>
      <c r="U31" s="183"/>
      <c r="V31" s="183"/>
      <c r="W31" s="183"/>
    </row>
    <row r="32" spans="1:23" ht="15.75" customHeight="1">
      <c r="A32" s="846" t="s">
        <v>878</v>
      </c>
      <c r="B32" s="847"/>
      <c r="C32" s="117" t="s">
        <v>468</v>
      </c>
      <c r="D32" s="848" t="s">
        <v>12</v>
      </c>
      <c r="E32" s="849"/>
      <c r="F32" s="850"/>
      <c r="G32" s="115" t="s">
        <v>879</v>
      </c>
      <c r="H32" s="116"/>
      <c r="I32" s="117"/>
      <c r="J32" s="114" t="s">
        <v>880</v>
      </c>
      <c r="K32" s="114" t="s">
        <v>907</v>
      </c>
      <c r="L32" s="114" t="s">
        <v>882</v>
      </c>
      <c r="M32" s="118" t="s">
        <v>11</v>
      </c>
      <c r="N32" s="118" t="s">
        <v>13</v>
      </c>
      <c r="O32" s="851" t="s">
        <v>50</v>
      </c>
      <c r="P32" s="852"/>
      <c r="R32" s="183"/>
      <c r="S32" s="183"/>
      <c r="T32" s="183"/>
      <c r="U32" s="183"/>
      <c r="V32" s="183"/>
      <c r="W32" s="183"/>
    </row>
    <row r="33" spans="1:23" ht="15.75" customHeight="1">
      <c r="A33" s="847">
        <v>7</v>
      </c>
      <c r="B33" s="853" t="s">
        <v>422</v>
      </c>
      <c r="C33" s="112">
        <v>1</v>
      </c>
      <c r="D33" s="555" t="s">
        <v>845</v>
      </c>
      <c r="E33" s="823"/>
      <c r="F33" s="824"/>
      <c r="G33" s="555" t="s">
        <v>902</v>
      </c>
      <c r="H33" s="823"/>
      <c r="I33" s="824"/>
      <c r="J33" s="4">
        <v>1010.1</v>
      </c>
      <c r="K33" s="14">
        <v>2.1468144044321427E-2</v>
      </c>
      <c r="L33" s="4">
        <v>0.49600000000000222</v>
      </c>
      <c r="M33" s="437">
        <v>501.00960000000225</v>
      </c>
      <c r="N33" s="4"/>
      <c r="O33" s="838" t="s">
        <v>491</v>
      </c>
      <c r="P33" s="860"/>
      <c r="R33" s="183"/>
      <c r="S33" s="183"/>
      <c r="T33" s="183"/>
      <c r="U33" s="183"/>
      <c r="V33" s="183"/>
      <c r="W33" s="183"/>
    </row>
    <row r="34" spans="1:23" ht="15.75" customHeight="1">
      <c r="A34" s="847"/>
      <c r="B34" s="854"/>
      <c r="C34" s="112">
        <v>2</v>
      </c>
      <c r="D34" s="555" t="s">
        <v>314</v>
      </c>
      <c r="E34" s="823"/>
      <c r="F34" s="824"/>
      <c r="G34" s="555" t="s">
        <v>532</v>
      </c>
      <c r="H34" s="823"/>
      <c r="I34" s="824"/>
      <c r="J34" s="4">
        <v>1760</v>
      </c>
      <c r="K34" s="14">
        <v>0.16995073891625603</v>
      </c>
      <c r="L34" s="4">
        <v>0.2759999999999998</v>
      </c>
      <c r="M34" s="437">
        <v>485.75999999999965</v>
      </c>
      <c r="N34" s="4"/>
      <c r="O34" s="838" t="s">
        <v>491</v>
      </c>
      <c r="P34" s="829"/>
      <c r="R34" s="183"/>
      <c r="S34" s="183"/>
      <c r="T34" s="183"/>
      <c r="U34" s="183"/>
      <c r="V34" s="183"/>
      <c r="W34" s="183"/>
    </row>
    <row r="35" spans="1:23" ht="15.75" customHeight="1">
      <c r="A35" s="847"/>
      <c r="B35" s="854"/>
      <c r="C35" s="112">
        <v>3</v>
      </c>
      <c r="D35" s="555" t="s">
        <v>776</v>
      </c>
      <c r="E35" s="823"/>
      <c r="F35" s="824"/>
      <c r="G35" s="555" t="s">
        <v>805</v>
      </c>
      <c r="H35" s="823"/>
      <c r="I35" s="824"/>
      <c r="J35" s="4">
        <v>935.2</v>
      </c>
      <c r="K35" s="14">
        <v>2.633215840763006E-2</v>
      </c>
      <c r="L35" s="4">
        <v>0.50799999999999912</v>
      </c>
      <c r="M35" s="437">
        <v>475.08159999999918</v>
      </c>
      <c r="N35" s="4"/>
      <c r="O35" s="838" t="s">
        <v>491</v>
      </c>
      <c r="P35" s="829"/>
      <c r="R35" s="183"/>
      <c r="S35" s="183"/>
      <c r="T35" s="183"/>
      <c r="U35" s="183"/>
      <c r="V35" s="183"/>
      <c r="W35" s="183"/>
    </row>
    <row r="36" spans="1:23" ht="15.75" customHeight="1">
      <c r="A36" s="847"/>
      <c r="B36" s="854"/>
      <c r="C36" s="112">
        <v>4</v>
      </c>
      <c r="D36" s="555" t="s">
        <v>848</v>
      </c>
      <c r="E36" s="823"/>
      <c r="F36" s="824"/>
      <c r="G36" s="555" t="s">
        <v>903</v>
      </c>
      <c r="H36" s="823"/>
      <c r="I36" s="824"/>
      <c r="J36" s="4">
        <v>547.79999999999995</v>
      </c>
      <c r="K36" s="14">
        <v>6.3264221158958078E-2</v>
      </c>
      <c r="L36" s="4">
        <v>0.59500000000000064</v>
      </c>
      <c r="M36" s="437">
        <v>325.94100000000032</v>
      </c>
      <c r="N36" s="4"/>
      <c r="O36" s="838" t="s">
        <v>491</v>
      </c>
      <c r="P36" s="829"/>
      <c r="R36" s="183"/>
      <c r="S36" s="183"/>
      <c r="T36" s="183"/>
      <c r="U36" s="183"/>
      <c r="V36" s="183"/>
      <c r="W36" s="183"/>
    </row>
    <row r="37" spans="1:23" ht="15.75" customHeight="1" thickBot="1">
      <c r="A37" s="847"/>
      <c r="B37" s="854"/>
      <c r="C37" s="113">
        <v>5</v>
      </c>
      <c r="D37" s="555" t="s">
        <v>725</v>
      </c>
      <c r="E37" s="823"/>
      <c r="F37" s="824"/>
      <c r="G37" s="555" t="s">
        <v>811</v>
      </c>
      <c r="H37" s="823"/>
      <c r="I37" s="824"/>
      <c r="J37" s="4">
        <v>1210</v>
      </c>
      <c r="K37" s="14">
        <v>1.6009852216748867E-2</v>
      </c>
      <c r="L37" s="4">
        <v>0.26000000000000156</v>
      </c>
      <c r="M37" s="437">
        <v>314.6000000000019</v>
      </c>
      <c r="N37" s="4"/>
      <c r="O37" s="838" t="s">
        <v>491</v>
      </c>
      <c r="P37" s="860"/>
      <c r="R37" s="183"/>
      <c r="S37" s="183"/>
      <c r="T37" s="183"/>
      <c r="U37" s="183"/>
      <c r="V37" s="183"/>
      <c r="W37" s="183"/>
    </row>
    <row r="38" spans="1:23" ht="15.75" customHeight="1" thickTop="1" thickBot="1">
      <c r="A38" s="847"/>
      <c r="B38" s="854"/>
      <c r="C38" s="855"/>
      <c r="D38" s="855"/>
      <c r="E38" s="855"/>
      <c r="F38" s="855"/>
      <c r="G38" s="855"/>
      <c r="H38" s="855"/>
      <c r="I38" s="856"/>
      <c r="J38" s="119" t="s">
        <v>883</v>
      </c>
      <c r="K38" s="239">
        <v>1.9885844990032309E-3</v>
      </c>
      <c r="L38" s="119" t="s">
        <v>884</v>
      </c>
      <c r="M38" s="438">
        <v>2102.392200000003</v>
      </c>
      <c r="N38" s="857"/>
      <c r="O38" s="858"/>
      <c r="P38" s="859"/>
      <c r="R38" s="183"/>
      <c r="S38" s="183"/>
      <c r="T38" s="183"/>
      <c r="U38" s="183"/>
      <c r="V38" s="183"/>
      <c r="W38" s="183"/>
    </row>
    <row r="39" spans="1:23" ht="15.75" customHeight="1" thickTop="1"/>
  </sheetData>
  <mergeCells count="107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A16:B16"/>
    <mergeCell ref="D16:F16"/>
    <mergeCell ref="O16:P16"/>
    <mergeCell ref="O10:P10"/>
    <mergeCell ref="D11:F11"/>
    <mergeCell ref="G11:I11"/>
    <mergeCell ref="O11:P11"/>
    <mergeCell ref="D12:F12"/>
    <mergeCell ref="G12:I12"/>
    <mergeCell ref="O12:P12"/>
    <mergeCell ref="O19:P19"/>
    <mergeCell ref="D20:F20"/>
    <mergeCell ref="G20:I20"/>
    <mergeCell ref="O20:P20"/>
    <mergeCell ref="D21:F21"/>
    <mergeCell ref="G21:I21"/>
    <mergeCell ref="O21:P21"/>
    <mergeCell ref="A17:A22"/>
    <mergeCell ref="B17:B22"/>
    <mergeCell ref="D17:F17"/>
    <mergeCell ref="G17:I17"/>
    <mergeCell ref="O17:P17"/>
    <mergeCell ref="D18:F18"/>
    <mergeCell ref="G18:I18"/>
    <mergeCell ref="O18:P18"/>
    <mergeCell ref="D19:F19"/>
    <mergeCell ref="G19:I19"/>
    <mergeCell ref="C22:I22"/>
    <mergeCell ref="N22:P22"/>
    <mergeCell ref="A24:B24"/>
    <mergeCell ref="D24:F24"/>
    <mergeCell ref="O24:P24"/>
    <mergeCell ref="A25:A30"/>
    <mergeCell ref="B25:B30"/>
    <mergeCell ref="D25:F25"/>
    <mergeCell ref="G25:I25"/>
    <mergeCell ref="O25:P25"/>
    <mergeCell ref="D28:F28"/>
    <mergeCell ref="G28:I28"/>
    <mergeCell ref="O28:P28"/>
    <mergeCell ref="D29:F29"/>
    <mergeCell ref="G29:I29"/>
    <mergeCell ref="O29:P29"/>
    <mergeCell ref="D26:F26"/>
    <mergeCell ref="G26:I26"/>
    <mergeCell ref="O26:P26"/>
    <mergeCell ref="D27:F27"/>
    <mergeCell ref="G27:I27"/>
    <mergeCell ref="O27:P27"/>
    <mergeCell ref="C30:I30"/>
    <mergeCell ref="N30:P30"/>
    <mergeCell ref="A32:B32"/>
    <mergeCell ref="D32:F32"/>
    <mergeCell ref="O32:P32"/>
    <mergeCell ref="A33:A38"/>
    <mergeCell ref="B33:B38"/>
    <mergeCell ref="D33:F33"/>
    <mergeCell ref="G33:I33"/>
    <mergeCell ref="O33:P33"/>
    <mergeCell ref="C38:I38"/>
    <mergeCell ref="N38:P38"/>
    <mergeCell ref="D36:F36"/>
    <mergeCell ref="G36:I36"/>
    <mergeCell ref="O36:P36"/>
    <mergeCell ref="D37:F37"/>
    <mergeCell ref="G37:I37"/>
    <mergeCell ref="O37:P37"/>
    <mergeCell ref="D34:F34"/>
    <mergeCell ref="G34:I34"/>
    <mergeCell ref="O34:P34"/>
    <mergeCell ref="D35:F35"/>
    <mergeCell ref="G35:I35"/>
    <mergeCell ref="O35:P35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S32" sqref="S32"/>
    </sheetView>
  </sheetViews>
  <sheetFormatPr defaultColWidth="12.5703125" defaultRowHeight="15.75" customHeight="1"/>
  <cols>
    <col min="1" max="1" width="5.42578125" style="120" customWidth="1"/>
    <col min="2" max="2" width="7.85546875" style="176" customWidth="1"/>
    <col min="3" max="3" width="4" style="161" customWidth="1"/>
    <col min="4" max="17" width="8.5703125" style="120" customWidth="1"/>
    <col min="18" max="16384" width="12.5703125" style="120"/>
  </cols>
  <sheetData>
    <row r="1" spans="1:17" ht="15.75" customHeight="1">
      <c r="A1" s="582" t="s">
        <v>183</v>
      </c>
      <c r="B1" s="582"/>
      <c r="C1" s="582"/>
      <c r="D1" s="582"/>
      <c r="E1" s="582"/>
      <c r="F1" s="582"/>
      <c r="G1" s="582"/>
      <c r="H1" s="582"/>
      <c r="I1" s="582"/>
      <c r="J1" s="582"/>
      <c r="K1" s="582"/>
      <c r="L1" s="582"/>
      <c r="M1" s="582"/>
      <c r="N1" s="582"/>
      <c r="O1" s="582"/>
      <c r="P1" s="582"/>
      <c r="Q1" s="582"/>
    </row>
    <row r="2" spans="1:17" s="121" customFormat="1" ht="15.75" customHeight="1">
      <c r="A2" s="582"/>
      <c r="B2" s="582"/>
      <c r="C2" s="582"/>
      <c r="D2" s="582"/>
      <c r="E2" s="582"/>
      <c r="F2" s="582"/>
      <c r="G2" s="582"/>
      <c r="H2" s="582"/>
      <c r="I2" s="582"/>
      <c r="J2" s="582"/>
      <c r="K2" s="582"/>
      <c r="L2" s="582"/>
      <c r="M2" s="582"/>
      <c r="N2" s="582"/>
      <c r="O2" s="582"/>
      <c r="P2" s="582"/>
      <c r="Q2" s="582"/>
    </row>
    <row r="3" spans="1:17" ht="15.75" customHeight="1">
      <c r="A3" s="707" t="s">
        <v>194</v>
      </c>
      <c r="B3" s="707"/>
      <c r="C3" s="707"/>
      <c r="D3" s="707"/>
      <c r="E3" s="707"/>
      <c r="F3" s="707"/>
      <c r="G3" s="707"/>
      <c r="H3" s="707"/>
      <c r="I3" s="707"/>
      <c r="J3" s="707"/>
      <c r="K3" s="707"/>
      <c r="L3" s="707"/>
      <c r="M3" s="707"/>
      <c r="N3" s="707"/>
      <c r="O3" s="707"/>
      <c r="P3" s="707"/>
      <c r="Q3" s="707"/>
    </row>
    <row r="4" spans="1:17" s="121" customFormat="1" ht="15.75" customHeight="1">
      <c r="A4" s="873"/>
      <c r="B4" s="873"/>
      <c r="C4" s="873"/>
      <c r="D4" s="873"/>
      <c r="E4" s="873"/>
      <c r="F4" s="873"/>
      <c r="G4" s="873"/>
      <c r="H4" s="873"/>
      <c r="I4" s="873"/>
      <c r="J4" s="873"/>
      <c r="K4" s="873"/>
      <c r="L4" s="873"/>
      <c r="M4" s="873"/>
      <c r="N4" s="873"/>
      <c r="O4" s="873"/>
      <c r="P4" s="873"/>
      <c r="Q4" s="873"/>
    </row>
    <row r="5" spans="1:17" ht="15.75" customHeight="1">
      <c r="A5" s="601" t="s">
        <v>169</v>
      </c>
      <c r="B5" s="837">
        <v>1</v>
      </c>
      <c r="C5" s="837"/>
      <c r="D5" s="837">
        <v>2</v>
      </c>
      <c r="E5" s="837"/>
      <c r="F5" s="837">
        <v>3</v>
      </c>
      <c r="G5" s="837"/>
      <c r="H5" s="837">
        <v>4</v>
      </c>
      <c r="I5" s="837"/>
      <c r="J5" s="837">
        <v>5</v>
      </c>
      <c r="K5" s="837"/>
      <c r="L5" s="837">
        <v>6</v>
      </c>
      <c r="M5" s="837"/>
      <c r="N5" s="837">
        <v>7</v>
      </c>
      <c r="O5" s="837"/>
      <c r="P5" s="840">
        <v>8</v>
      </c>
      <c r="Q5" s="840"/>
    </row>
    <row r="6" spans="1:17" ht="15.75" customHeight="1">
      <c r="A6" s="601"/>
      <c r="B6" s="601" t="s">
        <v>298</v>
      </c>
      <c r="C6" s="601"/>
      <c r="D6" s="601" t="s">
        <v>195</v>
      </c>
      <c r="E6" s="601"/>
      <c r="F6" s="601" t="s">
        <v>162</v>
      </c>
      <c r="G6" s="601"/>
      <c r="H6" s="601" t="s">
        <v>409</v>
      </c>
      <c r="I6" s="601"/>
      <c r="J6" s="601" t="s">
        <v>167</v>
      </c>
      <c r="K6" s="601"/>
      <c r="L6" s="601" t="s">
        <v>163</v>
      </c>
      <c r="M6" s="601"/>
      <c r="N6" s="601" t="s">
        <v>168</v>
      </c>
      <c r="O6" s="601"/>
      <c r="P6" s="841" t="s">
        <v>196</v>
      </c>
      <c r="Q6" s="841"/>
    </row>
    <row r="8" spans="1:17" s="154" customFormat="1" ht="15.75" customHeight="1">
      <c r="A8" s="163" t="s">
        <v>171</v>
      </c>
      <c r="B8" s="180" t="s">
        <v>18</v>
      </c>
      <c r="C8" s="871" t="s">
        <v>12</v>
      </c>
      <c r="D8" s="871"/>
      <c r="E8" s="871"/>
      <c r="F8" s="871" t="s">
        <v>53</v>
      </c>
      <c r="G8" s="871"/>
      <c r="H8" s="871"/>
      <c r="I8" s="180" t="s">
        <v>54</v>
      </c>
      <c r="J8" s="181" t="s">
        <v>19</v>
      </c>
      <c r="K8" s="180" t="s">
        <v>57</v>
      </c>
      <c r="L8" s="180" t="s">
        <v>2</v>
      </c>
      <c r="M8" s="874" t="s">
        <v>50</v>
      </c>
      <c r="N8" s="875"/>
      <c r="O8" s="875"/>
      <c r="P8" s="875"/>
      <c r="Q8" s="875"/>
    </row>
    <row r="9" spans="1:17" ht="15.75" customHeight="1">
      <c r="A9" s="871" t="s">
        <v>170</v>
      </c>
      <c r="B9" s="156">
        <v>1</v>
      </c>
      <c r="C9" s="867"/>
      <c r="D9" s="698"/>
      <c r="E9" s="698"/>
      <c r="F9" s="867"/>
      <c r="G9" s="698"/>
      <c r="H9" s="698"/>
      <c r="I9" s="164"/>
      <c r="J9" s="178"/>
      <c r="K9" s="178"/>
      <c r="L9" s="179">
        <f>K9-J9</f>
        <v>0</v>
      </c>
      <c r="M9" s="867"/>
      <c r="N9" s="867"/>
      <c r="O9" s="867"/>
      <c r="P9" s="867"/>
      <c r="Q9" s="867"/>
    </row>
    <row r="10" spans="1:17" ht="15.75" customHeight="1">
      <c r="A10" s="872"/>
      <c r="B10" s="156">
        <v>2</v>
      </c>
      <c r="C10" s="867"/>
      <c r="D10" s="698"/>
      <c r="E10" s="698"/>
      <c r="F10" s="867"/>
      <c r="G10" s="698"/>
      <c r="H10" s="698"/>
      <c r="I10" s="164"/>
      <c r="J10" s="178"/>
      <c r="K10" s="178"/>
      <c r="L10" s="179">
        <f>K10-J10</f>
        <v>0</v>
      </c>
      <c r="M10" s="867"/>
      <c r="N10" s="867"/>
      <c r="O10" s="867"/>
      <c r="P10" s="867"/>
      <c r="Q10" s="867"/>
    </row>
    <row r="11" spans="1:17" ht="15.75" customHeight="1">
      <c r="A11" s="872"/>
      <c r="B11" s="156">
        <v>3</v>
      </c>
      <c r="C11" s="867"/>
      <c r="D11" s="698"/>
      <c r="E11" s="698"/>
      <c r="F11" s="867"/>
      <c r="G11" s="698"/>
      <c r="H11" s="698"/>
      <c r="I11" s="164"/>
      <c r="J11" s="178"/>
      <c r="K11" s="178"/>
      <c r="L11" s="179">
        <f>K11-J11</f>
        <v>0</v>
      </c>
      <c r="M11" s="867"/>
      <c r="N11" s="867"/>
      <c r="O11" s="867"/>
      <c r="P11" s="867"/>
      <c r="Q11" s="867"/>
    </row>
    <row r="12" spans="1:17" ht="15.75" customHeight="1">
      <c r="A12" s="872"/>
      <c r="B12" s="156">
        <v>4</v>
      </c>
      <c r="C12" s="867"/>
      <c r="D12" s="698"/>
      <c r="E12" s="698"/>
      <c r="F12" s="867"/>
      <c r="G12" s="698"/>
      <c r="H12" s="698"/>
      <c r="I12" s="164"/>
      <c r="J12" s="178"/>
      <c r="K12" s="178"/>
      <c r="L12" s="179">
        <f>K12-J12</f>
        <v>0</v>
      </c>
      <c r="M12" s="867"/>
      <c r="N12" s="867"/>
      <c r="O12" s="867"/>
      <c r="P12" s="867"/>
      <c r="Q12" s="867"/>
    </row>
    <row r="13" spans="1:17" ht="15.75" customHeight="1">
      <c r="A13" s="872"/>
      <c r="B13" s="156">
        <v>5</v>
      </c>
      <c r="C13" s="867"/>
      <c r="D13" s="698"/>
      <c r="E13" s="698"/>
      <c r="F13" s="867"/>
      <c r="G13" s="698"/>
      <c r="H13" s="698"/>
      <c r="I13" s="164"/>
      <c r="J13" s="178"/>
      <c r="K13" s="178"/>
      <c r="L13" s="179">
        <f>K13-J13</f>
        <v>0</v>
      </c>
      <c r="M13" s="867"/>
      <c r="N13" s="867"/>
      <c r="O13" s="867"/>
      <c r="P13" s="867"/>
      <c r="Q13" s="867"/>
    </row>
    <row r="14" spans="1:17" ht="15.75" customHeight="1">
      <c r="A14" s="869"/>
      <c r="B14" s="869"/>
      <c r="C14" s="869"/>
      <c r="D14" s="869"/>
      <c r="E14" s="869"/>
      <c r="F14" s="869"/>
      <c r="G14" s="869"/>
      <c r="H14" s="869"/>
      <c r="I14" s="869"/>
      <c r="J14" s="869"/>
      <c r="K14" s="869"/>
      <c r="L14" s="869"/>
      <c r="M14" s="869"/>
      <c r="N14" s="869"/>
      <c r="O14" s="870"/>
    </row>
    <row r="15" spans="1:17" s="154" customFormat="1" ht="15.75" customHeight="1">
      <c r="A15" s="163" t="s">
        <v>171</v>
      </c>
      <c r="B15" s="163" t="s">
        <v>18</v>
      </c>
      <c r="C15" s="868" t="s">
        <v>12</v>
      </c>
      <c r="D15" s="868"/>
      <c r="E15" s="868"/>
      <c r="F15" s="868" t="s">
        <v>53</v>
      </c>
      <c r="G15" s="868"/>
      <c r="H15" s="868"/>
      <c r="I15" s="163" t="s">
        <v>54</v>
      </c>
      <c r="J15" s="177" t="s">
        <v>19</v>
      </c>
      <c r="K15" s="163" t="s">
        <v>57</v>
      </c>
      <c r="L15" s="163" t="s">
        <v>2</v>
      </c>
      <c r="M15" s="868" t="s">
        <v>50</v>
      </c>
      <c r="N15" s="868"/>
      <c r="O15" s="868"/>
      <c r="P15" s="868"/>
      <c r="Q15" s="868"/>
    </row>
    <row r="16" spans="1:17" ht="15.75" customHeight="1">
      <c r="A16" s="868" t="s">
        <v>172</v>
      </c>
      <c r="B16" s="156">
        <v>1</v>
      </c>
      <c r="C16" s="867"/>
      <c r="D16" s="698"/>
      <c r="E16" s="698"/>
      <c r="F16" s="867"/>
      <c r="G16" s="698"/>
      <c r="H16" s="698"/>
      <c r="I16" s="164"/>
      <c r="J16" s="178"/>
      <c r="K16" s="178"/>
      <c r="L16" s="179">
        <f>K16-J16</f>
        <v>0</v>
      </c>
      <c r="M16" s="867"/>
      <c r="N16" s="867"/>
      <c r="O16" s="867"/>
      <c r="P16" s="867"/>
      <c r="Q16" s="867"/>
    </row>
    <row r="17" spans="1:17" ht="15.75" customHeight="1">
      <c r="A17" s="868"/>
      <c r="B17" s="156">
        <v>2</v>
      </c>
      <c r="C17" s="867"/>
      <c r="D17" s="698"/>
      <c r="E17" s="698"/>
      <c r="F17" s="867"/>
      <c r="G17" s="698"/>
      <c r="H17" s="698"/>
      <c r="I17" s="164"/>
      <c r="J17" s="178"/>
      <c r="K17" s="178"/>
      <c r="L17" s="179">
        <f>K17-J17</f>
        <v>0</v>
      </c>
      <c r="M17" s="867"/>
      <c r="N17" s="867"/>
      <c r="O17" s="867"/>
      <c r="P17" s="867"/>
      <c r="Q17" s="867"/>
    </row>
    <row r="18" spans="1:17" ht="15.75" customHeight="1">
      <c r="A18" s="868"/>
      <c r="B18" s="156">
        <v>3</v>
      </c>
      <c r="C18" s="867"/>
      <c r="D18" s="698"/>
      <c r="E18" s="698"/>
      <c r="F18" s="867"/>
      <c r="G18" s="698"/>
      <c r="H18" s="698"/>
      <c r="I18" s="164"/>
      <c r="J18" s="178"/>
      <c r="K18" s="178"/>
      <c r="L18" s="179">
        <f>K18-J18</f>
        <v>0</v>
      </c>
      <c r="M18" s="867"/>
      <c r="N18" s="867"/>
      <c r="O18" s="867"/>
      <c r="P18" s="867"/>
      <c r="Q18" s="867"/>
    </row>
    <row r="19" spans="1:17" ht="15.75" customHeight="1">
      <c r="A19" s="868"/>
      <c r="B19" s="156">
        <v>4</v>
      </c>
      <c r="C19" s="867"/>
      <c r="D19" s="698"/>
      <c r="E19" s="698"/>
      <c r="F19" s="867"/>
      <c r="G19" s="698"/>
      <c r="H19" s="698"/>
      <c r="I19" s="164"/>
      <c r="J19" s="178"/>
      <c r="K19" s="178"/>
      <c r="L19" s="179">
        <f>K19-J19</f>
        <v>0</v>
      </c>
      <c r="M19" s="867"/>
      <c r="N19" s="867"/>
      <c r="O19" s="867"/>
      <c r="P19" s="867"/>
      <c r="Q19" s="867"/>
    </row>
    <row r="20" spans="1:17" ht="15.75" customHeight="1">
      <c r="A20" s="868"/>
      <c r="B20" s="156">
        <v>5</v>
      </c>
      <c r="C20" s="867"/>
      <c r="D20" s="698"/>
      <c r="E20" s="698"/>
      <c r="F20" s="867"/>
      <c r="G20" s="698"/>
      <c r="H20" s="698"/>
      <c r="I20" s="164"/>
      <c r="J20" s="178"/>
      <c r="K20" s="178"/>
      <c r="L20" s="179">
        <f>K20-J20</f>
        <v>0</v>
      </c>
      <c r="M20" s="867"/>
      <c r="N20" s="867"/>
      <c r="O20" s="867"/>
      <c r="P20" s="867"/>
      <c r="Q20" s="867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7" tint="0.39997558519241921"/>
    <pageSetUpPr fitToPage="1"/>
  </sheetPr>
  <dimension ref="B2:AS297"/>
  <sheetViews>
    <sheetView zoomScale="55" zoomScaleNormal="55" workbookViewId="0">
      <pane xSplit="1" ySplit="4" topLeftCell="Q5" activePane="bottomRight" state="frozen"/>
      <selection pane="topRight" activeCell="B1" sqref="B1"/>
      <selection pane="bottomLeft" activeCell="A5" sqref="A5"/>
      <selection pane="bottomRight" activeCell="AB37" sqref="AB37"/>
    </sheetView>
  </sheetViews>
  <sheetFormatPr defaultColWidth="8.85546875" defaultRowHeight="16.5"/>
  <cols>
    <col min="1" max="1" width="8.85546875" style="310"/>
    <col min="2" max="2" width="12.42578125" style="310" customWidth="1"/>
    <col min="3" max="3" width="8.85546875" style="310"/>
    <col min="4" max="4" width="11.5703125" style="310" customWidth="1"/>
    <col min="5" max="5" width="39.28515625" style="310" bestFit="1" customWidth="1"/>
    <col min="6" max="24" width="15.7109375" style="310" customWidth="1"/>
    <col min="25" max="25" width="12.42578125" style="310" bestFit="1" customWidth="1"/>
    <col min="26" max="26" width="25.28515625" style="310" bestFit="1" customWidth="1"/>
    <col min="27" max="27" width="88.28515625" style="310" customWidth="1"/>
    <col min="28" max="28" width="117.7109375" style="310" bestFit="1" customWidth="1"/>
    <col min="29" max="29" width="7.42578125" style="310" bestFit="1" customWidth="1"/>
    <col min="30" max="30" width="69.5703125" style="310" bestFit="1" customWidth="1"/>
    <col min="31" max="31" width="11.42578125" style="310" bestFit="1" customWidth="1"/>
    <col min="32" max="32" width="21.5703125" style="310" customWidth="1"/>
    <col min="33" max="33" width="19.42578125" style="310" bestFit="1" customWidth="1"/>
    <col min="34" max="39" width="14.42578125" style="310" customWidth="1"/>
    <col min="40" max="43" width="8.85546875" style="310"/>
    <col min="44" max="44" width="20.85546875" style="310" bestFit="1" customWidth="1"/>
    <col min="45" max="45" width="8.7109375" style="310" customWidth="1"/>
    <col min="46" max="16384" width="8.85546875" style="310"/>
  </cols>
  <sheetData>
    <row r="2" spans="2:45" ht="41.1" customHeight="1">
      <c r="B2" s="895" t="s">
        <v>816</v>
      </c>
      <c r="C2" s="896"/>
      <c r="D2" s="896"/>
      <c r="E2" s="896"/>
      <c r="F2" s="896"/>
      <c r="G2" s="896"/>
      <c r="H2" s="896"/>
      <c r="I2" s="896"/>
      <c r="J2" s="896"/>
      <c r="K2" s="896"/>
      <c r="L2" s="896"/>
      <c r="M2" s="896"/>
      <c r="N2" s="896"/>
      <c r="O2" s="896"/>
      <c r="P2" s="896"/>
      <c r="Q2" s="896"/>
      <c r="R2" s="896"/>
      <c r="S2" s="896"/>
      <c r="T2" s="896"/>
      <c r="U2" s="896"/>
      <c r="V2" s="896"/>
      <c r="W2" s="896"/>
      <c r="X2" s="896"/>
      <c r="Y2" s="896"/>
      <c r="Z2" s="896"/>
      <c r="AA2" s="896"/>
      <c r="AB2" s="896"/>
      <c r="AC2" s="896"/>
      <c r="AD2" s="896"/>
      <c r="AF2" s="311"/>
      <c r="AG2" s="311"/>
    </row>
    <row r="3" spans="2:45" ht="17.100000000000001" customHeight="1">
      <c r="B3" s="897" t="s">
        <v>912</v>
      </c>
      <c r="C3" s="898"/>
      <c r="D3" s="930" t="s">
        <v>913</v>
      </c>
      <c r="E3" s="931" t="s">
        <v>914</v>
      </c>
      <c r="F3" s="932" t="s">
        <v>915</v>
      </c>
      <c r="G3" s="933" t="s">
        <v>916</v>
      </c>
      <c r="H3" s="934" t="s">
        <v>917</v>
      </c>
      <c r="I3" s="935" t="s">
        <v>918</v>
      </c>
      <c r="J3" s="936"/>
      <c r="K3" s="935" t="s">
        <v>919</v>
      </c>
      <c r="L3" s="936"/>
      <c r="M3" s="935" t="s">
        <v>920</v>
      </c>
      <c r="N3" s="936"/>
      <c r="O3" s="935" t="s">
        <v>921</v>
      </c>
      <c r="P3" s="936"/>
      <c r="Q3" s="935" t="s">
        <v>875</v>
      </c>
      <c r="R3" s="936"/>
      <c r="S3" s="937" t="s">
        <v>922</v>
      </c>
      <c r="T3" s="938"/>
      <c r="U3" s="939"/>
      <c r="V3" s="919" t="s">
        <v>923</v>
      </c>
      <c r="W3" s="920"/>
      <c r="X3" s="921"/>
      <c r="Y3" s="876" t="s">
        <v>164</v>
      </c>
      <c r="Z3" s="876" t="s">
        <v>924</v>
      </c>
      <c r="AA3" s="876" t="s">
        <v>925</v>
      </c>
      <c r="AB3" s="876" t="s">
        <v>926</v>
      </c>
      <c r="AC3" s="876" t="s">
        <v>927</v>
      </c>
      <c r="AD3" s="933" t="s">
        <v>165</v>
      </c>
      <c r="AF3" s="880" t="s">
        <v>817</v>
      </c>
      <c r="AG3" s="881"/>
      <c r="AH3" s="881"/>
      <c r="AI3" s="881"/>
      <c r="AJ3" s="881"/>
      <c r="AK3" s="881"/>
      <c r="AL3" s="881"/>
      <c r="AM3" s="882"/>
    </row>
    <row r="4" spans="2:45" ht="17.100000000000001" customHeight="1">
      <c r="B4" s="899"/>
      <c r="C4" s="900"/>
      <c r="D4" s="930"/>
      <c r="E4" s="930"/>
      <c r="F4" s="932"/>
      <c r="G4" s="940"/>
      <c r="H4" s="940"/>
      <c r="I4" s="922" t="s">
        <v>928</v>
      </c>
      <c r="J4" s="923" t="s">
        <v>741</v>
      </c>
      <c r="K4" s="922" t="s">
        <v>928</v>
      </c>
      <c r="L4" s="923" t="s">
        <v>741</v>
      </c>
      <c r="M4" s="922" t="s">
        <v>928</v>
      </c>
      <c r="N4" s="923" t="s">
        <v>741</v>
      </c>
      <c r="O4" s="922" t="s">
        <v>928</v>
      </c>
      <c r="P4" s="923" t="s">
        <v>741</v>
      </c>
      <c r="Q4" s="922" t="s">
        <v>928</v>
      </c>
      <c r="R4" s="923" t="s">
        <v>741</v>
      </c>
      <c r="S4" s="922" t="s">
        <v>928</v>
      </c>
      <c r="T4" s="923" t="s">
        <v>741</v>
      </c>
      <c r="U4" s="923" t="s">
        <v>742</v>
      </c>
      <c r="V4" s="922" t="s">
        <v>928</v>
      </c>
      <c r="W4" s="923" t="s">
        <v>741</v>
      </c>
      <c r="X4" s="923" t="s">
        <v>742</v>
      </c>
      <c r="Y4" s="877"/>
      <c r="Z4" s="877"/>
      <c r="AA4" s="877"/>
      <c r="AB4" s="877"/>
      <c r="AC4" s="877"/>
      <c r="AD4" s="940"/>
      <c r="AF4" s="883"/>
      <c r="AG4" s="884"/>
      <c r="AH4" s="884"/>
      <c r="AI4" s="884"/>
      <c r="AJ4" s="884"/>
      <c r="AK4" s="884"/>
      <c r="AL4" s="884"/>
      <c r="AM4" s="885"/>
    </row>
    <row r="5" spans="2:45" ht="17.100000000000001" customHeight="1">
      <c r="B5" s="889" t="s">
        <v>929</v>
      </c>
      <c r="C5" s="890"/>
      <c r="D5" s="312">
        <v>1</v>
      </c>
      <c r="E5" s="439" t="s">
        <v>319</v>
      </c>
      <c r="F5" s="517">
        <v>4832.7700000000004</v>
      </c>
      <c r="G5" s="313">
        <v>487.66</v>
      </c>
      <c r="H5" s="441">
        <v>1665.777</v>
      </c>
      <c r="I5" s="442">
        <v>1674.3473503439009</v>
      </c>
      <c r="J5" s="443">
        <v>1.0051414131360172</v>
      </c>
      <c r="K5" s="442">
        <v>1684.1999999999996</v>
      </c>
      <c r="L5" s="443">
        <v>1.0110597036698188</v>
      </c>
      <c r="M5" s="442">
        <v>0</v>
      </c>
      <c r="N5" s="443">
        <v>0</v>
      </c>
      <c r="O5" s="924">
        <v>1684.1999999999996</v>
      </c>
      <c r="P5" s="443">
        <v>1.0110597036698188</v>
      </c>
      <c r="Q5" s="441">
        <v>9.9101218061764378</v>
      </c>
      <c r="R5" s="443">
        <v>5.949248792711412E-3</v>
      </c>
      <c r="S5" s="924">
        <v>18.422999999999995</v>
      </c>
      <c r="T5" s="443">
        <v>1.1059703669818946E-2</v>
      </c>
      <c r="U5" s="440">
        <v>8984.1601799999953</v>
      </c>
      <c r="V5" s="925">
        <v>8.5128781938235569</v>
      </c>
      <c r="W5" s="926">
        <v>5.1104548771075337E-3</v>
      </c>
      <c r="X5" s="927">
        <v>4151.3901799999958</v>
      </c>
      <c r="Y5" s="315" t="s">
        <v>312</v>
      </c>
      <c r="Z5" s="315" t="s">
        <v>192</v>
      </c>
      <c r="AA5" s="518" t="s">
        <v>567</v>
      </c>
      <c r="AB5" s="518" t="s">
        <v>494</v>
      </c>
      <c r="AC5" s="315">
        <v>1</v>
      </c>
      <c r="AD5" s="445" t="s">
        <v>784</v>
      </c>
      <c r="AE5" s="495"/>
      <c r="AF5" s="886"/>
      <c r="AG5" s="887"/>
      <c r="AH5" s="887"/>
      <c r="AI5" s="887"/>
      <c r="AJ5" s="887"/>
      <c r="AK5" s="887"/>
      <c r="AL5" s="887"/>
      <c r="AM5" s="888"/>
      <c r="AN5" s="495"/>
      <c r="AO5" s="495"/>
      <c r="AP5" s="495"/>
      <c r="AQ5" s="495"/>
      <c r="AR5" s="495"/>
      <c r="AS5" s="495"/>
    </row>
    <row r="6" spans="2:45" ht="38.450000000000003" customHeight="1">
      <c r="B6" s="891"/>
      <c r="C6" s="892"/>
      <c r="D6" s="312">
        <v>2</v>
      </c>
      <c r="E6" s="439" t="s">
        <v>738</v>
      </c>
      <c r="F6" s="517">
        <v>4193.5160000000005</v>
      </c>
      <c r="G6" s="313">
        <v>361.51</v>
      </c>
      <c r="H6" s="441">
        <v>1345.751</v>
      </c>
      <c r="I6" s="442">
        <v>1352.4081384659762</v>
      </c>
      <c r="J6" s="443">
        <v>1.004931535464433</v>
      </c>
      <c r="K6" s="442">
        <v>1364.1</v>
      </c>
      <c r="L6" s="443">
        <v>1.013634766015407</v>
      </c>
      <c r="M6" s="442">
        <v>0</v>
      </c>
      <c r="N6" s="443">
        <v>0</v>
      </c>
      <c r="O6" s="924">
        <v>1364.1</v>
      </c>
      <c r="P6" s="443">
        <v>1.013634766015407</v>
      </c>
      <c r="Q6" s="441">
        <v>11.600000000000001</v>
      </c>
      <c r="R6" s="443">
        <v>8.6197223706317161E-3</v>
      </c>
      <c r="S6" s="924">
        <v>18.34899999999999</v>
      </c>
      <c r="T6" s="443">
        <v>1.3634766015407003E-2</v>
      </c>
      <c r="U6" s="440">
        <v>6633.3469899999973</v>
      </c>
      <c r="V6" s="925">
        <v>6.7489999999999881</v>
      </c>
      <c r="W6" s="926">
        <v>5.0150436447752881E-3</v>
      </c>
      <c r="X6" s="927">
        <v>2439.8309899999958</v>
      </c>
      <c r="Y6" s="315" t="s">
        <v>311</v>
      </c>
      <c r="Z6" s="315" t="s">
        <v>409</v>
      </c>
      <c r="AA6" s="518" t="s">
        <v>813</v>
      </c>
      <c r="AB6" s="518" t="s">
        <v>745</v>
      </c>
      <c r="AC6" s="315">
        <v>1</v>
      </c>
      <c r="AD6" s="445" t="s">
        <v>318</v>
      </c>
      <c r="AE6" s="495"/>
      <c r="AF6" s="220" t="s">
        <v>818</v>
      </c>
      <c r="AG6" s="220" t="s">
        <v>740</v>
      </c>
      <c r="AH6" s="496" t="s">
        <v>743</v>
      </c>
      <c r="AI6" s="496" t="s">
        <v>363</v>
      </c>
      <c r="AJ6" s="496" t="s">
        <v>409</v>
      </c>
      <c r="AK6" s="496" t="s">
        <v>191</v>
      </c>
      <c r="AL6" s="496" t="s">
        <v>192</v>
      </c>
      <c r="AM6" s="496" t="s">
        <v>422</v>
      </c>
      <c r="AN6" s="495"/>
      <c r="AO6" s="495"/>
      <c r="AP6" s="495"/>
      <c r="AQ6" s="495"/>
      <c r="AR6" s="450" t="s">
        <v>819</v>
      </c>
      <c r="AS6" s="450" t="s">
        <v>820</v>
      </c>
    </row>
    <row r="7" spans="2:45" s="317" customFormat="1" ht="27" customHeight="1">
      <c r="B7" s="891"/>
      <c r="C7" s="892"/>
      <c r="D7" s="312">
        <v>3</v>
      </c>
      <c r="E7" s="439" t="s">
        <v>804</v>
      </c>
      <c r="F7" s="517">
        <v>4190.0740000000005</v>
      </c>
      <c r="G7" s="313">
        <v>395.29</v>
      </c>
      <c r="H7" s="441">
        <v>1066.4500000000003</v>
      </c>
      <c r="I7" s="442">
        <v>1074.1682769407189</v>
      </c>
      <c r="J7" s="443">
        <v>1.0073327481123027</v>
      </c>
      <c r="K7" s="442">
        <v>1085</v>
      </c>
      <c r="L7" s="443">
        <v>1.0173941581883819</v>
      </c>
      <c r="M7" s="442">
        <v>0</v>
      </c>
      <c r="N7" s="443">
        <v>0</v>
      </c>
      <c r="O7" s="924">
        <v>1085</v>
      </c>
      <c r="P7" s="443">
        <v>1.0173941581883819</v>
      </c>
      <c r="Q7" s="441">
        <v>10.600000000000001</v>
      </c>
      <c r="R7" s="443">
        <v>9.9395189647897217E-3</v>
      </c>
      <c r="S7" s="924">
        <v>18.54999999999999</v>
      </c>
      <c r="T7" s="443">
        <v>1.7394158188382001E-2</v>
      </c>
      <c r="U7" s="440">
        <v>7332.6294999999982</v>
      </c>
      <c r="V7" s="925">
        <v>7.9499999999999886</v>
      </c>
      <c r="W7" s="926">
        <v>7.45463922359228E-3</v>
      </c>
      <c r="X7" s="927">
        <v>3142.5554999999958</v>
      </c>
      <c r="Y7" s="315" t="s">
        <v>312</v>
      </c>
      <c r="Z7" s="315" t="s">
        <v>191</v>
      </c>
      <c r="AA7" s="518" t="s">
        <v>812</v>
      </c>
      <c r="AB7" s="518" t="s">
        <v>494</v>
      </c>
      <c r="AC7" s="315">
        <v>1</v>
      </c>
      <c r="AD7" s="445" t="s">
        <v>783</v>
      </c>
      <c r="AE7" s="495"/>
      <c r="AF7" s="446">
        <f>SUM(AC5:AC24)</f>
        <v>20</v>
      </c>
      <c r="AG7" s="316">
        <f>SUMIF($Z$5:$Z$24,TRIM(AG6),$AC$5:$AC$24)</f>
        <v>0</v>
      </c>
      <c r="AH7" s="316">
        <f>SUMIF($Z$5:$Z$24,TRIM(AH6),$AC$5:$AC$24)</f>
        <v>0</v>
      </c>
      <c r="AI7" s="316">
        <f>SUMIF($Z$5:$Z$24,TRIM(AI6),$AC$5:$AC$24)</f>
        <v>2</v>
      </c>
      <c r="AJ7" s="316">
        <f>SUMIF($Z$5:$Z$24,TRIM(AJ6),$AC$5:$AC$24)</f>
        <v>7</v>
      </c>
      <c r="AK7" s="316">
        <f t="shared" ref="AK7:AL7" si="0">SUMIF($Z$5:$Z$24,TRIM(AK6),$AC$5:$AC$24)</f>
        <v>8</v>
      </c>
      <c r="AL7" s="316">
        <f t="shared" si="0"/>
        <v>3</v>
      </c>
      <c r="AM7" s="316">
        <f>SUMIF($Z$5:$Z$24,TRIM(AM6),$AC$5:$AC$24)</f>
        <v>0</v>
      </c>
      <c r="AN7" s="495"/>
      <c r="AO7" s="495"/>
      <c r="AP7" s="495"/>
      <c r="AQ7" s="495"/>
      <c r="AR7" s="451" t="s">
        <v>806</v>
      </c>
      <c r="AS7" s="206" t="s">
        <v>821</v>
      </c>
    </row>
    <row r="8" spans="2:45" s="317" customFormat="1" ht="27" customHeight="1">
      <c r="B8" s="891"/>
      <c r="C8" s="892"/>
      <c r="D8" s="312">
        <v>4</v>
      </c>
      <c r="E8" s="439" t="s">
        <v>930</v>
      </c>
      <c r="F8" s="517">
        <v>4145.9529999999995</v>
      </c>
      <c r="G8" s="313">
        <v>298.27</v>
      </c>
      <c r="H8" s="441">
        <v>1068.95</v>
      </c>
      <c r="I8" s="442">
        <v>1075.7141990824816</v>
      </c>
      <c r="J8" s="443">
        <v>1.0063851312851313</v>
      </c>
      <c r="K8" s="442">
        <v>1089.7000000000003</v>
      </c>
      <c r="L8" s="443">
        <v>1.0194115721034662</v>
      </c>
      <c r="M8" s="442">
        <v>0</v>
      </c>
      <c r="N8" s="443">
        <v>0</v>
      </c>
      <c r="O8" s="924">
        <v>1089.7000000000003</v>
      </c>
      <c r="P8" s="443">
        <v>1.0194115721034662</v>
      </c>
      <c r="Q8" s="441">
        <v>13.899999999999999</v>
      </c>
      <c r="R8" s="443">
        <v>1.3003414565695306E-2</v>
      </c>
      <c r="S8" s="924">
        <v>20.749999999999975</v>
      </c>
      <c r="T8" s="443">
        <v>1.9411572103465995E-2</v>
      </c>
      <c r="U8" s="440">
        <v>6189.1024999999927</v>
      </c>
      <c r="V8" s="925">
        <v>6.8499999999999766</v>
      </c>
      <c r="W8" s="926">
        <v>6.4081575377706876E-3</v>
      </c>
      <c r="X8" s="927">
        <v>2043.1494999999929</v>
      </c>
      <c r="Y8" s="315" t="s">
        <v>312</v>
      </c>
      <c r="Z8" s="315" t="s">
        <v>191</v>
      </c>
      <c r="AA8" s="518" t="s">
        <v>812</v>
      </c>
      <c r="AB8" s="518" t="s">
        <v>494</v>
      </c>
      <c r="AC8" s="315">
        <v>1</v>
      </c>
      <c r="AD8" s="445" t="s">
        <v>786</v>
      </c>
      <c r="AE8" s="495"/>
      <c r="AF8" s="447" t="s">
        <v>11</v>
      </c>
      <c r="AG8" s="448">
        <f>SUMIF($Z5:$Z$24,TRIM(AG6),$F$5:$F$24)</f>
        <v>0</v>
      </c>
      <c r="AH8" s="448">
        <f>SUMIF($Z5:$Z$24,TRIM(AH6),$F$5:$F$24)</f>
        <v>0</v>
      </c>
      <c r="AI8" s="448">
        <f>SUMIF($Z5:$Z$24,TRIM(AI6),$F$5:$F$24)</f>
        <v>7149.6989199999989</v>
      </c>
      <c r="AJ8" s="448">
        <f>SUMIF($Z5:$Z$24,TRIM(AJ6),$F$5:$F$24)</f>
        <v>25259.130693800085</v>
      </c>
      <c r="AK8" s="448">
        <f>SUMIF($Z5:$Z$24,TRIM(AK6),$F$5:$F$24)</f>
        <v>30020.156272</v>
      </c>
      <c r="AL8" s="448">
        <f>SUMIF($Z5:$Z$24,TRIM(AL6),$F$5:$F$24)</f>
        <v>11652.525000000001</v>
      </c>
      <c r="AM8" s="448">
        <f>SUMIF($Z5:$Z$24,TRIM(AM6),$F$5:$F$24)</f>
        <v>0</v>
      </c>
      <c r="AN8" s="495"/>
      <c r="AO8" s="495"/>
      <c r="AP8" s="495"/>
      <c r="AQ8" s="495"/>
      <c r="AR8" s="206" t="s">
        <v>317</v>
      </c>
      <c r="AS8" s="206" t="s">
        <v>822</v>
      </c>
    </row>
    <row r="9" spans="2:45" s="317" customFormat="1" ht="27" customHeight="1">
      <c r="B9" s="891"/>
      <c r="C9" s="892"/>
      <c r="D9" s="312">
        <v>5</v>
      </c>
      <c r="E9" s="439" t="s">
        <v>364</v>
      </c>
      <c r="F9" s="517">
        <v>3951.1019999999999</v>
      </c>
      <c r="G9" s="313">
        <v>420.33</v>
      </c>
      <c r="H9" s="441">
        <v>2143.9249999999993</v>
      </c>
      <c r="I9" s="442">
        <v>2151.8578626265289</v>
      </c>
      <c r="J9" s="443">
        <v>1.0037355964618337</v>
      </c>
      <c r="K9" s="442">
        <v>2161</v>
      </c>
      <c r="L9" s="443">
        <v>1.0079643644250618</v>
      </c>
      <c r="M9" s="442">
        <v>0</v>
      </c>
      <c r="N9" s="443">
        <v>0</v>
      </c>
      <c r="O9" s="924">
        <v>2161</v>
      </c>
      <c r="P9" s="443">
        <v>1.0079643644250618</v>
      </c>
      <c r="Q9" s="441">
        <v>9.4000000000000021</v>
      </c>
      <c r="R9" s="443">
        <v>4.38448173326959E-3</v>
      </c>
      <c r="S9" s="924">
        <v>17.075000000000017</v>
      </c>
      <c r="T9" s="443">
        <v>7.9643644250615223E-3</v>
      </c>
      <c r="U9" s="440">
        <v>7177.1347500000056</v>
      </c>
      <c r="V9" s="925">
        <v>7.6750000000000149</v>
      </c>
      <c r="W9" s="926">
        <v>3.5798826917919318E-3</v>
      </c>
      <c r="X9" s="927">
        <v>3226.0327500000062</v>
      </c>
      <c r="Y9" s="315" t="s">
        <v>312</v>
      </c>
      <c r="Z9" s="315" t="s">
        <v>191</v>
      </c>
      <c r="AA9" s="518" t="s">
        <v>812</v>
      </c>
      <c r="AB9" s="518" t="s">
        <v>494</v>
      </c>
      <c r="AC9" s="315">
        <v>1</v>
      </c>
      <c r="AD9" s="445" t="s">
        <v>345</v>
      </c>
      <c r="AE9" s="495"/>
      <c r="AF9" s="312" t="s">
        <v>744</v>
      </c>
      <c r="AG9" s="449">
        <f t="shared" ref="AG9:AM9" si="1">AG7/$AF7</f>
        <v>0</v>
      </c>
      <c r="AH9" s="449">
        <f t="shared" si="1"/>
        <v>0</v>
      </c>
      <c r="AI9" s="449">
        <f t="shared" si="1"/>
        <v>0.1</v>
      </c>
      <c r="AJ9" s="449">
        <f t="shared" si="1"/>
        <v>0.35</v>
      </c>
      <c r="AK9" s="449">
        <f t="shared" si="1"/>
        <v>0.4</v>
      </c>
      <c r="AL9" s="449">
        <f t="shared" si="1"/>
        <v>0.15</v>
      </c>
      <c r="AM9" s="449">
        <f t="shared" si="1"/>
        <v>0</v>
      </c>
      <c r="AN9" s="495"/>
      <c r="AO9" s="495"/>
      <c r="AP9" s="495"/>
      <c r="AQ9" s="495"/>
      <c r="AR9" s="206" t="s">
        <v>363</v>
      </c>
      <c r="AS9" s="206" t="s">
        <v>822</v>
      </c>
    </row>
    <row r="10" spans="2:45" s="317" customFormat="1" ht="27" customHeight="1">
      <c r="B10" s="891"/>
      <c r="C10" s="892"/>
      <c r="D10" s="312">
        <v>6</v>
      </c>
      <c r="E10" s="439" t="s">
        <v>433</v>
      </c>
      <c r="F10" s="517">
        <v>3882.3099120000015</v>
      </c>
      <c r="G10" s="313">
        <v>136.88999999999999</v>
      </c>
      <c r="H10" s="441">
        <v>7170.4959999999983</v>
      </c>
      <c r="I10" s="442">
        <v>7185.182351465849</v>
      </c>
      <c r="J10" s="443">
        <v>1.0020303714866774</v>
      </c>
      <c r="K10" s="442">
        <v>7213.6999999999989</v>
      </c>
      <c r="L10" s="443">
        <v>1.0060252456733816</v>
      </c>
      <c r="M10" s="442">
        <v>0</v>
      </c>
      <c r="N10" s="443">
        <v>0</v>
      </c>
      <c r="O10" s="924">
        <v>7213.6999999999989</v>
      </c>
      <c r="P10" s="443">
        <v>1.0060252456733816</v>
      </c>
      <c r="Q10" s="441">
        <v>28.360800000000015</v>
      </c>
      <c r="R10" s="443">
        <v>3.9552075616526416E-3</v>
      </c>
      <c r="S10" s="924">
        <v>43.204000000000065</v>
      </c>
      <c r="T10" s="443">
        <v>6.0252456733816007E-3</v>
      </c>
      <c r="U10" s="440">
        <v>5914.1955600000083</v>
      </c>
      <c r="V10" s="925">
        <v>14.843200000000049</v>
      </c>
      <c r="W10" s="926">
        <v>2.0700381117289587E-3</v>
      </c>
      <c r="X10" s="927">
        <v>2031.8856480000065</v>
      </c>
      <c r="Y10" s="315" t="s">
        <v>312</v>
      </c>
      <c r="Z10" s="315" t="s">
        <v>191</v>
      </c>
      <c r="AA10" s="518" t="s">
        <v>812</v>
      </c>
      <c r="AB10" s="518" t="s">
        <v>494</v>
      </c>
      <c r="AC10" s="315">
        <v>1</v>
      </c>
      <c r="AD10" s="445" t="s">
        <v>318</v>
      </c>
      <c r="AE10" s="495"/>
      <c r="AF10" s="495"/>
      <c r="AG10" s="495"/>
      <c r="AH10" s="495"/>
      <c r="AI10" s="495"/>
      <c r="AJ10" s="495"/>
      <c r="AK10" s="495"/>
      <c r="AL10" s="495"/>
      <c r="AM10" s="495"/>
      <c r="AN10" s="495"/>
      <c r="AO10" s="495"/>
      <c r="AP10" s="495"/>
      <c r="AQ10" s="495"/>
      <c r="AR10" s="206" t="s">
        <v>823</v>
      </c>
      <c r="AS10" s="206" t="s">
        <v>824</v>
      </c>
    </row>
    <row r="11" spans="2:45" s="317" customFormat="1" ht="27" customHeight="1">
      <c r="B11" s="891"/>
      <c r="C11" s="892"/>
      <c r="D11" s="312">
        <v>7</v>
      </c>
      <c r="E11" s="439" t="s">
        <v>432</v>
      </c>
      <c r="F11" s="517">
        <v>3779.7799999999997</v>
      </c>
      <c r="G11" s="313">
        <v>111.17</v>
      </c>
      <c r="H11" s="441">
        <v>7694.41</v>
      </c>
      <c r="I11" s="442">
        <v>7710.3750859964039</v>
      </c>
      <c r="J11" s="443">
        <v>1.0020949009335611</v>
      </c>
      <c r="K11" s="442">
        <v>7744.7999999999984</v>
      </c>
      <c r="L11" s="443">
        <v>1.0065489101828469</v>
      </c>
      <c r="M11" s="442">
        <v>0</v>
      </c>
      <c r="N11" s="443">
        <v>0</v>
      </c>
      <c r="O11" s="924">
        <v>7744.7999999999984</v>
      </c>
      <c r="P11" s="443">
        <v>1.0065489101828469</v>
      </c>
      <c r="Q11" s="441">
        <v>34</v>
      </c>
      <c r="R11" s="443">
        <v>4.4187923440523703E-3</v>
      </c>
      <c r="S11" s="924">
        <v>50.390000000000015</v>
      </c>
      <c r="T11" s="443">
        <v>6.5489101828470299E-3</v>
      </c>
      <c r="U11" s="440">
        <v>5601.8563000000022</v>
      </c>
      <c r="V11" s="925">
        <v>16.390000000000015</v>
      </c>
      <c r="W11" s="926">
        <v>2.1301178387946595E-3</v>
      </c>
      <c r="X11" s="927">
        <v>1822.0763000000018</v>
      </c>
      <c r="Y11" s="315" t="s">
        <v>311</v>
      </c>
      <c r="Z11" s="315" t="s">
        <v>409</v>
      </c>
      <c r="AA11" s="518" t="s">
        <v>814</v>
      </c>
      <c r="AB11" s="518" t="s">
        <v>493</v>
      </c>
      <c r="AC11" s="315">
        <v>1</v>
      </c>
      <c r="AD11" s="445" t="s">
        <v>318</v>
      </c>
      <c r="AE11" s="495"/>
      <c r="AF11" s="495"/>
      <c r="AG11" s="495"/>
      <c r="AH11" s="495"/>
      <c r="AI11" s="495"/>
      <c r="AJ11" s="495"/>
      <c r="AK11" s="495"/>
      <c r="AL11" s="495"/>
      <c r="AM11" s="495"/>
      <c r="AN11" s="495"/>
      <c r="AO11" s="495"/>
      <c r="AP11" s="495"/>
      <c r="AQ11" s="495"/>
      <c r="AR11" s="206" t="s">
        <v>191</v>
      </c>
      <c r="AS11" s="206" t="s">
        <v>825</v>
      </c>
    </row>
    <row r="12" spans="2:45" s="317" customFormat="1" ht="27" customHeight="1">
      <c r="B12" s="891"/>
      <c r="C12" s="892"/>
      <c r="D12" s="312">
        <v>8</v>
      </c>
      <c r="E12" s="439" t="s">
        <v>809</v>
      </c>
      <c r="F12" s="517">
        <v>3685.1579199999992</v>
      </c>
      <c r="G12" s="313">
        <v>304.76</v>
      </c>
      <c r="H12" s="441">
        <v>684.12799999999993</v>
      </c>
      <c r="I12" s="442">
        <v>690.4322632878949</v>
      </c>
      <c r="J12" s="443">
        <v>1.0094287994387394</v>
      </c>
      <c r="K12" s="442">
        <v>702.6</v>
      </c>
      <c r="L12" s="443">
        <v>1.0270007951728333</v>
      </c>
      <c r="M12" s="442">
        <v>0</v>
      </c>
      <c r="N12" s="443">
        <v>0</v>
      </c>
      <c r="O12" s="924">
        <v>702.6</v>
      </c>
      <c r="P12" s="443">
        <v>1.0270007951728333</v>
      </c>
      <c r="Q12" s="441">
        <v>12.092000000000002</v>
      </c>
      <c r="R12" s="443">
        <v>1.7675054960475237E-2</v>
      </c>
      <c r="S12" s="924">
        <v>18.472000000000008</v>
      </c>
      <c r="T12" s="443">
        <v>2.7000795172833169E-2</v>
      </c>
      <c r="U12" s="440">
        <v>5629.5267200000017</v>
      </c>
      <c r="V12" s="925">
        <v>6.3800000000000061</v>
      </c>
      <c r="W12" s="926">
        <v>9.3257402123579306E-3</v>
      </c>
      <c r="X12" s="927">
        <v>1944.3688000000018</v>
      </c>
      <c r="Y12" s="315" t="s">
        <v>316</v>
      </c>
      <c r="Z12" s="315" t="s">
        <v>363</v>
      </c>
      <c r="AA12" s="518" t="s">
        <v>931</v>
      </c>
      <c r="AB12" s="518" t="s">
        <v>932</v>
      </c>
      <c r="AC12" s="315">
        <v>1</v>
      </c>
      <c r="AD12" s="445" t="s">
        <v>786</v>
      </c>
      <c r="AE12" s="495"/>
      <c r="AF12" s="495"/>
      <c r="AG12" s="495"/>
      <c r="AH12" s="495"/>
      <c r="AI12" s="495"/>
      <c r="AJ12" s="495"/>
      <c r="AK12" s="495"/>
      <c r="AL12" s="495"/>
      <c r="AM12" s="495"/>
      <c r="AN12" s="495"/>
      <c r="AO12" s="495"/>
      <c r="AP12" s="495"/>
      <c r="AQ12" s="495"/>
      <c r="AR12" s="206" t="s">
        <v>192</v>
      </c>
      <c r="AS12" s="206" t="s">
        <v>825</v>
      </c>
    </row>
    <row r="13" spans="2:45" s="317" customFormat="1" ht="27" customHeight="1">
      <c r="B13" s="891"/>
      <c r="C13" s="892"/>
      <c r="D13" s="312">
        <v>9</v>
      </c>
      <c r="E13" s="439" t="s">
        <v>737</v>
      </c>
      <c r="F13" s="517">
        <v>3577.3909200000035</v>
      </c>
      <c r="G13" s="313">
        <v>103.19</v>
      </c>
      <c r="H13" s="441">
        <v>8400.16</v>
      </c>
      <c r="I13" s="442">
        <v>8425.63199964657</v>
      </c>
      <c r="J13" s="443">
        <v>1.0030701261258732</v>
      </c>
      <c r="K13" s="442">
        <v>8461.5</v>
      </c>
      <c r="L13" s="443">
        <v>1.0073022418620599</v>
      </c>
      <c r="M13" s="442">
        <v>0</v>
      </c>
      <c r="N13" s="443">
        <v>0</v>
      </c>
      <c r="O13" s="924">
        <v>8461.5</v>
      </c>
      <c r="P13" s="443">
        <v>1.0073022418620599</v>
      </c>
      <c r="Q13" s="441">
        <v>34.668000000000035</v>
      </c>
      <c r="R13" s="443">
        <v>4.127064246395311E-3</v>
      </c>
      <c r="S13" s="924">
        <v>61.340000000000089</v>
      </c>
      <c r="T13" s="443">
        <v>7.3022418620597813E-3</v>
      </c>
      <c r="U13" s="440">
        <v>6329.6746000000076</v>
      </c>
      <c r="V13" s="925">
        <v>26.672000000000054</v>
      </c>
      <c r="W13" s="926">
        <v>3.1751776156644699E-3</v>
      </c>
      <c r="X13" s="927">
        <v>2752.2836800000055</v>
      </c>
      <c r="Y13" s="315" t="s">
        <v>311</v>
      </c>
      <c r="Z13" s="315" t="s">
        <v>409</v>
      </c>
      <c r="AA13" s="518" t="s">
        <v>666</v>
      </c>
      <c r="AB13" s="518" t="s">
        <v>667</v>
      </c>
      <c r="AC13" s="315">
        <v>1</v>
      </c>
      <c r="AD13" s="445" t="s">
        <v>727</v>
      </c>
      <c r="AE13" s="495"/>
      <c r="AF13" s="495"/>
      <c r="AG13" s="495"/>
      <c r="AH13" s="495"/>
      <c r="AI13" s="495"/>
      <c r="AJ13" s="495"/>
      <c r="AK13" s="495"/>
      <c r="AL13" s="495"/>
      <c r="AM13" s="495"/>
      <c r="AN13" s="495"/>
      <c r="AO13" s="495"/>
      <c r="AP13" s="495"/>
      <c r="AQ13" s="495"/>
      <c r="AR13" s="206" t="s">
        <v>422</v>
      </c>
      <c r="AS13" s="206" t="s">
        <v>825</v>
      </c>
    </row>
    <row r="14" spans="2:45" s="317" customFormat="1" ht="27" customHeight="1">
      <c r="B14" s="891"/>
      <c r="C14" s="892"/>
      <c r="D14" s="312">
        <v>10</v>
      </c>
      <c r="E14" s="439" t="s">
        <v>810</v>
      </c>
      <c r="F14" s="517">
        <v>3557.6475738000818</v>
      </c>
      <c r="G14" s="313">
        <v>125.59</v>
      </c>
      <c r="H14" s="441">
        <v>3412.4999999999995</v>
      </c>
      <c r="I14" s="442">
        <v>3423.2151196562895</v>
      </c>
      <c r="J14" s="443">
        <v>1.0032091932410063</v>
      </c>
      <c r="K14" s="442">
        <v>3451.5999999999995</v>
      </c>
      <c r="L14" s="443">
        <v>1.0114578754578754</v>
      </c>
      <c r="M14" s="442">
        <v>0</v>
      </c>
      <c r="N14" s="443">
        <v>0</v>
      </c>
      <c r="O14" s="924">
        <v>3451.5999999999995</v>
      </c>
      <c r="P14" s="443">
        <v>1.0114578754578754</v>
      </c>
      <c r="Q14" s="441">
        <v>28.327474908830968</v>
      </c>
      <c r="R14" s="443">
        <v>8.3010915483753764E-3</v>
      </c>
      <c r="S14" s="924">
        <v>39.09999999999998</v>
      </c>
      <c r="T14" s="443">
        <v>1.1457875457875454E-2</v>
      </c>
      <c r="U14" s="440">
        <v>4910.5689999999977</v>
      </c>
      <c r="V14" s="925">
        <v>10.772525091169012</v>
      </c>
      <c r="W14" s="926">
        <v>3.1567839095000771E-3</v>
      </c>
      <c r="X14" s="927">
        <v>1352.9214261999161</v>
      </c>
      <c r="Y14" s="315" t="s">
        <v>311</v>
      </c>
      <c r="Z14" s="315" t="s">
        <v>409</v>
      </c>
      <c r="AA14" s="518" t="s">
        <v>666</v>
      </c>
      <c r="AB14" s="518" t="s">
        <v>667</v>
      </c>
      <c r="AC14" s="315">
        <v>1</v>
      </c>
      <c r="AD14" s="445" t="s">
        <v>729</v>
      </c>
      <c r="AE14" s="495"/>
      <c r="AF14" s="495"/>
      <c r="AG14" s="495"/>
      <c r="AH14" s="495"/>
      <c r="AI14" s="495"/>
      <c r="AJ14" s="495"/>
      <c r="AK14" s="495"/>
      <c r="AL14" s="495"/>
      <c r="AM14" s="495"/>
      <c r="AN14" s="495"/>
      <c r="AO14" s="495"/>
      <c r="AP14" s="495"/>
      <c r="AQ14" s="495"/>
      <c r="AR14" s="495"/>
      <c r="AS14" s="495"/>
    </row>
    <row r="15" spans="2:45" s="317" customFormat="1" ht="27" customHeight="1">
      <c r="B15" s="891"/>
      <c r="C15" s="892"/>
      <c r="D15" s="312">
        <v>11</v>
      </c>
      <c r="E15" s="439" t="s">
        <v>803</v>
      </c>
      <c r="F15" s="517">
        <v>3498.8793600000004</v>
      </c>
      <c r="G15" s="313">
        <v>221.28</v>
      </c>
      <c r="H15" s="441">
        <v>1482.3899999999999</v>
      </c>
      <c r="I15" s="442">
        <v>1490.5642194578395</v>
      </c>
      <c r="J15" s="443">
        <v>1.0055767978546744</v>
      </c>
      <c r="K15" s="442">
        <v>1506.3</v>
      </c>
      <c r="L15" s="443">
        <v>1.0161293586707951</v>
      </c>
      <c r="M15" s="442">
        <v>0</v>
      </c>
      <c r="N15" s="443">
        <v>0</v>
      </c>
      <c r="O15" s="924">
        <v>1506.3</v>
      </c>
      <c r="P15" s="443">
        <v>1.0161293586707951</v>
      </c>
      <c r="Q15" s="441">
        <v>15.812000000000003</v>
      </c>
      <c r="R15" s="443">
        <v>1.0666558732857078E-2</v>
      </c>
      <c r="S15" s="924">
        <v>23.910000000000004</v>
      </c>
      <c r="T15" s="443">
        <v>1.6129358670795138E-2</v>
      </c>
      <c r="U15" s="440">
        <v>5290.8047999999999</v>
      </c>
      <c r="V15" s="925">
        <v>8.0980000000000008</v>
      </c>
      <c r="W15" s="926">
        <v>5.4627999379380605E-3</v>
      </c>
      <c r="X15" s="927">
        <v>1791.9254400000002</v>
      </c>
      <c r="Y15" s="315" t="s">
        <v>312</v>
      </c>
      <c r="Z15" s="315" t="s">
        <v>191</v>
      </c>
      <c r="AA15" s="519" t="s">
        <v>812</v>
      </c>
      <c r="AB15" s="520" t="s">
        <v>494</v>
      </c>
      <c r="AC15" s="315">
        <v>1</v>
      </c>
      <c r="AD15" s="445" t="s">
        <v>696</v>
      </c>
      <c r="AE15" s="495"/>
      <c r="AF15" s="495"/>
      <c r="AG15" s="495"/>
      <c r="AH15" s="318"/>
      <c r="AI15" s="495"/>
      <c r="AJ15" s="495"/>
      <c r="AK15" s="495"/>
      <c r="AL15" s="495"/>
      <c r="AM15" s="495"/>
      <c r="AN15" s="495"/>
      <c r="AO15" s="495"/>
      <c r="AP15" s="495"/>
      <c r="AQ15" s="495"/>
      <c r="AR15" s="495"/>
      <c r="AS15" s="495"/>
    </row>
    <row r="16" spans="2:45" s="317" customFormat="1" ht="27" customHeight="1">
      <c r="B16" s="891"/>
      <c r="C16" s="892"/>
      <c r="D16" s="312">
        <v>12</v>
      </c>
      <c r="E16" s="439" t="s">
        <v>815</v>
      </c>
      <c r="F16" s="517">
        <v>3490.2000000000025</v>
      </c>
      <c r="G16" s="313">
        <v>290.85000000000002</v>
      </c>
      <c r="H16" s="441">
        <v>841.51000000000022</v>
      </c>
      <c r="I16" s="442">
        <v>841.58409369951551</v>
      </c>
      <c r="J16" s="443">
        <v>1</v>
      </c>
      <c r="K16" s="442">
        <v>859.50000000000011</v>
      </c>
      <c r="L16" s="443">
        <v>1.0213782367410962</v>
      </c>
      <c r="M16" s="442">
        <v>0</v>
      </c>
      <c r="N16" s="443">
        <v>0</v>
      </c>
      <c r="O16" s="924">
        <v>859.50000000000011</v>
      </c>
      <c r="P16" s="443">
        <v>1.0213782367410962</v>
      </c>
      <c r="Q16" s="441">
        <v>12.000000000000002</v>
      </c>
      <c r="R16" s="443">
        <v>1.4260080094116527E-2</v>
      </c>
      <c r="S16" s="924">
        <v>17.989999999999988</v>
      </c>
      <c r="T16" s="443">
        <v>2.1378236741096342E-2</v>
      </c>
      <c r="U16" s="440">
        <v>5232.391499999997</v>
      </c>
      <c r="V16" s="925">
        <v>5.989999999999986</v>
      </c>
      <c r="W16" s="926">
        <v>7.1181566469798157E-3</v>
      </c>
      <c r="X16" s="927">
        <v>1742.191499999996</v>
      </c>
      <c r="Y16" s="315" t="s">
        <v>312</v>
      </c>
      <c r="Z16" s="315" t="s">
        <v>191</v>
      </c>
      <c r="AA16" s="518" t="s">
        <v>812</v>
      </c>
      <c r="AB16" s="518" t="s">
        <v>494</v>
      </c>
      <c r="AC16" s="315">
        <v>1</v>
      </c>
      <c r="AD16" s="445" t="s">
        <v>330</v>
      </c>
      <c r="AE16" s="495"/>
      <c r="AF16" s="495"/>
      <c r="AG16" s="495"/>
      <c r="AH16" s="495"/>
      <c r="AI16" s="495"/>
      <c r="AJ16" s="495"/>
      <c r="AK16" s="495"/>
      <c r="AL16" s="495"/>
      <c r="AM16" s="495"/>
      <c r="AN16" s="495"/>
      <c r="AO16" s="495"/>
      <c r="AP16" s="495"/>
      <c r="AQ16" s="495"/>
      <c r="AR16" s="495"/>
      <c r="AS16" s="495"/>
    </row>
    <row r="17" spans="2:45" s="317" customFormat="1" ht="27" customHeight="1">
      <c r="B17" s="891"/>
      <c r="C17" s="892"/>
      <c r="D17" s="312">
        <v>13</v>
      </c>
      <c r="E17" s="439" t="s">
        <v>901</v>
      </c>
      <c r="F17" s="517">
        <v>3483.1549999999997</v>
      </c>
      <c r="G17" s="313">
        <v>535.87</v>
      </c>
      <c r="H17" s="441">
        <v>1489.1</v>
      </c>
      <c r="I17" s="442">
        <v>1495.7349267931677</v>
      </c>
      <c r="J17" s="443">
        <v>1.0054016710327653</v>
      </c>
      <c r="K17" s="442">
        <v>1500.3</v>
      </c>
      <c r="L17" s="443">
        <v>1.0075213216036532</v>
      </c>
      <c r="M17" s="442">
        <v>2.6</v>
      </c>
      <c r="N17" s="443">
        <v>1.7460210865623534E-3</v>
      </c>
      <c r="O17" s="924">
        <v>1502.8999999999999</v>
      </c>
      <c r="P17" s="443">
        <v>1.0092673426902155</v>
      </c>
      <c r="Q17" s="441">
        <v>6.4999999999999982</v>
      </c>
      <c r="R17" s="443">
        <v>4.365052716405882E-3</v>
      </c>
      <c r="S17" s="924">
        <v>13.800000000000029</v>
      </c>
      <c r="T17" s="443">
        <v>9.2673426902155874E-3</v>
      </c>
      <c r="U17" s="440">
        <v>7395.0060000000167</v>
      </c>
      <c r="V17" s="925">
        <v>7.3000000000000309</v>
      </c>
      <c r="W17" s="926">
        <v>4.9022899738097045E-3</v>
      </c>
      <c r="X17" s="927">
        <v>3911.8510000000165</v>
      </c>
      <c r="Y17" s="315" t="s">
        <v>312</v>
      </c>
      <c r="Z17" s="315" t="s">
        <v>192</v>
      </c>
      <c r="AA17" s="518" t="s">
        <v>567</v>
      </c>
      <c r="AB17" s="518" t="s">
        <v>494</v>
      </c>
      <c r="AC17" s="315">
        <v>1</v>
      </c>
      <c r="AD17" s="445" t="s">
        <v>848</v>
      </c>
      <c r="AE17" s="495"/>
      <c r="AF17" s="495"/>
      <c r="AG17" s="495"/>
      <c r="AH17" s="495"/>
      <c r="AI17" s="495"/>
      <c r="AJ17" s="495"/>
      <c r="AK17" s="495"/>
      <c r="AL17" s="495"/>
      <c r="AM17" s="495"/>
      <c r="AN17" s="495"/>
      <c r="AO17" s="495"/>
      <c r="AP17" s="495"/>
      <c r="AQ17" s="495"/>
      <c r="AR17" s="495"/>
      <c r="AS17" s="495"/>
    </row>
    <row r="18" spans="2:45" s="317" customFormat="1" ht="27" customHeight="1">
      <c r="B18" s="891"/>
      <c r="C18" s="892"/>
      <c r="D18" s="312">
        <v>14</v>
      </c>
      <c r="E18" s="439" t="s">
        <v>933</v>
      </c>
      <c r="F18" s="517">
        <v>3464.5409999999993</v>
      </c>
      <c r="G18" s="313">
        <v>151.29</v>
      </c>
      <c r="H18" s="441">
        <v>1012.72</v>
      </c>
      <c r="I18" s="442">
        <v>1021.1914203243215</v>
      </c>
      <c r="J18" s="443">
        <v>1.0084327550174363</v>
      </c>
      <c r="K18" s="442">
        <v>1042.4999999999998</v>
      </c>
      <c r="L18" s="443">
        <v>1.0294059562366693</v>
      </c>
      <c r="M18" s="442">
        <v>1.7</v>
      </c>
      <c r="N18" s="443">
        <v>1.6786476024962477E-3</v>
      </c>
      <c r="O18" s="924">
        <v>1044.1999999999998</v>
      </c>
      <c r="P18" s="443">
        <v>1.0310846038391657</v>
      </c>
      <c r="Q18" s="441">
        <v>22.900000000000002</v>
      </c>
      <c r="R18" s="443">
        <v>2.2612370645390633E-2</v>
      </c>
      <c r="S18" s="924">
        <v>31.479999999999993</v>
      </c>
      <c r="T18" s="443">
        <v>3.1084603839165805E-2</v>
      </c>
      <c r="U18" s="440">
        <v>4762.609199999999</v>
      </c>
      <c r="V18" s="925">
        <v>8.5799999999999912</v>
      </c>
      <c r="W18" s="926">
        <v>8.4722331937751704E-3</v>
      </c>
      <c r="X18" s="927">
        <v>1298.0681999999986</v>
      </c>
      <c r="Y18" s="315" t="s">
        <v>316</v>
      </c>
      <c r="Z18" s="315" t="s">
        <v>363</v>
      </c>
      <c r="AA18" s="518" t="s">
        <v>931</v>
      </c>
      <c r="AB18" s="518" t="s">
        <v>932</v>
      </c>
      <c r="AC18" s="315">
        <v>1</v>
      </c>
      <c r="AD18" s="445" t="s">
        <v>346</v>
      </c>
      <c r="AE18" s="495"/>
      <c r="AF18" s="495"/>
      <c r="AG18" s="495"/>
      <c r="AH18" s="495"/>
      <c r="AI18" s="495"/>
      <c r="AJ18" s="495"/>
      <c r="AK18" s="495"/>
      <c r="AL18" s="495"/>
      <c r="AM18" s="495"/>
      <c r="AN18" s="495"/>
      <c r="AO18" s="495"/>
      <c r="AP18" s="495"/>
      <c r="AQ18" s="495"/>
      <c r="AR18" s="495"/>
      <c r="AS18" s="495"/>
    </row>
    <row r="19" spans="2:45" s="317" customFormat="1" ht="27" customHeight="1">
      <c r="B19" s="891"/>
      <c r="C19" s="892"/>
      <c r="D19" s="312">
        <v>15</v>
      </c>
      <c r="E19" s="439" t="s">
        <v>934</v>
      </c>
      <c r="F19" s="517">
        <v>3462.157999999999</v>
      </c>
      <c r="G19" s="313">
        <v>258.37</v>
      </c>
      <c r="H19" s="441">
        <v>1245.4260000000002</v>
      </c>
      <c r="I19" s="442">
        <v>1253.0116102516979</v>
      </c>
      <c r="J19" s="443">
        <v>1.0061738159339351</v>
      </c>
      <c r="K19" s="442">
        <v>1262.5999999999997</v>
      </c>
      <c r="L19" s="443">
        <v>1.0137896591206539</v>
      </c>
      <c r="M19" s="442">
        <v>3.7</v>
      </c>
      <c r="N19" s="443">
        <v>2.9708710112041981E-3</v>
      </c>
      <c r="O19" s="924">
        <v>1266.2999999999997</v>
      </c>
      <c r="P19" s="443">
        <v>1.0167605301318581</v>
      </c>
      <c r="Q19" s="441">
        <v>13.399999999999997</v>
      </c>
      <c r="R19" s="443">
        <v>1.0759370689226012E-2</v>
      </c>
      <c r="S19" s="924">
        <v>20.873999999999977</v>
      </c>
      <c r="T19" s="443">
        <v>1.6760530131858475E-2</v>
      </c>
      <c r="U19" s="440">
        <v>5393.2153799999942</v>
      </c>
      <c r="V19" s="925">
        <v>7.4739999999999807</v>
      </c>
      <c r="W19" s="926">
        <v>6.0011594426324644E-3</v>
      </c>
      <c r="X19" s="927">
        <v>1931.057379999995</v>
      </c>
      <c r="Y19" s="315" t="s">
        <v>312</v>
      </c>
      <c r="Z19" s="315" t="s">
        <v>191</v>
      </c>
      <c r="AA19" s="519" t="s">
        <v>812</v>
      </c>
      <c r="AB19" s="518" t="s">
        <v>494</v>
      </c>
      <c r="AC19" s="315">
        <v>1</v>
      </c>
      <c r="AD19" s="445" t="s">
        <v>431</v>
      </c>
      <c r="AE19" s="495"/>
      <c r="AF19" s="495"/>
      <c r="AG19" s="495"/>
      <c r="AH19" s="495"/>
      <c r="AI19" s="495"/>
      <c r="AJ19" s="495"/>
      <c r="AK19" s="495"/>
      <c r="AL19" s="495"/>
      <c r="AM19" s="495"/>
      <c r="AN19" s="495"/>
      <c r="AO19" s="495"/>
      <c r="AP19" s="495"/>
      <c r="AQ19" s="495"/>
      <c r="AR19" s="495"/>
      <c r="AS19" s="495"/>
    </row>
    <row r="20" spans="2:45" s="317" customFormat="1" ht="27" customHeight="1">
      <c r="B20" s="891"/>
      <c r="C20" s="892"/>
      <c r="D20" s="312">
        <v>16</v>
      </c>
      <c r="E20" s="439" t="s">
        <v>910</v>
      </c>
      <c r="F20" s="517">
        <v>3456.7071999999998</v>
      </c>
      <c r="G20" s="313">
        <v>154.4</v>
      </c>
      <c r="H20" s="441">
        <v>2248.636</v>
      </c>
      <c r="I20" s="442">
        <v>2255.998298844595</v>
      </c>
      <c r="J20" s="443">
        <v>1.0036081103545622</v>
      </c>
      <c r="K20" s="442">
        <v>2279.7000000000007</v>
      </c>
      <c r="L20" s="443">
        <v>1.0138145969378773</v>
      </c>
      <c r="M20" s="442">
        <v>0</v>
      </c>
      <c r="N20" s="443">
        <v>0</v>
      </c>
      <c r="O20" s="924">
        <v>2279.7000000000007</v>
      </c>
      <c r="P20" s="443">
        <v>1.0138145969378773</v>
      </c>
      <c r="Q20" s="441">
        <v>22.387999999999998</v>
      </c>
      <c r="R20" s="443">
        <v>9.9562579270277615E-3</v>
      </c>
      <c r="S20" s="924">
        <v>31.064000000000057</v>
      </c>
      <c r="T20" s="443">
        <v>1.3814596937877031E-2</v>
      </c>
      <c r="U20" s="440">
        <v>4796.2816000000103</v>
      </c>
      <c r="V20" s="925">
        <v>8.6760000000000588</v>
      </c>
      <c r="W20" s="926">
        <v>3.85833901084927E-3</v>
      </c>
      <c r="X20" s="927">
        <v>1339.5744000000091</v>
      </c>
      <c r="Y20" s="315" t="s">
        <v>311</v>
      </c>
      <c r="Z20" s="315" t="s">
        <v>409</v>
      </c>
      <c r="AA20" s="518" t="s">
        <v>666</v>
      </c>
      <c r="AB20" s="518" t="s">
        <v>667</v>
      </c>
      <c r="AC20" s="315">
        <v>1</v>
      </c>
      <c r="AD20" s="445" t="s">
        <v>844</v>
      </c>
      <c r="AE20" s="495"/>
      <c r="AF20" s="495"/>
      <c r="AG20" s="495"/>
      <c r="AH20" s="495"/>
      <c r="AI20" s="495"/>
      <c r="AJ20" s="495"/>
      <c r="AK20" s="495"/>
      <c r="AL20" s="495"/>
      <c r="AM20" s="495"/>
      <c r="AN20" s="495"/>
      <c r="AO20" s="495"/>
      <c r="AP20" s="495"/>
      <c r="AQ20" s="495"/>
      <c r="AR20" s="495"/>
      <c r="AS20" s="495"/>
    </row>
    <row r="21" spans="2:45" s="317" customFormat="1" ht="27" customHeight="1">
      <c r="B21" s="891"/>
      <c r="C21" s="892"/>
      <c r="D21" s="312">
        <v>17</v>
      </c>
      <c r="E21" s="439" t="s">
        <v>566</v>
      </c>
      <c r="F21" s="517">
        <v>3399.4800000000009</v>
      </c>
      <c r="G21" s="313">
        <v>447.3</v>
      </c>
      <c r="H21" s="441">
        <v>3261.7599999999998</v>
      </c>
      <c r="I21" s="442">
        <v>3270.9619629150025</v>
      </c>
      <c r="J21" s="443">
        <v>1.0028711755120219</v>
      </c>
      <c r="K21" s="442">
        <v>3273.1</v>
      </c>
      <c r="L21" s="443">
        <v>1.0034766506425978</v>
      </c>
      <c r="M21" s="442">
        <v>5.3</v>
      </c>
      <c r="N21" s="443">
        <v>1.6248896301383302E-3</v>
      </c>
      <c r="O21" s="924">
        <v>3278.4</v>
      </c>
      <c r="P21" s="443">
        <v>1.0051015402727363</v>
      </c>
      <c r="Q21" s="441">
        <v>7.6000000000000023</v>
      </c>
      <c r="R21" s="443">
        <v>2.33003041302855E-3</v>
      </c>
      <c r="S21" s="924">
        <v>16.64</v>
      </c>
      <c r="T21" s="443">
        <v>5.101540272736192E-3</v>
      </c>
      <c r="U21" s="440">
        <v>7443.0720000000028</v>
      </c>
      <c r="V21" s="925">
        <v>9.0399999999999991</v>
      </c>
      <c r="W21" s="926">
        <v>2.7715098597076424E-3</v>
      </c>
      <c r="X21" s="927">
        <v>4043.5919999999996</v>
      </c>
      <c r="Y21" s="315" t="s">
        <v>312</v>
      </c>
      <c r="Z21" s="315" t="s">
        <v>191</v>
      </c>
      <c r="AA21" s="518" t="s">
        <v>567</v>
      </c>
      <c r="AB21" s="518" t="s">
        <v>494</v>
      </c>
      <c r="AC21" s="315">
        <v>1</v>
      </c>
      <c r="AD21" s="445" t="s">
        <v>561</v>
      </c>
      <c r="AE21" s="495"/>
      <c r="AF21" s="495"/>
      <c r="AG21" s="495"/>
      <c r="AH21" s="495"/>
      <c r="AI21" s="495"/>
      <c r="AJ21" s="495"/>
      <c r="AK21" s="495"/>
      <c r="AL21" s="495"/>
      <c r="AM21" s="495"/>
      <c r="AN21" s="495"/>
      <c r="AO21" s="495"/>
      <c r="AP21" s="495"/>
      <c r="AQ21" s="495"/>
      <c r="AR21" s="495"/>
      <c r="AS21" s="495"/>
    </row>
    <row r="22" spans="2:45" s="317" customFormat="1" ht="27" customHeight="1">
      <c r="B22" s="891"/>
      <c r="C22" s="892"/>
      <c r="D22" s="312">
        <v>18</v>
      </c>
      <c r="E22" s="439" t="s">
        <v>739</v>
      </c>
      <c r="F22" s="517">
        <v>3353.8400000000006</v>
      </c>
      <c r="G22" s="313">
        <v>90.4</v>
      </c>
      <c r="H22" s="441">
        <v>5588.232</v>
      </c>
      <c r="I22" s="442">
        <v>5606.6121574204617</v>
      </c>
      <c r="J22" s="443">
        <v>1.0033118669653325</v>
      </c>
      <c r="K22" s="442">
        <v>5643.2000000000007</v>
      </c>
      <c r="L22" s="443">
        <v>1.0098363847456586</v>
      </c>
      <c r="M22" s="442">
        <v>0</v>
      </c>
      <c r="N22" s="443">
        <v>0</v>
      </c>
      <c r="O22" s="924">
        <v>5643.2000000000007</v>
      </c>
      <c r="P22" s="443">
        <v>1.0098363847456586</v>
      </c>
      <c r="Q22" s="441">
        <v>37.100000000000009</v>
      </c>
      <c r="R22" s="443">
        <v>6.6389512819081259E-3</v>
      </c>
      <c r="S22" s="924">
        <v>54.968000000000075</v>
      </c>
      <c r="T22" s="443">
        <v>9.8363847456583893E-3</v>
      </c>
      <c r="U22" s="440">
        <v>4969.1072000000058</v>
      </c>
      <c r="V22" s="925">
        <v>17.868000000000066</v>
      </c>
      <c r="W22" s="926">
        <v>3.1974334637502643E-3</v>
      </c>
      <c r="X22" s="927">
        <v>1615.2672000000061</v>
      </c>
      <c r="Y22" s="315" t="s">
        <v>311</v>
      </c>
      <c r="Z22" s="315" t="s">
        <v>409</v>
      </c>
      <c r="AA22" s="518" t="s">
        <v>666</v>
      </c>
      <c r="AB22" s="518" t="s">
        <v>667</v>
      </c>
      <c r="AC22" s="315">
        <v>1</v>
      </c>
      <c r="AD22" s="445" t="s">
        <v>341</v>
      </c>
      <c r="AE22" s="495"/>
      <c r="AF22" s="495"/>
      <c r="AG22" s="495"/>
      <c r="AH22" s="495"/>
      <c r="AI22" s="495"/>
      <c r="AJ22" s="495"/>
      <c r="AK22" s="495"/>
      <c r="AL22" s="495"/>
      <c r="AM22" s="495"/>
      <c r="AN22" s="495"/>
      <c r="AO22" s="495"/>
      <c r="AP22" s="495"/>
      <c r="AQ22" s="495"/>
      <c r="AR22" s="495"/>
      <c r="AS22" s="495"/>
    </row>
    <row r="23" spans="2:45" s="317" customFormat="1" ht="27" customHeight="1">
      <c r="B23" s="891"/>
      <c r="C23" s="892"/>
      <c r="D23" s="312">
        <v>19</v>
      </c>
      <c r="E23" s="439" t="s">
        <v>733</v>
      </c>
      <c r="F23" s="517">
        <v>3340.2490000000012</v>
      </c>
      <c r="G23" s="313">
        <v>118.03</v>
      </c>
      <c r="H23" s="441">
        <v>8711.84</v>
      </c>
      <c r="I23" s="442">
        <v>8733.2862682516043</v>
      </c>
      <c r="J23" s="443">
        <v>1.0024998960233151</v>
      </c>
      <c r="K23" s="442">
        <v>8762.6</v>
      </c>
      <c r="L23" s="443">
        <v>1.0058265532883983</v>
      </c>
      <c r="M23" s="442">
        <v>0</v>
      </c>
      <c r="N23" s="443">
        <v>0</v>
      </c>
      <c r="O23" s="924">
        <v>8762.6</v>
      </c>
      <c r="P23" s="443">
        <v>1.0058265532883983</v>
      </c>
      <c r="Q23" s="441">
        <v>28.3</v>
      </c>
      <c r="R23" s="443">
        <v>3.24845268049E-3</v>
      </c>
      <c r="S23" s="924">
        <v>50.760000000000161</v>
      </c>
      <c r="T23" s="443">
        <v>5.8265532883983364E-3</v>
      </c>
      <c r="U23" s="440">
        <v>5991.20280000002</v>
      </c>
      <c r="V23" s="925">
        <v>22.460000000000161</v>
      </c>
      <c r="W23" s="926">
        <v>2.5781006079083364E-3</v>
      </c>
      <c r="X23" s="927">
        <v>2650.9538000000189</v>
      </c>
      <c r="Y23" s="315" t="s">
        <v>311</v>
      </c>
      <c r="Z23" s="315" t="s">
        <v>409</v>
      </c>
      <c r="AA23" s="518" t="s">
        <v>666</v>
      </c>
      <c r="AB23" s="518" t="s">
        <v>667</v>
      </c>
      <c r="AC23" s="315">
        <v>1</v>
      </c>
      <c r="AD23" s="445" t="s">
        <v>728</v>
      </c>
      <c r="AE23" s="495"/>
      <c r="AF23" s="495"/>
      <c r="AG23" s="495"/>
      <c r="AH23" s="495"/>
      <c r="AI23" s="495"/>
      <c r="AJ23" s="495"/>
      <c r="AK23" s="495"/>
      <c r="AL23" s="495"/>
      <c r="AM23" s="495"/>
      <c r="AN23" s="495"/>
      <c r="AO23" s="495"/>
      <c r="AP23" s="495"/>
      <c r="AQ23" s="495"/>
      <c r="AR23" s="495"/>
      <c r="AS23" s="495"/>
    </row>
    <row r="24" spans="2:45" s="317" customFormat="1" ht="27" customHeight="1">
      <c r="B24" s="893"/>
      <c r="C24" s="894"/>
      <c r="D24" s="312">
        <v>20</v>
      </c>
      <c r="E24" s="439" t="s">
        <v>366</v>
      </c>
      <c r="F24" s="517">
        <v>3336.6000000000013</v>
      </c>
      <c r="G24" s="313">
        <v>444.88</v>
      </c>
      <c r="H24" s="441">
        <v>506.08800000000008</v>
      </c>
      <c r="I24" s="442">
        <v>511.28613914540813</v>
      </c>
      <c r="J24" s="443">
        <v>1.010295097554416</v>
      </c>
      <c r="K24" s="442">
        <v>519</v>
      </c>
      <c r="L24" s="443">
        <v>1.0255133494570112</v>
      </c>
      <c r="M24" s="442">
        <v>0</v>
      </c>
      <c r="N24" s="443">
        <v>0</v>
      </c>
      <c r="O24" s="924">
        <v>519</v>
      </c>
      <c r="P24" s="443">
        <v>1.0255133494570112</v>
      </c>
      <c r="Q24" s="441">
        <v>7.5000000000000027</v>
      </c>
      <c r="R24" s="443">
        <v>1.4819557073078202E-2</v>
      </c>
      <c r="S24" s="924">
        <v>12.911999999999983</v>
      </c>
      <c r="T24" s="443">
        <v>2.5513349457011392E-2</v>
      </c>
      <c r="U24" s="440">
        <v>5744.2905599999922</v>
      </c>
      <c r="V24" s="925">
        <v>5.4119999999999804</v>
      </c>
      <c r="W24" s="926">
        <v>1.0693792383933188E-2</v>
      </c>
      <c r="X24" s="927">
        <v>2407.6905599999914</v>
      </c>
      <c r="Y24" s="315" t="s">
        <v>312</v>
      </c>
      <c r="Z24" s="315" t="s">
        <v>192</v>
      </c>
      <c r="AA24" s="518" t="s">
        <v>567</v>
      </c>
      <c r="AB24" s="518" t="s">
        <v>494</v>
      </c>
      <c r="AC24" s="315">
        <v>1</v>
      </c>
      <c r="AD24" s="445" t="s">
        <v>365</v>
      </c>
      <c r="AE24" s="495"/>
      <c r="AF24" s="495"/>
      <c r="AG24" s="495"/>
      <c r="AH24" s="495"/>
      <c r="AI24" s="495"/>
      <c r="AJ24" s="495"/>
      <c r="AK24" s="495"/>
      <c r="AL24" s="495"/>
      <c r="AM24" s="495"/>
      <c r="AN24" s="495"/>
      <c r="AO24" s="495"/>
      <c r="AP24" s="495"/>
      <c r="AQ24" s="495"/>
      <c r="AR24" s="495"/>
      <c r="AS24" s="495"/>
    </row>
    <row r="25" spans="2:45" s="317" customFormat="1" ht="27" customHeight="1">
      <c r="B25" s="310"/>
      <c r="C25" s="310"/>
      <c r="D25" s="310"/>
      <c r="E25" s="310"/>
      <c r="F25" s="310"/>
      <c r="G25" s="310"/>
      <c r="H25" s="310"/>
      <c r="I25" s="310"/>
      <c r="J25" s="310"/>
      <c r="K25" s="310"/>
      <c r="L25" s="310"/>
      <c r="M25" s="310"/>
      <c r="N25" s="310"/>
      <c r="O25" s="310"/>
      <c r="P25" s="310"/>
      <c r="Q25" s="310"/>
      <c r="R25" s="310"/>
      <c r="S25" s="310"/>
      <c r="T25" s="310"/>
      <c r="U25" s="310"/>
      <c r="V25" s="310"/>
      <c r="W25" s="310"/>
      <c r="X25" s="310"/>
      <c r="Y25" s="310"/>
      <c r="Z25" s="310"/>
      <c r="AA25" s="310"/>
      <c r="AB25" s="310"/>
      <c r="AC25" s="310"/>
      <c r="AD25" s="310"/>
      <c r="AE25" s="310"/>
      <c r="AF25" s="310"/>
      <c r="AG25" s="310"/>
      <c r="AH25" s="310"/>
      <c r="AI25" s="310"/>
      <c r="AJ25" s="310"/>
      <c r="AK25" s="310"/>
      <c r="AL25" s="310"/>
      <c r="AM25" s="310"/>
      <c r="AN25" s="310"/>
      <c r="AO25" s="310"/>
      <c r="AP25" s="310"/>
      <c r="AQ25" s="310"/>
      <c r="AR25" s="310"/>
      <c r="AS25" s="310"/>
    </row>
    <row r="26" spans="2:45" s="317" customFormat="1" ht="27" customHeight="1">
      <c r="B26" s="310"/>
      <c r="C26" s="310"/>
      <c r="D26" s="310"/>
      <c r="E26" s="310"/>
      <c r="F26" s="310"/>
      <c r="G26" s="310"/>
      <c r="H26" s="310"/>
      <c r="I26" s="310"/>
      <c r="J26" s="310"/>
      <c r="K26" s="310"/>
      <c r="L26" s="310"/>
      <c r="M26" s="310"/>
      <c r="N26" s="310"/>
      <c r="O26" s="310"/>
      <c r="P26" s="310"/>
      <c r="Q26" s="310"/>
      <c r="R26" s="310"/>
      <c r="S26" s="310"/>
      <c r="T26" s="310"/>
      <c r="U26" s="310"/>
      <c r="V26" s="310"/>
      <c r="W26" s="310"/>
      <c r="X26" s="310"/>
      <c r="Y26" s="310"/>
      <c r="Z26" s="310"/>
      <c r="AA26" s="310"/>
      <c r="AB26" s="310"/>
      <c r="AC26" s="310"/>
      <c r="AD26" s="310"/>
      <c r="AE26" s="310"/>
      <c r="AF26" s="310"/>
      <c r="AG26" s="310"/>
      <c r="AH26" s="310"/>
      <c r="AI26" s="310"/>
      <c r="AJ26" s="310"/>
      <c r="AK26" s="310"/>
      <c r="AL26" s="310"/>
      <c r="AM26" s="310"/>
      <c r="AN26" s="310"/>
      <c r="AO26" s="310"/>
      <c r="AP26" s="310"/>
      <c r="AQ26" s="310"/>
      <c r="AR26" s="310"/>
      <c r="AS26" s="310"/>
    </row>
    <row r="27" spans="2:45" ht="29.45" customHeight="1"/>
    <row r="67" ht="14.1" customHeight="1"/>
    <row r="77" ht="14.1" customHeight="1"/>
    <row r="87" ht="14.1" customHeight="1"/>
    <row r="116" ht="18.75" customHeight="1"/>
    <row r="117" ht="14.1" customHeight="1"/>
    <row r="127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2:AD2"/>
    <mergeCell ref="B3:C4"/>
    <mergeCell ref="D3:D4"/>
    <mergeCell ref="E3:E4"/>
    <mergeCell ref="F3:F4"/>
    <mergeCell ref="G3:G4"/>
    <mergeCell ref="H3:H4"/>
    <mergeCell ref="I3:J3"/>
    <mergeCell ref="K3:L3"/>
    <mergeCell ref="M3:N3"/>
    <mergeCell ref="O3:P3"/>
    <mergeCell ref="Q3:R3"/>
    <mergeCell ref="S3:U3"/>
    <mergeCell ref="Y3:Y4"/>
    <mergeCell ref="Z3:Z4"/>
    <mergeCell ref="AA3:AA4"/>
    <mergeCell ref="AB3:AB4"/>
    <mergeCell ref="AC3:AC4"/>
    <mergeCell ref="AD3:AD4"/>
    <mergeCell ref="AF3:AM5"/>
    <mergeCell ref="B5:C24"/>
    <mergeCell ref="V3:X3"/>
  </mergeCells>
  <phoneticPr fontId="13" type="noConversion"/>
  <dataValidations count="2">
    <dataValidation type="list" allowBlank="1" showInputMessage="1" showErrorMessage="1" sqref="Z5:Z24" xr:uid="{E2738386-CB32-405A-97B6-F932FCC377E9}">
      <formula1>$AR$7:$AR$13</formula1>
    </dataValidation>
    <dataValidation type="list" allowBlank="1" showInputMessage="1" showErrorMessage="1" sqref="Y5:Y24" xr:uid="{2E98867C-3F15-4E7F-934D-AC2C9D7F2A7E}">
      <formula1>$AS$7:$AS$13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7" tint="0.39997558519241921"/>
    <pageSetUpPr fitToPage="1"/>
  </sheetPr>
  <dimension ref="B2:AS297"/>
  <sheetViews>
    <sheetView zoomScale="55" zoomScaleNormal="55" workbookViewId="0">
      <pane ySplit="4" topLeftCell="A5" activePane="bottomLeft" state="frozen"/>
      <selection pane="bottomLeft" activeCell="T23" sqref="T22:T23"/>
    </sheetView>
  </sheetViews>
  <sheetFormatPr defaultColWidth="8.85546875" defaultRowHeight="16.5"/>
  <cols>
    <col min="1" max="1" width="8.85546875" style="310"/>
    <col min="2" max="2" width="12.42578125" style="310" customWidth="1"/>
    <col min="3" max="3" width="8.85546875" style="310"/>
    <col min="4" max="4" width="11.5703125" style="310" customWidth="1"/>
    <col min="5" max="5" width="39.28515625" style="310" bestFit="1" customWidth="1"/>
    <col min="6" max="24" width="15.7109375" style="310" customWidth="1"/>
    <col min="25" max="25" width="12.42578125" style="310" bestFit="1" customWidth="1"/>
    <col min="26" max="26" width="25.28515625" style="310" bestFit="1" customWidth="1"/>
    <col min="27" max="27" width="88.28515625" style="310" customWidth="1"/>
    <col min="28" max="28" width="117.7109375" style="310" bestFit="1" customWidth="1"/>
    <col min="29" max="29" width="7.42578125" style="310" bestFit="1" customWidth="1"/>
    <col min="30" max="30" width="69.5703125" style="310" bestFit="1" customWidth="1"/>
    <col min="31" max="31" width="11.42578125" style="310" bestFit="1" customWidth="1"/>
    <col min="32" max="32" width="21.5703125" style="310" customWidth="1"/>
    <col min="33" max="33" width="19.42578125" style="310" bestFit="1" customWidth="1"/>
    <col min="34" max="39" width="14.42578125" style="310" customWidth="1"/>
    <col min="40" max="43" width="8.85546875" style="310"/>
    <col min="44" max="44" width="20.85546875" style="310" bestFit="1" customWidth="1"/>
    <col min="45" max="16384" width="8.85546875" style="310"/>
  </cols>
  <sheetData>
    <row r="2" spans="2:45" ht="41.1" customHeight="1">
      <c r="B2" s="895" t="s">
        <v>746</v>
      </c>
      <c r="C2" s="896"/>
      <c r="D2" s="896"/>
      <c r="E2" s="896"/>
      <c r="F2" s="896"/>
      <c r="G2" s="896"/>
      <c r="H2" s="896"/>
      <c r="I2" s="896"/>
      <c r="J2" s="896"/>
      <c r="K2" s="896"/>
      <c r="L2" s="896"/>
      <c r="M2" s="896"/>
      <c r="N2" s="896"/>
      <c r="O2" s="896"/>
      <c r="P2" s="896"/>
      <c r="Q2" s="896"/>
      <c r="R2" s="896"/>
      <c r="S2" s="896"/>
      <c r="T2" s="896"/>
      <c r="U2" s="896"/>
      <c r="V2" s="896"/>
      <c r="W2" s="896"/>
      <c r="X2" s="896"/>
      <c r="Y2" s="896"/>
      <c r="Z2" s="896"/>
      <c r="AA2" s="896"/>
      <c r="AB2" s="896"/>
      <c r="AC2" s="896"/>
      <c r="AD2" s="896"/>
      <c r="AF2" s="311"/>
      <c r="AG2" s="311"/>
    </row>
    <row r="3" spans="2:45" ht="17.100000000000001" customHeight="1">
      <c r="B3" s="897" t="s">
        <v>912</v>
      </c>
      <c r="C3" s="898"/>
      <c r="D3" s="901" t="s">
        <v>913</v>
      </c>
      <c r="E3" s="902" t="s">
        <v>914</v>
      </c>
      <c r="F3" s="911" t="s">
        <v>935</v>
      </c>
      <c r="G3" s="878" t="s">
        <v>916</v>
      </c>
      <c r="H3" s="904" t="s">
        <v>917</v>
      </c>
      <c r="I3" s="905" t="s">
        <v>918</v>
      </c>
      <c r="J3" s="906"/>
      <c r="K3" s="905" t="s">
        <v>919</v>
      </c>
      <c r="L3" s="906"/>
      <c r="M3" s="905" t="s">
        <v>920</v>
      </c>
      <c r="N3" s="906"/>
      <c r="O3" s="905" t="s">
        <v>921</v>
      </c>
      <c r="P3" s="906"/>
      <c r="Q3" s="905" t="s">
        <v>875</v>
      </c>
      <c r="R3" s="910"/>
      <c r="S3" s="906"/>
      <c r="T3" s="907" t="s">
        <v>922</v>
      </c>
      <c r="U3" s="908"/>
      <c r="V3" s="919" t="s">
        <v>923</v>
      </c>
      <c r="W3" s="920"/>
      <c r="X3" s="921"/>
      <c r="Y3" s="876" t="s">
        <v>164</v>
      </c>
      <c r="Z3" s="876" t="s">
        <v>924</v>
      </c>
      <c r="AA3" s="909" t="s">
        <v>925</v>
      </c>
      <c r="AB3" s="909" t="s">
        <v>926</v>
      </c>
      <c r="AC3" s="876" t="s">
        <v>927</v>
      </c>
      <c r="AD3" s="878" t="s">
        <v>165</v>
      </c>
      <c r="AF3" s="880" t="s">
        <v>817</v>
      </c>
      <c r="AG3" s="881"/>
      <c r="AH3" s="881"/>
      <c r="AI3" s="881"/>
      <c r="AJ3" s="881"/>
      <c r="AK3" s="881"/>
      <c r="AL3" s="881"/>
      <c r="AM3" s="882"/>
    </row>
    <row r="4" spans="2:45" ht="16.5" customHeight="1">
      <c r="B4" s="899"/>
      <c r="C4" s="900"/>
      <c r="D4" s="901"/>
      <c r="E4" s="901"/>
      <c r="F4" s="903"/>
      <c r="G4" s="879"/>
      <c r="H4" s="879"/>
      <c r="I4" s="554" t="s">
        <v>928</v>
      </c>
      <c r="J4" s="553" t="s">
        <v>741</v>
      </c>
      <c r="K4" s="554" t="s">
        <v>928</v>
      </c>
      <c r="L4" s="553" t="s">
        <v>741</v>
      </c>
      <c r="M4" s="554" t="s">
        <v>928</v>
      </c>
      <c r="N4" s="553" t="s">
        <v>741</v>
      </c>
      <c r="O4" s="554" t="s">
        <v>928</v>
      </c>
      <c r="P4" s="553" t="s">
        <v>741</v>
      </c>
      <c r="Q4" s="554" t="s">
        <v>928</v>
      </c>
      <c r="R4" s="553" t="s">
        <v>741</v>
      </c>
      <c r="S4" s="553" t="s">
        <v>742</v>
      </c>
      <c r="T4" s="554" t="s">
        <v>928</v>
      </c>
      <c r="U4" s="553" t="s">
        <v>741</v>
      </c>
      <c r="V4" s="922" t="s">
        <v>928</v>
      </c>
      <c r="W4" s="923" t="s">
        <v>741</v>
      </c>
      <c r="X4" s="923" t="s">
        <v>742</v>
      </c>
      <c r="Y4" s="877"/>
      <c r="Z4" s="877"/>
      <c r="AA4" s="909"/>
      <c r="AB4" s="909"/>
      <c r="AC4" s="877"/>
      <c r="AD4" s="879"/>
      <c r="AF4" s="883"/>
      <c r="AG4" s="884"/>
      <c r="AH4" s="884"/>
      <c r="AI4" s="884"/>
      <c r="AJ4" s="884"/>
      <c r="AK4" s="884"/>
      <c r="AL4" s="884"/>
      <c r="AM4" s="885"/>
    </row>
    <row r="5" spans="2:45" s="435" customFormat="1" ht="27" customHeight="1">
      <c r="B5" s="889" t="s">
        <v>929</v>
      </c>
      <c r="C5" s="890"/>
      <c r="D5" s="312">
        <v>1</v>
      </c>
      <c r="E5" s="439" t="s">
        <v>319</v>
      </c>
      <c r="F5" s="440">
        <v>8984.1601799999953</v>
      </c>
      <c r="G5" s="313">
        <v>487.66</v>
      </c>
      <c r="H5" s="441">
        <v>1665.777</v>
      </c>
      <c r="I5" s="442">
        <v>1674.3473503439009</v>
      </c>
      <c r="J5" s="443">
        <v>1.0051414131360172</v>
      </c>
      <c r="K5" s="442">
        <v>1684.1999999999996</v>
      </c>
      <c r="L5" s="443">
        <v>1.0110597036698188</v>
      </c>
      <c r="M5" s="442">
        <v>0</v>
      </c>
      <c r="N5" s="443">
        <v>0</v>
      </c>
      <c r="O5" s="924">
        <v>1684.1999999999996</v>
      </c>
      <c r="P5" s="443">
        <v>1.0110597036698188</v>
      </c>
      <c r="Q5" s="441">
        <v>9.9101218061764378</v>
      </c>
      <c r="R5" s="443">
        <v>5.949248792711412E-3</v>
      </c>
      <c r="S5" s="444">
        <v>4832.7700000000004</v>
      </c>
      <c r="T5" s="924">
        <v>18.422999999999995</v>
      </c>
      <c r="U5" s="443">
        <v>1.100309323284444E-2</v>
      </c>
      <c r="V5" s="925">
        <v>8.5128781938235569</v>
      </c>
      <c r="W5" s="926">
        <v>5.1104548771075337E-3</v>
      </c>
      <c r="X5" s="927">
        <v>4151.3901799999958</v>
      </c>
      <c r="Y5" s="315" t="s">
        <v>312</v>
      </c>
      <c r="Z5" s="315" t="s">
        <v>192</v>
      </c>
      <c r="AA5" s="315" t="s">
        <v>567</v>
      </c>
      <c r="AB5" s="445" t="s">
        <v>494</v>
      </c>
      <c r="AC5" s="315">
        <v>1</v>
      </c>
      <c r="AD5" s="445" t="s">
        <v>784</v>
      </c>
      <c r="AE5" s="495"/>
      <c r="AF5" s="886"/>
      <c r="AG5" s="887"/>
      <c r="AH5" s="887"/>
      <c r="AI5" s="887"/>
      <c r="AJ5" s="887"/>
      <c r="AK5" s="887"/>
      <c r="AL5" s="887"/>
      <c r="AM5" s="888"/>
      <c r="AN5" s="495"/>
      <c r="AO5" s="495"/>
      <c r="AP5" s="495"/>
      <c r="AQ5" s="495"/>
      <c r="AR5" s="495"/>
      <c r="AS5" s="495"/>
    </row>
    <row r="6" spans="2:45" s="435" customFormat="1" ht="27" customHeight="1">
      <c r="B6" s="891"/>
      <c r="C6" s="892"/>
      <c r="D6" s="312">
        <v>2</v>
      </c>
      <c r="E6" s="439" t="s">
        <v>566</v>
      </c>
      <c r="F6" s="440">
        <v>7443.0720000000028</v>
      </c>
      <c r="G6" s="313">
        <v>447.3</v>
      </c>
      <c r="H6" s="441">
        <v>3261.7599999999998</v>
      </c>
      <c r="I6" s="442">
        <v>3270.9619629150025</v>
      </c>
      <c r="J6" s="443">
        <v>1.0028711755120219</v>
      </c>
      <c r="K6" s="442">
        <v>3273.1</v>
      </c>
      <c r="L6" s="443">
        <v>1.0034766506425978</v>
      </c>
      <c r="M6" s="442">
        <v>5.3</v>
      </c>
      <c r="N6" s="443">
        <v>1.6248896301383302E-3</v>
      </c>
      <c r="O6" s="924">
        <v>3278.4</v>
      </c>
      <c r="P6" s="443">
        <v>1.0051015402727363</v>
      </c>
      <c r="Q6" s="441">
        <v>7.6000000000000023</v>
      </c>
      <c r="R6" s="443">
        <v>2.33003041302855E-3</v>
      </c>
      <c r="S6" s="444">
        <v>3399.4800000000009</v>
      </c>
      <c r="T6" s="924">
        <v>16.64</v>
      </c>
      <c r="U6" s="443">
        <v>5.0871884750291725E-3</v>
      </c>
      <c r="V6" s="925">
        <v>9.0399999999999991</v>
      </c>
      <c r="W6" s="926">
        <v>2.7715098597076424E-3</v>
      </c>
      <c r="X6" s="927">
        <v>4043.5919999999996</v>
      </c>
      <c r="Y6" s="315" t="s">
        <v>312</v>
      </c>
      <c r="Z6" s="315" t="s">
        <v>191</v>
      </c>
      <c r="AA6" s="315" t="s">
        <v>567</v>
      </c>
      <c r="AB6" s="445" t="s">
        <v>494</v>
      </c>
      <c r="AC6" s="315">
        <v>1</v>
      </c>
      <c r="AD6" s="445" t="s">
        <v>561</v>
      </c>
      <c r="AE6" s="495"/>
      <c r="AF6" s="220" t="s">
        <v>818</v>
      </c>
      <c r="AG6" s="220" t="s">
        <v>740</v>
      </c>
      <c r="AH6" s="496" t="s">
        <v>743</v>
      </c>
      <c r="AI6" s="496" t="s">
        <v>363</v>
      </c>
      <c r="AJ6" s="496" t="s">
        <v>409</v>
      </c>
      <c r="AK6" s="496" t="s">
        <v>191</v>
      </c>
      <c r="AL6" s="496" t="s">
        <v>192</v>
      </c>
      <c r="AM6" s="496" t="s">
        <v>422</v>
      </c>
      <c r="AN6" s="495"/>
      <c r="AO6" s="495"/>
      <c r="AP6" s="495"/>
      <c r="AQ6" s="495"/>
      <c r="AR6" s="450" t="s">
        <v>819</v>
      </c>
      <c r="AS6" s="450" t="s">
        <v>820</v>
      </c>
    </row>
    <row r="7" spans="2:45" s="435" customFormat="1" ht="27" customHeight="1">
      <c r="B7" s="891"/>
      <c r="C7" s="892"/>
      <c r="D7" s="312">
        <v>3</v>
      </c>
      <c r="E7" s="439" t="s">
        <v>901</v>
      </c>
      <c r="F7" s="440">
        <v>7395.0060000000167</v>
      </c>
      <c r="G7" s="313">
        <v>535.87</v>
      </c>
      <c r="H7" s="441">
        <v>1489.1</v>
      </c>
      <c r="I7" s="442">
        <v>1495.7349267931677</v>
      </c>
      <c r="J7" s="443">
        <v>1.0054016710327653</v>
      </c>
      <c r="K7" s="442">
        <v>1500.3</v>
      </c>
      <c r="L7" s="443">
        <v>1.0075213216036532</v>
      </c>
      <c r="M7" s="442">
        <v>2.6</v>
      </c>
      <c r="N7" s="443">
        <v>1.7460210865623534E-3</v>
      </c>
      <c r="O7" s="924">
        <v>1502.8999999999999</v>
      </c>
      <c r="P7" s="443">
        <v>1.0092673426902155</v>
      </c>
      <c r="Q7" s="441">
        <v>6.4999999999999982</v>
      </c>
      <c r="R7" s="443">
        <v>4.365052716405882E-3</v>
      </c>
      <c r="S7" s="444">
        <v>3483.1549999999997</v>
      </c>
      <c r="T7" s="924">
        <v>13.800000000000029</v>
      </c>
      <c r="U7" s="443">
        <v>9.2262337081256869E-3</v>
      </c>
      <c r="V7" s="925">
        <v>7.3000000000000309</v>
      </c>
      <c r="W7" s="926">
        <v>4.9022899738097045E-3</v>
      </c>
      <c r="X7" s="927">
        <v>3911.8510000000165</v>
      </c>
      <c r="Y7" s="315" t="s">
        <v>312</v>
      </c>
      <c r="Z7" s="315" t="s">
        <v>192</v>
      </c>
      <c r="AA7" s="314" t="s">
        <v>567</v>
      </c>
      <c r="AB7" s="445" t="s">
        <v>494</v>
      </c>
      <c r="AC7" s="315">
        <v>1</v>
      </c>
      <c r="AD7" s="445" t="s">
        <v>848</v>
      </c>
      <c r="AE7" s="495"/>
      <c r="AF7" s="446">
        <f>SUM(AC5:AC24)</f>
        <v>20</v>
      </c>
      <c r="AG7" s="316">
        <f>SUMIF($Z$5:$Z$24,TRIM(AG6),$AC$5:$AC$24)</f>
        <v>0</v>
      </c>
      <c r="AH7" s="316">
        <f t="shared" ref="AH7:AL7" si="0">SUMIF($Z$5:$Z$24,TRIM(AH6),$AC$5:$AC$24)</f>
        <v>0</v>
      </c>
      <c r="AI7" s="316">
        <f>SUMIF($Z$5:$Z$24,TRIM(AI6),$AC$5:$AC$24)</f>
        <v>1</v>
      </c>
      <c r="AJ7" s="316">
        <f>SUMIF($Z$5:$Z$24,TRIM(AJ6),$AC$5:$AC$24)</f>
        <v>6</v>
      </c>
      <c r="AK7" s="316">
        <f t="shared" si="0"/>
        <v>9</v>
      </c>
      <c r="AL7" s="316">
        <f t="shared" si="0"/>
        <v>3</v>
      </c>
      <c r="AM7" s="316">
        <f>SUMIF($Z$5:$Z$24,TRIM(AM6),$AC$5:$AC$24)</f>
        <v>1</v>
      </c>
      <c r="AN7" s="495"/>
      <c r="AO7" s="495"/>
      <c r="AP7" s="495"/>
      <c r="AQ7" s="495"/>
      <c r="AR7" s="451" t="s">
        <v>806</v>
      </c>
      <c r="AS7" s="206" t="s">
        <v>821</v>
      </c>
    </row>
    <row r="8" spans="2:45" s="435" customFormat="1" ht="27" customHeight="1">
      <c r="B8" s="891"/>
      <c r="C8" s="892"/>
      <c r="D8" s="312">
        <v>4</v>
      </c>
      <c r="E8" s="439" t="s">
        <v>804</v>
      </c>
      <c r="F8" s="440">
        <v>7332.6294999999982</v>
      </c>
      <c r="G8" s="313">
        <v>395.29</v>
      </c>
      <c r="H8" s="441">
        <v>1066.4500000000003</v>
      </c>
      <c r="I8" s="442">
        <v>1074.1682769407189</v>
      </c>
      <c r="J8" s="443">
        <v>1.0073327481123027</v>
      </c>
      <c r="K8" s="442">
        <v>1085</v>
      </c>
      <c r="L8" s="443">
        <v>1.0173941581883819</v>
      </c>
      <c r="M8" s="442">
        <v>0</v>
      </c>
      <c r="N8" s="443">
        <v>0</v>
      </c>
      <c r="O8" s="924">
        <v>1085</v>
      </c>
      <c r="P8" s="443">
        <v>1.0173941581883819</v>
      </c>
      <c r="Q8" s="441">
        <v>10.600000000000001</v>
      </c>
      <c r="R8" s="443">
        <v>9.9395189647897217E-3</v>
      </c>
      <c r="S8" s="444">
        <v>4190.0740000000005</v>
      </c>
      <c r="T8" s="924">
        <v>18.54999999999999</v>
      </c>
      <c r="U8" s="443">
        <v>1.7269175042881783E-2</v>
      </c>
      <c r="V8" s="925">
        <v>7.9499999999999886</v>
      </c>
      <c r="W8" s="926">
        <v>7.45463922359228E-3</v>
      </c>
      <c r="X8" s="927">
        <v>3142.5554999999958</v>
      </c>
      <c r="Y8" s="315" t="s">
        <v>312</v>
      </c>
      <c r="Z8" s="315" t="s">
        <v>191</v>
      </c>
      <c r="AA8" s="314" t="s">
        <v>812</v>
      </c>
      <c r="AB8" s="445" t="s">
        <v>494</v>
      </c>
      <c r="AC8" s="315">
        <v>1</v>
      </c>
      <c r="AD8" s="445" t="s">
        <v>783</v>
      </c>
      <c r="AE8" s="495"/>
      <c r="AF8" s="447" t="s">
        <v>11</v>
      </c>
      <c r="AG8" s="448">
        <f>SUMIF($Z5:$Z$24,TRIM(AG6),$F$5:$F$24)</f>
        <v>0</v>
      </c>
      <c r="AH8" s="448">
        <f>SUMIF($Z5:$Z$24,TRIM(AH6),$F$5:$F$24)</f>
        <v>0</v>
      </c>
      <c r="AI8" s="448">
        <f>SUMIF($Z5:$Z$24,TRIM(AI6),$F$5:$F$24)</f>
        <v>5629.5267200000017</v>
      </c>
      <c r="AJ8" s="448">
        <f>SUMIF($Z5:$Z$24,TRIM(AJ6),$F$5:$F$24)</f>
        <v>36511.346640000018</v>
      </c>
      <c r="AK8" s="448">
        <f>SUMIF($Z5:$Z$24,TRIM(AK6),$F$5:$F$24)</f>
        <v>56973.632850000002</v>
      </c>
      <c r="AL8" s="448">
        <f>SUMIF($Z5:$Z$24,TRIM(AL6),$F$5:$F$24)</f>
        <v>22123.456740000001</v>
      </c>
      <c r="AM8" s="448">
        <f>SUMIF($Z5:$Z$24,TRIM(AM6),$F$5:$F$24)</f>
        <v>5737.3679999999986</v>
      </c>
      <c r="AN8" s="495"/>
      <c r="AO8" s="495"/>
      <c r="AP8" s="495"/>
      <c r="AQ8" s="495"/>
      <c r="AR8" s="206" t="s">
        <v>317</v>
      </c>
      <c r="AS8" s="206" t="s">
        <v>822</v>
      </c>
    </row>
    <row r="9" spans="2:45" s="435" customFormat="1" ht="27" customHeight="1">
      <c r="B9" s="891"/>
      <c r="C9" s="892"/>
      <c r="D9" s="312">
        <v>5</v>
      </c>
      <c r="E9" s="439" t="s">
        <v>364</v>
      </c>
      <c r="F9" s="440">
        <v>7177.1347500000056</v>
      </c>
      <c r="G9" s="313">
        <v>420.33</v>
      </c>
      <c r="H9" s="441">
        <v>2143.9249999999993</v>
      </c>
      <c r="I9" s="442">
        <v>2151.8578626265289</v>
      </c>
      <c r="J9" s="443">
        <v>1.0037355964618337</v>
      </c>
      <c r="K9" s="442">
        <v>2161</v>
      </c>
      <c r="L9" s="443">
        <v>1.0079643644250618</v>
      </c>
      <c r="M9" s="442">
        <v>0</v>
      </c>
      <c r="N9" s="443">
        <v>0</v>
      </c>
      <c r="O9" s="924">
        <v>2161</v>
      </c>
      <c r="P9" s="443">
        <v>1.0079643644250618</v>
      </c>
      <c r="Q9" s="441">
        <v>9.4000000000000021</v>
      </c>
      <c r="R9" s="443">
        <v>4.38448173326959E-3</v>
      </c>
      <c r="S9" s="444">
        <v>3951.1019999999999</v>
      </c>
      <c r="T9" s="924">
        <v>17.075000000000017</v>
      </c>
      <c r="U9" s="443">
        <v>7.9350036526848015E-3</v>
      </c>
      <c r="V9" s="925">
        <v>7.6750000000000149</v>
      </c>
      <c r="W9" s="926">
        <v>3.5798826917919318E-3</v>
      </c>
      <c r="X9" s="927">
        <v>3226.0327500000062</v>
      </c>
      <c r="Y9" s="315" t="s">
        <v>312</v>
      </c>
      <c r="Z9" s="315" t="s">
        <v>191</v>
      </c>
      <c r="AA9" s="315" t="s">
        <v>812</v>
      </c>
      <c r="AB9" s="445" t="s">
        <v>494</v>
      </c>
      <c r="AC9" s="315">
        <v>1</v>
      </c>
      <c r="AD9" s="445" t="s">
        <v>345</v>
      </c>
      <c r="AE9" s="495"/>
      <c r="AF9" s="312" t="s">
        <v>744</v>
      </c>
      <c r="AG9" s="449">
        <f t="shared" ref="AG9:AM9" si="1">AG7/$AF7</f>
        <v>0</v>
      </c>
      <c r="AH9" s="449">
        <f t="shared" si="1"/>
        <v>0</v>
      </c>
      <c r="AI9" s="449">
        <f t="shared" si="1"/>
        <v>0.05</v>
      </c>
      <c r="AJ9" s="449">
        <f t="shared" si="1"/>
        <v>0.3</v>
      </c>
      <c r="AK9" s="449">
        <f t="shared" si="1"/>
        <v>0.45</v>
      </c>
      <c r="AL9" s="449">
        <f t="shared" si="1"/>
        <v>0.15</v>
      </c>
      <c r="AM9" s="449">
        <f t="shared" si="1"/>
        <v>0.05</v>
      </c>
      <c r="AN9" s="495"/>
      <c r="AO9" s="495"/>
      <c r="AP9" s="495"/>
      <c r="AQ9" s="495"/>
      <c r="AR9" s="206" t="s">
        <v>363</v>
      </c>
      <c r="AS9" s="206" t="s">
        <v>822</v>
      </c>
    </row>
    <row r="10" spans="2:45" s="435" customFormat="1" ht="27" customHeight="1">
      <c r="B10" s="891"/>
      <c r="C10" s="892"/>
      <c r="D10" s="312">
        <v>6</v>
      </c>
      <c r="E10" s="439" t="s">
        <v>738</v>
      </c>
      <c r="F10" s="440">
        <v>6633.3469899999973</v>
      </c>
      <c r="G10" s="313">
        <v>361.51</v>
      </c>
      <c r="H10" s="441">
        <v>1345.751</v>
      </c>
      <c r="I10" s="442">
        <v>1352.4081384659762</v>
      </c>
      <c r="J10" s="443">
        <v>1.004931535464433</v>
      </c>
      <c r="K10" s="442">
        <v>1364.1</v>
      </c>
      <c r="L10" s="443">
        <v>1.013634766015407</v>
      </c>
      <c r="M10" s="442">
        <v>0</v>
      </c>
      <c r="N10" s="443">
        <v>0</v>
      </c>
      <c r="O10" s="924">
        <v>1364.1</v>
      </c>
      <c r="P10" s="443">
        <v>1.013634766015407</v>
      </c>
      <c r="Q10" s="441">
        <v>11.600000000000001</v>
      </c>
      <c r="R10" s="443">
        <v>8.6197223706317161E-3</v>
      </c>
      <c r="S10" s="444">
        <v>4193.5160000000005</v>
      </c>
      <c r="T10" s="924">
        <v>18.34899999999999</v>
      </c>
      <c r="U10" s="443">
        <v>1.3567649793066971E-2</v>
      </c>
      <c r="V10" s="925">
        <v>6.7489999999999881</v>
      </c>
      <c r="W10" s="926">
        <v>5.0150436447752881E-3</v>
      </c>
      <c r="X10" s="927">
        <v>2439.8309899999958</v>
      </c>
      <c r="Y10" s="315" t="s">
        <v>311</v>
      </c>
      <c r="Z10" s="315" t="s">
        <v>409</v>
      </c>
      <c r="AA10" s="315" t="s">
        <v>813</v>
      </c>
      <c r="AB10" s="445" t="s">
        <v>745</v>
      </c>
      <c r="AC10" s="315">
        <v>1</v>
      </c>
      <c r="AD10" s="445" t="s">
        <v>318</v>
      </c>
      <c r="AE10" s="495"/>
      <c r="AF10" s="495"/>
      <c r="AG10" s="495"/>
      <c r="AH10" s="495"/>
      <c r="AI10" s="495"/>
      <c r="AJ10" s="495"/>
      <c r="AK10" s="495"/>
      <c r="AL10" s="495"/>
      <c r="AM10" s="495"/>
      <c r="AN10" s="495"/>
      <c r="AO10" s="495"/>
      <c r="AP10" s="495"/>
      <c r="AQ10" s="495"/>
      <c r="AR10" s="206" t="s">
        <v>823</v>
      </c>
      <c r="AS10" s="206" t="s">
        <v>824</v>
      </c>
    </row>
    <row r="11" spans="2:45" s="435" customFormat="1" ht="27" customHeight="1">
      <c r="B11" s="891"/>
      <c r="C11" s="892"/>
      <c r="D11" s="312">
        <v>7</v>
      </c>
      <c r="E11" s="439" t="s">
        <v>531</v>
      </c>
      <c r="F11" s="440">
        <v>6553.7846699999845</v>
      </c>
      <c r="G11" s="313">
        <v>371.13</v>
      </c>
      <c r="H11" s="441">
        <v>5860.3409999999994</v>
      </c>
      <c r="I11" s="442">
        <v>5870.3304269272539</v>
      </c>
      <c r="J11" s="443">
        <v>1.0017378277073059</v>
      </c>
      <c r="K11" s="442">
        <v>5868.6</v>
      </c>
      <c r="L11" s="443">
        <v>1.0014093036565621</v>
      </c>
      <c r="M11" s="442">
        <v>9.3999999999999986</v>
      </c>
      <c r="N11" s="443">
        <v>1.6040022244439359E-3</v>
      </c>
      <c r="O11" s="924">
        <v>5878</v>
      </c>
      <c r="P11" s="443">
        <v>1.003013305881006</v>
      </c>
      <c r="Q11" s="441">
        <v>7.3999999999999986</v>
      </c>
      <c r="R11" s="443">
        <v>1.2627251554133113E-3</v>
      </c>
      <c r="S11" s="444">
        <v>2746.3619999999996</v>
      </c>
      <c r="T11" s="924">
        <v>17.658999999999963</v>
      </c>
      <c r="U11" s="443">
        <v>3.0081781970905737E-3</v>
      </c>
      <c r="V11" s="925">
        <v>10.258999999999965</v>
      </c>
      <c r="W11" s="926">
        <v>1.7505807255925835E-3</v>
      </c>
      <c r="X11" s="927">
        <v>3807.4226699999867</v>
      </c>
      <c r="Y11" s="315" t="s">
        <v>311</v>
      </c>
      <c r="Z11" s="315" t="s">
        <v>409</v>
      </c>
      <c r="AA11" s="315" t="s">
        <v>813</v>
      </c>
      <c r="AB11" s="445" t="s">
        <v>745</v>
      </c>
      <c r="AC11" s="315">
        <v>1</v>
      </c>
      <c r="AD11" s="445" t="s">
        <v>347</v>
      </c>
      <c r="AE11" s="495"/>
      <c r="AF11" s="495"/>
      <c r="AG11" s="495"/>
      <c r="AH11" s="495"/>
      <c r="AI11" s="495"/>
      <c r="AJ11" s="495"/>
      <c r="AK11" s="495"/>
      <c r="AL11" s="495"/>
      <c r="AM11" s="495"/>
      <c r="AN11" s="495"/>
      <c r="AO11" s="495"/>
      <c r="AP11" s="495"/>
      <c r="AQ11" s="495"/>
      <c r="AR11" s="206" t="s">
        <v>191</v>
      </c>
      <c r="AS11" s="206" t="s">
        <v>825</v>
      </c>
    </row>
    <row r="12" spans="2:45" s="435" customFormat="1" ht="27" customHeight="1">
      <c r="B12" s="891"/>
      <c r="C12" s="892"/>
      <c r="D12" s="312">
        <v>8</v>
      </c>
      <c r="E12" s="439" t="s">
        <v>737</v>
      </c>
      <c r="F12" s="440">
        <v>6329.6746000000076</v>
      </c>
      <c r="G12" s="313">
        <v>103.19</v>
      </c>
      <c r="H12" s="441">
        <v>8400.16</v>
      </c>
      <c r="I12" s="442">
        <v>8425.63199964657</v>
      </c>
      <c r="J12" s="443">
        <v>1.0030701261258732</v>
      </c>
      <c r="K12" s="442">
        <v>8461.5</v>
      </c>
      <c r="L12" s="443">
        <v>1.0073022418620599</v>
      </c>
      <c r="M12" s="442">
        <v>0</v>
      </c>
      <c r="N12" s="443">
        <v>0</v>
      </c>
      <c r="O12" s="924">
        <v>8461.5</v>
      </c>
      <c r="P12" s="443">
        <v>1.0073022418620599</v>
      </c>
      <c r="Q12" s="441">
        <v>34.668000000000035</v>
      </c>
      <c r="R12" s="443">
        <v>4.127064246395311E-3</v>
      </c>
      <c r="S12" s="444">
        <v>3577.3909200000035</v>
      </c>
      <c r="T12" s="924">
        <v>61.340000000000089</v>
      </c>
      <c r="U12" s="443">
        <v>7.2801660460097379E-3</v>
      </c>
      <c r="V12" s="925">
        <v>26.672000000000054</v>
      </c>
      <c r="W12" s="926">
        <v>3.1751776156644699E-3</v>
      </c>
      <c r="X12" s="927">
        <v>2752.2836800000055</v>
      </c>
      <c r="Y12" s="315" t="s">
        <v>311</v>
      </c>
      <c r="Z12" s="315" t="s">
        <v>409</v>
      </c>
      <c r="AA12" s="315" t="s">
        <v>666</v>
      </c>
      <c r="AB12" s="445" t="s">
        <v>667</v>
      </c>
      <c r="AC12" s="315">
        <v>1</v>
      </c>
      <c r="AD12" s="445" t="s">
        <v>727</v>
      </c>
      <c r="AE12" s="495"/>
      <c r="AF12" s="495"/>
      <c r="AG12" s="495"/>
      <c r="AH12" s="495"/>
      <c r="AI12" s="495"/>
      <c r="AJ12" s="495"/>
      <c r="AK12" s="495"/>
      <c r="AL12" s="495"/>
      <c r="AM12" s="495"/>
      <c r="AN12" s="495"/>
      <c r="AO12" s="495"/>
      <c r="AP12" s="495"/>
      <c r="AQ12" s="495"/>
      <c r="AR12" s="206" t="s">
        <v>192</v>
      </c>
      <c r="AS12" s="206" t="s">
        <v>825</v>
      </c>
    </row>
    <row r="13" spans="2:45" s="435" customFormat="1" ht="27" customHeight="1">
      <c r="B13" s="891"/>
      <c r="C13" s="892"/>
      <c r="D13" s="312">
        <v>9</v>
      </c>
      <c r="E13" s="439" t="s">
        <v>930</v>
      </c>
      <c r="F13" s="440">
        <v>6189.1024999999927</v>
      </c>
      <c r="G13" s="313">
        <v>298.27</v>
      </c>
      <c r="H13" s="441">
        <v>1068.95</v>
      </c>
      <c r="I13" s="442">
        <v>1075.7141990824816</v>
      </c>
      <c r="J13" s="443">
        <v>1.0063851312851313</v>
      </c>
      <c r="K13" s="442">
        <v>1089.7000000000003</v>
      </c>
      <c r="L13" s="443">
        <v>1.0194115721034662</v>
      </c>
      <c r="M13" s="442">
        <v>0</v>
      </c>
      <c r="N13" s="443">
        <v>0</v>
      </c>
      <c r="O13" s="924">
        <v>1089.7000000000003</v>
      </c>
      <c r="P13" s="443">
        <v>1.0194115721034662</v>
      </c>
      <c r="Q13" s="441">
        <v>13.899999999999999</v>
      </c>
      <c r="R13" s="443">
        <v>1.3003414565695306E-2</v>
      </c>
      <c r="S13" s="444">
        <v>4145.9529999999995</v>
      </c>
      <c r="T13" s="924">
        <v>20.749999999999975</v>
      </c>
      <c r="U13" s="443">
        <v>1.9289510185603626E-2</v>
      </c>
      <c r="V13" s="925">
        <v>6.8499999999999766</v>
      </c>
      <c r="W13" s="926">
        <v>6.4081575377706876E-3</v>
      </c>
      <c r="X13" s="927">
        <v>2043.1494999999929</v>
      </c>
      <c r="Y13" s="315" t="s">
        <v>312</v>
      </c>
      <c r="Z13" s="315" t="s">
        <v>191</v>
      </c>
      <c r="AA13" s="315" t="s">
        <v>812</v>
      </c>
      <c r="AB13" s="445" t="s">
        <v>494</v>
      </c>
      <c r="AC13" s="315">
        <v>1</v>
      </c>
      <c r="AD13" s="445" t="s">
        <v>786</v>
      </c>
      <c r="AE13" s="495"/>
      <c r="AF13" s="495"/>
      <c r="AG13" s="495"/>
      <c r="AH13" s="495"/>
      <c r="AI13" s="495"/>
      <c r="AJ13" s="495"/>
      <c r="AK13" s="495"/>
      <c r="AL13" s="495"/>
      <c r="AM13" s="495"/>
      <c r="AN13" s="495"/>
      <c r="AO13" s="495"/>
      <c r="AP13" s="495"/>
      <c r="AQ13" s="495"/>
      <c r="AR13" s="206" t="s">
        <v>422</v>
      </c>
      <c r="AS13" s="206" t="s">
        <v>825</v>
      </c>
    </row>
    <row r="14" spans="2:45" s="435" customFormat="1" ht="27" customHeight="1">
      <c r="B14" s="891"/>
      <c r="C14" s="892"/>
      <c r="D14" s="312">
        <v>10</v>
      </c>
      <c r="E14" s="439" t="s">
        <v>492</v>
      </c>
      <c r="F14" s="440">
        <v>6135.1825599999993</v>
      </c>
      <c r="G14" s="313">
        <v>581.91999999999996</v>
      </c>
      <c r="H14" s="441">
        <v>596.65699999999993</v>
      </c>
      <c r="I14" s="442">
        <v>602.39533290295344</v>
      </c>
      <c r="J14" s="443">
        <v>1.0095805947405774</v>
      </c>
      <c r="K14" s="442">
        <v>600.00000000000011</v>
      </c>
      <c r="L14" s="443">
        <v>1.0056028840690718</v>
      </c>
      <c r="M14" s="442">
        <v>7.2</v>
      </c>
      <c r="N14" s="443">
        <v>1.206723460882886E-2</v>
      </c>
      <c r="O14" s="924">
        <v>607.20000000000016</v>
      </c>
      <c r="P14" s="443">
        <v>1.0176701186779007</v>
      </c>
      <c r="Q14" s="441">
        <v>4.6999999999999993</v>
      </c>
      <c r="R14" s="443">
        <v>7.8772225918743929E-3</v>
      </c>
      <c r="S14" s="444">
        <v>2735.0239999999999</v>
      </c>
      <c r="T14" s="924">
        <v>10.543000000000003</v>
      </c>
      <c r="U14" s="443">
        <v>1.7501795621810524E-2</v>
      </c>
      <c r="V14" s="925">
        <v>5.8430000000000035</v>
      </c>
      <c r="W14" s="926">
        <v>9.7928960860259821E-3</v>
      </c>
      <c r="X14" s="927">
        <v>3400.1585600000017</v>
      </c>
      <c r="Y14" s="315" t="s">
        <v>312</v>
      </c>
      <c r="Z14" s="315" t="s">
        <v>191</v>
      </c>
      <c r="AA14" s="315" t="s">
        <v>812</v>
      </c>
      <c r="AB14" s="445" t="s">
        <v>494</v>
      </c>
      <c r="AC14" s="315">
        <v>1</v>
      </c>
      <c r="AD14" s="445" t="s">
        <v>320</v>
      </c>
      <c r="AE14" s="495"/>
      <c r="AF14" s="495"/>
      <c r="AG14" s="495"/>
      <c r="AH14" s="495"/>
      <c r="AI14" s="495"/>
      <c r="AJ14" s="495"/>
      <c r="AK14" s="495"/>
      <c r="AL14" s="495"/>
      <c r="AM14" s="495"/>
      <c r="AN14" s="495"/>
      <c r="AO14" s="495"/>
      <c r="AP14" s="495"/>
      <c r="AQ14" s="495"/>
      <c r="AR14" s="495"/>
      <c r="AS14" s="495"/>
    </row>
    <row r="15" spans="2:45" s="435" customFormat="1" ht="27" customHeight="1">
      <c r="B15" s="891"/>
      <c r="C15" s="892"/>
      <c r="D15" s="312">
        <v>11</v>
      </c>
      <c r="E15" s="439" t="s">
        <v>733</v>
      </c>
      <c r="F15" s="440">
        <v>5991.20280000002</v>
      </c>
      <c r="G15" s="313">
        <v>118.03</v>
      </c>
      <c r="H15" s="441">
        <v>8711.84</v>
      </c>
      <c r="I15" s="442">
        <v>8733.2862682516043</v>
      </c>
      <c r="J15" s="443">
        <v>1.0024998960233151</v>
      </c>
      <c r="K15" s="442">
        <v>8762.6</v>
      </c>
      <c r="L15" s="443">
        <v>1.0058265532883983</v>
      </c>
      <c r="M15" s="442">
        <v>0</v>
      </c>
      <c r="N15" s="443">
        <v>0</v>
      </c>
      <c r="O15" s="924">
        <v>8762.6</v>
      </c>
      <c r="P15" s="443">
        <v>1.0058265532883983</v>
      </c>
      <c r="Q15" s="441">
        <v>28.3</v>
      </c>
      <c r="R15" s="443">
        <v>3.24845268049E-3</v>
      </c>
      <c r="S15" s="444">
        <v>3340.2490000000012</v>
      </c>
      <c r="T15" s="924">
        <v>50.760000000000161</v>
      </c>
      <c r="U15" s="443">
        <v>5.8122450634109655E-3</v>
      </c>
      <c r="V15" s="925">
        <v>22.460000000000161</v>
      </c>
      <c r="W15" s="926">
        <v>2.5781006079083364E-3</v>
      </c>
      <c r="X15" s="927">
        <v>2650.9538000000189</v>
      </c>
      <c r="Y15" s="315" t="s">
        <v>311</v>
      </c>
      <c r="Z15" s="315" t="s">
        <v>409</v>
      </c>
      <c r="AA15" s="315" t="s">
        <v>666</v>
      </c>
      <c r="AB15" s="445" t="s">
        <v>667</v>
      </c>
      <c r="AC15" s="315">
        <v>1</v>
      </c>
      <c r="AD15" s="445" t="s">
        <v>728</v>
      </c>
      <c r="AE15" s="495"/>
      <c r="AF15" s="495"/>
      <c r="AG15" s="495"/>
      <c r="AH15" s="318"/>
      <c r="AI15" s="495"/>
      <c r="AJ15" s="495"/>
      <c r="AK15" s="495"/>
      <c r="AL15" s="495"/>
      <c r="AM15" s="495"/>
      <c r="AN15" s="495"/>
      <c r="AO15" s="495"/>
      <c r="AP15" s="495"/>
      <c r="AQ15" s="495"/>
      <c r="AR15" s="495"/>
      <c r="AS15" s="495"/>
    </row>
    <row r="16" spans="2:45" s="435" customFormat="1" ht="27" customHeight="1">
      <c r="B16" s="891"/>
      <c r="C16" s="892"/>
      <c r="D16" s="312">
        <v>12</v>
      </c>
      <c r="E16" s="439" t="s">
        <v>433</v>
      </c>
      <c r="F16" s="440">
        <v>5914.1955600000083</v>
      </c>
      <c r="G16" s="313">
        <v>136.88999999999999</v>
      </c>
      <c r="H16" s="441">
        <v>7170.4959999999983</v>
      </c>
      <c r="I16" s="442">
        <v>7185.182351465849</v>
      </c>
      <c r="J16" s="443">
        <v>1.0020303714866774</v>
      </c>
      <c r="K16" s="442">
        <v>7213.6999999999989</v>
      </c>
      <c r="L16" s="443">
        <v>1.0060252456733816</v>
      </c>
      <c r="M16" s="442">
        <v>0</v>
      </c>
      <c r="N16" s="443">
        <v>0</v>
      </c>
      <c r="O16" s="924">
        <v>7213.6999999999989</v>
      </c>
      <c r="P16" s="443">
        <v>1.0060252456733816</v>
      </c>
      <c r="Q16" s="441">
        <v>28.360800000000015</v>
      </c>
      <c r="R16" s="443">
        <v>3.9552075616526416E-3</v>
      </c>
      <c r="S16" s="444">
        <v>3882.3099120000015</v>
      </c>
      <c r="T16" s="924">
        <v>43.204000000000065</v>
      </c>
      <c r="U16" s="443">
        <v>6.0129302064527304E-3</v>
      </c>
      <c r="V16" s="925">
        <v>14.843200000000049</v>
      </c>
      <c r="W16" s="926">
        <v>2.0700381117289587E-3</v>
      </c>
      <c r="X16" s="927">
        <v>2031.8856480000065</v>
      </c>
      <c r="Y16" s="315" t="s">
        <v>312</v>
      </c>
      <c r="Z16" s="315" t="s">
        <v>191</v>
      </c>
      <c r="AA16" s="315" t="s">
        <v>812</v>
      </c>
      <c r="AB16" s="445" t="s">
        <v>494</v>
      </c>
      <c r="AC16" s="315">
        <v>1</v>
      </c>
      <c r="AD16" s="445" t="s">
        <v>318</v>
      </c>
      <c r="AE16" s="495"/>
      <c r="AF16" s="495"/>
      <c r="AG16" s="495"/>
      <c r="AH16" s="495"/>
      <c r="AI16" s="495"/>
      <c r="AJ16" s="495"/>
      <c r="AK16" s="495"/>
      <c r="AL16" s="495"/>
      <c r="AM16" s="495"/>
      <c r="AN16" s="495"/>
      <c r="AO16" s="495"/>
      <c r="AP16" s="495"/>
      <c r="AQ16" s="495"/>
      <c r="AR16" s="495"/>
      <c r="AS16" s="495"/>
    </row>
    <row r="17" spans="2:45" s="435" customFormat="1" ht="27" customHeight="1">
      <c r="B17" s="891"/>
      <c r="C17" s="892"/>
      <c r="D17" s="312">
        <v>13</v>
      </c>
      <c r="E17" s="439" t="s">
        <v>899</v>
      </c>
      <c r="F17" s="440">
        <v>5773.0326000000068</v>
      </c>
      <c r="G17" s="313">
        <v>272.57</v>
      </c>
      <c r="H17" s="441">
        <v>1865.2199999999998</v>
      </c>
      <c r="I17" s="442">
        <v>1874.4434661541384</v>
      </c>
      <c r="J17" s="443">
        <v>1.004886307857447</v>
      </c>
      <c r="K17" s="442">
        <v>1881.4000000000003</v>
      </c>
      <c r="L17" s="443">
        <v>1.0086745799423127</v>
      </c>
      <c r="M17" s="442">
        <v>4.9999999999999991</v>
      </c>
      <c r="N17" s="443">
        <v>2.6806489314933359E-3</v>
      </c>
      <c r="O17" s="924">
        <v>1886.4000000000003</v>
      </c>
      <c r="P17" s="443">
        <v>1.0113552288738061</v>
      </c>
      <c r="Q17" s="441">
        <v>12.099999999999998</v>
      </c>
      <c r="R17" s="443">
        <v>6.4871704142138728E-3</v>
      </c>
      <c r="S17" s="444">
        <v>3298.0969999999998</v>
      </c>
      <c r="T17" s="924">
        <v>21.180000000000021</v>
      </c>
      <c r="U17" s="443">
        <v>1.1299353852189404E-2</v>
      </c>
      <c r="V17" s="925">
        <v>9.0800000000000232</v>
      </c>
      <c r="W17" s="926">
        <v>4.8680584595919112E-3</v>
      </c>
      <c r="X17" s="927">
        <v>2474.9356000000062</v>
      </c>
      <c r="Y17" s="315" t="s">
        <v>312</v>
      </c>
      <c r="Z17" s="315" t="s">
        <v>191</v>
      </c>
      <c r="AA17" s="315" t="s">
        <v>812</v>
      </c>
      <c r="AB17" s="445" t="s">
        <v>494</v>
      </c>
      <c r="AC17" s="315">
        <v>1</v>
      </c>
      <c r="AD17" s="445" t="s">
        <v>649</v>
      </c>
      <c r="AE17" s="495"/>
      <c r="AF17" s="495"/>
      <c r="AG17" s="495"/>
      <c r="AH17" s="495"/>
      <c r="AI17" s="495"/>
      <c r="AJ17" s="495"/>
      <c r="AK17" s="495"/>
      <c r="AL17" s="495"/>
      <c r="AM17" s="495"/>
      <c r="AN17" s="495"/>
      <c r="AO17" s="495"/>
      <c r="AP17" s="495"/>
      <c r="AQ17" s="495"/>
      <c r="AR17" s="495"/>
      <c r="AS17" s="495"/>
    </row>
    <row r="18" spans="2:45" s="435" customFormat="1" ht="27" customHeight="1">
      <c r="B18" s="891"/>
      <c r="C18" s="892"/>
      <c r="D18" s="312">
        <v>14</v>
      </c>
      <c r="E18" s="439" t="s">
        <v>366</v>
      </c>
      <c r="F18" s="440">
        <v>5744.2905599999922</v>
      </c>
      <c r="G18" s="313">
        <v>444.88</v>
      </c>
      <c r="H18" s="441">
        <v>506.08800000000008</v>
      </c>
      <c r="I18" s="442">
        <v>511.28613914540813</v>
      </c>
      <c r="J18" s="443">
        <v>1.010295097554416</v>
      </c>
      <c r="K18" s="442">
        <v>519</v>
      </c>
      <c r="L18" s="443">
        <v>1.0255133494570112</v>
      </c>
      <c r="M18" s="442">
        <v>0</v>
      </c>
      <c r="N18" s="443">
        <v>0</v>
      </c>
      <c r="O18" s="924">
        <v>519</v>
      </c>
      <c r="P18" s="443">
        <v>1.0255133494570112</v>
      </c>
      <c r="Q18" s="441">
        <v>7.5000000000000027</v>
      </c>
      <c r="R18" s="443">
        <v>1.4819557073078202E-2</v>
      </c>
      <c r="S18" s="444">
        <v>3336.6000000000013</v>
      </c>
      <c r="T18" s="924">
        <v>12.911999999999983</v>
      </c>
      <c r="U18" s="443">
        <v>2.5253960573978815E-2</v>
      </c>
      <c r="V18" s="925">
        <v>5.4119999999999804</v>
      </c>
      <c r="W18" s="926">
        <v>1.0693792383933188E-2</v>
      </c>
      <c r="X18" s="927">
        <v>2407.6905599999914</v>
      </c>
      <c r="Y18" s="315" t="s">
        <v>312</v>
      </c>
      <c r="Z18" s="315" t="s">
        <v>192</v>
      </c>
      <c r="AA18" s="521" t="s">
        <v>567</v>
      </c>
      <c r="AB18" s="445" t="s">
        <v>494</v>
      </c>
      <c r="AC18" s="315">
        <v>1</v>
      </c>
      <c r="AD18" s="445" t="s">
        <v>365</v>
      </c>
      <c r="AE18" s="495"/>
      <c r="AF18" s="495"/>
      <c r="AG18" s="495"/>
      <c r="AH18" s="495"/>
      <c r="AI18" s="495"/>
      <c r="AJ18" s="495"/>
      <c r="AK18" s="495"/>
      <c r="AL18" s="495"/>
      <c r="AM18" s="495"/>
      <c r="AN18" s="495"/>
      <c r="AO18" s="495"/>
      <c r="AP18" s="495"/>
      <c r="AQ18" s="495"/>
      <c r="AR18" s="495"/>
      <c r="AS18" s="495"/>
    </row>
    <row r="19" spans="2:45" s="435" customFormat="1" ht="27" customHeight="1">
      <c r="B19" s="891"/>
      <c r="C19" s="892"/>
      <c r="D19" s="312">
        <v>15</v>
      </c>
      <c r="E19" s="439" t="s">
        <v>902</v>
      </c>
      <c r="F19" s="440">
        <v>5737.3679999999986</v>
      </c>
      <c r="G19" s="313">
        <v>1010.1</v>
      </c>
      <c r="H19" s="441">
        <v>294.11999999999995</v>
      </c>
      <c r="I19" s="442">
        <v>298.3129697212965</v>
      </c>
      <c r="J19" s="443">
        <v>1.0134527534188276</v>
      </c>
      <c r="K19" s="442">
        <v>299.29999999999995</v>
      </c>
      <c r="L19" s="443">
        <v>1.0176118591051271</v>
      </c>
      <c r="M19" s="442">
        <v>0.5</v>
      </c>
      <c r="N19" s="443">
        <v>1.6999864001087995E-3</v>
      </c>
      <c r="O19" s="924">
        <v>299.79999999999995</v>
      </c>
      <c r="P19" s="443">
        <v>1.0193118455052359</v>
      </c>
      <c r="Q19" s="441">
        <v>2.2000000000000002</v>
      </c>
      <c r="R19" s="443">
        <v>7.479940160478718E-3</v>
      </c>
      <c r="S19" s="444">
        <v>2222.2199999999998</v>
      </c>
      <c r="T19" s="924">
        <v>5.6799999999999979</v>
      </c>
      <c r="U19" s="443">
        <v>1.9040405803698798E-2</v>
      </c>
      <c r="V19" s="925">
        <v>3.4799999999999978</v>
      </c>
      <c r="W19" s="926">
        <v>1.1831905344757237E-2</v>
      </c>
      <c r="X19" s="927">
        <v>3515.1479999999979</v>
      </c>
      <c r="Y19" s="315" t="s">
        <v>312</v>
      </c>
      <c r="Z19" s="315" t="s">
        <v>422</v>
      </c>
      <c r="AA19" s="315" t="s">
        <v>491</v>
      </c>
      <c r="AB19" s="445" t="s">
        <v>826</v>
      </c>
      <c r="AC19" s="315">
        <v>1</v>
      </c>
      <c r="AD19" s="445" t="s">
        <v>845</v>
      </c>
      <c r="AE19" s="495"/>
      <c r="AF19" s="495"/>
      <c r="AG19" s="495"/>
      <c r="AH19" s="495"/>
      <c r="AI19" s="495"/>
      <c r="AJ19" s="495"/>
      <c r="AK19" s="495"/>
      <c r="AL19" s="495"/>
      <c r="AM19" s="495"/>
      <c r="AN19" s="495"/>
      <c r="AO19" s="495"/>
      <c r="AP19" s="495"/>
      <c r="AQ19" s="495"/>
      <c r="AR19" s="495"/>
      <c r="AS19" s="495"/>
    </row>
    <row r="20" spans="2:45" s="435" customFormat="1" ht="27" customHeight="1">
      <c r="B20" s="891"/>
      <c r="C20" s="892"/>
      <c r="D20" s="312">
        <v>16</v>
      </c>
      <c r="E20" s="439" t="s">
        <v>809</v>
      </c>
      <c r="F20" s="440">
        <v>5629.5267200000017</v>
      </c>
      <c r="G20" s="313">
        <v>304.76</v>
      </c>
      <c r="H20" s="441">
        <v>684.12799999999993</v>
      </c>
      <c r="I20" s="442">
        <v>690.4322632878949</v>
      </c>
      <c r="J20" s="443">
        <v>1.0094287994387394</v>
      </c>
      <c r="K20" s="442">
        <v>702.6</v>
      </c>
      <c r="L20" s="443">
        <v>1.0270007951728333</v>
      </c>
      <c r="M20" s="442">
        <v>0</v>
      </c>
      <c r="N20" s="443">
        <v>0</v>
      </c>
      <c r="O20" s="924">
        <v>702.6</v>
      </c>
      <c r="P20" s="443">
        <v>1.0270007951728333</v>
      </c>
      <c r="Q20" s="441">
        <v>12.092000000000002</v>
      </c>
      <c r="R20" s="443">
        <v>1.7675054960475237E-2</v>
      </c>
      <c r="S20" s="444">
        <v>3685.1579199999992</v>
      </c>
      <c r="T20" s="924">
        <v>18.472000000000008</v>
      </c>
      <c r="U20" s="443">
        <v>2.6754253794622564E-2</v>
      </c>
      <c r="V20" s="925">
        <v>6.3800000000000061</v>
      </c>
      <c r="W20" s="926">
        <v>9.3257402123579306E-3</v>
      </c>
      <c r="X20" s="927">
        <v>1944.3688000000018</v>
      </c>
      <c r="Y20" s="315" t="s">
        <v>316</v>
      </c>
      <c r="Z20" s="315" t="s">
        <v>363</v>
      </c>
      <c r="AA20" s="315" t="s">
        <v>931</v>
      </c>
      <c r="AB20" s="445" t="s">
        <v>932</v>
      </c>
      <c r="AC20" s="315">
        <v>1</v>
      </c>
      <c r="AD20" s="445" t="s">
        <v>786</v>
      </c>
      <c r="AE20" s="495"/>
      <c r="AF20" s="495"/>
      <c r="AG20" s="495"/>
      <c r="AH20" s="495"/>
      <c r="AI20" s="495"/>
      <c r="AJ20" s="495"/>
      <c r="AK20" s="495"/>
      <c r="AL20" s="495"/>
      <c r="AM20" s="495"/>
      <c r="AN20" s="495"/>
      <c r="AO20" s="495"/>
      <c r="AP20" s="495"/>
      <c r="AQ20" s="495"/>
      <c r="AR20" s="495"/>
      <c r="AS20" s="495"/>
    </row>
    <row r="21" spans="2:45" s="435" customFormat="1" ht="27" customHeight="1">
      <c r="B21" s="891"/>
      <c r="C21" s="892"/>
      <c r="D21" s="312">
        <v>17</v>
      </c>
      <c r="E21" s="439" t="s">
        <v>936</v>
      </c>
      <c r="F21" s="440">
        <v>5616.0679999999911</v>
      </c>
      <c r="G21" s="313">
        <v>310.27999999999997</v>
      </c>
      <c r="H21" s="441">
        <v>1725.4000000000003</v>
      </c>
      <c r="I21" s="442">
        <v>1733.6580880378481</v>
      </c>
      <c r="J21" s="443">
        <v>1.004820457261357</v>
      </c>
      <c r="K21" s="442">
        <v>1730.0000000000005</v>
      </c>
      <c r="L21" s="443">
        <v>1.0026660484525329</v>
      </c>
      <c r="M21" s="442">
        <v>13.5</v>
      </c>
      <c r="N21" s="443">
        <v>7.8242726324330575E-3</v>
      </c>
      <c r="O21" s="924">
        <v>1743.5000000000005</v>
      </c>
      <c r="P21" s="443">
        <v>1.0104903210849658</v>
      </c>
      <c r="Q21" s="441">
        <v>9.8799999999999937</v>
      </c>
      <c r="R21" s="443">
        <v>5.7262084154398934E-3</v>
      </c>
      <c r="S21" s="444">
        <v>3065.5663999999983</v>
      </c>
      <c r="T21" s="924">
        <v>18.099999999999973</v>
      </c>
      <c r="U21" s="443">
        <v>1.0440351603865286E-2</v>
      </c>
      <c r="V21" s="925">
        <v>8.2199999999999793</v>
      </c>
      <c r="W21" s="926">
        <v>4.764112669525894E-3</v>
      </c>
      <c r="X21" s="927">
        <v>2550.5015999999932</v>
      </c>
      <c r="Y21" s="315" t="s">
        <v>312</v>
      </c>
      <c r="Z21" s="315" t="s">
        <v>191</v>
      </c>
      <c r="AA21" s="315" t="s">
        <v>812</v>
      </c>
      <c r="AB21" s="445" t="s">
        <v>494</v>
      </c>
      <c r="AC21" s="315">
        <v>1</v>
      </c>
      <c r="AD21" s="445" t="s">
        <v>562</v>
      </c>
      <c r="AE21" s="495"/>
      <c r="AF21" s="495"/>
      <c r="AG21" s="495"/>
      <c r="AH21" s="495"/>
      <c r="AI21" s="495"/>
      <c r="AJ21" s="495"/>
      <c r="AK21" s="495"/>
      <c r="AL21" s="495"/>
      <c r="AM21" s="495"/>
      <c r="AN21" s="495"/>
      <c r="AO21" s="495"/>
      <c r="AP21" s="495"/>
      <c r="AQ21" s="495"/>
      <c r="AR21" s="495"/>
      <c r="AS21" s="495"/>
    </row>
    <row r="22" spans="2:45" s="435" customFormat="1" ht="27" customHeight="1">
      <c r="B22" s="891"/>
      <c r="C22" s="892"/>
      <c r="D22" s="312">
        <v>18</v>
      </c>
      <c r="E22" s="439" t="s">
        <v>432</v>
      </c>
      <c r="F22" s="440">
        <v>5601.8563000000022</v>
      </c>
      <c r="G22" s="313">
        <v>111.17</v>
      </c>
      <c r="H22" s="441">
        <v>7694.41</v>
      </c>
      <c r="I22" s="442">
        <v>7710.3750859964039</v>
      </c>
      <c r="J22" s="443">
        <v>1.0020949009335611</v>
      </c>
      <c r="K22" s="442">
        <v>7744.7999999999984</v>
      </c>
      <c r="L22" s="443">
        <v>1.0065489101828469</v>
      </c>
      <c r="M22" s="442">
        <v>0</v>
      </c>
      <c r="N22" s="443">
        <v>0</v>
      </c>
      <c r="O22" s="924">
        <v>7744.7999999999984</v>
      </c>
      <c r="P22" s="443">
        <v>1.0065489101828469</v>
      </c>
      <c r="Q22" s="441">
        <v>34</v>
      </c>
      <c r="R22" s="443">
        <v>4.4187923440523703E-3</v>
      </c>
      <c r="S22" s="444">
        <v>3779.7799999999997</v>
      </c>
      <c r="T22" s="924">
        <v>50.390000000000015</v>
      </c>
      <c r="U22" s="443">
        <v>6.5353500235699842E-3</v>
      </c>
      <c r="V22" s="925">
        <v>16.390000000000015</v>
      </c>
      <c r="W22" s="926">
        <v>2.1301178387946595E-3</v>
      </c>
      <c r="X22" s="927">
        <v>1822.0763000000018</v>
      </c>
      <c r="Y22" s="315" t="s">
        <v>311</v>
      </c>
      <c r="Z22" s="315" t="s">
        <v>409</v>
      </c>
      <c r="AA22" s="315" t="s">
        <v>814</v>
      </c>
      <c r="AB22" s="445" t="s">
        <v>493</v>
      </c>
      <c r="AC22" s="315">
        <v>1</v>
      </c>
      <c r="AD22" s="445" t="s">
        <v>318</v>
      </c>
      <c r="AE22" s="495"/>
      <c r="AF22" s="495"/>
      <c r="AG22" s="495"/>
      <c r="AH22" s="495"/>
      <c r="AI22" s="495"/>
      <c r="AJ22" s="495"/>
      <c r="AK22" s="495"/>
      <c r="AL22" s="495"/>
      <c r="AM22" s="495"/>
      <c r="AN22" s="495"/>
      <c r="AO22" s="495"/>
      <c r="AP22" s="495"/>
      <c r="AQ22" s="495"/>
      <c r="AR22" s="495"/>
      <c r="AS22" s="495"/>
    </row>
    <row r="23" spans="2:45" s="435" customFormat="1" ht="27" customHeight="1">
      <c r="B23" s="891"/>
      <c r="C23" s="892"/>
      <c r="D23" s="312">
        <v>19</v>
      </c>
      <c r="E23" s="439" t="s">
        <v>898</v>
      </c>
      <c r="F23" s="440">
        <v>5401.4812800000054</v>
      </c>
      <c r="G23" s="313">
        <v>234.48</v>
      </c>
      <c r="H23" s="441">
        <v>1960.1640000000004</v>
      </c>
      <c r="I23" s="442">
        <v>1969.3868600275725</v>
      </c>
      <c r="J23" s="443">
        <v>1.0047360586668697</v>
      </c>
      <c r="K23" s="442">
        <v>1983.1999999999996</v>
      </c>
      <c r="L23" s="443">
        <v>1.0117520778873601</v>
      </c>
      <c r="M23" s="442">
        <v>0</v>
      </c>
      <c r="N23" s="443">
        <v>0</v>
      </c>
      <c r="O23" s="924">
        <v>1983.1999999999996</v>
      </c>
      <c r="P23" s="443">
        <v>1.0117520778873601</v>
      </c>
      <c r="Q23" s="441">
        <v>14.000000000000004</v>
      </c>
      <c r="R23" s="443">
        <v>7.1422595252234001E-3</v>
      </c>
      <c r="S23" s="444">
        <v>3282.7199999999993</v>
      </c>
      <c r="T23" s="924">
        <v>23.036000000000023</v>
      </c>
      <c r="U23" s="443">
        <v>1.1697041585662609E-2</v>
      </c>
      <c r="V23" s="925">
        <v>9.0360000000000191</v>
      </c>
      <c r="W23" s="926">
        <v>4.6098183621370546E-3</v>
      </c>
      <c r="X23" s="927">
        <v>2118.7612800000043</v>
      </c>
      <c r="Y23" s="315" t="s">
        <v>311</v>
      </c>
      <c r="Z23" s="315" t="s">
        <v>409</v>
      </c>
      <c r="AA23" s="928" t="s">
        <v>937</v>
      </c>
      <c r="AB23" s="929" t="s">
        <v>938</v>
      </c>
      <c r="AC23" s="315">
        <v>1</v>
      </c>
      <c r="AD23" s="445" t="s">
        <v>728</v>
      </c>
      <c r="AE23" s="495"/>
      <c r="AF23" s="495"/>
      <c r="AG23" s="495"/>
      <c r="AH23" s="495"/>
      <c r="AI23" s="495"/>
      <c r="AJ23" s="495"/>
      <c r="AK23" s="495"/>
      <c r="AL23" s="495"/>
      <c r="AM23" s="495"/>
      <c r="AN23" s="495"/>
      <c r="AO23" s="495"/>
      <c r="AP23" s="495"/>
      <c r="AQ23" s="495"/>
      <c r="AR23" s="495"/>
      <c r="AS23" s="495"/>
    </row>
    <row r="24" spans="2:45" s="435" customFormat="1" ht="27" customHeight="1">
      <c r="B24" s="893"/>
      <c r="C24" s="894"/>
      <c r="D24" s="312">
        <v>20</v>
      </c>
      <c r="E24" s="439" t="s">
        <v>934</v>
      </c>
      <c r="F24" s="440">
        <v>5393.2153799999942</v>
      </c>
      <c r="G24" s="313">
        <v>258.37</v>
      </c>
      <c r="H24" s="441">
        <v>1245.4260000000002</v>
      </c>
      <c r="I24" s="442">
        <v>1253.0116102516979</v>
      </c>
      <c r="J24" s="443">
        <v>1.0061738159339351</v>
      </c>
      <c r="K24" s="442">
        <v>1262.5999999999997</v>
      </c>
      <c r="L24" s="443">
        <v>1.0137896591206539</v>
      </c>
      <c r="M24" s="442">
        <v>3.7</v>
      </c>
      <c r="N24" s="443">
        <v>2.9708710112041981E-3</v>
      </c>
      <c r="O24" s="924">
        <v>1266.2999999999997</v>
      </c>
      <c r="P24" s="443">
        <v>1.0167605301318581</v>
      </c>
      <c r="Q24" s="441">
        <v>13.399999999999997</v>
      </c>
      <c r="R24" s="443">
        <v>1.0759370689226012E-2</v>
      </c>
      <c r="S24" s="444">
        <v>3462.157999999999</v>
      </c>
      <c r="T24" s="924">
        <v>20.873999999999977</v>
      </c>
      <c r="U24" s="443">
        <v>1.6659063514828029E-2</v>
      </c>
      <c r="V24" s="925">
        <v>7.4739999999999807</v>
      </c>
      <c r="W24" s="926">
        <v>6.0011594426324644E-3</v>
      </c>
      <c r="X24" s="927">
        <v>1931.057379999995</v>
      </c>
      <c r="Y24" s="315" t="s">
        <v>312</v>
      </c>
      <c r="Z24" s="315" t="s">
        <v>191</v>
      </c>
      <c r="AA24" s="315" t="s">
        <v>812</v>
      </c>
      <c r="AB24" s="445" t="s">
        <v>494</v>
      </c>
      <c r="AC24" s="315">
        <v>1</v>
      </c>
      <c r="AD24" s="445" t="s">
        <v>431</v>
      </c>
      <c r="AE24" s="495"/>
      <c r="AF24" s="495"/>
      <c r="AG24" s="495"/>
      <c r="AH24" s="495"/>
      <c r="AI24" s="495"/>
      <c r="AJ24" s="495"/>
      <c r="AK24" s="495"/>
      <c r="AL24" s="495"/>
      <c r="AM24" s="495"/>
      <c r="AN24" s="495"/>
      <c r="AO24" s="495"/>
      <c r="AP24" s="495"/>
      <c r="AQ24" s="495"/>
      <c r="AR24" s="495"/>
      <c r="AS24" s="495"/>
    </row>
    <row r="25" spans="2:45" ht="27" customHeight="1"/>
    <row r="26" spans="2:45" ht="27" customHeight="1"/>
    <row r="27" spans="2:45" ht="29.45" customHeight="1"/>
    <row r="67" ht="14.1" customHeight="1"/>
    <row r="77" ht="14.1" customHeight="1"/>
    <row r="87" ht="14.1" customHeight="1"/>
    <row r="112" spans="29:29">
      <c r="AC112" s="310" t="s">
        <v>423</v>
      </c>
    </row>
    <row r="113" spans="29:29">
      <c r="AC113" s="310" t="s">
        <v>424</v>
      </c>
    </row>
    <row r="116" spans="29:29" ht="18.75" customHeight="1"/>
    <row r="117" spans="29:29" ht="14.1" customHeight="1"/>
    <row r="127" spans="29:29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V3:X3"/>
    <mergeCell ref="B2:AD2"/>
    <mergeCell ref="AB3:AB4"/>
    <mergeCell ref="AC3:AC4"/>
    <mergeCell ref="AD3:AD4"/>
    <mergeCell ref="AF3:AM5"/>
    <mergeCell ref="B5:C24"/>
    <mergeCell ref="Q3:S3"/>
    <mergeCell ref="T3:U3"/>
    <mergeCell ref="Y3:Y4"/>
    <mergeCell ref="Z3:Z4"/>
    <mergeCell ref="AA3:AA4"/>
    <mergeCell ref="B3:C4"/>
    <mergeCell ref="D3:D4"/>
    <mergeCell ref="E3:E4"/>
    <mergeCell ref="F3:F4"/>
    <mergeCell ref="G3:G4"/>
    <mergeCell ref="H3:H4"/>
    <mergeCell ref="I3:J3"/>
    <mergeCell ref="K3:L3"/>
    <mergeCell ref="M3:N3"/>
    <mergeCell ref="O3:P3"/>
  </mergeCells>
  <phoneticPr fontId="82" type="noConversion"/>
  <dataValidations count="4">
    <dataValidation type="list" allowBlank="1" showInputMessage="1" showErrorMessage="1" sqref="U1:X2 U36:X1048576" xr:uid="{00000000-0002-0000-1E00-000000000000}">
      <formula1>$AF$13:$AF$20</formula1>
    </dataValidation>
    <dataValidation type="list" allowBlank="1" showInputMessage="1" showErrorMessage="1" sqref="T1:T2 T36:T1048576" xr:uid="{00000000-0002-0000-1E00-000001000000}">
      <formula1>$AF$23:$AF$27</formula1>
    </dataValidation>
    <dataValidation type="list" allowBlank="1" showInputMessage="1" showErrorMessage="1" sqref="Y5:Y24" xr:uid="{9D16DDA7-F51C-43D2-9234-8D2138FECBA2}">
      <formula1>$AS$7:$AS$13</formula1>
    </dataValidation>
    <dataValidation type="list" allowBlank="1" showInputMessage="1" showErrorMessage="1" sqref="Z5:Z24" xr:uid="{C38AD2F4-EC61-4CAF-96D1-BDE25F5CDE53}">
      <formula1>$AR$7:$AR$13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theme="7" tint="0.39997558519241921"/>
  </sheetPr>
  <dimension ref="A1:AF41"/>
  <sheetViews>
    <sheetView tabSelected="1" zoomScale="75" zoomScaleNormal="75" workbookViewId="0">
      <selection activeCell="L22" sqref="L22"/>
    </sheetView>
  </sheetViews>
  <sheetFormatPr defaultColWidth="10.140625" defaultRowHeight="15"/>
  <cols>
    <col min="1" max="9" width="25.7109375" style="466" customWidth="1"/>
    <col min="10" max="10" width="10.140625" style="466"/>
    <col min="11" max="11" width="26.42578125" style="466" bestFit="1" customWidth="1"/>
    <col min="12" max="13" width="26.42578125" style="466" customWidth="1"/>
    <col min="14" max="14" width="26.140625" style="466" bestFit="1" customWidth="1"/>
    <col min="15" max="15" width="10.140625" style="466"/>
    <col min="16" max="17" width="13.7109375" style="466" bestFit="1" customWidth="1"/>
    <col min="18" max="19" width="10.140625" style="466"/>
    <col min="20" max="20" width="15.140625" style="466" bestFit="1" customWidth="1"/>
    <col min="21" max="22" width="10.140625" style="466"/>
    <col min="23" max="23" width="13.7109375" style="466" bestFit="1" customWidth="1"/>
    <col min="24" max="25" width="10.140625" style="466"/>
    <col min="26" max="26" width="15.140625" style="466" bestFit="1" customWidth="1"/>
    <col min="27" max="28" width="10.140625" style="466"/>
    <col min="29" max="29" width="13.7109375" style="466" bestFit="1" customWidth="1"/>
    <col min="30" max="31" width="10.140625" style="466"/>
    <col min="32" max="32" width="15.140625" style="466" bestFit="1" customWidth="1"/>
    <col min="33" max="16384" width="10.140625" style="466"/>
  </cols>
  <sheetData>
    <row r="1" spans="1:32" ht="27">
      <c r="A1" s="914" t="s">
        <v>747</v>
      </c>
      <c r="B1" s="915"/>
      <c r="C1" s="915"/>
      <c r="D1" s="915"/>
      <c r="E1" s="915"/>
      <c r="F1" s="915"/>
      <c r="G1" s="915"/>
      <c r="H1" s="915"/>
      <c r="I1" s="915"/>
      <c r="J1" s="464"/>
      <c r="K1" s="464"/>
      <c r="L1" s="464"/>
      <c r="M1" s="464"/>
      <c r="N1" s="464"/>
      <c r="O1" s="464"/>
      <c r="P1" s="464"/>
      <c r="Q1" s="464"/>
      <c r="R1" s="464"/>
      <c r="S1" s="464"/>
      <c r="T1" s="464"/>
      <c r="U1" s="464"/>
    </row>
    <row r="2" spans="1:32" ht="24">
      <c r="A2" s="452" t="s">
        <v>855</v>
      </c>
      <c r="B2" s="453">
        <f>SUM(C7:C37)</f>
        <v>579474.97539971885</v>
      </c>
      <c r="C2" s="452" t="s">
        <v>854</v>
      </c>
      <c r="D2" s="454">
        <f>B2/B40</f>
        <v>2.4201590261399065E-3</v>
      </c>
      <c r="E2" s="452" t="s">
        <v>853</v>
      </c>
      <c r="F2" s="453">
        <f>SUM(E7:E37)</f>
        <v>958280.61498990993</v>
      </c>
      <c r="G2" s="912" t="s">
        <v>852</v>
      </c>
      <c r="H2" s="913"/>
      <c r="I2" s="455">
        <f>F2/B40</f>
        <v>4.0022288768258966E-3</v>
      </c>
      <c r="J2" s="464"/>
      <c r="K2" s="464"/>
      <c r="L2" s="464"/>
      <c r="M2" s="464"/>
      <c r="N2" s="464"/>
      <c r="O2" s="464"/>
      <c r="P2" s="464"/>
      <c r="Q2" s="464"/>
      <c r="R2" s="464"/>
      <c r="S2" s="464"/>
      <c r="T2" s="464"/>
      <c r="U2" s="464"/>
    </row>
    <row r="3" spans="1:32" ht="37.5" customHeight="1">
      <c r="A3" s="456" t="s">
        <v>748</v>
      </c>
      <c r="B3" s="456" t="s">
        <v>749</v>
      </c>
      <c r="C3" s="456" t="s">
        <v>750</v>
      </c>
      <c r="D3" s="456" t="s">
        <v>751</v>
      </c>
      <c r="E3" s="456" t="s">
        <v>752</v>
      </c>
      <c r="F3" s="456" t="s">
        <v>753</v>
      </c>
      <c r="G3" s="457" t="s">
        <v>754</v>
      </c>
      <c r="H3" s="458" t="s">
        <v>755</v>
      </c>
      <c r="I3" s="458" t="s">
        <v>756</v>
      </c>
      <c r="J3" s="464"/>
      <c r="K3" s="467"/>
      <c r="L3" s="468"/>
      <c r="M3" s="467"/>
      <c r="N3" s="469"/>
      <c r="O3" s="467"/>
      <c r="P3" s="468"/>
      <c r="Q3" s="470"/>
      <c r="R3" s="464"/>
      <c r="S3" s="471"/>
      <c r="T3" s="470"/>
      <c r="U3" s="464"/>
      <c r="V3" s="472"/>
      <c r="W3" s="473"/>
      <c r="Y3" s="472"/>
      <c r="Z3" s="473"/>
      <c r="AB3" s="472"/>
      <c r="AC3" s="473"/>
      <c r="AE3" s="472"/>
      <c r="AF3" s="473"/>
    </row>
    <row r="4" spans="1:32" ht="19.5" customHeight="1">
      <c r="A4" s="463">
        <v>46204</v>
      </c>
      <c r="B4" s="941">
        <v>8773103</v>
      </c>
      <c r="C4" s="522">
        <v>21345.173000000003</v>
      </c>
      <c r="D4" s="942">
        <v>2.4330243244607983E-3</v>
      </c>
      <c r="E4" s="522">
        <v>36734.074955441465</v>
      </c>
      <c r="F4" s="462">
        <v>4.1871245505086929E-3</v>
      </c>
      <c r="G4" s="943">
        <v>61489986</v>
      </c>
      <c r="H4" s="943">
        <v>148775.48646000001</v>
      </c>
      <c r="I4" s="943">
        <v>245910.15349698803</v>
      </c>
      <c r="J4" s="464"/>
      <c r="K4" s="474"/>
      <c r="L4" s="474"/>
      <c r="M4" s="474"/>
      <c r="N4" s="475"/>
      <c r="O4" s="464"/>
      <c r="P4" s="464"/>
      <c r="Q4" s="470"/>
      <c r="R4" s="464"/>
      <c r="S4" s="471"/>
      <c r="T4" s="470"/>
      <c r="U4" s="464"/>
      <c r="V4" s="472"/>
      <c r="W4" s="473"/>
      <c r="Y4" s="472"/>
      <c r="Z4" s="473"/>
      <c r="AB4" s="472"/>
      <c r="AC4" s="473"/>
      <c r="AE4" s="472"/>
      <c r="AF4" s="473"/>
    </row>
    <row r="5" spans="1:32" ht="19.5" customHeight="1">
      <c r="A5" s="463">
        <v>46205</v>
      </c>
      <c r="B5" s="941">
        <v>8177093</v>
      </c>
      <c r="C5" s="522">
        <v>19644.059000000001</v>
      </c>
      <c r="D5" s="942">
        <v>2.4023279422161399E-3</v>
      </c>
      <c r="E5" s="522">
        <v>31953.240728001674</v>
      </c>
      <c r="F5" s="462">
        <v>3.9076528453328924E-3</v>
      </c>
      <c r="G5" s="944"/>
      <c r="H5" s="944"/>
      <c r="I5" s="944"/>
      <c r="J5" s="464"/>
      <c r="K5" s="474"/>
      <c r="L5" s="474"/>
      <c r="M5" s="474"/>
      <c r="N5" s="475"/>
      <c r="O5" s="464"/>
      <c r="P5" s="464"/>
      <c r="Q5" s="470"/>
      <c r="R5" s="464"/>
      <c r="S5" s="471"/>
      <c r="T5" s="470"/>
      <c r="U5" s="464"/>
      <c r="V5" s="472"/>
      <c r="W5" s="473"/>
      <c r="Y5" s="472"/>
      <c r="Z5" s="473"/>
      <c r="AB5" s="472"/>
      <c r="AC5" s="473"/>
      <c r="AE5" s="472"/>
      <c r="AF5" s="473"/>
    </row>
    <row r="6" spans="1:32" ht="19.5" customHeight="1">
      <c r="A6" s="463">
        <v>46206</v>
      </c>
      <c r="B6" s="941">
        <v>7340175</v>
      </c>
      <c r="C6" s="522">
        <v>17779.859000000011</v>
      </c>
      <c r="D6" s="942">
        <v>2.4222663628591977E-3</v>
      </c>
      <c r="E6" s="522">
        <v>30262.577285357078</v>
      </c>
      <c r="F6" s="462">
        <v>4.1228686353332279E-3</v>
      </c>
      <c r="G6" s="944"/>
      <c r="H6" s="944"/>
      <c r="I6" s="944"/>
      <c r="J6" s="464"/>
      <c r="K6" s="474"/>
      <c r="L6" s="474"/>
      <c r="M6" s="474"/>
      <c r="N6" s="475"/>
      <c r="O6" s="464"/>
      <c r="P6" s="464"/>
      <c r="Q6" s="470"/>
      <c r="R6" s="464"/>
      <c r="S6" s="471"/>
      <c r="T6" s="470"/>
      <c r="U6" s="464"/>
      <c r="V6" s="472"/>
      <c r="W6" s="473"/>
      <c r="Y6" s="472"/>
      <c r="Z6" s="473"/>
      <c r="AB6" s="472"/>
      <c r="AC6" s="473"/>
      <c r="AE6" s="472"/>
      <c r="AF6" s="473"/>
    </row>
    <row r="7" spans="1:32" ht="19.5" customHeight="1">
      <c r="A7" s="463">
        <v>46207</v>
      </c>
      <c r="B7" s="941">
        <v>8235605</v>
      </c>
      <c r="C7" s="522">
        <v>20006.722999999998</v>
      </c>
      <c r="D7" s="942">
        <v>2.4292960869298609E-3</v>
      </c>
      <c r="E7" s="522">
        <v>32949.152905466486</v>
      </c>
      <c r="F7" s="462">
        <v>4.0008175362303659E-3</v>
      </c>
      <c r="G7" s="944"/>
      <c r="H7" s="944"/>
      <c r="I7" s="944"/>
      <c r="J7" s="464"/>
      <c r="K7" s="464"/>
      <c r="L7" s="464"/>
      <c r="M7" s="464"/>
      <c r="N7" s="464"/>
      <c r="O7" s="464"/>
      <c r="P7" s="464"/>
      <c r="Q7" s="464"/>
      <c r="R7" s="464"/>
      <c r="S7" s="464"/>
      <c r="T7" s="464"/>
      <c r="U7" s="464"/>
    </row>
    <row r="8" spans="1:32" ht="19.5" customHeight="1">
      <c r="A8" s="463">
        <v>46208</v>
      </c>
      <c r="B8" s="941">
        <v>9197911</v>
      </c>
      <c r="C8" s="522">
        <v>22227.285999999996</v>
      </c>
      <c r="D8" s="942">
        <v>2.4165580641082522E-3</v>
      </c>
      <c r="E8" s="522">
        <v>37866.802366513148</v>
      </c>
      <c r="F8" s="462">
        <v>4.1168915818508298E-3</v>
      </c>
      <c r="G8" s="944"/>
      <c r="H8" s="944"/>
      <c r="I8" s="944"/>
      <c r="J8" s="464"/>
      <c r="K8" s="464"/>
      <c r="L8" s="464"/>
      <c r="M8" s="464"/>
      <c r="N8" s="464"/>
      <c r="O8" s="464"/>
      <c r="P8" s="464"/>
      <c r="Q8" s="464"/>
      <c r="R8" s="464"/>
      <c r="S8" s="464"/>
      <c r="T8" s="464"/>
      <c r="U8" s="464"/>
    </row>
    <row r="9" spans="1:32" s="477" customFormat="1" ht="19.5" customHeight="1">
      <c r="A9" s="463">
        <v>46209</v>
      </c>
      <c r="B9" s="941">
        <v>9363255</v>
      </c>
      <c r="C9" s="522">
        <v>22763.776999999998</v>
      </c>
      <c r="D9" s="942">
        <v>2.4311819981406037E-3</v>
      </c>
      <c r="E9" s="522">
        <v>36034.703418260069</v>
      </c>
      <c r="F9" s="462">
        <v>3.848523127722151E-3</v>
      </c>
      <c r="G9" s="944"/>
      <c r="H9" s="944"/>
      <c r="I9" s="944"/>
      <c r="J9" s="464"/>
      <c r="K9" s="464"/>
      <c r="L9" s="464"/>
      <c r="M9" s="464"/>
      <c r="N9" s="476"/>
      <c r="O9" s="476"/>
      <c r="P9" s="476"/>
      <c r="Q9" s="476"/>
      <c r="R9" s="476"/>
      <c r="S9" s="476"/>
      <c r="T9" s="476"/>
      <c r="U9" s="476"/>
    </row>
    <row r="10" spans="1:32" s="477" customFormat="1" ht="19.5" customHeight="1">
      <c r="A10" s="463">
        <v>46210</v>
      </c>
      <c r="B10" s="941">
        <v>10402844</v>
      </c>
      <c r="C10" s="522">
        <v>25008.609460000003</v>
      </c>
      <c r="D10" s="942">
        <v>2.4040165804658808E-3</v>
      </c>
      <c r="E10" s="522">
        <v>40109.601837948117</v>
      </c>
      <c r="F10" s="462">
        <v>3.8556381156872213E-3</v>
      </c>
      <c r="G10" s="945"/>
      <c r="H10" s="945"/>
      <c r="I10" s="945"/>
      <c r="J10" s="464"/>
      <c r="K10" s="464"/>
      <c r="L10" s="464"/>
      <c r="M10" s="464"/>
      <c r="N10" s="476"/>
      <c r="O10" s="476"/>
      <c r="P10" s="476"/>
      <c r="Q10" s="476"/>
      <c r="R10" s="476"/>
      <c r="S10" s="476"/>
      <c r="T10" s="476"/>
      <c r="U10" s="476"/>
    </row>
    <row r="11" spans="1:32" s="477" customFormat="1" ht="19.5" customHeight="1">
      <c r="A11" s="459">
        <v>46211</v>
      </c>
      <c r="B11" s="941">
        <v>9579033</v>
      </c>
      <c r="C11" s="461">
        <v>23049.60400000001</v>
      </c>
      <c r="D11" s="942">
        <v>2.4062558297899181E-3</v>
      </c>
      <c r="E11" s="461">
        <v>35981.807852058962</v>
      </c>
      <c r="F11" s="462">
        <v>3.7563089982108801E-3</v>
      </c>
      <c r="G11" s="946">
        <v>62248429</v>
      </c>
      <c r="H11" s="946">
        <v>150680.71273971861</v>
      </c>
      <c r="I11" s="946">
        <v>243996.30322649813</v>
      </c>
      <c r="J11" s="464"/>
      <c r="K11" s="464"/>
      <c r="L11" s="464"/>
      <c r="M11" s="464"/>
      <c r="N11" s="476"/>
      <c r="O11" s="476"/>
      <c r="P11" s="476"/>
      <c r="Q11" s="476"/>
      <c r="R11" s="476"/>
      <c r="S11" s="476"/>
      <c r="T11" s="476"/>
      <c r="U11" s="476"/>
    </row>
    <row r="12" spans="1:32" s="477" customFormat="1" ht="19.5" customHeight="1">
      <c r="A12" s="459">
        <v>46212</v>
      </c>
      <c r="B12" s="941">
        <v>9159433</v>
      </c>
      <c r="C12" s="461">
        <v>22058.34299999999</v>
      </c>
      <c r="D12" s="942">
        <v>2.4082651185941303E-3</v>
      </c>
      <c r="E12" s="461">
        <v>35481.95782748692</v>
      </c>
      <c r="F12" s="462">
        <v>3.8738159695569496E-3</v>
      </c>
      <c r="G12" s="947"/>
      <c r="H12" s="947"/>
      <c r="I12" s="947"/>
      <c r="J12" s="464"/>
      <c r="K12" s="464"/>
      <c r="L12" s="464"/>
      <c r="M12" s="464"/>
      <c r="N12" s="476"/>
      <c r="O12" s="476"/>
      <c r="P12" s="476"/>
      <c r="Q12" s="476"/>
      <c r="R12" s="476"/>
      <c r="S12" s="476"/>
      <c r="T12" s="476"/>
      <c r="U12" s="476"/>
    </row>
    <row r="13" spans="1:32" s="477" customFormat="1" ht="19.5" customHeight="1">
      <c r="A13" s="459">
        <v>46213</v>
      </c>
      <c r="B13" s="941">
        <v>7382110</v>
      </c>
      <c r="C13" s="461">
        <v>18033.464599999985</v>
      </c>
      <c r="D13" s="942">
        <v>2.4428604558859169E-3</v>
      </c>
      <c r="E13" s="461">
        <v>29856.947307783128</v>
      </c>
      <c r="F13" s="462">
        <v>4.0445004623045613E-3</v>
      </c>
      <c r="G13" s="947"/>
      <c r="H13" s="947"/>
      <c r="I13" s="947"/>
      <c r="J13" s="464"/>
      <c r="K13" s="464"/>
      <c r="L13" s="464"/>
      <c r="M13" s="464"/>
      <c r="N13" s="476"/>
      <c r="O13" s="476"/>
      <c r="P13" s="476"/>
      <c r="Q13" s="476"/>
      <c r="R13" s="476"/>
      <c r="S13" s="476"/>
      <c r="T13" s="476"/>
      <c r="U13" s="476"/>
    </row>
    <row r="14" spans="1:32" s="477" customFormat="1" ht="19.5" customHeight="1">
      <c r="A14" s="459">
        <v>46214</v>
      </c>
      <c r="B14" s="941">
        <v>7919116</v>
      </c>
      <c r="C14" s="461">
        <v>19272.464999999993</v>
      </c>
      <c r="D14" s="942">
        <v>2.4336636816533553E-3</v>
      </c>
      <c r="E14" s="461">
        <v>32146.272950905881</v>
      </c>
      <c r="F14" s="462">
        <v>4.0593259337160714E-3</v>
      </c>
      <c r="G14" s="947"/>
      <c r="H14" s="947"/>
      <c r="I14" s="947"/>
      <c r="J14" s="464"/>
      <c r="K14" s="464"/>
      <c r="L14" s="464"/>
      <c r="M14" s="464"/>
      <c r="N14" s="476"/>
      <c r="O14" s="476"/>
      <c r="P14" s="476"/>
      <c r="Q14" s="476"/>
      <c r="R14" s="476"/>
      <c r="S14" s="476"/>
      <c r="T14" s="476"/>
      <c r="U14" s="476"/>
    </row>
    <row r="15" spans="1:32" s="477" customFormat="1" ht="19.5" customHeight="1">
      <c r="A15" s="459">
        <v>46215</v>
      </c>
      <c r="B15" s="941">
        <v>9570480</v>
      </c>
      <c r="C15" s="461">
        <v>23152.59813971863</v>
      </c>
      <c r="D15" s="942">
        <v>2.4191679142235947E-3</v>
      </c>
      <c r="E15" s="461">
        <v>36397.89110387447</v>
      </c>
      <c r="F15" s="462">
        <v>3.8031416505624033E-3</v>
      </c>
      <c r="G15" s="947"/>
      <c r="H15" s="947"/>
      <c r="I15" s="947"/>
      <c r="J15" s="464"/>
      <c r="K15" s="464"/>
      <c r="L15" s="464"/>
      <c r="M15" s="464"/>
      <c r="N15" s="476"/>
      <c r="O15" s="476"/>
      <c r="P15" s="476"/>
      <c r="Q15" s="476"/>
      <c r="R15" s="476"/>
      <c r="S15" s="476"/>
      <c r="T15" s="476"/>
      <c r="U15" s="476"/>
    </row>
    <row r="16" spans="1:32" s="477" customFormat="1" ht="19.5" customHeight="1">
      <c r="A16" s="459">
        <v>46216</v>
      </c>
      <c r="B16" s="941">
        <v>9554533</v>
      </c>
      <c r="C16" s="461">
        <v>23216.804999999989</v>
      </c>
      <c r="D16" s="942">
        <v>2.4299256698365047E-3</v>
      </c>
      <c r="E16" s="461">
        <v>37178.586307904319</v>
      </c>
      <c r="F16" s="462">
        <v>3.8911986915429902E-3</v>
      </c>
      <c r="G16" s="947"/>
      <c r="H16" s="947"/>
      <c r="I16" s="947"/>
      <c r="J16" s="464"/>
      <c r="K16" s="464"/>
      <c r="L16" s="464"/>
      <c r="M16" s="464"/>
      <c r="N16" s="476"/>
      <c r="O16" s="476"/>
      <c r="P16" s="476"/>
      <c r="Q16" s="476"/>
      <c r="R16" s="476"/>
      <c r="S16" s="476"/>
      <c r="T16" s="476"/>
      <c r="U16" s="476"/>
    </row>
    <row r="17" spans="1:21" s="477" customFormat="1" ht="18">
      <c r="A17" s="459">
        <v>46217</v>
      </c>
      <c r="B17" s="941">
        <v>9083724</v>
      </c>
      <c r="C17" s="461">
        <v>21897.433000000015</v>
      </c>
      <c r="D17" s="942">
        <v>2.4106228899072688E-3</v>
      </c>
      <c r="E17" s="461">
        <v>36952.839876484482</v>
      </c>
      <c r="F17" s="462">
        <v>4.0680275927014609E-3</v>
      </c>
      <c r="G17" s="948"/>
      <c r="H17" s="948"/>
      <c r="I17" s="948"/>
      <c r="J17" s="464"/>
      <c r="K17" s="464"/>
      <c r="L17" s="464"/>
      <c r="M17" s="464"/>
      <c r="N17" s="476"/>
      <c r="O17" s="476"/>
      <c r="P17" s="476"/>
      <c r="Q17" s="476"/>
      <c r="R17" s="476"/>
      <c r="S17" s="476"/>
      <c r="T17" s="476"/>
      <c r="U17" s="476"/>
    </row>
    <row r="18" spans="1:21" s="477" customFormat="1" ht="18">
      <c r="A18" s="463">
        <v>46218</v>
      </c>
      <c r="B18" s="941">
        <v>8161181</v>
      </c>
      <c r="C18" s="461">
        <v>19825.978000000003</v>
      </c>
      <c r="D18" s="942">
        <v>2.4293025727526447E-3</v>
      </c>
      <c r="E18" s="461">
        <v>33445.294708200629</v>
      </c>
      <c r="F18" s="462">
        <v>4.0980949580949897E-3</v>
      </c>
      <c r="G18" s="917">
        <v>57692830</v>
      </c>
      <c r="H18" s="917">
        <v>139373.34019999998</v>
      </c>
      <c r="I18" s="917">
        <v>236313.89285055254</v>
      </c>
      <c r="J18" s="464"/>
      <c r="K18" s="464"/>
      <c r="L18" s="464"/>
      <c r="M18" s="464"/>
      <c r="N18" s="476"/>
      <c r="O18" s="476"/>
      <c r="P18" s="476"/>
      <c r="Q18" s="476"/>
      <c r="R18" s="476"/>
      <c r="S18" s="476"/>
      <c r="T18" s="476"/>
      <c r="U18" s="476"/>
    </row>
    <row r="19" spans="1:21" s="477" customFormat="1" ht="18">
      <c r="A19" s="463">
        <v>46219</v>
      </c>
      <c r="B19" s="941">
        <v>7874647</v>
      </c>
      <c r="C19" s="461">
        <v>19127.542999999994</v>
      </c>
      <c r="D19" s="942">
        <v>2.429003230240034E-3</v>
      </c>
      <c r="E19" s="461">
        <v>34425.977107143022</v>
      </c>
      <c r="F19" s="462">
        <v>4.3717486138925366E-3</v>
      </c>
      <c r="G19" s="917"/>
      <c r="H19" s="917"/>
      <c r="I19" s="917"/>
      <c r="J19" s="464"/>
      <c r="K19" s="464"/>
      <c r="L19" s="464"/>
      <c r="M19" s="464"/>
      <c r="N19" s="476"/>
      <c r="O19" s="476"/>
      <c r="P19" s="476"/>
      <c r="Q19" s="476"/>
      <c r="R19" s="476"/>
      <c r="S19" s="476"/>
      <c r="T19" s="476"/>
      <c r="U19" s="476"/>
    </row>
    <row r="20" spans="1:21" s="477" customFormat="1" ht="18">
      <c r="A20" s="463">
        <v>46220</v>
      </c>
      <c r="B20" s="941">
        <v>7204022</v>
      </c>
      <c r="C20" s="461">
        <v>17298.835899999991</v>
      </c>
      <c r="D20" s="942">
        <v>2.401274718483646E-3</v>
      </c>
      <c r="E20" s="461">
        <v>31333.301721242173</v>
      </c>
      <c r="F20" s="462">
        <v>4.349417828157961E-3</v>
      </c>
      <c r="G20" s="917"/>
      <c r="H20" s="917"/>
      <c r="I20" s="917"/>
      <c r="J20" s="464"/>
      <c r="K20" s="464"/>
      <c r="L20" s="464"/>
      <c r="M20" s="464"/>
      <c r="N20" s="478"/>
      <c r="O20" s="476"/>
      <c r="P20" s="476"/>
      <c r="Q20" s="476"/>
      <c r="R20" s="476"/>
      <c r="S20" s="476"/>
      <c r="T20" s="476"/>
      <c r="U20" s="476"/>
    </row>
    <row r="21" spans="1:21" s="477" customFormat="1" ht="18">
      <c r="A21" s="463">
        <v>46221</v>
      </c>
      <c r="B21" s="941">
        <v>7376905</v>
      </c>
      <c r="C21" s="461">
        <v>17831.030999999988</v>
      </c>
      <c r="D21" s="942">
        <v>2.4171425550417128E-3</v>
      </c>
      <c r="E21" s="461">
        <v>28836.893953943192</v>
      </c>
      <c r="F21" s="462">
        <v>3.909077581173025E-3</v>
      </c>
      <c r="G21" s="917"/>
      <c r="H21" s="917"/>
      <c r="I21" s="917"/>
      <c r="J21" s="464"/>
      <c r="K21" s="464"/>
      <c r="L21" s="464"/>
      <c r="M21" s="464"/>
      <c r="N21" s="476"/>
      <c r="O21" s="476"/>
      <c r="P21" s="476"/>
      <c r="Q21" s="476"/>
      <c r="R21" s="476"/>
      <c r="S21" s="476"/>
      <c r="T21" s="476"/>
      <c r="U21" s="476"/>
    </row>
    <row r="22" spans="1:21" s="477" customFormat="1" ht="18">
      <c r="A22" s="463">
        <v>46222</v>
      </c>
      <c r="B22" s="941">
        <v>8957562</v>
      </c>
      <c r="C22" s="461">
        <v>21510.625400000004</v>
      </c>
      <c r="D22" s="942">
        <v>2.4013928566723854E-3</v>
      </c>
      <c r="E22" s="461">
        <v>35528.760224381993</v>
      </c>
      <c r="F22" s="462">
        <v>3.966342652652808E-3</v>
      </c>
      <c r="G22" s="917"/>
      <c r="H22" s="917"/>
      <c r="I22" s="917"/>
      <c r="J22" s="464"/>
      <c r="K22" s="464"/>
      <c r="L22" s="464"/>
      <c r="M22" s="464"/>
      <c r="N22" s="476"/>
      <c r="O22" s="476"/>
      <c r="P22" s="476"/>
      <c r="Q22" s="476"/>
      <c r="R22" s="476"/>
      <c r="S22" s="476"/>
      <c r="T22" s="476"/>
      <c r="U22" s="476"/>
    </row>
    <row r="23" spans="1:21" s="477" customFormat="1" ht="18">
      <c r="A23" s="463">
        <v>46223</v>
      </c>
      <c r="B23" s="941">
        <v>8839399</v>
      </c>
      <c r="C23" s="461">
        <v>21237.972900000022</v>
      </c>
      <c r="D23" s="942">
        <v>2.4026489696867426E-3</v>
      </c>
      <c r="E23" s="461">
        <v>35334.704004365689</v>
      </c>
      <c r="F23" s="462">
        <v>3.9974102316645832E-3</v>
      </c>
      <c r="G23" s="917"/>
      <c r="H23" s="917"/>
      <c r="I23" s="917"/>
      <c r="J23" s="464"/>
      <c r="K23" s="464"/>
      <c r="L23" s="464"/>
      <c r="M23" s="464"/>
      <c r="N23" s="476"/>
      <c r="O23" s="476"/>
      <c r="P23" s="476"/>
      <c r="Q23" s="476"/>
      <c r="R23" s="476"/>
      <c r="S23" s="476"/>
      <c r="T23" s="476"/>
      <c r="U23" s="476"/>
    </row>
    <row r="24" spans="1:21" s="477" customFormat="1" ht="18">
      <c r="A24" s="463">
        <v>46224</v>
      </c>
      <c r="B24" s="941">
        <v>9279114</v>
      </c>
      <c r="C24" s="461">
        <v>22541.353999999985</v>
      </c>
      <c r="D24" s="942">
        <v>2.4292571467491382E-3</v>
      </c>
      <c r="E24" s="461">
        <v>37408.961131275864</v>
      </c>
      <c r="F24" s="462">
        <v>4.0315229591182805E-3</v>
      </c>
      <c r="G24" s="917"/>
      <c r="H24" s="917"/>
      <c r="I24" s="917"/>
      <c r="J24" s="464"/>
      <c r="K24" s="464"/>
      <c r="L24" s="464"/>
      <c r="M24" s="464"/>
      <c r="N24" s="476"/>
      <c r="O24" s="476"/>
      <c r="P24" s="476"/>
      <c r="Q24" s="476"/>
      <c r="R24" s="476"/>
      <c r="S24" s="476"/>
      <c r="T24" s="476"/>
      <c r="U24" s="476"/>
    </row>
    <row r="25" spans="1:21" s="477" customFormat="1" ht="18">
      <c r="A25" s="459">
        <v>46225</v>
      </c>
      <c r="B25" s="941">
        <v>8679383</v>
      </c>
      <c r="C25" s="461">
        <v>21181.802999999996</v>
      </c>
      <c r="D25" s="942">
        <v>2.4404733608368238E-3</v>
      </c>
      <c r="E25" s="461">
        <v>34855.111812191819</v>
      </c>
      <c r="F25" s="462">
        <v>4.0158513355375396E-3</v>
      </c>
      <c r="G25" s="916">
        <v>59000592</v>
      </c>
      <c r="H25" s="916">
        <v>143017.11099999998</v>
      </c>
      <c r="I25" s="916">
        <v>236731.06318385917</v>
      </c>
      <c r="J25" s="464"/>
      <c r="K25" s="464"/>
      <c r="L25" s="464"/>
      <c r="M25" s="464"/>
      <c r="N25" s="476"/>
      <c r="O25" s="476"/>
      <c r="P25" s="476"/>
      <c r="Q25" s="476"/>
      <c r="R25" s="476"/>
      <c r="S25" s="476"/>
      <c r="T25" s="476"/>
      <c r="U25" s="476"/>
    </row>
    <row r="26" spans="1:21" s="477" customFormat="1" ht="18">
      <c r="A26" s="459">
        <v>46226</v>
      </c>
      <c r="B26" s="941">
        <v>8118844</v>
      </c>
      <c r="C26" s="461">
        <v>19729.421999999991</v>
      </c>
      <c r="D26" s="942">
        <v>2.4300777302778561E-3</v>
      </c>
      <c r="E26" s="461">
        <v>32222.97231380091</v>
      </c>
      <c r="F26" s="462">
        <v>3.9689113762748623E-3</v>
      </c>
      <c r="G26" s="916"/>
      <c r="H26" s="916"/>
      <c r="I26" s="916"/>
      <c r="J26" s="464"/>
      <c r="K26" s="464"/>
      <c r="L26" s="464"/>
      <c r="M26" s="464"/>
      <c r="N26" s="476"/>
      <c r="O26" s="476"/>
      <c r="P26" s="476"/>
      <c r="Q26" s="476"/>
      <c r="R26" s="476"/>
      <c r="S26" s="476"/>
      <c r="T26" s="476"/>
      <c r="U26" s="476"/>
    </row>
    <row r="27" spans="1:21" s="477" customFormat="1" ht="18">
      <c r="A27" s="459">
        <v>46227</v>
      </c>
      <c r="B27" s="941">
        <v>7260099</v>
      </c>
      <c r="C27" s="461">
        <v>17491.051999999996</v>
      </c>
      <c r="D27" s="942">
        <v>2.4092029599045409E-3</v>
      </c>
      <c r="E27" s="461">
        <v>29500.189728938185</v>
      </c>
      <c r="F27" s="462">
        <v>4.0633316059379056E-3</v>
      </c>
      <c r="G27" s="916"/>
      <c r="H27" s="916"/>
      <c r="I27" s="916"/>
      <c r="J27" s="464"/>
      <c r="K27" s="464"/>
      <c r="L27" s="464"/>
      <c r="M27" s="464"/>
      <c r="N27" s="476"/>
      <c r="O27" s="476"/>
      <c r="P27" s="476"/>
      <c r="Q27" s="476"/>
      <c r="R27" s="476"/>
      <c r="S27" s="476"/>
      <c r="T27" s="476"/>
      <c r="U27" s="476"/>
    </row>
    <row r="28" spans="1:21" s="477" customFormat="1" ht="18">
      <c r="A28" s="459">
        <v>46228</v>
      </c>
      <c r="B28" s="941">
        <v>7568928</v>
      </c>
      <c r="C28" s="461">
        <v>18187.046000000006</v>
      </c>
      <c r="D28" s="942">
        <v>2.4028562565266845E-3</v>
      </c>
      <c r="E28" s="461">
        <v>30565.222501129279</v>
      </c>
      <c r="F28" s="462">
        <v>4.0382498685585695E-3</v>
      </c>
      <c r="G28" s="916"/>
      <c r="H28" s="916"/>
      <c r="I28" s="916"/>
      <c r="J28" s="464"/>
      <c r="K28" s="464"/>
      <c r="L28" s="464"/>
      <c r="M28" s="464"/>
      <c r="N28" s="476"/>
      <c r="O28" s="476"/>
      <c r="P28" s="476"/>
      <c r="Q28" s="476"/>
      <c r="R28" s="476"/>
      <c r="S28" s="476"/>
      <c r="T28" s="476"/>
      <c r="U28" s="476"/>
    </row>
    <row r="29" spans="1:21" s="477" customFormat="1" ht="18">
      <c r="A29" s="459">
        <v>46229</v>
      </c>
      <c r="B29" s="941">
        <v>9434578</v>
      </c>
      <c r="C29" s="461">
        <v>22908.374</v>
      </c>
      <c r="D29" s="942">
        <v>2.4281291648656673E-3</v>
      </c>
      <c r="E29" s="461">
        <v>37157.380001680925</v>
      </c>
      <c r="F29" s="462">
        <v>3.93842522704046E-3</v>
      </c>
      <c r="G29" s="916"/>
      <c r="H29" s="916"/>
      <c r="I29" s="916"/>
      <c r="J29" s="464"/>
      <c r="K29" s="464"/>
      <c r="L29" s="464"/>
      <c r="M29" s="464"/>
      <c r="N29" s="476"/>
      <c r="O29" s="476"/>
      <c r="P29" s="476"/>
      <c r="Q29" s="476"/>
      <c r="R29" s="476"/>
      <c r="S29" s="476"/>
      <c r="T29" s="476"/>
      <c r="U29" s="476"/>
    </row>
    <row r="30" spans="1:21" s="477" customFormat="1" ht="18">
      <c r="A30" s="459">
        <v>46230</v>
      </c>
      <c r="B30" s="941">
        <v>9238485</v>
      </c>
      <c r="C30" s="461">
        <v>22300.320000000007</v>
      </c>
      <c r="D30" s="942">
        <v>2.4138503228613791E-3</v>
      </c>
      <c r="E30" s="461">
        <v>36999.973002897226</v>
      </c>
      <c r="F30" s="462">
        <v>4.0049827436963127E-3</v>
      </c>
      <c r="G30" s="916"/>
      <c r="H30" s="916"/>
      <c r="I30" s="916"/>
      <c r="J30" s="464"/>
      <c r="K30" s="464"/>
      <c r="L30" s="464"/>
      <c r="M30" s="464"/>
      <c r="N30" s="476"/>
      <c r="O30" s="476"/>
      <c r="P30" s="476"/>
      <c r="Q30" s="476"/>
      <c r="R30" s="476"/>
      <c r="S30" s="476"/>
      <c r="T30" s="476"/>
      <c r="U30" s="476"/>
    </row>
    <row r="31" spans="1:21" s="477" customFormat="1" ht="18">
      <c r="A31" s="459">
        <v>46231</v>
      </c>
      <c r="B31" s="941">
        <v>8700275</v>
      </c>
      <c r="C31" s="461">
        <v>21219.09399999999</v>
      </c>
      <c r="D31" s="942">
        <v>2.4388992301967454E-3</v>
      </c>
      <c r="E31" s="461">
        <v>35430.213823220794</v>
      </c>
      <c r="F31" s="462">
        <v>4.0723096480537449E-3</v>
      </c>
      <c r="G31" s="916"/>
      <c r="H31" s="916"/>
      <c r="I31" s="916"/>
      <c r="J31" s="464"/>
      <c r="K31" s="464"/>
      <c r="L31" s="464"/>
      <c r="M31" s="464"/>
      <c r="N31" s="476"/>
      <c r="O31" s="476"/>
      <c r="P31" s="476"/>
      <c r="Q31" s="476"/>
      <c r="R31" s="476"/>
      <c r="S31" s="476"/>
      <c r="T31" s="476"/>
      <c r="U31" s="476"/>
    </row>
    <row r="32" spans="1:21" s="477" customFormat="1" ht="18">
      <c r="A32" s="463">
        <v>46232</v>
      </c>
      <c r="B32" s="941">
        <v>8324343</v>
      </c>
      <c r="C32" s="522">
        <v>20154.042000000005</v>
      </c>
      <c r="D32" s="942">
        <v>2.4210970163050711E-3</v>
      </c>
      <c r="E32" s="522">
        <v>33601.312653691246</v>
      </c>
      <c r="F32" s="462">
        <v>4.0365122693396035E-3</v>
      </c>
      <c r="G32" s="943">
        <v>23295269</v>
      </c>
      <c r="H32" s="943">
        <v>56397.415999999997</v>
      </c>
      <c r="I32" s="917">
        <v>94279.095200812226</v>
      </c>
      <c r="J32" s="464"/>
      <c r="K32" s="464"/>
      <c r="L32" s="464"/>
      <c r="M32" s="464"/>
      <c r="N32" s="476"/>
      <c r="O32" s="476"/>
      <c r="P32" s="476"/>
      <c r="Q32" s="476"/>
      <c r="R32" s="476"/>
      <c r="S32" s="476"/>
      <c r="T32" s="476"/>
      <c r="U32" s="476"/>
    </row>
    <row r="33" spans="1:21" s="477" customFormat="1" ht="18">
      <c r="A33" s="463">
        <v>46233</v>
      </c>
      <c r="B33" s="941">
        <v>7885992</v>
      </c>
      <c r="C33" s="522">
        <v>19095.139999999996</v>
      </c>
      <c r="D33" s="942">
        <v>2.4213998695408259E-3</v>
      </c>
      <c r="E33" s="522">
        <v>31432.822388607579</v>
      </c>
      <c r="F33" s="462">
        <v>3.9859059441865498E-3</v>
      </c>
      <c r="G33" s="944"/>
      <c r="H33" s="944"/>
      <c r="I33" s="917"/>
      <c r="J33" s="464"/>
      <c r="K33" s="464"/>
      <c r="L33" s="464"/>
      <c r="M33" s="464"/>
      <c r="N33" s="476"/>
      <c r="O33" s="476"/>
      <c r="P33" s="476"/>
      <c r="Q33" s="476"/>
      <c r="R33" s="476"/>
      <c r="S33" s="476"/>
      <c r="T33" s="476"/>
      <c r="U33" s="476"/>
    </row>
    <row r="34" spans="1:21" s="477" customFormat="1" ht="18">
      <c r="A34" s="463">
        <v>46234</v>
      </c>
      <c r="B34" s="941">
        <v>7084934</v>
      </c>
      <c r="C34" s="522">
        <v>17148.233999999997</v>
      </c>
      <c r="D34" s="942">
        <v>2.4203802039652021E-3</v>
      </c>
      <c r="E34" s="522">
        <v>29244.960158513397</v>
      </c>
      <c r="F34" s="462">
        <v>4.1277674793460881E-3</v>
      </c>
      <c r="G34" s="944"/>
      <c r="H34" s="944"/>
      <c r="I34" s="917"/>
      <c r="J34" s="464"/>
      <c r="K34" s="464"/>
      <c r="L34" s="464"/>
      <c r="M34" s="464"/>
      <c r="N34" s="476"/>
      <c r="O34" s="476"/>
      <c r="P34" s="476"/>
      <c r="Q34" s="476"/>
      <c r="R34" s="476"/>
      <c r="S34" s="476"/>
      <c r="T34" s="476"/>
      <c r="U34" s="476"/>
    </row>
    <row r="35" spans="1:21" s="477" customFormat="1" ht="18">
      <c r="A35" s="463">
        <v>46235</v>
      </c>
      <c r="B35" s="941"/>
      <c r="C35" s="522"/>
      <c r="D35" s="942" t="e">
        <v>#DIV/0!</v>
      </c>
      <c r="E35" s="522"/>
      <c r="F35" s="462" t="e">
        <v>#DIV/0!</v>
      </c>
      <c r="G35" s="944"/>
      <c r="H35" s="944"/>
      <c r="I35" s="917"/>
      <c r="J35" s="464"/>
      <c r="K35" s="464"/>
      <c r="L35" s="464"/>
      <c r="M35" s="464"/>
      <c r="N35" s="476"/>
      <c r="O35" s="476"/>
      <c r="P35" s="476"/>
      <c r="Q35" s="476"/>
      <c r="R35" s="476"/>
      <c r="S35" s="476"/>
      <c r="T35" s="476"/>
      <c r="U35" s="476"/>
    </row>
    <row r="36" spans="1:21" s="477" customFormat="1" ht="18">
      <c r="A36" s="463">
        <v>46236</v>
      </c>
      <c r="B36" s="941"/>
      <c r="C36" s="522"/>
      <c r="D36" s="942" t="e">
        <v>#DIV/0!</v>
      </c>
      <c r="E36" s="522"/>
      <c r="F36" s="462" t="e">
        <v>#DIV/0!</v>
      </c>
      <c r="G36" s="944"/>
      <c r="H36" s="944"/>
      <c r="I36" s="917"/>
      <c r="J36" s="464"/>
      <c r="K36" s="464"/>
      <c r="L36" s="464"/>
      <c r="M36" s="464"/>
      <c r="N36" s="476"/>
      <c r="O36" s="476"/>
      <c r="P36" s="476"/>
      <c r="Q36" s="476"/>
      <c r="R36" s="476"/>
      <c r="S36" s="476"/>
      <c r="T36" s="476"/>
      <c r="U36" s="476"/>
    </row>
    <row r="37" spans="1:21" s="477" customFormat="1" ht="18">
      <c r="A37" s="463">
        <v>46237</v>
      </c>
      <c r="B37" s="941"/>
      <c r="C37" s="522"/>
      <c r="D37" s="942" t="e">
        <v>#DIV/0!</v>
      </c>
      <c r="E37" s="522"/>
      <c r="F37" s="462" t="e">
        <v>#DIV/0!</v>
      </c>
      <c r="G37" s="944"/>
      <c r="H37" s="944"/>
      <c r="I37" s="917"/>
      <c r="J37" s="464"/>
      <c r="K37" s="464"/>
      <c r="L37" s="464"/>
      <c r="M37" s="464"/>
      <c r="N37" s="476"/>
      <c r="O37" s="476"/>
      <c r="P37" s="476"/>
      <c r="Q37" s="476"/>
      <c r="R37" s="476"/>
      <c r="S37" s="476"/>
      <c r="T37" s="476"/>
      <c r="U37" s="476"/>
    </row>
    <row r="38" spans="1:21" s="477" customFormat="1" ht="18">
      <c r="A38" s="463">
        <v>46238</v>
      </c>
      <c r="B38" s="941"/>
      <c r="C38" s="522"/>
      <c r="D38" s="942" t="e">
        <v>#DIV/0!</v>
      </c>
      <c r="E38" s="522"/>
      <c r="F38" s="462" t="e">
        <v>#DIV/0!</v>
      </c>
      <c r="G38" s="945"/>
      <c r="H38" s="945"/>
      <c r="I38" s="917"/>
      <c r="J38" s="464"/>
      <c r="K38" s="464"/>
      <c r="L38" s="464"/>
      <c r="M38" s="464"/>
      <c r="N38" s="476"/>
      <c r="O38" s="476"/>
      <c r="P38" s="476"/>
      <c r="Q38" s="476"/>
      <c r="R38" s="476"/>
      <c r="S38" s="476"/>
      <c r="T38" s="476"/>
      <c r="U38" s="476"/>
    </row>
    <row r="39" spans="1:21" ht="18">
      <c r="A39" s="464"/>
      <c r="B39" s="464"/>
      <c r="C39" s="464"/>
      <c r="D39" s="464"/>
      <c r="E39" s="464"/>
      <c r="F39" s="464"/>
      <c r="G39" s="464"/>
      <c r="H39" s="464"/>
      <c r="I39" s="464"/>
      <c r="J39" s="464"/>
      <c r="K39" s="464"/>
      <c r="L39" s="464"/>
      <c r="M39" s="464"/>
      <c r="N39" s="464"/>
      <c r="O39" s="464"/>
      <c r="P39" s="464"/>
      <c r="Q39" s="464"/>
      <c r="R39" s="464"/>
      <c r="S39" s="464"/>
      <c r="T39" s="464"/>
      <c r="U39" s="464"/>
    </row>
    <row r="40" spans="1:21" ht="18.75">
      <c r="A40" s="465" t="s">
        <v>757</v>
      </c>
      <c r="B40" s="460">
        <f>SUM(B7:B37)</f>
        <v>239436735</v>
      </c>
      <c r="C40" s="319" t="s">
        <v>758</v>
      </c>
      <c r="D40" s="460">
        <f>SUM(C7:C37)</f>
        <v>579474.97539971885</v>
      </c>
      <c r="E40" s="319" t="s">
        <v>759</v>
      </c>
      <c r="F40" s="460">
        <f>SUM(E7:E37)</f>
        <v>958280.61498990993</v>
      </c>
      <c r="G40" s="464"/>
      <c r="H40" s="464"/>
      <c r="I40" s="464"/>
      <c r="J40" s="464"/>
      <c r="K40" s="464"/>
      <c r="L40" s="464"/>
      <c r="M40" s="464"/>
      <c r="N40" s="464"/>
      <c r="O40" s="464"/>
      <c r="P40" s="464"/>
      <c r="Q40" s="464"/>
      <c r="R40" s="464"/>
      <c r="S40" s="464"/>
      <c r="T40" s="464"/>
      <c r="U40" s="464"/>
    </row>
    <row r="41" spans="1:21" ht="18">
      <c r="A41" s="464"/>
      <c r="B41" s="464"/>
      <c r="C41" s="464"/>
      <c r="D41" s="464"/>
      <c r="E41" s="464"/>
      <c r="F41" s="464"/>
      <c r="G41" s="464"/>
      <c r="H41" s="464"/>
      <c r="I41" s="464"/>
      <c r="J41" s="464"/>
      <c r="K41" s="464"/>
      <c r="L41" s="464"/>
      <c r="M41" s="464"/>
      <c r="N41" s="464"/>
      <c r="O41" s="464"/>
      <c r="P41" s="464"/>
      <c r="Q41" s="464"/>
      <c r="R41" s="464"/>
      <c r="S41" s="464"/>
      <c r="T41" s="464"/>
      <c r="U41" s="464"/>
    </row>
  </sheetData>
  <mergeCells count="17">
    <mergeCell ref="G11:G17"/>
    <mergeCell ref="H11:H17"/>
    <mergeCell ref="I11:I17"/>
    <mergeCell ref="G32:G38"/>
    <mergeCell ref="H32:H38"/>
    <mergeCell ref="I32:I38"/>
    <mergeCell ref="G18:G24"/>
    <mergeCell ref="H18:H24"/>
    <mergeCell ref="I18:I24"/>
    <mergeCell ref="G25:G31"/>
    <mergeCell ref="H25:H31"/>
    <mergeCell ref="I25:I31"/>
    <mergeCell ref="G2:H2"/>
    <mergeCell ref="A1:I1"/>
    <mergeCell ref="G4:G10"/>
    <mergeCell ref="H4:H10"/>
    <mergeCell ref="I4:I10"/>
  </mergeCells>
  <phoneticPr fontId="13" type="noConversion"/>
  <conditionalFormatting sqref="A4:A38">
    <cfRule type="timePeriod" dxfId="1" priority="2" timePeriod="yesterday">
      <formula>FLOOR(A4,1)=TODAY()-1</formula>
    </cfRule>
  </conditionalFormatting>
  <conditionalFormatting sqref="D4:D38">
    <cfRule type="cellIs" dxfId="0" priority="1" operator="greaterThan">
      <formula>0.0025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B2:G23"/>
  <sheetViews>
    <sheetView view="pageBreakPreview" zoomScale="115" zoomScaleNormal="100" zoomScaleSheetLayoutView="115" workbookViewId="0">
      <selection activeCell="Q19" sqref="Q19"/>
    </sheetView>
  </sheetViews>
  <sheetFormatPr defaultColWidth="8.7109375" defaultRowHeight="14.25"/>
  <cols>
    <col min="1" max="2" width="8.7109375" style="206"/>
    <col min="3" max="3" width="14" style="206" bestFit="1" customWidth="1"/>
    <col min="4" max="4" width="0.28515625" style="206" customWidth="1"/>
    <col min="5" max="5" width="8.7109375" style="206"/>
    <col min="6" max="6" width="16.28515625" style="206" bestFit="1" customWidth="1"/>
    <col min="7" max="16384" width="8.7109375" style="206"/>
  </cols>
  <sheetData>
    <row r="2" spans="2:7" ht="15.75">
      <c r="B2" s="918" t="s">
        <v>229</v>
      </c>
      <c r="C2" s="918"/>
      <c r="D2" s="918"/>
      <c r="E2" s="918"/>
      <c r="F2" s="918"/>
    </row>
    <row r="3" spans="2:7" ht="15">
      <c r="B3" s="207" t="s">
        <v>230</v>
      </c>
      <c r="C3" s="207" t="s">
        <v>231</v>
      </c>
      <c r="D3" s="208"/>
      <c r="E3" s="207" t="s">
        <v>232</v>
      </c>
      <c r="F3" s="207" t="s">
        <v>233</v>
      </c>
      <c r="G3" s="208"/>
    </row>
    <row r="4" spans="2:7" ht="15">
      <c r="B4" s="209" t="s">
        <v>234</v>
      </c>
      <c r="C4" s="209" t="s">
        <v>235</v>
      </c>
      <c r="D4" s="208"/>
      <c r="E4" s="209" t="s">
        <v>236</v>
      </c>
      <c r="F4" s="209" t="s">
        <v>237</v>
      </c>
      <c r="G4" s="208"/>
    </row>
    <row r="5" spans="2:7" ht="15">
      <c r="B5" s="209" t="s">
        <v>238</v>
      </c>
      <c r="C5" s="209" t="s">
        <v>239</v>
      </c>
      <c r="D5" s="208"/>
      <c r="E5" s="209" t="s">
        <v>240</v>
      </c>
      <c r="F5" s="209" t="s">
        <v>241</v>
      </c>
      <c r="G5" s="208"/>
    </row>
    <row r="6" spans="2:7" ht="15">
      <c r="B6" s="209" t="s">
        <v>242</v>
      </c>
      <c r="C6" s="209" t="s">
        <v>243</v>
      </c>
      <c r="D6" s="208"/>
      <c r="E6" s="210" t="s">
        <v>244</v>
      </c>
      <c r="F6" s="210" t="s">
        <v>136</v>
      </c>
      <c r="G6" s="208"/>
    </row>
    <row r="7" spans="2:7" ht="15">
      <c r="B7" s="210" t="s">
        <v>245</v>
      </c>
      <c r="C7" s="210" t="s">
        <v>246</v>
      </c>
      <c r="D7" s="208"/>
      <c r="E7" s="209" t="s">
        <v>247</v>
      </c>
      <c r="F7" s="209" t="s">
        <v>248</v>
      </c>
      <c r="G7" s="208"/>
    </row>
    <row r="8" spans="2:7" ht="15">
      <c r="B8" s="209" t="s">
        <v>249</v>
      </c>
      <c r="C8" s="209" t="s">
        <v>250</v>
      </c>
      <c r="D8" s="208"/>
      <c r="E8" s="209" t="s">
        <v>251</v>
      </c>
      <c r="F8" s="209" t="s">
        <v>252</v>
      </c>
      <c r="G8" s="208"/>
    </row>
    <row r="9" spans="2:7" ht="15">
      <c r="B9" s="209" t="s">
        <v>253</v>
      </c>
      <c r="C9" s="209" t="s">
        <v>254</v>
      </c>
      <c r="D9" s="208"/>
      <c r="E9" s="210" t="s">
        <v>255</v>
      </c>
      <c r="F9" s="210" t="s">
        <v>135</v>
      </c>
      <c r="G9" s="208"/>
    </row>
    <row r="10" spans="2:7" ht="15">
      <c r="B10" s="209" t="s">
        <v>256</v>
      </c>
      <c r="C10" s="209" t="s">
        <v>257</v>
      </c>
      <c r="D10" s="208"/>
      <c r="E10" s="209" t="s">
        <v>258</v>
      </c>
      <c r="F10" s="209" t="s">
        <v>259</v>
      </c>
      <c r="G10" s="208"/>
    </row>
    <row r="11" spans="2:7" ht="15">
      <c r="B11" s="209" t="s">
        <v>260</v>
      </c>
      <c r="C11" s="209" t="s">
        <v>261</v>
      </c>
      <c r="D11" s="208"/>
      <c r="E11" s="209" t="s">
        <v>262</v>
      </c>
      <c r="F11" s="209" t="s">
        <v>252</v>
      </c>
      <c r="G11" s="208"/>
    </row>
    <row r="12" spans="2:7" ht="15">
      <c r="B12" s="209" t="s">
        <v>263</v>
      </c>
      <c r="C12" s="209" t="s">
        <v>264</v>
      </c>
      <c r="D12" s="208"/>
      <c r="E12" s="209" t="s">
        <v>265</v>
      </c>
      <c r="F12" s="209" t="s">
        <v>266</v>
      </c>
      <c r="G12" s="208"/>
    </row>
    <row r="13" spans="2:7" ht="15">
      <c r="B13" s="210" t="s">
        <v>267</v>
      </c>
      <c r="C13" s="210" t="s">
        <v>131</v>
      </c>
      <c r="D13" s="208"/>
      <c r="E13" s="209" t="s">
        <v>268</v>
      </c>
      <c r="F13" s="209" t="s">
        <v>269</v>
      </c>
      <c r="G13" s="208"/>
    </row>
    <row r="14" spans="2:7" ht="15">
      <c r="B14" s="209" t="s">
        <v>270</v>
      </c>
      <c r="C14" s="209" t="s">
        <v>271</v>
      </c>
      <c r="D14" s="208"/>
      <c r="E14" s="210" t="s">
        <v>272</v>
      </c>
      <c r="F14" s="210" t="s">
        <v>273</v>
      </c>
      <c r="G14" s="208"/>
    </row>
    <row r="15" spans="2:7" ht="15">
      <c r="B15" s="210" t="s">
        <v>274</v>
      </c>
      <c r="C15" s="210" t="s">
        <v>275</v>
      </c>
      <c r="D15" s="208"/>
      <c r="E15" s="209" t="s">
        <v>276</v>
      </c>
      <c r="F15" s="209" t="s">
        <v>273</v>
      </c>
      <c r="G15" s="208"/>
    </row>
    <row r="16" spans="2:7" ht="15">
      <c r="B16" s="209" t="s">
        <v>277</v>
      </c>
      <c r="C16" s="209" t="s">
        <v>278</v>
      </c>
      <c r="D16" s="208"/>
      <c r="E16" s="210" t="s">
        <v>279</v>
      </c>
      <c r="F16" s="210" t="s">
        <v>280</v>
      </c>
      <c r="G16" s="208"/>
    </row>
    <row r="17" spans="2:7" ht="15">
      <c r="B17" s="209" t="s">
        <v>281</v>
      </c>
      <c r="C17" s="209" t="s">
        <v>282</v>
      </c>
      <c r="D17" s="208"/>
      <c r="E17" s="209" t="s">
        <v>283</v>
      </c>
      <c r="F17" s="209" t="s">
        <v>284</v>
      </c>
      <c r="G17" s="208"/>
    </row>
    <row r="18" spans="2:7" ht="15">
      <c r="B18" s="209" t="s">
        <v>285</v>
      </c>
      <c r="C18" s="209" t="s">
        <v>286</v>
      </c>
      <c r="D18" s="208"/>
      <c r="E18" s="209" t="s">
        <v>287</v>
      </c>
      <c r="F18" s="209" t="s">
        <v>288</v>
      </c>
      <c r="G18" s="208"/>
    </row>
    <row r="19" spans="2:7" ht="15">
      <c r="B19" s="209" t="s">
        <v>289</v>
      </c>
      <c r="C19" s="209" t="s">
        <v>290</v>
      </c>
      <c r="D19" s="208"/>
      <c r="E19" s="209" t="s">
        <v>291</v>
      </c>
      <c r="F19" s="209" t="s">
        <v>292</v>
      </c>
      <c r="G19" s="208"/>
    </row>
    <row r="20" spans="2:7" ht="15">
      <c r="B20" s="209" t="s">
        <v>293</v>
      </c>
      <c r="C20" s="209" t="s">
        <v>294</v>
      </c>
      <c r="D20" s="208"/>
      <c r="G20" s="208"/>
    </row>
    <row r="21" spans="2:7" ht="15">
      <c r="D21" s="208"/>
      <c r="G21" s="208"/>
    </row>
    <row r="22" spans="2:7" ht="15">
      <c r="D22" s="208"/>
      <c r="G22" s="208"/>
    </row>
    <row r="23" spans="2:7" ht="15">
      <c r="D23" s="208"/>
      <c r="G23" s="208"/>
    </row>
  </sheetData>
  <mergeCells count="1">
    <mergeCell ref="B2:F2"/>
  </mergeCells>
  <phoneticPr fontId="13" type="noConversion"/>
  <pageMargins left="0" right="0" top="0" bottom="0" header="0" footer="0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33</vt:i4>
      </vt:variant>
      <vt:variant>
        <vt:lpstr>具名範圍</vt:lpstr>
      </vt:variant>
      <vt:variant>
        <vt:i4>12</vt:i4>
      </vt:variant>
    </vt:vector>
  </HeadingPairs>
  <TitlesOfParts>
    <vt:vector size="45" baseType="lpstr">
      <vt:lpstr>填寫舉例</vt:lpstr>
      <vt:lpstr>生產管理報表(月)</vt:lpstr>
      <vt:lpstr>生產管理報表(週) </vt:lpstr>
      <vt:lpstr>每月數值累積總表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（５-1）品群別人時生產性（18℃-飯糰）</vt:lpstr>
      <vt:lpstr>（５-2）品群別人時生產性（18-壽司手卷)</vt:lpstr>
      <vt:lpstr>（５-3）品群別人時生產性（4℃-飯糰)</vt:lpstr>
      <vt:lpstr>（５-4）品群別人時生產性（4℃-壽司手卷)</vt:lpstr>
      <vt:lpstr>（５-5）品群別人時生產性(主食)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7-1 (週)</vt:lpstr>
      <vt:lpstr>生產管理報表 8-1(報廢)</vt:lpstr>
      <vt:lpstr>生產管理報表 8-2(報廢)</vt:lpstr>
      <vt:lpstr>生產管理報表 8-3(超用)</vt:lpstr>
      <vt:lpstr>生產管理報表 8-4(超用)</vt:lpstr>
      <vt:lpstr>生產管理報表 9</vt:lpstr>
      <vt:lpstr>報廢20大－原因別分析</vt:lpstr>
      <vt:lpstr>超用20大－原因別分析</vt:lpstr>
      <vt:lpstr>日別報廢率總表  </vt:lpstr>
      <vt:lpstr>鮮食品群番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8-3(超用)'!Print_Area</vt:lpstr>
      <vt:lpstr>'生產管理報表 8-4(超用)'!Print_Area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莊政輝</cp:lastModifiedBy>
  <cp:lastPrinted>2025-07-28T04:42:39Z</cp:lastPrinted>
  <dcterms:created xsi:type="dcterms:W3CDTF">2025-07-03T16:36:59Z</dcterms:created>
  <dcterms:modified xsi:type="dcterms:W3CDTF">2026-08-04T08:43:42Z</dcterms:modified>
</cp:coreProperties>
</file>